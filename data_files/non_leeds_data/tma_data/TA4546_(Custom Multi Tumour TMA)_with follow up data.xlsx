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edaamm\Box\TMA WIP data sheets (SYU)\TMA (new) data sheets - final version (AA)\"/>
    </mc:Choice>
  </mc:AlternateContent>
  <xr:revisionPtr revIDLastSave="0" documentId="13_ncr:1_{BA67E588-68BC-4AFA-8BD8-38F230A7D6F1}" xr6:coauthVersionLast="47" xr6:coauthVersionMax="47" xr10:uidLastSave="{00000000-0000-0000-0000-000000000000}"/>
  <bookViews>
    <workbookView xWindow="-120" yWindow="-120" windowWidth="30960" windowHeight="18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A15" i="1"/>
</calcChain>
</file>

<file path=xl/sharedStrings.xml><?xml version="1.0" encoding="utf-8"?>
<sst xmlns="http://schemas.openxmlformats.org/spreadsheetml/2006/main" count="850" uniqueCount="463">
  <si>
    <t>Sample_ID</t>
  </si>
  <si>
    <t>Original_ID</t>
  </si>
  <si>
    <t>Gender</t>
  </si>
  <si>
    <t>Age</t>
  </si>
  <si>
    <t>T</t>
  </si>
  <si>
    <t>N</t>
  </si>
  <si>
    <t>M</t>
  </si>
  <si>
    <t>Grade</t>
  </si>
  <si>
    <t>Stage</t>
  </si>
  <si>
    <t>Year_Of_Collection</t>
  </si>
  <si>
    <t>Type</t>
  </si>
  <si>
    <t>Sub_Type</t>
  </si>
  <si>
    <t>Date_Of_Collection</t>
  </si>
  <si>
    <t>Start_Treatment_1</t>
  </si>
  <si>
    <t>Therapy_1</t>
  </si>
  <si>
    <t>Follow_Up_1</t>
  </si>
  <si>
    <t>Therapy_2</t>
  </si>
  <si>
    <t>Follow_Up_2</t>
  </si>
  <si>
    <t>Last_Follow_Up</t>
  </si>
  <si>
    <t>Date_Last_Follow_Up</t>
  </si>
  <si>
    <t>OS</t>
  </si>
  <si>
    <t>DFS</t>
  </si>
  <si>
    <t>Origin</t>
  </si>
  <si>
    <t>Survival_Months</t>
  </si>
  <si>
    <t>Ethnicity</t>
  </si>
  <si>
    <t>Others</t>
  </si>
  <si>
    <t>Divided</t>
  </si>
  <si>
    <t>Specimen_Type</t>
  </si>
  <si>
    <t>Specimen_Collection_Date</t>
  </si>
  <si>
    <t>File_Name</t>
  </si>
  <si>
    <t>982-033</t>
  </si>
  <si>
    <t>F</t>
  </si>
  <si>
    <t>IIIA</t>
  </si>
  <si>
    <t>Breast</t>
  </si>
  <si>
    <t>CDI</t>
  </si>
  <si>
    <t>ER:90,PR:75,KI-67:20,HER2:1</t>
  </si>
  <si>
    <t>982-040</t>
  </si>
  <si>
    <t>1c</t>
  </si>
  <si>
    <t>IIA</t>
  </si>
  <si>
    <t>ER:90,PR:60,KI-67:50,HER2:3</t>
  </si>
  <si>
    <t>982-054</t>
  </si>
  <si>
    <t>ER:75,PR:65,KI-67:20,HER2:3</t>
  </si>
  <si>
    <t>IOM-687</t>
  </si>
  <si>
    <t>IIIC</t>
  </si>
  <si>
    <t>Colon Pri.</t>
  </si>
  <si>
    <t>ADC</t>
  </si>
  <si>
    <t>IOM</t>
  </si>
  <si>
    <t>&lt;1x35&gt;</t>
  </si>
  <si>
    <t>IOM-690</t>
  </si>
  <si>
    <t>IOM-692</t>
  </si>
  <si>
    <t>IOM-707</t>
  </si>
  <si>
    <t>2b</t>
  </si>
  <si>
    <t>IOM-708</t>
  </si>
  <si>
    <t>IIIB</t>
  </si>
  <si>
    <t>TS-18-0087</t>
  </si>
  <si>
    <t>TR-02-18.121</t>
  </si>
  <si>
    <t>IB</t>
  </si>
  <si>
    <t>Lung Pri.</t>
  </si>
  <si>
    <t>SCC</t>
  </si>
  <si>
    <t>-</t>
  </si>
  <si>
    <t>NED</t>
  </si>
  <si>
    <t>TS-18-0090</t>
  </si>
  <si>
    <t>TR-02-18.126-127</t>
  </si>
  <si>
    <t>IIB</t>
  </si>
  <si>
    <t>CDDP-NVB</t>
  </si>
  <si>
    <t>TS-21-0002</t>
  </si>
  <si>
    <t>TR-01-21.003</t>
  </si>
  <si>
    <t>na</t>
  </si>
  <si>
    <t>TS-21-0025</t>
  </si>
  <si>
    <t>TR-01-21.049</t>
  </si>
  <si>
    <t>carboplatin + paclitaxel</t>
  </si>
  <si>
    <t>AgeAtDX</t>
  </si>
  <si>
    <t>Sample_Type</t>
  </si>
  <si>
    <t>Histopathologic_Subtype</t>
  </si>
  <si>
    <t>StageAtDX</t>
  </si>
  <si>
    <t>KRAS_Mutation</t>
  </si>
  <si>
    <t>EGFR_Mutation</t>
  </si>
  <si>
    <t>TS-16 - 0019</t>
  </si>
  <si>
    <t>14D001776</t>
  </si>
  <si>
    <t>NHSB</t>
  </si>
  <si>
    <t>2a</t>
  </si>
  <si>
    <t>G12V</t>
  </si>
  <si>
    <t>Unknown</t>
  </si>
  <si>
    <t>TS-16 - 0534</t>
  </si>
  <si>
    <t>3132/05 4L</t>
  </si>
  <si>
    <t xml:space="preserve">ADC </t>
  </si>
  <si>
    <t>x</t>
  </si>
  <si>
    <t>IB - IIA</t>
  </si>
  <si>
    <t>TS-17 - 0900</t>
  </si>
  <si>
    <t>11565/96 D BB1</t>
  </si>
  <si>
    <t>IA</t>
  </si>
  <si>
    <t>TS-17 - 0918</t>
  </si>
  <si>
    <t>12109/92 C BB1</t>
  </si>
  <si>
    <t>TS-17 - 0937</t>
  </si>
  <si>
    <t>16198/01 E</t>
  </si>
  <si>
    <t>TS-17 - 1085</t>
  </si>
  <si>
    <t>12D49492 A4</t>
  </si>
  <si>
    <t>Gastric Pri.</t>
  </si>
  <si>
    <t>4b</t>
  </si>
  <si>
    <t>IV</t>
  </si>
  <si>
    <t>TS-17 - 1100</t>
  </si>
  <si>
    <t>8228/07 5I BB1</t>
  </si>
  <si>
    <t>TriStar Technology Group, LLC</t>
  </si>
  <si>
    <t>6116 Executive Blvd</t>
  </si>
  <si>
    <t>Suite 680</t>
  </si>
  <si>
    <t>Rockville, MD 20852</t>
  </si>
  <si>
    <t>U.S.A.</t>
  </si>
  <si>
    <t>Phone: 866.851.7827</t>
  </si>
  <si>
    <t>info@tristargroup.us</t>
  </si>
  <si>
    <t>www.tristargroup.us</t>
  </si>
  <si>
    <t>NO</t>
  </si>
  <si>
    <t>Name</t>
  </si>
  <si>
    <t>TS-16 - 0019/1-PAR</t>
  </si>
  <si>
    <t>TS-16 - 0534-A</t>
  </si>
  <si>
    <t>TS-17 - 0900-A</t>
  </si>
  <si>
    <t>TS-17 - 0918-A</t>
  </si>
  <si>
    <t>TS-17 - 0937-B</t>
  </si>
  <si>
    <t>TS-17 - 1085-A</t>
  </si>
  <si>
    <t>TS-17 - 1100-A</t>
  </si>
  <si>
    <t>982-033-PAR</t>
  </si>
  <si>
    <t>982-040-PAR</t>
  </si>
  <si>
    <t>982-054-PAR</t>
  </si>
  <si>
    <t>IOM-687-PAR</t>
  </si>
  <si>
    <t>IOM-690-PAR</t>
  </si>
  <si>
    <t>IOM-692-PAR</t>
  </si>
  <si>
    <t>IOM-707-PAR</t>
  </si>
  <si>
    <t>IOM-708-PAR</t>
  </si>
  <si>
    <t>TS-18 - 0087-A</t>
  </si>
  <si>
    <t>TS-18 - 0090-A2</t>
  </si>
  <si>
    <t>TS-21 - 0002-A</t>
  </si>
  <si>
    <t>TS-21 - 0025-B</t>
  </si>
  <si>
    <t>TS-18 - 1587-A</t>
  </si>
  <si>
    <t>TS-18 - 1593-A</t>
  </si>
  <si>
    <t>TS-18 - 1594-A</t>
  </si>
  <si>
    <t>TS-18 - 1678-A</t>
  </si>
  <si>
    <t>TS-18 - 1679-A</t>
  </si>
  <si>
    <t>TS-18-1587</t>
  </si>
  <si>
    <t>TS-18-1593</t>
  </si>
  <si>
    <t>TS-18-1594</t>
  </si>
  <si>
    <t>TS-18-1678</t>
  </si>
  <si>
    <t>TS-18-1679</t>
  </si>
  <si>
    <t>39013-14</t>
  </si>
  <si>
    <t>73241-14</t>
  </si>
  <si>
    <t>73849-14</t>
  </si>
  <si>
    <t>11424-14</t>
  </si>
  <si>
    <t>70858-14</t>
  </si>
  <si>
    <t>Site_ID</t>
  </si>
  <si>
    <t>Line_Shipping_List</t>
  </si>
  <si>
    <t>Position_In_Box</t>
  </si>
  <si>
    <t>Project_Code</t>
  </si>
  <si>
    <t>Purchase_Order</t>
  </si>
  <si>
    <t>Patient_ID</t>
  </si>
  <si>
    <t>Sample_Format</t>
  </si>
  <si>
    <t>Month_Year_Initial_Diagnosis_PrimaryCancer</t>
  </si>
  <si>
    <t>Month_Year_Surgery_SampleCollection</t>
  </si>
  <si>
    <t>Collection_Procedure</t>
  </si>
  <si>
    <t>Gross_Description</t>
  </si>
  <si>
    <t>Tumour_Size</t>
  </si>
  <si>
    <t>Histological_Tumour_Type</t>
  </si>
  <si>
    <t>Histological_Grade</t>
  </si>
  <si>
    <t>HistologicFeatures_MicroscopicDescription</t>
  </si>
  <si>
    <t>TumourInvasion_Extent</t>
  </si>
  <si>
    <t>AJCC_TNM_Clinical_Or_Other_Applicable</t>
  </si>
  <si>
    <t>AJCC_TNM_Pathological_Or_Other_Applicable</t>
  </si>
  <si>
    <t>AJCC_pT_Or_Other_Applicable</t>
  </si>
  <si>
    <t>AJCC_Stage_Or_Other_Applicable_System</t>
  </si>
  <si>
    <t>Regional_LymphNodes_Status</t>
  </si>
  <si>
    <t>Lymph_Nodes_Num_Assessed</t>
  </si>
  <si>
    <t>Lymph_Nodes_Num_Positive</t>
  </si>
  <si>
    <t>Lymph_Nodes_Localization</t>
  </si>
  <si>
    <t>Metastatic_Site_Distant_Status</t>
  </si>
  <si>
    <t>Metastatic_Site</t>
  </si>
  <si>
    <t>New_Primary_Or_Recurrence_SpecimenNature</t>
  </si>
  <si>
    <t>TumourSite_Location</t>
  </si>
  <si>
    <t>CancerType_Indication</t>
  </si>
  <si>
    <t>General_Cancer_Subtypes</t>
  </si>
  <si>
    <t>Page 1_17</t>
  </si>
  <si>
    <t>Box 1_B7</t>
  </si>
  <si>
    <t>TRIT002_3rd</t>
  </si>
  <si>
    <t>PO#1002130</t>
  </si>
  <si>
    <t>AV</t>
  </si>
  <si>
    <t>FFPE - 10% NBF</t>
  </si>
  <si>
    <t>Male</t>
  </si>
  <si>
    <t xml:space="preserve">Surgery </t>
  </si>
  <si>
    <t>White gray, sclerotic, poorly defined, solid mass</t>
  </si>
  <si>
    <t>30.0 x 25.0 x 30.0</t>
  </si>
  <si>
    <t>Ductal adenocarcinoma</t>
  </si>
  <si>
    <t>G1</t>
  </si>
  <si>
    <t>Infiltrating well formed glandular/ductal structures surrounded by remarkably desmoplastic stroma</t>
  </si>
  <si>
    <t>L1 - Lymphovascular invasion
PN1 - Perineural invasion</t>
  </si>
  <si>
    <t>N.A.</t>
  </si>
  <si>
    <t>pT2 N1 Mx</t>
  </si>
  <si>
    <t>Tumor limited to the pancreas, &gt; 2.0 cm in greatest dimension</t>
  </si>
  <si>
    <t>Present</t>
  </si>
  <si>
    <t>Peripancreatic</t>
  </si>
  <si>
    <t>No distant metastasis</t>
  </si>
  <si>
    <t>Caucasian</t>
  </si>
  <si>
    <t>Primary tumor</t>
  </si>
  <si>
    <t>Pancreas</t>
  </si>
  <si>
    <t xml:space="preserve">C25 Malignant neoplasm of pancreas   </t>
  </si>
  <si>
    <t>Page 1_23</t>
  </si>
  <si>
    <t>Box 1_C3</t>
  </si>
  <si>
    <t>TRIT002_2nd</t>
  </si>
  <si>
    <t>5982-14</t>
  </si>
  <si>
    <t>Nodose tumor</t>
  </si>
  <si>
    <t>45.0 x 25.0 x 25.0</t>
  </si>
  <si>
    <t>G2</t>
  </si>
  <si>
    <t>Moderately differentiated ductal adenocarcinoma</t>
  </si>
  <si>
    <t>L1 - Lymphatic invasion
V1 - Microscopic venous invasion
PNx - Perineural invasion cannot be assessed</t>
  </si>
  <si>
    <t>T3 N2 Mx</t>
  </si>
  <si>
    <t>Tumor &gt; 4.0 cm in greatest dimension</t>
  </si>
  <si>
    <t>III</t>
  </si>
  <si>
    <t>Peripancreatic (8+)</t>
  </si>
  <si>
    <t>N.A</t>
  </si>
  <si>
    <t>Head of pancreas</t>
  </si>
  <si>
    <t xml:space="preserve">C25.0 Malignant neoplasm: Head of pancreas   </t>
  </si>
  <si>
    <t>Ductal adenocarcinoma with focal squamous differentiation</t>
  </si>
  <si>
    <t>Page 1_19</t>
  </si>
  <si>
    <t>Box 1_B9</t>
  </si>
  <si>
    <t>10802-14</t>
  </si>
  <si>
    <t>Infiltrative tumor</t>
  </si>
  <si>
    <t>40.0 x 25.0 x 40.0</t>
  </si>
  <si>
    <t>G3</t>
  </si>
  <si>
    <t>Poorly differentiated ductal adenocarcinoma</t>
  </si>
  <si>
    <t>L1 - Lymphatic invasion
V0 - No venous invasion
PN1 - Perineural invasion</t>
  </si>
  <si>
    <t>T3 N1 Mx</t>
  </si>
  <si>
    <t>Tumor extends beyond the pancreas</t>
  </si>
  <si>
    <t>Peritumoral (2+)
Station 8a (2/1+)</t>
  </si>
  <si>
    <t>Page 1_35</t>
  </si>
  <si>
    <t>Box 1_D5</t>
  </si>
  <si>
    <t>11161-14</t>
  </si>
  <si>
    <t>Surgery</t>
  </si>
  <si>
    <t>45.0 x 30.0 x 30.0</t>
  </si>
  <si>
    <t>L1 - Lymphatic invasion
V1 - Microscopic venous invasion
PN1 - Perineural invasion</t>
  </si>
  <si>
    <t>Peripancreatic (8+)
Retrocholedochal (1+)</t>
  </si>
  <si>
    <t>Page 1_37</t>
  </si>
  <si>
    <t>Box 1_D7</t>
  </si>
  <si>
    <t>11228-14</t>
  </si>
  <si>
    <t>45.0 x 35.0 x 45.0</t>
  </si>
  <si>
    <t>T4 N1 M1</t>
  </si>
  <si>
    <t>Tumor has grown outside the pancreas, into the nearby large blood vessels</t>
  </si>
  <si>
    <t>Peripancreatic (1+)
Pericholedochal (1+)</t>
  </si>
  <si>
    <t>Distant</t>
  </si>
  <si>
    <t>Liver</t>
  </si>
  <si>
    <t>Periampullar region</t>
  </si>
  <si>
    <t>Field</t>
  </si>
  <si>
    <t>Value</t>
  </si>
  <si>
    <t>TA Number</t>
  </si>
  <si>
    <t>TA4546</t>
  </si>
  <si>
    <t>TriStar SKU</t>
  </si>
  <si>
    <t>Description</t>
  </si>
  <si>
    <t>Custom Multi tumor TMA block, Indications (9): NSCLC-ADC, NSCLC-SCC, Gastric ADC, CRC, PDAC, Bladder Breast ca., RCC and Ovarian Ca.</t>
  </si>
  <si>
    <t>Data (available/missing)</t>
  </si>
  <si>
    <t>available</t>
  </si>
  <si>
    <t>Product Core Size (mm)</t>
  </si>
  <si>
    <t>Cores per Donor</t>
  </si>
  <si>
    <t>Suitable for IHC or RNA-ISH</t>
  </si>
  <si>
    <t>IHC</t>
  </si>
  <si>
    <t>General terms covering TMA slides</t>
  </si>
  <si>
    <t>1. TMA slides will inherently have a certain number of cores missing as compared to the TMA map.</t>
  </si>
  <si>
    <t>2. The estimated number of cores present (by H&amp;E assessment) are included in a formal Quote/Estimate</t>
  </si>
  <si>
    <t>3. Please refer to the data dictionary for an explanation of terms and abbreviations used for follow up data</t>
  </si>
  <si>
    <t>BMS</t>
  </si>
  <si>
    <t>Note: for multiple cores per donor, please duplicate the rows and don’t combine cores into a single row.</t>
  </si>
  <si>
    <t>Note: Where there is more than 1 TMA per sheet, please follow the same structure as below and add additional datasets, TMA layout maps, and H&amp;E QC tables in the rows below</t>
  </si>
  <si>
    <t>H-BLC-003-H</t>
  </si>
  <si>
    <t>H-BLC-037-A</t>
  </si>
  <si>
    <t>H-BLC-045-C</t>
  </si>
  <si>
    <t>H-BLC-047-D</t>
  </si>
  <si>
    <t>H-BLC-058-A</t>
  </si>
  <si>
    <t>H-BLC-003</t>
  </si>
  <si>
    <t>81-85</t>
  </si>
  <si>
    <t>T1</t>
  </si>
  <si>
    <t>HGUGM</t>
  </si>
  <si>
    <t>CAUCASIAN</t>
  </si>
  <si>
    <t>H-BLC-045</t>
  </si>
  <si>
    <t>56-60</t>
  </si>
  <si>
    <t>C</t>
  </si>
  <si>
    <t>H-BLC-047</t>
  </si>
  <si>
    <t>71-75</t>
  </si>
  <si>
    <t>9917-T2</t>
  </si>
  <si>
    <t>9910-T3</t>
  </si>
  <si>
    <t>9905-T3</t>
  </si>
  <si>
    <t>9811-T3</t>
  </si>
  <si>
    <t>7746T2-PAR</t>
  </si>
  <si>
    <t>Pathological_Diagnosis</t>
  </si>
  <si>
    <t>Surgical_Specimen</t>
  </si>
  <si>
    <t>Histological_Diagnosis</t>
  </si>
  <si>
    <t>Current_Status</t>
  </si>
  <si>
    <t>Date_Of_Surgery</t>
  </si>
  <si>
    <t>Site_Of_Diagnosis</t>
  </si>
  <si>
    <t>Adjuvant_ChemoTx_1_Start_Date</t>
  </si>
  <si>
    <t>Immuno_Tx</t>
  </si>
  <si>
    <t>Immuno_Tx_Start_Date</t>
  </si>
  <si>
    <t>Date_Last_Seen</t>
  </si>
  <si>
    <t>Radiation_1_Type</t>
  </si>
  <si>
    <t>Block_A</t>
  </si>
  <si>
    <t>Block_B</t>
  </si>
  <si>
    <t>Block_C</t>
  </si>
  <si>
    <t>Block_D</t>
  </si>
  <si>
    <t>Block_E</t>
  </si>
  <si>
    <t>Nuclear_Grade</t>
  </si>
  <si>
    <t>Adjuvant_ChemoTx_Regimen_1</t>
  </si>
  <si>
    <t>BLADDER CARCINOMA</t>
  </si>
  <si>
    <t>MALE</t>
  </si>
  <si>
    <t>BLADDER</t>
  </si>
  <si>
    <t>UROTELIAL CARCINOMA</t>
  </si>
  <si>
    <t>ALIVE</t>
  </si>
  <si>
    <t>A</t>
  </si>
  <si>
    <t>FFPE</t>
  </si>
  <si>
    <t>D</t>
  </si>
  <si>
    <t>E-H</t>
  </si>
  <si>
    <t>Bladder_Cancer</t>
  </si>
  <si>
    <t>H-BLC-037</t>
  </si>
  <si>
    <t>2005/2006</t>
  </si>
  <si>
    <t>BCG</t>
  </si>
  <si>
    <t>B</t>
  </si>
  <si>
    <t>MITOMICIN-C/FARMORRUBICIN</t>
  </si>
  <si>
    <t>2006/2011</t>
  </si>
  <si>
    <t>FARMORRUBICIN/MITOMICIN C</t>
  </si>
  <si>
    <t>MITOMICIN-C</t>
  </si>
  <si>
    <t>H-BLC-058</t>
  </si>
  <si>
    <t>51-55</t>
  </si>
  <si>
    <t>2006/2013</t>
  </si>
  <si>
    <t>Sub-Type</t>
  </si>
  <si>
    <t>PPIB</t>
  </si>
  <si>
    <t>TMA_Number</t>
  </si>
  <si>
    <t>Bl</t>
  </si>
  <si>
    <t>Invasive_Edge_Tumor</t>
  </si>
  <si>
    <t>SurgeryDate</t>
  </si>
  <si>
    <t>Last_FollowUp</t>
  </si>
  <si>
    <t>Last_FollowUp_Date</t>
  </si>
  <si>
    <t>OverallSurvival_Months</t>
  </si>
  <si>
    <t>PDL1_TPS</t>
  </si>
  <si>
    <t>PDL1_CPS</t>
  </si>
  <si>
    <t>GeographicOrigin</t>
  </si>
  <si>
    <t>RNAscope</t>
  </si>
  <si>
    <t>HER2_ISH</t>
  </si>
  <si>
    <t>HER2_Score</t>
  </si>
  <si>
    <t>HER3</t>
  </si>
  <si>
    <t>PD-L1CPS</t>
  </si>
  <si>
    <t>B7H3_1Plus_2Plus_3Plus_Perc</t>
  </si>
  <si>
    <t>B7H3_2Plus_3Plus_Perc</t>
  </si>
  <si>
    <t>B7H3_3Plus_Perc</t>
  </si>
  <si>
    <t>B7H3_NegPerc</t>
  </si>
  <si>
    <t>B7H3_HScore</t>
  </si>
  <si>
    <t>B7H3_IHCResult</t>
  </si>
  <si>
    <t>B7H4_1Plus_2Plus_3Plus_Perc</t>
  </si>
  <si>
    <t>B7H4_2Plus_3Plus_Perc</t>
  </si>
  <si>
    <t>B7H4_3Plus_Perc</t>
  </si>
  <si>
    <t>B7H4_NegPerc</t>
  </si>
  <si>
    <t>B7H4_HScore</t>
  </si>
  <si>
    <t>B7H4_IHCResult</t>
  </si>
  <si>
    <t>Nectin4_1Plus_2Plus_3Plus_Perc</t>
  </si>
  <si>
    <t>Nectin4_2Plus_3Plus_Perc</t>
  </si>
  <si>
    <t>Nectin4_3Plus_Perc</t>
  </si>
  <si>
    <t>Nectin4_NegPerc</t>
  </si>
  <si>
    <t>Nectin4_HScore</t>
  </si>
  <si>
    <t>Nectin4_IHCResult</t>
  </si>
  <si>
    <t>TROP2_1_1000_1Plus_2Plus_3Plus_Perc</t>
  </si>
  <si>
    <t>TROP2_1_1000_2Plus_3Plus_Perc</t>
  </si>
  <si>
    <t>TROP2_1_1000_3Plus_Perc</t>
  </si>
  <si>
    <t>TROP2_1_1000_NegPerc</t>
  </si>
  <si>
    <t>TROP2_1_1000_HScore</t>
  </si>
  <si>
    <t>TROP2_1_1000_IHCResult</t>
  </si>
  <si>
    <t>TROP2_1_3000_1Plus_2Plus_3Plus_Perc</t>
  </si>
  <si>
    <t>TROP2_1_3000_2Plus_3Plus_Perc</t>
  </si>
  <si>
    <t>TROP2_1_3000_3Plus_Perc</t>
  </si>
  <si>
    <t>TROP2_1_3000_NegPerc</t>
  </si>
  <si>
    <t>TROP2_1_3000_HScore</t>
  </si>
  <si>
    <t>TROP2_1_3000_IHCResult</t>
  </si>
  <si>
    <t>1+</t>
  </si>
  <si>
    <t>3+</t>
  </si>
  <si>
    <t>Collection_Year</t>
  </si>
  <si>
    <t>ER</t>
  </si>
  <si>
    <t>PR</t>
  </si>
  <si>
    <t>HER22</t>
  </si>
  <si>
    <t>PDL1_TPS_2</t>
  </si>
  <si>
    <t>PDL1_CPS_2</t>
  </si>
  <si>
    <t>Year of Surgery</t>
  </si>
  <si>
    <t>P</t>
  </si>
  <si>
    <t>BRCA</t>
  </si>
  <si>
    <t>n/a</t>
  </si>
  <si>
    <t>CD8_per_sqmm</t>
  </si>
  <si>
    <t>CD3_per_sqmm</t>
  </si>
  <si>
    <t>MLH1</t>
  </si>
  <si>
    <t>MSH2</t>
  </si>
  <si>
    <t>MSH6</t>
  </si>
  <si>
    <t>Lab_ID</t>
  </si>
  <si>
    <t>Therapy_1_FollowUp</t>
  </si>
  <si>
    <t>Therapy_2_FollowUp</t>
  </si>
  <si>
    <t>DiseaseFreeSurvival_Months</t>
  </si>
  <si>
    <t>PMS1</t>
  </si>
  <si>
    <t>MSI_Status</t>
  </si>
  <si>
    <t>5271T1</t>
  </si>
  <si>
    <t>T3</t>
  </si>
  <si>
    <t>N0</t>
  </si>
  <si>
    <t>M0</t>
  </si>
  <si>
    <t>Stomach cancer</t>
  </si>
  <si>
    <t>Adenocarcinoma</t>
  </si>
  <si>
    <t>data_TA4331_0</t>
  </si>
  <si>
    <t>/</t>
  </si>
  <si>
    <t>　</t>
  </si>
  <si>
    <t>5901T2</t>
  </si>
  <si>
    <t>T3a</t>
  </si>
  <si>
    <t>G4</t>
  </si>
  <si>
    <t>Kidney</t>
  </si>
  <si>
    <t>Clear cell carcinoma</t>
  </si>
  <si>
    <t>data_TA4321_0</t>
  </si>
  <si>
    <t>Nefrectomy</t>
  </si>
  <si>
    <t>Ukraine</t>
  </si>
  <si>
    <t>5902T2</t>
  </si>
  <si>
    <t>5905T2</t>
  </si>
  <si>
    <t>Female</t>
  </si>
  <si>
    <t>N2</t>
  </si>
  <si>
    <t>5938T1</t>
  </si>
  <si>
    <t>T4a</t>
  </si>
  <si>
    <t>N3b</t>
  </si>
  <si>
    <t>Stomach</t>
  </si>
  <si>
    <t>data_TA4396_1</t>
  </si>
  <si>
    <t>Resection</t>
  </si>
  <si>
    <t>TS-17 - 1934</t>
  </si>
  <si>
    <t>1a</t>
  </si>
  <si>
    <t>I</t>
  </si>
  <si>
    <t>Kidney Primary</t>
  </si>
  <si>
    <t>CCC</t>
  </si>
  <si>
    <t>data_TA2880_0</t>
  </si>
  <si>
    <t xml:space="preserve">Caucasian </t>
  </si>
  <si>
    <t>no treatment</t>
  </si>
  <si>
    <t>Italy</t>
  </si>
  <si>
    <t>Positive</t>
  </si>
  <si>
    <t>TR-03-17.03</t>
  </si>
  <si>
    <t>MSS</t>
  </si>
  <si>
    <t>TS-17 - 1950</t>
  </si>
  <si>
    <t>II</t>
  </si>
  <si>
    <t>Kidney Pri.</t>
  </si>
  <si>
    <t>data_TA3125_0</t>
  </si>
  <si>
    <t>TR-03-17.19 - TR-02-18.27</t>
  </si>
  <si>
    <t>Invasive edge</t>
  </si>
  <si>
    <t>TR-03-17.19</t>
  </si>
  <si>
    <t>TS-17 - 1989</t>
  </si>
  <si>
    <t>RC Cromophobe</t>
  </si>
  <si>
    <t>TR-03-17.58</t>
  </si>
  <si>
    <t>TS-18 - 2176</t>
  </si>
  <si>
    <t>Mx</t>
  </si>
  <si>
    <t>Breast Pri.</t>
  </si>
  <si>
    <t>TNBC</t>
  </si>
  <si>
    <t>data_TA3163_0</t>
  </si>
  <si>
    <t>2976-18</t>
  </si>
  <si>
    <t>null</t>
  </si>
  <si>
    <t>Neg</t>
  </si>
  <si>
    <t>Negative</t>
  </si>
  <si>
    <t>TS-19 - 0058</t>
  </si>
  <si>
    <t>(IDC) - Pair TNBC</t>
  </si>
  <si>
    <t>data_TA3113_0</t>
  </si>
  <si>
    <t>4941-18 - 5725-18</t>
  </si>
  <si>
    <t>ETHNICITY2</t>
  </si>
  <si>
    <t>Her26</t>
  </si>
  <si>
    <t>Sub-type11</t>
  </si>
  <si>
    <t>7406T2</t>
  </si>
  <si>
    <t>Ovarian cancer</t>
  </si>
  <si>
    <t>Solid type carcinoma</t>
  </si>
  <si>
    <t>data_TA4341_0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</si>
</sst>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i/>
      <sz val="11"/>
      <color rgb="FF000000"/>
      <name val="Arial"/>
      <family val="2"/>
    </font>
    <font>
      <sz val="11"/>
      <color theme="1"/>
      <name val="Arial"/>
      <family val="2"/>
    </font>
    <font>
      <i/>
      <sz val="11"/>
      <color rgb="FF000000"/>
      <name val="Arial"/>
      <family val="2"/>
    </font>
    <font>
      <u/>
      <sz val="11"/>
      <color theme="10"/>
      <name val="Arial"/>
      <family val="2"/>
    </font>
    <font>
      <u/>
      <sz val="11"/>
      <color rgb="FF0563C1"/>
      <name val="Arial"/>
      <family val="2"/>
    </font>
    <font>
      <b/>
      <sz val="11"/>
      <color rgb="FF0000FF"/>
      <name val="Arial"/>
      <family val="2"/>
    </font>
    <font>
      <sz val="11"/>
      <color rgb="FF0000FF"/>
      <name val="Arial"/>
      <family val="2"/>
    </font>
    <font>
      <sz val="11"/>
      <color rgb="FF222222"/>
      <name val="Arial"/>
      <family val="2"/>
    </font>
    <font>
      <b/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7" fontId="0" fillId="0" borderId="0" xfId="0" applyNumberFormat="1"/>
    <xf numFmtId="0" fontId="0" fillId="0" borderId="0" xfId="0" applyAlignment="1">
      <alignment wrapText="1"/>
    </xf>
    <xf numFmtId="0" fontId="3" fillId="0" borderId="0" xfId="2" applyFont="1"/>
    <xf numFmtId="0" fontId="4" fillId="0" borderId="0" xfId="2" applyFont="1"/>
    <xf numFmtId="0" fontId="5" fillId="0" borderId="1" xfId="2" applyFont="1" applyBorder="1"/>
    <xf numFmtId="0" fontId="5" fillId="0" borderId="2" xfId="2" applyFont="1" applyBorder="1"/>
    <xf numFmtId="0" fontId="6" fillId="0" borderId="0" xfId="2" applyFont="1"/>
    <xf numFmtId="0" fontId="7" fillId="0" borderId="3" xfId="2" applyFont="1" applyBorder="1"/>
    <xf numFmtId="0" fontId="4" fillId="0" borderId="4" xfId="2" applyFont="1" applyBorder="1"/>
    <xf numFmtId="0" fontId="8" fillId="0" borderId="0" xfId="1" applyFont="1" applyFill="1" applyBorder="1" applyAlignment="1"/>
    <xf numFmtId="0" fontId="7" fillId="0" borderId="5" xfId="2" applyFont="1" applyBorder="1"/>
    <xf numFmtId="0" fontId="4" fillId="0" borderId="6" xfId="2" applyFont="1" applyBorder="1"/>
    <xf numFmtId="0" fontId="9" fillId="0" borderId="0" xfId="2" applyFont="1"/>
    <xf numFmtId="0" fontId="10" fillId="0" borderId="0" xfId="2" applyFont="1" applyAlignment="1">
      <alignment readingOrder="1"/>
    </xf>
    <xf numFmtId="0" fontId="11" fillId="0" borderId="0" xfId="2" applyFont="1" applyAlignment="1">
      <alignment readingOrder="1"/>
    </xf>
    <xf numFmtId="0" fontId="12" fillId="0" borderId="0" xfId="2" applyFont="1"/>
    <xf numFmtId="0" fontId="4" fillId="0" borderId="0" xfId="2" applyFont="1" applyAlignment="1">
      <alignment wrapText="1"/>
    </xf>
    <xf numFmtId="0" fontId="7" fillId="0" borderId="0" xfId="2" applyFont="1"/>
    <xf numFmtId="0" fontId="4" fillId="2" borderId="0" xfId="2" applyFont="1" applyFill="1"/>
    <xf numFmtId="0" fontId="13" fillId="0" borderId="0" xfId="2" applyFont="1" applyAlignment="1">
      <alignment vertical="center"/>
    </xf>
    <xf numFmtId="0" fontId="13" fillId="0" borderId="0" xfId="2" applyFont="1"/>
    <xf numFmtId="16" fontId="0" fillId="0" borderId="0" xfId="0" applyNumberFormat="1"/>
    <xf numFmtId="0" fontId="0" fillId="0" borderId="0" xfId="0" applyFill="1"/>
  </cellXfs>
  <cellStyles count="3">
    <cellStyle name="Hyperlink" xfId="1" builtinId="8"/>
    <cellStyle name="Normal" xfId="0" builtinId="0"/>
    <cellStyle name="표준 2" xfId="2" xr:uid="{DFAC1B84-FFEB-4608-B6AD-094C3ED4D5DC}"/>
  </cellStyles>
  <dxfs count="22">
    <dxf>
      <numFmt numFmtId="27" formatCode="dd/mm/yyyy\ hh:mm"/>
    </dxf>
    <dxf>
      <numFmt numFmtId="27" formatCode="dd/mm/yyyy\ hh:mm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1" formatCode="dd\-mmm"/>
    </dxf>
    <dxf>
      <numFmt numFmtId="22" formatCode="mmm\-yy"/>
    </dxf>
    <dxf>
      <numFmt numFmtId="22" formatCode="mmm\-yy"/>
    </dxf>
    <dxf>
      <numFmt numFmtId="22" formatCode="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Arial"/>
      </font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2" formatCode="mmm\-yy"/>
    </dxf>
    <dxf>
      <numFmt numFmtId="22" formatCode="mmm\-yy"/>
    </dxf>
    <dxf>
      <numFmt numFmtId="27" formatCode="dd/mm/yyyy\ h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B12811-FFF6-4E4D-B050-836528955182}" name="Table1" displayName="Table1" ref="A17:AB29" totalsRowShown="0">
  <autoFilter ref="A17:AB29" xr:uid="{99B12811-FFF6-4E4D-B050-836528955182}"/>
  <sortState xmlns:xlrd2="http://schemas.microsoft.com/office/spreadsheetml/2017/richdata2" ref="A18:AB29">
    <sortCondition ref="A18:A29"/>
  </sortState>
  <tableColumns count="28">
    <tableColumn id="128" xr3:uid="{6865644B-F83F-470B-B01D-4BDF5F937B08}" name="NO"/>
    <tableColumn id="129" xr3:uid="{C525CC40-FE6B-4817-A2AA-675522D63502}" name="Name"/>
    <tableColumn id="2" xr3:uid="{7405951C-F295-4BED-9A5D-8DED7E08CA47}" name="Sample_ID"/>
    <tableColumn id="3" xr3:uid="{F1E27E98-3930-4F53-9F78-D02A800D638D}" name="Original_ID"/>
    <tableColumn id="4" xr3:uid="{A6DA1B12-9842-42E6-BF9E-24D54DA403F3}" name="Gender"/>
    <tableColumn id="5" xr3:uid="{F58A8BDA-0051-4585-A558-940B0F3725A1}" name="Age"/>
    <tableColumn id="6" xr3:uid="{9F8F9DE2-2C34-41A0-A30B-5E1D4E85CE18}" name="T"/>
    <tableColumn id="7" xr3:uid="{E876F6BF-A45B-4510-92EB-B9DC4335B687}" name="N"/>
    <tableColumn id="8" xr3:uid="{7E3F577F-E6D7-4D65-96CC-342E80C29DED}" name="M"/>
    <tableColumn id="9" xr3:uid="{ED349A1D-3822-42A3-9065-DB18DF05DEB1}" name="Grade"/>
    <tableColumn id="10" xr3:uid="{A4703528-EF1A-42DE-99AF-89B6F7D1A5C9}" name="Stage"/>
    <tableColumn id="11" xr3:uid="{44117494-0F76-4D04-BEB8-4B2DDC1F614A}" name="Year_Of_Collection"/>
    <tableColumn id="12" xr3:uid="{64301A37-71C0-49BF-94A4-30B6123994BC}" name="Type"/>
    <tableColumn id="13" xr3:uid="{F90C8961-F43D-42BA-BC12-CFB53513BD7A}" name="Sub_Type"/>
    <tableColumn id="15" xr3:uid="{337AD28D-D2C6-4891-8E30-A29D5D7B860F}" name="Date_Of_Collection" dataDxfId="21"/>
    <tableColumn id="16" xr3:uid="{7F801FC2-2CB9-48F5-BD1B-616FA20D6EE8}" name="Start_Treatment_1"/>
    <tableColumn id="17" xr3:uid="{814B3C89-54E3-4BC3-A2AE-2DE87183C23C}" name="Therapy_1"/>
    <tableColumn id="18" xr3:uid="{88338FE8-C971-4F11-A722-54AD191DE95F}" name="Follow_Up_1"/>
    <tableColumn id="19" xr3:uid="{8412AB00-6470-4F90-A1FA-30A0D9C1DC57}" name="Therapy_2"/>
    <tableColumn id="20" xr3:uid="{19B751EB-31A9-4774-BFC7-DF53224D4528}" name="Follow_Up_2"/>
    <tableColumn id="21" xr3:uid="{C5AFB4D9-5539-4451-9419-6F01F57C424C}" name="Last_Follow_Up"/>
    <tableColumn id="22" xr3:uid="{825AE1E2-6576-48E9-9D3D-45208D95C045}" name="Date_Last_Follow_Up" dataDxfId="20"/>
    <tableColumn id="23" xr3:uid="{924DFDB9-6A9D-4C0F-9748-A93A44ADEE93}" name="OS"/>
    <tableColumn id="24" xr3:uid="{B32320C5-C3BF-4B65-B9C6-2F07D954C81E}" name="DFS"/>
    <tableColumn id="31" xr3:uid="{D5D29F48-5174-401C-A788-36421A0E86C9}" name="Origin"/>
    <tableColumn id="32" xr3:uid="{C13433F2-5DDE-4205-B656-283714B2FC5E}" name="Survival_Months"/>
    <tableColumn id="38" xr3:uid="{68A07156-16E0-4F37-A08F-55FF3CB27428}" name="Others"/>
    <tableColumn id="52" xr3:uid="{443679D9-C3A0-46AE-A8AC-F4FF2D76978F}" name="Divided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45E8E7-F82A-4E5B-BAEF-04FD1AEE08DB}" name="Table2" displayName="Table2" ref="A33:P40" totalsRowShown="0">
  <autoFilter ref="A33:P40" xr:uid="{C745E8E7-F82A-4E5B-BAEF-04FD1AEE08DB}"/>
  <sortState xmlns:xlrd2="http://schemas.microsoft.com/office/spreadsheetml/2017/richdata2" ref="A34:P40">
    <sortCondition ref="A34:A40"/>
  </sortState>
  <tableColumns count="16">
    <tableColumn id="18" xr3:uid="{9D83DA37-BA3D-4065-8035-5F1675D0CA16}" name="NO"/>
    <tableColumn id="19" xr3:uid="{6D6FE243-493F-488A-9BAF-30C157972918}" name="Name"/>
    <tableColumn id="2" xr3:uid="{ED3B361C-339B-489F-8E2C-E79FA0373508}" name="Sample_ID"/>
    <tableColumn id="3" xr3:uid="{92ED89C5-E7C6-4862-9062-D9F726D8110C}" name="Original_ID"/>
    <tableColumn id="5" xr3:uid="{5CDEF47B-C250-48BE-8051-1324B07416CC}" name="AgeAtDX"/>
    <tableColumn id="7" xr3:uid="{4342BDC8-6381-4FF9-8C00-4FCEB7063DD9}" name="Gender"/>
    <tableColumn id="8" xr3:uid="{F6EFFFD0-47D3-4FEA-9C4A-735F96E0C702}" name="Origin"/>
    <tableColumn id="9" xr3:uid="{E618AD12-6141-4A66-9D46-62B0855C242D}" name="Sample_Type"/>
    <tableColumn id="10" xr3:uid="{8ECA0897-7B70-4F4B-A365-ECEEFD77E9D6}" name="Histopathologic_Subtype"/>
    <tableColumn id="11" xr3:uid="{14556BCB-0C03-409F-A34F-ED94BA9732B8}" name="T"/>
    <tableColumn id="12" xr3:uid="{27A91D0C-54AF-4950-AE33-02ABEE35CFFB}" name="N"/>
    <tableColumn id="13" xr3:uid="{AD3979CA-C599-4FBB-8F8B-4788020E9CF4}" name="M"/>
    <tableColumn id="14" xr3:uid="{CE9D3794-CD39-423C-984A-05C0DE8EE4B5}" name="Grade"/>
    <tableColumn id="15" xr3:uid="{2E1589E5-A177-4403-8D53-FBF3A0B0C4DD}" name="StageAtDX"/>
    <tableColumn id="16" xr3:uid="{A0AB44FD-77DD-4F53-B1CA-BB0B0836A31F}" name="KRAS_Mutation"/>
    <tableColumn id="17" xr3:uid="{74A22CDA-1606-474D-9E3A-B0727405A0C5}" name="EGFR_Mutation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194FB6-3490-4222-94B9-6C680688E6BE}" name="Table3" displayName="Table3" ref="A43:AK48" totalsRowShown="0">
  <autoFilter ref="A43:AK48" xr:uid="{E9194FB6-3490-4222-94B9-6C680688E6BE}"/>
  <sortState xmlns:xlrd2="http://schemas.microsoft.com/office/spreadsheetml/2017/richdata2" ref="A44:AK48">
    <sortCondition ref="A44:A48"/>
  </sortState>
  <tableColumns count="37">
    <tableColumn id="1" xr3:uid="{8124DBAB-AD94-427F-B209-F376FA2F1C61}" name="NO"/>
    <tableColumn id="2" xr3:uid="{C8014737-318F-40FA-95AC-D7391E43ADF0}" name="Name"/>
    <tableColumn id="3" xr3:uid="{0588BFDE-6150-4F46-B0A5-416F63855A87}" name="Sample_ID"/>
    <tableColumn id="4" xr3:uid="{E5BAACEA-0600-4D88-813F-00C91E486A38}" name="Original_ID"/>
    <tableColumn id="6" xr3:uid="{E5625CA6-3D91-42E7-ACE7-659F71B6BC1E}" name="Site_ID"/>
    <tableColumn id="7" xr3:uid="{94E8BA81-1A88-48D0-85BC-CECF4AD49F43}" name="Line_Shipping_List"/>
    <tableColumn id="8" xr3:uid="{C4B003F6-68BF-42C8-B145-38E5A33AC7EF}" name="Position_In_Box"/>
    <tableColumn id="9" xr3:uid="{70F06043-937B-4C87-955C-6B64310C0949}" name="Project_Code"/>
    <tableColumn id="10" xr3:uid="{CE6B1555-472A-4BB6-BA12-DF3AD5234F16}" name="Purchase_Order"/>
    <tableColumn id="11" xr3:uid="{03674EE3-6C9F-462B-8601-5031C77F0DFD}" name="Patient_ID"/>
    <tableColumn id="12" xr3:uid="{C1120337-E9A9-460C-94B4-0F35139498D5}" name="Sample_Format"/>
    <tableColumn id="13" xr3:uid="{93811660-678A-4AFD-A7E9-93A064115BF8}" name="Age"/>
    <tableColumn id="14" xr3:uid="{20D1C035-F2B6-47AD-8B4C-EFB45E37E9A9}" name="Gender"/>
    <tableColumn id="15" xr3:uid="{1A31B95B-53BF-406D-AB53-4F459BADE390}" name="Month_Year_Initial_Diagnosis_PrimaryCancer" dataDxfId="19"/>
    <tableColumn id="16" xr3:uid="{9C3D8BF8-A4E8-497C-A22E-1E7C0AD2E016}" name="Month_Year_Surgery_SampleCollection" dataDxfId="18"/>
    <tableColumn id="20" xr3:uid="{467289FF-B307-4860-B5C9-5DE0E89793D6}" name="Collection_Procedure"/>
    <tableColumn id="22" xr3:uid="{4DCB45AA-228B-4198-9639-43AD59DD7B41}" name="Gross_Description"/>
    <tableColumn id="23" xr3:uid="{7638D0EF-2A5A-45F3-A178-AC54C7629CFB}" name="Tumour_Size"/>
    <tableColumn id="24" xr3:uid="{F6F31990-9E2F-4EDF-A3DC-78D6917AAE3F}" name="Histological_Tumour_Type"/>
    <tableColumn id="25" xr3:uid="{A3847046-74D9-4994-A2CD-2B58A4B2F8BF}" name="Histological_Grade"/>
    <tableColumn id="26" xr3:uid="{C4273E62-D7D1-42BA-A879-CA0F6EEC129E}" name="HistologicFeatures_MicroscopicDescription"/>
    <tableColumn id="27" xr3:uid="{FD9068C3-EB49-416B-8EA6-39A29CAA834F}" name="TumourInvasion_Extent" dataDxfId="17"/>
    <tableColumn id="28" xr3:uid="{ED6F5A99-C8A8-40C6-A40C-0304BA64F71C}" name="AJCC_TNM_Clinical_Or_Other_Applicable"/>
    <tableColumn id="29" xr3:uid="{BF54199D-8B6E-4D64-86E5-29C2621CC79C}" name="AJCC_TNM_Pathological_Or_Other_Applicable"/>
    <tableColumn id="30" xr3:uid="{CC019BA7-B603-4FF4-A25F-9D0C155AFC5F}" name="AJCC_pT_Or_Other_Applicable"/>
    <tableColumn id="31" xr3:uid="{718A4B9D-817D-4FB1-A817-7D0994E36066}" name="AJCC_Stage_Or_Other_Applicable_System"/>
    <tableColumn id="32" xr3:uid="{6626A826-D288-4B33-8935-586C97458616}" name="Regional_LymphNodes_Status"/>
    <tableColumn id="33" xr3:uid="{5CBDC553-2A90-44CE-93B9-A1C8063264CD}" name="Lymph_Nodes_Num_Assessed"/>
    <tableColumn id="34" xr3:uid="{5B3E4AED-6018-496F-BA1E-3D0476B207EC}" name="Lymph_Nodes_Num_Positive"/>
    <tableColumn id="35" xr3:uid="{5425F4D6-3FC8-467B-858C-DD5C0432F30F}" name="Lymph_Nodes_Localization" dataDxfId="16"/>
    <tableColumn id="36" xr3:uid="{0323494B-1CBB-4F85-9F94-333E7D68F0B1}" name="Metastatic_Site_Distant_Status"/>
    <tableColumn id="37" xr3:uid="{C348BA6A-8582-4849-B053-FAC1E543D08E}" name="Metastatic_Site"/>
    <tableColumn id="51" xr3:uid="{97F4DBB2-41B3-4B83-847B-AAABF4A51461}" name="Ethnicity"/>
    <tableColumn id="52" xr3:uid="{40A7C778-F990-4019-9718-BAD98C81CE21}" name="New_Primary_Or_Recurrence_SpecimenNature"/>
    <tableColumn id="53" xr3:uid="{AE9BE25B-6406-4C05-9766-D64903F0CEF7}" name="TumourSite_Location"/>
    <tableColumn id="70" xr3:uid="{1621B3B7-B2CF-4791-A303-8FF1112B926A}" name="CancerType_Indication"/>
    <tableColumn id="71" xr3:uid="{9534C336-BD49-4241-9782-4E37E0CEC84A}" name="General_Cancer_Subtypes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F70E63-3EB7-4B47-A881-FAB7A99BCE6E}" name="Table66990" displayName="Table66990" ref="L1:M8" totalsRowShown="0" headerRowDxfId="15" dataDxfId="13" headerRowBorderDxfId="14" tableBorderDxfId="12" totalsRowBorderDxfId="11">
  <autoFilter ref="L1:M8" xr:uid="{E2F70E63-3EB7-4B47-A881-FAB7A99BCE6E}"/>
  <tableColumns count="2">
    <tableColumn id="1" xr3:uid="{C791A45D-F96A-4E93-B086-3D8275660762}" name="Field" dataDxfId="10"/>
    <tableColumn id="2" xr3:uid="{2A3CB87C-D5DB-46B8-B637-6E93F1713794}" name="Value" dataDxfId="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4AD3073-A9F3-44E6-A274-FA01263F64D4}" name="Table6" displayName="Table6" ref="A60:AC65" totalsRowShown="0">
  <autoFilter ref="A60:AC65" xr:uid="{F4AD3073-A9F3-44E6-A274-FA01263F64D4}"/>
  <sortState xmlns:xlrd2="http://schemas.microsoft.com/office/spreadsheetml/2017/richdata2" ref="A61:AC65">
    <sortCondition ref="A61:A65"/>
  </sortState>
  <tableColumns count="29">
    <tableColumn id="1" xr3:uid="{5146CE28-5DA1-48B2-89EC-7EB44B58F34F}" name="NO"/>
    <tableColumn id="133" xr3:uid="{B5A61268-171B-4B6C-AC1D-C085CCAF96C2}" name="Name"/>
    <tableColumn id="2" xr3:uid="{E8835C32-CF13-493F-913D-4C47BC25F1C9}" name="Sample_ID"/>
    <tableColumn id="5" xr3:uid="{BCE6E383-F37C-4FA0-AA1D-1A1533757A92}" name="Pathological_Diagnosis"/>
    <tableColumn id="6" xr3:uid="{5295CF98-43E1-4735-A237-8C5E2C71B26C}" name="Age"/>
    <tableColumn id="7" xr3:uid="{DEF464F8-DD73-4E8E-B89B-78F25E9305CB}" name="Gender"/>
    <tableColumn id="8" xr3:uid="{37111356-AF26-4F22-874E-E472A010E67A}" name="Ethnicity"/>
    <tableColumn id="15" xr3:uid="{96EF1FB0-B048-470F-97FC-B6537C20F904}" name="Stage"/>
    <tableColumn id="18" xr3:uid="{4DD72AA8-0FEB-4BFD-91CE-2B0B63D4D0D7}" name="Surgical_Specimen"/>
    <tableColumn id="37" xr3:uid="{4BFDE058-5CE7-4019-A342-106C6BD0C53B}" name="Histological_Diagnosis"/>
    <tableColumn id="38" xr3:uid="{407C938E-39FA-45AA-98A0-02651DCADB96}" name="Current_Status"/>
    <tableColumn id="40" xr3:uid="{E7FC4FA0-F55B-4327-9E41-B0906EA2864A}" name="Date_Of_Surgery" dataDxfId="8"/>
    <tableColumn id="48" xr3:uid="{CF5488B9-C136-42E2-9A1E-85ED04BF7AD6}" name="Site_Of_Diagnosis"/>
    <tableColumn id="67" xr3:uid="{0C186EB3-7429-461A-88B7-4C9805E36B97}" name="Adjuvant_ChemoTx_1_Start_Date"/>
    <tableColumn id="78" xr3:uid="{4AE42687-BCAB-4EE5-8497-EA27781CC6AA}" name="Immuno_Tx"/>
    <tableColumn id="79" xr3:uid="{75115B3D-EEA9-4970-ADCE-49068F1AAD71}" name="Immuno_Tx_Start_Date"/>
    <tableColumn id="96" xr3:uid="{BC0259CE-CDC4-4E41-B078-BC354FBA0B7C}" name="Date_Last_Seen" dataDxfId="7"/>
    <tableColumn id="100" xr3:uid="{4B852D99-8859-4251-AAEE-B37AE6A80AEF}" name="Specimen_Collection_Date" dataDxfId="6"/>
    <tableColumn id="101" xr3:uid="{60A409D6-9C94-4978-891C-532D792B33AB}" name="Radiation_1_Type"/>
    <tableColumn id="103" xr3:uid="{D62EEBF2-6B12-4F93-A880-D2A174A738F0}" name="Block_A"/>
    <tableColumn id="104" xr3:uid="{7DB4D54E-43C8-4712-A37F-24D1AAFE2ADA}" name="Specimen_Type"/>
    <tableColumn id="112" xr3:uid="{E70BFFEE-7F02-486B-8DD5-532D684FBADE}" name="Block_B"/>
    <tableColumn id="113" xr3:uid="{17BD0A3F-FE7E-4EEE-8C15-C1A41D34531C}" name="Block_C"/>
    <tableColumn id="114" xr3:uid="{59F653D9-6D0E-48DD-9275-EA5C8BCB2B71}" name="Block_D"/>
    <tableColumn id="115" xr3:uid="{BF6838C6-2794-4EF9-A1AD-67D44996C511}" name="Block_E"/>
    <tableColumn id="128" xr3:uid="{003EA94E-1EB1-44C3-B0AB-ED0F675BED69}" name="Patient_ID"/>
    <tableColumn id="129" xr3:uid="{332AF174-ACD1-4AC5-ACD5-5A19F563A8FC}" name="Nuclear_Grade" dataDxfId="5"/>
    <tableColumn id="130" xr3:uid="{2EDD5289-E329-42DB-B94C-EA4C1CBB13EA}" name="Adjuvant_ChemoTx_Regimen_1"/>
    <tableColumn id="132" xr3:uid="{700144BA-9CAB-4363-B02F-79E26CE7AC1C}" name="File_Nam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9392A08-BD1F-4BB4-9C77-A30203FA3B83}" name="Table7" displayName="Table7" ref="A52:B57" totalsRowShown="0" dataDxfId="4">
  <autoFilter ref="A52:B57" xr:uid="{89392A08-BD1F-4BB4-9C77-A30203FA3B83}"/>
  <sortState xmlns:xlrd2="http://schemas.microsoft.com/office/spreadsheetml/2017/richdata2" ref="A53:B57">
    <sortCondition ref="A53:A57"/>
  </sortState>
  <tableColumns count="2">
    <tableColumn id="1" xr3:uid="{ABFA6940-A8D9-4D36-B39D-74254D4B0D62}" name="NO" dataDxfId="3"/>
    <tableColumn id="2" xr3:uid="{4390C6F6-A168-431E-A049-27685E9309B2}" name="Name" dataDxfId="2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6EE175-6367-49B2-8B58-B3B471FD4C65}" name="Table5" displayName="Table5" ref="A68:CH79" totalsRowShown="0">
  <autoFilter ref="A68:CH79" xr:uid="{136EE175-6367-49B2-8B58-B3B471FD4C65}"/>
  <sortState xmlns:xlrd2="http://schemas.microsoft.com/office/spreadsheetml/2017/richdata2" ref="A69:CH79">
    <sortCondition ref="A69:A79"/>
  </sortState>
  <tableColumns count="86">
    <tableColumn id="1" xr3:uid="{DCA8A8A7-1730-4604-B6A4-6594CF2B4F31}" name="NO"/>
    <tableColumn id="2" xr3:uid="{83928A9C-0032-4AFD-9112-AE7EA119D2CD}" name="Sample_ID"/>
    <tableColumn id="4" xr3:uid="{DDBC27F4-C7BB-4B0B-9108-4DB5E3B9DDFC}" name="Gender"/>
    <tableColumn id="5" xr3:uid="{DD143BB7-1245-409A-A7CD-EC749A29C2DD}" name="Age"/>
    <tableColumn id="6" xr3:uid="{C0B0521D-1CF1-4D63-A1DB-D58018A7CE1E}" name="T"/>
    <tableColumn id="7" xr3:uid="{A2B24C56-CE1F-423C-A9F3-AC56CEF4636F}" name="N"/>
    <tableColumn id="8" xr3:uid="{9F4FF8C7-0CEE-4435-B303-7DDCF8546A3F}" name="M"/>
    <tableColumn id="9" xr3:uid="{73DF8E70-6217-4685-B364-974D428D07AF}" name="Grade"/>
    <tableColumn id="10" xr3:uid="{DF57A2AB-9111-43DF-A3F2-AC789FB960B1}" name="Stage"/>
    <tableColumn id="11" xr3:uid="{47C25024-297E-4599-AA4A-BA5DCD9CEA77}" name="Type"/>
    <tableColumn id="12" xr3:uid="{8850A1CF-A669-4FA9-B402-90029CF32E1B}" name="Sub-Type"/>
    <tableColumn id="15" xr3:uid="{C56A5FCB-924A-4BAC-A8E6-0C30D803F000}" name="PPIB"/>
    <tableColumn id="16" xr3:uid="{EA8DA639-EFE4-48DC-8B83-8D7E7C1D2F71}" name="TMA_Number"/>
    <tableColumn id="17" xr3:uid="{75951CBD-C7AF-4003-BC6C-16C8CED69702}" name="Others"/>
    <tableColumn id="18" xr3:uid="{5E385C12-18C8-4400-B0F7-DDAE94384DA8}" name="Bl"/>
    <tableColumn id="19" xr3:uid="{0D74E362-8598-4399-A008-922A10FBF890}" name="Original_ID"/>
    <tableColumn id="20" xr3:uid="{6D161B37-6F98-4856-9C54-A878BF63D7C5}" name="Invasive_Edge_Tumor"/>
    <tableColumn id="35" xr3:uid="{EA39E66C-A3C0-4830-94BA-15105D76884E}" name="Ethnicity"/>
    <tableColumn id="89" xr3:uid="{77E3813B-C362-4AE1-9CFC-E1C33152DEF2}" name="SurgeryDate" dataDxfId="1"/>
    <tableColumn id="93" xr3:uid="{EFBC95EB-403C-447C-886E-EE5E4998A7AB}" name="Origin"/>
    <tableColumn id="94" xr3:uid="{0D9C9343-8C5A-496C-AD45-C9E9DD58DD9C}" name="ETHNICITY2"/>
    <tableColumn id="96" xr3:uid="{AF8C91F2-BBD8-44F4-8382-6EFEA4D2D3B3}" name="Therapy_1"/>
    <tableColumn id="98" xr3:uid="{45EF0EC1-F0AF-4DCC-A663-1FA140E6F8CF}" name="Therapy_2"/>
    <tableColumn id="100" xr3:uid="{8EF9894A-735E-48D5-B19E-6D1D442D0E4F}" name="Last_FollowUp"/>
    <tableColumn id="101" xr3:uid="{D91AC0ED-3B7D-4393-9200-EBFA9BC71BE3}" name="Last_FollowUp_Date" dataDxfId="0"/>
    <tableColumn id="102" xr3:uid="{268738B9-0E0A-421E-B102-F35C98DB3B60}" name="OverallSurvival_Months"/>
    <tableColumn id="162" xr3:uid="{5DABE313-078B-4DB2-96C7-39712D66FB11}" name="PDL1_TPS"/>
    <tableColumn id="163" xr3:uid="{F0B5112A-6A62-456D-8390-F08E1C5EBB49}" name="PDL1_CPS"/>
    <tableColumn id="166" xr3:uid="{851F97A5-6216-41FE-A246-780CB92B2624}" name="GeographicOrigin"/>
    <tableColumn id="205" xr3:uid="{DF4F3611-3888-4453-A7AD-251E90AC70FD}" name="RNAscope"/>
    <tableColumn id="628" xr3:uid="{C4BC4003-4089-4E5D-B785-B459BBC43C02}" name="HER2_ISH"/>
    <tableColumn id="629" xr3:uid="{BBFCB377-A1A3-485D-BA41-3750EC222B63}" name="HER2_Score"/>
    <tableColumn id="630" xr3:uid="{96C2CC3F-1530-4AF3-82DC-7797FD52027B}" name="HER3"/>
    <tableColumn id="631" xr3:uid="{D3C96321-7DCC-4D4B-834F-A9B5A2B21419}" name="PD-L1CPS"/>
    <tableColumn id="632" xr3:uid="{0D276AD3-4A98-45BA-8E29-57E720C69727}" name="B7H3_1Plus_2Plus_3Plus_Perc"/>
    <tableColumn id="633" xr3:uid="{6C9ADD33-FEF1-428D-918E-6EBC093616EB}" name="B7H3_2Plus_3Plus_Perc"/>
    <tableColumn id="634" xr3:uid="{E5BE0A50-B0C3-4A29-95FA-A902AD78EB57}" name="B7H3_3Plus_Perc"/>
    <tableColumn id="635" xr3:uid="{711FD7C7-DD1F-4753-B4EA-A3E4AD5F715C}" name="B7H3_NegPerc"/>
    <tableColumn id="636" xr3:uid="{77BCD4F9-2469-4885-9771-2806BD6AA80F}" name="B7H3_HScore"/>
    <tableColumn id="637" xr3:uid="{A2809BD4-EADF-40FC-A748-6403CF9CB789}" name="B7H3_IHCResult"/>
    <tableColumn id="638" xr3:uid="{E7363BBF-B648-4676-A8A3-6A32FAF4C686}" name="B7H4_1Plus_2Plus_3Plus_Perc"/>
    <tableColumn id="639" xr3:uid="{10FFE9BC-C115-4A0C-8BAA-802325987826}" name="B7H4_2Plus_3Plus_Perc"/>
    <tableColumn id="640" xr3:uid="{66FD7D7D-6E83-4538-8214-740E242AC662}" name="B7H4_3Plus_Perc"/>
    <tableColumn id="641" xr3:uid="{8010348C-037C-4AE7-AF7D-A348B9A4B711}" name="B7H4_NegPerc"/>
    <tableColumn id="642" xr3:uid="{702DE0C7-BED8-467A-B841-F0AC3C6BEACF}" name="B7H4_HScore"/>
    <tableColumn id="643" xr3:uid="{AEDA62FB-DB61-4F5F-98B4-D8F438954D0A}" name="B7H4_IHCResult"/>
    <tableColumn id="644" xr3:uid="{3D7D0BD4-0E8A-4278-A401-DCC55BEA2857}" name="Nectin4_1Plus_2Plus_3Plus_Perc"/>
    <tableColumn id="645" xr3:uid="{E7021969-E09F-4F90-BDAB-BD4319AFB4BB}" name="Nectin4_2Plus_3Plus_Perc"/>
    <tableColumn id="646" xr3:uid="{8E0A3E93-C920-4072-BAE1-D5BCD0E3DA04}" name="Nectin4_3Plus_Perc"/>
    <tableColumn id="647" xr3:uid="{5CBCC9AA-E2D5-4F5D-B0D2-D81093B0C17F}" name="Nectin4_NegPerc"/>
    <tableColumn id="648" xr3:uid="{52A630AF-177D-4AD4-A743-124B6A6C3EC8}" name="Nectin4_HScore"/>
    <tableColumn id="649" xr3:uid="{FF6DB1BC-E180-4EB2-9890-BBEC36962B15}" name="Nectin4_IHCResult"/>
    <tableColumn id="650" xr3:uid="{DA189FE3-5E28-4109-A448-603D81B53B38}" name="TROP2_1_1000_1Plus_2Plus_3Plus_Perc"/>
    <tableColumn id="651" xr3:uid="{E1BEA9B2-9E80-486B-ACB3-5A76413C4B6F}" name="TROP2_1_1000_2Plus_3Plus_Perc"/>
    <tableColumn id="652" xr3:uid="{63F30781-F35D-4208-A3EE-2046C7864E5A}" name="TROP2_1_1000_3Plus_Perc"/>
    <tableColumn id="653" xr3:uid="{F4F2EEC4-27D7-465B-B4A3-4AC907F32F23}" name="TROP2_1_1000_NegPerc"/>
    <tableColumn id="654" xr3:uid="{A066CD9C-CC34-48F9-AEB0-D22F02CCBBA3}" name="TROP2_1_1000_HScore"/>
    <tableColumn id="655" xr3:uid="{1F346140-ADAD-46FD-B7C1-6D83DB1A9B91}" name="TROP2_1_1000_IHCResult"/>
    <tableColumn id="656" xr3:uid="{9446B547-E005-495B-9045-3CA5F3141EE0}" name="TROP2_1_3000_1Plus_2Plus_3Plus_Perc"/>
    <tableColumn id="657" xr3:uid="{0B1617D8-C513-4F99-A169-A1164EEF04B6}" name="TROP2_1_3000_2Plus_3Plus_Perc"/>
    <tableColumn id="658" xr3:uid="{83535D53-8B62-48E1-9A35-240708F96A0D}" name="TROP2_1_3000_3Plus_Perc"/>
    <tableColumn id="659" xr3:uid="{7602936C-F883-40F4-BC7B-3322B97538A9}" name="TROP2_1_3000_NegPerc"/>
    <tableColumn id="660" xr3:uid="{27C76F46-3015-4C24-9AB5-C906FB966D68}" name="TROP2_1_3000_HScore"/>
    <tableColumn id="661" xr3:uid="{E5886824-70DF-4577-A1A4-A3C981BD1A07}" name="TROP2_1_3000_IHCResult"/>
    <tableColumn id="669" xr3:uid="{37BA6FF8-E98B-4120-9654-75F4C5352C6C}" name="Her26"/>
    <tableColumn id="691" xr3:uid="{DA724C51-14FC-4E91-8B78-129529BF6D9F}" name="Collection_Year"/>
    <tableColumn id="722" xr3:uid="{4D85DFFE-0984-40DB-9E63-D46B286873F7}" name="ER"/>
    <tableColumn id="723" xr3:uid="{F7DD3BBF-4D42-4330-8EC6-19D26A384B26}" name="PR"/>
    <tableColumn id="724" xr3:uid="{F86DB738-F832-4C34-A75E-48239BC4B63C}" name="HER22"/>
    <tableColumn id="725" xr3:uid="{64622AAF-2641-4773-8B4E-02FB989EC4F5}" name="PDL1_TPS_2"/>
    <tableColumn id="726" xr3:uid="{5E6A2728-DDAF-4523-BDD3-9E5DE50BE958}" name="PDL1_CPS_2"/>
    <tableColumn id="727" xr3:uid="{92B11DE3-A40F-4312-8CC7-25542999353E}" name="Year of Surgery"/>
    <tableColumn id="728" xr3:uid="{1F7967DF-31DC-44DC-937D-9010C17D9111}" name="P"/>
    <tableColumn id="729" xr3:uid="{214A61FA-FD24-4997-8682-8EA276C94576}" name="BRCA"/>
    <tableColumn id="830" xr3:uid="{7E2F5E68-E9B3-4ED2-A8C3-62EE62F94E02}" name="Sub-type11"/>
    <tableColumn id="944" xr3:uid="{C923262B-E5B0-425D-BA37-2088CEB44F0D}" name="CD8_per_sqmm"/>
    <tableColumn id="945" xr3:uid="{E57410AD-74BC-4E42-B48E-A4D0DEE47179}" name="CD3_per_sqmm"/>
    <tableColumn id="1072" xr3:uid="{4E77F2AE-AD7C-4A4A-9822-247CE84D178D}" name="MLH1"/>
    <tableColumn id="1073" xr3:uid="{1DB3D82C-919A-4964-AEFF-564EC4075C99}" name="MSH2"/>
    <tableColumn id="1074" xr3:uid="{AE2176A1-54EF-47ED-B64A-2B127013E7C6}" name="MSH6"/>
    <tableColumn id="1080" xr3:uid="{0AD3608F-0A5E-4520-9CB0-D95ED56F1139}" name="Lab_ID"/>
    <tableColumn id="1081" xr3:uid="{1EF14549-C271-4175-A484-EDB72D7D2833}" name="Therapy_1_FollowUp"/>
    <tableColumn id="1082" xr3:uid="{F43A8190-5619-4BCF-B2BA-E2CC321E10E9}" name="Therapy_2_FollowUp"/>
    <tableColumn id="1083" xr3:uid="{927888E4-ADCB-4F57-9F15-06A6AF9C14B1}" name="DiseaseFreeSurvival_Months"/>
    <tableColumn id="1084" xr3:uid="{B25915F2-7B7F-4A01-B9A5-91AE7E224AF5}" name="PMS1"/>
    <tableColumn id="1085" xr3:uid="{83F15177-1C7E-4D52-AC4D-D185AC45C732}" name="MSI_Statu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printerSettings" Target="../printerSettings/printerSettings1.bin"/><Relationship Id="rId7" Type="http://schemas.openxmlformats.org/officeDocument/2006/relationships/table" Target="../tables/table4.xml"/><Relationship Id="rId2" Type="http://schemas.openxmlformats.org/officeDocument/2006/relationships/hyperlink" Target="http://www.tristargroup.us/" TargetMode="External"/><Relationship Id="rId1" Type="http://schemas.openxmlformats.org/officeDocument/2006/relationships/hyperlink" Target="mailto:m.bhagat@tristargroup.us" TargetMode="Externa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79"/>
  <sheetViews>
    <sheetView tabSelected="1" workbookViewId="0">
      <selection activeCell="F96" sqref="F95:F96"/>
    </sheetView>
  </sheetViews>
  <sheetFormatPr defaultRowHeight="15" x14ac:dyDescent="0.25"/>
  <cols>
    <col min="1" max="1" width="20.140625" customWidth="1"/>
    <col min="2" max="1163" width="34.28515625" customWidth="1"/>
  </cols>
  <sheetData>
    <row r="1" spans="1:60" s="9" customFormat="1" ht="20.100000000000001" customHeight="1" x14ac:dyDescent="0.25">
      <c r="A1" s="5" t="s">
        <v>102</v>
      </c>
      <c r="B1" s="6"/>
      <c r="C1" s="6"/>
      <c r="D1" s="6"/>
      <c r="E1" s="6"/>
      <c r="F1" s="6"/>
      <c r="G1" s="6"/>
      <c r="H1" s="6"/>
      <c r="I1" s="6"/>
      <c r="J1" s="6"/>
      <c r="K1" s="6"/>
      <c r="L1" s="7" t="s">
        <v>245</v>
      </c>
      <c r="M1" s="8" t="s">
        <v>246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</row>
    <row r="2" spans="1:60" s="9" customFormat="1" ht="20.100000000000001" customHeight="1" x14ac:dyDescent="0.2">
      <c r="A2" s="6" t="s">
        <v>103</v>
      </c>
      <c r="B2" s="6"/>
      <c r="C2" s="6"/>
      <c r="D2" s="6"/>
      <c r="E2" s="6"/>
      <c r="F2" s="6"/>
      <c r="G2" s="6"/>
      <c r="H2" s="6"/>
      <c r="I2" s="6"/>
      <c r="J2" s="6"/>
      <c r="K2" s="6"/>
      <c r="L2" s="10" t="s">
        <v>247</v>
      </c>
      <c r="M2" s="11" t="s">
        <v>248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</row>
    <row r="3" spans="1:60" s="9" customFormat="1" ht="20.100000000000001" customHeight="1" x14ac:dyDescent="0.2">
      <c r="A3" s="6" t="s">
        <v>104</v>
      </c>
      <c r="B3" s="6"/>
      <c r="C3" s="6"/>
      <c r="D3" s="6"/>
      <c r="E3" s="6"/>
      <c r="F3" s="6"/>
      <c r="G3" s="6"/>
      <c r="H3" s="6"/>
      <c r="I3" s="6"/>
      <c r="J3" s="6"/>
      <c r="K3" s="6"/>
      <c r="L3" s="10" t="s">
        <v>249</v>
      </c>
      <c r="M3" s="11">
        <v>69574546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</row>
    <row r="4" spans="1:60" s="9" customFormat="1" ht="20.100000000000001" customHeight="1" x14ac:dyDescent="0.2">
      <c r="A4" s="6" t="s">
        <v>105</v>
      </c>
      <c r="B4" s="6"/>
      <c r="C4" s="6"/>
      <c r="D4" s="6"/>
      <c r="E4" s="6"/>
      <c r="F4" s="6"/>
      <c r="G4" s="6"/>
      <c r="H4" s="6"/>
      <c r="I4" s="6"/>
      <c r="J4" s="6"/>
      <c r="K4" s="6"/>
      <c r="L4" s="10" t="s">
        <v>250</v>
      </c>
      <c r="M4" s="9" t="s">
        <v>251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</row>
    <row r="5" spans="1:60" s="9" customFormat="1" ht="20.100000000000001" customHeight="1" x14ac:dyDescent="0.2">
      <c r="A5" s="6" t="s">
        <v>106</v>
      </c>
      <c r="B5" s="6"/>
      <c r="C5" s="6"/>
      <c r="D5" s="6"/>
      <c r="E5" s="6"/>
      <c r="F5" s="6"/>
      <c r="G5" s="6"/>
      <c r="H5" s="6"/>
      <c r="I5" s="6"/>
      <c r="J5" s="6"/>
      <c r="K5" s="6"/>
      <c r="L5" s="10" t="s">
        <v>252</v>
      </c>
      <c r="M5" s="11" t="s">
        <v>253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</row>
    <row r="6" spans="1:60" s="9" customFormat="1" ht="20.100000000000001" customHeight="1" x14ac:dyDescent="0.2">
      <c r="A6" s="6" t="s">
        <v>107</v>
      </c>
      <c r="B6" s="6"/>
      <c r="C6" s="6"/>
      <c r="D6" s="6"/>
      <c r="E6" s="6"/>
      <c r="F6" s="6"/>
      <c r="G6" s="6"/>
      <c r="H6" s="6"/>
      <c r="I6" s="6"/>
      <c r="J6" s="6"/>
      <c r="K6" s="6"/>
      <c r="L6" s="10" t="s">
        <v>254</v>
      </c>
      <c r="M6" s="11">
        <v>2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</row>
    <row r="7" spans="1:60" s="9" customFormat="1" ht="20.100000000000001" customHeight="1" x14ac:dyDescent="0.2">
      <c r="A7" s="12" t="s">
        <v>108</v>
      </c>
      <c r="B7" s="6"/>
      <c r="C7" s="6"/>
      <c r="D7" s="6"/>
      <c r="E7" s="6"/>
      <c r="F7" s="6"/>
      <c r="G7" s="6"/>
      <c r="H7" s="6"/>
      <c r="I7" s="6"/>
      <c r="J7" s="6"/>
      <c r="K7" s="6"/>
      <c r="L7" s="10" t="s">
        <v>255</v>
      </c>
      <c r="M7" s="11">
        <v>1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</row>
    <row r="8" spans="1:60" s="9" customFormat="1" ht="20.100000000000001" customHeight="1" x14ac:dyDescent="0.2">
      <c r="A8" s="12" t="s">
        <v>109</v>
      </c>
      <c r="B8" s="6"/>
      <c r="C8" s="6"/>
      <c r="D8" s="6"/>
      <c r="E8" s="6"/>
      <c r="F8" s="6"/>
      <c r="G8" s="6"/>
      <c r="H8" s="6"/>
      <c r="I8" s="6"/>
      <c r="J8" s="6"/>
      <c r="K8" s="6"/>
      <c r="L8" s="13" t="s">
        <v>256</v>
      </c>
      <c r="M8" s="14" t="s">
        <v>257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</row>
    <row r="9" spans="1:60" s="9" customFormat="1" ht="14.25" x14ac:dyDescent="0.2">
      <c r="A9" s="1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</row>
    <row r="10" spans="1:60" s="9" customFormat="1" x14ac:dyDescent="0.25">
      <c r="A10" s="16" t="s">
        <v>258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6"/>
      <c r="M10" s="6"/>
      <c r="N10" s="6"/>
      <c r="O10" s="6"/>
      <c r="P10" s="18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19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</row>
    <row r="11" spans="1:60" s="9" customFormat="1" ht="14.25" x14ac:dyDescent="0.2">
      <c r="A11" s="17" t="s">
        <v>259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6"/>
      <c r="O11" s="6"/>
      <c r="P11" s="18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19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</row>
    <row r="12" spans="1:60" s="9" customFormat="1" ht="14.25" x14ac:dyDescent="0.2">
      <c r="A12" s="17" t="s">
        <v>260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6"/>
      <c r="O12" s="6"/>
      <c r="P12" s="18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19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</row>
    <row r="13" spans="1:60" s="9" customFormat="1" ht="14.25" x14ac:dyDescent="0.2">
      <c r="A13" s="17" t="s">
        <v>261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6"/>
      <c r="N13" s="17"/>
      <c r="O13" s="6"/>
      <c r="P13" s="18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19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</row>
    <row r="14" spans="1:60" s="9" customFormat="1" ht="14.25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6"/>
      <c r="P14" s="18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19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</row>
    <row r="15" spans="1:60" s="9" customFormat="1" x14ac:dyDescent="0.2">
      <c r="A15" s="20" t="str">
        <f>M2</f>
        <v>TA4546</v>
      </c>
      <c r="B15" s="20" t="str">
        <f>M4</f>
        <v>Custom Multi tumor TMA block, Indications (9): NSCLC-ADC, NSCLC-SCC, Gastric ADC, CRC, PDAC, Bladder Breast ca., RCC and Ovarian Ca.</v>
      </c>
      <c r="C15" s="20"/>
      <c r="D15" s="20"/>
      <c r="E15" s="20"/>
      <c r="F15" s="20"/>
      <c r="G15" s="20"/>
      <c r="H15" s="21" t="s">
        <v>262</v>
      </c>
      <c r="I15" s="20"/>
      <c r="J15" s="20"/>
      <c r="L15" s="22" t="s">
        <v>263</v>
      </c>
      <c r="M15" s="17"/>
      <c r="N15" s="19"/>
      <c r="O15" s="19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</row>
    <row r="16" spans="1:60" s="9" customFormat="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23" t="s">
        <v>264</v>
      </c>
      <c r="M16" s="19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</row>
    <row r="17" spans="1:28" ht="20.100000000000001" customHeight="1" x14ac:dyDescent="0.25">
      <c r="A17" t="s">
        <v>110</v>
      </c>
      <c r="B17" t="s">
        <v>111</v>
      </c>
      <c r="C17" t="s">
        <v>0</v>
      </c>
      <c r="D17" t="s">
        <v>1</v>
      </c>
      <c r="E17" t="s">
        <v>2</v>
      </c>
      <c r="F17" t="s">
        <v>3</v>
      </c>
      <c r="G17" t="s">
        <v>4</v>
      </c>
      <c r="H17" t="s">
        <v>5</v>
      </c>
      <c r="I17" t="s">
        <v>6</v>
      </c>
      <c r="J17" t="s">
        <v>7</v>
      </c>
      <c r="K17" t="s">
        <v>8</v>
      </c>
      <c r="L17" t="s">
        <v>9</v>
      </c>
      <c r="M17" t="s">
        <v>10</v>
      </c>
      <c r="N17" t="s">
        <v>11</v>
      </c>
      <c r="O17" t="s">
        <v>12</v>
      </c>
      <c r="P17" t="s">
        <v>13</v>
      </c>
      <c r="Q17" t="s">
        <v>14</v>
      </c>
      <c r="R17" t="s">
        <v>15</v>
      </c>
      <c r="S17" t="s">
        <v>16</v>
      </c>
      <c r="T17" t="s">
        <v>17</v>
      </c>
      <c r="U17" t="s">
        <v>18</v>
      </c>
      <c r="V17" t="s">
        <v>19</v>
      </c>
      <c r="W17" t="s">
        <v>20</v>
      </c>
      <c r="X17" t="s">
        <v>21</v>
      </c>
      <c r="Y17" t="s">
        <v>22</v>
      </c>
      <c r="Z17" t="s">
        <v>23</v>
      </c>
      <c r="AA17" t="s">
        <v>25</v>
      </c>
      <c r="AB17" t="s">
        <v>26</v>
      </c>
    </row>
    <row r="18" spans="1:28" ht="20.100000000000001" customHeight="1" x14ac:dyDescent="0.25">
      <c r="A18" s="25">
        <v>6</v>
      </c>
      <c r="B18" t="s">
        <v>129</v>
      </c>
      <c r="C18" t="s">
        <v>65</v>
      </c>
      <c r="D18" t="s">
        <v>66</v>
      </c>
      <c r="E18" t="s">
        <v>6</v>
      </c>
      <c r="F18">
        <v>72</v>
      </c>
      <c r="G18">
        <v>2</v>
      </c>
      <c r="H18">
        <v>0</v>
      </c>
      <c r="I18">
        <v>0</v>
      </c>
      <c r="J18">
        <v>2</v>
      </c>
      <c r="K18" t="s">
        <v>56</v>
      </c>
      <c r="L18" s="1">
        <v>41275</v>
      </c>
      <c r="M18" t="s">
        <v>57</v>
      </c>
      <c r="N18" t="s">
        <v>58</v>
      </c>
      <c r="O18" s="1">
        <v>41275</v>
      </c>
      <c r="P18" t="s">
        <v>67</v>
      </c>
      <c r="Q18" t="s">
        <v>67</v>
      </c>
      <c r="R18" t="s">
        <v>60</v>
      </c>
      <c r="S18" t="s">
        <v>67</v>
      </c>
      <c r="T18" t="s">
        <v>60</v>
      </c>
      <c r="U18" t="s">
        <v>60</v>
      </c>
      <c r="V18" s="2">
        <v>42461</v>
      </c>
      <c r="W18">
        <v>39</v>
      </c>
      <c r="X18">
        <v>39</v>
      </c>
    </row>
    <row r="19" spans="1:28" ht="20.100000000000001" customHeight="1" x14ac:dyDescent="0.25">
      <c r="A19" s="25">
        <v>7</v>
      </c>
      <c r="B19" t="s">
        <v>130</v>
      </c>
      <c r="C19" t="s">
        <v>68</v>
      </c>
      <c r="D19" t="s">
        <v>69</v>
      </c>
      <c r="E19" t="s">
        <v>31</v>
      </c>
      <c r="F19">
        <v>73</v>
      </c>
      <c r="G19">
        <v>3</v>
      </c>
      <c r="H19">
        <v>0</v>
      </c>
      <c r="I19">
        <v>0</v>
      </c>
      <c r="J19">
        <v>2</v>
      </c>
      <c r="K19" t="s">
        <v>63</v>
      </c>
      <c r="L19" s="1">
        <v>42370</v>
      </c>
      <c r="M19" t="s">
        <v>57</v>
      </c>
      <c r="N19" t="s">
        <v>58</v>
      </c>
      <c r="O19" s="1">
        <v>42370</v>
      </c>
      <c r="P19" s="2">
        <v>42430</v>
      </c>
      <c r="Q19" t="s">
        <v>70</v>
      </c>
      <c r="R19" t="s">
        <v>60</v>
      </c>
      <c r="S19" t="s">
        <v>67</v>
      </c>
      <c r="T19" t="s">
        <v>60</v>
      </c>
      <c r="U19" t="s">
        <v>60</v>
      </c>
      <c r="V19" s="2">
        <v>43282</v>
      </c>
      <c r="W19">
        <v>30</v>
      </c>
      <c r="X19">
        <v>30</v>
      </c>
    </row>
    <row r="20" spans="1:28" ht="20.100000000000001" customHeight="1" x14ac:dyDescent="0.25">
      <c r="A20" s="25">
        <v>8</v>
      </c>
      <c r="B20" t="s">
        <v>128</v>
      </c>
      <c r="C20" t="s">
        <v>61</v>
      </c>
      <c r="D20" t="s">
        <v>62</v>
      </c>
      <c r="E20" t="s">
        <v>31</v>
      </c>
      <c r="F20">
        <v>55</v>
      </c>
      <c r="G20">
        <v>2</v>
      </c>
      <c r="H20">
        <v>1</v>
      </c>
      <c r="I20">
        <v>0</v>
      </c>
      <c r="J20">
        <v>2</v>
      </c>
      <c r="K20" t="s">
        <v>63</v>
      </c>
      <c r="M20" t="s">
        <v>57</v>
      </c>
      <c r="N20" t="s">
        <v>58</v>
      </c>
      <c r="O20" s="1">
        <v>40269</v>
      </c>
      <c r="Q20" t="s">
        <v>64</v>
      </c>
      <c r="R20" t="s">
        <v>60</v>
      </c>
      <c r="S20" t="s">
        <v>59</v>
      </c>
      <c r="T20" t="s">
        <v>59</v>
      </c>
      <c r="U20" t="s">
        <v>60</v>
      </c>
      <c r="V20" s="2">
        <v>43132</v>
      </c>
      <c r="Y20" t="s">
        <v>46</v>
      </c>
      <c r="Z20">
        <v>95</v>
      </c>
    </row>
    <row r="21" spans="1:28" ht="20.100000000000001" customHeight="1" x14ac:dyDescent="0.25">
      <c r="A21" s="25">
        <v>10</v>
      </c>
      <c r="B21" t="s">
        <v>127</v>
      </c>
      <c r="C21" t="s">
        <v>54</v>
      </c>
      <c r="D21" t="s">
        <v>55</v>
      </c>
      <c r="E21" t="s">
        <v>6</v>
      </c>
      <c r="F21">
        <v>71</v>
      </c>
      <c r="G21">
        <v>2</v>
      </c>
      <c r="H21">
        <v>0</v>
      </c>
      <c r="I21">
        <v>0</v>
      </c>
      <c r="J21">
        <v>2</v>
      </c>
      <c r="K21" t="s">
        <v>56</v>
      </c>
      <c r="M21" t="s">
        <v>57</v>
      </c>
      <c r="N21" t="s">
        <v>58</v>
      </c>
      <c r="O21" s="1">
        <v>41791</v>
      </c>
      <c r="Q21" t="s">
        <v>59</v>
      </c>
      <c r="R21" t="s">
        <v>59</v>
      </c>
      <c r="S21" t="s">
        <v>59</v>
      </c>
      <c r="T21" t="s">
        <v>59</v>
      </c>
      <c r="U21" t="s">
        <v>60</v>
      </c>
      <c r="V21" s="2">
        <v>43191</v>
      </c>
      <c r="Y21" t="s">
        <v>46</v>
      </c>
      <c r="Z21">
        <v>46</v>
      </c>
    </row>
    <row r="22" spans="1:28" ht="20.100000000000001" customHeight="1" x14ac:dyDescent="0.25">
      <c r="A22" s="25">
        <v>16</v>
      </c>
      <c r="B22" t="s">
        <v>126</v>
      </c>
      <c r="C22" t="s">
        <v>52</v>
      </c>
      <c r="E22" t="s">
        <v>6</v>
      </c>
      <c r="F22">
        <v>55</v>
      </c>
      <c r="G22">
        <v>3</v>
      </c>
      <c r="H22">
        <v>1</v>
      </c>
      <c r="I22">
        <v>0</v>
      </c>
      <c r="J22">
        <v>2</v>
      </c>
      <c r="K22" t="s">
        <v>53</v>
      </c>
      <c r="M22" t="s">
        <v>44</v>
      </c>
      <c r="N22" t="s">
        <v>45</v>
      </c>
      <c r="Y22" t="s">
        <v>46</v>
      </c>
      <c r="AB22" t="s">
        <v>47</v>
      </c>
    </row>
    <row r="23" spans="1:28" ht="20.100000000000001" customHeight="1" x14ac:dyDescent="0.25">
      <c r="A23" s="25">
        <v>17</v>
      </c>
      <c r="B23" t="s">
        <v>125</v>
      </c>
      <c r="C23" t="s">
        <v>50</v>
      </c>
      <c r="E23" t="s">
        <v>31</v>
      </c>
      <c r="F23">
        <v>55</v>
      </c>
      <c r="G23">
        <v>3</v>
      </c>
      <c r="H23" t="s">
        <v>51</v>
      </c>
      <c r="I23">
        <v>0</v>
      </c>
      <c r="J23">
        <v>3</v>
      </c>
      <c r="K23" t="s">
        <v>43</v>
      </c>
      <c r="M23" t="s">
        <v>44</v>
      </c>
      <c r="N23" t="s">
        <v>45</v>
      </c>
      <c r="Y23" t="s">
        <v>46</v>
      </c>
      <c r="AB23" t="s">
        <v>47</v>
      </c>
    </row>
    <row r="24" spans="1:28" ht="20.100000000000001" customHeight="1" x14ac:dyDescent="0.25">
      <c r="A24" s="25">
        <v>18</v>
      </c>
      <c r="B24" t="s">
        <v>124</v>
      </c>
      <c r="C24" t="s">
        <v>49</v>
      </c>
      <c r="E24" t="s">
        <v>6</v>
      </c>
      <c r="F24">
        <v>75</v>
      </c>
      <c r="G24">
        <v>3</v>
      </c>
      <c r="H24">
        <v>0</v>
      </c>
      <c r="I24">
        <v>0</v>
      </c>
      <c r="J24">
        <v>2</v>
      </c>
      <c r="K24" t="s">
        <v>38</v>
      </c>
      <c r="M24" t="s">
        <v>44</v>
      </c>
      <c r="N24" t="s">
        <v>45</v>
      </c>
      <c r="Y24" t="s">
        <v>46</v>
      </c>
      <c r="AB24" t="s">
        <v>47</v>
      </c>
    </row>
    <row r="25" spans="1:28" ht="20.100000000000001" customHeight="1" x14ac:dyDescent="0.25">
      <c r="A25" s="25">
        <v>19</v>
      </c>
      <c r="B25" t="s">
        <v>123</v>
      </c>
      <c r="C25" t="s">
        <v>48</v>
      </c>
      <c r="E25" t="s">
        <v>31</v>
      </c>
      <c r="F25">
        <v>70</v>
      </c>
      <c r="G25">
        <v>3</v>
      </c>
      <c r="H25">
        <v>0</v>
      </c>
      <c r="I25">
        <v>0</v>
      </c>
      <c r="J25">
        <v>2</v>
      </c>
      <c r="K25" t="s">
        <v>38</v>
      </c>
      <c r="M25" t="s">
        <v>44</v>
      </c>
      <c r="N25" t="s">
        <v>45</v>
      </c>
      <c r="Y25" t="s">
        <v>46</v>
      </c>
      <c r="AB25" t="s">
        <v>47</v>
      </c>
    </row>
    <row r="26" spans="1:28" ht="20.100000000000001" customHeight="1" x14ac:dyDescent="0.25">
      <c r="A26" s="25">
        <v>20</v>
      </c>
      <c r="B26" t="s">
        <v>122</v>
      </c>
      <c r="C26" t="s">
        <v>42</v>
      </c>
      <c r="E26" t="s">
        <v>6</v>
      </c>
      <c r="F26">
        <v>50</v>
      </c>
      <c r="G26">
        <v>4</v>
      </c>
      <c r="H26">
        <v>2</v>
      </c>
      <c r="I26">
        <v>0</v>
      </c>
      <c r="J26">
        <v>2</v>
      </c>
      <c r="K26" t="s">
        <v>43</v>
      </c>
      <c r="M26" t="s">
        <v>44</v>
      </c>
      <c r="N26" t="s">
        <v>45</v>
      </c>
      <c r="Y26" t="s">
        <v>46</v>
      </c>
      <c r="AB26" t="s">
        <v>47</v>
      </c>
    </row>
    <row r="27" spans="1:28" ht="20.100000000000001" customHeight="1" x14ac:dyDescent="0.25">
      <c r="A27" s="25">
        <v>31</v>
      </c>
      <c r="B27" t="s">
        <v>119</v>
      </c>
      <c r="C27" t="s">
        <v>30</v>
      </c>
      <c r="E27" t="s">
        <v>31</v>
      </c>
      <c r="F27">
        <v>71</v>
      </c>
      <c r="G27">
        <v>2</v>
      </c>
      <c r="H27">
        <v>2</v>
      </c>
      <c r="I27">
        <v>0</v>
      </c>
      <c r="J27">
        <v>3</v>
      </c>
      <c r="K27" t="s">
        <v>32</v>
      </c>
      <c r="M27" t="s">
        <v>33</v>
      </c>
      <c r="N27" t="s">
        <v>34</v>
      </c>
      <c r="AA27" t="s">
        <v>35</v>
      </c>
    </row>
    <row r="28" spans="1:28" ht="20.100000000000001" customHeight="1" x14ac:dyDescent="0.25">
      <c r="A28" s="25">
        <v>32</v>
      </c>
      <c r="B28" t="s">
        <v>120</v>
      </c>
      <c r="C28" t="s">
        <v>36</v>
      </c>
      <c r="E28" t="s">
        <v>31</v>
      </c>
      <c r="F28">
        <v>75</v>
      </c>
      <c r="G28" t="s">
        <v>37</v>
      </c>
      <c r="H28">
        <v>1</v>
      </c>
      <c r="I28">
        <v>0</v>
      </c>
      <c r="J28">
        <v>3</v>
      </c>
      <c r="K28" t="s">
        <v>38</v>
      </c>
      <c r="M28" t="s">
        <v>33</v>
      </c>
      <c r="N28" t="s">
        <v>34</v>
      </c>
      <c r="AA28" t="s">
        <v>39</v>
      </c>
    </row>
    <row r="29" spans="1:28" ht="20.100000000000001" customHeight="1" x14ac:dyDescent="0.25">
      <c r="A29" s="25">
        <v>33</v>
      </c>
      <c r="B29" t="s">
        <v>121</v>
      </c>
      <c r="C29" t="s">
        <v>40</v>
      </c>
      <c r="E29" t="s">
        <v>31</v>
      </c>
      <c r="F29">
        <v>52</v>
      </c>
      <c r="G29">
        <v>3</v>
      </c>
      <c r="H29">
        <v>2</v>
      </c>
      <c r="I29">
        <v>0</v>
      </c>
      <c r="J29">
        <v>2</v>
      </c>
      <c r="K29" t="s">
        <v>32</v>
      </c>
      <c r="M29" t="s">
        <v>33</v>
      </c>
      <c r="N29" t="s">
        <v>34</v>
      </c>
      <c r="AA29" t="s">
        <v>41</v>
      </c>
    </row>
    <row r="33" spans="1:37" ht="20.100000000000001" customHeight="1" x14ac:dyDescent="0.25">
      <c r="A33" t="s">
        <v>110</v>
      </c>
      <c r="B33" t="s">
        <v>111</v>
      </c>
      <c r="C33" t="s">
        <v>0</v>
      </c>
      <c r="D33" t="s">
        <v>1</v>
      </c>
      <c r="E33" t="s">
        <v>71</v>
      </c>
      <c r="F33" t="s">
        <v>2</v>
      </c>
      <c r="G33" t="s">
        <v>22</v>
      </c>
      <c r="H33" t="s">
        <v>72</v>
      </c>
      <c r="I33" t="s">
        <v>73</v>
      </c>
      <c r="J33" t="s">
        <v>4</v>
      </c>
      <c r="K33" t="s">
        <v>5</v>
      </c>
      <c r="L33" t="s">
        <v>6</v>
      </c>
      <c r="M33" t="s">
        <v>7</v>
      </c>
      <c r="N33" t="s">
        <v>74</v>
      </c>
      <c r="O33" t="s">
        <v>75</v>
      </c>
      <c r="P33" t="s">
        <v>76</v>
      </c>
    </row>
    <row r="34" spans="1:37" ht="20.100000000000001" customHeight="1" x14ac:dyDescent="0.25">
      <c r="A34" s="25">
        <v>1</v>
      </c>
      <c r="B34" t="s">
        <v>114</v>
      </c>
      <c r="C34" t="s">
        <v>88</v>
      </c>
      <c r="D34" t="s">
        <v>89</v>
      </c>
      <c r="E34">
        <v>74</v>
      </c>
      <c r="F34" t="s">
        <v>6</v>
      </c>
      <c r="G34" t="s">
        <v>79</v>
      </c>
      <c r="H34" t="s">
        <v>57</v>
      </c>
      <c r="I34" t="s">
        <v>45</v>
      </c>
      <c r="J34">
        <v>1</v>
      </c>
      <c r="K34">
        <v>0</v>
      </c>
      <c r="L34" t="s">
        <v>86</v>
      </c>
      <c r="M34">
        <v>3</v>
      </c>
      <c r="N34" t="s">
        <v>90</v>
      </c>
      <c r="O34" t="s">
        <v>59</v>
      </c>
      <c r="P34" t="s">
        <v>82</v>
      </c>
    </row>
    <row r="35" spans="1:37" ht="20.100000000000001" customHeight="1" x14ac:dyDescent="0.25">
      <c r="A35" s="25">
        <v>2</v>
      </c>
      <c r="B35" t="s">
        <v>115</v>
      </c>
      <c r="C35" t="s">
        <v>91</v>
      </c>
      <c r="D35" t="s">
        <v>92</v>
      </c>
      <c r="E35">
        <v>65</v>
      </c>
      <c r="F35" t="s">
        <v>6</v>
      </c>
      <c r="G35" t="s">
        <v>79</v>
      </c>
      <c r="H35" t="s">
        <v>57</v>
      </c>
      <c r="I35" t="s">
        <v>45</v>
      </c>
      <c r="J35">
        <v>1</v>
      </c>
      <c r="K35" t="s">
        <v>86</v>
      </c>
      <c r="L35" t="s">
        <v>86</v>
      </c>
      <c r="M35">
        <v>3</v>
      </c>
      <c r="N35" t="s">
        <v>90</v>
      </c>
      <c r="O35" t="s">
        <v>59</v>
      </c>
      <c r="P35" t="s">
        <v>82</v>
      </c>
    </row>
    <row r="36" spans="1:37" ht="20.100000000000001" customHeight="1" x14ac:dyDescent="0.25">
      <c r="A36" s="25">
        <v>3</v>
      </c>
      <c r="B36" t="s">
        <v>116</v>
      </c>
      <c r="C36" t="s">
        <v>93</v>
      </c>
      <c r="D36" t="s">
        <v>94</v>
      </c>
      <c r="E36">
        <v>48</v>
      </c>
      <c r="F36" t="s">
        <v>6</v>
      </c>
      <c r="G36" t="s">
        <v>79</v>
      </c>
      <c r="H36" t="s">
        <v>57</v>
      </c>
      <c r="I36" t="s">
        <v>45</v>
      </c>
      <c r="J36">
        <v>1</v>
      </c>
      <c r="K36" t="s">
        <v>86</v>
      </c>
      <c r="L36" t="s">
        <v>86</v>
      </c>
      <c r="M36">
        <v>2</v>
      </c>
      <c r="N36" t="s">
        <v>90</v>
      </c>
      <c r="O36" t="s">
        <v>59</v>
      </c>
      <c r="P36" t="s">
        <v>82</v>
      </c>
    </row>
    <row r="37" spans="1:37" ht="20.100000000000001" customHeight="1" x14ac:dyDescent="0.25">
      <c r="A37" s="25">
        <v>4</v>
      </c>
      <c r="B37" t="s">
        <v>112</v>
      </c>
      <c r="C37" t="s">
        <v>77</v>
      </c>
      <c r="D37" t="s">
        <v>78</v>
      </c>
      <c r="E37">
        <v>68</v>
      </c>
      <c r="F37" t="s">
        <v>31</v>
      </c>
      <c r="G37" t="s">
        <v>79</v>
      </c>
      <c r="H37" t="s">
        <v>57</v>
      </c>
      <c r="I37" t="s">
        <v>45</v>
      </c>
      <c r="J37" t="s">
        <v>80</v>
      </c>
      <c r="K37">
        <v>0</v>
      </c>
      <c r="L37">
        <v>0</v>
      </c>
      <c r="M37" t="s">
        <v>59</v>
      </c>
      <c r="N37" t="s">
        <v>56</v>
      </c>
      <c r="O37" t="s">
        <v>81</v>
      </c>
      <c r="P37" t="s">
        <v>82</v>
      </c>
    </row>
    <row r="38" spans="1:37" ht="20.100000000000001" customHeight="1" x14ac:dyDescent="0.25">
      <c r="A38" s="25">
        <v>5</v>
      </c>
      <c r="B38" t="s">
        <v>113</v>
      </c>
      <c r="C38" t="s">
        <v>83</v>
      </c>
      <c r="D38" t="s">
        <v>84</v>
      </c>
      <c r="E38">
        <v>64</v>
      </c>
      <c r="F38" t="s">
        <v>6</v>
      </c>
      <c r="G38" t="s">
        <v>79</v>
      </c>
      <c r="H38" t="s">
        <v>57</v>
      </c>
      <c r="I38" t="s">
        <v>85</v>
      </c>
      <c r="J38">
        <v>2</v>
      </c>
      <c r="K38">
        <v>0</v>
      </c>
      <c r="L38" t="s">
        <v>86</v>
      </c>
      <c r="M38">
        <v>3</v>
      </c>
      <c r="N38" t="s">
        <v>87</v>
      </c>
      <c r="O38" t="s">
        <v>59</v>
      </c>
      <c r="P38" t="s">
        <v>59</v>
      </c>
    </row>
    <row r="39" spans="1:37" ht="20.100000000000001" customHeight="1" x14ac:dyDescent="0.25">
      <c r="A39" s="25">
        <v>9</v>
      </c>
      <c r="B39" t="s">
        <v>118</v>
      </c>
      <c r="C39" t="s">
        <v>100</v>
      </c>
      <c r="D39" t="s">
        <v>101</v>
      </c>
      <c r="E39">
        <v>66</v>
      </c>
      <c r="F39" t="s">
        <v>6</v>
      </c>
      <c r="G39" t="s">
        <v>79</v>
      </c>
      <c r="H39" t="s">
        <v>57</v>
      </c>
      <c r="I39" t="s">
        <v>58</v>
      </c>
      <c r="J39">
        <v>2</v>
      </c>
      <c r="K39">
        <v>1</v>
      </c>
      <c r="L39" t="s">
        <v>86</v>
      </c>
      <c r="M39" t="s">
        <v>59</v>
      </c>
      <c r="N39" t="s">
        <v>63</v>
      </c>
      <c r="O39" t="s">
        <v>59</v>
      </c>
      <c r="P39" t="s">
        <v>59</v>
      </c>
    </row>
    <row r="40" spans="1:37" ht="20.100000000000001" customHeight="1" x14ac:dyDescent="0.25">
      <c r="A40" s="25">
        <v>15</v>
      </c>
      <c r="B40" t="s">
        <v>117</v>
      </c>
      <c r="C40" t="s">
        <v>95</v>
      </c>
      <c r="D40" t="s">
        <v>96</v>
      </c>
      <c r="E40">
        <v>71</v>
      </c>
      <c r="F40" t="s">
        <v>6</v>
      </c>
      <c r="G40" t="s">
        <v>79</v>
      </c>
      <c r="H40" t="s">
        <v>97</v>
      </c>
      <c r="I40" t="s">
        <v>45</v>
      </c>
      <c r="J40" t="s">
        <v>98</v>
      </c>
      <c r="K40">
        <v>2</v>
      </c>
      <c r="L40" t="s">
        <v>86</v>
      </c>
      <c r="M40">
        <v>3</v>
      </c>
      <c r="N40" t="s">
        <v>99</v>
      </c>
      <c r="O40" t="s">
        <v>59</v>
      </c>
      <c r="P40" t="s">
        <v>59</v>
      </c>
    </row>
    <row r="43" spans="1:37" ht="20.100000000000001" customHeight="1" x14ac:dyDescent="0.25">
      <c r="A43" t="s">
        <v>110</v>
      </c>
      <c r="B43" t="s">
        <v>111</v>
      </c>
      <c r="C43" t="s">
        <v>0</v>
      </c>
      <c r="D43" t="s">
        <v>1</v>
      </c>
      <c r="E43" t="s">
        <v>146</v>
      </c>
      <c r="F43" t="s">
        <v>147</v>
      </c>
      <c r="G43" t="s">
        <v>148</v>
      </c>
      <c r="H43" t="s">
        <v>149</v>
      </c>
      <c r="I43" t="s">
        <v>150</v>
      </c>
      <c r="J43" t="s">
        <v>151</v>
      </c>
      <c r="K43" t="s">
        <v>152</v>
      </c>
      <c r="L43" t="s">
        <v>3</v>
      </c>
      <c r="M43" t="s">
        <v>2</v>
      </c>
      <c r="N43" t="s">
        <v>153</v>
      </c>
      <c r="O43" t="s">
        <v>154</v>
      </c>
      <c r="P43" t="s">
        <v>155</v>
      </c>
      <c r="Q43" t="s">
        <v>156</v>
      </c>
      <c r="R43" t="s">
        <v>157</v>
      </c>
      <c r="S43" t="s">
        <v>158</v>
      </c>
      <c r="T43" t="s">
        <v>159</v>
      </c>
      <c r="U43" t="s">
        <v>160</v>
      </c>
      <c r="V43" t="s">
        <v>161</v>
      </c>
      <c r="W43" t="s">
        <v>162</v>
      </c>
      <c r="X43" t="s">
        <v>163</v>
      </c>
      <c r="Y43" t="s">
        <v>164</v>
      </c>
      <c r="Z43" t="s">
        <v>165</v>
      </c>
      <c r="AA43" t="s">
        <v>166</v>
      </c>
      <c r="AB43" t="s">
        <v>167</v>
      </c>
      <c r="AC43" t="s">
        <v>168</v>
      </c>
      <c r="AD43" t="s">
        <v>169</v>
      </c>
      <c r="AE43" t="s">
        <v>170</v>
      </c>
      <c r="AF43" t="s">
        <v>171</v>
      </c>
      <c r="AG43" t="s">
        <v>24</v>
      </c>
      <c r="AH43" t="s">
        <v>172</v>
      </c>
      <c r="AI43" t="s">
        <v>173</v>
      </c>
      <c r="AJ43" t="s">
        <v>174</v>
      </c>
      <c r="AK43" t="s">
        <v>175</v>
      </c>
    </row>
    <row r="44" spans="1:37" ht="20.100000000000001" customHeight="1" x14ac:dyDescent="0.25">
      <c r="A44" s="25">
        <v>21</v>
      </c>
      <c r="B44" t="s">
        <v>131</v>
      </c>
      <c r="C44" t="s">
        <v>136</v>
      </c>
      <c r="D44" t="s">
        <v>141</v>
      </c>
      <c r="E44">
        <v>1403</v>
      </c>
      <c r="F44" t="s">
        <v>176</v>
      </c>
      <c r="G44" t="s">
        <v>177</v>
      </c>
      <c r="H44" t="s">
        <v>178</v>
      </c>
      <c r="I44" t="s">
        <v>179</v>
      </c>
      <c r="J44" t="s">
        <v>180</v>
      </c>
      <c r="K44" t="s">
        <v>181</v>
      </c>
      <c r="L44">
        <v>63</v>
      </c>
      <c r="M44" t="s">
        <v>182</v>
      </c>
      <c r="N44" s="3">
        <v>41821</v>
      </c>
      <c r="O44" s="3">
        <v>41821</v>
      </c>
      <c r="P44" t="s">
        <v>183</v>
      </c>
      <c r="Q44" t="s">
        <v>184</v>
      </c>
      <c r="R44" t="s">
        <v>185</v>
      </c>
      <c r="S44" t="s">
        <v>186</v>
      </c>
      <c r="T44" t="s">
        <v>187</v>
      </c>
      <c r="U44" t="s">
        <v>188</v>
      </c>
      <c r="V44" s="4" t="s">
        <v>189</v>
      </c>
      <c r="W44" t="s">
        <v>190</v>
      </c>
      <c r="X44" t="s">
        <v>191</v>
      </c>
      <c r="Y44" t="s">
        <v>192</v>
      </c>
      <c r="Z44" t="s">
        <v>63</v>
      </c>
      <c r="AA44" t="s">
        <v>193</v>
      </c>
      <c r="AB44">
        <v>14</v>
      </c>
      <c r="AC44">
        <v>1</v>
      </c>
      <c r="AD44" t="s">
        <v>194</v>
      </c>
      <c r="AE44" t="s">
        <v>195</v>
      </c>
      <c r="AF44" t="s">
        <v>190</v>
      </c>
      <c r="AG44" t="s">
        <v>196</v>
      </c>
      <c r="AH44" t="s">
        <v>197</v>
      </c>
      <c r="AI44" t="s">
        <v>198</v>
      </c>
      <c r="AJ44" t="s">
        <v>199</v>
      </c>
      <c r="AK44" t="s">
        <v>186</v>
      </c>
    </row>
    <row r="45" spans="1:37" ht="20.100000000000001" customHeight="1" x14ac:dyDescent="0.25">
      <c r="A45" s="25">
        <v>22</v>
      </c>
      <c r="B45" t="s">
        <v>132</v>
      </c>
      <c r="C45" t="s">
        <v>137</v>
      </c>
      <c r="D45" t="s">
        <v>142</v>
      </c>
      <c r="E45">
        <v>1402</v>
      </c>
      <c r="F45" t="s">
        <v>200</v>
      </c>
      <c r="G45" t="s">
        <v>201</v>
      </c>
      <c r="H45" t="s">
        <v>202</v>
      </c>
      <c r="I45" t="s">
        <v>179</v>
      </c>
      <c r="J45" t="s">
        <v>203</v>
      </c>
      <c r="K45" t="s">
        <v>181</v>
      </c>
      <c r="L45">
        <v>67</v>
      </c>
      <c r="M45" t="s">
        <v>182</v>
      </c>
      <c r="N45" s="3">
        <v>41791</v>
      </c>
      <c r="O45" s="3">
        <v>41821</v>
      </c>
      <c r="P45" t="s">
        <v>183</v>
      </c>
      <c r="Q45" t="s">
        <v>204</v>
      </c>
      <c r="R45" t="s">
        <v>205</v>
      </c>
      <c r="S45" t="s">
        <v>186</v>
      </c>
      <c r="T45" t="s">
        <v>206</v>
      </c>
      <c r="U45" t="s">
        <v>207</v>
      </c>
      <c r="V45" s="4" t="s">
        <v>208</v>
      </c>
      <c r="W45" t="s">
        <v>209</v>
      </c>
      <c r="X45" t="s">
        <v>190</v>
      </c>
      <c r="Y45" t="s">
        <v>210</v>
      </c>
      <c r="Z45" t="s">
        <v>211</v>
      </c>
      <c r="AA45" t="s">
        <v>193</v>
      </c>
      <c r="AB45">
        <v>26</v>
      </c>
      <c r="AC45">
        <v>8</v>
      </c>
      <c r="AD45" t="s">
        <v>212</v>
      </c>
      <c r="AE45" t="s">
        <v>213</v>
      </c>
      <c r="AF45" t="s">
        <v>190</v>
      </c>
      <c r="AG45" t="s">
        <v>196</v>
      </c>
      <c r="AH45" t="s">
        <v>197</v>
      </c>
      <c r="AI45" t="s">
        <v>214</v>
      </c>
      <c r="AJ45" t="s">
        <v>215</v>
      </c>
      <c r="AK45" t="s">
        <v>216</v>
      </c>
    </row>
    <row r="46" spans="1:37" ht="20.100000000000001" customHeight="1" x14ac:dyDescent="0.25">
      <c r="A46" s="25">
        <v>23</v>
      </c>
      <c r="B46" t="s">
        <v>133</v>
      </c>
      <c r="C46" t="s">
        <v>138</v>
      </c>
      <c r="D46" t="s">
        <v>143</v>
      </c>
      <c r="E46">
        <v>1402</v>
      </c>
      <c r="F46" t="s">
        <v>217</v>
      </c>
      <c r="G46" t="s">
        <v>218</v>
      </c>
      <c r="H46" t="s">
        <v>178</v>
      </c>
      <c r="I46" t="s">
        <v>179</v>
      </c>
      <c r="J46" t="s">
        <v>219</v>
      </c>
      <c r="K46" t="s">
        <v>181</v>
      </c>
      <c r="L46">
        <v>61</v>
      </c>
      <c r="M46" t="s">
        <v>182</v>
      </c>
      <c r="N46" s="3">
        <v>41944</v>
      </c>
      <c r="O46" s="3">
        <v>41974</v>
      </c>
      <c r="P46" t="s">
        <v>183</v>
      </c>
      <c r="Q46" t="s">
        <v>220</v>
      </c>
      <c r="R46" t="s">
        <v>221</v>
      </c>
      <c r="S46" t="s">
        <v>186</v>
      </c>
      <c r="T46" t="s">
        <v>222</v>
      </c>
      <c r="U46" t="s">
        <v>223</v>
      </c>
      <c r="V46" s="4" t="s">
        <v>224</v>
      </c>
      <c r="W46" t="s">
        <v>225</v>
      </c>
      <c r="X46" t="s">
        <v>190</v>
      </c>
      <c r="Y46" t="s">
        <v>226</v>
      </c>
      <c r="Z46" t="s">
        <v>63</v>
      </c>
      <c r="AA46" t="s">
        <v>193</v>
      </c>
      <c r="AB46">
        <v>30</v>
      </c>
      <c r="AC46">
        <v>3</v>
      </c>
      <c r="AD46" s="4" t="s">
        <v>227</v>
      </c>
      <c r="AE46" t="s">
        <v>195</v>
      </c>
      <c r="AF46" t="s">
        <v>190</v>
      </c>
      <c r="AG46" t="s">
        <v>196</v>
      </c>
      <c r="AH46" t="s">
        <v>197</v>
      </c>
      <c r="AI46" t="s">
        <v>214</v>
      </c>
      <c r="AJ46" t="s">
        <v>215</v>
      </c>
      <c r="AK46" t="s">
        <v>186</v>
      </c>
    </row>
    <row r="47" spans="1:37" ht="20.100000000000001" customHeight="1" x14ac:dyDescent="0.25">
      <c r="A47" s="25">
        <v>24</v>
      </c>
      <c r="B47" t="s">
        <v>134</v>
      </c>
      <c r="C47" t="s">
        <v>139</v>
      </c>
      <c r="D47" t="s">
        <v>144</v>
      </c>
      <c r="E47">
        <v>1402</v>
      </c>
      <c r="F47" t="s">
        <v>228</v>
      </c>
      <c r="G47" t="s">
        <v>229</v>
      </c>
      <c r="H47" t="s">
        <v>202</v>
      </c>
      <c r="I47" t="s">
        <v>179</v>
      </c>
      <c r="J47" t="s">
        <v>230</v>
      </c>
      <c r="K47" t="s">
        <v>181</v>
      </c>
      <c r="L47">
        <v>61</v>
      </c>
      <c r="M47" t="s">
        <v>182</v>
      </c>
      <c r="N47" s="3">
        <v>41944</v>
      </c>
      <c r="O47" s="3">
        <v>41974</v>
      </c>
      <c r="P47" t="s">
        <v>231</v>
      </c>
      <c r="Q47" t="s">
        <v>204</v>
      </c>
      <c r="R47" t="s">
        <v>232</v>
      </c>
      <c r="S47" t="s">
        <v>186</v>
      </c>
      <c r="T47" t="s">
        <v>206</v>
      </c>
      <c r="U47" t="s">
        <v>207</v>
      </c>
      <c r="V47" s="4" t="s">
        <v>233</v>
      </c>
      <c r="W47" t="s">
        <v>209</v>
      </c>
      <c r="X47" t="s">
        <v>190</v>
      </c>
      <c r="Y47" t="s">
        <v>210</v>
      </c>
      <c r="Z47" t="s">
        <v>211</v>
      </c>
      <c r="AA47" t="s">
        <v>193</v>
      </c>
      <c r="AB47">
        <v>11</v>
      </c>
      <c r="AC47">
        <v>9</v>
      </c>
      <c r="AD47" s="4" t="s">
        <v>234</v>
      </c>
      <c r="AE47" t="s">
        <v>213</v>
      </c>
      <c r="AF47" t="s">
        <v>190</v>
      </c>
      <c r="AG47" t="s">
        <v>196</v>
      </c>
      <c r="AH47" t="s">
        <v>197</v>
      </c>
      <c r="AI47" t="s">
        <v>214</v>
      </c>
      <c r="AJ47" t="s">
        <v>215</v>
      </c>
      <c r="AK47" t="s">
        <v>186</v>
      </c>
    </row>
    <row r="48" spans="1:37" ht="20.100000000000001" customHeight="1" x14ac:dyDescent="0.25">
      <c r="A48" s="25">
        <v>25</v>
      </c>
      <c r="B48" t="s">
        <v>135</v>
      </c>
      <c r="C48" t="s">
        <v>140</v>
      </c>
      <c r="D48" t="s">
        <v>145</v>
      </c>
      <c r="E48">
        <v>1402</v>
      </c>
      <c r="F48" t="s">
        <v>235</v>
      </c>
      <c r="G48" t="s">
        <v>236</v>
      </c>
      <c r="H48" t="s">
        <v>202</v>
      </c>
      <c r="I48" t="s">
        <v>179</v>
      </c>
      <c r="J48" t="s">
        <v>237</v>
      </c>
      <c r="K48" t="s">
        <v>181</v>
      </c>
      <c r="L48">
        <v>69</v>
      </c>
      <c r="M48" t="s">
        <v>182</v>
      </c>
      <c r="N48" s="3">
        <v>41944</v>
      </c>
      <c r="O48" s="3">
        <v>41974</v>
      </c>
      <c r="P48" t="s">
        <v>231</v>
      </c>
      <c r="Q48" t="s">
        <v>204</v>
      </c>
      <c r="R48" t="s">
        <v>238</v>
      </c>
      <c r="S48" t="s">
        <v>186</v>
      </c>
      <c r="T48" t="s">
        <v>222</v>
      </c>
      <c r="U48" t="s">
        <v>223</v>
      </c>
      <c r="V48" s="4" t="s">
        <v>233</v>
      </c>
      <c r="W48" t="s">
        <v>239</v>
      </c>
      <c r="X48" t="s">
        <v>190</v>
      </c>
      <c r="Y48" t="s">
        <v>240</v>
      </c>
      <c r="Z48" t="s">
        <v>99</v>
      </c>
      <c r="AA48" t="s">
        <v>193</v>
      </c>
      <c r="AB48">
        <v>13</v>
      </c>
      <c r="AC48">
        <v>2</v>
      </c>
      <c r="AD48" s="4" t="s">
        <v>241</v>
      </c>
      <c r="AE48" t="s">
        <v>242</v>
      </c>
      <c r="AF48" t="s">
        <v>243</v>
      </c>
      <c r="AG48" t="s">
        <v>196</v>
      </c>
      <c r="AH48" t="s">
        <v>197</v>
      </c>
      <c r="AI48" t="s">
        <v>244</v>
      </c>
      <c r="AJ48" t="s">
        <v>199</v>
      </c>
      <c r="AK48" t="s">
        <v>186</v>
      </c>
    </row>
    <row r="52" spans="1:29" ht="20.100000000000001" customHeight="1" x14ac:dyDescent="0.25">
      <c r="A52" t="s">
        <v>110</v>
      </c>
      <c r="B52" t="s">
        <v>111</v>
      </c>
    </row>
    <row r="53" spans="1:29" ht="20.100000000000001" customHeight="1" x14ac:dyDescent="0.25">
      <c r="A53" s="25">
        <v>14</v>
      </c>
      <c r="B53" t="s">
        <v>280</v>
      </c>
    </row>
    <row r="54" spans="1:29" ht="20.100000000000001" customHeight="1" x14ac:dyDescent="0.25">
      <c r="A54" s="25">
        <v>41</v>
      </c>
      <c r="B54" t="s">
        <v>281</v>
      </c>
    </row>
    <row r="55" spans="1:29" ht="20.100000000000001" customHeight="1" x14ac:dyDescent="0.25">
      <c r="A55" s="25">
        <v>42</v>
      </c>
      <c r="B55" t="s">
        <v>282</v>
      </c>
    </row>
    <row r="56" spans="1:29" ht="20.100000000000001" customHeight="1" x14ac:dyDescent="0.25">
      <c r="A56" s="25">
        <v>43</v>
      </c>
      <c r="B56" t="s">
        <v>283</v>
      </c>
    </row>
    <row r="57" spans="1:29" ht="20.100000000000001" customHeight="1" x14ac:dyDescent="0.25">
      <c r="A57" s="25">
        <v>44</v>
      </c>
      <c r="B57" t="s">
        <v>284</v>
      </c>
    </row>
    <row r="60" spans="1:29" ht="20.100000000000001" customHeight="1" x14ac:dyDescent="0.25">
      <c r="A60" t="s">
        <v>110</v>
      </c>
      <c r="B60" t="s">
        <v>111</v>
      </c>
      <c r="C60" t="s">
        <v>0</v>
      </c>
      <c r="D60" t="s">
        <v>285</v>
      </c>
      <c r="E60" t="s">
        <v>3</v>
      </c>
      <c r="F60" t="s">
        <v>2</v>
      </c>
      <c r="G60" t="s">
        <v>24</v>
      </c>
      <c r="H60" t="s">
        <v>8</v>
      </c>
      <c r="I60" t="s">
        <v>286</v>
      </c>
      <c r="J60" t="s">
        <v>287</v>
      </c>
      <c r="K60" t="s">
        <v>288</v>
      </c>
      <c r="L60" t="s">
        <v>289</v>
      </c>
      <c r="M60" t="s">
        <v>290</v>
      </c>
      <c r="N60" t="s">
        <v>291</v>
      </c>
      <c r="O60" t="s">
        <v>292</v>
      </c>
      <c r="P60" t="s">
        <v>293</v>
      </c>
      <c r="Q60" t="s">
        <v>294</v>
      </c>
      <c r="R60" t="s">
        <v>28</v>
      </c>
      <c r="S60" t="s">
        <v>295</v>
      </c>
      <c r="T60" t="s">
        <v>296</v>
      </c>
      <c r="U60" t="s">
        <v>27</v>
      </c>
      <c r="V60" t="s">
        <v>297</v>
      </c>
      <c r="W60" t="s">
        <v>298</v>
      </c>
      <c r="X60" t="s">
        <v>299</v>
      </c>
      <c r="Y60" t="s">
        <v>300</v>
      </c>
      <c r="Z60" t="s">
        <v>151</v>
      </c>
      <c r="AA60" t="s">
        <v>301</v>
      </c>
      <c r="AB60" t="s">
        <v>302</v>
      </c>
      <c r="AC60" t="s">
        <v>29</v>
      </c>
    </row>
    <row r="61" spans="1:29" ht="20.100000000000001" customHeight="1" x14ac:dyDescent="0.25">
      <c r="A61" s="25">
        <v>26</v>
      </c>
      <c r="B61" t="s">
        <v>265</v>
      </c>
      <c r="C61" t="s">
        <v>270</v>
      </c>
      <c r="D61" t="s">
        <v>303</v>
      </c>
      <c r="E61" t="s">
        <v>271</v>
      </c>
      <c r="F61" t="s">
        <v>304</v>
      </c>
      <c r="G61" t="s">
        <v>274</v>
      </c>
      <c r="H61" t="s">
        <v>272</v>
      </c>
      <c r="I61" t="s">
        <v>305</v>
      </c>
      <c r="J61" t="s">
        <v>306</v>
      </c>
      <c r="K61" t="s">
        <v>307</v>
      </c>
      <c r="L61" s="3">
        <v>38261</v>
      </c>
      <c r="M61" t="s">
        <v>273</v>
      </c>
      <c r="Q61" s="3">
        <v>39022</v>
      </c>
      <c r="R61" s="3">
        <v>38261</v>
      </c>
      <c r="S61" t="s">
        <v>110</v>
      </c>
      <c r="T61" t="s">
        <v>308</v>
      </c>
      <c r="U61" t="s">
        <v>309</v>
      </c>
      <c r="W61" t="s">
        <v>277</v>
      </c>
      <c r="X61" t="s">
        <v>310</v>
      </c>
      <c r="Y61" t="s">
        <v>311</v>
      </c>
      <c r="Z61">
        <v>5</v>
      </c>
      <c r="AB61" t="s">
        <v>110</v>
      </c>
      <c r="AC61" t="s">
        <v>312</v>
      </c>
    </row>
    <row r="62" spans="1:29" ht="20.100000000000001" customHeight="1" x14ac:dyDescent="0.25">
      <c r="A62" s="25">
        <v>27</v>
      </c>
      <c r="B62" t="s">
        <v>266</v>
      </c>
      <c r="C62" t="s">
        <v>313</v>
      </c>
      <c r="D62" t="s">
        <v>303</v>
      </c>
      <c r="E62" t="s">
        <v>279</v>
      </c>
      <c r="F62" t="s">
        <v>304</v>
      </c>
      <c r="G62" t="s">
        <v>274</v>
      </c>
      <c r="H62" t="s">
        <v>272</v>
      </c>
      <c r="I62" t="s">
        <v>305</v>
      </c>
      <c r="J62" t="s">
        <v>306</v>
      </c>
      <c r="K62" t="s">
        <v>307</v>
      </c>
      <c r="L62" s="3">
        <v>37681</v>
      </c>
      <c r="M62" t="s">
        <v>273</v>
      </c>
      <c r="N62" t="s">
        <v>314</v>
      </c>
      <c r="O62" t="s">
        <v>315</v>
      </c>
      <c r="P62">
        <v>2008</v>
      </c>
      <c r="Q62" s="3">
        <v>42064</v>
      </c>
      <c r="R62" s="3">
        <v>37681</v>
      </c>
      <c r="S62" t="s">
        <v>110</v>
      </c>
      <c r="T62" t="s">
        <v>308</v>
      </c>
      <c r="U62" t="s">
        <v>309</v>
      </c>
      <c r="V62" t="s">
        <v>316</v>
      </c>
      <c r="Z62">
        <v>84</v>
      </c>
      <c r="AA62" s="24">
        <v>46084</v>
      </c>
      <c r="AB62" t="s">
        <v>317</v>
      </c>
      <c r="AC62" t="s">
        <v>312</v>
      </c>
    </row>
    <row r="63" spans="1:29" ht="20.100000000000001" customHeight="1" x14ac:dyDescent="0.25">
      <c r="A63" s="25">
        <v>28</v>
      </c>
      <c r="B63" t="s">
        <v>267</v>
      </c>
      <c r="C63" t="s">
        <v>275</v>
      </c>
      <c r="D63" t="s">
        <v>303</v>
      </c>
      <c r="E63" t="s">
        <v>276</v>
      </c>
      <c r="F63" t="s">
        <v>304</v>
      </c>
      <c r="G63" t="s">
        <v>274</v>
      </c>
      <c r="H63" t="s">
        <v>272</v>
      </c>
      <c r="I63" t="s">
        <v>305</v>
      </c>
      <c r="J63" t="s">
        <v>306</v>
      </c>
      <c r="K63" t="s">
        <v>307</v>
      </c>
      <c r="L63" s="3">
        <v>38596</v>
      </c>
      <c r="M63" t="s">
        <v>273</v>
      </c>
      <c r="N63" t="s">
        <v>318</v>
      </c>
      <c r="O63" t="s">
        <v>315</v>
      </c>
      <c r="P63">
        <v>2005</v>
      </c>
      <c r="Q63" s="3">
        <v>38596</v>
      </c>
      <c r="R63" s="3">
        <v>38596</v>
      </c>
      <c r="T63" t="s">
        <v>308</v>
      </c>
      <c r="U63" t="s">
        <v>309</v>
      </c>
      <c r="V63" t="s">
        <v>316</v>
      </c>
      <c r="W63" t="s">
        <v>277</v>
      </c>
      <c r="X63" t="s">
        <v>310</v>
      </c>
      <c r="Z63">
        <v>100</v>
      </c>
      <c r="AA63" s="24">
        <v>46084</v>
      </c>
      <c r="AB63" t="s">
        <v>319</v>
      </c>
      <c r="AC63" t="s">
        <v>312</v>
      </c>
    </row>
    <row r="64" spans="1:29" ht="20.100000000000001" customHeight="1" x14ac:dyDescent="0.25">
      <c r="A64" s="25">
        <v>29</v>
      </c>
      <c r="B64" t="s">
        <v>268</v>
      </c>
      <c r="C64" t="s">
        <v>278</v>
      </c>
      <c r="D64" t="s">
        <v>303</v>
      </c>
      <c r="E64" t="s">
        <v>279</v>
      </c>
      <c r="F64" t="s">
        <v>304</v>
      </c>
      <c r="G64" t="s">
        <v>274</v>
      </c>
      <c r="H64" t="s">
        <v>272</v>
      </c>
      <c r="I64" t="s">
        <v>305</v>
      </c>
      <c r="J64" t="s">
        <v>306</v>
      </c>
      <c r="K64" t="s">
        <v>307</v>
      </c>
      <c r="L64" s="3">
        <v>38596</v>
      </c>
      <c r="M64" t="s">
        <v>273</v>
      </c>
      <c r="N64">
        <v>2005</v>
      </c>
      <c r="O64" t="s">
        <v>315</v>
      </c>
      <c r="P64">
        <v>2012</v>
      </c>
      <c r="Q64" s="3">
        <v>42248</v>
      </c>
      <c r="R64" s="3">
        <v>38596</v>
      </c>
      <c r="T64" t="s">
        <v>308</v>
      </c>
      <c r="U64" t="s">
        <v>309</v>
      </c>
      <c r="V64" t="s">
        <v>316</v>
      </c>
      <c r="W64" t="s">
        <v>277</v>
      </c>
      <c r="X64" t="s">
        <v>310</v>
      </c>
      <c r="Z64">
        <v>104</v>
      </c>
      <c r="AA64" s="24">
        <v>46083</v>
      </c>
      <c r="AB64" t="s">
        <v>320</v>
      </c>
      <c r="AC64" t="s">
        <v>312</v>
      </c>
    </row>
    <row r="65" spans="1:86" ht="20.100000000000001" customHeight="1" x14ac:dyDescent="0.25">
      <c r="A65" s="25">
        <v>30</v>
      </c>
      <c r="B65" t="s">
        <v>269</v>
      </c>
      <c r="C65" t="s">
        <v>321</v>
      </c>
      <c r="D65" t="s">
        <v>303</v>
      </c>
      <c r="E65" t="s">
        <v>322</v>
      </c>
      <c r="F65" t="s">
        <v>304</v>
      </c>
      <c r="G65" t="s">
        <v>274</v>
      </c>
      <c r="H65" t="s">
        <v>272</v>
      </c>
      <c r="I65" t="s">
        <v>305</v>
      </c>
      <c r="J65" t="s">
        <v>306</v>
      </c>
      <c r="K65" t="s">
        <v>307</v>
      </c>
      <c r="L65" s="3">
        <v>38718</v>
      </c>
      <c r="M65" t="s">
        <v>273</v>
      </c>
      <c r="N65" t="s">
        <v>323</v>
      </c>
      <c r="O65" t="s">
        <v>315</v>
      </c>
      <c r="P65">
        <v>2014</v>
      </c>
      <c r="Q65" s="3">
        <v>42248</v>
      </c>
      <c r="R65" s="3">
        <v>38718</v>
      </c>
      <c r="T65" t="s">
        <v>308</v>
      </c>
      <c r="U65" t="s">
        <v>309</v>
      </c>
      <c r="V65" t="s">
        <v>316</v>
      </c>
      <c r="Z65">
        <v>125</v>
      </c>
      <c r="AA65" s="24">
        <v>46083</v>
      </c>
      <c r="AB65" t="s">
        <v>320</v>
      </c>
      <c r="AC65" t="s">
        <v>312</v>
      </c>
    </row>
    <row r="68" spans="1:86" ht="20.100000000000001" customHeight="1" x14ac:dyDescent="0.25">
      <c r="A68" t="s">
        <v>110</v>
      </c>
      <c r="B68" t="s">
        <v>0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t="s">
        <v>7</v>
      </c>
      <c r="I68" t="s">
        <v>8</v>
      </c>
      <c r="J68" t="s">
        <v>10</v>
      </c>
      <c r="K68" t="s">
        <v>324</v>
      </c>
      <c r="L68" t="s">
        <v>325</v>
      </c>
      <c r="M68" t="s">
        <v>326</v>
      </c>
      <c r="N68" t="s">
        <v>25</v>
      </c>
      <c r="O68" t="s">
        <v>327</v>
      </c>
      <c r="P68" t="s">
        <v>1</v>
      </c>
      <c r="Q68" t="s">
        <v>328</v>
      </c>
      <c r="R68" t="s">
        <v>24</v>
      </c>
      <c r="S68" t="s">
        <v>329</v>
      </c>
      <c r="T68" t="s">
        <v>22</v>
      </c>
      <c r="U68" t="s">
        <v>456</v>
      </c>
      <c r="V68" t="s">
        <v>14</v>
      </c>
      <c r="W68" t="s">
        <v>16</v>
      </c>
      <c r="X68" t="s">
        <v>330</v>
      </c>
      <c r="Y68" t="s">
        <v>331</v>
      </c>
      <c r="Z68" t="s">
        <v>332</v>
      </c>
      <c r="AA68" t="s">
        <v>333</v>
      </c>
      <c r="AB68" t="s">
        <v>334</v>
      </c>
      <c r="AC68" t="s">
        <v>335</v>
      </c>
      <c r="AD68" t="s">
        <v>336</v>
      </c>
      <c r="AE68" t="s">
        <v>337</v>
      </c>
      <c r="AF68" t="s">
        <v>338</v>
      </c>
      <c r="AG68" t="s">
        <v>339</v>
      </c>
      <c r="AH68" t="s">
        <v>340</v>
      </c>
      <c r="AI68" t="s">
        <v>341</v>
      </c>
      <c r="AJ68" t="s">
        <v>342</v>
      </c>
      <c r="AK68" t="s">
        <v>343</v>
      </c>
      <c r="AL68" t="s">
        <v>344</v>
      </c>
      <c r="AM68" t="s">
        <v>345</v>
      </c>
      <c r="AN68" t="s">
        <v>346</v>
      </c>
      <c r="AO68" t="s">
        <v>347</v>
      </c>
      <c r="AP68" t="s">
        <v>348</v>
      </c>
      <c r="AQ68" t="s">
        <v>349</v>
      </c>
      <c r="AR68" t="s">
        <v>350</v>
      </c>
      <c r="AS68" t="s">
        <v>351</v>
      </c>
      <c r="AT68" t="s">
        <v>352</v>
      </c>
      <c r="AU68" t="s">
        <v>353</v>
      </c>
      <c r="AV68" t="s">
        <v>354</v>
      </c>
      <c r="AW68" t="s">
        <v>355</v>
      </c>
      <c r="AX68" t="s">
        <v>356</v>
      </c>
      <c r="AY68" t="s">
        <v>357</v>
      </c>
      <c r="AZ68" t="s">
        <v>358</v>
      </c>
      <c r="BA68" t="s">
        <v>359</v>
      </c>
      <c r="BB68" t="s">
        <v>360</v>
      </c>
      <c r="BC68" t="s">
        <v>361</v>
      </c>
      <c r="BD68" t="s">
        <v>362</v>
      </c>
      <c r="BE68" t="s">
        <v>363</v>
      </c>
      <c r="BF68" t="s">
        <v>364</v>
      </c>
      <c r="BG68" t="s">
        <v>365</v>
      </c>
      <c r="BH68" t="s">
        <v>366</v>
      </c>
      <c r="BI68" t="s">
        <v>367</v>
      </c>
      <c r="BJ68" t="s">
        <v>368</v>
      </c>
      <c r="BK68" t="s">
        <v>369</v>
      </c>
      <c r="BL68" t="s">
        <v>370</v>
      </c>
      <c r="BM68" t="s">
        <v>457</v>
      </c>
      <c r="BN68" t="s">
        <v>373</v>
      </c>
      <c r="BO68" t="s">
        <v>374</v>
      </c>
      <c r="BP68" t="s">
        <v>375</v>
      </c>
      <c r="BQ68" t="s">
        <v>376</v>
      </c>
      <c r="BR68" t="s">
        <v>377</v>
      </c>
      <c r="BS68" t="s">
        <v>378</v>
      </c>
      <c r="BT68" t="s">
        <v>379</v>
      </c>
      <c r="BU68" t="s">
        <v>380</v>
      </c>
      <c r="BV68" t="s">
        <v>381</v>
      </c>
      <c r="BW68" t="s">
        <v>458</v>
      </c>
      <c r="BX68" t="s">
        <v>383</v>
      </c>
      <c r="BY68" t="s">
        <v>384</v>
      </c>
      <c r="BZ68" t="s">
        <v>385</v>
      </c>
      <c r="CA68" t="s">
        <v>386</v>
      </c>
      <c r="CB68" t="s">
        <v>387</v>
      </c>
      <c r="CC68" t="s">
        <v>388</v>
      </c>
      <c r="CD68" t="s">
        <v>389</v>
      </c>
      <c r="CE68" t="s">
        <v>390</v>
      </c>
      <c r="CF68" t="s">
        <v>391</v>
      </c>
      <c r="CG68" t="s">
        <v>392</v>
      </c>
      <c r="CH68" t="s">
        <v>393</v>
      </c>
    </row>
    <row r="69" spans="1:86" ht="20.100000000000001" customHeight="1" x14ac:dyDescent="0.25">
      <c r="A69" s="25">
        <v>11</v>
      </c>
      <c r="B69" t="s">
        <v>394</v>
      </c>
      <c r="C69" t="s">
        <v>182</v>
      </c>
      <c r="D69">
        <v>59</v>
      </c>
      <c r="E69" t="s">
        <v>395</v>
      </c>
      <c r="F69" t="s">
        <v>396</v>
      </c>
      <c r="G69" t="s">
        <v>397</v>
      </c>
      <c r="H69" t="s">
        <v>206</v>
      </c>
      <c r="I69" t="s">
        <v>38</v>
      </c>
      <c r="J69" t="s">
        <v>398</v>
      </c>
      <c r="K69" t="s">
        <v>399</v>
      </c>
      <c r="L69">
        <v>3</v>
      </c>
      <c r="M69" t="s">
        <v>400</v>
      </c>
      <c r="N69" t="s">
        <v>401</v>
      </c>
      <c r="R69" t="s">
        <v>402</v>
      </c>
      <c r="T69" t="s">
        <v>402</v>
      </c>
      <c r="AD69">
        <v>3</v>
      </c>
    </row>
    <row r="70" spans="1:86" ht="20.100000000000001" customHeight="1" x14ac:dyDescent="0.25">
      <c r="A70" s="25">
        <v>12</v>
      </c>
      <c r="B70" t="s">
        <v>412</v>
      </c>
      <c r="C70" t="s">
        <v>413</v>
      </c>
      <c r="D70">
        <v>57</v>
      </c>
      <c r="E70" t="s">
        <v>395</v>
      </c>
      <c r="F70" t="s">
        <v>414</v>
      </c>
      <c r="G70" t="s">
        <v>397</v>
      </c>
      <c r="H70" t="s">
        <v>222</v>
      </c>
      <c r="I70" t="s">
        <v>32</v>
      </c>
      <c r="J70" t="s">
        <v>398</v>
      </c>
      <c r="K70" t="s">
        <v>399</v>
      </c>
      <c r="L70">
        <v>3</v>
      </c>
      <c r="M70" t="s">
        <v>400</v>
      </c>
      <c r="N70" t="s">
        <v>401</v>
      </c>
      <c r="R70" t="s">
        <v>402</v>
      </c>
      <c r="T70" t="s">
        <v>402</v>
      </c>
      <c r="AD70">
        <v>3</v>
      </c>
    </row>
    <row r="71" spans="1:86" ht="20.100000000000001" customHeight="1" x14ac:dyDescent="0.25">
      <c r="A71" s="25">
        <v>13</v>
      </c>
      <c r="B71" t="s">
        <v>415</v>
      </c>
      <c r="C71" t="s">
        <v>182</v>
      </c>
      <c r="D71">
        <v>74</v>
      </c>
      <c r="E71" t="s">
        <v>416</v>
      </c>
      <c r="F71" t="s">
        <v>417</v>
      </c>
      <c r="G71" t="s">
        <v>397</v>
      </c>
      <c r="H71" t="s">
        <v>43</v>
      </c>
      <c r="I71" t="s">
        <v>222</v>
      </c>
      <c r="J71" t="s">
        <v>418</v>
      </c>
      <c r="K71" t="s">
        <v>399</v>
      </c>
      <c r="L71">
        <v>4</v>
      </c>
      <c r="M71" t="s">
        <v>419</v>
      </c>
      <c r="N71" t="s">
        <v>420</v>
      </c>
      <c r="R71" t="s">
        <v>196</v>
      </c>
      <c r="T71" t="s">
        <v>410</v>
      </c>
      <c r="U71" t="s">
        <v>196</v>
      </c>
      <c r="AD71">
        <v>4</v>
      </c>
    </row>
    <row r="72" spans="1:86" ht="20.100000000000001" customHeight="1" x14ac:dyDescent="0.25">
      <c r="A72" s="25">
        <v>34</v>
      </c>
      <c r="B72" t="s">
        <v>443</v>
      </c>
      <c r="C72" t="s">
        <v>31</v>
      </c>
      <c r="D72">
        <v>74</v>
      </c>
      <c r="E72">
        <v>2</v>
      </c>
      <c r="F72" t="s">
        <v>86</v>
      </c>
      <c r="G72" t="s">
        <v>444</v>
      </c>
      <c r="H72" t="s">
        <v>402</v>
      </c>
      <c r="I72" t="s">
        <v>38</v>
      </c>
      <c r="J72" t="s">
        <v>445</v>
      </c>
      <c r="K72" t="s">
        <v>446</v>
      </c>
      <c r="L72">
        <v>4</v>
      </c>
      <c r="M72" t="s">
        <v>447</v>
      </c>
      <c r="O72" t="s">
        <v>308</v>
      </c>
      <c r="P72" t="s">
        <v>448</v>
      </c>
      <c r="T72" t="s">
        <v>448</v>
      </c>
      <c r="U72" t="s">
        <v>196</v>
      </c>
      <c r="AA72">
        <v>20</v>
      </c>
      <c r="AE72" t="s">
        <v>382</v>
      </c>
      <c r="AF72" t="s">
        <v>449</v>
      </c>
      <c r="AG72">
        <v>0</v>
      </c>
      <c r="AH72">
        <v>40</v>
      </c>
      <c r="AI72">
        <v>36</v>
      </c>
      <c r="AJ72">
        <v>9</v>
      </c>
      <c r="AK72">
        <v>1</v>
      </c>
      <c r="AL72">
        <v>64</v>
      </c>
      <c r="AM72">
        <v>46</v>
      </c>
      <c r="AN72" t="s">
        <v>371</v>
      </c>
      <c r="AO72">
        <v>17</v>
      </c>
      <c r="AP72">
        <v>9</v>
      </c>
      <c r="AQ72">
        <v>2</v>
      </c>
      <c r="AR72">
        <v>83</v>
      </c>
      <c r="AS72">
        <v>28</v>
      </c>
      <c r="AT72" t="s">
        <v>371</v>
      </c>
      <c r="AU72">
        <v>0</v>
      </c>
      <c r="AV72">
        <v>0</v>
      </c>
      <c r="AW72">
        <v>0</v>
      </c>
      <c r="AX72">
        <v>100</v>
      </c>
      <c r="AY72">
        <v>0</v>
      </c>
      <c r="AZ72" t="s">
        <v>450</v>
      </c>
      <c r="BA72">
        <v>100</v>
      </c>
      <c r="BB72">
        <v>98</v>
      </c>
      <c r="BC72">
        <v>93</v>
      </c>
      <c r="BD72">
        <v>0</v>
      </c>
      <c r="BE72">
        <v>291</v>
      </c>
      <c r="BF72" t="s">
        <v>372</v>
      </c>
      <c r="BG72">
        <v>100</v>
      </c>
      <c r="BH72">
        <v>97</v>
      </c>
      <c r="BI72">
        <v>77</v>
      </c>
      <c r="BJ72">
        <v>0</v>
      </c>
      <c r="BK72">
        <v>274</v>
      </c>
      <c r="BL72" t="s">
        <v>372</v>
      </c>
      <c r="BM72" t="s">
        <v>451</v>
      </c>
      <c r="BO72" t="s">
        <v>451</v>
      </c>
      <c r="BP72" t="s">
        <v>451</v>
      </c>
      <c r="BQ72">
        <v>0</v>
      </c>
      <c r="BR72">
        <v>10</v>
      </c>
      <c r="BS72">
        <v>10</v>
      </c>
      <c r="BT72" s="2">
        <v>43160</v>
      </c>
      <c r="BU72" t="s">
        <v>86</v>
      </c>
      <c r="BV72" t="s">
        <v>82</v>
      </c>
    </row>
    <row r="73" spans="1:86" ht="20.100000000000001" customHeight="1" x14ac:dyDescent="0.25">
      <c r="A73" s="25">
        <v>35</v>
      </c>
      <c r="B73" t="s">
        <v>452</v>
      </c>
      <c r="C73" t="s">
        <v>31</v>
      </c>
      <c r="D73">
        <v>50</v>
      </c>
      <c r="E73">
        <v>1</v>
      </c>
      <c r="F73">
        <v>1</v>
      </c>
      <c r="G73" t="s">
        <v>86</v>
      </c>
      <c r="H73">
        <v>1</v>
      </c>
      <c r="I73" t="s">
        <v>38</v>
      </c>
      <c r="J73" t="s">
        <v>445</v>
      </c>
      <c r="K73" t="s">
        <v>453</v>
      </c>
      <c r="M73" t="s">
        <v>454</v>
      </c>
      <c r="P73" t="s">
        <v>455</v>
      </c>
      <c r="U73" t="s">
        <v>196</v>
      </c>
      <c r="AA73">
        <v>0</v>
      </c>
      <c r="AB73">
        <v>0</v>
      </c>
      <c r="BX73">
        <v>58.63</v>
      </c>
      <c r="BY73">
        <v>142.77000000000001</v>
      </c>
    </row>
    <row r="74" spans="1:86" ht="20.100000000000001" customHeight="1" x14ac:dyDescent="0.25">
      <c r="A74" s="25">
        <v>36</v>
      </c>
      <c r="B74" t="s">
        <v>433</v>
      </c>
      <c r="C74" t="s">
        <v>31</v>
      </c>
      <c r="D74">
        <v>59</v>
      </c>
      <c r="E74">
        <v>2</v>
      </c>
      <c r="F74">
        <v>0</v>
      </c>
      <c r="G74">
        <v>0</v>
      </c>
      <c r="H74" t="s">
        <v>401</v>
      </c>
      <c r="I74" t="s">
        <v>434</v>
      </c>
      <c r="J74" t="s">
        <v>435</v>
      </c>
      <c r="K74" t="s">
        <v>425</v>
      </c>
      <c r="L74">
        <v>3</v>
      </c>
      <c r="M74" t="s">
        <v>436</v>
      </c>
      <c r="O74" t="s">
        <v>308</v>
      </c>
      <c r="P74" t="s">
        <v>437</v>
      </c>
      <c r="Q74" t="s">
        <v>438</v>
      </c>
      <c r="R74" t="s">
        <v>427</v>
      </c>
      <c r="S74" s="2">
        <v>45246</v>
      </c>
      <c r="V74" t="s">
        <v>428</v>
      </c>
      <c r="W74" t="s">
        <v>67</v>
      </c>
      <c r="X74" t="s">
        <v>60</v>
      </c>
      <c r="Y74" s="2">
        <v>45067</v>
      </c>
      <c r="Z74">
        <v>54</v>
      </c>
      <c r="AC74" t="s">
        <v>429</v>
      </c>
      <c r="BN74">
        <v>2017</v>
      </c>
      <c r="BZ74" t="s">
        <v>430</v>
      </c>
      <c r="CA74" t="s">
        <v>430</v>
      </c>
      <c r="CB74" t="s">
        <v>430</v>
      </c>
      <c r="CC74" t="s">
        <v>439</v>
      </c>
      <c r="CD74" t="s">
        <v>67</v>
      </c>
      <c r="CE74" t="s">
        <v>67</v>
      </c>
      <c r="CF74">
        <v>54</v>
      </c>
      <c r="CG74" t="s">
        <v>430</v>
      </c>
      <c r="CH74" t="s">
        <v>432</v>
      </c>
    </row>
    <row r="75" spans="1:86" ht="20.100000000000001" customHeight="1" x14ac:dyDescent="0.25">
      <c r="A75" s="25">
        <v>37</v>
      </c>
      <c r="B75" t="s">
        <v>421</v>
      </c>
      <c r="C75" t="s">
        <v>31</v>
      </c>
      <c r="D75">
        <v>75</v>
      </c>
      <c r="E75" t="s">
        <v>422</v>
      </c>
      <c r="F75">
        <v>0</v>
      </c>
      <c r="G75">
        <v>0</v>
      </c>
      <c r="H75" t="s">
        <v>211</v>
      </c>
      <c r="I75" t="s">
        <v>423</v>
      </c>
      <c r="J75" t="s">
        <v>424</v>
      </c>
      <c r="K75" t="s">
        <v>425</v>
      </c>
      <c r="M75" t="s">
        <v>426</v>
      </c>
      <c r="R75" t="s">
        <v>427</v>
      </c>
      <c r="S75" s="2">
        <v>44974</v>
      </c>
      <c r="V75" t="s">
        <v>428</v>
      </c>
      <c r="W75" t="s">
        <v>67</v>
      </c>
      <c r="X75" t="s">
        <v>60</v>
      </c>
      <c r="Y75" s="2">
        <v>45280</v>
      </c>
      <c r="Z75">
        <v>46</v>
      </c>
      <c r="AC75" t="s">
        <v>429</v>
      </c>
      <c r="BN75">
        <v>2017</v>
      </c>
      <c r="BZ75" t="s">
        <v>430</v>
      </c>
      <c r="CA75" t="s">
        <v>430</v>
      </c>
      <c r="CB75" t="s">
        <v>430</v>
      </c>
      <c r="CC75" t="s">
        <v>431</v>
      </c>
      <c r="CD75" t="s">
        <v>67</v>
      </c>
      <c r="CE75" t="s">
        <v>67</v>
      </c>
      <c r="CF75">
        <v>46</v>
      </c>
      <c r="CG75" t="s">
        <v>430</v>
      </c>
      <c r="CH75" t="s">
        <v>432</v>
      </c>
    </row>
    <row r="76" spans="1:86" ht="20.100000000000001" customHeight="1" x14ac:dyDescent="0.25">
      <c r="A76" s="25">
        <v>38</v>
      </c>
      <c r="B76" t="s">
        <v>411</v>
      </c>
      <c r="C76" t="s">
        <v>182</v>
      </c>
      <c r="D76">
        <v>65</v>
      </c>
      <c r="E76" t="s">
        <v>404</v>
      </c>
      <c r="F76" t="s">
        <v>396</v>
      </c>
      <c r="G76" t="s">
        <v>397</v>
      </c>
      <c r="H76" t="s">
        <v>222</v>
      </c>
      <c r="I76" t="s">
        <v>211</v>
      </c>
      <c r="J76" t="s">
        <v>406</v>
      </c>
      <c r="K76" t="s">
        <v>407</v>
      </c>
      <c r="M76" t="s">
        <v>408</v>
      </c>
      <c r="N76" t="s">
        <v>409</v>
      </c>
      <c r="T76" t="s">
        <v>410</v>
      </c>
      <c r="U76" t="s">
        <v>196</v>
      </c>
      <c r="AD76">
        <v>3</v>
      </c>
    </row>
    <row r="77" spans="1:86" ht="20.100000000000001" customHeight="1" x14ac:dyDescent="0.25">
      <c r="A77" s="25">
        <v>39</v>
      </c>
      <c r="B77" t="s">
        <v>403</v>
      </c>
      <c r="C77" t="s">
        <v>182</v>
      </c>
      <c r="D77">
        <v>63</v>
      </c>
      <c r="E77" t="s">
        <v>404</v>
      </c>
      <c r="F77" t="s">
        <v>396</v>
      </c>
      <c r="G77" t="s">
        <v>397</v>
      </c>
      <c r="H77" t="s">
        <v>405</v>
      </c>
      <c r="I77" t="s">
        <v>211</v>
      </c>
      <c r="J77" t="s">
        <v>406</v>
      </c>
      <c r="K77" t="s">
        <v>407</v>
      </c>
      <c r="M77" t="s">
        <v>408</v>
      </c>
      <c r="N77" t="s">
        <v>409</v>
      </c>
      <c r="T77" t="s">
        <v>410</v>
      </c>
      <c r="U77" t="s">
        <v>196</v>
      </c>
      <c r="AD77">
        <v>4</v>
      </c>
    </row>
    <row r="78" spans="1:86" ht="20.100000000000001" customHeight="1" x14ac:dyDescent="0.25">
      <c r="A78" s="25">
        <v>40</v>
      </c>
      <c r="B78" t="s">
        <v>440</v>
      </c>
      <c r="C78" t="s">
        <v>31</v>
      </c>
      <c r="D78">
        <v>24</v>
      </c>
      <c r="E78" t="s">
        <v>401</v>
      </c>
      <c r="F78" t="s">
        <v>401</v>
      </c>
      <c r="G78" t="s">
        <v>401</v>
      </c>
      <c r="H78" t="s">
        <v>401</v>
      </c>
      <c r="I78" t="s">
        <v>401</v>
      </c>
      <c r="J78" t="s">
        <v>424</v>
      </c>
      <c r="K78" t="s">
        <v>441</v>
      </c>
      <c r="M78" t="s">
        <v>426</v>
      </c>
      <c r="R78" t="s">
        <v>427</v>
      </c>
      <c r="S78" s="2">
        <v>45245</v>
      </c>
      <c r="V78" t="s">
        <v>428</v>
      </c>
      <c r="W78" t="s">
        <v>67</v>
      </c>
      <c r="X78" t="s">
        <v>60</v>
      </c>
      <c r="Y78" s="2">
        <v>45127</v>
      </c>
      <c r="Z78">
        <v>58</v>
      </c>
      <c r="AC78" t="s">
        <v>429</v>
      </c>
      <c r="BN78">
        <v>2017</v>
      </c>
      <c r="BW78" t="s">
        <v>441</v>
      </c>
      <c r="BZ78" t="s">
        <v>430</v>
      </c>
      <c r="CA78" t="s">
        <v>430</v>
      </c>
      <c r="CB78" t="s">
        <v>430</v>
      </c>
      <c r="CC78" t="s">
        <v>442</v>
      </c>
      <c r="CD78" t="s">
        <v>67</v>
      </c>
      <c r="CE78" t="s">
        <v>67</v>
      </c>
      <c r="CF78">
        <v>58</v>
      </c>
      <c r="CG78" t="s">
        <v>430</v>
      </c>
      <c r="CH78" t="s">
        <v>432</v>
      </c>
    </row>
    <row r="79" spans="1:86" ht="20.100000000000001" customHeight="1" x14ac:dyDescent="0.25">
      <c r="A79" s="25">
        <v>45</v>
      </c>
      <c r="B79" t="s">
        <v>459</v>
      </c>
      <c r="C79" t="s">
        <v>413</v>
      </c>
      <c r="D79">
        <v>61</v>
      </c>
      <c r="E79" t="s">
        <v>395</v>
      </c>
      <c r="F79" t="s">
        <v>396</v>
      </c>
      <c r="G79" t="s">
        <v>397</v>
      </c>
      <c r="H79" t="s">
        <v>222</v>
      </c>
      <c r="I79" t="s">
        <v>211</v>
      </c>
      <c r="J79" t="s">
        <v>460</v>
      </c>
      <c r="K79" t="s">
        <v>461</v>
      </c>
      <c r="M79" t="s">
        <v>462</v>
      </c>
      <c r="S79" s="2"/>
      <c r="Y79" s="2"/>
      <c r="AD79">
        <v>4</v>
      </c>
    </row>
  </sheetData>
  <hyperlinks>
    <hyperlink ref="A7" r:id="rId1" xr:uid="{2C4334C8-B50B-4647-917C-758B65FD5D52}"/>
    <hyperlink ref="A8" r:id="rId2" xr:uid="{0E548664-DA4F-4941-9143-C758B3FEFAC4}"/>
  </hyperlinks>
  <pageMargins left="0.7" right="0.7" top="0.75" bottom="0.75" header="0.3" footer="0.3"/>
  <pageSetup paperSize="9" orientation="portrait" r:id="rId3"/>
  <tableParts count="7"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TriStar Technology Group LLC</dc:creator>
  <cp:lastModifiedBy>Ahmad Ammash</cp:lastModifiedBy>
  <dcterms:created xsi:type="dcterms:W3CDTF">2015-06-05T18:17:20Z</dcterms:created>
  <dcterms:modified xsi:type="dcterms:W3CDTF">2026-10-30T15:04:05Z</dcterms:modified>
</cp:coreProperties>
</file>