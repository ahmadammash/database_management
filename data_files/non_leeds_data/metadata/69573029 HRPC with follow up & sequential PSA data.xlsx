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/>
  <mc:AlternateContent xmlns:mc="http://schemas.openxmlformats.org/markup-compatibility/2006">
    <mc:Choice Requires="x15">
      <x15ac:absPath xmlns:x15ac="http://schemas.microsoft.com/office/spreadsheetml/2010/11/ac" url="/Users/MilanBhagat/Documents/"/>
    </mc:Choice>
  </mc:AlternateContent>
  <xr:revisionPtr revIDLastSave="0" documentId="13_ncr:1_{D59675C4-A406-CD43-8050-9A85AFB08405}" xr6:coauthVersionLast="47" xr6:coauthVersionMax="47" xr10:uidLastSave="{00000000-0000-0000-0000-000000000000}"/>
  <bookViews>
    <workbookView xWindow="7280" yWindow="500" windowWidth="20220" windowHeight="18360" tabRatio="500" activeTab="2" xr2:uid="{00000000-000D-0000-FFFF-FFFF00000000}"/>
  </bookViews>
  <sheets>
    <sheet name="Histopath data" sheetId="2" r:id="rId1"/>
    <sheet name="PSA data" sheetId="6" r:id="rId2"/>
    <sheet name="Follow up data" sheetId="5" r:id="rId3"/>
    <sheet name="TMA map" sheetId="3" r:id="rId4"/>
  </sheets>
  <definedNames>
    <definedName name="_xlnm._FilterDatabase" localSheetId="2" hidden="1">'Follow up data'!$A$12:$AV$101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7" i="2" l="1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8" i="2"/>
  <c r="C16" i="2"/>
  <c r="C15" i="2"/>
  <c r="C14" i="2"/>
  <c r="C13" i="2"/>
</calcChain>
</file>

<file path=xl/sharedStrings.xml><?xml version="1.0" encoding="utf-8"?>
<sst xmlns="http://schemas.openxmlformats.org/spreadsheetml/2006/main" count="2725" uniqueCount="541">
  <si>
    <t>TriStar Technology Group, LLC</t>
  </si>
  <si>
    <t>1901 Pennsylvania Avenue</t>
  </si>
  <si>
    <t>Suite 401</t>
  </si>
  <si>
    <t>Washington, DC 20006</t>
  </si>
  <si>
    <t>U.S.A.</t>
  </si>
  <si>
    <t>Phone: 866.851.7827</t>
  </si>
  <si>
    <t>Fax: 509.471.1765</t>
  </si>
  <si>
    <t>www.tristargroup.us</t>
  </si>
  <si>
    <t>TA3029</t>
    <phoneticPr fontId="17" type="noConversion"/>
  </si>
  <si>
    <t>TS-16 - 1110</t>
  </si>
  <si>
    <t>TA3029</t>
    <phoneticPr fontId="0" type="noConversion"/>
  </si>
  <si>
    <t>TS-16 - 1111</t>
  </si>
  <si>
    <t>TS-16 - 1112</t>
  </si>
  <si>
    <t>TS-16 - 1113</t>
  </si>
  <si>
    <t>TS-16 - 1114</t>
  </si>
  <si>
    <t>TS-16 - 1115</t>
  </si>
  <si>
    <t>TS-16 - 1116</t>
  </si>
  <si>
    <t>TS-16 - 1117</t>
  </si>
  <si>
    <t>TS-16 - 1118</t>
  </si>
  <si>
    <t>TS-16 - 1119</t>
  </si>
  <si>
    <t>TS-16 - 1120</t>
  </si>
  <si>
    <t>TS-16 - 1121</t>
  </si>
  <si>
    <t>TS-16 - 1122</t>
  </si>
  <si>
    <t>TS-16 - 1123</t>
  </si>
  <si>
    <t>TS-16 - 1124</t>
  </si>
  <si>
    <t>TS-16 - 1125</t>
  </si>
  <si>
    <t>TS-16 - 1126</t>
  </si>
  <si>
    <t>TS-16 - 1127</t>
  </si>
  <si>
    <t>TS-16 - 1128</t>
  </si>
  <si>
    <t>TS-16 - 1129</t>
  </si>
  <si>
    <t>TS-16 - 1130</t>
  </si>
  <si>
    <t>TS-16 - 1131</t>
  </si>
  <si>
    <t>TS-16 - 1132</t>
  </si>
  <si>
    <t>TS-16 - 1133</t>
  </si>
  <si>
    <t>TS-16 - 1134</t>
  </si>
  <si>
    <t>TS-16 - 1135</t>
  </si>
  <si>
    <t>TS-16 - 1136</t>
  </si>
  <si>
    <t>TS-16 - 1137</t>
  </si>
  <si>
    <t>TS-16 - 1138</t>
  </si>
  <si>
    <t>TS-16 - 1139</t>
  </si>
  <si>
    <t>TS-16 - 1140</t>
  </si>
  <si>
    <t>TS-16 - 1141</t>
  </si>
  <si>
    <t>TS-16 - 1142</t>
  </si>
  <si>
    <t>TS-16 - 1143</t>
  </si>
  <si>
    <t>TS-16 - 1144</t>
  </si>
  <si>
    <t>TS-16 - 1145</t>
  </si>
  <si>
    <t>TS-16 - 1146</t>
  </si>
  <si>
    <t>TS-16 - 1147</t>
  </si>
  <si>
    <t>TS-16 - 1148</t>
  </si>
  <si>
    <t>TS-16 - 1149</t>
  </si>
  <si>
    <t>TS-16 - 1150</t>
  </si>
  <si>
    <t>TS-16 - 1151</t>
  </si>
  <si>
    <t>TS-16 - 1152</t>
  </si>
  <si>
    <t>TS-16 - 1153</t>
  </si>
  <si>
    <t>TS-16 - 1154</t>
  </si>
  <si>
    <t>carbon</t>
    <phoneticPr fontId="17" type="noConversion"/>
  </si>
  <si>
    <t>SAMPLE ID#</t>
  </si>
  <si>
    <t>Follow up data</t>
  </si>
  <si>
    <t>Gender</t>
  </si>
  <si>
    <t>Age</t>
  </si>
  <si>
    <t>M</t>
  </si>
  <si>
    <t>Grade</t>
  </si>
  <si>
    <t>Stage</t>
  </si>
  <si>
    <t>Type</t>
  </si>
  <si>
    <t>Sub-Type</t>
  </si>
  <si>
    <t>2938/04 B</t>
  </si>
  <si>
    <t>04102938</t>
  </si>
  <si>
    <t>/</t>
  </si>
  <si>
    <t>4+5=9</t>
  </si>
  <si>
    <t>Prostate Pri.</t>
  </si>
  <si>
    <t>ADC</t>
  </si>
  <si>
    <t>9421/04 H</t>
  </si>
  <si>
    <t>04109421</t>
  </si>
  <si>
    <t>4+4=8</t>
  </si>
  <si>
    <t>10343/06 A</t>
  </si>
  <si>
    <t>06110343</t>
  </si>
  <si>
    <t>NA after hormones</t>
  </si>
  <si>
    <t>11461/06 H</t>
  </si>
  <si>
    <t>06111461</t>
  </si>
  <si>
    <t>5+5=10</t>
  </si>
  <si>
    <t>12D6505 A1</t>
  </si>
  <si>
    <t xml:space="preserve">12D06505 </t>
  </si>
  <si>
    <t>IV</t>
  </si>
  <si>
    <t>15671/04 3B</t>
  </si>
  <si>
    <t>04115671</t>
  </si>
  <si>
    <t>5+4=9</t>
  </si>
  <si>
    <t>5485/07 A BB1</t>
  </si>
  <si>
    <t>07105485</t>
  </si>
  <si>
    <t>15659/00 C</t>
  </si>
  <si>
    <t>00115659</t>
  </si>
  <si>
    <t>3+5=8</t>
  </si>
  <si>
    <t>18455/01 F</t>
  </si>
  <si>
    <t>01118455</t>
  </si>
  <si>
    <t>14440/05 C</t>
  </si>
  <si>
    <t>05114440</t>
  </si>
  <si>
    <t>4+3=7</t>
  </si>
  <si>
    <t>3152/06 D</t>
  </si>
  <si>
    <t>06103152</t>
  </si>
  <si>
    <t>8760/07 B</t>
  </si>
  <si>
    <t>07108760</t>
  </si>
  <si>
    <t>3802/07 B</t>
  </si>
  <si>
    <t>07103802</t>
  </si>
  <si>
    <t>2550/07 A</t>
  </si>
  <si>
    <t>07102550</t>
  </si>
  <si>
    <t>8323/03 D</t>
  </si>
  <si>
    <t>03108323</t>
  </si>
  <si>
    <t>12571/06 B</t>
  </si>
  <si>
    <t>06112571</t>
  </si>
  <si>
    <t>18660/06 C</t>
  </si>
  <si>
    <t>06118660</t>
  </si>
  <si>
    <t>16861/03 A BB1</t>
  </si>
  <si>
    <t>03116861</t>
  </si>
  <si>
    <t>7603/06 C</t>
  </si>
  <si>
    <t>06107603</t>
  </si>
  <si>
    <t>7256/04 C</t>
  </si>
  <si>
    <t>04107256</t>
  </si>
  <si>
    <t>2241/03 A</t>
  </si>
  <si>
    <t>03102241</t>
  </si>
  <si>
    <t>19911/04 D</t>
  </si>
  <si>
    <t>04119911</t>
  </si>
  <si>
    <t>2922/03 A</t>
  </si>
  <si>
    <t>03102922</t>
  </si>
  <si>
    <t>3+4=7</t>
  </si>
  <si>
    <t>10329/06 A</t>
  </si>
  <si>
    <t>06110329</t>
  </si>
  <si>
    <t>18379/02 C</t>
  </si>
  <si>
    <t>02118379</t>
  </si>
  <si>
    <t>9187/04 C</t>
  </si>
  <si>
    <t>04109187</t>
  </si>
  <si>
    <t>16502/06 D BB1</t>
  </si>
  <si>
    <t>06116502</t>
  </si>
  <si>
    <t>12430/06 A</t>
  </si>
  <si>
    <t>06112430</t>
  </si>
  <si>
    <t>13403/98 A BB1</t>
  </si>
  <si>
    <t>98113403</t>
  </si>
  <si>
    <t>5+3=8</t>
  </si>
  <si>
    <t>ADC, focally squamoid</t>
  </si>
  <si>
    <t>8304/98 E</t>
  </si>
  <si>
    <t>98108304</t>
  </si>
  <si>
    <t>17387/98 E</t>
  </si>
  <si>
    <t>98117387</t>
  </si>
  <si>
    <t>17393/98 A</t>
  </si>
  <si>
    <t>98117393</t>
  </si>
  <si>
    <t>4954/98 1B</t>
  </si>
  <si>
    <t>98104954</t>
  </si>
  <si>
    <t>8838/98 C</t>
  </si>
  <si>
    <t>98108838</t>
  </si>
  <si>
    <t>10860/98 D</t>
  </si>
  <si>
    <t>98110860</t>
  </si>
  <si>
    <t>15655/98 H</t>
  </si>
  <si>
    <t>98115655</t>
  </si>
  <si>
    <t>12674/06 C</t>
  </si>
  <si>
    <t>06112674</t>
  </si>
  <si>
    <t>13239/06 A BB1</t>
  </si>
  <si>
    <t>06113239</t>
  </si>
  <si>
    <t>III</t>
  </si>
  <si>
    <t>14509/06 D</t>
  </si>
  <si>
    <t>06114509</t>
  </si>
  <si>
    <t>15128/06 A</t>
  </si>
  <si>
    <t>06115128</t>
  </si>
  <si>
    <t>Not stated</t>
  </si>
  <si>
    <t>18674/06 A</t>
  </si>
  <si>
    <t>06118674</t>
  </si>
  <si>
    <t>18769/05 C</t>
  </si>
  <si>
    <t>05118769</t>
  </si>
  <si>
    <t>4797/06 B</t>
  </si>
  <si>
    <t>06104797</t>
  </si>
  <si>
    <t>17613/06 B</t>
  </si>
  <si>
    <t>06117613</t>
  </si>
  <si>
    <t>9597/06 D</t>
  </si>
  <si>
    <t>06109597</t>
  </si>
  <si>
    <t>Indicates line break before new patient case</t>
  </si>
  <si>
    <t>BLOCK KEY</t>
  </si>
  <si>
    <t>N/A</t>
  </si>
  <si>
    <t>Deceased</t>
  </si>
  <si>
    <t>Gleason grade: 4+5=7</t>
  </si>
  <si>
    <t>Primary</t>
  </si>
  <si>
    <t>TURP</t>
  </si>
  <si>
    <t>Prostate</t>
  </si>
  <si>
    <t>Stopped in 1970s</t>
  </si>
  <si>
    <t>Ex-Smoker</t>
  </si>
  <si>
    <t>FFPE</t>
  </si>
  <si>
    <t>No</t>
  </si>
  <si>
    <t>Not Stated</t>
  </si>
  <si>
    <r>
      <rPr>
        <b/>
        <sz val="10"/>
        <color theme="1"/>
        <rFont val="Calibri"/>
        <family val="2"/>
        <scheme val="minor"/>
      </rPr>
      <t>MACROSCOPY</t>
    </r>
    <r>
      <rPr>
        <sz val="10"/>
        <color theme="1"/>
        <rFont val="Calibri"/>
        <family val="2"/>
        <scheme val="minor"/>
      </rPr>
      <t xml:space="preserve">: Prostate chips weighing approximately 8g.
</t>
    </r>
    <r>
      <rPr>
        <b/>
        <sz val="10"/>
        <color theme="1"/>
        <rFont val="Calibri"/>
        <family val="2"/>
        <scheme val="minor"/>
      </rPr>
      <t xml:space="preserve"> MICROSCOPY: </t>
    </r>
    <r>
      <rPr>
        <sz val="10"/>
        <color theme="1"/>
        <rFont val="Calibri"/>
        <family val="2"/>
        <scheme val="minor"/>
      </rPr>
      <t>Almost all chips infiltrated by adenocarcinoma, Gleason grade 4+3, (7).</t>
    </r>
  </si>
  <si>
    <t>Black Caribbean</t>
  </si>
  <si>
    <t>Prostate cancer</t>
  </si>
  <si>
    <t>1a. Haemorrhagic shock, 1b. Gastrointestinal bleed, 2. Metastatic prostate cancer</t>
  </si>
  <si>
    <t xml:space="preserve">20 units per week </t>
  </si>
  <si>
    <t>Drinker</t>
  </si>
  <si>
    <t>Tx</t>
  </si>
  <si>
    <t>Nx</t>
  </si>
  <si>
    <t>Mx</t>
  </si>
  <si>
    <t>Gleason grade: 4+4= 8</t>
  </si>
  <si>
    <t>Stopped in 1950s</t>
  </si>
  <si>
    <t xml:space="preserve">Ex-smoker 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</si>
  <si>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15g.
</t>
    </r>
    <r>
      <rPr>
        <b/>
        <sz val="10"/>
        <color theme="1"/>
        <rFont val="Calibri"/>
        <family val="2"/>
        <scheme val="minor"/>
      </rPr>
      <t xml:space="preserve"> MICROSCOPY:</t>
    </r>
    <r>
      <rPr>
        <sz val="10"/>
        <color theme="1"/>
        <rFont val="Calibri"/>
        <family val="2"/>
        <scheme val="minor"/>
      </rPr>
      <t xml:space="preserve"> Prostatic chips show adenocarcinoma Gleason grade 4+4, (8), involving 60% of tissue examined.</t>
    </r>
  </si>
  <si>
    <t>White British</t>
  </si>
  <si>
    <t>1a. Pneumonia, 1b. Old age, 2. Left hip fractured operated</t>
  </si>
  <si>
    <t>1-2 unit per week</t>
  </si>
  <si>
    <t>pT1b</t>
  </si>
  <si>
    <t>Gleason grade: 4+3=7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</si>
  <si>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approximately 15 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These prostate chip show an invasive adenocarcinoma. Gleason grade 4+3, (7). The tumour occupies approximately 95%  of the examined specimen. pT1b.</t>
    </r>
  </si>
  <si>
    <t>Tolterodine: 02/2006-08/2006
 Lansoprazole and Bendrofluazide: 11/2008</t>
  </si>
  <si>
    <t>Gleason grade: 3+4 =7</t>
  </si>
  <si>
    <t>10 cigarettes daily</t>
  </si>
  <si>
    <t>Smoker</t>
  </si>
  <si>
    <t>Tolterodine 4mg daily, Lansoprazole 30mg, Bendrofluazide 2.5mg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</si>
  <si>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Tissue chippings together 15g, 4 cassettes embedded.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Prostatic chippings approximately 30% of whom show infiltration by adenocarcinoma of Gleason grade 3+4, (7). Stage pT1b.</t>
    </r>
  </si>
  <si>
    <t>1a. Aspiration Pneumonia, 1b.Adhesional Small Bowel Obstruction 2.Vascular Biswas</t>
  </si>
  <si>
    <t>Moderate</t>
  </si>
  <si>
    <t>Cyproterone Acetate: 11/2004-01/2005
Neoadjuvant Zoladex injections: 11/2004 -indefinitely
Prednisolone: 11/2008 - 12/2009
Casodex: 12/2009 - indefinitely</t>
  </si>
  <si>
    <t>Gleason grade: 4+5 = 9</t>
  </si>
  <si>
    <t>Stopped in 1977</t>
  </si>
  <si>
    <t>Ex-smoker</t>
  </si>
  <si>
    <t>Cyproterone Acetate 100mg twice daily, Zoladex 10.8mg injections every 3 months, Prednisolone 10mg daily, Casodex 150mg daily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</si>
  <si>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17g.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Prostate chipping containing extensive adenocarcinoma showing hormonal effect</t>
    </r>
  </si>
  <si>
    <t>1a. Stroke</t>
  </si>
  <si>
    <t>Cyproterone Acetate:03/2006 - 04/2006
Zoladex: 04/2006 - indefinitely</t>
  </si>
  <si>
    <t>Gyrus TURP</t>
  </si>
  <si>
    <t>Cyproterone Acetate 100mg twice daily, Zoladex 10.8mg injections every 3 months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</si>
  <si>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14g.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Prostatic chippings diffusely infiltrated by invasive adenocarcinoma showing marked hormonal effect. The tumour occupies up to 50% of the tissues examined. The hormonal effect precludes Gleason grading. There is no evidence of high grade PIN.</t>
    </r>
  </si>
  <si>
    <t>Alive</t>
  </si>
  <si>
    <t>No known disease progression</t>
  </si>
  <si>
    <t>Cyproterone Acetate: 01/2006 - 02/2006
Neoadjuvant Decopeptyl: 02/2006 - unknown
Bicalutamide: 02/2018-unknown</t>
  </si>
  <si>
    <t xml:space="preserve">
Gleason grade: 4+3 =7</t>
  </si>
  <si>
    <t>Cyproterone Acetate 100mg twice daily, Decopeptyl 11.2mg injections every 3 months, Bicalutamide 50mg daily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</si>
  <si>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Chips weighing 11g.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Approximately 30% of prostatic reamings are infiltrated by Gleason grade 4+3, (7), adenocarcinoma.</t>
    </r>
  </si>
  <si>
    <t>Casodex: 01/2007-02/2007
 Zoladex: 01/2007 - 01/2010
Radiotherapy: 07/2007</t>
  </si>
  <si>
    <t>Gleason grade: 4 + 5 =9</t>
  </si>
  <si>
    <t>Stopped in 2009, smoked from age 21-77</t>
  </si>
  <si>
    <t>Yes-Radical radiotherapy  69.4 Gy</t>
  </si>
  <si>
    <t>Casodex 50mg daily, Zoladex 10.8mg injections every 3 months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</si>
  <si>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40g.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Four cassettes of this material have been examined. Prostatic adenocarcinoma which is mostly Gleason grade 4+5, (9), is seen in approximately 50% of the tissue examined.</t>
    </r>
  </si>
  <si>
    <t>Nil</t>
  </si>
  <si>
    <t>Non-drinker</t>
  </si>
  <si>
    <t>T3b</t>
  </si>
  <si>
    <t>Unknown disease progression</t>
  </si>
  <si>
    <t>Stilboestrol: 05/2001 - 06/2006
Cyproterone: 06/2006 - unknown</t>
  </si>
  <si>
    <t>Primary with metastases</t>
  </si>
  <si>
    <t>Stilboestrol 1mg daily, Cyproterone 100 mg twice daily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</si>
  <si>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11.5g.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These prostate chippings are extensively infiltrated by a prostatic adenocarcinoma, most of which show cytomorphological features consistent with treatment effect, hence grading is not possible. The tumour involves approximately 90%  of the tissue examined. there is evidence of perineural invasion but no lymphovascular invasion.</t>
    </r>
  </si>
  <si>
    <t xml:space="preserve"> Stilboestrol: 10/1998 - 04/1999, restarted 10/1999 - 02/2001
Cyproterone Acetate: 12/2000 - unknown</t>
  </si>
  <si>
    <t xml:space="preserve">
Gleason grade: 5+5=10</t>
  </si>
  <si>
    <t>Stopped in 2000</t>
  </si>
  <si>
    <t>Stilboestrol 1mg daily, Cyproterone Acetate 100mg twice daily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</si>
  <si>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approximately 12g.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All this material has been embedded and it contains poorly differentiated prostatic adenocarcinoma of Gleason grade 5+5, (10), occupying some 90% of the tissue submitted.</t>
    </r>
  </si>
  <si>
    <t>Cyproterone Acetate:11/1998-01/1999
Zoladex: 11/1998-11/2001</t>
  </si>
  <si>
    <t xml:space="preserve">
Gleason grade: 3+5=8</t>
  </si>
  <si>
    <t>Non-smoker</t>
  </si>
  <si>
    <t xml:space="preserve"> Cyproterone Acetate 100mg twice daily, Zoladex 10.8mg injections every 3 months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</si>
  <si>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approximately 7g of prostatic chips.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All of the submitted tissue has been examined histologically. This shown extensive infiltration of almost all of the chips by moderate to poorly differentiated prostatic adenocarcinoma. Gleason grade  3+5, (8).</t>
    </r>
  </si>
  <si>
    <t>Prostatic carcinoma with known widespread bony metastases, hypertension, Ischaemic cardiomyopathy</t>
  </si>
  <si>
    <t>4 - 6 units per weeks</t>
  </si>
  <si>
    <t>Stilboestrol: 07/1998-11/1998
Cyproterone Acetate: 11/1998-12/1998
Zoladex: 12/1998-unknown
Radiotherapy: 10/1999</t>
  </si>
  <si>
    <t>Gleason grade: 5+4 =9</t>
  </si>
  <si>
    <t xml:space="preserve"> Yes-Radiotherapy to the cervical spine C1 upper thoracic spine using a posterior 5v X-ray
field.  Tumour dose 8Gy in a single fraction.</t>
  </si>
  <si>
    <t>Stilboestrol 1mg daily, Cyproterone Acetate 150mg twice daily, Zoladex 10.8mg injection every 3 months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</si>
  <si>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Chips weighing 7.5g.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All of the submitted tissue has been examined histologically. This shows extensive infiltration of more than 90% of the chips by poorly differentiated prostatic adenocarcinoma. Gleason grade 5+4, (9).</t>
    </r>
  </si>
  <si>
    <t>Carcinomatosis, Prostatic carcinoma, Acute stroke</t>
  </si>
  <si>
    <t>Cyproterone Acetate: 04/1998-07/1998
 Zoladex: 04/1998- indefinitely</t>
  </si>
  <si>
    <t>Gleason grade: 4+5 =9</t>
  </si>
  <si>
    <t>Cyproterone Acetate 100mg twice daily, Zoladex 10.8mg injection every 3 months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</si>
  <si>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Prostatic chips weighing approximately 14g.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These prostatic chips are extensively infiltrated by poorly differentiated prostatic carcinoma, Gleason grade 4+5, (9).</t>
    </r>
  </si>
  <si>
    <t xml:space="preserve">Stilboestrol: 08/1996-12/1998 </t>
  </si>
  <si>
    <t>Yes- Information unavailable</t>
  </si>
  <si>
    <t>Stilboestrol 1mg daily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</si>
  <si>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Prostatic chips weighing approximately 6g.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 xml:space="preserve">Sections show extensive infiltration by poorly differentiated adenocarcinoma, Gleason grade 4+5, (9). </t>
    </r>
  </si>
  <si>
    <t xml:space="preserve">Neoadjuvant Stilboestrol 09/1997-05/1998 Cyproterone Acetate: 11/1998-unknown
Radiotherapy: 02/1999 </t>
  </si>
  <si>
    <t>Gleason grade:  5+4=9</t>
  </si>
  <si>
    <t>Yes- Radiotherapy to the prostate using anterior and posterior 5Mv X-ray fields.  Tumour dose 25Gy in 5 fractions over 5 days.</t>
  </si>
  <si>
    <t xml:space="preserve">Stilboestrol 1mg daily, Cyproterone Acetate 100mgs twice daily 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</si>
  <si>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Prostatic chips weighing approximately 18g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The majority of these prostatic chippings show the presence of poorly differentiated adenocarcinoma. Gleason grade  5+4, (9) involvement.</t>
    </r>
  </si>
  <si>
    <t>Presumed disease progression</t>
  </si>
  <si>
    <t>Cyproterone Acetate: 07/1998-08/1998
Zolodex: 07/1998- indefinitely</t>
  </si>
  <si>
    <t>Cyproterone Acetate 100mg twice daily, Zolodex 10.8mg injections every 3 months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</si>
  <si>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Approximately 12g of prostatic chips.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Almost all chips show extensive infiltration by moderate to poorly differentiated prostatic adenocarcinoma. Gleason grade 3+4, (7).</t>
    </r>
  </si>
  <si>
    <t>Neoadjuvant Stilboestrol: Unknown-11/1996</t>
  </si>
  <si>
    <t>Gleason grade: 5+3=8</t>
  </si>
  <si>
    <t>Stilboestrol, dose unknown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</si>
  <si>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tissue approximately 4g.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All chippings show the presence of infiltrating prostatic adenocarcinoma. Focal squamoid areas are noted. Gleason grade 5+3, (8).</t>
    </r>
  </si>
  <si>
    <t xml:space="preserve">Not stated </t>
  </si>
  <si>
    <t>Gleason grade: 4+4 =8</t>
  </si>
  <si>
    <t>5 per day for 3 - 4 years, stopped 1950s</t>
  </si>
  <si>
    <r>
      <rPr>
        <b/>
        <sz val="10"/>
        <color theme="1"/>
        <rFont val="Calibri"/>
        <family val="2"/>
        <scheme val="minor"/>
      </rPr>
      <t>MACROSCOPY</t>
    </r>
    <r>
      <rPr>
        <sz val="10"/>
        <color theme="1"/>
        <rFont val="Calibri"/>
        <family val="2"/>
        <scheme val="minor"/>
      </rPr>
      <t xml:space="preserve">: Prostate chips weighing approximately 9g.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These prostate chippings are extensively infiltrated by a prostatic adenocarcinoma, Gleason grade 4+4, (8,) with a tertiary pattern 5. The tumour involves approximately 80% of the tissue examined.</t>
    </r>
  </si>
  <si>
    <t>5 units per week</t>
  </si>
  <si>
    <t>T2c</t>
  </si>
  <si>
    <t>Cyproterone Acetate: 12/2007-01/2008 
Decapeptyl: 01/2008 - 03/2010 Stilboestrol:03/2009 - 06/2009 
Casodex: 06/2009-unknown
Cyclophosphamide  and Dexamethasone: 03/2010-05/2010</t>
  </si>
  <si>
    <t>Smoked 1. 5 Oz tobacco per week for 10 years</t>
  </si>
  <si>
    <t>Cyproterone Acetate 100mg twice daily, Decapeptyl 11.25mg injection every 3 months, Stilboestrol 1mg daily, Casodex 150mg daily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</si>
  <si>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19g.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Representative sections were submitted in four cassettes. These are prostate chippings, the majority of which are infiltrated by a prostatic adenocarcinoma, Gleason grade 4+5, (9), with a tertiary pattern 3. The tumour involves approximately 80% of the tissue examined. There is evidence of perineural invasion.</t>
    </r>
  </si>
  <si>
    <t>1a. Metastatic cancer of the prostate 2. Pneumonia</t>
  </si>
  <si>
    <t>cT3</t>
  </si>
  <si>
    <t>Yes-Cyclophosphamide 50mg daily and Dexamethasone 0.5mg daily</t>
  </si>
  <si>
    <t>Cyproterone Acetate: 02/2005-03/2005
Zoladex: 03/2005-02/2006, restarted 02/2007-unknown</t>
  </si>
  <si>
    <t>Cyproterone Acetate 100mg twice daily
 Zoladex 10.8mg injections every 3 months, with periods of cessation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</si>
  <si>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approximately 9 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Chips show prostatic adenocarcinoma 5+4, (9), occupying more than 80% of the total volume of the chips.</t>
    </r>
  </si>
  <si>
    <t>1a. Carcinomatosis 1b. Metastatic prostate cancer</t>
  </si>
  <si>
    <t>Zoladex: 11/2002- indefinitely
Radiotherapy: 03/2003 - 04/2003
Casodex: 03/2007 - 11/2007
Taxotere with prednisolone: 07/2008 - 12/2008
Prednisolone: 01/2009 - 06/2009
Mitozantrone: 05/2009 - 06/2009
Ketoconazole: 08/2009 - 09/2009
Hydrocortisone: 08/2009 - unknown</t>
  </si>
  <si>
    <t>Gleason grade: 5+5=10</t>
  </si>
  <si>
    <t xml:space="preserve">TURP </t>
  </si>
  <si>
    <t xml:space="preserve">
Yes-60Gy in 30 fractions to the prostate</t>
  </si>
  <si>
    <t xml:space="preserve"> Zoladex 10.8mg injections every 3 months, Casodex 150mg daily, Prednisolone 10mg daily, Ketoconazole 200mg twice daily along with Hydrocortisone 30mg am and 10mg pm</t>
  </si>
  <si>
    <t>PSA and PSAP positive, CK7 and 20 negative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</si>
  <si>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Tissue chippings together 9g all embedded.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Fragments of prostatic tissue all of whom are infiltrated by poorly differentiated prostatic adenocarcinoma (PSA and PSAP positive, CK7 and 20 negative) of Gleason grade 5+5, (10).</t>
    </r>
  </si>
  <si>
    <t>1a. Metastatic prostate cancer</t>
  </si>
  <si>
    <t>7 - 14 units per week</t>
  </si>
  <si>
    <t>T3</t>
  </si>
  <si>
    <t>M0</t>
  </si>
  <si>
    <t>Yes- 1 cycle of Mitozantrone 27mg</t>
  </si>
  <si>
    <t xml:space="preserve">Yes-6 cycles of Taxotere with Prednisolone </t>
  </si>
  <si>
    <t>Cyproterone Acetate: 07/2005-08/2005 
Neoadjuvant Prostap: 07/2005-unknown</t>
  </si>
  <si>
    <t xml:space="preserve"> Cyproterone Acetate 100mg twice daily, Prostap 11.25mg injections every 3 months 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</si>
  <si>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approximately 6g.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All the prostatic reamings are infiltrated by Gleason grade 4+5, (9), adenocarcinoma .</t>
    </r>
  </si>
  <si>
    <t>1a. Metastatic Prostate Cancer</t>
  </si>
  <si>
    <t>NX</t>
  </si>
  <si>
    <t>Cyproterone Acetate: 02/2003-04/2003
Zoladex: 04/2003 - 08-2003, restarted
06/2004-08/2007
Decapeptyl: 07/2009-10/210</t>
  </si>
  <si>
    <t>Gleason grade: 3+4=7</t>
  </si>
  <si>
    <t>Stopped in 1989</t>
  </si>
  <si>
    <t>Cyproterone Acetate 100mg twice daily, Zoladex 10.8mg injections every 3 months, Decapeptyl 11.25mg injections every 3 months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</si>
  <si>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10g.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Tissues examined show extensive prostatic adenocarcinoma of Gleason grade 3+4, (7), occupying more than 90% of the tissue examined.</t>
    </r>
  </si>
  <si>
    <t>1a. Bowel perforation 1b. Bowel obstruction 1c. Bowel malignancy, colon adenocarcinoma</t>
  </si>
  <si>
    <t>4 - 10 units per week</t>
  </si>
  <si>
    <t>N1</t>
  </si>
  <si>
    <t>Cyproterone: 02/2006 - 03/2006
Zoladex: 03/2006 - indefinitely</t>
  </si>
  <si>
    <t>Gleason grade: 4+4=8</t>
  </si>
  <si>
    <t>20 per day, stopped in 1980s</t>
  </si>
  <si>
    <t>Cyproterone Acetate 150mg daily for 3 weeks followed by Zoladex 10.8mg injections every 3 months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</si>
  <si>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8g.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Approximately 70% of prostatic reamings are infiltrated by Gleason grade 4+4, (8), adenocarcinoma. Perineural invasion is seen.</t>
    </r>
  </si>
  <si>
    <t>1a. Metastatic prostate cancer 2. COPD</t>
  </si>
  <si>
    <t>14 units per week</t>
  </si>
  <si>
    <t>T2</t>
  </si>
  <si>
    <t xml:space="preserve">
 Casodex: 12/2003-07/2004
 Neoadjuvant Stilboestrol: 04/2002 - 12/2003, restarted 07/2004 - unknown</t>
  </si>
  <si>
    <t>Stopped in 1980s, 25 pack year history</t>
  </si>
  <si>
    <t xml:space="preserve"> Casodex 50 - 150mg daily
Stilboestrol 1 - 2mg daily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</si>
  <si>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approximately 6g.
</t>
    </r>
    <r>
      <rPr>
        <b/>
        <sz val="10"/>
        <color theme="1"/>
        <rFont val="Calibri"/>
        <family val="2"/>
        <scheme val="minor"/>
      </rPr>
      <t xml:space="preserve">
MICROSCOPY: </t>
    </r>
    <r>
      <rPr>
        <sz val="10"/>
        <color theme="1"/>
        <rFont val="Calibri"/>
        <family val="2"/>
        <scheme val="minor"/>
      </rPr>
      <t>Tissue show extensive infiltration of all the chips by poorly differentiated prostatic adenocarcinoma. Vascular and perineural invasion are present.</t>
    </r>
  </si>
  <si>
    <t>Cyproterone Acetate: 06/2004- unknown
Zoladex: 06/2004 - indefinitely
 Stilboestrol: 03/2009 - unknown</t>
  </si>
  <si>
    <t>10 - 15 per day, stopped in 1970s</t>
  </si>
  <si>
    <t>Cyproterone Acetate 100mg 3 times daily for five weeks followed by Zoladex 10.8mg every 3 months,
 Stilboestrol 1mg daily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</si>
  <si>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approximately 9g.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Approximately 75% of prostatic reamings are infiltrated by carcinoma, Gleason grade 4+4, (8). Focal perineural invasion is seen.</t>
    </r>
  </si>
  <si>
    <t>10 - 14 units per week</t>
  </si>
  <si>
    <t>Stopped in 1965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</si>
  <si>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approximately 6g.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Approximately 90% of prostatic reamings are infiltrated by Gleason grade 4+4 (8) adenocarcinoma.</t>
    </r>
  </si>
  <si>
    <t>T3a</t>
  </si>
  <si>
    <t>M1</t>
  </si>
  <si>
    <t>Cyproterone Acetate: 10/2003-11/2003
Prostap: 11/2003 - indefinitely</t>
  </si>
  <si>
    <t>Gleason grade: 5+4=9</t>
  </si>
  <si>
    <t xml:space="preserve"> Cyproterone Acetate 100mg twice daily
 Prostap 11.25mg injections every 3 months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</si>
  <si>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approximately 12g.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Poorly differentiated prostatic adenocarcinoma. Gleason grade 5+4, (9), occupying more than 90% of the total volume of the chippings.</t>
    </r>
  </si>
  <si>
    <t>1a. Metastatic prostate cancer 2. CVA</t>
  </si>
  <si>
    <t>16 units per week</t>
  </si>
  <si>
    <t>Cyproterone Acetate: 03/2002-04/2002
 Neoadjuvant Zoladex: 03/2002 - 11/2005
Casodex: 05/2002-08/2002
Neoadjuvant Prostap: 11/2005- unknown</t>
  </si>
  <si>
    <t>Stopped in 1980s</t>
  </si>
  <si>
    <t>Cyproterone Acetate 100mg twice daily 
Zoladex 10.8mg injections every 3 months
 Casodex 50mg twice daily
  Prostap 11.25mg injections every 3 months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</si>
  <si>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5g.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Prostatic chippings containing extensive adenocarcinoma showing hormonal effect.</t>
    </r>
  </si>
  <si>
    <t>Neoadjuvant Zoladex: 04/2001-indefinitely
 Stilboestrol: 08/2006-07/2008
Casodex: 07/2008-06/2009, restarted 05/2011- unknown
Radiotherapy: 12/2008</t>
  </si>
  <si>
    <t xml:space="preserve">Yes- High dose palliative radiotherapy to prostate 60 Gy in 30 fractions </t>
  </si>
  <si>
    <t>Zoladex injections 10.8mg every 3 months, Stilboestrol 1mg daily, Casodex 50mg daily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</si>
  <si>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24.5g.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Chips extensively infiltrated by a prostatic adenocarcinoma Gleason grade 5+4, (9). The tumour involves approximately 70% of the tissue examined. There is evidence of perineural invasion.</t>
    </r>
  </si>
  <si>
    <t>Only drinks socially</t>
  </si>
  <si>
    <t xml:space="preserve">
Neoadjuvant Zoladex:12/1998-01/2004</t>
  </si>
  <si>
    <t xml:space="preserve">Yes- Radiotherapy to pelvis using anterior and posterior 5mv x-ray beams. Tumour dose 20 Gy in 5 fractions over 7 days </t>
  </si>
  <si>
    <t xml:space="preserve">
Zoladex 10.8mg injections every 3 months</t>
  </si>
  <si>
    <r>
      <rPr>
        <b/>
        <sz val="10"/>
        <color theme="1"/>
        <rFont val="Calibri"/>
        <family val="2"/>
        <scheme val="minor"/>
      </rPr>
      <t>MACROSCOPY</t>
    </r>
    <r>
      <rPr>
        <sz val="10"/>
        <color theme="1"/>
        <rFont val="Calibri"/>
        <family val="2"/>
        <scheme val="minor"/>
      </rPr>
      <t xml:space="preserve">: Prostate chips weighing approximately 7.5g.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Almost all of the chips show prostatic adenocarcinoma, Gleason grade 5+5, (10), with focal extra prostatic extension.</t>
    </r>
  </si>
  <si>
    <t>Cyproterone Acetate: unknown - 08/2004 
Neoadjuvant Zoladex: 08/2004 - indefinitely</t>
  </si>
  <si>
    <t xml:space="preserve">Gleason grade: 5+4=9 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</si>
  <si>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12g.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Almost all of the chips are infiltrated by adenocarcinoma, Gleason grade 5+4 (9) </t>
    </r>
  </si>
  <si>
    <t xml:space="preserve">Quit 10 years before diagnosis </t>
  </si>
  <si>
    <t>Ex-drinker</t>
  </si>
  <si>
    <t>Stilboestrol: 07/1998 - 01/1999, restarted 05/1999-11/2002, restarted 02/2003-01/2004, restarted 06/2004-10/2008
Casodex:11/2002-02/2003
Ethinyloestrodiol: 01/2004-06/2004
Casodex: 09/2007-02/2008</t>
  </si>
  <si>
    <t>Stilboestrol 1mg daily, Casodex 150mg daily, Ethinyloestrodiol 10mcgs twice daily, Casodex 150mg daily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</si>
  <si>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17g.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95% of the chips are infiltrated by adenocarcinoma, Gleason grade 5+4, (9). </t>
    </r>
  </si>
  <si>
    <t>General deterioration secondary to metastatic prostate cancer</t>
  </si>
  <si>
    <t>Cyproterone Acetate: 05/1996-06/1996
Neoadjuvant Zoladex: 05/1996-03/2012
Decapeptyl: 03/2012- indefinitely
Casodex 07/2012- unknown
Bicalutamide: 07/2012- unknown</t>
  </si>
  <si>
    <t>Gleason grade: 4+5=9</t>
  </si>
  <si>
    <t>20 per day</t>
  </si>
  <si>
    <t>Cyproterone Acetate 100mg twice daily, Zoladex 10.8mg injections every 3 months, injections of Decapeptyl 11.25mg replaced Zoladex, Casodex 150mg daily, Bicalutamide 150mg daily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</si>
  <si>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9g.
</t>
    </r>
    <r>
      <rPr>
        <b/>
        <sz val="10"/>
        <color theme="1"/>
        <rFont val="Calibri"/>
        <family val="2"/>
        <scheme val="minor"/>
      </rPr>
      <t xml:space="preserve">
MICROSCOPY:</t>
    </r>
    <r>
      <rPr>
        <sz val="10"/>
        <color theme="1"/>
        <rFont val="Calibri"/>
        <family val="2"/>
        <scheme val="minor"/>
      </rPr>
      <t xml:space="preserve"> 80% of prostatic chips contain invasive adenocarcinoma, Gleason grade 4+5, (9).</t>
    </r>
  </si>
  <si>
    <t>10 - 12 units per week</t>
  </si>
  <si>
    <t>Neoadjuvant Zoladex: 02/2003- indefinitely
Neoadjuvant Radiotherapy: 03/2006- 05/2006
Casodex: 10/2006- indefinitely</t>
  </si>
  <si>
    <t>Gleason grade: 5+5 =10</t>
  </si>
  <si>
    <t>Channel TURP</t>
  </si>
  <si>
    <t>Yes- Radiotherapy to the prostate in 2 phases used planned isocentric 10Mv X-ray beams. Phases I 45Gy in 25 factions over 36 days. Phase II 19.8Gy in 36 fractions over 57 days</t>
  </si>
  <si>
    <t>Zoladex 10.8mg injections every 3 months (continuous as part of PR07 study), Casodex 150mg daily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</si>
  <si>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10g.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100% of prostatic reamings are infiltrated by Gleason grade 5+5, (10), adenocarcinoma.</t>
    </r>
  </si>
  <si>
    <t>Neoadjuvant Prostap: 11/2004- unknown</t>
  </si>
  <si>
    <t>Gleason grade: 4+3 =7</t>
  </si>
  <si>
    <t>Prostap 11.25mg injection every 3 months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</si>
  <si>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9g.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Almost all the prostatic reamings are infiltrated by Gleason grade 4+3, (7), adenocarcinoma.</t>
    </r>
  </si>
  <si>
    <t>Zoladex: 12/2001- indefinitely
Stilboestrol: 02/2013-06/2015</t>
  </si>
  <si>
    <t>Zoladex 10.8mg injection every 3 months, Stilboestrol 1mg and aspirin 75mg daily.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</si>
  <si>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12g.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90% of chips contain invasive adenocarcinoma, Gleason grade 4+5, (9).Perineural invasion noted.</t>
    </r>
  </si>
  <si>
    <t>Stilboestrol: 01/2003-11/2005</t>
  </si>
  <si>
    <t>Gleason grade: 3+5 =8</t>
  </si>
  <si>
    <t>Stilboestrol 1mg once daily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</si>
  <si>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6g.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90% of prostatic tissue is infiltrated by adenocarcinoma, Gleason grade 3+5, (8). Perineural and Vascular channel invasion are seen. Patient receiving hormones.</t>
    </r>
  </si>
  <si>
    <t>Neoadjuvant Stilboestrol: 08/1999 - 06/2000 restarted 12/2000 - 10/2006
Casodex: 11/2006 - unknown
Cyproterone: 03/2008 - 04/2008
Cyclophosphamide: 06/2008 - unknown
Dexamethasone: 06/2008 - unknown</t>
  </si>
  <si>
    <t>TURP and bilateral orchiectomy</t>
  </si>
  <si>
    <t>Intermittent Stilboestrol 1mg daily
Casodex 150mg once daily
Cyproterone Acetate 100 mgs three times daily 
Dexamethasone 2mg daily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</si>
  <si>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17g.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Prostatic tissue shows high grade adenocarcinoma , occupying more than 90% of chips with a Gleason grade 4+5, (9). No Perineural invasion identified.</t>
    </r>
  </si>
  <si>
    <t>8 - 10 units per week</t>
  </si>
  <si>
    <t>None</t>
  </si>
  <si>
    <t xml:space="preserve">Yes-Cyclophosphamide 50mg daily </t>
  </si>
  <si>
    <t>Radiotherapy: 05/2005 - 07/2005
Casodex: 04/2005 - 07/2006
Zoladex: 06/2006 - indefinitely</t>
  </si>
  <si>
    <t xml:space="preserve">Gleason grade: 4+5=9 </t>
  </si>
  <si>
    <t xml:space="preserve">Radical prostastectomy </t>
  </si>
  <si>
    <t>Yes- Received 64 Gy in 32 fractions to prostate</t>
  </si>
  <si>
    <t>Neoadjuvant Casodex 150mg daily
 Zoladex 10.8mg injections every 3 months, Zoladex injections</t>
  </si>
  <si>
    <r>
      <rPr>
        <b/>
        <sz val="10"/>
        <color theme="1"/>
        <rFont val="Calibri"/>
        <family val="2"/>
        <scheme val="minor"/>
      </rPr>
      <t xml:space="preserve"> MACROSCOPY: </t>
    </r>
    <r>
      <rPr>
        <sz val="10"/>
        <color theme="1"/>
        <rFont val="Calibri"/>
        <family val="2"/>
        <scheme val="minor"/>
      </rPr>
      <t xml:space="preserve">Prostate specimen weighing 59g and measuring 50 x 40 x 35mm with attached seminal vesicles of length up to 25mm.
</t>
    </r>
    <r>
      <rPr>
        <b/>
        <sz val="10"/>
        <color theme="1"/>
        <rFont val="Calibri"/>
        <family val="2"/>
        <scheme val="minor"/>
      </rPr>
      <t xml:space="preserve">
MICROSCOPY:</t>
    </r>
    <r>
      <rPr>
        <sz val="10"/>
        <color theme="1"/>
        <rFont val="Calibri"/>
        <family val="2"/>
        <scheme val="minor"/>
      </rPr>
      <t xml:space="preserve"> Histology confirms the presence of high volume and widespread high grade prostatic adenocarcinoma, Gleason grade  5+4, (9), with tertiary pattern 3. There is widespread perineural invasion and bilateral extra-prostatic extension. There is also possible vascular channel invasion. Tumour is present in a widespread manner in both seminal vesicles. Negative apical and radial margins but widespread involvement of base of gland and seminal vesicles. Margins are positive in seminal vesicles.</t>
    </r>
  </si>
  <si>
    <t>N0</t>
  </si>
  <si>
    <t>Decapeptyl: 12/2011 - indefinitely</t>
  </si>
  <si>
    <t>Gleason grade: 4+5= 9</t>
  </si>
  <si>
    <t>Stopped at 30 years of age</t>
  </si>
  <si>
    <t>Decapeptyl 11.25mg injections every 3 months</t>
  </si>
  <si>
    <t>Positive for AE1/AE3 and focal positivity for PSA and PSAP, negative for CDX2, CK20, and CK7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</si>
  <si>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4g.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 xml:space="preserve">100% of chips are infiltrated by Gleason grade 4+5, (9), adenocarcinoma. Patient receiving hormones </t>
    </r>
  </si>
  <si>
    <t>Cyproterone Acetate and Zoladex: 11/2004 -07/2006
Casodex: 08/2006 - indefinitely</t>
  </si>
  <si>
    <t>Cyproterone Acetate 100mg twice daily, Zoladex 10.8mg injections every 3 monthly, Casodex 150mg daily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</si>
  <si>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approximately 9g.
</t>
    </r>
    <r>
      <rPr>
        <b/>
        <sz val="10"/>
        <color theme="1"/>
        <rFont val="Calibri"/>
        <family val="2"/>
        <scheme val="minor"/>
      </rPr>
      <t xml:space="preserve">MICROSCOPY: </t>
    </r>
    <r>
      <rPr>
        <sz val="10"/>
        <color theme="1"/>
        <rFont val="Calibri"/>
        <family val="2"/>
        <scheme val="minor"/>
      </rPr>
      <t>Approximately 90% of prostatic reamings are infiltrated by Gleason grade 5+5, (10) adenocarcinoma.</t>
    </r>
  </si>
  <si>
    <t>Cyproterone Acetate: 05/2006 - 05/2006
Zoladex: 05/2006 - indefinitely</t>
  </si>
  <si>
    <t>Cyproterone Acetate 100mg twice daily, Zoladex 10.8mg every 3 months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</si>
  <si>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approximately 9g.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Approximately 90% of prostatic chips are infiltrated by adenocarcinoma. The tumour is not graded as the patient is receiving hormones. </t>
    </r>
  </si>
  <si>
    <t>Cyproterone Acetate: 04/2005-05/2005, 01/2006-indefinitely
Zoladex: 04/2005 - indefinitely</t>
  </si>
  <si>
    <t xml:space="preserve">Gleason grade: 4+4=8 </t>
  </si>
  <si>
    <r>
      <rPr>
        <b/>
        <sz val="10"/>
        <color theme="1"/>
        <rFont val="Calibri"/>
        <family val="2"/>
        <scheme val="minor"/>
      </rPr>
      <t xml:space="preserve">MACROSCOPY: </t>
    </r>
    <r>
      <rPr>
        <sz val="10"/>
        <color theme="1"/>
        <rFont val="Calibri"/>
        <family val="2"/>
        <scheme val="minor"/>
      </rPr>
      <t xml:space="preserve">Prostate chips weighing approximately 15g.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Chips contain prostatic adenocarcinoma, Gleason grade 4+4, (8), occupying nearly 40% of the total volume of the chips. PSA 25</t>
    </r>
  </si>
  <si>
    <t xml:space="preserve">
Cyproterone Acetate: 05/2004-06/2004
 Zoladex: 05/2004-indefinitely</t>
  </si>
  <si>
    <t>Stopped in 1960s</t>
  </si>
  <si>
    <r>
      <rPr>
        <b/>
        <sz val="10"/>
        <color theme="1"/>
        <rFont val="Calibri"/>
        <family val="2"/>
        <scheme val="minor"/>
      </rPr>
      <t>MACROSCOPY:</t>
    </r>
    <r>
      <rPr>
        <sz val="10"/>
        <color theme="1"/>
        <rFont val="Calibri"/>
        <family val="2"/>
        <scheme val="minor"/>
      </rPr>
      <t xml:space="preserve"> Prostate chips weighing approximately 12g.
</t>
    </r>
    <r>
      <rPr>
        <b/>
        <sz val="10"/>
        <color theme="1"/>
        <rFont val="Calibri"/>
        <family val="2"/>
        <scheme val="minor"/>
      </rPr>
      <t>MICROSCOPY:</t>
    </r>
    <r>
      <rPr>
        <sz val="10"/>
        <color theme="1"/>
        <rFont val="Calibri"/>
        <family val="2"/>
        <scheme val="minor"/>
      </rPr>
      <t xml:space="preserve"> Chips contain prostatic adenocarcinoma, Gleason grade 4+5, (9), occupying nearly 25% of the volume of the chips examined. </t>
    </r>
  </si>
  <si>
    <t>3 - 12 units per week, stopped around time of diagnosis</t>
  </si>
  <si>
    <t>Ex-Drinker</t>
  </si>
  <si>
    <t>Date last known alive (added)</t>
  </si>
  <si>
    <t>Survival status (added)</t>
  </si>
  <si>
    <t>Period between disease progression in months (added)</t>
  </si>
  <si>
    <t>Estimated treatment dates (added)</t>
  </si>
  <si>
    <t>Tumour Grade (added)</t>
  </si>
  <si>
    <t>Cancer status (added)</t>
  </si>
  <si>
    <t>Immuno Tx (Regimen, type, duration)</t>
  </si>
  <si>
    <t>Surgery, Site And Side</t>
  </si>
  <si>
    <t>Study Name</t>
  </si>
  <si>
    <t>Stage At Diagnosis</t>
  </si>
  <si>
    <t>Specimen 1 Type</t>
  </si>
  <si>
    <t>Specimen 1 Collection Date</t>
  </si>
  <si>
    <t>Smoking History</t>
  </si>
  <si>
    <t>Smoking Status</t>
  </si>
  <si>
    <t>Set Availability</t>
  </si>
  <si>
    <t>Sample Type</t>
  </si>
  <si>
    <t>Radiation 2: Type</t>
  </si>
  <si>
    <t>Radiation 1: Type</t>
  </si>
  <si>
    <t>Prefix</t>
  </si>
  <si>
    <t>Other Therapy</t>
  </si>
  <si>
    <t>Molecular Data</t>
  </si>
  <si>
    <t>Immuno Met Tx</t>
  </si>
  <si>
    <t>Immunohistopathologic Data</t>
  </si>
  <si>
    <t>Histopathologic Data/ Subtype</t>
  </si>
  <si>
    <t>Geographic Origin</t>
  </si>
  <si>
    <t>Expiration Date</t>
  </si>
  <si>
    <t>Ethnicity</t>
  </si>
  <si>
    <t>Diagnosis</t>
  </si>
  <si>
    <t>Death Date</t>
  </si>
  <si>
    <t>Contact Person</t>
  </si>
  <si>
    <t>Collection Time</t>
  </si>
  <si>
    <t>Collection Date</t>
  </si>
  <si>
    <t>Cause Of Death</t>
  </si>
  <si>
    <t>Alcohol History</t>
  </si>
  <si>
    <t>Alcohol Status</t>
  </si>
  <si>
    <t>Ajcc Staging T</t>
  </si>
  <si>
    <t>Ajcc Staging N</t>
  </si>
  <si>
    <t>Ajcc Staging M</t>
  </si>
  <si>
    <t>Age At Diagnosis</t>
  </si>
  <si>
    <t>Adjuvant Treatment Regimen 2</t>
  </si>
  <si>
    <t>Adjuvant Treatment Regimen 1</t>
  </si>
  <si>
    <t>Sample ID</t>
  </si>
  <si>
    <t>Patient ID</t>
  </si>
  <si>
    <t>Surgery, Site and Side</t>
  </si>
  <si>
    <t>12D006505</t>
  </si>
  <si>
    <t>Mar-02 - 213.00; May-02 - 4.10; Aug-02 - 0.90; Oct-02 - 0.60; Mar-03 - 1.10; Sep-03 - 1.00; Nov-03 - 1.30; Mar-04 - 1.70; Nov-04 - 3.40; May-05 - 3.60; Nov-05 - 2.20; May-06 - 8.40; Sep-06 - 8.90; Dec-06 - 11.60; Jan-07 - 8.30; Apr-07 - 15.80; Aug-07 - 3.70; Nov-07 - 5.60; Mar-08 - 4.40; Sep-08 - 9.00; Nov-08 - 9.00; Dec-08 - 18.90; Jan-09 - 19.70; Feb-09 - 25.60; Mar-09 - 33.70 and 43.10; Apr-09 - 48.80; May-09 - 45.60, 115.00 and 191.00; Jun-09 - 177.00; Aug-09 - 51.80; Sep-09 - 19.10; Jan-10 - 32.40; Apr-10 - 85.50; Jun-10 - 511.00; Jun-10 - 602.00.</t>
  </si>
  <si>
    <t>Adenocarcinoma</t>
  </si>
  <si>
    <t>Prostate TURP (Chips)</t>
  </si>
  <si>
    <t>Male</t>
  </si>
  <si>
    <t>May-04 - 15.00; Sep-05 - 19.80; Jan-06 - 21.90; Jun-06 - 32.90; Aug-06 - 24.60; Feb-07 - 24.30; Jun-07 - 45.60; Sep-07 - 114.00; Apr-08 - 6.10; Aug-08 - 2.90; Feb-09 - 41.80; Apr-09 - 137.00; Jul-09 - 92.90; Nov-09 - 182.00; Feb-10 - 454.00; Apr-10 - 1035.00; Apr-10 - 1055.00; May-10 - 1746.00 and 2320.00.</t>
  </si>
  <si>
    <t>Mar-99 - 43.6; Sep-99 - 53.4; Mar-00 - 51.6; Sep-00 - 64.2; May-01 - 1.7; Aug-01 - &lt;0.1; Nov-01 - &lt;0.1; May-02 - 0.10; Nov-02 - 0.20; Jun-06 - 136.00; Jul-06 - 282.20; Sep-06 - 1054.00.</t>
  </si>
  <si>
    <t>Feb-98 - 18.6; Mar-98 - 17.2; Sep-98 - 24.0; Mar-99 - 15.0; Sep-99 - 21.2; Mar-00 - 24.1; Sep-00 - 38.5; Mar-01 - 51.2; Oct-01 - 4.30; Apr-02 - 2.90; Nov-02 - 2.80; May-03 - 4.30; Nov-03 - 4.50; Jun-04 - 5.30; Nov-04 - 6.20; Apr-05 - 6.10; Dec-05 - 14.00; Jul-06 - 19.60; Jun-07 - 44.40; Aug-07 - 80.70; Nov-07 - 25.20; Feb-08 - 25.60; Jun-08 - 30.90; Aug-08 - 48.20; Oct-08 - 126.00; Dec-08 - 73.60; Jan-09 - 54.20; May-09 - 74.80; Jul-09 - 156.00; Aug-09 - 287.00; Sep-09 - 301.00; Nov-09 - 311.00; Jan-10 - 304.00; Mar-10 - 366.00 and 432.00; May-10 - 444.00; Jun-10 - 526.00; Jul-10 - 607.00; Aug-10 - 850.00; Sep-10 - 671.00; Oct-10 - 127.00; Dec-10 - 368.00; Feb-11 - 204.00; Apr-11 - 434.00; May-11 - 530.00; Jul-11 - 1179.00; Jul-11 - 1379.00.</t>
  </si>
  <si>
    <t>Jun-06 - 129.00; Jun-07 - 182.00; Oct-07 - 198.00; Feb-08 - 263.00; Jun-08 - 332.00; Jun-09 - 938.00; Jul-09 - 1696.00; Nov-09 - 10.70; Mar-10 - 5.50; Jul-10 - 4.30; Jan-11 - 93.10; May-11 - 290.00; May-11 - 367.00 and 392.00.</t>
  </si>
  <si>
    <t>Aug-04 - 40.50 and 47.50; Dec-04 - 3.00; Mar-05 - 0.60; Jul-05 - 4.10; Sep-05 - 7.40; Mar-06 - 27.30; Apr-06 - 27.10; Aug-06 - 316.00; Sep-06 - 149.00.</t>
  </si>
  <si>
    <t>Dec-03 - 21.0; Apr-04 - 30.8; Mar-06 - 54.50; May-07 - 0.80; Sep-07 - 1.40; Apr-08 - 3.00; Jul-08 - 4.30; Oct-08 - 4.00; Jan-09 - 5.20; May-09 - 5.50; Jul-09 - 6.00; Nov-09 - 5.50; Feb-10 - 6.50; May-10 - 6.90; Jun-10 - 6.60; Aug-10 - 6.10; Dec-10 - 6.70; May-11 - 55.00; Jul-11 - 289.00.</t>
  </si>
  <si>
    <t>Jun-05 - 47.40; Nov-05 - 12.60; Jun-06 - 9.90; Jul-06 - 5.80; Feb-07 - 10.90; Jun-07 - 12.10; Jul-07 - 15.90; Sep-07 - 17.80; Jan-08 - 20.60; May-08 - 75.70; Jun-08 - 121.00 and 175.00; Jul-08 - 132.00; Aug-08 - 139.00.</t>
  </si>
  <si>
    <t>Feb-04 - 26.50; Aug-04 - 5.30; Oct-04 - 5.00; Feb-05 - 5.70; Jul-05 - 7.10; Oct-05 - 10.70; Feb-06 - 12.50; May-06 - 13.30; Jul-06 - 13.50; Oct-06 - 43.30.</t>
  </si>
  <si>
    <t>cT2</t>
  </si>
  <si>
    <t>Jan-96 - 96.2; Aug-96 - 133.0; Oct-96 - 1.9; Nov-96 - 0.8; May-97 - 0.4; Nov-97 - 0.9; May-98 - 12.5; Jul-98 - 18.2; Sep-98 - 25.4; Nov-98 - 38.2; Mar-99 - 188.0; Apr-99 - 294.0.</t>
  </si>
  <si>
    <t>Not given</t>
  </si>
  <si>
    <t>Sep-97 - 183.0; Oct-97 - 7.0; Dec-97 - 3.8; May-98 - 82.8; Jun-98 - 35.6; Aug-98 - 37.8; Nov-98 - 111.0 and 123.0; Dec-98 - 198.0; Feb-99 - 150.0; Mar-99 - 124.0.</t>
  </si>
  <si>
    <t>Oct-04 - 114.0; Nov-04 - 32.60; Apr-05 - 0.70; Aug-05 - 0.20; Nov-06 - 2.00; Jun-07 - 1.10; Sep-07 - 3.00; Apr-08 - 16.70; Sep-08 - 78.70; Dec-08 - 90.50; Jan-09 - 82.10; Mar-09 - 79.00; Jun-09 - 82.10; Sep-09 - 89.40; Oct-09 - 128.00; Dec-09 - 166.00; Mar-10 - 598.00; May-10 - 1083.00.</t>
  </si>
  <si>
    <t>Aug-06 - 58.30; Jun-08 - 10.00; Mar-09 - 19.60; Sep-09 - 36.70; Jan-10 - 40.60; May-10 - 40.40.</t>
  </si>
  <si>
    <t>Dec-05 - 61.60; Mar-07 - 0.80; Apr-07 - 0.70; Jun-07 - 0.50; Sep-07 - 0.40; Dec-07 - 0.30; Mar-08 - 0.30; May-08 - 0.30; Aug-08 - 0.20; Sep-08 - 0.20; Dec-08 - 0.20; Feb-09 - 0.20; Aug-09 - 0.19; Jan-10 - 0.19; Apr-10 - 0.19; Jul-10 - 0.18; Oct-10 - 0.24; May-11 - 0.20; Oct-11 - 0.37; May-12 - 0.49; Jul-12 - 0.32; Dec-12 - 0.46; May-13 - 0.70; Jul-13 - 0.49; Oct-13 - 0.51; Feb-14 - 0.61; Jun-14 - 0.73; Jul-14 - 0.75; Feb-15 - 0.92; Mar-15 - 1.10; Apr-15 - 1.50; Nov-15 - 1.20; May-16 - 6.60.</t>
  </si>
  <si>
    <t>Jan-06 - 141.0; Apr-06 - 11.10; Jul-06 - 5.00; May-07 - 2.30; Aug-07 - 1.60; Oct-07 - 1.60; May-08 - 1.00; Nov-08 - 0.90; Jun-09 - 1.30; Nov-09 - 1.20; May-10 - 1.70; Dec-10 - 2.00; Jun-11 - 3.00; Jan-12 - 4.40; Jul-12 - 0.97; Jan-13 - 1.60; Jul-13 - 1.80; Jan-14 - 2.00; Jul-14 - 2.60; Jan-15 - 3.30; Jul-15 - 3.50; Jan-16 - 6.00; Jul-16 - 8.30.</t>
  </si>
  <si>
    <t>Apr-06 - 110.00; Dec-06 - 85.90 and 94.70; Aug-07 - 0.30; Feb-08 - 0.10; Aug-08 - 0.10; Aug-09 - 0.06; Jul-10 - 0.06; Aug-10 - 0.07; Jan-11 - 0.07; Apr-11 - 0.12; Sep-11 - 0.23; Apr-12 - 0.50; Sep-12 - 0.93; Jul-13 - 1.60; Sep-14 - 3.30; Nov-14 - 3.60; Apr-15 - 4.00; Jul-15 - 4.30; Sep-15 - 8.50; Oct-15 - 5.70; Apr-16 - 5.10.</t>
  </si>
  <si>
    <t>mri T3b N0 M0</t>
  </si>
  <si>
    <t>Sep-06 - 79.20; Nov-06 - 146.00; Mar-07 - 1.60; Jul-07 - 1.20; Oct-07 - 1.20; Nov-07 - 1.00; Jan-08 - 1.40; Apr-08 - 1.20; Jul-08 - 1.60; Oct-08 - 2.20; Jan-09 - 2.80; Apr-09 - 6.00; Jul-09 - 7.40; Aug-09 - 6.90; Nov-09 - 8.10; Feb-10 - 23.70; Jun-10 - 17.20; Sep-10 - 22.00; Jan-11 - 34.50; May-11 - 49.70; Jul-11 - 25.10; Sep-11 - 30.00; Jan-12 - 76.50; May-12 - 44.40; Aug-12 - 30.30; Sep-12 - 28.10; Jan-13 - 45.70; Feb-13 - 44.30; Jun-13 - 50.00; Sep-13 - 58.30; Dec-13 - 68.50; Jul-14 - 157.00; Sep-14 - 184.00; Dec-14 - 323.00; Mar-16 - 2217.00.</t>
  </si>
  <si>
    <t>Feb-06 - 22.40; Nov-06 - 8.60; May-07 - 8.00; Nov-07 - 8.50; Dec-07 - 11.20; Feb-08 - 10.00; Apr-08 - 8.50; Aug-08 - 10.00; Nov-09 - 246.00 and 289.00.</t>
  </si>
  <si>
    <t>11/05 - 15.0; 02/06 - 2.80; 08/06 - 6.70; 08/07 - 8.40; 09/08 - 16.20; 11/08 - 14.60; 03/09 - 16.20.</t>
  </si>
  <si>
    <t>Feb-98 - 17.7; Jun-98 - 23.5; Dec-98 - 11.7; Jun-99 - 13.0; Dec-99 - 13.4; Jun-00 - 14.3; Jan-01 - 16.4; Jul-01 - 17.0; Sep-02 - 19.90; Mar-03 - 26.00; Nov-04 - 59.00; Jan-05 - 21.10; May-05 - 24.60; Jan-06 - 64.50; Jun-06 - 33.20; Dec-06 - 2.80; Jun-07 - 1.70; Dec-07 - 0.80; Jun-08 - 1.60; Nov-08 - 6.70; Apr-09 - 77.90.</t>
  </si>
  <si>
    <t>Jul-04 - 17.0; Apr-05 - 0.60; Jun-05 - &lt;0.10; Jul-05 - 0.10; Oct-05 - 0.20; Jan-06 - 0.50; May-06 - 2.80 and 4.40; Jun-06 - 4.70; Jul-06 - 0.30; Dec-06 - &lt;0.10; Apr-07 - 0.10; Jun-07 - 1.20; Sep-07 - 2.30; Jan-08 - 7.60; Feb-08 - 14.90; Mar-08 - 14.80; Apr-08 - 13.40; May-08 - 26.80; Jun-08 - 62.60 and 88.60; Jul-08 - 115.00 and 160.00; Aug-08 - 192.00 and 228.00; Sep-08 - 205.00; Oct-08 - 252.00; Nov-08 - 335.00 and 389.00; Nov-08 - 368.00; Jan-09 - 249.00; Apr-09 - 504.00; Jun-09 - 804.00; Jul-09 - 1390.00; Aug-09 - 1282.00 and 1427.00; Sep-09 - 1682.00 and 2228.00; Oct-09 - 2138.00; Nov-09 - 1215.00; Dec-09 - 886.00; Jan-10 - 1476.00.</t>
  </si>
  <si>
    <t>pT3b N0 Mx</t>
  </si>
  <si>
    <t>Radical prostatectomy</t>
  </si>
  <si>
    <t>Apr-04 - 29.60; Dec-04 - 34.90; Apr-05 - 109.00; Jul-05 - 1.80; Aug-05 - 2.50; Jan-06 - 0.40; May-06 - 0.70; Sep-06 - 4.00; Nov-06 - 12.10; Dec-06 - 12.00; Feb-07 - 8.10; Apr-07 - 6.40; Jul-07 - 11.90; Aug-07 - 24.40 and 30.10.</t>
  </si>
  <si>
    <t>Aug-04 - 57.70; Nov-04 - 83.00; Feb-05 - 169.00; May-05 - 2.30; Nov-05 - 1.10; Jul-06 - 1.00; Jan-07 - 12.70; May-07 - 2.00; Sep-07 - 2.20; Mar-08 - 4.70; Sep-08 - 6.60; Jan-09 - 10.20; Apr-09 - 12.20; Sep-09 - 54.90; Dec-09 - 46.70; May-10 - 280.00; Jun-10 - 281.00; Jun-10 - 252.00; Jul-10 - 242.00; Aug-10 - 317.00; Sep-10 - 503.00.</t>
  </si>
  <si>
    <t>Jan-04 - 91.70; Feb-04 - 77.00; Feb-05 - 0.30; Jul-05 - 0.20; Jan-06 - 0.20; Jan-07 - 2.00; Aug-07 - 7.60; Feb-08 - 20.70; Jun-08 - 26.50; Sep-08 - 22.50; Mar-09 - 67.70.</t>
  </si>
  <si>
    <t>Nov-03 - 64.60; Dec-03 - 67.50; May-04 - 79.10; Aug-04 - 12.50; Jan-05 - 7.50; Aug-05 - 4.10; Feb-06 - 10.30; Oct-06 - 19.90; Apr-07 - 28.00; Oct-07 - 42.80; Jan-08 - 73.70; May-08 - 60.10; Aug-08 - 25.60; Jan-09 - 78.20; Mar-10 - 459.00.</t>
  </si>
  <si>
    <t>Jul-01 - 65.0; Dec-01 - 76.00; Jan-02 - 79.00; May-02 - 86.90; Jul-02 - 81.60; Dec-02 - 84.90; Jul-03 - 103.00; Feb-04 - 1.10; Aug-04 - 0.40; Oct-05 - 0.50; Oct-06 - 1.90; May-07 - 4.10; Oct-07 - 7.60; May-08 - 31.50; Aug-08 - 79.50; Oct-08 - 49.50; Feb-09 - 272.00; Apr-09 - 324.00; Jul-09 - 383.00; Sep-09 - 501.00 and 586.00; Nov-09 - 412.00; Mar-10 - 93.30; May-10 - 880.00; Jun-10 - 2633.00; Jul-10 - 2522.00.</t>
  </si>
  <si>
    <t>Jan-99 - 4.8; Jun-99 - 0.9; Dec-99 - 0.9; May-00 - 1.1; Nov-00 - 2.6; Apr-01 - 4.6; Oct-01 - 6.20; May-02 - 7.50; Jun-02 - 11.50; Jan-03 - 13.20; Feb-03 - 14.50; May-03 - 18.10; Jun-03 - 23.50; Oct-03 - 136.00 and 164.00; Nov-03 - 187.00; Jan-04 - 299.00; Feb-04 - 434.00 and 333.00; Mar-04 - 480.00; Apr-04 - 1213.00.</t>
  </si>
  <si>
    <t>cT4</t>
  </si>
  <si>
    <t>Dec-02 - 186.00; Apr-03 - 4.00; Aug-03 - 2.00; Dec-03 - 2.20; Mar-04 - 1.80; May-04 - 18.50; Jun-04 - 20.70; Sep-04 - 1.60; Mar-05 - 2.00; Sep-05 - 1.10; Mar-06 - 1.50; Aug-06 - 1.70; Mar-07 - 1.90; Aug-07 - 2.50; Sep-07 - 2.20; Oct-07 - 2.20; Dec-07 - 2.80; Jan-08 - 2.30; Apr-08 - 2.60; Oct-08 - 6.20; Apr-09 - 7.10; Jun-09 - 8.20; Oct-09 - 4.00; Mar-10 - 7.40; Jun-10 - 9.80; Jul-10 - 9.10; Aug-10 - 16.30; Sep-10 - 19.30; Jan-11 - 21.10; Jan-11 - 50.00.</t>
  </si>
  <si>
    <t>Oct-98 - 107.0; Mar-99 - 1.4; Dec-99 - 1.7; Jun-00 - 2.6; Dec-00 - 4.2; Jun-01 - 8.5; Sep-01 - 10.4; Dec-01 - 17.10; Jun-02 - 6.20; Aug-02 - 5.60; Dec-02 - 17.00; Jan-03 - 22.30; Mar-03 - 19.20; Sep-03 - 69.60; Oct-03 - 74.30; Nov-03 - 106.00; Jan-04 - 293.00; Apr-04 - 401.00; Jul-04 - 693.00; Aug-04 - 571.00; Nov-04 - 947.00; Jan-05 - 3011.00; Feb-05 - 7734.00.</t>
  </si>
  <si>
    <t>Oct-02 - 10.0; Nov-02 - 0.60; May-03 - &lt;0.10; Jul-03 - &lt;0.10; Jan-04 - &lt;0.10; Aug-04 - &lt;0.10; Dec-04 - &lt;0.10; Mar-05 - 0.10; Jun-05 - 0.10; Sep-05 - 0.20; Dec-05 - 0.30; Mar-06 - 0.40; Sep-06 - 0.90; Dec-06 - 1.90; Jan-07 - 2.20; Mar-07 - 2.90; Jun-07 - 1.50; Sep-07 - 3.20; Nov-07 - 4.40; Dec-07 - 6.00; Jan-08 - 8.20; Apr-08 - 11.80; Jul-08 - 16.40; Sep-08 - 7.40; Oct-08 - 2.90; Nov-08 - 2.60; Dec-08 - 3.10; Feb-09 - 4.30; May-09 - 20.70 and 27.10; Jun-09 - 35.20 and 47.40; Jul-09 - 48.40; Aug-09 - 117.00; Oct-09 -210.00 and 178.00; Dec-09 - 366.00; Jan-10 - 353.00.</t>
  </si>
  <si>
    <t>Oct-98 - 120.0; Nov-98 - 2.1; Jan-99 - 0.4; Jun-99 - 25.7; Sep-99 - 138.0; Dec-99 - 2.2; Feb-00 - 1.6; Mar-00 - 1.8; Jun-00 - 3.6; Sep-00 - 7.4; Dec-00 - 14.2; Feb-01 - 35.3; Mar-01 - 63.0; May-01 - 75.8; Jun-01 - 70.1; Jul-01 - 80.3; Sep-01 - 54.60; Oct-01 - 46.10; Jan-02 - 76.00; Feb-02 - 94.20; Apr-02 - 128.80; Jul-02 - 277.00; Aug-02 - 436.00; Oct-02 - 616.00.</t>
  </si>
  <si>
    <t>Aug-96 - 147.0; Feb-97 - 12.9; May-97 - 11.7; Sep-97 - 13.2; Mar-98 - 32.9; Jul-98 - 88.0; Oct-98 - 109.0; Feb-99 - 234.0; Apr-99 - 369.0.</t>
  </si>
  <si>
    <t>Adenocarcinoma, focally squamoid</t>
  </si>
  <si>
    <t>Oct-04 - 20.9; May-05 - 1.40; Aug-05 - 2.30; Dec-05 - 3.20; Mar-06 - 8.40; Apr-06 - 12.40; Jun-06 - 18.90; Jul-06 - 26.20; Sep-06 - 43.50; Oct-06 - 109.00.</t>
  </si>
  <si>
    <t>Jan-98 - 81.0; Aug-98 - 1339.0; Nov-98 - 963.0; Dec-98 - 337.0; Mar-99 - 47.2; Jun-99 - 10.3; Sep-99 - 1.3; Dec-99 - 3.6; Mar-00 - 2.2; Jun-00 - 8.8; Sep-00 - 35.2; Dec-00 - 66.4; Feb-01 - 80.8; Mar-01 - 126.0; Apr-01 - 112.0; Jun-01 - 116.0; Aug-01 - 293.0 and 303.0; Oct-01 - 706.30; Nov-01 - 669.00 and 1223.20.</t>
  </si>
  <si>
    <t>Apr-96 - 82.0; Oct-96 - 93.1; Apr-97 - 241.0; Oct-97 - 374.0; Apr-98 - 825.0; Jul-98 - 1275.0; Sep-98 - 197.0; Nov-98 - 114.0 and 65.7; Dec-98 - 58.4; Jan-99 - 39.0; Feb-99 - 15.3; May-99 - 18.5; Aug-99 - 42.3; Oct-99 - 66.9; Nov-99 - 128.0; Jan-00 - 423.0.</t>
  </si>
  <si>
    <t>White</t>
  </si>
  <si>
    <t>May-98 - 30.3; Jun-98 - 35.8; Nov-98 - 0.1; May-99 - &lt;0.1; Nov-99 - 0.1; Jun-00 - 0.2; Jan-01 - &lt;0.1; Sep-06 - 0.80; Apr-07 - 0.90; Apr-08 - 1.00; Feb-10 - 3.00; Aug-10 - 6.00; Nov-10 - 6.80; Feb-11 - 11.10; May-11 - 17.30; Jun-11 - 39.90; Sep-11 - 11.70; Jan-12 - 32.60; Mar-12 - 71.60; May-12 - 57.20; Aug-12 - 136.00; Oct-12 - 407.00.</t>
  </si>
  <si>
    <t xml:space="preserve">Jul-96 - 80.4; Jan-97 - 85.3; Jul-97 - 165.0; Feb-98 - 222.0; Mar-98 - 284.0; May-98 - 6.5; Jul-98 - 68.0; Aug-98 - 6.1; Oct-98 - 0.4; Feb-99 - 0.1; Aug-99 - 0.1; Mar-00 - &lt;0.1; May-01 - 0.7; Jul-02 - 1.90; Dec-02 - 8.00; Jan-04 - 435.00, 391.00 and 448.00. </t>
  </si>
  <si>
    <t>Jun-00 - 27.0; Jan-02 - 83.20; Feb-03 - 3.50; Sep-03 - 0.10; Jan-04 - 0.20; Jul-04 - 1.60; Sep-04 - 0.40; Jan-05 - 6.10; May-05 - 0.10; Jul-05 - 9.70; Nov-05 - 1.70; Feb-06 - 65.40; Jun-06 - 512.00; Sep-06 - 1003.00; Feb-07 - 3648.00.</t>
  </si>
  <si>
    <t>Dec-02 - 6.00; Jan-03 - 6.30; Apr-03 - 0.10; Aug-03 - 0.10; Jan-04 - 0.20; Jul-04 - 0.80; Oct-04 - 1.60; Mar-05 - 2.60; Jun-05 - 2.40; Sep-05 - 3.80; Dec-05 - 6.10; Jun-06 - 3.90; Oct-06 - 6.50; Nov-06 - 18.80; Jan-07 - 17.40; Feb-07 - 6.40; Mar-07 - 3.50; Apr-07 - 3.10; May-07 - 2.10; Jun-07 - 3.80; Jul-07 - 3.20; Aug-07 - 3.70; Sep-07 - 5.10; Dec-07 - 21.70; Jan-08 - 55.30.</t>
  </si>
  <si>
    <t>Sep-01 - 92.7; Oct-01 - 82.60; Dec-01 - 3.80; Sep-02 - 0.10; Mar-03 - 0.10; Sep-03 - 0.10; Mar-04 - 0.10; Oct-04 - 0.10; Mar-05 - 0.10; Feb-06 - 0.10; Jul-10 - 2.10; Sep-10 - 0.58; Dec-15 - 31.20; May-16 - 49.80.</t>
  </si>
  <si>
    <t>May-96 - 101.0; Jul-96 - 0.4; Oct-96 - 0.1; Apr-97 - 0.1; Oct-97 - 0.1; Jul-98 - 0.1; Apr-99 - &lt;0.1; Oct-99 - &lt;0.1; Apr-00 - &lt;0.1; May-01 - 0.8; Oct-06 - 6.80; Apr-07 - 9.80; Jul-07 - 6.60; Sep-07 - 7.50; Dec-07 - 9.70; May-08 - 12.30; Aug-08 - 14.30; Nov-08 - 13.10; Dec-08 - 16.90; Apr-09 - 22.00; Oct-10 - 62.90; May-11 - 33.50; Feb-12 - 266.00; Jun-12 - 441.00; Jul-12 - 680.00; Sep-12 - 1441.00.</t>
  </si>
  <si>
    <t>Jun-99 - 29.8; Aug-00 - 2.5; Dec-00 - 12.1; Mar-01 - &lt;1.0; Oct-01 - &lt;1.0; Oct-02 - &lt;1.0 Feb-03 - 0.20; Nov-05 - 1.30; Aug-06 - 1.50; Jan-07 - 8.10; Jul-07 - 19.40; Sep-07 - 17.90; Nov-07 - 23.80; Dec-07 - 30.60; Mar-08 - 96.40 and 112.00; Apr-08 - 181.00; May-08 - 140.00; Jun-08 - 184.00; Jul-08 - 287.00; Aug-08 - 251.00; Oct-08 - 328.00; Nov-08 - 388.00; Jan-09 - 438.00 and 417.00.</t>
  </si>
  <si>
    <t>cT3 Nx Mx</t>
  </si>
  <si>
    <t>Nov-96 - 217.0; Jan-97 - 174.0; May-97 - 14.0; Sep-97 - 3.2; Dec-97 - 1.3; Mar-98 - 0.9; Jul-98 - 0.8; Jan-99 - 0.7; Apr-99 - 12.6; Jun-99 - 3.6; Aug-99 - 2.0; Nov-99 - 5.7; Feb-00 - 2.8; Aug-00 - 17.4; Dec-00 - 5.2; Mar-01 - 7.5; Apr-01 - 6.9; Jul-01 - 6.0; Oct-01 - 4.0; Oct-01 - 5.10; Feb-02 - 6.10; Aug-02 - 7.20; Oct-02 - 6.40; Feb-03 - 20.00 and 22.60; May-03 - 19.40; Aug-03 - 17.10; Jan-04 - 14.90; Mar-04 - 33.40; Apr-04 - 36.70; Jun-04 - 26.00; Sep-04 - 21.80; Dec-04 - 20.50; Jun-05 - 15.20; Jan-06 - 29.50; Apr-06 - 38.40; May-06 - 68.60; Jun-06 - 56.70; Aug-06 - 67.80; Sep-06 - 88.10; Oct-06 - 73.20; Jan-07 - 80.70; Jun-07 - 104.00; Aug-07 - 153.00; Nov-07 - 182.00; Jan-08 - 213.00; Feb-08 - 189.00; Apr-08 - 200.00; Jul-08 - 175.00; Aug-08 - 260.00; Oct-08 - 417.00; Jan-09 - 1566.00.</t>
  </si>
  <si>
    <t>Jul-04 - 137.00; Feb-06 - 13.60; Aug-06 - 70.50; Nov-06 - 192.00.</t>
  </si>
  <si>
    <t>Nov-11 - 8.29; Apr-12 - 0.14; Nov-14 - 10.00; Dec-14 - 3.10; Jan-15 - 1.80; Feb-15 - 1.00; Mar-15 - 0.73; May-15 - 0.64; Jul-15 - 0.89; Sep-15 - 2.30; Oct-15 - 1.20; Nov-15 - 1.40; Dec-15 - 3.70; Jan-16 - 9.30; Mar-16 - 11.90; Apr-16 - 17.40; May-16 - 26.90.</t>
  </si>
  <si>
    <t>PSA Levels (month-year - Prostate specific AG-EQU ug/L) [acceptable range 0.00 - 5.00]</t>
  </si>
  <si>
    <t>Stage 
(either overall or pathological)</t>
  </si>
  <si>
    <t>Gleason score</t>
  </si>
  <si>
    <t>Tumour type</t>
  </si>
  <si>
    <t>Tissue Type</t>
  </si>
  <si>
    <t>Sample date (month-year)</t>
  </si>
  <si>
    <t>Age when samples taken</t>
  </si>
  <si>
    <t>Post treatment samples</t>
  </si>
  <si>
    <t>69573029 HRPC with follow up &amp; sequential PSA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</si>
</sst>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2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2"/>
      <color indexed="8"/>
      <name val="Calibri"/>
      <family val="2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Arial"/>
      <family val="2"/>
    </font>
    <font>
      <b/>
      <sz val="14"/>
      <name val="Calibri Light"/>
      <family val="3"/>
      <charset val="129"/>
      <scheme val="major"/>
    </font>
    <font>
      <sz val="12"/>
      <color theme="1"/>
      <name val="Arial"/>
      <family val="2"/>
    </font>
    <font>
      <sz val="6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2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D9F0"/>
        <bgColor rgb="FFC6D9F0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>
      <alignment vertical="center"/>
    </xf>
    <xf numFmtId="0" fontId="19" fillId="0" borderId="0"/>
  </cellStyleXfs>
  <cellXfs count="8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1" applyFont="1"/>
    <xf numFmtId="0" fontId="1" fillId="0" borderId="0" xfId="0" applyFont="1"/>
    <xf numFmtId="0" fontId="10" fillId="0" borderId="0" xfId="5" applyFont="1" applyAlignment="1">
      <alignment horizontal="center" vertical="center"/>
    </xf>
    <xf numFmtId="0" fontId="10" fillId="0" borderId="0" xfId="5" applyFont="1" applyAlignment="1">
      <alignment horizontal="left" vertical="center"/>
    </xf>
    <xf numFmtId="0" fontId="11" fillId="0" borderId="0" xfId="5" applyFont="1" applyAlignment="1">
      <alignment horizontal="center" vertical="center"/>
    </xf>
    <xf numFmtId="0" fontId="12" fillId="0" borderId="0" xfId="5" applyFont="1" applyAlignment="1">
      <alignment horizontal="center" vertical="center"/>
    </xf>
    <xf numFmtId="0" fontId="12" fillId="0" borderId="0" xfId="5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/>
    <xf numFmtId="0" fontId="17" fillId="0" borderId="5" xfId="0" applyFont="1" applyBorder="1"/>
    <xf numFmtId="0" fontId="17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7" xfId="0" applyFont="1" applyBorder="1"/>
    <xf numFmtId="0" fontId="18" fillId="0" borderId="0" xfId="0" applyFont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/>
    <xf numFmtId="0" fontId="17" fillId="0" borderId="10" xfId="0" applyFont="1" applyBorder="1"/>
    <xf numFmtId="0" fontId="17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3" fillId="0" borderId="1" xfId="0" applyFont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5" borderId="17" xfId="0" applyFont="1" applyFill="1" applyBorder="1" applyAlignment="1">
      <alignment horizontal="center" vertical="center" wrapText="1"/>
    </xf>
    <xf numFmtId="0" fontId="22" fillId="5" borderId="18" xfId="0" applyFont="1" applyFill="1" applyBorder="1" applyAlignment="1">
      <alignment horizontal="center" vertical="center" wrapText="1"/>
    </xf>
    <xf numFmtId="0" fontId="23" fillId="0" borderId="0" xfId="6" applyFont="1" applyAlignment="1">
      <alignment horizontal="center" vertical="center" wrapText="1"/>
    </xf>
    <xf numFmtId="14" fontId="23" fillId="0" borderId="0" xfId="6" applyNumberFormat="1" applyFont="1" applyAlignment="1">
      <alignment horizontal="center" vertical="center" wrapText="1"/>
    </xf>
    <xf numFmtId="0" fontId="23" fillId="0" borderId="1" xfId="6" applyFont="1" applyBorder="1" applyAlignment="1">
      <alignment horizontal="center" wrapText="1"/>
    </xf>
    <xf numFmtId="0" fontId="23" fillId="6" borderId="1" xfId="6" applyFont="1" applyFill="1" applyBorder="1" applyAlignment="1">
      <alignment horizontal="center"/>
    </xf>
    <xf numFmtId="0" fontId="24" fillId="0" borderId="0" xfId="6" applyFont="1" applyAlignment="1">
      <alignment horizontal="center"/>
    </xf>
    <xf numFmtId="0" fontId="23" fillId="0" borderId="0" xfId="6" applyFont="1" applyAlignment="1">
      <alignment horizontal="center" wrapText="1"/>
    </xf>
    <xf numFmtId="14" fontId="23" fillId="0" borderId="1" xfId="6" applyNumberFormat="1" applyFont="1" applyBorder="1" applyAlignment="1">
      <alignment horizontal="center" wrapText="1"/>
    </xf>
    <xf numFmtId="0" fontId="23" fillId="6" borderId="19" xfId="6" applyFont="1" applyFill="1" applyBorder="1" applyAlignment="1">
      <alignment horizontal="center" wrapText="1"/>
    </xf>
    <xf numFmtId="14" fontId="23" fillId="6" borderId="19" xfId="6" applyNumberFormat="1" applyFont="1" applyFill="1" applyBorder="1" applyAlignment="1">
      <alignment horizontal="center" wrapText="1"/>
    </xf>
    <xf numFmtId="0" fontId="23" fillId="0" borderId="19" xfId="6" applyFont="1" applyBorder="1" applyAlignment="1">
      <alignment horizontal="center" wrapText="1"/>
    </xf>
    <xf numFmtId="14" fontId="23" fillId="0" borderId="19" xfId="6" applyNumberFormat="1" applyFont="1" applyBorder="1" applyAlignment="1">
      <alignment horizontal="center" wrapText="1"/>
    </xf>
    <xf numFmtId="0" fontId="23" fillId="6" borderId="20" xfId="6" applyFont="1" applyFill="1" applyBorder="1" applyAlignment="1">
      <alignment horizontal="center" wrapText="1"/>
    </xf>
    <xf numFmtId="0" fontId="23" fillId="6" borderId="21" xfId="6" applyFont="1" applyFill="1" applyBorder="1" applyAlignment="1">
      <alignment horizontal="center" wrapText="1"/>
    </xf>
    <xf numFmtId="14" fontId="23" fillId="6" borderId="21" xfId="6" applyNumberFormat="1" applyFont="1" applyFill="1" applyBorder="1" applyAlignment="1">
      <alignment horizontal="center" wrapText="1"/>
    </xf>
    <xf numFmtId="14" fontId="23" fillId="6" borderId="22" xfId="6" applyNumberFormat="1" applyFont="1" applyFill="1" applyBorder="1" applyAlignment="1">
      <alignment horizontal="center" wrapText="1"/>
    </xf>
    <xf numFmtId="0" fontId="23" fillId="0" borderId="23" xfId="6" applyFont="1" applyBorder="1" applyAlignment="1">
      <alignment horizontal="center" wrapText="1"/>
    </xf>
    <xf numFmtId="14" fontId="23" fillId="0" borderId="23" xfId="6" applyNumberFormat="1" applyFont="1" applyBorder="1" applyAlignment="1">
      <alignment horizontal="center" wrapText="1"/>
    </xf>
    <xf numFmtId="0" fontId="23" fillId="0" borderId="24" xfId="6" applyFont="1" applyBorder="1" applyAlignment="1">
      <alignment horizontal="center" wrapText="1"/>
    </xf>
    <xf numFmtId="14" fontId="23" fillId="0" borderId="24" xfId="6" applyNumberFormat="1" applyFont="1" applyBorder="1" applyAlignment="1">
      <alignment horizontal="center" wrapText="1"/>
    </xf>
    <xf numFmtId="0" fontId="25" fillId="7" borderId="1" xfId="6" applyFont="1" applyFill="1" applyBorder="1" applyAlignment="1">
      <alignment horizontal="center" vertical="center" wrapText="1"/>
    </xf>
    <xf numFmtId="14" fontId="25" fillId="7" borderId="1" xfId="6" applyNumberFormat="1" applyFont="1" applyFill="1" applyBorder="1" applyAlignment="1">
      <alignment horizontal="center" vertical="center" wrapText="1"/>
    </xf>
    <xf numFmtId="0" fontId="24" fillId="8" borderId="1" xfId="6" applyFont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6" fillId="0" borderId="1" xfId="0" applyFont="1" applyBorder="1" applyAlignment="1">
      <alignment horizontal="left" wrapText="1"/>
    </xf>
    <xf numFmtId="164" fontId="0" fillId="0" borderId="1" xfId="0" applyNumberFormat="1" applyBorder="1" applyAlignment="1">
      <alignment horizontal="left" wrapText="1"/>
    </xf>
    <xf numFmtId="49" fontId="0" fillId="2" borderId="1" xfId="0" applyNumberFormat="1" applyFill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0" fontId="24" fillId="0" borderId="0" xfId="6" applyFont="1" applyAlignment="1">
      <alignment horizontal="center" vertical="center" wrapText="1"/>
    </xf>
    <xf numFmtId="14" fontId="23" fillId="10" borderId="23" xfId="6" applyNumberFormat="1" applyFont="1" applyFill="1" applyBorder="1" applyAlignment="1">
      <alignment horizontal="center" wrapText="1"/>
    </xf>
    <xf numFmtId="0" fontId="23" fillId="10" borderId="23" xfId="6" applyFont="1" applyFill="1" applyBorder="1" applyAlignment="1">
      <alignment horizontal="center" wrapText="1"/>
    </xf>
    <xf numFmtId="0" fontId="23" fillId="10" borderId="0" xfId="6" applyFont="1" applyFill="1" applyAlignment="1">
      <alignment horizontal="center" wrapText="1"/>
    </xf>
    <xf numFmtId="0" fontId="23" fillId="10" borderId="0" xfId="6" applyFont="1" applyFill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7">
    <cellStyle name="Excel Built-in Normal" xfId="2" xr:uid="{00000000-0005-0000-0000-000000000000}"/>
    <cellStyle name="Followed Hyperlink" xfId="3" builtinId="9" hidden="1"/>
    <cellStyle name="Followed Hyperlink" xfId="4" builtinId="9" hidden="1"/>
    <cellStyle name="Hyperlink" xfId="1" builtinId="8"/>
    <cellStyle name="Normal" xfId="0" builtinId="0"/>
    <cellStyle name="Normal 10" xfId="6" xr:uid="{3535E989-5966-1A4D-9432-59584FFF095A}"/>
    <cellStyle name="Normal 2" xfId="5" xr:uid="{876C4F40-709F-A34E-A067-E20A81393A7C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ristargroup.u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ristargroup.u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ristargroup.u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ristargroup.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450E-208A-8344-9874-7E88E63F5DAE}">
  <dimension ref="A1:J57"/>
  <sheetViews>
    <sheetView topLeftCell="B1" zoomScale="174" workbookViewId="0">
      <selection activeCell="F9" sqref="F9"/>
    </sheetView>
  </sheetViews>
  <sheetFormatPr baseColWidth="10" defaultColWidth="8.83203125" defaultRowHeight="14" x14ac:dyDescent="0.2"/>
  <cols>
    <col min="1" max="1" width="15" style="7" customWidth="1"/>
    <col min="2" max="2" width="15.6640625" style="6" customWidth="1"/>
    <col min="3" max="3" width="10" style="5" customWidth="1"/>
    <col min="4" max="4" width="10" style="5" hidden="1" customWidth="1"/>
    <col min="5" max="5" width="14.1640625" style="5" customWidth="1"/>
    <col min="6" max="11" width="10" style="5" customWidth="1"/>
    <col min="12" max="16384" width="8.83203125" style="5"/>
  </cols>
  <sheetData>
    <row r="1" spans="1:10" ht="15" x14ac:dyDescent="0.2">
      <c r="A1" s="1" t="s">
        <v>0</v>
      </c>
      <c r="B1" s="9"/>
      <c r="C1" s="8"/>
      <c r="D1" s="8"/>
      <c r="E1" s="8"/>
    </row>
    <row r="2" spans="1:10" ht="15" x14ac:dyDescent="0.2">
      <c r="A2" s="2" t="s">
        <v>1</v>
      </c>
      <c r="B2" s="9"/>
      <c r="C2" s="8"/>
      <c r="D2" s="8"/>
      <c r="E2" s="8"/>
    </row>
    <row r="3" spans="1:10" ht="15" x14ac:dyDescent="0.2">
      <c r="A3" s="2" t="s">
        <v>2</v>
      </c>
      <c r="B3" s="9"/>
      <c r="C3" s="8"/>
      <c r="D3" s="8"/>
      <c r="E3" s="8"/>
    </row>
    <row r="4" spans="1:10" ht="15" x14ac:dyDescent="0.2">
      <c r="A4" s="2" t="s">
        <v>3</v>
      </c>
      <c r="B4" s="9"/>
      <c r="C4" s="8"/>
      <c r="D4" s="8"/>
      <c r="E4" s="8"/>
    </row>
    <row r="5" spans="1:10" ht="15" x14ac:dyDescent="0.2">
      <c r="A5" s="2" t="s">
        <v>4</v>
      </c>
      <c r="B5" s="9"/>
      <c r="C5" s="8"/>
      <c r="D5" s="8"/>
      <c r="E5" s="8"/>
    </row>
    <row r="6" spans="1:10" ht="15" x14ac:dyDescent="0.2">
      <c r="A6" s="2" t="s">
        <v>5</v>
      </c>
      <c r="B6" s="9"/>
      <c r="C6" s="8"/>
      <c r="D6" s="8"/>
      <c r="E6" s="8"/>
    </row>
    <row r="7" spans="1:10" ht="15" x14ac:dyDescent="0.2">
      <c r="A7" s="2" t="s">
        <v>6</v>
      </c>
      <c r="B7" s="9"/>
      <c r="C7" s="8"/>
      <c r="D7" s="8"/>
      <c r="E7" s="8"/>
    </row>
    <row r="8" spans="1:10" ht="15" x14ac:dyDescent="0.2">
      <c r="A8" s="3" t="s">
        <v>7</v>
      </c>
    </row>
    <row r="10" spans="1:10" ht="16" x14ac:dyDescent="0.2">
      <c r="A10" t="s">
        <v>540</v>
      </c>
      <c r="C10"/>
    </row>
    <row r="11" spans="1:10" ht="15" thickBot="1" x14ac:dyDescent="0.25"/>
    <row r="12" spans="1:10" ht="35" thickBot="1" x14ac:dyDescent="0.25">
      <c r="A12" s="29" t="s">
        <v>56</v>
      </c>
      <c r="B12" s="60" t="s">
        <v>471</v>
      </c>
      <c r="C12" s="58" t="s">
        <v>472</v>
      </c>
      <c r="D12" s="30" t="s">
        <v>57</v>
      </c>
      <c r="E12" s="31" t="s">
        <v>58</v>
      </c>
      <c r="F12" s="31" t="s">
        <v>59</v>
      </c>
      <c r="G12" s="31" t="s">
        <v>61</v>
      </c>
      <c r="H12" s="31" t="s">
        <v>62</v>
      </c>
      <c r="I12" s="32" t="s">
        <v>63</v>
      </c>
      <c r="J12" s="33" t="s">
        <v>64</v>
      </c>
    </row>
    <row r="13" spans="1:10" ht="15" x14ac:dyDescent="0.2">
      <c r="A13" s="34" t="s">
        <v>9</v>
      </c>
      <c r="B13" s="35" t="s">
        <v>65</v>
      </c>
      <c r="C13" s="61" t="str">
        <f>D13</f>
        <v>04102938</v>
      </c>
      <c r="D13" s="36" t="s">
        <v>66</v>
      </c>
      <c r="E13" s="36" t="s">
        <v>60</v>
      </c>
      <c r="F13" s="36">
        <v>82</v>
      </c>
      <c r="G13" s="36" t="s">
        <v>68</v>
      </c>
      <c r="H13" s="36" t="s">
        <v>67</v>
      </c>
      <c r="I13" s="37" t="s">
        <v>69</v>
      </c>
      <c r="J13" s="38" t="s">
        <v>70</v>
      </c>
    </row>
    <row r="14" spans="1:10" ht="15" x14ac:dyDescent="0.2">
      <c r="A14" s="34" t="s">
        <v>11</v>
      </c>
      <c r="B14" s="35" t="s">
        <v>71</v>
      </c>
      <c r="C14" s="61" t="str">
        <f>D14</f>
        <v>04109421</v>
      </c>
      <c r="D14" s="36" t="s">
        <v>72</v>
      </c>
      <c r="E14" s="36" t="s">
        <v>60</v>
      </c>
      <c r="F14" s="36">
        <v>69</v>
      </c>
      <c r="G14" s="36" t="s">
        <v>73</v>
      </c>
      <c r="H14" s="36" t="s">
        <v>67</v>
      </c>
      <c r="I14" s="37" t="s">
        <v>69</v>
      </c>
      <c r="J14" s="38" t="s">
        <v>70</v>
      </c>
    </row>
    <row r="15" spans="1:10" ht="24" x14ac:dyDescent="0.2">
      <c r="A15" s="34" t="s">
        <v>12</v>
      </c>
      <c r="B15" s="35" t="s">
        <v>74</v>
      </c>
      <c r="C15" s="61" t="str">
        <f>D15</f>
        <v>06110343</v>
      </c>
      <c r="D15" s="36" t="s">
        <v>75</v>
      </c>
      <c r="E15" s="36" t="s">
        <v>60</v>
      </c>
      <c r="F15" s="36">
        <v>84</v>
      </c>
      <c r="G15" s="36" t="s">
        <v>76</v>
      </c>
      <c r="H15" s="36" t="s">
        <v>67</v>
      </c>
      <c r="I15" s="37" t="s">
        <v>69</v>
      </c>
      <c r="J15" s="38" t="s">
        <v>70</v>
      </c>
    </row>
    <row r="16" spans="1:10" ht="15" x14ac:dyDescent="0.2">
      <c r="A16" s="34" t="s">
        <v>13</v>
      </c>
      <c r="B16" s="35" t="s">
        <v>77</v>
      </c>
      <c r="C16" s="61" t="str">
        <f>D16</f>
        <v>06111461</v>
      </c>
      <c r="D16" s="36" t="s">
        <v>78</v>
      </c>
      <c r="E16" s="36" t="s">
        <v>60</v>
      </c>
      <c r="F16" s="36">
        <v>69</v>
      </c>
      <c r="G16" s="36" t="s">
        <v>79</v>
      </c>
      <c r="H16" s="36" t="s">
        <v>67</v>
      </c>
      <c r="I16" s="37" t="s">
        <v>69</v>
      </c>
      <c r="J16" s="38" t="s">
        <v>70</v>
      </c>
    </row>
    <row r="17" spans="1:10" ht="15" x14ac:dyDescent="0.2">
      <c r="A17" s="34" t="s">
        <v>14</v>
      </c>
      <c r="B17" s="35" t="s">
        <v>80</v>
      </c>
      <c r="C17" s="61" t="s">
        <v>474</v>
      </c>
      <c r="D17" s="61" t="s">
        <v>474</v>
      </c>
      <c r="E17" s="36" t="s">
        <v>60</v>
      </c>
      <c r="F17" s="36">
        <v>63</v>
      </c>
      <c r="G17" s="36" t="s">
        <v>68</v>
      </c>
      <c r="H17" s="36" t="s">
        <v>82</v>
      </c>
      <c r="I17" s="37" t="s">
        <v>69</v>
      </c>
      <c r="J17" s="38" t="s">
        <v>70</v>
      </c>
    </row>
    <row r="18" spans="1:10" ht="15" x14ac:dyDescent="0.2">
      <c r="A18" s="34" t="s">
        <v>15</v>
      </c>
      <c r="B18" s="35" t="s">
        <v>83</v>
      </c>
      <c r="C18" s="61" t="str">
        <f>D18</f>
        <v>04115671</v>
      </c>
      <c r="D18" s="36" t="s">
        <v>84</v>
      </c>
      <c r="E18" s="36" t="s">
        <v>60</v>
      </c>
      <c r="F18" s="36">
        <v>58</v>
      </c>
      <c r="G18" s="36" t="s">
        <v>85</v>
      </c>
      <c r="H18" s="36" t="s">
        <v>67</v>
      </c>
      <c r="I18" s="37" t="s">
        <v>69</v>
      </c>
      <c r="J18" s="38" t="s">
        <v>70</v>
      </c>
    </row>
    <row r="19" spans="1:10" ht="15" x14ac:dyDescent="0.2">
      <c r="A19" s="34" t="s">
        <v>16</v>
      </c>
      <c r="B19" s="35" t="s">
        <v>86</v>
      </c>
      <c r="C19" s="61" t="s">
        <v>87</v>
      </c>
      <c r="D19" s="36" t="s">
        <v>87</v>
      </c>
      <c r="E19" s="36" t="s">
        <v>60</v>
      </c>
      <c r="F19" s="36">
        <v>79</v>
      </c>
      <c r="G19" s="36" t="s">
        <v>68</v>
      </c>
      <c r="H19" s="36" t="s">
        <v>67</v>
      </c>
      <c r="I19" s="37" t="s">
        <v>69</v>
      </c>
      <c r="J19" s="38" t="s">
        <v>70</v>
      </c>
    </row>
    <row r="20" spans="1:10" ht="15" x14ac:dyDescent="0.2">
      <c r="A20" s="34" t="s">
        <v>17</v>
      </c>
      <c r="B20" s="35" t="s">
        <v>88</v>
      </c>
      <c r="C20" s="61" t="str">
        <f t="shared" ref="C20:C57" si="0">D20</f>
        <v>00115659</v>
      </c>
      <c r="D20" s="36" t="s">
        <v>89</v>
      </c>
      <c r="E20" s="36" t="s">
        <v>60</v>
      </c>
      <c r="F20" s="36">
        <v>79</v>
      </c>
      <c r="G20" s="36" t="s">
        <v>90</v>
      </c>
      <c r="H20" s="36" t="s">
        <v>67</v>
      </c>
      <c r="I20" s="37" t="s">
        <v>69</v>
      </c>
      <c r="J20" s="38" t="s">
        <v>70</v>
      </c>
    </row>
    <row r="21" spans="1:10" ht="15" x14ac:dyDescent="0.2">
      <c r="A21" s="34" t="s">
        <v>18</v>
      </c>
      <c r="B21" s="35" t="s">
        <v>91</v>
      </c>
      <c r="C21" s="61" t="str">
        <f t="shared" si="0"/>
        <v>01118455</v>
      </c>
      <c r="D21" s="36" t="s">
        <v>92</v>
      </c>
      <c r="E21" s="36" t="s">
        <v>60</v>
      </c>
      <c r="F21" s="36">
        <v>70</v>
      </c>
      <c r="G21" s="36" t="s">
        <v>68</v>
      </c>
      <c r="H21" s="36" t="s">
        <v>67</v>
      </c>
      <c r="I21" s="37" t="s">
        <v>69</v>
      </c>
      <c r="J21" s="38" t="s">
        <v>70</v>
      </c>
    </row>
    <row r="22" spans="1:10" ht="15" x14ac:dyDescent="0.2">
      <c r="A22" s="34" t="s">
        <v>19</v>
      </c>
      <c r="B22" s="35" t="s">
        <v>93</v>
      </c>
      <c r="C22" s="61" t="str">
        <f t="shared" si="0"/>
        <v>05114440</v>
      </c>
      <c r="D22" s="36" t="s">
        <v>94</v>
      </c>
      <c r="E22" s="36" t="s">
        <v>60</v>
      </c>
      <c r="F22" s="36">
        <v>80</v>
      </c>
      <c r="G22" s="36" t="s">
        <v>95</v>
      </c>
      <c r="H22" s="36" t="s">
        <v>67</v>
      </c>
      <c r="I22" s="37" t="s">
        <v>69</v>
      </c>
      <c r="J22" s="38" t="s">
        <v>70</v>
      </c>
    </row>
    <row r="23" spans="1:10" ht="15" x14ac:dyDescent="0.2">
      <c r="A23" s="34" t="s">
        <v>20</v>
      </c>
      <c r="B23" s="35" t="s">
        <v>96</v>
      </c>
      <c r="C23" s="61" t="str">
        <f t="shared" si="0"/>
        <v>06103152</v>
      </c>
      <c r="D23" s="36" t="s">
        <v>97</v>
      </c>
      <c r="E23" s="36" t="s">
        <v>60</v>
      </c>
      <c r="F23" s="36">
        <v>71</v>
      </c>
      <c r="G23" s="36" t="s">
        <v>79</v>
      </c>
      <c r="H23" s="36" t="s">
        <v>67</v>
      </c>
      <c r="I23" s="37" t="s">
        <v>69</v>
      </c>
      <c r="J23" s="38" t="s">
        <v>70</v>
      </c>
    </row>
    <row r="24" spans="1:10" ht="15" x14ac:dyDescent="0.2">
      <c r="A24" s="34" t="s">
        <v>21</v>
      </c>
      <c r="B24" s="35" t="s">
        <v>98</v>
      </c>
      <c r="C24" s="61" t="str">
        <f t="shared" si="0"/>
        <v>07108760</v>
      </c>
      <c r="D24" s="36" t="s">
        <v>99</v>
      </c>
      <c r="E24" s="36" t="s">
        <v>60</v>
      </c>
      <c r="F24" s="36">
        <v>79</v>
      </c>
      <c r="G24" s="36" t="s">
        <v>68</v>
      </c>
      <c r="H24" s="36" t="s">
        <v>67</v>
      </c>
      <c r="I24" s="37" t="s">
        <v>69</v>
      </c>
      <c r="J24" s="38" t="s">
        <v>70</v>
      </c>
    </row>
    <row r="25" spans="1:10" ht="15" x14ac:dyDescent="0.2">
      <c r="A25" s="34" t="s">
        <v>22</v>
      </c>
      <c r="B25" s="35" t="s">
        <v>100</v>
      </c>
      <c r="C25" s="61" t="str">
        <f t="shared" si="0"/>
        <v>07103802</v>
      </c>
      <c r="D25" s="36" t="s">
        <v>101</v>
      </c>
      <c r="E25" s="36" t="s">
        <v>60</v>
      </c>
      <c r="F25" s="36">
        <v>79</v>
      </c>
      <c r="G25" s="36" t="s">
        <v>85</v>
      </c>
      <c r="H25" s="36" t="s">
        <v>67</v>
      </c>
      <c r="I25" s="37" t="s">
        <v>69</v>
      </c>
      <c r="J25" s="38" t="s">
        <v>70</v>
      </c>
    </row>
    <row r="26" spans="1:10" ht="15" x14ac:dyDescent="0.2">
      <c r="A26" s="34" t="s">
        <v>23</v>
      </c>
      <c r="B26" s="35" t="s">
        <v>102</v>
      </c>
      <c r="C26" s="61" t="str">
        <f t="shared" si="0"/>
        <v>07102550</v>
      </c>
      <c r="D26" s="36" t="s">
        <v>103</v>
      </c>
      <c r="E26" s="36" t="s">
        <v>60</v>
      </c>
      <c r="F26" s="36">
        <v>68</v>
      </c>
      <c r="G26" s="36" t="s">
        <v>85</v>
      </c>
      <c r="H26" s="36" t="s">
        <v>67</v>
      </c>
      <c r="I26" s="37" t="s">
        <v>69</v>
      </c>
      <c r="J26" s="38" t="s">
        <v>70</v>
      </c>
    </row>
    <row r="27" spans="1:10" ht="15" x14ac:dyDescent="0.2">
      <c r="A27" s="34" t="s">
        <v>24</v>
      </c>
      <c r="B27" s="35" t="s">
        <v>104</v>
      </c>
      <c r="C27" s="61" t="str">
        <f t="shared" si="0"/>
        <v>03108323</v>
      </c>
      <c r="D27" s="36" t="s">
        <v>105</v>
      </c>
      <c r="E27" s="36" t="s">
        <v>60</v>
      </c>
      <c r="F27" s="36">
        <v>80</v>
      </c>
      <c r="G27" s="36" t="s">
        <v>79</v>
      </c>
      <c r="H27" s="36" t="s">
        <v>67</v>
      </c>
      <c r="I27" s="37" t="s">
        <v>69</v>
      </c>
      <c r="J27" s="38" t="s">
        <v>70</v>
      </c>
    </row>
    <row r="28" spans="1:10" ht="15" x14ac:dyDescent="0.2">
      <c r="A28" s="34" t="s">
        <v>25</v>
      </c>
      <c r="B28" s="35" t="s">
        <v>106</v>
      </c>
      <c r="C28" s="61" t="str">
        <f t="shared" si="0"/>
        <v>06112571</v>
      </c>
      <c r="D28" s="36" t="s">
        <v>107</v>
      </c>
      <c r="E28" s="36" t="s">
        <v>60</v>
      </c>
      <c r="F28" s="36">
        <v>79</v>
      </c>
      <c r="G28" s="36" t="s">
        <v>85</v>
      </c>
      <c r="H28" s="36" t="s">
        <v>67</v>
      </c>
      <c r="I28" s="37" t="s">
        <v>69</v>
      </c>
      <c r="J28" s="38" t="s">
        <v>70</v>
      </c>
    </row>
    <row r="29" spans="1:10" ht="24" x14ac:dyDescent="0.2">
      <c r="A29" s="34" t="s">
        <v>26</v>
      </c>
      <c r="B29" s="35" t="s">
        <v>108</v>
      </c>
      <c r="C29" s="61" t="str">
        <f t="shared" si="0"/>
        <v>06118660</v>
      </c>
      <c r="D29" s="36" t="s">
        <v>109</v>
      </c>
      <c r="E29" s="36" t="s">
        <v>60</v>
      </c>
      <c r="F29" s="36">
        <v>68</v>
      </c>
      <c r="G29" s="36" t="s">
        <v>76</v>
      </c>
      <c r="H29" s="36" t="s">
        <v>67</v>
      </c>
      <c r="I29" s="37" t="s">
        <v>69</v>
      </c>
      <c r="J29" s="38" t="s">
        <v>70</v>
      </c>
    </row>
    <row r="30" spans="1:10" ht="15" x14ac:dyDescent="0.2">
      <c r="A30" s="34" t="s">
        <v>27</v>
      </c>
      <c r="B30" s="35" t="s">
        <v>110</v>
      </c>
      <c r="C30" s="61" t="str">
        <f t="shared" si="0"/>
        <v>03116861</v>
      </c>
      <c r="D30" s="36" t="s">
        <v>111</v>
      </c>
      <c r="E30" s="36" t="s">
        <v>60</v>
      </c>
      <c r="F30" s="36">
        <v>76</v>
      </c>
      <c r="G30" s="36" t="s">
        <v>85</v>
      </c>
      <c r="H30" s="36" t="s">
        <v>67</v>
      </c>
      <c r="I30" s="37" t="s">
        <v>69</v>
      </c>
      <c r="J30" s="38" t="s">
        <v>70</v>
      </c>
    </row>
    <row r="31" spans="1:10" ht="15" x14ac:dyDescent="0.2">
      <c r="A31" s="34" t="s">
        <v>28</v>
      </c>
      <c r="B31" s="35" t="s">
        <v>112</v>
      </c>
      <c r="C31" s="61" t="str">
        <f t="shared" si="0"/>
        <v>06107603</v>
      </c>
      <c r="D31" s="36" t="s">
        <v>113</v>
      </c>
      <c r="E31" s="36" t="s">
        <v>60</v>
      </c>
      <c r="F31" s="36">
        <v>62</v>
      </c>
      <c r="G31" s="36" t="s">
        <v>73</v>
      </c>
      <c r="H31" s="36" t="s">
        <v>67</v>
      </c>
      <c r="I31" s="37" t="s">
        <v>69</v>
      </c>
      <c r="J31" s="38" t="s">
        <v>70</v>
      </c>
    </row>
    <row r="32" spans="1:10" ht="15" x14ac:dyDescent="0.2">
      <c r="A32" s="34" t="s">
        <v>29</v>
      </c>
      <c r="B32" s="35" t="s">
        <v>114</v>
      </c>
      <c r="C32" s="61" t="str">
        <f t="shared" si="0"/>
        <v>04107256</v>
      </c>
      <c r="D32" s="36" t="s">
        <v>115</v>
      </c>
      <c r="E32" s="36" t="s">
        <v>60</v>
      </c>
      <c r="F32" s="36">
        <v>78</v>
      </c>
      <c r="G32" s="36" t="s">
        <v>73</v>
      </c>
      <c r="H32" s="36" t="s">
        <v>67</v>
      </c>
      <c r="I32" s="37" t="s">
        <v>69</v>
      </c>
      <c r="J32" s="38" t="s">
        <v>70</v>
      </c>
    </row>
    <row r="33" spans="1:10" ht="24" x14ac:dyDescent="0.2">
      <c r="A33" s="34" t="s">
        <v>30</v>
      </c>
      <c r="B33" s="35" t="s">
        <v>116</v>
      </c>
      <c r="C33" s="61" t="str">
        <f t="shared" si="0"/>
        <v>03102241</v>
      </c>
      <c r="D33" s="36" t="s">
        <v>117</v>
      </c>
      <c r="E33" s="36" t="s">
        <v>60</v>
      </c>
      <c r="F33" s="36">
        <v>65</v>
      </c>
      <c r="G33" s="36" t="s">
        <v>76</v>
      </c>
      <c r="H33" s="36" t="s">
        <v>67</v>
      </c>
      <c r="I33" s="37" t="s">
        <v>69</v>
      </c>
      <c r="J33" s="38" t="s">
        <v>70</v>
      </c>
    </row>
    <row r="34" spans="1:10" ht="15" x14ac:dyDescent="0.2">
      <c r="A34" s="34" t="s">
        <v>31</v>
      </c>
      <c r="B34" s="35" t="s">
        <v>118</v>
      </c>
      <c r="C34" s="61" t="str">
        <f t="shared" si="0"/>
        <v>04119911</v>
      </c>
      <c r="D34" s="36" t="s">
        <v>119</v>
      </c>
      <c r="E34" s="36" t="s">
        <v>60</v>
      </c>
      <c r="F34" s="36">
        <v>77</v>
      </c>
      <c r="G34" s="36" t="s">
        <v>73</v>
      </c>
      <c r="H34" s="36" t="s">
        <v>67</v>
      </c>
      <c r="I34" s="37" t="s">
        <v>69</v>
      </c>
      <c r="J34" s="38" t="s">
        <v>70</v>
      </c>
    </row>
    <row r="35" spans="1:10" ht="15" x14ac:dyDescent="0.2">
      <c r="A35" s="34" t="s">
        <v>32</v>
      </c>
      <c r="B35" s="35" t="s">
        <v>120</v>
      </c>
      <c r="C35" s="61" t="str">
        <f t="shared" si="0"/>
        <v>03102922</v>
      </c>
      <c r="D35" s="36" t="s">
        <v>121</v>
      </c>
      <c r="E35" s="36" t="s">
        <v>60</v>
      </c>
      <c r="F35" s="36">
        <v>71</v>
      </c>
      <c r="G35" s="36" t="s">
        <v>122</v>
      </c>
      <c r="H35" s="36" t="s">
        <v>67</v>
      </c>
      <c r="I35" s="37" t="s">
        <v>69</v>
      </c>
      <c r="J35" s="38" t="s">
        <v>70</v>
      </c>
    </row>
    <row r="36" spans="1:10" ht="15" x14ac:dyDescent="0.2">
      <c r="A36" s="34" t="s">
        <v>33</v>
      </c>
      <c r="B36" s="35" t="s">
        <v>123</v>
      </c>
      <c r="C36" s="61" t="str">
        <f t="shared" si="0"/>
        <v>06110329</v>
      </c>
      <c r="D36" s="36" t="s">
        <v>124</v>
      </c>
      <c r="E36" s="36" t="s">
        <v>60</v>
      </c>
      <c r="F36" s="36">
        <v>73</v>
      </c>
      <c r="G36" s="36" t="s">
        <v>68</v>
      </c>
      <c r="H36" s="36" t="s">
        <v>67</v>
      </c>
      <c r="I36" s="37" t="s">
        <v>69</v>
      </c>
      <c r="J36" s="38" t="s">
        <v>70</v>
      </c>
    </row>
    <row r="37" spans="1:10" ht="15" x14ac:dyDescent="0.2">
      <c r="A37" s="34" t="s">
        <v>34</v>
      </c>
      <c r="B37" s="35" t="s">
        <v>125</v>
      </c>
      <c r="C37" s="61" t="str">
        <f t="shared" si="0"/>
        <v>02118379</v>
      </c>
      <c r="D37" s="36" t="s">
        <v>126</v>
      </c>
      <c r="E37" s="36" t="s">
        <v>60</v>
      </c>
      <c r="F37" s="36">
        <v>59</v>
      </c>
      <c r="G37" s="36" t="s">
        <v>79</v>
      </c>
      <c r="H37" s="36" t="s">
        <v>67</v>
      </c>
      <c r="I37" s="37" t="s">
        <v>69</v>
      </c>
      <c r="J37" s="38" t="s">
        <v>70</v>
      </c>
    </row>
    <row r="38" spans="1:10" ht="15" x14ac:dyDescent="0.2">
      <c r="A38" s="34" t="s">
        <v>35</v>
      </c>
      <c r="B38" s="35" t="s">
        <v>127</v>
      </c>
      <c r="C38" s="61" t="str">
        <f t="shared" si="0"/>
        <v>04109187</v>
      </c>
      <c r="D38" s="36" t="s">
        <v>128</v>
      </c>
      <c r="E38" s="36" t="s">
        <v>60</v>
      </c>
      <c r="F38" s="36">
        <v>71</v>
      </c>
      <c r="G38" s="36" t="s">
        <v>85</v>
      </c>
      <c r="H38" s="36" t="s">
        <v>67</v>
      </c>
      <c r="I38" s="37" t="s">
        <v>69</v>
      </c>
      <c r="J38" s="38" t="s">
        <v>70</v>
      </c>
    </row>
    <row r="39" spans="1:10" ht="15" x14ac:dyDescent="0.2">
      <c r="A39" s="34" t="s">
        <v>36</v>
      </c>
      <c r="B39" s="35" t="s">
        <v>129</v>
      </c>
      <c r="C39" s="61" t="str">
        <f t="shared" si="0"/>
        <v>06116502</v>
      </c>
      <c r="D39" s="36" t="s">
        <v>130</v>
      </c>
      <c r="E39" s="36" t="s">
        <v>60</v>
      </c>
      <c r="F39" s="36">
        <v>80</v>
      </c>
      <c r="G39" s="36" t="s">
        <v>68</v>
      </c>
      <c r="H39" s="36" t="s">
        <v>67</v>
      </c>
      <c r="I39" s="37" t="s">
        <v>69</v>
      </c>
      <c r="J39" s="38" t="s">
        <v>70</v>
      </c>
    </row>
    <row r="40" spans="1:10" ht="15" x14ac:dyDescent="0.2">
      <c r="A40" s="34" t="s">
        <v>37</v>
      </c>
      <c r="B40" s="35" t="s">
        <v>131</v>
      </c>
      <c r="C40" s="61" t="str">
        <f t="shared" si="0"/>
        <v>06112430</v>
      </c>
      <c r="D40" s="36" t="s">
        <v>132</v>
      </c>
      <c r="E40" s="36" t="s">
        <v>60</v>
      </c>
      <c r="F40" s="36">
        <v>83</v>
      </c>
      <c r="G40" s="36" t="s">
        <v>73</v>
      </c>
      <c r="H40" s="36" t="s">
        <v>67</v>
      </c>
      <c r="I40" s="37" t="s">
        <v>69</v>
      </c>
      <c r="J40" s="38" t="s">
        <v>70</v>
      </c>
    </row>
    <row r="41" spans="1:10" ht="24" x14ac:dyDescent="0.2">
      <c r="A41" s="34" t="s">
        <v>38</v>
      </c>
      <c r="B41" s="35" t="s">
        <v>133</v>
      </c>
      <c r="C41" s="61" t="str">
        <f t="shared" si="0"/>
        <v>98113403</v>
      </c>
      <c r="D41" s="36" t="s">
        <v>134</v>
      </c>
      <c r="E41" s="36" t="s">
        <v>60</v>
      </c>
      <c r="F41" s="36">
        <v>83</v>
      </c>
      <c r="G41" s="36" t="s">
        <v>135</v>
      </c>
      <c r="H41" s="36" t="s">
        <v>67</v>
      </c>
      <c r="I41" s="37" t="s">
        <v>69</v>
      </c>
      <c r="J41" s="38" t="s">
        <v>136</v>
      </c>
    </row>
    <row r="42" spans="1:10" ht="15" x14ac:dyDescent="0.2">
      <c r="A42" s="34" t="s">
        <v>39</v>
      </c>
      <c r="B42" s="35" t="s">
        <v>137</v>
      </c>
      <c r="C42" s="61" t="str">
        <f t="shared" si="0"/>
        <v>98108304</v>
      </c>
      <c r="D42" s="36" t="s">
        <v>138</v>
      </c>
      <c r="E42" s="36" t="s">
        <v>60</v>
      </c>
      <c r="F42" s="36">
        <v>65</v>
      </c>
      <c r="G42" s="36" t="s">
        <v>122</v>
      </c>
      <c r="H42" s="36" t="s">
        <v>67</v>
      </c>
      <c r="I42" s="37" t="s">
        <v>69</v>
      </c>
      <c r="J42" s="38" t="s">
        <v>70</v>
      </c>
    </row>
    <row r="43" spans="1:10" ht="15" x14ac:dyDescent="0.2">
      <c r="A43" s="34" t="s">
        <v>40</v>
      </c>
      <c r="B43" s="35" t="s">
        <v>139</v>
      </c>
      <c r="C43" s="61" t="str">
        <f t="shared" si="0"/>
        <v>98117387</v>
      </c>
      <c r="D43" s="36" t="s">
        <v>140</v>
      </c>
      <c r="E43" s="36" t="s">
        <v>60</v>
      </c>
      <c r="F43" s="36">
        <v>62</v>
      </c>
      <c r="G43" s="36" t="s">
        <v>85</v>
      </c>
      <c r="H43" s="36" t="s">
        <v>67</v>
      </c>
      <c r="I43" s="37" t="s">
        <v>69</v>
      </c>
      <c r="J43" s="38" t="s">
        <v>70</v>
      </c>
    </row>
    <row r="44" spans="1:10" ht="15" x14ac:dyDescent="0.2">
      <c r="A44" s="34" t="s">
        <v>41</v>
      </c>
      <c r="B44" s="35" t="s">
        <v>141</v>
      </c>
      <c r="C44" s="61" t="str">
        <f t="shared" si="0"/>
        <v>98117393</v>
      </c>
      <c r="D44" s="36" t="s">
        <v>142</v>
      </c>
      <c r="E44" s="36" t="s">
        <v>60</v>
      </c>
      <c r="F44" s="36">
        <v>83</v>
      </c>
      <c r="G44" s="36" t="s">
        <v>68</v>
      </c>
      <c r="H44" s="36" t="s">
        <v>67</v>
      </c>
      <c r="I44" s="37" t="s">
        <v>69</v>
      </c>
      <c r="J44" s="38" t="s">
        <v>70</v>
      </c>
    </row>
    <row r="45" spans="1:10" ht="15" x14ac:dyDescent="0.2">
      <c r="A45" s="34" t="s">
        <v>42</v>
      </c>
      <c r="B45" s="35" t="s">
        <v>143</v>
      </c>
      <c r="C45" s="61" t="str">
        <f t="shared" si="0"/>
        <v>98104954</v>
      </c>
      <c r="D45" s="36" t="s">
        <v>144</v>
      </c>
      <c r="E45" s="36" t="s">
        <v>60</v>
      </c>
      <c r="F45" s="36">
        <v>81</v>
      </c>
      <c r="G45" s="36" t="s">
        <v>68</v>
      </c>
      <c r="H45" s="36" t="s">
        <v>67</v>
      </c>
      <c r="I45" s="37" t="s">
        <v>69</v>
      </c>
      <c r="J45" s="38" t="s">
        <v>70</v>
      </c>
    </row>
    <row r="46" spans="1:10" ht="15" x14ac:dyDescent="0.2">
      <c r="A46" s="34" t="s">
        <v>43</v>
      </c>
      <c r="B46" s="35" t="s">
        <v>145</v>
      </c>
      <c r="C46" s="61" t="str">
        <f t="shared" si="0"/>
        <v>98108838</v>
      </c>
      <c r="D46" s="36" t="s">
        <v>146</v>
      </c>
      <c r="E46" s="36" t="s">
        <v>60</v>
      </c>
      <c r="F46" s="36">
        <v>63</v>
      </c>
      <c r="G46" s="36" t="s">
        <v>85</v>
      </c>
      <c r="H46" s="36" t="s">
        <v>67</v>
      </c>
      <c r="I46" s="37" t="s">
        <v>69</v>
      </c>
      <c r="J46" s="38" t="s">
        <v>70</v>
      </c>
    </row>
    <row r="47" spans="1:10" ht="15" x14ac:dyDescent="0.2">
      <c r="A47" s="34" t="s">
        <v>44</v>
      </c>
      <c r="B47" s="35" t="s">
        <v>147</v>
      </c>
      <c r="C47" s="61" t="str">
        <f t="shared" si="0"/>
        <v>98110860</v>
      </c>
      <c r="D47" s="36" t="s">
        <v>148</v>
      </c>
      <c r="E47" s="36" t="s">
        <v>60</v>
      </c>
      <c r="F47" s="36">
        <v>72</v>
      </c>
      <c r="G47" s="36" t="s">
        <v>90</v>
      </c>
      <c r="H47" s="36" t="s">
        <v>67</v>
      </c>
      <c r="I47" s="37" t="s">
        <v>69</v>
      </c>
      <c r="J47" s="38" t="s">
        <v>70</v>
      </c>
    </row>
    <row r="48" spans="1:10" ht="15" x14ac:dyDescent="0.2">
      <c r="A48" s="34" t="s">
        <v>45</v>
      </c>
      <c r="B48" s="35" t="s">
        <v>149</v>
      </c>
      <c r="C48" s="61" t="str">
        <f t="shared" si="0"/>
        <v>98115655</v>
      </c>
      <c r="D48" s="36" t="s">
        <v>150</v>
      </c>
      <c r="E48" s="36" t="s">
        <v>60</v>
      </c>
      <c r="F48" s="36">
        <v>68</v>
      </c>
      <c r="G48" s="36" t="s">
        <v>79</v>
      </c>
      <c r="H48" s="36" t="s">
        <v>67</v>
      </c>
      <c r="I48" s="37" t="s">
        <v>69</v>
      </c>
      <c r="J48" s="38" t="s">
        <v>70</v>
      </c>
    </row>
    <row r="49" spans="1:10" ht="24" x14ac:dyDescent="0.2">
      <c r="A49" s="34" t="s">
        <v>46</v>
      </c>
      <c r="B49" s="35" t="s">
        <v>151</v>
      </c>
      <c r="C49" s="61" t="str">
        <f t="shared" si="0"/>
        <v>06112674</v>
      </c>
      <c r="D49" s="36" t="s">
        <v>152</v>
      </c>
      <c r="E49" s="36" t="s">
        <v>60</v>
      </c>
      <c r="F49" s="36">
        <v>85</v>
      </c>
      <c r="G49" s="36" t="s">
        <v>76</v>
      </c>
      <c r="H49" s="36" t="s">
        <v>67</v>
      </c>
      <c r="I49" s="37" t="s">
        <v>69</v>
      </c>
      <c r="J49" s="38" t="s">
        <v>70</v>
      </c>
    </row>
    <row r="50" spans="1:10" ht="15" x14ac:dyDescent="0.2">
      <c r="A50" s="34" t="s">
        <v>47</v>
      </c>
      <c r="B50" s="35" t="s">
        <v>153</v>
      </c>
      <c r="C50" s="61" t="str">
        <f t="shared" si="0"/>
        <v>06113239</v>
      </c>
      <c r="D50" s="36" t="s">
        <v>154</v>
      </c>
      <c r="E50" s="36" t="s">
        <v>60</v>
      </c>
      <c r="F50" s="36">
        <v>74</v>
      </c>
      <c r="G50" s="36" t="s">
        <v>68</v>
      </c>
      <c r="H50" s="36" t="s">
        <v>155</v>
      </c>
      <c r="I50" s="37" t="s">
        <v>69</v>
      </c>
      <c r="J50" s="38" t="s">
        <v>70</v>
      </c>
    </row>
    <row r="51" spans="1:10" ht="15" x14ac:dyDescent="0.2">
      <c r="A51" s="34" t="s">
        <v>48</v>
      </c>
      <c r="B51" s="35" t="s">
        <v>156</v>
      </c>
      <c r="C51" s="61" t="str">
        <f t="shared" si="0"/>
        <v>06114509</v>
      </c>
      <c r="D51" s="36" t="s">
        <v>157</v>
      </c>
      <c r="E51" s="36" t="s">
        <v>60</v>
      </c>
      <c r="F51" s="36">
        <v>81</v>
      </c>
      <c r="G51" s="36" t="s">
        <v>95</v>
      </c>
      <c r="H51" s="36" t="s">
        <v>67</v>
      </c>
      <c r="I51" s="37" t="s">
        <v>69</v>
      </c>
      <c r="J51" s="38" t="s">
        <v>70</v>
      </c>
    </row>
    <row r="52" spans="1:10" ht="15" x14ac:dyDescent="0.2">
      <c r="A52" s="34" t="s">
        <v>49</v>
      </c>
      <c r="B52" s="35" t="s">
        <v>158</v>
      </c>
      <c r="C52" s="61" t="str">
        <f t="shared" si="0"/>
        <v>06115128</v>
      </c>
      <c r="D52" s="36" t="s">
        <v>159</v>
      </c>
      <c r="E52" s="36" t="s">
        <v>60</v>
      </c>
      <c r="F52" s="36">
        <v>85</v>
      </c>
      <c r="G52" s="36" t="s">
        <v>160</v>
      </c>
      <c r="H52" s="36" t="s">
        <v>67</v>
      </c>
      <c r="I52" s="37" t="s">
        <v>69</v>
      </c>
      <c r="J52" s="38" t="s">
        <v>70</v>
      </c>
    </row>
    <row r="53" spans="1:10" ht="24" x14ac:dyDescent="0.2">
      <c r="A53" s="34" t="s">
        <v>50</v>
      </c>
      <c r="B53" s="35" t="s">
        <v>161</v>
      </c>
      <c r="C53" s="61" t="str">
        <f t="shared" si="0"/>
        <v>06118674</v>
      </c>
      <c r="D53" s="36" t="s">
        <v>162</v>
      </c>
      <c r="E53" s="36" t="s">
        <v>60</v>
      </c>
      <c r="F53" s="36">
        <v>85</v>
      </c>
      <c r="G53" s="36" t="s">
        <v>76</v>
      </c>
      <c r="H53" s="36" t="s">
        <v>67</v>
      </c>
      <c r="I53" s="37" t="s">
        <v>69</v>
      </c>
      <c r="J53" s="38" t="s">
        <v>70</v>
      </c>
    </row>
    <row r="54" spans="1:10" ht="15" x14ac:dyDescent="0.2">
      <c r="A54" s="34" t="s">
        <v>51</v>
      </c>
      <c r="B54" s="35" t="s">
        <v>163</v>
      </c>
      <c r="C54" s="61" t="str">
        <f t="shared" si="0"/>
        <v>05118769</v>
      </c>
      <c r="D54" s="36" t="s">
        <v>164</v>
      </c>
      <c r="E54" s="36" t="s">
        <v>60</v>
      </c>
      <c r="F54" s="36">
        <v>84</v>
      </c>
      <c r="G54" s="36" t="s">
        <v>122</v>
      </c>
      <c r="H54" s="36" t="s">
        <v>67</v>
      </c>
      <c r="I54" s="37" t="s">
        <v>69</v>
      </c>
      <c r="J54" s="38" t="s">
        <v>70</v>
      </c>
    </row>
    <row r="55" spans="1:10" ht="15" x14ac:dyDescent="0.2">
      <c r="A55" s="34" t="s">
        <v>52</v>
      </c>
      <c r="B55" s="35" t="s">
        <v>165</v>
      </c>
      <c r="C55" s="61" t="str">
        <f t="shared" si="0"/>
        <v>06104797</v>
      </c>
      <c r="D55" s="36" t="s">
        <v>166</v>
      </c>
      <c r="E55" s="36" t="s">
        <v>60</v>
      </c>
      <c r="F55" s="36">
        <v>85</v>
      </c>
      <c r="G55" s="36" t="s">
        <v>95</v>
      </c>
      <c r="H55" s="36" t="s">
        <v>67</v>
      </c>
      <c r="I55" s="37" t="s">
        <v>69</v>
      </c>
      <c r="J55" s="38" t="s">
        <v>70</v>
      </c>
    </row>
    <row r="56" spans="1:10" ht="15" x14ac:dyDescent="0.2">
      <c r="A56" s="34" t="s">
        <v>53</v>
      </c>
      <c r="B56" s="35" t="s">
        <v>167</v>
      </c>
      <c r="C56" s="61" t="str">
        <f t="shared" si="0"/>
        <v>06117613</v>
      </c>
      <c r="D56" s="36" t="s">
        <v>168</v>
      </c>
      <c r="E56" s="36" t="s">
        <v>60</v>
      </c>
      <c r="F56" s="36">
        <v>86</v>
      </c>
      <c r="G56" s="36" t="s">
        <v>73</v>
      </c>
      <c r="H56" s="36" t="s">
        <v>67</v>
      </c>
      <c r="I56" s="37" t="s">
        <v>69</v>
      </c>
      <c r="J56" s="38" t="s">
        <v>70</v>
      </c>
    </row>
    <row r="57" spans="1:10" ht="15" x14ac:dyDescent="0.2">
      <c r="A57" s="34" t="s">
        <v>54</v>
      </c>
      <c r="B57" s="35" t="s">
        <v>169</v>
      </c>
      <c r="C57" s="61" t="str">
        <f t="shared" si="0"/>
        <v>06109597</v>
      </c>
      <c r="D57" s="36" t="s">
        <v>170</v>
      </c>
      <c r="E57" s="36" t="s">
        <v>60</v>
      </c>
      <c r="F57" s="36">
        <v>71</v>
      </c>
      <c r="G57" s="36" t="s">
        <v>95</v>
      </c>
      <c r="H57" s="36" t="s">
        <v>67</v>
      </c>
      <c r="I57" s="37" t="s">
        <v>69</v>
      </c>
      <c r="J57" s="38" t="s">
        <v>70</v>
      </c>
    </row>
  </sheetData>
  <conditionalFormatting sqref="C12">
    <cfRule type="duplicateValues" dxfId="4" priority="2"/>
  </conditionalFormatting>
  <conditionalFormatting sqref="C12">
    <cfRule type="duplicateValues" dxfId="3" priority="1"/>
  </conditionalFormatting>
  <hyperlinks>
    <hyperlink ref="A8" r:id="rId1" xr:uid="{5CFC7C31-F0CC-2343-9F31-AA5C86011F7B}"/>
  </hyperlinks>
  <pageMargins left="0.7" right="0.7" top="0.75" bottom="0.75" header="0.3" footer="0.3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4994-2DC8-1A47-9BDA-8C265DFC3F0D}">
  <dimension ref="A1:J58"/>
  <sheetViews>
    <sheetView workbookViewId="0">
      <selection activeCell="A10" sqref="A10"/>
    </sheetView>
  </sheetViews>
  <sheetFormatPr baseColWidth="10" defaultRowHeight="16" x14ac:dyDescent="0.2"/>
  <cols>
    <col min="10" max="10" width="149.5" customWidth="1"/>
  </cols>
  <sheetData>
    <row r="1" spans="1:10" x14ac:dyDescent="0.2">
      <c r="A1" s="1" t="s">
        <v>0</v>
      </c>
      <c r="B1" s="9"/>
      <c r="C1" s="8"/>
      <c r="D1" s="8"/>
    </row>
    <row r="2" spans="1:10" x14ac:dyDescent="0.2">
      <c r="A2" s="2" t="s">
        <v>1</v>
      </c>
      <c r="B2" s="9"/>
      <c r="C2" s="8"/>
      <c r="D2" s="8"/>
    </row>
    <row r="3" spans="1:10" x14ac:dyDescent="0.2">
      <c r="A3" s="2" t="s">
        <v>2</v>
      </c>
      <c r="B3" s="9"/>
      <c r="C3" s="8"/>
      <c r="D3" s="8"/>
    </row>
    <row r="4" spans="1:10" x14ac:dyDescent="0.2">
      <c r="A4" s="2" t="s">
        <v>3</v>
      </c>
      <c r="B4" s="9"/>
      <c r="C4" s="8"/>
      <c r="D4" s="8"/>
    </row>
    <row r="5" spans="1:10" x14ac:dyDescent="0.2">
      <c r="A5" s="2" t="s">
        <v>4</v>
      </c>
      <c r="B5" s="9"/>
      <c r="C5" s="8"/>
      <c r="D5" s="8"/>
    </row>
    <row r="6" spans="1:10" x14ac:dyDescent="0.2">
      <c r="A6" s="2" t="s">
        <v>5</v>
      </c>
      <c r="B6" s="9"/>
      <c r="C6" s="8"/>
      <c r="D6" s="8"/>
    </row>
    <row r="7" spans="1:10" x14ac:dyDescent="0.2">
      <c r="A7" s="2" t="s">
        <v>6</v>
      </c>
      <c r="B7" s="9"/>
      <c r="C7" s="8"/>
      <c r="D7" s="8"/>
    </row>
    <row r="8" spans="1:10" x14ac:dyDescent="0.2">
      <c r="A8" s="3" t="s">
        <v>7</v>
      </c>
      <c r="B8" s="6"/>
      <c r="C8" s="5"/>
      <c r="D8" s="5"/>
    </row>
    <row r="9" spans="1:10" x14ac:dyDescent="0.2">
      <c r="A9" s="7"/>
      <c r="B9" s="6"/>
      <c r="C9" s="5"/>
      <c r="D9" s="5"/>
    </row>
    <row r="10" spans="1:10" x14ac:dyDescent="0.2">
      <c r="A10" t="s">
        <v>540</v>
      </c>
      <c r="B10" s="9"/>
      <c r="C10" s="4"/>
      <c r="D10" s="8"/>
      <c r="E10" s="4"/>
      <c r="F10" s="4"/>
    </row>
    <row r="13" spans="1:10" s="71" customFormat="1" ht="85" x14ac:dyDescent="0.2">
      <c r="A13" s="60" t="s">
        <v>472</v>
      </c>
      <c r="B13" s="72" t="s">
        <v>58</v>
      </c>
      <c r="C13" s="72" t="s">
        <v>456</v>
      </c>
      <c r="D13" s="72" t="s">
        <v>538</v>
      </c>
      <c r="E13" s="73" t="s">
        <v>537</v>
      </c>
      <c r="F13" s="72" t="s">
        <v>536</v>
      </c>
      <c r="G13" s="72" t="s">
        <v>535</v>
      </c>
      <c r="H13" s="72" t="s">
        <v>534</v>
      </c>
      <c r="I13" s="72" t="s">
        <v>533</v>
      </c>
      <c r="J13" s="72" t="s">
        <v>532</v>
      </c>
    </row>
    <row r="14" spans="1:10" ht="51" x14ac:dyDescent="0.2">
      <c r="A14" s="62" t="s">
        <v>474</v>
      </c>
      <c r="B14" s="63" t="s">
        <v>478</v>
      </c>
      <c r="C14" s="63" t="s">
        <v>197</v>
      </c>
      <c r="D14" s="63">
        <v>63</v>
      </c>
      <c r="E14" s="65">
        <v>40940</v>
      </c>
      <c r="F14" s="63" t="s">
        <v>477</v>
      </c>
      <c r="G14" s="63" t="s">
        <v>476</v>
      </c>
      <c r="H14" s="63" t="s">
        <v>68</v>
      </c>
      <c r="I14" s="63" t="s">
        <v>82</v>
      </c>
      <c r="J14" s="63" t="s">
        <v>531</v>
      </c>
    </row>
    <row r="15" spans="1:10" ht="17" x14ac:dyDescent="0.2">
      <c r="A15" s="66" t="s">
        <v>103</v>
      </c>
      <c r="B15" s="69" t="s">
        <v>478</v>
      </c>
      <c r="C15" s="69" t="s">
        <v>197</v>
      </c>
      <c r="D15" s="63">
        <v>68</v>
      </c>
      <c r="E15" s="70">
        <v>39114</v>
      </c>
      <c r="F15" s="69" t="s">
        <v>477</v>
      </c>
      <c r="G15" s="69" t="s">
        <v>476</v>
      </c>
      <c r="H15" s="69" t="s">
        <v>85</v>
      </c>
      <c r="I15" s="69" t="s">
        <v>160</v>
      </c>
      <c r="J15" s="63" t="s">
        <v>530</v>
      </c>
    </row>
    <row r="16" spans="1:10" ht="85" x14ac:dyDescent="0.2">
      <c r="A16" s="66" t="s">
        <v>101</v>
      </c>
      <c r="B16" s="69" t="s">
        <v>478</v>
      </c>
      <c r="C16" s="69" t="s">
        <v>197</v>
      </c>
      <c r="D16" s="63">
        <v>79</v>
      </c>
      <c r="E16" s="70">
        <v>39142</v>
      </c>
      <c r="F16" s="69" t="s">
        <v>477</v>
      </c>
      <c r="G16" s="69" t="s">
        <v>476</v>
      </c>
      <c r="H16" s="69" t="s">
        <v>85</v>
      </c>
      <c r="I16" s="69" t="s">
        <v>160</v>
      </c>
      <c r="J16" s="63" t="s">
        <v>529</v>
      </c>
    </row>
    <row r="17" spans="1:10" ht="51" x14ac:dyDescent="0.2">
      <c r="A17" s="66" t="s">
        <v>87</v>
      </c>
      <c r="B17" s="69" t="s">
        <v>478</v>
      </c>
      <c r="C17" s="69" t="s">
        <v>197</v>
      </c>
      <c r="D17" s="63">
        <v>79</v>
      </c>
      <c r="E17" s="70">
        <v>39203</v>
      </c>
      <c r="F17" s="69" t="s">
        <v>477</v>
      </c>
      <c r="G17" s="69" t="s">
        <v>476</v>
      </c>
      <c r="H17" s="69" t="s">
        <v>68</v>
      </c>
      <c r="I17" s="69" t="s">
        <v>528</v>
      </c>
      <c r="J17" s="63" t="s">
        <v>527</v>
      </c>
    </row>
    <row r="18" spans="1:10" s="68" customFormat="1" ht="51" x14ac:dyDescent="0.2">
      <c r="A18" s="62" t="s">
        <v>99</v>
      </c>
      <c r="B18" s="63" t="s">
        <v>478</v>
      </c>
      <c r="C18" s="63" t="s">
        <v>197</v>
      </c>
      <c r="D18" s="63">
        <v>79</v>
      </c>
      <c r="E18" s="65">
        <v>39264</v>
      </c>
      <c r="F18" s="63" t="s">
        <v>477</v>
      </c>
      <c r="G18" s="63" t="s">
        <v>476</v>
      </c>
      <c r="H18" s="63" t="s">
        <v>68</v>
      </c>
      <c r="I18" s="63" t="s">
        <v>160</v>
      </c>
      <c r="J18" s="63" t="s">
        <v>526</v>
      </c>
    </row>
    <row r="19" spans="1:10" s="68" customFormat="1" ht="51" x14ac:dyDescent="0.2">
      <c r="A19" s="62" t="s">
        <v>92</v>
      </c>
      <c r="B19" s="63" t="s">
        <v>478</v>
      </c>
      <c r="C19" s="63" t="s">
        <v>197</v>
      </c>
      <c r="D19" s="63">
        <v>70</v>
      </c>
      <c r="E19" s="65">
        <v>37196</v>
      </c>
      <c r="F19" s="63" t="s">
        <v>477</v>
      </c>
      <c r="G19" s="63" t="s">
        <v>476</v>
      </c>
      <c r="H19" s="63" t="s">
        <v>68</v>
      </c>
      <c r="I19" s="63" t="s">
        <v>160</v>
      </c>
      <c r="J19" s="63" t="s">
        <v>525</v>
      </c>
    </row>
    <row r="20" spans="1:10" s="68" customFormat="1" ht="51" x14ac:dyDescent="0.2">
      <c r="A20" s="62" t="s">
        <v>97</v>
      </c>
      <c r="B20" s="63" t="s">
        <v>478</v>
      </c>
      <c r="C20" s="63" t="s">
        <v>197</v>
      </c>
      <c r="D20" s="63">
        <v>71</v>
      </c>
      <c r="E20" s="65">
        <v>38749</v>
      </c>
      <c r="F20" s="63" t="s">
        <v>477</v>
      </c>
      <c r="G20" s="63" t="s">
        <v>476</v>
      </c>
      <c r="H20" s="63" t="s">
        <v>79</v>
      </c>
      <c r="I20" s="63" t="s">
        <v>292</v>
      </c>
      <c r="J20" s="63" t="s">
        <v>524</v>
      </c>
    </row>
    <row r="21" spans="1:10" s="68" customFormat="1" ht="51" x14ac:dyDescent="0.2">
      <c r="A21" s="62" t="s">
        <v>89</v>
      </c>
      <c r="B21" s="63" t="s">
        <v>478</v>
      </c>
      <c r="C21" s="63" t="s">
        <v>197</v>
      </c>
      <c r="D21" s="63">
        <v>79</v>
      </c>
      <c r="E21" s="65">
        <v>36800</v>
      </c>
      <c r="F21" s="63" t="s">
        <v>477</v>
      </c>
      <c r="G21" s="63" t="s">
        <v>476</v>
      </c>
      <c r="H21" s="63" t="s">
        <v>90</v>
      </c>
      <c r="I21" s="63" t="s">
        <v>160</v>
      </c>
      <c r="J21" s="63" t="s">
        <v>523</v>
      </c>
    </row>
    <row r="22" spans="1:10" s="68" customFormat="1" ht="34" x14ac:dyDescent="0.2">
      <c r="A22" s="66" t="s">
        <v>144</v>
      </c>
      <c r="B22" s="63" t="s">
        <v>478</v>
      </c>
      <c r="C22" s="63" t="s">
        <v>197</v>
      </c>
      <c r="D22" s="63">
        <v>81</v>
      </c>
      <c r="E22" s="67">
        <v>35884</v>
      </c>
      <c r="F22" s="64" t="s">
        <v>477</v>
      </c>
      <c r="G22" s="64" t="s">
        <v>476</v>
      </c>
      <c r="H22" s="63" t="s">
        <v>68</v>
      </c>
      <c r="I22" s="63" t="s">
        <v>160</v>
      </c>
      <c r="J22" s="63" t="s">
        <v>522</v>
      </c>
    </row>
    <row r="23" spans="1:10" s="68" customFormat="1" ht="34" x14ac:dyDescent="0.2">
      <c r="A23" s="66" t="s">
        <v>138</v>
      </c>
      <c r="B23" s="63" t="s">
        <v>478</v>
      </c>
      <c r="C23" s="63" t="s">
        <v>197</v>
      </c>
      <c r="D23" s="63">
        <v>65</v>
      </c>
      <c r="E23" s="67">
        <v>35948</v>
      </c>
      <c r="F23" s="64" t="s">
        <v>477</v>
      </c>
      <c r="G23" s="64" t="s">
        <v>476</v>
      </c>
      <c r="H23" s="63" t="s">
        <v>122</v>
      </c>
      <c r="I23" s="63" t="s">
        <v>160</v>
      </c>
      <c r="J23" s="63" t="s">
        <v>521</v>
      </c>
    </row>
    <row r="24" spans="1:10" s="68" customFormat="1" ht="34" x14ac:dyDescent="0.2">
      <c r="A24" s="66" t="s">
        <v>146</v>
      </c>
      <c r="B24" s="63" t="s">
        <v>478</v>
      </c>
      <c r="C24" s="63" t="s">
        <v>520</v>
      </c>
      <c r="D24" s="63">
        <v>63</v>
      </c>
      <c r="E24" s="67">
        <v>35957</v>
      </c>
      <c r="F24" s="64" t="s">
        <v>477</v>
      </c>
      <c r="G24" s="64" t="s">
        <v>476</v>
      </c>
      <c r="H24" s="63" t="s">
        <v>85</v>
      </c>
      <c r="I24" s="63" t="s">
        <v>82</v>
      </c>
      <c r="J24" s="63" t="s">
        <v>519</v>
      </c>
    </row>
    <row r="25" spans="1:10" s="68" customFormat="1" ht="34" x14ac:dyDescent="0.2">
      <c r="A25" s="66" t="s">
        <v>148</v>
      </c>
      <c r="B25" s="63" t="s">
        <v>478</v>
      </c>
      <c r="C25" s="63" t="s">
        <v>197</v>
      </c>
      <c r="D25" s="63">
        <v>72</v>
      </c>
      <c r="E25" s="67">
        <v>35991</v>
      </c>
      <c r="F25" s="64" t="s">
        <v>477</v>
      </c>
      <c r="G25" s="64" t="s">
        <v>476</v>
      </c>
      <c r="H25" s="63" t="s">
        <v>90</v>
      </c>
      <c r="I25" s="63" t="s">
        <v>160</v>
      </c>
      <c r="J25" s="63" t="s">
        <v>518</v>
      </c>
    </row>
    <row r="26" spans="1:10" s="68" customFormat="1" ht="34" x14ac:dyDescent="0.2">
      <c r="A26" s="66" t="s">
        <v>94</v>
      </c>
      <c r="B26" s="63" t="s">
        <v>478</v>
      </c>
      <c r="C26" s="63" t="s">
        <v>197</v>
      </c>
      <c r="D26" s="63">
        <v>80</v>
      </c>
      <c r="E26" s="67">
        <v>38611</v>
      </c>
      <c r="F26" s="64" t="s">
        <v>477</v>
      </c>
      <c r="G26" s="64" t="s">
        <v>476</v>
      </c>
      <c r="H26" s="63" t="s">
        <v>95</v>
      </c>
      <c r="I26" s="63" t="s">
        <v>160</v>
      </c>
      <c r="J26" s="63" t="s">
        <v>517</v>
      </c>
    </row>
    <row r="27" spans="1:10" s="68" customFormat="1" ht="48" x14ac:dyDescent="0.2">
      <c r="A27" s="66" t="s">
        <v>134</v>
      </c>
      <c r="B27" s="63" t="s">
        <v>478</v>
      </c>
      <c r="C27" s="63" t="s">
        <v>489</v>
      </c>
      <c r="D27" s="63">
        <v>83</v>
      </c>
      <c r="E27" s="67">
        <v>36039</v>
      </c>
      <c r="F27" s="64" t="s">
        <v>477</v>
      </c>
      <c r="G27" s="64" t="s">
        <v>516</v>
      </c>
      <c r="H27" s="63" t="s">
        <v>135</v>
      </c>
      <c r="I27" s="63" t="s">
        <v>160</v>
      </c>
      <c r="J27" s="63" t="s">
        <v>515</v>
      </c>
    </row>
    <row r="28" spans="1:10" s="68" customFormat="1" ht="34" x14ac:dyDescent="0.2">
      <c r="A28" s="66" t="s">
        <v>150</v>
      </c>
      <c r="B28" s="63" t="s">
        <v>478</v>
      </c>
      <c r="C28" s="63" t="s">
        <v>197</v>
      </c>
      <c r="D28" s="63">
        <v>68</v>
      </c>
      <c r="E28" s="67">
        <v>36081</v>
      </c>
      <c r="F28" s="64" t="s">
        <v>477</v>
      </c>
      <c r="G28" s="64" t="s">
        <v>476</v>
      </c>
      <c r="H28" s="63" t="s">
        <v>79</v>
      </c>
      <c r="I28" s="63" t="s">
        <v>160</v>
      </c>
      <c r="J28" s="63" t="s">
        <v>514</v>
      </c>
    </row>
    <row r="29" spans="1:10" s="68" customFormat="1" ht="68" x14ac:dyDescent="0.2">
      <c r="A29" s="66" t="s">
        <v>126</v>
      </c>
      <c r="B29" s="63" t="s">
        <v>478</v>
      </c>
      <c r="C29" s="63" t="s">
        <v>197</v>
      </c>
      <c r="D29" s="63">
        <v>59</v>
      </c>
      <c r="E29" s="65">
        <v>37530</v>
      </c>
      <c r="F29" s="64" t="s">
        <v>477</v>
      </c>
      <c r="G29" s="64" t="s">
        <v>476</v>
      </c>
      <c r="H29" s="63" t="s">
        <v>79</v>
      </c>
      <c r="I29" s="63" t="s">
        <v>160</v>
      </c>
      <c r="J29" s="63" t="s">
        <v>513</v>
      </c>
    </row>
    <row r="30" spans="1:10" s="68" customFormat="1" ht="51" x14ac:dyDescent="0.2">
      <c r="A30" s="66" t="s">
        <v>117</v>
      </c>
      <c r="B30" s="63" t="s">
        <v>478</v>
      </c>
      <c r="C30" s="63" t="s">
        <v>197</v>
      </c>
      <c r="D30" s="63">
        <v>65</v>
      </c>
      <c r="E30" s="65">
        <v>37653</v>
      </c>
      <c r="F30" s="64" t="s">
        <v>477</v>
      </c>
      <c r="G30" s="64" t="s">
        <v>476</v>
      </c>
      <c r="H30" s="63" t="s">
        <v>76</v>
      </c>
      <c r="I30" s="63" t="s">
        <v>160</v>
      </c>
      <c r="J30" s="63" t="s">
        <v>512</v>
      </c>
    </row>
    <row r="31" spans="1:10" s="68" customFormat="1" ht="51" x14ac:dyDescent="0.2">
      <c r="A31" s="66" t="s">
        <v>121</v>
      </c>
      <c r="B31" s="63" t="s">
        <v>478</v>
      </c>
      <c r="C31" s="63" t="s">
        <v>197</v>
      </c>
      <c r="D31" s="63">
        <v>71</v>
      </c>
      <c r="E31" s="65">
        <v>37653</v>
      </c>
      <c r="F31" s="64" t="s">
        <v>477</v>
      </c>
      <c r="G31" s="64" t="s">
        <v>476</v>
      </c>
      <c r="H31" s="63" t="s">
        <v>122</v>
      </c>
      <c r="I31" s="63" t="s">
        <v>160</v>
      </c>
      <c r="J31" s="63" t="s">
        <v>511</v>
      </c>
    </row>
    <row r="32" spans="1:10" s="68" customFormat="1" ht="34" x14ac:dyDescent="0.2">
      <c r="A32" s="66" t="s">
        <v>105</v>
      </c>
      <c r="B32" s="63" t="s">
        <v>478</v>
      </c>
      <c r="C32" s="63" t="s">
        <v>197</v>
      </c>
      <c r="D32" s="63">
        <v>80</v>
      </c>
      <c r="E32" s="65">
        <v>37742</v>
      </c>
      <c r="F32" s="64" t="s">
        <v>477</v>
      </c>
      <c r="G32" s="64" t="s">
        <v>476</v>
      </c>
      <c r="H32" s="63" t="s">
        <v>79</v>
      </c>
      <c r="I32" s="63" t="s">
        <v>510</v>
      </c>
      <c r="J32" s="63" t="s">
        <v>509</v>
      </c>
    </row>
    <row r="33" spans="1:10" s="68" customFormat="1" ht="51" x14ac:dyDescent="0.2">
      <c r="A33" s="66" t="s">
        <v>111</v>
      </c>
      <c r="B33" s="63" t="s">
        <v>478</v>
      </c>
      <c r="C33" s="63" t="s">
        <v>197</v>
      </c>
      <c r="D33" s="63">
        <v>76</v>
      </c>
      <c r="E33" s="65">
        <v>37895</v>
      </c>
      <c r="F33" s="64" t="s">
        <v>477</v>
      </c>
      <c r="G33" s="64" t="s">
        <v>476</v>
      </c>
      <c r="H33" s="63" t="s">
        <v>85</v>
      </c>
      <c r="I33" s="63" t="s">
        <v>160</v>
      </c>
      <c r="J33" s="63" t="s">
        <v>508</v>
      </c>
    </row>
    <row r="34" spans="1:10" s="68" customFormat="1" ht="34" x14ac:dyDescent="0.2">
      <c r="A34" s="66" t="s">
        <v>66</v>
      </c>
      <c r="B34" s="63" t="s">
        <v>478</v>
      </c>
      <c r="C34" s="63" t="s">
        <v>197</v>
      </c>
      <c r="D34" s="63">
        <v>82</v>
      </c>
      <c r="E34" s="65">
        <v>38018</v>
      </c>
      <c r="F34" s="64" t="s">
        <v>477</v>
      </c>
      <c r="G34" s="64" t="s">
        <v>476</v>
      </c>
      <c r="H34" s="63" t="s">
        <v>68</v>
      </c>
      <c r="I34" s="63" t="s">
        <v>160</v>
      </c>
      <c r="J34" s="63" t="s">
        <v>507</v>
      </c>
    </row>
    <row r="35" spans="1:10" s="68" customFormat="1" ht="51" x14ac:dyDescent="0.2">
      <c r="A35" s="62" t="s">
        <v>115</v>
      </c>
      <c r="B35" s="63" t="s">
        <v>478</v>
      </c>
      <c r="C35" s="63" t="s">
        <v>197</v>
      </c>
      <c r="D35" s="63">
        <v>78</v>
      </c>
      <c r="E35" s="65">
        <v>38078</v>
      </c>
      <c r="F35" s="63" t="s">
        <v>477</v>
      </c>
      <c r="G35" s="63" t="s">
        <v>476</v>
      </c>
      <c r="H35" s="63" t="s">
        <v>73</v>
      </c>
      <c r="I35" s="63" t="s">
        <v>160</v>
      </c>
      <c r="J35" s="63" t="s">
        <v>506</v>
      </c>
    </row>
    <row r="36" spans="1:10" s="68" customFormat="1" ht="51" x14ac:dyDescent="0.2">
      <c r="A36" s="62" t="s">
        <v>128</v>
      </c>
      <c r="B36" s="63" t="s">
        <v>478</v>
      </c>
      <c r="C36" s="63" t="s">
        <v>197</v>
      </c>
      <c r="D36" s="63">
        <v>71</v>
      </c>
      <c r="E36" s="65">
        <v>38139</v>
      </c>
      <c r="F36" s="63" t="s">
        <v>477</v>
      </c>
      <c r="G36" s="63" t="s">
        <v>476</v>
      </c>
      <c r="H36" s="63" t="s">
        <v>85</v>
      </c>
      <c r="I36" s="63" t="s">
        <v>292</v>
      </c>
      <c r="J36" s="63" t="s">
        <v>505</v>
      </c>
    </row>
    <row r="37" spans="1:10" s="68" customFormat="1" ht="51" x14ac:dyDescent="0.2">
      <c r="A37" s="62" t="s">
        <v>72</v>
      </c>
      <c r="B37" s="63" t="s">
        <v>478</v>
      </c>
      <c r="C37" s="63" t="s">
        <v>197</v>
      </c>
      <c r="D37" s="63">
        <v>69</v>
      </c>
      <c r="E37" s="65">
        <v>38139</v>
      </c>
      <c r="F37" s="63" t="s">
        <v>477</v>
      </c>
      <c r="G37" s="63" t="s">
        <v>476</v>
      </c>
      <c r="H37" s="63" t="s">
        <v>73</v>
      </c>
      <c r="I37" s="63" t="s">
        <v>160</v>
      </c>
      <c r="J37" s="63" t="s">
        <v>504</v>
      </c>
    </row>
    <row r="38" spans="1:10" s="68" customFormat="1" ht="68" x14ac:dyDescent="0.2">
      <c r="A38" s="62" t="s">
        <v>84</v>
      </c>
      <c r="B38" s="63" t="s">
        <v>478</v>
      </c>
      <c r="C38" s="63" t="s">
        <v>197</v>
      </c>
      <c r="D38" s="63">
        <v>58</v>
      </c>
      <c r="E38" s="65">
        <v>38231</v>
      </c>
      <c r="F38" s="63" t="s">
        <v>503</v>
      </c>
      <c r="G38" s="63" t="s">
        <v>476</v>
      </c>
      <c r="H38" s="63" t="s">
        <v>85</v>
      </c>
      <c r="I38" s="63" t="s">
        <v>502</v>
      </c>
      <c r="J38" s="63" t="s">
        <v>501</v>
      </c>
    </row>
    <row r="39" spans="1:10" s="68" customFormat="1" ht="51" x14ac:dyDescent="0.2">
      <c r="A39" s="62" t="s">
        <v>119</v>
      </c>
      <c r="B39" s="63" t="s">
        <v>478</v>
      </c>
      <c r="C39" s="63" t="s">
        <v>197</v>
      </c>
      <c r="D39" s="63">
        <v>77</v>
      </c>
      <c r="E39" s="65">
        <v>38322</v>
      </c>
      <c r="F39" s="63" t="s">
        <v>477</v>
      </c>
      <c r="G39" s="63" t="s">
        <v>476</v>
      </c>
      <c r="H39" s="63" t="s">
        <v>73</v>
      </c>
      <c r="I39" s="63" t="s">
        <v>160</v>
      </c>
      <c r="J39" s="63" t="s">
        <v>500</v>
      </c>
    </row>
    <row r="40" spans="1:10" ht="34" x14ac:dyDescent="0.2">
      <c r="A40" s="66" t="s">
        <v>164</v>
      </c>
      <c r="B40" s="63" t="s">
        <v>478</v>
      </c>
      <c r="C40" s="63" t="s">
        <v>197</v>
      </c>
      <c r="D40" s="63">
        <v>84</v>
      </c>
      <c r="E40" s="67">
        <v>38685</v>
      </c>
      <c r="F40" s="64" t="s">
        <v>477</v>
      </c>
      <c r="G40" s="64" t="s">
        <v>476</v>
      </c>
      <c r="H40" s="63" t="s">
        <v>122</v>
      </c>
      <c r="I40" s="63" t="s">
        <v>200</v>
      </c>
      <c r="J40" s="63" t="s">
        <v>499</v>
      </c>
    </row>
    <row r="41" spans="1:10" ht="34" x14ac:dyDescent="0.2">
      <c r="A41" s="66" t="s">
        <v>166</v>
      </c>
      <c r="B41" s="63" t="s">
        <v>478</v>
      </c>
      <c r="C41" s="63" t="s">
        <v>197</v>
      </c>
      <c r="D41" s="63">
        <v>85</v>
      </c>
      <c r="E41" s="65">
        <v>38777</v>
      </c>
      <c r="F41" s="64" t="s">
        <v>477</v>
      </c>
      <c r="G41" s="64" t="s">
        <v>476</v>
      </c>
      <c r="H41" s="63" t="s">
        <v>95</v>
      </c>
      <c r="I41" s="63" t="s">
        <v>200</v>
      </c>
      <c r="J41" s="63" t="s">
        <v>498</v>
      </c>
    </row>
    <row r="42" spans="1:10" ht="68" x14ac:dyDescent="0.2">
      <c r="A42" s="66" t="s">
        <v>170</v>
      </c>
      <c r="B42" s="63" t="s">
        <v>478</v>
      </c>
      <c r="C42" s="63" t="s">
        <v>185</v>
      </c>
      <c r="D42" s="63">
        <v>71</v>
      </c>
      <c r="E42" s="65">
        <v>38869</v>
      </c>
      <c r="F42" s="64" t="s">
        <v>477</v>
      </c>
      <c r="G42" s="64" t="s">
        <v>476</v>
      </c>
      <c r="H42" s="63" t="s">
        <v>95</v>
      </c>
      <c r="I42" s="63" t="s">
        <v>160</v>
      </c>
      <c r="J42" s="63" t="s">
        <v>497</v>
      </c>
    </row>
    <row r="43" spans="1:10" ht="34" x14ac:dyDescent="0.2">
      <c r="A43" s="66" t="s">
        <v>154</v>
      </c>
      <c r="B43" s="63" t="s">
        <v>478</v>
      </c>
      <c r="C43" s="63" t="s">
        <v>197</v>
      </c>
      <c r="D43" s="63">
        <v>74</v>
      </c>
      <c r="E43" s="65">
        <v>38930</v>
      </c>
      <c r="F43" s="64" t="s">
        <v>477</v>
      </c>
      <c r="G43" s="64" t="s">
        <v>476</v>
      </c>
      <c r="H43" s="64" t="s">
        <v>68</v>
      </c>
      <c r="I43" s="63" t="s">
        <v>496</v>
      </c>
      <c r="J43" s="63" t="s">
        <v>495</v>
      </c>
    </row>
    <row r="44" spans="1:10" ht="34" x14ac:dyDescent="0.2">
      <c r="A44" s="66" t="s">
        <v>157</v>
      </c>
      <c r="B44" s="63" t="s">
        <v>478</v>
      </c>
      <c r="C44" s="63" t="s">
        <v>197</v>
      </c>
      <c r="D44" s="63">
        <v>81</v>
      </c>
      <c r="E44" s="65">
        <v>38961</v>
      </c>
      <c r="F44" s="64" t="s">
        <v>477</v>
      </c>
      <c r="G44" s="64" t="s">
        <v>476</v>
      </c>
      <c r="H44" s="63" t="s">
        <v>95</v>
      </c>
      <c r="I44" s="63" t="s">
        <v>160</v>
      </c>
      <c r="J44" s="63" t="s">
        <v>494</v>
      </c>
    </row>
    <row r="45" spans="1:10" ht="51" x14ac:dyDescent="0.2">
      <c r="A45" s="66" t="s">
        <v>159</v>
      </c>
      <c r="B45" s="63" t="s">
        <v>478</v>
      </c>
      <c r="C45" s="63" t="s">
        <v>197</v>
      </c>
      <c r="D45" s="63">
        <v>85</v>
      </c>
      <c r="E45" s="65">
        <v>38961</v>
      </c>
      <c r="F45" s="64" t="s">
        <v>477</v>
      </c>
      <c r="G45" s="64" t="s">
        <v>476</v>
      </c>
      <c r="H45" s="64" t="s">
        <v>160</v>
      </c>
      <c r="I45" s="63" t="s">
        <v>160</v>
      </c>
      <c r="J45" s="63" t="s">
        <v>493</v>
      </c>
    </row>
    <row r="46" spans="1:10" ht="34" x14ac:dyDescent="0.2">
      <c r="A46" s="62" t="s">
        <v>168</v>
      </c>
      <c r="B46" s="63" t="s">
        <v>478</v>
      </c>
      <c r="C46" s="63" t="s">
        <v>197</v>
      </c>
      <c r="D46" s="63">
        <v>86</v>
      </c>
      <c r="E46" s="65">
        <v>39022</v>
      </c>
      <c r="F46" s="64" t="s">
        <v>477</v>
      </c>
      <c r="G46" s="64" t="s">
        <v>476</v>
      </c>
      <c r="H46" s="63" t="s">
        <v>73</v>
      </c>
      <c r="I46" s="63" t="s">
        <v>160</v>
      </c>
      <c r="J46" s="63" t="s">
        <v>492</v>
      </c>
    </row>
    <row r="47" spans="1:10" ht="34" x14ac:dyDescent="0.2">
      <c r="A47" s="62" t="s">
        <v>162</v>
      </c>
      <c r="B47" s="63" t="s">
        <v>478</v>
      </c>
      <c r="C47" s="63" t="s">
        <v>197</v>
      </c>
      <c r="D47" s="63">
        <v>85</v>
      </c>
      <c r="E47" s="65">
        <v>39052</v>
      </c>
      <c r="F47" s="64" t="s">
        <v>477</v>
      </c>
      <c r="G47" s="64" t="s">
        <v>476</v>
      </c>
      <c r="H47" s="63" t="s">
        <v>76</v>
      </c>
      <c r="I47" s="63" t="s">
        <v>160</v>
      </c>
      <c r="J47" s="63" t="s">
        <v>491</v>
      </c>
    </row>
    <row r="48" spans="1:10" ht="32" x14ac:dyDescent="0.2">
      <c r="A48" s="66" t="s">
        <v>140</v>
      </c>
      <c r="B48" s="63" t="s">
        <v>478</v>
      </c>
      <c r="C48" s="63" t="s">
        <v>489</v>
      </c>
      <c r="D48" s="63">
        <v>62</v>
      </c>
      <c r="E48" s="65">
        <v>36100</v>
      </c>
      <c r="F48" s="64" t="s">
        <v>477</v>
      </c>
      <c r="G48" s="64" t="s">
        <v>476</v>
      </c>
      <c r="H48" s="63" t="s">
        <v>85</v>
      </c>
      <c r="I48" s="63" t="s">
        <v>160</v>
      </c>
      <c r="J48" s="63" t="s">
        <v>490</v>
      </c>
    </row>
    <row r="49" spans="1:10" ht="32" x14ac:dyDescent="0.2">
      <c r="A49" s="66" t="s">
        <v>142</v>
      </c>
      <c r="B49" s="63" t="s">
        <v>478</v>
      </c>
      <c r="C49" s="63" t="s">
        <v>489</v>
      </c>
      <c r="D49" s="63">
        <v>83</v>
      </c>
      <c r="E49" s="65">
        <v>36100</v>
      </c>
      <c r="F49" s="64" t="s">
        <v>477</v>
      </c>
      <c r="G49" s="64" t="s">
        <v>476</v>
      </c>
      <c r="H49" s="63" t="s">
        <v>68</v>
      </c>
      <c r="I49" s="63" t="s">
        <v>160</v>
      </c>
      <c r="J49" s="63" t="s">
        <v>488</v>
      </c>
    </row>
    <row r="50" spans="1:10" ht="34" x14ac:dyDescent="0.2">
      <c r="A50" s="66" t="s">
        <v>113</v>
      </c>
      <c r="B50" s="63" t="s">
        <v>478</v>
      </c>
      <c r="C50" s="63" t="s">
        <v>197</v>
      </c>
      <c r="D50" s="63">
        <v>62</v>
      </c>
      <c r="E50" s="65">
        <v>38838</v>
      </c>
      <c r="F50" s="64" t="s">
        <v>477</v>
      </c>
      <c r="G50" s="64" t="s">
        <v>476</v>
      </c>
      <c r="H50" s="63" t="s">
        <v>73</v>
      </c>
      <c r="I50" s="63" t="s">
        <v>487</v>
      </c>
      <c r="J50" s="63" t="s">
        <v>486</v>
      </c>
    </row>
    <row r="51" spans="1:10" ht="34" x14ac:dyDescent="0.2">
      <c r="A51" s="66" t="s">
        <v>124</v>
      </c>
      <c r="B51" s="63" t="s">
        <v>478</v>
      </c>
      <c r="C51" s="63" t="s">
        <v>197</v>
      </c>
      <c r="D51" s="63">
        <v>73</v>
      </c>
      <c r="E51" s="65">
        <v>38869</v>
      </c>
      <c r="F51" s="64" t="s">
        <v>477</v>
      </c>
      <c r="G51" s="64" t="s">
        <v>476</v>
      </c>
      <c r="H51" s="63" t="s">
        <v>68</v>
      </c>
      <c r="I51" s="63" t="s">
        <v>160</v>
      </c>
      <c r="J51" s="63" t="s">
        <v>485</v>
      </c>
    </row>
    <row r="52" spans="1:10" ht="34" x14ac:dyDescent="0.2">
      <c r="A52" s="66" t="s">
        <v>75</v>
      </c>
      <c r="B52" s="63" t="s">
        <v>478</v>
      </c>
      <c r="C52" s="63" t="s">
        <v>197</v>
      </c>
      <c r="D52" s="63">
        <v>84</v>
      </c>
      <c r="E52" s="65">
        <v>38869</v>
      </c>
      <c r="F52" s="64" t="s">
        <v>477</v>
      </c>
      <c r="G52" s="64" t="s">
        <v>476</v>
      </c>
      <c r="H52" s="63" t="s">
        <v>76</v>
      </c>
      <c r="I52" s="63" t="s">
        <v>160</v>
      </c>
      <c r="J52" s="63" t="s">
        <v>484</v>
      </c>
    </row>
    <row r="53" spans="1:10" ht="34" x14ac:dyDescent="0.2">
      <c r="A53" s="66" t="s">
        <v>78</v>
      </c>
      <c r="B53" s="63" t="s">
        <v>478</v>
      </c>
      <c r="C53" s="63" t="s">
        <v>197</v>
      </c>
      <c r="D53" s="63">
        <v>69</v>
      </c>
      <c r="E53" s="65">
        <v>38899</v>
      </c>
      <c r="F53" s="64" t="s">
        <v>477</v>
      </c>
      <c r="G53" s="64" t="s">
        <v>476</v>
      </c>
      <c r="H53" s="63" t="s">
        <v>79</v>
      </c>
      <c r="I53" s="63" t="s">
        <v>160</v>
      </c>
      <c r="J53" s="63" t="s">
        <v>483</v>
      </c>
    </row>
    <row r="54" spans="1:10" ht="34" x14ac:dyDescent="0.2">
      <c r="A54" s="66" t="s">
        <v>132</v>
      </c>
      <c r="B54" s="63" t="s">
        <v>478</v>
      </c>
      <c r="C54" s="63" t="s">
        <v>197</v>
      </c>
      <c r="D54" s="63">
        <v>83</v>
      </c>
      <c r="E54" s="65">
        <v>38930</v>
      </c>
      <c r="F54" s="64" t="s">
        <v>477</v>
      </c>
      <c r="G54" s="64" t="s">
        <v>476</v>
      </c>
      <c r="H54" s="63" t="s">
        <v>73</v>
      </c>
      <c r="I54" s="63" t="s">
        <v>160</v>
      </c>
      <c r="J54" s="63" t="s">
        <v>482</v>
      </c>
    </row>
    <row r="55" spans="1:10" ht="85" x14ac:dyDescent="0.2">
      <c r="A55" s="66" t="s">
        <v>107</v>
      </c>
      <c r="B55" s="63" t="s">
        <v>478</v>
      </c>
      <c r="C55" s="63" t="s">
        <v>197</v>
      </c>
      <c r="D55" s="63">
        <v>79</v>
      </c>
      <c r="E55" s="65">
        <v>38930</v>
      </c>
      <c r="F55" s="64" t="s">
        <v>477</v>
      </c>
      <c r="G55" s="64" t="s">
        <v>476</v>
      </c>
      <c r="H55" s="63" t="s">
        <v>85</v>
      </c>
      <c r="I55" s="63" t="s">
        <v>160</v>
      </c>
      <c r="J55" s="63" t="s">
        <v>481</v>
      </c>
    </row>
    <row r="56" spans="1:10" ht="34" x14ac:dyDescent="0.2">
      <c r="A56" s="66" t="s">
        <v>152</v>
      </c>
      <c r="B56" s="63" t="s">
        <v>478</v>
      </c>
      <c r="C56" s="63" t="s">
        <v>197</v>
      </c>
      <c r="D56" s="63">
        <v>85</v>
      </c>
      <c r="E56" s="65">
        <v>38930</v>
      </c>
      <c r="F56" s="64" t="s">
        <v>477</v>
      </c>
      <c r="G56" s="64" t="s">
        <v>476</v>
      </c>
      <c r="H56" s="63" t="s">
        <v>76</v>
      </c>
      <c r="I56" s="63" t="s">
        <v>160</v>
      </c>
      <c r="J56" s="63" t="s">
        <v>480</v>
      </c>
    </row>
    <row r="57" spans="1:10" ht="34" x14ac:dyDescent="0.2">
      <c r="A57" s="66" t="s">
        <v>130</v>
      </c>
      <c r="B57" s="63" t="s">
        <v>478</v>
      </c>
      <c r="C57" s="63" t="s">
        <v>197</v>
      </c>
      <c r="D57" s="63">
        <v>80</v>
      </c>
      <c r="E57" s="65">
        <v>38991</v>
      </c>
      <c r="F57" s="64" t="s">
        <v>477</v>
      </c>
      <c r="G57" s="64" t="s">
        <v>476</v>
      </c>
      <c r="H57" s="63" t="s">
        <v>68</v>
      </c>
      <c r="I57" s="63" t="s">
        <v>160</v>
      </c>
      <c r="J57" s="63" t="s">
        <v>479</v>
      </c>
    </row>
    <row r="58" spans="1:10" ht="68" x14ac:dyDescent="0.2">
      <c r="A58" s="66" t="s">
        <v>109</v>
      </c>
      <c r="B58" s="63" t="s">
        <v>478</v>
      </c>
      <c r="C58" s="63" t="s">
        <v>197</v>
      </c>
      <c r="D58" s="63">
        <v>68</v>
      </c>
      <c r="E58" s="65">
        <v>39052</v>
      </c>
      <c r="F58" s="64" t="s">
        <v>477</v>
      </c>
      <c r="G58" s="64" t="s">
        <v>476</v>
      </c>
      <c r="H58" s="63" t="s">
        <v>76</v>
      </c>
      <c r="I58" s="63" t="s">
        <v>160</v>
      </c>
      <c r="J58" s="63" t="s">
        <v>475</v>
      </c>
    </row>
  </sheetData>
  <conditionalFormatting sqref="A14">
    <cfRule type="duplicateValues" dxfId="2" priority="3"/>
  </conditionalFormatting>
  <conditionalFormatting sqref="A13">
    <cfRule type="duplicateValues" dxfId="1" priority="2"/>
  </conditionalFormatting>
  <conditionalFormatting sqref="A13">
    <cfRule type="duplicateValues" dxfId="0" priority="1"/>
  </conditionalFormatting>
  <hyperlinks>
    <hyperlink ref="A8" r:id="rId1" xr:uid="{2568CCBF-D678-154A-ABD9-140CAC90F3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26FFC-29F6-B240-BDD6-C9769A25C508}">
  <dimension ref="A1:AV106"/>
  <sheetViews>
    <sheetView tabSelected="1" topLeftCell="A85" zoomScale="143" zoomScaleNormal="60" workbookViewId="0">
      <pane xSplit="1" topLeftCell="B1" activePane="topRight" state="frozen"/>
      <selection pane="topRight" activeCell="C8" sqref="C8"/>
    </sheetView>
  </sheetViews>
  <sheetFormatPr baseColWidth="10" defaultColWidth="9.1640625" defaultRowHeight="14" x14ac:dyDescent="0.2"/>
  <cols>
    <col min="1" max="1" width="16.6640625" style="40" customWidth="1"/>
    <col min="2" max="2" width="19.5" style="39" customWidth="1"/>
    <col min="3" max="3" width="20.6640625" style="39" customWidth="1"/>
    <col min="4" max="4" width="15.5" style="39" customWidth="1"/>
    <col min="5" max="6" width="11.83203125" style="39" customWidth="1"/>
    <col min="7" max="7" width="22.83203125" style="39" customWidth="1"/>
    <col min="8" max="8" width="23" style="39" customWidth="1"/>
    <col min="9" max="9" width="9.1640625" style="39"/>
    <col min="10" max="10" width="10.5" style="39" customWidth="1"/>
    <col min="11" max="12" width="9.1640625" style="39"/>
    <col min="13" max="13" width="12" style="39" customWidth="1"/>
    <col min="14" max="14" width="24.1640625" style="39" customWidth="1"/>
    <col min="15" max="15" width="17.83203125" style="39" customWidth="1"/>
    <col min="16" max="16" width="18.33203125" style="40" customWidth="1"/>
    <col min="17" max="17" width="11.1640625" style="39" customWidth="1"/>
    <col min="18" max="18" width="11.5" style="39" customWidth="1"/>
    <col min="19" max="19" width="14.83203125" style="40" customWidth="1"/>
    <col min="20" max="20" width="15.5" style="39" customWidth="1"/>
    <col min="21" max="21" width="13.33203125" style="39" customWidth="1"/>
    <col min="22" max="22" width="11.6640625" style="39" customWidth="1"/>
    <col min="23" max="23" width="11.33203125" style="39" customWidth="1"/>
    <col min="24" max="24" width="17.6640625" style="39" customWidth="1"/>
    <col min="25" max="25" width="54" style="39" customWidth="1"/>
    <col min="26" max="26" width="22" style="39" customWidth="1"/>
    <col min="27" max="27" width="17.5" style="39" customWidth="1"/>
    <col min="28" max="28" width="20.1640625" style="39" customWidth="1"/>
    <col min="29" max="29" width="27.6640625" style="39" customWidth="1"/>
    <col min="30" max="30" width="9.1640625" style="39"/>
    <col min="31" max="31" width="25.6640625" style="39" customWidth="1"/>
    <col min="32" max="32" width="17.6640625" style="39" customWidth="1"/>
    <col min="33" max="33" width="12.1640625" style="39" customWidth="1"/>
    <col min="34" max="34" width="13.33203125" style="39" customWidth="1"/>
    <col min="35" max="35" width="16.1640625" style="39" customWidth="1"/>
    <col min="36" max="36" width="28" style="39" customWidth="1"/>
    <col min="37" max="37" width="17.1640625" style="40" customWidth="1"/>
    <col min="38" max="38" width="15.83203125" style="39" customWidth="1"/>
    <col min="39" max="39" width="16.1640625" style="39" customWidth="1"/>
    <col min="40" max="40" width="11.6640625" style="39" customWidth="1"/>
    <col min="41" max="41" width="25.83203125" style="39" customWidth="1"/>
    <col min="42" max="42" width="22.5" style="39" customWidth="1"/>
    <col min="43" max="43" width="16.5" style="39" customWidth="1"/>
    <col min="44" max="44" width="17.33203125" style="39" customWidth="1"/>
    <col min="45" max="45" width="35" style="39" customWidth="1"/>
    <col min="46" max="46" width="21.6640625" style="39" customWidth="1"/>
    <col min="47" max="47" width="13.33203125" style="39" customWidth="1"/>
    <col min="48" max="48" width="23.6640625" style="39" customWidth="1"/>
    <col min="49" max="16384" width="9.1640625" style="39"/>
  </cols>
  <sheetData>
    <row r="1" spans="1:48" ht="15" x14ac:dyDescent="0.2">
      <c r="A1" s="1" t="s">
        <v>0</v>
      </c>
      <c r="B1" s="9"/>
      <c r="C1" s="8"/>
      <c r="D1" s="8"/>
    </row>
    <row r="2" spans="1:48" ht="15" x14ac:dyDescent="0.2">
      <c r="A2" s="2" t="s">
        <v>1</v>
      </c>
      <c r="B2" s="9"/>
      <c r="C2" s="8"/>
      <c r="D2" s="8"/>
    </row>
    <row r="3" spans="1:48" ht="15" x14ac:dyDescent="0.2">
      <c r="A3" s="2" t="s">
        <v>2</v>
      </c>
      <c r="B3" s="9"/>
      <c r="C3" s="8"/>
      <c r="D3" s="8"/>
    </row>
    <row r="4" spans="1:48" ht="15" x14ac:dyDescent="0.2">
      <c r="A4" s="2" t="s">
        <v>3</v>
      </c>
      <c r="B4" s="9"/>
      <c r="C4" s="8"/>
      <c r="D4" s="8"/>
    </row>
    <row r="5" spans="1:48" ht="15" x14ac:dyDescent="0.2">
      <c r="A5" s="2" t="s">
        <v>4</v>
      </c>
      <c r="B5" s="9"/>
      <c r="C5" s="8"/>
      <c r="D5" s="8"/>
    </row>
    <row r="6" spans="1:48" ht="15" x14ac:dyDescent="0.2">
      <c r="A6" s="2" t="s">
        <v>5</v>
      </c>
      <c r="B6" s="9"/>
      <c r="C6" s="8"/>
      <c r="D6" s="8"/>
    </row>
    <row r="7" spans="1:48" ht="15" x14ac:dyDescent="0.2">
      <c r="A7" s="2" t="s">
        <v>6</v>
      </c>
      <c r="B7" s="9"/>
      <c r="C7" s="8"/>
      <c r="D7" s="8"/>
    </row>
    <row r="8" spans="1:48" ht="15" x14ac:dyDescent="0.2">
      <c r="A8" s="3" t="s">
        <v>7</v>
      </c>
      <c r="B8" s="6"/>
      <c r="C8" s="5"/>
      <c r="D8" s="5"/>
      <c r="AR8" s="78" t="s">
        <v>539</v>
      </c>
    </row>
    <row r="9" spans="1:48" x14ac:dyDescent="0.2">
      <c r="A9" s="7"/>
      <c r="B9" s="6"/>
      <c r="C9" s="5"/>
      <c r="D9" s="5"/>
    </row>
    <row r="10" spans="1:48" ht="16" x14ac:dyDescent="0.2">
      <c r="A10" t="s">
        <v>540</v>
      </c>
      <c r="B10" s="4"/>
      <c r="C10" s="74"/>
      <c r="D10" s="5"/>
    </row>
    <row r="11" spans="1:48" x14ac:dyDescent="0.2">
      <c r="A11" s="39"/>
      <c r="D11" s="5"/>
    </row>
    <row r="12" spans="1:48" ht="56.25" customHeight="1" x14ac:dyDescent="0.2">
      <c r="A12" s="59" t="s">
        <v>461</v>
      </c>
      <c r="B12" s="58" t="s">
        <v>454</v>
      </c>
      <c r="C12" s="58" t="s">
        <v>473</v>
      </c>
      <c r="D12" s="58" t="s">
        <v>457</v>
      </c>
      <c r="E12" s="60" t="s">
        <v>472</v>
      </c>
      <c r="F12" s="60" t="s">
        <v>471</v>
      </c>
      <c r="G12" s="58" t="s">
        <v>470</v>
      </c>
      <c r="H12" s="58" t="s">
        <v>469</v>
      </c>
      <c r="I12" s="58" t="s">
        <v>468</v>
      </c>
      <c r="J12" s="58" t="s">
        <v>467</v>
      </c>
      <c r="K12" s="58" t="s">
        <v>466</v>
      </c>
      <c r="L12" s="58" t="s">
        <v>465</v>
      </c>
      <c r="M12" s="58" t="s">
        <v>464</v>
      </c>
      <c r="N12" s="58" t="s">
        <v>463</v>
      </c>
      <c r="O12" s="58" t="s">
        <v>462</v>
      </c>
      <c r="P12" s="59" t="s">
        <v>461</v>
      </c>
      <c r="Q12" s="58" t="s">
        <v>460</v>
      </c>
      <c r="R12" s="58" t="s">
        <v>459</v>
      </c>
      <c r="S12" s="59" t="s">
        <v>458</v>
      </c>
      <c r="T12" s="58" t="s">
        <v>457</v>
      </c>
      <c r="U12" s="58" t="s">
        <v>456</v>
      </c>
      <c r="V12" s="58" t="s">
        <v>455</v>
      </c>
      <c r="W12" s="58" t="s">
        <v>58</v>
      </c>
      <c r="X12" s="58" t="s">
        <v>454</v>
      </c>
      <c r="Y12" s="58" t="s">
        <v>453</v>
      </c>
      <c r="Z12" s="58" t="s">
        <v>452</v>
      </c>
      <c r="AA12" s="58" t="s">
        <v>451</v>
      </c>
      <c r="AB12" s="58" t="s">
        <v>450</v>
      </c>
      <c r="AC12" s="58" t="s">
        <v>449</v>
      </c>
      <c r="AD12" s="58" t="s">
        <v>448</v>
      </c>
      <c r="AE12" s="58" t="s">
        <v>447</v>
      </c>
      <c r="AF12" s="58" t="s">
        <v>446</v>
      </c>
      <c r="AG12" s="58" t="s">
        <v>445</v>
      </c>
      <c r="AH12" s="58" t="s">
        <v>444</v>
      </c>
      <c r="AI12" s="58" t="s">
        <v>443</v>
      </c>
      <c r="AJ12" s="58" t="s">
        <v>442</v>
      </c>
      <c r="AK12" s="59" t="s">
        <v>441</v>
      </c>
      <c r="AL12" s="58" t="s">
        <v>440</v>
      </c>
      <c r="AM12" s="58" t="s">
        <v>439</v>
      </c>
      <c r="AN12" s="58" t="s">
        <v>438</v>
      </c>
      <c r="AO12" s="58" t="s">
        <v>437</v>
      </c>
      <c r="AP12" s="58" t="s">
        <v>436</v>
      </c>
      <c r="AQ12" s="58" t="s">
        <v>435</v>
      </c>
      <c r="AR12" s="58" t="s">
        <v>434</v>
      </c>
      <c r="AS12" s="58" t="s">
        <v>433</v>
      </c>
      <c r="AT12" s="58" t="s">
        <v>432</v>
      </c>
      <c r="AU12" s="58" t="s">
        <v>431</v>
      </c>
      <c r="AV12" s="58" t="s">
        <v>430</v>
      </c>
    </row>
    <row r="13" spans="1:48" s="44" customFormat="1" ht="87" customHeight="1" x14ac:dyDescent="0.2">
      <c r="A13" s="57">
        <v>38035</v>
      </c>
      <c r="B13" s="56" t="s">
        <v>197</v>
      </c>
      <c r="C13" s="56" t="s">
        <v>177</v>
      </c>
      <c r="D13" s="56" t="s">
        <v>186</v>
      </c>
      <c r="E13" s="56" t="s">
        <v>66</v>
      </c>
      <c r="F13" s="56" t="s">
        <v>65</v>
      </c>
      <c r="G13" s="56" t="s">
        <v>182</v>
      </c>
      <c r="H13" s="56" t="s">
        <v>182</v>
      </c>
      <c r="I13" s="56">
        <v>82</v>
      </c>
      <c r="J13" s="56" t="s">
        <v>192</v>
      </c>
      <c r="K13" s="56" t="s">
        <v>191</v>
      </c>
      <c r="L13" s="56" t="s">
        <v>307</v>
      </c>
      <c r="M13" s="56" t="s">
        <v>429</v>
      </c>
      <c r="N13" s="56" t="s">
        <v>428</v>
      </c>
      <c r="O13" s="56" t="s">
        <v>160</v>
      </c>
      <c r="P13" s="57">
        <v>38035</v>
      </c>
      <c r="Q13" s="56" t="s">
        <v>173</v>
      </c>
      <c r="R13" s="56" t="s">
        <v>173</v>
      </c>
      <c r="S13" s="57">
        <v>40555</v>
      </c>
      <c r="T13" s="56" t="s">
        <v>186</v>
      </c>
      <c r="U13" s="56" t="s">
        <v>197</v>
      </c>
      <c r="V13" s="56" t="s">
        <v>173</v>
      </c>
      <c r="W13" s="56" t="s">
        <v>60</v>
      </c>
      <c r="X13" s="56" t="s">
        <v>197</v>
      </c>
      <c r="Y13" s="56" t="s">
        <v>427</v>
      </c>
      <c r="Z13" s="56" t="s">
        <v>160</v>
      </c>
      <c r="AA13" s="56" t="s">
        <v>160</v>
      </c>
      <c r="AB13" s="56" t="s">
        <v>160</v>
      </c>
      <c r="AC13" s="56" t="s">
        <v>220</v>
      </c>
      <c r="AD13" s="56" t="s">
        <v>173</v>
      </c>
      <c r="AE13" s="56" t="s">
        <v>182</v>
      </c>
      <c r="AF13" s="56" t="s">
        <v>182</v>
      </c>
      <c r="AG13" s="56" t="s">
        <v>181</v>
      </c>
      <c r="AH13" s="56" t="s">
        <v>173</v>
      </c>
      <c r="AI13" s="56" t="s">
        <v>214</v>
      </c>
      <c r="AJ13" s="56" t="s">
        <v>426</v>
      </c>
      <c r="AK13" s="57">
        <v>38035</v>
      </c>
      <c r="AL13" s="56" t="s">
        <v>178</v>
      </c>
      <c r="AM13" s="56" t="s">
        <v>160</v>
      </c>
      <c r="AN13" s="56">
        <v>442</v>
      </c>
      <c r="AO13" s="56" t="s">
        <v>177</v>
      </c>
      <c r="AP13" s="56" t="s">
        <v>160</v>
      </c>
      <c r="AQ13" s="56" t="s">
        <v>176</v>
      </c>
      <c r="AR13" s="56" t="s">
        <v>374</v>
      </c>
      <c r="AS13" s="56" t="s">
        <v>425</v>
      </c>
      <c r="AT13" s="56">
        <v>3</v>
      </c>
      <c r="AU13" s="56" t="s">
        <v>174</v>
      </c>
      <c r="AV13" s="56" t="s">
        <v>173</v>
      </c>
    </row>
    <row r="14" spans="1:48" s="44" customFormat="1" ht="12" customHeight="1" x14ac:dyDescent="0.2">
      <c r="A14" s="53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2"/>
      <c r="Q14" s="51"/>
      <c r="R14" s="51"/>
      <c r="S14" s="52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2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0"/>
    </row>
    <row r="15" spans="1:48" s="44" customFormat="1" ht="60" x14ac:dyDescent="0.2">
      <c r="A15" s="55">
        <v>38142</v>
      </c>
      <c r="B15" s="54" t="s">
        <v>197</v>
      </c>
      <c r="C15" s="54" t="s">
        <v>177</v>
      </c>
      <c r="D15" s="54" t="s">
        <v>186</v>
      </c>
      <c r="E15" s="54" t="s">
        <v>72</v>
      </c>
      <c r="F15" s="54" t="s">
        <v>71</v>
      </c>
      <c r="G15" s="54" t="s">
        <v>182</v>
      </c>
      <c r="H15" s="54" t="s">
        <v>182</v>
      </c>
      <c r="I15" s="54">
        <v>69</v>
      </c>
      <c r="J15" s="54" t="s">
        <v>192</v>
      </c>
      <c r="K15" s="54" t="s">
        <v>191</v>
      </c>
      <c r="L15" s="54" t="s">
        <v>190</v>
      </c>
      <c r="M15" s="54" t="s">
        <v>235</v>
      </c>
      <c r="N15" s="54" t="s">
        <v>234</v>
      </c>
      <c r="O15" s="54" t="s">
        <v>160</v>
      </c>
      <c r="P15" s="55">
        <v>38142</v>
      </c>
      <c r="Q15" s="54" t="s">
        <v>173</v>
      </c>
      <c r="R15" s="54" t="s">
        <v>173</v>
      </c>
      <c r="S15" s="55">
        <v>39593</v>
      </c>
      <c r="T15" s="54" t="s">
        <v>186</v>
      </c>
      <c r="U15" s="54" t="s">
        <v>197</v>
      </c>
      <c r="V15" s="54" t="s">
        <v>173</v>
      </c>
      <c r="W15" s="54" t="s">
        <v>60</v>
      </c>
      <c r="X15" s="54" t="s">
        <v>197</v>
      </c>
      <c r="Y15" s="54" t="s">
        <v>424</v>
      </c>
      <c r="Z15" s="54" t="s">
        <v>160</v>
      </c>
      <c r="AA15" s="54" t="s">
        <v>160</v>
      </c>
      <c r="AB15" s="54" t="s">
        <v>160</v>
      </c>
      <c r="AC15" s="54" t="s">
        <v>220</v>
      </c>
      <c r="AD15" s="54" t="s">
        <v>173</v>
      </c>
      <c r="AE15" s="54" t="s">
        <v>182</v>
      </c>
      <c r="AF15" s="54" t="s">
        <v>182</v>
      </c>
      <c r="AG15" s="54" t="s">
        <v>181</v>
      </c>
      <c r="AH15" s="54" t="s">
        <v>173</v>
      </c>
      <c r="AI15" s="54" t="s">
        <v>249</v>
      </c>
      <c r="AJ15" s="54" t="s">
        <v>234</v>
      </c>
      <c r="AK15" s="55">
        <v>38142</v>
      </c>
      <c r="AL15" s="54" t="s">
        <v>178</v>
      </c>
      <c r="AM15" s="54" t="s">
        <v>160</v>
      </c>
      <c r="AN15" s="54">
        <v>442</v>
      </c>
      <c r="AO15" s="54" t="s">
        <v>177</v>
      </c>
      <c r="AP15" s="54" t="s">
        <v>160</v>
      </c>
      <c r="AQ15" s="54" t="s">
        <v>176</v>
      </c>
      <c r="AR15" s="54" t="s">
        <v>423</v>
      </c>
      <c r="AS15" s="54" t="s">
        <v>422</v>
      </c>
      <c r="AT15" s="54">
        <v>38</v>
      </c>
      <c r="AU15" s="54" t="s">
        <v>174</v>
      </c>
      <c r="AV15" s="54" t="s">
        <v>173</v>
      </c>
    </row>
    <row r="16" spans="1:48" s="44" customFormat="1" ht="12" customHeight="1" x14ac:dyDescent="0.2">
      <c r="A16" s="53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1"/>
      <c r="R16" s="51"/>
      <c r="S16" s="52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2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0"/>
    </row>
    <row r="17" spans="1:48" s="77" customFormat="1" ht="93.75" customHeight="1" x14ac:dyDescent="0.2">
      <c r="A17" s="75">
        <v>38895</v>
      </c>
      <c r="B17" s="76" t="s">
        <v>197</v>
      </c>
      <c r="C17" s="76" t="s">
        <v>177</v>
      </c>
      <c r="D17" s="76" t="s">
        <v>186</v>
      </c>
      <c r="E17" s="76" t="s">
        <v>75</v>
      </c>
      <c r="F17" s="76" t="s">
        <v>74</v>
      </c>
      <c r="G17" s="76" t="s">
        <v>182</v>
      </c>
      <c r="H17" s="76" t="s">
        <v>182</v>
      </c>
      <c r="I17" s="76">
        <v>84</v>
      </c>
      <c r="J17" s="76" t="s">
        <v>192</v>
      </c>
      <c r="K17" s="76" t="s">
        <v>191</v>
      </c>
      <c r="L17" s="76" t="s">
        <v>190</v>
      </c>
      <c r="M17" s="76" t="s">
        <v>189</v>
      </c>
      <c r="N17" s="76" t="s">
        <v>210</v>
      </c>
      <c r="O17" s="76" t="s">
        <v>314</v>
      </c>
      <c r="P17" s="75">
        <v>38895</v>
      </c>
      <c r="Q17" s="76" t="s">
        <v>173</v>
      </c>
      <c r="R17" s="76" t="s">
        <v>173</v>
      </c>
      <c r="S17" s="75">
        <v>40797</v>
      </c>
      <c r="T17" s="76" t="s">
        <v>186</v>
      </c>
      <c r="U17" s="76" t="s">
        <v>197</v>
      </c>
      <c r="V17" s="76" t="s">
        <v>173</v>
      </c>
      <c r="W17" s="76" t="s">
        <v>60</v>
      </c>
      <c r="X17" s="76" t="s">
        <v>197</v>
      </c>
      <c r="Y17" s="76" t="s">
        <v>421</v>
      </c>
      <c r="Z17" s="76" t="s">
        <v>160</v>
      </c>
      <c r="AA17" s="76" t="s">
        <v>160</v>
      </c>
      <c r="AB17" s="76" t="s">
        <v>160</v>
      </c>
      <c r="AC17" s="76" t="s">
        <v>420</v>
      </c>
      <c r="AD17" s="76" t="s">
        <v>173</v>
      </c>
      <c r="AE17" s="76" t="s">
        <v>182</v>
      </c>
      <c r="AF17" s="76" t="s">
        <v>182</v>
      </c>
      <c r="AG17" s="76" t="s">
        <v>181</v>
      </c>
      <c r="AH17" s="76" t="s">
        <v>173</v>
      </c>
      <c r="AI17" s="76" t="s">
        <v>249</v>
      </c>
      <c r="AJ17" s="76" t="s">
        <v>234</v>
      </c>
      <c r="AK17" s="75">
        <v>38895</v>
      </c>
      <c r="AL17" s="76" t="s">
        <v>178</v>
      </c>
      <c r="AM17" s="76" t="s">
        <v>160</v>
      </c>
      <c r="AN17" s="76">
        <v>442</v>
      </c>
      <c r="AO17" s="76" t="s">
        <v>177</v>
      </c>
      <c r="AP17" s="76" t="s">
        <v>160</v>
      </c>
      <c r="AQ17" s="76" t="s">
        <v>176</v>
      </c>
      <c r="AR17" s="76" t="s">
        <v>160</v>
      </c>
      <c r="AS17" s="76" t="s">
        <v>419</v>
      </c>
      <c r="AT17" s="76">
        <v>59</v>
      </c>
      <c r="AU17" s="76" t="s">
        <v>174</v>
      </c>
      <c r="AV17" s="76" t="s">
        <v>173</v>
      </c>
    </row>
    <row r="18" spans="1:48" s="44" customFormat="1" ht="12" customHeight="1" x14ac:dyDescent="0.2">
      <c r="A18" s="53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2"/>
      <c r="Q18" s="51"/>
      <c r="R18" s="51"/>
      <c r="S18" s="52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2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0"/>
    </row>
    <row r="19" spans="1:48" s="77" customFormat="1" ht="60" x14ac:dyDescent="0.2">
      <c r="A19" s="75">
        <v>38299</v>
      </c>
      <c r="B19" s="76" t="s">
        <v>197</v>
      </c>
      <c r="C19" s="76" t="s">
        <v>177</v>
      </c>
      <c r="D19" s="76" t="s">
        <v>186</v>
      </c>
      <c r="E19" s="76" t="s">
        <v>78</v>
      </c>
      <c r="F19" s="76" t="s">
        <v>77</v>
      </c>
      <c r="G19" s="76" t="s">
        <v>182</v>
      </c>
      <c r="H19" s="76" t="s">
        <v>182</v>
      </c>
      <c r="I19" s="76">
        <v>69</v>
      </c>
      <c r="J19" s="76" t="s">
        <v>192</v>
      </c>
      <c r="K19" s="76" t="s">
        <v>191</v>
      </c>
      <c r="L19" s="76" t="s">
        <v>190</v>
      </c>
      <c r="M19" s="76" t="s">
        <v>189</v>
      </c>
      <c r="N19" s="76" t="s">
        <v>210</v>
      </c>
      <c r="O19" s="76" t="s">
        <v>314</v>
      </c>
      <c r="P19" s="75">
        <v>38299</v>
      </c>
      <c r="Q19" s="76" t="s">
        <v>173</v>
      </c>
      <c r="R19" s="76" t="s">
        <v>173</v>
      </c>
      <c r="S19" s="75">
        <v>39032</v>
      </c>
      <c r="T19" s="76" t="s">
        <v>186</v>
      </c>
      <c r="U19" s="76" t="s">
        <v>197</v>
      </c>
      <c r="V19" s="76" t="s">
        <v>173</v>
      </c>
      <c r="W19" s="76" t="s">
        <v>60</v>
      </c>
      <c r="X19" s="76" t="s">
        <v>197</v>
      </c>
      <c r="Y19" s="76" t="s">
        <v>418</v>
      </c>
      <c r="Z19" s="76" t="s">
        <v>160</v>
      </c>
      <c r="AA19" s="76" t="s">
        <v>160</v>
      </c>
      <c r="AB19" s="76" t="s">
        <v>160</v>
      </c>
      <c r="AC19" s="76" t="s">
        <v>417</v>
      </c>
      <c r="AD19" s="76" t="s">
        <v>173</v>
      </c>
      <c r="AE19" s="76" t="s">
        <v>182</v>
      </c>
      <c r="AF19" s="76" t="s">
        <v>182</v>
      </c>
      <c r="AG19" s="76" t="s">
        <v>181</v>
      </c>
      <c r="AH19" s="76" t="s">
        <v>173</v>
      </c>
      <c r="AI19" s="76" t="s">
        <v>249</v>
      </c>
      <c r="AJ19" s="76" t="s">
        <v>234</v>
      </c>
      <c r="AK19" s="75">
        <v>38299</v>
      </c>
      <c r="AL19" s="76" t="s">
        <v>178</v>
      </c>
      <c r="AM19" s="76" t="s">
        <v>160</v>
      </c>
      <c r="AN19" s="76">
        <v>442</v>
      </c>
      <c r="AO19" s="76" t="s">
        <v>177</v>
      </c>
      <c r="AP19" s="76" t="s">
        <v>160</v>
      </c>
      <c r="AQ19" s="76" t="s">
        <v>176</v>
      </c>
      <c r="AR19" s="76" t="s">
        <v>299</v>
      </c>
      <c r="AS19" s="76" t="s">
        <v>416</v>
      </c>
      <c r="AT19" s="76">
        <v>22</v>
      </c>
      <c r="AU19" s="76" t="s">
        <v>174</v>
      </c>
      <c r="AV19" s="76" t="s">
        <v>173</v>
      </c>
    </row>
    <row r="20" spans="1:48" s="44" customFormat="1" ht="12" customHeight="1" x14ac:dyDescent="0.2">
      <c r="A20" s="53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2"/>
      <c r="Q20" s="51"/>
      <c r="R20" s="51"/>
      <c r="S20" s="52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2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0"/>
    </row>
    <row r="21" spans="1:48" s="77" customFormat="1" ht="60" x14ac:dyDescent="0.2">
      <c r="A21" s="75">
        <v>40948</v>
      </c>
      <c r="B21" s="76" t="s">
        <v>197</v>
      </c>
      <c r="C21" s="76" t="s">
        <v>177</v>
      </c>
      <c r="D21" s="76" t="s">
        <v>186</v>
      </c>
      <c r="E21" s="76" t="s">
        <v>81</v>
      </c>
      <c r="F21" s="76" t="s">
        <v>80</v>
      </c>
      <c r="G21" s="76" t="s">
        <v>182</v>
      </c>
      <c r="H21" s="76" t="s">
        <v>182</v>
      </c>
      <c r="I21" s="76">
        <v>63</v>
      </c>
      <c r="J21" s="76" t="s">
        <v>192</v>
      </c>
      <c r="K21" s="76" t="s">
        <v>191</v>
      </c>
      <c r="L21" s="76" t="s">
        <v>190</v>
      </c>
      <c r="M21" s="76" t="s">
        <v>160</v>
      </c>
      <c r="N21" s="76" t="s">
        <v>160</v>
      </c>
      <c r="O21" s="76" t="s">
        <v>314</v>
      </c>
      <c r="P21" s="75">
        <v>40948</v>
      </c>
      <c r="Q21" s="76" t="s">
        <v>173</v>
      </c>
      <c r="R21" s="76" t="s">
        <v>173</v>
      </c>
      <c r="S21" s="75">
        <v>42527</v>
      </c>
      <c r="T21" s="76" t="s">
        <v>186</v>
      </c>
      <c r="U21" s="76" t="s">
        <v>197</v>
      </c>
      <c r="V21" s="76" t="s">
        <v>173</v>
      </c>
      <c r="W21" s="76" t="s">
        <v>60</v>
      </c>
      <c r="X21" s="76" t="s">
        <v>197</v>
      </c>
      <c r="Y21" s="76" t="s">
        <v>415</v>
      </c>
      <c r="Z21" s="76" t="s">
        <v>414</v>
      </c>
      <c r="AA21" s="76" t="s">
        <v>160</v>
      </c>
      <c r="AB21" s="76" t="s">
        <v>160</v>
      </c>
      <c r="AC21" s="76" t="s">
        <v>413</v>
      </c>
      <c r="AD21" s="76" t="s">
        <v>173</v>
      </c>
      <c r="AE21" s="76" t="s">
        <v>182</v>
      </c>
      <c r="AF21" s="76" t="s">
        <v>182</v>
      </c>
      <c r="AG21" s="76" t="s">
        <v>181</v>
      </c>
      <c r="AH21" s="76" t="s">
        <v>173</v>
      </c>
      <c r="AI21" s="76" t="s">
        <v>214</v>
      </c>
      <c r="AJ21" s="76" t="s">
        <v>412</v>
      </c>
      <c r="AK21" s="75">
        <v>40948</v>
      </c>
      <c r="AL21" s="76" t="s">
        <v>178</v>
      </c>
      <c r="AM21" s="76" t="s">
        <v>160</v>
      </c>
      <c r="AN21" s="76">
        <v>442</v>
      </c>
      <c r="AO21" s="76" t="s">
        <v>177</v>
      </c>
      <c r="AP21" s="76" t="s">
        <v>160</v>
      </c>
      <c r="AQ21" s="76" t="s">
        <v>239</v>
      </c>
      <c r="AR21" s="76" t="s">
        <v>411</v>
      </c>
      <c r="AS21" s="76" t="s">
        <v>410</v>
      </c>
      <c r="AT21" s="76">
        <v>33</v>
      </c>
      <c r="AU21" s="76" t="s">
        <v>174</v>
      </c>
      <c r="AV21" s="76" t="s">
        <v>173</v>
      </c>
    </row>
    <row r="22" spans="1:48" s="44" customFormat="1" ht="12" customHeight="1" x14ac:dyDescent="0.2">
      <c r="A22" s="53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2"/>
      <c r="Q22" s="51"/>
      <c r="R22" s="51"/>
      <c r="S22" s="52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2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0"/>
    </row>
    <row r="23" spans="1:48" s="44" customFormat="1" ht="150" x14ac:dyDescent="0.2">
      <c r="A23" s="55">
        <v>38251</v>
      </c>
      <c r="B23" s="54" t="s">
        <v>197</v>
      </c>
      <c r="C23" s="54" t="s">
        <v>405</v>
      </c>
      <c r="D23" s="54" t="s">
        <v>186</v>
      </c>
      <c r="E23" s="54" t="s">
        <v>84</v>
      </c>
      <c r="F23" s="54" t="s">
        <v>83</v>
      </c>
      <c r="G23" s="54" t="s">
        <v>182</v>
      </c>
      <c r="H23" s="54" t="s">
        <v>182</v>
      </c>
      <c r="I23" s="54">
        <v>58</v>
      </c>
      <c r="J23" s="54" t="s">
        <v>192</v>
      </c>
      <c r="K23" s="54" t="s">
        <v>409</v>
      </c>
      <c r="L23" s="54" t="s">
        <v>236</v>
      </c>
      <c r="M23" s="54" t="s">
        <v>189</v>
      </c>
      <c r="N23" s="54" t="s">
        <v>210</v>
      </c>
      <c r="O23" s="54" t="s">
        <v>314</v>
      </c>
      <c r="P23" s="55">
        <v>38251</v>
      </c>
      <c r="Q23" s="54" t="s">
        <v>173</v>
      </c>
      <c r="R23" s="54" t="s">
        <v>173</v>
      </c>
      <c r="S23" s="55">
        <v>40189</v>
      </c>
      <c r="T23" s="54" t="s">
        <v>186</v>
      </c>
      <c r="U23" s="54" t="s">
        <v>197</v>
      </c>
      <c r="V23" s="54" t="s">
        <v>173</v>
      </c>
      <c r="W23" s="54" t="s">
        <v>60</v>
      </c>
      <c r="X23" s="54" t="s">
        <v>197</v>
      </c>
      <c r="Y23" s="54" t="s">
        <v>408</v>
      </c>
      <c r="Z23" s="54" t="s">
        <v>160</v>
      </c>
      <c r="AA23" s="54" t="s">
        <v>160</v>
      </c>
      <c r="AB23" s="54" t="s">
        <v>160</v>
      </c>
      <c r="AC23" s="54" t="s">
        <v>407</v>
      </c>
      <c r="AD23" s="54" t="s">
        <v>173</v>
      </c>
      <c r="AE23" s="54" t="s">
        <v>406</v>
      </c>
      <c r="AF23" s="54" t="s">
        <v>182</v>
      </c>
      <c r="AG23" s="54" t="s">
        <v>181</v>
      </c>
      <c r="AH23" s="54" t="s">
        <v>173</v>
      </c>
      <c r="AI23" s="54" t="s">
        <v>249</v>
      </c>
      <c r="AJ23" s="54" t="s">
        <v>234</v>
      </c>
      <c r="AK23" s="55">
        <v>38251</v>
      </c>
      <c r="AL23" s="54" t="s">
        <v>178</v>
      </c>
      <c r="AM23" s="54" t="s">
        <v>160</v>
      </c>
      <c r="AN23" s="54">
        <v>442</v>
      </c>
      <c r="AO23" s="54" t="s">
        <v>405</v>
      </c>
      <c r="AP23" s="54" t="s">
        <v>160</v>
      </c>
      <c r="AQ23" s="54" t="s">
        <v>176</v>
      </c>
      <c r="AR23" s="54" t="s">
        <v>404</v>
      </c>
      <c r="AS23" s="54" t="s">
        <v>403</v>
      </c>
      <c r="AT23" s="54">
        <v>41</v>
      </c>
      <c r="AU23" s="54" t="s">
        <v>174</v>
      </c>
      <c r="AV23" s="54" t="s">
        <v>173</v>
      </c>
    </row>
    <row r="24" spans="1:48" s="44" customFormat="1" ht="12" customHeight="1" x14ac:dyDescent="0.2">
      <c r="A24" s="53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2"/>
      <c r="Q24" s="51"/>
      <c r="R24" s="51"/>
      <c r="S24" s="52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2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0"/>
    </row>
    <row r="25" spans="1:48" s="77" customFormat="1" ht="90" x14ac:dyDescent="0.2">
      <c r="A25" s="75">
        <v>39211</v>
      </c>
      <c r="B25" s="76" t="s">
        <v>197</v>
      </c>
      <c r="C25" s="76" t="s">
        <v>397</v>
      </c>
      <c r="D25" s="76" t="s">
        <v>186</v>
      </c>
      <c r="E25" s="76" t="s">
        <v>87</v>
      </c>
      <c r="F25" s="76" t="s">
        <v>86</v>
      </c>
      <c r="G25" s="76" t="s">
        <v>402</v>
      </c>
      <c r="H25" s="76" t="s">
        <v>401</v>
      </c>
      <c r="I25" s="76">
        <v>71</v>
      </c>
      <c r="J25" s="76" t="s">
        <v>192</v>
      </c>
      <c r="K25" s="76" t="s">
        <v>191</v>
      </c>
      <c r="L25" s="76" t="s">
        <v>190</v>
      </c>
      <c r="M25" s="76" t="s">
        <v>189</v>
      </c>
      <c r="N25" s="76" t="s">
        <v>400</v>
      </c>
      <c r="O25" s="76" t="s">
        <v>273</v>
      </c>
      <c r="P25" s="75">
        <v>39211</v>
      </c>
      <c r="Q25" s="76" t="s">
        <v>173</v>
      </c>
      <c r="R25" s="76" t="s">
        <v>173</v>
      </c>
      <c r="S25" s="75">
        <v>39895</v>
      </c>
      <c r="T25" s="76" t="s">
        <v>186</v>
      </c>
      <c r="U25" s="76" t="s">
        <v>197</v>
      </c>
      <c r="V25" s="76" t="s">
        <v>173</v>
      </c>
      <c r="W25" s="76" t="s">
        <v>60</v>
      </c>
      <c r="X25" s="76" t="s">
        <v>197</v>
      </c>
      <c r="Y25" s="76" t="s">
        <v>399</v>
      </c>
      <c r="Z25" s="76" t="s">
        <v>160</v>
      </c>
      <c r="AA25" s="76" t="s">
        <v>160</v>
      </c>
      <c r="AB25" s="76" t="s">
        <v>160</v>
      </c>
      <c r="AC25" s="76" t="s">
        <v>398</v>
      </c>
      <c r="AD25" s="76" t="s">
        <v>173</v>
      </c>
      <c r="AE25" s="76" t="s">
        <v>182</v>
      </c>
      <c r="AF25" s="76" t="s">
        <v>182</v>
      </c>
      <c r="AG25" s="76" t="s">
        <v>181</v>
      </c>
      <c r="AH25" s="76" t="s">
        <v>173</v>
      </c>
      <c r="AI25" s="76" t="s">
        <v>249</v>
      </c>
      <c r="AJ25" s="76" t="s">
        <v>234</v>
      </c>
      <c r="AK25" s="75">
        <v>39211</v>
      </c>
      <c r="AL25" s="76" t="s">
        <v>178</v>
      </c>
      <c r="AM25" s="76" t="s">
        <v>160</v>
      </c>
      <c r="AN25" s="76">
        <v>442</v>
      </c>
      <c r="AO25" s="76" t="s">
        <v>397</v>
      </c>
      <c r="AP25" s="76" t="s">
        <v>160</v>
      </c>
      <c r="AQ25" s="76" t="s">
        <v>176</v>
      </c>
      <c r="AR25" s="76" t="s">
        <v>374</v>
      </c>
      <c r="AS25" s="76" t="s">
        <v>396</v>
      </c>
      <c r="AT25" s="76">
        <v>13</v>
      </c>
      <c r="AU25" s="76" t="s">
        <v>174</v>
      </c>
      <c r="AV25" s="76" t="s">
        <v>173</v>
      </c>
    </row>
    <row r="26" spans="1:48" s="44" customFormat="1" ht="12" customHeight="1" x14ac:dyDescent="0.2">
      <c r="A26" s="53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2"/>
      <c r="Q26" s="51"/>
      <c r="R26" s="51"/>
      <c r="S26" s="52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2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0"/>
    </row>
    <row r="27" spans="1:48" s="44" customFormat="1" ht="75" x14ac:dyDescent="0.2">
      <c r="A27" s="55">
        <v>36804</v>
      </c>
      <c r="B27" s="54" t="s">
        <v>197</v>
      </c>
      <c r="C27" s="54" t="s">
        <v>177</v>
      </c>
      <c r="D27" s="54" t="s">
        <v>186</v>
      </c>
      <c r="E27" s="54" t="s">
        <v>89</v>
      </c>
      <c r="F27" s="54" t="s">
        <v>88</v>
      </c>
      <c r="G27" s="54" t="s">
        <v>182</v>
      </c>
      <c r="H27" s="54" t="s">
        <v>182</v>
      </c>
      <c r="I27" s="54">
        <v>79</v>
      </c>
      <c r="J27" s="54" t="s">
        <v>192</v>
      </c>
      <c r="K27" s="54" t="s">
        <v>191</v>
      </c>
      <c r="L27" s="54" t="s">
        <v>190</v>
      </c>
      <c r="M27" s="54" t="s">
        <v>160</v>
      </c>
      <c r="N27" s="54" t="s">
        <v>160</v>
      </c>
      <c r="O27" s="54" t="s">
        <v>273</v>
      </c>
      <c r="P27" s="55">
        <v>36804</v>
      </c>
      <c r="Q27" s="54" t="s">
        <v>173</v>
      </c>
      <c r="R27" s="54" t="s">
        <v>173</v>
      </c>
      <c r="S27" s="55">
        <v>39131</v>
      </c>
      <c r="T27" s="54" t="s">
        <v>186</v>
      </c>
      <c r="U27" s="54" t="s">
        <v>197</v>
      </c>
      <c r="V27" s="54" t="s">
        <v>173</v>
      </c>
      <c r="W27" s="54" t="s">
        <v>60</v>
      </c>
      <c r="X27" s="54" t="s">
        <v>197</v>
      </c>
      <c r="Y27" s="54" t="s">
        <v>395</v>
      </c>
      <c r="Z27" s="54" t="s">
        <v>160</v>
      </c>
      <c r="AA27" s="54" t="s">
        <v>160</v>
      </c>
      <c r="AB27" s="54" t="s">
        <v>160</v>
      </c>
      <c r="AC27" s="54" t="s">
        <v>394</v>
      </c>
      <c r="AD27" s="54" t="s">
        <v>173</v>
      </c>
      <c r="AE27" s="54" t="s">
        <v>182</v>
      </c>
      <c r="AF27" s="54" t="s">
        <v>182</v>
      </c>
      <c r="AG27" s="54" t="s">
        <v>181</v>
      </c>
      <c r="AH27" s="54" t="s">
        <v>173</v>
      </c>
      <c r="AI27" s="54" t="s">
        <v>160</v>
      </c>
      <c r="AJ27" s="54" t="s">
        <v>160</v>
      </c>
      <c r="AK27" s="55">
        <v>36804</v>
      </c>
      <c r="AL27" s="54" t="s">
        <v>178</v>
      </c>
      <c r="AM27" s="54" t="s">
        <v>160</v>
      </c>
      <c r="AN27" s="54">
        <v>442</v>
      </c>
      <c r="AO27" s="54" t="s">
        <v>177</v>
      </c>
      <c r="AP27" s="54" t="s">
        <v>160</v>
      </c>
      <c r="AQ27" s="54" t="s">
        <v>176</v>
      </c>
      <c r="AR27" s="54" t="s">
        <v>393</v>
      </c>
      <c r="AS27" s="54" t="s">
        <v>392</v>
      </c>
      <c r="AT27" s="54">
        <v>30</v>
      </c>
      <c r="AU27" s="54" t="s">
        <v>174</v>
      </c>
      <c r="AV27" s="54" t="s">
        <v>173</v>
      </c>
    </row>
    <row r="28" spans="1:48" s="44" customFormat="1" ht="12" customHeight="1" x14ac:dyDescent="0.2">
      <c r="A28" s="53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2"/>
      <c r="Q28" s="51"/>
      <c r="R28" s="51"/>
      <c r="S28" s="52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2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0"/>
    </row>
    <row r="29" spans="1:48" s="44" customFormat="1" ht="60" x14ac:dyDescent="0.2">
      <c r="A29" s="55">
        <v>37204</v>
      </c>
      <c r="B29" s="54" t="s">
        <v>197</v>
      </c>
      <c r="C29" s="54" t="s">
        <v>177</v>
      </c>
      <c r="D29" s="54" t="s">
        <v>186</v>
      </c>
      <c r="E29" s="54" t="s">
        <v>92</v>
      </c>
      <c r="F29" s="54" t="s">
        <v>91</v>
      </c>
      <c r="G29" s="54" t="s">
        <v>182</v>
      </c>
      <c r="H29" s="54" t="s">
        <v>182</v>
      </c>
      <c r="I29" s="54">
        <v>70</v>
      </c>
      <c r="J29" s="54" t="s">
        <v>192</v>
      </c>
      <c r="K29" s="54" t="s">
        <v>191</v>
      </c>
      <c r="L29" s="54" t="s">
        <v>190</v>
      </c>
      <c r="M29" s="54" t="s">
        <v>160</v>
      </c>
      <c r="N29" s="54" t="s">
        <v>160</v>
      </c>
      <c r="O29" s="54" t="s">
        <v>173</v>
      </c>
      <c r="P29" s="55">
        <v>37204</v>
      </c>
      <c r="Q29" s="54" t="s">
        <v>173</v>
      </c>
      <c r="R29" s="54" t="s">
        <v>173</v>
      </c>
      <c r="S29" s="55" t="s">
        <v>173</v>
      </c>
      <c r="T29" s="54" t="s">
        <v>186</v>
      </c>
      <c r="U29" s="54" t="s">
        <v>197</v>
      </c>
      <c r="V29" s="54" t="s">
        <v>173</v>
      </c>
      <c r="W29" s="54" t="s">
        <v>60</v>
      </c>
      <c r="X29" s="54" t="s">
        <v>197</v>
      </c>
      <c r="Y29" s="54" t="s">
        <v>391</v>
      </c>
      <c r="Z29" s="54" t="s">
        <v>160</v>
      </c>
      <c r="AA29" s="54" t="s">
        <v>160</v>
      </c>
      <c r="AB29" s="54" t="s">
        <v>160</v>
      </c>
      <c r="AC29" s="54" t="s">
        <v>390</v>
      </c>
      <c r="AD29" s="54" t="s">
        <v>173</v>
      </c>
      <c r="AE29" s="54" t="s">
        <v>182</v>
      </c>
      <c r="AF29" s="54" t="s">
        <v>182</v>
      </c>
      <c r="AG29" s="54" t="s">
        <v>181</v>
      </c>
      <c r="AH29" s="54" t="s">
        <v>173</v>
      </c>
      <c r="AI29" s="54" t="s">
        <v>160</v>
      </c>
      <c r="AJ29" s="54" t="s">
        <v>160</v>
      </c>
      <c r="AK29" s="55">
        <v>37204</v>
      </c>
      <c r="AL29" s="54" t="s">
        <v>178</v>
      </c>
      <c r="AM29" s="54" t="s">
        <v>160</v>
      </c>
      <c r="AN29" s="54">
        <v>442</v>
      </c>
      <c r="AO29" s="54" t="s">
        <v>177</v>
      </c>
      <c r="AP29" s="54" t="s">
        <v>160</v>
      </c>
      <c r="AQ29" s="54" t="s">
        <v>176</v>
      </c>
      <c r="AR29" s="54" t="s">
        <v>261</v>
      </c>
      <c r="AS29" s="54" t="s">
        <v>389</v>
      </c>
      <c r="AT29" s="54">
        <v>164</v>
      </c>
      <c r="AU29" s="54" t="s">
        <v>222</v>
      </c>
      <c r="AV29" s="54">
        <v>43200</v>
      </c>
    </row>
    <row r="30" spans="1:48" s="44" customFormat="1" ht="12" customHeight="1" x14ac:dyDescent="0.2">
      <c r="A30" s="53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2"/>
      <c r="Q30" s="51"/>
      <c r="R30" s="51"/>
      <c r="S30" s="52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2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0"/>
    </row>
    <row r="31" spans="1:48" s="77" customFormat="1" ht="63.75" customHeight="1" x14ac:dyDescent="0.2">
      <c r="A31" s="75">
        <v>38611</v>
      </c>
      <c r="B31" s="76" t="s">
        <v>197</v>
      </c>
      <c r="C31" s="76" t="s">
        <v>177</v>
      </c>
      <c r="D31" s="76" t="s">
        <v>186</v>
      </c>
      <c r="E31" s="76" t="s">
        <v>94</v>
      </c>
      <c r="F31" s="76" t="s">
        <v>93</v>
      </c>
      <c r="G31" s="76" t="s">
        <v>182</v>
      </c>
      <c r="H31" s="76" t="s">
        <v>182</v>
      </c>
      <c r="I31" s="76">
        <v>79</v>
      </c>
      <c r="J31" s="76" t="s">
        <v>192</v>
      </c>
      <c r="K31" s="76" t="s">
        <v>191</v>
      </c>
      <c r="L31" s="76" t="s">
        <v>190</v>
      </c>
      <c r="M31" s="76" t="s">
        <v>160</v>
      </c>
      <c r="N31" s="76" t="s">
        <v>160</v>
      </c>
      <c r="O31" s="76" t="s">
        <v>273</v>
      </c>
      <c r="P31" s="75">
        <v>38611</v>
      </c>
      <c r="Q31" s="76" t="s">
        <v>173</v>
      </c>
      <c r="R31" s="76" t="s">
        <v>173</v>
      </c>
      <c r="S31" s="75">
        <v>39055</v>
      </c>
      <c r="T31" s="76" t="s">
        <v>186</v>
      </c>
      <c r="U31" s="76" t="s">
        <v>197</v>
      </c>
      <c r="V31" s="76" t="s">
        <v>173</v>
      </c>
      <c r="W31" s="76" t="s">
        <v>60</v>
      </c>
      <c r="X31" s="76" t="s">
        <v>197</v>
      </c>
      <c r="Y31" s="76" t="s">
        <v>388</v>
      </c>
      <c r="Z31" s="76" t="s">
        <v>160</v>
      </c>
      <c r="AA31" s="76" t="s">
        <v>160</v>
      </c>
      <c r="AB31" s="76" t="s">
        <v>160</v>
      </c>
      <c r="AC31" s="76" t="s">
        <v>387</v>
      </c>
      <c r="AD31" s="76" t="s">
        <v>173</v>
      </c>
      <c r="AE31" s="76" t="s">
        <v>182</v>
      </c>
      <c r="AF31" s="76" t="s">
        <v>182</v>
      </c>
      <c r="AG31" s="76" t="s">
        <v>181</v>
      </c>
      <c r="AH31" s="76" t="s">
        <v>173</v>
      </c>
      <c r="AI31" s="76" t="s">
        <v>249</v>
      </c>
      <c r="AJ31" s="76" t="s">
        <v>234</v>
      </c>
      <c r="AK31" s="75">
        <v>38611</v>
      </c>
      <c r="AL31" s="76" t="s">
        <v>178</v>
      </c>
      <c r="AM31" s="76" t="s">
        <v>160</v>
      </c>
      <c r="AN31" s="76">
        <v>442</v>
      </c>
      <c r="AO31" s="76" t="s">
        <v>177</v>
      </c>
      <c r="AP31" s="76" t="s">
        <v>160</v>
      </c>
      <c r="AQ31" s="76" t="s">
        <v>176</v>
      </c>
      <c r="AR31" s="76" t="s">
        <v>386</v>
      </c>
      <c r="AS31" s="76" t="s">
        <v>385</v>
      </c>
      <c r="AT31" s="76">
        <v>13</v>
      </c>
      <c r="AU31" s="76" t="s">
        <v>174</v>
      </c>
      <c r="AV31" s="76" t="s">
        <v>173</v>
      </c>
    </row>
    <row r="32" spans="1:48" s="44" customFormat="1" ht="12" customHeight="1" x14ac:dyDescent="0.2">
      <c r="A32" s="53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2"/>
      <c r="Q32" s="51"/>
      <c r="R32" s="51"/>
      <c r="S32" s="52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2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0"/>
    </row>
    <row r="33" spans="1:48" s="77" customFormat="1" ht="75" x14ac:dyDescent="0.2">
      <c r="A33" s="75">
        <v>38769</v>
      </c>
      <c r="B33" s="76" t="s">
        <v>197</v>
      </c>
      <c r="C33" s="76" t="s">
        <v>381</v>
      </c>
      <c r="D33" s="76" t="s">
        <v>186</v>
      </c>
      <c r="E33" s="76" t="s">
        <v>97</v>
      </c>
      <c r="F33" s="76" t="s">
        <v>96</v>
      </c>
      <c r="G33" s="76" t="s">
        <v>182</v>
      </c>
      <c r="H33" s="76" t="s">
        <v>182</v>
      </c>
      <c r="I33" s="76">
        <v>67</v>
      </c>
      <c r="J33" s="76" t="s">
        <v>192</v>
      </c>
      <c r="K33" s="76" t="s">
        <v>191</v>
      </c>
      <c r="L33" s="76" t="s">
        <v>190</v>
      </c>
      <c r="M33" s="76" t="s">
        <v>235</v>
      </c>
      <c r="N33" s="76" t="s">
        <v>234</v>
      </c>
      <c r="O33" s="76" t="s">
        <v>160</v>
      </c>
      <c r="P33" s="75">
        <v>38769</v>
      </c>
      <c r="Q33" s="76" t="s">
        <v>173</v>
      </c>
      <c r="R33" s="76" t="s">
        <v>173</v>
      </c>
      <c r="S33" s="75">
        <v>39538</v>
      </c>
      <c r="T33" s="76" t="s">
        <v>186</v>
      </c>
      <c r="U33" s="76" t="s">
        <v>197</v>
      </c>
      <c r="V33" s="76" t="s">
        <v>173</v>
      </c>
      <c r="W33" s="76" t="s">
        <v>60</v>
      </c>
      <c r="X33" s="76" t="s">
        <v>197</v>
      </c>
      <c r="Y33" s="76" t="s">
        <v>384</v>
      </c>
      <c r="Z33" s="76" t="s">
        <v>160</v>
      </c>
      <c r="AA33" s="76" t="s">
        <v>160</v>
      </c>
      <c r="AB33" s="76" t="s">
        <v>160</v>
      </c>
      <c r="AC33" s="76" t="s">
        <v>383</v>
      </c>
      <c r="AD33" s="76" t="s">
        <v>173</v>
      </c>
      <c r="AE33" s="76" t="s">
        <v>382</v>
      </c>
      <c r="AF33" s="76" t="s">
        <v>182</v>
      </c>
      <c r="AG33" s="76" t="s">
        <v>181</v>
      </c>
      <c r="AH33" s="76" t="s">
        <v>173</v>
      </c>
      <c r="AI33" s="76" t="s">
        <v>249</v>
      </c>
      <c r="AJ33" s="76" t="s">
        <v>234</v>
      </c>
      <c r="AK33" s="75">
        <v>38769</v>
      </c>
      <c r="AL33" s="76" t="s">
        <v>178</v>
      </c>
      <c r="AM33" s="76" t="s">
        <v>160</v>
      </c>
      <c r="AN33" s="76">
        <v>442</v>
      </c>
      <c r="AO33" s="76" t="s">
        <v>381</v>
      </c>
      <c r="AP33" s="76" t="s">
        <v>160</v>
      </c>
      <c r="AQ33" s="76" t="s">
        <v>176</v>
      </c>
      <c r="AR33" s="76" t="s">
        <v>380</v>
      </c>
      <c r="AS33" s="76" t="s">
        <v>379</v>
      </c>
      <c r="AT33" s="76">
        <v>8</v>
      </c>
      <c r="AU33" s="76" t="s">
        <v>174</v>
      </c>
      <c r="AV33" s="76" t="s">
        <v>173</v>
      </c>
    </row>
    <row r="34" spans="1:48" s="44" customFormat="1" ht="12" customHeight="1" x14ac:dyDescent="0.2">
      <c r="A34" s="53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2"/>
      <c r="Q34" s="51"/>
      <c r="R34" s="51"/>
      <c r="S34" s="52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2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0"/>
    </row>
    <row r="35" spans="1:48" s="77" customFormat="1" ht="75" x14ac:dyDescent="0.2">
      <c r="A35" s="75">
        <v>39282</v>
      </c>
      <c r="B35" s="76" t="s">
        <v>197</v>
      </c>
      <c r="C35" s="76" t="s">
        <v>219</v>
      </c>
      <c r="D35" s="76" t="s">
        <v>186</v>
      </c>
      <c r="E35" s="76" t="s">
        <v>99</v>
      </c>
      <c r="F35" s="76" t="s">
        <v>98</v>
      </c>
      <c r="G35" s="76" t="s">
        <v>182</v>
      </c>
      <c r="H35" s="76" t="s">
        <v>182</v>
      </c>
      <c r="I35" s="76">
        <v>68</v>
      </c>
      <c r="J35" s="76" t="s">
        <v>192</v>
      </c>
      <c r="K35" s="76" t="s">
        <v>191</v>
      </c>
      <c r="L35" s="76" t="s">
        <v>307</v>
      </c>
      <c r="M35" s="76" t="s">
        <v>189</v>
      </c>
      <c r="N35" s="76" t="s">
        <v>378</v>
      </c>
      <c r="O35" s="76" t="s">
        <v>160</v>
      </c>
      <c r="P35" s="75">
        <v>39282</v>
      </c>
      <c r="Q35" s="76" t="s">
        <v>173</v>
      </c>
      <c r="R35" s="76" t="s">
        <v>173</v>
      </c>
      <c r="S35" s="75">
        <v>41391</v>
      </c>
      <c r="T35" s="76" t="s">
        <v>186</v>
      </c>
      <c r="U35" s="76" t="s">
        <v>197</v>
      </c>
      <c r="V35" s="76" t="s">
        <v>173</v>
      </c>
      <c r="W35" s="76" t="s">
        <v>60</v>
      </c>
      <c r="X35" s="76" t="s">
        <v>197</v>
      </c>
      <c r="Y35" s="76" t="s">
        <v>377</v>
      </c>
      <c r="Z35" s="76" t="s">
        <v>160</v>
      </c>
      <c r="AA35" s="76" t="s">
        <v>160</v>
      </c>
      <c r="AB35" s="76" t="s">
        <v>160</v>
      </c>
      <c r="AC35" s="76" t="s">
        <v>376</v>
      </c>
      <c r="AD35" s="76" t="s">
        <v>173</v>
      </c>
      <c r="AE35" s="76" t="s">
        <v>182</v>
      </c>
      <c r="AF35" s="76" t="s">
        <v>182</v>
      </c>
      <c r="AG35" s="76" t="s">
        <v>181</v>
      </c>
      <c r="AH35" s="76" t="s">
        <v>173</v>
      </c>
      <c r="AI35" s="76" t="s">
        <v>206</v>
      </c>
      <c r="AJ35" s="76" t="s">
        <v>375</v>
      </c>
      <c r="AK35" s="75">
        <v>39282</v>
      </c>
      <c r="AL35" s="76" t="s">
        <v>178</v>
      </c>
      <c r="AM35" s="76" t="s">
        <v>160</v>
      </c>
      <c r="AN35" s="76">
        <v>442</v>
      </c>
      <c r="AO35" s="76" t="s">
        <v>219</v>
      </c>
      <c r="AP35" s="76" t="s">
        <v>160</v>
      </c>
      <c r="AQ35" s="76" t="s">
        <v>176</v>
      </c>
      <c r="AR35" s="76" t="s">
        <v>374</v>
      </c>
      <c r="AS35" s="76" t="s">
        <v>373</v>
      </c>
      <c r="AT35" s="76">
        <v>62</v>
      </c>
      <c r="AU35" s="76" t="s">
        <v>174</v>
      </c>
      <c r="AV35" s="76" t="s">
        <v>173</v>
      </c>
    </row>
    <row r="36" spans="1:48" s="44" customFormat="1" ht="12" customHeight="1" x14ac:dyDescent="0.2">
      <c r="A36" s="53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2"/>
      <c r="Q36" s="51"/>
      <c r="R36" s="51"/>
      <c r="S36" s="52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2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0"/>
    </row>
    <row r="37" spans="1:48" s="77" customFormat="1" ht="90" x14ac:dyDescent="0.2">
      <c r="A37" s="75">
        <v>39170</v>
      </c>
      <c r="B37" s="76" t="s">
        <v>197</v>
      </c>
      <c r="C37" s="76" t="s">
        <v>219</v>
      </c>
      <c r="D37" s="76" t="s">
        <v>186</v>
      </c>
      <c r="E37" s="76" t="s">
        <v>101</v>
      </c>
      <c r="F37" s="76" t="s">
        <v>100</v>
      </c>
      <c r="G37" s="76" t="s">
        <v>182</v>
      </c>
      <c r="H37" s="76" t="s">
        <v>182</v>
      </c>
      <c r="I37" s="76">
        <v>68</v>
      </c>
      <c r="J37" s="76" t="s">
        <v>192</v>
      </c>
      <c r="K37" s="76" t="s">
        <v>191</v>
      </c>
      <c r="L37" s="76" t="s">
        <v>190</v>
      </c>
      <c r="M37" s="76" t="s">
        <v>160</v>
      </c>
      <c r="N37" s="76" t="s">
        <v>160</v>
      </c>
      <c r="O37" s="76" t="s">
        <v>372</v>
      </c>
      <c r="P37" s="75">
        <v>39170</v>
      </c>
      <c r="Q37" s="76" t="s">
        <v>173</v>
      </c>
      <c r="R37" s="76" t="s">
        <v>173</v>
      </c>
      <c r="S37" s="75">
        <v>39912</v>
      </c>
      <c r="T37" s="76" t="s">
        <v>186</v>
      </c>
      <c r="U37" s="76" t="s">
        <v>197</v>
      </c>
      <c r="V37" s="76" t="s">
        <v>173</v>
      </c>
      <c r="W37" s="76" t="s">
        <v>60</v>
      </c>
      <c r="X37" s="76" t="s">
        <v>197</v>
      </c>
      <c r="Y37" s="76" t="s">
        <v>371</v>
      </c>
      <c r="Z37" s="76" t="s">
        <v>160</v>
      </c>
      <c r="AA37" s="76" t="s">
        <v>160</v>
      </c>
      <c r="AB37" s="76" t="s">
        <v>160</v>
      </c>
      <c r="AC37" s="76" t="s">
        <v>370</v>
      </c>
      <c r="AD37" s="76" t="s">
        <v>173</v>
      </c>
      <c r="AE37" s="76" t="s">
        <v>182</v>
      </c>
      <c r="AF37" s="76" t="s">
        <v>182</v>
      </c>
      <c r="AG37" s="76" t="s">
        <v>181</v>
      </c>
      <c r="AH37" s="76" t="s">
        <v>173</v>
      </c>
      <c r="AI37" s="76" t="s">
        <v>160</v>
      </c>
      <c r="AJ37" s="76" t="s">
        <v>160</v>
      </c>
      <c r="AK37" s="75">
        <v>39170</v>
      </c>
      <c r="AL37" s="76" t="s">
        <v>178</v>
      </c>
      <c r="AM37" s="76" t="s">
        <v>160</v>
      </c>
      <c r="AN37" s="76">
        <v>442</v>
      </c>
      <c r="AO37" s="76" t="s">
        <v>219</v>
      </c>
      <c r="AP37" s="76" t="s">
        <v>160</v>
      </c>
      <c r="AQ37" s="76" t="s">
        <v>176</v>
      </c>
      <c r="AR37" s="76" t="s">
        <v>365</v>
      </c>
      <c r="AS37" s="76" t="s">
        <v>369</v>
      </c>
      <c r="AT37" s="76">
        <v>18</v>
      </c>
      <c r="AU37" s="76" t="s">
        <v>174</v>
      </c>
      <c r="AV37" s="76" t="s">
        <v>173</v>
      </c>
    </row>
    <row r="38" spans="1:48" s="44" customFormat="1" ht="12" customHeight="1" x14ac:dyDescent="0.2">
      <c r="A38" s="53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2"/>
      <c r="Q38" s="51"/>
      <c r="R38" s="51"/>
      <c r="S38" s="52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2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0"/>
    </row>
    <row r="39" spans="1:48" s="77" customFormat="1" ht="60" x14ac:dyDescent="0.2">
      <c r="A39" s="75">
        <v>39141</v>
      </c>
      <c r="B39" s="76" t="s">
        <v>197</v>
      </c>
      <c r="C39" s="76" t="s">
        <v>177</v>
      </c>
      <c r="D39" s="76" t="s">
        <v>186</v>
      </c>
      <c r="E39" s="76" t="s">
        <v>103</v>
      </c>
      <c r="F39" s="76" t="s">
        <v>102</v>
      </c>
      <c r="G39" s="76" t="s">
        <v>182</v>
      </c>
      <c r="H39" s="76" t="s">
        <v>182</v>
      </c>
      <c r="I39" s="76">
        <v>65</v>
      </c>
      <c r="J39" s="76" t="s">
        <v>192</v>
      </c>
      <c r="K39" s="76" t="s">
        <v>191</v>
      </c>
      <c r="L39" s="76" t="s">
        <v>307</v>
      </c>
      <c r="M39" s="76" t="s">
        <v>368</v>
      </c>
      <c r="N39" s="76" t="s">
        <v>367</v>
      </c>
      <c r="O39" s="76" t="s">
        <v>160</v>
      </c>
      <c r="P39" s="75">
        <v>39141</v>
      </c>
      <c r="Q39" s="76" t="s">
        <v>173</v>
      </c>
      <c r="R39" s="76" t="s">
        <v>173</v>
      </c>
      <c r="S39" s="75">
        <v>39206</v>
      </c>
      <c r="T39" s="76" t="s">
        <v>186</v>
      </c>
      <c r="U39" s="76" t="s">
        <v>197</v>
      </c>
      <c r="V39" s="76" t="s">
        <v>173</v>
      </c>
      <c r="W39" s="76" t="s">
        <v>60</v>
      </c>
      <c r="X39" s="76" t="s">
        <v>197</v>
      </c>
      <c r="Y39" s="76" t="s">
        <v>366</v>
      </c>
      <c r="Z39" s="76" t="s">
        <v>160</v>
      </c>
      <c r="AA39" s="76" t="s">
        <v>160</v>
      </c>
      <c r="AB39" s="76" t="s">
        <v>160</v>
      </c>
      <c r="AC39" s="76" t="s">
        <v>220</v>
      </c>
      <c r="AD39" s="76" t="s">
        <v>173</v>
      </c>
      <c r="AE39" s="76" t="s">
        <v>182</v>
      </c>
      <c r="AF39" s="76" t="s">
        <v>182</v>
      </c>
      <c r="AG39" s="76" t="s">
        <v>181</v>
      </c>
      <c r="AH39" s="76" t="s">
        <v>173</v>
      </c>
      <c r="AI39" s="76" t="s">
        <v>206</v>
      </c>
      <c r="AJ39" s="76" t="s">
        <v>160</v>
      </c>
      <c r="AK39" s="75">
        <v>39141</v>
      </c>
      <c r="AL39" s="76" t="s">
        <v>178</v>
      </c>
      <c r="AM39" s="76" t="s">
        <v>160</v>
      </c>
      <c r="AN39" s="76">
        <v>442</v>
      </c>
      <c r="AO39" s="76" t="s">
        <v>177</v>
      </c>
      <c r="AP39" s="76" t="s">
        <v>160</v>
      </c>
      <c r="AQ39" s="76" t="s">
        <v>176</v>
      </c>
      <c r="AR39" s="76" t="s">
        <v>365</v>
      </c>
      <c r="AS39" s="76" t="s">
        <v>364</v>
      </c>
      <c r="AT39" s="76" t="s">
        <v>237</v>
      </c>
      <c r="AU39" s="76" t="s">
        <v>174</v>
      </c>
      <c r="AV39" s="76" t="s">
        <v>173</v>
      </c>
    </row>
    <row r="40" spans="1:48" s="44" customFormat="1" ht="12" customHeight="1" x14ac:dyDescent="0.2">
      <c r="A40" s="53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2"/>
      <c r="Q40" s="51"/>
      <c r="R40" s="51"/>
      <c r="S40" s="52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2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0"/>
    </row>
    <row r="41" spans="1:48" s="77" customFormat="1" ht="60" x14ac:dyDescent="0.2">
      <c r="A41" s="75">
        <v>37757</v>
      </c>
      <c r="B41" s="76" t="s">
        <v>197</v>
      </c>
      <c r="C41" s="76" t="s">
        <v>177</v>
      </c>
      <c r="D41" s="76" t="s">
        <v>186</v>
      </c>
      <c r="E41" s="76" t="s">
        <v>105</v>
      </c>
      <c r="F41" s="76" t="s">
        <v>104</v>
      </c>
      <c r="G41" s="76" t="s">
        <v>182</v>
      </c>
      <c r="H41" s="76" t="s">
        <v>182</v>
      </c>
      <c r="I41" s="76">
        <v>75</v>
      </c>
      <c r="J41" s="76" t="s">
        <v>192</v>
      </c>
      <c r="K41" s="76" t="s">
        <v>191</v>
      </c>
      <c r="L41" s="76" t="s">
        <v>190</v>
      </c>
      <c r="M41" s="76" t="s">
        <v>160</v>
      </c>
      <c r="N41" s="76" t="s">
        <v>160</v>
      </c>
      <c r="O41" s="76" t="s">
        <v>160</v>
      </c>
      <c r="P41" s="75">
        <v>37757</v>
      </c>
      <c r="Q41" s="76" t="s">
        <v>173</v>
      </c>
      <c r="R41" s="76" t="s">
        <v>173</v>
      </c>
      <c r="S41" s="75">
        <v>38129</v>
      </c>
      <c r="T41" s="76" t="s">
        <v>186</v>
      </c>
      <c r="U41" s="76" t="s">
        <v>197</v>
      </c>
      <c r="V41" s="76" t="s">
        <v>173</v>
      </c>
      <c r="W41" s="76" t="s">
        <v>60</v>
      </c>
      <c r="X41" s="76" t="s">
        <v>197</v>
      </c>
      <c r="Y41" s="76" t="s">
        <v>363</v>
      </c>
      <c r="Z41" s="76" t="s">
        <v>160</v>
      </c>
      <c r="AA41" s="76" t="s">
        <v>160</v>
      </c>
      <c r="AB41" s="76" t="s">
        <v>160</v>
      </c>
      <c r="AC41" s="76" t="s">
        <v>362</v>
      </c>
      <c r="AD41" s="76" t="s">
        <v>173</v>
      </c>
      <c r="AE41" s="76" t="s">
        <v>361</v>
      </c>
      <c r="AF41" s="76" t="s">
        <v>182</v>
      </c>
      <c r="AG41" s="76" t="s">
        <v>181</v>
      </c>
      <c r="AH41" s="76" t="s">
        <v>173</v>
      </c>
      <c r="AI41" s="76" t="s">
        <v>214</v>
      </c>
      <c r="AJ41" s="76" t="s">
        <v>160</v>
      </c>
      <c r="AK41" s="75">
        <v>37757</v>
      </c>
      <c r="AL41" s="76" t="s">
        <v>178</v>
      </c>
      <c r="AM41" s="76" t="s">
        <v>160</v>
      </c>
      <c r="AN41" s="76">
        <v>442</v>
      </c>
      <c r="AO41" s="76" t="s">
        <v>177</v>
      </c>
      <c r="AP41" s="76" t="s">
        <v>160</v>
      </c>
      <c r="AQ41" s="76" t="s">
        <v>176</v>
      </c>
      <c r="AR41" s="76" t="s">
        <v>299</v>
      </c>
      <c r="AS41" s="76" t="s">
        <v>360</v>
      </c>
      <c r="AT41" s="76">
        <v>2</v>
      </c>
      <c r="AU41" s="76" t="s">
        <v>174</v>
      </c>
      <c r="AV41" s="76" t="s">
        <v>173</v>
      </c>
    </row>
    <row r="42" spans="1:48" s="44" customFormat="1" ht="12" customHeight="1" x14ac:dyDescent="0.2">
      <c r="A42" s="53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2"/>
      <c r="Q42" s="51"/>
      <c r="R42" s="51"/>
      <c r="S42" s="52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2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0"/>
    </row>
    <row r="43" spans="1:48" s="77" customFormat="1" ht="75" x14ac:dyDescent="0.2">
      <c r="A43" s="75">
        <v>38931</v>
      </c>
      <c r="B43" s="76" t="s">
        <v>197</v>
      </c>
      <c r="C43" s="76" t="s">
        <v>177</v>
      </c>
      <c r="D43" s="76" t="s">
        <v>186</v>
      </c>
      <c r="E43" s="76" t="s">
        <v>107</v>
      </c>
      <c r="F43" s="76" t="s">
        <v>106</v>
      </c>
      <c r="G43" s="76" t="s">
        <v>182</v>
      </c>
      <c r="H43" s="76" t="s">
        <v>182</v>
      </c>
      <c r="I43" s="76">
        <v>70</v>
      </c>
      <c r="J43" s="76" t="s">
        <v>192</v>
      </c>
      <c r="K43" s="76" t="s">
        <v>191</v>
      </c>
      <c r="L43" s="76" t="s">
        <v>190</v>
      </c>
      <c r="M43" s="76" t="s">
        <v>189</v>
      </c>
      <c r="N43" s="76" t="s">
        <v>359</v>
      </c>
      <c r="O43" s="76" t="s">
        <v>160</v>
      </c>
      <c r="P43" s="75">
        <v>38931</v>
      </c>
      <c r="Q43" s="76" t="s">
        <v>173</v>
      </c>
      <c r="R43" s="76" t="s">
        <v>173</v>
      </c>
      <c r="S43" s="75">
        <v>40799</v>
      </c>
      <c r="T43" s="76" t="s">
        <v>186</v>
      </c>
      <c r="U43" s="76" t="s">
        <v>197</v>
      </c>
      <c r="V43" s="76" t="s">
        <v>173</v>
      </c>
      <c r="W43" s="76" t="s">
        <v>60</v>
      </c>
      <c r="X43" s="76" t="s">
        <v>197</v>
      </c>
      <c r="Y43" s="76" t="s">
        <v>358</v>
      </c>
      <c r="Z43" s="76" t="s">
        <v>160</v>
      </c>
      <c r="AA43" s="76" t="s">
        <v>160</v>
      </c>
      <c r="AB43" s="76" t="s">
        <v>160</v>
      </c>
      <c r="AC43" s="76" t="s">
        <v>357</v>
      </c>
      <c r="AD43" s="76" t="s">
        <v>173</v>
      </c>
      <c r="AE43" s="76" t="s">
        <v>356</v>
      </c>
      <c r="AF43" s="76" t="s">
        <v>182</v>
      </c>
      <c r="AG43" s="76" t="s">
        <v>181</v>
      </c>
      <c r="AH43" s="76" t="s">
        <v>173</v>
      </c>
      <c r="AI43" s="76" t="s">
        <v>249</v>
      </c>
      <c r="AJ43" s="76" t="s">
        <v>234</v>
      </c>
      <c r="AK43" s="75">
        <v>38931</v>
      </c>
      <c r="AL43" s="76" t="s">
        <v>178</v>
      </c>
      <c r="AM43" s="76" t="s">
        <v>160</v>
      </c>
      <c r="AN43" s="76">
        <v>442</v>
      </c>
      <c r="AO43" s="76" t="s">
        <v>177</v>
      </c>
      <c r="AP43" s="76" t="s">
        <v>160</v>
      </c>
      <c r="AQ43" s="76" t="s">
        <v>176</v>
      </c>
      <c r="AR43" s="76" t="s">
        <v>346</v>
      </c>
      <c r="AS43" s="76" t="s">
        <v>355</v>
      </c>
      <c r="AT43" s="76">
        <v>35</v>
      </c>
      <c r="AU43" s="76" t="s">
        <v>174</v>
      </c>
      <c r="AV43" s="76" t="s">
        <v>173</v>
      </c>
    </row>
    <row r="44" spans="1:48" s="44" customFormat="1" ht="12" customHeight="1" x14ac:dyDescent="0.2">
      <c r="A44" s="53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2"/>
      <c r="Q44" s="51"/>
      <c r="R44" s="51"/>
      <c r="S44" s="52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2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0"/>
    </row>
    <row r="45" spans="1:48" s="77" customFormat="1" ht="90" x14ac:dyDescent="0.2">
      <c r="A45" s="75">
        <v>39062</v>
      </c>
      <c r="B45" s="76" t="s">
        <v>197</v>
      </c>
      <c r="C45" s="76" t="s">
        <v>177</v>
      </c>
      <c r="D45" s="76" t="s">
        <v>186</v>
      </c>
      <c r="E45" s="76" t="s">
        <v>109</v>
      </c>
      <c r="F45" s="76" t="s">
        <v>108</v>
      </c>
      <c r="G45" s="76" t="s">
        <v>182</v>
      </c>
      <c r="H45" s="76" t="s">
        <v>182</v>
      </c>
      <c r="I45" s="76">
        <v>64</v>
      </c>
      <c r="J45" s="76" t="s">
        <v>192</v>
      </c>
      <c r="K45" s="76" t="s">
        <v>191</v>
      </c>
      <c r="L45" s="76" t="s">
        <v>190</v>
      </c>
      <c r="M45" s="76" t="s">
        <v>189</v>
      </c>
      <c r="N45" s="76" t="s">
        <v>350</v>
      </c>
      <c r="O45" s="76" t="s">
        <v>160</v>
      </c>
      <c r="P45" s="75">
        <v>39062</v>
      </c>
      <c r="Q45" s="76" t="s">
        <v>173</v>
      </c>
      <c r="R45" s="76" t="s">
        <v>173</v>
      </c>
      <c r="S45" s="75">
        <v>40381</v>
      </c>
      <c r="T45" s="76" t="s">
        <v>186</v>
      </c>
      <c r="U45" s="76" t="s">
        <v>197</v>
      </c>
      <c r="V45" s="76" t="s">
        <v>173</v>
      </c>
      <c r="W45" s="76" t="s">
        <v>60</v>
      </c>
      <c r="X45" s="76" t="s">
        <v>197</v>
      </c>
      <c r="Y45" s="76" t="s">
        <v>354</v>
      </c>
      <c r="Z45" s="76" t="s">
        <v>160</v>
      </c>
      <c r="AA45" s="76" t="s">
        <v>160</v>
      </c>
      <c r="AB45" s="76" t="s">
        <v>160</v>
      </c>
      <c r="AC45" s="76" t="s">
        <v>353</v>
      </c>
      <c r="AD45" s="76" t="s">
        <v>173</v>
      </c>
      <c r="AE45" s="76" t="s">
        <v>182</v>
      </c>
      <c r="AF45" s="76" t="s">
        <v>182</v>
      </c>
      <c r="AG45" s="76" t="s">
        <v>181</v>
      </c>
      <c r="AH45" s="76" t="s">
        <v>173</v>
      </c>
      <c r="AI45" s="76" t="s">
        <v>214</v>
      </c>
      <c r="AJ45" s="76" t="s">
        <v>352</v>
      </c>
      <c r="AK45" s="75">
        <v>39062</v>
      </c>
      <c r="AL45" s="76" t="s">
        <v>178</v>
      </c>
      <c r="AM45" s="76" t="s">
        <v>160</v>
      </c>
      <c r="AN45" s="76">
        <v>442</v>
      </c>
      <c r="AO45" s="76" t="s">
        <v>177</v>
      </c>
      <c r="AP45" s="76" t="s">
        <v>160</v>
      </c>
      <c r="AQ45" s="76" t="s">
        <v>176</v>
      </c>
      <c r="AR45" s="76" t="s">
        <v>160</v>
      </c>
      <c r="AS45" s="76" t="s">
        <v>351</v>
      </c>
      <c r="AT45" s="76">
        <v>23</v>
      </c>
      <c r="AU45" s="76" t="s">
        <v>174</v>
      </c>
      <c r="AV45" s="76" t="s">
        <v>173</v>
      </c>
    </row>
    <row r="46" spans="1:48" s="44" customFormat="1" ht="12" customHeight="1" x14ac:dyDescent="0.2">
      <c r="A46" s="53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2"/>
      <c r="Q46" s="51"/>
      <c r="R46" s="51"/>
      <c r="S46" s="52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2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0"/>
    </row>
    <row r="47" spans="1:48" s="77" customFormat="1" ht="60" x14ac:dyDescent="0.2">
      <c r="A47" s="75">
        <v>37907</v>
      </c>
      <c r="B47" s="76" t="s">
        <v>197</v>
      </c>
      <c r="C47" s="76" t="s">
        <v>177</v>
      </c>
      <c r="D47" s="76" t="s">
        <v>186</v>
      </c>
      <c r="E47" s="76" t="s">
        <v>111</v>
      </c>
      <c r="F47" s="76" t="s">
        <v>110</v>
      </c>
      <c r="G47" s="76" t="s">
        <v>182</v>
      </c>
      <c r="H47" s="76" t="s">
        <v>182</v>
      </c>
      <c r="I47" s="76">
        <v>74</v>
      </c>
      <c r="J47" s="76" t="s">
        <v>192</v>
      </c>
      <c r="K47" s="76" t="s">
        <v>191</v>
      </c>
      <c r="L47" s="76" t="s">
        <v>190</v>
      </c>
      <c r="M47" s="76" t="s">
        <v>189</v>
      </c>
      <c r="N47" s="76" t="s">
        <v>350</v>
      </c>
      <c r="O47" s="76" t="s">
        <v>349</v>
      </c>
      <c r="P47" s="75">
        <v>37907</v>
      </c>
      <c r="Q47" s="76" t="s">
        <v>173</v>
      </c>
      <c r="R47" s="76" t="s">
        <v>173</v>
      </c>
      <c r="S47" s="75">
        <v>40371</v>
      </c>
      <c r="T47" s="76" t="s">
        <v>186</v>
      </c>
      <c r="U47" s="76" t="s">
        <v>197</v>
      </c>
      <c r="V47" s="76" t="s">
        <v>173</v>
      </c>
      <c r="W47" s="76" t="s">
        <v>60</v>
      </c>
      <c r="X47" s="76" t="s">
        <v>197</v>
      </c>
      <c r="Y47" s="76" t="s">
        <v>348</v>
      </c>
      <c r="Z47" s="76" t="s">
        <v>160</v>
      </c>
      <c r="AA47" s="76" t="s">
        <v>160</v>
      </c>
      <c r="AB47" s="76" t="s">
        <v>160</v>
      </c>
      <c r="AC47" s="76" t="s">
        <v>347</v>
      </c>
      <c r="AD47" s="76" t="s">
        <v>173</v>
      </c>
      <c r="AE47" s="76" t="s">
        <v>182</v>
      </c>
      <c r="AF47" s="76" t="s">
        <v>182</v>
      </c>
      <c r="AG47" s="76" t="s">
        <v>181</v>
      </c>
      <c r="AH47" s="76" t="s">
        <v>173</v>
      </c>
      <c r="AI47" s="76" t="s">
        <v>249</v>
      </c>
      <c r="AJ47" s="76" t="s">
        <v>234</v>
      </c>
      <c r="AK47" s="75">
        <v>37907</v>
      </c>
      <c r="AL47" s="76" t="s">
        <v>178</v>
      </c>
      <c r="AM47" s="76" t="s">
        <v>160</v>
      </c>
      <c r="AN47" s="76">
        <v>442</v>
      </c>
      <c r="AO47" s="76" t="s">
        <v>177</v>
      </c>
      <c r="AP47" s="76" t="s">
        <v>160</v>
      </c>
      <c r="AQ47" s="76" t="s">
        <v>176</v>
      </c>
      <c r="AR47" s="76" t="s">
        <v>346</v>
      </c>
      <c r="AS47" s="76" t="s">
        <v>345</v>
      </c>
      <c r="AT47" s="76">
        <v>59</v>
      </c>
      <c r="AU47" s="76" t="s">
        <v>174</v>
      </c>
      <c r="AV47" s="76" t="s">
        <v>173</v>
      </c>
    </row>
    <row r="48" spans="1:48" s="44" customFormat="1" ht="12" customHeight="1" x14ac:dyDescent="0.2">
      <c r="A48" s="53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2"/>
      <c r="Q48" s="51"/>
      <c r="R48" s="51"/>
      <c r="S48" s="52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2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0"/>
    </row>
    <row r="49" spans="1:48" s="44" customFormat="1" ht="60" x14ac:dyDescent="0.2">
      <c r="A49" s="55">
        <v>38847</v>
      </c>
      <c r="B49" s="54" t="s">
        <v>197</v>
      </c>
      <c r="C49" s="54" t="s">
        <v>177</v>
      </c>
      <c r="D49" s="54" t="s">
        <v>186</v>
      </c>
      <c r="E49" s="54" t="s">
        <v>113</v>
      </c>
      <c r="F49" s="54" t="s">
        <v>112</v>
      </c>
      <c r="G49" s="54" t="s">
        <v>182</v>
      </c>
      <c r="H49" s="54" t="s">
        <v>182</v>
      </c>
      <c r="I49" s="54">
        <v>60</v>
      </c>
      <c r="J49" s="54" t="s">
        <v>344</v>
      </c>
      <c r="K49" s="54" t="s">
        <v>191</v>
      </c>
      <c r="L49" s="54" t="s">
        <v>343</v>
      </c>
      <c r="M49" s="54" t="s">
        <v>235</v>
      </c>
      <c r="N49" s="54" t="s">
        <v>234</v>
      </c>
      <c r="O49" s="54" t="s">
        <v>273</v>
      </c>
      <c r="P49" s="55">
        <v>38847</v>
      </c>
      <c r="Q49" s="54" t="s">
        <v>173</v>
      </c>
      <c r="R49" s="54" t="s">
        <v>173</v>
      </c>
      <c r="S49" s="55">
        <v>39397</v>
      </c>
      <c r="T49" s="54" t="s">
        <v>186</v>
      </c>
      <c r="U49" s="54" t="s">
        <v>197</v>
      </c>
      <c r="V49" s="54" t="s">
        <v>173</v>
      </c>
      <c r="W49" s="54" t="s">
        <v>60</v>
      </c>
      <c r="X49" s="54" t="s">
        <v>197</v>
      </c>
      <c r="Y49" s="54" t="s">
        <v>342</v>
      </c>
      <c r="Z49" s="54" t="s">
        <v>160</v>
      </c>
      <c r="AA49" s="54" t="s">
        <v>160</v>
      </c>
      <c r="AB49" s="54" t="s">
        <v>160</v>
      </c>
      <c r="AC49" s="54" t="s">
        <v>160</v>
      </c>
      <c r="AD49" s="54" t="s">
        <v>173</v>
      </c>
      <c r="AE49" s="54" t="s">
        <v>182</v>
      </c>
      <c r="AF49" s="54" t="s">
        <v>182</v>
      </c>
      <c r="AG49" s="54" t="s">
        <v>181</v>
      </c>
      <c r="AH49" s="54" t="s">
        <v>173</v>
      </c>
      <c r="AI49" s="54" t="s">
        <v>214</v>
      </c>
      <c r="AJ49" s="54" t="s">
        <v>341</v>
      </c>
      <c r="AK49" s="55">
        <v>38847</v>
      </c>
      <c r="AL49" s="54" t="s">
        <v>178</v>
      </c>
      <c r="AM49" s="54" t="s">
        <v>160</v>
      </c>
      <c r="AN49" s="54">
        <v>442</v>
      </c>
      <c r="AO49" s="54" t="s">
        <v>177</v>
      </c>
      <c r="AP49" s="54" t="s">
        <v>160</v>
      </c>
      <c r="AQ49" s="54" t="s">
        <v>176</v>
      </c>
      <c r="AR49" s="54" t="s">
        <v>325</v>
      </c>
      <c r="AS49" s="54" t="s">
        <v>173</v>
      </c>
      <c r="AT49" s="54">
        <v>7</v>
      </c>
      <c r="AU49" s="54" t="s">
        <v>174</v>
      </c>
      <c r="AV49" s="54" t="s">
        <v>173</v>
      </c>
    </row>
    <row r="50" spans="1:48" s="44" customFormat="1" ht="12" customHeight="1" x14ac:dyDescent="0.2">
      <c r="A50" s="53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2"/>
      <c r="Q50" s="51"/>
      <c r="R50" s="51"/>
      <c r="S50" s="52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2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0"/>
    </row>
    <row r="51" spans="1:48" s="44" customFormat="1" ht="60" x14ac:dyDescent="0.2">
      <c r="A51" s="55">
        <v>38105</v>
      </c>
      <c r="B51" s="54" t="s">
        <v>197</v>
      </c>
      <c r="C51" s="54" t="s">
        <v>177</v>
      </c>
      <c r="D51" s="54" t="s">
        <v>186</v>
      </c>
      <c r="E51" s="54" t="s">
        <v>115</v>
      </c>
      <c r="F51" s="54" t="s">
        <v>114</v>
      </c>
      <c r="G51" s="54" t="s">
        <v>182</v>
      </c>
      <c r="H51" s="54" t="s">
        <v>182</v>
      </c>
      <c r="I51" s="54">
        <v>78</v>
      </c>
      <c r="J51" s="54" t="s">
        <v>192</v>
      </c>
      <c r="K51" s="54" t="s">
        <v>191</v>
      </c>
      <c r="L51" s="54" t="s">
        <v>190</v>
      </c>
      <c r="M51" s="54" t="s">
        <v>189</v>
      </c>
      <c r="N51" s="54" t="s">
        <v>340</v>
      </c>
      <c r="O51" s="54" t="s">
        <v>160</v>
      </c>
      <c r="P51" s="55">
        <v>38105</v>
      </c>
      <c r="Q51" s="54" t="s">
        <v>173</v>
      </c>
      <c r="R51" s="54" t="s">
        <v>173</v>
      </c>
      <c r="S51" s="55">
        <v>39987</v>
      </c>
      <c r="T51" s="54" t="s">
        <v>186</v>
      </c>
      <c r="U51" s="54" t="s">
        <v>197</v>
      </c>
      <c r="V51" s="54" t="s">
        <v>173</v>
      </c>
      <c r="W51" s="54" t="s">
        <v>60</v>
      </c>
      <c r="X51" s="54" t="s">
        <v>197</v>
      </c>
      <c r="Y51" s="54" t="s">
        <v>339</v>
      </c>
      <c r="Z51" s="54" t="s">
        <v>160</v>
      </c>
      <c r="AA51" s="54" t="s">
        <v>160</v>
      </c>
      <c r="AB51" s="54" t="s">
        <v>160</v>
      </c>
      <c r="AC51" s="54" t="s">
        <v>338</v>
      </c>
      <c r="AD51" s="54" t="s">
        <v>173</v>
      </c>
      <c r="AE51" s="54" t="s">
        <v>182</v>
      </c>
      <c r="AF51" s="54" t="s">
        <v>182</v>
      </c>
      <c r="AG51" s="54" t="s">
        <v>181</v>
      </c>
      <c r="AH51" s="54" t="s">
        <v>173</v>
      </c>
      <c r="AI51" s="54" t="s">
        <v>214</v>
      </c>
      <c r="AJ51" s="54" t="s">
        <v>337</v>
      </c>
      <c r="AK51" s="55">
        <v>38105</v>
      </c>
      <c r="AL51" s="54" t="s">
        <v>178</v>
      </c>
      <c r="AM51" s="54" t="s">
        <v>160</v>
      </c>
      <c r="AN51" s="54">
        <v>442</v>
      </c>
      <c r="AO51" s="54" t="s">
        <v>177</v>
      </c>
      <c r="AP51" s="54" t="s">
        <v>160</v>
      </c>
      <c r="AQ51" s="54" t="s">
        <v>176</v>
      </c>
      <c r="AR51" s="54" t="s">
        <v>325</v>
      </c>
      <c r="AS51" s="54" t="s">
        <v>336</v>
      </c>
      <c r="AT51" s="54">
        <v>59</v>
      </c>
      <c r="AU51" s="54" t="s">
        <v>174</v>
      </c>
      <c r="AV51" s="54" t="s">
        <v>173</v>
      </c>
    </row>
    <row r="52" spans="1:48" s="44" customFormat="1" ht="12" customHeight="1" x14ac:dyDescent="0.2">
      <c r="A52" s="53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2"/>
      <c r="Q52" s="51"/>
      <c r="R52" s="51"/>
      <c r="S52" s="52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2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0"/>
    </row>
    <row r="53" spans="1:48" s="77" customFormat="1" ht="75" x14ac:dyDescent="0.2">
      <c r="A53" s="75">
        <v>37658</v>
      </c>
      <c r="B53" s="76" t="s">
        <v>197</v>
      </c>
      <c r="C53" s="76" t="s">
        <v>177</v>
      </c>
      <c r="D53" s="76" t="s">
        <v>186</v>
      </c>
      <c r="E53" s="76" t="s">
        <v>117</v>
      </c>
      <c r="F53" s="76" t="s">
        <v>116</v>
      </c>
      <c r="G53" s="76" t="s">
        <v>182</v>
      </c>
      <c r="H53" s="76" t="s">
        <v>182</v>
      </c>
      <c r="I53" s="76">
        <v>61</v>
      </c>
      <c r="J53" s="76" t="s">
        <v>192</v>
      </c>
      <c r="K53" s="76" t="s">
        <v>191</v>
      </c>
      <c r="L53" s="76" t="s">
        <v>190</v>
      </c>
      <c r="M53" s="76" t="s">
        <v>189</v>
      </c>
      <c r="N53" s="76" t="s">
        <v>330</v>
      </c>
      <c r="O53" s="76" t="s">
        <v>160</v>
      </c>
      <c r="P53" s="75">
        <v>37658</v>
      </c>
      <c r="Q53" s="76" t="s">
        <v>173</v>
      </c>
      <c r="R53" s="76" t="s">
        <v>173</v>
      </c>
      <c r="S53" s="75">
        <v>38407</v>
      </c>
      <c r="T53" s="76" t="s">
        <v>186</v>
      </c>
      <c r="U53" s="76" t="s">
        <v>197</v>
      </c>
      <c r="V53" s="76" t="s">
        <v>173</v>
      </c>
      <c r="W53" s="76" t="s">
        <v>60</v>
      </c>
      <c r="X53" s="76" t="s">
        <v>197</v>
      </c>
      <c r="Y53" s="76" t="s">
        <v>335</v>
      </c>
      <c r="Z53" s="76" t="s">
        <v>160</v>
      </c>
      <c r="AA53" s="76" t="s">
        <v>160</v>
      </c>
      <c r="AB53" s="76" t="s">
        <v>160</v>
      </c>
      <c r="AC53" s="76" t="s">
        <v>334</v>
      </c>
      <c r="AD53" s="76" t="s">
        <v>173</v>
      </c>
      <c r="AE53" s="76" t="s">
        <v>182</v>
      </c>
      <c r="AF53" s="76" t="s">
        <v>182</v>
      </c>
      <c r="AG53" s="76" t="s">
        <v>181</v>
      </c>
      <c r="AH53" s="76" t="s">
        <v>173</v>
      </c>
      <c r="AI53" s="76" t="s">
        <v>214</v>
      </c>
      <c r="AJ53" s="76" t="s">
        <v>333</v>
      </c>
      <c r="AK53" s="75">
        <v>37658</v>
      </c>
      <c r="AL53" s="76" t="s">
        <v>178</v>
      </c>
      <c r="AM53" s="76"/>
      <c r="AN53" s="76">
        <v>442</v>
      </c>
      <c r="AO53" s="76" t="s">
        <v>177</v>
      </c>
      <c r="AP53" s="76" t="s">
        <v>160</v>
      </c>
      <c r="AQ53" s="76" t="s">
        <v>176</v>
      </c>
      <c r="AR53" s="76" t="s">
        <v>160</v>
      </c>
      <c r="AS53" s="76" t="s">
        <v>332</v>
      </c>
      <c r="AT53" s="76">
        <v>19</v>
      </c>
      <c r="AU53" s="76" t="s">
        <v>174</v>
      </c>
      <c r="AV53" s="76" t="s">
        <v>173</v>
      </c>
    </row>
    <row r="54" spans="1:48" s="44" customFormat="1" ht="12" customHeight="1" x14ac:dyDescent="0.2">
      <c r="A54" s="53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2"/>
      <c r="Q54" s="51"/>
      <c r="R54" s="51"/>
      <c r="S54" s="52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2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0"/>
    </row>
    <row r="55" spans="1:48" s="44" customFormat="1" ht="60" x14ac:dyDescent="0.2">
      <c r="A55" s="55">
        <v>38322</v>
      </c>
      <c r="B55" s="54" t="s">
        <v>197</v>
      </c>
      <c r="C55" s="54" t="s">
        <v>177</v>
      </c>
      <c r="D55" s="54" t="s">
        <v>186</v>
      </c>
      <c r="E55" s="54" t="s">
        <v>119</v>
      </c>
      <c r="F55" s="54" t="s">
        <v>118</v>
      </c>
      <c r="G55" s="54" t="s">
        <v>182</v>
      </c>
      <c r="H55" s="54" t="s">
        <v>182</v>
      </c>
      <c r="I55" s="54">
        <v>70</v>
      </c>
      <c r="J55" s="54" t="s">
        <v>192</v>
      </c>
      <c r="K55" s="54" t="s">
        <v>191</v>
      </c>
      <c r="L55" s="54" t="s">
        <v>331</v>
      </c>
      <c r="M55" s="54" t="s">
        <v>189</v>
      </c>
      <c r="N55" s="54" t="s">
        <v>330</v>
      </c>
      <c r="O55" s="54" t="s">
        <v>329</v>
      </c>
      <c r="P55" s="55">
        <v>38322</v>
      </c>
      <c r="Q55" s="54" t="s">
        <v>173</v>
      </c>
      <c r="R55" s="54" t="s">
        <v>173</v>
      </c>
      <c r="S55" s="55">
        <v>39964</v>
      </c>
      <c r="T55" s="54" t="s">
        <v>186</v>
      </c>
      <c r="U55" s="54" t="s">
        <v>197</v>
      </c>
      <c r="V55" s="54" t="s">
        <v>173</v>
      </c>
      <c r="W55" s="54" t="s">
        <v>60</v>
      </c>
      <c r="X55" s="54" t="s">
        <v>197</v>
      </c>
      <c r="Y55" s="54" t="s">
        <v>328</v>
      </c>
      <c r="Z55" s="54" t="s">
        <v>160</v>
      </c>
      <c r="AA55" s="54" t="s">
        <v>160</v>
      </c>
      <c r="AB55" s="54" t="s">
        <v>160</v>
      </c>
      <c r="AC55" s="54" t="s">
        <v>327</v>
      </c>
      <c r="AD55" s="54" t="s">
        <v>173</v>
      </c>
      <c r="AE55" s="54" t="s">
        <v>182</v>
      </c>
      <c r="AF55" s="54" t="s">
        <v>182</v>
      </c>
      <c r="AG55" s="54" t="s">
        <v>181</v>
      </c>
      <c r="AH55" s="54" t="s">
        <v>173</v>
      </c>
      <c r="AI55" s="54" t="s">
        <v>214</v>
      </c>
      <c r="AJ55" s="54" t="s">
        <v>326</v>
      </c>
      <c r="AK55" s="55">
        <v>38322</v>
      </c>
      <c r="AL55" s="54" t="s">
        <v>178</v>
      </c>
      <c r="AM55" s="54" t="s">
        <v>160</v>
      </c>
      <c r="AN55" s="54">
        <v>442</v>
      </c>
      <c r="AO55" s="54" t="s">
        <v>177</v>
      </c>
      <c r="AP55" s="54" t="s">
        <v>160</v>
      </c>
      <c r="AQ55" s="54" t="s">
        <v>176</v>
      </c>
      <c r="AR55" s="54" t="s">
        <v>325</v>
      </c>
      <c r="AS55" s="54" t="s">
        <v>324</v>
      </c>
      <c r="AT55" s="54">
        <v>18</v>
      </c>
      <c r="AU55" s="54" t="s">
        <v>174</v>
      </c>
      <c r="AV55" s="54" t="s">
        <v>173</v>
      </c>
    </row>
    <row r="56" spans="1:48" s="44" customFormat="1" ht="12" customHeight="1" x14ac:dyDescent="0.2">
      <c r="A56" s="53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2"/>
      <c r="Q56" s="51"/>
      <c r="R56" s="51"/>
      <c r="S56" s="52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2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0"/>
    </row>
    <row r="57" spans="1:48" s="77" customFormat="1" ht="60" x14ac:dyDescent="0.2">
      <c r="A57" s="75">
        <v>37670</v>
      </c>
      <c r="B57" s="76" t="s">
        <v>197</v>
      </c>
      <c r="C57" s="76" t="s">
        <v>177</v>
      </c>
      <c r="D57" s="76" t="s">
        <v>186</v>
      </c>
      <c r="E57" s="76" t="s">
        <v>121</v>
      </c>
      <c r="F57" s="76" t="s">
        <v>120</v>
      </c>
      <c r="G57" s="76" t="s">
        <v>182</v>
      </c>
      <c r="H57" s="76" t="s">
        <v>182</v>
      </c>
      <c r="I57" s="76">
        <v>71</v>
      </c>
      <c r="J57" s="76" t="s">
        <v>192</v>
      </c>
      <c r="K57" s="76" t="s">
        <v>323</v>
      </c>
      <c r="L57" s="76" t="s">
        <v>190</v>
      </c>
      <c r="M57" s="76" t="s">
        <v>189</v>
      </c>
      <c r="N57" s="76" t="s">
        <v>322</v>
      </c>
      <c r="O57" s="76" t="s">
        <v>321</v>
      </c>
      <c r="P57" s="75">
        <v>37670</v>
      </c>
      <c r="Q57" s="76" t="s">
        <v>173</v>
      </c>
      <c r="R57" s="76" t="s">
        <v>173</v>
      </c>
      <c r="S57" s="75">
        <v>40606</v>
      </c>
      <c r="T57" s="76" t="s">
        <v>186</v>
      </c>
      <c r="U57" s="76" t="s">
        <v>197</v>
      </c>
      <c r="V57" s="76" t="s">
        <v>173</v>
      </c>
      <c r="W57" s="76" t="s">
        <v>60</v>
      </c>
      <c r="X57" s="76" t="s">
        <v>197</v>
      </c>
      <c r="Y57" s="76" t="s">
        <v>320</v>
      </c>
      <c r="Z57" s="76" t="s">
        <v>160</v>
      </c>
      <c r="AA57" s="76" t="s">
        <v>160</v>
      </c>
      <c r="AB57" s="76" t="s">
        <v>160</v>
      </c>
      <c r="AC57" s="76" t="s">
        <v>319</v>
      </c>
      <c r="AD57" s="76" t="s">
        <v>173</v>
      </c>
      <c r="AE57" s="76" t="s">
        <v>182</v>
      </c>
      <c r="AF57" s="76" t="s">
        <v>182</v>
      </c>
      <c r="AG57" s="76" t="s">
        <v>181</v>
      </c>
      <c r="AH57" s="76" t="s">
        <v>173</v>
      </c>
      <c r="AI57" s="76" t="s">
        <v>214</v>
      </c>
      <c r="AJ57" s="76" t="s">
        <v>318</v>
      </c>
      <c r="AK57" s="75">
        <v>37670</v>
      </c>
      <c r="AL57" s="76" t="s">
        <v>178</v>
      </c>
      <c r="AM57" s="76" t="s">
        <v>160</v>
      </c>
      <c r="AN57" s="76">
        <v>442</v>
      </c>
      <c r="AO57" s="76" t="s">
        <v>177</v>
      </c>
      <c r="AP57" s="76" t="s">
        <v>160</v>
      </c>
      <c r="AQ57" s="76" t="s">
        <v>176</v>
      </c>
      <c r="AR57" s="76" t="s">
        <v>317</v>
      </c>
      <c r="AS57" s="76" t="s">
        <v>316</v>
      </c>
      <c r="AT57" s="76">
        <v>89</v>
      </c>
      <c r="AU57" s="76" t="s">
        <v>174</v>
      </c>
      <c r="AV57" s="76" t="s">
        <v>173</v>
      </c>
    </row>
    <row r="58" spans="1:48" s="44" customFormat="1" ht="12" customHeight="1" x14ac:dyDescent="0.2">
      <c r="A58" s="53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2"/>
      <c r="Q58" s="51"/>
      <c r="R58" s="51"/>
      <c r="S58" s="52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2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0"/>
    </row>
    <row r="59" spans="1:48" s="77" customFormat="1" ht="61.5" customHeight="1" x14ac:dyDescent="0.2">
      <c r="A59" s="75">
        <v>38895</v>
      </c>
      <c r="B59" s="76" t="s">
        <v>197</v>
      </c>
      <c r="C59" s="76" t="s">
        <v>300</v>
      </c>
      <c r="D59" s="76" t="s">
        <v>186</v>
      </c>
      <c r="E59" s="76" t="s">
        <v>124</v>
      </c>
      <c r="F59" s="76" t="s">
        <v>123</v>
      </c>
      <c r="G59" s="76" t="s">
        <v>182</v>
      </c>
      <c r="H59" s="76" t="s">
        <v>182</v>
      </c>
      <c r="I59" s="76">
        <v>72</v>
      </c>
      <c r="J59" s="76" t="s">
        <v>192</v>
      </c>
      <c r="K59" s="76" t="s">
        <v>315</v>
      </c>
      <c r="L59" s="76" t="s">
        <v>190</v>
      </c>
      <c r="M59" s="76" t="s">
        <v>235</v>
      </c>
      <c r="N59" s="76" t="s">
        <v>234</v>
      </c>
      <c r="O59" s="76" t="s">
        <v>314</v>
      </c>
      <c r="P59" s="75">
        <v>38895</v>
      </c>
      <c r="Q59" s="76" t="s">
        <v>173</v>
      </c>
      <c r="R59" s="76" t="s">
        <v>173</v>
      </c>
      <c r="S59" s="75">
        <v>39728</v>
      </c>
      <c r="T59" s="76" t="s">
        <v>186</v>
      </c>
      <c r="U59" s="76" t="s">
        <v>197</v>
      </c>
      <c r="V59" s="76" t="s">
        <v>173</v>
      </c>
      <c r="W59" s="76" t="s">
        <v>60</v>
      </c>
      <c r="X59" s="76" t="s">
        <v>197</v>
      </c>
      <c r="Y59" s="76" t="s">
        <v>313</v>
      </c>
      <c r="Z59" s="76" t="s">
        <v>160</v>
      </c>
      <c r="AA59" s="76" t="s">
        <v>160</v>
      </c>
      <c r="AB59" s="76" t="s">
        <v>160</v>
      </c>
      <c r="AC59" s="76" t="s">
        <v>312</v>
      </c>
      <c r="AD59" s="76" t="s">
        <v>173</v>
      </c>
      <c r="AE59" s="76" t="s">
        <v>182</v>
      </c>
      <c r="AF59" s="76" t="s">
        <v>182</v>
      </c>
      <c r="AG59" s="76" t="s">
        <v>181</v>
      </c>
      <c r="AH59" s="76" t="s">
        <v>173</v>
      </c>
      <c r="AI59" s="76" t="s">
        <v>249</v>
      </c>
      <c r="AJ59" s="76" t="s">
        <v>234</v>
      </c>
      <c r="AK59" s="75">
        <v>38895</v>
      </c>
      <c r="AL59" s="76" t="s">
        <v>178</v>
      </c>
      <c r="AM59" s="76" t="s">
        <v>160</v>
      </c>
      <c r="AN59" s="76">
        <v>442</v>
      </c>
      <c r="AO59" s="76" t="s">
        <v>300</v>
      </c>
      <c r="AP59" s="76" t="s">
        <v>160</v>
      </c>
      <c r="AQ59" s="76" t="s">
        <v>176</v>
      </c>
      <c r="AR59" s="76" t="s">
        <v>212</v>
      </c>
      <c r="AS59" s="76" t="s">
        <v>311</v>
      </c>
      <c r="AT59" s="76">
        <v>24</v>
      </c>
      <c r="AU59" s="76" t="s">
        <v>174</v>
      </c>
      <c r="AV59" s="76" t="s">
        <v>173</v>
      </c>
    </row>
    <row r="60" spans="1:48" s="44" customFormat="1" ht="12" customHeight="1" x14ac:dyDescent="0.2">
      <c r="A60" s="53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2"/>
      <c r="Q60" s="51"/>
      <c r="R60" s="51"/>
      <c r="S60" s="52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2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0"/>
    </row>
    <row r="61" spans="1:48" s="44" customFormat="1" ht="120" x14ac:dyDescent="0.2">
      <c r="A61" s="55">
        <v>37557</v>
      </c>
      <c r="B61" s="54" t="s">
        <v>197</v>
      </c>
      <c r="C61" s="54" t="s">
        <v>300</v>
      </c>
      <c r="D61" s="54" t="s">
        <v>186</v>
      </c>
      <c r="E61" s="54" t="s">
        <v>126</v>
      </c>
      <c r="F61" s="54" t="s">
        <v>125</v>
      </c>
      <c r="G61" s="54" t="s">
        <v>310</v>
      </c>
      <c r="H61" s="54" t="s">
        <v>309</v>
      </c>
      <c r="I61" s="54">
        <v>59</v>
      </c>
      <c r="J61" s="54" t="s">
        <v>308</v>
      </c>
      <c r="K61" s="54" t="s">
        <v>191</v>
      </c>
      <c r="L61" s="54" t="s">
        <v>307</v>
      </c>
      <c r="M61" s="54" t="s">
        <v>189</v>
      </c>
      <c r="N61" s="54" t="s">
        <v>306</v>
      </c>
      <c r="O61" s="54" t="s">
        <v>305</v>
      </c>
      <c r="P61" s="55">
        <v>37557</v>
      </c>
      <c r="Q61" s="54" t="s">
        <v>173</v>
      </c>
      <c r="R61" s="54" t="s">
        <v>173</v>
      </c>
      <c r="S61" s="55">
        <v>40204</v>
      </c>
      <c r="T61" s="54" t="s">
        <v>186</v>
      </c>
      <c r="U61" s="54" t="s">
        <v>197</v>
      </c>
      <c r="V61" s="54" t="s">
        <v>173</v>
      </c>
      <c r="W61" s="54" t="s">
        <v>60</v>
      </c>
      <c r="X61" s="54" t="s">
        <v>197</v>
      </c>
      <c r="Y61" s="54" t="s">
        <v>304</v>
      </c>
      <c r="Z61" s="54" t="s">
        <v>303</v>
      </c>
      <c r="AA61" s="54" t="s">
        <v>160</v>
      </c>
      <c r="AB61" s="54" t="s">
        <v>160</v>
      </c>
      <c r="AC61" s="54" t="s">
        <v>302</v>
      </c>
      <c r="AD61" s="54" t="s">
        <v>173</v>
      </c>
      <c r="AE61" s="54" t="s">
        <v>301</v>
      </c>
      <c r="AF61" s="54" t="s">
        <v>182</v>
      </c>
      <c r="AG61" s="54" t="s">
        <v>181</v>
      </c>
      <c r="AH61" s="54" t="s">
        <v>173</v>
      </c>
      <c r="AI61" s="54" t="s">
        <v>249</v>
      </c>
      <c r="AJ61" s="54" t="s">
        <v>234</v>
      </c>
      <c r="AK61" s="55">
        <v>37557</v>
      </c>
      <c r="AL61" s="54" t="s">
        <v>178</v>
      </c>
      <c r="AM61" s="54" t="s">
        <v>160</v>
      </c>
      <c r="AN61" s="54">
        <v>442</v>
      </c>
      <c r="AO61" s="54" t="s">
        <v>300</v>
      </c>
      <c r="AP61" s="54" t="s">
        <v>160</v>
      </c>
      <c r="AQ61" s="54" t="s">
        <v>176</v>
      </c>
      <c r="AR61" s="54" t="s">
        <v>299</v>
      </c>
      <c r="AS61" s="54" t="s">
        <v>298</v>
      </c>
      <c r="AT61" s="54">
        <v>86</v>
      </c>
      <c r="AU61" s="54" t="s">
        <v>174</v>
      </c>
      <c r="AV61" s="54" t="s">
        <v>173</v>
      </c>
    </row>
    <row r="62" spans="1:48" s="44" customFormat="1" ht="12" customHeight="1" x14ac:dyDescent="0.2">
      <c r="A62" s="53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2"/>
      <c r="Q62" s="51"/>
      <c r="R62" s="51"/>
      <c r="S62" s="52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2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0"/>
    </row>
    <row r="63" spans="1:48" s="44" customFormat="1" ht="60" x14ac:dyDescent="0.2">
      <c r="A63" s="55">
        <v>38139</v>
      </c>
      <c r="B63" s="54" t="s">
        <v>197</v>
      </c>
      <c r="C63" s="54" t="s">
        <v>177</v>
      </c>
      <c r="D63" s="54" t="s">
        <v>186</v>
      </c>
      <c r="E63" s="54" t="s">
        <v>128</v>
      </c>
      <c r="F63" s="54" t="s">
        <v>127</v>
      </c>
      <c r="G63" s="54" t="s">
        <v>182</v>
      </c>
      <c r="H63" s="54" t="s">
        <v>182</v>
      </c>
      <c r="I63" s="54">
        <v>71</v>
      </c>
      <c r="J63" s="54" t="s">
        <v>192</v>
      </c>
      <c r="K63" s="54" t="s">
        <v>191</v>
      </c>
      <c r="L63" s="54" t="s">
        <v>292</v>
      </c>
      <c r="M63" s="54" t="s">
        <v>235</v>
      </c>
      <c r="N63" s="54" t="s">
        <v>234</v>
      </c>
      <c r="O63" s="54" t="s">
        <v>297</v>
      </c>
      <c r="P63" s="55">
        <v>38139</v>
      </c>
      <c r="Q63" s="54" t="s">
        <v>173</v>
      </c>
      <c r="R63" s="54" t="s">
        <v>173</v>
      </c>
      <c r="S63" s="55">
        <v>40438</v>
      </c>
      <c r="T63" s="54" t="s">
        <v>186</v>
      </c>
      <c r="U63" s="54" t="s">
        <v>197</v>
      </c>
      <c r="V63" s="54" t="s">
        <v>173</v>
      </c>
      <c r="W63" s="54" t="s">
        <v>60</v>
      </c>
      <c r="X63" s="54" t="s">
        <v>197</v>
      </c>
      <c r="Y63" s="54" t="s">
        <v>296</v>
      </c>
      <c r="Z63" s="54" t="s">
        <v>160</v>
      </c>
      <c r="AA63" s="54" t="s">
        <v>160</v>
      </c>
      <c r="AB63" s="54" t="s">
        <v>160</v>
      </c>
      <c r="AC63" s="54" t="s">
        <v>295</v>
      </c>
      <c r="AD63" s="54" t="s">
        <v>173</v>
      </c>
      <c r="AE63" s="54" t="s">
        <v>182</v>
      </c>
      <c r="AF63" s="54" t="s">
        <v>182</v>
      </c>
      <c r="AG63" s="54" t="s">
        <v>181</v>
      </c>
      <c r="AH63" s="54" t="s">
        <v>173</v>
      </c>
      <c r="AI63" s="54" t="s">
        <v>249</v>
      </c>
      <c r="AJ63" s="54" t="s">
        <v>234</v>
      </c>
      <c r="AK63" s="55">
        <v>38139</v>
      </c>
      <c r="AL63" s="54" t="s">
        <v>178</v>
      </c>
      <c r="AM63" s="54" t="s">
        <v>160</v>
      </c>
      <c r="AN63" s="54">
        <v>442</v>
      </c>
      <c r="AO63" s="54" t="s">
        <v>177</v>
      </c>
      <c r="AP63" s="54" t="s">
        <v>160</v>
      </c>
      <c r="AQ63" s="54" t="s">
        <v>176</v>
      </c>
      <c r="AR63" s="54" t="s">
        <v>255</v>
      </c>
      <c r="AS63" s="54" t="s">
        <v>294</v>
      </c>
      <c r="AT63" s="54">
        <v>65</v>
      </c>
      <c r="AU63" s="54" t="s">
        <v>174</v>
      </c>
      <c r="AV63" s="54" t="s">
        <v>173</v>
      </c>
    </row>
    <row r="64" spans="1:48" s="44" customFormat="1" ht="12" customHeight="1" x14ac:dyDescent="0.2">
      <c r="A64" s="53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2"/>
      <c r="Q64" s="51"/>
      <c r="R64" s="51"/>
      <c r="S64" s="52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2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0"/>
    </row>
    <row r="65" spans="1:48" s="44" customFormat="1" ht="105" x14ac:dyDescent="0.2">
      <c r="A65" s="55">
        <v>39014</v>
      </c>
      <c r="B65" s="54" t="s">
        <v>197</v>
      </c>
      <c r="C65" s="54" t="s">
        <v>177</v>
      </c>
      <c r="D65" s="54" t="s">
        <v>186</v>
      </c>
      <c r="E65" s="54" t="s">
        <v>130</v>
      </c>
      <c r="F65" s="54" t="s">
        <v>129</v>
      </c>
      <c r="G65" s="54" t="s">
        <v>293</v>
      </c>
      <c r="H65" s="54" t="s">
        <v>182</v>
      </c>
      <c r="I65" s="54">
        <v>80</v>
      </c>
      <c r="J65" s="54" t="s">
        <v>192</v>
      </c>
      <c r="K65" s="54" t="s">
        <v>191</v>
      </c>
      <c r="L65" s="54" t="s">
        <v>292</v>
      </c>
      <c r="M65" s="54" t="s">
        <v>235</v>
      </c>
      <c r="N65" s="54" t="s">
        <v>234</v>
      </c>
      <c r="O65" s="54" t="s">
        <v>291</v>
      </c>
      <c r="P65" s="55">
        <v>39014</v>
      </c>
      <c r="Q65" s="54" t="s">
        <v>173</v>
      </c>
      <c r="R65" s="54" t="s">
        <v>173</v>
      </c>
      <c r="S65" s="55">
        <v>40345</v>
      </c>
      <c r="T65" s="54" t="s">
        <v>186</v>
      </c>
      <c r="U65" s="54" t="s">
        <v>197</v>
      </c>
      <c r="V65" s="54" t="s">
        <v>173</v>
      </c>
      <c r="W65" s="54" t="s">
        <v>60</v>
      </c>
      <c r="X65" s="54" t="s">
        <v>197</v>
      </c>
      <c r="Y65" s="54" t="s">
        <v>290</v>
      </c>
      <c r="Z65" s="54" t="s">
        <v>160</v>
      </c>
      <c r="AA65" s="54" t="s">
        <v>160</v>
      </c>
      <c r="AB65" s="54" t="s">
        <v>160</v>
      </c>
      <c r="AC65" s="54" t="s">
        <v>289</v>
      </c>
      <c r="AD65" s="54" t="s">
        <v>173</v>
      </c>
      <c r="AE65" s="54" t="s">
        <v>182</v>
      </c>
      <c r="AF65" s="54" t="s">
        <v>182</v>
      </c>
      <c r="AG65" s="54" t="s">
        <v>181</v>
      </c>
      <c r="AH65" s="54" t="s">
        <v>173</v>
      </c>
      <c r="AI65" s="54" t="s">
        <v>214</v>
      </c>
      <c r="AJ65" s="54" t="s">
        <v>288</v>
      </c>
      <c r="AK65" s="55">
        <v>39014</v>
      </c>
      <c r="AL65" s="54" t="s">
        <v>178</v>
      </c>
      <c r="AM65" s="54" t="s">
        <v>160</v>
      </c>
      <c r="AN65" s="54">
        <v>442</v>
      </c>
      <c r="AO65" s="54" t="s">
        <v>177</v>
      </c>
      <c r="AP65" s="54" t="s">
        <v>160</v>
      </c>
      <c r="AQ65" s="54" t="s">
        <v>176</v>
      </c>
      <c r="AR65" s="54" t="s">
        <v>255</v>
      </c>
      <c r="AS65" s="54" t="s">
        <v>287</v>
      </c>
      <c r="AT65" s="54">
        <v>42</v>
      </c>
      <c r="AU65" s="54" t="s">
        <v>174</v>
      </c>
      <c r="AV65" s="54" t="s">
        <v>173</v>
      </c>
    </row>
    <row r="66" spans="1:48" s="44" customFormat="1" ht="12" customHeight="1" x14ac:dyDescent="0.2">
      <c r="A66" s="53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2"/>
      <c r="Q66" s="51"/>
      <c r="R66" s="51"/>
      <c r="S66" s="52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2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0"/>
    </row>
    <row r="67" spans="1:48" s="44" customFormat="1" ht="75" x14ac:dyDescent="0.2">
      <c r="A67" s="55">
        <v>38930</v>
      </c>
      <c r="B67" s="54" t="s">
        <v>197</v>
      </c>
      <c r="C67" s="54" t="s">
        <v>177</v>
      </c>
      <c r="D67" s="54" t="s">
        <v>186</v>
      </c>
      <c r="E67" s="54" t="s">
        <v>132</v>
      </c>
      <c r="F67" s="54" t="s">
        <v>131</v>
      </c>
      <c r="G67" s="54" t="s">
        <v>182</v>
      </c>
      <c r="H67" s="54" t="s">
        <v>182</v>
      </c>
      <c r="I67" s="54">
        <v>83</v>
      </c>
      <c r="J67" s="54" t="s">
        <v>192</v>
      </c>
      <c r="K67" s="54" t="s">
        <v>191</v>
      </c>
      <c r="L67" s="54" t="s">
        <v>286</v>
      </c>
      <c r="M67" s="54" t="s">
        <v>189</v>
      </c>
      <c r="N67" s="54" t="s">
        <v>285</v>
      </c>
      <c r="O67" s="54" t="s">
        <v>273</v>
      </c>
      <c r="P67" s="55">
        <v>38930</v>
      </c>
      <c r="Q67" s="54" t="s">
        <v>173</v>
      </c>
      <c r="R67" s="54" t="s">
        <v>173</v>
      </c>
      <c r="S67" s="55">
        <v>40781</v>
      </c>
      <c r="T67" s="54" t="s">
        <v>186</v>
      </c>
      <c r="U67" s="54" t="s">
        <v>197</v>
      </c>
      <c r="V67" s="54" t="s">
        <v>173</v>
      </c>
      <c r="W67" s="54" t="s">
        <v>60</v>
      </c>
      <c r="X67" s="54" t="s">
        <v>197</v>
      </c>
      <c r="Y67" s="54" t="s">
        <v>284</v>
      </c>
      <c r="Z67" s="54" t="s">
        <v>160</v>
      </c>
      <c r="AA67" s="54" t="s">
        <v>160</v>
      </c>
      <c r="AB67" s="54" t="s">
        <v>160</v>
      </c>
      <c r="AC67" s="54" t="s">
        <v>160</v>
      </c>
      <c r="AD67" s="54" t="s">
        <v>173</v>
      </c>
      <c r="AE67" s="54" t="s">
        <v>182</v>
      </c>
      <c r="AF67" s="54" t="s">
        <v>182</v>
      </c>
      <c r="AG67" s="54" t="s">
        <v>181</v>
      </c>
      <c r="AH67" s="54" t="s">
        <v>173</v>
      </c>
      <c r="AI67" s="54" t="s">
        <v>214</v>
      </c>
      <c r="AJ67" s="54" t="s">
        <v>283</v>
      </c>
      <c r="AK67" s="55">
        <v>38930</v>
      </c>
      <c r="AL67" s="54" t="s">
        <v>178</v>
      </c>
      <c r="AM67" s="54" t="s">
        <v>160</v>
      </c>
      <c r="AN67" s="54">
        <v>442</v>
      </c>
      <c r="AO67" s="54" t="s">
        <v>177</v>
      </c>
      <c r="AP67" s="54" t="s">
        <v>160</v>
      </c>
      <c r="AQ67" s="54" t="s">
        <v>176</v>
      </c>
      <c r="AR67" s="54" t="s">
        <v>282</v>
      </c>
      <c r="AS67" s="54" t="s">
        <v>173</v>
      </c>
      <c r="AT67" s="54">
        <v>35</v>
      </c>
      <c r="AU67" s="54" t="s">
        <v>174</v>
      </c>
      <c r="AV67" s="54" t="s">
        <v>173</v>
      </c>
    </row>
    <row r="68" spans="1:48" s="44" customFormat="1" ht="12" customHeight="1" x14ac:dyDescent="0.2">
      <c r="A68" s="53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2"/>
      <c r="Q68" s="51"/>
      <c r="R68" s="51"/>
      <c r="S68" s="52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2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0"/>
    </row>
    <row r="69" spans="1:48" s="77" customFormat="1" ht="60" x14ac:dyDescent="0.2">
      <c r="A69" s="75">
        <v>36039</v>
      </c>
      <c r="B69" s="76" t="s">
        <v>160</v>
      </c>
      <c r="C69" s="76" t="s">
        <v>177</v>
      </c>
      <c r="D69" s="76" t="s">
        <v>186</v>
      </c>
      <c r="E69" s="76" t="s">
        <v>134</v>
      </c>
      <c r="F69" s="76" t="s">
        <v>133</v>
      </c>
      <c r="G69" s="76" t="s">
        <v>182</v>
      </c>
      <c r="H69" s="76" t="s">
        <v>182</v>
      </c>
      <c r="I69" s="76">
        <v>81</v>
      </c>
      <c r="J69" s="76" t="s">
        <v>192</v>
      </c>
      <c r="K69" s="76" t="s">
        <v>191</v>
      </c>
      <c r="L69" s="76" t="s">
        <v>190</v>
      </c>
      <c r="M69" s="76" t="s">
        <v>160</v>
      </c>
      <c r="N69" s="76" t="s">
        <v>281</v>
      </c>
      <c r="O69" s="76" t="s">
        <v>160</v>
      </c>
      <c r="P69" s="75">
        <v>36039</v>
      </c>
      <c r="Q69" s="76" t="s">
        <v>173</v>
      </c>
      <c r="R69" s="76" t="s">
        <v>173</v>
      </c>
      <c r="S69" s="75">
        <v>36277</v>
      </c>
      <c r="T69" s="76" t="s">
        <v>186</v>
      </c>
      <c r="U69" s="76" t="s">
        <v>160</v>
      </c>
      <c r="V69" s="76" t="s">
        <v>173</v>
      </c>
      <c r="W69" s="76" t="s">
        <v>60</v>
      </c>
      <c r="X69" s="76" t="s">
        <v>160</v>
      </c>
      <c r="Y69" s="76" t="s">
        <v>280</v>
      </c>
      <c r="Z69" s="76" t="s">
        <v>160</v>
      </c>
      <c r="AA69" s="76" t="s">
        <v>160</v>
      </c>
      <c r="AB69" s="76" t="s">
        <v>160</v>
      </c>
      <c r="AC69" s="76" t="s">
        <v>279</v>
      </c>
      <c r="AD69" s="76" t="s">
        <v>173</v>
      </c>
      <c r="AE69" s="76" t="s">
        <v>182</v>
      </c>
      <c r="AF69" s="76" t="s">
        <v>182</v>
      </c>
      <c r="AG69" s="76" t="s">
        <v>181</v>
      </c>
      <c r="AH69" s="76" t="s">
        <v>173</v>
      </c>
      <c r="AI69" s="76" t="s">
        <v>160</v>
      </c>
      <c r="AJ69" s="76" t="s">
        <v>160</v>
      </c>
      <c r="AK69" s="75">
        <v>36039</v>
      </c>
      <c r="AL69" s="76" t="s">
        <v>178</v>
      </c>
      <c r="AM69" s="76" t="s">
        <v>160</v>
      </c>
      <c r="AN69" s="76">
        <v>442</v>
      </c>
      <c r="AO69" s="76" t="s">
        <v>177</v>
      </c>
      <c r="AP69" s="76" t="s">
        <v>160</v>
      </c>
      <c r="AQ69" s="76" t="s">
        <v>176</v>
      </c>
      <c r="AR69" s="76" t="s">
        <v>278</v>
      </c>
      <c r="AS69" s="76" t="s">
        <v>277</v>
      </c>
      <c r="AT69" s="76">
        <v>6</v>
      </c>
      <c r="AU69" s="76" t="s">
        <v>174</v>
      </c>
      <c r="AV69" s="76" t="s">
        <v>173</v>
      </c>
    </row>
    <row r="70" spans="1:48" s="44" customFormat="1" ht="12" customHeight="1" x14ac:dyDescent="0.2">
      <c r="A70" s="53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2"/>
      <c r="Q70" s="51"/>
      <c r="R70" s="51"/>
      <c r="S70" s="52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2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0"/>
    </row>
    <row r="71" spans="1:48" s="44" customFormat="1" ht="60" x14ac:dyDescent="0.2">
      <c r="A71" s="55">
        <v>35948</v>
      </c>
      <c r="B71" s="54" t="s">
        <v>197</v>
      </c>
      <c r="C71" s="54" t="s">
        <v>177</v>
      </c>
      <c r="D71" s="54" t="s">
        <v>186</v>
      </c>
      <c r="E71" s="54" t="s">
        <v>138</v>
      </c>
      <c r="F71" s="54" t="s">
        <v>137</v>
      </c>
      <c r="G71" s="54" t="s">
        <v>182</v>
      </c>
      <c r="H71" s="54" t="s">
        <v>182</v>
      </c>
      <c r="I71" s="54">
        <v>65</v>
      </c>
      <c r="J71" s="54" t="s">
        <v>192</v>
      </c>
      <c r="K71" s="54" t="s">
        <v>191</v>
      </c>
      <c r="L71" s="54" t="s">
        <v>190</v>
      </c>
      <c r="M71" s="54" t="s">
        <v>235</v>
      </c>
      <c r="N71" s="54" t="s">
        <v>234</v>
      </c>
      <c r="O71" s="54" t="s">
        <v>273</v>
      </c>
      <c r="P71" s="55">
        <v>35948</v>
      </c>
      <c r="Q71" s="54" t="s">
        <v>173</v>
      </c>
      <c r="R71" s="54" t="s">
        <v>173</v>
      </c>
      <c r="S71" s="55">
        <v>41350</v>
      </c>
      <c r="T71" s="54" t="s">
        <v>186</v>
      </c>
      <c r="U71" s="54" t="s">
        <v>197</v>
      </c>
      <c r="V71" s="54" t="s">
        <v>173</v>
      </c>
      <c r="W71" s="54" t="s">
        <v>60</v>
      </c>
      <c r="X71" s="54" t="s">
        <v>197</v>
      </c>
      <c r="Y71" s="54" t="s">
        <v>276</v>
      </c>
      <c r="Z71" s="54" t="s">
        <v>160</v>
      </c>
      <c r="AA71" s="54" t="s">
        <v>160</v>
      </c>
      <c r="AB71" s="54" t="s">
        <v>160</v>
      </c>
      <c r="AC71" s="54" t="s">
        <v>275</v>
      </c>
      <c r="AD71" s="54" t="s">
        <v>173</v>
      </c>
      <c r="AE71" s="54" t="s">
        <v>182</v>
      </c>
      <c r="AF71" s="54" t="s">
        <v>182</v>
      </c>
      <c r="AG71" s="54" t="s">
        <v>181</v>
      </c>
      <c r="AH71" s="54" t="s">
        <v>173</v>
      </c>
      <c r="AI71" s="54" t="s">
        <v>249</v>
      </c>
      <c r="AJ71" s="54" t="s">
        <v>234</v>
      </c>
      <c r="AK71" s="55">
        <v>35948</v>
      </c>
      <c r="AL71" s="54" t="s">
        <v>178</v>
      </c>
      <c r="AM71" s="54" t="s">
        <v>160</v>
      </c>
      <c r="AN71" s="54">
        <v>442</v>
      </c>
      <c r="AO71" s="54" t="s">
        <v>177</v>
      </c>
      <c r="AP71" s="54" t="s">
        <v>160</v>
      </c>
      <c r="AQ71" s="54" t="s">
        <v>176</v>
      </c>
      <c r="AR71" s="54" t="s">
        <v>204</v>
      </c>
      <c r="AS71" s="54" t="s">
        <v>274</v>
      </c>
      <c r="AT71" s="54">
        <v>156</v>
      </c>
      <c r="AU71" s="54" t="s">
        <v>174</v>
      </c>
      <c r="AV71" s="54" t="s">
        <v>173</v>
      </c>
    </row>
    <row r="72" spans="1:48" s="44" customFormat="1" ht="12" customHeight="1" x14ac:dyDescent="0.2">
      <c r="A72" s="53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2"/>
      <c r="Q72" s="51"/>
      <c r="R72" s="51"/>
      <c r="S72" s="52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2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0"/>
    </row>
    <row r="73" spans="1:48" s="77" customFormat="1" ht="60" x14ac:dyDescent="0.2">
      <c r="A73" s="75">
        <v>36110</v>
      </c>
      <c r="B73" s="76" t="s">
        <v>160</v>
      </c>
      <c r="C73" s="76" t="s">
        <v>177</v>
      </c>
      <c r="D73" s="76" t="s">
        <v>186</v>
      </c>
      <c r="E73" s="76" t="s">
        <v>140</v>
      </c>
      <c r="F73" s="76" t="s">
        <v>139</v>
      </c>
      <c r="G73" s="76" t="s">
        <v>182</v>
      </c>
      <c r="H73" s="76" t="s">
        <v>182</v>
      </c>
      <c r="I73" s="76">
        <v>60</v>
      </c>
      <c r="J73" s="76" t="s">
        <v>192</v>
      </c>
      <c r="K73" s="76" t="s">
        <v>191</v>
      </c>
      <c r="L73" s="76" t="s">
        <v>190</v>
      </c>
      <c r="M73" s="76" t="s">
        <v>160</v>
      </c>
      <c r="N73" s="76" t="s">
        <v>160</v>
      </c>
      <c r="O73" s="76" t="s">
        <v>273</v>
      </c>
      <c r="P73" s="75">
        <v>36110</v>
      </c>
      <c r="Q73" s="76" t="s">
        <v>173</v>
      </c>
      <c r="R73" s="76" t="s">
        <v>173</v>
      </c>
      <c r="S73" s="75">
        <v>36294</v>
      </c>
      <c r="T73" s="76" t="s">
        <v>186</v>
      </c>
      <c r="U73" s="76" t="s">
        <v>160</v>
      </c>
      <c r="V73" s="76" t="s">
        <v>173</v>
      </c>
      <c r="W73" s="76" t="s">
        <v>60</v>
      </c>
      <c r="X73" s="76" t="s">
        <v>160</v>
      </c>
      <c r="Y73" s="76" t="s">
        <v>272</v>
      </c>
      <c r="Z73" s="76" t="s">
        <v>160</v>
      </c>
      <c r="AA73" s="76" t="s">
        <v>160</v>
      </c>
      <c r="AB73" s="76" t="s">
        <v>160</v>
      </c>
      <c r="AC73" s="76" t="s">
        <v>271</v>
      </c>
      <c r="AD73" s="76" t="s">
        <v>173</v>
      </c>
      <c r="AE73" s="76" t="s">
        <v>270</v>
      </c>
      <c r="AF73" s="76" t="s">
        <v>182</v>
      </c>
      <c r="AG73" s="76" t="s">
        <v>181</v>
      </c>
      <c r="AH73" s="76" t="s">
        <v>173</v>
      </c>
      <c r="AI73" s="76" t="s">
        <v>160</v>
      </c>
      <c r="AJ73" s="76" t="s">
        <v>160</v>
      </c>
      <c r="AK73" s="75">
        <v>36110</v>
      </c>
      <c r="AL73" s="76" t="s">
        <v>178</v>
      </c>
      <c r="AM73" s="76" t="s">
        <v>160</v>
      </c>
      <c r="AN73" s="76">
        <v>442</v>
      </c>
      <c r="AO73" s="76" t="s">
        <v>177</v>
      </c>
      <c r="AP73" s="76" t="s">
        <v>160</v>
      </c>
      <c r="AQ73" s="76" t="s">
        <v>176</v>
      </c>
      <c r="AR73" s="76" t="s">
        <v>269</v>
      </c>
      <c r="AS73" s="76" t="s">
        <v>268</v>
      </c>
      <c r="AT73" s="76">
        <v>5</v>
      </c>
      <c r="AU73" s="76" t="s">
        <v>174</v>
      </c>
      <c r="AV73" s="76" t="s">
        <v>173</v>
      </c>
    </row>
    <row r="74" spans="1:48" s="44" customFormat="1" ht="12" customHeight="1" x14ac:dyDescent="0.2">
      <c r="A74" s="53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2"/>
      <c r="Q74" s="51"/>
      <c r="R74" s="51"/>
      <c r="S74" s="52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2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0"/>
    </row>
    <row r="75" spans="1:48" s="77" customFormat="1" ht="65.25" customHeight="1" x14ac:dyDescent="0.2">
      <c r="A75" s="75">
        <v>36110</v>
      </c>
      <c r="B75" s="76" t="s">
        <v>160</v>
      </c>
      <c r="C75" s="76" t="s">
        <v>177</v>
      </c>
      <c r="D75" s="76" t="s">
        <v>186</v>
      </c>
      <c r="E75" s="76" t="s">
        <v>142</v>
      </c>
      <c r="F75" s="76" t="s">
        <v>141</v>
      </c>
      <c r="G75" s="76" t="s">
        <v>182</v>
      </c>
      <c r="H75" s="76" t="s">
        <v>182</v>
      </c>
      <c r="I75" s="76">
        <v>83</v>
      </c>
      <c r="J75" s="76" t="s">
        <v>192</v>
      </c>
      <c r="K75" s="76" t="s">
        <v>191</v>
      </c>
      <c r="L75" s="76" t="s">
        <v>190</v>
      </c>
      <c r="M75" s="76" t="s">
        <v>189</v>
      </c>
      <c r="N75" s="76" t="s">
        <v>210</v>
      </c>
      <c r="O75" s="76" t="s">
        <v>160</v>
      </c>
      <c r="P75" s="75">
        <v>36110</v>
      </c>
      <c r="Q75" s="76" t="s">
        <v>173</v>
      </c>
      <c r="R75" s="76" t="s">
        <v>173</v>
      </c>
      <c r="S75" s="75">
        <v>36272</v>
      </c>
      <c r="T75" s="76" t="s">
        <v>186</v>
      </c>
      <c r="U75" s="76" t="s">
        <v>160</v>
      </c>
      <c r="V75" s="76" t="s">
        <v>173</v>
      </c>
      <c r="W75" s="76" t="s">
        <v>60</v>
      </c>
      <c r="X75" s="76" t="s">
        <v>160</v>
      </c>
      <c r="Y75" s="76" t="s">
        <v>267</v>
      </c>
      <c r="Z75" s="76" t="s">
        <v>160</v>
      </c>
      <c r="AA75" s="76" t="s">
        <v>160</v>
      </c>
      <c r="AB75" s="76" t="s">
        <v>160</v>
      </c>
      <c r="AC75" s="76" t="s">
        <v>266</v>
      </c>
      <c r="AD75" s="76" t="s">
        <v>173</v>
      </c>
      <c r="AE75" s="76" t="s">
        <v>265</v>
      </c>
      <c r="AF75" s="76" t="s">
        <v>182</v>
      </c>
      <c r="AG75" s="76" t="s">
        <v>181</v>
      </c>
      <c r="AH75" s="76" t="s">
        <v>173</v>
      </c>
      <c r="AI75" s="76" t="s">
        <v>249</v>
      </c>
      <c r="AJ75" s="76" t="s">
        <v>234</v>
      </c>
      <c r="AK75" s="75">
        <v>36110</v>
      </c>
      <c r="AL75" s="76" t="s">
        <v>178</v>
      </c>
      <c r="AM75" s="76" t="s">
        <v>160</v>
      </c>
      <c r="AN75" s="76">
        <v>442</v>
      </c>
      <c r="AO75" s="76" t="s">
        <v>177</v>
      </c>
      <c r="AP75" s="76" t="s">
        <v>160</v>
      </c>
      <c r="AQ75" s="76" t="s">
        <v>176</v>
      </c>
      <c r="AR75" s="76" t="s">
        <v>261</v>
      </c>
      <c r="AS75" s="76" t="s">
        <v>264</v>
      </c>
      <c r="AT75" s="76">
        <v>0</v>
      </c>
      <c r="AU75" s="76" t="s">
        <v>174</v>
      </c>
      <c r="AV75" s="76" t="s">
        <v>173</v>
      </c>
    </row>
    <row r="76" spans="1:48" s="44" customFormat="1" ht="12" customHeight="1" x14ac:dyDescent="0.2">
      <c r="A76" s="53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2"/>
      <c r="Q76" s="51"/>
      <c r="R76" s="51"/>
      <c r="S76" s="52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2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0"/>
    </row>
    <row r="77" spans="1:48" s="44" customFormat="1" ht="69" customHeight="1" x14ac:dyDescent="0.2">
      <c r="A77" s="55">
        <v>35884</v>
      </c>
      <c r="B77" s="54" t="s">
        <v>197</v>
      </c>
      <c r="C77" s="54" t="s">
        <v>177</v>
      </c>
      <c r="D77" s="54" t="s">
        <v>186</v>
      </c>
      <c r="E77" s="54" t="s">
        <v>144</v>
      </c>
      <c r="F77" s="54" t="s">
        <v>143</v>
      </c>
      <c r="G77" s="54" t="s">
        <v>182</v>
      </c>
      <c r="H77" s="54" t="s">
        <v>182</v>
      </c>
      <c r="I77" s="54">
        <v>76</v>
      </c>
      <c r="J77" s="54" t="s">
        <v>192</v>
      </c>
      <c r="K77" s="54" t="s">
        <v>191</v>
      </c>
      <c r="L77" s="54" t="s">
        <v>190</v>
      </c>
      <c r="M77" s="54" t="s">
        <v>160</v>
      </c>
      <c r="N77" s="54" t="s">
        <v>160</v>
      </c>
      <c r="O77" s="54" t="s">
        <v>160</v>
      </c>
      <c r="P77" s="55">
        <v>35884</v>
      </c>
      <c r="Q77" s="54" t="s">
        <v>173</v>
      </c>
      <c r="R77" s="54" t="s">
        <v>173</v>
      </c>
      <c r="S77" s="55">
        <v>38028</v>
      </c>
      <c r="T77" s="54" t="s">
        <v>186</v>
      </c>
      <c r="U77" s="54" t="s">
        <v>197</v>
      </c>
      <c r="V77" s="54" t="s">
        <v>173</v>
      </c>
      <c r="W77" s="54" t="s">
        <v>60</v>
      </c>
      <c r="X77" s="54" t="s">
        <v>197</v>
      </c>
      <c r="Y77" s="54" t="s">
        <v>263</v>
      </c>
      <c r="Z77" s="54" t="s">
        <v>160</v>
      </c>
      <c r="AA77" s="54" t="s">
        <v>160</v>
      </c>
      <c r="AB77" s="54" t="s">
        <v>160</v>
      </c>
      <c r="AC77" s="54" t="s">
        <v>262</v>
      </c>
      <c r="AD77" s="54" t="s">
        <v>173</v>
      </c>
      <c r="AE77" s="54" t="s">
        <v>182</v>
      </c>
      <c r="AF77" s="54" t="s">
        <v>182</v>
      </c>
      <c r="AG77" s="54" t="s">
        <v>181</v>
      </c>
      <c r="AH77" s="54" t="s">
        <v>173</v>
      </c>
      <c r="AI77" s="54" t="s">
        <v>160</v>
      </c>
      <c r="AJ77" s="54" t="s">
        <v>160</v>
      </c>
      <c r="AK77" s="55">
        <v>35884</v>
      </c>
      <c r="AL77" s="54" t="s">
        <v>178</v>
      </c>
      <c r="AM77" s="54" t="s">
        <v>160</v>
      </c>
      <c r="AN77" s="54">
        <v>442</v>
      </c>
      <c r="AO77" s="54" t="s">
        <v>177</v>
      </c>
      <c r="AP77" s="54" t="s">
        <v>160</v>
      </c>
      <c r="AQ77" s="54" t="s">
        <v>176</v>
      </c>
      <c r="AR77" s="54" t="s">
        <v>261</v>
      </c>
      <c r="AS77" s="54" t="s">
        <v>260</v>
      </c>
      <c r="AT77" s="54">
        <v>69</v>
      </c>
      <c r="AU77" s="54" t="s">
        <v>174</v>
      </c>
      <c r="AV77" s="54" t="s">
        <v>173</v>
      </c>
    </row>
    <row r="78" spans="1:48" s="44" customFormat="1" ht="12" customHeight="1" x14ac:dyDescent="0.2">
      <c r="A78" s="53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2"/>
      <c r="Q78" s="51"/>
      <c r="R78" s="51"/>
      <c r="S78" s="52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2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0"/>
    </row>
    <row r="79" spans="1:48" s="44" customFormat="1" ht="75" x14ac:dyDescent="0.2">
      <c r="A79" s="55">
        <v>35957</v>
      </c>
      <c r="B79" s="54" t="s">
        <v>197</v>
      </c>
      <c r="C79" s="54" t="s">
        <v>177</v>
      </c>
      <c r="D79" s="54" t="s">
        <v>186</v>
      </c>
      <c r="E79" s="54" t="s">
        <v>146</v>
      </c>
      <c r="F79" s="54" t="s">
        <v>145</v>
      </c>
      <c r="G79" s="54" t="s">
        <v>182</v>
      </c>
      <c r="H79" s="54" t="s">
        <v>182</v>
      </c>
      <c r="I79" s="54">
        <v>63</v>
      </c>
      <c r="J79" s="54" t="s">
        <v>192</v>
      </c>
      <c r="K79" s="54" t="s">
        <v>191</v>
      </c>
      <c r="L79" s="54" t="s">
        <v>190</v>
      </c>
      <c r="M79" s="54" t="s">
        <v>160</v>
      </c>
      <c r="N79" s="54" t="s">
        <v>160</v>
      </c>
      <c r="O79" s="54" t="s">
        <v>259</v>
      </c>
      <c r="P79" s="55">
        <v>35957</v>
      </c>
      <c r="Q79" s="54" t="s">
        <v>173</v>
      </c>
      <c r="R79" s="54" t="s">
        <v>173</v>
      </c>
      <c r="S79" s="55">
        <v>36570</v>
      </c>
      <c r="T79" s="54" t="s">
        <v>186</v>
      </c>
      <c r="U79" s="54" t="s">
        <v>197</v>
      </c>
      <c r="V79" s="54" t="s">
        <v>173</v>
      </c>
      <c r="W79" s="54" t="s">
        <v>60</v>
      </c>
      <c r="X79" s="54" t="s">
        <v>197</v>
      </c>
      <c r="Y79" s="54" t="s">
        <v>258</v>
      </c>
      <c r="Z79" s="54" t="s">
        <v>160</v>
      </c>
      <c r="AA79" s="54" t="s">
        <v>160</v>
      </c>
      <c r="AB79" s="54" t="s">
        <v>160</v>
      </c>
      <c r="AC79" s="54" t="s">
        <v>257</v>
      </c>
      <c r="AD79" s="54" t="s">
        <v>173</v>
      </c>
      <c r="AE79" s="54" t="s">
        <v>256</v>
      </c>
      <c r="AF79" s="54" t="s">
        <v>182</v>
      </c>
      <c r="AG79" s="54" t="s">
        <v>181</v>
      </c>
      <c r="AH79" s="54" t="s">
        <v>173</v>
      </c>
      <c r="AI79" s="54" t="s">
        <v>160</v>
      </c>
      <c r="AJ79" s="54" t="s">
        <v>160</v>
      </c>
      <c r="AK79" s="55">
        <v>35957</v>
      </c>
      <c r="AL79" s="54" t="s">
        <v>178</v>
      </c>
      <c r="AM79" s="54" t="s">
        <v>160</v>
      </c>
      <c r="AN79" s="54">
        <v>442</v>
      </c>
      <c r="AO79" s="54" t="s">
        <v>177</v>
      </c>
      <c r="AP79" s="54" t="s">
        <v>160</v>
      </c>
      <c r="AQ79" s="54" t="s">
        <v>176</v>
      </c>
      <c r="AR79" s="54" t="s">
        <v>255</v>
      </c>
      <c r="AS79" s="54" t="s">
        <v>254</v>
      </c>
      <c r="AT79" s="54">
        <v>1</v>
      </c>
      <c r="AU79" s="54" t="s">
        <v>174</v>
      </c>
      <c r="AV79" s="54" t="s">
        <v>173</v>
      </c>
    </row>
    <row r="80" spans="1:48" s="44" customFormat="1" ht="12" customHeight="1" x14ac:dyDescent="0.2">
      <c r="A80" s="53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2"/>
      <c r="Q80" s="51"/>
      <c r="R80" s="51"/>
      <c r="S80" s="52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2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0"/>
    </row>
    <row r="81" spans="1:48" s="44" customFormat="1" ht="75" x14ac:dyDescent="0.2">
      <c r="A81" s="55">
        <v>35991</v>
      </c>
      <c r="B81" s="54" t="s">
        <v>197</v>
      </c>
      <c r="C81" s="54" t="s">
        <v>177</v>
      </c>
      <c r="D81" s="54" t="s">
        <v>186</v>
      </c>
      <c r="E81" s="54" t="s">
        <v>148</v>
      </c>
      <c r="F81" s="54" t="s">
        <v>147</v>
      </c>
      <c r="G81" s="54" t="s">
        <v>182</v>
      </c>
      <c r="H81" s="54" t="s">
        <v>182</v>
      </c>
      <c r="I81" s="54">
        <v>72</v>
      </c>
      <c r="J81" s="54" t="s">
        <v>192</v>
      </c>
      <c r="K81" s="54" t="s">
        <v>191</v>
      </c>
      <c r="L81" s="54" t="s">
        <v>190</v>
      </c>
      <c r="M81" s="54" t="s">
        <v>189</v>
      </c>
      <c r="N81" s="54" t="s">
        <v>253</v>
      </c>
      <c r="O81" s="54" t="s">
        <v>252</v>
      </c>
      <c r="P81" s="55">
        <v>35991</v>
      </c>
      <c r="Q81" s="54" t="s">
        <v>173</v>
      </c>
      <c r="R81" s="54" t="s">
        <v>173</v>
      </c>
      <c r="S81" s="55">
        <v>37244</v>
      </c>
      <c r="T81" s="54" t="s">
        <v>186</v>
      </c>
      <c r="U81" s="54" t="s">
        <v>197</v>
      </c>
      <c r="V81" s="54" t="s">
        <v>173</v>
      </c>
      <c r="W81" s="54" t="s">
        <v>60</v>
      </c>
      <c r="X81" s="54" t="s">
        <v>197</v>
      </c>
      <c r="Y81" s="54" t="s">
        <v>251</v>
      </c>
      <c r="Z81" s="54" t="s">
        <v>160</v>
      </c>
      <c r="AA81" s="54" t="s">
        <v>160</v>
      </c>
      <c r="AB81" s="54" t="s">
        <v>160</v>
      </c>
      <c r="AC81" s="54" t="s">
        <v>250</v>
      </c>
      <c r="AD81" s="54" t="s">
        <v>173</v>
      </c>
      <c r="AE81" s="54" t="s">
        <v>182</v>
      </c>
      <c r="AF81" s="54" t="s">
        <v>182</v>
      </c>
      <c r="AG81" s="54" t="s">
        <v>181</v>
      </c>
      <c r="AH81" s="54" t="s">
        <v>173</v>
      </c>
      <c r="AI81" s="54" t="s">
        <v>249</v>
      </c>
      <c r="AJ81" s="54" t="s">
        <v>234</v>
      </c>
      <c r="AK81" s="55">
        <v>35991</v>
      </c>
      <c r="AL81" s="54" t="s">
        <v>178</v>
      </c>
      <c r="AM81" s="54" t="s">
        <v>160</v>
      </c>
      <c r="AN81" s="54">
        <v>442</v>
      </c>
      <c r="AO81" s="54" t="s">
        <v>177</v>
      </c>
      <c r="AP81" s="54" t="s">
        <v>160</v>
      </c>
      <c r="AQ81" s="54" t="s">
        <v>176</v>
      </c>
      <c r="AR81" s="54" t="s">
        <v>248</v>
      </c>
      <c r="AS81" s="54" t="s">
        <v>247</v>
      </c>
      <c r="AT81" s="54">
        <v>31</v>
      </c>
      <c r="AU81" s="54" t="s">
        <v>174</v>
      </c>
      <c r="AV81" s="54" t="s">
        <v>173</v>
      </c>
    </row>
    <row r="82" spans="1:48" s="44" customFormat="1" ht="12" customHeight="1" x14ac:dyDescent="0.2">
      <c r="A82" s="53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2"/>
      <c r="Q82" s="51"/>
      <c r="R82" s="51"/>
      <c r="S82" s="52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2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0"/>
    </row>
    <row r="83" spans="1:48" s="44" customFormat="1" ht="75" x14ac:dyDescent="0.2">
      <c r="A83" s="55">
        <v>36081</v>
      </c>
      <c r="B83" s="54" t="s">
        <v>197</v>
      </c>
      <c r="C83" s="54" t="s">
        <v>177</v>
      </c>
      <c r="D83" s="54" t="s">
        <v>186</v>
      </c>
      <c r="E83" s="54" t="s">
        <v>150</v>
      </c>
      <c r="F83" s="54" t="s">
        <v>149</v>
      </c>
      <c r="G83" s="54" t="s">
        <v>182</v>
      </c>
      <c r="H83" s="54" t="s">
        <v>182</v>
      </c>
      <c r="I83" s="54">
        <v>68</v>
      </c>
      <c r="J83" s="54" t="s">
        <v>192</v>
      </c>
      <c r="K83" s="54" t="s">
        <v>191</v>
      </c>
      <c r="L83" s="54" t="s">
        <v>190</v>
      </c>
      <c r="M83" s="54" t="s">
        <v>235</v>
      </c>
      <c r="N83" s="54" t="s">
        <v>234</v>
      </c>
      <c r="O83" s="54" t="s">
        <v>160</v>
      </c>
      <c r="P83" s="55">
        <v>36081</v>
      </c>
      <c r="Q83" s="54" t="s">
        <v>173</v>
      </c>
      <c r="R83" s="54" t="s">
        <v>173</v>
      </c>
      <c r="S83" s="55">
        <v>37564</v>
      </c>
      <c r="T83" s="54" t="s">
        <v>186</v>
      </c>
      <c r="U83" s="54" t="s">
        <v>197</v>
      </c>
      <c r="V83" s="54" t="s">
        <v>173</v>
      </c>
      <c r="W83" s="54" t="s">
        <v>60</v>
      </c>
      <c r="X83" s="54" t="s">
        <v>197</v>
      </c>
      <c r="Y83" s="54" t="s">
        <v>246</v>
      </c>
      <c r="Z83" s="54" t="s">
        <v>160</v>
      </c>
      <c r="AA83" s="54" t="s">
        <v>160</v>
      </c>
      <c r="AB83" s="54" t="s">
        <v>160</v>
      </c>
      <c r="AC83" s="54" t="s">
        <v>245</v>
      </c>
      <c r="AD83" s="54" t="s">
        <v>173</v>
      </c>
      <c r="AE83" s="54" t="s">
        <v>182</v>
      </c>
      <c r="AF83" s="54" t="s">
        <v>182</v>
      </c>
      <c r="AG83" s="54" t="s">
        <v>181</v>
      </c>
      <c r="AH83" s="54" t="s">
        <v>173</v>
      </c>
      <c r="AI83" s="54" t="s">
        <v>214</v>
      </c>
      <c r="AJ83" s="54" t="s">
        <v>244</v>
      </c>
      <c r="AK83" s="55">
        <v>36081</v>
      </c>
      <c r="AL83" s="54" t="s">
        <v>178</v>
      </c>
      <c r="AM83" s="54" t="s">
        <v>160</v>
      </c>
      <c r="AN83" s="54">
        <v>442</v>
      </c>
      <c r="AO83" s="54" t="s">
        <v>177</v>
      </c>
      <c r="AP83" s="54" t="s">
        <v>160</v>
      </c>
      <c r="AQ83" s="54" t="s">
        <v>176</v>
      </c>
      <c r="AR83" s="54" t="s">
        <v>243</v>
      </c>
      <c r="AS83" s="54" t="s">
        <v>242</v>
      </c>
      <c r="AT83" s="54">
        <v>27</v>
      </c>
      <c r="AU83" s="54" t="s">
        <v>174</v>
      </c>
      <c r="AV83" s="54" t="s">
        <v>173</v>
      </c>
    </row>
    <row r="84" spans="1:48" s="44" customFormat="1" ht="12" customHeight="1" x14ac:dyDescent="0.2">
      <c r="A84" s="53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2"/>
      <c r="Q84" s="51"/>
      <c r="R84" s="51"/>
      <c r="S84" s="52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2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0"/>
    </row>
    <row r="85" spans="1:48" s="77" customFormat="1" ht="105" x14ac:dyDescent="0.2">
      <c r="A85" s="75">
        <v>38932</v>
      </c>
      <c r="B85" s="76" t="s">
        <v>197</v>
      </c>
      <c r="C85" s="76" t="s">
        <v>177</v>
      </c>
      <c r="D85" s="76" t="s">
        <v>186</v>
      </c>
      <c r="E85" s="76" t="s">
        <v>152</v>
      </c>
      <c r="F85" s="76" t="s">
        <v>151</v>
      </c>
      <c r="G85" s="76" t="s">
        <v>182</v>
      </c>
      <c r="H85" s="76" t="s">
        <v>182</v>
      </c>
      <c r="I85" s="76">
        <v>85</v>
      </c>
      <c r="J85" s="76" t="s">
        <v>192</v>
      </c>
      <c r="K85" s="76" t="s">
        <v>191</v>
      </c>
      <c r="L85" s="76" t="s">
        <v>190</v>
      </c>
      <c r="M85" s="76" t="s">
        <v>160</v>
      </c>
      <c r="N85" s="76" t="s">
        <v>160</v>
      </c>
      <c r="O85" s="76" t="s">
        <v>160</v>
      </c>
      <c r="P85" s="75">
        <v>38932</v>
      </c>
      <c r="Q85" s="76" t="s">
        <v>173</v>
      </c>
      <c r="R85" s="76" t="s">
        <v>173</v>
      </c>
      <c r="S85" s="75">
        <v>39056</v>
      </c>
      <c r="T85" s="76" t="s">
        <v>186</v>
      </c>
      <c r="U85" s="76" t="s">
        <v>197</v>
      </c>
      <c r="V85" s="76" t="s">
        <v>173</v>
      </c>
      <c r="W85" s="76" t="s">
        <v>60</v>
      </c>
      <c r="X85" s="76" t="s">
        <v>197</v>
      </c>
      <c r="Y85" s="76" t="s">
        <v>241</v>
      </c>
      <c r="Z85" s="76" t="s">
        <v>160</v>
      </c>
      <c r="AA85" s="76" t="s">
        <v>160</v>
      </c>
      <c r="AB85" s="76" t="s">
        <v>160</v>
      </c>
      <c r="AC85" s="76" t="s">
        <v>240</v>
      </c>
      <c r="AD85" s="76" t="s">
        <v>173</v>
      </c>
      <c r="AE85" s="76" t="s">
        <v>182</v>
      </c>
      <c r="AF85" s="76" t="s">
        <v>182</v>
      </c>
      <c r="AG85" s="76" t="s">
        <v>181</v>
      </c>
      <c r="AH85" s="76" t="s">
        <v>173</v>
      </c>
      <c r="AI85" s="76" t="s">
        <v>160</v>
      </c>
      <c r="AJ85" s="76" t="s">
        <v>160</v>
      </c>
      <c r="AK85" s="75">
        <v>38932</v>
      </c>
      <c r="AL85" s="76" t="s">
        <v>178</v>
      </c>
      <c r="AM85" s="76" t="s">
        <v>160</v>
      </c>
      <c r="AN85" s="76">
        <v>442</v>
      </c>
      <c r="AO85" s="76" t="s">
        <v>177</v>
      </c>
      <c r="AP85" s="76" t="s">
        <v>160</v>
      </c>
      <c r="AQ85" s="76" t="s">
        <v>239</v>
      </c>
      <c r="AR85" s="76" t="s">
        <v>160</v>
      </c>
      <c r="AS85" s="76" t="s">
        <v>238</v>
      </c>
      <c r="AT85" s="76" t="s">
        <v>237</v>
      </c>
      <c r="AU85" s="76" t="s">
        <v>174</v>
      </c>
      <c r="AV85" s="76" t="s">
        <v>173</v>
      </c>
    </row>
    <row r="86" spans="1:48" s="44" customFormat="1" ht="12" customHeight="1" x14ac:dyDescent="0.2">
      <c r="A86" s="53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2"/>
      <c r="Q86" s="51"/>
      <c r="R86" s="51"/>
      <c r="S86" s="52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2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0"/>
    </row>
    <row r="87" spans="1:48" s="44" customFormat="1" ht="75" x14ac:dyDescent="0.2">
      <c r="A87" s="55">
        <v>38945</v>
      </c>
      <c r="B87" s="54" t="s">
        <v>197</v>
      </c>
      <c r="C87" s="54" t="s">
        <v>177</v>
      </c>
      <c r="D87" s="54" t="s">
        <v>186</v>
      </c>
      <c r="E87" s="54" t="s">
        <v>154</v>
      </c>
      <c r="F87" s="54" t="s">
        <v>153</v>
      </c>
      <c r="G87" s="54" t="s">
        <v>182</v>
      </c>
      <c r="H87" s="54" t="s">
        <v>182</v>
      </c>
      <c r="I87" s="54">
        <v>74</v>
      </c>
      <c r="J87" s="54" t="s">
        <v>192</v>
      </c>
      <c r="K87" s="54" t="s">
        <v>191</v>
      </c>
      <c r="L87" s="54" t="s">
        <v>236</v>
      </c>
      <c r="M87" s="54" t="s">
        <v>235</v>
      </c>
      <c r="N87" s="54" t="s">
        <v>234</v>
      </c>
      <c r="O87" s="54" t="s">
        <v>173</v>
      </c>
      <c r="P87" s="55">
        <v>38945</v>
      </c>
      <c r="Q87" s="54" t="s">
        <v>173</v>
      </c>
      <c r="R87" s="54" t="s">
        <v>173</v>
      </c>
      <c r="S87" s="55" t="s">
        <v>173</v>
      </c>
      <c r="T87" s="54" t="s">
        <v>186</v>
      </c>
      <c r="U87" s="54" t="s">
        <v>197</v>
      </c>
      <c r="V87" s="54" t="s">
        <v>173</v>
      </c>
      <c r="W87" s="54" t="s">
        <v>60</v>
      </c>
      <c r="X87" s="54" t="s">
        <v>197</v>
      </c>
      <c r="Y87" s="54" t="s">
        <v>233</v>
      </c>
      <c r="Z87" s="54" t="s">
        <v>160</v>
      </c>
      <c r="AA87" s="54" t="s">
        <v>160</v>
      </c>
      <c r="AB87" s="54" t="s">
        <v>160</v>
      </c>
      <c r="AC87" s="54" t="s">
        <v>232</v>
      </c>
      <c r="AD87" s="54" t="s">
        <v>173</v>
      </c>
      <c r="AE87" s="54" t="s">
        <v>231</v>
      </c>
      <c r="AF87" s="54" t="s">
        <v>182</v>
      </c>
      <c r="AG87" s="54" t="s">
        <v>181</v>
      </c>
      <c r="AH87" s="54" t="s">
        <v>173</v>
      </c>
      <c r="AI87" s="54" t="s">
        <v>214</v>
      </c>
      <c r="AJ87" s="54" t="s">
        <v>230</v>
      </c>
      <c r="AK87" s="55">
        <v>38945</v>
      </c>
      <c r="AL87" s="54" t="s">
        <v>178</v>
      </c>
      <c r="AM87" s="54" t="s">
        <v>160</v>
      </c>
      <c r="AN87" s="54">
        <v>442</v>
      </c>
      <c r="AO87" s="54" t="s">
        <v>177</v>
      </c>
      <c r="AP87" s="54" t="s">
        <v>160</v>
      </c>
      <c r="AQ87" s="54" t="s">
        <v>176</v>
      </c>
      <c r="AR87" s="54" t="s">
        <v>229</v>
      </c>
      <c r="AS87" s="54" t="s">
        <v>228</v>
      </c>
      <c r="AT87" s="54" t="s">
        <v>223</v>
      </c>
      <c r="AU87" s="54" t="s">
        <v>222</v>
      </c>
      <c r="AV87" s="54">
        <v>43118</v>
      </c>
    </row>
    <row r="88" spans="1:48" s="44" customFormat="1" ht="12" customHeight="1" x14ac:dyDescent="0.2">
      <c r="A88" s="53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2"/>
      <c r="Q88" s="51"/>
      <c r="R88" s="51"/>
      <c r="S88" s="52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2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0"/>
    </row>
    <row r="89" spans="1:48" s="77" customFormat="1" ht="60" x14ac:dyDescent="0.2">
      <c r="A89" s="75">
        <v>38971</v>
      </c>
      <c r="B89" s="76" t="s">
        <v>197</v>
      </c>
      <c r="C89" s="76" t="s">
        <v>177</v>
      </c>
      <c r="D89" s="76" t="s">
        <v>186</v>
      </c>
      <c r="E89" s="76" t="s">
        <v>157</v>
      </c>
      <c r="F89" s="76" t="s">
        <v>156</v>
      </c>
      <c r="G89" s="76" t="s">
        <v>182</v>
      </c>
      <c r="H89" s="76" t="s">
        <v>182</v>
      </c>
      <c r="I89" s="76">
        <v>82</v>
      </c>
      <c r="J89" s="76" t="s">
        <v>192</v>
      </c>
      <c r="K89" s="76" t="s">
        <v>191</v>
      </c>
      <c r="L89" s="76" t="s">
        <v>190</v>
      </c>
      <c r="M89" s="76" t="s">
        <v>160</v>
      </c>
      <c r="N89" s="76" t="s">
        <v>160</v>
      </c>
      <c r="O89" s="76" t="s">
        <v>173</v>
      </c>
      <c r="P89" s="75">
        <v>38971</v>
      </c>
      <c r="Q89" s="76" t="s">
        <v>173</v>
      </c>
      <c r="R89" s="76" t="s">
        <v>173</v>
      </c>
      <c r="S89" s="75" t="s">
        <v>173</v>
      </c>
      <c r="T89" s="76" t="s">
        <v>186</v>
      </c>
      <c r="U89" s="76" t="s">
        <v>197</v>
      </c>
      <c r="V89" s="76" t="s">
        <v>173</v>
      </c>
      <c r="W89" s="76" t="s">
        <v>60</v>
      </c>
      <c r="X89" s="76" t="s">
        <v>197</v>
      </c>
      <c r="Y89" s="76" t="s">
        <v>227</v>
      </c>
      <c r="Z89" s="76" t="s">
        <v>160</v>
      </c>
      <c r="AA89" s="76" t="s">
        <v>160</v>
      </c>
      <c r="AB89" s="76" t="s">
        <v>160</v>
      </c>
      <c r="AC89" s="76" t="s">
        <v>226</v>
      </c>
      <c r="AD89" s="76" t="s">
        <v>173</v>
      </c>
      <c r="AE89" s="76" t="s">
        <v>182</v>
      </c>
      <c r="AF89" s="76" t="s">
        <v>182</v>
      </c>
      <c r="AG89" s="76" t="s">
        <v>181</v>
      </c>
      <c r="AH89" s="76" t="s">
        <v>173</v>
      </c>
      <c r="AI89" s="76" t="s">
        <v>160</v>
      </c>
      <c r="AJ89" s="76" t="s">
        <v>160</v>
      </c>
      <c r="AK89" s="75">
        <v>38971</v>
      </c>
      <c r="AL89" s="76" t="s">
        <v>178</v>
      </c>
      <c r="AM89" s="76" t="s">
        <v>160</v>
      </c>
      <c r="AN89" s="76">
        <v>442</v>
      </c>
      <c r="AO89" s="76" t="s">
        <v>177</v>
      </c>
      <c r="AP89" s="76" t="s">
        <v>160</v>
      </c>
      <c r="AQ89" s="76" t="s">
        <v>176</v>
      </c>
      <c r="AR89" s="76" t="s">
        <v>225</v>
      </c>
      <c r="AS89" s="76" t="s">
        <v>224</v>
      </c>
      <c r="AT89" s="76" t="s">
        <v>223</v>
      </c>
      <c r="AU89" s="76" t="s">
        <v>222</v>
      </c>
      <c r="AV89" s="76">
        <v>43235</v>
      </c>
    </row>
    <row r="90" spans="1:48" s="44" customFormat="1" ht="12" customHeight="1" x14ac:dyDescent="0.2">
      <c r="A90" s="53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2"/>
      <c r="Q90" s="51"/>
      <c r="R90" s="51"/>
      <c r="S90" s="52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2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0"/>
    </row>
    <row r="91" spans="1:48" s="77" customFormat="1" ht="90" x14ac:dyDescent="0.2">
      <c r="A91" s="75">
        <v>38981</v>
      </c>
      <c r="B91" s="76" t="s">
        <v>197</v>
      </c>
      <c r="C91" s="76" t="s">
        <v>219</v>
      </c>
      <c r="D91" s="76" t="s">
        <v>186</v>
      </c>
      <c r="E91" s="76" t="s">
        <v>159</v>
      </c>
      <c r="F91" s="76" t="s">
        <v>158</v>
      </c>
      <c r="G91" s="76" t="s">
        <v>182</v>
      </c>
      <c r="H91" s="76" t="s">
        <v>182</v>
      </c>
      <c r="I91" s="76">
        <v>85</v>
      </c>
      <c r="J91" s="76" t="s">
        <v>192</v>
      </c>
      <c r="K91" s="76" t="s">
        <v>191</v>
      </c>
      <c r="L91" s="76" t="s">
        <v>190</v>
      </c>
      <c r="M91" s="76" t="s">
        <v>160</v>
      </c>
      <c r="N91" s="76" t="s">
        <v>160</v>
      </c>
      <c r="O91" s="76" t="s">
        <v>160</v>
      </c>
      <c r="P91" s="75">
        <v>38981</v>
      </c>
      <c r="Q91" s="76" t="s">
        <v>173</v>
      </c>
      <c r="R91" s="76" t="s">
        <v>173</v>
      </c>
      <c r="S91" s="75">
        <v>42992</v>
      </c>
      <c r="T91" s="76" t="s">
        <v>186</v>
      </c>
      <c r="U91" s="76" t="s">
        <v>197</v>
      </c>
      <c r="V91" s="76" t="s">
        <v>173</v>
      </c>
      <c r="W91" s="76" t="s">
        <v>60</v>
      </c>
      <c r="X91" s="76" t="s">
        <v>197</v>
      </c>
      <c r="Y91" s="76" t="s">
        <v>221</v>
      </c>
      <c r="Z91" s="76" t="s">
        <v>160</v>
      </c>
      <c r="AA91" s="76" t="s">
        <v>160</v>
      </c>
      <c r="AB91" s="76" t="s">
        <v>160</v>
      </c>
      <c r="AC91" s="76" t="s">
        <v>220</v>
      </c>
      <c r="AD91" s="76" t="s">
        <v>173</v>
      </c>
      <c r="AE91" s="76" t="s">
        <v>182</v>
      </c>
      <c r="AF91" s="76" t="s">
        <v>182</v>
      </c>
      <c r="AG91" s="76" t="s">
        <v>181</v>
      </c>
      <c r="AH91" s="76" t="s">
        <v>173</v>
      </c>
      <c r="AI91" s="76" t="s">
        <v>160</v>
      </c>
      <c r="AJ91" s="76" t="s">
        <v>160</v>
      </c>
      <c r="AK91" s="75">
        <v>38981</v>
      </c>
      <c r="AL91" s="76" t="s">
        <v>178</v>
      </c>
      <c r="AM91" s="76" t="s">
        <v>160</v>
      </c>
      <c r="AN91" s="76">
        <v>442</v>
      </c>
      <c r="AO91" s="76" t="s">
        <v>219</v>
      </c>
      <c r="AP91" s="76" t="s">
        <v>160</v>
      </c>
      <c r="AQ91" s="76" t="s">
        <v>176</v>
      </c>
      <c r="AR91" s="76" t="s">
        <v>160</v>
      </c>
      <c r="AS91" s="76" t="s">
        <v>218</v>
      </c>
      <c r="AT91" s="76">
        <v>131</v>
      </c>
      <c r="AU91" s="76" t="s">
        <v>174</v>
      </c>
      <c r="AV91" s="76" t="s">
        <v>173</v>
      </c>
    </row>
    <row r="92" spans="1:48" s="44" customFormat="1" ht="12" customHeight="1" x14ac:dyDescent="0.2">
      <c r="A92" s="53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2"/>
      <c r="Q92" s="51"/>
      <c r="R92" s="51"/>
      <c r="S92" s="52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2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0"/>
    </row>
    <row r="93" spans="1:48" s="77" customFormat="1" ht="75" x14ac:dyDescent="0.2">
      <c r="A93" s="75">
        <v>39062</v>
      </c>
      <c r="B93" s="76" t="s">
        <v>197</v>
      </c>
      <c r="C93" s="76" t="s">
        <v>177</v>
      </c>
      <c r="D93" s="76" t="s">
        <v>186</v>
      </c>
      <c r="E93" s="76" t="s">
        <v>162</v>
      </c>
      <c r="F93" s="76" t="s">
        <v>161</v>
      </c>
      <c r="G93" s="76" t="s">
        <v>182</v>
      </c>
      <c r="H93" s="76" t="s">
        <v>182</v>
      </c>
      <c r="I93" s="76">
        <v>85</v>
      </c>
      <c r="J93" s="76" t="s">
        <v>192</v>
      </c>
      <c r="K93" s="76" t="s">
        <v>191</v>
      </c>
      <c r="L93" s="76" t="s">
        <v>190</v>
      </c>
      <c r="M93" s="76" t="s">
        <v>189</v>
      </c>
      <c r="N93" s="76" t="s">
        <v>199</v>
      </c>
      <c r="O93" s="76" t="s">
        <v>217</v>
      </c>
      <c r="P93" s="75">
        <v>39062</v>
      </c>
      <c r="Q93" s="76" t="s">
        <v>173</v>
      </c>
      <c r="R93" s="76" t="s">
        <v>173</v>
      </c>
      <c r="S93" s="75">
        <v>40369</v>
      </c>
      <c r="T93" s="76" t="s">
        <v>186</v>
      </c>
      <c r="U93" s="76" t="s">
        <v>197</v>
      </c>
      <c r="V93" s="76" t="s">
        <v>173</v>
      </c>
      <c r="W93" s="76" t="s">
        <v>60</v>
      </c>
      <c r="X93" s="76" t="s">
        <v>197</v>
      </c>
      <c r="Y93" s="76" t="s">
        <v>216</v>
      </c>
      <c r="Z93" s="76" t="s">
        <v>160</v>
      </c>
      <c r="AA93" s="76" t="s">
        <v>160</v>
      </c>
      <c r="AB93" s="76" t="s">
        <v>160</v>
      </c>
      <c r="AC93" s="76" t="s">
        <v>215</v>
      </c>
      <c r="AD93" s="76" t="s">
        <v>173</v>
      </c>
      <c r="AE93" s="76" t="s">
        <v>182</v>
      </c>
      <c r="AF93" s="76" t="s">
        <v>182</v>
      </c>
      <c r="AG93" s="76" t="s">
        <v>181</v>
      </c>
      <c r="AH93" s="76" t="s">
        <v>173</v>
      </c>
      <c r="AI93" s="76" t="s">
        <v>214</v>
      </c>
      <c r="AJ93" s="76" t="s">
        <v>213</v>
      </c>
      <c r="AK93" s="75">
        <v>39062</v>
      </c>
      <c r="AL93" s="76" t="s">
        <v>178</v>
      </c>
      <c r="AM93" s="76" t="s">
        <v>160</v>
      </c>
      <c r="AN93" s="76">
        <v>442</v>
      </c>
      <c r="AO93" s="76" t="s">
        <v>177</v>
      </c>
      <c r="AP93" s="76" t="s">
        <v>160</v>
      </c>
      <c r="AQ93" s="76" t="s">
        <v>176</v>
      </c>
      <c r="AR93" s="76" t="s">
        <v>212</v>
      </c>
      <c r="AS93" s="76" t="s">
        <v>211</v>
      </c>
      <c r="AT93" s="76">
        <v>42</v>
      </c>
      <c r="AU93" s="76" t="s">
        <v>174</v>
      </c>
      <c r="AV93" s="76" t="s">
        <v>173</v>
      </c>
    </row>
    <row r="94" spans="1:48" s="44" customFormat="1" ht="12" customHeight="1" x14ac:dyDescent="0.2">
      <c r="A94" s="53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2"/>
      <c r="Q94" s="51"/>
      <c r="R94" s="51"/>
      <c r="S94" s="52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2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0"/>
    </row>
    <row r="95" spans="1:48" s="44" customFormat="1" ht="75" x14ac:dyDescent="0.2">
      <c r="A95" s="55">
        <v>38685</v>
      </c>
      <c r="B95" s="54" t="s">
        <v>197</v>
      </c>
      <c r="C95" s="54" t="s">
        <v>177</v>
      </c>
      <c r="D95" s="54" t="s">
        <v>186</v>
      </c>
      <c r="E95" s="54" t="s">
        <v>164</v>
      </c>
      <c r="F95" s="54" t="s">
        <v>163</v>
      </c>
      <c r="G95" s="54" t="s">
        <v>182</v>
      </c>
      <c r="H95" s="54" t="s">
        <v>182</v>
      </c>
      <c r="I95" s="54">
        <v>84</v>
      </c>
      <c r="J95" s="54" t="s">
        <v>192</v>
      </c>
      <c r="K95" s="54" t="s">
        <v>191</v>
      </c>
      <c r="L95" s="54" t="s">
        <v>200</v>
      </c>
      <c r="M95" s="54" t="s">
        <v>189</v>
      </c>
      <c r="N95" s="54" t="s">
        <v>210</v>
      </c>
      <c r="O95" s="54" t="s">
        <v>209</v>
      </c>
      <c r="P95" s="55">
        <v>38685</v>
      </c>
      <c r="Q95" s="54" t="s">
        <v>173</v>
      </c>
      <c r="R95" s="54" t="s">
        <v>173</v>
      </c>
      <c r="S95" s="55">
        <v>40210</v>
      </c>
      <c r="T95" s="54" t="s">
        <v>186</v>
      </c>
      <c r="U95" s="54" t="s">
        <v>197</v>
      </c>
      <c r="V95" s="54" t="s">
        <v>173</v>
      </c>
      <c r="W95" s="54" t="s">
        <v>60</v>
      </c>
      <c r="X95" s="54" t="s">
        <v>197</v>
      </c>
      <c r="Y95" s="54" t="s">
        <v>208</v>
      </c>
      <c r="Z95" s="54" t="s">
        <v>160</v>
      </c>
      <c r="AA95" s="54" t="s">
        <v>160</v>
      </c>
      <c r="AB95" s="54" t="s">
        <v>160</v>
      </c>
      <c r="AC95" s="54" t="s">
        <v>207</v>
      </c>
      <c r="AD95" s="54" t="s">
        <v>173</v>
      </c>
      <c r="AE95" s="54" t="s">
        <v>182</v>
      </c>
      <c r="AF95" s="54" t="s">
        <v>182</v>
      </c>
      <c r="AG95" s="54" t="s">
        <v>181</v>
      </c>
      <c r="AH95" s="54" t="s">
        <v>173</v>
      </c>
      <c r="AI95" s="54" t="s">
        <v>206</v>
      </c>
      <c r="AJ95" s="54" t="s">
        <v>205</v>
      </c>
      <c r="AK95" s="55">
        <v>38685</v>
      </c>
      <c r="AL95" s="54" t="s">
        <v>178</v>
      </c>
      <c r="AM95" s="54" t="s">
        <v>160</v>
      </c>
      <c r="AN95" s="54">
        <v>442</v>
      </c>
      <c r="AO95" s="54" t="s">
        <v>177</v>
      </c>
      <c r="AP95" s="54" t="s">
        <v>160</v>
      </c>
      <c r="AQ95" s="54" t="s">
        <v>176</v>
      </c>
      <c r="AR95" s="54" t="s">
        <v>204</v>
      </c>
      <c r="AS95" s="54" t="s">
        <v>203</v>
      </c>
      <c r="AT95" s="54">
        <v>50</v>
      </c>
      <c r="AU95" s="54" t="s">
        <v>174</v>
      </c>
      <c r="AV95" s="54" t="s">
        <v>173</v>
      </c>
    </row>
    <row r="96" spans="1:48" s="44" customFormat="1" ht="12" customHeight="1" x14ac:dyDescent="0.2">
      <c r="A96" s="53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2"/>
      <c r="Q96" s="51"/>
      <c r="R96" s="51"/>
      <c r="S96" s="52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2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0"/>
    </row>
    <row r="97" spans="1:48" s="44" customFormat="1" ht="75" x14ac:dyDescent="0.2">
      <c r="A97" s="55">
        <v>38798</v>
      </c>
      <c r="B97" s="54" t="s">
        <v>197</v>
      </c>
      <c r="C97" s="54" t="s">
        <v>177</v>
      </c>
      <c r="D97" s="54" t="s">
        <v>186</v>
      </c>
      <c r="E97" s="54" t="s">
        <v>166</v>
      </c>
      <c r="F97" s="54" t="s">
        <v>165</v>
      </c>
      <c r="G97" s="54" t="s">
        <v>182</v>
      </c>
      <c r="H97" s="54" t="s">
        <v>182</v>
      </c>
      <c r="I97" s="54">
        <v>85</v>
      </c>
      <c r="J97" s="54" t="s">
        <v>192</v>
      </c>
      <c r="K97" s="54" t="s">
        <v>191</v>
      </c>
      <c r="L97" s="54" t="s">
        <v>200</v>
      </c>
      <c r="M97" s="54" t="s">
        <v>160</v>
      </c>
      <c r="N97" s="54" t="s">
        <v>160</v>
      </c>
      <c r="O97" s="54" t="s">
        <v>160</v>
      </c>
      <c r="P97" s="55">
        <v>38798</v>
      </c>
      <c r="Q97" s="54" t="s">
        <v>173</v>
      </c>
      <c r="R97" s="54" t="s">
        <v>173</v>
      </c>
      <c r="S97" s="55">
        <v>40202</v>
      </c>
      <c r="T97" s="54" t="s">
        <v>186</v>
      </c>
      <c r="U97" s="54" t="s">
        <v>197</v>
      </c>
      <c r="V97" s="54" t="s">
        <v>173</v>
      </c>
      <c r="W97" s="54" t="s">
        <v>60</v>
      </c>
      <c r="X97" s="54" t="s">
        <v>197</v>
      </c>
      <c r="Y97" s="54" t="s">
        <v>202</v>
      </c>
      <c r="Z97" s="54" t="s">
        <v>160</v>
      </c>
      <c r="AA97" s="54" t="s">
        <v>160</v>
      </c>
      <c r="AB97" s="54" t="s">
        <v>160</v>
      </c>
      <c r="AC97" s="54" t="s">
        <v>160</v>
      </c>
      <c r="AD97" s="54" t="s">
        <v>173</v>
      </c>
      <c r="AE97" s="54" t="s">
        <v>182</v>
      </c>
      <c r="AF97" s="54" t="s">
        <v>182</v>
      </c>
      <c r="AG97" s="54" t="s">
        <v>181</v>
      </c>
      <c r="AH97" s="54" t="s">
        <v>173</v>
      </c>
      <c r="AI97" s="54" t="s">
        <v>160</v>
      </c>
      <c r="AJ97" s="54" t="s">
        <v>160</v>
      </c>
      <c r="AK97" s="55">
        <v>38798</v>
      </c>
      <c r="AL97" s="54" t="s">
        <v>178</v>
      </c>
      <c r="AM97" s="54" t="s">
        <v>160</v>
      </c>
      <c r="AN97" s="54">
        <v>442</v>
      </c>
      <c r="AO97" s="54" t="s">
        <v>177</v>
      </c>
      <c r="AP97" s="54" t="s">
        <v>160</v>
      </c>
      <c r="AQ97" s="54" t="s">
        <v>176</v>
      </c>
      <c r="AR97" s="54" t="s">
        <v>201</v>
      </c>
      <c r="AS97" s="54" t="s">
        <v>173</v>
      </c>
      <c r="AT97" s="54">
        <v>46</v>
      </c>
      <c r="AU97" s="54" t="s">
        <v>174</v>
      </c>
      <c r="AV97" s="54" t="s">
        <v>173</v>
      </c>
    </row>
    <row r="98" spans="1:48" s="44" customFormat="1" ht="12" customHeight="1" x14ac:dyDescent="0.2">
      <c r="A98" s="53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2"/>
      <c r="Q98" s="51"/>
      <c r="R98" s="51"/>
      <c r="S98" s="52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2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0"/>
    </row>
    <row r="99" spans="1:48" s="44" customFormat="1" ht="60" x14ac:dyDescent="0.2">
      <c r="A99" s="49">
        <v>39037</v>
      </c>
      <c r="B99" s="48" t="s">
        <v>197</v>
      </c>
      <c r="C99" s="48" t="s">
        <v>177</v>
      </c>
      <c r="D99" s="48" t="s">
        <v>186</v>
      </c>
      <c r="E99" s="48" t="s">
        <v>168</v>
      </c>
      <c r="F99" s="48" t="s">
        <v>167</v>
      </c>
      <c r="G99" s="48" t="s">
        <v>182</v>
      </c>
      <c r="H99" s="48" t="s">
        <v>182</v>
      </c>
      <c r="I99" s="48">
        <v>86</v>
      </c>
      <c r="J99" s="48" t="s">
        <v>192</v>
      </c>
      <c r="K99" s="48" t="s">
        <v>191</v>
      </c>
      <c r="L99" s="48" t="s">
        <v>200</v>
      </c>
      <c r="M99" s="48" t="s">
        <v>189</v>
      </c>
      <c r="N99" s="48" t="s">
        <v>199</v>
      </c>
      <c r="O99" s="48" t="s">
        <v>198</v>
      </c>
      <c r="P99" s="49">
        <v>39037</v>
      </c>
      <c r="Q99" s="48" t="s">
        <v>173</v>
      </c>
      <c r="R99" s="48" t="s">
        <v>173</v>
      </c>
      <c r="S99" s="49">
        <v>40635</v>
      </c>
      <c r="T99" s="48" t="s">
        <v>186</v>
      </c>
      <c r="U99" s="48" t="s">
        <v>197</v>
      </c>
      <c r="V99" s="48" t="s">
        <v>173</v>
      </c>
      <c r="W99" s="48" t="s">
        <v>60</v>
      </c>
      <c r="X99" s="48" t="s">
        <v>197</v>
      </c>
      <c r="Y99" s="48" t="s">
        <v>196</v>
      </c>
      <c r="Z99" s="48" t="s">
        <v>160</v>
      </c>
      <c r="AA99" s="48" t="s">
        <v>160</v>
      </c>
      <c r="AB99" s="48" t="s">
        <v>160</v>
      </c>
      <c r="AC99" s="48" t="s">
        <v>160</v>
      </c>
      <c r="AD99" s="48" t="s">
        <v>173</v>
      </c>
      <c r="AE99" s="48" t="s">
        <v>182</v>
      </c>
      <c r="AF99" s="48" t="s">
        <v>182</v>
      </c>
      <c r="AG99" s="48" t="s">
        <v>181</v>
      </c>
      <c r="AH99" s="48" t="s">
        <v>173</v>
      </c>
      <c r="AI99" s="48" t="s">
        <v>195</v>
      </c>
      <c r="AJ99" s="48" t="s">
        <v>194</v>
      </c>
      <c r="AK99" s="49">
        <v>39037</v>
      </c>
      <c r="AL99" s="48" t="s">
        <v>178</v>
      </c>
      <c r="AM99" s="48" t="s">
        <v>160</v>
      </c>
      <c r="AN99" s="48">
        <v>442</v>
      </c>
      <c r="AO99" s="48" t="s">
        <v>177</v>
      </c>
      <c r="AP99" s="48" t="s">
        <v>160</v>
      </c>
      <c r="AQ99" s="48" t="s">
        <v>176</v>
      </c>
      <c r="AR99" s="48" t="s">
        <v>193</v>
      </c>
      <c r="AS99" s="48" t="s">
        <v>173</v>
      </c>
      <c r="AT99" s="48">
        <v>52</v>
      </c>
      <c r="AU99" s="48" t="s">
        <v>174</v>
      </c>
      <c r="AV99" s="48" t="s">
        <v>173</v>
      </c>
    </row>
    <row r="100" spans="1:48" s="44" customFormat="1" x14ac:dyDescent="0.2">
      <c r="A100" s="47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7"/>
      <c r="Q100" s="46"/>
      <c r="R100" s="46"/>
      <c r="S100" s="47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7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</row>
    <row r="101" spans="1:48" s="44" customFormat="1" ht="60" x14ac:dyDescent="0.2">
      <c r="A101" s="45">
        <v>38882</v>
      </c>
      <c r="B101" s="41" t="s">
        <v>185</v>
      </c>
      <c r="C101" s="41" t="s">
        <v>177</v>
      </c>
      <c r="D101" s="41" t="s">
        <v>186</v>
      </c>
      <c r="E101" s="41" t="s">
        <v>170</v>
      </c>
      <c r="F101" s="41" t="s">
        <v>169</v>
      </c>
      <c r="G101" s="41" t="s">
        <v>182</v>
      </c>
      <c r="H101" s="41" t="s">
        <v>182</v>
      </c>
      <c r="I101" s="41">
        <v>70</v>
      </c>
      <c r="J101" s="41" t="s">
        <v>192</v>
      </c>
      <c r="K101" s="41" t="s">
        <v>191</v>
      </c>
      <c r="L101" s="41" t="s">
        <v>190</v>
      </c>
      <c r="M101" s="41" t="s">
        <v>189</v>
      </c>
      <c r="N101" s="41" t="s">
        <v>188</v>
      </c>
      <c r="O101" s="41" t="s">
        <v>187</v>
      </c>
      <c r="P101" s="45">
        <v>38882</v>
      </c>
      <c r="Q101" s="41" t="s">
        <v>173</v>
      </c>
      <c r="R101" s="41" t="s">
        <v>173</v>
      </c>
      <c r="S101" s="45">
        <v>42498</v>
      </c>
      <c r="T101" s="41" t="s">
        <v>186</v>
      </c>
      <c r="U101" s="41" t="s">
        <v>185</v>
      </c>
      <c r="V101" s="41" t="s">
        <v>173</v>
      </c>
      <c r="W101" s="41" t="s">
        <v>60</v>
      </c>
      <c r="X101" s="41" t="s">
        <v>185</v>
      </c>
      <c r="Y101" s="41" t="s">
        <v>184</v>
      </c>
      <c r="Z101" s="41" t="s">
        <v>160</v>
      </c>
      <c r="AA101" s="41" t="s">
        <v>160</v>
      </c>
      <c r="AB101" s="41" t="s">
        <v>183</v>
      </c>
      <c r="AC101" s="41" t="s">
        <v>160</v>
      </c>
      <c r="AD101" s="41" t="s">
        <v>173</v>
      </c>
      <c r="AE101" s="41" t="s">
        <v>182</v>
      </c>
      <c r="AF101" s="41" t="s">
        <v>182</v>
      </c>
      <c r="AG101" s="41" t="s">
        <v>181</v>
      </c>
      <c r="AH101" s="41" t="s">
        <v>173</v>
      </c>
      <c r="AI101" s="41" t="s">
        <v>180</v>
      </c>
      <c r="AJ101" s="41" t="s">
        <v>179</v>
      </c>
      <c r="AK101" s="45">
        <v>38882</v>
      </c>
      <c r="AL101" s="41" t="s">
        <v>178</v>
      </c>
      <c r="AM101" s="41" t="s">
        <v>160</v>
      </c>
      <c r="AN101" s="41">
        <v>442</v>
      </c>
      <c r="AO101" s="41" t="s">
        <v>177</v>
      </c>
      <c r="AP101" s="41" t="s">
        <v>160</v>
      </c>
      <c r="AQ101" s="41" t="s">
        <v>176</v>
      </c>
      <c r="AR101" s="41" t="s">
        <v>175</v>
      </c>
      <c r="AS101" s="41" t="s">
        <v>173</v>
      </c>
      <c r="AT101" s="41">
        <v>5</v>
      </c>
      <c r="AU101" s="41" t="s">
        <v>174</v>
      </c>
      <c r="AV101" s="41" t="s">
        <v>173</v>
      </c>
    </row>
    <row r="105" spans="1:48" x14ac:dyDescent="0.2">
      <c r="A105" s="43" t="s">
        <v>172</v>
      </c>
    </row>
    <row r="106" spans="1:48" ht="30" x14ac:dyDescent="0.2">
      <c r="A106" s="42"/>
      <c r="B106" s="41" t="s">
        <v>171</v>
      </c>
    </row>
  </sheetData>
  <hyperlinks>
    <hyperlink ref="A8" r:id="rId1" xr:uid="{D2C7DE5A-68B2-AA43-901D-FA9087FC1318}"/>
  </hyperlinks>
  <pageMargins left="0.7" right="0.7" top="0.75" bottom="0.75" header="0.3" footer="0.3"/>
  <pageSetup paperSize="9" orientation="portrait" horizontalDpi="90" verticalDpi="9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C5FA-C6E3-CB44-B2EE-1C456AB3E37D}">
  <dimension ref="A1:P58"/>
  <sheetViews>
    <sheetView zoomScale="150" zoomScaleNormal="150" zoomScalePageLayoutView="150" workbookViewId="0">
      <selection activeCell="S15" sqref="S15"/>
    </sheetView>
  </sheetViews>
  <sheetFormatPr baseColWidth="10" defaultColWidth="8.83203125" defaultRowHeight="14" x14ac:dyDescent="0.2"/>
  <cols>
    <col min="1" max="1" width="4.5" style="7" customWidth="1"/>
    <col min="2" max="2" width="5.1640625" style="6" customWidth="1"/>
    <col min="3" max="3" width="14.1640625" style="5" customWidth="1"/>
    <col min="4" max="4" width="7.5" style="5" customWidth="1"/>
    <col min="5" max="16" width="2.33203125" style="5" customWidth="1"/>
    <col min="17" max="16384" width="8.83203125" style="5"/>
  </cols>
  <sheetData>
    <row r="1" spans="1:16" ht="15" x14ac:dyDescent="0.2">
      <c r="A1" s="1" t="s">
        <v>0</v>
      </c>
      <c r="B1" s="9"/>
    </row>
    <row r="2" spans="1:16" ht="15" x14ac:dyDescent="0.2">
      <c r="A2" s="2" t="s">
        <v>1</v>
      </c>
      <c r="B2" s="9"/>
    </row>
    <row r="3" spans="1:16" ht="15" x14ac:dyDescent="0.2">
      <c r="A3" s="2" t="s">
        <v>2</v>
      </c>
      <c r="B3" s="9"/>
    </row>
    <row r="4" spans="1:16" ht="15" x14ac:dyDescent="0.2">
      <c r="A4" s="2" t="s">
        <v>3</v>
      </c>
      <c r="B4" s="9"/>
    </row>
    <row r="5" spans="1:16" ht="15" x14ac:dyDescent="0.2">
      <c r="A5" s="2" t="s">
        <v>4</v>
      </c>
      <c r="B5" s="9"/>
    </row>
    <row r="6" spans="1:16" ht="15" x14ac:dyDescent="0.2">
      <c r="A6" s="2" t="s">
        <v>5</v>
      </c>
      <c r="B6" s="9"/>
    </row>
    <row r="7" spans="1:16" ht="15" x14ac:dyDescent="0.2">
      <c r="A7" s="2" t="s">
        <v>6</v>
      </c>
      <c r="B7" s="9"/>
    </row>
    <row r="8" spans="1:16" ht="15" x14ac:dyDescent="0.2">
      <c r="A8" s="3" t="s">
        <v>7</v>
      </c>
      <c r="B8" s="5"/>
    </row>
    <row r="9" spans="1:16" ht="15" x14ac:dyDescent="0.2">
      <c r="A9" s="3"/>
      <c r="B9" s="5"/>
    </row>
    <row r="10" spans="1:16" ht="16" x14ac:dyDescent="0.2">
      <c r="A10" t="s">
        <v>540</v>
      </c>
      <c r="B10" s="5"/>
      <c r="D10"/>
    </row>
    <row r="11" spans="1:16" x14ac:dyDescent="0.2">
      <c r="A11" s="5"/>
      <c r="B11" s="5"/>
    </row>
    <row r="12" spans="1:16" ht="25" thickBot="1" x14ac:dyDescent="0.25">
      <c r="A12" s="10"/>
      <c r="B12" s="79" t="s">
        <v>8</v>
      </c>
      <c r="C12" s="79"/>
      <c r="D12" s="10"/>
      <c r="E12" s="11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ht="30.75" customHeight="1" x14ac:dyDescent="0.2">
      <c r="A13" s="10"/>
      <c r="B13" s="13">
        <v>1</v>
      </c>
      <c r="C13" s="14" t="s">
        <v>9</v>
      </c>
      <c r="D13" s="10"/>
      <c r="E13" s="80" t="s">
        <v>10</v>
      </c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2"/>
    </row>
    <row r="14" spans="1:16" ht="16" customHeight="1" x14ac:dyDescent="0.2">
      <c r="A14" s="10"/>
      <c r="B14" s="13">
        <v>2</v>
      </c>
      <c r="C14" s="14" t="s">
        <v>11</v>
      </c>
      <c r="D14" s="10"/>
      <c r="E14" s="83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5"/>
    </row>
    <row r="15" spans="1:16" ht="17" customHeight="1" thickBot="1" x14ac:dyDescent="0.25">
      <c r="A15" s="10"/>
      <c r="B15" s="13">
        <v>3</v>
      </c>
      <c r="C15" s="14" t="s">
        <v>12</v>
      </c>
      <c r="D15" s="10"/>
      <c r="E15" s="86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8"/>
    </row>
    <row r="16" spans="1:16" ht="16" x14ac:dyDescent="0.2">
      <c r="A16" s="10"/>
      <c r="B16" s="13">
        <v>4</v>
      </c>
      <c r="C16" s="14" t="s">
        <v>13</v>
      </c>
      <c r="D16" s="10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7"/>
    </row>
    <row r="17" spans="1:16" ht="16" x14ac:dyDescent="0.2">
      <c r="A17" s="10"/>
      <c r="B17" s="13">
        <v>5</v>
      </c>
      <c r="C17" s="14" t="s">
        <v>14</v>
      </c>
      <c r="D17" s="10"/>
      <c r="E17" s="18"/>
      <c r="F17" s="19">
        <v>1</v>
      </c>
      <c r="G17" s="19">
        <v>2</v>
      </c>
      <c r="H17" s="19">
        <v>3</v>
      </c>
      <c r="I17" s="19">
        <v>4</v>
      </c>
      <c r="J17" s="19">
        <v>5</v>
      </c>
      <c r="K17" s="19">
        <v>6</v>
      </c>
      <c r="L17" s="19">
        <v>7</v>
      </c>
      <c r="M17" s="19">
        <v>8</v>
      </c>
      <c r="N17" s="19">
        <v>9</v>
      </c>
      <c r="O17" s="19">
        <v>10</v>
      </c>
      <c r="P17" s="20"/>
    </row>
    <row r="18" spans="1:16" ht="16" x14ac:dyDescent="0.2">
      <c r="A18" s="10"/>
      <c r="B18" s="13">
        <v>6</v>
      </c>
      <c r="C18" s="14" t="s">
        <v>15</v>
      </c>
      <c r="D18" s="10"/>
      <c r="E18" s="18"/>
      <c r="F18" s="19">
        <v>11</v>
      </c>
      <c r="G18" s="19">
        <v>12</v>
      </c>
      <c r="H18" s="19">
        <v>13</v>
      </c>
      <c r="I18" s="19">
        <v>14</v>
      </c>
      <c r="J18" s="19">
        <v>15</v>
      </c>
      <c r="K18" s="19">
        <v>16</v>
      </c>
      <c r="L18" s="19">
        <v>17</v>
      </c>
      <c r="M18" s="19">
        <v>18</v>
      </c>
      <c r="N18" s="19">
        <v>19</v>
      </c>
      <c r="O18" s="19">
        <v>20</v>
      </c>
      <c r="P18" s="20"/>
    </row>
    <row r="19" spans="1:16" ht="16" x14ac:dyDescent="0.2">
      <c r="A19" s="10"/>
      <c r="B19" s="13">
        <v>7</v>
      </c>
      <c r="C19" s="14" t="s">
        <v>16</v>
      </c>
      <c r="D19" s="10"/>
      <c r="E19" s="18"/>
      <c r="F19" s="19">
        <v>21</v>
      </c>
      <c r="G19" s="19">
        <v>22</v>
      </c>
      <c r="H19" s="19">
        <v>23</v>
      </c>
      <c r="I19" s="19">
        <v>24</v>
      </c>
      <c r="J19" s="19">
        <v>25</v>
      </c>
      <c r="K19" s="19">
        <v>26</v>
      </c>
      <c r="L19" s="19">
        <v>27</v>
      </c>
      <c r="M19" s="19">
        <v>28</v>
      </c>
      <c r="N19" s="19">
        <v>29</v>
      </c>
      <c r="O19" s="19">
        <v>30</v>
      </c>
      <c r="P19" s="20"/>
    </row>
    <row r="20" spans="1:16" ht="16" x14ac:dyDescent="0.2">
      <c r="A20" s="10"/>
      <c r="B20" s="13">
        <v>8</v>
      </c>
      <c r="C20" s="14" t="s">
        <v>17</v>
      </c>
      <c r="D20" s="10"/>
      <c r="E20" s="18"/>
      <c r="F20" s="19">
        <v>31</v>
      </c>
      <c r="G20" s="19">
        <v>32</v>
      </c>
      <c r="H20" s="19">
        <v>33</v>
      </c>
      <c r="I20" s="19">
        <v>34</v>
      </c>
      <c r="J20" s="19">
        <v>35</v>
      </c>
      <c r="K20" s="19">
        <v>36</v>
      </c>
      <c r="L20" s="19">
        <v>37</v>
      </c>
      <c r="M20" s="19">
        <v>38</v>
      </c>
      <c r="N20" s="19">
        <v>39</v>
      </c>
      <c r="O20" s="19">
        <v>40</v>
      </c>
      <c r="P20" s="20"/>
    </row>
    <row r="21" spans="1:16" ht="16" x14ac:dyDescent="0.2">
      <c r="A21" s="10"/>
      <c r="B21" s="13">
        <v>9</v>
      </c>
      <c r="C21" s="14" t="s">
        <v>18</v>
      </c>
      <c r="D21" s="10"/>
      <c r="E21" s="18"/>
      <c r="F21" s="19">
        <v>41</v>
      </c>
      <c r="G21" s="19">
        <v>42</v>
      </c>
      <c r="H21" s="19">
        <v>43</v>
      </c>
      <c r="I21" s="19">
        <v>44</v>
      </c>
      <c r="J21" s="19">
        <v>45</v>
      </c>
      <c r="K21" s="19">
        <v>46</v>
      </c>
      <c r="L21" s="21"/>
      <c r="M21" s="21"/>
      <c r="N21" s="21"/>
      <c r="O21" s="21"/>
      <c r="P21" s="20"/>
    </row>
    <row r="22" spans="1:16" ht="17" thickBot="1" x14ac:dyDescent="0.25">
      <c r="A22" s="10"/>
      <c r="B22" s="13">
        <v>10</v>
      </c>
      <c r="C22" s="14" t="s">
        <v>19</v>
      </c>
      <c r="D22" s="10"/>
      <c r="E22" s="22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</row>
    <row r="23" spans="1:16" ht="16" x14ac:dyDescent="0.2">
      <c r="A23" s="10"/>
      <c r="B23" s="13">
        <v>11</v>
      </c>
      <c r="C23" s="14" t="s">
        <v>20</v>
      </c>
      <c r="D23" s="10"/>
      <c r="E23" s="25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</row>
    <row r="24" spans="1:16" ht="16" x14ac:dyDescent="0.2">
      <c r="A24" s="10"/>
      <c r="B24" s="13">
        <v>12</v>
      </c>
      <c r="C24" s="14" t="s">
        <v>21</v>
      </c>
      <c r="D24" s="10"/>
      <c r="E24" s="26"/>
      <c r="F24" s="26"/>
      <c r="G24" s="26"/>
      <c r="H24" s="26"/>
      <c r="I24" s="26"/>
      <c r="J24" s="26"/>
      <c r="K24" s="26"/>
      <c r="L24" s="27"/>
      <c r="M24" s="27"/>
      <c r="N24" s="27"/>
      <c r="O24" s="27"/>
      <c r="P24" s="27"/>
    </row>
    <row r="25" spans="1:16" ht="16" x14ac:dyDescent="0.2">
      <c r="A25" s="10"/>
      <c r="B25" s="13">
        <v>13</v>
      </c>
      <c r="C25" s="14" t="s">
        <v>22</v>
      </c>
      <c r="D25" s="10"/>
      <c r="E25" s="26"/>
      <c r="F25" s="26"/>
      <c r="G25" s="26"/>
      <c r="H25" s="26"/>
      <c r="I25" s="26"/>
      <c r="J25" s="26"/>
      <c r="K25" s="26"/>
      <c r="L25" s="27"/>
      <c r="M25" s="27"/>
      <c r="N25" s="27"/>
      <c r="O25" s="27"/>
      <c r="P25" s="27"/>
    </row>
    <row r="26" spans="1:16" ht="16" x14ac:dyDescent="0.2">
      <c r="A26" s="10"/>
      <c r="B26" s="13">
        <v>14</v>
      </c>
      <c r="C26" s="14" t="s">
        <v>23</v>
      </c>
      <c r="D26" s="10"/>
      <c r="E26" s="26"/>
      <c r="F26" s="26"/>
      <c r="G26" s="26"/>
      <c r="H26" s="26"/>
      <c r="I26" s="26"/>
      <c r="J26" s="26"/>
      <c r="K26" s="26"/>
      <c r="L26" s="27"/>
      <c r="M26" s="27"/>
      <c r="N26" s="27"/>
      <c r="O26" s="27"/>
      <c r="P26" s="27"/>
    </row>
    <row r="27" spans="1:16" ht="16" x14ac:dyDescent="0.2">
      <c r="A27" s="10"/>
      <c r="B27" s="13">
        <v>15</v>
      </c>
      <c r="C27" s="14" t="s">
        <v>24</v>
      </c>
      <c r="D27" s="10"/>
      <c r="E27" s="26"/>
      <c r="F27" s="26"/>
      <c r="G27" s="26"/>
      <c r="H27" s="26"/>
      <c r="I27" s="26"/>
      <c r="J27" s="26"/>
      <c r="K27" s="26"/>
      <c r="L27" s="27"/>
      <c r="M27" s="27"/>
      <c r="N27" s="27"/>
      <c r="O27" s="27"/>
      <c r="P27" s="27"/>
    </row>
    <row r="28" spans="1:16" ht="16" x14ac:dyDescent="0.2">
      <c r="A28" s="10"/>
      <c r="B28" s="13">
        <v>16</v>
      </c>
      <c r="C28" s="14" t="s">
        <v>25</v>
      </c>
      <c r="D28" s="10"/>
      <c r="E28" s="26"/>
      <c r="F28" s="26"/>
      <c r="G28" s="26"/>
      <c r="H28" s="26"/>
      <c r="I28" s="26"/>
      <c r="J28" s="26"/>
      <c r="K28" s="26"/>
      <c r="L28" s="27"/>
      <c r="M28" s="27"/>
      <c r="N28" s="27"/>
      <c r="O28" s="27"/>
      <c r="P28" s="27"/>
    </row>
    <row r="29" spans="1:16" ht="16" x14ac:dyDescent="0.2">
      <c r="A29" s="10"/>
      <c r="B29" s="13">
        <v>17</v>
      </c>
      <c r="C29" s="14" t="s">
        <v>26</v>
      </c>
      <c r="D29" s="10"/>
      <c r="E29" s="26"/>
      <c r="F29" s="26"/>
      <c r="G29" s="26"/>
      <c r="H29" s="26"/>
      <c r="I29" s="26"/>
      <c r="J29" s="26"/>
      <c r="K29" s="26"/>
      <c r="L29" s="27"/>
      <c r="M29" s="27"/>
      <c r="N29" s="27"/>
      <c r="O29" s="27"/>
      <c r="P29" s="27"/>
    </row>
    <row r="30" spans="1:16" ht="16" x14ac:dyDescent="0.2">
      <c r="A30" s="10"/>
      <c r="B30" s="13">
        <v>18</v>
      </c>
      <c r="C30" s="14" t="s">
        <v>27</v>
      </c>
      <c r="D30" s="10"/>
      <c r="E30" s="26"/>
      <c r="F30" s="26"/>
      <c r="G30" s="26"/>
      <c r="H30" s="26"/>
      <c r="I30" s="26"/>
      <c r="J30" s="26"/>
      <c r="K30" s="26"/>
      <c r="L30" s="27"/>
      <c r="M30" s="27"/>
      <c r="N30" s="27"/>
      <c r="O30" s="27"/>
      <c r="P30" s="27"/>
    </row>
    <row r="31" spans="1:16" ht="16" x14ac:dyDescent="0.2">
      <c r="A31" s="10"/>
      <c r="B31" s="13">
        <v>19</v>
      </c>
      <c r="C31" s="14" t="s">
        <v>28</v>
      </c>
      <c r="D31" s="10"/>
      <c r="E31" s="26"/>
      <c r="F31" s="26"/>
      <c r="G31" s="26"/>
      <c r="H31" s="26"/>
      <c r="I31" s="26"/>
      <c r="J31" s="26"/>
      <c r="K31" s="26"/>
      <c r="L31" s="27"/>
      <c r="M31" s="27"/>
      <c r="N31" s="27"/>
      <c r="O31" s="27"/>
      <c r="P31" s="27"/>
    </row>
    <row r="32" spans="1:16" ht="16" x14ac:dyDescent="0.2">
      <c r="A32" s="10"/>
      <c r="B32" s="13">
        <v>20</v>
      </c>
      <c r="C32" s="14" t="s">
        <v>29</v>
      </c>
      <c r="D32" s="10"/>
      <c r="E32" s="26"/>
      <c r="F32" s="26"/>
      <c r="G32" s="26"/>
      <c r="H32" s="26"/>
      <c r="I32" s="26"/>
      <c r="J32" s="26"/>
      <c r="K32" s="26"/>
      <c r="L32" s="27"/>
      <c r="M32" s="27"/>
      <c r="N32" s="27"/>
      <c r="O32" s="27"/>
      <c r="P32" s="27"/>
    </row>
    <row r="33" spans="1:16" ht="16" x14ac:dyDescent="0.2">
      <c r="A33" s="10"/>
      <c r="B33" s="13">
        <v>21</v>
      </c>
      <c r="C33" s="14" t="s">
        <v>30</v>
      </c>
      <c r="D33" s="10"/>
      <c r="E33" s="26"/>
      <c r="F33" s="26"/>
      <c r="G33" s="26"/>
      <c r="H33" s="26"/>
      <c r="I33" s="26"/>
      <c r="J33" s="26"/>
      <c r="K33" s="26"/>
      <c r="L33" s="27"/>
      <c r="M33" s="27"/>
      <c r="N33" s="27"/>
      <c r="O33" s="27"/>
      <c r="P33" s="27"/>
    </row>
    <row r="34" spans="1:16" ht="16" x14ac:dyDescent="0.2">
      <c r="A34" s="10"/>
      <c r="B34" s="13">
        <v>22</v>
      </c>
      <c r="C34" s="14" t="s">
        <v>31</v>
      </c>
      <c r="D34" s="10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</row>
    <row r="35" spans="1:16" ht="16" x14ac:dyDescent="0.2">
      <c r="A35" s="10"/>
      <c r="B35" s="13">
        <v>23</v>
      </c>
      <c r="C35" s="14" t="s">
        <v>32</v>
      </c>
      <c r="D35" s="10"/>
      <c r="E35" s="26"/>
      <c r="F35" s="26"/>
      <c r="G35" s="26"/>
      <c r="H35" s="26"/>
      <c r="I35" s="26"/>
      <c r="J35" s="26"/>
      <c r="K35" s="26"/>
      <c r="L35" s="27"/>
      <c r="M35" s="27"/>
      <c r="N35" s="27"/>
      <c r="O35" s="27"/>
      <c r="P35" s="27"/>
    </row>
    <row r="36" spans="1:16" ht="16" x14ac:dyDescent="0.2">
      <c r="A36" s="10"/>
      <c r="B36" s="13">
        <v>24</v>
      </c>
      <c r="C36" s="14" t="s">
        <v>33</v>
      </c>
      <c r="D36" s="10"/>
      <c r="E36" s="26"/>
      <c r="F36" s="26"/>
      <c r="G36" s="26"/>
      <c r="H36" s="26"/>
      <c r="I36" s="26"/>
      <c r="J36" s="26"/>
      <c r="K36" s="26"/>
      <c r="L36" s="27"/>
      <c r="M36" s="27"/>
      <c r="N36" s="27"/>
      <c r="O36" s="27"/>
      <c r="P36" s="27"/>
    </row>
    <row r="37" spans="1:16" ht="16" x14ac:dyDescent="0.2">
      <c r="A37" s="10"/>
      <c r="B37" s="13">
        <v>25</v>
      </c>
      <c r="C37" s="14" t="s">
        <v>34</v>
      </c>
      <c r="D37" s="10"/>
      <c r="E37" s="26"/>
      <c r="F37" s="26"/>
      <c r="G37" s="26"/>
      <c r="H37" s="26"/>
      <c r="I37" s="26"/>
      <c r="J37" s="26"/>
      <c r="K37" s="26"/>
      <c r="L37" s="27"/>
      <c r="M37" s="27"/>
      <c r="N37" s="27"/>
      <c r="O37" s="27"/>
      <c r="P37" s="27"/>
    </row>
    <row r="38" spans="1:16" ht="16" x14ac:dyDescent="0.2">
      <c r="A38" s="10"/>
      <c r="B38" s="13">
        <v>26</v>
      </c>
      <c r="C38" s="14" t="s">
        <v>35</v>
      </c>
      <c r="D38" s="10"/>
      <c r="E38" s="26"/>
      <c r="F38" s="26"/>
      <c r="G38" s="26"/>
      <c r="H38" s="26"/>
      <c r="I38" s="26"/>
      <c r="J38" s="26"/>
      <c r="K38" s="26"/>
      <c r="L38" s="27"/>
      <c r="M38" s="27"/>
      <c r="N38" s="27"/>
      <c r="O38" s="27"/>
      <c r="P38" s="27"/>
    </row>
    <row r="39" spans="1:16" ht="16" x14ac:dyDescent="0.2">
      <c r="A39" s="10"/>
      <c r="B39" s="13">
        <v>27</v>
      </c>
      <c r="C39" s="14" t="s">
        <v>36</v>
      </c>
      <c r="D39" s="10"/>
      <c r="E39" s="26"/>
      <c r="F39" s="26"/>
      <c r="G39" s="26"/>
      <c r="H39" s="26"/>
      <c r="I39" s="26"/>
      <c r="J39" s="26"/>
      <c r="K39" s="26"/>
      <c r="L39" s="27"/>
      <c r="M39" s="27"/>
      <c r="N39" s="27"/>
      <c r="O39" s="27"/>
      <c r="P39" s="27"/>
    </row>
    <row r="40" spans="1:16" ht="16" x14ac:dyDescent="0.2">
      <c r="A40" s="10"/>
      <c r="B40" s="13">
        <v>28</v>
      </c>
      <c r="C40" s="14" t="s">
        <v>37</v>
      </c>
      <c r="D40" s="10"/>
      <c r="E40" s="26"/>
      <c r="F40" s="26"/>
      <c r="G40" s="26"/>
      <c r="H40" s="26"/>
      <c r="I40" s="26"/>
      <c r="J40" s="26"/>
      <c r="K40" s="26"/>
      <c r="L40" s="27"/>
      <c r="M40" s="27"/>
      <c r="N40" s="27"/>
      <c r="O40" s="27"/>
      <c r="P40" s="27"/>
    </row>
    <row r="41" spans="1:16" ht="16" x14ac:dyDescent="0.2">
      <c r="A41" s="10"/>
      <c r="B41" s="13">
        <v>29</v>
      </c>
      <c r="C41" s="14" t="s">
        <v>38</v>
      </c>
      <c r="D41" s="10"/>
      <c r="E41" s="26"/>
      <c r="F41" s="26"/>
      <c r="G41" s="26"/>
      <c r="H41" s="26"/>
      <c r="I41" s="26"/>
      <c r="J41" s="26"/>
      <c r="K41" s="26"/>
      <c r="L41" s="27"/>
      <c r="M41" s="27"/>
      <c r="N41" s="27"/>
      <c r="O41" s="27"/>
      <c r="P41" s="27"/>
    </row>
    <row r="42" spans="1:16" ht="16" x14ac:dyDescent="0.2">
      <c r="A42" s="10"/>
      <c r="B42" s="13">
        <v>30</v>
      </c>
      <c r="C42" s="14" t="s">
        <v>39</v>
      </c>
      <c r="D42" s="10"/>
      <c r="E42" s="26"/>
      <c r="F42" s="26"/>
      <c r="G42" s="26"/>
      <c r="H42" s="26"/>
      <c r="I42" s="26"/>
      <c r="J42" s="26"/>
      <c r="K42" s="26"/>
      <c r="L42" s="27"/>
      <c r="M42" s="27"/>
      <c r="N42" s="27"/>
      <c r="O42" s="27"/>
      <c r="P42" s="27"/>
    </row>
    <row r="43" spans="1:16" ht="16" x14ac:dyDescent="0.2">
      <c r="A43" s="10"/>
      <c r="B43" s="13">
        <v>31</v>
      </c>
      <c r="C43" s="14" t="s">
        <v>40</v>
      </c>
      <c r="D43" s="10"/>
      <c r="E43" s="26"/>
      <c r="F43" s="26"/>
      <c r="G43" s="26"/>
      <c r="H43" s="26"/>
      <c r="I43" s="26"/>
      <c r="J43" s="26"/>
      <c r="K43" s="26"/>
      <c r="L43" s="27"/>
      <c r="M43" s="27"/>
      <c r="N43" s="27"/>
      <c r="O43" s="27"/>
      <c r="P43" s="27"/>
    </row>
    <row r="44" spans="1:16" ht="16" x14ac:dyDescent="0.2">
      <c r="A44" s="10"/>
      <c r="B44" s="13">
        <v>32</v>
      </c>
      <c r="C44" s="14" t="s">
        <v>41</v>
      </c>
      <c r="D44" s="10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45" spans="1:16" ht="16" x14ac:dyDescent="0.2">
      <c r="A45" s="10"/>
      <c r="B45" s="13">
        <v>33</v>
      </c>
      <c r="C45" s="14" t="s">
        <v>42</v>
      </c>
      <c r="D45" s="10"/>
      <c r="E45" s="26"/>
      <c r="F45" s="26"/>
      <c r="G45" s="26"/>
      <c r="H45" s="26"/>
      <c r="I45" s="26"/>
      <c r="J45" s="26"/>
      <c r="K45" s="26"/>
      <c r="L45" s="27"/>
      <c r="M45" s="27"/>
      <c r="N45" s="27"/>
      <c r="O45" s="27"/>
      <c r="P45" s="27"/>
    </row>
    <row r="46" spans="1:16" ht="16" x14ac:dyDescent="0.2">
      <c r="A46" s="10"/>
      <c r="B46" s="13">
        <v>34</v>
      </c>
      <c r="C46" s="14" t="s">
        <v>43</v>
      </c>
      <c r="D46" s="10"/>
      <c r="E46" s="26"/>
      <c r="F46" s="26"/>
      <c r="G46" s="26"/>
      <c r="H46" s="26"/>
      <c r="I46" s="26"/>
      <c r="J46" s="26"/>
      <c r="K46" s="26"/>
      <c r="L46" s="27"/>
      <c r="M46" s="27"/>
      <c r="N46" s="27"/>
      <c r="O46" s="27"/>
      <c r="P46" s="27"/>
    </row>
    <row r="47" spans="1:16" ht="16" x14ac:dyDescent="0.2">
      <c r="A47" s="10"/>
      <c r="B47" s="13">
        <v>35</v>
      </c>
      <c r="C47" s="14" t="s">
        <v>44</v>
      </c>
      <c r="D47" s="10"/>
      <c r="E47" s="26"/>
      <c r="F47" s="26"/>
      <c r="G47" s="26"/>
      <c r="H47" s="26"/>
      <c r="I47" s="26"/>
      <c r="J47" s="26"/>
      <c r="K47" s="26"/>
      <c r="L47" s="27"/>
      <c r="M47" s="27"/>
      <c r="N47" s="27"/>
      <c r="O47" s="27"/>
      <c r="P47" s="27"/>
    </row>
    <row r="48" spans="1:16" ht="16" x14ac:dyDescent="0.2">
      <c r="A48" s="10"/>
      <c r="B48" s="13">
        <v>36</v>
      </c>
      <c r="C48" s="14" t="s">
        <v>45</v>
      </c>
      <c r="D48" s="10"/>
      <c r="E48" s="26"/>
      <c r="F48" s="26"/>
      <c r="G48" s="26"/>
      <c r="H48" s="26"/>
      <c r="I48" s="26"/>
      <c r="J48" s="26"/>
      <c r="K48" s="26"/>
      <c r="L48" s="27"/>
      <c r="M48" s="27"/>
      <c r="N48" s="27"/>
      <c r="O48" s="27"/>
      <c r="P48" s="27"/>
    </row>
    <row r="49" spans="1:16" ht="16" x14ac:dyDescent="0.2">
      <c r="A49" s="10"/>
      <c r="B49" s="13">
        <v>37</v>
      </c>
      <c r="C49" s="14" t="s">
        <v>46</v>
      </c>
      <c r="D49" s="10"/>
      <c r="E49" s="26"/>
      <c r="F49" s="26"/>
      <c r="G49" s="26"/>
      <c r="H49" s="26"/>
      <c r="I49" s="26"/>
      <c r="J49" s="26"/>
      <c r="K49" s="26"/>
      <c r="L49" s="27"/>
      <c r="M49" s="27"/>
      <c r="N49" s="27"/>
      <c r="O49" s="27"/>
      <c r="P49" s="27"/>
    </row>
    <row r="50" spans="1:16" ht="16" x14ac:dyDescent="0.2">
      <c r="A50" s="10"/>
      <c r="B50" s="13">
        <v>38</v>
      </c>
      <c r="C50" s="14" t="s">
        <v>47</v>
      </c>
      <c r="D50" s="10"/>
      <c r="E50" s="26"/>
      <c r="F50" s="26"/>
      <c r="G50" s="26"/>
      <c r="H50" s="26"/>
      <c r="I50" s="26"/>
      <c r="J50" s="26"/>
      <c r="K50" s="26"/>
      <c r="L50" s="27"/>
      <c r="M50" s="27"/>
      <c r="N50" s="27"/>
      <c r="O50" s="27"/>
      <c r="P50" s="27"/>
    </row>
    <row r="51" spans="1:16" ht="16" x14ac:dyDescent="0.2">
      <c r="A51" s="10"/>
      <c r="B51" s="13">
        <v>39</v>
      </c>
      <c r="C51" s="14" t="s">
        <v>48</v>
      </c>
      <c r="D51" s="10"/>
      <c r="E51" s="26"/>
      <c r="F51" s="26"/>
      <c r="G51" s="26"/>
      <c r="H51" s="26"/>
      <c r="I51" s="26"/>
      <c r="J51" s="26"/>
      <c r="K51" s="26"/>
      <c r="L51" s="27"/>
      <c r="M51" s="27"/>
      <c r="N51" s="27"/>
      <c r="O51" s="27"/>
      <c r="P51" s="27"/>
    </row>
    <row r="52" spans="1:16" ht="16" x14ac:dyDescent="0.2">
      <c r="A52" s="10"/>
      <c r="B52" s="13">
        <v>40</v>
      </c>
      <c r="C52" s="14" t="s">
        <v>49</v>
      </c>
      <c r="D52" s="10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16" ht="16" x14ac:dyDescent="0.2">
      <c r="A53" s="10"/>
      <c r="B53" s="13">
        <v>41</v>
      </c>
      <c r="C53" s="14" t="s">
        <v>50</v>
      </c>
      <c r="D53" s="10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</row>
    <row r="54" spans="1:16" ht="16" x14ac:dyDescent="0.2">
      <c r="A54" s="10"/>
      <c r="B54" s="13">
        <v>42</v>
      </c>
      <c r="C54" s="14" t="s">
        <v>51</v>
      </c>
      <c r="D54" s="10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 ht="16" x14ac:dyDescent="0.2">
      <c r="A55" s="10"/>
      <c r="B55" s="13">
        <v>43</v>
      </c>
      <c r="C55" s="14" t="s">
        <v>52</v>
      </c>
      <c r="D55" s="10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ht="16" x14ac:dyDescent="0.2">
      <c r="A56" s="10"/>
      <c r="B56" s="13">
        <v>44</v>
      </c>
      <c r="C56" s="14" t="s">
        <v>53</v>
      </c>
      <c r="D56" s="10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</row>
    <row r="57" spans="1:16" ht="16" x14ac:dyDescent="0.2">
      <c r="A57" s="10"/>
      <c r="B57" s="13">
        <v>45</v>
      </c>
      <c r="C57" s="14" t="s">
        <v>54</v>
      </c>
      <c r="D57" s="10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</row>
    <row r="58" spans="1:16" ht="16" x14ac:dyDescent="0.2">
      <c r="A58" s="10"/>
      <c r="B58" s="13">
        <v>46</v>
      </c>
      <c r="C58" s="28" t="s">
        <v>55</v>
      </c>
      <c r="D58" s="10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</row>
  </sheetData>
  <mergeCells count="2">
    <mergeCell ref="B12:C12"/>
    <mergeCell ref="E13:P15"/>
  </mergeCells>
  <hyperlinks>
    <hyperlink ref="A8" r:id="rId1" xr:uid="{8F7A2CD3-F218-D74E-8EA9-0A33A3D0E0A6}"/>
  </hyperlinks>
  <pageMargins left="2.204724409448819" right="0.23622047244094491" top="0.35433070866141736" bottom="0.35433070866141736" header="0.31496062992125984" footer="0.3149606299212598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Histopath data</vt:lpstr>
      <vt:lpstr>PSA data</vt:lpstr>
      <vt:lpstr>Follow up data</vt:lpstr>
      <vt:lpstr>TMA 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TriStar Technology Group, LLC</dc:creator>
  <cp:keywords/>
  <dc:description/>
  <cp:lastModifiedBy>Milan Bhagat</cp:lastModifiedBy>
  <cp:lastPrinted>2017-02-23T14:23:04Z</cp:lastPrinted>
  <dcterms:created xsi:type="dcterms:W3CDTF">2017-02-21T00:11:59Z</dcterms:created>
  <dcterms:modified xsi:type="dcterms:W3CDTF">2023-01-29T05:10:32Z</dcterms:modified>
  <cp:category/>
</cp:coreProperties>
</file>