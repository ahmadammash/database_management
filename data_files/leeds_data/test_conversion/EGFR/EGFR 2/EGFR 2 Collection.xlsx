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defaultThemeVersion="166925"/>
  <mc:AlternateContent xmlns:mc="http://schemas.openxmlformats.org/markup-compatibility/2006">
    <mc:Choice Requires="x15">
      <x15ac:absPath xmlns:x15ac="http://schemas.microsoft.com/office/spreadsheetml/2010/11/ac" url="https://nhs-my.sharepoint.com/personal/clare_freer2_nhs_net/Documents/TrisStar metadata/Templates/New cohort/"/>
    </mc:Choice>
  </mc:AlternateContent>
  <xr:revisionPtr revIDLastSave="2010" documentId="11_F9F6FD2F9EAEFA52C416220E3D9E4704522FE6A2" xr6:coauthVersionLast="47" xr6:coauthVersionMax="47" xr10:uidLastSave="{AB4DB43D-2025-4C04-90EC-808346154F9D}"/>
  <bookViews>
    <workbookView xWindow="28680" yWindow="-120" windowWidth="29040" windowHeight="17640" xr2:uid="{00000000-000D-0000-FFFF-FFFF00000000}"/>
  </bookViews>
  <sheets>
    <sheet name="Case selection" sheetId="1" r:id="rId1"/>
    <sheet name="CellNass_Return_Slides" sheetId="7" r:id="rId2"/>
    <sheet name="CellNass_Returns_Blocks" sheetId="8" r:id="rId3"/>
    <sheet name="Sheet1" sheetId="6" r:id="rId4"/>
    <sheet name="EGFR 1 Non Overlap Blocks " sheetId="5" r:id="rId5"/>
    <sheet name="Packing list" sheetId="3" r:id="rId6"/>
    <sheet name="Notes"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8" i="3" l="1"/>
  <c r="C116" i="3"/>
  <c r="C117" i="3"/>
  <c r="C114" i="3"/>
  <c r="AE149" i="1"/>
  <c r="B149" i="1"/>
  <c r="C149" i="1"/>
  <c r="D149" i="1"/>
  <c r="E149" i="1"/>
  <c r="F149" i="1"/>
  <c r="G149" i="1"/>
  <c r="H149" i="1"/>
  <c r="I149" i="1"/>
  <c r="J149" i="1"/>
  <c r="K149" i="1"/>
  <c r="L149" i="1"/>
  <c r="M149" i="1"/>
  <c r="N149" i="1"/>
  <c r="O149" i="1"/>
  <c r="P149" i="1"/>
  <c r="Q149" i="1"/>
  <c r="R149" i="1"/>
  <c r="S149" i="1"/>
  <c r="T149" i="1"/>
  <c r="U149" i="1"/>
  <c r="V149" i="1"/>
  <c r="W149" i="1"/>
  <c r="X149" i="1"/>
  <c r="Y149" i="1"/>
  <c r="Z149" i="1"/>
  <c r="AA149" i="1"/>
  <c r="AB149" i="1"/>
  <c r="AC149" i="1"/>
  <c r="AD149" i="1"/>
  <c r="AF149" i="1"/>
  <c r="AG149" i="1"/>
  <c r="AH149" i="1"/>
  <c r="AI149" i="1"/>
  <c r="AJ149" i="1"/>
  <c r="AK149" i="1"/>
  <c r="AL149" i="1"/>
  <c r="AM149" i="1"/>
  <c r="AN149" i="1"/>
  <c r="AO149" i="1"/>
  <c r="AP149" i="1"/>
  <c r="AQ149" i="1"/>
  <c r="AR149" i="1"/>
  <c r="AS149" i="1"/>
  <c r="A149" i="1"/>
  <c r="C12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tc={77FF1B5A-2388-49C2-BA1E-A2DB55346C94}</author>
    <author>tc={177447CD-95C2-4309-B3E5-428BD9DE02EB}</author>
    <author>tc={C486E96D-472D-4CE7-8C1B-C4598B9D133E}</author>
    <author>tc={0149DBA2-0A80-4BDC-B51A-8526CCD8E0E6}</author>
    <author>tc={441DCB31-E460-49EA-901B-846E8E283F9A}</author>
    <author>tc={E153C4E9-92BD-429B-8244-2494B7EE36D3}</author>
    <author>tc={0120A852-87E4-4B64-8CFD-08F98196CC05}</author>
    <author>tc={F6C9F234-0F80-4174-8C3C-09FD314CB835}</author>
    <author>tc={28F1407F-A674-4010-80BC-B8C447BFDCC5}</author>
    <author>tc={56AD0244-3486-4859-BFA4-CEBCBD21BFD0}</author>
    <author>tc={472C8C86-56F9-4F0C-B1A1-3E3A2E6A2301}</author>
    <author>tc={7CDC272D-6B1E-4ED7-84E9-1394E0F0C2BC}</author>
    <author>tc={45D51B3B-39F7-4373-A069-BCB2194685CE}</author>
    <author>tc={C550538B-4753-4DC5-A597-66555C2AB189}</author>
    <author>tc={63364412-B525-4E45-88BC-D96D6D878482}</author>
    <author>tc={EF3CD8CF-2B75-41EC-A7B4-C367DC8173FB}</author>
    <author>tc={E7F22B0A-0C6D-434C-9015-93F2E9EC72B9}</author>
    <author>tc={119CAB93-4387-4965-B116-DBFE0CA927A9}</author>
    <author>tc={1AED5BAC-ACA4-423E-8FF7-6A7F43B4DC1C}</author>
    <author>tc={127D0948-FB84-453E-8705-BB90F7B2543E}</author>
    <author>tc={7C3921D4-6828-47A1-BC42-256ABB2FCBAF}</author>
    <author>tc={03B178CC-FD2C-4546-8FA9-CD56B24C1202}</author>
    <author>tc={99015466-3C5F-4C13-BF59-203803243D9D}</author>
    <author>tc={468AE315-8AC2-4789-8040-19F42E276FCB}</author>
    <author>tc={40D4AD75-F11A-4D71-98DC-CE7FF573D9F6}</author>
    <author>tc={D98112A6-1040-4AD5-8222-6750B521A1C7}</author>
    <author>tc={EDF14B37-DD2A-4CFF-891F-C0C02A426C59}</author>
    <author>tc={757EE1D2-253D-42FE-BFD2-49281E717473}</author>
    <author>tc={D6E1890F-C667-4FC4-B06D-49AA442227D0}</author>
    <author>tc={B7ACD695-C5AF-4F08-A346-CA3A79956981}</author>
    <author>tc={8942FE63-7613-49B8-BF10-DC342FA01C68}</author>
    <author>tc={4F95AC7B-60B3-42B7-9582-B7F5AEA1E5ED}</author>
    <author>tc={31D88937-53D0-4BD2-B641-1B12E2AC3259}</author>
    <author>tc={AAA5E24A-1F2C-4B73-B505-7CFFAA4C23B4}</author>
    <author>tc={2C175908-3B4C-46FF-AAA1-AFFBAE375E65}</author>
    <author>tc={9974223E-54E1-44E7-BDE7-AA5BF61F1C5C}</author>
    <author>tc={FCD0113D-40B3-4966-B536-760B14E9E470}</author>
    <author>tc={53FB316F-D359-4D5A-BDDE-2DBAA855FD32}</author>
    <author>tc={423AD1B3-64E6-4E69-AA1F-5C8BD6AFCAF3}</author>
    <author>tc={6A095E75-908A-4DCA-9B1B-48D884E2B209}</author>
  </authors>
  <commentList>
    <comment ref="AA10" authorId="0" shapeId="0" xr:uid="{77FF1B5A-2388-49C2-BA1E-A2DB55346C94}">
      <text>
        <t>[Threaded comment]
Your version of Excel allows you to read this threaded comment; however, any edits to it will get removed if the file is opened in a newer version of Excel. Learn more: https://go.microsoft.com/fwlink/?linkid=870924
Comment:
    BRONCHUS</t>
      </text>
    </comment>
    <comment ref="AA11" authorId="1" shapeId="0" xr:uid="{177447CD-95C2-4309-B3E5-428BD9DE02EB}">
      <text>
        <t>[Threaded comment]
Your version of Excel allows you to read this threaded comment; however, any edits to it will get removed if the file is opened in a newer version of Excel. Learn more: https://go.microsoft.com/fwlink/?linkid=870924
Comment:
    1 - BRONCHUS, 5 - LUNG</t>
      </text>
    </comment>
    <comment ref="N14" authorId="2" shapeId="0" xr:uid="{C486E96D-472D-4CE7-8C1B-C4598B9D133E}">
      <text>
        <t xml:space="preserve">[Threaded comment]
Your version of Excel allows you to read this threaded comment; however, any edits to it will get removed if the file is opened in a newer version of Excel. Learn more: https://go.microsoft.com/fwlink/?linkid=870924
Comment:
    Accidentally ordered - to be returned </t>
      </text>
    </comment>
    <comment ref="AA15" authorId="3" shapeId="0" xr:uid="{0149DBA2-0A80-4BDC-B51A-8526CCD8E0E6}">
      <text>
        <t>[Threaded comment]
Your version of Excel allows you to read this threaded comment; however, any edits to it will get removed if the file is opened in a newer version of Excel. Learn more: https://go.microsoft.com/fwlink/?linkid=870924
Comment:
    LUNG</t>
      </text>
    </comment>
    <comment ref="N18" authorId="4" shapeId="0" xr:uid="{441DCB31-E460-49EA-901B-846E8E283F9A}">
      <text>
        <t>[Threaded comment]
Your version of Excel allows you to read this threaded comment; however, any edits to it will get removed if the file is opened in a newer version of Excel. Learn more: https://go.microsoft.com/fwlink/?linkid=870924
Comment:
    D3 [L] broken</t>
      </text>
    </comment>
    <comment ref="Q18" authorId="5" shapeId="0" xr:uid="{E153C4E9-92BD-429B-8244-2494B7EE36D3}">
      <text>
        <t>[Threaded comment]
Your version of Excel allows you to read this threaded comment; however, any edits to it will get removed if the file is opened in a newer version of Excel. Learn more: https://go.microsoft.com/fwlink/?linkid=870924
Comment:
    BROKEN UTS</t>
      </text>
    </comment>
    <comment ref="N19" authorId="6" shapeId="0" xr:uid="{0120A852-87E4-4B64-8CFD-08F98196CC05}">
      <text>
        <t>[Threaded comment]
Your version of Excel allows you to read this threaded comment; however, any edits to it will get removed if the file is opened in a newer version of Excel. Learn more: https://go.microsoft.com/fwlink/?linkid=870924
Comment:
    A4 BHE(?) broken</t>
      </text>
    </comment>
    <comment ref="AA21" authorId="7" shapeId="0" xr:uid="{F6C9F234-0F80-4174-8C3C-09FD314CB835}">
      <text>
        <t>[Threaded comment]
Your version of Excel allows you to read this threaded comment; however, any edits to it will get removed if the file is opened in a newer version of Excel. Learn more: https://go.microsoft.com/fwlink/?linkid=870924
Comment:
    B13 - LUNG, B2 - BRONCHUS</t>
      </text>
    </comment>
    <comment ref="AA29" authorId="8" shapeId="0" xr:uid="{28F1407F-A674-4010-80BC-B8C447BFDCC5}">
      <text>
        <t>[Threaded comment]
Your version of Excel allows you to read this threaded comment; however, any edits to it will get removed if the file is opened in a newer version of Excel. Learn more: https://go.microsoft.com/fwlink/?linkid=870924
Comment:
    LUNG</t>
      </text>
    </comment>
    <comment ref="AA46" authorId="9" shapeId="0" xr:uid="{56AD0244-3486-4859-BFA4-CEBCBD21BFD0}">
      <text>
        <t>[Threaded comment]
Your version of Excel allows you to read this threaded comment; however, any edits to it will get removed if the file is opened in a newer version of Excel. Learn more: https://go.microsoft.com/fwlink/?linkid=870924
Comment:
    LUNG</t>
      </text>
    </comment>
    <comment ref="AA48" authorId="10" shapeId="0" xr:uid="{472C8C86-56F9-4F0C-B1A1-3E3A2E6A2301}">
      <text>
        <t>[Threaded comment]
Your version of Excel allows you to read this threaded comment; however, any edits to it will get removed if the file is opened in a newer version of Excel. Learn more: https://go.microsoft.com/fwlink/?linkid=870924
Comment:
    LUNG</t>
      </text>
    </comment>
    <comment ref="AA52" authorId="11" shapeId="0" xr:uid="{7CDC272D-6B1E-4ED7-84E9-1394E0F0C2BC}">
      <text>
        <t>[Threaded comment]
Your version of Excel allows you to read this threaded comment; however, any edits to it will get removed if the file is opened in a newer version of Excel. Learn more: https://go.microsoft.com/fwlink/?linkid=870924
Comment:
    LUNG</t>
      </text>
    </comment>
    <comment ref="AA55" authorId="12" shapeId="0" xr:uid="{45D51B3B-39F7-4373-A069-BCB2194685CE}">
      <text>
        <t>[Threaded comment]
Your version of Excel allows you to read this threaded comment; however, any edits to it will get removed if the file is opened in a newer version of Excel. Learn more: https://go.microsoft.com/fwlink/?linkid=870924
Comment:
    B1 - BRONCHUS, B25 - LUNG</t>
      </text>
    </comment>
    <comment ref="AA56" authorId="13" shapeId="0" xr:uid="{C550538B-4753-4DC5-A597-66555C2AB189}">
      <text>
        <t>[Threaded comment]
Your version of Excel allows you to read this threaded comment; however, any edits to it will get removed if the file is opened in a newer version of Excel. Learn more: https://go.microsoft.com/fwlink/?linkid=870924
Comment:
    A1 - BRONCHUS, A12 - LUNG</t>
      </text>
    </comment>
    <comment ref="AA63" authorId="14" shapeId="0" xr:uid="{63364412-B525-4E45-88BC-D96D6D878482}">
      <text>
        <t>[Threaded comment]
Your version of Excel allows you to read this threaded comment; however, any edits to it will get removed if the file is opened in a newer version of Excel. Learn more: https://go.microsoft.com/fwlink/?linkid=870924
Comment:
    LUNG</t>
      </text>
    </comment>
    <comment ref="AA70" authorId="15" shapeId="0" xr:uid="{EF3CD8CF-2B75-41EC-A7B4-C367DC8173FB}">
      <text>
        <t>[Threaded comment]
Your version of Excel allows you to read this threaded comment; however, any edits to it will get removed if the file is opened in a newer version of Excel. Learn more: https://go.microsoft.com/fwlink/?linkid=870924
Comment:
    BRONCHUS</t>
      </text>
    </comment>
    <comment ref="AA74" authorId="16" shapeId="0" xr:uid="{E7F22B0A-0C6D-434C-9015-93F2E9EC72B9}">
      <text>
        <t>[Threaded comment]
Your version of Excel allows you to read this threaded comment; however, any edits to it will get removed if the file is opened in a newer version of Excel. Learn more: https://go.microsoft.com/fwlink/?linkid=870924
Comment:
    BRONCHUS</t>
      </text>
    </comment>
    <comment ref="AA75" authorId="17" shapeId="0" xr:uid="{119CAB93-4387-4965-B116-DBFE0CA927A9}">
      <text>
        <t>[Threaded comment]
Your version of Excel allows you to read this threaded comment; however, any edits to it will get removed if the file is opened in a newer version of Excel. Learn more: https://go.microsoft.com/fwlink/?linkid=870924
Comment:
    LUNG</t>
      </text>
    </comment>
    <comment ref="AA80" authorId="18" shapeId="0" xr:uid="{1AED5BAC-ACA4-423E-8FF7-6A7F43B4DC1C}">
      <text>
        <t>[Threaded comment]
Your version of Excel allows you to read this threaded comment; however, any edits to it will get removed if the file is opened in a newer version of Excel. Learn more: https://go.microsoft.com/fwlink/?linkid=870924
Comment:
    D12 - LUNG, D8 - BRONCHUS</t>
      </text>
    </comment>
    <comment ref="AA81" authorId="19" shapeId="0" xr:uid="{127D0948-FB84-453E-8705-BB90F7B2543E}">
      <text>
        <t>[Threaded comment]
Your version of Excel allows you to read this threaded comment; however, any edits to it will get removed if the file is opened in a newer version of Excel. Learn more: https://go.microsoft.com/fwlink/?linkid=870924
Comment:
    LUNG</t>
      </text>
    </comment>
    <comment ref="AA83" authorId="20" shapeId="0" xr:uid="{7C3921D4-6828-47A1-BC42-256ABB2FCBAF}">
      <text>
        <t>[Threaded comment]
Your version of Excel allows you to read this threaded comment; however, any edits to it will get removed if the file is opened in a newer version of Excel. Learn more: https://go.microsoft.com/fwlink/?linkid=870924
Comment:
    BRONCHUS</t>
      </text>
    </comment>
    <comment ref="AA89" authorId="21" shapeId="0" xr:uid="{03B178CC-FD2C-4546-8FA9-CD56B24C1202}">
      <text>
        <t>[Threaded comment]
Your version of Excel allows you to read this threaded comment; however, any edits to it will get removed if the file is opened in a newer version of Excel. Learn more: https://go.microsoft.com/fwlink/?linkid=870924
Comment:
    BRONCHUS</t>
      </text>
    </comment>
    <comment ref="AA96" authorId="22" shapeId="0" xr:uid="{99015466-3C5F-4C13-BF59-203803243D9D}">
      <text>
        <t>[Threaded comment]
Your version of Excel allows you to read this threaded comment; however, any edits to it will get removed if the file is opened in a newer version of Excel. Learn more: https://go.microsoft.com/fwlink/?linkid=870924
Comment:
    LUNG</t>
      </text>
    </comment>
    <comment ref="AA99" authorId="23" shapeId="0" xr:uid="{468AE315-8AC2-4789-8040-19F42E276FCB}">
      <text>
        <t>[Threaded comment]
Your version of Excel allows you to read this threaded comment; however, any edits to it will get removed if the file is opened in a newer version of Excel. Learn more: https://go.microsoft.com/fwlink/?linkid=870924
Comment:
    BRONCHUS</t>
      </text>
    </comment>
    <comment ref="AA100" authorId="24" shapeId="0" xr:uid="{40D4AD75-F11A-4D71-98DC-CE7FF573D9F6}">
      <text>
        <t>[Threaded comment]
Your version of Excel allows you to read this threaded comment; however, any edits to it will get removed if the file is opened in a newer version of Excel. Learn more: https://go.microsoft.com/fwlink/?linkid=870924
Comment:
    LUNG</t>
      </text>
    </comment>
    <comment ref="AA101" authorId="25" shapeId="0" xr:uid="{D98112A6-1040-4AD5-8222-6750B521A1C7}">
      <text>
        <t>[Threaded comment]
Your version of Excel allows you to read this threaded comment; however, any edits to it will get removed if the file is opened in a newer version of Excel. Learn more: https://go.microsoft.com/fwlink/?linkid=870924
Comment:
    LUNG</t>
      </text>
    </comment>
    <comment ref="AA102" authorId="26" shapeId="0" xr:uid="{EDF14B37-DD2A-4CFF-891F-C0C02A426C59}">
      <text>
        <t>[Threaded comment]
Your version of Excel allows you to read this threaded comment; however, any edits to it will get removed if the file is opened in a newer version of Excel. Learn more: https://go.microsoft.com/fwlink/?linkid=870924
Comment:
    LUNG</t>
      </text>
    </comment>
    <comment ref="AA103" authorId="27" shapeId="0" xr:uid="{757EE1D2-253D-42FE-BFD2-49281E717473}">
      <text>
        <t>[Threaded comment]
Your version of Excel allows you to read this threaded comment; however, any edits to it will get removed if the file is opened in a newer version of Excel. Learn more: https://go.microsoft.com/fwlink/?linkid=870924
Comment:
    LUNG</t>
      </text>
    </comment>
    <comment ref="AA105" authorId="28" shapeId="0" xr:uid="{D6E1890F-C667-4FC4-B06D-49AA442227D0}">
      <text>
        <t>[Threaded comment]
Your version of Excel allows you to read this threaded comment; however, any edits to it will get removed if the file is opened in a newer version of Excel. Learn more: https://go.microsoft.com/fwlink/?linkid=870924
Comment:
    LUNG</t>
      </text>
    </comment>
    <comment ref="AA107" authorId="29" shapeId="0" xr:uid="{B7ACD695-C5AF-4F08-A346-CA3A79956981}">
      <text>
        <t>[Threaded comment]
Your version of Excel allows you to read this threaded comment; however, any edits to it will get removed if the file is opened in a newer version of Excel. Learn more: https://go.microsoft.com/fwlink/?linkid=870924
Comment:
    B6 - BRONCHUS, B12 - LUNG</t>
      </text>
    </comment>
    <comment ref="AA108" authorId="30" shapeId="0" xr:uid="{8942FE63-7613-49B8-BF10-DC342FA01C68}">
      <text>
        <t>[Threaded comment]
Your version of Excel allows you to read this threaded comment; however, any edits to it will get removed if the file is opened in a newer version of Excel. Learn more: https://go.microsoft.com/fwlink/?linkid=870924
Comment:
    B2 - BRONCHUS, B19 - LUNG</t>
      </text>
    </comment>
    <comment ref="AA109" authorId="31" shapeId="0" xr:uid="{4F95AC7B-60B3-42B7-9582-B7F5AEA1E5ED}">
      <text>
        <t>[Threaded comment]
Your version of Excel allows you to read this threaded comment; however, any edits to it will get removed if the file is opened in a newer version of Excel. Learn more: https://go.microsoft.com/fwlink/?linkid=870924
Comment:
    LUNG</t>
      </text>
    </comment>
    <comment ref="AA117" authorId="32" shapeId="0" xr:uid="{31D88937-53D0-4BD2-B641-1B12E2AC3259}">
      <text>
        <t>[Threaded comment]
Your version of Excel allows you to read this threaded comment; however, any edits to it will get removed if the file is opened in a newer version of Excel. Learn more: https://go.microsoft.com/fwlink/?linkid=870924
Comment:
    LUNG</t>
      </text>
    </comment>
    <comment ref="AA124" authorId="33" shapeId="0" xr:uid="{AAA5E24A-1F2C-4B73-B505-7CFFAA4C23B4}">
      <text>
        <t>[Threaded comment]
Your version of Excel allows you to read this threaded comment; however, any edits to it will get removed if the file is opened in a newer version of Excel. Learn more: https://go.microsoft.com/fwlink/?linkid=870924
Comment:
    LUNG</t>
      </text>
    </comment>
    <comment ref="AA130" authorId="34" shapeId="0" xr:uid="{2C175908-3B4C-46FF-AAA1-AFFBAE375E65}">
      <text>
        <t>[Threaded comment]
Your version of Excel allows you to read this threaded comment; however, any edits to it will get removed if the file is opened in a newer version of Excel. Learn more: https://go.microsoft.com/fwlink/?linkid=870924
Comment:
    LUNG</t>
      </text>
    </comment>
    <comment ref="AA131" authorId="35" shapeId="0" xr:uid="{9974223E-54E1-44E7-BDE7-AA5BF61F1C5C}">
      <text>
        <t>[Threaded comment]
Your version of Excel allows you to read this threaded comment; however, any edits to it will get removed if the file is opened in a newer version of Excel. Learn more: https://go.microsoft.com/fwlink/?linkid=870924
Comment:
    BRONCHUS</t>
      </text>
    </comment>
    <comment ref="AA135" authorId="36" shapeId="0" xr:uid="{FCD0113D-40B3-4966-B536-760B14E9E470}">
      <text>
        <t>[Threaded comment]
Your version of Excel allows you to read this threaded comment; however, any edits to it will get removed if the file is opened in a newer version of Excel. Learn more: https://go.microsoft.com/fwlink/?linkid=870924
Comment:
    LUNG</t>
      </text>
    </comment>
    <comment ref="AA136" authorId="37" shapeId="0" xr:uid="{53FB316F-D359-4D5A-BDDE-2DBAA855FD32}">
      <text>
        <t>[Threaded comment]
Your version of Excel allows you to read this threaded comment; however, any edits to it will get removed if the file is opened in a newer version of Excel. Learn more: https://go.microsoft.com/fwlink/?linkid=870924
Comment:
    BRONCHUS</t>
      </text>
    </comment>
    <comment ref="AA142" authorId="38" shapeId="0" xr:uid="{423AD1B3-64E6-4E69-AA1F-5C8BD6AFCAF3}">
      <text>
        <t>[Threaded comment]
Your version of Excel allows you to read this threaded comment; however, any edits to it will get removed if the file is opened in a newer version of Excel. Learn more: https://go.microsoft.com/fwlink/?linkid=870924
Comment:
    LUNG</t>
      </text>
    </comment>
    <comment ref="AA147" authorId="39" shapeId="0" xr:uid="{6A095E75-908A-4DCA-9B1B-48D884E2B209}">
      <text>
        <t>[Threaded comment]
Your version of Excel allows you to read this threaded comment; however, any edits to it will get removed if the file is opened in a newer version of Excel. Learn more: https://go.microsoft.com/fwlink/?linkid=870924
Comment:
    K3 - BRONCHUS, K20 - LUNG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tc={866A81EC-236A-4C0F-A3CC-E2377826F992}</author>
    <author>tc={0CD6F705-0F62-4A9C-B215-8F7AC19E225E}</author>
  </authors>
  <commentList>
    <comment ref="F3" authorId="0" shapeId="0" xr:uid="{866A81EC-236A-4C0F-A3CC-E2377826F992}">
      <text>
        <t>[Threaded comment]
Your version of Excel allows you to read this threaded comment; however, any edits to it will get removed if the file is opened in a newer version of Excel. Learn more: https://go.microsoft.com/fwlink/?linkid=870924
Comment:
    1 MISSING SMALL SLIDE IN NORMAL 4 BRONCHUS</t>
      </text>
    </comment>
    <comment ref="F5" authorId="1" shapeId="0" xr:uid="{0CD6F705-0F62-4A9C-B215-8F7AC19E225E}">
      <text>
        <t>[Threaded comment]
Your version of Excel allows you to read this threaded comment; however, any edits to it will get removed if the file is opened in a newer version of Excel. Learn more: https://go.microsoft.com/fwlink/?linkid=870924
Comment:
    MISSING 1 SMALL SLIDE IN NORMAL 4 BRONCHUS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tc={C50FB178-AEF4-4C89-A169-CF5067DDC6D4}</author>
    <author>tc={1A82A7C0-8D99-4762-96AB-C4FF5A1B87AE}</author>
    <author>tc={93338BE5-3B5A-4233-A29D-25D210D298B0}</author>
  </authors>
  <commentList>
    <comment ref="B71" authorId="0" shapeId="0" xr:uid="{C50FB178-AEF4-4C89-A169-CF5067DDC6D4}">
      <text>
        <t>[Threaded comment]
Your version of Excel allows you to read this threaded comment; however, any edits to it will get removed if the file is opened in a newer version of Excel. Learn more: https://go.microsoft.com/fwlink/?linkid=870924
Comment:
    HAVE C4 NEED TO SWAP FOR C9</t>
      </text>
    </comment>
    <comment ref="B75" authorId="1" shapeId="0" xr:uid="{1A82A7C0-8D99-4762-96AB-C4FF5A1B87AE}">
      <text>
        <t>[Threaded comment]
Your version of Excel allows you to read this threaded comment; however, any edits to it will get removed if the file is opened in a newer version of Excel. Learn more: https://go.microsoft.com/fwlink/?linkid=870924
Comment:
    HAVE B5, SWAP FOR B4</t>
      </text>
    </comment>
    <comment ref="B85" authorId="2" shapeId="0" xr:uid="{93338BE5-3B5A-4233-A29D-25D210D298B0}">
      <text>
        <t>[Threaded comment]
Your version of Excel allows you to read this threaded comment; however, any edits to it will get removed if the file is opened in a newer version of Excel. Learn more: https://go.microsoft.com/fwlink/?linkid=870924
Comment:
    NOT IN BOX?</t>
      </text>
    </comment>
  </commentList>
</comments>
</file>

<file path=xl/sharedStrings.xml><?xml version="1.0" encoding="utf-8"?>
<sst xmlns="http://schemas.openxmlformats.org/spreadsheetml/2006/main" count="2382" uniqueCount="529">
  <si>
    <t>Cases to remove</t>
  </si>
  <si>
    <t>Collect 1 primary and 1 met where possible</t>
  </si>
  <si>
    <t>EFGR 1 cohort</t>
  </si>
  <si>
    <t>Take from NSCLC 1</t>
  </si>
  <si>
    <t>2x 2019 slides need ordering - 28/02/25 still not at CellNass</t>
  </si>
  <si>
    <t xml:space="preserve">Normal Bronchus slides added to Normal 4 for scanning </t>
  </si>
  <si>
    <t>Normal Bronchus moved to Normal 4 Bronchus</t>
  </si>
  <si>
    <t>Patient Info</t>
  </si>
  <si>
    <t>If Dissent N:</t>
  </si>
  <si>
    <t>Slides Selected:</t>
  </si>
  <si>
    <r>
      <rPr>
        <b/>
        <u/>
        <sz val="11"/>
        <color rgb="FF000000"/>
        <rFont val="Calibri Light"/>
        <family val="2"/>
        <scheme val="major"/>
      </rPr>
      <t xml:space="preserve">Blocks Collected: </t>
    </r>
    <r>
      <rPr>
        <b/>
        <u/>
        <sz val="11"/>
        <color rgb="FFFF0000"/>
        <rFont val="Calibri Light"/>
        <family val="2"/>
        <scheme val="major"/>
      </rPr>
      <t>2 TUMOUR BLOCKS MAX</t>
    </r>
    <r>
      <rPr>
        <b/>
        <u/>
        <sz val="11"/>
        <color rgb="FF000000"/>
        <rFont val="Calibri Light"/>
        <family val="2"/>
        <scheme val="major"/>
      </rPr>
      <t xml:space="preserve"> i.e. P + P or P + M</t>
    </r>
  </si>
  <si>
    <t>Specimen number</t>
  </si>
  <si>
    <t>NHS numbers</t>
  </si>
  <si>
    <t>Notes</t>
  </si>
  <si>
    <t>Notes2</t>
  </si>
  <si>
    <t>DOB</t>
  </si>
  <si>
    <t>Gender</t>
  </si>
  <si>
    <t>Dissent Y/N</t>
  </si>
  <si>
    <t>Consent</t>
  </si>
  <si>
    <t>Form Incomplete</t>
  </si>
  <si>
    <t>Form missing</t>
  </si>
  <si>
    <t>No. small slides from CellNass</t>
  </si>
  <si>
    <t>No. large slides from CellNass</t>
  </si>
  <si>
    <t>Total no. of slides recieved from CellNass</t>
  </si>
  <si>
    <t>Slides Collected</t>
  </si>
  <si>
    <t>CoPath (SC)</t>
  </si>
  <si>
    <t>Slides Missing (if any…)</t>
  </si>
  <si>
    <t>P1</t>
  </si>
  <si>
    <t>P2</t>
  </si>
  <si>
    <t>P3</t>
  </si>
  <si>
    <t>P4</t>
  </si>
  <si>
    <t>P5</t>
  </si>
  <si>
    <t>M1</t>
  </si>
  <si>
    <t>M2</t>
  </si>
  <si>
    <t>M3</t>
  </si>
  <si>
    <t>M4</t>
  </si>
  <si>
    <t>M5</t>
  </si>
  <si>
    <t>N</t>
  </si>
  <si>
    <t>S</t>
  </si>
  <si>
    <t>X</t>
  </si>
  <si>
    <t>CoPath (SS)</t>
  </si>
  <si>
    <t>Notes3</t>
  </si>
  <si>
    <t>X Blocks in Archive</t>
  </si>
  <si>
    <t>X Blocks missing from Archive</t>
  </si>
  <si>
    <t>Blocks recieved from CellNass</t>
  </si>
  <si>
    <t>Notes4</t>
  </si>
  <si>
    <t>P</t>
  </si>
  <si>
    <t>P6</t>
  </si>
  <si>
    <t>M</t>
  </si>
  <si>
    <t>M7</t>
  </si>
  <si>
    <t>N8</t>
  </si>
  <si>
    <t>CoPath (BC)</t>
  </si>
  <si>
    <t>CoPath (Tristar)</t>
  </si>
  <si>
    <t>Notes9</t>
  </si>
  <si>
    <t>Scanned?</t>
  </si>
  <si>
    <t>CoPath (post scan)</t>
  </si>
  <si>
    <t>LH13-19918 (A)</t>
  </si>
  <si>
    <t>L lung, 2 tumours</t>
  </si>
  <si>
    <t>A1-3, B1-16, C, D, IHCx36</t>
  </si>
  <si>
    <t>Y</t>
  </si>
  <si>
    <t>B3</t>
  </si>
  <si>
    <t>B1</t>
  </si>
  <si>
    <t>A1</t>
  </si>
  <si>
    <t>B4, B2</t>
  </si>
  <si>
    <t>A1, B1, B2, B3, B4</t>
  </si>
  <si>
    <t xml:space="preserve">5 Blocks recieved </t>
  </si>
  <si>
    <t>LH13-19918 (B)</t>
  </si>
  <si>
    <t>B5, B6, B9, B7, B8, B14</t>
  </si>
  <si>
    <t>LH15-02463</t>
  </si>
  <si>
    <t>A1-2, B1-3, B4[L], B5-10, IHCx8</t>
  </si>
  <si>
    <t>B7</t>
  </si>
  <si>
    <t>B5, B4[L]</t>
  </si>
  <si>
    <t>LH15-37226</t>
  </si>
  <si>
    <t>lung rx</t>
  </si>
  <si>
    <t>1, 2-4[L], 5</t>
  </si>
  <si>
    <t>1, 5</t>
  </si>
  <si>
    <t>2[L]</t>
  </si>
  <si>
    <t>LH15-37372</t>
  </si>
  <si>
    <t>LN rx</t>
  </si>
  <si>
    <t>A, B1-2, C, D1-2</t>
  </si>
  <si>
    <t>LH16-00748</t>
  </si>
  <si>
    <t>A1-3, B1-2, C1-3, D</t>
  </si>
  <si>
    <t>B2</t>
  </si>
  <si>
    <t>LH16-45237</t>
  </si>
  <si>
    <t>A1x4, IHCx3</t>
  </si>
  <si>
    <t>LH16-48524</t>
  </si>
  <si>
    <t>A1, B1-8, C1-2, D1, IHCx7</t>
  </si>
  <si>
    <t>B4</t>
  </si>
  <si>
    <t>B8</t>
  </si>
  <si>
    <t>B3, B5</t>
  </si>
  <si>
    <t>LH17-27345</t>
  </si>
  <si>
    <t>brain</t>
  </si>
  <si>
    <t>A, A1x5, B, B1x2, IHCx7</t>
  </si>
  <si>
    <t>A</t>
  </si>
  <si>
    <t>LH17-49340</t>
  </si>
  <si>
    <t>A1, B1, C1-4, C5-7[L], C8, D1, IHCx9</t>
  </si>
  <si>
    <t>C3</t>
  </si>
  <si>
    <t>C4</t>
  </si>
  <si>
    <t>C1, C2</t>
  </si>
  <si>
    <t>LH18-07927</t>
  </si>
  <si>
    <t>D3-5[L], D6 x9, IHCx5</t>
  </si>
  <si>
    <t>D3[L]</t>
  </si>
  <si>
    <t>D6, D4[L]</t>
  </si>
  <si>
    <t>D3(L), D4(L)</t>
  </si>
  <si>
    <t>D6 MISSING</t>
  </si>
  <si>
    <t>LH18-37432</t>
  </si>
  <si>
    <t>bone</t>
  </si>
  <si>
    <t>A1-4, A4 BHE(?), A5, A5 AHE(?), IHCx4</t>
  </si>
  <si>
    <t>A3, A4, A5</t>
  </si>
  <si>
    <t>LH18-46180</t>
  </si>
  <si>
    <t>bronchial bx</t>
  </si>
  <si>
    <t>US 02/06/2021</t>
  </si>
  <si>
    <t>LH19-00108</t>
  </si>
  <si>
    <t>B9</t>
  </si>
  <si>
    <t>B13, B2</t>
  </si>
  <si>
    <t>D1</t>
  </si>
  <si>
    <t>B7, B12</t>
  </si>
  <si>
    <t>LH19-08131</t>
  </si>
  <si>
    <t>LH19-08948</t>
  </si>
  <si>
    <t>LH19-09653</t>
  </si>
  <si>
    <t>pleural bx</t>
  </si>
  <si>
    <t>LH19-14941</t>
  </si>
  <si>
    <t>LH19-14994</t>
  </si>
  <si>
    <t>LH19-17373</t>
  </si>
  <si>
    <t>LH19-19582</t>
  </si>
  <si>
    <t>LH19-22497</t>
  </si>
  <si>
    <t>A5</t>
  </si>
  <si>
    <t>A6</t>
  </si>
  <si>
    <t>A4</t>
  </si>
  <si>
    <t>A9</t>
  </si>
  <si>
    <t>A3, A7</t>
  </si>
  <si>
    <t>A4, A5</t>
  </si>
  <si>
    <t>A3 TAKEN ASHAM 24.12.20, A6 &amp; A7 MISSING</t>
  </si>
  <si>
    <t>LH19-24406</t>
  </si>
  <si>
    <t>A7</t>
  </si>
  <si>
    <t>A3, A4</t>
  </si>
  <si>
    <t>LH19-26269</t>
  </si>
  <si>
    <t>LH19-27155</t>
  </si>
  <si>
    <t>LH19-37436</t>
  </si>
  <si>
    <t>E7</t>
  </si>
  <si>
    <t>E8</t>
  </si>
  <si>
    <t>E9[L]</t>
  </si>
  <si>
    <t>E6</t>
  </si>
  <si>
    <t>F1</t>
  </si>
  <si>
    <t>F4</t>
  </si>
  <si>
    <t>F2</t>
  </si>
  <si>
    <t>E7 ADH, E10[L]</t>
  </si>
  <si>
    <t>LH19-39752</t>
  </si>
  <si>
    <t>LH19-44123</t>
  </si>
  <si>
    <t>LH19-44744</t>
  </si>
  <si>
    <t>LH19-48493</t>
  </si>
  <si>
    <t>C1</t>
  </si>
  <si>
    <t>LH19-49277</t>
  </si>
  <si>
    <t>LH20-06579</t>
  </si>
  <si>
    <t>LH20-08783</t>
  </si>
  <si>
    <t>LH20-10335</t>
  </si>
  <si>
    <t>A2</t>
  </si>
  <si>
    <t>A8</t>
  </si>
  <si>
    <t>A10</t>
  </si>
  <si>
    <t>A9, A11</t>
  </si>
  <si>
    <t>LH20-12370</t>
  </si>
  <si>
    <t>pleural/ lung bx</t>
  </si>
  <si>
    <t>B1, B2, B3</t>
  </si>
  <si>
    <t>LH20-12682</t>
  </si>
  <si>
    <t>LH20-13254</t>
  </si>
  <si>
    <t>pleura</t>
  </si>
  <si>
    <t>A1, A2</t>
  </si>
  <si>
    <t>LH20-13781</t>
  </si>
  <si>
    <t>brain resection; LH18 sample is primary</t>
  </si>
  <si>
    <t>A7, A3</t>
  </si>
  <si>
    <t>LH20-14848</t>
  </si>
  <si>
    <t>E4</t>
  </si>
  <si>
    <t>E3</t>
  </si>
  <si>
    <t>E13</t>
  </si>
  <si>
    <t>E5, E6</t>
  </si>
  <si>
    <t>LH20-15868</t>
  </si>
  <si>
    <t>C4, C5</t>
  </si>
  <si>
    <t>C3, C5</t>
  </si>
  <si>
    <t xml:space="preserve">C4 MISSING </t>
  </si>
  <si>
    <t>LH20-16316</t>
  </si>
  <si>
    <t>LH20-16985</t>
  </si>
  <si>
    <t>E4 ADH</t>
  </si>
  <si>
    <t>E5</t>
  </si>
  <si>
    <t>E4, E3</t>
  </si>
  <si>
    <t>LH20-17555</t>
  </si>
  <si>
    <t>LH20-22224</t>
  </si>
  <si>
    <t>LH20-29118</t>
  </si>
  <si>
    <t>LH20-29206</t>
  </si>
  <si>
    <t>completion rx</t>
  </si>
  <si>
    <t>MISSING NO SLIP</t>
  </si>
  <si>
    <t>LH20-33582</t>
  </si>
  <si>
    <t>lung bx</t>
  </si>
  <si>
    <t>LH20-33638</t>
  </si>
  <si>
    <t>A1-6, B1-25, C1, D1-2, E1, F1</t>
  </si>
  <si>
    <t>B10</t>
  </si>
  <si>
    <t>B5</t>
  </si>
  <si>
    <t>B6, B3</t>
  </si>
  <si>
    <t>B1, B25</t>
  </si>
  <si>
    <t>B4, B8</t>
  </si>
  <si>
    <t>LH20-34751</t>
  </si>
  <si>
    <t>A1-12, B1-4, C1-2, D1-2, IHCX2</t>
  </si>
  <si>
    <t>B2, B3, A6</t>
  </si>
  <si>
    <t>A1, A12</t>
  </si>
  <si>
    <t>LH20-35618</t>
  </si>
  <si>
    <t>LN bx</t>
  </si>
  <si>
    <t>A1-2, B1-3, C1-2, D1-2</t>
  </si>
  <si>
    <t>A1, B1, B2</t>
  </si>
  <si>
    <t>LH21-00090</t>
  </si>
  <si>
    <t>LH21-00557</t>
  </si>
  <si>
    <t>LH21-00680</t>
  </si>
  <si>
    <t>LH21-00897</t>
  </si>
  <si>
    <t>D2</t>
  </si>
  <si>
    <t>A1, D4</t>
  </si>
  <si>
    <t>LH21-01839</t>
  </si>
  <si>
    <t>B4, B6</t>
  </si>
  <si>
    <t>LH21-02109</t>
  </si>
  <si>
    <t>C6</t>
  </si>
  <si>
    <t>D4</t>
  </si>
  <si>
    <t>D3, D1</t>
  </si>
  <si>
    <t>C2, C1</t>
  </si>
  <si>
    <t>LH21-06190</t>
  </si>
  <si>
    <t>A10, A8</t>
  </si>
  <si>
    <t>LH21-08124</t>
  </si>
  <si>
    <t xml:space="preserve">A1-2 </t>
  </si>
  <si>
    <t>LH21-08350</t>
  </si>
  <si>
    <t>A1, A2(x3)</t>
  </si>
  <si>
    <t>LH21-12918</t>
  </si>
  <si>
    <t>E9</t>
  </si>
  <si>
    <t>E3, E4</t>
  </si>
  <si>
    <t>LH21-15362</t>
  </si>
  <si>
    <t>A1-4, IHCX1</t>
  </si>
  <si>
    <t>A3</t>
  </si>
  <si>
    <t xml:space="preserve">A3 MISSING </t>
  </si>
  <si>
    <t>LH21-15452</t>
  </si>
  <si>
    <t>C9</t>
  </si>
  <si>
    <t>C10</t>
  </si>
  <si>
    <t>C8, C7</t>
  </si>
  <si>
    <t>LH21-15456</t>
  </si>
  <si>
    <t>lung/LN rx</t>
  </si>
  <si>
    <t>H1</t>
  </si>
  <si>
    <t>I7[L]</t>
  </si>
  <si>
    <t>LH21-20922</t>
  </si>
  <si>
    <t>A3, A2</t>
  </si>
  <si>
    <t xml:space="preserve">LH21-22368 </t>
  </si>
  <si>
    <t>US 07.01.25</t>
  </si>
  <si>
    <t>LH21-25674</t>
  </si>
  <si>
    <t>LH21-30299</t>
  </si>
  <si>
    <t>F7 BHE</t>
  </si>
  <si>
    <t>F7</t>
  </si>
  <si>
    <t>F6</t>
  </si>
  <si>
    <t>E1</t>
  </si>
  <si>
    <t>F8, F9</t>
  </si>
  <si>
    <t>F5, F11</t>
  </si>
  <si>
    <t>LH21-31432</t>
  </si>
  <si>
    <t>B11[L]</t>
  </si>
  <si>
    <t>B6</t>
  </si>
  <si>
    <t>B4, B3</t>
  </si>
  <si>
    <t>LH21-32931</t>
  </si>
  <si>
    <t>LH21-34469</t>
  </si>
  <si>
    <t>LH21-34782</t>
  </si>
  <si>
    <t>LH21-39915</t>
  </si>
  <si>
    <t>A4, A3</t>
  </si>
  <si>
    <t>LH21-42641</t>
  </si>
  <si>
    <t>D5</t>
  </si>
  <si>
    <t>D12, D8</t>
  </si>
  <si>
    <t>D4, D6, D3, D7[L]</t>
  </si>
  <si>
    <t>LH21-42781</t>
  </si>
  <si>
    <t>LH21-44822</t>
  </si>
  <si>
    <t>A2, A3</t>
  </si>
  <si>
    <t>LH21-48541</t>
  </si>
  <si>
    <t>A1, B1-9, B12, C1-4, D1, B10-11(L)</t>
  </si>
  <si>
    <t>LH21-48948</t>
  </si>
  <si>
    <t>C6, C5</t>
  </si>
  <si>
    <t>LH22-01984</t>
  </si>
  <si>
    <t>B4[L]</t>
  </si>
  <si>
    <t>LH22-05965</t>
  </si>
  <si>
    <t>A9, A8</t>
  </si>
  <si>
    <t>LH22-06404</t>
  </si>
  <si>
    <t>B5 ADH</t>
  </si>
  <si>
    <t>B10, B4</t>
  </si>
  <si>
    <t>B5,B7</t>
  </si>
  <si>
    <t>B4, B9 &amp; B10 MISSING NO SLIP</t>
  </si>
  <si>
    <t>LH22-07174</t>
  </si>
  <si>
    <t>C13</t>
  </si>
  <si>
    <t>C11</t>
  </si>
  <si>
    <t>C15</t>
  </si>
  <si>
    <t>C16</t>
  </si>
  <si>
    <t>C9, C10</t>
  </si>
  <si>
    <t>C4, C14</t>
  </si>
  <si>
    <t>C5, C12, C8</t>
  </si>
  <si>
    <t>LH22-07430</t>
  </si>
  <si>
    <t>C5</t>
  </si>
  <si>
    <t>C7</t>
  </si>
  <si>
    <t>C10, C9</t>
  </si>
  <si>
    <t>C3, C6</t>
  </si>
  <si>
    <t>LH22-13140</t>
  </si>
  <si>
    <t>A5, A4, A2</t>
  </si>
  <si>
    <t>LH22-13381</t>
  </si>
  <si>
    <t>LH22-17441</t>
  </si>
  <si>
    <t>B4, A3</t>
  </si>
  <si>
    <t>LH22-21509</t>
  </si>
  <si>
    <t>E9, E5</t>
  </si>
  <si>
    <t>LH22-23537</t>
  </si>
  <si>
    <t>A1-16, B1-2, C1-3, D1-2</t>
  </si>
  <si>
    <t>LH22-25906</t>
  </si>
  <si>
    <t>A1-2</t>
  </si>
  <si>
    <t>LH22-26213</t>
  </si>
  <si>
    <t>A1, B1, B3-11, C1, B2(L)</t>
  </si>
  <si>
    <t>B4, B2[L]</t>
  </si>
  <si>
    <t>LH22-27337</t>
  </si>
  <si>
    <t>LH22-28342</t>
  </si>
  <si>
    <t>C2</t>
  </si>
  <si>
    <t>LH22-28555</t>
  </si>
  <si>
    <t>F5</t>
  </si>
  <si>
    <t>F9</t>
  </si>
  <si>
    <t>F6, F3</t>
  </si>
  <si>
    <t>LH22-29418</t>
  </si>
  <si>
    <t>B11</t>
  </si>
  <si>
    <t>LH22-30445</t>
  </si>
  <si>
    <t>A1-10, B1-3, C1, D1-4, IHCX1</t>
  </si>
  <si>
    <t>A3, A5, A6</t>
  </si>
  <si>
    <t>LH22-30953</t>
  </si>
  <si>
    <t>LH22-31634</t>
  </si>
  <si>
    <t>A5[L]</t>
  </si>
  <si>
    <t>A11</t>
  </si>
  <si>
    <t>A7[L]</t>
  </si>
  <si>
    <t>LH22-31698</t>
  </si>
  <si>
    <t>LH22-33989</t>
  </si>
  <si>
    <t>A4[L]</t>
  </si>
  <si>
    <t>A2, A1</t>
  </si>
  <si>
    <t>LH22-36290</t>
  </si>
  <si>
    <t>LH22-39844</t>
  </si>
  <si>
    <t>A1-2, B1-12, C1-2, D1, E1, IHCX2</t>
  </si>
  <si>
    <t>B6, B12</t>
  </si>
  <si>
    <t>B2, B2 ADH</t>
  </si>
  <si>
    <t>B2, B4</t>
  </si>
  <si>
    <t>LH22-39906</t>
  </si>
  <si>
    <t>B2, B19</t>
  </si>
  <si>
    <t>B6, B8</t>
  </si>
  <si>
    <t>LH22-41149</t>
  </si>
  <si>
    <t>A5, A4</t>
  </si>
  <si>
    <t>LH22-46998</t>
  </si>
  <si>
    <t>adrenal gland</t>
  </si>
  <si>
    <t>LH22-49501</t>
  </si>
  <si>
    <t>LH22-51992</t>
  </si>
  <si>
    <t>A1-3</t>
  </si>
  <si>
    <t>A1, A2, A3</t>
  </si>
  <si>
    <t>LH22-52048</t>
  </si>
  <si>
    <t>LH22-54906</t>
  </si>
  <si>
    <t>A1, B1-4, B6-13, C1-2, D1-2, E1-2, B5(L), IHCX1</t>
  </si>
  <si>
    <t>LH23-13527</t>
  </si>
  <si>
    <t>chest wall bx</t>
  </si>
  <si>
    <t>LH23-18983</t>
  </si>
  <si>
    <t>LH23-23842</t>
  </si>
  <si>
    <t>A1-5</t>
  </si>
  <si>
    <t>A1, A4</t>
  </si>
  <si>
    <t>LH23-23859</t>
  </si>
  <si>
    <t>A1-2, B1-2, C1-2, D1, E1-2, F1-8, F10-16, G1, F6(L), F9(L), IHCX3</t>
  </si>
  <si>
    <t>LH23-24745</t>
  </si>
  <si>
    <t>A1, B1, C1, D1</t>
  </si>
  <si>
    <t>A1/B1/C1/D1 L2-4</t>
  </si>
  <si>
    <t>LH23-25878</t>
  </si>
  <si>
    <t>LH23-26132</t>
  </si>
  <si>
    <t>LH23-28547</t>
  </si>
  <si>
    <t>LH23-29742</t>
  </si>
  <si>
    <t>D6</t>
  </si>
  <si>
    <t>D7, D4</t>
  </si>
  <si>
    <t>LH23-33186</t>
  </si>
  <si>
    <t>C12</t>
  </si>
  <si>
    <t>C7, C6</t>
  </si>
  <si>
    <t>LH23-34310</t>
  </si>
  <si>
    <t>A1-3, IHCX2</t>
  </si>
  <si>
    <t>LH23-35516</t>
  </si>
  <si>
    <t>D7</t>
  </si>
  <si>
    <t>G3</t>
  </si>
  <si>
    <t>D13</t>
  </si>
  <si>
    <t>C2, B1, D12</t>
  </si>
  <si>
    <t>D5, D6</t>
  </si>
  <si>
    <t>LH23-36559</t>
  </si>
  <si>
    <t>LH23-37188</t>
  </si>
  <si>
    <t>A1, B1</t>
  </si>
  <si>
    <t>B1 L4-6</t>
  </si>
  <si>
    <t>LH23-38507</t>
  </si>
  <si>
    <t>D3</t>
  </si>
  <si>
    <t>D3, D5</t>
  </si>
  <si>
    <t>LH23-41872</t>
  </si>
  <si>
    <t>B15</t>
  </si>
  <si>
    <t>B9, B3, B12[L]</t>
  </si>
  <si>
    <t>B16</t>
  </si>
  <si>
    <t>B14[L], B13[L]</t>
  </si>
  <si>
    <t>LH23-43970</t>
  </si>
  <si>
    <t>A1-3, B1-5, C1-2, D1-4, E1-13, F1, IHCX3</t>
  </si>
  <si>
    <t>E2</t>
  </si>
  <si>
    <t>B2, B5</t>
  </si>
  <si>
    <t>E4, E6</t>
  </si>
  <si>
    <t>E3 MISSING NO SLIP</t>
  </si>
  <si>
    <t>LH23-44224</t>
  </si>
  <si>
    <t>LH23-49007</t>
  </si>
  <si>
    <t>A1-2, B1-5, B9, C1-2, D1, E1, F1, B6-8(L)</t>
  </si>
  <si>
    <t>LH23-50042</t>
  </si>
  <si>
    <t>LH23-50614</t>
  </si>
  <si>
    <t>A6, B2</t>
  </si>
  <si>
    <t>A3, A1</t>
  </si>
  <si>
    <t>LH23-51788</t>
  </si>
  <si>
    <t>D10</t>
  </si>
  <si>
    <t>D11, D8</t>
  </si>
  <si>
    <t>D15</t>
  </si>
  <si>
    <t>D4, D3</t>
  </si>
  <si>
    <t>LH23-54561</t>
  </si>
  <si>
    <t>LH24-06071</t>
  </si>
  <si>
    <t>A1-2, B1, C1-2, D1-3, E1-5, F1-15, IHCX1</t>
  </si>
  <si>
    <t>F3</t>
  </si>
  <si>
    <t>F15</t>
  </si>
  <si>
    <t>F14</t>
  </si>
  <si>
    <t>F4, F8</t>
  </si>
  <si>
    <t>F6, F8</t>
  </si>
  <si>
    <t>F4 MISSING NO SLIP</t>
  </si>
  <si>
    <t>LH24-12260</t>
  </si>
  <si>
    <t>LH24-19006</t>
  </si>
  <si>
    <t>A1-4, B1-4, C1-2, D1-16, E1-2, IHCX3</t>
  </si>
  <si>
    <t>D5 ADH</t>
  </si>
  <si>
    <t>D5 AHE</t>
  </si>
  <si>
    <t>D9</t>
  </si>
  <si>
    <t>D6, D3</t>
  </si>
  <si>
    <t>LH24-20642</t>
  </si>
  <si>
    <t>LH24-21798</t>
  </si>
  <si>
    <t>A1, B1, C1-18</t>
  </si>
  <si>
    <t>C8</t>
  </si>
  <si>
    <t>C18</t>
  </si>
  <si>
    <t>C1, C4, C9, C10, C12, C16</t>
  </si>
  <si>
    <t>C6, C7</t>
  </si>
  <si>
    <t>LH24-23717</t>
  </si>
  <si>
    <t>LH24-28887</t>
  </si>
  <si>
    <t>A1-4</t>
  </si>
  <si>
    <t>A1, A2, A3, A4</t>
  </si>
  <si>
    <t>LH24-30233</t>
  </si>
  <si>
    <t>A1, B1-15, C1-7, D1-3</t>
  </si>
  <si>
    <t>LH24-31744</t>
  </si>
  <si>
    <t>LH24-33724</t>
  </si>
  <si>
    <t>A1-2, B1, C1-3, D1-3, E1-5, F1-12, G1-2, H1-10, I1, J1-2, K1-3, K6-20</t>
  </si>
  <si>
    <t>K8</t>
  </si>
  <si>
    <t>K7</t>
  </si>
  <si>
    <t>K16</t>
  </si>
  <si>
    <t>K9</t>
  </si>
  <si>
    <t>K11</t>
  </si>
  <si>
    <t>K12</t>
  </si>
  <si>
    <t>K3, K20</t>
  </si>
  <si>
    <t>K10</t>
  </si>
  <si>
    <t>K19, K6</t>
  </si>
  <si>
    <t>Box number</t>
  </si>
  <si>
    <t>Number of Slides Recieved from CellNass</t>
  </si>
  <si>
    <t>No. of  small slides returned to CellNass</t>
  </si>
  <si>
    <t>No. of  large slides returned to CellNass</t>
  </si>
  <si>
    <t>Total No. of  slides returned to CellNass</t>
  </si>
  <si>
    <t>Full case return?</t>
  </si>
  <si>
    <t>Cohort ID</t>
  </si>
  <si>
    <t>Discrepancy</t>
  </si>
  <si>
    <t>LH13-19918</t>
  </si>
  <si>
    <t>EGFR (1/2)</t>
  </si>
  <si>
    <t>LH15-2463</t>
  </si>
  <si>
    <t xml:space="preserve">22(2L) </t>
  </si>
  <si>
    <t>2 (L)</t>
  </si>
  <si>
    <t>5 (3L)</t>
  </si>
  <si>
    <t>3 (L)</t>
  </si>
  <si>
    <t>LH16-748</t>
  </si>
  <si>
    <t>23 (3L)</t>
  </si>
  <si>
    <t>LH18-7927</t>
  </si>
  <si>
    <t>17 (3L)</t>
  </si>
  <si>
    <t>LH19-108</t>
  </si>
  <si>
    <t>LH19-13790</t>
  </si>
  <si>
    <t>LH19-14848</t>
  </si>
  <si>
    <t>LH19-18951</t>
  </si>
  <si>
    <t>LH19-20008</t>
  </si>
  <si>
    <t>LH19-20009</t>
  </si>
  <si>
    <t>LH19-2416</t>
  </si>
  <si>
    <t>LH19-33098</t>
  </si>
  <si>
    <t>LH19-34158</t>
  </si>
  <si>
    <t>LH19-34203</t>
  </si>
  <si>
    <t>null</t>
  </si>
  <si>
    <t>n/a 2019s not ordered</t>
  </si>
  <si>
    <t>LH19-40447</t>
  </si>
  <si>
    <t>LH19-40517</t>
  </si>
  <si>
    <t>LH19-45080</t>
  </si>
  <si>
    <t>LH19-53744</t>
  </si>
  <si>
    <t>LH19-8482</t>
  </si>
  <si>
    <t>Returned with Prostate 5 &amp; 7, NSCLC 1...</t>
  </si>
  <si>
    <t>Discrepancy adds up with large in seperate box</t>
  </si>
  <si>
    <t>Total no. of blocks recieved from CellNass</t>
  </si>
  <si>
    <t>No. of  small blocks returned to CellNass</t>
  </si>
  <si>
    <t>No. of  large blocks returned to CellNass</t>
  </si>
  <si>
    <t>Total No. of  blocks returned to CellNass</t>
  </si>
  <si>
    <t>Cohort</t>
  </si>
  <si>
    <t>EGFR (ALL)</t>
  </si>
  <si>
    <t>Specimen</t>
  </si>
  <si>
    <t>NHS</t>
  </si>
  <si>
    <t xml:space="preserve">Specimen Number </t>
  </si>
  <si>
    <t>WT Biopsies</t>
  </si>
  <si>
    <t>LH21-33704</t>
  </si>
  <si>
    <t>B6, B4, A10, A9, B3, A8, A1</t>
  </si>
  <si>
    <t>A7, A5</t>
  </si>
  <si>
    <t>LH22-02733</t>
  </si>
  <si>
    <t>LH22-05373</t>
  </si>
  <si>
    <t>LH22-25474</t>
  </si>
  <si>
    <t>LH22-31808</t>
  </si>
  <si>
    <t>A1, A3</t>
  </si>
  <si>
    <t>LH22-46956</t>
  </si>
  <si>
    <t>LH22-47286</t>
  </si>
  <si>
    <t>LH22-51940</t>
  </si>
  <si>
    <t>QC check</t>
  </si>
  <si>
    <t>Part Number</t>
  </si>
  <si>
    <t>Type</t>
  </si>
  <si>
    <t>1st</t>
  </si>
  <si>
    <t>2nd</t>
  </si>
  <si>
    <t>Primary</t>
  </si>
  <si>
    <t>MXH</t>
  </si>
  <si>
    <t>NB</t>
  </si>
  <si>
    <t>Metastatic</t>
  </si>
  <si>
    <t>Number of cases</t>
  </si>
  <si>
    <t>Primary tumour blocks</t>
  </si>
  <si>
    <t>Metastatic tumour blocks</t>
  </si>
  <si>
    <t>Normal tissue blocks</t>
  </si>
  <si>
    <t>Total number of blocks</t>
  </si>
  <si>
    <t>Searches</t>
  </si>
  <si>
    <t>lung plus EGFR in ALL (no part type)</t>
  </si>
  <si>
    <t>cytology search as above but searched LN instead of LH</t>
  </si>
  <si>
    <t>all potential cases identified in patient including biopsies and mets  (note EGFR test may not have been done on specimen)</t>
  </si>
  <si>
    <t>EGFR mutation Groups 1 and 2 (see Mutation table tab)</t>
  </si>
  <si>
    <t>Ones which have already been collected as part of the original EGFR project are indicated. That project was for scanning only so not all of those cases would have been suitable for this cohort (only 1 block)</t>
  </si>
  <si>
    <t xml:space="preserve">Some further cases might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</si>
</sst>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809]dd\ mmmm\ yyyy;@"/>
  </numFmts>
  <fonts count="23">
    <font>
      <sz val="12"/>
      <color theme="1"/>
      <name val="Calibri"/>
      <family val="2"/>
      <scheme val="minor"/>
    </font>
    <font>
      <b/>
      <u/>
      <sz val="12"/>
      <color theme="1"/>
      <name val="Calibri"/>
      <family val="2"/>
      <scheme val="minor"/>
    </font>
    <font>
      <b/>
      <u/>
      <sz val="11"/>
      <color theme="1"/>
      <name val="Calibri"/>
      <family val="2"/>
      <scheme val="minor"/>
    </font>
    <font>
      <b/>
      <sz val="11"/>
      <color theme="1"/>
      <name val="Calibri"/>
      <family val="2"/>
    </font>
    <font>
      <sz val="11"/>
      <color theme="1"/>
      <name val="Calibri"/>
      <family val="2"/>
    </font>
    <font>
      <sz val="10"/>
      <color theme="1"/>
      <name val="Calibri Light"/>
      <family val="2"/>
      <scheme val="major"/>
    </font>
    <font>
      <b/>
      <sz val="10"/>
      <color theme="1"/>
      <name val="Calibri Light"/>
      <family val="2"/>
      <scheme val="major"/>
    </font>
    <font>
      <sz val="11"/>
      <color theme="1"/>
      <name val="Calibri Light"/>
      <family val="2"/>
      <scheme val="major"/>
    </font>
    <font>
      <b/>
      <sz val="16"/>
      <color rgb="FF7030A0"/>
      <name val="Calibri Light"/>
      <family val="2"/>
      <scheme val="major"/>
    </font>
    <font>
      <b/>
      <u/>
      <sz val="11"/>
      <color theme="1"/>
      <name val="Calibri Light"/>
      <family val="2"/>
      <scheme val="major"/>
    </font>
    <font>
      <b/>
      <u/>
      <sz val="11"/>
      <color rgb="FF000000"/>
      <name val="Calibri Light"/>
      <family val="2"/>
      <scheme val="major"/>
    </font>
    <font>
      <b/>
      <u/>
      <sz val="11"/>
      <color rgb="FFFF0000"/>
      <name val="Calibri Light"/>
      <family val="2"/>
      <scheme val="major"/>
    </font>
    <font>
      <sz val="12"/>
      <color theme="1"/>
      <name val="Calibri"/>
      <family val="2"/>
      <scheme val="minor"/>
    </font>
    <font>
      <b/>
      <sz val="11"/>
      <color theme="1"/>
      <name val="Calibri Light"/>
      <family val="2"/>
      <scheme val="major"/>
    </font>
    <font>
      <sz val="10"/>
      <color rgb="FF000000"/>
      <name val="Calibri Light"/>
      <family val="2"/>
      <scheme val="major"/>
    </font>
    <font>
      <b/>
      <sz val="10"/>
      <color rgb="FF000000"/>
      <name val="Calibri Light"/>
      <family val="2"/>
      <scheme val="major"/>
    </font>
    <font>
      <sz val="10"/>
      <color rgb="FF000000"/>
      <name val="Calibri"/>
      <family val="2"/>
      <scheme val="minor"/>
    </font>
    <font>
      <b/>
      <u/>
      <sz val="10"/>
      <color theme="1"/>
      <name val="Calibri Light"/>
      <family val="2"/>
      <scheme val="major"/>
    </font>
    <font>
      <sz val="10"/>
      <color theme="1"/>
      <name val="Calibri"/>
      <family val="2"/>
      <scheme val="minor"/>
    </font>
    <font>
      <b/>
      <u/>
      <sz val="11"/>
      <color rgb="FF000000"/>
      <name val="Calibri"/>
      <family val="2"/>
      <scheme val="minor"/>
    </font>
    <font>
      <sz val="10"/>
      <color rgb="FF000000"/>
      <name val="Calibri Light"/>
      <scheme val="major"/>
    </font>
    <font>
      <sz val="10"/>
      <color theme="1"/>
      <name val="Calibri Light"/>
      <scheme val="major"/>
    </font>
    <font>
      <b/>
      <u/>
      <sz val="11"/>
      <color theme="1"/>
      <name val="Aptos Narrow"/>
      <family val="2"/>
      <scheme val="minor"/>
    </font>
  </fonts>
  <fills count="13">
    <fill>
      <patternFill patternType="none"/>
    </fill>
    <fill>
      <patternFill patternType="gray125"/>
    </fill>
    <fill>
      <patternFill patternType="solid">
        <fgColor rgb="FFFF0000"/>
        <bgColor indexed="64"/>
      </patternFill>
    </fill>
    <fill>
      <patternFill patternType="solid">
        <fgColor rgb="FFE2EFDA"/>
        <bgColor indexed="64"/>
      </patternFill>
    </fill>
    <fill>
      <patternFill patternType="solid">
        <fgColor rgb="FFDDEBF7"/>
        <bgColor indexed="64"/>
      </patternFill>
    </fill>
    <fill>
      <patternFill patternType="solid">
        <fgColor rgb="FFFFF2CC"/>
        <bgColor indexed="64"/>
      </patternFill>
    </fill>
    <fill>
      <patternFill patternType="solid">
        <fgColor rgb="FFEDEDED"/>
        <bgColor indexed="64"/>
      </patternFill>
    </fill>
    <fill>
      <patternFill patternType="solid">
        <fgColor rgb="FFFCE4D6"/>
        <bgColor indexed="64"/>
      </patternFill>
    </fill>
    <fill>
      <patternFill patternType="solid">
        <fgColor rgb="FF40BDC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00"/>
        <bgColor indexed="64"/>
      </patternFill>
    </fill>
  </fills>
  <borders count="1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double">
        <color rgb="FF000000"/>
      </bottom>
      <diagonal/>
    </border>
    <border>
      <left/>
      <right/>
      <top style="thin">
        <color rgb="FF000000"/>
      </top>
      <bottom style="medium">
        <color rgb="FF000000"/>
      </bottom>
      <diagonal/>
    </border>
    <border>
      <left/>
      <right/>
      <top style="thin">
        <color theme="1"/>
      </top>
      <bottom style="thin">
        <color theme="1"/>
      </bottom>
      <diagonal/>
    </border>
  </borders>
  <cellStyleXfs count="2">
    <xf numFmtId="0" fontId="0" fillId="0" borderId="0"/>
    <xf numFmtId="0" fontId="12" fillId="0" borderId="0"/>
  </cellStyleXfs>
  <cellXfs count="92">
    <xf numFmtId="0" fontId="0" fillId="0" borderId="0" xfId="0"/>
    <xf numFmtId="0" fontId="2" fillId="0" borderId="0" xfId="0" applyFont="1" applyAlignment="1">
      <alignment horizontal="center"/>
    </xf>
    <xf numFmtId="0" fontId="1" fillId="0" borderId="0" xfId="0" applyFont="1" applyAlignment="1">
      <alignment horizontal="center"/>
    </xf>
    <xf numFmtId="0" fontId="3" fillId="0" borderId="0" xfId="0" applyFont="1"/>
    <xf numFmtId="0" fontId="3" fillId="0" borderId="0" xfId="0" applyFont="1" applyAlignment="1">
      <alignment horizontal="left"/>
    </xf>
    <xf numFmtId="0" fontId="4" fillId="0" borderId="0" xfId="0" applyFont="1"/>
    <xf numFmtId="0" fontId="5" fillId="0" borderId="0" xfId="0" applyFont="1"/>
    <xf numFmtId="0" fontId="7" fillId="2" borderId="0" xfId="0" applyFont="1" applyFill="1"/>
    <xf numFmtId="0" fontId="7" fillId="0" borderId="0" xfId="0" applyFont="1"/>
    <xf numFmtId="0" fontId="10" fillId="5" borderId="2" xfId="0" applyFont="1" applyFill="1" applyBorder="1" applyAlignment="1">
      <alignment horizontal="center"/>
    </xf>
    <xf numFmtId="0" fontId="9" fillId="6" borderId="1" xfId="0" applyFont="1" applyFill="1" applyBorder="1"/>
    <xf numFmtId="0" fontId="9" fillId="6" borderId="2" xfId="0" applyFont="1" applyFill="1" applyBorder="1"/>
    <xf numFmtId="0" fontId="10" fillId="5" borderId="5" xfId="0" applyFont="1" applyFill="1" applyBorder="1" applyAlignment="1">
      <alignment horizontal="center"/>
    </xf>
    <xf numFmtId="0" fontId="1" fillId="0" borderId="0" xfId="0" applyFont="1" applyAlignment="1">
      <alignment wrapText="1"/>
    </xf>
    <xf numFmtId="0" fontId="4" fillId="0" borderId="0" xfId="0" applyFont="1" applyAlignment="1">
      <alignment horizontal="left"/>
    </xf>
    <xf numFmtId="0" fontId="3" fillId="0" borderId="7" xfId="0" applyFont="1" applyBorder="1" applyAlignment="1">
      <alignment horizontal="left"/>
    </xf>
    <xf numFmtId="0" fontId="0" fillId="0" borderId="0" xfId="0" applyAlignment="1">
      <alignment horizontal="left"/>
    </xf>
    <xf numFmtId="0" fontId="10" fillId="9" borderId="2" xfId="0" applyFont="1" applyFill="1" applyBorder="1" applyAlignment="1">
      <alignment horizontal="center" wrapText="1"/>
    </xf>
    <xf numFmtId="0" fontId="10" fillId="9" borderId="5" xfId="0" applyFont="1" applyFill="1" applyBorder="1" applyAlignment="1">
      <alignment horizontal="center" wrapText="1"/>
    </xf>
    <xf numFmtId="0" fontId="9" fillId="7" borderId="3" xfId="0" applyFont="1" applyFill="1" applyBorder="1" applyAlignment="1">
      <alignment horizontal="center"/>
    </xf>
    <xf numFmtId="0" fontId="10" fillId="9" borderId="3" xfId="0" applyFont="1" applyFill="1" applyBorder="1" applyAlignment="1">
      <alignment horizontal="center" wrapText="1"/>
    </xf>
    <xf numFmtId="0" fontId="10" fillId="9" borderId="6" xfId="0" applyFont="1" applyFill="1" applyBorder="1" applyAlignment="1">
      <alignment horizontal="center" wrapText="1"/>
    </xf>
    <xf numFmtId="0" fontId="9" fillId="6" borderId="2" xfId="0" quotePrefix="1" applyFont="1" applyFill="1" applyBorder="1" applyAlignment="1">
      <alignment horizontal="center" wrapText="1"/>
    </xf>
    <xf numFmtId="0" fontId="9" fillId="3" borderId="1" xfId="0" applyFont="1" applyFill="1" applyBorder="1" applyAlignment="1">
      <alignment wrapText="1"/>
    </xf>
    <xf numFmtId="0" fontId="9" fillId="3" borderId="2" xfId="0" applyFont="1" applyFill="1" applyBorder="1" applyAlignment="1">
      <alignment wrapText="1"/>
    </xf>
    <xf numFmtId="0" fontId="10" fillId="5" borderId="2" xfId="0" applyFont="1" applyFill="1" applyBorder="1"/>
    <xf numFmtId="0" fontId="10" fillId="5" borderId="5" xfId="0" applyFont="1" applyFill="1" applyBorder="1"/>
    <xf numFmtId="0" fontId="9" fillId="7" borderId="1" xfId="0" applyFont="1" applyFill="1" applyBorder="1" applyAlignment="1">
      <alignment horizontal="center" wrapText="1"/>
    </xf>
    <xf numFmtId="0" fontId="9" fillId="6" borderId="2" xfId="0" applyFont="1" applyFill="1" applyBorder="1" applyAlignment="1">
      <alignment wrapText="1"/>
    </xf>
    <xf numFmtId="0" fontId="9" fillId="8" borderId="1" xfId="0" applyFont="1" applyFill="1" applyBorder="1" applyAlignment="1">
      <alignment horizontal="center" wrapText="1"/>
    </xf>
    <xf numFmtId="0" fontId="9" fillId="8" borderId="2" xfId="0" applyFont="1" applyFill="1" applyBorder="1" applyAlignment="1">
      <alignment horizontal="center" wrapText="1"/>
    </xf>
    <xf numFmtId="0" fontId="9" fillId="8" borderId="3" xfId="0" applyFont="1" applyFill="1" applyBorder="1" applyAlignment="1">
      <alignment horizontal="center" wrapText="1"/>
    </xf>
    <xf numFmtId="0" fontId="9" fillId="4" borderId="1" xfId="0" applyFont="1" applyFill="1" applyBorder="1"/>
    <xf numFmtId="0" fontId="9" fillId="4" borderId="2" xfId="0" applyFont="1" applyFill="1" applyBorder="1"/>
    <xf numFmtId="0" fontId="9" fillId="4" borderId="3" xfId="0" applyFont="1" applyFill="1" applyBorder="1"/>
    <xf numFmtId="0" fontId="8" fillId="0" borderId="0" xfId="0" applyFont="1" applyAlignment="1">
      <alignment horizontal="center"/>
    </xf>
    <xf numFmtId="0" fontId="13" fillId="10" borderId="0" xfId="0" applyFont="1" applyFill="1"/>
    <xf numFmtId="0" fontId="5" fillId="2" borderId="0" xfId="0" applyFont="1" applyFill="1"/>
    <xf numFmtId="0" fontId="6" fillId="11" borderId="0" xfId="0" applyFont="1" applyFill="1"/>
    <xf numFmtId="0" fontId="6" fillId="0" borderId="8" xfId="0" applyFont="1" applyBorder="1"/>
    <xf numFmtId="0" fontId="10" fillId="3" borderId="4" xfId="0" applyFont="1" applyFill="1" applyBorder="1" applyAlignment="1">
      <alignment horizontal="center" wrapText="1"/>
    </xf>
    <xf numFmtId="0" fontId="10" fillId="3" borderId="5" xfId="0" applyFont="1" applyFill="1" applyBorder="1" applyAlignment="1">
      <alignment horizontal="center" wrapText="1"/>
    </xf>
    <xf numFmtId="0" fontId="10" fillId="8" borderId="4" xfId="0" applyFont="1" applyFill="1" applyBorder="1" applyAlignment="1">
      <alignment horizontal="center" wrapText="1"/>
    </xf>
    <xf numFmtId="0" fontId="10" fillId="8" borderId="5" xfId="0" applyFont="1" applyFill="1" applyBorder="1" applyAlignment="1">
      <alignment horizontal="center" wrapText="1"/>
    </xf>
    <xf numFmtId="0" fontId="10" fillId="8" borderId="6" xfId="0" applyFont="1" applyFill="1" applyBorder="1" applyAlignment="1">
      <alignment horizontal="center" wrapText="1"/>
    </xf>
    <xf numFmtId="0" fontId="10" fillId="4" borderId="5" xfId="0" applyFont="1" applyFill="1" applyBorder="1"/>
    <xf numFmtId="0" fontId="10" fillId="4" borderId="5" xfId="0" applyFont="1" applyFill="1" applyBorder="1" applyAlignment="1">
      <alignment horizontal="center"/>
    </xf>
    <xf numFmtId="0" fontId="10" fillId="4" borderId="5" xfId="0" applyFont="1" applyFill="1" applyBorder="1" applyAlignment="1">
      <alignment horizontal="center" wrapText="1"/>
    </xf>
    <xf numFmtId="0" fontId="10" fillId="4" borderId="6" xfId="0" applyFont="1" applyFill="1" applyBorder="1" applyAlignment="1">
      <alignment horizontal="center" wrapText="1"/>
    </xf>
    <xf numFmtId="0" fontId="10" fillId="6" borderId="4" xfId="0" quotePrefix="1" applyFont="1" applyFill="1" applyBorder="1" applyAlignment="1">
      <alignment horizontal="center" wrapText="1"/>
    </xf>
    <xf numFmtId="0" fontId="10" fillId="6" borderId="5" xfId="0" quotePrefix="1" applyFont="1" applyFill="1" applyBorder="1" applyAlignment="1">
      <alignment horizontal="center" wrapText="1"/>
    </xf>
    <xf numFmtId="0" fontId="10" fillId="6" borderId="5" xfId="0" applyFont="1" applyFill="1" applyBorder="1" applyAlignment="1">
      <alignment horizontal="center"/>
    </xf>
    <xf numFmtId="0" fontId="10" fillId="6" borderId="5" xfId="0" applyFont="1" applyFill="1" applyBorder="1" applyAlignment="1">
      <alignment horizontal="center" wrapText="1"/>
    </xf>
    <xf numFmtId="0" fontId="10" fillId="7" borderId="4" xfId="0" applyFont="1" applyFill="1" applyBorder="1" applyAlignment="1">
      <alignment horizontal="center" wrapText="1"/>
    </xf>
    <xf numFmtId="0" fontId="10" fillId="7" borderId="6" xfId="0" applyFont="1" applyFill="1" applyBorder="1" applyAlignment="1">
      <alignment horizontal="center"/>
    </xf>
    <xf numFmtId="0" fontId="14" fillId="0" borderId="0" xfId="0" applyFont="1" applyProtection="1">
      <protection locked="0"/>
    </xf>
    <xf numFmtId="164" fontId="14" fillId="0" borderId="0" xfId="0" applyNumberFormat="1" applyFont="1" applyProtection="1">
      <protection locked="0"/>
    </xf>
    <xf numFmtId="0" fontId="14" fillId="0" borderId="0" xfId="0" applyFont="1"/>
    <xf numFmtId="0" fontId="14" fillId="10" borderId="0" xfId="0" applyFont="1" applyFill="1" applyProtection="1">
      <protection locked="0"/>
    </xf>
    <xf numFmtId="0" fontId="16" fillId="0" borderId="0" xfId="0" applyFont="1" applyProtection="1">
      <protection locked="0"/>
    </xf>
    <xf numFmtId="0" fontId="14" fillId="2" borderId="0" xfId="0" applyFont="1" applyFill="1" applyProtection="1">
      <protection locked="0"/>
    </xf>
    <xf numFmtId="164" fontId="14" fillId="2" borderId="0" xfId="0" applyNumberFormat="1" applyFont="1" applyFill="1" applyProtection="1">
      <protection locked="0"/>
    </xf>
    <xf numFmtId="0" fontId="14" fillId="2" borderId="0" xfId="0" applyFont="1" applyFill="1"/>
    <xf numFmtId="0" fontId="16" fillId="2" borderId="0" xfId="0" applyFont="1" applyFill="1" applyProtection="1">
      <protection locked="0"/>
    </xf>
    <xf numFmtId="0" fontId="14" fillId="10" borderId="0" xfId="0" applyFont="1" applyFill="1"/>
    <xf numFmtId="164" fontId="14" fillId="0" borderId="0" xfId="0" applyNumberFormat="1" applyFont="1"/>
    <xf numFmtId="164" fontId="14" fillId="2" borderId="0" xfId="0" applyNumberFormat="1" applyFont="1" applyFill="1"/>
    <xf numFmtId="0" fontId="14" fillId="11" borderId="0" xfId="0" applyFont="1" applyFill="1" applyProtection="1">
      <protection locked="0"/>
    </xf>
    <xf numFmtId="0" fontId="14" fillId="12" borderId="0" xfId="0" applyFont="1" applyFill="1" applyProtection="1">
      <protection locked="0"/>
    </xf>
    <xf numFmtId="0" fontId="7" fillId="12" borderId="0" xfId="0" applyFont="1" applyFill="1"/>
    <xf numFmtId="0" fontId="17" fillId="0" borderId="0" xfId="0" applyFont="1"/>
    <xf numFmtId="0" fontId="14" fillId="0" borderId="0" xfId="0" applyFont="1" applyAlignment="1">
      <alignment horizontal="center"/>
    </xf>
    <xf numFmtId="0" fontId="14" fillId="2" borderId="0" xfId="0" applyFont="1" applyFill="1" applyAlignment="1">
      <alignment horizontal="center"/>
    </xf>
    <xf numFmtId="0" fontId="18" fillId="0" borderId="0" xfId="0" applyFont="1"/>
    <xf numFmtId="0" fontId="19" fillId="5" borderId="5" xfId="0" applyFont="1" applyFill="1" applyBorder="1" applyAlignment="1">
      <alignment horizontal="center"/>
    </xf>
    <xf numFmtId="0" fontId="18" fillId="0" borderId="0" xfId="0" applyFont="1" applyProtection="1">
      <protection locked="0"/>
    </xf>
    <xf numFmtId="0" fontId="1" fillId="0" borderId="0" xfId="0" applyFont="1"/>
    <xf numFmtId="0" fontId="6" fillId="0" borderId="0" xfId="0" applyFont="1" applyAlignment="1">
      <alignment wrapText="1"/>
    </xf>
    <xf numFmtId="0" fontId="20" fillId="0" borderId="0" xfId="0" applyFont="1"/>
    <xf numFmtId="0" fontId="21" fillId="0" borderId="0" xfId="0" applyFont="1"/>
    <xf numFmtId="0" fontId="13" fillId="0" borderId="0" xfId="0" applyFont="1"/>
    <xf numFmtId="0" fontId="2" fillId="0" borderId="9" xfId="0" applyFont="1" applyBorder="1" applyAlignment="1">
      <alignment horizontal="center" wrapText="1"/>
    </xf>
    <xf numFmtId="0" fontId="0" fillId="12" borderId="0" xfId="0" applyFill="1" applyAlignment="1">
      <alignment horizontal="center"/>
    </xf>
    <xf numFmtId="0" fontId="0" fillId="0" borderId="0" xfId="0" applyAlignment="1">
      <alignment horizontal="center"/>
    </xf>
    <xf numFmtId="0" fontId="7" fillId="0" borderId="0" xfId="0" applyFont="1" applyAlignment="1">
      <alignment horizontal="center"/>
    </xf>
    <xf numFmtId="0" fontId="5" fillId="0" borderId="0" xfId="0" applyFont="1" applyAlignment="1">
      <alignment horizontal="center"/>
    </xf>
    <xf numFmtId="0" fontId="15" fillId="0" borderId="0" xfId="0" applyFont="1" applyAlignment="1">
      <alignment horizontal="center"/>
    </xf>
    <xf numFmtId="0" fontId="15" fillId="2" borderId="0" xfId="0" applyFont="1" applyFill="1" applyAlignment="1">
      <alignment horizontal="center"/>
    </xf>
    <xf numFmtId="0" fontId="6" fillId="0" borderId="8" xfId="0" applyFont="1" applyBorder="1" applyAlignment="1">
      <alignment horizontal="center"/>
    </xf>
    <xf numFmtId="0" fontId="22" fillId="0" borderId="0" xfId="0" applyFont="1" applyAlignment="1">
      <alignment horizontal="center" wrapText="1"/>
    </xf>
    <xf numFmtId="0" fontId="8" fillId="0" borderId="0" xfId="0" applyFont="1" applyAlignment="1">
      <alignment horizontal="center"/>
    </xf>
    <xf numFmtId="0" fontId="1" fillId="0" borderId="0" xfId="0" applyFont="1" applyAlignment="1">
      <alignment horizontal="center"/>
    </xf>
  </cellXfs>
  <cellStyles count="2">
    <cellStyle name="Normal" xfId="0" builtinId="0"/>
    <cellStyle name="Normal 3" xfId="1" xr:uid="{F65F14EB-4DA5-4D36-9C88-49B63D030095}"/>
  </cellStyles>
  <dxfs count="61">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Calibri Light"/>
        <scheme val="major"/>
      </font>
      <fill>
        <patternFill patternType="none">
          <fgColor indexed="64"/>
          <bgColor indexed="65"/>
        </patternFill>
      </fill>
    </dxf>
    <dxf>
      <font>
        <b val="0"/>
        <i val="0"/>
        <strike val="0"/>
        <condense val="0"/>
        <extend val="0"/>
        <outline val="0"/>
        <shadow val="0"/>
        <u val="none"/>
        <vertAlign val="baseline"/>
        <sz val="10"/>
        <color rgb="FF000000"/>
        <name val="Calibri Light"/>
        <scheme val="major"/>
      </font>
      <fill>
        <patternFill patternType="none">
          <fgColor indexed="64"/>
          <bgColor indexed="65"/>
        </patternFill>
      </fill>
    </dxf>
    <dxf>
      <font>
        <b val="0"/>
        <i val="0"/>
        <strike val="0"/>
        <condense val="0"/>
        <extend val="0"/>
        <outline val="0"/>
        <shadow val="0"/>
        <u val="none"/>
        <vertAlign val="baseline"/>
        <sz val="10"/>
        <color rgb="FF000000"/>
        <name val="Calibri Light"/>
        <scheme val="major"/>
      </font>
      <fill>
        <patternFill patternType="none">
          <fgColor indexed="64"/>
          <bgColor indexed="65"/>
        </patternFill>
      </fill>
    </dxf>
    <dxf>
      <font>
        <b val="0"/>
        <i val="0"/>
        <strike val="0"/>
        <condense val="0"/>
        <extend val="0"/>
        <outline val="0"/>
        <shadow val="0"/>
        <u val="none"/>
        <vertAlign val="baseline"/>
        <sz val="10"/>
        <color rgb="FF000000"/>
        <name val="Calibri Light"/>
        <scheme val="major"/>
      </font>
      <fill>
        <patternFill patternType="none">
          <fgColor indexed="64"/>
          <bgColor indexed="65"/>
        </patternFill>
      </fill>
    </dxf>
    <dxf>
      <font>
        <b val="0"/>
        <i val="0"/>
        <strike val="0"/>
        <condense val="0"/>
        <extend val="0"/>
        <outline val="0"/>
        <shadow val="0"/>
        <u val="none"/>
        <vertAlign val="baseline"/>
        <sz val="10"/>
        <color rgb="FF000000"/>
        <name val="Calibri Light"/>
        <scheme val="major"/>
      </font>
      <fill>
        <patternFill patternType="none">
          <fgColor indexed="64"/>
          <bgColor indexed="65"/>
        </patternFill>
      </fill>
    </dxf>
    <dxf>
      <font>
        <b val="0"/>
        <i val="0"/>
        <strike val="0"/>
        <condense val="0"/>
        <extend val="0"/>
        <outline val="0"/>
        <shadow val="0"/>
        <u val="none"/>
        <vertAlign val="baseline"/>
        <sz val="10"/>
        <color rgb="FF000000"/>
        <name val="Calibri Light"/>
        <scheme val="major"/>
      </font>
      <fill>
        <patternFill patternType="none">
          <fgColor indexed="64"/>
          <bgColor indexed="65"/>
        </patternFill>
      </fill>
    </dxf>
    <dxf>
      <border outline="0">
        <bottom style="thin">
          <color theme="1"/>
        </bottom>
      </border>
    </dxf>
    <dxf>
      <font>
        <b val="0"/>
        <i val="0"/>
        <strike val="0"/>
        <condense val="0"/>
        <extend val="0"/>
        <outline val="0"/>
        <shadow val="0"/>
        <u val="none"/>
        <vertAlign val="baseline"/>
        <sz val="10"/>
        <color rgb="FF000000"/>
        <name val="Calibri Light"/>
        <scheme val="major"/>
      </font>
      <fill>
        <patternFill patternType="none">
          <fgColor indexed="64"/>
          <bgColor indexed="65"/>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Calibri Light"/>
        <family val="2"/>
        <scheme val="major"/>
      </font>
      <alignment horizontal="center"/>
    </dxf>
    <dxf>
      <font>
        <b val="0"/>
        <i val="0"/>
        <strike val="0"/>
        <condense val="0"/>
        <extend val="0"/>
        <outline val="0"/>
        <shadow val="0"/>
        <u val="none"/>
        <vertAlign val="baseline"/>
        <sz val="10"/>
        <color rgb="FF000000"/>
        <name val="Calibri Light"/>
        <family val="2"/>
        <scheme val="major"/>
      </font>
      <alignment horizontal="center"/>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dxf>
    <dxf>
      <font>
        <b val="0"/>
        <i val="0"/>
        <strike val="0"/>
        <condense val="0"/>
        <extend val="0"/>
        <outline val="0"/>
        <shadow val="0"/>
        <u val="none"/>
        <vertAlign val="baseline"/>
        <sz val="10"/>
        <color rgb="FF000000"/>
        <name val="Calibri Light"/>
        <family val="2"/>
        <scheme val="major"/>
      </font>
      <protection locked="0" hidden="0"/>
    </dxf>
    <dxf>
      <font>
        <b val="0"/>
        <i val="0"/>
        <strike val="0"/>
        <condense val="0"/>
        <extend val="0"/>
        <outline val="0"/>
        <shadow val="0"/>
        <u val="none"/>
        <vertAlign val="baseline"/>
        <sz val="10"/>
        <color rgb="FF000000"/>
        <name val="Calibri Light"/>
        <family val="2"/>
        <scheme val="major"/>
      </font>
      <numFmt numFmtId="164" formatCode="[$-809]dd\ mmmm\ yyyy;@"/>
      <protection locked="0" hidden="0"/>
    </dxf>
    <dxf>
      <font>
        <b val="0"/>
        <i val="0"/>
        <strike val="0"/>
        <condense val="0"/>
        <extend val="0"/>
        <outline val="0"/>
        <shadow val="0"/>
        <u val="none"/>
        <vertAlign val="baseline"/>
        <sz val="10"/>
        <color rgb="FF000000"/>
        <name val="Calibri Light"/>
        <family val="2"/>
        <scheme val="major"/>
      </font>
      <protection locked="0" hidden="0"/>
    </dxf>
    <dxf>
      <font>
        <b val="0"/>
        <i val="0"/>
        <strike val="0"/>
        <condense val="0"/>
        <extend val="0"/>
        <outline val="0"/>
        <shadow val="0"/>
        <u val="none"/>
        <vertAlign val="baseline"/>
        <sz val="10"/>
        <color rgb="FF000000"/>
        <name val="Calibri Light"/>
        <family val="2"/>
        <scheme val="major"/>
      </font>
      <protection locked="0" hidden="0"/>
    </dxf>
    <dxf>
      <font>
        <b val="0"/>
        <i val="0"/>
        <strike val="0"/>
        <condense val="0"/>
        <extend val="0"/>
        <outline val="0"/>
        <shadow val="0"/>
        <u val="none"/>
        <vertAlign val="baseline"/>
        <sz val="10"/>
        <color rgb="FF000000"/>
        <name val="Calibri Light"/>
        <family val="2"/>
        <scheme val="major"/>
      </font>
      <protection locked="0" hidden="0"/>
    </dxf>
    <dxf>
      <font>
        <b val="0"/>
        <i val="0"/>
        <strike val="0"/>
        <condense val="0"/>
        <extend val="0"/>
        <outline val="0"/>
        <shadow val="0"/>
        <u val="none"/>
        <vertAlign val="baseline"/>
        <sz val="10"/>
        <color rgb="FF000000"/>
        <name val="Calibri Light"/>
        <family val="2"/>
        <scheme val="major"/>
      </font>
      <protection locked="0" hidden="0"/>
    </dxf>
    <dxf>
      <border outline="0">
        <bottom style="medium">
          <color rgb="FF000000"/>
        </bottom>
      </border>
    </dxf>
    <dxf>
      <font>
        <b val="0"/>
        <i val="0"/>
        <strike val="0"/>
        <condense val="0"/>
        <extend val="0"/>
        <outline val="0"/>
        <shadow val="0"/>
        <u val="none"/>
        <vertAlign val="baseline"/>
        <sz val="10"/>
        <color rgb="FF000000"/>
        <name val="Calibri Light"/>
        <family val="2"/>
        <scheme val="major"/>
      </font>
    </dxf>
    <dxf>
      <font>
        <color rgb="FF000000"/>
      </font>
    </dxf>
    <dxf>
      <font>
        <color rgb="FF9C0006"/>
      </font>
      <fill>
        <patternFill>
          <bgColor rgb="FFFFC7CE"/>
        </patternFill>
      </fill>
    </dxf>
  </dxfs>
  <tableStyles count="1" defaultTableStyle="TableStyleMedium2" defaultPivotStyle="PivotStyleLight16">
    <tableStyle name="Invisible" pivot="0" table="0" count="0" xr9:uid="{70957E05-AB34-4AAC-A938-26D2871358FC}"/>
  </tableStyles>
  <colors>
    <mruColors>
      <color rgb="FFB9FF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BENNETT, Nicholas (LEEDS TEACHING HOSPITALS NHS TRUST)" id="{BB57A693-F5B0-453D-ADFB-5207CBBAD0AA}" userId="S::n.bennett7@nhs.net::7f79b6ca-9579-41c7-ac49-041a823c0562" providerId="AD"/>
  <person displayName="HYDE, Mitchell (LEEDS TEACHING HOSPITALS NHS TRUST)" id="{98B691B4-4E7C-4E63-A6E7-2495164F8809}" userId="S::mitchell.hyde@nhs.net::ccab8074-09c3-41dc-b3a6-a500ebe63a0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527EE-1A8E-4E79-B9A7-13E2ABBDB41F}" name="Table1" displayName="Table1" ref="A7:AS147" totalsRowShown="0" headerRowDxfId="59" dataDxfId="58" headerRowBorderDxfId="57">
  <autoFilter ref="A7:AS147" xr:uid="{8AB527EE-1A8E-4E79-B9A7-13E2ABBDB41F}"/>
  <tableColumns count="45">
    <tableColumn id="1" xr3:uid="{05B502EC-78FF-4BA4-A888-E3C2555974E5}" name="Specimen number" dataDxfId="56"/>
    <tableColumn id="2" xr3:uid="{CEA125DA-5C9D-4CA5-85DD-EE41129C7608}" name="NHS numbers" dataDxfId="55"/>
    <tableColumn id="3" xr3:uid="{A7183E4A-F0AF-4670-B1F4-CF4C5466A01C}" name="Notes" dataDxfId="54"/>
    <tableColumn id="4" xr3:uid="{341923AF-BB3C-4D2C-B56F-40FF8A04C932}" name="Notes2" dataDxfId="53"/>
    <tableColumn id="5" xr3:uid="{FB04F147-5F49-439C-814B-1B44169D92C6}" name="DOB" dataDxfId="52"/>
    <tableColumn id="6" xr3:uid="{47159F46-CEB6-4CA8-89F4-5F73CC6B79FA}" name="Gender" dataDxfId="51"/>
    <tableColumn id="7" xr3:uid="{D13CB493-300F-40F4-8603-93E846D1B7CD}" name="Dissent Y/N" dataDxfId="50"/>
    <tableColumn id="8" xr3:uid="{50E2B985-E9FA-4A72-B161-2CDF43863C03}" name="Consent" dataDxfId="49"/>
    <tableColumn id="9" xr3:uid="{D1511826-7631-4964-82E7-683136A6B17D}" name="Form Incomplete" dataDxfId="48"/>
    <tableColumn id="10" xr3:uid="{17DC5094-8203-4FF3-81F7-7F59D4982AC3}" name="Form missing" dataDxfId="47"/>
    <tableColumn id="11" xr3:uid="{202A4314-36A5-442A-A317-ECE7F8D39249}" name="No. small slides from CellNass" dataDxfId="46"/>
    <tableColumn id="12" xr3:uid="{6ED66B8B-A297-44DF-95B1-4701F5167783}" name="No. large slides from CellNass" dataDxfId="45"/>
    <tableColumn id="13" xr3:uid="{1AE12FF9-22BF-4307-9D61-677178FC948D}" name="Total no. of slides recieved from CellNass" dataDxfId="44"/>
    <tableColumn id="14" xr3:uid="{F19E2E82-B0EA-4954-AAD2-43B4647D4464}" name="Slides Collected" dataDxfId="43"/>
    <tableColumn id="15" xr3:uid="{4A3727D1-80E4-47EE-90BA-F16180A0CDC2}" name="CoPath (SC)" dataDxfId="42"/>
    <tableColumn id="16" xr3:uid="{E860D52F-64F7-4710-955B-0F8BBC291F91}" name="Slides Missing (if any…)" dataDxfId="41"/>
    <tableColumn id="17" xr3:uid="{B89229B9-B604-4967-81DE-E4580D6E06F5}" name="P1" dataDxfId="40"/>
    <tableColumn id="18" xr3:uid="{6315448A-D871-4E01-8D8F-8325A6438DF8}" name="P2" dataDxfId="39"/>
    <tableColumn id="19" xr3:uid="{68B5AF1E-BEC7-43B0-8E43-83E2882256F5}" name="P3" dataDxfId="38"/>
    <tableColumn id="20" xr3:uid="{4B2DCE2E-85DA-41BE-B08E-F33D27F1045A}" name="P4" dataDxfId="37"/>
    <tableColumn id="21" xr3:uid="{D32DA929-2723-4746-845E-33D8C9FA6134}" name="P5" dataDxfId="36"/>
    <tableColumn id="22" xr3:uid="{738E4AA2-09B1-4767-B417-20C1F4A51ABE}" name="M1" dataDxfId="35"/>
    <tableColumn id="23" xr3:uid="{E88A9118-D3D8-4EDF-8988-C1ACD4777B1A}" name="M2" dataDxfId="34"/>
    <tableColumn id="24" xr3:uid="{B4B86234-5BB3-4E88-A49E-73EBA1C2A360}" name="M3" dataDxfId="33"/>
    <tableColumn id="25" xr3:uid="{6BCDDCCB-61A6-4542-B141-E4DFD6DBFA3B}" name="M4" dataDxfId="32"/>
    <tableColumn id="26" xr3:uid="{38DA8805-9824-4447-9F1A-DA07EB10F6FE}" name="M5" dataDxfId="31"/>
    <tableColumn id="27" xr3:uid="{648F5BBB-1E26-41E8-A75E-AA65B37D8131}" name="N" dataDxfId="30"/>
    <tableColumn id="28" xr3:uid="{FAE86BA3-583C-4770-8AAA-420CA3BC1FC9}" name="S" dataDxfId="29"/>
    <tableColumn id="29" xr3:uid="{89490B1E-3871-40E1-A840-1E6FD50C3C62}" name="X" dataDxfId="28"/>
    <tableColumn id="30" xr3:uid="{D3B79117-60F8-4FAD-AEFF-D6A8EB97C8F3}" name="CoPath (SS)" dataDxfId="27"/>
    <tableColumn id="31" xr3:uid="{B15BBF88-3DB2-48E4-B101-3753D87A226C}" name="Notes3" dataDxfId="26"/>
    <tableColumn id="32" xr3:uid="{50CBF73C-C575-4DA7-97B1-6EDA18F7324B}" name="X Blocks in Archive" dataDxfId="25"/>
    <tableColumn id="33" xr3:uid="{A15900FD-0009-4568-ABF4-A31CDEED2C2B}" name="X Blocks missing from Archive" dataDxfId="24"/>
    <tableColumn id="34" xr3:uid="{DF0C00B5-84FA-41E2-91DA-D5EE1EDF62FA}" name="Blocks recieved from CellNass" dataDxfId="23"/>
    <tableColumn id="35" xr3:uid="{6FE001F5-B020-4E7F-8D14-AFF97C62B08A}" name="Notes4" dataDxfId="22"/>
    <tableColumn id="36" xr3:uid="{76663FB0-4845-4519-9628-F1A5D043A849}" name="P" dataDxfId="21"/>
    <tableColumn id="37" xr3:uid="{D4438DF0-8F4E-41C5-B8E6-0B99AD286197}" name="P6" dataDxfId="20"/>
    <tableColumn id="38" xr3:uid="{423486EE-F71A-4D03-864C-FF8D9D3D3D59}" name="M" dataDxfId="19"/>
    <tableColumn id="39" xr3:uid="{48E950C4-57FC-4DC8-B97F-5936CEE4E585}" name="M7" dataDxfId="18"/>
    <tableColumn id="40" xr3:uid="{2664685D-F5E2-4A51-95DF-7D857A06E833}" name="N8" dataDxfId="17"/>
    <tableColumn id="41" xr3:uid="{39BC7626-BE5B-4BD0-BE9A-B0AA3076F55A}" name="CoPath (BC)" dataDxfId="16"/>
    <tableColumn id="42" xr3:uid="{7CA471E6-8415-47F2-ADAB-1008062BEE9D}" name="CoPath (Tristar)" dataDxfId="15"/>
    <tableColumn id="43" xr3:uid="{FFAD1A36-609A-458B-BF2A-018ADD1CB9FB}" name="Notes9" dataDxfId="14"/>
    <tableColumn id="44" xr3:uid="{6BF5FA7B-44A4-4298-8CFC-4ACAEAEDBB12}" name="Scanned?" dataDxfId="13"/>
    <tableColumn id="45" xr3:uid="{74673C3B-FA89-406B-918B-74A91A55A97F}" name="CoPath (post scan)" dataDxfId="1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2821FD-ACCD-4B4A-B420-43D3C9DECCBD}" name="Table2" displayName="Table2" ref="A1:F141" totalsRowShown="0" dataDxfId="9" tableBorderDxfId="8">
  <autoFilter ref="A1:F141" xr:uid="{402821FD-ACCD-4B4A-B420-43D3C9DECCBD}">
    <filterColumn colId="2">
      <filters>
        <filter val="A1"/>
        <filter val="A10"/>
        <filter val="A2"/>
        <filter val="A3"/>
        <filter val="A4"/>
        <filter val="A5"/>
        <filter val="A5[L]"/>
        <filter val="A6"/>
        <filter val="A9"/>
        <filter val="B1"/>
        <filter val="B10"/>
        <filter val="B3"/>
        <filter val="B4"/>
        <filter val="B5"/>
        <filter val="B6"/>
        <filter val="B7"/>
        <filter val="B9"/>
        <filter val="C13"/>
        <filter val="C15"/>
        <filter val="C3"/>
        <filter val="C4"/>
        <filter val="C5"/>
        <filter val="C6"/>
        <filter val="C9"/>
        <filter val="D4"/>
        <filter val="D5"/>
        <filter val="D6"/>
        <filter val="D7"/>
        <filter val="E4"/>
        <filter val="E5"/>
        <filter val="E8"/>
        <filter val="F4"/>
        <filter val="F5"/>
        <filter val="F7"/>
        <filter val="K8"/>
      </filters>
    </filterColumn>
  </autoFilter>
  <tableColumns count="6">
    <tableColumn id="1" xr3:uid="{4B4D8F68-4DC1-4A3C-BA63-53E58AA9151B}" name="Specimen" dataDxfId="7"/>
    <tableColumn id="2" xr3:uid="{B6BC0403-A722-4767-AEE8-182C889227E2}" name="NHS" dataDxfId="6"/>
    <tableColumn id="3" xr3:uid="{54BB09B6-3A4E-4C78-94EB-19C46B5E0926}" name="P" dataDxfId="5"/>
    <tableColumn id="4" xr3:uid="{36D8760F-67F3-4E75-9190-DF89B624373D}" name="P2" dataDxfId="4"/>
    <tableColumn id="5" xr3:uid="{2B08164F-04D7-43CB-B294-3921A5B7433D}" name="M" dataDxfId="3"/>
    <tableColumn id="6" xr3:uid="{7A28FB28-38CF-475F-9ABA-BDF1ED6037C9}" name="M3"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0" dT="2025-03-18T09:21:40.16" personId="{BB57A693-F5B0-453D-ADFB-5207CBBAD0AA}" id="{77FF1B5A-2388-49C2-BA1E-A2DB55346C94}">
    <text>BRONCHUS</text>
  </threadedComment>
  <threadedComment ref="AA11" dT="2025-03-18T09:22:30.63" personId="{BB57A693-F5B0-453D-ADFB-5207CBBAD0AA}" id="{177447CD-95C2-4309-B3E5-428BD9DE02EB}">
    <text>1 - BRONCHUS, 5 - LUNG</text>
  </threadedComment>
  <threadedComment ref="N14" dT="2025-03-07T07:57:29.07" personId="{98B691B4-4E7C-4E63-A6E7-2495164F8809}" id="{C486E96D-472D-4CE7-8C1B-C4598B9D133E}">
    <text xml:space="preserve">Accidentally ordered - to be returned </text>
  </threadedComment>
  <threadedComment ref="AA15" dT="2025-03-18T09:24:49.45" personId="{BB57A693-F5B0-453D-ADFB-5207CBBAD0AA}" id="{0149DBA2-0A80-4BDC-B51A-8526CCD8E0E6}">
    <text>LUNG</text>
  </threadedComment>
  <threadedComment ref="N18" dT="2025-03-06T07:16:17.24" personId="{BB57A693-F5B0-453D-ADFB-5207CBBAD0AA}" id="{441DCB31-E460-49EA-901B-846E8E283F9A}">
    <text>D3 [L] broken</text>
  </threadedComment>
  <threadedComment ref="Q18" dT="2025-03-18T10:12:40.39" personId="{BB57A693-F5B0-453D-ADFB-5207CBBAD0AA}" id="{E153C4E9-92BD-429B-8244-2494B7EE36D3}">
    <text>BROKEN UTS</text>
  </threadedComment>
  <threadedComment ref="N19" dT="2025-03-06T07:31:25.13" personId="{BB57A693-F5B0-453D-ADFB-5207CBBAD0AA}" id="{0120A852-87E4-4B64-8CFD-08F98196CC05}">
    <text>A4 BHE(?) broken</text>
  </threadedComment>
  <threadedComment ref="AA21" dT="2025-03-18T11:44:35.88" personId="{BB57A693-F5B0-453D-ADFB-5207CBBAD0AA}" id="{F6C9F234-0F80-4174-8C3C-09FD314CB835}">
    <text>B13 - LUNG, B2 - BRONCHUS</text>
  </threadedComment>
  <threadedComment ref="AA29" dT="2025-03-18T11:53:50.14" personId="{BB57A693-F5B0-453D-ADFB-5207CBBAD0AA}" id="{28F1407F-A674-4010-80BC-B8C447BFDCC5}">
    <text>LUNG</text>
  </threadedComment>
  <threadedComment ref="AA46" dT="2025-03-18T11:55:01.96" personId="{BB57A693-F5B0-453D-ADFB-5207CBBAD0AA}" id="{56AD0244-3486-4859-BFA4-CEBCBD21BFD0}">
    <text>LUNG</text>
  </threadedComment>
  <threadedComment ref="AA48" dT="2025-03-18T11:55:22.07" personId="{BB57A693-F5B0-453D-ADFB-5207CBBAD0AA}" id="{472C8C86-56F9-4F0C-B1A1-3E3A2E6A2301}">
    <text>LUNG</text>
  </threadedComment>
  <threadedComment ref="AA52" dT="2025-03-18T11:45:39.85" personId="{BB57A693-F5B0-453D-ADFB-5207CBBAD0AA}" id="{7CDC272D-6B1E-4ED7-84E9-1394E0F0C2BC}">
    <text>LUNG</text>
  </threadedComment>
  <threadedComment ref="AA55" dT="2025-03-18T09:40:46.91" personId="{BB57A693-F5B0-453D-ADFB-5207CBBAD0AA}" id="{45D51B3B-39F7-4373-A069-BCB2194685CE}">
    <text>B1 - BRONCHUS, B25 - LUNG</text>
  </threadedComment>
  <threadedComment ref="AA56" dT="2025-03-18T09:46:27.45" personId="{BB57A693-F5B0-453D-ADFB-5207CBBAD0AA}" id="{C550538B-4753-4DC5-A597-66555C2AB189}">
    <text>A1 - BRONCHUS, A12 - LUNG</text>
  </threadedComment>
  <threadedComment ref="AA63" dT="2025-03-18T11:47:13.77" personId="{BB57A693-F5B0-453D-ADFB-5207CBBAD0AA}" id="{63364412-B525-4E45-88BC-D96D6D878482}">
    <text>LUNG</text>
  </threadedComment>
  <threadedComment ref="AA70" dT="2025-03-18T11:47:46.96" personId="{BB57A693-F5B0-453D-ADFB-5207CBBAD0AA}" id="{EF3CD8CF-2B75-41EC-A7B4-C367DC8173FB}">
    <text>BRONCHUS</text>
  </threadedComment>
  <threadedComment ref="AA74" dT="2025-03-18T11:56:40.43" personId="{BB57A693-F5B0-453D-ADFB-5207CBBAD0AA}" id="{E7F22B0A-0C6D-434C-9015-93F2E9EC72B9}">
    <text>BRONCHUS</text>
  </threadedComment>
  <threadedComment ref="AA75" dT="2025-03-18T11:57:01.98" personId="{BB57A693-F5B0-453D-ADFB-5207CBBAD0AA}" id="{119CAB93-4387-4965-B116-DBFE0CA927A9}">
    <text>LUNG</text>
  </threadedComment>
  <threadedComment ref="AA80" dT="2025-03-18T11:57:38.57" personId="{BB57A693-F5B0-453D-ADFB-5207CBBAD0AA}" id="{1AED5BAC-ACA4-423E-8FF7-6A7F43B4DC1C}">
    <text>D12 - LUNG, D8 - BRONCHUS</text>
  </threadedComment>
  <threadedComment ref="AA81" dT="2025-03-18T11:57:54.34" personId="{BB57A693-F5B0-453D-ADFB-5207CBBAD0AA}" id="{127D0948-FB84-453E-8705-BB90F7B2543E}">
    <text>LUNG</text>
  </threadedComment>
  <threadedComment ref="AA83" dT="2025-03-18T09:51:49.82" personId="{BB57A693-F5B0-453D-ADFB-5207CBBAD0AA}" id="{7C3921D4-6828-47A1-BC42-256ABB2FCBAF}">
    <text>BRONCHUS</text>
  </threadedComment>
  <threadedComment ref="AA89" dT="2025-03-18T11:58:47.45" personId="{BB57A693-F5B0-453D-ADFB-5207CBBAD0AA}" id="{03B178CC-FD2C-4546-8FA9-CD56B24C1202}">
    <text>BRONCHUS</text>
  </threadedComment>
  <threadedComment ref="AA96" dT="2025-03-18T09:53:35.46" personId="{BB57A693-F5B0-453D-ADFB-5207CBBAD0AA}" id="{99015466-3C5F-4C13-BF59-203803243D9D}">
    <text>LUNG</text>
  </threadedComment>
  <threadedComment ref="AA99" dT="2025-03-18T11:48:22.01" personId="{BB57A693-F5B0-453D-ADFB-5207CBBAD0AA}" id="{468AE315-8AC2-4789-8040-19F42E276FCB}">
    <text>BRONCHUS</text>
  </threadedComment>
  <threadedComment ref="AA100" dT="2025-03-18T11:48:38.82" personId="{BB57A693-F5B0-453D-ADFB-5207CBBAD0AA}" id="{40D4AD75-F11A-4D71-98DC-CE7FF573D9F6}">
    <text>LUNG</text>
  </threadedComment>
  <threadedComment ref="AA101" dT="2025-03-18T09:54:31.48" personId="{BB57A693-F5B0-453D-ADFB-5207CBBAD0AA}" id="{D98112A6-1040-4AD5-8222-6750B521A1C7}">
    <text>LUNG</text>
  </threadedComment>
  <threadedComment ref="AA102" dT="2025-03-18T11:59:40.83" personId="{BB57A693-F5B0-453D-ADFB-5207CBBAD0AA}" id="{EDF14B37-DD2A-4CFF-891F-C0C02A426C59}">
    <text>LUNG</text>
  </threadedComment>
  <threadedComment ref="AA103" dT="2025-03-18T11:59:59.64" personId="{BB57A693-F5B0-453D-ADFB-5207CBBAD0AA}" id="{757EE1D2-253D-42FE-BFD2-49281E717473}">
    <text>LUNG</text>
  </threadedComment>
  <threadedComment ref="AA105" dT="2025-03-18T12:00:16.47" personId="{BB57A693-F5B0-453D-ADFB-5207CBBAD0AA}" id="{D6E1890F-C667-4FC4-B06D-49AA442227D0}">
    <text>LUNG</text>
  </threadedComment>
  <threadedComment ref="AA107" dT="2025-03-18T09:56:10.15" personId="{BB57A693-F5B0-453D-ADFB-5207CBBAD0AA}" id="{B7ACD695-C5AF-4F08-A346-CA3A79956981}">
    <text>B6 - BRONCHUS, B12 - LUNG</text>
  </threadedComment>
  <threadedComment ref="AA108" dT="2025-03-18T12:00:48.75" personId="{BB57A693-F5B0-453D-ADFB-5207CBBAD0AA}" id="{8942FE63-7613-49B8-BF10-DC342FA01C68}">
    <text>B2 - BRONCHUS, B19 - LUNG</text>
  </threadedComment>
  <threadedComment ref="AA109" dT="2025-03-18T12:01:01.35" personId="{BB57A693-F5B0-453D-ADFB-5207CBBAD0AA}" id="{4F95AC7B-60B3-42B7-9582-B7F5AEA1E5ED}">
    <text>LUNG</text>
  </threadedComment>
  <threadedComment ref="AA117" dT="2025-03-18T09:58:30.33" personId="{BB57A693-F5B0-453D-ADFB-5207CBBAD0AA}" id="{31D88937-53D0-4BD2-B641-1B12E2AC3259}">
    <text>LUNG</text>
  </threadedComment>
  <threadedComment ref="AA124" dT="2025-03-18T12:01:51.44" personId="{BB57A693-F5B0-453D-ADFB-5207CBBAD0AA}" id="{AAA5E24A-1F2C-4B73-B505-7CFFAA4C23B4}">
    <text>LUNG</text>
  </threadedComment>
  <threadedComment ref="AA130" dT="2025-03-18T12:02:21.90" personId="{BB57A693-F5B0-453D-ADFB-5207CBBAD0AA}" id="{2C175908-3B4C-46FF-AAA1-AFFBAE375E65}">
    <text>LUNG</text>
  </threadedComment>
  <threadedComment ref="AA131" dT="2025-03-18T10:02:48.60" personId="{BB57A693-F5B0-453D-ADFB-5207CBBAD0AA}" id="{9974223E-54E1-44E7-BDE7-AA5BF61F1C5C}">
    <text>BRONCHUS</text>
  </threadedComment>
  <threadedComment ref="AA135" dT="2025-03-18T12:02:37.85" personId="{BB57A693-F5B0-453D-ADFB-5207CBBAD0AA}" id="{FCD0113D-40B3-4966-B536-760B14E9E470}">
    <text>LUNG</text>
  </threadedComment>
  <threadedComment ref="AA136" dT="2025-03-18T12:02:52.27" personId="{BB57A693-F5B0-453D-ADFB-5207CBBAD0AA}" id="{53FB316F-D359-4D5A-BDDE-2DBAA855FD32}">
    <text>BRONCHUS</text>
  </threadedComment>
  <threadedComment ref="AA142" dT="2025-03-18T10:07:15.67" personId="{BB57A693-F5B0-453D-ADFB-5207CBBAD0AA}" id="{423AD1B3-64E6-4E69-AA1F-5C8BD6AFCAF3}">
    <text>LUNG</text>
  </threadedComment>
  <threadedComment ref="AA147" dT="2025-03-18T10:10:53.34" personId="{BB57A693-F5B0-453D-ADFB-5207CBBAD0AA}" id="{6A095E75-908A-4DCA-9B1B-48D884E2B209}">
    <text>K3 - BRONCHUS, K20 - LUNG</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5-09-18T10:23:26.81" personId="{98B691B4-4E7C-4E63-A6E7-2495164F8809}" id="{866A81EC-236A-4C0F-A3CC-E2377826F992}">
    <text>1 MISSING SMALL SLIDE IN NORMAL 4 BRONCHUS</text>
  </threadedComment>
  <threadedComment ref="F5" dT="2025-09-18T10:24:08.69" personId="{98B691B4-4E7C-4E63-A6E7-2495164F8809}" id="{0CD6F705-0F62-4A9C-B215-8F7AC19E225E}">
    <text>MISSING 1 SMALL SLIDE IN NORMAL 4 BRONCHUS</text>
  </threadedComment>
</ThreadedComments>
</file>

<file path=xl/threadedComments/threadedComment3.xml><?xml version="1.0" encoding="utf-8"?>
<ThreadedComments xmlns="http://schemas.microsoft.com/office/spreadsheetml/2018/threadedcomments" xmlns:x="http://schemas.openxmlformats.org/spreadsheetml/2006/main">
  <threadedComment ref="B71" dT="2025-07-14T08:57:27.67" personId="{98B691B4-4E7C-4E63-A6E7-2495164F8809}" id="{C50FB178-AEF4-4C89-A169-CF5067DDC6D4}" done="1">
    <text>HAVE C4 NEED TO SWAP FOR C9</text>
  </threadedComment>
  <threadedComment ref="B75" dT="2025-07-14T08:58:37.97" personId="{98B691B4-4E7C-4E63-A6E7-2495164F8809}" id="{1A82A7C0-8D99-4762-96AB-C4FF5A1B87AE}" done="1">
    <text>HAVE B5, SWAP FOR B4</text>
  </threadedComment>
  <threadedComment ref="B85" dT="2025-07-14T09:00:24.31" personId="{98B691B4-4E7C-4E63-A6E7-2495164F8809}" id="{93338BE5-3B5A-4233-A29D-25D210D298B0}" done="1">
    <text>NOT IN BOX?</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S149"/>
  <sheetViews>
    <sheetView tabSelected="1" zoomScale="90" zoomScaleNormal="90" workbookViewId="0">
      <pane xSplit="3" ySplit="7" topLeftCell="M104" activePane="bottomRight" state="frozen"/>
      <selection pane="bottomRight" activeCell="A115" sqref="A115:XFD115"/>
      <selection pane="bottomLeft"/>
      <selection pane="topRight"/>
    </sheetView>
  </sheetViews>
  <sheetFormatPr defaultColWidth="9" defaultRowHeight="15" customHeight="1"/>
  <cols>
    <col min="1" max="1" width="12.25" style="6" customWidth="1"/>
    <col min="2" max="2" width="13" style="6" hidden="1" customWidth="1"/>
    <col min="3" max="3" width="26.875" style="6" hidden="1" customWidth="1"/>
    <col min="4" max="4" width="16.25" style="6" customWidth="1"/>
    <col min="5" max="5" width="17.25" style="6" customWidth="1"/>
    <col min="6" max="6" width="11" style="6" customWidth="1"/>
    <col min="7" max="7" width="13.375" style="6" customWidth="1"/>
    <col min="8" max="8" width="11" style="6" customWidth="1"/>
    <col min="9" max="9" width="28" style="6" customWidth="1"/>
    <col min="10" max="10" width="13" style="6" customWidth="1"/>
    <col min="11" max="13" width="19.875" style="6" customWidth="1"/>
    <col min="14" max="14" width="37.125" style="6" customWidth="1"/>
    <col min="15" max="15" width="13.5" style="6" customWidth="1"/>
    <col min="16" max="16" width="23.875" style="6" customWidth="1"/>
    <col min="17" max="18" width="5.5" style="6" customWidth="1"/>
    <col min="19" max="19" width="6.75" style="6" customWidth="1"/>
    <col min="20" max="20" width="6.5" style="6" customWidth="1"/>
    <col min="21" max="21" width="7.25" style="6" customWidth="1"/>
    <col min="22" max="26" width="5.875" style="6" customWidth="1"/>
    <col min="27" max="27" width="6.875" style="6" customWidth="1"/>
    <col min="28" max="28" width="19.25" style="6" customWidth="1"/>
    <col min="29" max="29" width="16.5" style="6" bestFit="1" customWidth="1"/>
    <col min="30" max="30" width="13.375" style="6" customWidth="1"/>
    <col min="31" max="31" width="20.375" style="6" customWidth="1"/>
    <col min="32" max="32" width="9.875" style="6" customWidth="1"/>
    <col min="33" max="33" width="11.625" style="6" customWidth="1"/>
    <col min="34" max="34" width="19.875" style="6" customWidth="1"/>
    <col min="35" max="35" width="14.375" style="6" customWidth="1"/>
    <col min="36" max="40" width="9.625" style="6" customWidth="1"/>
    <col min="41" max="41" width="13.625" style="6" bestFit="1" customWidth="1"/>
    <col min="42" max="42" width="16.875" style="6" bestFit="1" customWidth="1"/>
    <col min="43" max="43" width="11" style="6"/>
    <col min="44" max="44" width="11.25" style="85" bestFit="1" customWidth="1"/>
    <col min="45" max="45" width="31.75" style="85" bestFit="1" customWidth="1"/>
    <col min="46" max="16384" width="9" style="6"/>
  </cols>
  <sheetData>
    <row r="1" spans="1:45" s="8" customFormat="1" ht="21">
      <c r="A1" s="7"/>
      <c r="B1" s="8" t="s">
        <v>0</v>
      </c>
      <c r="AF1" s="90" t="s">
        <v>1</v>
      </c>
      <c r="AG1" s="90"/>
      <c r="AH1" s="90"/>
      <c r="AI1" s="90"/>
      <c r="AJ1" s="90"/>
      <c r="AK1" s="90"/>
      <c r="AL1" s="90"/>
      <c r="AM1" s="90"/>
      <c r="AN1" s="90"/>
      <c r="AO1" s="90"/>
      <c r="AP1" s="90"/>
      <c r="AQ1" s="90"/>
      <c r="AR1" s="84"/>
      <c r="AS1" s="84"/>
    </row>
    <row r="2" spans="1:45" s="8" customFormat="1" ht="21">
      <c r="A2" s="36" t="s">
        <v>2</v>
      </c>
      <c r="AF2" s="35"/>
      <c r="AG2" s="35"/>
      <c r="AH2" s="35"/>
      <c r="AI2" s="35"/>
      <c r="AJ2" s="35"/>
      <c r="AK2" s="35"/>
      <c r="AL2" s="35"/>
      <c r="AM2" s="35"/>
      <c r="AN2" s="35"/>
      <c r="AO2" s="35"/>
      <c r="AP2" s="35"/>
      <c r="AQ2" s="35"/>
      <c r="AR2" s="84"/>
      <c r="AS2" s="84"/>
    </row>
    <row r="3" spans="1:45" ht="24" customHeight="1">
      <c r="A3" s="38" t="s">
        <v>3</v>
      </c>
    </row>
    <row r="4" spans="1:45" ht="24" customHeight="1">
      <c r="A4" s="69" t="s">
        <v>4</v>
      </c>
      <c r="B4" s="8"/>
      <c r="G4" s="70"/>
      <c r="H4" s="70"/>
      <c r="I4" s="77" t="s">
        <v>5</v>
      </c>
    </row>
    <row r="5" spans="1:45" ht="24" customHeight="1">
      <c r="A5" s="80" t="s">
        <v>6</v>
      </c>
      <c r="B5" s="8"/>
      <c r="G5" s="70"/>
      <c r="H5" s="70"/>
      <c r="I5" s="77"/>
    </row>
    <row r="6" spans="1:45" s="8" customFormat="1" ht="21.75" customHeight="1">
      <c r="A6" s="23"/>
      <c r="B6" s="24"/>
      <c r="C6" s="24"/>
      <c r="D6" s="29"/>
      <c r="E6" s="30" t="s">
        <v>7</v>
      </c>
      <c r="F6" s="31"/>
      <c r="G6" s="32"/>
      <c r="H6" s="33"/>
      <c r="I6" s="33" t="s">
        <v>8</v>
      </c>
      <c r="J6" s="34"/>
      <c r="K6" s="17"/>
      <c r="L6" s="17"/>
      <c r="M6" s="20"/>
      <c r="N6" s="25"/>
      <c r="O6" s="9"/>
      <c r="P6" s="9"/>
      <c r="Q6" s="25" t="s">
        <v>9</v>
      </c>
      <c r="R6" s="25"/>
      <c r="S6" s="25"/>
      <c r="T6" s="25"/>
      <c r="U6" s="25"/>
      <c r="V6" s="25"/>
      <c r="W6" s="25"/>
      <c r="X6" s="25"/>
      <c r="Y6" s="25"/>
      <c r="Z6" s="25"/>
      <c r="AA6" s="25"/>
      <c r="AB6" s="25"/>
      <c r="AC6" s="25"/>
      <c r="AD6" s="9"/>
      <c r="AE6" s="9"/>
      <c r="AF6" s="10"/>
      <c r="AG6" s="11"/>
      <c r="AH6" s="22"/>
      <c r="AI6" s="11"/>
      <c r="AJ6" s="11" t="s">
        <v>10</v>
      </c>
      <c r="AK6" s="11"/>
      <c r="AL6" s="11"/>
      <c r="AM6" s="11"/>
      <c r="AN6" s="11"/>
      <c r="AO6" s="11"/>
      <c r="AP6" s="11"/>
      <c r="AQ6" s="28"/>
      <c r="AR6" s="27"/>
      <c r="AS6" s="19"/>
    </row>
    <row r="7" spans="1:45" s="8" customFormat="1" ht="31.5" customHeight="1">
      <c r="A7" s="40" t="s">
        <v>11</v>
      </c>
      <c r="B7" s="41" t="s">
        <v>12</v>
      </c>
      <c r="C7" s="41" t="s">
        <v>13</v>
      </c>
      <c r="D7" s="42" t="s">
        <v>14</v>
      </c>
      <c r="E7" s="43" t="s">
        <v>15</v>
      </c>
      <c r="F7" s="44" t="s">
        <v>16</v>
      </c>
      <c r="G7" s="45" t="s">
        <v>17</v>
      </c>
      <c r="H7" s="46" t="s">
        <v>18</v>
      </c>
      <c r="I7" s="47" t="s">
        <v>19</v>
      </c>
      <c r="J7" s="48" t="s">
        <v>20</v>
      </c>
      <c r="K7" s="18" t="s">
        <v>21</v>
      </c>
      <c r="L7" s="18" t="s">
        <v>22</v>
      </c>
      <c r="M7" s="21" t="s">
        <v>23</v>
      </c>
      <c r="N7" s="26" t="s">
        <v>24</v>
      </c>
      <c r="O7" s="12" t="s">
        <v>25</v>
      </c>
      <c r="P7" s="12" t="s">
        <v>26</v>
      </c>
      <c r="Q7" s="12" t="s">
        <v>27</v>
      </c>
      <c r="R7" s="12" t="s">
        <v>28</v>
      </c>
      <c r="S7" s="12" t="s">
        <v>29</v>
      </c>
      <c r="T7" s="12" t="s">
        <v>30</v>
      </c>
      <c r="U7" s="12" t="s">
        <v>31</v>
      </c>
      <c r="V7" s="12" t="s">
        <v>32</v>
      </c>
      <c r="W7" s="12" t="s">
        <v>33</v>
      </c>
      <c r="X7" s="12" t="s">
        <v>34</v>
      </c>
      <c r="Y7" s="12" t="s">
        <v>35</v>
      </c>
      <c r="Z7" s="12" t="s">
        <v>36</v>
      </c>
      <c r="AA7" s="12" t="s">
        <v>37</v>
      </c>
      <c r="AB7" s="12" t="s">
        <v>38</v>
      </c>
      <c r="AC7" s="12" t="s">
        <v>39</v>
      </c>
      <c r="AD7" s="12" t="s">
        <v>40</v>
      </c>
      <c r="AE7" s="12" t="s">
        <v>41</v>
      </c>
      <c r="AF7" s="49" t="s">
        <v>42</v>
      </c>
      <c r="AG7" s="50" t="s">
        <v>43</v>
      </c>
      <c r="AH7" s="50" t="s">
        <v>44</v>
      </c>
      <c r="AI7" s="50" t="s">
        <v>45</v>
      </c>
      <c r="AJ7" s="51" t="s">
        <v>46</v>
      </c>
      <c r="AK7" s="51" t="s">
        <v>47</v>
      </c>
      <c r="AL7" s="51" t="s">
        <v>48</v>
      </c>
      <c r="AM7" s="51" t="s">
        <v>49</v>
      </c>
      <c r="AN7" s="51" t="s">
        <v>50</v>
      </c>
      <c r="AO7" s="51" t="s">
        <v>51</v>
      </c>
      <c r="AP7" s="51" t="s">
        <v>52</v>
      </c>
      <c r="AQ7" s="52" t="s">
        <v>53</v>
      </c>
      <c r="AR7" s="53" t="s">
        <v>54</v>
      </c>
      <c r="AS7" s="54" t="s">
        <v>55</v>
      </c>
    </row>
    <row r="8" spans="1:45" ht="15" customHeight="1">
      <c r="A8" s="55" t="s">
        <v>56</v>
      </c>
      <c r="B8" s="55">
        <v>4382249325</v>
      </c>
      <c r="C8" s="55" t="s">
        <v>57</v>
      </c>
      <c r="D8" s="55"/>
      <c r="E8" s="56"/>
      <c r="F8" s="55"/>
      <c r="G8" s="57" t="s">
        <v>37</v>
      </c>
      <c r="H8" s="57"/>
      <c r="I8" s="57" t="s">
        <v>39</v>
      </c>
      <c r="J8" s="57"/>
      <c r="K8" s="57">
        <v>63</v>
      </c>
      <c r="L8" s="57"/>
      <c r="M8" s="57"/>
      <c r="N8" s="57" t="s">
        <v>58</v>
      </c>
      <c r="O8" s="71" t="s">
        <v>59</v>
      </c>
      <c r="P8" s="57"/>
      <c r="Q8" s="57" t="s">
        <v>60</v>
      </c>
      <c r="R8" s="57" t="s">
        <v>61</v>
      </c>
      <c r="S8" s="57"/>
      <c r="T8" s="57"/>
      <c r="U8" s="57"/>
      <c r="V8" s="57" t="s">
        <v>62</v>
      </c>
      <c r="W8" s="57"/>
      <c r="X8" s="57"/>
      <c r="Y8" s="57"/>
      <c r="Z8" s="57"/>
      <c r="AA8" s="57"/>
      <c r="AB8" s="57"/>
      <c r="AC8" s="57" t="s">
        <v>63</v>
      </c>
      <c r="AD8" s="57"/>
      <c r="AE8" s="57"/>
      <c r="AF8" s="57" t="s">
        <v>63</v>
      </c>
      <c r="AG8" s="57"/>
      <c r="AH8" s="57" t="s">
        <v>64</v>
      </c>
      <c r="AI8" s="57" t="s">
        <v>65</v>
      </c>
      <c r="AJ8" s="57" t="s">
        <v>60</v>
      </c>
      <c r="AK8" s="57"/>
      <c r="AL8" s="57" t="s">
        <v>62</v>
      </c>
      <c r="AM8" s="57"/>
      <c r="AN8" s="57"/>
      <c r="AO8" s="57" t="s">
        <v>59</v>
      </c>
      <c r="AP8" s="57" t="s">
        <v>59</v>
      </c>
      <c r="AQ8" s="57"/>
      <c r="AR8" s="71"/>
      <c r="AS8" s="71"/>
    </row>
    <row r="9" spans="1:45" ht="15" customHeight="1">
      <c r="A9" s="55" t="s">
        <v>66</v>
      </c>
      <c r="B9" s="55">
        <v>4382249325</v>
      </c>
      <c r="C9" s="55" t="s">
        <v>57</v>
      </c>
      <c r="D9" s="55"/>
      <c r="E9" s="56"/>
      <c r="F9" s="55"/>
      <c r="G9" s="57" t="s">
        <v>37</v>
      </c>
      <c r="H9" s="57"/>
      <c r="I9" s="57" t="s">
        <v>39</v>
      </c>
      <c r="J9" s="57"/>
      <c r="K9" s="57">
        <v>63</v>
      </c>
      <c r="L9" s="57"/>
      <c r="M9" s="57"/>
      <c r="N9" s="57" t="s">
        <v>58</v>
      </c>
      <c r="O9" s="71"/>
      <c r="P9" s="57"/>
      <c r="Q9" s="57"/>
      <c r="R9" s="57"/>
      <c r="S9" s="57"/>
      <c r="T9" s="57"/>
      <c r="U9" s="57"/>
      <c r="V9" s="57"/>
      <c r="W9" s="57"/>
      <c r="X9" s="57"/>
      <c r="Y9" s="57"/>
      <c r="Z9" s="57"/>
      <c r="AA9" s="57"/>
      <c r="AB9" s="57"/>
      <c r="AC9" s="57" t="s">
        <v>67</v>
      </c>
      <c r="AD9" s="57"/>
      <c r="AE9" s="57"/>
      <c r="AF9" s="57"/>
      <c r="AG9" s="57"/>
      <c r="AH9" s="57"/>
      <c r="AI9" s="57"/>
      <c r="AJ9" s="57"/>
      <c r="AK9" s="57"/>
      <c r="AL9" s="57"/>
      <c r="AM9" s="57"/>
      <c r="AN9" s="57"/>
      <c r="AO9" s="57"/>
      <c r="AP9" s="57"/>
      <c r="AQ9" s="57"/>
      <c r="AR9" s="71"/>
      <c r="AS9" s="71"/>
    </row>
    <row r="10" spans="1:45" ht="15" customHeight="1">
      <c r="A10" s="55" t="s">
        <v>68</v>
      </c>
      <c r="B10" s="55">
        <v>4944397186</v>
      </c>
      <c r="C10" s="55"/>
      <c r="D10" s="55"/>
      <c r="E10" s="56"/>
      <c r="F10" s="55"/>
      <c r="G10" s="57" t="s">
        <v>37</v>
      </c>
      <c r="H10" s="57" t="s">
        <v>39</v>
      </c>
      <c r="I10" s="57"/>
      <c r="J10" s="57"/>
      <c r="K10" s="57">
        <v>20</v>
      </c>
      <c r="L10" s="57">
        <v>2</v>
      </c>
      <c r="M10" s="57"/>
      <c r="N10" s="57" t="s">
        <v>69</v>
      </c>
      <c r="O10" s="71" t="s">
        <v>59</v>
      </c>
      <c r="P10" s="57"/>
      <c r="Q10" s="57" t="s">
        <v>60</v>
      </c>
      <c r="R10" s="57"/>
      <c r="S10" s="57"/>
      <c r="T10" s="57"/>
      <c r="U10" s="57"/>
      <c r="V10" s="57"/>
      <c r="W10" s="57"/>
      <c r="X10" s="57"/>
      <c r="Y10" s="57"/>
      <c r="Z10" s="57"/>
      <c r="AA10" s="57" t="s">
        <v>70</v>
      </c>
      <c r="AB10" s="57"/>
      <c r="AC10" s="57" t="s">
        <v>71</v>
      </c>
      <c r="AD10" s="57"/>
      <c r="AE10" s="57"/>
      <c r="AF10" s="57" t="s">
        <v>71</v>
      </c>
      <c r="AG10" s="57"/>
      <c r="AH10" s="57"/>
      <c r="AI10" s="57"/>
      <c r="AJ10" s="57" t="s">
        <v>60</v>
      </c>
      <c r="AK10" s="57"/>
      <c r="AL10" s="57"/>
      <c r="AM10" s="57"/>
      <c r="AN10" s="57"/>
      <c r="AO10" s="57" t="s">
        <v>59</v>
      </c>
      <c r="AP10" s="57" t="s">
        <v>59</v>
      </c>
      <c r="AQ10" s="57"/>
      <c r="AR10" s="71"/>
      <c r="AS10" s="71"/>
    </row>
    <row r="11" spans="1:45" ht="15" customHeight="1">
      <c r="A11" s="57" t="s">
        <v>72</v>
      </c>
      <c r="B11" s="55">
        <v>4505450120</v>
      </c>
      <c r="C11" s="55" t="s">
        <v>73</v>
      </c>
      <c r="D11" s="55"/>
      <c r="E11" s="56"/>
      <c r="F11" s="55"/>
      <c r="G11" s="57" t="s">
        <v>37</v>
      </c>
      <c r="H11" s="57"/>
      <c r="I11" s="57" t="s">
        <v>39</v>
      </c>
      <c r="J11" s="57"/>
      <c r="K11" s="57">
        <v>2</v>
      </c>
      <c r="L11" s="57">
        <v>3</v>
      </c>
      <c r="M11" s="57"/>
      <c r="N11" s="57" t="s">
        <v>74</v>
      </c>
      <c r="O11" s="71" t="s">
        <v>59</v>
      </c>
      <c r="P11" s="57"/>
      <c r="Q11" s="57"/>
      <c r="R11" s="57"/>
      <c r="S11" s="57"/>
      <c r="T11" s="57"/>
      <c r="U11" s="57"/>
      <c r="V11" s="57"/>
      <c r="W11" s="57"/>
      <c r="X11" s="57"/>
      <c r="Y11" s="57"/>
      <c r="Z11" s="57"/>
      <c r="AA11" s="57" t="s">
        <v>75</v>
      </c>
      <c r="AB11" s="57"/>
      <c r="AC11" s="57" t="s">
        <v>76</v>
      </c>
      <c r="AD11" s="57"/>
      <c r="AE11" s="57"/>
      <c r="AF11" s="57"/>
      <c r="AG11" s="57"/>
      <c r="AH11" s="57"/>
      <c r="AI11" s="57"/>
      <c r="AJ11" s="57"/>
      <c r="AK11" s="57"/>
      <c r="AL11" s="57"/>
      <c r="AM11" s="57"/>
      <c r="AN11" s="57"/>
      <c r="AO11" s="57"/>
      <c r="AP11" s="57"/>
      <c r="AQ11" s="57"/>
      <c r="AR11" s="71"/>
      <c r="AS11" s="86"/>
    </row>
    <row r="12" spans="1:45" ht="15" customHeight="1">
      <c r="A12" s="55" t="s">
        <v>77</v>
      </c>
      <c r="B12" s="55">
        <v>4505450120</v>
      </c>
      <c r="C12" s="55" t="s">
        <v>78</v>
      </c>
      <c r="D12" s="55"/>
      <c r="E12" s="56"/>
      <c r="F12" s="55"/>
      <c r="G12" s="57" t="s">
        <v>37</v>
      </c>
      <c r="H12" s="57"/>
      <c r="I12" s="57" t="s">
        <v>39</v>
      </c>
      <c r="J12" s="57"/>
      <c r="K12" s="57">
        <v>6</v>
      </c>
      <c r="L12" s="57"/>
      <c r="M12" s="57"/>
      <c r="N12" s="57" t="s">
        <v>79</v>
      </c>
      <c r="O12" s="71" t="s">
        <v>59</v>
      </c>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71"/>
      <c r="AS12" s="86"/>
    </row>
    <row r="13" spans="1:45" ht="15" customHeight="1">
      <c r="A13" s="55" t="s">
        <v>80</v>
      </c>
      <c r="B13" s="55">
        <v>4509045417</v>
      </c>
      <c r="C13" s="55"/>
      <c r="D13" s="55"/>
      <c r="E13" s="56"/>
      <c r="F13" s="55"/>
      <c r="G13" s="57" t="s">
        <v>37</v>
      </c>
      <c r="H13" s="57"/>
      <c r="I13" s="57"/>
      <c r="J13" s="57" t="s">
        <v>39</v>
      </c>
      <c r="K13" s="57">
        <v>12</v>
      </c>
      <c r="L13" s="57"/>
      <c r="M13" s="57"/>
      <c r="N13" s="57" t="s">
        <v>81</v>
      </c>
      <c r="O13" s="71" t="s">
        <v>59</v>
      </c>
      <c r="P13" s="57"/>
      <c r="Q13" s="57"/>
      <c r="R13" s="57"/>
      <c r="S13" s="57"/>
      <c r="T13" s="57"/>
      <c r="U13" s="57"/>
      <c r="V13" s="57"/>
      <c r="W13" s="57"/>
      <c r="X13" s="57"/>
      <c r="Y13" s="57"/>
      <c r="Z13" s="57"/>
      <c r="AA13" s="57"/>
      <c r="AB13" s="57"/>
      <c r="AC13" s="57" t="s">
        <v>82</v>
      </c>
      <c r="AD13" s="57"/>
      <c r="AE13" s="57"/>
      <c r="AF13" s="57"/>
      <c r="AG13" s="57"/>
      <c r="AH13" s="57"/>
      <c r="AI13" s="57"/>
      <c r="AJ13" s="57"/>
      <c r="AK13" s="57"/>
      <c r="AL13" s="57"/>
      <c r="AM13" s="57"/>
      <c r="AN13" s="57"/>
      <c r="AO13" s="57"/>
      <c r="AP13" s="57"/>
      <c r="AQ13" s="57"/>
      <c r="AR13" s="71"/>
      <c r="AS13" s="71"/>
    </row>
    <row r="14" spans="1:45" s="37" customFormat="1" ht="15" customHeight="1">
      <c r="A14" s="60" t="s">
        <v>83</v>
      </c>
      <c r="B14" s="60">
        <v>6208124514</v>
      </c>
      <c r="C14" s="60"/>
      <c r="D14" s="60"/>
      <c r="E14" s="61"/>
      <c r="F14" s="60"/>
      <c r="G14" s="62" t="s">
        <v>59</v>
      </c>
      <c r="H14" s="62"/>
      <c r="I14" s="62"/>
      <c r="J14" s="62"/>
      <c r="K14" s="62">
        <v>7</v>
      </c>
      <c r="L14" s="62"/>
      <c r="M14" s="62"/>
      <c r="N14" s="62" t="s">
        <v>84</v>
      </c>
      <c r="O14" s="72" t="s">
        <v>59</v>
      </c>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72"/>
      <c r="AS14" s="87"/>
    </row>
    <row r="15" spans="1:45" ht="15" customHeight="1">
      <c r="A15" s="55" t="s">
        <v>85</v>
      </c>
      <c r="B15" s="55">
        <v>4166977504</v>
      </c>
      <c r="C15" s="55"/>
      <c r="D15" s="55"/>
      <c r="E15" s="56"/>
      <c r="F15" s="55"/>
      <c r="G15" s="57" t="s">
        <v>37</v>
      </c>
      <c r="H15" s="57"/>
      <c r="I15" s="57"/>
      <c r="J15" s="57" t="s">
        <v>39</v>
      </c>
      <c r="K15" s="57">
        <v>22</v>
      </c>
      <c r="L15" s="57"/>
      <c r="M15" s="57"/>
      <c r="N15" s="57" t="s">
        <v>86</v>
      </c>
      <c r="O15" s="71" t="s">
        <v>59</v>
      </c>
      <c r="P15" s="57"/>
      <c r="Q15" s="57" t="s">
        <v>87</v>
      </c>
      <c r="R15" s="57"/>
      <c r="S15" s="57"/>
      <c r="T15" s="57"/>
      <c r="U15" s="57"/>
      <c r="V15" s="57"/>
      <c r="W15" s="57"/>
      <c r="X15" s="57"/>
      <c r="Y15" s="57"/>
      <c r="Z15" s="57"/>
      <c r="AA15" s="57" t="s">
        <v>88</v>
      </c>
      <c r="AB15" s="57"/>
      <c r="AC15" s="57" t="s">
        <v>89</v>
      </c>
      <c r="AD15" s="57"/>
      <c r="AE15" s="57"/>
      <c r="AF15" s="57" t="s">
        <v>89</v>
      </c>
      <c r="AG15" s="57"/>
      <c r="AH15" s="57"/>
      <c r="AI15" s="57"/>
      <c r="AJ15" s="57" t="s">
        <v>87</v>
      </c>
      <c r="AK15" s="57"/>
      <c r="AL15" s="57"/>
      <c r="AM15" s="57"/>
      <c r="AN15" s="57"/>
      <c r="AO15" s="57" t="s">
        <v>59</v>
      </c>
      <c r="AP15" s="57" t="s">
        <v>59</v>
      </c>
      <c r="AQ15" s="57"/>
      <c r="AR15" s="71"/>
      <c r="AS15" s="86"/>
    </row>
    <row r="16" spans="1:45" ht="15" customHeight="1">
      <c r="A16" s="55" t="s">
        <v>90</v>
      </c>
      <c r="B16" s="55">
        <v>4382249325</v>
      </c>
      <c r="C16" s="55" t="s">
        <v>91</v>
      </c>
      <c r="D16" s="55"/>
      <c r="E16" s="56"/>
      <c r="F16" s="55"/>
      <c r="G16" s="57" t="s">
        <v>37</v>
      </c>
      <c r="H16" s="57"/>
      <c r="I16" s="57"/>
      <c r="J16" s="57" t="s">
        <v>39</v>
      </c>
      <c r="K16" s="57">
        <v>16</v>
      </c>
      <c r="L16" s="57"/>
      <c r="M16" s="57"/>
      <c r="N16" s="57" t="s">
        <v>92</v>
      </c>
      <c r="O16" s="71" t="s">
        <v>59</v>
      </c>
      <c r="P16" s="57"/>
      <c r="Q16" s="57"/>
      <c r="R16" s="57"/>
      <c r="S16" s="57"/>
      <c r="T16" s="57"/>
      <c r="U16" s="57"/>
      <c r="V16" s="57"/>
      <c r="W16" s="57"/>
      <c r="X16" s="57"/>
      <c r="Y16" s="57"/>
      <c r="Z16" s="57"/>
      <c r="AA16" s="57"/>
      <c r="AB16" s="57" t="s">
        <v>93</v>
      </c>
      <c r="AC16" s="57"/>
      <c r="AD16" s="57"/>
      <c r="AE16" s="57"/>
      <c r="AF16" s="57"/>
      <c r="AG16" s="57"/>
      <c r="AH16" s="57"/>
      <c r="AI16" s="57"/>
      <c r="AJ16" s="57"/>
      <c r="AK16" s="57"/>
      <c r="AL16" s="57"/>
      <c r="AM16" s="57"/>
      <c r="AN16" s="57"/>
      <c r="AO16" s="57"/>
      <c r="AP16" s="57"/>
      <c r="AQ16" s="57"/>
      <c r="AR16" s="71"/>
      <c r="AS16" s="71"/>
    </row>
    <row r="17" spans="1:45" ht="15" customHeight="1">
      <c r="A17" s="55" t="s">
        <v>94</v>
      </c>
      <c r="B17" s="55">
        <v>4343237508</v>
      </c>
      <c r="C17" s="55"/>
      <c r="D17" s="55"/>
      <c r="E17" s="56"/>
      <c r="F17" s="55"/>
      <c r="G17" s="57" t="s">
        <v>37</v>
      </c>
      <c r="H17" s="57"/>
      <c r="I17" s="57"/>
      <c r="J17" s="57" t="s">
        <v>39</v>
      </c>
      <c r="K17" s="57">
        <v>20</v>
      </c>
      <c r="L17" s="57">
        <v>3</v>
      </c>
      <c r="M17" s="57"/>
      <c r="N17" s="57" t="s">
        <v>95</v>
      </c>
      <c r="O17" s="71" t="s">
        <v>59</v>
      </c>
      <c r="P17" s="57"/>
      <c r="Q17" s="57" t="s">
        <v>96</v>
      </c>
      <c r="R17" s="57" t="s">
        <v>97</v>
      </c>
      <c r="S17" s="57"/>
      <c r="T17" s="57"/>
      <c r="U17" s="57"/>
      <c r="V17" s="57"/>
      <c r="W17" s="57"/>
      <c r="X17" s="57"/>
      <c r="Y17" s="57"/>
      <c r="Z17" s="57"/>
      <c r="AA17" s="57"/>
      <c r="AB17" s="57"/>
      <c r="AC17" s="57" t="s">
        <v>98</v>
      </c>
      <c r="AD17" s="57"/>
      <c r="AE17" s="57"/>
      <c r="AF17" s="57" t="s">
        <v>98</v>
      </c>
      <c r="AG17" s="57"/>
      <c r="AH17" s="57"/>
      <c r="AI17" s="57"/>
      <c r="AJ17" s="57" t="s">
        <v>96</v>
      </c>
      <c r="AK17" s="57" t="s">
        <v>97</v>
      </c>
      <c r="AL17" s="57"/>
      <c r="AM17" s="57"/>
      <c r="AN17" s="57"/>
      <c r="AO17" s="57" t="s">
        <v>59</v>
      </c>
      <c r="AP17" s="57" t="s">
        <v>59</v>
      </c>
      <c r="AQ17" s="57"/>
      <c r="AR17" s="71"/>
      <c r="AS17" s="71"/>
    </row>
    <row r="18" spans="1:45" ht="15" customHeight="1">
      <c r="A18" s="55" t="s">
        <v>99</v>
      </c>
      <c r="B18" s="55">
        <v>4382239311</v>
      </c>
      <c r="C18" s="55"/>
      <c r="D18" s="57"/>
      <c r="E18" s="56"/>
      <c r="F18" s="55"/>
      <c r="G18" s="57" t="s">
        <v>37</v>
      </c>
      <c r="H18" s="57"/>
      <c r="I18" s="57"/>
      <c r="J18" s="57" t="s">
        <v>39</v>
      </c>
      <c r="K18" s="57">
        <v>14</v>
      </c>
      <c r="L18" s="57">
        <v>3</v>
      </c>
      <c r="M18" s="57"/>
      <c r="N18" s="57" t="s">
        <v>100</v>
      </c>
      <c r="O18" s="71" t="s">
        <v>59</v>
      </c>
      <c r="P18" s="57"/>
      <c r="Q18" s="57" t="s">
        <v>101</v>
      </c>
      <c r="R18" s="57"/>
      <c r="S18" s="57"/>
      <c r="T18" s="57"/>
      <c r="U18" s="57"/>
      <c r="V18" s="57"/>
      <c r="W18" s="57"/>
      <c r="X18" s="57"/>
      <c r="Y18" s="57"/>
      <c r="Z18" s="57"/>
      <c r="AA18" s="57"/>
      <c r="AB18" s="57"/>
      <c r="AC18" s="57" t="s">
        <v>102</v>
      </c>
      <c r="AD18" s="57"/>
      <c r="AE18" s="57"/>
      <c r="AF18" s="57" t="s">
        <v>103</v>
      </c>
      <c r="AG18" s="57" t="s">
        <v>104</v>
      </c>
      <c r="AH18" s="57"/>
      <c r="AI18" s="57"/>
      <c r="AJ18" s="57"/>
      <c r="AK18" s="57"/>
      <c r="AL18" s="57"/>
      <c r="AM18" s="57"/>
      <c r="AN18" s="57"/>
      <c r="AO18" s="57"/>
      <c r="AP18" s="57"/>
      <c r="AQ18" s="57"/>
      <c r="AR18" s="71"/>
      <c r="AS18" s="86"/>
    </row>
    <row r="19" spans="1:45" ht="15" customHeight="1">
      <c r="A19" s="55" t="s">
        <v>105</v>
      </c>
      <c r="B19" s="55">
        <v>4381915666</v>
      </c>
      <c r="C19" s="55" t="s">
        <v>106</v>
      </c>
      <c r="D19" s="55"/>
      <c r="E19" s="56"/>
      <c r="F19" s="55"/>
      <c r="G19" s="57" t="s">
        <v>37</v>
      </c>
      <c r="H19" s="57"/>
      <c r="I19" s="57" t="s">
        <v>39</v>
      </c>
      <c r="J19" s="57"/>
      <c r="K19" s="57">
        <v>11</v>
      </c>
      <c r="L19" s="57"/>
      <c r="M19" s="57"/>
      <c r="N19" s="57" t="s">
        <v>107</v>
      </c>
      <c r="O19" s="71" t="s">
        <v>59</v>
      </c>
      <c r="P19" s="57"/>
      <c r="Q19" s="57"/>
      <c r="R19" s="57"/>
      <c r="S19" s="57"/>
      <c r="T19" s="57"/>
      <c r="U19" s="57"/>
      <c r="V19" s="57"/>
      <c r="W19" s="57"/>
      <c r="X19" s="57"/>
      <c r="Y19" s="57"/>
      <c r="Z19" s="57"/>
      <c r="AA19" s="57"/>
      <c r="AB19" s="57" t="s">
        <v>108</v>
      </c>
      <c r="AC19" s="57"/>
      <c r="AD19" s="57"/>
      <c r="AE19" s="57"/>
      <c r="AF19" s="57"/>
      <c r="AG19" s="57"/>
      <c r="AH19" s="57"/>
      <c r="AI19" s="57"/>
      <c r="AJ19" s="57"/>
      <c r="AK19" s="57"/>
      <c r="AL19" s="57"/>
      <c r="AM19" s="57"/>
      <c r="AN19" s="57"/>
      <c r="AO19" s="57"/>
      <c r="AP19" s="57"/>
      <c r="AQ19" s="57"/>
      <c r="AR19" s="71"/>
      <c r="AS19" s="86"/>
    </row>
    <row r="20" spans="1:45" ht="15" customHeight="1">
      <c r="A20" s="57" t="s">
        <v>109</v>
      </c>
      <c r="B20" s="57">
        <v>4581969433</v>
      </c>
      <c r="C20" s="57" t="s">
        <v>110</v>
      </c>
      <c r="D20" s="57"/>
      <c r="E20" s="57"/>
      <c r="F20" s="57"/>
      <c r="G20" s="57" t="s">
        <v>37</v>
      </c>
      <c r="H20" s="57"/>
      <c r="I20" s="57" t="s">
        <v>39</v>
      </c>
      <c r="J20" s="57"/>
      <c r="K20" s="57"/>
      <c r="L20" s="57"/>
      <c r="M20" s="57"/>
      <c r="N20" s="57"/>
      <c r="O20" s="57"/>
      <c r="P20" s="57" t="s">
        <v>111</v>
      </c>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71"/>
      <c r="AS20" s="71"/>
    </row>
    <row r="21" spans="1:45" ht="15" customHeight="1">
      <c r="A21" s="58" t="s">
        <v>112</v>
      </c>
      <c r="B21" s="55">
        <v>4001423189</v>
      </c>
      <c r="C21" s="55"/>
      <c r="D21" s="55"/>
      <c r="E21" s="56"/>
      <c r="F21" s="55"/>
      <c r="G21" s="57"/>
      <c r="H21" s="57"/>
      <c r="I21" s="57"/>
      <c r="J21" s="57"/>
      <c r="K21" s="57"/>
      <c r="L21" s="57"/>
      <c r="M21" s="57"/>
      <c r="N21" s="57"/>
      <c r="O21" s="57"/>
      <c r="P21" s="57"/>
      <c r="Q21" s="73" t="s">
        <v>113</v>
      </c>
      <c r="R21" s="73"/>
      <c r="S21" s="73"/>
      <c r="T21" s="73"/>
      <c r="U21" s="73"/>
      <c r="V21" s="73"/>
      <c r="W21" s="73"/>
      <c r="X21" s="73"/>
      <c r="Y21" s="73"/>
      <c r="Z21" s="73"/>
      <c r="AA21" s="73" t="s">
        <v>114</v>
      </c>
      <c r="AB21" s="73" t="s">
        <v>115</v>
      </c>
      <c r="AC21" s="73" t="s">
        <v>116</v>
      </c>
      <c r="AD21" s="57"/>
      <c r="AE21" s="57"/>
      <c r="AF21" s="73" t="s">
        <v>116</v>
      </c>
      <c r="AG21" s="57"/>
      <c r="AH21" s="57"/>
      <c r="AI21" s="57"/>
      <c r="AJ21" s="73" t="s">
        <v>113</v>
      </c>
      <c r="AK21" s="57"/>
      <c r="AL21" s="57"/>
      <c r="AM21" s="57"/>
      <c r="AN21" s="57"/>
      <c r="AO21" s="57" t="s">
        <v>59</v>
      </c>
      <c r="AP21" s="57" t="s">
        <v>59</v>
      </c>
      <c r="AQ21" s="57"/>
      <c r="AR21" s="71"/>
      <c r="AS21" s="86"/>
    </row>
    <row r="22" spans="1:45" ht="15" customHeight="1">
      <c r="A22" s="58" t="s">
        <v>117</v>
      </c>
      <c r="B22" s="59">
        <v>4507689627</v>
      </c>
      <c r="C22" s="55"/>
      <c r="D22" s="55"/>
      <c r="E22" s="56"/>
      <c r="F22" s="55"/>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71"/>
      <c r="AS22" s="71"/>
    </row>
    <row r="23" spans="1:45" ht="15" customHeight="1">
      <c r="A23" s="58" t="s">
        <v>118</v>
      </c>
      <c r="B23" s="59">
        <v>4581350247</v>
      </c>
      <c r="C23" s="55"/>
      <c r="D23" s="55"/>
      <c r="E23" s="56"/>
      <c r="F23" s="55"/>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71"/>
      <c r="AS23" s="71"/>
    </row>
    <row r="24" spans="1:45" ht="15" customHeight="1">
      <c r="A24" s="58" t="s">
        <v>119</v>
      </c>
      <c r="B24" s="55">
        <v>4087331415</v>
      </c>
      <c r="C24" s="55" t="s">
        <v>120</v>
      </c>
      <c r="D24" s="55"/>
      <c r="E24" s="56"/>
      <c r="F24" s="55"/>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71"/>
      <c r="AS24" s="86"/>
    </row>
    <row r="25" spans="1:45" ht="15" customHeight="1">
      <c r="A25" s="68" t="s">
        <v>121</v>
      </c>
      <c r="B25" s="55">
        <v>4867005207</v>
      </c>
      <c r="C25" s="55"/>
      <c r="D25" s="55"/>
      <c r="E25" s="56"/>
      <c r="F25" s="55"/>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71"/>
      <c r="AS25" s="86"/>
    </row>
    <row r="26" spans="1:45" ht="15" customHeight="1">
      <c r="A26" s="58" t="s">
        <v>122</v>
      </c>
      <c r="B26" s="59">
        <v>4982321809</v>
      </c>
      <c r="C26" s="55"/>
      <c r="D26" s="55"/>
      <c r="E26" s="56"/>
      <c r="F26" s="55"/>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71"/>
      <c r="AS26" s="71"/>
    </row>
    <row r="27" spans="1:45" ht="15" customHeight="1">
      <c r="A27" s="68" t="s">
        <v>123</v>
      </c>
      <c r="B27" s="55">
        <v>6350548620</v>
      </c>
      <c r="C27" s="55" t="s">
        <v>120</v>
      </c>
      <c r="D27" s="55"/>
      <c r="E27" s="56"/>
      <c r="F27" s="55"/>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71"/>
      <c r="AS27" s="71"/>
    </row>
    <row r="28" spans="1:45" ht="15" customHeight="1">
      <c r="A28" s="58" t="s">
        <v>124</v>
      </c>
      <c r="B28" s="55">
        <v>4521134254</v>
      </c>
      <c r="C28" s="55" t="s">
        <v>91</v>
      </c>
      <c r="D28" s="55"/>
      <c r="E28" s="56"/>
      <c r="F28" s="55"/>
      <c r="G28" s="57"/>
      <c r="H28" s="57"/>
      <c r="I28" s="57"/>
      <c r="J28" s="57"/>
      <c r="K28" s="57"/>
      <c r="L28" s="57"/>
      <c r="M28" s="57"/>
      <c r="N28" s="57"/>
      <c r="O28" s="57"/>
      <c r="P28" s="57"/>
      <c r="Q28" s="57"/>
      <c r="R28" s="57"/>
      <c r="S28" s="57"/>
      <c r="T28" s="57"/>
      <c r="U28" s="57"/>
      <c r="V28" s="57"/>
      <c r="W28" s="57"/>
      <c r="X28" s="57"/>
      <c r="Y28" s="57"/>
      <c r="Z28" s="57"/>
      <c r="AA28" s="57"/>
      <c r="AB28" s="57"/>
      <c r="AC28" s="57" t="s">
        <v>62</v>
      </c>
      <c r="AD28" s="57"/>
      <c r="AE28" s="57"/>
      <c r="AF28" s="57"/>
      <c r="AG28" s="57"/>
      <c r="AH28" s="57"/>
      <c r="AI28" s="57"/>
      <c r="AJ28" s="57"/>
      <c r="AK28" s="57"/>
      <c r="AL28" s="57"/>
      <c r="AM28" s="57"/>
      <c r="AN28" s="57"/>
      <c r="AO28" s="57"/>
      <c r="AP28" s="57"/>
      <c r="AQ28" s="57"/>
      <c r="AR28" s="71"/>
      <c r="AS28" s="71"/>
    </row>
    <row r="29" spans="1:45" ht="15" customHeight="1">
      <c r="A29" s="58" t="s">
        <v>125</v>
      </c>
      <c r="B29" s="59">
        <v>4581502551</v>
      </c>
      <c r="C29" s="55"/>
      <c r="D29" s="55"/>
      <c r="E29" s="56"/>
      <c r="F29" s="55"/>
      <c r="G29" s="57"/>
      <c r="H29" s="57"/>
      <c r="I29" s="57"/>
      <c r="J29" s="57"/>
      <c r="K29" s="57"/>
      <c r="L29" s="57"/>
      <c r="M29" s="57"/>
      <c r="N29" s="57"/>
      <c r="O29" s="57"/>
      <c r="P29" s="57"/>
      <c r="Q29" s="73" t="s">
        <v>126</v>
      </c>
      <c r="R29" s="73" t="s">
        <v>127</v>
      </c>
      <c r="S29" s="73" t="s">
        <v>128</v>
      </c>
      <c r="T29" s="73"/>
      <c r="U29" s="73"/>
      <c r="V29" s="73"/>
      <c r="W29" s="73"/>
      <c r="X29" s="73"/>
      <c r="Y29" s="73"/>
      <c r="Z29" s="73"/>
      <c r="AA29" s="73" t="s">
        <v>129</v>
      </c>
      <c r="AB29" s="73"/>
      <c r="AC29" s="73" t="s">
        <v>130</v>
      </c>
      <c r="AD29" s="57"/>
      <c r="AE29" s="57"/>
      <c r="AF29" s="57" t="s">
        <v>131</v>
      </c>
      <c r="AG29" s="57" t="s">
        <v>132</v>
      </c>
      <c r="AH29" s="57"/>
      <c r="AI29" s="57"/>
      <c r="AJ29" s="57"/>
      <c r="AK29" s="57"/>
      <c r="AL29" s="57"/>
      <c r="AM29" s="57"/>
      <c r="AN29" s="57"/>
      <c r="AO29" s="57"/>
      <c r="AP29" s="57"/>
      <c r="AQ29" s="57"/>
      <c r="AR29" s="71"/>
      <c r="AS29" s="71"/>
    </row>
    <row r="30" spans="1:45" ht="15" customHeight="1">
      <c r="A30" s="58" t="s">
        <v>133</v>
      </c>
      <c r="B30" s="59">
        <v>4342827417</v>
      </c>
      <c r="C30" s="55"/>
      <c r="D30" s="55"/>
      <c r="E30" s="56"/>
      <c r="F30" s="55"/>
      <c r="G30" s="57"/>
      <c r="H30" s="57"/>
      <c r="I30" s="57"/>
      <c r="J30" s="57"/>
      <c r="K30" s="57"/>
      <c r="L30" s="57"/>
      <c r="M30" s="57"/>
      <c r="N30" s="57"/>
      <c r="O30" s="57"/>
      <c r="P30" s="57"/>
      <c r="Q30" s="73" t="s">
        <v>126</v>
      </c>
      <c r="R30" s="73" t="s">
        <v>134</v>
      </c>
      <c r="S30" s="73" t="s">
        <v>127</v>
      </c>
      <c r="T30" s="73"/>
      <c r="U30" s="73"/>
      <c r="V30" s="73"/>
      <c r="W30" s="73"/>
      <c r="X30" s="73"/>
      <c r="Y30" s="73"/>
      <c r="Z30" s="73"/>
      <c r="AA30" s="73"/>
      <c r="AB30" s="73"/>
      <c r="AC30" s="73" t="s">
        <v>135</v>
      </c>
      <c r="AD30" s="57"/>
      <c r="AE30" s="57"/>
      <c r="AF30" s="73" t="s">
        <v>135</v>
      </c>
      <c r="AG30" s="57"/>
      <c r="AH30" s="57"/>
      <c r="AI30" s="57"/>
      <c r="AJ30" s="73" t="s">
        <v>126</v>
      </c>
      <c r="AK30" s="73" t="s">
        <v>134</v>
      </c>
      <c r="AL30" s="57"/>
      <c r="AM30" s="57"/>
      <c r="AN30" s="57"/>
      <c r="AO30" s="57" t="s">
        <v>59</v>
      </c>
      <c r="AP30" s="57" t="s">
        <v>59</v>
      </c>
      <c r="AQ30" s="57"/>
      <c r="AR30" s="71"/>
      <c r="AS30" s="71"/>
    </row>
    <row r="31" spans="1:45" s="37" customFormat="1" ht="15" customHeight="1">
      <c r="A31" s="60" t="s">
        <v>136</v>
      </c>
      <c r="B31" s="60">
        <v>6127266688</v>
      </c>
      <c r="C31" s="60"/>
      <c r="D31" s="60"/>
      <c r="E31" s="61"/>
      <c r="F31" s="60"/>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72"/>
      <c r="AS31" s="72"/>
    </row>
    <row r="32" spans="1:45" ht="15" customHeight="1">
      <c r="A32" s="58" t="s">
        <v>137</v>
      </c>
      <c r="B32" s="59">
        <v>4661971981</v>
      </c>
      <c r="C32" s="55"/>
      <c r="D32" s="55"/>
      <c r="E32" s="56"/>
      <c r="F32" s="55"/>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71"/>
      <c r="AS32" s="71"/>
    </row>
    <row r="33" spans="1:45" ht="15" customHeight="1">
      <c r="A33" s="58" t="s">
        <v>138</v>
      </c>
      <c r="B33" s="59">
        <v>4387568356</v>
      </c>
      <c r="C33" s="55"/>
      <c r="D33" s="55"/>
      <c r="E33" s="56"/>
      <c r="F33" s="55"/>
      <c r="G33" s="57"/>
      <c r="H33" s="57"/>
      <c r="I33" s="57"/>
      <c r="J33" s="57"/>
      <c r="K33" s="57"/>
      <c r="L33" s="57"/>
      <c r="M33" s="57"/>
      <c r="N33" s="57"/>
      <c r="O33" s="57"/>
      <c r="P33" s="57"/>
      <c r="Q33" s="73" t="s">
        <v>139</v>
      </c>
      <c r="R33" s="73" t="s">
        <v>140</v>
      </c>
      <c r="S33" s="73" t="s">
        <v>141</v>
      </c>
      <c r="T33" s="73" t="s">
        <v>142</v>
      </c>
      <c r="U33" s="73"/>
      <c r="V33" s="73" t="s">
        <v>143</v>
      </c>
      <c r="W33" s="73" t="s">
        <v>144</v>
      </c>
      <c r="X33" s="73" t="s">
        <v>145</v>
      </c>
      <c r="Y33" s="73"/>
      <c r="Z33" s="73"/>
      <c r="AA33" s="73"/>
      <c r="AB33" s="73"/>
      <c r="AC33" s="73" t="s">
        <v>146</v>
      </c>
      <c r="AD33" s="57"/>
      <c r="AE33" s="57"/>
      <c r="AF33" s="73" t="s">
        <v>146</v>
      </c>
      <c r="AG33" s="57"/>
      <c r="AH33" s="57"/>
      <c r="AI33" s="57"/>
      <c r="AJ33" s="73" t="s">
        <v>140</v>
      </c>
      <c r="AK33" s="57"/>
      <c r="AL33" s="73" t="s">
        <v>143</v>
      </c>
      <c r="AM33" s="57"/>
      <c r="AN33" s="57"/>
      <c r="AO33" s="57" t="s">
        <v>59</v>
      </c>
      <c r="AP33" s="57" t="s">
        <v>59</v>
      </c>
      <c r="AQ33" s="57"/>
      <c r="AR33" s="71"/>
      <c r="AS33" s="71"/>
    </row>
    <row r="34" spans="1:45" ht="15" customHeight="1">
      <c r="A34" s="58" t="s">
        <v>147</v>
      </c>
      <c r="B34" s="59">
        <v>4382775264</v>
      </c>
      <c r="C34" s="55"/>
      <c r="D34" s="55"/>
      <c r="E34" s="56"/>
      <c r="F34" s="55"/>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71"/>
      <c r="AS34" s="71"/>
    </row>
    <row r="35" spans="1:45" ht="15" customHeight="1">
      <c r="A35" s="60" t="s">
        <v>148</v>
      </c>
      <c r="B35" s="63">
        <v>6042020927</v>
      </c>
      <c r="C35" s="60"/>
      <c r="D35" s="60"/>
      <c r="E35" s="61"/>
      <c r="F35" s="60"/>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72"/>
      <c r="AS35" s="72"/>
    </row>
    <row r="36" spans="1:45" ht="15" customHeight="1">
      <c r="A36" s="64" t="s">
        <v>149</v>
      </c>
      <c r="B36" s="59">
        <v>4381812255</v>
      </c>
      <c r="C36" s="57"/>
      <c r="D36" s="57"/>
      <c r="E36" s="65"/>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71"/>
      <c r="AS36" s="71"/>
    </row>
    <row r="37" spans="1:45" ht="15" customHeight="1">
      <c r="A37" s="64" t="s">
        <v>150</v>
      </c>
      <c r="B37" s="59">
        <v>4582715427</v>
      </c>
      <c r="C37" s="57"/>
      <c r="D37" s="57"/>
      <c r="E37" s="65"/>
      <c r="F37" s="57"/>
      <c r="G37" s="57"/>
      <c r="H37" s="57"/>
      <c r="I37" s="57"/>
      <c r="J37" s="57"/>
      <c r="K37" s="57"/>
      <c r="L37" s="57"/>
      <c r="M37" s="57"/>
      <c r="N37" s="57"/>
      <c r="O37" s="57"/>
      <c r="P37" s="57"/>
      <c r="Q37" s="57"/>
      <c r="R37" s="57"/>
      <c r="S37" s="57"/>
      <c r="T37" s="57"/>
      <c r="U37" s="57"/>
      <c r="V37" s="57"/>
      <c r="W37" s="57"/>
      <c r="X37" s="57"/>
      <c r="Y37" s="57"/>
      <c r="Z37" s="57"/>
      <c r="AA37" s="57"/>
      <c r="AB37" s="57"/>
      <c r="AC37" s="57" t="s">
        <v>151</v>
      </c>
      <c r="AD37" s="57"/>
      <c r="AE37" s="57"/>
      <c r="AF37" s="57"/>
      <c r="AG37" s="57"/>
      <c r="AH37" s="57"/>
      <c r="AI37" s="57"/>
      <c r="AJ37" s="57"/>
      <c r="AK37" s="57"/>
      <c r="AL37" s="57"/>
      <c r="AM37" s="57"/>
      <c r="AN37" s="57"/>
      <c r="AO37" s="57"/>
      <c r="AP37" s="57"/>
      <c r="AQ37" s="57"/>
      <c r="AR37" s="71"/>
      <c r="AS37" s="71"/>
    </row>
    <row r="38" spans="1:45" ht="15" customHeight="1">
      <c r="A38" s="58" t="s">
        <v>152</v>
      </c>
      <c r="B38" s="55">
        <v>6180864543</v>
      </c>
      <c r="C38" s="55"/>
      <c r="D38" s="55"/>
      <c r="E38" s="56"/>
      <c r="F38" s="55"/>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71"/>
      <c r="AS38" s="71"/>
    </row>
    <row r="39" spans="1:45" ht="15" customHeight="1">
      <c r="A39" s="62" t="s">
        <v>153</v>
      </c>
      <c r="B39" s="63">
        <v>4520869641</v>
      </c>
      <c r="C39" s="62"/>
      <c r="D39" s="62"/>
      <c r="E39" s="66"/>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72"/>
      <c r="AS39" s="72" t="s">
        <v>59</v>
      </c>
    </row>
    <row r="40" spans="1:45" ht="15" customHeight="1">
      <c r="A40" s="62" t="s">
        <v>154</v>
      </c>
      <c r="B40" s="63">
        <v>4520318785</v>
      </c>
      <c r="C40" s="62"/>
      <c r="D40" s="62"/>
      <c r="E40" s="66"/>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62"/>
      <c r="AK40" s="62"/>
      <c r="AL40" s="62"/>
      <c r="AM40" s="62"/>
      <c r="AN40" s="62"/>
      <c r="AO40" s="62"/>
      <c r="AP40" s="62"/>
      <c r="AQ40" s="62"/>
      <c r="AR40" s="72"/>
      <c r="AS40" s="72" t="s">
        <v>59</v>
      </c>
    </row>
    <row r="41" spans="1:45" ht="15" customHeight="1">
      <c r="A41" s="64" t="s">
        <v>155</v>
      </c>
      <c r="B41" s="59">
        <v>4382392586</v>
      </c>
      <c r="C41" s="57"/>
      <c r="D41" s="57"/>
      <c r="E41" s="65"/>
      <c r="F41" s="57"/>
      <c r="G41" s="57"/>
      <c r="H41" s="57"/>
      <c r="I41" s="57"/>
      <c r="J41" s="57"/>
      <c r="K41" s="57"/>
      <c r="L41" s="57"/>
      <c r="M41" s="57"/>
      <c r="N41" s="57"/>
      <c r="O41" s="57"/>
      <c r="P41" s="57"/>
      <c r="Q41" s="73" t="s">
        <v>62</v>
      </c>
      <c r="R41" s="73" t="s">
        <v>156</v>
      </c>
      <c r="S41" s="73" t="s">
        <v>157</v>
      </c>
      <c r="T41" s="73" t="s">
        <v>158</v>
      </c>
      <c r="U41" s="73" t="s">
        <v>159</v>
      </c>
      <c r="V41" s="73"/>
      <c r="W41" s="73"/>
      <c r="X41" s="73"/>
      <c r="Y41" s="73"/>
      <c r="Z41" s="73"/>
      <c r="AA41" s="73"/>
      <c r="AB41" s="73"/>
      <c r="AC41" s="73" t="s">
        <v>131</v>
      </c>
      <c r="AD41" s="57"/>
      <c r="AE41" s="57"/>
      <c r="AF41" s="73" t="s">
        <v>131</v>
      </c>
      <c r="AG41" s="57"/>
      <c r="AH41" s="57"/>
      <c r="AI41" s="57"/>
      <c r="AJ41" s="73" t="s">
        <v>62</v>
      </c>
      <c r="AK41" s="73" t="s">
        <v>156</v>
      </c>
      <c r="AL41" s="57"/>
      <c r="AM41" s="57"/>
      <c r="AN41" s="57"/>
      <c r="AO41" s="57" t="s">
        <v>59</v>
      </c>
      <c r="AP41" s="57" t="s">
        <v>59</v>
      </c>
      <c r="AQ41" s="57"/>
      <c r="AR41" s="71" t="s">
        <v>59</v>
      </c>
      <c r="AS41" s="71" t="s">
        <v>59</v>
      </c>
    </row>
    <row r="42" spans="1:45" ht="15" customHeight="1">
      <c r="A42" s="58" t="s">
        <v>160</v>
      </c>
      <c r="B42" s="55">
        <v>4787147250</v>
      </c>
      <c r="C42" s="55" t="s">
        <v>161</v>
      </c>
      <c r="D42" s="55"/>
      <c r="E42" s="56"/>
      <c r="F42" s="55"/>
      <c r="G42" s="57"/>
      <c r="H42" s="57"/>
      <c r="I42" s="57"/>
      <c r="J42" s="57"/>
      <c r="K42" s="57"/>
      <c r="L42" s="57"/>
      <c r="M42" s="57"/>
      <c r="N42" s="57"/>
      <c r="O42" s="57"/>
      <c r="P42" s="57"/>
      <c r="Q42" s="57"/>
      <c r="R42" s="57"/>
      <c r="S42" s="57"/>
      <c r="T42" s="57"/>
      <c r="U42" s="57"/>
      <c r="V42" s="57"/>
      <c r="W42" s="57"/>
      <c r="X42" s="57"/>
      <c r="Y42" s="57"/>
      <c r="Z42" s="57"/>
      <c r="AA42" s="57"/>
      <c r="AB42" s="73" t="s">
        <v>162</v>
      </c>
      <c r="AC42" s="57"/>
      <c r="AD42" s="57"/>
      <c r="AE42" s="57"/>
      <c r="AF42" s="57"/>
      <c r="AG42" s="57"/>
      <c r="AH42" s="57"/>
      <c r="AI42" s="57"/>
      <c r="AJ42" s="57"/>
      <c r="AK42" s="57"/>
      <c r="AL42" s="57"/>
      <c r="AM42" s="57"/>
      <c r="AN42" s="57"/>
      <c r="AO42" s="57"/>
      <c r="AP42" s="57"/>
      <c r="AQ42" s="57"/>
      <c r="AR42" s="71" t="s">
        <v>59</v>
      </c>
      <c r="AS42" s="71" t="s">
        <v>59</v>
      </c>
    </row>
    <row r="43" spans="1:45" ht="15" customHeight="1">
      <c r="A43" s="62" t="s">
        <v>163</v>
      </c>
      <c r="B43" s="63">
        <v>4087259978</v>
      </c>
      <c r="C43" s="62"/>
      <c r="D43" s="62"/>
      <c r="E43" s="66"/>
      <c r="F43" s="62"/>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62"/>
      <c r="AG43" s="62"/>
      <c r="AH43" s="62"/>
      <c r="AI43" s="62"/>
      <c r="AJ43" s="62"/>
      <c r="AK43" s="62"/>
      <c r="AL43" s="62"/>
      <c r="AM43" s="62"/>
      <c r="AN43" s="62"/>
      <c r="AO43" s="62"/>
      <c r="AP43" s="62"/>
      <c r="AQ43" s="62"/>
      <c r="AR43" s="72"/>
      <c r="AS43" s="72" t="s">
        <v>59</v>
      </c>
    </row>
    <row r="44" spans="1:45" ht="15" customHeight="1">
      <c r="A44" s="58" t="s">
        <v>164</v>
      </c>
      <c r="B44" s="55">
        <v>6491041689</v>
      </c>
      <c r="C44" s="55" t="s">
        <v>165</v>
      </c>
      <c r="D44" s="55"/>
      <c r="E44" s="56"/>
      <c r="F44" s="55"/>
      <c r="G44" s="57"/>
      <c r="H44" s="57"/>
      <c r="I44" s="57"/>
      <c r="J44" s="57"/>
      <c r="K44" s="57"/>
      <c r="L44" s="57"/>
      <c r="M44" s="57"/>
      <c r="N44" s="57"/>
      <c r="O44" s="57"/>
      <c r="P44" s="57"/>
      <c r="Q44" s="57"/>
      <c r="R44" s="57"/>
      <c r="S44" s="57"/>
      <c r="T44" s="57"/>
      <c r="U44" s="57"/>
      <c r="V44" s="57"/>
      <c r="W44" s="57"/>
      <c r="X44" s="57"/>
      <c r="Y44" s="57"/>
      <c r="Z44" s="57"/>
      <c r="AA44" s="57"/>
      <c r="AB44" s="57"/>
      <c r="AC44" s="73" t="s">
        <v>166</v>
      </c>
      <c r="AD44" s="57"/>
      <c r="AE44" s="57"/>
      <c r="AF44" s="57"/>
      <c r="AG44" s="57"/>
      <c r="AH44" s="57"/>
      <c r="AI44" s="57"/>
      <c r="AJ44" s="57"/>
      <c r="AK44" s="57"/>
      <c r="AL44" s="57"/>
      <c r="AM44" s="57"/>
      <c r="AN44" s="57"/>
      <c r="AO44" s="57"/>
      <c r="AP44" s="57"/>
      <c r="AQ44" s="57"/>
      <c r="AR44" s="71" t="s">
        <v>59</v>
      </c>
      <c r="AS44" s="71" t="s">
        <v>59</v>
      </c>
    </row>
    <row r="45" spans="1:45" ht="15" customHeight="1">
      <c r="A45" s="58" t="s">
        <v>167</v>
      </c>
      <c r="B45" s="55">
        <v>4581969433</v>
      </c>
      <c r="C45" s="55" t="s">
        <v>168</v>
      </c>
      <c r="D45" s="55"/>
      <c r="E45" s="56"/>
      <c r="F45" s="55"/>
      <c r="G45" s="57"/>
      <c r="H45" s="57"/>
      <c r="I45" s="57"/>
      <c r="J45" s="57"/>
      <c r="K45" s="57"/>
      <c r="L45" s="57"/>
      <c r="M45" s="57"/>
      <c r="N45" s="57"/>
      <c r="O45" s="57"/>
      <c r="P45" s="57"/>
      <c r="Q45" s="73" t="s">
        <v>62</v>
      </c>
      <c r="R45" s="73" t="s">
        <v>126</v>
      </c>
      <c r="S45" s="73" t="s">
        <v>156</v>
      </c>
      <c r="T45" s="73" t="s">
        <v>127</v>
      </c>
      <c r="U45" s="73" t="s">
        <v>128</v>
      </c>
      <c r="V45" s="73"/>
      <c r="W45" s="73"/>
      <c r="X45" s="73"/>
      <c r="Y45" s="73"/>
      <c r="Z45" s="73"/>
      <c r="AA45" s="73"/>
      <c r="AB45" s="73"/>
      <c r="AC45" s="73" t="s">
        <v>169</v>
      </c>
      <c r="AD45" s="57"/>
      <c r="AE45" s="57"/>
      <c r="AF45" s="73" t="s">
        <v>169</v>
      </c>
      <c r="AG45" s="57"/>
      <c r="AH45" s="57"/>
      <c r="AI45" s="57"/>
      <c r="AJ45" s="73" t="s">
        <v>62</v>
      </c>
      <c r="AK45" s="73" t="s">
        <v>126</v>
      </c>
      <c r="AL45" s="57"/>
      <c r="AM45" s="57"/>
      <c r="AN45" s="57"/>
      <c r="AO45" s="57" t="s">
        <v>59</v>
      </c>
      <c r="AP45" s="57" t="s">
        <v>59</v>
      </c>
      <c r="AQ45" s="57"/>
      <c r="AR45" s="71" t="s">
        <v>59</v>
      </c>
      <c r="AS45" s="71" t="s">
        <v>59</v>
      </c>
    </row>
    <row r="46" spans="1:45" ht="15" customHeight="1">
      <c r="A46" s="64" t="s">
        <v>170</v>
      </c>
      <c r="B46" s="59">
        <v>4105116347</v>
      </c>
      <c r="C46" s="57"/>
      <c r="D46" s="57"/>
      <c r="E46" s="65"/>
      <c r="F46" s="57"/>
      <c r="G46" s="57"/>
      <c r="H46" s="57"/>
      <c r="I46" s="57"/>
      <c r="J46" s="57"/>
      <c r="K46" s="57"/>
      <c r="L46" s="57"/>
      <c r="M46" s="57"/>
      <c r="N46" s="57"/>
      <c r="O46" s="57"/>
      <c r="P46" s="57"/>
      <c r="Q46" s="73" t="s">
        <v>171</v>
      </c>
      <c r="R46" s="73" t="s">
        <v>172</v>
      </c>
      <c r="S46" s="73" t="s">
        <v>139</v>
      </c>
      <c r="T46" s="73"/>
      <c r="U46" s="73"/>
      <c r="V46" s="73"/>
      <c r="W46" s="73"/>
      <c r="X46" s="73"/>
      <c r="Y46" s="73"/>
      <c r="Z46" s="73"/>
      <c r="AA46" s="73" t="s">
        <v>173</v>
      </c>
      <c r="AB46" s="73"/>
      <c r="AC46" s="73" t="s">
        <v>174</v>
      </c>
      <c r="AD46" s="57"/>
      <c r="AE46" s="57"/>
      <c r="AF46" s="73" t="s">
        <v>174</v>
      </c>
      <c r="AG46" s="57"/>
      <c r="AH46" s="57"/>
      <c r="AI46" s="57"/>
      <c r="AJ46" s="73" t="s">
        <v>171</v>
      </c>
      <c r="AK46" s="73" t="s">
        <v>172</v>
      </c>
      <c r="AL46" s="57"/>
      <c r="AM46" s="57"/>
      <c r="AN46" s="57"/>
      <c r="AO46" s="57" t="s">
        <v>59</v>
      </c>
      <c r="AP46" s="57" t="s">
        <v>59</v>
      </c>
      <c r="AQ46" s="57"/>
      <c r="AR46" s="71" t="s">
        <v>59</v>
      </c>
      <c r="AS46" s="71" t="s">
        <v>59</v>
      </c>
    </row>
    <row r="47" spans="1:45" ht="15" customHeight="1">
      <c r="A47" s="58" t="s">
        <v>175</v>
      </c>
      <c r="B47" s="55">
        <v>6311509369</v>
      </c>
      <c r="C47" s="55"/>
      <c r="D47" s="55"/>
      <c r="E47" s="56"/>
      <c r="F47" s="55"/>
      <c r="G47" s="57"/>
      <c r="H47" s="57"/>
      <c r="I47" s="57"/>
      <c r="J47" s="57"/>
      <c r="K47" s="57"/>
      <c r="L47" s="57"/>
      <c r="M47" s="57"/>
      <c r="N47" s="57"/>
      <c r="O47" s="57"/>
      <c r="P47" s="57"/>
      <c r="Q47" s="73" t="s">
        <v>96</v>
      </c>
      <c r="R47" s="73"/>
      <c r="S47" s="73"/>
      <c r="T47" s="73"/>
      <c r="U47" s="73"/>
      <c r="V47" s="73"/>
      <c r="W47" s="73"/>
      <c r="X47" s="73"/>
      <c r="Y47" s="73"/>
      <c r="Z47" s="73"/>
      <c r="AA47" s="73"/>
      <c r="AB47" s="73"/>
      <c r="AC47" s="73" t="s">
        <v>176</v>
      </c>
      <c r="AD47" s="57"/>
      <c r="AE47" s="57"/>
      <c r="AF47" s="57" t="s">
        <v>177</v>
      </c>
      <c r="AG47" s="57" t="s">
        <v>178</v>
      </c>
      <c r="AH47" s="57"/>
      <c r="AI47" s="57"/>
      <c r="AJ47" s="57"/>
      <c r="AK47" s="57"/>
      <c r="AL47" s="57"/>
      <c r="AM47" s="57"/>
      <c r="AN47" s="57"/>
      <c r="AO47" s="57"/>
      <c r="AP47" s="57"/>
      <c r="AQ47" s="57"/>
      <c r="AR47" s="71" t="s">
        <v>59</v>
      </c>
      <c r="AS47" s="71" t="s">
        <v>59</v>
      </c>
    </row>
    <row r="48" spans="1:45" ht="15" customHeight="1">
      <c r="A48" s="64" t="s">
        <v>179</v>
      </c>
      <c r="B48" s="59">
        <v>4607845787</v>
      </c>
      <c r="C48" s="57"/>
      <c r="D48" s="57"/>
      <c r="E48" s="65"/>
      <c r="F48" s="57"/>
      <c r="G48" s="57"/>
      <c r="H48" s="57"/>
      <c r="I48" s="57"/>
      <c r="J48" s="57"/>
      <c r="K48" s="57"/>
      <c r="L48" s="57"/>
      <c r="M48" s="57"/>
      <c r="N48" s="57"/>
      <c r="O48" s="57"/>
      <c r="P48" s="57"/>
      <c r="Q48" s="73" t="s">
        <v>87</v>
      </c>
      <c r="R48" s="73"/>
      <c r="S48" s="73"/>
      <c r="T48" s="73"/>
      <c r="U48" s="73"/>
      <c r="V48" s="73"/>
      <c r="W48" s="73"/>
      <c r="X48" s="73"/>
      <c r="Y48" s="73"/>
      <c r="Z48" s="73"/>
      <c r="AA48" s="73" t="s">
        <v>88</v>
      </c>
      <c r="AB48" s="73" t="s">
        <v>70</v>
      </c>
      <c r="AC48" s="73" t="s">
        <v>89</v>
      </c>
      <c r="AD48" s="57"/>
      <c r="AE48" s="57"/>
      <c r="AF48" s="73" t="s">
        <v>89</v>
      </c>
      <c r="AG48" s="57"/>
      <c r="AH48" s="57"/>
      <c r="AI48" s="57"/>
      <c r="AJ48" s="73" t="s">
        <v>87</v>
      </c>
      <c r="AK48" s="57"/>
      <c r="AL48" s="57"/>
      <c r="AM48" s="57"/>
      <c r="AN48" s="57"/>
      <c r="AO48" s="57" t="s">
        <v>59</v>
      </c>
      <c r="AP48" s="57" t="s">
        <v>59</v>
      </c>
      <c r="AQ48" s="57"/>
      <c r="AR48" s="71" t="s">
        <v>59</v>
      </c>
      <c r="AS48" s="71" t="s">
        <v>59</v>
      </c>
    </row>
    <row r="49" spans="1:45" ht="15" customHeight="1">
      <c r="A49" s="64" t="s">
        <v>180</v>
      </c>
      <c r="B49" s="59">
        <v>4381270088</v>
      </c>
      <c r="C49" s="57"/>
      <c r="D49" s="57"/>
      <c r="E49" s="65"/>
      <c r="F49" s="57"/>
      <c r="G49" s="57"/>
      <c r="H49" s="57"/>
      <c r="I49" s="57"/>
      <c r="J49" s="57"/>
      <c r="K49" s="57"/>
      <c r="L49" s="57"/>
      <c r="M49" s="57"/>
      <c r="N49" s="57"/>
      <c r="O49" s="57"/>
      <c r="P49" s="57"/>
      <c r="Q49" s="73" t="s">
        <v>181</v>
      </c>
      <c r="R49" s="73" t="s">
        <v>182</v>
      </c>
      <c r="S49" s="73"/>
      <c r="T49" s="73"/>
      <c r="U49" s="73"/>
      <c r="V49" s="73"/>
      <c r="W49" s="73"/>
      <c r="X49" s="73"/>
      <c r="Y49" s="73"/>
      <c r="Z49" s="73"/>
      <c r="AA49" s="73"/>
      <c r="AB49" s="73"/>
      <c r="AC49" s="73" t="s">
        <v>183</v>
      </c>
      <c r="AD49" s="57"/>
      <c r="AE49" s="57"/>
      <c r="AF49" s="73" t="s">
        <v>183</v>
      </c>
      <c r="AG49" s="57"/>
      <c r="AH49" s="57"/>
      <c r="AI49" s="57"/>
      <c r="AJ49" s="73" t="s">
        <v>182</v>
      </c>
      <c r="AK49" s="57"/>
      <c r="AL49" s="57"/>
      <c r="AM49" s="57"/>
      <c r="AN49" s="57"/>
      <c r="AO49" s="57" t="s">
        <v>59</v>
      </c>
      <c r="AP49" s="57" t="s">
        <v>59</v>
      </c>
      <c r="AQ49" s="57"/>
      <c r="AR49" s="71" t="s">
        <v>59</v>
      </c>
      <c r="AS49" s="71" t="s">
        <v>59</v>
      </c>
    </row>
    <row r="50" spans="1:45" ht="15" customHeight="1">
      <c r="A50" s="62" t="s">
        <v>184</v>
      </c>
      <c r="B50" s="63">
        <v>4860610520</v>
      </c>
      <c r="C50" s="62"/>
      <c r="D50" s="62"/>
      <c r="E50" s="66"/>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62"/>
      <c r="AG50" s="62"/>
      <c r="AH50" s="62"/>
      <c r="AI50" s="62"/>
      <c r="AJ50" s="62"/>
      <c r="AK50" s="62"/>
      <c r="AL50" s="62"/>
      <c r="AM50" s="62"/>
      <c r="AN50" s="62"/>
      <c r="AO50" s="62"/>
      <c r="AP50" s="62"/>
      <c r="AQ50" s="62"/>
      <c r="AR50" s="72"/>
      <c r="AS50" s="72" t="s">
        <v>59</v>
      </c>
    </row>
    <row r="51" spans="1:45" ht="15" customHeight="1">
      <c r="A51" s="64" t="s">
        <v>185</v>
      </c>
      <c r="B51" s="59">
        <v>4422465724</v>
      </c>
      <c r="C51" s="57"/>
      <c r="D51" s="57"/>
      <c r="E51" s="65"/>
      <c r="F51" s="57"/>
      <c r="G51" s="57"/>
      <c r="H51" s="57"/>
      <c r="I51" s="57"/>
      <c r="J51" s="57"/>
      <c r="K51" s="57"/>
      <c r="L51" s="57"/>
      <c r="M51" s="57"/>
      <c r="N51" s="57"/>
      <c r="O51" s="57"/>
      <c r="P51" s="57"/>
      <c r="Q51" s="57"/>
      <c r="R51" s="57"/>
      <c r="S51" s="57"/>
      <c r="T51" s="57"/>
      <c r="U51" s="57"/>
      <c r="V51" s="57"/>
      <c r="W51" s="57"/>
      <c r="X51" s="57"/>
      <c r="Y51" s="57"/>
      <c r="Z51" s="57"/>
      <c r="AA51" s="57"/>
      <c r="AB51" s="57" t="s">
        <v>61</v>
      </c>
      <c r="AC51" s="57"/>
      <c r="AD51" s="57"/>
      <c r="AE51" s="57"/>
      <c r="AF51" s="57"/>
      <c r="AG51" s="57"/>
      <c r="AH51" s="57"/>
      <c r="AI51" s="57"/>
      <c r="AJ51" s="57"/>
      <c r="AK51" s="57"/>
      <c r="AL51" s="57"/>
      <c r="AM51" s="57"/>
      <c r="AN51" s="57"/>
      <c r="AO51" s="57"/>
      <c r="AP51" s="57"/>
      <c r="AQ51" s="57"/>
      <c r="AR51" s="71" t="s">
        <v>59</v>
      </c>
      <c r="AS51" s="71" t="s">
        <v>59</v>
      </c>
    </row>
    <row r="52" spans="1:45" ht="15" customHeight="1">
      <c r="A52" s="58" t="s">
        <v>186</v>
      </c>
      <c r="B52" s="55">
        <v>4383954715</v>
      </c>
      <c r="C52" s="55"/>
      <c r="D52" s="55"/>
      <c r="E52" s="56"/>
      <c r="F52" s="55"/>
      <c r="G52" s="57"/>
      <c r="H52" s="57"/>
      <c r="I52" s="57"/>
      <c r="J52" s="57"/>
      <c r="K52" s="57"/>
      <c r="L52" s="57"/>
      <c r="M52" s="57"/>
      <c r="N52" s="57"/>
      <c r="O52" s="57"/>
      <c r="P52" s="57"/>
      <c r="Q52" s="73" t="s">
        <v>62</v>
      </c>
      <c r="R52" s="73" t="s">
        <v>156</v>
      </c>
      <c r="S52" s="73"/>
      <c r="T52" s="73"/>
      <c r="U52" s="73"/>
      <c r="V52" s="73"/>
      <c r="W52" s="73"/>
      <c r="X52" s="73"/>
      <c r="Y52" s="73"/>
      <c r="Z52" s="73"/>
      <c r="AA52" s="73" t="s">
        <v>126</v>
      </c>
      <c r="AB52" s="73"/>
      <c r="AC52" s="73" t="s">
        <v>135</v>
      </c>
      <c r="AD52" s="57"/>
      <c r="AE52" s="57"/>
      <c r="AF52" s="73" t="s">
        <v>135</v>
      </c>
      <c r="AG52" s="57"/>
      <c r="AH52" s="57"/>
      <c r="AI52" s="57"/>
      <c r="AJ52" s="73" t="s">
        <v>62</v>
      </c>
      <c r="AK52" s="73" t="s">
        <v>156</v>
      </c>
      <c r="AL52" s="57"/>
      <c r="AM52" s="57"/>
      <c r="AN52" s="57"/>
      <c r="AO52" s="57" t="s">
        <v>59</v>
      </c>
      <c r="AP52" s="57" t="s">
        <v>59</v>
      </c>
      <c r="AQ52" s="57"/>
      <c r="AR52" s="71" t="s">
        <v>59</v>
      </c>
      <c r="AS52" s="71" t="s">
        <v>59</v>
      </c>
    </row>
    <row r="53" spans="1:45" ht="15" customHeight="1">
      <c r="A53" s="55" t="s">
        <v>187</v>
      </c>
      <c r="B53" s="55">
        <v>4087331415</v>
      </c>
      <c r="C53" s="55" t="s">
        <v>188</v>
      </c>
      <c r="D53" s="55"/>
      <c r="E53" s="56"/>
      <c r="F53" s="55"/>
      <c r="G53" s="57" t="s">
        <v>37</v>
      </c>
      <c r="H53" s="57"/>
      <c r="I53" s="57"/>
      <c r="J53" s="57" t="s">
        <v>39</v>
      </c>
      <c r="K53" s="57"/>
      <c r="L53" s="57"/>
      <c r="M53" s="57"/>
      <c r="N53" s="57"/>
      <c r="O53" s="57"/>
      <c r="P53" s="57" t="s">
        <v>189</v>
      </c>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71" t="s">
        <v>59</v>
      </c>
      <c r="AS53" s="71" t="s">
        <v>59</v>
      </c>
    </row>
    <row r="54" spans="1:45" ht="15" customHeight="1">
      <c r="A54" s="58" t="s">
        <v>190</v>
      </c>
      <c r="B54" s="55">
        <v>4382082870</v>
      </c>
      <c r="C54" s="55" t="s">
        <v>191</v>
      </c>
      <c r="D54" s="55"/>
      <c r="E54" s="56"/>
      <c r="F54" s="55"/>
      <c r="G54" s="57"/>
      <c r="H54" s="57"/>
      <c r="I54" s="57"/>
      <c r="J54" s="57"/>
      <c r="K54" s="57"/>
      <c r="L54" s="57"/>
      <c r="M54" s="57"/>
      <c r="N54" s="57"/>
      <c r="O54" s="57"/>
      <c r="P54" s="57"/>
      <c r="Q54" s="57"/>
      <c r="R54" s="57"/>
      <c r="S54" s="57"/>
      <c r="T54" s="57"/>
      <c r="U54" s="57"/>
      <c r="V54" s="57"/>
      <c r="W54" s="57"/>
      <c r="X54" s="57"/>
      <c r="Y54" s="57"/>
      <c r="Z54" s="57"/>
      <c r="AA54" s="57"/>
      <c r="AB54" s="57"/>
      <c r="AC54" s="57" t="s">
        <v>62</v>
      </c>
      <c r="AD54" s="57"/>
      <c r="AE54" s="57"/>
      <c r="AF54" s="57"/>
      <c r="AG54" s="57"/>
      <c r="AH54" s="57"/>
      <c r="AI54" s="57"/>
      <c r="AJ54" s="57"/>
      <c r="AK54" s="57"/>
      <c r="AL54" s="57"/>
      <c r="AM54" s="57"/>
      <c r="AN54" s="57"/>
      <c r="AO54" s="57"/>
      <c r="AP54" s="57"/>
      <c r="AQ54" s="57"/>
      <c r="AR54" s="71" t="s">
        <v>59</v>
      </c>
      <c r="AS54" s="71" t="s">
        <v>59</v>
      </c>
    </row>
    <row r="55" spans="1:45" ht="15" customHeight="1">
      <c r="A55" s="55" t="s">
        <v>192</v>
      </c>
      <c r="B55" s="55">
        <v>4382082870</v>
      </c>
      <c r="C55" s="55"/>
      <c r="D55" s="55"/>
      <c r="E55" s="56"/>
      <c r="F55" s="55"/>
      <c r="G55" s="57" t="s">
        <v>37</v>
      </c>
      <c r="H55" s="57" t="s">
        <v>39</v>
      </c>
      <c r="I55" s="57"/>
      <c r="J55" s="57"/>
      <c r="K55" s="57"/>
      <c r="L55" s="57"/>
      <c r="M55" s="57"/>
      <c r="N55" s="57" t="s">
        <v>193</v>
      </c>
      <c r="O55" s="57" t="s">
        <v>59</v>
      </c>
      <c r="P55" s="57"/>
      <c r="Q55" s="57" t="s">
        <v>113</v>
      </c>
      <c r="R55" s="57" t="s">
        <v>194</v>
      </c>
      <c r="S55" s="57" t="s">
        <v>70</v>
      </c>
      <c r="T55" s="57" t="s">
        <v>195</v>
      </c>
      <c r="U55" s="57" t="s">
        <v>196</v>
      </c>
      <c r="V55" s="57"/>
      <c r="W55" s="57"/>
      <c r="X55" s="57"/>
      <c r="Y55" s="57"/>
      <c r="Z55" s="57"/>
      <c r="AA55" s="57" t="s">
        <v>197</v>
      </c>
      <c r="AB55" s="57"/>
      <c r="AC55" s="57" t="s">
        <v>198</v>
      </c>
      <c r="AD55" s="57"/>
      <c r="AE55" s="57"/>
      <c r="AF55" s="57" t="s">
        <v>198</v>
      </c>
      <c r="AG55" s="57"/>
      <c r="AH55" s="57"/>
      <c r="AI55" s="57"/>
      <c r="AJ55" s="57" t="s">
        <v>113</v>
      </c>
      <c r="AK55" s="57" t="s">
        <v>194</v>
      </c>
      <c r="AL55" s="57"/>
      <c r="AM55" s="57"/>
      <c r="AN55" s="57"/>
      <c r="AO55" s="57" t="s">
        <v>59</v>
      </c>
      <c r="AP55" s="57" t="s">
        <v>59</v>
      </c>
      <c r="AQ55" s="57"/>
      <c r="AR55" s="71" t="s">
        <v>59</v>
      </c>
      <c r="AS55" s="71" t="s">
        <v>59</v>
      </c>
    </row>
    <row r="56" spans="1:45" ht="15" customHeight="1">
      <c r="A56" s="55" t="s">
        <v>199</v>
      </c>
      <c r="B56" s="55">
        <v>4002785289</v>
      </c>
      <c r="C56" s="55"/>
      <c r="D56" s="55"/>
      <c r="E56" s="56"/>
      <c r="F56" s="55"/>
      <c r="G56" s="57" t="s">
        <v>37</v>
      </c>
      <c r="H56" s="57"/>
      <c r="I56" s="57" t="s">
        <v>39</v>
      </c>
      <c r="J56" s="57"/>
      <c r="K56" s="57"/>
      <c r="L56" s="57"/>
      <c r="M56" s="57"/>
      <c r="N56" s="57" t="s">
        <v>200</v>
      </c>
      <c r="O56" s="57" t="s">
        <v>59</v>
      </c>
      <c r="P56" s="57"/>
      <c r="Q56" s="57" t="s">
        <v>128</v>
      </c>
      <c r="R56" s="57" t="s">
        <v>126</v>
      </c>
      <c r="S56" s="57" t="s">
        <v>134</v>
      </c>
      <c r="T56" s="57" t="s">
        <v>61</v>
      </c>
      <c r="U56" s="57" t="s">
        <v>201</v>
      </c>
      <c r="V56" s="57"/>
      <c r="W56" s="57"/>
      <c r="X56" s="57"/>
      <c r="Y56" s="57"/>
      <c r="Z56" s="57"/>
      <c r="AA56" s="57" t="s">
        <v>202</v>
      </c>
      <c r="AB56" s="57"/>
      <c r="AC56" s="57" t="s">
        <v>130</v>
      </c>
      <c r="AD56" s="57"/>
      <c r="AE56" s="57"/>
      <c r="AF56" s="57" t="s">
        <v>130</v>
      </c>
      <c r="AG56" s="57"/>
      <c r="AH56" s="57"/>
      <c r="AI56" s="57"/>
      <c r="AJ56" s="57" t="s">
        <v>128</v>
      </c>
      <c r="AK56" s="57" t="s">
        <v>126</v>
      </c>
      <c r="AL56" s="57"/>
      <c r="AM56" s="57"/>
      <c r="AN56" s="57"/>
      <c r="AO56" s="57" t="s">
        <v>59</v>
      </c>
      <c r="AP56" s="57" t="s">
        <v>59</v>
      </c>
      <c r="AQ56" s="57"/>
      <c r="AR56" s="71" t="s">
        <v>59</v>
      </c>
      <c r="AS56" s="71" t="s">
        <v>59</v>
      </c>
    </row>
    <row r="57" spans="1:45" ht="15" customHeight="1">
      <c r="A57" s="55" t="s">
        <v>203</v>
      </c>
      <c r="B57" s="55">
        <v>6304415273</v>
      </c>
      <c r="C57" s="55" t="s">
        <v>204</v>
      </c>
      <c r="D57" s="55"/>
      <c r="E57" s="56"/>
      <c r="F57" s="55"/>
      <c r="G57" s="57" t="s">
        <v>37</v>
      </c>
      <c r="H57" s="57"/>
      <c r="I57" s="57" t="s">
        <v>39</v>
      </c>
      <c r="J57" s="57"/>
      <c r="K57" s="57"/>
      <c r="L57" s="57"/>
      <c r="M57" s="57"/>
      <c r="N57" s="57" t="s">
        <v>205</v>
      </c>
      <c r="O57" s="57" t="s">
        <v>59</v>
      </c>
      <c r="P57" s="57"/>
      <c r="Q57" s="57"/>
      <c r="R57" s="57"/>
      <c r="S57" s="57"/>
      <c r="T57" s="57"/>
      <c r="U57" s="57"/>
      <c r="V57" s="57"/>
      <c r="W57" s="57"/>
      <c r="X57" s="57"/>
      <c r="Y57" s="57"/>
      <c r="Z57" s="57"/>
      <c r="AA57" s="57"/>
      <c r="AB57" s="57" t="s">
        <v>206</v>
      </c>
      <c r="AC57" s="57"/>
      <c r="AD57" s="57"/>
      <c r="AE57" s="57"/>
      <c r="AF57" s="57"/>
      <c r="AG57" s="57"/>
      <c r="AH57" s="57"/>
      <c r="AI57" s="57"/>
      <c r="AJ57" s="57"/>
      <c r="AK57" s="57"/>
      <c r="AL57" s="57"/>
      <c r="AM57" s="57"/>
      <c r="AN57" s="57"/>
      <c r="AO57" s="57"/>
      <c r="AP57" s="57"/>
      <c r="AQ57" s="57"/>
      <c r="AR57" s="71" t="s">
        <v>59</v>
      </c>
      <c r="AS57" s="71" t="s">
        <v>59</v>
      </c>
    </row>
    <row r="58" spans="1:45" s="37" customFormat="1" ht="15" customHeight="1">
      <c r="A58" s="60" t="s">
        <v>207</v>
      </c>
      <c r="B58" s="60">
        <v>6304415273</v>
      </c>
      <c r="C58" s="60"/>
      <c r="D58" s="60"/>
      <c r="E58" s="61"/>
      <c r="F58" s="60"/>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62"/>
      <c r="AL58" s="62"/>
      <c r="AM58" s="62"/>
      <c r="AN58" s="62"/>
      <c r="AO58" s="62"/>
      <c r="AP58" s="62"/>
      <c r="AQ58" s="62"/>
      <c r="AR58" s="72"/>
      <c r="AS58" s="72" t="s">
        <v>59</v>
      </c>
    </row>
    <row r="59" spans="1:45" ht="15" customHeight="1">
      <c r="A59" s="64" t="s">
        <v>208</v>
      </c>
      <c r="B59" s="59">
        <v>4387805943</v>
      </c>
      <c r="C59" s="57"/>
      <c r="D59" s="57"/>
      <c r="E59" s="65"/>
      <c r="F59" s="57"/>
      <c r="G59" s="57"/>
      <c r="H59" s="57"/>
      <c r="I59" s="57"/>
      <c r="J59" s="57"/>
      <c r="K59" s="57"/>
      <c r="L59" s="57"/>
      <c r="M59" s="57"/>
      <c r="N59" s="57"/>
      <c r="O59" s="57"/>
      <c r="P59" s="57"/>
      <c r="Q59" s="57"/>
      <c r="R59" s="57"/>
      <c r="S59" s="57"/>
      <c r="T59" s="57"/>
      <c r="U59" s="57"/>
      <c r="V59" s="57"/>
      <c r="W59" s="57"/>
      <c r="X59" s="57"/>
      <c r="Y59" s="57"/>
      <c r="Z59" s="57"/>
      <c r="AA59" s="57"/>
      <c r="AB59" s="57" t="s">
        <v>62</v>
      </c>
      <c r="AC59" s="57"/>
      <c r="AD59" s="57"/>
      <c r="AE59" s="57"/>
      <c r="AF59" s="57"/>
      <c r="AG59" s="57"/>
      <c r="AH59" s="57"/>
      <c r="AI59" s="57"/>
      <c r="AJ59" s="57"/>
      <c r="AK59" s="57"/>
      <c r="AL59" s="57"/>
      <c r="AM59" s="57"/>
      <c r="AN59" s="57"/>
      <c r="AO59" s="57"/>
      <c r="AP59" s="57"/>
      <c r="AQ59" s="57"/>
      <c r="AR59" s="71" t="s">
        <v>59</v>
      </c>
      <c r="AS59" s="71" t="s">
        <v>59</v>
      </c>
    </row>
    <row r="60" spans="1:45" ht="15" customHeight="1">
      <c r="A60" s="62" t="s">
        <v>209</v>
      </c>
      <c r="B60" s="63">
        <v>4507847818</v>
      </c>
      <c r="C60" s="62"/>
      <c r="D60" s="62"/>
      <c r="E60" s="66"/>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c r="AE60" s="62"/>
      <c r="AF60" s="62"/>
      <c r="AG60" s="62"/>
      <c r="AH60" s="62"/>
      <c r="AI60" s="62"/>
      <c r="AJ60" s="62"/>
      <c r="AK60" s="62"/>
      <c r="AL60" s="62"/>
      <c r="AM60" s="62"/>
      <c r="AN60" s="62"/>
      <c r="AO60" s="62"/>
      <c r="AP60" s="62"/>
      <c r="AQ60" s="62"/>
      <c r="AR60" s="72"/>
      <c r="AS60" s="72" t="s">
        <v>59</v>
      </c>
    </row>
    <row r="61" spans="1:45" ht="15" customHeight="1">
      <c r="A61" s="58" t="s">
        <v>210</v>
      </c>
      <c r="B61" s="55">
        <v>4509013485</v>
      </c>
      <c r="C61" s="55"/>
      <c r="D61" s="55"/>
      <c r="E61" s="56"/>
      <c r="F61" s="55"/>
      <c r="G61" s="57"/>
      <c r="H61" s="57"/>
      <c r="I61" s="57"/>
      <c r="J61" s="57"/>
      <c r="K61" s="57"/>
      <c r="L61" s="57"/>
      <c r="M61" s="57"/>
      <c r="N61" s="57"/>
      <c r="O61" s="57"/>
      <c r="P61" s="57"/>
      <c r="Q61" s="73" t="s">
        <v>61</v>
      </c>
      <c r="R61" s="73" t="s">
        <v>96</v>
      </c>
      <c r="S61" s="73" t="s">
        <v>211</v>
      </c>
      <c r="T61" s="73"/>
      <c r="U61" s="73"/>
      <c r="V61" s="73"/>
      <c r="W61" s="73"/>
      <c r="X61" s="73"/>
      <c r="Y61" s="73"/>
      <c r="Z61" s="73"/>
      <c r="AA61" s="73"/>
      <c r="AB61" s="73" t="s">
        <v>212</v>
      </c>
      <c r="AC61" s="73" t="s">
        <v>98</v>
      </c>
      <c r="AD61" s="57"/>
      <c r="AE61" s="57"/>
      <c r="AF61" s="73" t="s">
        <v>98</v>
      </c>
      <c r="AG61" s="57"/>
      <c r="AH61" s="57"/>
      <c r="AI61" s="57"/>
      <c r="AJ61" s="73" t="s">
        <v>61</v>
      </c>
      <c r="AK61" s="73" t="s">
        <v>96</v>
      </c>
      <c r="AL61" s="57"/>
      <c r="AM61" s="57"/>
      <c r="AN61" s="57"/>
      <c r="AO61" s="57" t="s">
        <v>59</v>
      </c>
      <c r="AP61" s="57" t="s">
        <v>59</v>
      </c>
      <c r="AQ61" s="57"/>
      <c r="AR61" s="71" t="s">
        <v>59</v>
      </c>
      <c r="AS61" s="71" t="s">
        <v>59</v>
      </c>
    </row>
    <row r="62" spans="1:45" ht="15" customHeight="1">
      <c r="A62" s="58" t="s">
        <v>213</v>
      </c>
      <c r="B62" s="55">
        <v>6291397250</v>
      </c>
      <c r="C62" s="55"/>
      <c r="D62" s="55"/>
      <c r="E62" s="56"/>
      <c r="F62" s="55"/>
      <c r="G62" s="57"/>
      <c r="H62" s="57"/>
      <c r="I62" s="57"/>
      <c r="J62" s="57"/>
      <c r="K62" s="57"/>
      <c r="L62" s="57"/>
      <c r="M62" s="57"/>
      <c r="N62" s="57"/>
      <c r="O62" s="57"/>
      <c r="P62" s="57"/>
      <c r="Q62" s="73" t="s">
        <v>195</v>
      </c>
      <c r="R62" s="73"/>
      <c r="S62" s="73"/>
      <c r="T62" s="73"/>
      <c r="U62" s="73"/>
      <c r="V62" s="73"/>
      <c r="W62" s="73"/>
      <c r="X62" s="73"/>
      <c r="Y62" s="73"/>
      <c r="Z62" s="73"/>
      <c r="AA62" s="73"/>
      <c r="AB62" s="73" t="s">
        <v>60</v>
      </c>
      <c r="AC62" s="73" t="s">
        <v>214</v>
      </c>
      <c r="AD62" s="57"/>
      <c r="AE62" s="57"/>
      <c r="AF62" s="73" t="s">
        <v>214</v>
      </c>
      <c r="AG62" s="57"/>
      <c r="AH62" s="57"/>
      <c r="AI62" s="57"/>
      <c r="AJ62" s="73" t="s">
        <v>195</v>
      </c>
      <c r="AK62" s="73"/>
      <c r="AL62" s="57"/>
      <c r="AM62" s="57"/>
      <c r="AN62" s="57"/>
      <c r="AO62" s="57" t="s">
        <v>59</v>
      </c>
      <c r="AP62" s="57" t="s">
        <v>59</v>
      </c>
      <c r="AQ62" s="57"/>
      <c r="AR62" s="71" t="s">
        <v>59</v>
      </c>
      <c r="AS62" s="71" t="s">
        <v>59</v>
      </c>
    </row>
    <row r="63" spans="1:45" ht="15" customHeight="1">
      <c r="A63" s="58" t="s">
        <v>215</v>
      </c>
      <c r="B63" s="55">
        <v>4387817038</v>
      </c>
      <c r="C63" s="55"/>
      <c r="D63" s="55"/>
      <c r="E63" s="56"/>
      <c r="F63" s="55"/>
      <c r="G63" s="57"/>
      <c r="H63" s="57"/>
      <c r="I63" s="57"/>
      <c r="J63" s="57"/>
      <c r="K63" s="57"/>
      <c r="L63" s="57"/>
      <c r="M63" s="57"/>
      <c r="N63" s="57"/>
      <c r="O63" s="57"/>
      <c r="P63" s="57"/>
      <c r="Q63" s="73" t="s">
        <v>216</v>
      </c>
      <c r="R63" s="73" t="s">
        <v>96</v>
      </c>
      <c r="S63" s="73" t="s">
        <v>217</v>
      </c>
      <c r="T63" s="73" t="s">
        <v>211</v>
      </c>
      <c r="U63" s="73" t="s">
        <v>218</v>
      </c>
      <c r="V63" s="73" t="s">
        <v>61</v>
      </c>
      <c r="W63" s="73" t="s">
        <v>156</v>
      </c>
      <c r="X63" s="73" t="s">
        <v>62</v>
      </c>
      <c r="Y63" s="73"/>
      <c r="Z63" s="73"/>
      <c r="AA63" s="73" t="s">
        <v>97</v>
      </c>
      <c r="AB63" s="73"/>
      <c r="AC63" s="73" t="s">
        <v>219</v>
      </c>
      <c r="AD63" s="57"/>
      <c r="AE63" s="57"/>
      <c r="AF63" s="73" t="s">
        <v>219</v>
      </c>
      <c r="AG63" s="57"/>
      <c r="AH63" s="57"/>
      <c r="AI63" s="57"/>
      <c r="AJ63" s="73" t="s">
        <v>216</v>
      </c>
      <c r="AK63" s="57"/>
      <c r="AL63" s="73" t="s">
        <v>61</v>
      </c>
      <c r="AM63" s="57"/>
      <c r="AN63" s="57"/>
      <c r="AO63" s="57" t="s">
        <v>59</v>
      </c>
      <c r="AP63" s="57" t="s">
        <v>59</v>
      </c>
      <c r="AQ63" s="57"/>
      <c r="AR63" s="71" t="s">
        <v>59</v>
      </c>
      <c r="AS63" s="71" t="s">
        <v>59</v>
      </c>
    </row>
    <row r="64" spans="1:45" ht="15" customHeight="1">
      <c r="A64" s="58" t="s">
        <v>220</v>
      </c>
      <c r="B64" s="55">
        <v>4309377955</v>
      </c>
      <c r="C64" s="55"/>
      <c r="D64" s="55"/>
      <c r="E64" s="56"/>
      <c r="F64" s="55"/>
      <c r="G64" s="57"/>
      <c r="H64" s="57"/>
      <c r="I64" s="57"/>
      <c r="J64" s="57"/>
      <c r="K64" s="57"/>
      <c r="L64" s="57"/>
      <c r="M64" s="57"/>
      <c r="N64" s="57"/>
      <c r="O64" s="57"/>
      <c r="P64" s="57"/>
      <c r="Q64" s="73" t="s">
        <v>129</v>
      </c>
      <c r="R64" s="73"/>
      <c r="S64" s="73"/>
      <c r="T64" s="73"/>
      <c r="U64" s="73"/>
      <c r="V64" s="73"/>
      <c r="W64" s="73"/>
      <c r="X64" s="73"/>
      <c r="Y64" s="73"/>
      <c r="Z64" s="73"/>
      <c r="AA64" s="73"/>
      <c r="AB64" s="73"/>
      <c r="AC64" s="73" t="s">
        <v>221</v>
      </c>
      <c r="AD64" s="57"/>
      <c r="AE64" s="57"/>
      <c r="AF64" s="73" t="s">
        <v>221</v>
      </c>
      <c r="AG64" s="57"/>
      <c r="AH64" s="57"/>
      <c r="AI64" s="57"/>
      <c r="AJ64" s="73" t="s">
        <v>129</v>
      </c>
      <c r="AK64" s="57"/>
      <c r="AL64" s="57"/>
      <c r="AM64" s="57"/>
      <c r="AN64" s="57"/>
      <c r="AO64" s="57" t="s">
        <v>59</v>
      </c>
      <c r="AP64" s="57" t="s">
        <v>59</v>
      </c>
      <c r="AQ64" s="57"/>
      <c r="AR64" s="71" t="s">
        <v>59</v>
      </c>
      <c r="AS64" s="71" t="s">
        <v>59</v>
      </c>
    </row>
    <row r="65" spans="1:45" ht="15" customHeight="1">
      <c r="A65" s="55" t="s">
        <v>222</v>
      </c>
      <c r="B65" s="55">
        <v>4380897257</v>
      </c>
      <c r="C65" s="55" t="s">
        <v>120</v>
      </c>
      <c r="D65" s="55"/>
      <c r="E65" s="56"/>
      <c r="F65" s="55"/>
      <c r="G65" s="57" t="s">
        <v>37</v>
      </c>
      <c r="H65" s="57"/>
      <c r="I65" s="57"/>
      <c r="J65" s="57" t="s">
        <v>39</v>
      </c>
      <c r="K65" s="57"/>
      <c r="L65" s="57"/>
      <c r="M65" s="57"/>
      <c r="N65" s="57" t="s">
        <v>223</v>
      </c>
      <c r="O65" s="57" t="s">
        <v>59</v>
      </c>
      <c r="P65" s="57"/>
      <c r="Q65" s="57"/>
      <c r="R65" s="57"/>
      <c r="S65" s="57"/>
      <c r="T65" s="57"/>
      <c r="U65" s="57"/>
      <c r="V65" s="57"/>
      <c r="W65" s="57"/>
      <c r="X65" s="57"/>
      <c r="Y65" s="57"/>
      <c r="Z65" s="57"/>
      <c r="AA65" s="57"/>
      <c r="AB65" s="57" t="s">
        <v>62</v>
      </c>
      <c r="AC65" s="57"/>
      <c r="AD65" s="57"/>
      <c r="AE65" s="57"/>
      <c r="AF65" s="57"/>
      <c r="AG65" s="57"/>
      <c r="AH65" s="57"/>
      <c r="AI65" s="57"/>
      <c r="AJ65" s="57"/>
      <c r="AK65" s="57"/>
      <c r="AL65" s="57"/>
      <c r="AM65" s="57"/>
      <c r="AN65" s="57"/>
      <c r="AO65" s="57"/>
      <c r="AP65" s="57"/>
      <c r="AQ65" s="57"/>
      <c r="AR65" s="71" t="s">
        <v>59</v>
      </c>
      <c r="AS65" s="71" t="s">
        <v>59</v>
      </c>
    </row>
    <row r="66" spans="1:45" ht="15" customHeight="1">
      <c r="A66" s="64" t="s">
        <v>224</v>
      </c>
      <c r="B66" s="59">
        <v>4581551366</v>
      </c>
      <c r="C66" s="57"/>
      <c r="D66" s="57"/>
      <c r="E66" s="65"/>
      <c r="F66" s="57"/>
      <c r="G66" s="57"/>
      <c r="H66" s="57"/>
      <c r="I66" s="57"/>
      <c r="J66" s="57"/>
      <c r="K66" s="57"/>
      <c r="L66" s="57"/>
      <c r="M66" s="57"/>
      <c r="N66" s="57"/>
      <c r="O66" s="57"/>
      <c r="P66" s="57"/>
      <c r="Q66" s="57"/>
      <c r="R66" s="57"/>
      <c r="S66" s="57"/>
      <c r="T66" s="57"/>
      <c r="U66" s="57"/>
      <c r="V66" s="57"/>
      <c r="W66" s="57"/>
      <c r="X66" s="57"/>
      <c r="Y66" s="57"/>
      <c r="Z66" s="57"/>
      <c r="AA66" s="57"/>
      <c r="AB66" s="57"/>
      <c r="AC66" s="73" t="s">
        <v>225</v>
      </c>
      <c r="AD66" s="57"/>
      <c r="AE66" s="57"/>
      <c r="AF66" s="57"/>
      <c r="AG66" s="57"/>
      <c r="AH66" s="57"/>
      <c r="AI66" s="57"/>
      <c r="AJ66" s="57"/>
      <c r="AK66" s="57"/>
      <c r="AL66" s="57"/>
      <c r="AM66" s="57"/>
      <c r="AN66" s="57"/>
      <c r="AO66" s="57"/>
      <c r="AP66" s="57"/>
      <c r="AQ66" s="57"/>
      <c r="AR66" s="71" t="s">
        <v>59</v>
      </c>
      <c r="AS66" s="71" t="s">
        <v>59</v>
      </c>
    </row>
    <row r="67" spans="1:45" ht="15" customHeight="1">
      <c r="A67" s="64" t="s">
        <v>226</v>
      </c>
      <c r="B67" s="59">
        <v>4506190874</v>
      </c>
      <c r="C67" s="57"/>
      <c r="D67" s="57"/>
      <c r="E67" s="65"/>
      <c r="F67" s="57"/>
      <c r="G67" s="57"/>
      <c r="H67" s="57"/>
      <c r="I67" s="57"/>
      <c r="J67" s="57"/>
      <c r="K67" s="57"/>
      <c r="L67" s="57"/>
      <c r="M67" s="57"/>
      <c r="N67" s="57"/>
      <c r="O67" s="57"/>
      <c r="P67" s="57"/>
      <c r="Q67" s="73" t="s">
        <v>182</v>
      </c>
      <c r="R67" s="73"/>
      <c r="S67" s="73"/>
      <c r="T67" s="73"/>
      <c r="U67" s="73"/>
      <c r="V67" s="73" t="s">
        <v>227</v>
      </c>
      <c r="W67" s="73" t="s">
        <v>151</v>
      </c>
      <c r="X67" s="73"/>
      <c r="Y67" s="73"/>
      <c r="Z67" s="73"/>
      <c r="AA67" s="73"/>
      <c r="AB67" s="73"/>
      <c r="AC67" s="73" t="s">
        <v>228</v>
      </c>
      <c r="AD67" s="57"/>
      <c r="AE67" s="57"/>
      <c r="AF67" s="73" t="s">
        <v>228</v>
      </c>
      <c r="AG67" s="57"/>
      <c r="AH67" s="57"/>
      <c r="AI67" s="57"/>
      <c r="AJ67" s="73" t="s">
        <v>182</v>
      </c>
      <c r="AK67" s="57"/>
      <c r="AL67" s="73" t="s">
        <v>227</v>
      </c>
      <c r="AM67" s="57"/>
      <c r="AN67" s="57"/>
      <c r="AO67" s="57" t="s">
        <v>59</v>
      </c>
      <c r="AP67" s="57" t="s">
        <v>59</v>
      </c>
      <c r="AQ67" s="57"/>
      <c r="AR67" s="71" t="s">
        <v>59</v>
      </c>
      <c r="AS67" s="71" t="s">
        <v>59</v>
      </c>
    </row>
    <row r="68" spans="1:45" ht="15" customHeight="1">
      <c r="A68" s="55" t="s">
        <v>229</v>
      </c>
      <c r="B68" s="55">
        <v>7145163411</v>
      </c>
      <c r="C68" s="55" t="s">
        <v>73</v>
      </c>
      <c r="D68" s="55"/>
      <c r="E68" s="56"/>
      <c r="F68" s="55"/>
      <c r="G68" s="57" t="s">
        <v>37</v>
      </c>
      <c r="H68" s="57"/>
      <c r="I68" s="57"/>
      <c r="J68" s="57" t="s">
        <v>39</v>
      </c>
      <c r="K68" s="57"/>
      <c r="L68" s="57"/>
      <c r="M68" s="57"/>
      <c r="N68" s="57" t="s">
        <v>230</v>
      </c>
      <c r="O68" s="57" t="s">
        <v>59</v>
      </c>
      <c r="P68" s="57"/>
      <c r="Q68" s="57" t="s">
        <v>231</v>
      </c>
      <c r="R68" s="57" t="s">
        <v>128</v>
      </c>
      <c r="S68" s="57"/>
      <c r="T68" s="57"/>
      <c r="U68" s="57"/>
      <c r="V68" s="57"/>
      <c r="W68" s="57"/>
      <c r="X68" s="57"/>
      <c r="Y68" s="57"/>
      <c r="Z68" s="57"/>
      <c r="AA68" s="57"/>
      <c r="AB68" s="57"/>
      <c r="AC68" s="57" t="s">
        <v>166</v>
      </c>
      <c r="AD68" s="57"/>
      <c r="AE68" s="57"/>
      <c r="AF68" s="57" t="s">
        <v>166</v>
      </c>
      <c r="AG68" s="57" t="s">
        <v>232</v>
      </c>
      <c r="AH68" s="57"/>
      <c r="AI68" s="57"/>
      <c r="AJ68" s="57" t="s">
        <v>128</v>
      </c>
      <c r="AK68" s="57"/>
      <c r="AL68" s="57"/>
      <c r="AM68" s="57"/>
      <c r="AN68" s="57"/>
      <c r="AO68" s="57" t="s">
        <v>59</v>
      </c>
      <c r="AP68" s="57" t="s">
        <v>59</v>
      </c>
      <c r="AQ68" s="57"/>
      <c r="AR68" s="71" t="s">
        <v>59</v>
      </c>
      <c r="AS68" s="71" t="s">
        <v>59</v>
      </c>
    </row>
    <row r="69" spans="1:45" ht="15" customHeight="1">
      <c r="A69" s="64" t="s">
        <v>233</v>
      </c>
      <c r="B69" s="59">
        <v>4860855264</v>
      </c>
      <c r="C69" s="57"/>
      <c r="D69" s="57"/>
      <c r="E69" s="65"/>
      <c r="F69" s="57"/>
      <c r="G69" s="57"/>
      <c r="H69" s="57"/>
      <c r="I69" s="57"/>
      <c r="J69" s="57"/>
      <c r="K69" s="57"/>
      <c r="L69" s="57"/>
      <c r="M69" s="57"/>
      <c r="N69" s="57"/>
      <c r="O69" s="57"/>
      <c r="P69" s="57"/>
      <c r="Q69" s="73" t="s">
        <v>234</v>
      </c>
      <c r="R69" s="73" t="s">
        <v>216</v>
      </c>
      <c r="S69" s="73" t="s">
        <v>235</v>
      </c>
      <c r="T69" s="73"/>
      <c r="U69" s="73"/>
      <c r="V69" s="73"/>
      <c r="W69" s="73"/>
      <c r="X69" s="73"/>
      <c r="Y69" s="73"/>
      <c r="Z69" s="73"/>
      <c r="AA69" s="73"/>
      <c r="AB69" s="73"/>
      <c r="AC69" s="73" t="s">
        <v>236</v>
      </c>
      <c r="AD69" s="57"/>
      <c r="AE69" s="57"/>
      <c r="AF69" s="73" t="s">
        <v>236</v>
      </c>
      <c r="AG69" s="57"/>
      <c r="AH69" s="57"/>
      <c r="AI69" s="57"/>
      <c r="AJ69" s="73" t="s">
        <v>234</v>
      </c>
      <c r="AK69" s="73" t="s">
        <v>216</v>
      </c>
      <c r="AL69" s="57"/>
      <c r="AM69" s="57"/>
      <c r="AN69" s="57"/>
      <c r="AO69" s="57" t="s">
        <v>59</v>
      </c>
      <c r="AP69" s="57" t="s">
        <v>59</v>
      </c>
      <c r="AQ69" s="57"/>
      <c r="AR69" s="71" t="s">
        <v>59</v>
      </c>
      <c r="AS69" s="71" t="s">
        <v>59</v>
      </c>
    </row>
    <row r="70" spans="1:45" ht="15" customHeight="1">
      <c r="A70" s="58" t="s">
        <v>237</v>
      </c>
      <c r="B70" s="55">
        <v>7145163411</v>
      </c>
      <c r="C70" s="55" t="s">
        <v>238</v>
      </c>
      <c r="D70" s="55"/>
      <c r="E70" s="56"/>
      <c r="F70" s="55"/>
      <c r="G70" s="57"/>
      <c r="H70" s="57"/>
      <c r="I70" s="57"/>
      <c r="J70" s="57"/>
      <c r="K70" s="57"/>
      <c r="L70" s="57"/>
      <c r="M70" s="57"/>
      <c r="N70" s="57"/>
      <c r="O70" s="57"/>
      <c r="P70" s="57"/>
      <c r="Q70" s="57"/>
      <c r="R70" s="57"/>
      <c r="S70" s="57"/>
      <c r="T70" s="57"/>
      <c r="U70" s="57"/>
      <c r="V70" s="57"/>
      <c r="W70" s="57"/>
      <c r="X70" s="57"/>
      <c r="Y70" s="57"/>
      <c r="Z70" s="57"/>
      <c r="AA70" s="73" t="s">
        <v>239</v>
      </c>
      <c r="AB70" s="73"/>
      <c r="AC70" s="73" t="s">
        <v>240</v>
      </c>
      <c r="AD70" s="57"/>
      <c r="AE70" s="57"/>
      <c r="AF70" s="57"/>
      <c r="AG70" s="57"/>
      <c r="AH70" s="57"/>
      <c r="AI70" s="57"/>
      <c r="AJ70" s="57"/>
      <c r="AK70" s="57"/>
      <c r="AL70" s="57"/>
      <c r="AM70" s="57"/>
      <c r="AN70" s="57"/>
      <c r="AO70" s="57"/>
      <c r="AP70" s="57"/>
      <c r="AQ70" s="57"/>
      <c r="AR70" s="71" t="s">
        <v>59</v>
      </c>
      <c r="AS70" s="71" t="s">
        <v>59</v>
      </c>
    </row>
    <row r="71" spans="1:45" ht="15" customHeight="1">
      <c r="A71" s="64" t="s">
        <v>241</v>
      </c>
      <c r="B71" s="59">
        <v>4824088720</v>
      </c>
      <c r="C71" s="57"/>
      <c r="D71" s="57"/>
      <c r="E71" s="65"/>
      <c r="F71" s="57"/>
      <c r="G71" s="57"/>
      <c r="H71" s="57"/>
      <c r="I71" s="57"/>
      <c r="J71" s="57"/>
      <c r="K71" s="57"/>
      <c r="L71" s="57"/>
      <c r="M71" s="57"/>
      <c r="N71" s="57"/>
      <c r="O71" s="57"/>
      <c r="P71" s="57"/>
      <c r="Q71" s="73" t="s">
        <v>62</v>
      </c>
      <c r="R71" s="73" t="s">
        <v>128</v>
      </c>
      <c r="S71" s="73"/>
      <c r="T71" s="73"/>
      <c r="U71" s="73"/>
      <c r="V71" s="73"/>
      <c r="W71" s="73"/>
      <c r="X71" s="73"/>
      <c r="Y71" s="73"/>
      <c r="Z71" s="73"/>
      <c r="AA71" s="73"/>
      <c r="AB71" s="73"/>
      <c r="AC71" s="73" t="s">
        <v>242</v>
      </c>
      <c r="AD71" s="57"/>
      <c r="AE71" s="57"/>
      <c r="AF71" s="73" t="s">
        <v>242</v>
      </c>
      <c r="AG71" s="57"/>
      <c r="AH71" s="57"/>
      <c r="AI71" s="57"/>
      <c r="AJ71" s="73" t="s">
        <v>62</v>
      </c>
      <c r="AK71" s="73" t="s">
        <v>128</v>
      </c>
      <c r="AL71" s="57"/>
      <c r="AM71" s="57"/>
      <c r="AN71" s="57"/>
      <c r="AO71" s="57" t="s">
        <v>59</v>
      </c>
      <c r="AP71" s="57" t="s">
        <v>59</v>
      </c>
      <c r="AQ71" s="57"/>
      <c r="AR71" s="71" t="s">
        <v>59</v>
      </c>
      <c r="AS71" s="71" t="s">
        <v>59</v>
      </c>
    </row>
    <row r="72" spans="1:45" ht="15" customHeight="1">
      <c r="A72" s="55" t="s">
        <v>243</v>
      </c>
      <c r="B72" s="55">
        <v>6402065552</v>
      </c>
      <c r="C72" s="55" t="s">
        <v>106</v>
      </c>
      <c r="D72" s="55"/>
      <c r="E72" s="56"/>
      <c r="F72" s="55"/>
      <c r="G72" s="57" t="s">
        <v>37</v>
      </c>
      <c r="H72" s="57"/>
      <c r="I72" s="57" t="s">
        <v>39</v>
      </c>
      <c r="J72" s="57"/>
      <c r="K72" s="57"/>
      <c r="L72" s="57"/>
      <c r="M72" s="57"/>
      <c r="N72" s="57"/>
      <c r="O72" s="57"/>
      <c r="P72" s="57" t="s">
        <v>244</v>
      </c>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71"/>
      <c r="AS72" s="71" t="s">
        <v>59</v>
      </c>
    </row>
    <row r="73" spans="1:45" ht="15" customHeight="1">
      <c r="A73" s="58" t="s">
        <v>245</v>
      </c>
      <c r="B73" s="55">
        <v>4087061981</v>
      </c>
      <c r="C73" s="55" t="s">
        <v>191</v>
      </c>
      <c r="D73" s="55"/>
      <c r="E73" s="56"/>
      <c r="F73" s="55"/>
      <c r="G73" s="57"/>
      <c r="H73" s="57"/>
      <c r="I73" s="57"/>
      <c r="J73" s="57"/>
      <c r="K73" s="57"/>
      <c r="L73" s="57"/>
      <c r="M73" s="57"/>
      <c r="N73" s="57"/>
      <c r="O73" s="57"/>
      <c r="P73" s="57"/>
      <c r="Q73" s="57"/>
      <c r="R73" s="57"/>
      <c r="S73" s="57"/>
      <c r="T73" s="57"/>
      <c r="U73" s="57"/>
      <c r="V73" s="57"/>
      <c r="W73" s="57"/>
      <c r="X73" s="57"/>
      <c r="Y73" s="57"/>
      <c r="Z73" s="57"/>
      <c r="AA73" s="57"/>
      <c r="AB73" s="57"/>
      <c r="AC73" s="73" t="s">
        <v>166</v>
      </c>
      <c r="AD73" s="57"/>
      <c r="AE73" s="57"/>
      <c r="AF73" s="57"/>
      <c r="AG73" s="57"/>
      <c r="AH73" s="57"/>
      <c r="AI73" s="57"/>
      <c r="AJ73" s="57"/>
      <c r="AK73" s="57"/>
      <c r="AL73" s="57"/>
      <c r="AM73" s="57"/>
      <c r="AN73" s="57"/>
      <c r="AO73" s="57"/>
      <c r="AP73" s="57"/>
      <c r="AQ73" s="57"/>
      <c r="AR73" s="71" t="s">
        <v>59</v>
      </c>
      <c r="AS73" s="71" t="s">
        <v>59</v>
      </c>
    </row>
    <row r="74" spans="1:45" ht="15" customHeight="1">
      <c r="A74" s="64" t="s">
        <v>246</v>
      </c>
      <c r="B74" s="59">
        <v>4109412099</v>
      </c>
      <c r="C74" s="57"/>
      <c r="D74" s="57"/>
      <c r="E74" s="65"/>
      <c r="F74" s="57"/>
      <c r="G74" s="57"/>
      <c r="H74" s="57"/>
      <c r="I74" s="57"/>
      <c r="J74" s="57"/>
      <c r="K74" s="57"/>
      <c r="L74" s="57"/>
      <c r="M74" s="57"/>
      <c r="N74" s="57"/>
      <c r="O74" s="57"/>
      <c r="P74" s="57"/>
      <c r="Q74" s="73" t="s">
        <v>144</v>
      </c>
      <c r="R74" s="73" t="s">
        <v>247</v>
      </c>
      <c r="S74" s="73" t="s">
        <v>248</v>
      </c>
      <c r="T74" s="73" t="s">
        <v>249</v>
      </c>
      <c r="U74" s="73"/>
      <c r="V74" s="73" t="s">
        <v>250</v>
      </c>
      <c r="W74" s="73"/>
      <c r="X74" s="73"/>
      <c r="Y74" s="73"/>
      <c r="Z74" s="73"/>
      <c r="AA74" s="73" t="s">
        <v>143</v>
      </c>
      <c r="AB74" s="73" t="s">
        <v>251</v>
      </c>
      <c r="AC74" s="73" t="s">
        <v>252</v>
      </c>
      <c r="AD74" s="57"/>
      <c r="AE74" s="57"/>
      <c r="AF74" s="73" t="s">
        <v>252</v>
      </c>
      <c r="AG74" s="57"/>
      <c r="AH74" s="57"/>
      <c r="AI74" s="57"/>
      <c r="AJ74" s="73" t="s">
        <v>144</v>
      </c>
      <c r="AK74" s="57"/>
      <c r="AL74" s="73" t="s">
        <v>250</v>
      </c>
      <c r="AM74" s="57"/>
      <c r="AN74" s="57"/>
      <c r="AO74" s="57" t="s">
        <v>59</v>
      </c>
      <c r="AP74" s="57" t="s">
        <v>59</v>
      </c>
      <c r="AQ74" s="57"/>
      <c r="AR74" s="71" t="s">
        <v>59</v>
      </c>
      <c r="AS74" s="71" t="s">
        <v>59</v>
      </c>
    </row>
    <row r="75" spans="1:45" ht="15" customHeight="1">
      <c r="A75" s="64" t="s">
        <v>253</v>
      </c>
      <c r="B75" s="59">
        <v>6285941998</v>
      </c>
      <c r="C75" s="57"/>
      <c r="D75" s="57"/>
      <c r="E75" s="65"/>
      <c r="F75" s="57"/>
      <c r="G75" s="57"/>
      <c r="H75" s="57"/>
      <c r="I75" s="57"/>
      <c r="J75" s="57"/>
      <c r="K75" s="57"/>
      <c r="L75" s="57"/>
      <c r="M75" s="57"/>
      <c r="N75" s="57"/>
      <c r="O75" s="57"/>
      <c r="P75" s="57"/>
      <c r="Q75" s="73" t="s">
        <v>195</v>
      </c>
      <c r="R75" s="73" t="s">
        <v>82</v>
      </c>
      <c r="S75" s="73" t="s">
        <v>61</v>
      </c>
      <c r="T75" s="73"/>
      <c r="U75" s="73"/>
      <c r="V75" s="73" t="s">
        <v>151</v>
      </c>
      <c r="W75" s="73" t="s">
        <v>254</v>
      </c>
      <c r="X75" s="73"/>
      <c r="Y75" s="73"/>
      <c r="Z75" s="73"/>
      <c r="AA75" s="73" t="s">
        <v>255</v>
      </c>
      <c r="AB75" s="73"/>
      <c r="AC75" s="73" t="s">
        <v>256</v>
      </c>
      <c r="AD75" s="57"/>
      <c r="AE75" s="57"/>
      <c r="AF75" s="73" t="s">
        <v>256</v>
      </c>
      <c r="AG75" s="57"/>
      <c r="AH75" s="57"/>
      <c r="AI75" s="57"/>
      <c r="AJ75" s="73" t="s">
        <v>195</v>
      </c>
      <c r="AK75" s="57"/>
      <c r="AL75" s="73" t="s">
        <v>151</v>
      </c>
      <c r="AM75" s="57"/>
      <c r="AN75" s="57"/>
      <c r="AO75" s="57" t="s">
        <v>59</v>
      </c>
      <c r="AP75" s="57" t="s">
        <v>59</v>
      </c>
      <c r="AQ75" s="57"/>
      <c r="AR75" s="71" t="s">
        <v>59</v>
      </c>
      <c r="AS75" s="71" t="s">
        <v>59</v>
      </c>
    </row>
    <row r="76" spans="1:45" ht="15" customHeight="1">
      <c r="A76" s="62" t="s">
        <v>257</v>
      </c>
      <c r="B76" s="63">
        <v>4521179584</v>
      </c>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AI76" s="62"/>
      <c r="AJ76" s="62"/>
      <c r="AK76" s="62"/>
      <c r="AL76" s="62"/>
      <c r="AM76" s="62"/>
      <c r="AN76" s="62"/>
      <c r="AO76" s="62"/>
      <c r="AP76" s="62"/>
      <c r="AQ76" s="62"/>
      <c r="AR76" s="72"/>
      <c r="AS76" s="72" t="s">
        <v>59</v>
      </c>
    </row>
    <row r="77" spans="1:45" ht="15" customHeight="1">
      <c r="A77" s="62" t="s">
        <v>258</v>
      </c>
      <c r="B77" s="63">
        <v>4387565616</v>
      </c>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72"/>
      <c r="AS77" s="72" t="s">
        <v>59</v>
      </c>
    </row>
    <row r="78" spans="1:45" s="37" customFormat="1" ht="15" customHeight="1">
      <c r="A78" s="60" t="s">
        <v>259</v>
      </c>
      <c r="B78" s="60">
        <v>4860783352</v>
      </c>
      <c r="C78" s="60"/>
      <c r="D78" s="60"/>
      <c r="E78" s="61"/>
      <c r="F78" s="60"/>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72"/>
      <c r="AS78" s="72" t="s">
        <v>59</v>
      </c>
    </row>
    <row r="79" spans="1:45" ht="15" customHeight="1">
      <c r="A79" s="64" t="s">
        <v>260</v>
      </c>
      <c r="B79" s="59">
        <v>4506855388</v>
      </c>
      <c r="C79" s="57"/>
      <c r="D79" s="57"/>
      <c r="E79" s="57"/>
      <c r="F79" s="57"/>
      <c r="G79" s="57"/>
      <c r="H79" s="57"/>
      <c r="I79" s="57"/>
      <c r="J79" s="57"/>
      <c r="K79" s="57"/>
      <c r="L79" s="57"/>
      <c r="M79" s="57"/>
      <c r="N79" s="57"/>
      <c r="O79" s="57"/>
      <c r="P79" s="57"/>
      <c r="Q79" s="73" t="s">
        <v>156</v>
      </c>
      <c r="R79" s="73" t="s">
        <v>126</v>
      </c>
      <c r="S79" s="73"/>
      <c r="T79" s="73"/>
      <c r="U79" s="73"/>
      <c r="V79" s="73"/>
      <c r="W79" s="73"/>
      <c r="X79" s="73"/>
      <c r="Y79" s="73"/>
      <c r="Z79" s="73"/>
      <c r="AA79" s="73"/>
      <c r="AB79" s="73"/>
      <c r="AC79" s="73" t="s">
        <v>261</v>
      </c>
      <c r="AD79" s="57"/>
      <c r="AE79" s="57"/>
      <c r="AF79" s="73" t="s">
        <v>261</v>
      </c>
      <c r="AG79" s="57"/>
      <c r="AH79" s="57"/>
      <c r="AI79" s="57"/>
      <c r="AJ79" s="73" t="s">
        <v>156</v>
      </c>
      <c r="AK79" s="73" t="s">
        <v>126</v>
      </c>
      <c r="AL79" s="57"/>
      <c r="AM79" s="57"/>
      <c r="AN79" s="57"/>
      <c r="AO79" s="57" t="s">
        <v>59</v>
      </c>
      <c r="AP79" s="57" t="s">
        <v>59</v>
      </c>
      <c r="AQ79" s="57"/>
      <c r="AR79" s="71" t="s">
        <v>59</v>
      </c>
      <c r="AS79" s="71" t="s">
        <v>59</v>
      </c>
    </row>
    <row r="80" spans="1:45" ht="15" customHeight="1">
      <c r="A80" s="64" t="s">
        <v>262</v>
      </c>
      <c r="B80" s="59">
        <v>6291017369</v>
      </c>
      <c r="C80" s="57"/>
      <c r="D80" s="57"/>
      <c r="E80" s="57"/>
      <c r="F80" s="57"/>
      <c r="G80" s="57"/>
      <c r="H80" s="57"/>
      <c r="I80" s="57"/>
      <c r="J80" s="57"/>
      <c r="K80" s="57"/>
      <c r="L80" s="57"/>
      <c r="M80" s="57"/>
      <c r="N80" s="57"/>
      <c r="O80" s="57"/>
      <c r="P80" s="57"/>
      <c r="Q80" s="73" t="s">
        <v>263</v>
      </c>
      <c r="R80" s="73"/>
      <c r="S80" s="73"/>
      <c r="T80" s="73"/>
      <c r="U80" s="73"/>
      <c r="V80" s="73"/>
      <c r="W80" s="73"/>
      <c r="X80" s="73"/>
      <c r="Y80" s="73"/>
      <c r="Z80" s="73"/>
      <c r="AA80" s="73" t="s">
        <v>264</v>
      </c>
      <c r="AB80" s="73"/>
      <c r="AC80" s="73" t="s">
        <v>265</v>
      </c>
      <c r="AD80" s="57"/>
      <c r="AE80" s="57"/>
      <c r="AF80" s="73" t="s">
        <v>265</v>
      </c>
      <c r="AG80" s="57"/>
      <c r="AH80" s="57"/>
      <c r="AI80" s="57"/>
      <c r="AJ80" s="73" t="s">
        <v>263</v>
      </c>
      <c r="AK80" s="73"/>
      <c r="AL80" s="57"/>
      <c r="AM80" s="57"/>
      <c r="AN80" s="57"/>
      <c r="AO80" s="57" t="s">
        <v>59</v>
      </c>
      <c r="AP80" s="57" t="s">
        <v>59</v>
      </c>
      <c r="AQ80" s="57"/>
      <c r="AR80" s="71" t="s">
        <v>59</v>
      </c>
      <c r="AS80" s="71" t="s">
        <v>59</v>
      </c>
    </row>
    <row r="81" spans="1:45" ht="15" customHeight="1">
      <c r="A81" s="64" t="s">
        <v>266</v>
      </c>
      <c r="B81" s="59">
        <v>4583595557</v>
      </c>
      <c r="C81" s="57"/>
      <c r="D81" s="57"/>
      <c r="E81" s="57"/>
      <c r="F81" s="57"/>
      <c r="G81" s="57"/>
      <c r="H81" s="57"/>
      <c r="I81" s="57"/>
      <c r="J81" s="57"/>
      <c r="K81" s="57"/>
      <c r="L81" s="57"/>
      <c r="M81" s="57"/>
      <c r="N81" s="57"/>
      <c r="O81" s="57"/>
      <c r="P81" s="57"/>
      <c r="Q81" s="73" t="s">
        <v>97</v>
      </c>
      <c r="R81" s="73" t="s">
        <v>96</v>
      </c>
      <c r="S81" s="73"/>
      <c r="T81" s="73"/>
      <c r="U81" s="73"/>
      <c r="V81" s="73"/>
      <c r="W81" s="73"/>
      <c r="X81" s="73"/>
      <c r="Y81" s="73"/>
      <c r="Z81" s="73"/>
      <c r="AA81" s="73" t="s">
        <v>235</v>
      </c>
      <c r="AB81" s="73"/>
      <c r="AC81" s="73" t="s">
        <v>219</v>
      </c>
      <c r="AD81" s="57"/>
      <c r="AE81" s="57"/>
      <c r="AF81" s="73" t="s">
        <v>219</v>
      </c>
      <c r="AG81" s="57"/>
      <c r="AH81" s="57"/>
      <c r="AI81" s="57"/>
      <c r="AJ81" s="73" t="s">
        <v>97</v>
      </c>
      <c r="AK81" s="73" t="s">
        <v>96</v>
      </c>
      <c r="AL81" s="57"/>
      <c r="AM81" s="57"/>
      <c r="AN81" s="57"/>
      <c r="AO81" s="57" t="s">
        <v>59</v>
      </c>
      <c r="AP81" s="57" t="s">
        <v>59</v>
      </c>
      <c r="AQ81" s="57"/>
      <c r="AR81" s="71" t="s">
        <v>59</v>
      </c>
      <c r="AS81" s="71" t="s">
        <v>59</v>
      </c>
    </row>
    <row r="82" spans="1:45" ht="15" customHeight="1">
      <c r="A82" s="64" t="s">
        <v>267</v>
      </c>
      <c r="B82" s="59">
        <v>4860899555</v>
      </c>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73" t="s">
        <v>62</v>
      </c>
      <c r="AC82" s="73" t="s">
        <v>268</v>
      </c>
      <c r="AD82" s="57"/>
      <c r="AE82" s="57"/>
      <c r="AF82" s="57"/>
      <c r="AG82" s="57"/>
      <c r="AH82" s="57"/>
      <c r="AI82" s="57"/>
      <c r="AJ82" s="57"/>
      <c r="AK82" s="57"/>
      <c r="AL82" s="57"/>
      <c r="AM82" s="57"/>
      <c r="AN82" s="57"/>
      <c r="AO82" s="57"/>
      <c r="AP82" s="57"/>
      <c r="AQ82" s="57"/>
      <c r="AR82" s="71" t="s">
        <v>59</v>
      </c>
      <c r="AS82" s="71" t="s">
        <v>59</v>
      </c>
    </row>
    <row r="83" spans="1:45" ht="15" customHeight="1">
      <c r="A83" s="55" t="s">
        <v>269</v>
      </c>
      <c r="B83" s="55">
        <v>4861776996</v>
      </c>
      <c r="C83" s="55"/>
      <c r="D83" s="55"/>
      <c r="E83" s="56"/>
      <c r="F83" s="55"/>
      <c r="G83" s="57" t="s">
        <v>37</v>
      </c>
      <c r="H83" s="57"/>
      <c r="I83" s="57" t="s">
        <v>39</v>
      </c>
      <c r="J83" s="57"/>
      <c r="K83" s="57"/>
      <c r="L83" s="57"/>
      <c r="M83" s="57"/>
      <c r="N83" s="57" t="s">
        <v>270</v>
      </c>
      <c r="O83" s="57" t="s">
        <v>59</v>
      </c>
      <c r="P83" s="57"/>
      <c r="Q83" s="57" t="s">
        <v>70</v>
      </c>
      <c r="R83" s="57" t="s">
        <v>195</v>
      </c>
      <c r="S83" s="57" t="s">
        <v>60</v>
      </c>
      <c r="T83" s="57"/>
      <c r="U83" s="57"/>
      <c r="V83" s="57"/>
      <c r="W83" s="57"/>
      <c r="X83" s="57"/>
      <c r="Y83" s="57"/>
      <c r="Z83" s="57"/>
      <c r="AA83" s="57" t="s">
        <v>61</v>
      </c>
      <c r="AB83" s="57"/>
      <c r="AC83" s="57" t="s">
        <v>214</v>
      </c>
      <c r="AD83" s="57"/>
      <c r="AE83" s="57"/>
      <c r="AF83" s="57" t="s">
        <v>214</v>
      </c>
      <c r="AG83" s="57"/>
      <c r="AH83" s="57"/>
      <c r="AI83" s="57"/>
      <c r="AJ83" s="57" t="s">
        <v>70</v>
      </c>
      <c r="AK83" s="57" t="s">
        <v>195</v>
      </c>
      <c r="AL83" s="57"/>
      <c r="AM83" s="57"/>
      <c r="AN83" s="57"/>
      <c r="AO83" s="57" t="s">
        <v>59</v>
      </c>
      <c r="AP83" s="57" t="s">
        <v>59</v>
      </c>
      <c r="AQ83" s="57"/>
      <c r="AR83" s="71" t="s">
        <v>59</v>
      </c>
      <c r="AS83" s="71" t="s">
        <v>59</v>
      </c>
    </row>
    <row r="84" spans="1:45" ht="15" customHeight="1">
      <c r="A84" s="64" t="s">
        <v>271</v>
      </c>
      <c r="B84" s="59">
        <v>4860895487</v>
      </c>
      <c r="C84" s="57"/>
      <c r="D84" s="57"/>
      <c r="E84" s="57"/>
      <c r="F84" s="57"/>
      <c r="G84" s="57"/>
      <c r="H84" s="57"/>
      <c r="I84" s="57"/>
      <c r="J84" s="57"/>
      <c r="K84" s="57"/>
      <c r="L84" s="57"/>
      <c r="M84" s="57"/>
      <c r="N84" s="57"/>
      <c r="O84" s="57"/>
      <c r="P84" s="57"/>
      <c r="Q84" s="73" t="s">
        <v>97</v>
      </c>
      <c r="R84" s="73" t="s">
        <v>96</v>
      </c>
      <c r="S84" s="73"/>
      <c r="T84" s="73"/>
      <c r="U84" s="73"/>
      <c r="V84" s="73"/>
      <c r="W84" s="73"/>
      <c r="X84" s="73"/>
      <c r="Y84" s="73"/>
      <c r="Z84" s="73"/>
      <c r="AA84" s="73"/>
      <c r="AB84" s="73"/>
      <c r="AC84" s="73" t="s">
        <v>272</v>
      </c>
      <c r="AD84" s="57"/>
      <c r="AE84" s="57"/>
      <c r="AF84" s="73" t="s">
        <v>272</v>
      </c>
      <c r="AG84" s="57"/>
      <c r="AH84" s="57"/>
      <c r="AI84" s="57"/>
      <c r="AJ84" s="73" t="s">
        <v>97</v>
      </c>
      <c r="AK84" s="73" t="s">
        <v>96</v>
      </c>
      <c r="AL84" s="57"/>
      <c r="AM84" s="57"/>
      <c r="AN84" s="57"/>
      <c r="AO84" s="57" t="s">
        <v>59</v>
      </c>
      <c r="AP84" s="57" t="s">
        <v>59</v>
      </c>
      <c r="AQ84" s="57"/>
      <c r="AR84" s="71" t="s">
        <v>59</v>
      </c>
      <c r="AS84" s="71" t="s">
        <v>59</v>
      </c>
    </row>
    <row r="85" spans="1:45" ht="15" customHeight="1">
      <c r="A85" s="64" t="s">
        <v>273</v>
      </c>
      <c r="B85" s="59">
        <v>4269773782</v>
      </c>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t="s">
        <v>274</v>
      </c>
      <c r="AD85" s="57"/>
      <c r="AE85" s="57"/>
      <c r="AF85" s="57"/>
      <c r="AG85" s="57"/>
      <c r="AH85" s="57"/>
      <c r="AI85" s="57"/>
      <c r="AJ85" s="57"/>
      <c r="AK85" s="57"/>
      <c r="AL85" s="57"/>
      <c r="AM85" s="57"/>
      <c r="AN85" s="57"/>
      <c r="AO85" s="57"/>
      <c r="AP85" s="57"/>
      <c r="AQ85" s="57"/>
      <c r="AR85" s="71" t="s">
        <v>59</v>
      </c>
      <c r="AS85" s="71" t="s">
        <v>59</v>
      </c>
    </row>
    <row r="86" spans="1:45" ht="15" customHeight="1">
      <c r="A86" s="58" t="s">
        <v>275</v>
      </c>
      <c r="B86" s="55">
        <v>6402065552</v>
      </c>
      <c r="C86" s="55" t="s">
        <v>91</v>
      </c>
      <c r="D86" s="55"/>
      <c r="E86" s="56"/>
      <c r="F86" s="55"/>
      <c r="G86" s="57"/>
      <c r="H86" s="57"/>
      <c r="I86" s="57"/>
      <c r="J86" s="57"/>
      <c r="K86" s="57"/>
      <c r="L86" s="57"/>
      <c r="M86" s="57"/>
      <c r="N86" s="57"/>
      <c r="O86" s="57"/>
      <c r="P86" s="57"/>
      <c r="Q86" s="73" t="s">
        <v>158</v>
      </c>
      <c r="R86" s="73" t="s">
        <v>156</v>
      </c>
      <c r="S86" s="73" t="s">
        <v>134</v>
      </c>
      <c r="T86" s="73" t="s">
        <v>62</v>
      </c>
      <c r="U86" s="73"/>
      <c r="V86" s="73"/>
      <c r="W86" s="73"/>
      <c r="X86" s="73"/>
      <c r="Y86" s="73"/>
      <c r="Z86" s="73"/>
      <c r="AA86" s="73"/>
      <c r="AB86" s="73" t="s">
        <v>127</v>
      </c>
      <c r="AC86" s="73" t="s">
        <v>276</v>
      </c>
      <c r="AD86" s="57"/>
      <c r="AE86" s="57"/>
      <c r="AF86" s="73" t="s">
        <v>276</v>
      </c>
      <c r="AG86" s="57"/>
      <c r="AH86" s="57"/>
      <c r="AI86" s="57"/>
      <c r="AJ86" s="73" t="s">
        <v>158</v>
      </c>
      <c r="AK86" s="73" t="s">
        <v>156</v>
      </c>
      <c r="AL86" s="57"/>
      <c r="AM86" s="57"/>
      <c r="AN86" s="57"/>
      <c r="AO86" s="57" t="s">
        <v>59</v>
      </c>
      <c r="AP86" s="57" t="s">
        <v>59</v>
      </c>
      <c r="AQ86" s="57"/>
      <c r="AR86" s="71" t="s">
        <v>59</v>
      </c>
      <c r="AS86" s="71" t="s">
        <v>59</v>
      </c>
    </row>
    <row r="87" spans="1:45" ht="15" customHeight="1">
      <c r="A87" s="64" t="s">
        <v>277</v>
      </c>
      <c r="B87" s="59">
        <v>4387866438</v>
      </c>
      <c r="C87" s="57"/>
      <c r="D87" s="57"/>
      <c r="E87" s="57"/>
      <c r="F87" s="57"/>
      <c r="G87" s="57"/>
      <c r="H87" s="57"/>
      <c r="I87" s="57"/>
      <c r="J87" s="57"/>
      <c r="K87" s="57"/>
      <c r="L87" s="57"/>
      <c r="M87" s="57"/>
      <c r="N87" s="57"/>
      <c r="O87" s="57"/>
      <c r="P87" s="57"/>
      <c r="Q87" s="73" t="s">
        <v>278</v>
      </c>
      <c r="R87" s="73" t="s">
        <v>195</v>
      </c>
      <c r="S87" s="73" t="s">
        <v>113</v>
      </c>
      <c r="T87" s="73" t="s">
        <v>70</v>
      </c>
      <c r="U87" s="73" t="s">
        <v>255</v>
      </c>
      <c r="V87" s="73"/>
      <c r="W87" s="73"/>
      <c r="X87" s="73"/>
      <c r="Y87" s="73"/>
      <c r="Z87" s="73"/>
      <c r="AA87" s="73"/>
      <c r="AB87" s="73"/>
      <c r="AC87" s="73" t="s">
        <v>279</v>
      </c>
      <c r="AD87" s="57"/>
      <c r="AE87" s="57"/>
      <c r="AF87" s="57" t="s">
        <v>280</v>
      </c>
      <c r="AG87" s="57" t="s">
        <v>281</v>
      </c>
      <c r="AH87" s="57"/>
      <c r="AI87" s="57"/>
      <c r="AJ87" s="57" t="s">
        <v>255</v>
      </c>
      <c r="AK87" s="57"/>
      <c r="AL87" s="57"/>
      <c r="AM87" s="57"/>
      <c r="AN87" s="57"/>
      <c r="AO87" s="57" t="s">
        <v>59</v>
      </c>
      <c r="AP87" s="57" t="s">
        <v>59</v>
      </c>
      <c r="AQ87" s="57"/>
      <c r="AR87" s="71" t="s">
        <v>59</v>
      </c>
      <c r="AS87" s="71" t="s">
        <v>59</v>
      </c>
    </row>
    <row r="88" spans="1:45" ht="15" customHeight="1">
      <c r="A88" s="64" t="s">
        <v>282</v>
      </c>
      <c r="B88" s="59">
        <v>4509413769</v>
      </c>
      <c r="C88" s="57"/>
      <c r="D88" s="57"/>
      <c r="E88" s="57"/>
      <c r="F88" s="57"/>
      <c r="G88" s="57"/>
      <c r="H88" s="57"/>
      <c r="I88" s="57"/>
      <c r="J88" s="57"/>
      <c r="K88" s="57"/>
      <c r="L88" s="57"/>
      <c r="M88" s="57"/>
      <c r="N88" s="57"/>
      <c r="O88" s="57"/>
      <c r="P88" s="57"/>
      <c r="Q88" s="73" t="s">
        <v>283</v>
      </c>
      <c r="R88" s="73" t="s">
        <v>284</v>
      </c>
      <c r="S88" s="73" t="s">
        <v>285</v>
      </c>
      <c r="T88" s="73" t="s">
        <v>286</v>
      </c>
      <c r="U88" s="73" t="s">
        <v>287</v>
      </c>
      <c r="V88" s="73"/>
      <c r="W88" s="73"/>
      <c r="X88" s="73"/>
      <c r="Y88" s="73"/>
      <c r="Z88" s="73"/>
      <c r="AA88" s="73"/>
      <c r="AB88" s="73" t="s">
        <v>288</v>
      </c>
      <c r="AC88" s="73" t="s">
        <v>289</v>
      </c>
      <c r="AD88" s="57"/>
      <c r="AE88" s="57"/>
      <c r="AF88" s="73" t="s">
        <v>289</v>
      </c>
      <c r="AG88" s="57"/>
      <c r="AH88" s="57"/>
      <c r="AI88" s="57"/>
      <c r="AJ88" s="73" t="s">
        <v>283</v>
      </c>
      <c r="AK88" s="73" t="s">
        <v>284</v>
      </c>
      <c r="AL88" s="57"/>
      <c r="AM88" s="57"/>
      <c r="AN88" s="57"/>
      <c r="AO88" s="57" t="s">
        <v>59</v>
      </c>
      <c r="AP88" s="57" t="s">
        <v>59</v>
      </c>
      <c r="AQ88" s="57"/>
      <c r="AR88" s="71" t="s">
        <v>59</v>
      </c>
      <c r="AS88" s="71" t="s">
        <v>59</v>
      </c>
    </row>
    <row r="89" spans="1:45" ht="15" customHeight="1">
      <c r="A89" s="64" t="s">
        <v>290</v>
      </c>
      <c r="B89" s="59">
        <v>4520163684</v>
      </c>
      <c r="C89" s="57"/>
      <c r="D89" s="57"/>
      <c r="E89" s="57"/>
      <c r="F89" s="57"/>
      <c r="G89" s="57"/>
      <c r="H89" s="57"/>
      <c r="I89" s="57"/>
      <c r="J89" s="57"/>
      <c r="K89" s="57"/>
      <c r="L89" s="57"/>
      <c r="M89" s="57"/>
      <c r="N89" s="57"/>
      <c r="O89" s="57"/>
      <c r="P89" s="57"/>
      <c r="Q89" s="73" t="s">
        <v>291</v>
      </c>
      <c r="R89" s="73" t="s">
        <v>292</v>
      </c>
      <c r="S89" s="73" t="s">
        <v>97</v>
      </c>
      <c r="T89" s="73"/>
      <c r="U89" s="73"/>
      <c r="V89" s="73"/>
      <c r="W89" s="73"/>
      <c r="X89" s="73"/>
      <c r="Y89" s="73"/>
      <c r="Z89" s="73"/>
      <c r="AA89" s="73" t="s">
        <v>151</v>
      </c>
      <c r="AB89" s="73" t="s">
        <v>293</v>
      </c>
      <c r="AC89" s="73" t="s">
        <v>294</v>
      </c>
      <c r="AD89" s="57"/>
      <c r="AE89" s="57"/>
      <c r="AF89" s="73" t="s">
        <v>294</v>
      </c>
      <c r="AG89" s="57"/>
      <c r="AH89" s="57"/>
      <c r="AI89" s="57"/>
      <c r="AJ89" s="73" t="s">
        <v>291</v>
      </c>
      <c r="AK89" s="73" t="s">
        <v>292</v>
      </c>
      <c r="AL89" s="57"/>
      <c r="AM89" s="57"/>
      <c r="AN89" s="57"/>
      <c r="AO89" s="57" t="s">
        <v>59</v>
      </c>
      <c r="AP89" s="57" t="s">
        <v>59</v>
      </c>
      <c r="AQ89" s="57"/>
      <c r="AR89" s="71" t="s">
        <v>59</v>
      </c>
      <c r="AS89" s="71" t="s">
        <v>59</v>
      </c>
    </row>
    <row r="90" spans="1:45" ht="15" customHeight="1">
      <c r="A90" s="64" t="s">
        <v>295</v>
      </c>
      <c r="B90" s="59">
        <v>4581765358</v>
      </c>
      <c r="C90" s="57"/>
      <c r="D90" s="57"/>
      <c r="E90" s="57"/>
      <c r="F90" s="57"/>
      <c r="G90" s="57"/>
      <c r="H90" s="57"/>
      <c r="I90" s="57"/>
      <c r="J90" s="57"/>
      <c r="K90" s="57"/>
      <c r="L90" s="57"/>
      <c r="M90" s="57"/>
      <c r="N90" s="57"/>
      <c r="O90" s="57"/>
      <c r="P90" s="57"/>
      <c r="Q90" s="73" t="s">
        <v>127</v>
      </c>
      <c r="R90" s="73" t="s">
        <v>231</v>
      </c>
      <c r="S90" s="73"/>
      <c r="T90" s="73"/>
      <c r="U90" s="73"/>
      <c r="V90" s="73"/>
      <c r="W90" s="73"/>
      <c r="X90" s="73"/>
      <c r="Y90" s="73"/>
      <c r="Z90" s="73"/>
      <c r="AA90" s="73"/>
      <c r="AB90" s="73"/>
      <c r="AC90" s="73" t="s">
        <v>296</v>
      </c>
      <c r="AD90" s="57"/>
      <c r="AE90" s="57"/>
      <c r="AF90" s="73" t="s">
        <v>296</v>
      </c>
      <c r="AG90" s="57"/>
      <c r="AH90" s="57"/>
      <c r="AI90" s="57"/>
      <c r="AJ90" s="73" t="s">
        <v>127</v>
      </c>
      <c r="AK90" s="73" t="s">
        <v>231</v>
      </c>
      <c r="AL90" s="57"/>
      <c r="AM90" s="57"/>
      <c r="AN90" s="57"/>
      <c r="AO90" s="57" t="s">
        <v>59</v>
      </c>
      <c r="AP90" s="57" t="s">
        <v>59</v>
      </c>
      <c r="AQ90" s="57"/>
      <c r="AR90" s="71" t="s">
        <v>59</v>
      </c>
      <c r="AS90" s="71" t="s">
        <v>59</v>
      </c>
    </row>
    <row r="91" spans="1:45" ht="15" customHeight="1">
      <c r="A91" s="64" t="s">
        <v>297</v>
      </c>
      <c r="B91" s="59">
        <v>4509292422</v>
      </c>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71"/>
      <c r="AS91" s="71" t="s">
        <v>59</v>
      </c>
    </row>
    <row r="92" spans="1:45" ht="15" customHeight="1">
      <c r="A92" s="64" t="s">
        <v>298</v>
      </c>
      <c r="B92" s="59">
        <v>4467748962</v>
      </c>
      <c r="C92" s="57"/>
      <c r="D92" s="57"/>
      <c r="E92" s="57"/>
      <c r="F92" s="57"/>
      <c r="G92" s="57"/>
      <c r="H92" s="57"/>
      <c r="I92" s="57"/>
      <c r="J92" s="57"/>
      <c r="K92" s="57"/>
      <c r="L92" s="57"/>
      <c r="M92" s="57"/>
      <c r="N92" s="57"/>
      <c r="O92" s="57"/>
      <c r="P92" s="57"/>
      <c r="Q92" s="73" t="s">
        <v>61</v>
      </c>
      <c r="R92" s="73" t="s">
        <v>255</v>
      </c>
      <c r="S92" s="73" t="s">
        <v>128</v>
      </c>
      <c r="T92" s="73" t="s">
        <v>60</v>
      </c>
      <c r="U92" s="73" t="s">
        <v>82</v>
      </c>
      <c r="V92" s="73"/>
      <c r="W92" s="73"/>
      <c r="X92" s="73"/>
      <c r="Y92" s="73"/>
      <c r="Z92" s="73"/>
      <c r="AA92" s="73"/>
      <c r="AB92" s="73"/>
      <c r="AC92" s="73" t="s">
        <v>299</v>
      </c>
      <c r="AD92" s="57"/>
      <c r="AE92" s="57"/>
      <c r="AF92" s="73" t="s">
        <v>299</v>
      </c>
      <c r="AG92" s="57"/>
      <c r="AH92" s="57"/>
      <c r="AI92" s="57"/>
      <c r="AJ92" s="73" t="s">
        <v>61</v>
      </c>
      <c r="AK92" s="73" t="s">
        <v>255</v>
      </c>
      <c r="AL92" s="57"/>
      <c r="AM92" s="57"/>
      <c r="AN92" s="57"/>
      <c r="AO92" s="57" t="s">
        <v>59</v>
      </c>
      <c r="AP92" s="57" t="s">
        <v>59</v>
      </c>
      <c r="AQ92" s="57"/>
      <c r="AR92" s="71" t="s">
        <v>59</v>
      </c>
      <c r="AS92" s="71" t="s">
        <v>59</v>
      </c>
    </row>
    <row r="93" spans="1:45" ht="15" customHeight="1">
      <c r="A93" s="64" t="s">
        <v>300</v>
      </c>
      <c r="B93" s="59">
        <v>4520789931</v>
      </c>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73" t="s">
        <v>301</v>
      </c>
      <c r="AD93" s="57"/>
      <c r="AE93" s="57"/>
      <c r="AF93" s="57"/>
      <c r="AG93" s="57"/>
      <c r="AH93" s="57"/>
      <c r="AI93" s="57"/>
      <c r="AJ93" s="57"/>
      <c r="AK93" s="57"/>
      <c r="AL93" s="57"/>
      <c r="AM93" s="57"/>
      <c r="AN93" s="57"/>
      <c r="AO93" s="57"/>
      <c r="AP93" s="57"/>
      <c r="AQ93" s="57"/>
      <c r="AR93" s="71" t="s">
        <v>59</v>
      </c>
      <c r="AS93" s="71" t="s">
        <v>59</v>
      </c>
    </row>
    <row r="94" spans="1:45" ht="15" customHeight="1">
      <c r="A94" s="55" t="s">
        <v>302</v>
      </c>
      <c r="B94" s="55">
        <v>4863000898</v>
      </c>
      <c r="C94" s="55"/>
      <c r="D94" s="55"/>
      <c r="E94" s="56"/>
      <c r="F94" s="55"/>
      <c r="G94" s="57" t="s">
        <v>37</v>
      </c>
      <c r="H94" s="57"/>
      <c r="I94" s="57" t="s">
        <v>39</v>
      </c>
      <c r="J94" s="57"/>
      <c r="K94" s="57"/>
      <c r="L94" s="57"/>
      <c r="M94" s="57"/>
      <c r="N94" s="57" t="s">
        <v>303</v>
      </c>
      <c r="O94" s="57" t="s">
        <v>59</v>
      </c>
      <c r="P94" s="57"/>
      <c r="Q94" s="57"/>
      <c r="R94" s="57"/>
      <c r="S94" s="57"/>
      <c r="T94" s="57"/>
      <c r="U94" s="57"/>
      <c r="V94" s="57"/>
      <c r="W94" s="57"/>
      <c r="X94" s="57"/>
      <c r="Y94" s="57"/>
      <c r="Z94" s="57"/>
      <c r="AA94" s="57"/>
      <c r="AB94" s="57" t="s">
        <v>231</v>
      </c>
      <c r="AC94" s="57"/>
      <c r="AD94" s="57"/>
      <c r="AE94" s="57"/>
      <c r="AF94" s="57"/>
      <c r="AG94" s="57"/>
      <c r="AH94" s="57"/>
      <c r="AI94" s="57"/>
      <c r="AJ94" s="57"/>
      <c r="AK94" s="57"/>
      <c r="AL94" s="57"/>
      <c r="AM94" s="57"/>
      <c r="AN94" s="57"/>
      <c r="AO94" s="57"/>
      <c r="AP94" s="57"/>
      <c r="AQ94" s="57"/>
      <c r="AR94" s="71" t="s">
        <v>59</v>
      </c>
      <c r="AS94" s="71" t="s">
        <v>59</v>
      </c>
    </row>
    <row r="95" spans="1:45" ht="15" customHeight="1">
      <c r="A95" s="55" t="s">
        <v>304</v>
      </c>
      <c r="B95" s="55">
        <v>4582279953</v>
      </c>
      <c r="C95" s="55" t="s">
        <v>204</v>
      </c>
      <c r="D95" s="55"/>
      <c r="E95" s="56"/>
      <c r="F95" s="55"/>
      <c r="G95" s="57" t="s">
        <v>37</v>
      </c>
      <c r="H95" s="57"/>
      <c r="I95" s="57" t="s">
        <v>39</v>
      </c>
      <c r="J95" s="57"/>
      <c r="K95" s="57"/>
      <c r="L95" s="57"/>
      <c r="M95" s="57"/>
      <c r="N95" s="57" t="s">
        <v>305</v>
      </c>
      <c r="O95" s="57" t="s">
        <v>59</v>
      </c>
      <c r="P95" s="57"/>
      <c r="Q95" s="57"/>
      <c r="R95" s="57"/>
      <c r="S95" s="57"/>
      <c r="T95" s="57"/>
      <c r="U95" s="57"/>
      <c r="V95" s="57"/>
      <c r="W95" s="57"/>
      <c r="X95" s="57"/>
      <c r="Y95" s="57"/>
      <c r="Z95" s="57"/>
      <c r="AA95" s="57"/>
      <c r="AB95" s="57" t="s">
        <v>62</v>
      </c>
      <c r="AC95" s="57"/>
      <c r="AD95" s="57"/>
      <c r="AE95" s="57"/>
      <c r="AF95" s="57"/>
      <c r="AG95" s="57"/>
      <c r="AH95" s="57"/>
      <c r="AI95" s="57"/>
      <c r="AJ95" s="57"/>
      <c r="AK95" s="57"/>
      <c r="AL95" s="57"/>
      <c r="AM95" s="57"/>
      <c r="AN95" s="57"/>
      <c r="AO95" s="57"/>
      <c r="AP95" s="57"/>
      <c r="AQ95" s="57"/>
      <c r="AR95" s="71" t="s">
        <v>59</v>
      </c>
      <c r="AS95" s="71" t="s">
        <v>59</v>
      </c>
    </row>
    <row r="96" spans="1:45" ht="15" customHeight="1">
      <c r="A96" s="55" t="s">
        <v>306</v>
      </c>
      <c r="B96" s="55">
        <v>4343556093</v>
      </c>
      <c r="C96" s="55"/>
      <c r="D96" s="55"/>
      <c r="E96" s="56"/>
      <c r="F96" s="55"/>
      <c r="G96" s="57" t="s">
        <v>37</v>
      </c>
      <c r="H96" s="57"/>
      <c r="I96" s="57"/>
      <c r="J96" s="57" t="s">
        <v>39</v>
      </c>
      <c r="K96" s="57"/>
      <c r="L96" s="57"/>
      <c r="M96" s="57"/>
      <c r="N96" s="57" t="s">
        <v>307</v>
      </c>
      <c r="O96" s="57" t="s">
        <v>59</v>
      </c>
      <c r="P96" s="57"/>
      <c r="Q96" s="57" t="s">
        <v>195</v>
      </c>
      <c r="R96" s="57" t="s">
        <v>70</v>
      </c>
      <c r="S96" s="57" t="s">
        <v>255</v>
      </c>
      <c r="T96" s="57"/>
      <c r="U96" s="57"/>
      <c r="V96" s="57"/>
      <c r="W96" s="57"/>
      <c r="X96" s="57"/>
      <c r="Y96" s="57"/>
      <c r="Z96" s="57"/>
      <c r="AA96" s="57" t="s">
        <v>194</v>
      </c>
      <c r="AB96" s="57" t="s">
        <v>60</v>
      </c>
      <c r="AC96" s="57" t="s">
        <v>308</v>
      </c>
      <c r="AD96" s="57"/>
      <c r="AE96" s="57"/>
      <c r="AF96" s="57" t="s">
        <v>308</v>
      </c>
      <c r="AG96" s="57"/>
      <c r="AH96" s="57"/>
      <c r="AI96" s="57"/>
      <c r="AJ96" s="57" t="s">
        <v>195</v>
      </c>
      <c r="AK96" s="57" t="s">
        <v>70</v>
      </c>
      <c r="AL96" s="57"/>
      <c r="AM96" s="57"/>
      <c r="AN96" s="57"/>
      <c r="AO96" s="57" t="s">
        <v>59</v>
      </c>
      <c r="AP96" s="57" t="s">
        <v>59</v>
      </c>
      <c r="AQ96" s="57"/>
      <c r="AR96" s="71" t="s">
        <v>59</v>
      </c>
      <c r="AS96" s="71" t="s">
        <v>59</v>
      </c>
    </row>
    <row r="97" spans="1:45" ht="15" customHeight="1">
      <c r="A97" s="64" t="s">
        <v>309</v>
      </c>
      <c r="B97" s="59">
        <v>4528207311</v>
      </c>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73" t="s">
        <v>156</v>
      </c>
      <c r="AD97" s="57"/>
      <c r="AE97" s="57"/>
      <c r="AF97" s="57"/>
      <c r="AG97" s="57"/>
      <c r="AH97" s="57"/>
      <c r="AI97" s="57"/>
      <c r="AJ97" s="57"/>
      <c r="AK97" s="57"/>
      <c r="AL97" s="57"/>
      <c r="AM97" s="57"/>
      <c r="AN97" s="57"/>
      <c r="AO97" s="57"/>
      <c r="AP97" s="57"/>
      <c r="AQ97" s="57"/>
      <c r="AR97" s="71" t="s">
        <v>59</v>
      </c>
      <c r="AS97" s="71" t="s">
        <v>59</v>
      </c>
    </row>
    <row r="98" spans="1:45" ht="15" customHeight="1">
      <c r="A98" s="64" t="s">
        <v>310</v>
      </c>
      <c r="B98" s="59">
        <v>4508297331</v>
      </c>
      <c r="C98" s="57"/>
      <c r="D98" s="57"/>
      <c r="E98" s="57"/>
      <c r="F98" s="57"/>
      <c r="G98" s="57"/>
      <c r="H98" s="57"/>
      <c r="I98" s="57"/>
      <c r="J98" s="57"/>
      <c r="K98" s="57"/>
      <c r="L98" s="57"/>
      <c r="M98" s="57"/>
      <c r="N98" s="57"/>
      <c r="O98" s="57"/>
      <c r="P98" s="57"/>
      <c r="Q98" s="73" t="s">
        <v>216</v>
      </c>
      <c r="R98" s="73"/>
      <c r="S98" s="73"/>
      <c r="T98" s="73"/>
      <c r="U98" s="73"/>
      <c r="V98" s="73"/>
      <c r="W98" s="73"/>
      <c r="X98" s="73"/>
      <c r="Y98" s="73"/>
      <c r="Z98" s="73"/>
      <c r="AA98" s="73"/>
      <c r="AB98" s="73" t="s">
        <v>311</v>
      </c>
      <c r="AC98" s="73" t="s">
        <v>176</v>
      </c>
      <c r="AD98" s="57"/>
      <c r="AE98" s="57"/>
      <c r="AF98" s="73" t="s">
        <v>176</v>
      </c>
      <c r="AG98" s="57"/>
      <c r="AH98" s="57"/>
      <c r="AI98" s="57"/>
      <c r="AJ98" s="73" t="s">
        <v>216</v>
      </c>
      <c r="AK98" s="73"/>
      <c r="AL98" s="57"/>
      <c r="AM98" s="57"/>
      <c r="AN98" s="57"/>
      <c r="AO98" s="57" t="s">
        <v>59</v>
      </c>
      <c r="AP98" s="57" t="s">
        <v>59</v>
      </c>
      <c r="AQ98" s="57"/>
      <c r="AR98" s="71" t="s">
        <v>59</v>
      </c>
      <c r="AS98" s="71" t="s">
        <v>59</v>
      </c>
    </row>
    <row r="99" spans="1:45" ht="15" customHeight="1">
      <c r="A99" s="58" t="s">
        <v>312</v>
      </c>
      <c r="B99" s="55">
        <v>4164990139</v>
      </c>
      <c r="C99" s="55"/>
      <c r="D99" s="55"/>
      <c r="E99" s="56"/>
      <c r="F99" s="55"/>
      <c r="G99" s="57"/>
      <c r="H99" s="57"/>
      <c r="I99" s="57"/>
      <c r="J99" s="57"/>
      <c r="K99" s="57"/>
      <c r="L99" s="57"/>
      <c r="M99" s="57"/>
      <c r="N99" s="57"/>
      <c r="O99" s="57"/>
      <c r="P99" s="57"/>
      <c r="Q99" s="73" t="s">
        <v>313</v>
      </c>
      <c r="R99" s="73" t="s">
        <v>144</v>
      </c>
      <c r="S99" s="73" t="s">
        <v>248</v>
      </c>
      <c r="T99" s="73"/>
      <c r="U99" s="73"/>
      <c r="V99" s="73"/>
      <c r="W99" s="73"/>
      <c r="X99" s="73"/>
      <c r="Y99" s="73"/>
      <c r="Z99" s="73"/>
      <c r="AA99" s="73" t="s">
        <v>314</v>
      </c>
      <c r="AB99" s="73" t="s">
        <v>115</v>
      </c>
      <c r="AC99" s="73" t="s">
        <v>315</v>
      </c>
      <c r="AD99" s="57"/>
      <c r="AE99" s="57"/>
      <c r="AF99" s="73" t="s">
        <v>315</v>
      </c>
      <c r="AG99" s="57"/>
      <c r="AH99" s="57"/>
      <c r="AI99" s="57"/>
      <c r="AJ99" s="73" t="s">
        <v>313</v>
      </c>
      <c r="AK99" s="73" t="s">
        <v>144</v>
      </c>
      <c r="AL99" s="57"/>
      <c r="AM99" s="57"/>
      <c r="AN99" s="57"/>
      <c r="AO99" s="57" t="s">
        <v>59</v>
      </c>
      <c r="AP99" s="57" t="s">
        <v>59</v>
      </c>
      <c r="AQ99" s="57"/>
      <c r="AR99" s="71" t="s">
        <v>59</v>
      </c>
      <c r="AS99" s="71" t="s">
        <v>59</v>
      </c>
    </row>
    <row r="100" spans="1:45" ht="15" customHeight="1">
      <c r="A100" s="58" t="s">
        <v>316</v>
      </c>
      <c r="B100" s="55">
        <v>4582515738</v>
      </c>
      <c r="C100" s="55"/>
      <c r="D100" s="55"/>
      <c r="E100" s="56"/>
      <c r="F100" s="55"/>
      <c r="G100" s="57"/>
      <c r="H100" s="57"/>
      <c r="I100" s="57"/>
      <c r="J100" s="57"/>
      <c r="K100" s="57"/>
      <c r="L100" s="57"/>
      <c r="M100" s="57"/>
      <c r="N100" s="57"/>
      <c r="O100" s="57"/>
      <c r="P100" s="57"/>
      <c r="Q100" s="73" t="s">
        <v>195</v>
      </c>
      <c r="R100" s="73" t="s">
        <v>255</v>
      </c>
      <c r="S100" s="73"/>
      <c r="T100" s="73"/>
      <c r="U100" s="73"/>
      <c r="V100" s="73"/>
      <c r="W100" s="73"/>
      <c r="X100" s="73"/>
      <c r="Y100" s="73"/>
      <c r="Z100" s="73"/>
      <c r="AA100" s="73" t="s">
        <v>317</v>
      </c>
      <c r="AB100" s="73"/>
      <c r="AC100" s="73" t="s">
        <v>256</v>
      </c>
      <c r="AD100" s="57"/>
      <c r="AE100" s="57"/>
      <c r="AF100" s="73" t="s">
        <v>256</v>
      </c>
      <c r="AG100" s="57"/>
      <c r="AH100" s="57"/>
      <c r="AI100" s="57"/>
      <c r="AJ100" s="73" t="s">
        <v>195</v>
      </c>
      <c r="AK100" s="73" t="s">
        <v>255</v>
      </c>
      <c r="AL100" s="57"/>
      <c r="AM100" s="57"/>
      <c r="AN100" s="57"/>
      <c r="AO100" s="57" t="s">
        <v>59</v>
      </c>
      <c r="AP100" s="57" t="s">
        <v>59</v>
      </c>
      <c r="AQ100" s="57"/>
      <c r="AR100" s="71" t="s">
        <v>59</v>
      </c>
      <c r="AS100" s="71" t="s">
        <v>59</v>
      </c>
    </row>
    <row r="101" spans="1:45" ht="15" customHeight="1">
      <c r="A101" s="55" t="s">
        <v>318</v>
      </c>
      <c r="B101" s="55">
        <v>4502609676</v>
      </c>
      <c r="C101" s="55"/>
      <c r="D101" s="55"/>
      <c r="E101" s="56"/>
      <c r="F101" s="55"/>
      <c r="G101" s="57" t="s">
        <v>37</v>
      </c>
      <c r="H101" s="57"/>
      <c r="I101" s="57" t="s">
        <v>39</v>
      </c>
      <c r="J101" s="57"/>
      <c r="K101" s="57"/>
      <c r="L101" s="57"/>
      <c r="M101" s="57"/>
      <c r="N101" s="57" t="s">
        <v>319</v>
      </c>
      <c r="O101" s="57" t="s">
        <v>59</v>
      </c>
      <c r="P101" s="57"/>
      <c r="Q101" s="57"/>
      <c r="R101" s="57"/>
      <c r="S101" s="57"/>
      <c r="T101" s="57"/>
      <c r="U101" s="57"/>
      <c r="V101" s="57"/>
      <c r="W101" s="57"/>
      <c r="X101" s="57"/>
      <c r="Y101" s="57"/>
      <c r="Z101" s="57"/>
      <c r="AA101" s="57" t="s">
        <v>158</v>
      </c>
      <c r="AB101" s="57" t="s">
        <v>320</v>
      </c>
      <c r="AC101" s="57"/>
      <c r="AD101" s="57"/>
      <c r="AE101" s="57"/>
      <c r="AF101" s="57"/>
      <c r="AG101" s="57"/>
      <c r="AH101" s="57"/>
      <c r="AI101" s="57"/>
      <c r="AJ101" s="57"/>
      <c r="AK101" s="57"/>
      <c r="AL101" s="57"/>
      <c r="AM101" s="57"/>
      <c r="AN101" s="57"/>
      <c r="AO101" s="57"/>
      <c r="AP101" s="57"/>
      <c r="AQ101" s="57"/>
      <c r="AR101" s="71" t="s">
        <v>59</v>
      </c>
      <c r="AS101" s="71" t="s">
        <v>59</v>
      </c>
    </row>
    <row r="102" spans="1:45" ht="15" customHeight="1">
      <c r="A102" s="64" t="s">
        <v>321</v>
      </c>
      <c r="B102" s="59">
        <v>4380690334</v>
      </c>
      <c r="C102" s="57"/>
      <c r="D102" s="57"/>
      <c r="E102" s="57"/>
      <c r="F102" s="57"/>
      <c r="G102" s="57"/>
      <c r="H102" s="57"/>
      <c r="I102" s="57"/>
      <c r="J102" s="57"/>
      <c r="K102" s="57"/>
      <c r="L102" s="57"/>
      <c r="M102" s="57"/>
      <c r="N102" s="57"/>
      <c r="O102" s="57"/>
      <c r="P102" s="57"/>
      <c r="Q102" s="73" t="s">
        <v>291</v>
      </c>
      <c r="R102" s="73" t="s">
        <v>97</v>
      </c>
      <c r="S102" s="73"/>
      <c r="T102" s="73"/>
      <c r="U102" s="73"/>
      <c r="V102" s="73" t="s">
        <v>234</v>
      </c>
      <c r="W102" s="73" t="s">
        <v>284</v>
      </c>
      <c r="X102" s="73"/>
      <c r="Y102" s="73"/>
      <c r="Z102" s="73"/>
      <c r="AA102" s="73" t="s">
        <v>235</v>
      </c>
      <c r="AB102" s="73"/>
      <c r="AC102" s="73" t="s">
        <v>294</v>
      </c>
      <c r="AD102" s="57"/>
      <c r="AE102" s="57"/>
      <c r="AF102" s="73" t="s">
        <v>294</v>
      </c>
      <c r="AG102" s="57"/>
      <c r="AH102" s="57"/>
      <c r="AI102" s="57"/>
      <c r="AJ102" s="73" t="s">
        <v>291</v>
      </c>
      <c r="AK102" s="57"/>
      <c r="AL102" s="73" t="s">
        <v>234</v>
      </c>
      <c r="AM102" s="57"/>
      <c r="AN102" s="57"/>
      <c r="AO102" s="57" t="s">
        <v>59</v>
      </c>
      <c r="AP102" s="57" t="s">
        <v>59</v>
      </c>
      <c r="AQ102" s="57"/>
      <c r="AR102" s="71" t="s">
        <v>59</v>
      </c>
      <c r="AS102" s="71" t="s">
        <v>59</v>
      </c>
    </row>
    <row r="103" spans="1:45" ht="15" customHeight="1">
      <c r="A103" s="64" t="s">
        <v>322</v>
      </c>
      <c r="B103" s="59">
        <v>4508493378</v>
      </c>
      <c r="C103" s="57"/>
      <c r="D103" s="57"/>
      <c r="E103" s="57"/>
      <c r="F103" s="57"/>
      <c r="G103" s="57"/>
      <c r="H103" s="57"/>
      <c r="I103" s="57"/>
      <c r="J103" s="57"/>
      <c r="K103" s="57"/>
      <c r="L103" s="57"/>
      <c r="M103" s="57"/>
      <c r="N103" s="57"/>
      <c r="O103" s="57"/>
      <c r="P103" s="57"/>
      <c r="Q103" s="73" t="s">
        <v>323</v>
      </c>
      <c r="R103" s="73"/>
      <c r="S103" s="73"/>
      <c r="T103" s="73"/>
      <c r="U103" s="73"/>
      <c r="V103" s="73"/>
      <c r="W103" s="73"/>
      <c r="X103" s="73"/>
      <c r="Y103" s="73"/>
      <c r="Z103" s="73"/>
      <c r="AA103" s="73" t="s">
        <v>324</v>
      </c>
      <c r="AB103" s="73" t="s">
        <v>325</v>
      </c>
      <c r="AC103" s="73" t="s">
        <v>129</v>
      </c>
      <c r="AD103" s="57"/>
      <c r="AE103" s="57"/>
      <c r="AF103" s="73" t="s">
        <v>129</v>
      </c>
      <c r="AG103" s="57"/>
      <c r="AH103" s="57"/>
      <c r="AI103" s="57"/>
      <c r="AJ103" s="73" t="s">
        <v>323</v>
      </c>
      <c r="AK103" s="57"/>
      <c r="AL103" s="57"/>
      <c r="AM103" s="57"/>
      <c r="AN103" s="57"/>
      <c r="AO103" s="57" t="s">
        <v>59</v>
      </c>
      <c r="AP103" s="57" t="s">
        <v>59</v>
      </c>
      <c r="AQ103" s="57"/>
      <c r="AR103" s="71" t="s">
        <v>59</v>
      </c>
      <c r="AS103" s="71" t="s">
        <v>59</v>
      </c>
    </row>
    <row r="104" spans="1:45" ht="15" customHeight="1">
      <c r="A104" s="58" t="s">
        <v>326</v>
      </c>
      <c r="B104" s="55">
        <v>4162332142</v>
      </c>
      <c r="C104" s="55"/>
      <c r="D104" s="55"/>
      <c r="E104" s="56"/>
      <c r="F104" s="55"/>
      <c r="G104" s="57"/>
      <c r="H104" s="57"/>
      <c r="I104" s="57"/>
      <c r="J104" s="57"/>
      <c r="K104" s="57"/>
      <c r="L104" s="57"/>
      <c r="M104" s="57"/>
      <c r="N104" s="57"/>
      <c r="O104" s="57"/>
      <c r="P104" s="57"/>
      <c r="Q104" s="57"/>
      <c r="R104" s="57"/>
      <c r="S104" s="57"/>
      <c r="T104" s="57"/>
      <c r="U104" s="57"/>
      <c r="V104" s="57"/>
      <c r="W104" s="57"/>
      <c r="X104" s="57"/>
      <c r="Y104" s="57"/>
      <c r="Z104" s="57"/>
      <c r="AA104" s="57"/>
      <c r="AB104" s="57" t="s">
        <v>61</v>
      </c>
      <c r="AC104" s="57"/>
      <c r="AD104" s="57"/>
      <c r="AE104" s="57"/>
      <c r="AF104" s="57"/>
      <c r="AG104" s="57"/>
      <c r="AH104" s="57"/>
      <c r="AI104" s="57"/>
      <c r="AJ104" s="57"/>
      <c r="AK104" s="57"/>
      <c r="AL104" s="57"/>
      <c r="AM104" s="57"/>
      <c r="AN104" s="57"/>
      <c r="AO104" s="57"/>
      <c r="AP104" s="57"/>
      <c r="AQ104" s="57"/>
      <c r="AR104" s="71" t="s">
        <v>59</v>
      </c>
      <c r="AS104" s="71" t="s">
        <v>59</v>
      </c>
    </row>
    <row r="105" spans="1:45" ht="15" customHeight="1">
      <c r="A105" s="64" t="s">
        <v>327</v>
      </c>
      <c r="B105" s="59">
        <v>4125888051</v>
      </c>
      <c r="C105" s="57"/>
      <c r="D105" s="57"/>
      <c r="E105" s="57"/>
      <c r="F105" s="57"/>
      <c r="G105" s="57"/>
      <c r="H105" s="57"/>
      <c r="I105" s="57"/>
      <c r="J105" s="57"/>
      <c r="K105" s="57"/>
      <c r="L105" s="57"/>
      <c r="M105" s="57"/>
      <c r="N105" s="57"/>
      <c r="O105" s="57"/>
      <c r="P105" s="57"/>
      <c r="Q105" s="73" t="s">
        <v>231</v>
      </c>
      <c r="R105" s="73" t="s">
        <v>328</v>
      </c>
      <c r="S105" s="73"/>
      <c r="T105" s="73"/>
      <c r="U105" s="73"/>
      <c r="V105" s="73"/>
      <c r="W105" s="73"/>
      <c r="X105" s="73"/>
      <c r="Y105" s="73"/>
      <c r="Z105" s="73"/>
      <c r="AA105" s="73" t="s">
        <v>158</v>
      </c>
      <c r="AB105" s="73"/>
      <c r="AC105" s="73" t="s">
        <v>329</v>
      </c>
      <c r="AD105" s="57"/>
      <c r="AE105" s="57"/>
      <c r="AF105" s="73" t="s">
        <v>329</v>
      </c>
      <c r="AG105" s="57"/>
      <c r="AH105" s="57"/>
      <c r="AI105" s="57"/>
      <c r="AJ105" s="73" t="s">
        <v>231</v>
      </c>
      <c r="AK105" s="73" t="s">
        <v>328</v>
      </c>
      <c r="AL105" s="57"/>
      <c r="AM105" s="57"/>
      <c r="AN105" s="57"/>
      <c r="AO105" s="57" t="s">
        <v>59</v>
      </c>
      <c r="AP105" s="57" t="s">
        <v>59</v>
      </c>
      <c r="AQ105" s="57"/>
      <c r="AR105" s="71" t="s">
        <v>59</v>
      </c>
      <c r="AS105" s="71" t="s">
        <v>59</v>
      </c>
    </row>
    <row r="106" spans="1:45" ht="15" customHeight="1">
      <c r="A106" s="64" t="s">
        <v>330</v>
      </c>
      <c r="B106" s="59">
        <v>6285729336</v>
      </c>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73" t="s">
        <v>166</v>
      </c>
      <c r="AD106" s="57"/>
      <c r="AE106" s="57"/>
      <c r="AF106" s="57"/>
      <c r="AG106" s="57"/>
      <c r="AH106" s="57"/>
      <c r="AI106" s="57"/>
      <c r="AJ106" s="57"/>
      <c r="AK106" s="57"/>
      <c r="AL106" s="57"/>
      <c r="AM106" s="57"/>
      <c r="AN106" s="57"/>
      <c r="AO106" s="57"/>
      <c r="AP106" s="57"/>
      <c r="AQ106" s="57"/>
      <c r="AR106" s="71" t="s">
        <v>59</v>
      </c>
      <c r="AS106" s="71" t="s">
        <v>59</v>
      </c>
    </row>
    <row r="107" spans="1:45" ht="15" customHeight="1">
      <c r="A107" s="55" t="s">
        <v>331</v>
      </c>
      <c r="B107" s="55">
        <v>6067685558</v>
      </c>
      <c r="C107" s="55"/>
      <c r="D107" s="55"/>
      <c r="E107" s="56"/>
      <c r="F107" s="55"/>
      <c r="G107" s="57" t="s">
        <v>37</v>
      </c>
      <c r="H107" s="57"/>
      <c r="I107" s="57" t="s">
        <v>39</v>
      </c>
      <c r="J107" s="57"/>
      <c r="K107" s="57"/>
      <c r="L107" s="57"/>
      <c r="M107" s="57"/>
      <c r="N107" s="57" t="s">
        <v>332</v>
      </c>
      <c r="O107" s="57" t="s">
        <v>59</v>
      </c>
      <c r="P107" s="57"/>
      <c r="Q107" s="57" t="s">
        <v>87</v>
      </c>
      <c r="R107" s="57" t="s">
        <v>60</v>
      </c>
      <c r="S107" s="57" t="s">
        <v>195</v>
      </c>
      <c r="T107" s="57"/>
      <c r="U107" s="57"/>
      <c r="V107" s="57"/>
      <c r="W107" s="57"/>
      <c r="X107" s="57"/>
      <c r="Y107" s="57"/>
      <c r="Z107" s="57"/>
      <c r="AA107" s="57" t="s">
        <v>333</v>
      </c>
      <c r="AB107" s="57"/>
      <c r="AC107" s="57" t="s">
        <v>334</v>
      </c>
      <c r="AD107" s="57"/>
      <c r="AE107" s="57"/>
      <c r="AF107" s="57" t="s">
        <v>335</v>
      </c>
      <c r="AG107" s="57"/>
      <c r="AH107" s="57"/>
      <c r="AI107" s="57"/>
      <c r="AJ107" s="57" t="s">
        <v>87</v>
      </c>
      <c r="AK107" s="57" t="s">
        <v>60</v>
      </c>
      <c r="AL107" s="57"/>
      <c r="AM107" s="57"/>
      <c r="AN107" s="57"/>
      <c r="AO107" s="57" t="s">
        <v>59</v>
      </c>
      <c r="AP107" s="57" t="s">
        <v>59</v>
      </c>
      <c r="AQ107" s="57"/>
      <c r="AR107" s="71" t="s">
        <v>59</v>
      </c>
      <c r="AS107" s="71" t="s">
        <v>59</v>
      </c>
    </row>
    <row r="108" spans="1:45" ht="15" customHeight="1">
      <c r="A108" s="64" t="s">
        <v>336</v>
      </c>
      <c r="B108" s="59">
        <v>4583708823</v>
      </c>
      <c r="C108" s="57"/>
      <c r="D108" s="57"/>
      <c r="E108" s="57"/>
      <c r="F108" s="57"/>
      <c r="G108" s="57"/>
      <c r="H108" s="57"/>
      <c r="I108" s="57"/>
      <c r="J108" s="57"/>
      <c r="K108" s="57"/>
      <c r="L108" s="57"/>
      <c r="M108" s="57"/>
      <c r="N108" s="57"/>
      <c r="O108" s="57"/>
      <c r="P108" s="57"/>
      <c r="Q108" s="73" t="s">
        <v>70</v>
      </c>
      <c r="R108" s="73" t="s">
        <v>195</v>
      </c>
      <c r="S108" s="73" t="s">
        <v>60</v>
      </c>
      <c r="T108" s="73" t="s">
        <v>87</v>
      </c>
      <c r="U108" s="73"/>
      <c r="V108" s="73"/>
      <c r="W108" s="73"/>
      <c r="X108" s="73"/>
      <c r="Y108" s="73"/>
      <c r="Z108" s="73"/>
      <c r="AA108" s="73" t="s">
        <v>337</v>
      </c>
      <c r="AB108" s="73"/>
      <c r="AC108" s="73" t="s">
        <v>338</v>
      </c>
      <c r="AD108" s="57"/>
      <c r="AE108" s="57"/>
      <c r="AF108" s="73" t="s">
        <v>338</v>
      </c>
      <c r="AG108" s="57"/>
      <c r="AH108" s="57"/>
      <c r="AI108" s="57"/>
      <c r="AJ108" s="73" t="s">
        <v>70</v>
      </c>
      <c r="AK108" s="73" t="s">
        <v>195</v>
      </c>
      <c r="AL108" s="57"/>
      <c r="AM108" s="57"/>
      <c r="AN108" s="57"/>
      <c r="AO108" s="57" t="s">
        <v>59</v>
      </c>
      <c r="AP108" s="57" t="s">
        <v>59</v>
      </c>
      <c r="AQ108" s="57"/>
      <c r="AR108" s="71" t="s">
        <v>59</v>
      </c>
      <c r="AS108" s="71" t="s">
        <v>59</v>
      </c>
    </row>
    <row r="109" spans="1:45" ht="15" customHeight="1">
      <c r="A109" s="64" t="s">
        <v>339</v>
      </c>
      <c r="B109" s="59">
        <v>4127072784</v>
      </c>
      <c r="C109" s="57"/>
      <c r="D109" s="57"/>
      <c r="E109" s="57"/>
      <c r="F109" s="57"/>
      <c r="G109" s="57"/>
      <c r="H109" s="57"/>
      <c r="I109" s="57"/>
      <c r="J109" s="57"/>
      <c r="K109" s="57"/>
      <c r="L109" s="57"/>
      <c r="M109" s="57"/>
      <c r="N109" s="57"/>
      <c r="O109" s="57"/>
      <c r="P109" s="57"/>
      <c r="Q109" s="73" t="s">
        <v>127</v>
      </c>
      <c r="R109" s="73" t="s">
        <v>231</v>
      </c>
      <c r="S109" s="73" t="s">
        <v>156</v>
      </c>
      <c r="T109" s="73" t="s">
        <v>62</v>
      </c>
      <c r="U109" s="73" t="s">
        <v>134</v>
      </c>
      <c r="V109" s="73"/>
      <c r="W109" s="73"/>
      <c r="X109" s="73"/>
      <c r="Y109" s="73"/>
      <c r="Z109" s="73"/>
      <c r="AA109" s="73" t="s">
        <v>157</v>
      </c>
      <c r="AB109" s="73"/>
      <c r="AC109" s="73" t="s">
        <v>340</v>
      </c>
      <c r="AD109" s="57"/>
      <c r="AE109" s="57"/>
      <c r="AF109" s="73" t="s">
        <v>340</v>
      </c>
      <c r="AG109" s="57"/>
      <c r="AH109" s="57"/>
      <c r="AI109" s="57"/>
      <c r="AJ109" s="73" t="s">
        <v>127</v>
      </c>
      <c r="AK109" s="73" t="s">
        <v>231</v>
      </c>
      <c r="AL109" s="57"/>
      <c r="AM109" s="57"/>
      <c r="AN109" s="57"/>
      <c r="AO109" s="57" t="s">
        <v>59</v>
      </c>
      <c r="AP109" s="57" t="s">
        <v>59</v>
      </c>
      <c r="AQ109" s="57"/>
      <c r="AR109" s="71" t="s">
        <v>59</v>
      </c>
      <c r="AS109" s="71" t="s">
        <v>59</v>
      </c>
    </row>
    <row r="110" spans="1:45" ht="15" customHeight="1">
      <c r="A110" s="58" t="s">
        <v>341</v>
      </c>
      <c r="B110" s="55">
        <v>6381036478</v>
      </c>
      <c r="C110" s="55" t="s">
        <v>342</v>
      </c>
      <c r="D110" s="55"/>
      <c r="E110" s="56"/>
      <c r="F110" s="55"/>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71" t="s">
        <v>59</v>
      </c>
      <c r="AS110" s="71" t="s">
        <v>59</v>
      </c>
    </row>
    <row r="111" spans="1:45" ht="15" customHeight="1">
      <c r="A111" s="55" t="s">
        <v>343</v>
      </c>
      <c r="B111" s="55">
        <v>4281344004</v>
      </c>
      <c r="C111" s="55" t="s">
        <v>191</v>
      </c>
      <c r="D111" s="55"/>
      <c r="E111" s="56"/>
      <c r="F111" s="55"/>
      <c r="G111" s="57" t="s">
        <v>37</v>
      </c>
      <c r="H111" s="57"/>
      <c r="I111" s="57"/>
      <c r="J111" s="57" t="s">
        <v>39</v>
      </c>
      <c r="K111" s="57"/>
      <c r="L111" s="57"/>
      <c r="M111" s="57"/>
      <c r="N111" s="57" t="s">
        <v>223</v>
      </c>
      <c r="O111" s="57" t="s">
        <v>59</v>
      </c>
      <c r="P111" s="57"/>
      <c r="Q111" s="57"/>
      <c r="R111" s="57"/>
      <c r="S111" s="57"/>
      <c r="T111" s="57"/>
      <c r="U111" s="57"/>
      <c r="V111" s="57"/>
      <c r="W111" s="57"/>
      <c r="X111" s="57"/>
      <c r="Y111" s="57"/>
      <c r="Z111" s="57"/>
      <c r="AA111" s="57"/>
      <c r="AB111" s="57" t="s">
        <v>166</v>
      </c>
      <c r="AC111" s="57"/>
      <c r="AD111" s="57"/>
      <c r="AE111" s="57"/>
      <c r="AF111" s="57"/>
      <c r="AG111" s="57"/>
      <c r="AH111" s="57"/>
      <c r="AI111" s="57"/>
      <c r="AJ111" s="57"/>
      <c r="AK111" s="57"/>
      <c r="AL111" s="57"/>
      <c r="AM111" s="57"/>
      <c r="AN111" s="57"/>
      <c r="AO111" s="57"/>
      <c r="AP111" s="57"/>
      <c r="AQ111" s="57"/>
      <c r="AR111" s="71" t="s">
        <v>59</v>
      </c>
      <c r="AS111" s="71" t="s">
        <v>59</v>
      </c>
    </row>
    <row r="112" spans="1:45" ht="15" customHeight="1">
      <c r="A112" s="55" t="s">
        <v>344</v>
      </c>
      <c r="B112" s="55">
        <v>4408251275</v>
      </c>
      <c r="C112" s="55" t="s">
        <v>204</v>
      </c>
      <c r="D112" s="55"/>
      <c r="E112" s="56"/>
      <c r="F112" s="55"/>
      <c r="G112" s="57" t="s">
        <v>37</v>
      </c>
      <c r="H112" s="57"/>
      <c r="I112" s="57" t="s">
        <v>39</v>
      </c>
      <c r="J112" s="57"/>
      <c r="K112" s="57"/>
      <c r="L112" s="57"/>
      <c r="M112" s="57"/>
      <c r="N112" s="57" t="s">
        <v>345</v>
      </c>
      <c r="O112" s="57" t="s">
        <v>59</v>
      </c>
      <c r="P112" s="57"/>
      <c r="Q112" s="57"/>
      <c r="R112" s="57"/>
      <c r="S112" s="57"/>
      <c r="T112" s="57"/>
      <c r="U112" s="57"/>
      <c r="V112" s="57"/>
      <c r="W112" s="57"/>
      <c r="X112" s="57"/>
      <c r="Y112" s="57"/>
      <c r="Z112" s="57"/>
      <c r="AA112" s="57"/>
      <c r="AB112" s="57" t="s">
        <v>346</v>
      </c>
      <c r="AC112" s="57"/>
      <c r="AD112" s="57"/>
      <c r="AE112" s="57"/>
      <c r="AF112" s="57"/>
      <c r="AG112" s="57"/>
      <c r="AH112" s="57"/>
      <c r="AI112" s="57"/>
      <c r="AJ112" s="57"/>
      <c r="AK112" s="57"/>
      <c r="AL112" s="57"/>
      <c r="AM112" s="57"/>
      <c r="AN112" s="57"/>
      <c r="AO112" s="57"/>
      <c r="AP112" s="57"/>
      <c r="AQ112" s="57"/>
      <c r="AR112" s="71" t="s">
        <v>59</v>
      </c>
      <c r="AS112" s="71" t="s">
        <v>59</v>
      </c>
    </row>
    <row r="113" spans="1:45" ht="15" customHeight="1">
      <c r="A113" s="55" t="s">
        <v>347</v>
      </c>
      <c r="B113" s="55">
        <v>4944397186</v>
      </c>
      <c r="C113" s="55" t="s">
        <v>204</v>
      </c>
      <c r="D113" s="55"/>
      <c r="E113" s="56"/>
      <c r="F113" s="55"/>
      <c r="G113" s="57"/>
      <c r="H113" s="57"/>
      <c r="I113" s="57"/>
      <c r="J113" s="57"/>
      <c r="K113" s="57"/>
      <c r="L113" s="57"/>
      <c r="M113" s="57"/>
      <c r="N113" s="57" t="s">
        <v>345</v>
      </c>
      <c r="O113" s="57" t="s">
        <v>59</v>
      </c>
      <c r="P113" s="57"/>
      <c r="Q113" s="57"/>
      <c r="R113" s="57"/>
      <c r="S113" s="57"/>
      <c r="T113" s="57"/>
      <c r="U113" s="57"/>
      <c r="V113" s="57"/>
      <c r="W113" s="57"/>
      <c r="X113" s="57"/>
      <c r="Y113" s="57"/>
      <c r="Z113" s="57"/>
      <c r="AA113" s="57"/>
      <c r="AB113" s="57" t="s">
        <v>346</v>
      </c>
      <c r="AC113" s="57"/>
      <c r="AD113" s="57"/>
      <c r="AE113" s="57"/>
      <c r="AF113" s="57"/>
      <c r="AG113" s="57"/>
      <c r="AH113" s="57"/>
      <c r="AI113" s="57"/>
      <c r="AJ113" s="57"/>
      <c r="AK113" s="57"/>
      <c r="AL113" s="57"/>
      <c r="AM113" s="57"/>
      <c r="AN113" s="57"/>
      <c r="AO113" s="57"/>
      <c r="AP113" s="57"/>
      <c r="AQ113" s="57"/>
      <c r="AR113" s="71" t="s">
        <v>59</v>
      </c>
      <c r="AS113" s="71" t="s">
        <v>59</v>
      </c>
    </row>
    <row r="114" spans="1:45" ht="15" customHeight="1">
      <c r="A114" s="55" t="s">
        <v>348</v>
      </c>
      <c r="B114" s="55">
        <v>4387735058</v>
      </c>
      <c r="C114" s="55"/>
      <c r="D114" s="55"/>
      <c r="E114" s="56"/>
      <c r="F114" s="55"/>
      <c r="G114" s="57"/>
      <c r="H114" s="57"/>
      <c r="I114" s="57"/>
      <c r="J114" s="57"/>
      <c r="K114" s="57"/>
      <c r="L114" s="57"/>
      <c r="M114" s="57"/>
      <c r="N114" s="57" t="s">
        <v>349</v>
      </c>
      <c r="O114" s="57" t="s">
        <v>59</v>
      </c>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71"/>
      <c r="AS114" s="71" t="s">
        <v>59</v>
      </c>
    </row>
    <row r="115" spans="1:45" ht="15" customHeight="1">
      <c r="A115" s="67" t="s">
        <v>350</v>
      </c>
      <c r="B115" s="55">
        <v>6381036478</v>
      </c>
      <c r="C115" s="55" t="s">
        <v>351</v>
      </c>
      <c r="D115" s="55"/>
      <c r="E115" s="56"/>
      <c r="F115" s="55"/>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71"/>
      <c r="AS115" s="71" t="s">
        <v>59</v>
      </c>
    </row>
    <row r="116" spans="1:45" ht="15" customHeight="1">
      <c r="A116" s="64" t="s">
        <v>352</v>
      </c>
      <c r="B116" s="59">
        <v>4582710042</v>
      </c>
      <c r="C116" s="57"/>
      <c r="D116" s="57"/>
      <c r="E116" s="57"/>
      <c r="F116" s="57"/>
      <c r="G116" s="57"/>
      <c r="H116" s="57"/>
      <c r="I116" s="57"/>
      <c r="J116" s="57"/>
      <c r="K116" s="57"/>
      <c r="L116" s="57"/>
      <c r="M116" s="57"/>
      <c r="N116" s="57"/>
      <c r="O116" s="57"/>
      <c r="P116" s="57"/>
      <c r="Q116" s="73" t="s">
        <v>156</v>
      </c>
      <c r="R116" s="73" t="s">
        <v>62</v>
      </c>
      <c r="S116" s="73"/>
      <c r="T116" s="73"/>
      <c r="U116" s="73"/>
      <c r="V116" s="73"/>
      <c r="W116" s="73"/>
      <c r="X116" s="73"/>
      <c r="Y116" s="73"/>
      <c r="Z116" s="73"/>
      <c r="AA116" s="73"/>
      <c r="AB116" s="73"/>
      <c r="AC116" s="73" t="s">
        <v>261</v>
      </c>
      <c r="AD116" s="57"/>
      <c r="AE116" s="57"/>
      <c r="AF116" s="73" t="s">
        <v>261</v>
      </c>
      <c r="AG116" s="57"/>
      <c r="AH116" s="57"/>
      <c r="AI116" s="57"/>
      <c r="AJ116" s="73" t="s">
        <v>156</v>
      </c>
      <c r="AK116" s="73" t="s">
        <v>62</v>
      </c>
      <c r="AL116" s="57"/>
      <c r="AM116" s="57"/>
      <c r="AN116" s="57"/>
      <c r="AO116" s="57" t="s">
        <v>59</v>
      </c>
      <c r="AP116" s="57" t="s">
        <v>59</v>
      </c>
      <c r="AQ116" s="57"/>
      <c r="AR116" s="71" t="s">
        <v>59</v>
      </c>
      <c r="AS116" s="71" t="s">
        <v>59</v>
      </c>
    </row>
    <row r="117" spans="1:45" ht="15" customHeight="1">
      <c r="A117" s="55" t="s">
        <v>353</v>
      </c>
      <c r="B117" s="55">
        <v>4582420222</v>
      </c>
      <c r="C117" s="55" t="s">
        <v>73</v>
      </c>
      <c r="D117" s="55"/>
      <c r="E117" s="56"/>
      <c r="F117" s="55"/>
      <c r="G117" s="57"/>
      <c r="H117" s="57"/>
      <c r="I117" s="57"/>
      <c r="J117" s="57"/>
      <c r="K117" s="57"/>
      <c r="L117" s="57"/>
      <c r="M117" s="57"/>
      <c r="N117" s="57" t="s">
        <v>354</v>
      </c>
      <c r="O117" s="57" t="s">
        <v>59</v>
      </c>
      <c r="P117" s="57"/>
      <c r="Q117" s="57" t="s">
        <v>156</v>
      </c>
      <c r="R117" s="57" t="s">
        <v>231</v>
      </c>
      <c r="S117" s="57"/>
      <c r="T117" s="57"/>
      <c r="U117" s="57"/>
      <c r="V117" s="57"/>
      <c r="W117" s="57"/>
      <c r="X117" s="57"/>
      <c r="Y117" s="57"/>
      <c r="Z117" s="57"/>
      <c r="AA117" s="57" t="s">
        <v>126</v>
      </c>
      <c r="AB117" s="57"/>
      <c r="AC117" s="57" t="s">
        <v>355</v>
      </c>
      <c r="AD117" s="57"/>
      <c r="AE117" s="57"/>
      <c r="AF117" s="57" t="s">
        <v>355</v>
      </c>
      <c r="AG117" s="57"/>
      <c r="AH117" s="57"/>
      <c r="AI117" s="57"/>
      <c r="AJ117" s="57" t="s">
        <v>156</v>
      </c>
      <c r="AK117" s="57" t="s">
        <v>231</v>
      </c>
      <c r="AL117" s="57"/>
      <c r="AM117" s="57"/>
      <c r="AN117" s="57"/>
      <c r="AO117" s="57" t="s">
        <v>59</v>
      </c>
      <c r="AP117" s="57" t="s">
        <v>59</v>
      </c>
      <c r="AQ117" s="57"/>
      <c r="AR117" s="71" t="s">
        <v>59</v>
      </c>
      <c r="AS117" s="71" t="s">
        <v>59</v>
      </c>
    </row>
    <row r="118" spans="1:45" ht="15" customHeight="1">
      <c r="A118" s="55" t="s">
        <v>356</v>
      </c>
      <c r="B118" s="55">
        <v>4582420222</v>
      </c>
      <c r="C118" s="55" t="s">
        <v>238</v>
      </c>
      <c r="D118" s="55"/>
      <c r="E118" s="56"/>
      <c r="F118" s="55"/>
      <c r="G118" s="57"/>
      <c r="H118" s="57"/>
      <c r="I118" s="57"/>
      <c r="J118" s="57"/>
      <c r="K118" s="57"/>
      <c r="L118" s="57"/>
      <c r="M118" s="57"/>
      <c r="N118" s="57" t="s">
        <v>357</v>
      </c>
      <c r="O118" s="57" t="s">
        <v>59</v>
      </c>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71"/>
      <c r="AS118" s="71" t="s">
        <v>59</v>
      </c>
    </row>
    <row r="119" spans="1:45" ht="15" customHeight="1">
      <c r="A119" s="55" t="s">
        <v>358</v>
      </c>
      <c r="B119" s="55">
        <v>6270232112</v>
      </c>
      <c r="C119" s="55" t="s">
        <v>191</v>
      </c>
      <c r="D119" s="55"/>
      <c r="E119" s="56"/>
      <c r="F119" s="55"/>
      <c r="G119" s="57" t="s">
        <v>37</v>
      </c>
      <c r="H119" s="57"/>
      <c r="I119" s="57" t="s">
        <v>39</v>
      </c>
      <c r="J119" s="57"/>
      <c r="K119" s="57"/>
      <c r="L119" s="57"/>
      <c r="M119" s="57"/>
      <c r="N119" s="57" t="s">
        <v>359</v>
      </c>
      <c r="O119" s="57" t="s">
        <v>59</v>
      </c>
      <c r="P119" s="57"/>
      <c r="Q119" s="57"/>
      <c r="R119" s="57"/>
      <c r="S119" s="57"/>
      <c r="T119" s="57"/>
      <c r="U119" s="57"/>
      <c r="V119" s="57"/>
      <c r="W119" s="57"/>
      <c r="X119" s="57"/>
      <c r="Y119" s="57"/>
      <c r="Z119" s="57"/>
      <c r="AA119" s="57"/>
      <c r="AB119" s="57" t="s">
        <v>360</v>
      </c>
      <c r="AC119" s="57"/>
      <c r="AD119" s="57"/>
      <c r="AE119" s="57"/>
      <c r="AF119" s="57"/>
      <c r="AG119" s="57"/>
      <c r="AH119" s="57"/>
      <c r="AI119" s="57"/>
      <c r="AJ119" s="57"/>
      <c r="AK119" s="57"/>
      <c r="AL119" s="57"/>
      <c r="AM119" s="57"/>
      <c r="AN119" s="57"/>
      <c r="AO119" s="57"/>
      <c r="AP119" s="57"/>
      <c r="AQ119" s="57"/>
      <c r="AR119" s="71" t="s">
        <v>59</v>
      </c>
      <c r="AS119" s="71" t="s">
        <v>59</v>
      </c>
    </row>
    <row r="120" spans="1:45" ht="15" customHeight="1">
      <c r="A120" s="58" t="s">
        <v>361</v>
      </c>
      <c r="B120" s="55">
        <v>6209763413</v>
      </c>
      <c r="C120" s="55"/>
      <c r="D120" s="55"/>
      <c r="E120" s="56"/>
      <c r="F120" s="55"/>
      <c r="G120" s="57"/>
      <c r="H120" s="57"/>
      <c r="I120" s="57"/>
      <c r="J120" s="57"/>
      <c r="K120" s="57"/>
      <c r="L120" s="57"/>
      <c r="M120" s="57"/>
      <c r="N120" s="57"/>
      <c r="O120" s="57"/>
      <c r="P120" s="57"/>
      <c r="Q120" s="57"/>
      <c r="R120" s="57"/>
      <c r="S120" s="57"/>
      <c r="T120" s="57"/>
      <c r="U120" s="57"/>
      <c r="V120" s="57"/>
      <c r="W120" s="57"/>
      <c r="X120" s="57"/>
      <c r="Y120" s="57"/>
      <c r="Z120" s="57"/>
      <c r="AA120" s="57"/>
      <c r="AB120" s="73" t="s">
        <v>151</v>
      </c>
      <c r="AC120" s="73" t="s">
        <v>166</v>
      </c>
      <c r="AD120" s="57"/>
      <c r="AE120" s="57"/>
      <c r="AF120" s="57"/>
      <c r="AG120" s="57"/>
      <c r="AH120" s="57"/>
      <c r="AI120" s="57"/>
      <c r="AJ120" s="57"/>
      <c r="AK120" s="57"/>
      <c r="AL120" s="57"/>
      <c r="AM120" s="57"/>
      <c r="AN120" s="57"/>
      <c r="AO120" s="57"/>
      <c r="AP120" s="57"/>
      <c r="AQ120" s="57"/>
      <c r="AR120" s="71" t="s">
        <v>59</v>
      </c>
      <c r="AS120" s="71" t="s">
        <v>59</v>
      </c>
    </row>
    <row r="121" spans="1:45" ht="15" customHeight="1">
      <c r="A121" s="64" t="s">
        <v>362</v>
      </c>
      <c r="B121" s="59">
        <v>4722242569</v>
      </c>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73" t="s">
        <v>61</v>
      </c>
      <c r="AC121" s="73" t="s">
        <v>166</v>
      </c>
      <c r="AD121" s="57"/>
      <c r="AE121" s="57"/>
      <c r="AF121" s="57"/>
      <c r="AG121" s="57"/>
      <c r="AH121" s="57"/>
      <c r="AI121" s="57"/>
      <c r="AJ121" s="57"/>
      <c r="AK121" s="57"/>
      <c r="AL121" s="57"/>
      <c r="AM121" s="57"/>
      <c r="AN121" s="57"/>
      <c r="AO121" s="57"/>
      <c r="AP121" s="57"/>
      <c r="AQ121" s="57"/>
      <c r="AR121" s="71" t="s">
        <v>59</v>
      </c>
      <c r="AS121" s="71" t="s">
        <v>59</v>
      </c>
    </row>
    <row r="122" spans="1:45" ht="15" customHeight="1">
      <c r="A122" s="64" t="s">
        <v>363</v>
      </c>
      <c r="B122" s="59">
        <v>4089902940</v>
      </c>
      <c r="C122" s="57"/>
      <c r="D122" s="57"/>
      <c r="E122" s="57"/>
      <c r="F122" s="57"/>
      <c r="G122" s="57"/>
      <c r="H122" s="57"/>
      <c r="I122" s="57"/>
      <c r="J122" s="57"/>
      <c r="K122" s="57"/>
      <c r="L122" s="57"/>
      <c r="M122" s="57"/>
      <c r="N122" s="57"/>
      <c r="O122" s="57"/>
      <c r="P122" s="57"/>
      <c r="Q122" s="73" t="s">
        <v>156</v>
      </c>
      <c r="R122" s="73" t="s">
        <v>62</v>
      </c>
      <c r="S122" s="73"/>
      <c r="T122" s="73"/>
      <c r="U122" s="73"/>
      <c r="V122" s="73"/>
      <c r="W122" s="73"/>
      <c r="X122" s="73"/>
      <c r="Y122" s="73"/>
      <c r="Z122" s="73"/>
      <c r="AA122" s="73"/>
      <c r="AB122" s="73"/>
      <c r="AC122" s="73" t="s">
        <v>135</v>
      </c>
      <c r="AD122" s="57"/>
      <c r="AE122" s="57"/>
      <c r="AF122" s="73" t="s">
        <v>135</v>
      </c>
      <c r="AG122" s="57"/>
      <c r="AH122" s="57"/>
      <c r="AI122" s="57"/>
      <c r="AJ122" s="73" t="s">
        <v>156</v>
      </c>
      <c r="AK122" s="73" t="s">
        <v>62</v>
      </c>
      <c r="AL122" s="57"/>
      <c r="AM122" s="57"/>
      <c r="AN122" s="57"/>
      <c r="AO122" s="57" t="s">
        <v>59</v>
      </c>
      <c r="AP122" s="57" t="s">
        <v>59</v>
      </c>
      <c r="AQ122" s="57"/>
      <c r="AR122" s="71" t="s">
        <v>59</v>
      </c>
      <c r="AS122" s="71" t="s">
        <v>59</v>
      </c>
    </row>
    <row r="123" spans="1:45" ht="15" customHeight="1">
      <c r="A123" s="64" t="s">
        <v>364</v>
      </c>
      <c r="B123" s="59">
        <v>4569356338</v>
      </c>
      <c r="C123" s="57"/>
      <c r="D123" s="57"/>
      <c r="E123" s="57"/>
      <c r="F123" s="57"/>
      <c r="G123" s="57"/>
      <c r="H123" s="57"/>
      <c r="I123" s="57"/>
      <c r="J123" s="57"/>
      <c r="K123" s="57"/>
      <c r="L123" s="57"/>
      <c r="M123" s="57"/>
      <c r="N123" s="57"/>
      <c r="O123" s="57"/>
      <c r="P123" s="57"/>
      <c r="Q123" s="73" t="s">
        <v>365</v>
      </c>
      <c r="R123" s="73"/>
      <c r="S123" s="73"/>
      <c r="T123" s="73"/>
      <c r="U123" s="73"/>
      <c r="V123" s="73"/>
      <c r="W123" s="73"/>
      <c r="X123" s="73"/>
      <c r="Y123" s="73"/>
      <c r="Z123" s="73"/>
      <c r="AA123" s="73"/>
      <c r="AB123" s="73"/>
      <c r="AC123" s="73" t="s">
        <v>366</v>
      </c>
      <c r="AD123" s="57"/>
      <c r="AE123" s="57"/>
      <c r="AF123" s="73" t="s">
        <v>366</v>
      </c>
      <c r="AG123" s="57"/>
      <c r="AH123" s="57"/>
      <c r="AI123" s="57"/>
      <c r="AJ123" s="73" t="s">
        <v>365</v>
      </c>
      <c r="AK123" s="73"/>
      <c r="AL123" s="57"/>
      <c r="AM123" s="57"/>
      <c r="AN123" s="57"/>
      <c r="AO123" s="57" t="s">
        <v>59</v>
      </c>
      <c r="AP123" s="57" t="s">
        <v>59</v>
      </c>
      <c r="AQ123" s="57"/>
      <c r="AR123" s="71" t="s">
        <v>59</v>
      </c>
      <c r="AS123" s="71" t="s">
        <v>59</v>
      </c>
    </row>
    <row r="124" spans="1:45" ht="15" customHeight="1">
      <c r="A124" s="64" t="s">
        <v>367</v>
      </c>
      <c r="B124" s="59">
        <v>4508291104</v>
      </c>
      <c r="C124" s="57"/>
      <c r="D124" s="57"/>
      <c r="E124" s="57"/>
      <c r="F124" s="57"/>
      <c r="G124" s="57"/>
      <c r="H124" s="57"/>
      <c r="I124" s="57"/>
      <c r="J124" s="57"/>
      <c r="K124" s="57"/>
      <c r="L124" s="57"/>
      <c r="M124" s="57"/>
      <c r="N124" s="57"/>
      <c r="O124" s="57"/>
      <c r="P124" s="57"/>
      <c r="Q124" s="73" t="s">
        <v>291</v>
      </c>
      <c r="R124" s="73" t="s">
        <v>96</v>
      </c>
      <c r="S124" s="73" t="s">
        <v>97</v>
      </c>
      <c r="T124" s="73"/>
      <c r="U124" s="73"/>
      <c r="V124" s="73"/>
      <c r="W124" s="73"/>
      <c r="X124" s="73"/>
      <c r="Y124" s="73"/>
      <c r="Z124" s="73"/>
      <c r="AA124" s="73" t="s">
        <v>368</v>
      </c>
      <c r="AB124" s="73"/>
      <c r="AC124" s="73" t="s">
        <v>369</v>
      </c>
      <c r="AD124" s="57"/>
      <c r="AE124" s="57"/>
      <c r="AF124" s="73" t="s">
        <v>369</v>
      </c>
      <c r="AG124" s="57"/>
      <c r="AH124" s="57"/>
      <c r="AI124" s="57"/>
      <c r="AJ124" s="73" t="s">
        <v>291</v>
      </c>
      <c r="AK124" s="73" t="s">
        <v>96</v>
      </c>
      <c r="AL124" s="57"/>
      <c r="AM124" s="57"/>
      <c r="AN124" s="57"/>
      <c r="AO124" s="57" t="s">
        <v>59</v>
      </c>
      <c r="AP124" s="57" t="s">
        <v>59</v>
      </c>
      <c r="AQ124" s="57"/>
      <c r="AR124" s="71" t="s">
        <v>59</v>
      </c>
      <c r="AS124" s="71" t="s">
        <v>59</v>
      </c>
    </row>
    <row r="125" spans="1:45" ht="15" customHeight="1">
      <c r="A125" s="55" t="s">
        <v>370</v>
      </c>
      <c r="B125" s="55">
        <v>4382020255</v>
      </c>
      <c r="C125" s="55" t="s">
        <v>191</v>
      </c>
      <c r="D125" s="55"/>
      <c r="E125" s="56"/>
      <c r="F125" s="55"/>
      <c r="G125" s="57" t="s">
        <v>37</v>
      </c>
      <c r="H125" s="57"/>
      <c r="I125" s="57" t="s">
        <v>39</v>
      </c>
      <c r="J125" s="57"/>
      <c r="K125" s="57"/>
      <c r="L125" s="57"/>
      <c r="M125" s="57"/>
      <c r="N125" s="57" t="s">
        <v>371</v>
      </c>
      <c r="O125" s="57" t="s">
        <v>59</v>
      </c>
      <c r="P125" s="57"/>
      <c r="Q125" s="57"/>
      <c r="R125" s="57"/>
      <c r="S125" s="57"/>
      <c r="T125" s="57"/>
      <c r="U125" s="57"/>
      <c r="V125" s="57"/>
      <c r="W125" s="57"/>
      <c r="X125" s="57"/>
      <c r="Y125" s="57"/>
      <c r="Z125" s="57"/>
      <c r="AA125" s="57"/>
      <c r="AB125" s="57" t="s">
        <v>346</v>
      </c>
      <c r="AC125" s="57"/>
      <c r="AD125" s="57"/>
      <c r="AE125" s="57"/>
      <c r="AF125" s="57"/>
      <c r="AG125" s="57"/>
      <c r="AH125" s="57"/>
      <c r="AI125" s="57"/>
      <c r="AJ125" s="57"/>
      <c r="AK125" s="57"/>
      <c r="AL125" s="57"/>
      <c r="AM125" s="57"/>
      <c r="AN125" s="57"/>
      <c r="AO125" s="57"/>
      <c r="AP125" s="57"/>
      <c r="AQ125" s="57"/>
      <c r="AR125" s="71" t="s">
        <v>59</v>
      </c>
      <c r="AS125" s="71" t="s">
        <v>59</v>
      </c>
    </row>
    <row r="126" spans="1:45" ht="15" customHeight="1">
      <c r="A126" s="64" t="s">
        <v>372</v>
      </c>
      <c r="B126" s="59">
        <v>4087950905</v>
      </c>
      <c r="C126" s="57"/>
      <c r="D126" s="57"/>
      <c r="E126" s="57"/>
      <c r="F126" s="57"/>
      <c r="G126" s="57"/>
      <c r="H126" s="57"/>
      <c r="I126" s="57"/>
      <c r="J126" s="57"/>
      <c r="K126" s="57"/>
      <c r="L126" s="57"/>
      <c r="M126" s="57"/>
      <c r="N126" s="57"/>
      <c r="O126" s="57"/>
      <c r="P126" s="57"/>
      <c r="Q126" s="73" t="s">
        <v>217</v>
      </c>
      <c r="R126" s="73" t="s">
        <v>373</v>
      </c>
      <c r="S126" s="73"/>
      <c r="T126" s="73"/>
      <c r="U126" s="73"/>
      <c r="V126" s="73" t="s">
        <v>374</v>
      </c>
      <c r="W126" s="73" t="s">
        <v>375</v>
      </c>
      <c r="X126" s="73" t="s">
        <v>156</v>
      </c>
      <c r="Y126" s="73" t="s">
        <v>62</v>
      </c>
      <c r="Z126" s="73" t="s">
        <v>231</v>
      </c>
      <c r="AA126" s="73"/>
      <c r="AB126" s="73" t="s">
        <v>376</v>
      </c>
      <c r="AC126" s="73" t="s">
        <v>377</v>
      </c>
      <c r="AD126" s="57"/>
      <c r="AE126" s="57"/>
      <c r="AF126" s="73" t="s">
        <v>377</v>
      </c>
      <c r="AG126" s="57"/>
      <c r="AH126" s="57"/>
      <c r="AI126" s="57"/>
      <c r="AJ126" s="73" t="s">
        <v>217</v>
      </c>
      <c r="AK126" s="57"/>
      <c r="AL126" s="73" t="s">
        <v>374</v>
      </c>
      <c r="AM126" s="57"/>
      <c r="AN126" s="57"/>
      <c r="AO126" s="57" t="s">
        <v>59</v>
      </c>
      <c r="AP126" s="57" t="s">
        <v>59</v>
      </c>
      <c r="AQ126" s="57"/>
      <c r="AR126" s="71" t="s">
        <v>59</v>
      </c>
      <c r="AS126" s="71" t="s">
        <v>59</v>
      </c>
    </row>
    <row r="127" spans="1:45" ht="15" customHeight="1">
      <c r="A127" s="58" t="s">
        <v>378</v>
      </c>
      <c r="B127" s="55">
        <v>4383746977</v>
      </c>
      <c r="C127" s="55"/>
      <c r="D127" s="55"/>
      <c r="E127" s="56"/>
      <c r="F127" s="55"/>
      <c r="G127" s="57"/>
      <c r="H127" s="57"/>
      <c r="I127" s="57"/>
      <c r="J127" s="57"/>
      <c r="K127" s="57"/>
      <c r="L127" s="57"/>
      <c r="M127" s="57"/>
      <c r="N127" s="57"/>
      <c r="O127" s="57"/>
      <c r="P127" s="57"/>
      <c r="Q127" s="57"/>
      <c r="R127" s="73" t="s">
        <v>70</v>
      </c>
      <c r="S127" s="73" t="s">
        <v>87</v>
      </c>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71" t="s">
        <v>59</v>
      </c>
      <c r="AS127" s="71" t="s">
        <v>59</v>
      </c>
    </row>
    <row r="128" spans="1:45" ht="15" customHeight="1">
      <c r="A128" s="55" t="s">
        <v>379</v>
      </c>
      <c r="B128" s="55">
        <v>6040847719</v>
      </c>
      <c r="C128" s="55" t="s">
        <v>110</v>
      </c>
      <c r="D128" s="55"/>
      <c r="E128" s="56"/>
      <c r="F128" s="55"/>
      <c r="G128" s="57" t="s">
        <v>37</v>
      </c>
      <c r="H128" s="57"/>
      <c r="I128" s="57"/>
      <c r="J128" s="57" t="s">
        <v>39</v>
      </c>
      <c r="K128" s="57"/>
      <c r="L128" s="57"/>
      <c r="M128" s="57"/>
      <c r="N128" s="57" t="s">
        <v>380</v>
      </c>
      <c r="O128" s="57" t="s">
        <v>59</v>
      </c>
      <c r="P128" s="57"/>
      <c r="Q128" s="57"/>
      <c r="R128" s="57"/>
      <c r="S128" s="57"/>
      <c r="T128" s="57"/>
      <c r="U128" s="57"/>
      <c r="V128" s="57"/>
      <c r="W128" s="57"/>
      <c r="X128" s="57"/>
      <c r="Y128" s="57"/>
      <c r="Z128" s="57"/>
      <c r="AA128" s="57"/>
      <c r="AB128" s="57" t="s">
        <v>381</v>
      </c>
      <c r="AC128" s="57"/>
      <c r="AD128" s="57"/>
      <c r="AE128" s="57"/>
      <c r="AF128" s="57"/>
      <c r="AG128" s="57"/>
      <c r="AH128" s="57"/>
      <c r="AI128" s="57"/>
      <c r="AJ128" s="57"/>
      <c r="AK128" s="57"/>
      <c r="AL128" s="57"/>
      <c r="AM128" s="57"/>
      <c r="AN128" s="57"/>
      <c r="AO128" s="57"/>
      <c r="AP128" s="57"/>
      <c r="AQ128" s="57"/>
      <c r="AR128" s="71" t="s">
        <v>59</v>
      </c>
      <c r="AS128" s="71" t="s">
        <v>59</v>
      </c>
    </row>
    <row r="129" spans="1:45" ht="15" customHeight="1">
      <c r="A129" s="58" t="s">
        <v>382</v>
      </c>
      <c r="B129" s="55">
        <v>4382020255</v>
      </c>
      <c r="C129" s="55"/>
      <c r="D129" s="55"/>
      <c r="E129" s="56"/>
      <c r="F129" s="55"/>
      <c r="G129" s="57"/>
      <c r="H129" s="57"/>
      <c r="I129" s="57"/>
      <c r="J129" s="57"/>
      <c r="K129" s="57"/>
      <c r="L129" s="57"/>
      <c r="M129" s="57"/>
      <c r="N129" s="57"/>
      <c r="O129" s="57"/>
      <c r="P129" s="57"/>
      <c r="Q129" s="73" t="s">
        <v>373</v>
      </c>
      <c r="R129" s="73" t="s">
        <v>217</v>
      </c>
      <c r="S129" s="73" t="s">
        <v>383</v>
      </c>
      <c r="T129" s="73" t="s">
        <v>365</v>
      </c>
      <c r="U129" s="73"/>
      <c r="V129" s="73" t="s">
        <v>62</v>
      </c>
      <c r="W129" s="73"/>
      <c r="X129" s="73"/>
      <c r="Y129" s="73"/>
      <c r="Z129" s="73"/>
      <c r="AA129" s="73"/>
      <c r="AB129" s="73"/>
      <c r="AC129" s="73" t="s">
        <v>384</v>
      </c>
      <c r="AD129" s="57"/>
      <c r="AE129" s="57"/>
      <c r="AF129" s="73" t="s">
        <v>384</v>
      </c>
      <c r="AG129" s="57"/>
      <c r="AH129" s="57"/>
      <c r="AI129" s="57"/>
      <c r="AJ129" s="73" t="s">
        <v>373</v>
      </c>
      <c r="AK129" s="57"/>
      <c r="AL129" s="73" t="s">
        <v>62</v>
      </c>
      <c r="AM129" s="57"/>
      <c r="AN129" s="57"/>
      <c r="AO129" s="57" t="s">
        <v>59</v>
      </c>
      <c r="AP129" s="57" t="s">
        <v>59</v>
      </c>
      <c r="AQ129" s="57"/>
      <c r="AR129" s="71" t="s">
        <v>59</v>
      </c>
      <c r="AS129" s="71" t="s">
        <v>59</v>
      </c>
    </row>
    <row r="130" spans="1:45" ht="15" customHeight="1">
      <c r="A130" s="64" t="s">
        <v>385</v>
      </c>
      <c r="B130" s="59">
        <v>4848769809</v>
      </c>
      <c r="C130" s="57"/>
      <c r="D130" s="57"/>
      <c r="E130" s="57"/>
      <c r="F130" s="57"/>
      <c r="G130" s="57"/>
      <c r="H130" s="57"/>
      <c r="I130" s="57"/>
      <c r="J130" s="57"/>
      <c r="K130" s="57"/>
      <c r="L130" s="57"/>
      <c r="M130" s="57"/>
      <c r="N130" s="57"/>
      <c r="O130" s="57"/>
      <c r="P130" s="57"/>
      <c r="Q130" s="73" t="s">
        <v>194</v>
      </c>
      <c r="R130" s="73" t="s">
        <v>88</v>
      </c>
      <c r="S130" s="73" t="s">
        <v>254</v>
      </c>
      <c r="T130" s="73" t="s">
        <v>386</v>
      </c>
      <c r="U130" s="73" t="s">
        <v>387</v>
      </c>
      <c r="V130" s="73" t="s">
        <v>70</v>
      </c>
      <c r="W130" s="73"/>
      <c r="X130" s="73"/>
      <c r="Y130" s="73"/>
      <c r="Z130" s="73"/>
      <c r="AA130" s="73" t="s">
        <v>388</v>
      </c>
      <c r="AB130" s="73"/>
      <c r="AC130" s="73" t="s">
        <v>389</v>
      </c>
      <c r="AD130" s="57"/>
      <c r="AE130" s="57"/>
      <c r="AF130" s="73" t="s">
        <v>389</v>
      </c>
      <c r="AG130" s="57"/>
      <c r="AH130" s="57"/>
      <c r="AI130" s="57"/>
      <c r="AJ130" s="73" t="s">
        <v>194</v>
      </c>
      <c r="AK130" s="57"/>
      <c r="AL130" s="73" t="s">
        <v>70</v>
      </c>
      <c r="AM130" s="57"/>
      <c r="AN130" s="57"/>
      <c r="AO130" s="57" t="s">
        <v>59</v>
      </c>
      <c r="AP130" s="57" t="s">
        <v>59</v>
      </c>
      <c r="AQ130" s="57"/>
      <c r="AR130" s="71" t="s">
        <v>59</v>
      </c>
      <c r="AS130" s="71" t="s">
        <v>59</v>
      </c>
    </row>
    <row r="131" spans="1:45" ht="15" customHeight="1">
      <c r="A131" s="55" t="s">
        <v>390</v>
      </c>
      <c r="B131" s="55">
        <v>6040847719</v>
      </c>
      <c r="C131" s="55"/>
      <c r="D131" s="55"/>
      <c r="E131" s="56"/>
      <c r="F131" s="55"/>
      <c r="G131" s="57" t="s">
        <v>37</v>
      </c>
      <c r="H131" s="57"/>
      <c r="I131" s="57"/>
      <c r="J131" s="57" t="s">
        <v>39</v>
      </c>
      <c r="K131" s="57"/>
      <c r="L131" s="57"/>
      <c r="M131" s="57"/>
      <c r="N131" s="57" t="s">
        <v>391</v>
      </c>
      <c r="O131" s="57" t="s">
        <v>59</v>
      </c>
      <c r="P131" s="57"/>
      <c r="Q131" s="57" t="s">
        <v>142</v>
      </c>
      <c r="R131" s="57" t="s">
        <v>182</v>
      </c>
      <c r="S131" s="57"/>
      <c r="T131" s="57"/>
      <c r="U131" s="57"/>
      <c r="V131" s="57" t="s">
        <v>62</v>
      </c>
      <c r="W131" s="57" t="s">
        <v>156</v>
      </c>
      <c r="X131" s="57" t="s">
        <v>60</v>
      </c>
      <c r="Y131" s="57" t="s">
        <v>87</v>
      </c>
      <c r="Z131" s="57" t="s">
        <v>231</v>
      </c>
      <c r="AA131" s="57" t="s">
        <v>392</v>
      </c>
      <c r="AB131" s="57" t="s">
        <v>393</v>
      </c>
      <c r="AC131" s="57" t="s">
        <v>228</v>
      </c>
      <c r="AD131" s="57"/>
      <c r="AE131" s="57"/>
      <c r="AF131" s="57" t="s">
        <v>394</v>
      </c>
      <c r="AG131" s="57" t="s">
        <v>395</v>
      </c>
      <c r="AH131" s="57"/>
      <c r="AI131" s="57"/>
      <c r="AJ131" s="57" t="s">
        <v>182</v>
      </c>
      <c r="AK131" s="57"/>
      <c r="AL131" s="57" t="s">
        <v>62</v>
      </c>
      <c r="AM131" s="57"/>
      <c r="AN131" s="57"/>
      <c r="AO131" s="57" t="s">
        <v>59</v>
      </c>
      <c r="AP131" s="57" t="s">
        <v>59</v>
      </c>
      <c r="AQ131" s="57"/>
      <c r="AR131" s="71" t="s">
        <v>59</v>
      </c>
      <c r="AS131" s="71" t="s">
        <v>59</v>
      </c>
    </row>
    <row r="132" spans="1:45" ht="15" customHeight="1">
      <c r="A132" s="58" t="s">
        <v>396</v>
      </c>
      <c r="B132" s="55">
        <v>4123806422</v>
      </c>
      <c r="C132" s="55" t="s">
        <v>191</v>
      </c>
      <c r="D132" s="55"/>
      <c r="E132" s="56"/>
      <c r="F132" s="55"/>
      <c r="G132" s="57"/>
      <c r="H132" s="57"/>
      <c r="I132" s="57"/>
      <c r="J132" s="57"/>
      <c r="K132" s="57"/>
      <c r="L132" s="57"/>
      <c r="M132" s="57"/>
      <c r="N132" s="57"/>
      <c r="O132" s="57"/>
      <c r="P132" s="57"/>
      <c r="Q132" s="57"/>
      <c r="R132" s="57"/>
      <c r="S132" s="57"/>
      <c r="T132" s="57"/>
      <c r="U132" s="57"/>
      <c r="V132" s="57"/>
      <c r="W132" s="57"/>
      <c r="X132" s="57"/>
      <c r="Y132" s="57"/>
      <c r="Z132" s="57"/>
      <c r="AA132" s="57"/>
      <c r="AB132" s="57" t="s">
        <v>156</v>
      </c>
      <c r="AC132" s="57"/>
      <c r="AD132" s="57"/>
      <c r="AE132" s="57"/>
      <c r="AF132" s="57"/>
      <c r="AG132" s="57"/>
      <c r="AH132" s="57"/>
      <c r="AI132" s="57"/>
      <c r="AJ132" s="57"/>
      <c r="AK132" s="57"/>
      <c r="AL132" s="57"/>
      <c r="AM132" s="57"/>
      <c r="AN132" s="57"/>
      <c r="AO132" s="57"/>
      <c r="AP132" s="57"/>
      <c r="AQ132" s="57"/>
      <c r="AR132" s="71" t="s">
        <v>59</v>
      </c>
      <c r="AS132" s="71" t="s">
        <v>59</v>
      </c>
    </row>
    <row r="133" spans="1:45" ht="15" customHeight="1">
      <c r="A133" s="55" t="s">
        <v>397</v>
      </c>
      <c r="B133" s="55">
        <v>4123806422</v>
      </c>
      <c r="C133" s="55"/>
      <c r="D133" s="55"/>
      <c r="E133" s="56"/>
      <c r="F133" s="55"/>
      <c r="G133" s="57" t="s">
        <v>37</v>
      </c>
      <c r="H133" s="57"/>
      <c r="I133" s="57"/>
      <c r="J133" s="57" t="s">
        <v>39</v>
      </c>
      <c r="K133" s="57"/>
      <c r="L133" s="57"/>
      <c r="M133" s="57"/>
      <c r="N133" s="57" t="s">
        <v>398</v>
      </c>
      <c r="O133" s="57" t="s">
        <v>59</v>
      </c>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71"/>
      <c r="AS133" s="71" t="s">
        <v>59</v>
      </c>
    </row>
    <row r="134" spans="1:45" ht="15" customHeight="1">
      <c r="A134" s="58" t="s">
        <v>399</v>
      </c>
      <c r="B134" s="55">
        <v>4507901820</v>
      </c>
      <c r="C134" s="55" t="s">
        <v>106</v>
      </c>
      <c r="D134" s="55"/>
      <c r="E134" s="56"/>
      <c r="F134" s="55"/>
      <c r="G134" s="57"/>
      <c r="H134" s="57"/>
      <c r="I134" s="57"/>
      <c r="J134" s="57"/>
      <c r="K134" s="57"/>
      <c r="L134" s="57"/>
      <c r="M134" s="57"/>
      <c r="N134" s="57"/>
      <c r="O134" s="57"/>
      <c r="P134" s="57"/>
      <c r="Q134" s="57"/>
      <c r="R134" s="57"/>
      <c r="S134" s="57"/>
      <c r="T134" s="57"/>
      <c r="U134" s="57"/>
      <c r="V134" s="57"/>
      <c r="W134" s="57"/>
      <c r="X134" s="57"/>
      <c r="Y134" s="57"/>
      <c r="Z134" s="57"/>
      <c r="AA134" s="57"/>
      <c r="AB134" s="57"/>
      <c r="AC134" s="73" t="s">
        <v>346</v>
      </c>
      <c r="AD134" s="57"/>
      <c r="AE134" s="57"/>
      <c r="AF134" s="57"/>
      <c r="AG134" s="57"/>
      <c r="AH134" s="57"/>
      <c r="AI134" s="57"/>
      <c r="AJ134" s="57"/>
      <c r="AK134" s="57"/>
      <c r="AL134" s="57"/>
      <c r="AM134" s="57"/>
      <c r="AN134" s="57"/>
      <c r="AO134" s="57"/>
      <c r="AP134" s="57"/>
      <c r="AQ134" s="57"/>
      <c r="AR134" s="71" t="s">
        <v>59</v>
      </c>
      <c r="AS134" s="71" t="s">
        <v>59</v>
      </c>
    </row>
    <row r="135" spans="1:45" ht="15" customHeight="1">
      <c r="A135" s="64" t="s">
        <v>400</v>
      </c>
      <c r="B135" s="59">
        <v>6049665699</v>
      </c>
      <c r="C135" s="57"/>
      <c r="D135" s="57"/>
      <c r="E135" s="57"/>
      <c r="F135" s="57"/>
      <c r="G135" s="57"/>
      <c r="H135" s="57"/>
      <c r="I135" s="57"/>
      <c r="J135" s="57"/>
      <c r="K135" s="57"/>
      <c r="L135" s="57"/>
      <c r="M135" s="57"/>
      <c r="N135" s="57"/>
      <c r="O135" s="57"/>
      <c r="P135" s="57"/>
      <c r="Q135" s="73" t="s">
        <v>156</v>
      </c>
      <c r="R135" s="73" t="s">
        <v>134</v>
      </c>
      <c r="S135" s="73"/>
      <c r="T135" s="73"/>
      <c r="U135" s="73"/>
      <c r="V135" s="73" t="s">
        <v>61</v>
      </c>
      <c r="W135" s="73"/>
      <c r="X135" s="73"/>
      <c r="Y135" s="73"/>
      <c r="Z135" s="73"/>
      <c r="AA135" s="73" t="s">
        <v>126</v>
      </c>
      <c r="AB135" s="73" t="s">
        <v>401</v>
      </c>
      <c r="AC135" s="73" t="s">
        <v>402</v>
      </c>
      <c r="AD135" s="57"/>
      <c r="AE135" s="57"/>
      <c r="AF135" s="73" t="s">
        <v>402</v>
      </c>
      <c r="AG135" s="57"/>
      <c r="AH135" s="57"/>
      <c r="AI135" s="57"/>
      <c r="AJ135" s="73" t="s">
        <v>156</v>
      </c>
      <c r="AK135" s="57"/>
      <c r="AL135" s="73" t="s">
        <v>61</v>
      </c>
      <c r="AM135" s="57"/>
      <c r="AN135" s="57"/>
      <c r="AO135" s="57" t="s">
        <v>59</v>
      </c>
      <c r="AP135" s="57" t="s">
        <v>59</v>
      </c>
      <c r="AQ135" s="57"/>
      <c r="AR135" s="71" t="s">
        <v>59</v>
      </c>
      <c r="AS135" s="71" t="s">
        <v>59</v>
      </c>
    </row>
    <row r="136" spans="1:45" ht="15" customHeight="1">
      <c r="A136" s="64" t="s">
        <v>403</v>
      </c>
      <c r="B136" s="59">
        <v>4382783526</v>
      </c>
      <c r="C136" s="57"/>
      <c r="D136" s="57"/>
      <c r="E136" s="57"/>
      <c r="F136" s="57"/>
      <c r="G136" s="57"/>
      <c r="H136" s="57"/>
      <c r="I136" s="57"/>
      <c r="J136" s="57"/>
      <c r="K136" s="57"/>
      <c r="L136" s="57"/>
      <c r="M136" s="57"/>
      <c r="N136" s="57"/>
      <c r="O136" s="57"/>
      <c r="P136" s="57"/>
      <c r="Q136" s="73" t="s">
        <v>263</v>
      </c>
      <c r="R136" s="73" t="s">
        <v>365</v>
      </c>
      <c r="S136" s="73" t="s">
        <v>404</v>
      </c>
      <c r="T136" s="73" t="s">
        <v>373</v>
      </c>
      <c r="U136" s="73" t="s">
        <v>405</v>
      </c>
      <c r="V136" s="73"/>
      <c r="W136" s="73"/>
      <c r="X136" s="73"/>
      <c r="Y136" s="73"/>
      <c r="Z136" s="73"/>
      <c r="AA136" s="73" t="s">
        <v>406</v>
      </c>
      <c r="AB136" s="73"/>
      <c r="AC136" s="73" t="s">
        <v>407</v>
      </c>
      <c r="AD136" s="57"/>
      <c r="AE136" s="57"/>
      <c r="AF136" s="73" t="s">
        <v>407</v>
      </c>
      <c r="AG136" s="57"/>
      <c r="AH136" s="57"/>
      <c r="AI136" s="57"/>
      <c r="AJ136" s="73" t="s">
        <v>263</v>
      </c>
      <c r="AK136" s="73" t="s">
        <v>365</v>
      </c>
      <c r="AL136" s="57"/>
      <c r="AM136" s="57"/>
      <c r="AN136" s="57"/>
      <c r="AO136" s="57" t="s">
        <v>59</v>
      </c>
      <c r="AP136" s="57" t="s">
        <v>59</v>
      </c>
      <c r="AQ136" s="57"/>
      <c r="AR136" s="71" t="s">
        <v>59</v>
      </c>
      <c r="AS136" s="71" t="s">
        <v>59</v>
      </c>
    </row>
    <row r="137" spans="1:45" ht="15" customHeight="1">
      <c r="A137" s="58" t="s">
        <v>408</v>
      </c>
      <c r="B137" s="55">
        <v>4309377955</v>
      </c>
      <c r="C137" s="55" t="s">
        <v>91</v>
      </c>
      <c r="D137" s="55"/>
      <c r="E137" s="56"/>
      <c r="F137" s="55"/>
      <c r="G137" s="57"/>
      <c r="H137" s="57"/>
      <c r="I137" s="57"/>
      <c r="J137" s="57"/>
      <c r="K137" s="57"/>
      <c r="L137" s="57"/>
      <c r="M137" s="57"/>
      <c r="N137" s="57"/>
      <c r="O137" s="57"/>
      <c r="P137" s="57"/>
      <c r="Q137" s="73" t="s">
        <v>231</v>
      </c>
      <c r="R137" s="73"/>
      <c r="S137" s="73"/>
      <c r="T137" s="73"/>
      <c r="U137" s="73"/>
      <c r="V137" s="73"/>
      <c r="W137" s="73"/>
      <c r="X137" s="73"/>
      <c r="Y137" s="73"/>
      <c r="Z137" s="73"/>
      <c r="AA137" s="73"/>
      <c r="AB137" s="73"/>
      <c r="AC137" s="73" t="s">
        <v>166</v>
      </c>
      <c r="AD137" s="57"/>
      <c r="AE137" s="57"/>
      <c r="AF137" s="73" t="s">
        <v>166</v>
      </c>
      <c r="AG137" s="57"/>
      <c r="AH137" s="57"/>
      <c r="AI137" s="57"/>
      <c r="AJ137" s="73" t="s">
        <v>231</v>
      </c>
      <c r="AK137" s="57"/>
      <c r="AL137" s="57"/>
      <c r="AM137" s="57"/>
      <c r="AN137" s="57"/>
      <c r="AO137" s="57" t="s">
        <v>59</v>
      </c>
      <c r="AP137" s="57" t="s">
        <v>59</v>
      </c>
      <c r="AQ137" s="57"/>
      <c r="AR137" s="71" t="s">
        <v>59</v>
      </c>
      <c r="AS137" s="71" t="s">
        <v>59</v>
      </c>
    </row>
    <row r="138" spans="1:45" ht="15" customHeight="1">
      <c r="A138" s="55" t="s">
        <v>409</v>
      </c>
      <c r="B138" s="55">
        <v>4509146795</v>
      </c>
      <c r="C138" s="55"/>
      <c r="D138" s="55"/>
      <c r="E138" s="56"/>
      <c r="F138" s="55"/>
      <c r="G138" s="57" t="s">
        <v>37</v>
      </c>
      <c r="H138" s="57"/>
      <c r="I138" s="57"/>
      <c r="J138" s="57" t="s">
        <v>39</v>
      </c>
      <c r="K138" s="57"/>
      <c r="L138" s="57"/>
      <c r="M138" s="57"/>
      <c r="N138" s="57" t="s">
        <v>410</v>
      </c>
      <c r="O138" s="57" t="s">
        <v>59</v>
      </c>
      <c r="P138" s="57"/>
      <c r="Q138" s="57" t="s">
        <v>249</v>
      </c>
      <c r="R138" s="57" t="s">
        <v>248</v>
      </c>
      <c r="S138" s="57" t="s">
        <v>411</v>
      </c>
      <c r="T138" s="57"/>
      <c r="U138" s="57"/>
      <c r="V138" s="57" t="s">
        <v>412</v>
      </c>
      <c r="W138" s="57" t="s">
        <v>413</v>
      </c>
      <c r="X138" s="57"/>
      <c r="Y138" s="57"/>
      <c r="Z138" s="57"/>
      <c r="AA138" s="57"/>
      <c r="AB138" s="57" t="s">
        <v>313</v>
      </c>
      <c r="AC138" s="57" t="s">
        <v>414</v>
      </c>
      <c r="AD138" s="57"/>
      <c r="AE138" s="57"/>
      <c r="AF138" s="57" t="s">
        <v>415</v>
      </c>
      <c r="AG138" s="57" t="s">
        <v>416</v>
      </c>
      <c r="AH138" s="57"/>
      <c r="AI138" s="57"/>
      <c r="AJ138" s="57" t="s">
        <v>248</v>
      </c>
      <c r="AK138" s="57"/>
      <c r="AL138" s="57" t="s">
        <v>412</v>
      </c>
      <c r="AM138" s="57"/>
      <c r="AN138" s="57"/>
      <c r="AO138" s="57" t="s">
        <v>59</v>
      </c>
      <c r="AP138" s="57" t="s">
        <v>59</v>
      </c>
      <c r="AQ138" s="57"/>
      <c r="AR138" s="71" t="s">
        <v>59</v>
      </c>
      <c r="AS138" s="71" t="s">
        <v>59</v>
      </c>
    </row>
    <row r="139" spans="1:45" ht="15" customHeight="1">
      <c r="A139" s="55" t="s">
        <v>417</v>
      </c>
      <c r="B139" s="55">
        <v>4583534086</v>
      </c>
      <c r="C139" s="55" t="s">
        <v>191</v>
      </c>
      <c r="D139" s="55"/>
      <c r="E139" s="56"/>
      <c r="F139" s="55"/>
      <c r="G139" s="57" t="s">
        <v>37</v>
      </c>
      <c r="H139" s="57"/>
      <c r="I139" s="57"/>
      <c r="J139" s="57" t="s">
        <v>39</v>
      </c>
      <c r="K139" s="57"/>
      <c r="L139" s="57"/>
      <c r="M139" s="57"/>
      <c r="N139" s="57" t="s">
        <v>345</v>
      </c>
      <c r="O139" s="57" t="s">
        <v>59</v>
      </c>
      <c r="P139" s="57"/>
      <c r="Q139" s="57"/>
      <c r="R139" s="57"/>
      <c r="S139" s="57"/>
      <c r="T139" s="57"/>
      <c r="U139" s="57"/>
      <c r="V139" s="57"/>
      <c r="W139" s="57"/>
      <c r="X139" s="57"/>
      <c r="Y139" s="57"/>
      <c r="Z139" s="57"/>
      <c r="AA139" s="57"/>
      <c r="AB139" s="57" t="s">
        <v>346</v>
      </c>
      <c r="AC139" s="57"/>
      <c r="AD139" s="57"/>
      <c r="AE139" s="57"/>
      <c r="AF139" s="57"/>
      <c r="AG139" s="57"/>
      <c r="AH139" s="57"/>
      <c r="AI139" s="57"/>
      <c r="AJ139" s="57"/>
      <c r="AK139" s="57"/>
      <c r="AL139" s="57"/>
      <c r="AM139" s="57"/>
      <c r="AN139" s="57"/>
      <c r="AO139" s="57"/>
      <c r="AP139" s="57"/>
      <c r="AQ139" s="57"/>
      <c r="AR139" s="71" t="s">
        <v>59</v>
      </c>
      <c r="AS139" s="71" t="s">
        <v>59</v>
      </c>
    </row>
    <row r="140" spans="1:45" ht="15" customHeight="1">
      <c r="A140" s="55" t="s">
        <v>418</v>
      </c>
      <c r="B140" s="55">
        <v>4583534086</v>
      </c>
      <c r="C140" s="55"/>
      <c r="D140" s="55"/>
      <c r="E140" s="56"/>
      <c r="F140" s="55"/>
      <c r="G140" s="57" t="s">
        <v>37</v>
      </c>
      <c r="H140" s="57"/>
      <c r="I140" s="57"/>
      <c r="J140" s="57" t="s">
        <v>39</v>
      </c>
      <c r="K140" s="57"/>
      <c r="L140" s="57"/>
      <c r="M140" s="57"/>
      <c r="N140" s="57" t="s">
        <v>419</v>
      </c>
      <c r="O140" s="57" t="s">
        <v>59</v>
      </c>
      <c r="P140" s="57"/>
      <c r="Q140" s="57" t="s">
        <v>263</v>
      </c>
      <c r="R140" s="57" t="s">
        <v>217</v>
      </c>
      <c r="S140" s="57" t="s">
        <v>420</v>
      </c>
      <c r="T140" s="57" t="s">
        <v>421</v>
      </c>
      <c r="U140" s="57"/>
      <c r="V140" s="57"/>
      <c r="W140" s="57"/>
      <c r="X140" s="57"/>
      <c r="Y140" s="57"/>
      <c r="Z140" s="57"/>
      <c r="AA140" s="57"/>
      <c r="AB140" s="57" t="s">
        <v>422</v>
      </c>
      <c r="AC140" s="57" t="s">
        <v>423</v>
      </c>
      <c r="AD140" s="57"/>
      <c r="AE140" s="57"/>
      <c r="AF140" s="57" t="s">
        <v>423</v>
      </c>
      <c r="AG140" s="57"/>
      <c r="AH140" s="57"/>
      <c r="AI140" s="57"/>
      <c r="AJ140" s="57" t="s">
        <v>263</v>
      </c>
      <c r="AK140" s="57" t="s">
        <v>217</v>
      </c>
      <c r="AL140" s="57"/>
      <c r="AM140" s="57"/>
      <c r="AN140" s="57"/>
      <c r="AO140" s="57" t="s">
        <v>59</v>
      </c>
      <c r="AP140" s="57" t="s">
        <v>59</v>
      </c>
      <c r="AQ140" s="57"/>
      <c r="AR140" s="71" t="s">
        <v>59</v>
      </c>
      <c r="AS140" s="71" t="s">
        <v>59</v>
      </c>
    </row>
    <row r="141" spans="1:45" ht="15" customHeight="1">
      <c r="A141" s="55" t="s">
        <v>424</v>
      </c>
      <c r="B141" s="55">
        <v>4509289057</v>
      </c>
      <c r="C141" s="55" t="s">
        <v>191</v>
      </c>
      <c r="D141" s="55"/>
      <c r="E141" s="56"/>
      <c r="F141" s="55"/>
      <c r="G141" s="57" t="s">
        <v>37</v>
      </c>
      <c r="H141" s="57"/>
      <c r="I141" s="57" t="s">
        <v>39</v>
      </c>
      <c r="J141" s="57"/>
      <c r="K141" s="57"/>
      <c r="L141" s="57"/>
      <c r="M141" s="57"/>
      <c r="N141" s="57" t="s">
        <v>305</v>
      </c>
      <c r="O141" s="57" t="s">
        <v>59</v>
      </c>
      <c r="P141" s="57"/>
      <c r="Q141" s="57"/>
      <c r="R141" s="57"/>
      <c r="S141" s="57"/>
      <c r="T141" s="57"/>
      <c r="U141" s="57"/>
      <c r="V141" s="57"/>
      <c r="W141" s="57"/>
      <c r="X141" s="57"/>
      <c r="Y141" s="57"/>
      <c r="Z141" s="57"/>
      <c r="AA141" s="57"/>
      <c r="AB141" s="57" t="s">
        <v>62</v>
      </c>
      <c r="AC141" s="57"/>
      <c r="AD141" s="57"/>
      <c r="AE141" s="57"/>
      <c r="AF141" s="57"/>
      <c r="AG141" s="57"/>
      <c r="AH141" s="57"/>
      <c r="AI141" s="57"/>
      <c r="AJ141" s="57"/>
      <c r="AK141" s="57"/>
      <c r="AL141" s="57"/>
      <c r="AM141" s="57"/>
      <c r="AN141" s="57"/>
      <c r="AO141" s="57"/>
      <c r="AP141" s="57"/>
      <c r="AQ141" s="57"/>
      <c r="AR141" s="71" t="s">
        <v>59</v>
      </c>
      <c r="AS141" s="71" t="s">
        <v>59</v>
      </c>
    </row>
    <row r="142" spans="1:45" ht="15" customHeight="1">
      <c r="A142" s="55" t="s">
        <v>425</v>
      </c>
      <c r="B142" s="55">
        <v>4509279604</v>
      </c>
      <c r="C142" s="55"/>
      <c r="D142" s="55"/>
      <c r="E142" s="56"/>
      <c r="F142" s="55"/>
      <c r="G142" s="57" t="s">
        <v>37</v>
      </c>
      <c r="H142" s="57"/>
      <c r="I142" s="57" t="s">
        <v>39</v>
      </c>
      <c r="J142" s="57"/>
      <c r="K142" s="57"/>
      <c r="L142" s="57"/>
      <c r="M142" s="57"/>
      <c r="N142" s="57" t="s">
        <v>426</v>
      </c>
      <c r="O142" s="57" t="s">
        <v>59</v>
      </c>
      <c r="P142" s="57"/>
      <c r="Q142" s="57" t="s">
        <v>285</v>
      </c>
      <c r="R142" s="57" t="s">
        <v>284</v>
      </c>
      <c r="S142" s="57" t="s">
        <v>427</v>
      </c>
      <c r="T142" s="57" t="s">
        <v>291</v>
      </c>
      <c r="U142" s="57"/>
      <c r="V142" s="57" t="s">
        <v>283</v>
      </c>
      <c r="W142" s="57"/>
      <c r="X142" s="57"/>
      <c r="Y142" s="57"/>
      <c r="Z142" s="57"/>
      <c r="AA142" s="57" t="s">
        <v>428</v>
      </c>
      <c r="AB142" s="57" t="s">
        <v>429</v>
      </c>
      <c r="AC142" s="57" t="s">
        <v>430</v>
      </c>
      <c r="AD142" s="57"/>
      <c r="AE142" s="57"/>
      <c r="AF142" s="57" t="s">
        <v>430</v>
      </c>
      <c r="AG142" s="57"/>
      <c r="AH142" s="57"/>
      <c r="AI142" s="57"/>
      <c r="AJ142" s="57" t="s">
        <v>285</v>
      </c>
      <c r="AK142" s="57"/>
      <c r="AL142" s="57" t="s">
        <v>283</v>
      </c>
      <c r="AM142" s="57"/>
      <c r="AN142" s="57"/>
      <c r="AO142" s="57" t="s">
        <v>59</v>
      </c>
      <c r="AP142" s="57" t="s">
        <v>59</v>
      </c>
      <c r="AQ142" s="57"/>
      <c r="AR142" s="71" t="s">
        <v>59</v>
      </c>
      <c r="AS142" s="71" t="s">
        <v>59</v>
      </c>
    </row>
    <row r="143" spans="1:45" ht="15" customHeight="1">
      <c r="A143" s="55" t="s">
        <v>431</v>
      </c>
      <c r="B143" s="55">
        <v>4862123635</v>
      </c>
      <c r="C143" s="55" t="s">
        <v>91</v>
      </c>
      <c r="D143" s="55"/>
      <c r="E143" s="56"/>
      <c r="F143" s="55"/>
      <c r="G143" s="57" t="s">
        <v>37</v>
      </c>
      <c r="H143" s="57"/>
      <c r="I143" s="57" t="s">
        <v>39</v>
      </c>
      <c r="J143" s="57"/>
      <c r="K143" s="57"/>
      <c r="L143" s="57"/>
      <c r="M143" s="57"/>
      <c r="N143" s="57" t="s">
        <v>380</v>
      </c>
      <c r="O143" s="57" t="s">
        <v>59</v>
      </c>
      <c r="P143" s="57"/>
      <c r="Q143" s="57"/>
      <c r="R143" s="57"/>
      <c r="S143" s="57"/>
      <c r="T143" s="57"/>
      <c r="U143" s="57"/>
      <c r="V143" s="57"/>
      <c r="W143" s="57"/>
      <c r="X143" s="57"/>
      <c r="Y143" s="57"/>
      <c r="Z143" s="57"/>
      <c r="AA143" s="57"/>
      <c r="AB143" s="57" t="s">
        <v>61</v>
      </c>
      <c r="AC143" s="57"/>
      <c r="AD143" s="57"/>
      <c r="AE143" s="57"/>
      <c r="AF143" s="57"/>
      <c r="AG143" s="57"/>
      <c r="AH143" s="57"/>
      <c r="AI143" s="57"/>
      <c r="AJ143" s="57"/>
      <c r="AK143" s="57"/>
      <c r="AL143" s="57"/>
      <c r="AM143" s="57"/>
      <c r="AN143" s="57"/>
      <c r="AO143" s="57"/>
      <c r="AP143" s="57"/>
      <c r="AQ143" s="57"/>
      <c r="AR143" s="71" t="s">
        <v>59</v>
      </c>
      <c r="AS143" s="71" t="s">
        <v>59</v>
      </c>
    </row>
    <row r="144" spans="1:45" ht="15" customHeight="1">
      <c r="A144" s="55" t="s">
        <v>432</v>
      </c>
      <c r="B144" s="55">
        <v>4382315034</v>
      </c>
      <c r="C144" s="55" t="s">
        <v>191</v>
      </c>
      <c r="D144" s="55"/>
      <c r="E144" s="56"/>
      <c r="F144" s="55"/>
      <c r="G144" s="57" t="s">
        <v>37</v>
      </c>
      <c r="H144" s="57" t="s">
        <v>39</v>
      </c>
      <c r="I144" s="57"/>
      <c r="J144" s="57"/>
      <c r="K144" s="57"/>
      <c r="L144" s="57"/>
      <c r="M144" s="57"/>
      <c r="N144" s="57" t="s">
        <v>433</v>
      </c>
      <c r="O144" s="57" t="s">
        <v>59</v>
      </c>
      <c r="P144" s="57"/>
      <c r="Q144" s="57"/>
      <c r="R144" s="57"/>
      <c r="S144" s="57"/>
      <c r="T144" s="57"/>
      <c r="U144" s="57"/>
      <c r="V144" s="57"/>
      <c r="W144" s="57"/>
      <c r="X144" s="57"/>
      <c r="Y144" s="57"/>
      <c r="Z144" s="57"/>
      <c r="AA144" s="57"/>
      <c r="AB144" s="57" t="s">
        <v>434</v>
      </c>
      <c r="AC144" s="57"/>
      <c r="AD144" s="57"/>
      <c r="AE144" s="57"/>
      <c r="AF144" s="57"/>
      <c r="AG144" s="57"/>
      <c r="AH144" s="57"/>
      <c r="AI144" s="57"/>
      <c r="AJ144" s="57"/>
      <c r="AK144" s="57"/>
      <c r="AL144" s="57"/>
      <c r="AM144" s="57"/>
      <c r="AN144" s="57"/>
      <c r="AO144" s="57"/>
      <c r="AP144" s="57"/>
      <c r="AQ144" s="57"/>
      <c r="AR144" s="71" t="s">
        <v>59</v>
      </c>
      <c r="AS144" s="71" t="s">
        <v>59</v>
      </c>
    </row>
    <row r="145" spans="1:45" ht="15" customHeight="1">
      <c r="A145" s="55" t="s">
        <v>435</v>
      </c>
      <c r="B145" s="55">
        <v>4509289057</v>
      </c>
      <c r="C145" s="55"/>
      <c r="D145" s="55"/>
      <c r="E145" s="56"/>
      <c r="F145" s="55"/>
      <c r="G145" s="57" t="s">
        <v>37</v>
      </c>
      <c r="H145" s="57"/>
      <c r="I145" s="57" t="s">
        <v>39</v>
      </c>
      <c r="J145" s="57"/>
      <c r="K145" s="57"/>
      <c r="L145" s="57"/>
      <c r="M145" s="57"/>
      <c r="N145" s="57" t="s">
        <v>436</v>
      </c>
      <c r="O145" s="57" t="s">
        <v>59</v>
      </c>
      <c r="P145" s="57"/>
      <c r="Q145" s="57" t="s">
        <v>60</v>
      </c>
      <c r="R145" s="57" t="s">
        <v>195</v>
      </c>
      <c r="S145" s="57" t="s">
        <v>113</v>
      </c>
      <c r="T145" s="57" t="s">
        <v>70</v>
      </c>
      <c r="U145" s="57" t="s">
        <v>88</v>
      </c>
      <c r="V145" s="57"/>
      <c r="W145" s="57"/>
      <c r="X145" s="57"/>
      <c r="Y145" s="57"/>
      <c r="Z145" s="57"/>
      <c r="AA145" s="57"/>
      <c r="AB145" s="57"/>
      <c r="AC145" s="57" t="s">
        <v>214</v>
      </c>
      <c r="AD145" s="57"/>
      <c r="AE145" s="57"/>
      <c r="AF145" s="57" t="s">
        <v>214</v>
      </c>
      <c r="AG145" s="57"/>
      <c r="AH145" s="57"/>
      <c r="AI145" s="57"/>
      <c r="AJ145" s="57" t="s">
        <v>60</v>
      </c>
      <c r="AK145" s="57" t="s">
        <v>195</v>
      </c>
      <c r="AL145" s="57"/>
      <c r="AM145" s="57"/>
      <c r="AN145" s="57"/>
      <c r="AO145" s="57" t="s">
        <v>59</v>
      </c>
      <c r="AP145" s="57" t="s">
        <v>59</v>
      </c>
      <c r="AQ145" s="57"/>
      <c r="AR145" s="71" t="s">
        <v>59</v>
      </c>
      <c r="AS145" s="71" t="s">
        <v>59</v>
      </c>
    </row>
    <row r="146" spans="1:45" ht="15" customHeight="1">
      <c r="A146" s="55" t="s">
        <v>437</v>
      </c>
      <c r="B146" s="55">
        <v>6220720865</v>
      </c>
      <c r="C146" s="55" t="s">
        <v>191</v>
      </c>
      <c r="D146" s="55"/>
      <c r="E146" s="56"/>
      <c r="F146" s="55"/>
      <c r="G146" s="57" t="s">
        <v>37</v>
      </c>
      <c r="H146" s="57"/>
      <c r="I146" s="57" t="s">
        <v>39</v>
      </c>
      <c r="J146" s="57"/>
      <c r="K146" s="57"/>
      <c r="L146" s="57"/>
      <c r="M146" s="57"/>
      <c r="N146" s="57" t="s">
        <v>345</v>
      </c>
      <c r="O146" s="57" t="s">
        <v>59</v>
      </c>
      <c r="P146" s="57"/>
      <c r="Q146" s="57"/>
      <c r="R146" s="57"/>
      <c r="S146" s="57"/>
      <c r="T146" s="57"/>
      <c r="U146" s="57"/>
      <c r="V146" s="57"/>
      <c r="W146" s="57"/>
      <c r="X146" s="57"/>
      <c r="Y146" s="57"/>
      <c r="Z146" s="57"/>
      <c r="AA146" s="57"/>
      <c r="AB146" s="57" t="s">
        <v>268</v>
      </c>
      <c r="AC146" s="57"/>
      <c r="AD146" s="57"/>
      <c r="AE146" s="57"/>
      <c r="AF146" s="57"/>
      <c r="AG146" s="57"/>
      <c r="AH146" s="57"/>
      <c r="AI146" s="57"/>
      <c r="AJ146" s="57"/>
      <c r="AK146" s="57"/>
      <c r="AL146" s="57"/>
      <c r="AM146" s="57"/>
      <c r="AN146" s="57"/>
      <c r="AO146" s="57"/>
      <c r="AP146" s="57"/>
      <c r="AQ146" s="57"/>
      <c r="AR146" s="71" t="s">
        <v>59</v>
      </c>
      <c r="AS146" s="71" t="s">
        <v>59</v>
      </c>
    </row>
    <row r="147" spans="1:45" ht="15" customHeight="1">
      <c r="A147" s="55" t="s">
        <v>438</v>
      </c>
      <c r="B147" s="55">
        <v>4382315034</v>
      </c>
      <c r="C147" s="55"/>
      <c r="D147" s="55"/>
      <c r="E147" s="56"/>
      <c r="F147" s="55"/>
      <c r="G147" s="57" t="s">
        <v>37</v>
      </c>
      <c r="H147" s="57" t="s">
        <v>39</v>
      </c>
      <c r="I147" s="57"/>
      <c r="J147" s="57"/>
      <c r="K147" s="57"/>
      <c r="L147" s="57"/>
      <c r="M147" s="57"/>
      <c r="N147" s="57" t="s">
        <v>439</v>
      </c>
      <c r="O147" s="57" t="s">
        <v>59</v>
      </c>
      <c r="P147" s="57"/>
      <c r="Q147" s="57" t="s">
        <v>440</v>
      </c>
      <c r="R147" s="57" t="s">
        <v>441</v>
      </c>
      <c r="S147" s="57" t="s">
        <v>442</v>
      </c>
      <c r="T147" s="57" t="s">
        <v>443</v>
      </c>
      <c r="U147" s="57"/>
      <c r="V147" s="57" t="s">
        <v>444</v>
      </c>
      <c r="W147" s="57" t="s">
        <v>445</v>
      </c>
      <c r="X147" s="57"/>
      <c r="Y147" s="57"/>
      <c r="Z147" s="57"/>
      <c r="AA147" s="57" t="s">
        <v>446</v>
      </c>
      <c r="AB147" s="57" t="s">
        <v>447</v>
      </c>
      <c r="AC147" s="57" t="s">
        <v>448</v>
      </c>
      <c r="AD147" s="57"/>
      <c r="AE147" s="57"/>
      <c r="AF147" s="57" t="s">
        <v>448</v>
      </c>
      <c r="AG147" s="57"/>
      <c r="AH147" s="57"/>
      <c r="AI147" s="57"/>
      <c r="AJ147" s="57" t="s">
        <v>440</v>
      </c>
      <c r="AK147" s="57"/>
      <c r="AL147" s="57" t="s">
        <v>444</v>
      </c>
      <c r="AM147" s="57"/>
      <c r="AN147" s="57"/>
      <c r="AO147" s="57" t="s">
        <v>59</v>
      </c>
      <c r="AP147" s="57" t="s">
        <v>59</v>
      </c>
      <c r="AQ147" s="57"/>
      <c r="AR147" s="71" t="s">
        <v>59</v>
      </c>
      <c r="AS147" s="71" t="s">
        <v>59</v>
      </c>
    </row>
    <row r="149" spans="1:45" ht="15" customHeight="1">
      <c r="A149" s="39">
        <f>COUNTA(A8:A147)</f>
        <v>140</v>
      </c>
      <c r="B149" s="39">
        <f t="shared" ref="B149:AS149" si="0">COUNTA(B8:B147)</f>
        <v>140</v>
      </c>
      <c r="C149" s="39">
        <f t="shared" si="0"/>
        <v>41</v>
      </c>
      <c r="D149" s="39">
        <f t="shared" si="0"/>
        <v>0</v>
      </c>
      <c r="E149" s="39">
        <f t="shared" si="0"/>
        <v>0</v>
      </c>
      <c r="F149" s="39">
        <f t="shared" si="0"/>
        <v>0</v>
      </c>
      <c r="G149" s="39">
        <f t="shared" si="0"/>
        <v>43</v>
      </c>
      <c r="H149" s="39">
        <f t="shared" si="0"/>
        <v>4</v>
      </c>
      <c r="I149" s="39">
        <f t="shared" si="0"/>
        <v>22</v>
      </c>
      <c r="J149" s="39">
        <f t="shared" si="0"/>
        <v>16</v>
      </c>
      <c r="K149" s="39">
        <f t="shared" si="0"/>
        <v>12</v>
      </c>
      <c r="L149" s="39">
        <f t="shared" si="0"/>
        <v>4</v>
      </c>
      <c r="M149" s="39">
        <f t="shared" si="0"/>
        <v>0</v>
      </c>
      <c r="N149" s="39">
        <f t="shared" si="0"/>
        <v>44</v>
      </c>
      <c r="O149" s="39">
        <f t="shared" si="0"/>
        <v>43</v>
      </c>
      <c r="P149" s="39">
        <f t="shared" si="0"/>
        <v>3</v>
      </c>
      <c r="Q149" s="39">
        <f t="shared" si="0"/>
        <v>66</v>
      </c>
      <c r="R149" s="39">
        <f t="shared" si="0"/>
        <v>53</v>
      </c>
      <c r="S149" s="39">
        <f t="shared" si="0"/>
        <v>34</v>
      </c>
      <c r="T149" s="39">
        <f t="shared" si="0"/>
        <v>20</v>
      </c>
      <c r="U149" s="39">
        <f t="shared" si="0"/>
        <v>12</v>
      </c>
      <c r="V149" s="39">
        <f t="shared" si="0"/>
        <v>15</v>
      </c>
      <c r="W149" s="39">
        <f t="shared" si="0"/>
        <v>9</v>
      </c>
      <c r="X149" s="39">
        <f t="shared" si="0"/>
        <v>4</v>
      </c>
      <c r="Y149" s="39">
        <f t="shared" si="0"/>
        <v>2</v>
      </c>
      <c r="Z149" s="39">
        <f t="shared" si="0"/>
        <v>2</v>
      </c>
      <c r="AA149" s="39">
        <f t="shared" si="0"/>
        <v>36</v>
      </c>
      <c r="AB149" s="39">
        <f t="shared" si="0"/>
        <v>45</v>
      </c>
      <c r="AC149" s="39">
        <f t="shared" si="0"/>
        <v>84</v>
      </c>
      <c r="AD149" s="39">
        <f t="shared" si="0"/>
        <v>0</v>
      </c>
      <c r="AE149" s="39">
        <f t="shared" si="0"/>
        <v>0</v>
      </c>
      <c r="AF149" s="39">
        <f t="shared" si="0"/>
        <v>66</v>
      </c>
      <c r="AG149" s="39">
        <f t="shared" si="0"/>
        <v>7</v>
      </c>
      <c r="AH149" s="39">
        <f t="shared" si="0"/>
        <v>1</v>
      </c>
      <c r="AI149" s="39">
        <f t="shared" si="0"/>
        <v>1</v>
      </c>
      <c r="AJ149" s="39">
        <f t="shared" si="0"/>
        <v>63</v>
      </c>
      <c r="AK149" s="39">
        <f t="shared" si="0"/>
        <v>34</v>
      </c>
      <c r="AL149" s="39">
        <f t="shared" si="0"/>
        <v>15</v>
      </c>
      <c r="AM149" s="39">
        <f t="shared" si="0"/>
        <v>0</v>
      </c>
      <c r="AN149" s="39">
        <f t="shared" si="0"/>
        <v>0</v>
      </c>
      <c r="AO149" s="39">
        <f t="shared" si="0"/>
        <v>63</v>
      </c>
      <c r="AP149" s="39">
        <f t="shared" si="0"/>
        <v>63</v>
      </c>
      <c r="AQ149" s="39">
        <f t="shared" si="0"/>
        <v>0</v>
      </c>
      <c r="AR149" s="88">
        <f t="shared" si="0"/>
        <v>94</v>
      </c>
      <c r="AS149" s="88">
        <f t="shared" si="0"/>
        <v>109</v>
      </c>
    </row>
  </sheetData>
  <sortState xmlns:xlrd2="http://schemas.microsoft.com/office/spreadsheetml/2017/richdata2" ref="A8:AS147">
    <sortCondition ref="A8:A147"/>
  </sortState>
  <mergeCells count="1">
    <mergeCell ref="AF1:AQ1"/>
  </mergeCells>
  <conditionalFormatting sqref="A6:B1048576 A1:B3">
    <cfRule type="duplicateValues" dxfId="60" priority="1"/>
  </conditionalFormatting>
  <printOptions gridLines="1"/>
  <pageMargins left="0.7" right="0.7" top="0.75" bottom="0.75" header="0.3" footer="0.3"/>
  <pageSetup paperSize="9" fitToWidth="0" fitToHeight="0"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1D752-B761-41DA-8A7C-1FB613D9C16A}">
  <dimension ref="A1:J44"/>
  <sheetViews>
    <sheetView topLeftCell="A28" workbookViewId="0">
      <selection activeCell="J16" sqref="J16"/>
    </sheetView>
  </sheetViews>
  <sheetFormatPr defaultRowHeight="15.75"/>
  <cols>
    <col min="1" max="1" width="9" style="83"/>
    <col min="2" max="2" width="12.875" style="83" customWidth="1"/>
    <col min="3" max="8" width="9" style="83"/>
    <col min="9" max="9" width="22.625" style="83" customWidth="1"/>
    <col min="10" max="10" width="35.125" style="83" customWidth="1"/>
    <col min="11" max="16384" width="9" style="83"/>
  </cols>
  <sheetData>
    <row r="1" spans="1:9" ht="91.5">
      <c r="A1" s="81" t="s">
        <v>449</v>
      </c>
      <c r="B1" s="81" t="s">
        <v>11</v>
      </c>
      <c r="C1" s="81" t="s">
        <v>450</v>
      </c>
      <c r="D1" s="81" t="s">
        <v>451</v>
      </c>
      <c r="E1" s="81" t="s">
        <v>452</v>
      </c>
      <c r="F1" s="81" t="s">
        <v>453</v>
      </c>
      <c r="G1" s="81" t="s">
        <v>454</v>
      </c>
      <c r="H1" s="2" t="s">
        <v>455</v>
      </c>
      <c r="I1" s="2" t="s">
        <v>456</v>
      </c>
    </row>
    <row r="2" spans="1:9">
      <c r="A2" s="83">
        <v>4</v>
      </c>
      <c r="B2" s="83" t="s">
        <v>457</v>
      </c>
      <c r="C2" s="83">
        <v>63</v>
      </c>
      <c r="D2" s="83">
        <v>63</v>
      </c>
      <c r="E2" s="83">
        <v>0</v>
      </c>
      <c r="F2" s="83">
        <v>63</v>
      </c>
      <c r="G2" s="83" t="s">
        <v>59</v>
      </c>
      <c r="H2" s="83" t="s">
        <v>458</v>
      </c>
      <c r="I2" s="83">
        <v>0</v>
      </c>
    </row>
    <row r="3" spans="1:9">
      <c r="A3" s="83">
        <v>4</v>
      </c>
      <c r="B3" s="83" t="s">
        <v>459</v>
      </c>
      <c r="C3" s="83" t="s">
        <v>460</v>
      </c>
      <c r="D3" s="83">
        <v>19</v>
      </c>
      <c r="E3" s="83">
        <v>0</v>
      </c>
      <c r="F3" s="83">
        <v>19</v>
      </c>
      <c r="G3" s="83" t="s">
        <v>37</v>
      </c>
      <c r="H3" s="83" t="s">
        <v>458</v>
      </c>
      <c r="I3" s="83">
        <v>-2</v>
      </c>
    </row>
    <row r="4" spans="1:9">
      <c r="A4" s="83">
        <v>13</v>
      </c>
      <c r="B4" s="83" t="s">
        <v>459</v>
      </c>
      <c r="C4" s="83" t="s">
        <v>460</v>
      </c>
      <c r="D4" s="83">
        <v>0</v>
      </c>
      <c r="E4" s="83">
        <v>2</v>
      </c>
      <c r="F4" s="83" t="s">
        <v>461</v>
      </c>
      <c r="G4" s="83" t="s">
        <v>59</v>
      </c>
      <c r="H4" s="83" t="s">
        <v>458</v>
      </c>
      <c r="I4" s="83">
        <v>-20</v>
      </c>
    </row>
    <row r="5" spans="1:9">
      <c r="A5" s="83">
        <v>4</v>
      </c>
      <c r="B5" s="83" t="s">
        <v>72</v>
      </c>
      <c r="C5" s="83" t="s">
        <v>462</v>
      </c>
      <c r="D5" s="83">
        <v>1</v>
      </c>
      <c r="E5" s="83">
        <v>0</v>
      </c>
      <c r="F5" s="83">
        <v>1</v>
      </c>
      <c r="G5" s="83" t="s">
        <v>37</v>
      </c>
      <c r="H5" s="83" t="s">
        <v>458</v>
      </c>
      <c r="I5" s="83">
        <v>-3</v>
      </c>
    </row>
    <row r="6" spans="1:9">
      <c r="A6" s="83">
        <v>13</v>
      </c>
      <c r="B6" s="83" t="s">
        <v>72</v>
      </c>
      <c r="C6" s="83" t="s">
        <v>462</v>
      </c>
      <c r="D6" s="83">
        <v>0</v>
      </c>
      <c r="E6" s="83">
        <v>3</v>
      </c>
      <c r="F6" s="83" t="s">
        <v>463</v>
      </c>
      <c r="G6" s="83" t="s">
        <v>59</v>
      </c>
      <c r="H6" s="83" t="s">
        <v>458</v>
      </c>
      <c r="I6" s="83">
        <v>-2</v>
      </c>
    </row>
    <row r="7" spans="1:9">
      <c r="A7" s="83">
        <v>4</v>
      </c>
      <c r="B7" s="83" t="s">
        <v>77</v>
      </c>
      <c r="C7" s="83">
        <v>6</v>
      </c>
      <c r="D7" s="83">
        <v>6</v>
      </c>
      <c r="E7" s="83">
        <v>0</v>
      </c>
      <c r="F7" s="83">
        <v>6</v>
      </c>
      <c r="G7" s="83" t="s">
        <v>59</v>
      </c>
      <c r="H7" s="83" t="s">
        <v>458</v>
      </c>
      <c r="I7" s="83">
        <v>0</v>
      </c>
    </row>
    <row r="8" spans="1:9">
      <c r="A8" s="83">
        <v>5</v>
      </c>
      <c r="B8" s="83" t="s">
        <v>83</v>
      </c>
      <c r="C8" s="83">
        <v>7</v>
      </c>
      <c r="D8" s="83">
        <v>7</v>
      </c>
      <c r="E8" s="83">
        <v>0</v>
      </c>
      <c r="F8" s="83">
        <v>7</v>
      </c>
      <c r="G8" s="83" t="s">
        <v>59</v>
      </c>
      <c r="H8" s="83" t="s">
        <v>458</v>
      </c>
      <c r="I8" s="83">
        <v>0</v>
      </c>
    </row>
    <row r="9" spans="1:9">
      <c r="A9" s="83">
        <v>4</v>
      </c>
      <c r="B9" s="83" t="s">
        <v>85</v>
      </c>
      <c r="C9" s="83">
        <v>22</v>
      </c>
      <c r="D9" s="83">
        <v>22</v>
      </c>
      <c r="E9" s="83">
        <v>0</v>
      </c>
      <c r="F9" s="83">
        <v>21</v>
      </c>
      <c r="G9" s="83" t="s">
        <v>59</v>
      </c>
      <c r="H9" s="83" t="s">
        <v>458</v>
      </c>
      <c r="I9" s="83">
        <v>0</v>
      </c>
    </row>
    <row r="10" spans="1:9">
      <c r="A10" s="83">
        <v>4</v>
      </c>
      <c r="B10" s="83" t="s">
        <v>464</v>
      </c>
      <c r="C10" s="83">
        <v>12</v>
      </c>
      <c r="D10" s="83">
        <v>12</v>
      </c>
      <c r="E10" s="83">
        <v>0</v>
      </c>
      <c r="F10" s="83">
        <v>12</v>
      </c>
      <c r="G10" s="83" t="s">
        <v>59</v>
      </c>
      <c r="H10" s="83" t="s">
        <v>458</v>
      </c>
      <c r="I10" s="83">
        <v>0</v>
      </c>
    </row>
    <row r="11" spans="1:9">
      <c r="A11" s="83">
        <v>4</v>
      </c>
      <c r="B11" s="83" t="s">
        <v>90</v>
      </c>
      <c r="C11" s="83">
        <v>16</v>
      </c>
      <c r="D11" s="83">
        <v>16</v>
      </c>
      <c r="E11" s="83">
        <v>0</v>
      </c>
      <c r="F11" s="83">
        <v>16</v>
      </c>
      <c r="G11" s="83" t="s">
        <v>59</v>
      </c>
      <c r="H11" s="83" t="s">
        <v>458</v>
      </c>
      <c r="I11" s="83">
        <v>0</v>
      </c>
    </row>
    <row r="12" spans="1:9">
      <c r="A12" s="83">
        <v>5</v>
      </c>
      <c r="B12" s="83" t="s">
        <v>94</v>
      </c>
      <c r="C12" s="83" t="s">
        <v>465</v>
      </c>
      <c r="D12" s="83">
        <v>20</v>
      </c>
      <c r="E12" s="83">
        <v>0</v>
      </c>
      <c r="F12" s="83">
        <v>20</v>
      </c>
      <c r="G12" s="83" t="s">
        <v>59</v>
      </c>
      <c r="H12" s="83" t="s">
        <v>458</v>
      </c>
      <c r="I12" s="83">
        <v>-3</v>
      </c>
    </row>
    <row r="13" spans="1:9">
      <c r="A13" s="83">
        <v>13</v>
      </c>
      <c r="B13" s="83" t="s">
        <v>94</v>
      </c>
      <c r="C13" s="83" t="s">
        <v>465</v>
      </c>
      <c r="D13" s="83">
        <v>0</v>
      </c>
      <c r="E13" s="83">
        <v>3</v>
      </c>
      <c r="F13" s="83" t="s">
        <v>463</v>
      </c>
      <c r="G13" s="83" t="s">
        <v>59</v>
      </c>
      <c r="H13" s="83" t="s">
        <v>458</v>
      </c>
      <c r="I13" s="83">
        <v>-20</v>
      </c>
    </row>
    <row r="14" spans="1:9">
      <c r="A14" s="83">
        <v>5</v>
      </c>
      <c r="B14" s="83" t="s">
        <v>105</v>
      </c>
      <c r="C14" s="83">
        <v>11</v>
      </c>
      <c r="D14" s="83">
        <v>11</v>
      </c>
      <c r="E14" s="83">
        <v>0</v>
      </c>
      <c r="F14" s="83">
        <v>11</v>
      </c>
      <c r="G14" s="83" t="s">
        <v>59</v>
      </c>
      <c r="H14" s="83" t="s">
        <v>458</v>
      </c>
      <c r="I14" s="83">
        <v>0</v>
      </c>
    </row>
    <row r="15" spans="1:9">
      <c r="A15" s="83">
        <v>5</v>
      </c>
      <c r="B15" s="83" t="s">
        <v>466</v>
      </c>
      <c r="C15" s="83" t="s">
        <v>467</v>
      </c>
      <c r="D15" s="83">
        <v>14</v>
      </c>
      <c r="E15" s="83">
        <v>0</v>
      </c>
      <c r="F15" s="83">
        <v>14</v>
      </c>
      <c r="G15" s="83" t="s">
        <v>59</v>
      </c>
      <c r="H15" s="83" t="s">
        <v>458</v>
      </c>
      <c r="I15" s="83">
        <v>-3</v>
      </c>
    </row>
    <row r="16" spans="1:9">
      <c r="A16" s="83">
        <v>13</v>
      </c>
      <c r="B16" s="83" t="s">
        <v>466</v>
      </c>
      <c r="C16" s="83" t="s">
        <v>467</v>
      </c>
      <c r="D16" s="83">
        <v>0</v>
      </c>
      <c r="E16" s="83">
        <v>3</v>
      </c>
      <c r="F16" s="83" t="s">
        <v>463</v>
      </c>
      <c r="G16" s="83" t="s">
        <v>59</v>
      </c>
      <c r="H16" s="83" t="s">
        <v>458</v>
      </c>
      <c r="I16" s="83">
        <v>-14</v>
      </c>
    </row>
    <row r="17" spans="1:9">
      <c r="A17" s="83">
        <v>5</v>
      </c>
      <c r="B17" s="83" t="s">
        <v>468</v>
      </c>
      <c r="C17" s="83">
        <v>0</v>
      </c>
      <c r="D17" s="83">
        <v>40</v>
      </c>
      <c r="E17" s="83">
        <v>0</v>
      </c>
      <c r="F17" s="83">
        <v>40</v>
      </c>
      <c r="G17" s="83" t="s">
        <v>59</v>
      </c>
      <c r="H17" s="83" t="s">
        <v>458</v>
      </c>
      <c r="I17" s="83">
        <v>0</v>
      </c>
    </row>
    <row r="18" spans="1:9">
      <c r="A18" s="83">
        <v>5</v>
      </c>
      <c r="B18" s="83" t="s">
        <v>469</v>
      </c>
      <c r="C18" s="83">
        <v>0</v>
      </c>
      <c r="D18" s="83">
        <v>9</v>
      </c>
      <c r="E18" s="83">
        <v>0</v>
      </c>
      <c r="F18" s="83">
        <v>9</v>
      </c>
      <c r="G18" s="83" t="s">
        <v>59</v>
      </c>
      <c r="H18" s="83" t="s">
        <v>458</v>
      </c>
      <c r="I18" s="83">
        <v>0</v>
      </c>
    </row>
    <row r="19" spans="1:9">
      <c r="A19" s="83">
        <v>5</v>
      </c>
      <c r="B19" s="83" t="s">
        <v>470</v>
      </c>
      <c r="C19" s="83">
        <v>0</v>
      </c>
      <c r="D19" s="83">
        <v>15</v>
      </c>
      <c r="E19" s="83">
        <v>0</v>
      </c>
      <c r="F19" s="83">
        <v>15</v>
      </c>
      <c r="G19" s="83" t="s">
        <v>59</v>
      </c>
      <c r="H19" s="83" t="s">
        <v>458</v>
      </c>
      <c r="I19" s="83">
        <v>0</v>
      </c>
    </row>
    <row r="20" spans="1:9">
      <c r="A20" s="83">
        <v>5</v>
      </c>
      <c r="B20" s="83" t="s">
        <v>471</v>
      </c>
      <c r="C20" s="83">
        <v>0</v>
      </c>
      <c r="D20" s="83">
        <v>7</v>
      </c>
      <c r="E20" s="83">
        <v>0</v>
      </c>
      <c r="F20" s="83">
        <v>7</v>
      </c>
      <c r="G20" s="83" t="s">
        <v>59</v>
      </c>
      <c r="H20" s="83" t="s">
        <v>458</v>
      </c>
      <c r="I20" s="83">
        <v>0</v>
      </c>
    </row>
    <row r="21" spans="1:9">
      <c r="A21" s="83">
        <v>5</v>
      </c>
      <c r="B21" s="83" t="s">
        <v>124</v>
      </c>
      <c r="C21" s="83">
        <v>0</v>
      </c>
      <c r="D21" s="83">
        <v>2</v>
      </c>
      <c r="E21" s="83">
        <v>0</v>
      </c>
      <c r="F21" s="83">
        <v>2</v>
      </c>
      <c r="G21" s="83" t="s">
        <v>59</v>
      </c>
      <c r="H21" s="83" t="s">
        <v>458</v>
      </c>
      <c r="I21" s="83">
        <v>0</v>
      </c>
    </row>
    <row r="22" spans="1:9">
      <c r="A22" s="83">
        <v>5</v>
      </c>
      <c r="B22" s="83" t="s">
        <v>472</v>
      </c>
      <c r="C22" s="83">
        <v>0</v>
      </c>
      <c r="D22" s="83">
        <v>1</v>
      </c>
      <c r="E22" s="83">
        <v>0</v>
      </c>
      <c r="F22" s="83">
        <v>1</v>
      </c>
      <c r="G22" s="83" t="s">
        <v>59</v>
      </c>
      <c r="H22" s="83" t="s">
        <v>458</v>
      </c>
      <c r="I22" s="83">
        <v>0</v>
      </c>
    </row>
    <row r="23" spans="1:9">
      <c r="A23" s="83">
        <v>5</v>
      </c>
      <c r="B23" s="83" t="s">
        <v>473</v>
      </c>
      <c r="C23" s="83">
        <v>0</v>
      </c>
      <c r="D23" s="83">
        <v>22</v>
      </c>
      <c r="E23" s="83">
        <v>0</v>
      </c>
      <c r="F23" s="83">
        <v>22</v>
      </c>
      <c r="G23" s="83" t="s">
        <v>59</v>
      </c>
      <c r="H23" s="83" t="s">
        <v>458</v>
      </c>
      <c r="I23" s="83">
        <v>0</v>
      </c>
    </row>
    <row r="24" spans="1:9">
      <c r="A24" s="83">
        <v>5</v>
      </c>
      <c r="B24" s="83" t="s">
        <v>125</v>
      </c>
      <c r="C24" s="83">
        <v>0</v>
      </c>
      <c r="D24" s="83">
        <v>29</v>
      </c>
      <c r="E24" s="83">
        <v>0</v>
      </c>
      <c r="F24" s="83">
        <v>29</v>
      </c>
      <c r="G24" s="83" t="s">
        <v>59</v>
      </c>
      <c r="H24" s="83" t="s">
        <v>458</v>
      </c>
      <c r="I24" s="83">
        <v>0</v>
      </c>
    </row>
    <row r="25" spans="1:9">
      <c r="A25" s="83">
        <v>5</v>
      </c>
      <c r="B25" s="83" t="s">
        <v>474</v>
      </c>
      <c r="C25" s="83">
        <v>0</v>
      </c>
      <c r="D25" s="83">
        <v>17</v>
      </c>
      <c r="E25" s="83">
        <v>0</v>
      </c>
      <c r="F25" s="83">
        <v>17</v>
      </c>
      <c r="G25" s="83" t="s">
        <v>59</v>
      </c>
      <c r="H25" s="83" t="s">
        <v>458</v>
      </c>
      <c r="I25" s="83">
        <v>0</v>
      </c>
    </row>
    <row r="26" spans="1:9">
      <c r="A26" s="83">
        <v>5</v>
      </c>
      <c r="B26" s="83" t="s">
        <v>133</v>
      </c>
      <c r="C26" s="83">
        <v>0</v>
      </c>
      <c r="D26" s="83">
        <v>27</v>
      </c>
      <c r="E26" s="83">
        <v>0</v>
      </c>
      <c r="F26" s="83">
        <v>27</v>
      </c>
      <c r="G26" s="83" t="s">
        <v>59</v>
      </c>
      <c r="H26" s="83" t="s">
        <v>458</v>
      </c>
      <c r="I26" s="83">
        <v>0</v>
      </c>
    </row>
    <row r="27" spans="1:9">
      <c r="A27" s="83">
        <v>5</v>
      </c>
      <c r="B27" s="83" t="s">
        <v>475</v>
      </c>
      <c r="C27" s="83">
        <v>0</v>
      </c>
      <c r="D27" s="83">
        <v>10</v>
      </c>
      <c r="E27" s="83">
        <v>0</v>
      </c>
      <c r="F27" s="83">
        <v>10</v>
      </c>
      <c r="G27" s="83" t="s">
        <v>59</v>
      </c>
      <c r="H27" s="83" t="s">
        <v>458</v>
      </c>
      <c r="I27" s="83">
        <v>0</v>
      </c>
    </row>
    <row r="28" spans="1:9">
      <c r="A28" s="83">
        <v>5</v>
      </c>
      <c r="B28" s="83" t="s">
        <v>476</v>
      </c>
      <c r="C28" s="83">
        <v>0</v>
      </c>
      <c r="D28" s="83">
        <v>6</v>
      </c>
      <c r="E28" s="83">
        <v>0</v>
      </c>
      <c r="F28" s="83">
        <v>6</v>
      </c>
      <c r="G28" s="83" t="s">
        <v>59</v>
      </c>
      <c r="H28" s="83" t="s">
        <v>458</v>
      </c>
      <c r="I28" s="83">
        <v>0</v>
      </c>
    </row>
    <row r="29" spans="1:9">
      <c r="A29" s="83">
        <v>5</v>
      </c>
      <c r="B29" s="83" t="s">
        <v>477</v>
      </c>
      <c r="C29" s="83">
        <v>0</v>
      </c>
      <c r="D29" s="83">
        <v>25</v>
      </c>
      <c r="E29" s="83">
        <v>0</v>
      </c>
      <c r="F29" s="83">
        <v>25</v>
      </c>
      <c r="G29" s="83" t="s">
        <v>59</v>
      </c>
      <c r="H29" s="83" t="s">
        <v>458</v>
      </c>
      <c r="I29" s="83">
        <v>0</v>
      </c>
    </row>
    <row r="30" spans="1:9">
      <c r="A30" s="83">
        <v>5</v>
      </c>
      <c r="B30" s="83" t="s">
        <v>138</v>
      </c>
      <c r="C30" s="83">
        <v>0</v>
      </c>
      <c r="D30" s="83">
        <v>33</v>
      </c>
      <c r="E30" s="83">
        <v>0</v>
      </c>
      <c r="F30" s="83">
        <v>33</v>
      </c>
      <c r="G30" s="83" t="s">
        <v>59</v>
      </c>
      <c r="H30" s="83" t="s">
        <v>458</v>
      </c>
      <c r="I30" s="83">
        <v>0</v>
      </c>
    </row>
    <row r="31" spans="1:9">
      <c r="A31" s="83">
        <v>13</v>
      </c>
      <c r="B31" s="83" t="s">
        <v>138</v>
      </c>
      <c r="C31" s="83" t="s">
        <v>478</v>
      </c>
      <c r="D31" s="83">
        <v>0</v>
      </c>
      <c r="E31" s="83">
        <v>2</v>
      </c>
      <c r="F31" s="83" t="s">
        <v>461</v>
      </c>
      <c r="G31" s="83" t="s">
        <v>59</v>
      </c>
      <c r="H31" s="83" t="s">
        <v>458</v>
      </c>
      <c r="I31" s="83" t="s">
        <v>479</v>
      </c>
    </row>
    <row r="32" spans="1:9">
      <c r="A32" s="83">
        <v>5</v>
      </c>
      <c r="B32" s="83" t="s">
        <v>147</v>
      </c>
      <c r="C32" s="83">
        <v>0</v>
      </c>
      <c r="D32" s="83">
        <v>3</v>
      </c>
      <c r="E32" s="83">
        <v>0</v>
      </c>
      <c r="F32" s="83">
        <v>3</v>
      </c>
      <c r="G32" s="83" t="s">
        <v>59</v>
      </c>
      <c r="H32" s="83" t="s">
        <v>458</v>
      </c>
      <c r="I32" s="83">
        <v>0</v>
      </c>
    </row>
    <row r="33" spans="1:10">
      <c r="A33" s="83">
        <v>5</v>
      </c>
      <c r="B33" s="83" t="s">
        <v>480</v>
      </c>
      <c r="C33" s="83">
        <v>0</v>
      </c>
      <c r="D33" s="83">
        <v>35</v>
      </c>
      <c r="E33" s="83">
        <v>0</v>
      </c>
      <c r="F33" s="83">
        <v>35</v>
      </c>
      <c r="G33" s="83" t="s">
        <v>59</v>
      </c>
      <c r="H33" s="83" t="s">
        <v>458</v>
      </c>
      <c r="I33" s="83">
        <v>0</v>
      </c>
    </row>
    <row r="34" spans="1:10">
      <c r="A34" s="83">
        <v>5</v>
      </c>
      <c r="B34" s="83" t="s">
        <v>481</v>
      </c>
      <c r="C34" s="83">
        <v>0</v>
      </c>
      <c r="D34" s="83">
        <v>9</v>
      </c>
      <c r="E34" s="83">
        <v>0</v>
      </c>
      <c r="F34" s="83">
        <v>9</v>
      </c>
      <c r="G34" s="83" t="s">
        <v>59</v>
      </c>
      <c r="H34" s="83" t="s">
        <v>458</v>
      </c>
      <c r="I34" s="83">
        <v>0</v>
      </c>
    </row>
    <row r="35" spans="1:10">
      <c r="A35" s="83">
        <v>5</v>
      </c>
      <c r="B35" s="83" t="s">
        <v>148</v>
      </c>
      <c r="C35" s="83">
        <v>0</v>
      </c>
      <c r="D35" s="83">
        <v>51</v>
      </c>
      <c r="E35" s="83">
        <v>0</v>
      </c>
      <c r="F35" s="83">
        <v>51</v>
      </c>
      <c r="G35" s="83" t="s">
        <v>59</v>
      </c>
      <c r="H35" s="83" t="s">
        <v>458</v>
      </c>
      <c r="I35" s="83">
        <v>0</v>
      </c>
    </row>
    <row r="36" spans="1:10">
      <c r="A36" s="83">
        <v>5</v>
      </c>
      <c r="B36" s="83" t="s">
        <v>482</v>
      </c>
      <c r="C36" s="83">
        <v>0</v>
      </c>
      <c r="D36" s="83">
        <v>15</v>
      </c>
      <c r="E36" s="83">
        <v>0</v>
      </c>
      <c r="F36" s="83">
        <v>15</v>
      </c>
      <c r="G36" s="83" t="s">
        <v>59</v>
      </c>
      <c r="H36" s="83" t="s">
        <v>458</v>
      </c>
      <c r="I36" s="83">
        <v>0</v>
      </c>
    </row>
    <row r="37" spans="1:10">
      <c r="A37" s="83">
        <v>5</v>
      </c>
      <c r="B37" s="83" t="s">
        <v>150</v>
      </c>
      <c r="C37" s="83">
        <v>0</v>
      </c>
      <c r="D37" s="83">
        <v>5</v>
      </c>
      <c r="E37" s="83">
        <v>0</v>
      </c>
      <c r="F37" s="83">
        <v>5</v>
      </c>
      <c r="G37" s="83" t="s">
        <v>59</v>
      </c>
      <c r="H37" s="83" t="s">
        <v>458</v>
      </c>
      <c r="I37" s="83">
        <v>0</v>
      </c>
    </row>
    <row r="38" spans="1:10">
      <c r="A38" s="83">
        <v>5</v>
      </c>
      <c r="B38" s="83" t="s">
        <v>483</v>
      </c>
      <c r="C38" s="83">
        <v>0</v>
      </c>
      <c r="D38" s="83">
        <v>13</v>
      </c>
      <c r="E38" s="83">
        <v>0</v>
      </c>
      <c r="F38" s="83">
        <v>13</v>
      </c>
      <c r="G38" s="83" t="s">
        <v>59</v>
      </c>
      <c r="H38" s="83" t="s">
        <v>458</v>
      </c>
      <c r="I38" s="83">
        <v>0</v>
      </c>
    </row>
    <row r="39" spans="1:10">
      <c r="A39" s="83">
        <v>5</v>
      </c>
      <c r="B39" s="83" t="s">
        <v>484</v>
      </c>
      <c r="C39" s="83">
        <v>0</v>
      </c>
      <c r="D39" s="83">
        <v>17</v>
      </c>
      <c r="E39" s="83">
        <v>0</v>
      </c>
      <c r="F39" s="83">
        <v>17</v>
      </c>
      <c r="G39" s="83" t="s">
        <v>59</v>
      </c>
      <c r="H39" s="83" t="s">
        <v>458</v>
      </c>
      <c r="I39" s="83">
        <v>0</v>
      </c>
    </row>
    <row r="43" spans="1:10">
      <c r="H43" s="82"/>
      <c r="I43" s="82" t="s">
        <v>485</v>
      </c>
      <c r="J43" s="82"/>
    </row>
    <row r="44" spans="1:10">
      <c r="H44" s="82"/>
      <c r="I44" s="82" t="s">
        <v>486</v>
      </c>
      <c r="J44" s="82"/>
    </row>
  </sheetData>
  <sortState xmlns:xlrd2="http://schemas.microsoft.com/office/spreadsheetml/2017/richdata2" ref="A2:I41">
    <sortCondition ref="B2:B41"/>
  </sortState>
  <conditionalFormatting sqref="B1:C1">
    <cfRule type="duplicateValues" dxfId="11" priority="1"/>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4AFB-7DDB-44B4-9E66-1D67C5996C14}">
  <dimension ref="A1:I2"/>
  <sheetViews>
    <sheetView workbookViewId="0">
      <selection activeCell="F6" sqref="F6"/>
    </sheetView>
  </sheetViews>
  <sheetFormatPr defaultRowHeight="15.75"/>
  <cols>
    <col min="1" max="1" width="9" style="83"/>
    <col min="2" max="2" width="11.75" style="83" customWidth="1"/>
    <col min="3" max="16384" width="9" style="83"/>
  </cols>
  <sheetData>
    <row r="1" spans="1:9" ht="87">
      <c r="A1" s="89" t="s">
        <v>449</v>
      </c>
      <c r="B1" s="89" t="s">
        <v>11</v>
      </c>
      <c r="C1" s="89" t="s">
        <v>487</v>
      </c>
      <c r="D1" s="89" t="s">
        <v>488</v>
      </c>
      <c r="E1" s="89" t="s">
        <v>489</v>
      </c>
      <c r="F1" s="89" t="s">
        <v>490</v>
      </c>
      <c r="G1" s="89" t="s">
        <v>454</v>
      </c>
      <c r="H1" s="89" t="s">
        <v>491</v>
      </c>
      <c r="I1" s="89" t="s">
        <v>456</v>
      </c>
    </row>
    <row r="2" spans="1:9">
      <c r="A2" s="83">
        <v>5</v>
      </c>
      <c r="B2" s="83" t="s">
        <v>457</v>
      </c>
      <c r="C2" s="83">
        <v>5</v>
      </c>
      <c r="D2" s="83">
        <v>5</v>
      </c>
      <c r="E2" s="83">
        <v>0</v>
      </c>
      <c r="F2" s="83">
        <v>5</v>
      </c>
      <c r="G2" s="83" t="s">
        <v>37</v>
      </c>
      <c r="H2" s="83" t="s">
        <v>492</v>
      </c>
      <c r="I2" s="83">
        <v>0</v>
      </c>
    </row>
  </sheetData>
  <conditionalFormatting sqref="B1">
    <cfRule type="duplicateValues" dxfId="1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84F8-C55A-44F1-9B70-F7A9F3DDEA23}">
  <dimension ref="A1:F141"/>
  <sheetViews>
    <sheetView workbookViewId="0">
      <selection activeCell="E4" sqref="E4"/>
    </sheetView>
  </sheetViews>
  <sheetFormatPr defaultRowHeight="15.75"/>
  <cols>
    <col min="1" max="1" width="13.5" customWidth="1"/>
    <col min="2" max="2" width="9.5" bestFit="1" customWidth="1"/>
  </cols>
  <sheetData>
    <row r="1" spans="1:6">
      <c r="A1" t="s">
        <v>493</v>
      </c>
      <c r="B1" t="s">
        <v>494</v>
      </c>
      <c r="C1" t="s">
        <v>46</v>
      </c>
      <c r="D1" t="s">
        <v>28</v>
      </c>
      <c r="E1" t="s">
        <v>48</v>
      </c>
      <c r="F1" t="s">
        <v>34</v>
      </c>
    </row>
    <row r="2" spans="1:6" hidden="1">
      <c r="A2" s="78" t="s">
        <v>56</v>
      </c>
      <c r="B2" s="78">
        <v>4382249325</v>
      </c>
      <c r="C2" s="78"/>
      <c r="D2" s="78"/>
      <c r="E2" s="78"/>
      <c r="F2" s="78"/>
    </row>
    <row r="3" spans="1:6" hidden="1">
      <c r="A3" s="78" t="s">
        <v>66</v>
      </c>
      <c r="B3" s="78">
        <v>4382249325</v>
      </c>
      <c r="C3" s="78"/>
      <c r="D3" s="78"/>
      <c r="E3" s="78"/>
      <c r="F3" s="78"/>
    </row>
    <row r="4" spans="1:6">
      <c r="A4" s="78" t="s">
        <v>68</v>
      </c>
      <c r="B4" s="78">
        <v>4944397186</v>
      </c>
      <c r="C4" s="78" t="s">
        <v>60</v>
      </c>
      <c r="D4" s="78"/>
      <c r="E4" s="78"/>
      <c r="F4" s="78"/>
    </row>
    <row r="5" spans="1:6" hidden="1">
      <c r="A5" s="78" t="s">
        <v>72</v>
      </c>
      <c r="B5" s="78">
        <v>4505450120</v>
      </c>
      <c r="C5" s="78"/>
      <c r="D5" s="78"/>
      <c r="E5" s="78"/>
      <c r="F5" s="78"/>
    </row>
    <row r="6" spans="1:6" hidden="1">
      <c r="A6" s="78" t="s">
        <v>77</v>
      </c>
      <c r="B6" s="78">
        <v>4505450120</v>
      </c>
      <c r="C6" s="78"/>
      <c r="D6" s="78"/>
      <c r="E6" s="78"/>
      <c r="F6" s="78"/>
    </row>
    <row r="7" spans="1:6" hidden="1">
      <c r="A7" s="78" t="s">
        <v>80</v>
      </c>
      <c r="B7" s="78">
        <v>4509045417</v>
      </c>
      <c r="C7" s="78"/>
      <c r="D7" s="78"/>
      <c r="E7" s="78"/>
      <c r="F7" s="78"/>
    </row>
    <row r="8" spans="1:6" hidden="1">
      <c r="A8" s="78" t="s">
        <v>83</v>
      </c>
      <c r="B8" s="78">
        <v>6208124514</v>
      </c>
      <c r="C8" s="78"/>
      <c r="D8" s="78"/>
      <c r="E8" s="78"/>
      <c r="F8" s="78"/>
    </row>
    <row r="9" spans="1:6">
      <c r="A9" s="78" t="s">
        <v>85</v>
      </c>
      <c r="B9" s="78">
        <v>4166977504</v>
      </c>
      <c r="C9" s="78" t="s">
        <v>87</v>
      </c>
      <c r="D9" s="78"/>
      <c r="E9" s="78"/>
      <c r="F9" s="78"/>
    </row>
    <row r="10" spans="1:6" hidden="1">
      <c r="A10" s="78" t="s">
        <v>90</v>
      </c>
      <c r="B10" s="78">
        <v>4382249325</v>
      </c>
      <c r="C10" s="78"/>
      <c r="D10" s="78"/>
      <c r="E10" s="78"/>
      <c r="F10" s="78"/>
    </row>
    <row r="11" spans="1:6">
      <c r="A11" s="78" t="s">
        <v>94</v>
      </c>
      <c r="B11" s="78">
        <v>4343237508</v>
      </c>
      <c r="C11" s="78" t="s">
        <v>96</v>
      </c>
      <c r="D11" s="78" t="s">
        <v>97</v>
      </c>
      <c r="E11" s="78"/>
      <c r="F11" s="78"/>
    </row>
    <row r="12" spans="1:6" hidden="1">
      <c r="A12" s="78" t="s">
        <v>99</v>
      </c>
      <c r="B12" s="78">
        <v>4382239311</v>
      </c>
      <c r="C12" s="78"/>
      <c r="D12" s="78"/>
      <c r="E12" s="78"/>
      <c r="F12" s="78"/>
    </row>
    <row r="13" spans="1:6" hidden="1">
      <c r="A13" s="78" t="s">
        <v>105</v>
      </c>
      <c r="B13" s="78">
        <v>4381915666</v>
      </c>
      <c r="C13" s="78"/>
      <c r="D13" s="78"/>
      <c r="E13" s="78"/>
      <c r="F13" s="78"/>
    </row>
    <row r="14" spans="1:6" hidden="1">
      <c r="A14" s="78" t="s">
        <v>109</v>
      </c>
      <c r="B14" s="78">
        <v>4581969433</v>
      </c>
      <c r="C14" s="78"/>
      <c r="D14" s="78"/>
      <c r="E14" s="78"/>
      <c r="F14" s="78"/>
    </row>
    <row r="15" spans="1:6">
      <c r="A15" s="78" t="s">
        <v>112</v>
      </c>
      <c r="B15" s="78">
        <v>4001423189</v>
      </c>
      <c r="C15" s="79" t="s">
        <v>113</v>
      </c>
      <c r="D15" s="78"/>
      <c r="E15" s="78"/>
      <c r="F15" s="78"/>
    </row>
    <row r="16" spans="1:6" hidden="1">
      <c r="A16" s="78" t="s">
        <v>117</v>
      </c>
      <c r="B16" s="78">
        <v>4507689627</v>
      </c>
      <c r="C16" s="78"/>
      <c r="D16" s="78"/>
      <c r="E16" s="78"/>
      <c r="F16" s="78"/>
    </row>
    <row r="17" spans="1:6" hidden="1">
      <c r="A17" s="78" t="s">
        <v>118</v>
      </c>
      <c r="B17" s="78">
        <v>4581350247</v>
      </c>
      <c r="C17" s="78"/>
      <c r="D17" s="78"/>
      <c r="E17" s="78"/>
      <c r="F17" s="78"/>
    </row>
    <row r="18" spans="1:6" hidden="1">
      <c r="A18" s="78" t="s">
        <v>119</v>
      </c>
      <c r="B18" s="78">
        <v>4087331415</v>
      </c>
      <c r="C18" s="78"/>
      <c r="D18" s="78"/>
      <c r="E18" s="78"/>
      <c r="F18" s="78"/>
    </row>
    <row r="19" spans="1:6" hidden="1">
      <c r="A19" s="78" t="s">
        <v>121</v>
      </c>
      <c r="B19" s="78">
        <v>4867005207</v>
      </c>
      <c r="C19" s="78"/>
      <c r="D19" s="78"/>
      <c r="E19" s="78"/>
      <c r="F19" s="78"/>
    </row>
    <row r="20" spans="1:6" hidden="1">
      <c r="A20" s="78" t="s">
        <v>122</v>
      </c>
      <c r="B20" s="78">
        <v>4982321809</v>
      </c>
      <c r="C20" s="78"/>
      <c r="D20" s="78"/>
      <c r="E20" s="78"/>
      <c r="F20" s="78"/>
    </row>
    <row r="21" spans="1:6" hidden="1">
      <c r="A21" s="78" t="s">
        <v>123</v>
      </c>
      <c r="B21" s="78">
        <v>6350548620</v>
      </c>
      <c r="C21" s="78"/>
      <c r="D21" s="78"/>
      <c r="E21" s="78"/>
      <c r="F21" s="78"/>
    </row>
    <row r="22" spans="1:6" hidden="1">
      <c r="A22" s="78" t="s">
        <v>124</v>
      </c>
      <c r="B22" s="78">
        <v>4521134254</v>
      </c>
      <c r="C22" s="78"/>
      <c r="D22" s="78"/>
      <c r="E22" s="78"/>
      <c r="F22" s="78"/>
    </row>
    <row r="23" spans="1:6" hidden="1">
      <c r="A23" s="78" t="s">
        <v>125</v>
      </c>
      <c r="B23" s="78">
        <v>4581502551</v>
      </c>
      <c r="C23" s="78"/>
      <c r="D23" s="78"/>
      <c r="E23" s="78"/>
      <c r="F23" s="78"/>
    </row>
    <row r="24" spans="1:6">
      <c r="A24" s="78" t="s">
        <v>133</v>
      </c>
      <c r="B24" s="78">
        <v>4342827417</v>
      </c>
      <c r="C24" s="79" t="s">
        <v>126</v>
      </c>
      <c r="D24" s="79" t="s">
        <v>134</v>
      </c>
      <c r="E24" s="78"/>
      <c r="F24" s="78"/>
    </row>
    <row r="25" spans="1:6" hidden="1">
      <c r="A25" s="78" t="s">
        <v>136</v>
      </c>
      <c r="B25" s="78">
        <v>6127266688</v>
      </c>
      <c r="C25" s="78"/>
      <c r="D25" s="78"/>
      <c r="E25" s="78"/>
      <c r="F25" s="78"/>
    </row>
    <row r="26" spans="1:6" hidden="1">
      <c r="A26" s="78" t="s">
        <v>137</v>
      </c>
      <c r="B26" s="78">
        <v>4661971981</v>
      </c>
      <c r="C26" s="78"/>
      <c r="D26" s="78"/>
      <c r="E26" s="78"/>
      <c r="F26" s="78"/>
    </row>
    <row r="27" spans="1:6">
      <c r="A27" s="78" t="s">
        <v>138</v>
      </c>
      <c r="B27" s="78">
        <v>4387568356</v>
      </c>
      <c r="C27" s="79" t="s">
        <v>140</v>
      </c>
      <c r="D27" s="78"/>
      <c r="E27" s="79" t="s">
        <v>143</v>
      </c>
      <c r="F27" s="78"/>
    </row>
    <row r="28" spans="1:6" hidden="1">
      <c r="A28" s="78" t="s">
        <v>147</v>
      </c>
      <c r="B28" s="78">
        <v>4382775264</v>
      </c>
      <c r="C28" s="78"/>
      <c r="D28" s="78"/>
      <c r="E28" s="78"/>
      <c r="F28" s="78"/>
    </row>
    <row r="29" spans="1:6" hidden="1">
      <c r="A29" s="78" t="s">
        <v>148</v>
      </c>
      <c r="B29" s="78">
        <v>6042020927</v>
      </c>
      <c r="C29" s="78"/>
      <c r="D29" s="78"/>
      <c r="E29" s="78"/>
      <c r="F29" s="78"/>
    </row>
    <row r="30" spans="1:6" hidden="1">
      <c r="A30" s="78" t="s">
        <v>149</v>
      </c>
      <c r="B30" s="78">
        <v>4381812255</v>
      </c>
      <c r="C30" s="78"/>
      <c r="D30" s="78"/>
      <c r="E30" s="78"/>
      <c r="F30" s="78"/>
    </row>
    <row r="31" spans="1:6" hidden="1">
      <c r="A31" s="78" t="s">
        <v>150</v>
      </c>
      <c r="B31" s="78">
        <v>4582715427</v>
      </c>
      <c r="C31" s="78"/>
      <c r="D31" s="78"/>
      <c r="E31" s="78"/>
      <c r="F31" s="78"/>
    </row>
    <row r="32" spans="1:6" hidden="1">
      <c r="A32" s="78" t="s">
        <v>152</v>
      </c>
      <c r="B32" s="78">
        <v>6180864543</v>
      </c>
      <c r="C32" s="78"/>
      <c r="D32" s="78"/>
      <c r="E32" s="78"/>
      <c r="F32" s="78"/>
    </row>
    <row r="33" spans="1:6" hidden="1">
      <c r="A33" s="78" t="s">
        <v>153</v>
      </c>
      <c r="B33" s="78">
        <v>4520869641</v>
      </c>
      <c r="C33" s="78"/>
      <c r="D33" s="78"/>
      <c r="E33" s="78"/>
      <c r="F33" s="78"/>
    </row>
    <row r="34" spans="1:6" hidden="1">
      <c r="A34" s="78" t="s">
        <v>154</v>
      </c>
      <c r="B34" s="78">
        <v>4520318785</v>
      </c>
      <c r="C34" s="78"/>
      <c r="D34" s="78"/>
      <c r="E34" s="78"/>
      <c r="F34" s="78"/>
    </row>
    <row r="35" spans="1:6">
      <c r="A35" s="78" t="s">
        <v>155</v>
      </c>
      <c r="B35" s="78">
        <v>4382392586</v>
      </c>
      <c r="C35" s="79" t="s">
        <v>62</v>
      </c>
      <c r="D35" s="79" t="s">
        <v>156</v>
      </c>
      <c r="E35" s="78"/>
      <c r="F35" s="78"/>
    </row>
    <row r="36" spans="1:6" hidden="1">
      <c r="A36" s="78" t="s">
        <v>160</v>
      </c>
      <c r="B36" s="78">
        <v>4787147250</v>
      </c>
      <c r="C36" s="78"/>
      <c r="D36" s="78"/>
      <c r="E36" s="78"/>
      <c r="F36" s="78"/>
    </row>
    <row r="37" spans="1:6" hidden="1">
      <c r="A37" s="78" t="s">
        <v>163</v>
      </c>
      <c r="B37" s="78">
        <v>4087259978</v>
      </c>
      <c r="C37" s="78"/>
      <c r="D37" s="78"/>
      <c r="E37" s="78"/>
      <c r="F37" s="78"/>
    </row>
    <row r="38" spans="1:6" hidden="1">
      <c r="A38" s="78" t="s">
        <v>164</v>
      </c>
      <c r="B38" s="78">
        <v>6491041689</v>
      </c>
      <c r="C38" s="78"/>
      <c r="D38" s="78"/>
      <c r="E38" s="78"/>
      <c r="F38" s="78"/>
    </row>
    <row r="39" spans="1:6">
      <c r="A39" s="78" t="s">
        <v>167</v>
      </c>
      <c r="B39" s="78">
        <v>4581969433</v>
      </c>
      <c r="C39" s="79" t="s">
        <v>62</v>
      </c>
      <c r="D39" s="79" t="s">
        <v>126</v>
      </c>
      <c r="E39" s="78"/>
      <c r="F39" s="78"/>
    </row>
    <row r="40" spans="1:6">
      <c r="A40" s="78" t="s">
        <v>170</v>
      </c>
      <c r="B40" s="78">
        <v>4105116347</v>
      </c>
      <c r="C40" s="79" t="s">
        <v>171</v>
      </c>
      <c r="D40" s="79" t="s">
        <v>172</v>
      </c>
      <c r="E40" s="78"/>
      <c r="F40" s="78"/>
    </row>
    <row r="41" spans="1:6" hidden="1">
      <c r="A41" s="78" t="s">
        <v>175</v>
      </c>
      <c r="B41" s="78">
        <v>6311509369</v>
      </c>
      <c r="C41" s="78"/>
      <c r="D41" s="78"/>
      <c r="E41" s="78"/>
      <c r="F41" s="78"/>
    </row>
    <row r="42" spans="1:6">
      <c r="A42" s="78" t="s">
        <v>179</v>
      </c>
      <c r="B42" s="78">
        <v>4607845787</v>
      </c>
      <c r="C42" s="79" t="s">
        <v>87</v>
      </c>
      <c r="D42" s="78"/>
      <c r="E42" s="78"/>
      <c r="F42" s="78"/>
    </row>
    <row r="43" spans="1:6">
      <c r="A43" s="78" t="s">
        <v>180</v>
      </c>
      <c r="B43" s="78">
        <v>4381270088</v>
      </c>
      <c r="C43" s="79" t="s">
        <v>182</v>
      </c>
      <c r="D43" s="78"/>
      <c r="E43" s="78"/>
      <c r="F43" s="78"/>
    </row>
    <row r="44" spans="1:6" hidden="1">
      <c r="A44" s="78" t="s">
        <v>184</v>
      </c>
      <c r="B44" s="78">
        <v>4860610520</v>
      </c>
      <c r="C44" s="78"/>
      <c r="D44" s="78"/>
      <c r="E44" s="78"/>
      <c r="F44" s="78"/>
    </row>
    <row r="45" spans="1:6" hidden="1">
      <c r="A45" s="78" t="s">
        <v>185</v>
      </c>
      <c r="B45" s="78">
        <v>4422465724</v>
      </c>
      <c r="C45" s="78"/>
      <c r="D45" s="78"/>
      <c r="E45" s="78"/>
      <c r="F45" s="78"/>
    </row>
    <row r="46" spans="1:6">
      <c r="A46" s="78" t="s">
        <v>186</v>
      </c>
      <c r="B46" s="78">
        <v>4383954715</v>
      </c>
      <c r="C46" s="79" t="s">
        <v>62</v>
      </c>
      <c r="D46" s="79" t="s">
        <v>156</v>
      </c>
      <c r="E46" s="78"/>
      <c r="F46" s="78"/>
    </row>
    <row r="47" spans="1:6" hidden="1">
      <c r="A47" s="78" t="s">
        <v>187</v>
      </c>
      <c r="B47" s="78">
        <v>4087331415</v>
      </c>
      <c r="C47" s="78"/>
      <c r="D47" s="78"/>
      <c r="E47" s="78"/>
      <c r="F47" s="78"/>
    </row>
    <row r="48" spans="1:6" hidden="1">
      <c r="A48" s="78" t="s">
        <v>190</v>
      </c>
      <c r="B48" s="78">
        <v>4382082870</v>
      </c>
      <c r="C48" s="78"/>
      <c r="D48" s="78"/>
      <c r="E48" s="78"/>
      <c r="F48" s="78"/>
    </row>
    <row r="49" spans="1:6">
      <c r="A49" s="78" t="s">
        <v>192</v>
      </c>
      <c r="B49" s="78">
        <v>4382082870</v>
      </c>
      <c r="C49" s="78" t="s">
        <v>113</v>
      </c>
      <c r="D49" s="78" t="s">
        <v>194</v>
      </c>
      <c r="E49" s="78"/>
      <c r="F49" s="78"/>
    </row>
    <row r="50" spans="1:6">
      <c r="A50" s="78" t="s">
        <v>199</v>
      </c>
      <c r="B50" s="78">
        <v>4002785289</v>
      </c>
      <c r="C50" s="78" t="s">
        <v>128</v>
      </c>
      <c r="D50" s="78" t="s">
        <v>126</v>
      </c>
      <c r="E50" s="78"/>
      <c r="F50" s="78"/>
    </row>
    <row r="51" spans="1:6" hidden="1">
      <c r="A51" s="78" t="s">
        <v>203</v>
      </c>
      <c r="B51" s="78">
        <v>6304415273</v>
      </c>
      <c r="C51" s="78"/>
      <c r="D51" s="78"/>
      <c r="E51" s="78"/>
      <c r="F51" s="78"/>
    </row>
    <row r="52" spans="1:6" hidden="1">
      <c r="A52" s="78" t="s">
        <v>207</v>
      </c>
      <c r="B52" s="78">
        <v>6304415273</v>
      </c>
      <c r="C52" s="78"/>
      <c r="D52" s="78"/>
      <c r="E52" s="78"/>
      <c r="F52" s="78"/>
    </row>
    <row r="53" spans="1:6" hidden="1">
      <c r="A53" s="78" t="s">
        <v>208</v>
      </c>
      <c r="B53" s="78">
        <v>4387805943</v>
      </c>
      <c r="C53" s="78"/>
      <c r="D53" s="78"/>
      <c r="E53" s="78"/>
      <c r="F53" s="78"/>
    </row>
    <row r="54" spans="1:6" hidden="1">
      <c r="A54" s="78" t="s">
        <v>209</v>
      </c>
      <c r="B54" s="78">
        <v>4507847818</v>
      </c>
      <c r="C54" s="78"/>
      <c r="D54" s="78"/>
      <c r="E54" s="78"/>
      <c r="F54" s="78"/>
    </row>
    <row r="55" spans="1:6">
      <c r="A55" s="78" t="s">
        <v>210</v>
      </c>
      <c r="B55" s="78">
        <v>4509013485</v>
      </c>
      <c r="C55" s="79" t="s">
        <v>61</v>
      </c>
      <c r="D55" s="79" t="s">
        <v>96</v>
      </c>
      <c r="E55" s="78"/>
      <c r="F55" s="78"/>
    </row>
    <row r="56" spans="1:6">
      <c r="A56" s="78" t="s">
        <v>213</v>
      </c>
      <c r="B56" s="78">
        <v>6291397250</v>
      </c>
      <c r="C56" s="79" t="s">
        <v>195</v>
      </c>
      <c r="D56" s="79"/>
      <c r="E56" s="78"/>
      <c r="F56" s="78"/>
    </row>
    <row r="57" spans="1:6">
      <c r="A57" s="78" t="s">
        <v>215</v>
      </c>
      <c r="B57" s="78">
        <v>4387817038</v>
      </c>
      <c r="C57" s="79" t="s">
        <v>216</v>
      </c>
      <c r="D57" s="78"/>
      <c r="E57" s="79" t="s">
        <v>61</v>
      </c>
      <c r="F57" s="78"/>
    </row>
    <row r="58" spans="1:6">
      <c r="A58" s="78" t="s">
        <v>220</v>
      </c>
      <c r="B58" s="78">
        <v>4309377955</v>
      </c>
      <c r="C58" s="79" t="s">
        <v>129</v>
      </c>
      <c r="D58" s="78"/>
      <c r="E58" s="78"/>
      <c r="F58" s="78"/>
    </row>
    <row r="59" spans="1:6" hidden="1">
      <c r="A59" s="78" t="s">
        <v>222</v>
      </c>
      <c r="B59" s="78">
        <v>4380897257</v>
      </c>
      <c r="C59" s="78"/>
      <c r="D59" s="78"/>
      <c r="E59" s="78"/>
      <c r="F59" s="78"/>
    </row>
    <row r="60" spans="1:6" hidden="1">
      <c r="A60" s="78" t="s">
        <v>224</v>
      </c>
      <c r="B60" s="78">
        <v>4581551366</v>
      </c>
      <c r="C60" s="78"/>
      <c r="D60" s="78"/>
      <c r="E60" s="78"/>
      <c r="F60" s="78"/>
    </row>
    <row r="61" spans="1:6">
      <c r="A61" s="78" t="s">
        <v>226</v>
      </c>
      <c r="B61" s="78">
        <v>4506190874</v>
      </c>
      <c r="C61" s="79" t="s">
        <v>182</v>
      </c>
      <c r="D61" s="78"/>
      <c r="E61" s="79" t="s">
        <v>227</v>
      </c>
      <c r="F61" s="78"/>
    </row>
    <row r="62" spans="1:6">
      <c r="A62" s="78" t="s">
        <v>229</v>
      </c>
      <c r="B62" s="78">
        <v>7145163411</v>
      </c>
      <c r="C62" s="78" t="s">
        <v>128</v>
      </c>
      <c r="D62" s="78"/>
      <c r="E62" s="78"/>
      <c r="F62" s="78"/>
    </row>
    <row r="63" spans="1:6">
      <c r="A63" s="78" t="s">
        <v>233</v>
      </c>
      <c r="B63" s="78">
        <v>4860855264</v>
      </c>
      <c r="C63" s="79" t="s">
        <v>234</v>
      </c>
      <c r="D63" s="79" t="s">
        <v>216</v>
      </c>
      <c r="E63" s="78"/>
      <c r="F63" s="78"/>
    </row>
    <row r="64" spans="1:6" hidden="1">
      <c r="A64" s="78" t="s">
        <v>237</v>
      </c>
      <c r="B64" s="78">
        <v>7145163411</v>
      </c>
      <c r="C64" s="78"/>
      <c r="D64" s="78"/>
      <c r="E64" s="78"/>
      <c r="F64" s="78"/>
    </row>
    <row r="65" spans="1:6">
      <c r="A65" s="78" t="s">
        <v>241</v>
      </c>
      <c r="B65" s="78">
        <v>4824088720</v>
      </c>
      <c r="C65" s="79" t="s">
        <v>62</v>
      </c>
      <c r="D65" s="79" t="s">
        <v>128</v>
      </c>
      <c r="E65" s="78"/>
      <c r="F65" s="78"/>
    </row>
    <row r="66" spans="1:6" hidden="1">
      <c r="A66" s="78" t="s">
        <v>243</v>
      </c>
      <c r="B66" s="78">
        <v>6402065552</v>
      </c>
      <c r="C66" s="78"/>
      <c r="D66" s="78"/>
      <c r="E66" s="78"/>
      <c r="F66" s="78"/>
    </row>
    <row r="67" spans="1:6" hidden="1">
      <c r="A67" s="78" t="s">
        <v>245</v>
      </c>
      <c r="B67" s="78">
        <v>4087061981</v>
      </c>
      <c r="C67" s="78"/>
      <c r="D67" s="78"/>
      <c r="E67" s="78"/>
      <c r="F67" s="78"/>
    </row>
    <row r="68" spans="1:6">
      <c r="A68" s="78" t="s">
        <v>246</v>
      </c>
      <c r="B68" s="78">
        <v>4109412099</v>
      </c>
      <c r="C68" s="79" t="s">
        <v>144</v>
      </c>
      <c r="D68" s="78"/>
      <c r="E68" s="79" t="s">
        <v>250</v>
      </c>
      <c r="F68" s="78"/>
    </row>
    <row r="69" spans="1:6">
      <c r="A69" s="78" t="s">
        <v>253</v>
      </c>
      <c r="B69" s="78">
        <v>6285941998</v>
      </c>
      <c r="C69" s="79" t="s">
        <v>195</v>
      </c>
      <c r="D69" s="78"/>
      <c r="E69" s="79" t="s">
        <v>151</v>
      </c>
      <c r="F69" s="78"/>
    </row>
    <row r="70" spans="1:6" hidden="1">
      <c r="A70" s="78" t="s">
        <v>257</v>
      </c>
      <c r="B70" s="78">
        <v>4521179584</v>
      </c>
      <c r="C70" s="78"/>
      <c r="D70" s="78"/>
      <c r="E70" s="78"/>
      <c r="F70" s="78"/>
    </row>
    <row r="71" spans="1:6" hidden="1">
      <c r="A71" s="78" t="s">
        <v>258</v>
      </c>
      <c r="B71" s="78">
        <v>4387565616</v>
      </c>
      <c r="C71" s="78"/>
      <c r="D71" s="78"/>
      <c r="E71" s="78"/>
      <c r="F71" s="78"/>
    </row>
    <row r="72" spans="1:6" hidden="1">
      <c r="A72" s="78" t="s">
        <v>259</v>
      </c>
      <c r="B72" s="78">
        <v>4860783352</v>
      </c>
      <c r="C72" s="78"/>
      <c r="D72" s="78"/>
      <c r="E72" s="78"/>
      <c r="F72" s="78"/>
    </row>
    <row r="73" spans="1:6">
      <c r="A73" s="78" t="s">
        <v>260</v>
      </c>
      <c r="B73" s="78">
        <v>4506855388</v>
      </c>
      <c r="C73" s="79" t="s">
        <v>156</v>
      </c>
      <c r="D73" s="79" t="s">
        <v>126</v>
      </c>
      <c r="E73" s="78"/>
      <c r="F73" s="78"/>
    </row>
    <row r="74" spans="1:6">
      <c r="A74" s="78" t="s">
        <v>262</v>
      </c>
      <c r="B74" s="78">
        <v>6291017369</v>
      </c>
      <c r="C74" s="79" t="s">
        <v>263</v>
      </c>
      <c r="D74" s="79"/>
      <c r="E74" s="78"/>
      <c r="F74" s="78"/>
    </row>
    <row r="75" spans="1:6">
      <c r="A75" s="78" t="s">
        <v>266</v>
      </c>
      <c r="B75" s="78">
        <v>4583595557</v>
      </c>
      <c r="C75" s="79" t="s">
        <v>97</v>
      </c>
      <c r="D75" s="79" t="s">
        <v>96</v>
      </c>
      <c r="E75" s="78"/>
      <c r="F75" s="78"/>
    </row>
    <row r="76" spans="1:6" hidden="1">
      <c r="A76" s="78" t="s">
        <v>267</v>
      </c>
      <c r="B76" s="78">
        <v>4860899555</v>
      </c>
      <c r="C76" s="78"/>
      <c r="D76" s="78"/>
      <c r="E76" s="78"/>
      <c r="F76" s="78"/>
    </row>
    <row r="77" spans="1:6">
      <c r="A77" s="78" t="s">
        <v>269</v>
      </c>
      <c r="B77" s="78">
        <v>4861776996</v>
      </c>
      <c r="C77" s="78" t="s">
        <v>70</v>
      </c>
      <c r="D77" s="78" t="s">
        <v>195</v>
      </c>
      <c r="E77" s="78"/>
      <c r="F77" s="78"/>
    </row>
    <row r="78" spans="1:6">
      <c r="A78" s="78" t="s">
        <v>271</v>
      </c>
      <c r="B78" s="78">
        <v>4860895487</v>
      </c>
      <c r="C78" s="79" t="s">
        <v>97</v>
      </c>
      <c r="D78" s="79" t="s">
        <v>96</v>
      </c>
      <c r="E78" s="78"/>
      <c r="F78" s="78"/>
    </row>
    <row r="79" spans="1:6" hidden="1">
      <c r="A79" s="78" t="s">
        <v>273</v>
      </c>
      <c r="B79" s="78">
        <v>4269773782</v>
      </c>
      <c r="C79" s="78"/>
      <c r="D79" s="78"/>
      <c r="E79" s="78"/>
      <c r="F79" s="78"/>
    </row>
    <row r="80" spans="1:6">
      <c r="A80" s="78" t="s">
        <v>275</v>
      </c>
      <c r="B80" s="78">
        <v>6402065552</v>
      </c>
      <c r="C80" s="79" t="s">
        <v>158</v>
      </c>
      <c r="D80" s="79" t="s">
        <v>156</v>
      </c>
      <c r="E80" s="78"/>
      <c r="F80" s="78"/>
    </row>
    <row r="81" spans="1:6">
      <c r="A81" s="78" t="s">
        <v>277</v>
      </c>
      <c r="B81" s="78">
        <v>4387866438</v>
      </c>
      <c r="C81" s="78" t="s">
        <v>255</v>
      </c>
      <c r="D81" s="78"/>
      <c r="E81" s="78"/>
      <c r="F81" s="78"/>
    </row>
    <row r="82" spans="1:6">
      <c r="A82" s="78" t="s">
        <v>282</v>
      </c>
      <c r="B82" s="78">
        <v>4509413769</v>
      </c>
      <c r="C82" s="79" t="s">
        <v>283</v>
      </c>
      <c r="D82" s="79" t="s">
        <v>284</v>
      </c>
      <c r="E82" s="78"/>
      <c r="F82" s="78"/>
    </row>
    <row r="83" spans="1:6">
      <c r="A83" s="78" t="s">
        <v>290</v>
      </c>
      <c r="B83" s="78">
        <v>4520163684</v>
      </c>
      <c r="C83" s="79" t="s">
        <v>291</v>
      </c>
      <c r="D83" s="79" t="s">
        <v>292</v>
      </c>
      <c r="E83" s="78"/>
      <c r="F83" s="78"/>
    </row>
    <row r="84" spans="1:6">
      <c r="A84" s="78" t="s">
        <v>295</v>
      </c>
      <c r="B84" s="78">
        <v>4581765358</v>
      </c>
      <c r="C84" s="79" t="s">
        <v>127</v>
      </c>
      <c r="D84" s="79" t="s">
        <v>231</v>
      </c>
      <c r="E84" s="78"/>
      <c r="F84" s="78"/>
    </row>
    <row r="85" spans="1:6" hidden="1">
      <c r="A85" s="78" t="s">
        <v>297</v>
      </c>
      <c r="B85" s="78">
        <v>4509292422</v>
      </c>
      <c r="C85" s="78"/>
      <c r="D85" s="78"/>
      <c r="E85" s="78"/>
      <c r="F85" s="78"/>
    </row>
    <row r="86" spans="1:6">
      <c r="A86" s="78" t="s">
        <v>298</v>
      </c>
      <c r="B86" s="78">
        <v>4467748962</v>
      </c>
      <c r="C86" s="79" t="s">
        <v>61</v>
      </c>
      <c r="D86" s="79" t="s">
        <v>255</v>
      </c>
      <c r="E86" s="78"/>
      <c r="F86" s="78"/>
    </row>
    <row r="87" spans="1:6" hidden="1">
      <c r="A87" s="78" t="s">
        <v>300</v>
      </c>
      <c r="B87" s="78">
        <v>4520789931</v>
      </c>
      <c r="C87" s="78"/>
      <c r="D87" s="78"/>
      <c r="E87" s="78"/>
      <c r="F87" s="78"/>
    </row>
    <row r="88" spans="1:6" hidden="1">
      <c r="A88" s="78" t="s">
        <v>302</v>
      </c>
      <c r="B88" s="78">
        <v>4863000898</v>
      </c>
      <c r="C88" s="78"/>
      <c r="D88" s="78"/>
      <c r="E88" s="78"/>
      <c r="F88" s="78"/>
    </row>
    <row r="89" spans="1:6" hidden="1">
      <c r="A89" s="78" t="s">
        <v>304</v>
      </c>
      <c r="B89" s="78">
        <v>4582279953</v>
      </c>
      <c r="C89" s="78"/>
      <c r="D89" s="78"/>
      <c r="E89" s="78"/>
      <c r="F89" s="78"/>
    </row>
    <row r="90" spans="1:6">
      <c r="A90" s="78" t="s">
        <v>306</v>
      </c>
      <c r="B90" s="78">
        <v>4343556093</v>
      </c>
      <c r="C90" s="78" t="s">
        <v>195</v>
      </c>
      <c r="D90" s="78" t="s">
        <v>70</v>
      </c>
      <c r="E90" s="78"/>
      <c r="F90" s="78"/>
    </row>
    <row r="91" spans="1:6" hidden="1">
      <c r="A91" s="78" t="s">
        <v>309</v>
      </c>
      <c r="B91" s="78">
        <v>4528207311</v>
      </c>
      <c r="C91" s="78"/>
      <c r="D91" s="78"/>
      <c r="E91" s="78"/>
      <c r="F91" s="78"/>
    </row>
    <row r="92" spans="1:6">
      <c r="A92" s="78" t="s">
        <v>310</v>
      </c>
      <c r="B92" s="78">
        <v>4508297331</v>
      </c>
      <c r="C92" s="79" t="s">
        <v>216</v>
      </c>
      <c r="D92" s="79"/>
      <c r="E92" s="78"/>
      <c r="F92" s="78"/>
    </row>
    <row r="93" spans="1:6">
      <c r="A93" s="78" t="s">
        <v>312</v>
      </c>
      <c r="B93" s="78">
        <v>4164990139</v>
      </c>
      <c r="C93" s="79" t="s">
        <v>313</v>
      </c>
      <c r="D93" s="79" t="s">
        <v>144</v>
      </c>
      <c r="E93" s="78"/>
      <c r="F93" s="78"/>
    </row>
    <row r="94" spans="1:6">
      <c r="A94" s="78" t="s">
        <v>316</v>
      </c>
      <c r="B94" s="78">
        <v>4582515738</v>
      </c>
      <c r="C94" s="79" t="s">
        <v>195</v>
      </c>
      <c r="D94" s="79" t="s">
        <v>255</v>
      </c>
      <c r="E94" s="78"/>
      <c r="F94" s="78"/>
    </row>
    <row r="95" spans="1:6" hidden="1">
      <c r="A95" s="78" t="s">
        <v>318</v>
      </c>
      <c r="B95" s="78">
        <v>4502609676</v>
      </c>
      <c r="C95" s="78"/>
      <c r="D95" s="78"/>
      <c r="E95" s="78"/>
      <c r="F95" s="78"/>
    </row>
    <row r="96" spans="1:6">
      <c r="A96" s="78" t="s">
        <v>321</v>
      </c>
      <c r="B96" s="78">
        <v>4380690334</v>
      </c>
      <c r="C96" s="79" t="s">
        <v>291</v>
      </c>
      <c r="D96" s="78"/>
      <c r="E96" s="79" t="s">
        <v>234</v>
      </c>
      <c r="F96" s="78"/>
    </row>
    <row r="97" spans="1:6">
      <c r="A97" s="78" t="s">
        <v>322</v>
      </c>
      <c r="B97" s="78">
        <v>4508493378</v>
      </c>
      <c r="C97" s="79" t="s">
        <v>323</v>
      </c>
      <c r="D97" s="78"/>
      <c r="E97" s="78"/>
      <c r="F97" s="78"/>
    </row>
    <row r="98" spans="1:6" hidden="1">
      <c r="A98" s="78" t="s">
        <v>326</v>
      </c>
      <c r="B98" s="78">
        <v>4162332142</v>
      </c>
      <c r="C98" s="78"/>
      <c r="D98" s="78"/>
      <c r="E98" s="78"/>
      <c r="F98" s="78"/>
    </row>
    <row r="99" spans="1:6">
      <c r="A99" s="78" t="s">
        <v>327</v>
      </c>
      <c r="B99" s="78">
        <v>4125888051</v>
      </c>
      <c r="C99" s="79" t="s">
        <v>231</v>
      </c>
      <c r="D99" s="79" t="s">
        <v>328</v>
      </c>
      <c r="E99" s="78"/>
      <c r="F99" s="78"/>
    </row>
    <row r="100" spans="1:6" hidden="1">
      <c r="A100" s="78" t="s">
        <v>330</v>
      </c>
      <c r="B100" s="78">
        <v>6285729336</v>
      </c>
      <c r="C100" s="78"/>
      <c r="D100" s="78"/>
      <c r="E100" s="78"/>
      <c r="F100" s="78"/>
    </row>
    <row r="101" spans="1:6">
      <c r="A101" s="78" t="s">
        <v>331</v>
      </c>
      <c r="B101" s="78">
        <v>6067685558</v>
      </c>
      <c r="C101" s="78" t="s">
        <v>87</v>
      </c>
      <c r="D101" s="78" t="s">
        <v>60</v>
      </c>
      <c r="E101" s="78"/>
      <c r="F101" s="78"/>
    </row>
    <row r="102" spans="1:6">
      <c r="A102" s="78" t="s">
        <v>336</v>
      </c>
      <c r="B102" s="78">
        <v>4583708823</v>
      </c>
      <c r="C102" s="79" t="s">
        <v>70</v>
      </c>
      <c r="D102" s="79" t="s">
        <v>195</v>
      </c>
      <c r="E102" s="78"/>
      <c r="F102" s="78"/>
    </row>
    <row r="103" spans="1:6">
      <c r="A103" s="78" t="s">
        <v>339</v>
      </c>
      <c r="B103" s="78">
        <v>4127072784</v>
      </c>
      <c r="C103" s="79" t="s">
        <v>127</v>
      </c>
      <c r="D103" s="79" t="s">
        <v>231</v>
      </c>
      <c r="E103" s="78"/>
      <c r="F103" s="78"/>
    </row>
    <row r="104" spans="1:6" hidden="1">
      <c r="A104" s="78" t="s">
        <v>341</v>
      </c>
      <c r="B104" s="78">
        <v>6381036478</v>
      </c>
      <c r="C104" s="78"/>
      <c r="D104" s="78"/>
      <c r="E104" s="78"/>
      <c r="F104" s="78"/>
    </row>
    <row r="105" spans="1:6" hidden="1">
      <c r="A105" s="78" t="s">
        <v>343</v>
      </c>
      <c r="B105" s="78">
        <v>4281344004</v>
      </c>
      <c r="C105" s="78"/>
      <c r="D105" s="78"/>
      <c r="E105" s="78"/>
      <c r="F105" s="78"/>
    </row>
    <row r="106" spans="1:6" hidden="1">
      <c r="A106" s="78" t="s">
        <v>344</v>
      </c>
      <c r="B106" s="78">
        <v>4408251275</v>
      </c>
      <c r="C106" s="78"/>
      <c r="D106" s="78"/>
      <c r="E106" s="78"/>
      <c r="F106" s="78"/>
    </row>
    <row r="107" spans="1:6" hidden="1">
      <c r="A107" s="78" t="s">
        <v>347</v>
      </c>
      <c r="B107" s="78">
        <v>4944397186</v>
      </c>
      <c r="C107" s="78"/>
      <c r="D107" s="78"/>
      <c r="E107" s="78"/>
      <c r="F107" s="78"/>
    </row>
    <row r="108" spans="1:6" hidden="1">
      <c r="A108" s="78" t="s">
        <v>348</v>
      </c>
      <c r="B108" s="78">
        <v>4387735058</v>
      </c>
      <c r="C108" s="78"/>
      <c r="D108" s="78"/>
      <c r="E108" s="78"/>
      <c r="F108" s="78"/>
    </row>
    <row r="109" spans="1:6" hidden="1">
      <c r="A109" s="78" t="s">
        <v>350</v>
      </c>
      <c r="B109" s="78">
        <v>6381036478</v>
      </c>
      <c r="C109" s="78"/>
      <c r="D109" s="78"/>
      <c r="E109" s="78"/>
      <c r="F109" s="78"/>
    </row>
    <row r="110" spans="1:6">
      <c r="A110" s="78" t="s">
        <v>352</v>
      </c>
      <c r="B110" s="78">
        <v>4582710042</v>
      </c>
      <c r="C110" s="79" t="s">
        <v>156</v>
      </c>
      <c r="D110" s="79" t="s">
        <v>62</v>
      </c>
      <c r="E110" s="78"/>
      <c r="F110" s="78"/>
    </row>
    <row r="111" spans="1:6">
      <c r="A111" s="78" t="s">
        <v>353</v>
      </c>
      <c r="B111" s="78">
        <v>4582420222</v>
      </c>
      <c r="C111" s="78" t="s">
        <v>156</v>
      </c>
      <c r="D111" s="78" t="s">
        <v>231</v>
      </c>
      <c r="E111" s="78"/>
      <c r="F111" s="78"/>
    </row>
    <row r="112" spans="1:6" hidden="1">
      <c r="A112" s="78" t="s">
        <v>356</v>
      </c>
      <c r="B112" s="78">
        <v>4582420222</v>
      </c>
      <c r="C112" s="78"/>
      <c r="D112" s="78"/>
      <c r="E112" s="78"/>
      <c r="F112" s="78"/>
    </row>
    <row r="113" spans="1:6" hidden="1">
      <c r="A113" s="78" t="s">
        <v>358</v>
      </c>
      <c r="B113" s="78">
        <v>6270232112</v>
      </c>
      <c r="C113" s="78"/>
      <c r="D113" s="78"/>
      <c r="E113" s="78"/>
      <c r="F113" s="78"/>
    </row>
    <row r="114" spans="1:6" hidden="1">
      <c r="A114" s="78" t="s">
        <v>361</v>
      </c>
      <c r="B114" s="78">
        <v>6209763413</v>
      </c>
      <c r="C114" s="78"/>
      <c r="D114" s="78"/>
      <c r="E114" s="78"/>
      <c r="F114" s="78"/>
    </row>
    <row r="115" spans="1:6" hidden="1">
      <c r="A115" s="78" t="s">
        <v>362</v>
      </c>
      <c r="B115" s="78">
        <v>4722242569</v>
      </c>
      <c r="C115" s="78"/>
      <c r="D115" s="78"/>
      <c r="E115" s="78"/>
      <c r="F115" s="78"/>
    </row>
    <row r="116" spans="1:6">
      <c r="A116" s="78" t="s">
        <v>363</v>
      </c>
      <c r="B116" s="78">
        <v>4089902940</v>
      </c>
      <c r="C116" s="79" t="s">
        <v>156</v>
      </c>
      <c r="D116" s="79" t="s">
        <v>62</v>
      </c>
      <c r="E116" s="78"/>
      <c r="F116" s="78"/>
    </row>
    <row r="117" spans="1:6">
      <c r="A117" s="78" t="s">
        <v>364</v>
      </c>
      <c r="B117" s="78">
        <v>4569356338</v>
      </c>
      <c r="C117" s="79" t="s">
        <v>365</v>
      </c>
      <c r="D117" s="79"/>
      <c r="E117" s="78"/>
      <c r="F117" s="78"/>
    </row>
    <row r="118" spans="1:6">
      <c r="A118" s="78" t="s">
        <v>367</v>
      </c>
      <c r="B118" s="78">
        <v>4508291104</v>
      </c>
      <c r="C118" s="79" t="s">
        <v>291</v>
      </c>
      <c r="D118" s="79" t="s">
        <v>96</v>
      </c>
      <c r="E118" s="78"/>
      <c r="F118" s="78"/>
    </row>
    <row r="119" spans="1:6" hidden="1">
      <c r="A119" s="78" t="s">
        <v>370</v>
      </c>
      <c r="B119" s="78">
        <v>4382020255</v>
      </c>
      <c r="C119" s="78"/>
      <c r="D119" s="78"/>
      <c r="E119" s="78"/>
      <c r="F119" s="78"/>
    </row>
    <row r="120" spans="1:6">
      <c r="A120" s="78" t="s">
        <v>372</v>
      </c>
      <c r="B120" s="78">
        <v>4087950905</v>
      </c>
      <c r="C120" s="79" t="s">
        <v>217</v>
      </c>
      <c r="D120" s="78"/>
      <c r="E120" s="79" t="s">
        <v>374</v>
      </c>
      <c r="F120" s="78"/>
    </row>
    <row r="121" spans="1:6" hidden="1">
      <c r="A121" s="78" t="s">
        <v>378</v>
      </c>
      <c r="B121" s="78">
        <v>4383746977</v>
      </c>
      <c r="C121" s="78"/>
      <c r="D121" s="78"/>
      <c r="E121" s="78"/>
      <c r="F121" s="78"/>
    </row>
    <row r="122" spans="1:6" hidden="1">
      <c r="A122" s="78" t="s">
        <v>379</v>
      </c>
      <c r="B122" s="78">
        <v>6040847719</v>
      </c>
      <c r="C122" s="78"/>
      <c r="D122" s="78"/>
      <c r="E122" s="78"/>
      <c r="F122" s="78"/>
    </row>
    <row r="123" spans="1:6">
      <c r="A123" s="78" t="s">
        <v>382</v>
      </c>
      <c r="B123" s="78">
        <v>4382020255</v>
      </c>
      <c r="C123" s="79" t="s">
        <v>373</v>
      </c>
      <c r="D123" s="78"/>
      <c r="E123" s="79" t="s">
        <v>62</v>
      </c>
      <c r="F123" s="78"/>
    </row>
    <row r="124" spans="1:6">
      <c r="A124" s="78" t="s">
        <v>385</v>
      </c>
      <c r="B124" s="78">
        <v>4848769809</v>
      </c>
      <c r="C124" s="79" t="s">
        <v>194</v>
      </c>
      <c r="D124" s="78"/>
      <c r="E124" s="79" t="s">
        <v>70</v>
      </c>
      <c r="F124" s="78"/>
    </row>
    <row r="125" spans="1:6">
      <c r="A125" s="78" t="s">
        <v>390</v>
      </c>
      <c r="B125" s="78">
        <v>6040847719</v>
      </c>
      <c r="C125" s="78" t="s">
        <v>182</v>
      </c>
      <c r="D125" s="78"/>
      <c r="E125" s="78" t="s">
        <v>62</v>
      </c>
      <c r="F125" s="78"/>
    </row>
    <row r="126" spans="1:6" hidden="1">
      <c r="A126" s="78" t="s">
        <v>396</v>
      </c>
      <c r="B126" s="78">
        <v>4123806422</v>
      </c>
      <c r="C126" s="78"/>
      <c r="D126" s="78"/>
      <c r="E126" s="78"/>
      <c r="F126" s="78"/>
    </row>
    <row r="127" spans="1:6" hidden="1">
      <c r="A127" s="78" t="s">
        <v>397</v>
      </c>
      <c r="B127" s="78">
        <v>4123806422</v>
      </c>
      <c r="C127" s="78"/>
      <c r="D127" s="78"/>
      <c r="E127" s="78"/>
      <c r="F127" s="78"/>
    </row>
    <row r="128" spans="1:6" hidden="1">
      <c r="A128" s="78" t="s">
        <v>399</v>
      </c>
      <c r="B128" s="78">
        <v>4507901820</v>
      </c>
      <c r="C128" s="78"/>
      <c r="D128" s="78"/>
      <c r="E128" s="78"/>
      <c r="F128" s="78"/>
    </row>
    <row r="129" spans="1:6">
      <c r="A129" s="78" t="s">
        <v>400</v>
      </c>
      <c r="B129" s="78">
        <v>6049665699</v>
      </c>
      <c r="C129" s="79" t="s">
        <v>156</v>
      </c>
      <c r="D129" s="78"/>
      <c r="E129" s="79" t="s">
        <v>61</v>
      </c>
      <c r="F129" s="78"/>
    </row>
    <row r="130" spans="1:6">
      <c r="A130" s="78" t="s">
        <v>403</v>
      </c>
      <c r="B130" s="78">
        <v>4382783526</v>
      </c>
      <c r="C130" s="79" t="s">
        <v>263</v>
      </c>
      <c r="D130" s="79" t="s">
        <v>365</v>
      </c>
      <c r="E130" s="78"/>
      <c r="F130" s="78"/>
    </row>
    <row r="131" spans="1:6">
      <c r="A131" s="78" t="s">
        <v>408</v>
      </c>
      <c r="B131" s="78">
        <v>4309377955</v>
      </c>
      <c r="C131" s="79" t="s">
        <v>231</v>
      </c>
      <c r="D131" s="78"/>
      <c r="E131" s="78"/>
      <c r="F131" s="78"/>
    </row>
    <row r="132" spans="1:6">
      <c r="A132" s="78" t="s">
        <v>409</v>
      </c>
      <c r="B132" s="78">
        <v>4509146795</v>
      </c>
      <c r="C132" s="78" t="s">
        <v>248</v>
      </c>
      <c r="D132" s="78"/>
      <c r="E132" s="78" t="s">
        <v>412</v>
      </c>
      <c r="F132" s="78"/>
    </row>
    <row r="133" spans="1:6" hidden="1">
      <c r="A133" s="78" t="s">
        <v>417</v>
      </c>
      <c r="B133" s="78">
        <v>4583534086</v>
      </c>
      <c r="C133" s="78"/>
      <c r="D133" s="78"/>
      <c r="E133" s="78"/>
      <c r="F133" s="78"/>
    </row>
    <row r="134" spans="1:6">
      <c r="A134" s="78" t="s">
        <v>418</v>
      </c>
      <c r="B134" s="78">
        <v>4583534086</v>
      </c>
      <c r="C134" s="78" t="s">
        <v>263</v>
      </c>
      <c r="D134" s="78" t="s">
        <v>217</v>
      </c>
      <c r="E134" s="78"/>
      <c r="F134" s="78"/>
    </row>
    <row r="135" spans="1:6" hidden="1">
      <c r="A135" s="78" t="s">
        <v>424</v>
      </c>
      <c r="B135" s="78">
        <v>4509289057</v>
      </c>
      <c r="C135" s="78"/>
      <c r="D135" s="78"/>
      <c r="E135" s="78"/>
      <c r="F135" s="78"/>
    </row>
    <row r="136" spans="1:6">
      <c r="A136" s="78" t="s">
        <v>425</v>
      </c>
      <c r="B136" s="78">
        <v>4509279604</v>
      </c>
      <c r="C136" s="78" t="s">
        <v>285</v>
      </c>
      <c r="D136" s="78"/>
      <c r="E136" s="78" t="s">
        <v>283</v>
      </c>
      <c r="F136" s="78"/>
    </row>
    <row r="137" spans="1:6" hidden="1">
      <c r="A137" s="78" t="s">
        <v>431</v>
      </c>
      <c r="B137" s="78">
        <v>4862123635</v>
      </c>
      <c r="C137" s="78"/>
      <c r="D137" s="78"/>
      <c r="E137" s="78"/>
      <c r="F137" s="78"/>
    </row>
    <row r="138" spans="1:6" hidden="1">
      <c r="A138" s="78" t="s">
        <v>432</v>
      </c>
      <c r="B138" s="78">
        <v>4382315034</v>
      </c>
      <c r="C138" s="78"/>
      <c r="D138" s="78"/>
      <c r="E138" s="78"/>
      <c r="F138" s="78"/>
    </row>
    <row r="139" spans="1:6">
      <c r="A139" s="78" t="s">
        <v>435</v>
      </c>
      <c r="B139" s="78">
        <v>4509289057</v>
      </c>
      <c r="C139" s="78" t="s">
        <v>60</v>
      </c>
      <c r="D139" s="78" t="s">
        <v>195</v>
      </c>
      <c r="E139" s="78"/>
      <c r="F139" s="78"/>
    </row>
    <row r="140" spans="1:6" hidden="1">
      <c r="A140" s="78" t="s">
        <v>437</v>
      </c>
      <c r="B140" s="78">
        <v>6220720865</v>
      </c>
      <c r="C140" s="78"/>
      <c r="D140" s="78"/>
      <c r="E140" s="78"/>
      <c r="F140" s="78"/>
    </row>
    <row r="141" spans="1:6">
      <c r="A141" s="78" t="s">
        <v>438</v>
      </c>
      <c r="B141" s="78">
        <v>4382315034</v>
      </c>
      <c r="C141" s="78" t="s">
        <v>440</v>
      </c>
      <c r="D141" s="78"/>
      <c r="E141" s="78" t="s">
        <v>444</v>
      </c>
      <c r="F141" s="7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C54F-A4ED-4306-8603-62C19622BD33}">
  <dimension ref="A1:X9"/>
  <sheetViews>
    <sheetView topLeftCell="I1" workbookViewId="0">
      <selection activeCell="W2" sqref="W2:W9"/>
    </sheetView>
  </sheetViews>
  <sheetFormatPr defaultRowHeight="15.75"/>
  <cols>
    <col min="1" max="1" width="14.375" customWidth="1"/>
    <col min="2" max="2" width="15.375" customWidth="1"/>
    <col min="14" max="14" width="18.25" customWidth="1"/>
    <col min="15" max="15" width="25.625" customWidth="1"/>
    <col min="22" max="22" width="15.375" customWidth="1"/>
    <col min="23" max="23" width="16.25" customWidth="1"/>
  </cols>
  <sheetData>
    <row r="1" spans="1:24" ht="54" customHeight="1">
      <c r="B1" t="s">
        <v>495</v>
      </c>
      <c r="C1" s="74" t="s">
        <v>27</v>
      </c>
      <c r="D1" s="74" t="s">
        <v>28</v>
      </c>
      <c r="E1" s="74" t="s">
        <v>29</v>
      </c>
      <c r="F1" s="74" t="s">
        <v>30</v>
      </c>
      <c r="G1" s="74" t="s">
        <v>31</v>
      </c>
      <c r="H1" s="74" t="s">
        <v>32</v>
      </c>
      <c r="I1" s="74" t="s">
        <v>33</v>
      </c>
      <c r="J1" s="74" t="s">
        <v>34</v>
      </c>
      <c r="K1" s="74" t="s">
        <v>35</v>
      </c>
      <c r="L1" s="74" t="s">
        <v>36</v>
      </c>
      <c r="M1" s="74" t="s">
        <v>39</v>
      </c>
      <c r="N1" s="76" t="s">
        <v>42</v>
      </c>
      <c r="O1" s="76" t="s">
        <v>43</v>
      </c>
      <c r="P1" s="76" t="s">
        <v>13</v>
      </c>
      <c r="Q1" s="76" t="s">
        <v>46</v>
      </c>
      <c r="R1" s="76" t="s">
        <v>46</v>
      </c>
      <c r="S1" s="76" t="s">
        <v>48</v>
      </c>
      <c r="T1" s="76" t="s">
        <v>48</v>
      </c>
      <c r="U1" s="76" t="s">
        <v>37</v>
      </c>
      <c r="V1" s="76" t="s">
        <v>51</v>
      </c>
      <c r="W1" s="76" t="s">
        <v>52</v>
      </c>
      <c r="X1" s="76" t="s">
        <v>13</v>
      </c>
    </row>
    <row r="2" spans="1:24">
      <c r="A2" t="s">
        <v>496</v>
      </c>
      <c r="B2" s="75" t="s">
        <v>497</v>
      </c>
      <c r="C2" s="73" t="s">
        <v>324</v>
      </c>
      <c r="D2" s="73" t="s">
        <v>61</v>
      </c>
      <c r="E2" s="73" t="s">
        <v>195</v>
      </c>
      <c r="F2" s="73" t="s">
        <v>82</v>
      </c>
      <c r="G2" s="73" t="s">
        <v>498</v>
      </c>
      <c r="H2" s="73"/>
      <c r="I2" s="73"/>
      <c r="J2" s="73"/>
      <c r="K2" s="73"/>
      <c r="L2" s="73"/>
      <c r="M2" s="73" t="s">
        <v>499</v>
      </c>
      <c r="N2" s="73" t="s">
        <v>499</v>
      </c>
      <c r="Q2" s="73" t="s">
        <v>324</v>
      </c>
      <c r="R2" s="73" t="s">
        <v>61</v>
      </c>
      <c r="V2" t="s">
        <v>59</v>
      </c>
      <c r="W2" t="s">
        <v>59</v>
      </c>
    </row>
    <row r="3" spans="1:24">
      <c r="A3" t="s">
        <v>496</v>
      </c>
      <c r="B3" s="75" t="s">
        <v>500</v>
      </c>
      <c r="C3" s="73" t="s">
        <v>61</v>
      </c>
      <c r="D3" s="73"/>
      <c r="E3" s="73"/>
      <c r="F3" s="73"/>
      <c r="G3" s="73"/>
      <c r="H3" s="73"/>
      <c r="I3" s="73"/>
      <c r="J3" s="73"/>
      <c r="K3" s="73"/>
      <c r="L3" s="73"/>
      <c r="M3" s="73" t="s">
        <v>166</v>
      </c>
      <c r="N3" s="73" t="s">
        <v>166</v>
      </c>
      <c r="Q3" s="73" t="s">
        <v>61</v>
      </c>
      <c r="R3" s="73"/>
      <c r="V3" t="s">
        <v>59</v>
      </c>
      <c r="W3" t="s">
        <v>59</v>
      </c>
    </row>
    <row r="4" spans="1:24">
      <c r="A4" t="s">
        <v>496</v>
      </c>
      <c r="B4" s="75" t="s">
        <v>501</v>
      </c>
      <c r="C4" s="73" t="s">
        <v>62</v>
      </c>
      <c r="M4" s="73" t="s">
        <v>268</v>
      </c>
      <c r="N4" s="73" t="s">
        <v>268</v>
      </c>
      <c r="Q4" s="73" t="s">
        <v>62</v>
      </c>
      <c r="V4" t="s">
        <v>59</v>
      </c>
      <c r="W4" t="s">
        <v>59</v>
      </c>
    </row>
    <row r="5" spans="1:24">
      <c r="A5" t="s">
        <v>496</v>
      </c>
      <c r="B5" s="75" t="s">
        <v>502</v>
      </c>
      <c r="C5" s="73" t="s">
        <v>156</v>
      </c>
      <c r="D5" s="73" t="s">
        <v>62</v>
      </c>
      <c r="M5" s="73" t="s">
        <v>135</v>
      </c>
      <c r="N5" s="73" t="s">
        <v>135</v>
      </c>
      <c r="Q5" s="73" t="s">
        <v>156</v>
      </c>
      <c r="R5" s="73" t="s">
        <v>62</v>
      </c>
      <c r="V5" t="s">
        <v>59</v>
      </c>
      <c r="W5" t="s">
        <v>59</v>
      </c>
    </row>
    <row r="6" spans="1:24">
      <c r="A6" t="s">
        <v>496</v>
      </c>
      <c r="B6" s="75" t="s">
        <v>503</v>
      </c>
      <c r="C6" s="73" t="s">
        <v>156</v>
      </c>
      <c r="M6" s="73" t="s">
        <v>504</v>
      </c>
      <c r="N6" s="73" t="s">
        <v>504</v>
      </c>
      <c r="Q6" s="73" t="s">
        <v>156</v>
      </c>
      <c r="V6" t="s">
        <v>59</v>
      </c>
      <c r="W6" t="s">
        <v>59</v>
      </c>
    </row>
    <row r="7" spans="1:24">
      <c r="A7" t="s">
        <v>496</v>
      </c>
      <c r="B7" s="75" t="s">
        <v>505</v>
      </c>
      <c r="C7" s="73" t="s">
        <v>156</v>
      </c>
      <c r="D7" s="73"/>
      <c r="M7" s="73" t="s">
        <v>504</v>
      </c>
      <c r="N7" s="73" t="s">
        <v>504</v>
      </c>
      <c r="Q7" s="73" t="s">
        <v>156</v>
      </c>
      <c r="R7" s="73"/>
      <c r="V7" t="s">
        <v>59</v>
      </c>
      <c r="W7" t="s">
        <v>59</v>
      </c>
    </row>
    <row r="8" spans="1:24">
      <c r="A8" t="s">
        <v>496</v>
      </c>
      <c r="B8" s="75" t="s">
        <v>506</v>
      </c>
      <c r="C8" s="73" t="s">
        <v>231</v>
      </c>
      <c r="D8" s="73"/>
      <c r="M8" s="73" t="s">
        <v>166</v>
      </c>
      <c r="N8" s="73" t="s">
        <v>166</v>
      </c>
      <c r="Q8" s="73" t="s">
        <v>231</v>
      </c>
      <c r="R8" s="73"/>
      <c r="V8" t="s">
        <v>59</v>
      </c>
      <c r="W8" t="s">
        <v>59</v>
      </c>
    </row>
    <row r="9" spans="1:24">
      <c r="A9" t="s">
        <v>496</v>
      </c>
      <c r="B9" s="75" t="s">
        <v>507</v>
      </c>
      <c r="C9" s="73" t="s">
        <v>156</v>
      </c>
      <c r="D9" s="73" t="s">
        <v>126</v>
      </c>
      <c r="M9" s="73" t="s">
        <v>504</v>
      </c>
      <c r="N9" s="73" t="s">
        <v>504</v>
      </c>
      <c r="Q9" s="73" t="s">
        <v>156</v>
      </c>
      <c r="R9" s="73" t="s">
        <v>126</v>
      </c>
      <c r="V9" t="s">
        <v>59</v>
      </c>
      <c r="W9"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120"/>
  <sheetViews>
    <sheetView topLeftCell="A96" workbookViewId="0">
      <selection activeCell="A112" sqref="A112"/>
    </sheetView>
  </sheetViews>
  <sheetFormatPr defaultRowHeight="15.75"/>
  <cols>
    <col min="1" max="1" width="21" customWidth="1"/>
    <col min="2" max="2" width="11.875" customWidth="1"/>
  </cols>
  <sheetData>
    <row r="1" spans="1:5">
      <c r="B1" s="1"/>
      <c r="C1" s="1"/>
      <c r="D1" s="91" t="s">
        <v>508</v>
      </c>
      <c r="E1" s="91"/>
    </row>
    <row r="2" spans="1:5" ht="16.5">
      <c r="A2" s="13" t="s">
        <v>11</v>
      </c>
      <c r="B2" s="1" t="s">
        <v>509</v>
      </c>
      <c r="C2" s="1" t="s">
        <v>510</v>
      </c>
      <c r="D2" s="2" t="s">
        <v>511</v>
      </c>
      <c r="E2" s="2" t="s">
        <v>512</v>
      </c>
    </row>
    <row r="3" spans="1:5">
      <c r="A3" s="16" t="s">
        <v>68</v>
      </c>
      <c r="B3" s="16" t="s">
        <v>60</v>
      </c>
      <c r="C3" t="s">
        <v>513</v>
      </c>
      <c r="D3" t="s">
        <v>514</v>
      </c>
      <c r="E3" t="s">
        <v>515</v>
      </c>
    </row>
    <row r="4" spans="1:5">
      <c r="A4" s="16" t="s">
        <v>85</v>
      </c>
      <c r="B4" s="16" t="s">
        <v>87</v>
      </c>
      <c r="C4" t="s">
        <v>513</v>
      </c>
      <c r="D4" t="s">
        <v>514</v>
      </c>
      <c r="E4" t="s">
        <v>515</v>
      </c>
    </row>
    <row r="5" spans="1:5">
      <c r="A5" s="16" t="s">
        <v>94</v>
      </c>
      <c r="B5" s="16" t="s">
        <v>96</v>
      </c>
      <c r="C5" t="s">
        <v>513</v>
      </c>
      <c r="D5" t="s">
        <v>514</v>
      </c>
      <c r="E5" t="s">
        <v>515</v>
      </c>
    </row>
    <row r="6" spans="1:5">
      <c r="A6" s="16" t="s">
        <v>94</v>
      </c>
      <c r="B6" s="16" t="s">
        <v>97</v>
      </c>
      <c r="C6" t="s">
        <v>513</v>
      </c>
      <c r="D6" t="s">
        <v>514</v>
      </c>
      <c r="E6" t="s">
        <v>515</v>
      </c>
    </row>
    <row r="7" spans="1:5">
      <c r="A7" s="16" t="s">
        <v>112</v>
      </c>
      <c r="B7" s="16" t="s">
        <v>113</v>
      </c>
      <c r="C7" t="s">
        <v>513</v>
      </c>
      <c r="D7" t="s">
        <v>514</v>
      </c>
      <c r="E7" t="s">
        <v>515</v>
      </c>
    </row>
    <row r="8" spans="1:5">
      <c r="A8" s="16" t="s">
        <v>133</v>
      </c>
      <c r="B8" s="16" t="s">
        <v>126</v>
      </c>
      <c r="C8" t="s">
        <v>513</v>
      </c>
      <c r="D8" t="s">
        <v>514</v>
      </c>
      <c r="E8" t="s">
        <v>515</v>
      </c>
    </row>
    <row r="9" spans="1:5">
      <c r="A9" s="16" t="s">
        <v>133</v>
      </c>
      <c r="B9" s="16" t="s">
        <v>134</v>
      </c>
      <c r="C9" t="s">
        <v>513</v>
      </c>
      <c r="D9" t="s">
        <v>514</v>
      </c>
      <c r="E9" t="s">
        <v>515</v>
      </c>
    </row>
    <row r="10" spans="1:5">
      <c r="A10" s="16" t="s">
        <v>138</v>
      </c>
      <c r="B10" s="16" t="s">
        <v>140</v>
      </c>
      <c r="C10" t="s">
        <v>513</v>
      </c>
      <c r="D10" t="s">
        <v>514</v>
      </c>
      <c r="E10" t="s">
        <v>515</v>
      </c>
    </row>
    <row r="11" spans="1:5">
      <c r="A11" s="16" t="s">
        <v>138</v>
      </c>
      <c r="B11" s="16" t="s">
        <v>143</v>
      </c>
      <c r="C11" t="s">
        <v>513</v>
      </c>
      <c r="D11" t="s">
        <v>514</v>
      </c>
      <c r="E11" t="s">
        <v>515</v>
      </c>
    </row>
    <row r="12" spans="1:5">
      <c r="A12" t="s">
        <v>155</v>
      </c>
      <c r="B12" s="16" t="s">
        <v>62</v>
      </c>
      <c r="C12" t="s">
        <v>513</v>
      </c>
      <c r="D12" t="s">
        <v>514</v>
      </c>
      <c r="E12" t="s">
        <v>515</v>
      </c>
    </row>
    <row r="13" spans="1:5">
      <c r="A13" t="s">
        <v>155</v>
      </c>
      <c r="B13" t="s">
        <v>156</v>
      </c>
      <c r="C13" t="s">
        <v>513</v>
      </c>
      <c r="D13" t="s">
        <v>514</v>
      </c>
      <c r="E13" t="s">
        <v>515</v>
      </c>
    </row>
    <row r="14" spans="1:5">
      <c r="A14" t="s">
        <v>167</v>
      </c>
      <c r="B14" t="s">
        <v>62</v>
      </c>
      <c r="C14" t="s">
        <v>516</v>
      </c>
      <c r="D14" t="s">
        <v>514</v>
      </c>
      <c r="E14" t="s">
        <v>515</v>
      </c>
    </row>
    <row r="15" spans="1:5">
      <c r="A15" t="s">
        <v>167</v>
      </c>
      <c r="B15" t="s">
        <v>126</v>
      </c>
      <c r="C15" t="s">
        <v>516</v>
      </c>
      <c r="D15" t="s">
        <v>514</v>
      </c>
      <c r="E15" t="s">
        <v>515</v>
      </c>
    </row>
    <row r="16" spans="1:5">
      <c r="A16" t="s">
        <v>170</v>
      </c>
      <c r="B16" t="s">
        <v>171</v>
      </c>
      <c r="C16" t="s">
        <v>513</v>
      </c>
      <c r="D16" t="s">
        <v>514</v>
      </c>
      <c r="E16" t="s">
        <v>515</v>
      </c>
    </row>
    <row r="17" spans="1:5">
      <c r="A17" t="s">
        <v>170</v>
      </c>
      <c r="B17" t="s">
        <v>172</v>
      </c>
      <c r="C17" t="s">
        <v>513</v>
      </c>
      <c r="D17" t="s">
        <v>514</v>
      </c>
      <c r="E17" t="s">
        <v>515</v>
      </c>
    </row>
    <row r="18" spans="1:5">
      <c r="A18" t="s">
        <v>179</v>
      </c>
      <c r="B18" t="s">
        <v>87</v>
      </c>
      <c r="C18" t="s">
        <v>513</v>
      </c>
      <c r="D18" t="s">
        <v>514</v>
      </c>
      <c r="E18" t="s">
        <v>515</v>
      </c>
    </row>
    <row r="19" spans="1:5">
      <c r="A19" t="s">
        <v>180</v>
      </c>
      <c r="B19" t="s">
        <v>182</v>
      </c>
      <c r="C19" t="s">
        <v>513</v>
      </c>
      <c r="D19" t="s">
        <v>514</v>
      </c>
      <c r="E19" t="s">
        <v>515</v>
      </c>
    </row>
    <row r="20" spans="1:5">
      <c r="A20" t="s">
        <v>186</v>
      </c>
      <c r="B20" t="s">
        <v>62</v>
      </c>
      <c r="C20" t="s">
        <v>513</v>
      </c>
      <c r="D20" t="s">
        <v>514</v>
      </c>
      <c r="E20" t="s">
        <v>515</v>
      </c>
    </row>
    <row r="21" spans="1:5">
      <c r="A21" t="s">
        <v>186</v>
      </c>
      <c r="B21" t="s">
        <v>156</v>
      </c>
      <c r="C21" t="s">
        <v>513</v>
      </c>
      <c r="D21" t="s">
        <v>514</v>
      </c>
      <c r="E21" t="s">
        <v>515</v>
      </c>
    </row>
    <row r="22" spans="1:5">
      <c r="A22" t="s">
        <v>192</v>
      </c>
      <c r="B22" t="s">
        <v>113</v>
      </c>
      <c r="C22" t="s">
        <v>513</v>
      </c>
      <c r="D22" t="s">
        <v>514</v>
      </c>
      <c r="E22" t="s">
        <v>515</v>
      </c>
    </row>
    <row r="23" spans="1:5">
      <c r="A23" t="s">
        <v>192</v>
      </c>
      <c r="B23" t="s">
        <v>194</v>
      </c>
      <c r="C23" t="s">
        <v>513</v>
      </c>
      <c r="D23" t="s">
        <v>514</v>
      </c>
      <c r="E23" t="s">
        <v>515</v>
      </c>
    </row>
    <row r="24" spans="1:5">
      <c r="A24" t="s">
        <v>199</v>
      </c>
      <c r="B24" t="s">
        <v>128</v>
      </c>
      <c r="C24" t="s">
        <v>513</v>
      </c>
      <c r="D24" t="s">
        <v>514</v>
      </c>
      <c r="E24" t="s">
        <v>515</v>
      </c>
    </row>
    <row r="25" spans="1:5">
      <c r="A25" t="s">
        <v>199</v>
      </c>
      <c r="B25" t="s">
        <v>126</v>
      </c>
      <c r="C25" t="s">
        <v>513</v>
      </c>
      <c r="D25" t="s">
        <v>514</v>
      </c>
      <c r="E25" t="s">
        <v>515</v>
      </c>
    </row>
    <row r="26" spans="1:5">
      <c r="A26" t="s">
        <v>210</v>
      </c>
      <c r="B26" t="s">
        <v>61</v>
      </c>
      <c r="C26" t="s">
        <v>513</v>
      </c>
      <c r="D26" t="s">
        <v>514</v>
      </c>
      <c r="E26" t="s">
        <v>515</v>
      </c>
    </row>
    <row r="27" spans="1:5">
      <c r="A27" t="s">
        <v>210</v>
      </c>
      <c r="B27" t="s">
        <v>96</v>
      </c>
      <c r="C27" t="s">
        <v>513</v>
      </c>
      <c r="D27" t="s">
        <v>514</v>
      </c>
      <c r="E27" t="s">
        <v>515</v>
      </c>
    </row>
    <row r="28" spans="1:5">
      <c r="A28" t="s">
        <v>213</v>
      </c>
      <c r="B28" t="s">
        <v>195</v>
      </c>
      <c r="C28" t="s">
        <v>513</v>
      </c>
      <c r="D28" t="s">
        <v>514</v>
      </c>
      <c r="E28" t="s">
        <v>515</v>
      </c>
    </row>
    <row r="29" spans="1:5">
      <c r="A29" t="s">
        <v>215</v>
      </c>
      <c r="B29" t="s">
        <v>216</v>
      </c>
      <c r="C29" t="s">
        <v>513</v>
      </c>
      <c r="D29" t="s">
        <v>514</v>
      </c>
      <c r="E29" t="s">
        <v>515</v>
      </c>
    </row>
    <row r="30" spans="1:5">
      <c r="A30" t="s">
        <v>215</v>
      </c>
      <c r="B30" t="s">
        <v>61</v>
      </c>
      <c r="C30" t="s">
        <v>516</v>
      </c>
      <c r="D30" t="s">
        <v>514</v>
      </c>
      <c r="E30" t="s">
        <v>515</v>
      </c>
    </row>
    <row r="31" spans="1:5">
      <c r="A31" t="s">
        <v>220</v>
      </c>
      <c r="B31" t="s">
        <v>129</v>
      </c>
      <c r="C31" t="s">
        <v>513</v>
      </c>
      <c r="D31" t="s">
        <v>514</v>
      </c>
      <c r="E31" t="s">
        <v>515</v>
      </c>
    </row>
    <row r="32" spans="1:5">
      <c r="A32" t="s">
        <v>226</v>
      </c>
      <c r="B32" t="s">
        <v>182</v>
      </c>
      <c r="C32" t="s">
        <v>513</v>
      </c>
      <c r="D32" t="s">
        <v>514</v>
      </c>
      <c r="E32" t="s">
        <v>515</v>
      </c>
    </row>
    <row r="33" spans="1:5">
      <c r="A33" t="s">
        <v>226</v>
      </c>
      <c r="B33" t="s">
        <v>227</v>
      </c>
      <c r="C33" t="s">
        <v>516</v>
      </c>
      <c r="D33" t="s">
        <v>514</v>
      </c>
      <c r="E33" t="s">
        <v>515</v>
      </c>
    </row>
    <row r="34" spans="1:5">
      <c r="A34" t="s">
        <v>229</v>
      </c>
      <c r="B34" t="s">
        <v>128</v>
      </c>
      <c r="C34" t="s">
        <v>513</v>
      </c>
      <c r="D34" t="s">
        <v>514</v>
      </c>
      <c r="E34" t="s">
        <v>515</v>
      </c>
    </row>
    <row r="35" spans="1:5">
      <c r="A35" t="s">
        <v>233</v>
      </c>
      <c r="B35" t="s">
        <v>234</v>
      </c>
      <c r="C35" t="s">
        <v>513</v>
      </c>
      <c r="D35" t="s">
        <v>514</v>
      </c>
      <c r="E35" t="s">
        <v>515</v>
      </c>
    </row>
    <row r="36" spans="1:5">
      <c r="A36" t="s">
        <v>233</v>
      </c>
      <c r="B36" t="s">
        <v>216</v>
      </c>
      <c r="C36" t="s">
        <v>513</v>
      </c>
      <c r="D36" t="s">
        <v>514</v>
      </c>
      <c r="E36" t="s">
        <v>515</v>
      </c>
    </row>
    <row r="37" spans="1:5">
      <c r="A37" t="s">
        <v>241</v>
      </c>
      <c r="B37" t="s">
        <v>62</v>
      </c>
      <c r="C37" t="s">
        <v>513</v>
      </c>
      <c r="D37" t="s">
        <v>514</v>
      </c>
      <c r="E37" t="s">
        <v>515</v>
      </c>
    </row>
    <row r="38" spans="1:5">
      <c r="A38" t="s">
        <v>241</v>
      </c>
      <c r="B38" t="s">
        <v>128</v>
      </c>
      <c r="C38" t="s">
        <v>513</v>
      </c>
      <c r="D38" t="s">
        <v>514</v>
      </c>
      <c r="E38" t="s">
        <v>515</v>
      </c>
    </row>
    <row r="39" spans="1:5">
      <c r="A39" t="s">
        <v>246</v>
      </c>
      <c r="B39" t="s">
        <v>144</v>
      </c>
      <c r="C39" t="s">
        <v>513</v>
      </c>
      <c r="D39" t="s">
        <v>514</v>
      </c>
      <c r="E39" t="s">
        <v>515</v>
      </c>
    </row>
    <row r="40" spans="1:5">
      <c r="A40" t="s">
        <v>246</v>
      </c>
      <c r="B40" t="s">
        <v>250</v>
      </c>
      <c r="C40" t="s">
        <v>516</v>
      </c>
      <c r="D40" t="s">
        <v>514</v>
      </c>
      <c r="E40" t="s">
        <v>515</v>
      </c>
    </row>
    <row r="41" spans="1:5">
      <c r="A41" t="s">
        <v>253</v>
      </c>
      <c r="B41" t="s">
        <v>195</v>
      </c>
      <c r="C41" t="s">
        <v>513</v>
      </c>
      <c r="D41" t="s">
        <v>514</v>
      </c>
      <c r="E41" t="s">
        <v>515</v>
      </c>
    </row>
    <row r="42" spans="1:5">
      <c r="A42" t="s">
        <v>253</v>
      </c>
      <c r="B42" t="s">
        <v>151</v>
      </c>
      <c r="C42" t="s">
        <v>516</v>
      </c>
      <c r="D42" t="s">
        <v>514</v>
      </c>
      <c r="E42" t="s">
        <v>515</v>
      </c>
    </row>
    <row r="43" spans="1:5">
      <c r="A43" t="s">
        <v>260</v>
      </c>
      <c r="B43" t="s">
        <v>156</v>
      </c>
      <c r="C43" t="s">
        <v>513</v>
      </c>
      <c r="D43" t="s">
        <v>514</v>
      </c>
      <c r="E43" t="s">
        <v>515</v>
      </c>
    </row>
    <row r="44" spans="1:5">
      <c r="A44" t="s">
        <v>260</v>
      </c>
      <c r="B44" t="s">
        <v>126</v>
      </c>
      <c r="C44" t="s">
        <v>513</v>
      </c>
      <c r="D44" t="s">
        <v>514</v>
      </c>
      <c r="E44" t="s">
        <v>515</v>
      </c>
    </row>
    <row r="45" spans="1:5">
      <c r="A45" t="s">
        <v>262</v>
      </c>
      <c r="B45" t="s">
        <v>263</v>
      </c>
      <c r="C45" t="s">
        <v>513</v>
      </c>
      <c r="D45" t="s">
        <v>514</v>
      </c>
      <c r="E45" t="s">
        <v>515</v>
      </c>
    </row>
    <row r="46" spans="1:5">
      <c r="A46" t="s">
        <v>266</v>
      </c>
      <c r="B46" t="s">
        <v>97</v>
      </c>
      <c r="C46" t="s">
        <v>513</v>
      </c>
      <c r="D46" t="s">
        <v>514</v>
      </c>
      <c r="E46" t="s">
        <v>515</v>
      </c>
    </row>
    <row r="47" spans="1:5">
      <c r="A47" t="s">
        <v>266</v>
      </c>
      <c r="B47" t="s">
        <v>96</v>
      </c>
      <c r="C47" t="s">
        <v>513</v>
      </c>
      <c r="D47" t="s">
        <v>514</v>
      </c>
      <c r="E47" t="s">
        <v>515</v>
      </c>
    </row>
    <row r="48" spans="1:5">
      <c r="A48" t="s">
        <v>269</v>
      </c>
      <c r="B48" t="s">
        <v>70</v>
      </c>
      <c r="C48" t="s">
        <v>513</v>
      </c>
      <c r="D48" t="s">
        <v>514</v>
      </c>
      <c r="E48" t="s">
        <v>515</v>
      </c>
    </row>
    <row r="49" spans="1:5">
      <c r="A49" t="s">
        <v>269</v>
      </c>
      <c r="B49" t="s">
        <v>195</v>
      </c>
      <c r="C49" t="s">
        <v>513</v>
      </c>
      <c r="D49" t="s">
        <v>514</v>
      </c>
      <c r="E49" t="s">
        <v>515</v>
      </c>
    </row>
    <row r="50" spans="1:5">
      <c r="A50" t="s">
        <v>271</v>
      </c>
      <c r="B50" t="s">
        <v>97</v>
      </c>
      <c r="C50" t="s">
        <v>513</v>
      </c>
      <c r="D50" t="s">
        <v>514</v>
      </c>
      <c r="E50" t="s">
        <v>515</v>
      </c>
    </row>
    <row r="51" spans="1:5">
      <c r="A51" t="s">
        <v>271</v>
      </c>
      <c r="B51" t="s">
        <v>96</v>
      </c>
      <c r="C51" t="s">
        <v>513</v>
      </c>
      <c r="D51" t="s">
        <v>514</v>
      </c>
      <c r="E51" t="s">
        <v>515</v>
      </c>
    </row>
    <row r="52" spans="1:5">
      <c r="A52" t="s">
        <v>275</v>
      </c>
      <c r="B52" t="s">
        <v>158</v>
      </c>
      <c r="C52" t="s">
        <v>516</v>
      </c>
      <c r="D52" t="s">
        <v>514</v>
      </c>
      <c r="E52" t="s">
        <v>515</v>
      </c>
    </row>
    <row r="53" spans="1:5">
      <c r="A53" t="s">
        <v>275</v>
      </c>
      <c r="B53" t="s">
        <v>156</v>
      </c>
      <c r="C53" t="s">
        <v>516</v>
      </c>
      <c r="D53" t="s">
        <v>514</v>
      </c>
      <c r="E53" t="s">
        <v>515</v>
      </c>
    </row>
    <row r="54" spans="1:5">
      <c r="A54" t="s">
        <v>277</v>
      </c>
      <c r="B54" t="s">
        <v>255</v>
      </c>
      <c r="C54" t="s">
        <v>513</v>
      </c>
      <c r="D54" t="s">
        <v>514</v>
      </c>
      <c r="E54" t="s">
        <v>515</v>
      </c>
    </row>
    <row r="55" spans="1:5">
      <c r="A55" t="s">
        <v>282</v>
      </c>
      <c r="B55" t="s">
        <v>283</v>
      </c>
      <c r="C55" t="s">
        <v>513</v>
      </c>
      <c r="D55" t="s">
        <v>514</v>
      </c>
      <c r="E55" t="s">
        <v>515</v>
      </c>
    </row>
    <row r="56" spans="1:5">
      <c r="A56" t="s">
        <v>282</v>
      </c>
      <c r="B56" t="s">
        <v>284</v>
      </c>
      <c r="C56" t="s">
        <v>513</v>
      </c>
      <c r="D56" t="s">
        <v>514</v>
      </c>
      <c r="E56" t="s">
        <v>515</v>
      </c>
    </row>
    <row r="57" spans="1:5">
      <c r="A57" t="s">
        <v>290</v>
      </c>
      <c r="B57" t="s">
        <v>291</v>
      </c>
      <c r="C57" t="s">
        <v>513</v>
      </c>
      <c r="D57" t="s">
        <v>514</v>
      </c>
      <c r="E57" t="s">
        <v>515</v>
      </c>
    </row>
    <row r="58" spans="1:5">
      <c r="A58" t="s">
        <v>290</v>
      </c>
      <c r="B58" t="s">
        <v>292</v>
      </c>
      <c r="C58" t="s">
        <v>513</v>
      </c>
      <c r="D58" t="s">
        <v>514</v>
      </c>
      <c r="E58" t="s">
        <v>515</v>
      </c>
    </row>
    <row r="59" spans="1:5">
      <c r="A59" t="s">
        <v>295</v>
      </c>
      <c r="B59" t="s">
        <v>127</v>
      </c>
      <c r="C59" t="s">
        <v>513</v>
      </c>
      <c r="D59" t="s">
        <v>514</v>
      </c>
      <c r="E59" t="s">
        <v>515</v>
      </c>
    </row>
    <row r="60" spans="1:5">
      <c r="A60" t="s">
        <v>295</v>
      </c>
      <c r="B60" t="s">
        <v>231</v>
      </c>
      <c r="C60" t="s">
        <v>513</v>
      </c>
      <c r="D60" t="s">
        <v>514</v>
      </c>
      <c r="E60" t="s">
        <v>515</v>
      </c>
    </row>
    <row r="61" spans="1:5">
      <c r="A61" t="s">
        <v>298</v>
      </c>
      <c r="B61" t="s">
        <v>61</v>
      </c>
      <c r="C61" t="s">
        <v>513</v>
      </c>
      <c r="D61" t="s">
        <v>514</v>
      </c>
      <c r="E61" t="s">
        <v>515</v>
      </c>
    </row>
    <row r="62" spans="1:5">
      <c r="A62" t="s">
        <v>298</v>
      </c>
      <c r="B62" t="s">
        <v>255</v>
      </c>
      <c r="C62" t="s">
        <v>513</v>
      </c>
      <c r="D62" t="s">
        <v>514</v>
      </c>
      <c r="E62" t="s">
        <v>515</v>
      </c>
    </row>
    <row r="63" spans="1:5">
      <c r="A63" t="s">
        <v>306</v>
      </c>
      <c r="B63" t="s">
        <v>195</v>
      </c>
      <c r="C63" t="s">
        <v>513</v>
      </c>
      <c r="D63" t="s">
        <v>514</v>
      </c>
      <c r="E63" t="s">
        <v>515</v>
      </c>
    </row>
    <row r="64" spans="1:5">
      <c r="A64" t="s">
        <v>306</v>
      </c>
      <c r="B64" t="s">
        <v>70</v>
      </c>
      <c r="C64" t="s">
        <v>513</v>
      </c>
      <c r="D64" t="s">
        <v>514</v>
      </c>
      <c r="E64" t="s">
        <v>515</v>
      </c>
    </row>
    <row r="65" spans="1:5">
      <c r="A65" t="s">
        <v>310</v>
      </c>
      <c r="B65" t="s">
        <v>216</v>
      </c>
      <c r="C65" t="s">
        <v>513</v>
      </c>
      <c r="D65" t="s">
        <v>514</v>
      </c>
      <c r="E65" t="s">
        <v>515</v>
      </c>
    </row>
    <row r="66" spans="1:5">
      <c r="A66" t="s">
        <v>312</v>
      </c>
      <c r="B66" t="s">
        <v>313</v>
      </c>
      <c r="C66" t="s">
        <v>513</v>
      </c>
      <c r="D66" t="s">
        <v>514</v>
      </c>
      <c r="E66" t="s">
        <v>515</v>
      </c>
    </row>
    <row r="67" spans="1:5">
      <c r="A67" t="s">
        <v>312</v>
      </c>
      <c r="B67" t="s">
        <v>144</v>
      </c>
      <c r="C67" t="s">
        <v>513</v>
      </c>
      <c r="D67" t="s">
        <v>514</v>
      </c>
      <c r="E67" t="s">
        <v>515</v>
      </c>
    </row>
    <row r="68" spans="1:5">
      <c r="A68" t="s">
        <v>316</v>
      </c>
      <c r="B68" t="s">
        <v>195</v>
      </c>
      <c r="C68" t="s">
        <v>513</v>
      </c>
      <c r="D68" t="s">
        <v>514</v>
      </c>
      <c r="E68" t="s">
        <v>515</v>
      </c>
    </row>
    <row r="69" spans="1:5">
      <c r="A69" t="s">
        <v>316</v>
      </c>
      <c r="B69" t="s">
        <v>255</v>
      </c>
      <c r="C69" t="s">
        <v>513</v>
      </c>
      <c r="D69" t="s">
        <v>514</v>
      </c>
      <c r="E69" t="s">
        <v>515</v>
      </c>
    </row>
    <row r="70" spans="1:5">
      <c r="A70" t="s">
        <v>321</v>
      </c>
      <c r="B70" t="s">
        <v>291</v>
      </c>
      <c r="C70" t="s">
        <v>513</v>
      </c>
      <c r="D70" t="s">
        <v>514</v>
      </c>
      <c r="E70" t="s">
        <v>515</v>
      </c>
    </row>
    <row r="71" spans="1:5">
      <c r="A71" t="s">
        <v>321</v>
      </c>
      <c r="B71" t="s">
        <v>234</v>
      </c>
      <c r="C71" t="s">
        <v>516</v>
      </c>
      <c r="D71" t="s">
        <v>514</v>
      </c>
      <c r="E71" t="s">
        <v>515</v>
      </c>
    </row>
    <row r="72" spans="1:5">
      <c r="A72" t="s">
        <v>322</v>
      </c>
      <c r="B72" t="s">
        <v>323</v>
      </c>
      <c r="C72" t="s">
        <v>513</v>
      </c>
      <c r="D72" t="s">
        <v>514</v>
      </c>
      <c r="E72" t="s">
        <v>515</v>
      </c>
    </row>
    <row r="73" spans="1:5">
      <c r="A73" t="s">
        <v>327</v>
      </c>
      <c r="B73" t="s">
        <v>231</v>
      </c>
      <c r="C73" t="s">
        <v>513</v>
      </c>
      <c r="D73" t="s">
        <v>514</v>
      </c>
      <c r="E73" t="s">
        <v>515</v>
      </c>
    </row>
    <row r="74" spans="1:5">
      <c r="A74" t="s">
        <v>327</v>
      </c>
      <c r="B74" t="s">
        <v>328</v>
      </c>
      <c r="C74" t="s">
        <v>513</v>
      </c>
      <c r="D74" t="s">
        <v>514</v>
      </c>
      <c r="E74" t="s">
        <v>515</v>
      </c>
    </row>
    <row r="75" spans="1:5">
      <c r="A75" t="s">
        <v>331</v>
      </c>
      <c r="B75" t="s">
        <v>87</v>
      </c>
      <c r="C75" t="s">
        <v>513</v>
      </c>
      <c r="D75" t="s">
        <v>514</v>
      </c>
      <c r="E75" t="s">
        <v>515</v>
      </c>
    </row>
    <row r="76" spans="1:5">
      <c r="A76" t="s">
        <v>331</v>
      </c>
      <c r="B76" t="s">
        <v>60</v>
      </c>
      <c r="C76" t="s">
        <v>513</v>
      </c>
      <c r="D76" t="s">
        <v>514</v>
      </c>
      <c r="E76" t="s">
        <v>515</v>
      </c>
    </row>
    <row r="77" spans="1:5">
      <c r="A77" t="s">
        <v>336</v>
      </c>
      <c r="B77" t="s">
        <v>70</v>
      </c>
      <c r="C77" t="s">
        <v>513</v>
      </c>
      <c r="D77" t="s">
        <v>514</v>
      </c>
      <c r="E77" t="s">
        <v>515</v>
      </c>
    </row>
    <row r="78" spans="1:5">
      <c r="A78" t="s">
        <v>336</v>
      </c>
      <c r="B78" t="s">
        <v>195</v>
      </c>
      <c r="C78" t="s">
        <v>513</v>
      </c>
      <c r="D78" t="s">
        <v>514</v>
      </c>
      <c r="E78" t="s">
        <v>515</v>
      </c>
    </row>
    <row r="79" spans="1:5">
      <c r="A79" t="s">
        <v>339</v>
      </c>
      <c r="B79" t="s">
        <v>127</v>
      </c>
      <c r="C79" t="s">
        <v>513</v>
      </c>
      <c r="D79" t="s">
        <v>514</v>
      </c>
      <c r="E79" t="s">
        <v>515</v>
      </c>
    </row>
    <row r="80" spans="1:5">
      <c r="A80" t="s">
        <v>339</v>
      </c>
      <c r="B80" t="s">
        <v>231</v>
      </c>
      <c r="C80" t="s">
        <v>513</v>
      </c>
      <c r="D80" t="s">
        <v>514</v>
      </c>
      <c r="E80" t="s">
        <v>515</v>
      </c>
    </row>
    <row r="81" spans="1:5">
      <c r="A81" t="s">
        <v>352</v>
      </c>
      <c r="B81" t="s">
        <v>156</v>
      </c>
      <c r="C81" t="s">
        <v>513</v>
      </c>
      <c r="D81" t="s">
        <v>514</v>
      </c>
      <c r="E81" t="s">
        <v>515</v>
      </c>
    </row>
    <row r="82" spans="1:5">
      <c r="A82" t="s">
        <v>352</v>
      </c>
      <c r="B82" t="s">
        <v>62</v>
      </c>
      <c r="C82" t="s">
        <v>513</v>
      </c>
      <c r="D82" t="s">
        <v>514</v>
      </c>
      <c r="E82" t="s">
        <v>515</v>
      </c>
    </row>
    <row r="83" spans="1:5">
      <c r="A83" t="s">
        <v>353</v>
      </c>
      <c r="B83" t="s">
        <v>156</v>
      </c>
      <c r="C83" t="s">
        <v>513</v>
      </c>
      <c r="D83" t="s">
        <v>514</v>
      </c>
      <c r="E83" t="s">
        <v>515</v>
      </c>
    </row>
    <row r="84" spans="1:5">
      <c r="A84" t="s">
        <v>353</v>
      </c>
      <c r="B84" t="s">
        <v>231</v>
      </c>
      <c r="C84" t="s">
        <v>513</v>
      </c>
      <c r="D84" t="s">
        <v>514</v>
      </c>
      <c r="E84" t="s">
        <v>515</v>
      </c>
    </row>
    <row r="85" spans="1:5">
      <c r="A85" t="s">
        <v>363</v>
      </c>
      <c r="B85" t="s">
        <v>156</v>
      </c>
      <c r="C85" t="s">
        <v>513</v>
      </c>
      <c r="D85" t="s">
        <v>514</v>
      </c>
      <c r="E85" t="s">
        <v>515</v>
      </c>
    </row>
    <row r="86" spans="1:5">
      <c r="A86" t="s">
        <v>363</v>
      </c>
      <c r="B86" t="s">
        <v>62</v>
      </c>
      <c r="C86" t="s">
        <v>513</v>
      </c>
      <c r="D86" t="s">
        <v>514</v>
      </c>
      <c r="E86" t="s">
        <v>515</v>
      </c>
    </row>
    <row r="87" spans="1:5">
      <c r="A87" t="s">
        <v>364</v>
      </c>
      <c r="B87" t="s">
        <v>365</v>
      </c>
      <c r="C87" t="s">
        <v>513</v>
      </c>
      <c r="D87" t="s">
        <v>514</v>
      </c>
      <c r="E87" t="s">
        <v>515</v>
      </c>
    </row>
    <row r="88" spans="1:5">
      <c r="A88" t="s">
        <v>367</v>
      </c>
      <c r="B88" t="s">
        <v>291</v>
      </c>
      <c r="C88" t="s">
        <v>513</v>
      </c>
      <c r="D88" t="s">
        <v>514</v>
      </c>
      <c r="E88" t="s">
        <v>515</v>
      </c>
    </row>
    <row r="89" spans="1:5">
      <c r="A89" t="s">
        <v>367</v>
      </c>
      <c r="B89" t="s">
        <v>96</v>
      </c>
      <c r="C89" t="s">
        <v>513</v>
      </c>
      <c r="D89" t="s">
        <v>514</v>
      </c>
      <c r="E89" t="s">
        <v>515</v>
      </c>
    </row>
    <row r="90" spans="1:5">
      <c r="A90" t="s">
        <v>372</v>
      </c>
      <c r="B90" t="s">
        <v>217</v>
      </c>
      <c r="C90" t="s">
        <v>513</v>
      </c>
      <c r="D90" t="s">
        <v>514</v>
      </c>
      <c r="E90" t="s">
        <v>515</v>
      </c>
    </row>
    <row r="91" spans="1:5">
      <c r="A91" t="s">
        <v>372</v>
      </c>
      <c r="B91" t="s">
        <v>374</v>
      </c>
      <c r="C91" t="s">
        <v>516</v>
      </c>
      <c r="D91" t="s">
        <v>514</v>
      </c>
      <c r="E91" t="s">
        <v>515</v>
      </c>
    </row>
    <row r="92" spans="1:5">
      <c r="A92" t="s">
        <v>382</v>
      </c>
      <c r="B92" t="s">
        <v>373</v>
      </c>
      <c r="C92" t="s">
        <v>513</v>
      </c>
      <c r="D92" t="s">
        <v>514</v>
      </c>
      <c r="E92" t="s">
        <v>515</v>
      </c>
    </row>
    <row r="93" spans="1:5">
      <c r="A93" t="s">
        <v>382</v>
      </c>
      <c r="B93" t="s">
        <v>62</v>
      </c>
      <c r="C93" t="s">
        <v>516</v>
      </c>
      <c r="D93" t="s">
        <v>514</v>
      </c>
      <c r="E93" t="s">
        <v>515</v>
      </c>
    </row>
    <row r="94" spans="1:5">
      <c r="A94" t="s">
        <v>385</v>
      </c>
      <c r="B94" t="s">
        <v>194</v>
      </c>
      <c r="C94" t="s">
        <v>513</v>
      </c>
      <c r="D94" t="s">
        <v>514</v>
      </c>
      <c r="E94" t="s">
        <v>515</v>
      </c>
    </row>
    <row r="95" spans="1:5">
      <c r="A95" t="s">
        <v>385</v>
      </c>
      <c r="B95" t="s">
        <v>70</v>
      </c>
      <c r="C95" t="s">
        <v>516</v>
      </c>
      <c r="D95" t="s">
        <v>514</v>
      </c>
      <c r="E95" t="s">
        <v>515</v>
      </c>
    </row>
    <row r="96" spans="1:5">
      <c r="A96" t="s">
        <v>390</v>
      </c>
      <c r="B96" t="s">
        <v>182</v>
      </c>
      <c r="C96" t="s">
        <v>513</v>
      </c>
      <c r="D96" t="s">
        <v>514</v>
      </c>
      <c r="E96" t="s">
        <v>515</v>
      </c>
    </row>
    <row r="97" spans="1:5">
      <c r="A97" t="s">
        <v>390</v>
      </c>
      <c r="B97" t="s">
        <v>62</v>
      </c>
      <c r="C97" t="s">
        <v>516</v>
      </c>
      <c r="D97" t="s">
        <v>514</v>
      </c>
      <c r="E97" t="s">
        <v>515</v>
      </c>
    </row>
    <row r="98" spans="1:5">
      <c r="A98" t="s">
        <v>400</v>
      </c>
      <c r="B98" t="s">
        <v>156</v>
      </c>
      <c r="C98" t="s">
        <v>513</v>
      </c>
      <c r="D98" t="s">
        <v>514</v>
      </c>
      <c r="E98" t="s">
        <v>515</v>
      </c>
    </row>
    <row r="99" spans="1:5">
      <c r="A99" t="s">
        <v>400</v>
      </c>
      <c r="B99" t="s">
        <v>61</v>
      </c>
      <c r="C99" t="s">
        <v>516</v>
      </c>
      <c r="D99" t="s">
        <v>514</v>
      </c>
      <c r="E99" t="s">
        <v>515</v>
      </c>
    </row>
    <row r="100" spans="1:5">
      <c r="A100" t="s">
        <v>403</v>
      </c>
      <c r="B100" t="s">
        <v>263</v>
      </c>
      <c r="C100" t="s">
        <v>513</v>
      </c>
      <c r="D100" t="s">
        <v>514</v>
      </c>
      <c r="E100" t="s">
        <v>515</v>
      </c>
    </row>
    <row r="101" spans="1:5">
      <c r="A101" t="s">
        <v>403</v>
      </c>
      <c r="B101" t="s">
        <v>365</v>
      </c>
      <c r="C101" t="s">
        <v>513</v>
      </c>
      <c r="D101" t="s">
        <v>514</v>
      </c>
      <c r="E101" t="s">
        <v>515</v>
      </c>
    </row>
    <row r="102" spans="1:5">
      <c r="A102" t="s">
        <v>408</v>
      </c>
      <c r="B102" t="s">
        <v>231</v>
      </c>
      <c r="C102" t="s">
        <v>516</v>
      </c>
      <c r="D102" t="s">
        <v>514</v>
      </c>
      <c r="E102" t="s">
        <v>515</v>
      </c>
    </row>
    <row r="103" spans="1:5">
      <c r="A103" t="s">
        <v>409</v>
      </c>
      <c r="B103" t="s">
        <v>248</v>
      </c>
      <c r="C103" t="s">
        <v>513</v>
      </c>
      <c r="D103" t="s">
        <v>514</v>
      </c>
      <c r="E103" t="s">
        <v>515</v>
      </c>
    </row>
    <row r="104" spans="1:5">
      <c r="A104" t="s">
        <v>409</v>
      </c>
      <c r="B104" t="s">
        <v>412</v>
      </c>
      <c r="C104" t="s">
        <v>516</v>
      </c>
      <c r="D104" t="s">
        <v>514</v>
      </c>
      <c r="E104" t="s">
        <v>515</v>
      </c>
    </row>
    <row r="105" spans="1:5">
      <c r="A105" t="s">
        <v>418</v>
      </c>
      <c r="B105" t="s">
        <v>263</v>
      </c>
      <c r="C105" t="s">
        <v>513</v>
      </c>
      <c r="D105" t="s">
        <v>514</v>
      </c>
      <c r="E105" t="s">
        <v>515</v>
      </c>
    </row>
    <row r="106" spans="1:5">
      <c r="A106" t="s">
        <v>418</v>
      </c>
      <c r="B106" t="s">
        <v>217</v>
      </c>
      <c r="C106" t="s">
        <v>513</v>
      </c>
      <c r="D106" t="s">
        <v>514</v>
      </c>
      <c r="E106" t="s">
        <v>515</v>
      </c>
    </row>
    <row r="107" spans="1:5">
      <c r="A107" t="s">
        <v>425</v>
      </c>
      <c r="B107" t="s">
        <v>285</v>
      </c>
      <c r="C107" t="s">
        <v>513</v>
      </c>
      <c r="D107" t="s">
        <v>514</v>
      </c>
      <c r="E107" t="s">
        <v>515</v>
      </c>
    </row>
    <row r="108" spans="1:5">
      <c r="A108" t="s">
        <v>425</v>
      </c>
      <c r="B108" t="s">
        <v>283</v>
      </c>
      <c r="C108" t="s">
        <v>516</v>
      </c>
      <c r="D108" t="s">
        <v>514</v>
      </c>
      <c r="E108" t="s">
        <v>515</v>
      </c>
    </row>
    <row r="109" spans="1:5">
      <c r="A109" t="s">
        <v>435</v>
      </c>
      <c r="B109" t="s">
        <v>60</v>
      </c>
      <c r="C109" t="s">
        <v>513</v>
      </c>
      <c r="D109" t="s">
        <v>514</v>
      </c>
      <c r="E109" t="s">
        <v>515</v>
      </c>
    </row>
    <row r="110" spans="1:5">
      <c r="A110" t="s">
        <v>435</v>
      </c>
      <c r="B110" t="s">
        <v>195</v>
      </c>
      <c r="C110" t="s">
        <v>513</v>
      </c>
      <c r="D110" t="s">
        <v>514</v>
      </c>
      <c r="E110" t="s">
        <v>515</v>
      </c>
    </row>
    <row r="111" spans="1:5">
      <c r="A111" t="s">
        <v>438</v>
      </c>
      <c r="B111" t="s">
        <v>440</v>
      </c>
      <c r="C111" t="s">
        <v>513</v>
      </c>
      <c r="D111" t="s">
        <v>514</v>
      </c>
      <c r="E111" t="s">
        <v>515</v>
      </c>
    </row>
    <row r="112" spans="1:5">
      <c r="A112" t="s">
        <v>438</v>
      </c>
      <c r="B112" t="s">
        <v>444</v>
      </c>
      <c r="C112" t="s">
        <v>516</v>
      </c>
      <c r="D112" t="s">
        <v>514</v>
      </c>
      <c r="E112" t="s">
        <v>515</v>
      </c>
    </row>
    <row r="114" spans="1:3">
      <c r="A114" s="3" t="s">
        <v>517</v>
      </c>
      <c r="C114" s="4">
        <f>COUNTA(_xlfn.UNIQUE(A3:A112))</f>
        <v>62</v>
      </c>
    </row>
    <row r="116" spans="1:3">
      <c r="A116" s="3" t="s">
        <v>518</v>
      </c>
      <c r="C116" s="4">
        <f>COUNTIF(C3:C112, "Primary")</f>
        <v>92</v>
      </c>
    </row>
    <row r="117" spans="1:3">
      <c r="A117" s="3" t="s">
        <v>519</v>
      </c>
      <c r="C117" s="4">
        <f>COUNTIF(C3:C112, "Metastatic")</f>
        <v>18</v>
      </c>
    </row>
    <row r="118" spans="1:3">
      <c r="A118" s="3" t="s">
        <v>520</v>
      </c>
      <c r="C118" s="4">
        <f>COUNTIF(C3:C112, "Normal")</f>
        <v>0</v>
      </c>
    </row>
    <row r="119" spans="1:3">
      <c r="A119" s="5"/>
      <c r="C119" s="14"/>
    </row>
    <row r="120" spans="1:3">
      <c r="A120" s="3" t="s">
        <v>521</v>
      </c>
      <c r="C120" s="15">
        <f>SUM(C116:C118)</f>
        <v>110</v>
      </c>
    </row>
  </sheetData>
  <mergeCells count="1">
    <mergeCell ref="D1:E1"/>
  </mergeCells>
  <conditionalFormatting sqref="A2">
    <cfRule type="duplicateValues" dxfId="1" priority="5"/>
  </conditionalFormatting>
  <conditionalFormatting sqref="A114 C114">
    <cfRule type="duplicateValues" dxfId="0" priority="6"/>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69926-5CC2-41A7-A269-CF9ADBFAE9C1}">
  <sheetPr codeName="Sheet4"/>
  <dimension ref="A2:A10"/>
  <sheetViews>
    <sheetView workbookViewId="0">
      <selection activeCell="H18" sqref="H18"/>
    </sheetView>
  </sheetViews>
  <sheetFormatPr defaultRowHeight="15.75"/>
  <sheetData>
    <row r="2" spans="1:1">
      <c r="A2" t="s">
        <v>522</v>
      </c>
    </row>
    <row r="3" spans="1:1">
      <c r="A3" t="s">
        <v>523</v>
      </c>
    </row>
    <row r="4" spans="1:1">
      <c r="A4" t="s">
        <v>524</v>
      </c>
    </row>
    <row r="6" spans="1:1">
      <c r="A6" t="s">
        <v>525</v>
      </c>
    </row>
    <row r="7" spans="1:1">
      <c r="A7" t="s">
        <v>526</v>
      </c>
    </row>
    <row r="9" spans="1:1">
      <c r="A9" t="s">
        <v>527</v>
      </c>
    </row>
    <row r="10" spans="1:1">
      <c r="A10"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FREER, Clare (LEEDS TEACHING HOSPITALS NHS TRUST)</cp:lastModifiedBy>
  <cp:revision/>
  <dcterms:created xsi:type="dcterms:W3CDTF">2022-06-16T21:28:15Z</dcterms:created>
  <dcterms:modified xsi:type="dcterms:W3CDTF">2026-09-10T05:54:56Z</dcterms:modified>
  <cp:category/>
  <cp:contentStatus/>
</cp:coreProperties>
</file>