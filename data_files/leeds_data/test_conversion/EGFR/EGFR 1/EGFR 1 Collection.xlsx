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codeName="ThisWorkbook" defaultThemeVersion="166925"/>
  <mc:AlternateContent xmlns:mc="http://schemas.openxmlformats.org/markup-compatibility/2006">
    <mc:Choice Requires="x15">
      <x15ac:absPath xmlns:x15ac="http://schemas.microsoft.com/office/spreadsheetml/2010/11/ac" url="https://nhs-my.sharepoint.com/personal/clare_freer2_nhs_net/Documents/TrisStar metadata/EGFR/"/>
    </mc:Choice>
  </mc:AlternateContent>
  <xr:revisionPtr revIDLastSave="1677" documentId="11_F9F6FD2F9EAEFA52C416220E3D9E4704522FE6A2" xr6:coauthVersionLast="47" xr6:coauthVersionMax="47" xr10:uidLastSave="{D78C4149-5EBE-4D7E-BB0E-A99939089409}"/>
  <bookViews>
    <workbookView xWindow="28680" yWindow="-120" windowWidth="29040" windowHeight="17640" firstSheet="5" xr2:uid="{00000000-000D-0000-FFFF-FFFF00000000}"/>
  </bookViews>
  <sheets>
    <sheet name="Mutated resections" sheetId="1" r:id="rId1"/>
    <sheet name="Mutated biopsies" sheetId="5" r:id="rId2"/>
    <sheet name="WT resections" sheetId="6" r:id="rId3"/>
    <sheet name="WT biopsies" sheetId="7" r:id="rId4"/>
    <sheet name="Sheet1" sheetId="16" r:id="rId5"/>
    <sheet name="Packing list" sheetId="3" r:id="rId6"/>
    <sheet name="Notes" sheetId="4" r:id="rId7"/>
    <sheet name="Mutated resections (PGSQL)" sheetId="12" r:id="rId8"/>
    <sheet name="Mutated biopsies (PGSQL)" sheetId="13" r:id="rId9"/>
    <sheet name="WT resections (PGSQL)" sheetId="14" r:id="rId10"/>
    <sheet name="WT biopsies (PGSQL)" sheetId="1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3" l="1"/>
  <c r="C18" i="3"/>
  <c r="C17" i="3"/>
  <c r="C21" i="3"/>
  <c r="C15" i="3"/>
  <c r="AU66" i="15"/>
  <c r="AT66" i="15"/>
  <c r="AS66" i="15"/>
  <c r="AR66" i="15"/>
  <c r="AQ66" i="15"/>
  <c r="AP66" i="15"/>
  <c r="AO66" i="15"/>
  <c r="AN66" i="15"/>
  <c r="AM66" i="15"/>
  <c r="AL66" i="15"/>
  <c r="AK66" i="15"/>
  <c r="AJ66" i="15"/>
  <c r="AI66" i="15"/>
  <c r="AH66" i="15"/>
  <c r="AG66" i="15"/>
  <c r="AF66" i="15"/>
  <c r="AE66" i="15"/>
  <c r="AD66" i="15"/>
  <c r="AC66" i="15"/>
  <c r="AB66" i="15"/>
  <c r="AA66" i="15"/>
  <c r="Z66" i="15"/>
  <c r="Y66" i="15"/>
  <c r="X66" i="15"/>
  <c r="W66" i="15"/>
  <c r="V66" i="15"/>
  <c r="U66" i="15"/>
  <c r="T66" i="15"/>
  <c r="S66" i="15"/>
  <c r="R66" i="15"/>
  <c r="Q66" i="15"/>
  <c r="P66" i="15"/>
  <c r="O66" i="15"/>
  <c r="N66" i="15"/>
  <c r="M66" i="15"/>
  <c r="L66" i="15"/>
  <c r="K66" i="15"/>
  <c r="J66" i="15"/>
  <c r="I66" i="15"/>
  <c r="H66" i="15"/>
  <c r="G66" i="15"/>
  <c r="F66" i="15"/>
  <c r="E66" i="15"/>
  <c r="D66" i="15"/>
  <c r="C66" i="15"/>
  <c r="B66" i="15"/>
  <c r="A66" i="15"/>
  <c r="AU63" i="14"/>
  <c r="AT63" i="14"/>
  <c r="AS63" i="14"/>
  <c r="AR63" i="14"/>
  <c r="AQ63" i="14"/>
  <c r="AP63" i="14"/>
  <c r="AO63" i="14"/>
  <c r="AN63" i="14"/>
  <c r="AM63" i="14"/>
  <c r="AL63" i="14"/>
  <c r="AK63" i="14"/>
  <c r="AJ63" i="14"/>
  <c r="AI63" i="14"/>
  <c r="AH63" i="14"/>
  <c r="AG63" i="14"/>
  <c r="AF63" i="14"/>
  <c r="AE63" i="14"/>
  <c r="AD63" i="14"/>
  <c r="AC63" i="14"/>
  <c r="AB63" i="14"/>
  <c r="AA63" i="14"/>
  <c r="Z63" i="14"/>
  <c r="Y63" i="14"/>
  <c r="X63" i="14"/>
  <c r="W63" i="14"/>
  <c r="V63" i="14"/>
  <c r="U63" i="14"/>
  <c r="T63" i="14"/>
  <c r="S63" i="14"/>
  <c r="R63" i="14"/>
  <c r="Q63" i="14"/>
  <c r="P63" i="14"/>
  <c r="O63" i="14"/>
  <c r="N63" i="14"/>
  <c r="M63" i="14"/>
  <c r="L63" i="14"/>
  <c r="K63" i="14"/>
  <c r="J63" i="14"/>
  <c r="I63" i="14"/>
  <c r="H63" i="14"/>
  <c r="G63" i="14"/>
  <c r="F63" i="14"/>
  <c r="E63" i="14"/>
  <c r="D63" i="14"/>
  <c r="C63" i="14"/>
  <c r="B63" i="14"/>
  <c r="A63" i="14"/>
  <c r="AU22" i="13"/>
  <c r="AT22" i="13"/>
  <c r="AS22" i="13"/>
  <c r="AR22" i="13"/>
  <c r="AQ22" i="13"/>
  <c r="AP22" i="13"/>
  <c r="AO22" i="13"/>
  <c r="AN22" i="13"/>
  <c r="AM22" i="13"/>
  <c r="AL22" i="13"/>
  <c r="AK22" i="13"/>
  <c r="AJ22" i="13"/>
  <c r="AI22" i="13"/>
  <c r="AH22" i="13"/>
  <c r="AG22" i="13"/>
  <c r="AF22" i="13"/>
  <c r="AE22" i="13"/>
  <c r="AD22" i="13"/>
  <c r="AC22" i="13"/>
  <c r="AB22" i="13"/>
  <c r="AA22" i="13"/>
  <c r="Z22" i="13"/>
  <c r="Y22" i="13"/>
  <c r="X22" i="13"/>
  <c r="W22" i="13"/>
  <c r="V22" i="13"/>
  <c r="U22" i="13"/>
  <c r="T22" i="13"/>
  <c r="S22" i="13"/>
  <c r="R22" i="13"/>
  <c r="Q22" i="13"/>
  <c r="P22" i="13"/>
  <c r="O22" i="13"/>
  <c r="N22" i="13"/>
  <c r="M22" i="13"/>
  <c r="L22" i="13"/>
  <c r="K22" i="13"/>
  <c r="J22" i="13"/>
  <c r="I22" i="13"/>
  <c r="H22" i="13"/>
  <c r="G22" i="13"/>
  <c r="F22" i="13"/>
  <c r="E22" i="13"/>
  <c r="D22" i="13"/>
  <c r="C22" i="13"/>
  <c r="B22" i="13"/>
  <c r="A22" i="13"/>
  <c r="AU24" i="12"/>
  <c r="AT24" i="12"/>
  <c r="AS24" i="12"/>
  <c r="AR24" i="12"/>
  <c r="AQ24" i="12"/>
  <c r="AP24" i="12"/>
  <c r="AO24" i="12"/>
  <c r="AN24" i="12"/>
  <c r="AM24" i="12"/>
  <c r="AL24" i="12"/>
  <c r="AK24" i="12"/>
  <c r="AJ24" i="12"/>
  <c r="AI24" i="12"/>
  <c r="AH24" i="12"/>
  <c r="AG24" i="12"/>
  <c r="AF24" i="12"/>
  <c r="AE24" i="12"/>
  <c r="AD24" i="12"/>
  <c r="AC24"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B30" i="1"/>
  <c r="C30" i="1"/>
  <c r="D30" i="1"/>
  <c r="E30" i="1"/>
  <c r="F30" i="1"/>
  <c r="G30" i="1"/>
  <c r="H30" i="1"/>
  <c r="I30" i="1"/>
  <c r="J30" i="1"/>
  <c r="K30" i="1"/>
  <c r="L30" i="1"/>
  <c r="M30" i="1"/>
  <c r="N30" i="1"/>
  <c r="O30" i="1"/>
  <c r="P30" i="1"/>
  <c r="Q30" i="1"/>
  <c r="R30" i="1"/>
  <c r="S30" i="1"/>
  <c r="T30" i="1"/>
  <c r="U30" i="1"/>
  <c r="V30" i="1"/>
  <c r="W30" i="1"/>
  <c r="X30" i="1"/>
  <c r="Y30" i="1"/>
  <c r="Z30" i="1"/>
  <c r="AA30" i="1"/>
  <c r="AB30" i="1"/>
  <c r="AC30" i="1"/>
  <c r="AD30" i="1"/>
  <c r="AE30" i="1"/>
  <c r="AF30" i="1"/>
  <c r="AG30" i="1"/>
  <c r="AH30" i="1"/>
  <c r="AI30" i="1"/>
  <c r="AJ30" i="1"/>
  <c r="AK30" i="1"/>
  <c r="AL30" i="1"/>
  <c r="AM30" i="1"/>
  <c r="AN30" i="1"/>
  <c r="AO30" i="1"/>
  <c r="AP30" i="1"/>
  <c r="AQ30" i="1"/>
  <c r="AR30" i="1"/>
  <c r="AS30" i="1"/>
  <c r="AT30" i="1"/>
  <c r="AU30" i="1"/>
  <c r="A30" i="1"/>
  <c r="B25" i="5"/>
  <c r="C25" i="5"/>
  <c r="D25" i="5"/>
  <c r="E25" i="5"/>
  <c r="F25" i="5"/>
  <c r="G25" i="5"/>
  <c r="H25" i="5"/>
  <c r="I25" i="5"/>
  <c r="J25" i="5"/>
  <c r="K25" i="5"/>
  <c r="L25" i="5"/>
  <c r="M25" i="5"/>
  <c r="N25" i="5"/>
  <c r="O25" i="5"/>
  <c r="P25" i="5"/>
  <c r="Q25" i="5"/>
  <c r="R25" i="5"/>
  <c r="S25" i="5"/>
  <c r="T25" i="5"/>
  <c r="U25" i="5"/>
  <c r="V25" i="5"/>
  <c r="W25" i="5"/>
  <c r="X25" i="5"/>
  <c r="Y25" i="5"/>
  <c r="Z25" i="5"/>
  <c r="AA25" i="5"/>
  <c r="AB25" i="5"/>
  <c r="AC25" i="5"/>
  <c r="AD25" i="5"/>
  <c r="AE25" i="5"/>
  <c r="AF25" i="5"/>
  <c r="AG25" i="5"/>
  <c r="AH25" i="5"/>
  <c r="AI25" i="5"/>
  <c r="AJ25" i="5"/>
  <c r="AK25" i="5"/>
  <c r="AL25" i="5"/>
  <c r="AM25" i="5"/>
  <c r="AN25" i="5"/>
  <c r="AO25" i="5"/>
  <c r="AP25" i="5"/>
  <c r="AQ25" i="5"/>
  <c r="AR25" i="5"/>
  <c r="AS25" i="5"/>
  <c r="AT25" i="5"/>
  <c r="AU25" i="5"/>
  <c r="A25" i="5"/>
  <c r="B68" i="6"/>
  <c r="C68" i="6"/>
  <c r="D68" i="6"/>
  <c r="E68" i="6"/>
  <c r="F68" i="6"/>
  <c r="G68" i="6"/>
  <c r="H68" i="6"/>
  <c r="I68" i="6"/>
  <c r="J68" i="6"/>
  <c r="K68" i="6"/>
  <c r="L68" i="6"/>
  <c r="M68" i="6"/>
  <c r="N68" i="6"/>
  <c r="O68" i="6"/>
  <c r="P68" i="6"/>
  <c r="Q68" i="6"/>
  <c r="R68" i="6"/>
  <c r="S68" i="6"/>
  <c r="T68" i="6"/>
  <c r="U68" i="6"/>
  <c r="V68" i="6"/>
  <c r="W68" i="6"/>
  <c r="X68" i="6"/>
  <c r="Y68" i="6"/>
  <c r="Z68" i="6"/>
  <c r="AA68" i="6"/>
  <c r="AB68" i="6"/>
  <c r="AC68" i="6"/>
  <c r="AD68" i="6"/>
  <c r="AE68" i="6"/>
  <c r="AF68" i="6"/>
  <c r="AG68" i="6"/>
  <c r="AH68" i="6"/>
  <c r="AI68" i="6"/>
  <c r="AJ68" i="6"/>
  <c r="AK68" i="6"/>
  <c r="AL68" i="6"/>
  <c r="AM68" i="6"/>
  <c r="AN68" i="6"/>
  <c r="AO68" i="6"/>
  <c r="AP68" i="6"/>
  <c r="AQ68" i="6"/>
  <c r="AR68" i="6"/>
  <c r="AS68" i="6"/>
  <c r="AT68" i="6"/>
  <c r="AU68" i="6"/>
  <c r="A68" i="6"/>
  <c r="B69" i="7"/>
  <c r="C69" i="7"/>
  <c r="D69" i="7"/>
  <c r="E69" i="7"/>
  <c r="F69" i="7"/>
  <c r="G69" i="7"/>
  <c r="H69" i="7"/>
  <c r="I69" i="7"/>
  <c r="J69" i="7"/>
  <c r="K69" i="7"/>
  <c r="L69" i="7"/>
  <c r="M69" i="7"/>
  <c r="N69" i="7"/>
  <c r="O69" i="7"/>
  <c r="P69" i="7"/>
  <c r="Q69" i="7"/>
  <c r="R69" i="7"/>
  <c r="S69" i="7"/>
  <c r="T69" i="7"/>
  <c r="U69" i="7"/>
  <c r="V69" i="7"/>
  <c r="W69" i="7"/>
  <c r="X69" i="7"/>
  <c r="Y69" i="7"/>
  <c r="Z69" i="7"/>
  <c r="AA69" i="7"/>
  <c r="AB69" i="7"/>
  <c r="AC69" i="7"/>
  <c r="AD69" i="7"/>
  <c r="AE69" i="7"/>
  <c r="AF69" i="7"/>
  <c r="AG69" i="7"/>
  <c r="AH69" i="7"/>
  <c r="AI69" i="7"/>
  <c r="AJ69" i="7"/>
  <c r="AK69" i="7"/>
  <c r="AL69" i="7"/>
  <c r="AM69" i="7"/>
  <c r="AN69" i="7"/>
  <c r="AO69" i="7"/>
  <c r="AP69" i="7"/>
  <c r="AQ69" i="7"/>
  <c r="AR69" i="7"/>
  <c r="AS69" i="7"/>
  <c r="AT69" i="7"/>
  <c r="AU69" i="7"/>
  <c r="A6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tc={6E7AB359-325F-4860-97D8-414FBF7F94E2}</author>
    <author>tc={6C9DD04C-A3E5-49A9-B674-F758E13168BA}</author>
    <author>tc={E3BD1C2C-FDEA-458F-914F-F44F6168FA9C}</author>
    <author>tc={3A5865FB-1533-4EBA-9426-2A20E30A4B78}</author>
    <author>tc={B13FFC2B-7B1F-4284-9891-2704C3AC3321}</author>
    <author>tc={E8C5DF39-4CA5-4AB3-8BBA-11A7A2767542}</author>
    <author>tc={B76E9903-4FAA-4190-9B84-AB61DE148EBB}</author>
  </authors>
  <commentList>
    <comment ref="AC8" authorId="0" shapeId="0" xr:uid="{6E7AB359-325F-4860-97D8-414FBF7F94E2}">
      <text>
        <t>[Threaded comment]
Your version of Excel allows you to read this threaded comment; however, any edits to it will get removed if the file is opened in a newer version of Excel. Learn more: https://go.microsoft.com/fwlink/?linkid=870924
Comment:
    B13 - LUNG, B2 - BRONCHUS</t>
      </text>
    </comment>
    <comment ref="AC13" authorId="1" shapeId="0" xr:uid="{6C9DD04C-A3E5-49A9-B674-F758E13168BA}">
      <text>
        <t>[Threaded comment]
Your version of Excel allows you to read this threaded comment; however, any edits to it will get removed if the file is opened in a newer version of Excel. Learn more: https://go.microsoft.com/fwlink/?linkid=870924
Comment:
    LUNG</t>
      </text>
    </comment>
    <comment ref="AC17" authorId="2" shapeId="0" xr:uid="{E3BD1C2C-FDEA-458F-914F-F44F6168FA9C}">
      <text>
        <t>[Threaded comment]
Your version of Excel allows you to read this threaded comment; however, any edits to it will get removed if the file is opened in a newer version of Excel. Learn more: https://go.microsoft.com/fwlink/?linkid=870924
Comment:
    LUNG</t>
      </text>
    </comment>
    <comment ref="AC19" authorId="3" shapeId="0" xr:uid="{3A5865FB-1533-4EBA-9426-2A20E30A4B78}">
      <text>
        <t>[Threaded comment]
Your version of Excel allows you to read this threaded comment; however, any edits to it will get removed if the file is opened in a newer version of Excel. Learn more: https://go.microsoft.com/fwlink/?linkid=870924
Comment:
    BRONCHUS</t>
      </text>
    </comment>
    <comment ref="AC21" authorId="4" shapeId="0" xr:uid="{B13FFC2B-7B1F-4284-9891-2704C3AC3321}">
      <text>
        <t>[Threaded comment]
Your version of Excel allows you to read this threaded comment; however, any edits to it will get removed if the file is opened in a newer version of Excel. Learn more: https://go.microsoft.com/fwlink/?linkid=870924
Comment:
    BRONCHUS</t>
      </text>
    </comment>
    <comment ref="AC22" authorId="5" shapeId="0" xr:uid="{E8C5DF39-4CA5-4AB3-8BBA-11A7A2767542}">
      <text>
        <t>[Threaded comment]
Your version of Excel allows you to read this threaded comment; however, any edits to it will get removed if the file is opened in a newer version of Excel. Learn more: https://go.microsoft.com/fwlink/?linkid=870924
Comment:
    LUNG</t>
      </text>
    </comment>
    <comment ref="A24" authorId="6" shapeId="0" xr:uid="{B76E9903-4FAA-4190-9B84-AB61DE148EBB}">
      <text>
        <t>[Threaded comment]
Your version of Excel allows you to read this threaded comment; however, any edits to it will get removed if the file is opened in a newer version of Excel. Learn more: https://go.microsoft.com/fwlink/?linkid=870924
Comment:
    Sent with  Pembro &amp; Nivo Lung IO 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tc={A967ACAD-3B38-4804-A506-C810CDA3D3DD}</author>
    <author>tc={765508F8-E7CD-44A3-B83F-4D2933C7E9EA}</author>
    <author>tc={CCDF7E25-2265-4758-958B-DDE5DFDC932C}</author>
    <author>tc={3142C2A4-9E61-4E07-8CD4-6BA6AB45D302}</author>
    <author>tc={EAC4CEBC-3A9F-4C42-93F8-AFFEDC3260FD}</author>
    <author>tc={7F075A79-108B-4235-8533-C0A97480396D}</author>
    <author>tc={125A4F41-EF36-4304-8D26-AA3390927D45}</author>
    <author>tc={D0435C50-379F-42C3-81C6-59C72CE6091D}</author>
    <author>tc={78AFB439-C363-4653-8319-8995CE203783}</author>
    <author>tc={663119E4-3685-49D6-8D80-E3AD8F622C31}</author>
    <author>tc={97B3430F-EF19-44F8-A1A8-8F82A003FB28}</author>
    <author>tc={3899398D-51FE-4700-BEB3-1D5AEE745571}</author>
    <author>tc={62207458-AF06-4CF8-B4EE-2EA576FBEEC8}</author>
    <author>tc={28C83C9A-29C1-4460-9C88-20346B2C9DDB}</author>
    <author>tc={8ADA20B5-396F-426D-881E-97F4BC730E39}</author>
    <author>tc={405A2D6C-9FF5-4136-81BB-39365BF5477E}</author>
    <author>tc={B8CC4C9E-39CF-4DDB-93F6-9E489A8F198F}</author>
    <author>tc={7A8301C9-4EE7-4A63-B4DE-3929AF319F64}</author>
    <author>tc={59C4ED16-B79A-4452-83E3-1664B9AFC5CD}</author>
    <author>tc={03694913-EE97-48D1-A561-8C8D27929CBB}</author>
    <author>tc={3A2A4328-3867-44FE-95F4-0EC9393F0E1C}</author>
    <author>tc={E2FCE919-0AE8-44ED-8196-FF6B06B143CE}</author>
    <author>tc={93ABE39F-113C-4A25-B86E-5A86E7E39255}</author>
    <author>tc={25CB7985-C72E-4439-BEEA-0AEDE149A2CC}</author>
    <author>tc={B6A75CC8-A47B-4CD7-88B7-DBC1ACDAC86A}</author>
    <author>tc={3512CD2F-ECC6-4039-B653-7270F412134B}</author>
    <author>tc={2FCD4978-BD86-4F17-BB04-9DE3A856477D}</author>
  </authors>
  <commentList>
    <comment ref="AC10" authorId="0" shapeId="0" xr:uid="{A967ACAD-3B38-4804-A506-C810CDA3D3DD}">
      <text>
        <t>[Threaded comment]
Your version of Excel allows you to read this threaded comment; however, any edits to it will get removed if the file is opened in a newer version of Excel. Learn more: https://go.microsoft.com/fwlink/?linkid=870924
Comment:
    LUNG</t>
      </text>
    </comment>
    <comment ref="A15" authorId="1" shapeId="0" xr:uid="{765508F8-E7CD-44A3-B83F-4D2933C7E9EA}">
      <text>
        <t>[Threaded comment]
Your version of Excel allows you to read this threaded comment; however, any edits to it will get removed if the file is opened in a newer version of Excel. Learn more: https://go.microsoft.com/fwlink/?linkid=870924
Comment:
    Sent with  Pembro 2019</t>
      </text>
    </comment>
    <comment ref="A18" authorId="2" shapeId="0" xr:uid="{CCDF7E25-2265-4758-958B-DDE5DFDC932C}">
      <text>
        <t>[Threaded comment]
Your version of Excel allows you to read this threaded comment; however, any edits to it will get removed if the file is opened in a newer version of Excel. Learn more: https://go.microsoft.com/fwlink/?linkid=870924
Comment:
     Sent with Combined transfer 1</t>
      </text>
    </comment>
    <comment ref="A19" authorId="3" shapeId="0" xr:uid="{3142C2A4-9E61-4E07-8CD4-6BA6AB45D302}">
      <text>
        <t>[Threaded comment]
Your version of Excel allows you to read this threaded comment; however, any edits to it will get removed if the file is opened in a newer version of Excel. Learn more: https://go.microsoft.com/fwlink/?linkid=870924
Comment:
     Sent with Combined transfer 1</t>
      </text>
    </comment>
    <comment ref="A21" authorId="4" shapeId="0" xr:uid="{EAC4CEBC-3A9F-4C42-93F8-AFFEDC3260FD}">
      <text>
        <t>[Threaded comment]
Your version of Excel allows you to read this threaded comment; however, any edits to it will get removed if the file is opened in a newer version of Excel. Learn more: https://go.microsoft.com/fwlink/?linkid=870924
Comment:
     Sent with Combined transfer 1</t>
      </text>
    </comment>
    <comment ref="AC22" authorId="5" shapeId="0" xr:uid="{7F075A79-108B-4235-8533-C0A97480396D}">
      <text>
        <t>[Threaded comment]
Your version of Excel allows you to read this threaded comment; however, any edits to it will get removed if the file is opened in a newer version of Excel. Learn more: https://go.microsoft.com/fwlink/?linkid=870924
Comment:
    LUNG</t>
      </text>
    </comment>
    <comment ref="AC23" authorId="6" shapeId="0" xr:uid="{125A4F41-EF36-4304-8D26-AA3390927D45}">
      <text>
        <t>[Threaded comment]
Your version of Excel allows you to read this threaded comment; however, any edits to it will get removed if the file is opened in a newer version of Excel. Learn more: https://go.microsoft.com/fwlink/?linkid=870924
Comment:
    LUNG</t>
      </text>
    </comment>
    <comment ref="A25" authorId="7" shapeId="0" xr:uid="{D0435C50-379F-42C3-81C6-59C72CE6091D}">
      <text>
        <t>[Threaded comment]
Your version of Excel allows you to read this threaded comment; however, any edits to it will get removed if the file is opened in a newer version of Excel. Learn more: https://go.microsoft.com/fwlink/?linkid=870924
Comment:
    Sent with Pembro 2020</t>
      </text>
    </comment>
    <comment ref="A28" authorId="8" shapeId="0" xr:uid="{78AFB439-C363-4653-8319-8995CE203783}">
      <text>
        <t>[Threaded comment]
Your version of Excel allows you to read this threaded comment; however, any edits to it will get removed if the file is opened in a newer version of Excel. Learn more: https://go.microsoft.com/fwlink/?linkid=870924
Comment:
    Sent with Combined transfer 1</t>
      </text>
    </comment>
    <comment ref="AC33" authorId="9" shapeId="0" xr:uid="{663119E4-3685-49D6-8D80-E3AD8F622C31}">
      <text>
        <t>[Threaded comment]
Your version of Excel allows you to read this threaded comment; however, any edits to it will get removed if the file is opened in a newer version of Excel. Learn more: https://go.microsoft.com/fwlink/?linkid=870924
Comment:
    BRONCHUS</t>
      </text>
    </comment>
    <comment ref="AC34" authorId="10" shapeId="0" xr:uid="{97B3430F-EF19-44F8-A1A8-8F82A003FB28}">
      <text>
        <t>[Threaded comment]
Your version of Excel allows you to read this threaded comment; however, any edits to it will get removed if the file is opened in a newer version of Excel. Learn more: https://go.microsoft.com/fwlink/?linkid=870924
Comment:
    LUNG</t>
      </text>
    </comment>
    <comment ref="A35" authorId="11" shapeId="0" xr:uid="{3899398D-51FE-4700-BEB3-1D5AEE745571}">
      <text>
        <t>[Threaded comment]
Your version of Excel allows you to read this threaded comment; however, any edits to it will get removed if the file is opened in a newer version of Excel. Learn more: https://go.microsoft.com/fwlink/?linkid=870924
Comment:
    Sent with Combined transfer 1</t>
      </text>
    </comment>
    <comment ref="A36" authorId="12" shapeId="0" xr:uid="{62207458-AF06-4CF8-B4EE-2EA576FBEEC8}">
      <text>
        <t>[Threaded comment]
Your version of Excel allows you to read this threaded comment; however, any edits to it will get removed if the file is opened in a newer version of Excel. Learn more: https://go.microsoft.com/fwlink/?linkid=870924
Comment:
    Sent with Combined transfer 1</t>
      </text>
    </comment>
    <comment ref="AC38" authorId="13" shapeId="0" xr:uid="{28C83C9A-29C1-4460-9C88-20346B2C9DDB}">
      <text>
        <t>[Threaded comment]
Your version of Excel allows you to read this threaded comment; however, any edits to it will get removed if the file is opened in a newer version of Excel. Learn more: https://go.microsoft.com/fwlink/?linkid=870924
Comment:
    D12 - LUNG, D8 - BRONCHUS</t>
      </text>
    </comment>
    <comment ref="AC39" authorId="14" shapeId="0" xr:uid="{8ADA20B5-396F-426D-881E-97F4BC730E39}">
      <text>
        <t>[Threaded comment]
Your version of Excel allows you to read this threaded comment; however, any edits to it will get removed if the file is opened in a newer version of Excel. Learn more: https://go.microsoft.com/fwlink/?linkid=870924
Comment:
    LUNG</t>
      </text>
    </comment>
    <comment ref="A42" authorId="15" shapeId="0" xr:uid="{405A2D6C-9FF5-4136-81BB-39365BF5477E}">
      <text>
        <t xml:space="preserve">[Threaded comment]
Your version of Excel allows you to read this threaded comment; however, any edits to it will get removed if the file is opened in a newer version of Excel. Learn more: https://go.microsoft.com/fwlink/?linkid=870924
Comment:
    Removed for NG - TO return once reviewed </t>
      </text>
    </comment>
    <comment ref="AC45" authorId="16" shapeId="0" xr:uid="{B8CC4C9E-39CF-4DDB-93F6-9E489A8F198F}">
      <text>
        <t>[Threaded comment]
Your version of Excel allows you to read this threaded comment; however, any edits to it will get removed if the file is opened in a newer version of Excel. Learn more: https://go.microsoft.com/fwlink/?linkid=870924
Comment:
    BRONCHUS</t>
      </text>
    </comment>
    <comment ref="A47" authorId="17" shapeId="0" xr:uid="{7A8301C9-4EE7-4A63-B4DE-3929AF319F64}">
      <text>
        <t xml:space="preserve">[Threaded comment]
Your version of Excel allows you to read this threaded comment; however, any edits to it will get removed if the file is opened in a newer version of Excel. Learn more: https://go.microsoft.com/fwlink/?linkid=870924
Comment:
    Removed for NG - To be returned when reviewed </t>
      </text>
    </comment>
    <comment ref="AC52" authorId="18" shapeId="0" xr:uid="{59C4ED16-B79A-4452-83E3-1664B9AFC5CD}">
      <text>
        <t>[Threaded comment]
Your version of Excel allows you to read this threaded comment; however, any edits to it will get removed if the file is opened in a newer version of Excel. Learn more: https://go.microsoft.com/fwlink/?linkid=870924
Comment:
    LUNG</t>
      </text>
    </comment>
    <comment ref="AC53" authorId="19" shapeId="0" xr:uid="{03694913-EE97-48D1-A561-8C8D27929CBB}">
      <text>
        <t>[Threaded comment]
Your version of Excel allows you to read this threaded comment; however, any edits to it will get removed if the file is opened in a newer version of Excel. Learn more: https://go.microsoft.com/fwlink/?linkid=870924
Comment:
    LUNG</t>
      </text>
    </comment>
    <comment ref="AC54" authorId="20" shapeId="0" xr:uid="{3A2A4328-3867-44FE-95F4-0EC9393F0E1C}">
      <text>
        <t>[Threaded comment]
Your version of Excel allows you to read this threaded comment; however, any edits to it will get removed if the file is opened in a newer version of Excel. Learn more: https://go.microsoft.com/fwlink/?linkid=870924
Comment:
    LUNG</t>
      </text>
    </comment>
    <comment ref="AC56" authorId="21" shapeId="0" xr:uid="{E2FCE919-0AE8-44ED-8196-FF6B06B143CE}">
      <text>
        <t>[Threaded comment]
Your version of Excel allows you to read this threaded comment; however, any edits to it will get removed if the file is opened in a newer version of Excel. Learn more: https://go.microsoft.com/fwlink/?linkid=870924
Comment:
    B2 - BRONCHUS, B19 - LUNG</t>
      </text>
    </comment>
    <comment ref="AC57" authorId="22" shapeId="0" xr:uid="{93ABE39F-113C-4A25-B86E-5A86E7E39255}">
      <text>
        <t>[Threaded comment]
Your version of Excel allows you to read this threaded comment; however, any edits to it will get removed if the file is opened in a newer version of Excel. Learn more: https://go.microsoft.com/fwlink/?linkid=870924
Comment:
    LUNG</t>
      </text>
    </comment>
    <comment ref="AC62" authorId="23" shapeId="0" xr:uid="{25CB7985-C72E-4439-BEEA-0AEDE149A2CC}">
      <text>
        <t>[Threaded comment]
Your version of Excel allows you to read this threaded comment; however, any edits to it will get removed if the file is opened in a newer version of Excel. Learn more: https://go.microsoft.com/fwlink/?linkid=870924
Comment:
    LUNG</t>
      </text>
    </comment>
    <comment ref="AC64" authorId="24" shapeId="0" xr:uid="{B6A75CC8-A47B-4CD7-88B7-DBC1ACDAC86A}">
      <text>
        <t>[Threaded comment]
Your version of Excel allows you to read this threaded comment; however, any edits to it will get removed if the file is opened in a newer version of Excel. Learn more: https://go.microsoft.com/fwlink/?linkid=870924
Comment:
    LUNG</t>
      </text>
    </comment>
    <comment ref="AC65" authorId="25" shapeId="0" xr:uid="{3512CD2F-ECC6-4039-B653-7270F412134B}">
      <text>
        <t>[Threaded comment]
Your version of Excel allows you to read this threaded comment; however, any edits to it will get removed if the file is opened in a newer version of Excel. Learn more: https://go.microsoft.com/fwlink/?linkid=870924
Comment:
    LUNG</t>
      </text>
    </comment>
    <comment ref="AC66" authorId="26" shapeId="0" xr:uid="{2FCD4978-BD86-4F17-BB04-9DE3A856477D}">
      <text>
        <t>[Threaded comment]
Your version of Excel allows you to read this threaded comment; however, any edits to it will get removed if the file is opened in a newer version of Excel. Learn more: https://go.microsoft.com/fwlink/?linkid=870924
Comment:
    BRONCHUS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tc={EEF715BC-FFA2-403C-9E20-600BD71E5B2F}</author>
  </authors>
  <commentList>
    <comment ref="A49" authorId="0" shapeId="0" xr:uid="{EEF715BC-FFA2-403C-9E20-600BD71E5B2F}">
      <text>
        <t>[Threaded comment]
Your version of Excel allows you to read this threaded comment; however, any edits to it will get removed if the file is opened in a newer version of Excel. Learn more: https://go.microsoft.com/fwlink/?linkid=870924
Comment:
    CASE RECALLED 19.11.24</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tc={BF5FCD83-20F0-419D-A762-5850452C75D3}</author>
  </authors>
  <commentList>
    <comment ref="A18" authorId="0" shapeId="0" xr:uid="{BF5FCD83-20F0-419D-A762-5850452C75D3}">
      <text>
        <t>[Threaded comment]
Your version of Excel allows you to read this threaded comment; however, any edits to it will get removed if the file is opened in a newer version of Excel. Learn more: https://go.microsoft.com/fwlink/?linkid=870924
Comment:
    Sent with  Pembro &amp; Nivo Lung IO 1</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tc={06A7F904-F809-47EA-92DB-528D99FB50FE}</author>
    <author>tc={9167BF9F-65FA-45EC-9EFC-93641C5E3645}</author>
    <author>tc={18347065-8178-426E-81D7-D6B440FC143B}</author>
    <author>tc={B6365E0E-7F4A-4A71-8290-0BB68BB827FD}</author>
    <author>tc={2A5C01C7-879F-45D9-B46B-FE774C0BEBBE}</author>
    <author>tc={8438642A-C3D8-485D-9F23-D4667AD73C13}</author>
    <author>tc={E2F2D6A8-C3D6-46FF-9DA8-13254653133B}</author>
    <author>tc={DA248352-31DB-49B3-8FAB-F9901CEF656F}</author>
    <author>tc={9BA95253-D628-468A-AED1-2C3A9D9F961A}</author>
    <author>tc={1397E213-D205-45BE-AFB6-30068E12972C}</author>
  </authors>
  <commentList>
    <comment ref="A10" authorId="0" shapeId="0" xr:uid="{06A7F904-F809-47EA-92DB-528D99FB50FE}">
      <text>
        <t>[Threaded comment]
Your version of Excel allows you to read this threaded comment; however, any edits to it will get removed if the file is opened in a newer version of Excel. Learn more: https://go.microsoft.com/fwlink/?linkid=870924
Comment:
    Sent with  Pembro 2019</t>
      </text>
    </comment>
    <comment ref="A13" authorId="1" shapeId="0" xr:uid="{9167BF9F-65FA-45EC-9EFC-93641C5E3645}">
      <text>
        <t>[Threaded comment]
Your version of Excel allows you to read this threaded comment; however, any edits to it will get removed if the file is opened in a newer version of Excel. Learn more: https://go.microsoft.com/fwlink/?linkid=870924
Comment:
     Sent with Combined transfer 1</t>
      </text>
    </comment>
    <comment ref="A14" authorId="2" shapeId="0" xr:uid="{18347065-8178-426E-81D7-D6B440FC143B}">
      <text>
        <t>[Threaded comment]
Your version of Excel allows you to read this threaded comment; however, any edits to it will get removed if the file is opened in a newer version of Excel. Learn more: https://go.microsoft.com/fwlink/?linkid=870924
Comment:
     Sent with Combined transfer 1</t>
      </text>
    </comment>
    <comment ref="A16" authorId="3" shapeId="0" xr:uid="{B6365E0E-7F4A-4A71-8290-0BB68BB827FD}">
      <text>
        <t>[Threaded comment]
Your version of Excel allows you to read this threaded comment; however, any edits to it will get removed if the file is opened in a newer version of Excel. Learn more: https://go.microsoft.com/fwlink/?linkid=870924
Comment:
     Sent with Combined transfer 1</t>
      </text>
    </comment>
    <comment ref="A20" authorId="4" shapeId="0" xr:uid="{2A5C01C7-879F-45D9-B46B-FE774C0BEBBE}">
      <text>
        <t>[Threaded comment]
Your version of Excel allows you to read this threaded comment; however, any edits to it will get removed if the file is opened in a newer version of Excel. Learn more: https://go.microsoft.com/fwlink/?linkid=870924
Comment:
    Sent with Pembro 2020</t>
      </text>
    </comment>
    <comment ref="A23" authorId="5" shapeId="0" xr:uid="{8438642A-C3D8-485D-9F23-D4667AD73C13}">
      <text>
        <t>[Threaded comment]
Your version of Excel allows you to read this threaded comment; however, any edits to it will get removed if the file is opened in a newer version of Excel. Learn more: https://go.microsoft.com/fwlink/?linkid=870924
Comment:
    Sent with Combined transfer 1</t>
      </text>
    </comment>
    <comment ref="A30" authorId="6" shapeId="0" xr:uid="{E2F2D6A8-C3D6-46FF-9DA8-13254653133B}">
      <text>
        <t>[Threaded comment]
Your version of Excel allows you to read this threaded comment; however, any edits to it will get removed if the file is opened in a newer version of Excel. Learn more: https://go.microsoft.com/fwlink/?linkid=870924
Comment:
    Sent with Combined transfer 1</t>
      </text>
    </comment>
    <comment ref="A31" authorId="7" shapeId="0" xr:uid="{DA248352-31DB-49B3-8FAB-F9901CEF656F}">
      <text>
        <t>[Threaded comment]
Your version of Excel allows you to read this threaded comment; however, any edits to it will get removed if the file is opened in a newer version of Excel. Learn more: https://go.microsoft.com/fwlink/?linkid=870924
Comment:
    Sent with Combined transfer 1</t>
      </text>
    </comment>
    <comment ref="A37" authorId="8" shapeId="0" xr:uid="{9BA95253-D628-468A-AED1-2C3A9D9F961A}">
      <text>
        <t xml:space="preserve">[Threaded comment]
Your version of Excel allows you to read this threaded comment; however, any edits to it will get removed if the file is opened in a newer version of Excel. Learn more: https://go.microsoft.com/fwlink/?linkid=870924
Comment:
    Removed for NG - TO return once reviewed </t>
      </text>
    </comment>
    <comment ref="A42" authorId="9" shapeId="0" xr:uid="{1397E213-D205-45BE-AFB6-30068E12972C}">
      <text>
        <t xml:space="preserve">[Threaded comment]
Your version of Excel allows you to read this threaded comment; however, any edits to it will get removed if the file is opened in a newer version of Excel. Learn more: https://go.microsoft.com/fwlink/?linkid=870924
Comment:
    Removed for NG - To be returned when reviewed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tc={B933D463-A53E-484E-B71A-D454ABF8B87C}</author>
  </authors>
  <commentList>
    <comment ref="A46" authorId="0" shapeId="0" xr:uid="{B933D463-A53E-484E-B71A-D454ABF8B87C}">
      <text>
        <t>[Threaded comment]
Your version of Excel allows you to read this threaded comment; however, any edits to it will get removed if the file is opened in a newer version of Excel. Learn more: https://go.microsoft.com/fwlink/?linkid=870924
Comment:
    CASE RECALLED 19.11.24</t>
      </text>
    </comment>
  </commentList>
</comments>
</file>

<file path=xl/sharedStrings.xml><?xml version="1.0" encoding="utf-8"?>
<sst xmlns="http://schemas.openxmlformats.org/spreadsheetml/2006/main" count="7042" uniqueCount="638">
  <si>
    <t>Cases to remove</t>
  </si>
  <si>
    <t>No blocks required</t>
  </si>
  <si>
    <t>Same patient -  we can only use one of these -Nic choose</t>
  </si>
  <si>
    <t>This patient has 2 independent primaries, each with a different EGFR mutation - could senf both but need to check with Milan</t>
  </si>
  <si>
    <t>egfr 2</t>
  </si>
  <si>
    <t>Specimen number</t>
  </si>
  <si>
    <t>NHS numbers</t>
  </si>
  <si>
    <t>Notes</t>
  </si>
  <si>
    <t>Patient Info</t>
  </si>
  <si>
    <t>Dissent Y/N</t>
  </si>
  <si>
    <t>If Dissent N:</t>
  </si>
  <si>
    <t>No. small slides from CellNass</t>
  </si>
  <si>
    <t>No. large slides from CellNass</t>
  </si>
  <si>
    <t>Total no. of slides recieved from CellNass</t>
  </si>
  <si>
    <t>Slides Collected</t>
  </si>
  <si>
    <t>CoPath (SC)</t>
  </si>
  <si>
    <t>Slides Missing (if any…)</t>
  </si>
  <si>
    <t>Slides Selected:</t>
  </si>
  <si>
    <t>Blocks recieved from CellNass</t>
  </si>
  <si>
    <r>
      <rPr>
        <b/>
        <u/>
        <sz val="11"/>
        <color rgb="FF000000"/>
        <rFont val="Calibri"/>
      </rPr>
      <t xml:space="preserve">Blocks Collected: </t>
    </r>
    <r>
      <rPr>
        <b/>
        <u/>
        <sz val="11"/>
        <color rgb="FFFF0000"/>
        <rFont val="Calibri"/>
      </rPr>
      <t>2 TUMOUR BLOCKS MAX</t>
    </r>
    <r>
      <rPr>
        <b/>
        <u/>
        <sz val="11"/>
        <color rgb="FF000000"/>
        <rFont val="Calibri"/>
      </rPr>
      <t xml:space="preserve"> i.e. P + P or P + M</t>
    </r>
  </si>
  <si>
    <t>Scanned?</t>
  </si>
  <si>
    <t>CoPath (post scan)</t>
  </si>
  <si>
    <t>EGFR mutation</t>
  </si>
  <si>
    <t>% tumour nuclei</t>
  </si>
  <si>
    <t>Test</t>
  </si>
  <si>
    <t>DOB</t>
  </si>
  <si>
    <t>Gender</t>
  </si>
  <si>
    <t>Consent</t>
  </si>
  <si>
    <t>Form Incomplete</t>
  </si>
  <si>
    <t>Form missing</t>
  </si>
  <si>
    <t>P1</t>
  </si>
  <si>
    <t>P2</t>
  </si>
  <si>
    <t>P3</t>
  </si>
  <si>
    <t>P4</t>
  </si>
  <si>
    <t>P5</t>
  </si>
  <si>
    <t>M1</t>
  </si>
  <si>
    <t>M2</t>
  </si>
  <si>
    <t>M3</t>
  </si>
  <si>
    <t>M4</t>
  </si>
  <si>
    <t>M5</t>
  </si>
  <si>
    <t>N</t>
  </si>
  <si>
    <t>S</t>
  </si>
  <si>
    <t>X</t>
  </si>
  <si>
    <t>CoPath (SS)</t>
  </si>
  <si>
    <t>X Blocks in Archive</t>
  </si>
  <si>
    <t>X Blocks missing from Archive</t>
  </si>
  <si>
    <t>P</t>
  </si>
  <si>
    <t>M</t>
  </si>
  <si>
    <t>CoPath (BC)</t>
  </si>
  <si>
    <t>CoPath (Tristar)</t>
  </si>
  <si>
    <t>LH19-00108</t>
  </si>
  <si>
    <t>Select part B. Block B7 used for testing.</t>
  </si>
  <si>
    <t>deletion mutation in exon 19, NOS</t>
  </si>
  <si>
    <t>30-40%</t>
  </si>
  <si>
    <t>Biocartia Idylla (EGFR exons 18-21). LOD 5% (mutations in exons 19-21) and 10% (mutations in exon 18)</t>
  </si>
  <si>
    <t>F</t>
  </si>
  <si>
    <t>x</t>
  </si>
  <si>
    <t>N/A</t>
  </si>
  <si>
    <t>A1, B1-B6, B7 X4, B8-B13, C1, D1-D2, ihc SLIDES</t>
  </si>
  <si>
    <t>Y</t>
  </si>
  <si>
    <t>B9</t>
  </si>
  <si>
    <t>B13, B2</t>
  </si>
  <si>
    <t>D1</t>
  </si>
  <si>
    <t>B7, B12</t>
  </si>
  <si>
    <t>LH19-49277</t>
  </si>
  <si>
    <t>Select part A. Block A3 used for testing.</t>
  </si>
  <si>
    <t xml:space="preserve">exon 21 L858R </t>
  </si>
  <si>
    <t>We collected previously</t>
  </si>
  <si>
    <t>LH20-12370</t>
  </si>
  <si>
    <t>Select part B. Block B2 used for testing.</t>
  </si>
  <si>
    <t>Illumina MiSeq platform (exons 18, 19, 20, 21)</t>
  </si>
  <si>
    <t>a1, b1, b2 x3, b3, ihc slides</t>
  </si>
  <si>
    <t>B1, B2, B3</t>
  </si>
  <si>
    <t>LH20-13781</t>
  </si>
  <si>
    <t xml:space="preserve">deletion mutation in exon 19, NOS plus exon 20 p. (Thr790Met) </t>
  </si>
  <si>
    <t>A1-A7, IHC Slides</t>
  </si>
  <si>
    <t>A1</t>
  </si>
  <si>
    <t>A5</t>
  </si>
  <si>
    <t>A2</t>
  </si>
  <si>
    <t>A6</t>
  </si>
  <si>
    <t>A4</t>
  </si>
  <si>
    <t>A7, A3</t>
  </si>
  <si>
    <t>LH20-15868</t>
  </si>
  <si>
    <t>Select part C. Block C3 used for testing.</t>
  </si>
  <si>
    <t>a1, b1, c1 x2, c2, c3 x4, c4, c5 x2, c6, c7-c8, c9 x3, c10 x3, c11-c12, D1, E1-E2, IHC SLIDES</t>
  </si>
  <si>
    <t>C3</t>
  </si>
  <si>
    <t>C4, C5</t>
  </si>
  <si>
    <t>LH20-29118</t>
  </si>
  <si>
    <t>Select part A. Block A1 used for testing.</t>
  </si>
  <si>
    <t>a1 x7, A2-A7, IHC SLIDES</t>
  </si>
  <si>
    <t>A3, A4</t>
  </si>
  <si>
    <t>LH20-33582</t>
  </si>
  <si>
    <t>a1 x5, b1 x3, ihc slides</t>
  </si>
  <si>
    <t>LH21-00897</t>
  </si>
  <si>
    <t>Select part A. Block A2 used for testing.</t>
  </si>
  <si>
    <t>exon 18 G719A/C/S mutation, NOS</t>
  </si>
  <si>
    <t>a1, a2 x4, b1-b3, c1-c4, d1-d5, IHC Slides</t>
  </si>
  <si>
    <t>B1</t>
  </si>
  <si>
    <t>D2</t>
  </si>
  <si>
    <t>A1, D4</t>
  </si>
  <si>
    <t>C1, C2</t>
  </si>
  <si>
    <t>LH21-01839</t>
  </si>
  <si>
    <t>Select part B. Block B4 used for testing.</t>
  </si>
  <si>
    <t>a1-a2, b1-b3, b4 x4, b5-b10, c1-c3, e1-e2</t>
  </si>
  <si>
    <t>B5</t>
  </si>
  <si>
    <t>B3</t>
  </si>
  <si>
    <t>B4, B6</t>
  </si>
  <si>
    <t>LH21-02109</t>
  </si>
  <si>
    <t>Select part C and D. Block C2 and D4 used for testing.</t>
  </si>
  <si>
    <t xml:space="preserve">deletion mutation in exon 19, NOS (C2)/ exon 21 L858R (D4) </t>
  </si>
  <si>
    <t>50-60% C2/50-60% (D4)</t>
  </si>
  <si>
    <t>a1-a2, b1, c1, c2 x2, c3-c6, d1-d2, d4 x2, d5, e1 x3, ihc slides</t>
  </si>
  <si>
    <t>C6</t>
  </si>
  <si>
    <t>D4</t>
  </si>
  <si>
    <t>D3, D1</t>
  </si>
  <si>
    <t>C4</t>
  </si>
  <si>
    <t>C2, C1</t>
  </si>
  <si>
    <t>LH21-06190</t>
  </si>
  <si>
    <t>Select part A. Block A10 used for testing.</t>
  </si>
  <si>
    <t>a1 x6, a10 x5, a2, a9, a11-a12, a8, c1-c4, IHC slides</t>
  </si>
  <si>
    <t>A9</t>
  </si>
  <si>
    <t>A10, A8</t>
  </si>
  <si>
    <t>LH21-15456</t>
  </si>
  <si>
    <t>Select part I. Block I7 used for testing.</t>
  </si>
  <si>
    <t>A1, B1-B4, C1, D1-D2, E1-E3, I1-I6, 1-9 [L], 17 BHE/AFHE [L] , F1, G1-G2, H1</t>
  </si>
  <si>
    <t>H1</t>
  </si>
  <si>
    <t>I7[L]</t>
  </si>
  <si>
    <t>LH22-05965</t>
  </si>
  <si>
    <t>exon 19 sensitising deletion p. (Glu746_Ala750del)</t>
  </si>
  <si>
    <t>A1, A2 X5, A3-A10, IHC SLIDES</t>
  </si>
  <si>
    <t>A10</t>
  </si>
  <si>
    <t>A7</t>
  </si>
  <si>
    <t>A9, A8</t>
  </si>
  <si>
    <t>LH22-28555</t>
  </si>
  <si>
    <t>Select part F. Block F6 used for testing.</t>
  </si>
  <si>
    <t>exon 20 resistance insertion mutation: c.(2311-2313dup) p.(Asn771dup)</t>
  </si>
  <si>
    <t xml:space="preserve">a1, b1-b4, f1-f5, F6 x4, f7-f12, g1-g2, c1, d1, e1-e2, ihc slides </t>
  </si>
  <si>
    <t>F5</t>
  </si>
  <si>
    <t>F4</t>
  </si>
  <si>
    <t>F7</t>
  </si>
  <si>
    <t>F9</t>
  </si>
  <si>
    <t>F6, F3</t>
  </si>
  <si>
    <t>LH22-29418</t>
  </si>
  <si>
    <t>Select part B. Block B5 used for testing.</t>
  </si>
  <si>
    <t>5-10%</t>
  </si>
  <si>
    <t>a1, b1-b2, b3 x2, b4 x3, b5 x4, b6 x2, b7-b11, c1, c2 x2, d1-d2</t>
  </si>
  <si>
    <t>B6</t>
  </si>
  <si>
    <t>B11</t>
  </si>
  <si>
    <t>B4, B3</t>
  </si>
  <si>
    <t>LH22-31698</t>
  </si>
  <si>
    <t>Select part C. Block C1 used for testing.</t>
  </si>
  <si>
    <t>exon 19 deletion insertion p. (Glu746_Ser752delinsVal)</t>
  </si>
  <si>
    <t>10-20%</t>
  </si>
  <si>
    <t>a1 x3, b1, c1 x5, ihc slides</t>
  </si>
  <si>
    <t>LH22-46998</t>
  </si>
  <si>
    <t>a3 x5, a4, lots of ihc slides</t>
  </si>
  <si>
    <t>LH23-25878</t>
  </si>
  <si>
    <t>exon 19 in frame deletion: c.(2235_2249del); p. (Glu746_Ala750del) plus exon 20 T790M mutation</t>
  </si>
  <si>
    <t>Genexus system</t>
  </si>
  <si>
    <t>IHC X14, A1-4, A2 ADH, B1-3, C1</t>
  </si>
  <si>
    <t>C1</t>
  </si>
  <si>
    <t>A1, A2</t>
  </si>
  <si>
    <t>LH23-36559</t>
  </si>
  <si>
    <t xml:space="preserve"> </t>
  </si>
  <si>
    <t>IHC X9, A1, B1-12, B4 ADH, C1-4, D1</t>
  </si>
  <si>
    <t>B7</t>
  </si>
  <si>
    <t>B4</t>
  </si>
  <si>
    <t>LH23-38507</t>
  </si>
  <si>
    <t>Select part D. Block D3 used for testing.</t>
  </si>
  <si>
    <t>exon 19 in frame deletion: c.(2235_2249del); p. (Glu746_Ala750del)</t>
  </si>
  <si>
    <t>IHC X10, A1, B1, C1-3, D1-7, D3 ADH, D9-12 [L]</t>
  </si>
  <si>
    <t>D7</t>
  </si>
  <si>
    <t>D3</t>
  </si>
  <si>
    <t>D6</t>
  </si>
  <si>
    <t>D3, D5</t>
  </si>
  <si>
    <t>LH23-54561</t>
  </si>
  <si>
    <t>IHC X2, A1-3, A2 ADH,</t>
  </si>
  <si>
    <t>A3</t>
  </si>
  <si>
    <t>LH19-09653</t>
  </si>
  <si>
    <t>Withdrawn by us 10/6/21</t>
  </si>
  <si>
    <t>LH19-13790</t>
  </si>
  <si>
    <t>Select part NR. Block NR used for testing.</t>
  </si>
  <si>
    <t>A1 X2, IHC Slides</t>
  </si>
  <si>
    <t>LH19-19582</t>
  </si>
  <si>
    <t>Select part A. Block ?A1 used for testing.</t>
  </si>
  <si>
    <t>exon p.Gly719Ala</t>
  </si>
  <si>
    <t>A1 x2</t>
  </si>
  <si>
    <t>LH19-34158</t>
  </si>
  <si>
    <t>a1 x3, ihc slides</t>
  </si>
  <si>
    <t>LH19-40517</t>
  </si>
  <si>
    <t>LH19-45080</t>
  </si>
  <si>
    <t>LH20-02479</t>
  </si>
  <si>
    <t>Exon 20 S768I</t>
  </si>
  <si>
    <t>A1 x4, ihc slides</t>
  </si>
  <si>
    <t>LH20-10218</t>
  </si>
  <si>
    <t>20-30%</t>
  </si>
  <si>
    <t>LH20-13095</t>
  </si>
  <si>
    <t>LH20-13254</t>
  </si>
  <si>
    <t>A2 X3, A1, IHC Slides</t>
  </si>
  <si>
    <t>LH21-01040</t>
  </si>
  <si>
    <t>LH21-12391</t>
  </si>
  <si>
    <t>exon 21 L861Q</t>
  </si>
  <si>
    <t>a1 x4, ihc slides</t>
  </si>
  <si>
    <t>LH21-13007</t>
  </si>
  <si>
    <t>LH21-25674</t>
  </si>
  <si>
    <t>Select all. Block NR for testing.</t>
  </si>
  <si>
    <t>exon 20 T790M</t>
  </si>
  <si>
    <t>a1 x4, a2, IHC Slides</t>
  </si>
  <si>
    <t>LH21-47792</t>
  </si>
  <si>
    <t>Exon 20 resistance insertion mutation c.(Val769_Asp770insGlySerVal)</t>
  </si>
  <si>
    <t>a1 x6, ihc slides</t>
  </si>
  <si>
    <t>LH22-01583</t>
  </si>
  <si>
    <t>LH23-35648</t>
  </si>
  <si>
    <t>exon 20 in frame duplication p. (His773dup)</t>
  </si>
  <si>
    <t>IHC X12, A1 ADH, A1 HE1+10</t>
  </si>
  <si>
    <t>LH23-44224</t>
  </si>
  <si>
    <t>exon 18 G719S</t>
  </si>
  <si>
    <t>IHC X8, A1 L2, A1 SHE, A2 ADH, A2 SHE</t>
  </si>
  <si>
    <t>LH23-50042</t>
  </si>
  <si>
    <t>IHC X17, A1-6, A2 ADH</t>
  </si>
  <si>
    <t>A1, A2, A3</t>
  </si>
  <si>
    <t>Current location:</t>
  </si>
  <si>
    <t>CSB cabinet 4 drawer 5</t>
  </si>
  <si>
    <t>LH19-08131</t>
  </si>
  <si>
    <t>Select part A. Block A5 used for testing.</t>
  </si>
  <si>
    <t>WT</t>
  </si>
  <si>
    <t>Orsi withdrew 10/6/21</t>
  </si>
  <si>
    <t>LH19-08948</t>
  </si>
  <si>
    <t>Select part D. Block D2 used for testing.</t>
  </si>
  <si>
    <t>LH19-14994</t>
  </si>
  <si>
    <t>LH19-22497</t>
  </si>
  <si>
    <t>Select part A. Block A7 used for testing.</t>
  </si>
  <si>
    <t>a1-2, a3 x2, a4-a6, a7 x4, a8-a10, b1-c1, d1-d3</t>
  </si>
  <si>
    <t>A3, A7</t>
  </si>
  <si>
    <t>LH19-24406</t>
  </si>
  <si>
    <t xml:space="preserve">a1-a2, a3 x4, a4, a5 x2, a6-a10, b1, c1, </t>
  </si>
  <si>
    <t>LH19-27155</t>
  </si>
  <si>
    <t>Select part F. Block F3 used for testing.</t>
  </si>
  <si>
    <t>LH19-37436</t>
  </si>
  <si>
    <t>Select part E. Block E7 used for testing.</t>
  </si>
  <si>
    <t>a1-a4, b1-b4, c1-c3, d1, e1-e6, e7 x2, e8, E9-10 [L], e13-e14,f1-f2, f4, ihc slides</t>
  </si>
  <si>
    <t>E7</t>
  </si>
  <si>
    <t>E8</t>
  </si>
  <si>
    <t>E9[L]</t>
  </si>
  <si>
    <t>E6</t>
  </si>
  <si>
    <t>F1</t>
  </si>
  <si>
    <t>F2</t>
  </si>
  <si>
    <t>E7 ADH, E10[L]</t>
  </si>
  <si>
    <t>LH19-39752</t>
  </si>
  <si>
    <t>Select part C. Block C5 used for testing.</t>
  </si>
  <si>
    <t>ihc slides only</t>
  </si>
  <si>
    <t>LH19-44123</t>
  </si>
  <si>
    <t>Select part A. Block A11 used for testing.</t>
  </si>
  <si>
    <t>a1-a10, a11 x3, a12-a18, b1 x3, b2 x3, c1-c2, d1 x2, e1-3</t>
  </si>
  <si>
    <t>LH19-44744</t>
  </si>
  <si>
    <t>Select part C. Block C9 used for testing.</t>
  </si>
  <si>
    <t>not in archive-withdrawn</t>
  </si>
  <si>
    <t>LH19-48493</t>
  </si>
  <si>
    <t>c1 x3, ihc slides</t>
  </si>
  <si>
    <t>LH20-06579</t>
  </si>
  <si>
    <t>a1-a3, A4 [L], A6 [L], a7 x5, b1</t>
  </si>
  <si>
    <t>LH20-08783</t>
  </si>
  <si>
    <t>Select part E. Block E2 used for testing.</t>
  </si>
  <si>
    <t>Biocartia Idylla (EGFR exons 18-21). LOD 5% (mutations in exons 19-21) and 10% (mutations in exon 18) plus Ion Torrent Genexus system (targeted mutation analysis of exons 18-21)</t>
  </si>
  <si>
    <t>a1, b1, c1-c2, d1-d3, e1, e2 x7, e3 x5, e4-e8, IHC slides</t>
  </si>
  <si>
    <t>LH20-10335</t>
  </si>
  <si>
    <t>Biocartia Idylla (EGFR exons 18-21). LOD 5% (mutations in exons 19-21) and 10% (mutations in exon 18) plus Genexus system (targeted mutation analysis of exons 18-21)</t>
  </si>
  <si>
    <t xml:space="preserve">a1 x2, a2 x5, a3-a12, ihc slides </t>
  </si>
  <si>
    <t>A8</t>
  </si>
  <si>
    <t>A9, A11</t>
  </si>
  <si>
    <t>A4, A5</t>
  </si>
  <si>
    <t>LH20-12682</t>
  </si>
  <si>
    <t>Select part A. Block A4 used for testing.</t>
  </si>
  <si>
    <t>a1-a3, a4 x6, a5, a6 x2, c1 x2, a7-a15</t>
  </si>
  <si>
    <t>LH20-14848</t>
  </si>
  <si>
    <t>Select part E. Block E6 used for testing.</t>
  </si>
  <si>
    <t>a1, b1, c1, f1-f16, g1, e1-3, e4 x2, e5-e6, e7 x4, e8-e13, d1-d2</t>
  </si>
  <si>
    <t>E4</t>
  </si>
  <si>
    <t>E3</t>
  </si>
  <si>
    <t>E13</t>
  </si>
  <si>
    <t>E5, E6</t>
  </si>
  <si>
    <t>LH20-16316</t>
  </si>
  <si>
    <t>Select part B. Block B3 used for testing.</t>
  </si>
  <si>
    <t>b1-2, b3 x3, b4-b5, b7-b8, c1, d1</t>
  </si>
  <si>
    <t>B8</t>
  </si>
  <si>
    <t>B3, B5</t>
  </si>
  <si>
    <t>LH20-16985</t>
  </si>
  <si>
    <t>Select part E. Block E4 used for testing.</t>
  </si>
  <si>
    <t>a1, b1, c1, d1-d3, e1-e3, e4 x2, e5 x3, e6-e14</t>
  </si>
  <si>
    <t>E4 ADH</t>
  </si>
  <si>
    <t>E5</t>
  </si>
  <si>
    <t>E4, E3</t>
  </si>
  <si>
    <t>LH20-17555</t>
  </si>
  <si>
    <t>a1 x6, b1, ihc slides</t>
  </si>
  <si>
    <t>LH20-22224</t>
  </si>
  <si>
    <t>Select part B. Block B1 used for testing.</t>
  </si>
  <si>
    <t>a1 x3, b1 x5</t>
  </si>
  <si>
    <t>LH21-00557</t>
  </si>
  <si>
    <t>LH21-00680</t>
  </si>
  <si>
    <t>a1-a3, a4 x6, a5-a10, b1, c1, IHC slides</t>
  </si>
  <si>
    <t>LH21-08350</t>
  </si>
  <si>
    <t>a1 x3, a2 x9, a3-a5, ihc slides</t>
  </si>
  <si>
    <t>A1, A2(x3)</t>
  </si>
  <si>
    <t>LH21-12918</t>
  </si>
  <si>
    <t>Select part E. Block E3 used for testing.</t>
  </si>
  <si>
    <t>a1, b1, c1, d1, e1-e2, e3 x3, e4-e15, f1</t>
  </si>
  <si>
    <t>E9</t>
  </si>
  <si>
    <t>E3, E4</t>
  </si>
  <si>
    <t>LH21-15452</t>
  </si>
  <si>
    <t>Select part C. Block C6 used for testing.</t>
  </si>
  <si>
    <t>a1, b1, c1-c2, C3-5 [L], c6 x2, e1-e3, d1, c7-c10</t>
  </si>
  <si>
    <t>C9</t>
  </si>
  <si>
    <t>C10</t>
  </si>
  <si>
    <t>C8, C7</t>
  </si>
  <si>
    <t>LH21-20922</t>
  </si>
  <si>
    <t>a1 x3, a2 x2, a3, a4-a5, b1 x7, b2-b4</t>
  </si>
  <si>
    <t>A3, A2</t>
  </si>
  <si>
    <t>LH21-30299</t>
  </si>
  <si>
    <t>Select part F. Block F8 used for testing.</t>
  </si>
  <si>
    <t>a1, b1, c1, d1, e1-e6, f1-f6, f7 x5, f8 x2, f9-f14, g1-g4</t>
  </si>
  <si>
    <t>F7 BHE</t>
  </si>
  <si>
    <t>F6</t>
  </si>
  <si>
    <t>E1</t>
  </si>
  <si>
    <t>F8, F9</t>
  </si>
  <si>
    <t>F5, F11</t>
  </si>
  <si>
    <t>LH21-31432</t>
  </si>
  <si>
    <t>a1, b1 x3, b2-b9, B10-13 [L], c1, d1, e1, f1</t>
  </si>
  <si>
    <t>B2</t>
  </si>
  <si>
    <t>B11[L]</t>
  </si>
  <si>
    <t>LH21-32931</t>
  </si>
  <si>
    <t>f1-f7, c1-c4, b1, a1, d1-d2, d3 x4, d4-7, e1-e4</t>
  </si>
  <si>
    <t>LH21-34469</t>
  </si>
  <si>
    <t>a1-a3, b1-b3, c1, d1-d2, d3 x5, d4-d7, D8-10 [L], e1-e5, f1-f6, ihc slides</t>
  </si>
  <si>
    <t>LH21-39915</t>
  </si>
  <si>
    <t>A1, A2 X3, A3-A5, B1-B3, C1, D1, IHC Slides</t>
  </si>
  <si>
    <t>A4, A3</t>
  </si>
  <si>
    <t>LH21-42641</t>
  </si>
  <si>
    <t>Select part D. Block D6 used for testing.</t>
  </si>
  <si>
    <t>40-50%</t>
  </si>
  <si>
    <t>a1-a2, b1, c1-c2, d1-d5, d6 x3, D7 [L], d8-d12</t>
  </si>
  <si>
    <t>D5</t>
  </si>
  <si>
    <t>D12, D8</t>
  </si>
  <si>
    <t>D4, D6, D3, D7[L]</t>
  </si>
  <si>
    <t>LH21-42781</t>
  </si>
  <si>
    <t>Select part C. Block C2 used for testing.</t>
  </si>
  <si>
    <t>A1, B1, C1 X5, C2 X6, C3-C10, D1, E1</t>
  </si>
  <si>
    <t>LH21-44822</t>
  </si>
  <si>
    <t>a1, a2 x3, a3-a9, b1-b5, b6 x3</t>
  </si>
  <si>
    <t>A2, A3</t>
  </si>
  <si>
    <t>LH21-48948</t>
  </si>
  <si>
    <t>a1, b1, c1-c4, c5 x3,c6-c15, d1, e1-e2, ihc slides</t>
  </si>
  <si>
    <t>C6, C5</t>
  </si>
  <si>
    <t>LH22-01984</t>
  </si>
  <si>
    <t>Select part B. Block B6 used for testing.</t>
  </si>
  <si>
    <t>a1, b1-b3, B4 [L], b5, b6 x8, b1-b14, c1-c9, d1-d5, e1, ihc slides</t>
  </si>
  <si>
    <t>NG TAKEN B14 16/09/24</t>
  </si>
  <si>
    <t>LH22-06404</t>
  </si>
  <si>
    <t>Select part B. Block B5 plus B17 used for testing.</t>
  </si>
  <si>
    <t>WT (both tumours)</t>
  </si>
  <si>
    <t>40% plus 20%</t>
  </si>
  <si>
    <t>b1-b4, b5 x2, b6-b19, a1-a3, c1, d1, e1-e3, f1 x3, b17, f2</t>
  </si>
  <si>
    <t>B5 ADH</t>
  </si>
  <si>
    <t>B10, B4</t>
  </si>
  <si>
    <t>LH22-07174</t>
  </si>
  <si>
    <t>Select part C. Block C15 used for testing.</t>
  </si>
  <si>
    <t>a1, c1-c14, c15 x4, c16-c23, d1, e1-e2</t>
  </si>
  <si>
    <t>C13</t>
  </si>
  <si>
    <t>C11</t>
  </si>
  <si>
    <t>C15</t>
  </si>
  <si>
    <t>C16</t>
  </si>
  <si>
    <t>C9, C10</t>
  </si>
  <si>
    <t>C4, C14</t>
  </si>
  <si>
    <t>C5, C12, C8</t>
  </si>
  <si>
    <t>LH22-07430</t>
  </si>
  <si>
    <t>Select part C. Block C4 used for testing.</t>
  </si>
  <si>
    <t>a1-a3, b1, c1 x9, c3 x2, c4 x9, c5 x2, c6-c16, d1</t>
  </si>
  <si>
    <t>C5</t>
  </si>
  <si>
    <t>C7</t>
  </si>
  <si>
    <t>C10, C9</t>
  </si>
  <si>
    <t>C3, C6</t>
  </si>
  <si>
    <t>LH22-13140</t>
  </si>
  <si>
    <t>a1-a3, a4 x2, a5 x5, a6 x3, a7</t>
  </si>
  <si>
    <t>A5, A4, A2</t>
  </si>
  <si>
    <t>LH22-13381</t>
  </si>
  <si>
    <t>Select part A. Block A6 used for testing.</t>
  </si>
  <si>
    <t xml:space="preserve">a1-a5, a6 x5, a7-a14, b1-b3, c1, d1,e1, f1, g1 </t>
  </si>
  <si>
    <t>NG TAKEN A8 16/09/24</t>
  </si>
  <si>
    <t>LH22-17441</t>
  </si>
  <si>
    <t>a1 x2, a2, a3-a5, b1 x2, b2-b3, b4 x5, b5-b7, c1</t>
  </si>
  <si>
    <t>B4, A3</t>
  </si>
  <si>
    <t>LH22-21509</t>
  </si>
  <si>
    <t>Select part E. Block E9 used for testing.</t>
  </si>
  <si>
    <t xml:space="preserve">a1-a2, b1-b6, c1-c2, d1-d2, e1-e5, e9 x6, e10-e16, </t>
  </si>
  <si>
    <t>E9, E5</t>
  </si>
  <si>
    <t>LH22-27337</t>
  </si>
  <si>
    <t>a1, a2 x5, a3</t>
  </si>
  <si>
    <t>LH22-28342</t>
  </si>
  <si>
    <t xml:space="preserve">a1 x2, b1, c1 x3, c2 x3, c4 x6, c5 x2, c6 x2, c7-c16, d1 </t>
  </si>
  <si>
    <t>C2</t>
  </si>
  <si>
    <t>LH22-30953</t>
  </si>
  <si>
    <t xml:space="preserve">a1, b1, c1-c2, c3 x5, c4 x2, b1 x2, c5-c11 </t>
  </si>
  <si>
    <t>LH22-31634</t>
  </si>
  <si>
    <t>Select part A. Block A9 used for testing.</t>
  </si>
  <si>
    <t>a1-a4, A5 [L], a6, A7-8 [L]a9 x4, a10-a14, b1, c1, d1, e1, f1</t>
  </si>
  <si>
    <t>A5[L]</t>
  </si>
  <si>
    <t>A11</t>
  </si>
  <si>
    <t>A7[L]</t>
  </si>
  <si>
    <t>LH22-33989</t>
  </si>
  <si>
    <t>60-70%</t>
  </si>
  <si>
    <t>a1 x2, a2-a3, A4-A7 [L], a8-a10, b1-b2, c1-c4</t>
  </si>
  <si>
    <t>A4[L]</t>
  </si>
  <si>
    <t>A2, A1</t>
  </si>
  <si>
    <t>LH22-36290</t>
  </si>
  <si>
    <t>a1 x2, a2 x3, a3, a4-a5</t>
  </si>
  <si>
    <t>LH22-39906</t>
  </si>
  <si>
    <t>5-60%</t>
  </si>
  <si>
    <t>a1, b1-b5, b6 x3, b7-b19, c1-c2, d1, e1</t>
  </si>
  <si>
    <t>B2, B19</t>
  </si>
  <si>
    <t>B6, B8</t>
  </si>
  <si>
    <t>LH22-41149</t>
  </si>
  <si>
    <t>a1 x2, a2 x2, a3 x2, a4 x2, a5 x2, a6 x4, a7-a8</t>
  </si>
  <si>
    <t>A5, A4</t>
  </si>
  <si>
    <t>LH23-18983</t>
  </si>
  <si>
    <t>a1, a2 x2 a3, a4 x2, a5</t>
  </si>
  <si>
    <t>LH23-26132</t>
  </si>
  <si>
    <t>a1 x3, a2 x2</t>
  </si>
  <si>
    <t>LH23-28547</t>
  </si>
  <si>
    <t>50-60%</t>
  </si>
  <si>
    <t>a1 x2, a2-a8</t>
  </si>
  <si>
    <t>LH23-29742</t>
  </si>
  <si>
    <t>Select part D. Block D4 used for testing.</t>
  </si>
  <si>
    <t>a1-a3, b1, c1-c2, d1-3, d4 x3, d6-d16</t>
  </si>
  <si>
    <t>D7, D4</t>
  </si>
  <si>
    <t>LH23-33186</t>
  </si>
  <si>
    <t>a1, b1 x3, c1, c2 x2, c3 x2, c4 x3, c5 x4, c6 x2, c7 x2, c8-c13, d1, e1</t>
  </si>
  <si>
    <t>C12</t>
  </si>
  <si>
    <t>C7, C6</t>
  </si>
  <si>
    <t>LH23-35516</t>
  </si>
  <si>
    <t>Select part D. Block D5 used for testing.</t>
  </si>
  <si>
    <t>e1 x3, f1 x5, g1-g3, a1-a3, b1-b2, c1-c2, d1-d8, d5, d9-d13</t>
  </si>
  <si>
    <t>G3</t>
  </si>
  <si>
    <t>D13</t>
  </si>
  <si>
    <t>C2, B1, D12</t>
  </si>
  <si>
    <t>D5, D6</t>
  </si>
  <si>
    <t>LH23-41872</t>
  </si>
  <si>
    <t>Select part B. Block B9 used for testing.</t>
  </si>
  <si>
    <t>a1-a7, b1, b2 x2, b3 x2, b4 x2, b5 x2, b6 x2, b7-b8, b9 x2, b10, B11-14 [L] b15 x2, b16, c1, d1-d7, e1-e3</t>
  </si>
  <si>
    <t>B10</t>
  </si>
  <si>
    <t>B15</t>
  </si>
  <si>
    <t>B9, B3, B12[L]</t>
  </si>
  <si>
    <t>B16</t>
  </si>
  <si>
    <t>B14[L], B13[L]</t>
  </si>
  <si>
    <t>LH23-50614</t>
  </si>
  <si>
    <t>a1 x4, a2 x2, a3 x3, a4-a7, b1-b2</t>
  </si>
  <si>
    <t>A6, B2</t>
  </si>
  <si>
    <t>A3, A1</t>
  </si>
  <si>
    <t>LH23-51788</t>
  </si>
  <si>
    <t>a1, c1, b1, d1-d18, e1-e10, f1-f2, ihc slides, d3 adh</t>
  </si>
  <si>
    <t>D10</t>
  </si>
  <si>
    <t>D11, D8</t>
  </si>
  <si>
    <t>D15</t>
  </si>
  <si>
    <t>D4, D3</t>
  </si>
  <si>
    <t>LH19-01708</t>
  </si>
  <si>
    <t>Select all parts. Block NR used for testing.</t>
  </si>
  <si>
    <t xml:space="preserve">Taken by us 10/06/21 </t>
  </si>
  <si>
    <t>LH19-02416</t>
  </si>
  <si>
    <t>Select part A1. Block A1 used for testing.</t>
  </si>
  <si>
    <t>IHC X12, A1 X2 ADH, A1 SHE, A1 BHE/AFHE</t>
  </si>
  <si>
    <t>LH19-03948</t>
  </si>
  <si>
    <t>LH19-08482</t>
  </si>
  <si>
    <t>IHC X13, A1 ADH X3, A1 SHE</t>
  </si>
  <si>
    <t>LH19-10737</t>
  </si>
  <si>
    <t>LH19-13217</t>
  </si>
  <si>
    <t>LH19-14848</t>
  </si>
  <si>
    <t>IHC X10, A1 ADH X2, A1 BHE/AFHE, A1 SHE</t>
  </si>
  <si>
    <t>LH19-18951</t>
  </si>
  <si>
    <t xml:space="preserve">IHC X4, A1 ADH X2, A1 SHE </t>
  </si>
  <si>
    <t>LH19-19898</t>
  </si>
  <si>
    <t>LH19-20009</t>
  </si>
  <si>
    <t>IHC X16, A1 ADH, A1 BEF ADH X2, A1 ADH AFT X2, A1 L1-3</t>
  </si>
  <si>
    <t>LH19-21609</t>
  </si>
  <si>
    <t>Select part C1. Block C1 used for testing.</t>
  </si>
  <si>
    <t>LH19-22286</t>
  </si>
  <si>
    <t>LH19-27983</t>
  </si>
  <si>
    <t>Taken</t>
  </si>
  <si>
    <t>LH19-29705</t>
  </si>
  <si>
    <t>Select part A2. Block A2 used for testing.</t>
  </si>
  <si>
    <t>Taken 10/06/23</t>
  </si>
  <si>
    <t>LH19-33098</t>
  </si>
  <si>
    <t xml:space="preserve">IHC X8, A1 ADH ALK, A1 ADH BEF/AFT, A2 SHE </t>
  </si>
  <si>
    <t>LH19-34203</t>
  </si>
  <si>
    <t xml:space="preserve">IHC X18, A1-2 SHE, A1 ADH, A1 ADH BEF/AFT, A2 ADH BEF/AFT </t>
  </si>
  <si>
    <t>LH19-39804</t>
  </si>
  <si>
    <t>Taken 10/06/21</t>
  </si>
  <si>
    <t>LH19-40447</t>
  </si>
  <si>
    <t xml:space="preserve">IHC X29, A1 ADH X4, A1 SHE, </t>
  </si>
  <si>
    <t>LH19-53744</t>
  </si>
  <si>
    <t>IHC X9, A1 BHE/AFHE, A1 SHE, A1 L1-3</t>
  </si>
  <si>
    <t>LH20-05825</t>
  </si>
  <si>
    <t>IHC X11, A1 L1-3, A1 ADH, A1 BHE X2, A1 AFHE</t>
  </si>
  <si>
    <t>LH20-10360</t>
  </si>
  <si>
    <t xml:space="preserve">IHC X3, A1 ADH, A1 BHE/AFHE, A1 L1-3 </t>
  </si>
  <si>
    <t>LH20-11901</t>
  </si>
  <si>
    <t>IHC X17, A1 BHE X2, A1 AFHE, A1 ADH, A1 SHE</t>
  </si>
  <si>
    <t>LH20-12654</t>
  </si>
  <si>
    <t>IHC X14, A1 ADH, A1 BHE/AFHE, A1 H&amp;E1+10</t>
  </si>
  <si>
    <t>LH20-13716</t>
  </si>
  <si>
    <t xml:space="preserve">IHC X13, A1 ADH, A1 BHE/AFHE </t>
  </si>
  <si>
    <t>LH20-13762</t>
  </si>
  <si>
    <t>IHC X4, A1 BHE/AFHE, A1 L1-3, A1 BHE X2, A1 AFHE</t>
  </si>
  <si>
    <t>LH20-14284</t>
  </si>
  <si>
    <t>IHC X16, A1-2</t>
  </si>
  <si>
    <t>LH20-15713</t>
  </si>
  <si>
    <t>IHC X12, A1 ADH, A1 BHE</t>
  </si>
  <si>
    <t>LH20-16677</t>
  </si>
  <si>
    <t>IHC X6, A1 SHE, A1 ADH, A1 BHE/AFHE</t>
  </si>
  <si>
    <t>LH20-17369</t>
  </si>
  <si>
    <t xml:space="preserve">IHC X13, A1-2, A1 BHE/AFHE </t>
  </si>
  <si>
    <t>LH20-19861</t>
  </si>
  <si>
    <t>IHC X26, A1 ADH, A1 BHE/AFHE, A1 SHE</t>
  </si>
  <si>
    <t>LH20-20342</t>
  </si>
  <si>
    <t>IHC X6, A1 BHE X2, A1 SHE</t>
  </si>
  <si>
    <t>LH20-22253</t>
  </si>
  <si>
    <t>IHC X6, A1 BHE X2, A1 ADH, A1 SHE</t>
  </si>
  <si>
    <t>LH20-32973</t>
  </si>
  <si>
    <t>IHC X19, A1 BHE X2, A1 SHE</t>
  </si>
  <si>
    <t>LH21-01833</t>
  </si>
  <si>
    <t>IHC X4, A1 ADH, A1 BHE/AFHE, SHE</t>
  </si>
  <si>
    <t>LH21-04051</t>
  </si>
  <si>
    <t>IHC X13, A1 ADH, A1 BHE X3, A1 AFHE, A1 SHE</t>
  </si>
  <si>
    <t>LH21-09147</t>
  </si>
  <si>
    <t>IHC X9, A1 ADH X2, A1 BHE/AFHE, A1 SHE</t>
  </si>
  <si>
    <t>LH21-13869</t>
  </si>
  <si>
    <t>IHC X7, A1 ADH, A1 BHE, A1 SHE</t>
  </si>
  <si>
    <t>LH21-18056</t>
  </si>
  <si>
    <t>IHC X13, A1 ADH, A1 BHE X3, A1 AFHE X2, A1 SHE</t>
  </si>
  <si>
    <t>LH21-18750</t>
  </si>
  <si>
    <t>IHC X7, A1 L1-3, A1 BHE/AFHE, A1 ADH</t>
  </si>
  <si>
    <t>LH21-20343</t>
  </si>
  <si>
    <t>IHC X17, A1 ADH, A1 BHE X2 A1 AFHE</t>
  </si>
  <si>
    <t>LH21-23047</t>
  </si>
  <si>
    <t xml:space="preserve">IHC X13, A1 ADH, A1 BHE X3, A1 AFHE X2, </t>
  </si>
  <si>
    <t>LH21-23968</t>
  </si>
  <si>
    <t>IHC X17, A1 L1-3, A1 BHE/AFHE</t>
  </si>
  <si>
    <t>LH21-25684</t>
  </si>
  <si>
    <t>IHC X4, A1 BHE X3, A1 AFHE, A1 SHE</t>
  </si>
  <si>
    <t>LH21-33704</t>
  </si>
  <si>
    <t>639 922 9510</t>
  </si>
  <si>
    <t>Select part A4. Block A4 used for testing.</t>
  </si>
  <si>
    <t>IHC X24, A1, A4 BHE X2, A5-11, B1-6</t>
  </si>
  <si>
    <t>B6, B4, A10, A9, B3, A8, A1</t>
  </si>
  <si>
    <t>A7, A5</t>
  </si>
  <si>
    <t>LH21-47754</t>
  </si>
  <si>
    <t>IHC X13, A1, A1 BHE X2, A1 SHE, A1 ADH</t>
  </si>
  <si>
    <t>LH22-02256</t>
  </si>
  <si>
    <t>40-60%</t>
  </si>
  <si>
    <t>IHC X12, A1 L1-3, A1 ADH, A1 BHE X4, A1 AFHE</t>
  </si>
  <si>
    <t>LH22-02733</t>
  </si>
  <si>
    <t>IHC X20, A1, A1 ADH, A1 BHE X4, A1 AFHE, A2, B1 SHE, C1-3</t>
  </si>
  <si>
    <t>LH22-04499</t>
  </si>
  <si>
    <t>IHC X12, A1 SHE, C1 ADH, C1 BHE X4, C1 SHE, C1 AFHE</t>
  </si>
  <si>
    <t>B1, C1</t>
  </si>
  <si>
    <t>LH22-05373</t>
  </si>
  <si>
    <t>Select part A3. Block A3 used for testing.</t>
  </si>
  <si>
    <t>IHC X7, A1-4, B1 L2-4, B2 L2-4, A3 BHE/AFHE, C1, D1, E1-3, E3 L1-3, F1</t>
  </si>
  <si>
    <t>LH22-11771</t>
  </si>
  <si>
    <t>IHC X13, A1 ADH, A1 SHE, A1 BHE X2</t>
  </si>
  <si>
    <t>LH22-12330</t>
  </si>
  <si>
    <t>IHC X10, A1 BHE, A1 ADH, A1 SHE</t>
  </si>
  <si>
    <t>LH22-17970</t>
  </si>
  <si>
    <t>Select part B1. Block B1 used for testing.</t>
  </si>
  <si>
    <t>IHC X6, A1 HS X2, B1, B1 BHE X3, B1 AFHE, B1 ADH, B1 HS</t>
  </si>
  <si>
    <t>A1, B1</t>
  </si>
  <si>
    <t>LH22-25474</t>
  </si>
  <si>
    <t>IHC X20, A1 ADH, A1 BHE X3, A1 AFHE,  A1 SHE, A2 SHE, A3 BHE, A3 SHE, A4 SHE</t>
  </si>
  <si>
    <t>LH22-31808</t>
  </si>
  <si>
    <t>IHC X38, A1 SHE, A2 SHE, A3 ADH, A3 BHE/AFHE, A3 SHE, A4 SHE</t>
  </si>
  <si>
    <t>A1, A3</t>
  </si>
  <si>
    <t>LH22-39198</t>
  </si>
  <si>
    <t>IHC X26, A1 L2, A1 SHE, A2 SHE, A2 BHE X4, A2 AFHE, A2 L2-3</t>
  </si>
  <si>
    <t>LH22-46956</t>
  </si>
  <si>
    <t>IHC X15, A1 SHE, A2 SHE, A3 SHE, A3 ADH, A3 BHE/AFHE</t>
  </si>
  <si>
    <t>LH22-47286</t>
  </si>
  <si>
    <t>IHC X26, A1 SHE, A1 ADH, A2 SHE, A3 SHE, A4 SHE</t>
  </si>
  <si>
    <t>LH22-51940</t>
  </si>
  <si>
    <t>IHC X8, A1 ADH, A1 BHE X3, A1 AFHE, A1 SHE, A2-5 SHE</t>
  </si>
  <si>
    <t>LH23-12357</t>
  </si>
  <si>
    <t>IHC X7, A1 L2, A1 AFHE, A1 SHE, A1 ADH</t>
  </si>
  <si>
    <t>LH23-32379</t>
  </si>
  <si>
    <t>IHC X8, A1 ADH, A1-2 SHE</t>
  </si>
  <si>
    <t>LH23-38896</t>
  </si>
  <si>
    <t>Select part A. Block A used for testing.</t>
  </si>
  <si>
    <t>IHC X10, A1 BHE/AFHE, A1 SHE, A2 ADH, A2 SHE</t>
  </si>
  <si>
    <t>LH23-41042</t>
  </si>
  <si>
    <t>IHC X7, A1 L2, A1 SHE, A2 ADH, A2 SHE</t>
  </si>
  <si>
    <t>LH23-41662</t>
  </si>
  <si>
    <t xml:space="preserve">IHC X7, A1 L1-3, A1 ADH </t>
  </si>
  <si>
    <t>QC check</t>
  </si>
  <si>
    <t>Part Number</t>
  </si>
  <si>
    <t>Type</t>
  </si>
  <si>
    <t>1st</t>
  </si>
  <si>
    <t>2nd</t>
  </si>
  <si>
    <t>Metastatic</t>
  </si>
  <si>
    <t>MXH</t>
  </si>
  <si>
    <t>NB</t>
  </si>
  <si>
    <t>Primary</t>
  </si>
  <si>
    <t>Number of cases</t>
  </si>
  <si>
    <t>Primary tumour blocks</t>
  </si>
  <si>
    <t>Met blocks</t>
  </si>
  <si>
    <t>Normal tissue</t>
  </si>
  <si>
    <t>Total number of blocks</t>
  </si>
  <si>
    <t>used various search strategies</t>
  </si>
  <si>
    <t>A1 resection part types plus EGFR (all)</t>
  </si>
  <si>
    <t>A1 + A2 (biopsy part type - see pdfs  plus EGFR (all)</t>
  </si>
  <si>
    <t>text search - EGFR AND lung in ALL</t>
  </si>
  <si>
    <t>Note removed anything with failed result and for WT removed anything with &lt;20% tumour cells, or when the test result came back with a warning it might not be reliable. Randomly removed extras</t>
  </si>
  <si>
    <t>checked for duplicate patients (removed from the WT list but retained in the mutated list to choose from)</t>
  </si>
  <si>
    <t xml:space="preserve">target was 50 each of the following: </t>
  </si>
  <si>
    <t>NSCLC resections - EGFR mutated</t>
  </si>
  <si>
    <t>NSCLC resections - EGFR WT</t>
  </si>
  <si>
    <t>NSCLC biopsies EGFR mutated</t>
  </si>
  <si>
    <t>NSCLC biopsies EGFR WT</t>
  </si>
  <si>
    <t>We only need slides for this project, not blocks</t>
  </si>
  <si>
    <t>I have recorded the block used for molecular testing so only need to retrieve ALL slides with this number. Nic to decide which is the most appropriate slide to scan</t>
  </si>
  <si>
    <t>Where the block used is not recorded is probably because thereis only one. If this isn't the case and we can't tell which one was used, just reject the case (but not of a mutated case - we will have to work out which one it was!)</t>
  </si>
  <si>
    <t>All slides to be scanned at 40X</t>
  </si>
  <si>
    <t>Note for the resections EGFR mutated there  is a primary resection and a resection of a brain met from the same patient. We can't include both but Nic can decide which one to use</t>
  </si>
  <si>
    <t>There is also a resection  where there are 2 different primary tumours, each with a different EGFR mutation. Will ask Milan if he wants both as they are 2 different tumours but from the same patient.</t>
  </si>
  <si>
    <t>Note definition used: lung wedges or removal of metastases (e.g. whole lymph nodes or excision of metastases) are called resections</t>
  </si>
  <si>
    <t>Biopsies are needle core biopsies or sampling of metastases.</t>
  </si>
  <si>
    <t>Nic may swap some over  over to different categories depending on how they look as it is a bit of a grey area</t>
  </si>
  <si>
    <t>Metadata to collect:</t>
  </si>
  <si>
    <t>age, gender, path diagnosis, staging and details of the EGFR mutation detected.</t>
  </si>
  <si>
    <t>I have recorded all these except age and stage. Will check with Milan about age and stage</t>
  </si>
  <si>
    <t>Might as well work from this spreadsheet - just give me a list of any that were rejected or were moved into different categories (i.e. resections vs. biopsies). I can collect the rest of the data</t>
  </si>
  <si>
    <t>If Dissent N: Consent</t>
  </si>
  <si>
    <t>If Dissent N: Form Incomplete</t>
  </si>
  <si>
    <t>If Dissent N: Form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</si>
</sst>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24">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u/>
      <sz val="12"/>
      <color theme="1"/>
      <name val="Calibri"/>
      <family val="2"/>
      <scheme val="minor"/>
    </font>
    <font>
      <b/>
      <u/>
      <sz val="11"/>
      <color theme="1"/>
      <name val="Calibri"/>
      <family val="2"/>
      <scheme val="minor"/>
    </font>
    <font>
      <b/>
      <u/>
      <sz val="11"/>
      <color rgb="FF000000"/>
      <name val="Calibri"/>
      <family val="2"/>
      <scheme val="minor"/>
    </font>
    <font>
      <b/>
      <u/>
      <sz val="11"/>
      <color rgb="FF000000"/>
      <name val="Calibri"/>
    </font>
    <font>
      <b/>
      <u/>
      <sz val="11"/>
      <color rgb="FFFF0000"/>
      <name val="Calibri"/>
    </font>
    <font>
      <b/>
      <u/>
      <sz val="11"/>
      <color theme="1"/>
      <name val="Calibri"/>
    </font>
    <font>
      <b/>
      <sz val="11"/>
      <color theme="1"/>
      <name val="Calibri"/>
    </font>
    <font>
      <sz val="11"/>
      <color theme="1"/>
      <name val="Calibri"/>
    </font>
    <font>
      <sz val="10"/>
      <color theme="1"/>
      <name val="Calibri"/>
      <family val="2"/>
      <scheme val="minor"/>
    </font>
    <font>
      <sz val="11"/>
      <color theme="1"/>
      <name val="Calibri"/>
      <family val="2"/>
      <scheme val="minor"/>
    </font>
    <font>
      <b/>
      <sz val="10"/>
      <color theme="1"/>
      <name val="Calibri"/>
      <family val="2"/>
      <scheme val="minor"/>
    </font>
    <font>
      <b/>
      <sz val="16"/>
      <color rgb="FF7030A0"/>
      <name val="Calibri"/>
      <family val="2"/>
      <scheme val="minor"/>
    </font>
    <font>
      <sz val="16"/>
      <color rgb="FF000000"/>
      <name val="Aptos"/>
    </font>
    <font>
      <b/>
      <u/>
      <sz val="10"/>
      <color theme="1"/>
      <name val="Calibri"/>
      <family val="2"/>
      <scheme val="minor"/>
    </font>
    <font>
      <sz val="12"/>
      <color theme="1"/>
      <name val="Calibri"/>
      <family val="2"/>
      <scheme val="minor"/>
    </font>
  </fonts>
  <fills count="13">
    <fill>
      <patternFill patternType="none"/>
    </fill>
    <fill>
      <patternFill patternType="gray125"/>
    </fill>
    <fill>
      <patternFill patternType="solid">
        <fgColor rgb="FFFF0000"/>
        <bgColor indexed="64"/>
      </patternFill>
    </fill>
    <fill>
      <patternFill patternType="solid">
        <fgColor rgb="FFE2EFDA"/>
        <bgColor indexed="64"/>
      </patternFill>
    </fill>
    <fill>
      <patternFill patternType="solid">
        <fgColor rgb="FFDDEBF7"/>
        <bgColor indexed="64"/>
      </patternFill>
    </fill>
    <fill>
      <patternFill patternType="solid">
        <fgColor rgb="FFFFF2CC"/>
        <bgColor indexed="64"/>
      </patternFill>
    </fill>
    <fill>
      <patternFill patternType="solid">
        <fgColor rgb="FFEDEDED"/>
        <bgColor indexed="64"/>
      </patternFill>
    </fill>
    <fill>
      <patternFill patternType="solid">
        <fgColor rgb="FFFCE4D6"/>
        <bgColor indexed="64"/>
      </patternFill>
    </fill>
    <fill>
      <patternFill patternType="solid">
        <fgColor rgb="FF40BDC2"/>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FFFF00"/>
        <bgColor indexed="64"/>
      </patternFill>
    </fill>
    <fill>
      <patternFill patternType="solid">
        <fgColor theme="9" tint="0.59999389629810485"/>
        <bgColor indexed="64"/>
      </patternFill>
    </fill>
  </fills>
  <borders count="8">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double">
        <color rgb="FF000000"/>
      </bottom>
      <diagonal/>
    </border>
  </borders>
  <cellStyleXfs count="10">
    <xf numFmtId="0" fontId="0" fillId="0" borderId="0"/>
    <xf numFmtId="0" fontId="23"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26">
    <xf numFmtId="0" fontId="0" fillId="0" borderId="0" xfId="0"/>
    <xf numFmtId="0" fontId="10" fillId="0" borderId="0" xfId="0" applyFont="1" applyAlignment="1">
      <alignment horizontal="center"/>
    </xf>
    <xf numFmtId="0" fontId="10" fillId="6" borderId="5" xfId="0" quotePrefix="1" applyFont="1" applyFill="1" applyBorder="1" applyAlignment="1">
      <alignment horizontal="center" wrapText="1"/>
    </xf>
    <xf numFmtId="0" fontId="10" fillId="6" borderId="5" xfId="0" applyFont="1" applyFill="1" applyBorder="1" applyAlignment="1">
      <alignment horizontal="center"/>
    </xf>
    <xf numFmtId="0" fontId="11" fillId="5" borderId="5" xfId="0" applyFont="1" applyFill="1" applyBorder="1" applyAlignment="1">
      <alignment horizontal="center"/>
    </xf>
    <xf numFmtId="0" fontId="10" fillId="4" borderId="5" xfId="0" applyFont="1" applyFill="1" applyBorder="1" applyAlignment="1">
      <alignment horizontal="center"/>
    </xf>
    <xf numFmtId="0" fontId="10" fillId="4" borderId="5" xfId="0" applyFont="1" applyFill="1" applyBorder="1" applyAlignment="1">
      <alignment horizontal="center" wrapText="1"/>
    </xf>
    <xf numFmtId="0" fontId="10" fillId="6" borderId="2" xfId="0" applyFont="1" applyFill="1" applyBorder="1"/>
    <xf numFmtId="0" fontId="10" fillId="4" borderId="6" xfId="0" applyFont="1" applyFill="1" applyBorder="1" applyAlignment="1">
      <alignment horizontal="center" wrapText="1"/>
    </xf>
    <xf numFmtId="0" fontId="11" fillId="5" borderId="2" xfId="0" applyFont="1" applyFill="1" applyBorder="1" applyAlignment="1">
      <alignment horizontal="center"/>
    </xf>
    <xf numFmtId="0" fontId="9" fillId="0" borderId="0" xfId="0" applyFont="1" applyAlignment="1">
      <alignment horizontal="center"/>
    </xf>
    <xf numFmtId="0" fontId="15" fillId="0" borderId="0" xfId="0" applyFont="1"/>
    <xf numFmtId="0" fontId="15" fillId="0" borderId="0" xfId="0" applyFont="1" applyAlignment="1">
      <alignment horizontal="left"/>
    </xf>
    <xf numFmtId="0" fontId="16" fillId="0" borderId="0" xfId="0" applyFont="1"/>
    <xf numFmtId="0" fontId="15" fillId="0" borderId="7" xfId="0" applyFont="1" applyBorder="1"/>
    <xf numFmtId="0" fontId="10" fillId="8" borderId="4" xfId="0" applyFont="1" applyFill="1" applyBorder="1" applyAlignment="1">
      <alignment horizontal="center" wrapText="1"/>
    </xf>
    <xf numFmtId="0" fontId="10" fillId="8" borderId="5" xfId="0" applyFont="1" applyFill="1" applyBorder="1" applyAlignment="1">
      <alignment horizontal="center" wrapText="1"/>
    </xf>
    <xf numFmtId="0" fontId="10" fillId="8" borderId="6" xfId="0" applyFont="1" applyFill="1" applyBorder="1" applyAlignment="1">
      <alignment horizontal="center" wrapText="1"/>
    </xf>
    <xf numFmtId="0" fontId="17" fillId="0" borderId="0" xfId="0" applyFont="1" applyProtection="1">
      <protection locked="0"/>
    </xf>
    <xf numFmtId="164" fontId="17" fillId="0" borderId="0" xfId="0" applyNumberFormat="1" applyFont="1" applyProtection="1">
      <protection locked="0"/>
    </xf>
    <xf numFmtId="0" fontId="17" fillId="0" borderId="0" xfId="0" applyFont="1"/>
    <xf numFmtId="164" fontId="17" fillId="0" borderId="0" xfId="0" applyNumberFormat="1" applyFont="1"/>
    <xf numFmtId="0" fontId="18" fillId="0" borderId="0" xfId="0" applyFont="1"/>
    <xf numFmtId="0" fontId="10" fillId="6" borderId="1" xfId="0" applyFont="1" applyFill="1" applyBorder="1"/>
    <xf numFmtId="0" fontId="10" fillId="6" borderId="3" xfId="0" applyFont="1" applyFill="1" applyBorder="1" applyAlignment="1">
      <alignment wrapText="1"/>
    </xf>
    <xf numFmtId="0" fontId="10" fillId="6" borderId="4" xfId="0" quotePrefix="1" applyFont="1" applyFill="1" applyBorder="1" applyAlignment="1">
      <alignment horizontal="center" wrapText="1"/>
    </xf>
    <xf numFmtId="0" fontId="10" fillId="6" borderId="6" xfId="0" applyFont="1" applyFill="1" applyBorder="1" applyAlignment="1">
      <alignment horizontal="center" wrapText="1"/>
    </xf>
    <xf numFmtId="0" fontId="20" fillId="0" borderId="0" xfId="0" applyFont="1" applyAlignment="1">
      <alignment horizontal="center"/>
    </xf>
    <xf numFmtId="0" fontId="21" fillId="0" borderId="0" xfId="0" applyFont="1"/>
    <xf numFmtId="0" fontId="17" fillId="10" borderId="0" xfId="0" applyFont="1" applyFill="1" applyProtection="1">
      <protection locked="0"/>
    </xf>
    <xf numFmtId="0" fontId="17" fillId="11" borderId="0" xfId="0" applyFont="1" applyFill="1" applyProtection="1">
      <protection locked="0"/>
    </xf>
    <xf numFmtId="0" fontId="0" fillId="10" borderId="0" xfId="0" applyFill="1"/>
    <xf numFmtId="0" fontId="0" fillId="11" borderId="0" xfId="0" applyFill="1"/>
    <xf numFmtId="0" fontId="22" fillId="8" borderId="5" xfId="0" applyFont="1" applyFill="1" applyBorder="1" applyAlignment="1">
      <alignment horizontal="center" wrapText="1"/>
    </xf>
    <xf numFmtId="9" fontId="17" fillId="0" borderId="0" xfId="0" applyNumberFormat="1" applyFont="1" applyAlignment="1" applyProtection="1">
      <alignment horizontal="left"/>
      <protection locked="0"/>
    </xf>
    <xf numFmtId="0" fontId="22" fillId="0" borderId="7" xfId="0" applyFont="1" applyBorder="1" applyProtection="1">
      <protection locked="0"/>
    </xf>
    <xf numFmtId="0" fontId="19" fillId="0" borderId="7" xfId="0" applyFont="1" applyBorder="1" applyProtection="1">
      <protection locked="0"/>
    </xf>
    <xf numFmtId="0" fontId="17" fillId="0" borderId="0" xfId="0" applyFont="1" applyAlignment="1" applyProtection="1">
      <alignment horizontal="right"/>
      <protection locked="0"/>
    </xf>
    <xf numFmtId="0" fontId="17" fillId="2" borderId="0" xfId="0" applyFont="1" applyFill="1" applyProtection="1">
      <protection locked="0"/>
    </xf>
    <xf numFmtId="9" fontId="17" fillId="2" borderId="0" xfId="0" applyNumberFormat="1" applyFont="1" applyFill="1" applyAlignment="1" applyProtection="1">
      <alignment horizontal="left"/>
      <protection locked="0"/>
    </xf>
    <xf numFmtId="164" fontId="17" fillId="2" borderId="0" xfId="0" applyNumberFormat="1" applyFont="1" applyFill="1" applyProtection="1">
      <protection locked="0"/>
    </xf>
    <xf numFmtId="0" fontId="17" fillId="2" borderId="0" xfId="0" applyFont="1" applyFill="1"/>
    <xf numFmtId="0" fontId="17" fillId="11" borderId="0" xfId="0" applyFont="1" applyFill="1"/>
    <xf numFmtId="9" fontId="17" fillId="11" borderId="0" xfId="0" applyNumberFormat="1" applyFont="1" applyFill="1" applyAlignment="1" applyProtection="1">
      <alignment horizontal="left"/>
      <protection locked="0"/>
    </xf>
    <xf numFmtId="164" fontId="17" fillId="11" borderId="0" xfId="0" applyNumberFormat="1" applyFont="1" applyFill="1" applyProtection="1">
      <protection locked="0"/>
    </xf>
    <xf numFmtId="0" fontId="10" fillId="3" borderId="4" xfId="1" applyFont="1" applyFill="1" applyBorder="1" applyAlignment="1">
      <alignment horizontal="center" wrapText="1"/>
    </xf>
    <xf numFmtId="0" fontId="10" fillId="3" borderId="5" xfId="1" applyFont="1" applyFill="1" applyBorder="1" applyAlignment="1">
      <alignment horizontal="center" wrapText="1"/>
    </xf>
    <xf numFmtId="0" fontId="10" fillId="8" borderId="4" xfId="1" applyFont="1" applyFill="1" applyBorder="1" applyAlignment="1">
      <alignment horizontal="center" wrapText="1"/>
    </xf>
    <xf numFmtId="0" fontId="22" fillId="8" borderId="5" xfId="1" applyFont="1" applyFill="1" applyBorder="1" applyAlignment="1">
      <alignment horizontal="center" wrapText="1"/>
    </xf>
    <xf numFmtId="0" fontId="10" fillId="8" borderId="5" xfId="1" applyFont="1" applyFill="1" applyBorder="1" applyAlignment="1">
      <alignment horizontal="center" wrapText="1"/>
    </xf>
    <xf numFmtId="0" fontId="10" fillId="8" borderId="6" xfId="1" applyFont="1" applyFill="1" applyBorder="1" applyAlignment="1">
      <alignment horizontal="center" wrapText="1"/>
    </xf>
    <xf numFmtId="0" fontId="10" fillId="4" borderId="5" xfId="1" applyFont="1" applyFill="1" applyBorder="1" applyAlignment="1">
      <alignment horizontal="center"/>
    </xf>
    <xf numFmtId="0" fontId="10" fillId="4" borderId="5" xfId="1" applyFont="1" applyFill="1" applyBorder="1" applyAlignment="1">
      <alignment horizontal="center" wrapText="1"/>
    </xf>
    <xf numFmtId="0" fontId="10" fillId="4" borderId="6" xfId="1" applyFont="1" applyFill="1" applyBorder="1" applyAlignment="1">
      <alignment horizontal="center" wrapText="1"/>
    </xf>
    <xf numFmtId="0" fontId="11" fillId="9" borderId="5" xfId="1" applyFont="1" applyFill="1" applyBorder="1" applyAlignment="1">
      <alignment horizontal="center" wrapText="1"/>
    </xf>
    <xf numFmtId="0" fontId="11" fillId="9" borderId="6" xfId="1" applyFont="1" applyFill="1" applyBorder="1" applyAlignment="1">
      <alignment horizontal="center" wrapText="1"/>
    </xf>
    <xf numFmtId="0" fontId="11" fillId="5" borderId="5" xfId="1" applyFont="1" applyFill="1" applyBorder="1" applyAlignment="1">
      <alignment horizontal="center"/>
    </xf>
    <xf numFmtId="0" fontId="10" fillId="6" borderId="4" xfId="1" quotePrefix="1" applyFont="1" applyFill="1" applyBorder="1" applyAlignment="1">
      <alignment horizontal="center" wrapText="1"/>
    </xf>
    <xf numFmtId="0" fontId="10" fillId="6" borderId="5" xfId="1" quotePrefix="1" applyFont="1" applyFill="1" applyBorder="1" applyAlignment="1">
      <alignment horizontal="center" wrapText="1"/>
    </xf>
    <xf numFmtId="0" fontId="10" fillId="6" borderId="5" xfId="1" applyFont="1" applyFill="1" applyBorder="1" applyAlignment="1">
      <alignment horizontal="center"/>
    </xf>
    <xf numFmtId="0" fontId="10" fillId="6" borderId="6" xfId="1" applyFont="1" applyFill="1" applyBorder="1" applyAlignment="1">
      <alignment horizontal="center" wrapText="1"/>
    </xf>
    <xf numFmtId="0" fontId="10" fillId="7" borderId="5" xfId="1" applyFont="1" applyFill="1" applyBorder="1" applyAlignment="1">
      <alignment horizontal="center" wrapText="1"/>
    </xf>
    <xf numFmtId="0" fontId="10" fillId="7" borderId="6" xfId="1" applyFont="1" applyFill="1" applyBorder="1" applyAlignment="1">
      <alignment horizontal="center"/>
    </xf>
    <xf numFmtId="0" fontId="17" fillId="0" borderId="0" xfId="1" applyFont="1" applyProtection="1">
      <protection locked="0"/>
    </xf>
    <xf numFmtId="9" fontId="17" fillId="0" borderId="0" xfId="1" applyNumberFormat="1" applyFont="1" applyAlignment="1" applyProtection="1">
      <alignment horizontal="left"/>
      <protection locked="0"/>
    </xf>
    <xf numFmtId="164" fontId="17" fillId="0" borderId="0" xfId="1" applyNumberFormat="1" applyFont="1" applyProtection="1">
      <protection locked="0"/>
    </xf>
    <xf numFmtId="0" fontId="17" fillId="0" borderId="0" xfId="1" applyFont="1"/>
    <xf numFmtId="0" fontId="19" fillId="0" borderId="0" xfId="1" applyFont="1"/>
    <xf numFmtId="0" fontId="17" fillId="11" borderId="0" xfId="1" applyFont="1" applyFill="1" applyProtection="1">
      <protection locked="0"/>
    </xf>
    <xf numFmtId="0" fontId="17" fillId="10" borderId="0" xfId="1" applyFont="1" applyFill="1" applyProtection="1">
      <protection locked="0"/>
    </xf>
    <xf numFmtId="0" fontId="17" fillId="2" borderId="0" xfId="1" applyFont="1" applyFill="1" applyProtection="1">
      <protection locked="0"/>
    </xf>
    <xf numFmtId="9" fontId="17" fillId="2" borderId="0" xfId="1" applyNumberFormat="1" applyFont="1" applyFill="1" applyAlignment="1" applyProtection="1">
      <alignment horizontal="left"/>
      <protection locked="0"/>
    </xf>
    <xf numFmtId="164" fontId="17" fillId="2" borderId="0" xfId="1" applyNumberFormat="1" applyFont="1" applyFill="1" applyProtection="1">
      <protection locked="0"/>
    </xf>
    <xf numFmtId="0" fontId="17" fillId="2" borderId="0" xfId="1" applyFont="1" applyFill="1"/>
    <xf numFmtId="0" fontId="19" fillId="2" borderId="0" xfId="1" applyFont="1" applyFill="1"/>
    <xf numFmtId="0" fontId="19" fillId="0" borderId="7" xfId="1" applyFont="1" applyBorder="1" applyProtection="1">
      <protection locked="0"/>
    </xf>
    <xf numFmtId="0" fontId="17" fillId="0" borderId="0" xfId="1" applyFont="1" applyAlignment="1" applyProtection="1">
      <alignment horizontal="right"/>
      <protection locked="0"/>
    </xf>
    <xf numFmtId="9" fontId="17" fillId="11" borderId="0" xfId="1" applyNumberFormat="1" applyFont="1" applyFill="1" applyAlignment="1" applyProtection="1">
      <alignment horizontal="left"/>
      <protection locked="0"/>
    </xf>
    <xf numFmtId="164" fontId="17" fillId="11" borderId="0" xfId="1" applyNumberFormat="1" applyFont="1" applyFill="1" applyProtection="1">
      <protection locked="0"/>
    </xf>
    <xf numFmtId="0" fontId="17" fillId="11" borderId="0" xfId="1" applyFont="1" applyFill="1"/>
    <xf numFmtId="0" fontId="22" fillId="0" borderId="7" xfId="1" applyFont="1" applyBorder="1" applyProtection="1">
      <protection locked="0"/>
    </xf>
    <xf numFmtId="0" fontId="4" fillId="0" borderId="0" xfId="6"/>
    <xf numFmtId="0" fontId="3" fillId="0" borderId="0" xfId="7"/>
    <xf numFmtId="0" fontId="2" fillId="0" borderId="0" xfId="8"/>
    <xf numFmtId="0" fontId="1" fillId="0" borderId="0" xfId="9"/>
    <xf numFmtId="0" fontId="1" fillId="2" borderId="0" xfId="0" applyFont="1" applyFill="1"/>
    <xf numFmtId="0" fontId="1" fillId="0" borderId="0" xfId="0" applyFont="1"/>
    <xf numFmtId="0" fontId="17" fillId="0" borderId="0" xfId="0" applyFont="1" applyAlignment="1">
      <alignment wrapText="1"/>
    </xf>
    <xf numFmtId="0" fontId="0" fillId="12" borderId="0" xfId="0" applyFill="1"/>
    <xf numFmtId="0" fontId="17" fillId="12" borderId="0" xfId="0" applyFont="1" applyFill="1" applyProtection="1">
      <protection locked="0"/>
    </xf>
    <xf numFmtId="0" fontId="9" fillId="0" borderId="0" xfId="0" applyFont="1"/>
    <xf numFmtId="0" fontId="9" fillId="0" borderId="0" xfId="0" applyFont="1" applyAlignment="1">
      <alignment wrapText="1"/>
    </xf>
    <xf numFmtId="0" fontId="20" fillId="0" borderId="0" xfId="0" applyFont="1" applyAlignment="1">
      <alignment horizontal="center"/>
    </xf>
    <xf numFmtId="0" fontId="11" fillId="5" borderId="2" xfId="0" applyFont="1" applyFill="1" applyBorder="1" applyAlignment="1">
      <alignment horizontal="center"/>
    </xf>
    <xf numFmtId="0" fontId="10" fillId="7" borderId="3" xfId="0" applyFont="1" applyFill="1" applyBorder="1" applyAlignment="1">
      <alignment horizontal="center"/>
    </xf>
    <xf numFmtId="0" fontId="10" fillId="7" borderId="6" xfId="0" applyFont="1" applyFill="1" applyBorder="1" applyAlignment="1">
      <alignment horizontal="center"/>
    </xf>
    <xf numFmtId="0" fontId="17" fillId="0" borderId="0" xfId="0" applyFont="1" applyAlignment="1">
      <alignment wrapText="1"/>
    </xf>
    <xf numFmtId="0" fontId="10" fillId="3" borderId="1" xfId="0" applyFont="1" applyFill="1" applyBorder="1" applyAlignment="1">
      <alignment horizontal="center" wrapText="1"/>
    </xf>
    <xf numFmtId="0" fontId="10" fillId="3" borderId="4" xfId="0" applyFont="1" applyFill="1" applyBorder="1" applyAlignment="1">
      <alignment horizontal="center" wrapText="1"/>
    </xf>
    <xf numFmtId="0" fontId="10" fillId="3" borderId="2" xfId="0" applyFont="1" applyFill="1" applyBorder="1" applyAlignment="1">
      <alignment horizontal="center" wrapText="1"/>
    </xf>
    <xf numFmtId="0" fontId="10" fillId="3" borderId="5" xfId="0" applyFont="1" applyFill="1" applyBorder="1" applyAlignment="1">
      <alignment horizontal="center" wrapText="1"/>
    </xf>
    <xf numFmtId="0" fontId="10" fillId="7" borderId="2" xfId="0" applyFont="1" applyFill="1" applyBorder="1" applyAlignment="1">
      <alignment horizontal="center" wrapText="1"/>
    </xf>
    <xf numFmtId="0" fontId="10" fillId="7" borderId="5" xfId="0" applyFont="1" applyFill="1" applyBorder="1" applyAlignment="1">
      <alignment horizontal="center" wrapText="1"/>
    </xf>
    <xf numFmtId="0" fontId="10" fillId="4" borderId="2" xfId="0" applyFont="1" applyFill="1" applyBorder="1" applyAlignment="1">
      <alignment horizontal="center"/>
    </xf>
    <xf numFmtId="0" fontId="10" fillId="4" borderId="3" xfId="0" applyFont="1" applyFill="1" applyBorder="1" applyAlignment="1">
      <alignment horizontal="center"/>
    </xf>
    <xf numFmtId="0" fontId="11" fillId="5" borderId="5" xfId="0" applyFont="1" applyFill="1" applyBorder="1" applyAlignment="1">
      <alignment horizontal="center"/>
    </xf>
    <xf numFmtId="0" fontId="10" fillId="4" borderId="5" xfId="0" applyFont="1" applyFill="1" applyBorder="1" applyAlignment="1">
      <alignment horizontal="center"/>
    </xf>
    <xf numFmtId="0" fontId="14" fillId="6" borderId="2" xfId="0" applyFont="1" applyFill="1" applyBorder="1" applyAlignment="1">
      <alignment horizontal="center"/>
    </xf>
    <xf numFmtId="0" fontId="10" fillId="8" borderId="1" xfId="0" applyFont="1" applyFill="1" applyBorder="1" applyAlignment="1">
      <alignment horizontal="center" wrapText="1"/>
    </xf>
    <xf numFmtId="0" fontId="10" fillId="8" borderId="2" xfId="0" applyFont="1" applyFill="1" applyBorder="1" applyAlignment="1">
      <alignment horizontal="center" wrapText="1"/>
    </xf>
    <xf numFmtId="0" fontId="10" fillId="8" borderId="3" xfId="0" applyFont="1" applyFill="1" applyBorder="1" applyAlignment="1">
      <alignment horizontal="center" wrapText="1"/>
    </xf>
    <xf numFmtId="0" fontId="11" fillId="9" borderId="3" xfId="0" applyFont="1" applyFill="1" applyBorder="1" applyAlignment="1">
      <alignment horizontal="center" wrapText="1"/>
    </xf>
    <xf numFmtId="0" fontId="11" fillId="9" borderId="6" xfId="0" applyFont="1" applyFill="1" applyBorder="1" applyAlignment="1">
      <alignment horizontal="center" wrapText="1"/>
    </xf>
    <xf numFmtId="0" fontId="10" fillId="6" borderId="2" xfId="0" quotePrefix="1" applyFont="1" applyFill="1" applyBorder="1" applyAlignment="1">
      <alignment horizontal="center" wrapText="1"/>
    </xf>
    <xf numFmtId="0" fontId="10" fillId="6" borderId="5" xfId="0" quotePrefix="1" applyFont="1" applyFill="1" applyBorder="1" applyAlignment="1">
      <alignment horizontal="center" wrapText="1"/>
    </xf>
    <xf numFmtId="0" fontId="11" fillId="9" borderId="2" xfId="0" applyFont="1" applyFill="1" applyBorder="1" applyAlignment="1">
      <alignment horizontal="center" wrapText="1"/>
    </xf>
    <xf numFmtId="0" fontId="11" fillId="9" borderId="5" xfId="0" applyFont="1" applyFill="1" applyBorder="1" applyAlignment="1">
      <alignment horizontal="center" wrapText="1"/>
    </xf>
    <xf numFmtId="0" fontId="9" fillId="0" borderId="0" xfId="0" applyFont="1" applyAlignment="1">
      <alignment horizontal="center"/>
    </xf>
    <xf numFmtId="0" fontId="17" fillId="0" borderId="0" xfId="0" applyFont="1" applyAlignment="1">
      <alignment horizontal="center"/>
    </xf>
    <xf numFmtId="0" fontId="17" fillId="11" borderId="0" xfId="0" applyFont="1" applyFill="1" applyAlignment="1">
      <alignment horizontal="center"/>
    </xf>
    <xf numFmtId="0" fontId="1" fillId="0" borderId="0" xfId="0" applyFont="1" applyAlignment="1">
      <alignment horizontal="center"/>
    </xf>
    <xf numFmtId="0" fontId="19" fillId="0" borderId="0" xfId="0" applyFont="1" applyAlignment="1">
      <alignment horizontal="center"/>
    </xf>
    <xf numFmtId="0" fontId="22" fillId="0" borderId="7" xfId="0" applyFont="1" applyBorder="1" applyAlignment="1" applyProtection="1">
      <alignment horizontal="center"/>
      <protection locked="0"/>
    </xf>
    <xf numFmtId="0" fontId="17" fillId="2" borderId="0" xfId="0" applyFont="1" applyFill="1" applyAlignment="1">
      <alignment horizontal="center"/>
    </xf>
    <xf numFmtId="0" fontId="19" fillId="2" borderId="0" xfId="0" applyFont="1" applyFill="1" applyAlignment="1">
      <alignment horizontal="center"/>
    </xf>
    <xf numFmtId="0" fontId="19" fillId="0" borderId="7" xfId="0" applyFont="1" applyBorder="1" applyAlignment="1" applyProtection="1">
      <alignment horizontal="center"/>
      <protection locked="0"/>
    </xf>
  </cellXfs>
  <cellStyles count="10">
    <cellStyle name="Normal" xfId="0" builtinId="0"/>
    <cellStyle name="Normal 10" xfId="9" xr:uid="{15BB46CE-3C07-4DD3-8226-B49ACBDED25B}"/>
    <cellStyle name="Normal 2" xfId="2" xr:uid="{A6026205-9FCD-4C8A-8892-7BD07D7205B7}"/>
    <cellStyle name="Normal 3" xfId="1" xr:uid="{F6FD7341-D5A6-46DB-B49B-584258B5F53C}"/>
    <cellStyle name="Normal 4" xfId="3" xr:uid="{66DFEB8B-0337-41FB-9491-78D8DBAE68D0}"/>
    <cellStyle name="Normal 5" xfId="4" xr:uid="{7A5049D4-A378-4A04-A2E1-B871D9201877}"/>
    <cellStyle name="Normal 6" xfId="5" xr:uid="{806FC580-3002-401B-9E93-CF4831B808D3}"/>
    <cellStyle name="Normal 7" xfId="6" xr:uid="{AD460AEF-04DE-45D3-AD5F-7FCEE1FEB0FE}"/>
    <cellStyle name="Normal 8" xfId="7" xr:uid="{769C7057-C35B-4156-922C-71C185FF6FA3}"/>
    <cellStyle name="Normal 9" xfId="8" xr:uid="{7472D534-C07E-47F2-B83A-8D9EACFA1174}"/>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B9FF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ENNETT, Nicholas (LEEDS TEACHING HOSPITALS NHS TRUST)" id="{C83B3653-DE66-4D52-BC83-E91CB751F440}" userId="S::n.bennett7@nhs.net::7f79b6ca-9579-41c7-ac49-041a823c0562" providerId="AD"/>
  <person displayName="FREER, Clare (LEEDS TEACHING HOSPITALS NHS TRUST)" id="{C75F1468-D16D-4A0B-A2EB-813EBD53A1C9}" userId="S::clare.freer2@nhs.net::38188dba-d054-4eda-9019-5e8a7b85df14" providerId="AD"/>
  <person displayName="HYDE, Mitchell (LEEDS TEACHING HOSPITALS NHS TRUST)" id="{C2E1644D-F3A9-4EE4-9EEF-4D9C99D4242A}" userId="S::mitchell.hyde@nhs.net::ccab8074-09c3-41dc-b3a6-a500ebe63a0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C8" dT="2025-03-18T11:27:17.06" personId="{C83B3653-DE66-4D52-BC83-E91CB751F440}" id="{6E7AB359-325F-4860-97D8-414FBF7F94E2}">
    <text>B13 - LUNG, B2 - BRONCHUS</text>
  </threadedComment>
  <threadedComment ref="AC13" dT="2025-03-18T11:30:16.50" personId="{C83B3653-DE66-4D52-BC83-E91CB751F440}" id="{6C9DD04C-A3E5-49A9-B674-F758E13168BA}">
    <text>LUNG</text>
  </threadedComment>
  <threadedComment ref="AC17" dT="2025-03-18T11:21:45.12" personId="{C83B3653-DE66-4D52-BC83-E91CB751F440}" id="{E3BD1C2C-FDEA-458F-914F-F44F6168FA9C}">
    <text>LUNG</text>
  </threadedComment>
  <threadedComment ref="AC19" dT="2025-03-18T11:23:20.54" personId="{C83B3653-DE66-4D52-BC83-E91CB751F440}" id="{3A5865FB-1533-4EBA-9426-2A20E30A4B78}">
    <text>BRONCHUS</text>
  </threadedComment>
  <threadedComment ref="AC21" dT="2025-03-18T11:24:51.01" personId="{C83B3653-DE66-4D52-BC83-E91CB751F440}" id="{B13FFC2B-7B1F-4284-9891-2704C3AC3321}">
    <text>BRONCHUS</text>
  </threadedComment>
  <threadedComment ref="AC22" dT="2025-03-18T11:25:45.31" personId="{C83B3653-DE66-4D52-BC83-E91CB751F440}" id="{E8C5DF39-4CA5-4AB3-8BBA-11A7A2767542}">
    <text>LUNG</text>
  </threadedComment>
  <threadedComment ref="A24" dT="2024-05-09T11:21:37.36" personId="{C75F1468-D16D-4A0B-A2EB-813EBD53A1C9}" id="{B76E9903-4FAA-4190-9B84-AB61DE148EBB}">
    <text>Sent with  Pembro &amp; Nivo Lung IO 1</text>
  </threadedComment>
</ThreadedComments>
</file>

<file path=xl/threadedComments/threadedComment2.xml><?xml version="1.0" encoding="utf-8"?>
<ThreadedComments xmlns="http://schemas.microsoft.com/office/spreadsheetml/2018/threadedcomments" xmlns:x="http://schemas.openxmlformats.org/spreadsheetml/2006/main">
  <threadedComment ref="AC10" dT="2025-03-18T10:38:37.51" personId="{C83B3653-DE66-4D52-BC83-E91CB751F440}" id="{A967ACAD-3B38-4804-A506-C810CDA3D3DD}">
    <text>LUNG</text>
  </threadedComment>
  <threadedComment ref="A15" dT="2024-05-09T11:29:12.27" personId="{C75F1468-D16D-4A0B-A2EB-813EBD53A1C9}" id="{765508F8-E7CD-44A3-B83F-4D2933C7E9EA}">
    <text>Sent with  Pembro 2019</text>
  </threadedComment>
  <threadedComment ref="A18" dT="2024-05-09T11:32:25.61" personId="{C75F1468-D16D-4A0B-A2EB-813EBD53A1C9}" id="{CCDF7E25-2265-4758-958B-DDE5DFDC932C}">
    <text xml:space="preserve"> Sent with Combined transfer 1</text>
  </threadedComment>
  <threadedComment ref="A19" dT="2024-05-09T11:32:55.35" personId="{C75F1468-D16D-4A0B-A2EB-813EBD53A1C9}" id="{3142C2A4-9E61-4E07-8CD4-6BA6AB45D302}">
    <text xml:space="preserve"> Sent with Combined transfer 1</text>
  </threadedComment>
  <threadedComment ref="A21" dT="2024-05-09T11:34:35.33" personId="{C75F1468-D16D-4A0B-A2EB-813EBD53A1C9}" id="{EAC4CEBC-3A9F-4C42-93F8-AFFEDC3260FD}">
    <text xml:space="preserve"> Sent with Combined transfer 1</text>
  </threadedComment>
  <threadedComment ref="AC22" dT="2025-03-18T10:45:30.37" personId="{C83B3653-DE66-4D52-BC83-E91CB751F440}" id="{7F075A79-108B-4235-8533-C0A97480396D}">
    <text>LUNG</text>
  </threadedComment>
  <threadedComment ref="AC23" dT="2025-03-18T10:47:08.59" personId="{C83B3653-DE66-4D52-BC83-E91CB751F440}" id="{125A4F41-EF36-4304-8D26-AA3390927D45}">
    <text>LUNG</text>
  </threadedComment>
  <threadedComment ref="A25" dT="2024-05-09T11:36:14.99" personId="{C75F1468-D16D-4A0B-A2EB-813EBD53A1C9}" id="{D0435C50-379F-42C3-81C6-59C72CE6091D}">
    <text>Sent with Pembro 2020</text>
  </threadedComment>
  <threadedComment ref="A28" dT="2024-05-09T11:39:09.91" personId="{C75F1468-D16D-4A0B-A2EB-813EBD53A1C9}" id="{78AFB439-C363-4653-8319-8995CE203783}">
    <text>Sent with Combined transfer 1</text>
  </threadedComment>
  <threadedComment ref="AC33" dT="2025-03-18T10:53:47.89" personId="{C83B3653-DE66-4D52-BC83-E91CB751F440}" id="{663119E4-3685-49D6-8D80-E3AD8F622C31}">
    <text>BRONCHUS</text>
  </threadedComment>
  <threadedComment ref="AC34" dT="2025-03-18T10:54:46.08" personId="{C83B3653-DE66-4D52-BC83-E91CB751F440}" id="{97B3430F-EF19-44F8-A1A8-8F82A003FB28}">
    <text>LUNG</text>
  </threadedComment>
  <threadedComment ref="A35" dT="2024-05-09T11:39:47.82" personId="{C75F1468-D16D-4A0B-A2EB-813EBD53A1C9}" id="{3899398D-51FE-4700-BEB3-1D5AEE745571}">
    <text>Sent with Combined transfer 1</text>
  </threadedComment>
  <threadedComment ref="A36" dT="2024-05-09T11:40:52.51" personId="{C75F1468-D16D-4A0B-A2EB-813EBD53A1C9}" id="{62207458-AF06-4CF8-B4EE-2EA576FBEEC8}">
    <text>Sent with Combined transfer 1</text>
  </threadedComment>
  <threadedComment ref="AC38" dT="2025-03-18T10:57:18.74" personId="{C83B3653-DE66-4D52-BC83-E91CB751F440}" id="{28C83C9A-29C1-4460-9C88-20346B2C9DDB}">
    <text>D12 - LUNG, D8 - BRONCHUS</text>
  </threadedComment>
  <threadedComment ref="AC39" dT="2025-03-18T10:58:15.21" personId="{C83B3653-DE66-4D52-BC83-E91CB751F440}" id="{8ADA20B5-396F-426D-881E-97F4BC730E39}">
    <text>LUNG</text>
  </threadedComment>
  <threadedComment ref="A42" dT="2024-10-07T10:01:21.41" personId="{C2E1644D-F3A9-4EE4-9EEF-4D9C99D4242A}" id="{405A2D6C-9FF5-4136-81BB-39365BF5477E}">
    <text xml:space="preserve">Removed for NG - TO return once reviewed </text>
  </threadedComment>
  <threadedComment ref="AC45" dT="2025-03-18T11:03:14.86" personId="{C83B3653-DE66-4D52-BC83-E91CB751F440}" id="{B8CC4C9E-39CF-4DDB-93F6-9E489A8F198F}">
    <text>BRONCHUS</text>
  </threadedComment>
  <threadedComment ref="A47" dT="2024-10-07T10:01:36.93" personId="{C2E1644D-F3A9-4EE4-9EEF-4D9C99D4242A}" id="{7A8301C9-4EE7-4A63-B4DE-3929AF319F64}">
    <text xml:space="preserve">Removed for NG - To be returned when reviewed </text>
  </threadedComment>
  <threadedComment ref="AC52" dT="2025-03-18T11:06:44.60" personId="{C83B3653-DE66-4D52-BC83-E91CB751F440}" id="{59C4ED16-B79A-4452-83E3-1664B9AFC5CD}">
    <text>LUNG</text>
  </threadedComment>
  <threadedComment ref="AC53" dT="2025-03-18T11:07:19.69" personId="{C83B3653-DE66-4D52-BC83-E91CB751F440}" id="{03694913-EE97-48D1-A561-8C8D27929CBB}">
    <text>LUNG</text>
  </threadedComment>
  <threadedComment ref="AC54" dT="2025-03-18T11:08:00.29" personId="{C83B3653-DE66-4D52-BC83-E91CB751F440}" id="{3A2A4328-3867-44FE-95F4-0EC9393F0E1C}">
    <text>LUNG</text>
  </threadedComment>
  <threadedComment ref="AC56" dT="2025-03-18T11:09:43.85" personId="{C83B3653-DE66-4D52-BC83-E91CB751F440}" id="{E2FCE919-0AE8-44ED-8196-FF6B06B143CE}">
    <text>B2 - BRONCHUS, B19 - LUNG</text>
  </threadedComment>
  <threadedComment ref="AC57" dT="2025-03-18T11:10:43.95" personId="{C83B3653-DE66-4D52-BC83-E91CB751F440}" id="{93ABE39F-113C-4A25-B86E-5A86E7E39255}">
    <text>LUNG</text>
  </threadedComment>
  <threadedComment ref="AC62" dT="2025-03-18T11:14:20.50" personId="{C83B3653-DE66-4D52-BC83-E91CB751F440}" id="{25CB7985-C72E-4439-BEEA-0AEDE149A2CC}">
    <text>LUNG</text>
  </threadedComment>
  <threadedComment ref="AC64" dT="2025-03-18T11:16:50.39" personId="{C83B3653-DE66-4D52-BC83-E91CB751F440}" id="{B6A75CC8-A47B-4CD7-88B7-DBC1ACDAC86A}">
    <text>LUNG</text>
  </threadedComment>
  <threadedComment ref="AC65" dT="2025-03-18T11:17:53.85" personId="{C83B3653-DE66-4D52-BC83-E91CB751F440}" id="{3512CD2F-ECC6-4039-B653-7270F412134B}">
    <text>LUNG</text>
  </threadedComment>
  <threadedComment ref="AC66" dT="2025-03-18T11:19:20.29" personId="{C83B3653-DE66-4D52-BC83-E91CB751F440}" id="{2FCD4978-BD86-4F17-BB04-9DE3A856477D}">
    <text>BRONCHUS</text>
  </threadedComment>
</ThreadedComments>
</file>

<file path=xl/threadedComments/threadedComment3.xml><?xml version="1.0" encoding="utf-8"?>
<ThreadedComments xmlns="http://schemas.microsoft.com/office/spreadsheetml/2018/threadedcomments" xmlns:x="http://schemas.openxmlformats.org/spreadsheetml/2006/main">
  <threadedComment ref="A49" dT="2024-11-19T12:27:35.20" personId="{C2E1644D-F3A9-4EE4-9EEF-4D9C99D4242A}" id="{EEF715BC-FFA2-403C-9E20-600BD71E5B2F}">
    <text>CASE RECALLED 19.11.24</text>
  </threadedComment>
</ThreadedComments>
</file>

<file path=xl/threadedComments/threadedComment4.xml><?xml version="1.0" encoding="utf-8"?>
<ThreadedComments xmlns="http://schemas.microsoft.com/office/spreadsheetml/2018/threadedcomments" xmlns:x="http://schemas.openxmlformats.org/spreadsheetml/2006/main">
  <threadedComment ref="A18" dT="2024-05-09T11:21:37.36" personId="{C75F1468-D16D-4A0B-A2EB-813EBD53A1C9}" id="{BF5FCD83-20F0-419D-A762-5850452C75D3}">
    <text>Sent with  Pembro &amp; Nivo Lung IO 1</text>
  </threadedComment>
</ThreadedComments>
</file>

<file path=xl/threadedComments/threadedComment5.xml><?xml version="1.0" encoding="utf-8"?>
<ThreadedComments xmlns="http://schemas.microsoft.com/office/spreadsheetml/2018/threadedcomments" xmlns:x="http://schemas.openxmlformats.org/spreadsheetml/2006/main">
  <threadedComment ref="A10" dT="2024-05-09T11:29:12.27" personId="{C75F1468-D16D-4A0B-A2EB-813EBD53A1C9}" id="{06A7F904-F809-47EA-92DB-528D99FB50FE}">
    <text>Sent with  Pembro 2019</text>
  </threadedComment>
  <threadedComment ref="A13" dT="2024-05-09T11:32:25.61" personId="{C75F1468-D16D-4A0B-A2EB-813EBD53A1C9}" id="{9167BF9F-65FA-45EC-9EFC-93641C5E3645}">
    <text xml:space="preserve"> Sent with Combined transfer 1</text>
  </threadedComment>
  <threadedComment ref="A14" dT="2024-05-09T11:32:55.35" personId="{C75F1468-D16D-4A0B-A2EB-813EBD53A1C9}" id="{18347065-8178-426E-81D7-D6B440FC143B}">
    <text xml:space="preserve"> Sent with Combined transfer 1</text>
  </threadedComment>
  <threadedComment ref="A16" dT="2024-05-09T11:34:35.33" personId="{C75F1468-D16D-4A0B-A2EB-813EBD53A1C9}" id="{B6365E0E-7F4A-4A71-8290-0BB68BB827FD}">
    <text xml:space="preserve"> Sent with Combined transfer 1</text>
  </threadedComment>
  <threadedComment ref="A20" dT="2024-05-09T11:36:14.99" personId="{C75F1468-D16D-4A0B-A2EB-813EBD53A1C9}" id="{2A5C01C7-879F-45D9-B46B-FE774C0BEBBE}">
    <text>Sent with Pembro 2020</text>
  </threadedComment>
  <threadedComment ref="A23" dT="2024-05-09T11:39:09.91" personId="{C75F1468-D16D-4A0B-A2EB-813EBD53A1C9}" id="{8438642A-C3D8-485D-9F23-D4667AD73C13}">
    <text>Sent with Combined transfer 1</text>
  </threadedComment>
  <threadedComment ref="A30" dT="2024-05-09T11:39:47.82" personId="{C75F1468-D16D-4A0B-A2EB-813EBD53A1C9}" id="{E2F2D6A8-C3D6-46FF-9DA8-13254653133B}">
    <text>Sent with Combined transfer 1</text>
  </threadedComment>
  <threadedComment ref="A31" dT="2024-05-09T11:40:52.51" personId="{C75F1468-D16D-4A0B-A2EB-813EBD53A1C9}" id="{DA248352-31DB-49B3-8FAB-F9901CEF656F}">
    <text>Sent with Combined transfer 1</text>
  </threadedComment>
  <threadedComment ref="A37" dT="2024-10-07T10:01:21.41" personId="{C2E1644D-F3A9-4EE4-9EEF-4D9C99D4242A}" id="{9BA95253-D628-468A-AED1-2C3A9D9F961A}">
    <text xml:space="preserve">Removed for NG - TO return once reviewed </text>
  </threadedComment>
  <threadedComment ref="A42" dT="2024-10-07T10:01:36.93" personId="{C2E1644D-F3A9-4EE4-9EEF-4D9C99D4242A}" id="{1397E213-D205-45BE-AFB6-30068E12972C}">
    <text xml:space="preserve">Removed for NG - To be returned when reviewed </text>
  </threadedComment>
</ThreadedComments>
</file>

<file path=xl/threadedComments/threadedComment6.xml><?xml version="1.0" encoding="utf-8"?>
<ThreadedComments xmlns="http://schemas.microsoft.com/office/spreadsheetml/2018/threadedcomments" xmlns:x="http://schemas.openxmlformats.org/spreadsheetml/2006/main">
  <threadedComment ref="A46" dT="2024-11-19T12:27:35.20" personId="{C2E1644D-F3A9-4EE4-9EEF-4D9C99D4242A}" id="{B933D463-A53E-484E-B71A-D454ABF8B87C}">
    <text>CASE RECALLED 19.11.24</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U132"/>
  <sheetViews>
    <sheetView tabSelected="1" zoomScale="90" zoomScaleNormal="90" workbookViewId="0">
      <pane xSplit="2" ySplit="7" topLeftCell="AB13" activePane="bottomRight" state="frozen"/>
      <selection pane="bottomRight" activeCell="AN19" sqref="AN19"/>
      <selection pane="bottomLeft"/>
      <selection pane="topRight"/>
    </sheetView>
  </sheetViews>
  <sheetFormatPr defaultColWidth="11" defaultRowHeight="12.75" customHeight="1"/>
  <cols>
    <col min="1" max="2" width="11" style="20"/>
    <col min="3" max="3" width="37" style="20" bestFit="1" customWidth="1"/>
    <col min="4" max="6" width="11" style="20"/>
    <col min="7" max="7" width="17.25" style="20" bestFit="1" customWidth="1"/>
    <col min="8" max="12" width="11" style="20"/>
    <col min="13" max="15" width="13.375" style="20" customWidth="1"/>
    <col min="16" max="16" width="60.5" style="20" bestFit="1" customWidth="1"/>
    <col min="17" max="17" width="10.125" style="20" customWidth="1"/>
    <col min="18" max="18" width="20.375" style="20" customWidth="1"/>
    <col min="19" max="28" width="5.5" style="20" customWidth="1"/>
    <col min="29" max="29" width="6.875" style="20" customWidth="1"/>
    <col min="30" max="30" width="7.625" style="20" bestFit="1" customWidth="1"/>
    <col min="31" max="31" width="6.625" style="20" customWidth="1"/>
    <col min="32" max="32" width="10.125" style="20" customWidth="1"/>
    <col min="33" max="33" width="20.375" style="20" customWidth="1"/>
    <col min="34" max="34" width="10.125" style="20" customWidth="1"/>
    <col min="35" max="35" width="14.25" style="20" customWidth="1"/>
    <col min="36" max="36" width="13.375" style="20" customWidth="1"/>
    <col min="37" max="37" width="14.25" style="20" customWidth="1"/>
    <col min="38" max="42" width="9.625" style="20" customWidth="1"/>
    <col min="43" max="43" width="11" style="20"/>
    <col min="44" max="44" width="13" style="20" bestFit="1" customWidth="1"/>
    <col min="45" max="45" width="11" style="20"/>
    <col min="46" max="46" width="11" style="118"/>
    <col min="47" max="47" width="15.75" style="118" bestFit="1" customWidth="1"/>
    <col min="48" max="16384" width="11" style="20"/>
  </cols>
  <sheetData>
    <row r="1" spans="1:47" s="22" customFormat="1" ht="21">
      <c r="A1" s="85"/>
      <c r="B1" s="20" t="s">
        <v>0</v>
      </c>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92" t="s">
        <v>1</v>
      </c>
      <c r="AI1" s="92"/>
      <c r="AJ1" s="92"/>
      <c r="AK1" s="92"/>
      <c r="AL1" s="92"/>
      <c r="AM1" s="92"/>
      <c r="AN1" s="92"/>
      <c r="AO1" s="92"/>
      <c r="AP1" s="92"/>
      <c r="AQ1" s="92"/>
      <c r="AR1" s="92"/>
      <c r="AS1" s="92"/>
      <c r="AT1" s="120"/>
      <c r="AU1" s="120"/>
    </row>
    <row r="2" spans="1:47" s="22" customFormat="1" ht="27.75" customHeight="1">
      <c r="A2" s="31"/>
      <c r="B2" s="96" t="s">
        <v>2</v>
      </c>
      <c r="C2" s="9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27"/>
      <c r="AI2" s="27"/>
      <c r="AJ2" s="27"/>
      <c r="AK2" s="27"/>
      <c r="AL2" s="27"/>
      <c r="AM2" s="27"/>
      <c r="AN2" s="27"/>
      <c r="AO2" s="27"/>
      <c r="AP2" s="27"/>
      <c r="AQ2" s="27"/>
      <c r="AR2" s="27"/>
      <c r="AS2" s="27"/>
      <c r="AT2" s="120"/>
      <c r="AU2" s="120"/>
    </row>
    <row r="3" spans="1:47" s="22" customFormat="1" ht="27.75" customHeight="1">
      <c r="A3" s="32"/>
      <c r="B3" s="96" t="s">
        <v>3</v>
      </c>
      <c r="C3" s="9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27"/>
      <c r="AI3" s="27"/>
      <c r="AJ3" s="27"/>
      <c r="AK3" s="27"/>
      <c r="AL3" s="27"/>
      <c r="AM3" s="27"/>
      <c r="AN3" s="27"/>
      <c r="AO3" s="27"/>
      <c r="AP3" s="27"/>
      <c r="AQ3" s="27"/>
      <c r="AR3" s="27"/>
      <c r="AS3" s="27"/>
      <c r="AT3" s="120"/>
      <c r="AU3" s="120"/>
    </row>
    <row r="4" spans="1:47" s="22" customFormat="1" ht="27.75" customHeight="1">
      <c r="A4" s="88"/>
      <c r="B4" s="87" t="s">
        <v>4</v>
      </c>
      <c r="C4" s="87"/>
      <c r="D4" s="86"/>
      <c r="E4" s="86"/>
      <c r="F4" s="86"/>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27"/>
      <c r="AI4" s="27"/>
      <c r="AJ4" s="27"/>
      <c r="AK4" s="27"/>
      <c r="AL4" s="27"/>
      <c r="AM4" s="27"/>
      <c r="AN4" s="27"/>
      <c r="AO4" s="27"/>
      <c r="AP4" s="27"/>
      <c r="AQ4" s="27"/>
      <c r="AR4" s="27"/>
      <c r="AS4" s="27"/>
      <c r="AT4" s="120"/>
      <c r="AU4" s="120"/>
    </row>
    <row r="5" spans="1:47"/>
    <row r="6" spans="1:47" s="22" customFormat="1" ht="21.75" customHeight="1">
      <c r="A6" s="97" t="s">
        <v>5</v>
      </c>
      <c r="B6" s="99" t="s">
        <v>6</v>
      </c>
      <c r="C6" s="99" t="s">
        <v>7</v>
      </c>
      <c r="D6" s="108" t="s">
        <v>8</v>
      </c>
      <c r="E6" s="109"/>
      <c r="F6" s="109"/>
      <c r="G6" s="109"/>
      <c r="H6" s="110"/>
      <c r="I6" s="103" t="s">
        <v>9</v>
      </c>
      <c r="J6" s="103" t="s">
        <v>10</v>
      </c>
      <c r="K6" s="103"/>
      <c r="L6" s="104"/>
      <c r="M6" s="115" t="s">
        <v>11</v>
      </c>
      <c r="N6" s="115" t="s">
        <v>12</v>
      </c>
      <c r="O6" s="111" t="s">
        <v>13</v>
      </c>
      <c r="P6" s="93" t="s">
        <v>14</v>
      </c>
      <c r="Q6" s="93" t="s">
        <v>15</v>
      </c>
      <c r="R6" s="93" t="s">
        <v>16</v>
      </c>
      <c r="S6" s="93" t="s">
        <v>17</v>
      </c>
      <c r="T6" s="93"/>
      <c r="U6" s="93"/>
      <c r="V6" s="93"/>
      <c r="W6" s="93"/>
      <c r="X6" s="93"/>
      <c r="Y6" s="93"/>
      <c r="Z6" s="93"/>
      <c r="AA6" s="93"/>
      <c r="AB6" s="93"/>
      <c r="AC6" s="93"/>
      <c r="AD6" s="93"/>
      <c r="AE6" s="93"/>
      <c r="AF6" s="9"/>
      <c r="AG6" s="9"/>
      <c r="AH6" s="23"/>
      <c r="AI6" s="7"/>
      <c r="AJ6" s="113" t="s">
        <v>18</v>
      </c>
      <c r="AK6" s="7"/>
      <c r="AL6" s="107" t="s">
        <v>19</v>
      </c>
      <c r="AM6" s="107"/>
      <c r="AN6" s="107"/>
      <c r="AO6" s="107"/>
      <c r="AP6" s="107"/>
      <c r="AQ6" s="7"/>
      <c r="AR6" s="7"/>
      <c r="AS6" s="24"/>
      <c r="AT6" s="101" t="s">
        <v>20</v>
      </c>
      <c r="AU6" s="94" t="s">
        <v>21</v>
      </c>
    </row>
    <row r="7" spans="1:47" s="22" customFormat="1" ht="31.5" customHeight="1">
      <c r="A7" s="98"/>
      <c r="B7" s="100"/>
      <c r="C7" s="100"/>
      <c r="D7" s="15" t="s">
        <v>22</v>
      </c>
      <c r="E7" s="33" t="s">
        <v>23</v>
      </c>
      <c r="F7" s="16" t="s">
        <v>24</v>
      </c>
      <c r="G7" s="16" t="s">
        <v>25</v>
      </c>
      <c r="H7" s="17" t="s">
        <v>26</v>
      </c>
      <c r="I7" s="106"/>
      <c r="J7" s="5" t="s">
        <v>27</v>
      </c>
      <c r="K7" s="6" t="s">
        <v>28</v>
      </c>
      <c r="L7" s="8" t="s">
        <v>29</v>
      </c>
      <c r="M7" s="116"/>
      <c r="N7" s="116"/>
      <c r="O7" s="112"/>
      <c r="P7" s="105"/>
      <c r="Q7" s="105"/>
      <c r="R7" s="105"/>
      <c r="S7" s="4" t="s">
        <v>30</v>
      </c>
      <c r="T7" s="4" t="s">
        <v>31</v>
      </c>
      <c r="U7" s="4" t="s">
        <v>32</v>
      </c>
      <c r="V7" s="4" t="s">
        <v>33</v>
      </c>
      <c r="W7" s="4" t="s">
        <v>34</v>
      </c>
      <c r="X7" s="4" t="s">
        <v>35</v>
      </c>
      <c r="Y7" s="4" t="s">
        <v>36</v>
      </c>
      <c r="Z7" s="4" t="s">
        <v>37</v>
      </c>
      <c r="AA7" s="4" t="s">
        <v>38</v>
      </c>
      <c r="AB7" s="4" t="s">
        <v>39</v>
      </c>
      <c r="AC7" s="4" t="s">
        <v>40</v>
      </c>
      <c r="AD7" s="4" t="s">
        <v>41</v>
      </c>
      <c r="AE7" s="4" t="s">
        <v>42</v>
      </c>
      <c r="AF7" s="4" t="s">
        <v>43</v>
      </c>
      <c r="AG7" s="4" t="s">
        <v>7</v>
      </c>
      <c r="AH7" s="25" t="s">
        <v>44</v>
      </c>
      <c r="AI7" s="2" t="s">
        <v>45</v>
      </c>
      <c r="AJ7" s="114"/>
      <c r="AK7" s="2" t="s">
        <v>7</v>
      </c>
      <c r="AL7" s="3" t="s">
        <v>46</v>
      </c>
      <c r="AM7" s="3" t="s">
        <v>46</v>
      </c>
      <c r="AN7" s="3" t="s">
        <v>47</v>
      </c>
      <c r="AO7" s="3" t="s">
        <v>47</v>
      </c>
      <c r="AP7" s="3" t="s">
        <v>40</v>
      </c>
      <c r="AQ7" s="3" t="s">
        <v>48</v>
      </c>
      <c r="AR7" s="3" t="s">
        <v>49</v>
      </c>
      <c r="AS7" s="26" t="s">
        <v>7</v>
      </c>
      <c r="AT7" s="102"/>
      <c r="AU7" s="95"/>
    </row>
    <row r="8" spans="1:47">
      <c r="A8" s="89" t="s">
        <v>50</v>
      </c>
      <c r="B8" s="18">
        <v>4001423189</v>
      </c>
      <c r="C8" s="18" t="s">
        <v>51</v>
      </c>
      <c r="D8" s="18" t="s">
        <v>52</v>
      </c>
      <c r="E8" s="34" t="s">
        <v>53</v>
      </c>
      <c r="F8" s="18" t="s">
        <v>54</v>
      </c>
      <c r="G8" s="19">
        <v>17962</v>
      </c>
      <c r="H8" s="18" t="s">
        <v>55</v>
      </c>
      <c r="I8" s="20" t="s">
        <v>40</v>
      </c>
      <c r="J8" s="20" t="s">
        <v>56</v>
      </c>
      <c r="M8" s="20" t="s">
        <v>57</v>
      </c>
      <c r="N8" s="20" t="s">
        <v>57</v>
      </c>
      <c r="O8" s="20" t="s">
        <v>57</v>
      </c>
      <c r="P8" s="20" t="s">
        <v>58</v>
      </c>
      <c r="Q8" s="20" t="s">
        <v>59</v>
      </c>
      <c r="S8" s="20" t="s">
        <v>60</v>
      </c>
      <c r="AC8" s="20" t="s">
        <v>61</v>
      </c>
      <c r="AD8" s="20" t="s">
        <v>62</v>
      </c>
      <c r="AE8" s="20" t="s">
        <v>63</v>
      </c>
      <c r="AU8" s="121"/>
    </row>
    <row r="9" spans="1:47">
      <c r="A9" s="89" t="s">
        <v>64</v>
      </c>
      <c r="B9" s="18">
        <v>6180864543</v>
      </c>
      <c r="C9" s="18" t="s">
        <v>65</v>
      </c>
      <c r="D9" s="18" t="s">
        <v>66</v>
      </c>
      <c r="E9" s="34">
        <v>0.8</v>
      </c>
      <c r="F9" s="18" t="s">
        <v>54</v>
      </c>
      <c r="G9" s="19">
        <v>15553</v>
      </c>
      <c r="H9" s="18" t="s">
        <v>55</v>
      </c>
      <c r="I9" s="20" t="s">
        <v>40</v>
      </c>
      <c r="J9" s="20" t="s">
        <v>56</v>
      </c>
      <c r="M9" s="20" t="s">
        <v>57</v>
      </c>
      <c r="N9" s="20" t="s">
        <v>57</v>
      </c>
      <c r="O9" s="20" t="s">
        <v>57</v>
      </c>
      <c r="R9" s="20" t="s">
        <v>67</v>
      </c>
      <c r="AU9" s="121"/>
    </row>
    <row r="10" spans="1:47">
      <c r="A10" s="89" t="s">
        <v>68</v>
      </c>
      <c r="B10" s="18">
        <v>4787147250</v>
      </c>
      <c r="C10" s="18" t="s">
        <v>69</v>
      </c>
      <c r="D10" s="18" t="s">
        <v>66</v>
      </c>
      <c r="E10" s="34">
        <v>0.5</v>
      </c>
      <c r="F10" s="18" t="s">
        <v>70</v>
      </c>
      <c r="G10" s="19">
        <v>23290</v>
      </c>
      <c r="H10" s="18" t="s">
        <v>47</v>
      </c>
      <c r="I10" s="20" t="s">
        <v>40</v>
      </c>
      <c r="L10" s="20" t="s">
        <v>56</v>
      </c>
      <c r="M10" s="20" t="s">
        <v>57</v>
      </c>
      <c r="N10" s="20" t="s">
        <v>57</v>
      </c>
      <c r="O10" s="20" t="s">
        <v>57</v>
      </c>
      <c r="P10" s="20" t="s">
        <v>71</v>
      </c>
      <c r="Q10" s="20" t="s">
        <v>59</v>
      </c>
      <c r="AD10" s="20" t="s">
        <v>72</v>
      </c>
      <c r="AT10" s="118" t="s">
        <v>59</v>
      </c>
      <c r="AU10" s="118" t="s">
        <v>59</v>
      </c>
    </row>
    <row r="11" spans="1:47">
      <c r="A11" s="89" t="s">
        <v>73</v>
      </c>
      <c r="B11" s="18">
        <v>4581969433</v>
      </c>
      <c r="C11" s="18" t="s">
        <v>65</v>
      </c>
      <c r="D11" s="18" t="s">
        <v>74</v>
      </c>
      <c r="E11" s="34">
        <v>0.3</v>
      </c>
      <c r="F11" s="18" t="s">
        <v>54</v>
      </c>
      <c r="G11" s="19">
        <v>19541</v>
      </c>
      <c r="H11" s="18" t="s">
        <v>47</v>
      </c>
      <c r="I11" s="20" t="s">
        <v>40</v>
      </c>
      <c r="J11" s="20" t="s">
        <v>56</v>
      </c>
      <c r="M11" s="20" t="s">
        <v>57</v>
      </c>
      <c r="N11" s="20" t="s">
        <v>57</v>
      </c>
      <c r="O11" s="20" t="s">
        <v>57</v>
      </c>
      <c r="P11" s="20" t="s">
        <v>75</v>
      </c>
      <c r="Q11" s="20" t="s">
        <v>59</v>
      </c>
      <c r="S11" s="20" t="s">
        <v>76</v>
      </c>
      <c r="T11" s="20" t="s">
        <v>77</v>
      </c>
      <c r="U11" s="20" t="s">
        <v>78</v>
      </c>
      <c r="V11" s="20" t="s">
        <v>79</v>
      </c>
      <c r="W11" s="20" t="s">
        <v>80</v>
      </c>
      <c r="AE11" s="20" t="s">
        <v>81</v>
      </c>
      <c r="AT11" s="118" t="s">
        <v>59</v>
      </c>
      <c r="AU11" s="118" t="s">
        <v>59</v>
      </c>
    </row>
    <row r="12" spans="1:47">
      <c r="A12" s="89" t="s">
        <v>82</v>
      </c>
      <c r="B12" s="18">
        <v>6311509369</v>
      </c>
      <c r="C12" s="18" t="s">
        <v>83</v>
      </c>
      <c r="D12" s="18" t="s">
        <v>66</v>
      </c>
      <c r="E12" s="34">
        <v>0.4</v>
      </c>
      <c r="F12" s="18" t="s">
        <v>54</v>
      </c>
      <c r="G12" s="19">
        <v>19484</v>
      </c>
      <c r="H12" s="18" t="s">
        <v>55</v>
      </c>
      <c r="I12" s="20" t="s">
        <v>40</v>
      </c>
      <c r="J12" s="20" t="s">
        <v>56</v>
      </c>
      <c r="M12" s="20" t="s">
        <v>57</v>
      </c>
      <c r="N12" s="20" t="s">
        <v>57</v>
      </c>
      <c r="O12" s="20" t="s">
        <v>57</v>
      </c>
      <c r="P12" s="20" t="s">
        <v>84</v>
      </c>
      <c r="Q12" s="20" t="s">
        <v>59</v>
      </c>
      <c r="S12" s="20" t="s">
        <v>85</v>
      </c>
      <c r="AE12" s="20" t="s">
        <v>86</v>
      </c>
      <c r="AT12" s="118" t="s">
        <v>59</v>
      </c>
      <c r="AU12" s="118" t="s">
        <v>59</v>
      </c>
    </row>
    <row r="13" spans="1:47">
      <c r="A13" s="89" t="s">
        <v>87</v>
      </c>
      <c r="B13" s="18">
        <v>4383954715</v>
      </c>
      <c r="C13" s="18" t="s">
        <v>88</v>
      </c>
      <c r="D13" s="18" t="s">
        <v>66</v>
      </c>
      <c r="E13" s="34">
        <v>0.4</v>
      </c>
      <c r="F13" s="18" t="s">
        <v>54</v>
      </c>
      <c r="G13" s="19">
        <v>16900</v>
      </c>
      <c r="H13" s="18" t="s">
        <v>47</v>
      </c>
      <c r="I13" s="20" t="s">
        <v>40</v>
      </c>
      <c r="J13" s="20" t="s">
        <v>56</v>
      </c>
      <c r="M13" s="20" t="s">
        <v>57</v>
      </c>
      <c r="N13" s="20" t="s">
        <v>57</v>
      </c>
      <c r="O13" s="20" t="s">
        <v>57</v>
      </c>
      <c r="P13" s="20" t="s">
        <v>89</v>
      </c>
      <c r="Q13" s="20" t="s">
        <v>59</v>
      </c>
      <c r="S13" s="20" t="s">
        <v>76</v>
      </c>
      <c r="T13" s="20" t="s">
        <v>78</v>
      </c>
      <c r="AC13" s="20" t="s">
        <v>77</v>
      </c>
      <c r="AE13" s="20" t="s">
        <v>90</v>
      </c>
      <c r="AT13" s="118" t="s">
        <v>59</v>
      </c>
      <c r="AU13" s="118" t="s">
        <v>59</v>
      </c>
    </row>
    <row r="14" spans="1:47">
      <c r="A14" s="89" t="s">
        <v>91</v>
      </c>
      <c r="B14" s="18">
        <v>4382082870</v>
      </c>
      <c r="C14" s="18" t="s">
        <v>88</v>
      </c>
      <c r="D14" s="18" t="s">
        <v>52</v>
      </c>
      <c r="E14" s="34">
        <v>0.2</v>
      </c>
      <c r="F14" s="18" t="s">
        <v>54</v>
      </c>
      <c r="G14" s="19">
        <v>16489</v>
      </c>
      <c r="H14" s="18" t="s">
        <v>47</v>
      </c>
      <c r="I14" s="20" t="s">
        <v>40</v>
      </c>
      <c r="J14" s="20" t="s">
        <v>56</v>
      </c>
      <c r="M14" s="20" t="s">
        <v>57</v>
      </c>
      <c r="N14" s="20" t="s">
        <v>57</v>
      </c>
      <c r="O14" s="20" t="s">
        <v>57</v>
      </c>
      <c r="P14" s="20" t="s">
        <v>92</v>
      </c>
      <c r="Q14" s="20" t="s">
        <v>59</v>
      </c>
      <c r="AE14" s="20" t="s">
        <v>76</v>
      </c>
      <c r="AT14" s="118" t="s">
        <v>59</v>
      </c>
      <c r="AU14" s="118" t="s">
        <v>59</v>
      </c>
    </row>
    <row r="15" spans="1:47">
      <c r="A15" s="89" t="s">
        <v>93</v>
      </c>
      <c r="B15" s="18">
        <v>4509013485</v>
      </c>
      <c r="C15" s="18" t="s">
        <v>94</v>
      </c>
      <c r="D15" s="18" t="s">
        <v>95</v>
      </c>
      <c r="E15" s="34">
        <v>0.3</v>
      </c>
      <c r="F15" s="18" t="s">
        <v>54</v>
      </c>
      <c r="G15" s="19">
        <v>18007</v>
      </c>
      <c r="H15" s="18" t="s">
        <v>55</v>
      </c>
      <c r="I15" s="20" t="s">
        <v>40</v>
      </c>
      <c r="L15" s="20" t="s">
        <v>56</v>
      </c>
      <c r="M15" s="20" t="s">
        <v>57</v>
      </c>
      <c r="N15" s="20" t="s">
        <v>57</v>
      </c>
      <c r="O15" s="20" t="s">
        <v>57</v>
      </c>
      <c r="P15" s="20" t="s">
        <v>96</v>
      </c>
      <c r="Q15" s="20" t="s">
        <v>59</v>
      </c>
      <c r="S15" s="20" t="s">
        <v>97</v>
      </c>
      <c r="T15" s="20" t="s">
        <v>85</v>
      </c>
      <c r="U15" s="20" t="s">
        <v>98</v>
      </c>
      <c r="AD15" s="20" t="s">
        <v>99</v>
      </c>
      <c r="AE15" s="20" t="s">
        <v>100</v>
      </c>
      <c r="AT15" s="118" t="s">
        <v>59</v>
      </c>
      <c r="AU15" s="118" t="s">
        <v>59</v>
      </c>
    </row>
    <row r="16" spans="1:47">
      <c r="A16" s="89" t="s">
        <v>101</v>
      </c>
      <c r="B16" s="18">
        <v>6291397250</v>
      </c>
      <c r="C16" s="18" t="s">
        <v>102</v>
      </c>
      <c r="D16" s="18" t="s">
        <v>52</v>
      </c>
      <c r="E16" s="34">
        <v>0.3</v>
      </c>
      <c r="F16" s="18" t="s">
        <v>54</v>
      </c>
      <c r="G16" s="19">
        <v>26247</v>
      </c>
      <c r="H16" s="18" t="s">
        <v>55</v>
      </c>
      <c r="I16" s="20" t="s">
        <v>40</v>
      </c>
      <c r="L16" s="20" t="s">
        <v>56</v>
      </c>
      <c r="M16" s="20" t="s">
        <v>57</v>
      </c>
      <c r="N16" s="20" t="s">
        <v>57</v>
      </c>
      <c r="O16" s="20" t="s">
        <v>57</v>
      </c>
      <c r="P16" s="20" t="s">
        <v>103</v>
      </c>
      <c r="Q16" s="20" t="s">
        <v>59</v>
      </c>
      <c r="S16" s="20" t="s">
        <v>104</v>
      </c>
      <c r="AD16" s="20" t="s">
        <v>105</v>
      </c>
      <c r="AE16" s="20" t="s">
        <v>106</v>
      </c>
      <c r="AT16" s="118" t="s">
        <v>59</v>
      </c>
      <c r="AU16" s="118" t="s">
        <v>59</v>
      </c>
    </row>
    <row r="17" spans="1:47">
      <c r="A17" s="30" t="s">
        <v>107</v>
      </c>
      <c r="B17" s="89">
        <v>4387817038</v>
      </c>
      <c r="C17" s="18" t="s">
        <v>108</v>
      </c>
      <c r="D17" s="18" t="s">
        <v>109</v>
      </c>
      <c r="E17" s="34" t="s">
        <v>110</v>
      </c>
      <c r="F17" s="18" t="s">
        <v>54</v>
      </c>
      <c r="G17" s="19">
        <v>17003</v>
      </c>
      <c r="H17" s="18" t="s">
        <v>47</v>
      </c>
      <c r="I17" s="20" t="s">
        <v>40</v>
      </c>
      <c r="J17" s="20" t="s">
        <v>56</v>
      </c>
      <c r="M17" s="20" t="s">
        <v>57</v>
      </c>
      <c r="N17" s="20" t="s">
        <v>57</v>
      </c>
      <c r="O17" s="20" t="s">
        <v>57</v>
      </c>
      <c r="P17" s="20" t="s">
        <v>111</v>
      </c>
      <c r="Q17" s="20" t="s">
        <v>59</v>
      </c>
      <c r="S17" s="20" t="s">
        <v>112</v>
      </c>
      <c r="T17" s="20" t="s">
        <v>85</v>
      </c>
      <c r="U17" s="20" t="s">
        <v>113</v>
      </c>
      <c r="V17" s="20" t="s">
        <v>98</v>
      </c>
      <c r="W17" s="20" t="s">
        <v>114</v>
      </c>
      <c r="X17" s="20" t="s">
        <v>97</v>
      </c>
      <c r="Y17" s="20" t="s">
        <v>78</v>
      </c>
      <c r="Z17" s="20" t="s">
        <v>76</v>
      </c>
      <c r="AC17" s="20" t="s">
        <v>115</v>
      </c>
      <c r="AE17" s="20" t="s">
        <v>116</v>
      </c>
      <c r="AT17" s="118" t="s">
        <v>59</v>
      </c>
      <c r="AU17" s="118" t="s">
        <v>59</v>
      </c>
    </row>
    <row r="18" spans="1:47">
      <c r="A18" s="29" t="s">
        <v>117</v>
      </c>
      <c r="B18" s="89">
        <v>4309377955</v>
      </c>
      <c r="C18" s="18" t="s">
        <v>118</v>
      </c>
      <c r="D18" s="18" t="s">
        <v>66</v>
      </c>
      <c r="E18" s="34">
        <v>0.4</v>
      </c>
      <c r="F18" s="18" t="s">
        <v>70</v>
      </c>
      <c r="G18" s="19">
        <v>19998</v>
      </c>
      <c r="H18" s="18" t="s">
        <v>47</v>
      </c>
      <c r="I18" s="20" t="s">
        <v>40</v>
      </c>
      <c r="J18" s="20" t="s">
        <v>56</v>
      </c>
      <c r="M18" s="20" t="s">
        <v>57</v>
      </c>
      <c r="N18" s="20" t="s">
        <v>57</v>
      </c>
      <c r="O18" s="20" t="s">
        <v>57</v>
      </c>
      <c r="P18" s="20" t="s">
        <v>119</v>
      </c>
      <c r="Q18" s="20" t="s">
        <v>59</v>
      </c>
      <c r="S18" s="20" t="s">
        <v>120</v>
      </c>
      <c r="AE18" s="20" t="s">
        <v>121</v>
      </c>
      <c r="AT18" s="118" t="s">
        <v>59</v>
      </c>
      <c r="AU18" s="118" t="s">
        <v>59</v>
      </c>
    </row>
    <row r="19" spans="1:47">
      <c r="A19" s="89" t="s">
        <v>122</v>
      </c>
      <c r="B19" s="18">
        <v>7145163411</v>
      </c>
      <c r="C19" s="18" t="s">
        <v>123</v>
      </c>
      <c r="D19" s="18" t="s">
        <v>66</v>
      </c>
      <c r="E19" s="34">
        <v>0.3</v>
      </c>
      <c r="F19" s="18" t="s">
        <v>54</v>
      </c>
      <c r="G19" s="19">
        <v>18849</v>
      </c>
      <c r="H19" s="18" t="s">
        <v>47</v>
      </c>
      <c r="I19" s="20" t="s">
        <v>40</v>
      </c>
      <c r="L19" s="20" t="s">
        <v>56</v>
      </c>
      <c r="M19" s="20" t="s">
        <v>57</v>
      </c>
      <c r="N19" s="20" t="s">
        <v>57</v>
      </c>
      <c r="O19" s="20" t="s">
        <v>57</v>
      </c>
      <c r="P19" s="20" t="s">
        <v>124</v>
      </c>
      <c r="Q19" s="20" t="s">
        <v>59</v>
      </c>
      <c r="AC19" s="20" t="s">
        <v>125</v>
      </c>
      <c r="AE19" s="20" t="s">
        <v>126</v>
      </c>
      <c r="AT19" s="118" t="s">
        <v>59</v>
      </c>
      <c r="AU19" s="118" t="s">
        <v>59</v>
      </c>
    </row>
    <row r="20" spans="1:47">
      <c r="A20" s="89" t="s">
        <v>127</v>
      </c>
      <c r="B20" s="18">
        <v>6402065552</v>
      </c>
      <c r="C20" s="18" t="s">
        <v>94</v>
      </c>
      <c r="D20" s="18" t="s">
        <v>128</v>
      </c>
      <c r="E20" s="34">
        <v>0.8</v>
      </c>
      <c r="F20" s="18" t="s">
        <v>70</v>
      </c>
      <c r="G20" s="19">
        <v>26063</v>
      </c>
      <c r="H20" s="18" t="s">
        <v>47</v>
      </c>
      <c r="I20" s="20" t="s">
        <v>40</v>
      </c>
      <c r="J20" s="20" t="s">
        <v>56</v>
      </c>
      <c r="M20" s="20" t="s">
        <v>57</v>
      </c>
      <c r="N20" s="20" t="s">
        <v>57</v>
      </c>
      <c r="O20" s="20" t="s">
        <v>57</v>
      </c>
      <c r="P20" s="20" t="s">
        <v>129</v>
      </c>
      <c r="Q20" s="20" t="s">
        <v>59</v>
      </c>
      <c r="S20" s="20" t="s">
        <v>130</v>
      </c>
      <c r="T20" s="20" t="s">
        <v>78</v>
      </c>
      <c r="U20" s="20" t="s">
        <v>131</v>
      </c>
      <c r="V20" s="20" t="s">
        <v>76</v>
      </c>
      <c r="AD20" s="20" t="s">
        <v>79</v>
      </c>
      <c r="AE20" s="20" t="s">
        <v>132</v>
      </c>
      <c r="AT20" s="118" t="s">
        <v>59</v>
      </c>
      <c r="AU20" s="118" t="s">
        <v>59</v>
      </c>
    </row>
    <row r="21" spans="1:47">
      <c r="A21" s="89" t="s">
        <v>133</v>
      </c>
      <c r="B21" s="18">
        <v>4164990139</v>
      </c>
      <c r="C21" s="18" t="s">
        <v>134</v>
      </c>
      <c r="D21" s="18" t="s">
        <v>135</v>
      </c>
      <c r="E21" s="34">
        <v>0.4</v>
      </c>
      <c r="F21" s="18" t="s">
        <v>70</v>
      </c>
      <c r="G21" s="19">
        <v>16857</v>
      </c>
      <c r="H21" s="18" t="s">
        <v>55</v>
      </c>
      <c r="I21" s="20" t="s">
        <v>40</v>
      </c>
      <c r="L21" s="20" t="s">
        <v>56</v>
      </c>
      <c r="M21" s="20" t="s">
        <v>57</v>
      </c>
      <c r="N21" s="20" t="s">
        <v>57</v>
      </c>
      <c r="O21" s="20" t="s">
        <v>57</v>
      </c>
      <c r="P21" s="20" t="s">
        <v>136</v>
      </c>
      <c r="Q21" s="20" t="s">
        <v>59</v>
      </c>
      <c r="S21" s="20" t="s">
        <v>137</v>
      </c>
      <c r="T21" s="20" t="s">
        <v>138</v>
      </c>
      <c r="U21" s="20" t="s">
        <v>139</v>
      </c>
      <c r="AC21" s="20" t="s">
        <v>140</v>
      </c>
      <c r="AD21" s="20" t="s">
        <v>62</v>
      </c>
      <c r="AE21" s="20" t="s">
        <v>141</v>
      </c>
      <c r="AT21" s="118" t="s">
        <v>59</v>
      </c>
      <c r="AU21" s="118" t="s">
        <v>59</v>
      </c>
    </row>
    <row r="22" spans="1:47">
      <c r="A22" s="89" t="s">
        <v>142</v>
      </c>
      <c r="B22" s="18">
        <v>4582515738</v>
      </c>
      <c r="C22" s="18" t="s">
        <v>143</v>
      </c>
      <c r="D22" s="18" t="s">
        <v>66</v>
      </c>
      <c r="E22" s="34" t="s">
        <v>144</v>
      </c>
      <c r="F22" s="18" t="s">
        <v>70</v>
      </c>
      <c r="G22" s="19">
        <v>19781</v>
      </c>
      <c r="H22" s="18" t="s">
        <v>55</v>
      </c>
      <c r="I22" s="20" t="s">
        <v>40</v>
      </c>
      <c r="J22" s="20" t="s">
        <v>56</v>
      </c>
      <c r="M22" s="20" t="s">
        <v>57</v>
      </c>
      <c r="N22" s="20" t="s">
        <v>57</v>
      </c>
      <c r="O22" s="20" t="s">
        <v>57</v>
      </c>
      <c r="P22" s="20" t="s">
        <v>145</v>
      </c>
      <c r="Q22" s="20" t="s">
        <v>59</v>
      </c>
      <c r="S22" s="20" t="s">
        <v>104</v>
      </c>
      <c r="T22" s="20" t="s">
        <v>146</v>
      </c>
      <c r="AC22" s="20" t="s">
        <v>147</v>
      </c>
      <c r="AE22" s="20" t="s">
        <v>148</v>
      </c>
      <c r="AT22" s="118" t="s">
        <v>59</v>
      </c>
      <c r="AU22" s="118" t="s">
        <v>59</v>
      </c>
    </row>
    <row r="23" spans="1:47">
      <c r="A23" s="89" t="s">
        <v>149</v>
      </c>
      <c r="B23" s="18">
        <v>4162332142</v>
      </c>
      <c r="C23" s="18" t="s">
        <v>150</v>
      </c>
      <c r="D23" s="18" t="s">
        <v>151</v>
      </c>
      <c r="E23" s="34" t="s">
        <v>152</v>
      </c>
      <c r="F23" s="18" t="s">
        <v>70</v>
      </c>
      <c r="G23" s="19">
        <v>24648</v>
      </c>
      <c r="H23" s="18" t="s">
        <v>55</v>
      </c>
      <c r="I23" s="20" t="s">
        <v>40</v>
      </c>
      <c r="J23" s="20" t="s">
        <v>56</v>
      </c>
      <c r="M23" s="20" t="s">
        <v>57</v>
      </c>
      <c r="N23" s="20" t="s">
        <v>57</v>
      </c>
      <c r="O23" s="20" t="s">
        <v>57</v>
      </c>
      <c r="P23" s="20" t="s">
        <v>153</v>
      </c>
      <c r="Q23" s="20" t="s">
        <v>59</v>
      </c>
      <c r="AD23" s="20" t="s">
        <v>97</v>
      </c>
      <c r="AT23" s="118" t="s">
        <v>59</v>
      </c>
      <c r="AU23" s="118" t="s">
        <v>59</v>
      </c>
    </row>
    <row r="24" spans="1:47" s="41" customFormat="1">
      <c r="A24" s="38" t="s">
        <v>154</v>
      </c>
      <c r="B24" s="38">
        <v>6381036478</v>
      </c>
      <c r="C24" s="38" t="s">
        <v>65</v>
      </c>
      <c r="D24" s="38" t="s">
        <v>128</v>
      </c>
      <c r="E24" s="39">
        <v>0.6</v>
      </c>
      <c r="F24" s="38" t="s">
        <v>70</v>
      </c>
      <c r="G24" s="40">
        <v>21599</v>
      </c>
      <c r="H24" s="38" t="s">
        <v>47</v>
      </c>
      <c r="I24" s="41" t="s">
        <v>40</v>
      </c>
      <c r="J24" s="41" t="s">
        <v>56</v>
      </c>
      <c r="M24" s="41" t="s">
        <v>57</v>
      </c>
      <c r="N24" s="41" t="s">
        <v>57</v>
      </c>
      <c r="O24" s="41" t="s">
        <v>57</v>
      </c>
      <c r="P24" s="41" t="s">
        <v>155</v>
      </c>
      <c r="Q24" s="41" t="s">
        <v>59</v>
      </c>
      <c r="AT24" s="123"/>
      <c r="AU24" s="123" t="s">
        <v>59</v>
      </c>
    </row>
    <row r="25" spans="1:47">
      <c r="A25" s="89" t="s">
        <v>156</v>
      </c>
      <c r="B25" s="18">
        <v>6209763413</v>
      </c>
      <c r="C25" s="18" t="s">
        <v>94</v>
      </c>
      <c r="D25" s="18" t="s">
        <v>157</v>
      </c>
      <c r="E25" s="34">
        <v>0.4</v>
      </c>
      <c r="F25" s="18" t="s">
        <v>158</v>
      </c>
      <c r="G25" s="19">
        <v>20798</v>
      </c>
      <c r="H25" s="18" t="s">
        <v>55</v>
      </c>
      <c r="I25" s="20" t="s">
        <v>40</v>
      </c>
      <c r="L25" s="20" t="s">
        <v>56</v>
      </c>
      <c r="M25" s="20" t="s">
        <v>57</v>
      </c>
      <c r="N25" s="20" t="s">
        <v>57</v>
      </c>
      <c r="O25" s="20" t="s">
        <v>57</v>
      </c>
      <c r="P25" s="20" t="s">
        <v>159</v>
      </c>
      <c r="Q25" s="20" t="s">
        <v>59</v>
      </c>
      <c r="AD25" s="20" t="s">
        <v>160</v>
      </c>
      <c r="AE25" s="20" t="s">
        <v>161</v>
      </c>
      <c r="AT25" s="118" t="s">
        <v>59</v>
      </c>
      <c r="AU25" s="118" t="s">
        <v>59</v>
      </c>
    </row>
    <row r="26" spans="1:47">
      <c r="A26" s="89" t="s">
        <v>162</v>
      </c>
      <c r="B26" s="18">
        <v>4383746977</v>
      </c>
      <c r="C26" s="18" t="s">
        <v>102</v>
      </c>
      <c r="D26" s="18" t="s">
        <v>66</v>
      </c>
      <c r="E26" s="34">
        <v>0.3</v>
      </c>
      <c r="F26" s="18" t="s">
        <v>158</v>
      </c>
      <c r="G26" s="19">
        <v>15796</v>
      </c>
      <c r="H26" s="18" t="s">
        <v>55</v>
      </c>
      <c r="I26" s="20" t="s">
        <v>40</v>
      </c>
      <c r="K26" s="20" t="s">
        <v>163</v>
      </c>
      <c r="L26" s="20" t="s">
        <v>56</v>
      </c>
      <c r="M26" s="20" t="s">
        <v>57</v>
      </c>
      <c r="N26" s="20" t="s">
        <v>57</v>
      </c>
      <c r="O26" s="20" t="s">
        <v>57</v>
      </c>
      <c r="P26" s="20" t="s">
        <v>164</v>
      </c>
      <c r="Q26" s="20" t="s">
        <v>59</v>
      </c>
      <c r="T26" s="20" t="s">
        <v>165</v>
      </c>
      <c r="U26" s="20" t="s">
        <v>166</v>
      </c>
      <c r="AU26" s="118" t="s">
        <v>59</v>
      </c>
    </row>
    <row r="27" spans="1:47">
      <c r="A27" s="89" t="s">
        <v>167</v>
      </c>
      <c r="B27" s="18">
        <v>4382020255</v>
      </c>
      <c r="C27" s="18" t="s">
        <v>168</v>
      </c>
      <c r="D27" s="18" t="s">
        <v>169</v>
      </c>
      <c r="E27" s="34">
        <v>0.6</v>
      </c>
      <c r="F27" s="18" t="s">
        <v>158</v>
      </c>
      <c r="G27" s="19">
        <v>15168</v>
      </c>
      <c r="H27" s="18" t="s">
        <v>55</v>
      </c>
      <c r="I27" s="20" t="s">
        <v>40</v>
      </c>
      <c r="J27" s="20" t="s">
        <v>56</v>
      </c>
      <c r="M27" s="20" t="s">
        <v>57</v>
      </c>
      <c r="N27" s="20" t="s">
        <v>57</v>
      </c>
      <c r="O27" s="20" t="s">
        <v>57</v>
      </c>
      <c r="P27" s="20" t="s">
        <v>170</v>
      </c>
      <c r="Q27" s="20" t="s">
        <v>59</v>
      </c>
      <c r="S27" s="20" t="s">
        <v>171</v>
      </c>
      <c r="T27" s="20" t="s">
        <v>113</v>
      </c>
      <c r="U27" s="20" t="s">
        <v>172</v>
      </c>
      <c r="V27" s="20" t="s">
        <v>173</v>
      </c>
      <c r="X27" s="20" t="s">
        <v>76</v>
      </c>
      <c r="AE27" s="20" t="s">
        <v>174</v>
      </c>
      <c r="AT27" s="118" t="s">
        <v>59</v>
      </c>
      <c r="AU27" s="118" t="s">
        <v>59</v>
      </c>
    </row>
    <row r="28" spans="1:47">
      <c r="A28" s="29" t="s">
        <v>175</v>
      </c>
      <c r="B28" s="89">
        <v>4309377955</v>
      </c>
      <c r="C28" s="18" t="s">
        <v>94</v>
      </c>
      <c r="D28" s="18" t="s">
        <v>66</v>
      </c>
      <c r="E28" s="34">
        <v>0.7</v>
      </c>
      <c r="F28" s="18" t="s">
        <v>158</v>
      </c>
      <c r="G28" s="19">
        <v>19998</v>
      </c>
      <c r="H28" s="18" t="s">
        <v>47</v>
      </c>
      <c r="I28" s="20" t="s">
        <v>40</v>
      </c>
      <c r="J28" s="20" t="s">
        <v>56</v>
      </c>
      <c r="M28" s="20" t="s">
        <v>57</v>
      </c>
      <c r="N28" s="20" t="s">
        <v>57</v>
      </c>
      <c r="O28" s="20" t="s">
        <v>57</v>
      </c>
      <c r="P28" s="20" t="s">
        <v>176</v>
      </c>
      <c r="Q28" s="20" t="s">
        <v>59</v>
      </c>
      <c r="S28" s="20" t="s">
        <v>177</v>
      </c>
      <c r="AE28" s="20" t="s">
        <v>161</v>
      </c>
      <c r="AT28" s="118" t="s">
        <v>59</v>
      </c>
      <c r="AU28" s="118" t="s">
        <v>59</v>
      </c>
    </row>
    <row r="29" spans="1:47">
      <c r="A29" s="18"/>
      <c r="B29" s="18"/>
      <c r="C29" s="18"/>
      <c r="D29" s="18"/>
      <c r="E29" s="18"/>
      <c r="F29" s="18"/>
      <c r="G29" s="19"/>
      <c r="H29" s="18"/>
      <c r="AU29" s="121"/>
    </row>
    <row r="30" spans="1:47">
      <c r="A30" s="36">
        <f>COUNTA(A8:A28)</f>
        <v>21</v>
      </c>
      <c r="B30" s="36">
        <f t="shared" ref="B30:AU30" si="0">COUNTA(B8:B28)</f>
        <v>21</v>
      </c>
      <c r="C30" s="36">
        <f t="shared" si="0"/>
        <v>21</v>
      </c>
      <c r="D30" s="36">
        <f t="shared" si="0"/>
        <v>21</v>
      </c>
      <c r="E30" s="36">
        <f t="shared" si="0"/>
        <v>21</v>
      </c>
      <c r="F30" s="36">
        <f t="shared" si="0"/>
        <v>21</v>
      </c>
      <c r="G30" s="36">
        <f t="shared" si="0"/>
        <v>21</v>
      </c>
      <c r="H30" s="36">
        <f t="shared" si="0"/>
        <v>21</v>
      </c>
      <c r="I30" s="36">
        <f t="shared" si="0"/>
        <v>21</v>
      </c>
      <c r="J30" s="36">
        <f t="shared" si="0"/>
        <v>14</v>
      </c>
      <c r="K30" s="36">
        <f t="shared" si="0"/>
        <v>1</v>
      </c>
      <c r="L30" s="36">
        <f t="shared" si="0"/>
        <v>7</v>
      </c>
      <c r="M30" s="36">
        <f t="shared" si="0"/>
        <v>21</v>
      </c>
      <c r="N30" s="36">
        <f t="shared" si="0"/>
        <v>21</v>
      </c>
      <c r="O30" s="36">
        <f t="shared" si="0"/>
        <v>21</v>
      </c>
      <c r="P30" s="36">
        <f t="shared" si="0"/>
        <v>20</v>
      </c>
      <c r="Q30" s="36">
        <f t="shared" si="0"/>
        <v>20</v>
      </c>
      <c r="R30" s="36">
        <f t="shared" si="0"/>
        <v>1</v>
      </c>
      <c r="S30" s="36">
        <f t="shared" si="0"/>
        <v>13</v>
      </c>
      <c r="T30" s="36">
        <f t="shared" si="0"/>
        <v>9</v>
      </c>
      <c r="U30" s="36">
        <f t="shared" si="0"/>
        <v>7</v>
      </c>
      <c r="V30" s="36">
        <f t="shared" si="0"/>
        <v>4</v>
      </c>
      <c r="W30" s="36">
        <f t="shared" si="0"/>
        <v>2</v>
      </c>
      <c r="X30" s="36">
        <f t="shared" si="0"/>
        <v>2</v>
      </c>
      <c r="Y30" s="36">
        <f t="shared" si="0"/>
        <v>1</v>
      </c>
      <c r="Z30" s="36">
        <f t="shared" si="0"/>
        <v>1</v>
      </c>
      <c r="AA30" s="36">
        <f t="shared" si="0"/>
        <v>0</v>
      </c>
      <c r="AB30" s="36">
        <f t="shared" si="0"/>
        <v>0</v>
      </c>
      <c r="AC30" s="36">
        <f t="shared" si="0"/>
        <v>6</v>
      </c>
      <c r="AD30" s="36">
        <f t="shared" si="0"/>
        <v>8</v>
      </c>
      <c r="AE30" s="36">
        <f t="shared" si="0"/>
        <v>16</v>
      </c>
      <c r="AF30" s="36">
        <f t="shared" si="0"/>
        <v>0</v>
      </c>
      <c r="AG30" s="36">
        <f t="shared" si="0"/>
        <v>0</v>
      </c>
      <c r="AH30" s="36">
        <f t="shared" si="0"/>
        <v>0</v>
      </c>
      <c r="AI30" s="36">
        <f t="shared" si="0"/>
        <v>0</v>
      </c>
      <c r="AJ30" s="36">
        <f t="shared" si="0"/>
        <v>0</v>
      </c>
      <c r="AK30" s="36">
        <f t="shared" si="0"/>
        <v>0</v>
      </c>
      <c r="AL30" s="36">
        <f t="shared" si="0"/>
        <v>0</v>
      </c>
      <c r="AM30" s="36">
        <f t="shared" si="0"/>
        <v>0</v>
      </c>
      <c r="AN30" s="36">
        <f t="shared" si="0"/>
        <v>0</v>
      </c>
      <c r="AO30" s="36">
        <f t="shared" si="0"/>
        <v>0</v>
      </c>
      <c r="AP30" s="36">
        <f t="shared" si="0"/>
        <v>0</v>
      </c>
      <c r="AQ30" s="36">
        <f t="shared" si="0"/>
        <v>0</v>
      </c>
      <c r="AR30" s="36">
        <f t="shared" si="0"/>
        <v>0</v>
      </c>
      <c r="AS30" s="36">
        <f t="shared" si="0"/>
        <v>0</v>
      </c>
      <c r="AT30" s="125">
        <f t="shared" si="0"/>
        <v>17</v>
      </c>
      <c r="AU30" s="125">
        <f t="shared" si="0"/>
        <v>19</v>
      </c>
    </row>
    <row r="31" spans="1:47">
      <c r="A31" s="18"/>
      <c r="B31" s="18"/>
      <c r="C31" s="18"/>
      <c r="D31" s="18"/>
      <c r="E31" s="18"/>
      <c r="F31" s="18"/>
      <c r="G31" s="19"/>
      <c r="H31" s="18"/>
      <c r="AU31" s="121"/>
    </row>
    <row r="32" spans="1:47">
      <c r="A32" s="18"/>
      <c r="B32" s="18"/>
      <c r="C32" s="18"/>
      <c r="D32" s="18"/>
      <c r="E32" s="18"/>
      <c r="F32" s="18"/>
      <c r="G32" s="19"/>
      <c r="H32" s="18"/>
      <c r="AU32" s="121"/>
    </row>
    <row r="33" spans="1:47">
      <c r="A33" s="18"/>
      <c r="B33" s="18"/>
      <c r="C33" s="18"/>
      <c r="D33" s="18"/>
      <c r="E33" s="18"/>
      <c r="F33" s="18"/>
      <c r="G33" s="19"/>
      <c r="H33" s="18"/>
      <c r="AU33" s="121"/>
    </row>
    <row r="34" spans="1:47">
      <c r="A34" s="18"/>
      <c r="B34" s="18"/>
      <c r="C34" s="18"/>
      <c r="D34" s="18"/>
      <c r="E34" s="18"/>
      <c r="F34" s="18"/>
      <c r="G34" s="19"/>
      <c r="H34" s="18"/>
      <c r="AU34" s="121"/>
    </row>
    <row r="35" spans="1:47">
      <c r="A35" s="18"/>
      <c r="B35" s="18"/>
      <c r="C35" s="18"/>
      <c r="D35" s="18"/>
      <c r="E35" s="18"/>
      <c r="F35" s="18"/>
      <c r="G35" s="19"/>
      <c r="H35" s="18"/>
      <c r="AU35" s="121"/>
    </row>
    <row r="36" spans="1:47">
      <c r="A36" s="18"/>
      <c r="B36" s="18"/>
      <c r="C36" s="18"/>
      <c r="D36" s="18"/>
      <c r="E36" s="18"/>
      <c r="F36" s="18"/>
      <c r="G36" s="19"/>
      <c r="H36" s="18"/>
    </row>
    <row r="37" spans="1:47">
      <c r="A37" s="18"/>
      <c r="B37" s="18"/>
      <c r="C37" s="18"/>
      <c r="D37" s="18"/>
      <c r="E37" s="18"/>
      <c r="F37" s="18"/>
      <c r="G37" s="19"/>
      <c r="H37" s="18"/>
    </row>
    <row r="38" spans="1:47">
      <c r="A38" s="18"/>
      <c r="B38" s="18"/>
      <c r="C38" s="18"/>
      <c r="D38" s="18"/>
      <c r="E38" s="18"/>
      <c r="F38" s="18"/>
      <c r="G38" s="19"/>
      <c r="H38" s="18"/>
    </row>
    <row r="39" spans="1:47">
      <c r="A39" s="18"/>
      <c r="B39" s="18"/>
      <c r="C39" s="18"/>
      <c r="D39" s="18"/>
      <c r="E39" s="18"/>
      <c r="F39" s="18"/>
      <c r="G39" s="19"/>
      <c r="H39" s="18"/>
    </row>
    <row r="40" spans="1:47">
      <c r="A40" s="18"/>
      <c r="B40" s="18"/>
      <c r="C40" s="18"/>
      <c r="D40" s="18"/>
      <c r="E40" s="18"/>
      <c r="F40" s="18"/>
      <c r="G40" s="19"/>
      <c r="H40" s="18"/>
    </row>
    <row r="41" spans="1:47">
      <c r="A41" s="18"/>
      <c r="B41" s="18"/>
      <c r="C41" s="18"/>
      <c r="D41" s="18"/>
      <c r="E41" s="18"/>
      <c r="F41" s="18"/>
      <c r="G41" s="19"/>
      <c r="H41" s="18"/>
    </row>
    <row r="42" spans="1:47">
      <c r="A42" s="18"/>
      <c r="B42" s="18"/>
      <c r="C42" s="18"/>
      <c r="D42" s="18"/>
      <c r="E42" s="18"/>
      <c r="F42" s="18"/>
      <c r="G42" s="19"/>
      <c r="H42" s="18"/>
    </row>
    <row r="43" spans="1:47">
      <c r="A43" s="18"/>
      <c r="B43" s="18"/>
      <c r="C43" s="18"/>
      <c r="D43" s="18"/>
      <c r="E43" s="18"/>
      <c r="F43" s="18"/>
      <c r="G43" s="19"/>
      <c r="H43" s="18"/>
    </row>
    <row r="44" spans="1:47">
      <c r="A44" s="18"/>
      <c r="B44" s="18"/>
      <c r="C44" s="18"/>
      <c r="D44" s="18"/>
      <c r="E44" s="18"/>
      <c r="F44" s="18"/>
      <c r="G44" s="19"/>
      <c r="H44" s="18"/>
    </row>
    <row r="45" spans="1:47">
      <c r="A45" s="18"/>
      <c r="B45" s="18"/>
      <c r="C45" s="18"/>
      <c r="D45" s="18"/>
      <c r="E45" s="18"/>
      <c r="F45" s="18"/>
      <c r="G45" s="19"/>
      <c r="H45" s="18"/>
    </row>
    <row r="46" spans="1:47">
      <c r="A46" s="18"/>
      <c r="B46" s="18"/>
      <c r="C46" s="18"/>
      <c r="D46" s="18"/>
      <c r="E46" s="18"/>
      <c r="F46" s="18"/>
      <c r="G46" s="19"/>
      <c r="H46" s="18"/>
    </row>
    <row r="47" spans="1:47">
      <c r="A47" s="18"/>
      <c r="B47" s="18"/>
      <c r="C47" s="18"/>
      <c r="D47" s="18"/>
      <c r="E47" s="18"/>
      <c r="F47" s="18"/>
      <c r="G47" s="19"/>
      <c r="H47" s="18"/>
    </row>
    <row r="48" spans="1:47">
      <c r="A48" s="18"/>
      <c r="B48" s="18"/>
      <c r="C48" s="18"/>
      <c r="D48" s="18"/>
      <c r="E48" s="18"/>
      <c r="F48" s="18"/>
      <c r="G48" s="19"/>
      <c r="H48" s="18"/>
    </row>
    <row r="49" spans="1:8">
      <c r="A49" s="18"/>
      <c r="B49" s="18"/>
      <c r="C49" s="18"/>
      <c r="D49" s="18"/>
      <c r="E49" s="18"/>
      <c r="F49" s="18"/>
      <c r="G49" s="19"/>
      <c r="H49" s="18"/>
    </row>
    <row r="50" spans="1:8">
      <c r="A50" s="18"/>
      <c r="B50" s="18"/>
      <c r="C50" s="18"/>
      <c r="D50" s="18"/>
      <c r="E50" s="18"/>
      <c r="F50" s="18"/>
      <c r="G50" s="19"/>
      <c r="H50" s="18"/>
    </row>
    <row r="51" spans="1:8">
      <c r="A51" s="18"/>
      <c r="B51" s="18"/>
      <c r="C51" s="18"/>
      <c r="D51" s="18"/>
      <c r="E51" s="18"/>
      <c r="F51" s="18"/>
      <c r="G51" s="19"/>
      <c r="H51" s="18"/>
    </row>
    <row r="52" spans="1:8">
      <c r="A52" s="18"/>
      <c r="B52" s="18"/>
      <c r="C52" s="18"/>
      <c r="D52" s="18"/>
      <c r="E52" s="18"/>
      <c r="F52" s="18"/>
      <c r="G52" s="19"/>
      <c r="H52" s="18"/>
    </row>
    <row r="53" spans="1:8">
      <c r="A53" s="18"/>
      <c r="B53" s="18"/>
      <c r="C53" s="18"/>
      <c r="D53" s="18"/>
      <c r="E53" s="18"/>
      <c r="F53" s="18"/>
      <c r="G53" s="19"/>
      <c r="H53" s="18"/>
    </row>
    <row r="54" spans="1:8">
      <c r="A54" s="18"/>
      <c r="B54" s="18"/>
      <c r="C54" s="18"/>
      <c r="D54" s="18"/>
      <c r="E54" s="18"/>
      <c r="F54" s="18"/>
      <c r="G54" s="19"/>
      <c r="H54" s="18"/>
    </row>
    <row r="55" spans="1:8">
      <c r="A55" s="18"/>
      <c r="B55" s="18"/>
      <c r="C55" s="18"/>
      <c r="D55" s="18"/>
      <c r="E55" s="18"/>
      <c r="F55" s="18"/>
      <c r="G55" s="19"/>
      <c r="H55" s="18"/>
    </row>
    <row r="56" spans="1:8">
      <c r="A56" s="18"/>
      <c r="B56" s="18"/>
      <c r="C56" s="18"/>
      <c r="D56" s="18"/>
      <c r="E56" s="18"/>
      <c r="F56" s="18"/>
      <c r="G56" s="19"/>
      <c r="H56" s="18"/>
    </row>
    <row r="57" spans="1:8">
      <c r="A57" s="18"/>
      <c r="B57" s="18"/>
      <c r="C57" s="18"/>
      <c r="D57" s="18"/>
      <c r="E57" s="18"/>
      <c r="F57" s="18"/>
      <c r="G57" s="19"/>
      <c r="H57" s="18"/>
    </row>
    <row r="58" spans="1:8">
      <c r="A58" s="18"/>
      <c r="B58" s="18"/>
      <c r="C58" s="18"/>
      <c r="D58" s="18"/>
      <c r="E58" s="18"/>
      <c r="F58" s="18"/>
      <c r="G58" s="19"/>
      <c r="H58" s="18"/>
    </row>
    <row r="59" spans="1:8">
      <c r="A59" s="18"/>
      <c r="B59" s="18"/>
      <c r="C59" s="18"/>
      <c r="D59" s="18"/>
      <c r="E59" s="18"/>
      <c r="F59" s="18"/>
      <c r="G59" s="19"/>
      <c r="H59" s="18"/>
    </row>
    <row r="60" spans="1:8">
      <c r="A60" s="18"/>
      <c r="B60" s="18"/>
      <c r="C60" s="18"/>
      <c r="D60" s="18"/>
      <c r="E60" s="18"/>
      <c r="F60" s="18"/>
      <c r="G60" s="19"/>
      <c r="H60" s="18"/>
    </row>
    <row r="61" spans="1:8">
      <c r="A61" s="18"/>
      <c r="B61" s="18"/>
      <c r="C61" s="18"/>
      <c r="D61" s="18"/>
      <c r="E61" s="18"/>
      <c r="F61" s="18"/>
      <c r="G61" s="19"/>
      <c r="H61" s="18"/>
    </row>
    <row r="62" spans="1:8">
      <c r="A62" s="18"/>
      <c r="B62" s="18"/>
      <c r="C62" s="18"/>
      <c r="D62" s="18"/>
      <c r="E62" s="18"/>
      <c r="F62" s="18"/>
      <c r="G62" s="19"/>
      <c r="H62" s="18"/>
    </row>
    <row r="63" spans="1:8">
      <c r="A63" s="18"/>
      <c r="B63" s="18"/>
      <c r="C63" s="18"/>
      <c r="D63" s="18"/>
      <c r="E63" s="18"/>
      <c r="F63" s="18"/>
      <c r="G63" s="19"/>
      <c r="H63" s="18"/>
    </row>
    <row r="64" spans="1:8">
      <c r="A64" s="18"/>
      <c r="B64" s="18"/>
      <c r="C64" s="18"/>
      <c r="D64" s="18"/>
      <c r="E64" s="18"/>
      <c r="F64" s="18"/>
      <c r="G64" s="19"/>
      <c r="H64" s="18"/>
    </row>
    <row r="65" spans="1:8">
      <c r="A65" s="18"/>
      <c r="B65" s="18"/>
      <c r="C65" s="18"/>
      <c r="D65" s="18"/>
      <c r="E65" s="18"/>
      <c r="F65" s="18"/>
      <c r="G65" s="19"/>
      <c r="H65" s="18"/>
    </row>
    <row r="66" spans="1:8">
      <c r="A66" s="18"/>
      <c r="B66" s="18"/>
      <c r="C66" s="18"/>
      <c r="D66" s="18"/>
      <c r="E66" s="18"/>
      <c r="F66" s="18"/>
      <c r="G66" s="19"/>
      <c r="H66" s="18"/>
    </row>
    <row r="67" spans="1:8">
      <c r="A67" s="18"/>
      <c r="B67" s="18"/>
      <c r="C67" s="18"/>
      <c r="D67" s="18"/>
      <c r="E67" s="18"/>
      <c r="F67" s="18"/>
      <c r="G67" s="19"/>
      <c r="H67" s="18"/>
    </row>
    <row r="68" spans="1:8">
      <c r="A68" s="18"/>
      <c r="B68" s="18"/>
      <c r="C68" s="18"/>
      <c r="D68" s="18"/>
      <c r="E68" s="18"/>
      <c r="F68" s="18"/>
      <c r="G68" s="19"/>
      <c r="H68" s="18"/>
    </row>
    <row r="69" spans="1:8">
      <c r="A69" s="18"/>
      <c r="B69" s="18"/>
      <c r="C69" s="18"/>
      <c r="D69" s="18"/>
      <c r="E69" s="18"/>
      <c r="F69" s="18"/>
      <c r="G69" s="19"/>
      <c r="H69" s="18"/>
    </row>
    <row r="70" spans="1:8">
      <c r="A70" s="18"/>
      <c r="B70" s="18"/>
      <c r="C70" s="18"/>
      <c r="D70" s="18"/>
      <c r="E70" s="18"/>
      <c r="F70" s="18"/>
      <c r="G70" s="19"/>
      <c r="H70" s="18"/>
    </row>
    <row r="71" spans="1:8">
      <c r="A71" s="18"/>
      <c r="B71" s="18"/>
      <c r="C71" s="18"/>
      <c r="D71" s="18"/>
      <c r="E71" s="18"/>
      <c r="F71" s="18"/>
      <c r="G71" s="19"/>
      <c r="H71" s="18"/>
    </row>
    <row r="72" spans="1:8">
      <c r="A72" s="18"/>
      <c r="B72" s="18"/>
      <c r="C72" s="18"/>
      <c r="D72" s="18"/>
      <c r="E72" s="18"/>
      <c r="F72" s="18"/>
      <c r="G72" s="19"/>
      <c r="H72" s="18"/>
    </row>
    <row r="73" spans="1:8">
      <c r="A73" s="18"/>
      <c r="B73" s="18"/>
      <c r="C73" s="18"/>
      <c r="D73" s="18"/>
      <c r="E73" s="18"/>
      <c r="F73" s="18"/>
      <c r="G73" s="19"/>
      <c r="H73" s="18"/>
    </row>
    <row r="74" spans="1:8">
      <c r="A74" s="18"/>
      <c r="B74" s="18"/>
      <c r="C74" s="18"/>
      <c r="D74" s="18"/>
      <c r="E74" s="18"/>
      <c r="F74" s="18"/>
      <c r="G74" s="19"/>
      <c r="H74" s="18"/>
    </row>
    <row r="75" spans="1:8">
      <c r="A75" s="18"/>
      <c r="B75" s="18"/>
      <c r="C75" s="18"/>
      <c r="D75" s="18"/>
      <c r="E75" s="18"/>
      <c r="F75" s="18"/>
      <c r="G75" s="19"/>
      <c r="H75" s="18"/>
    </row>
    <row r="76" spans="1:8">
      <c r="A76" s="18"/>
      <c r="B76" s="18"/>
      <c r="C76" s="18"/>
      <c r="D76" s="18"/>
      <c r="E76" s="18"/>
      <c r="F76" s="18"/>
      <c r="G76" s="19"/>
      <c r="H76" s="18"/>
    </row>
    <row r="77" spans="1:8">
      <c r="A77" s="18"/>
      <c r="B77" s="18"/>
      <c r="C77" s="18"/>
      <c r="D77" s="18"/>
      <c r="E77" s="18"/>
      <c r="F77" s="18"/>
      <c r="G77" s="19"/>
      <c r="H77" s="18"/>
    </row>
    <row r="78" spans="1:8">
      <c r="A78" s="18"/>
      <c r="B78" s="18"/>
      <c r="C78" s="18"/>
      <c r="D78" s="18"/>
      <c r="E78" s="18"/>
      <c r="F78" s="18"/>
      <c r="G78" s="19"/>
      <c r="H78" s="18"/>
    </row>
    <row r="79" spans="1:8">
      <c r="A79" s="18"/>
      <c r="B79" s="18"/>
      <c r="C79" s="18"/>
      <c r="D79" s="18"/>
      <c r="E79" s="18"/>
      <c r="F79" s="18"/>
      <c r="G79" s="19"/>
      <c r="H79" s="18"/>
    </row>
    <row r="80" spans="1:8">
      <c r="A80" s="18"/>
      <c r="B80" s="18"/>
      <c r="C80" s="18"/>
      <c r="D80" s="18"/>
      <c r="E80" s="18"/>
      <c r="F80" s="18"/>
      <c r="G80" s="19"/>
      <c r="H80" s="18"/>
    </row>
    <row r="81" spans="1:8">
      <c r="A81" s="18"/>
      <c r="B81" s="18"/>
      <c r="C81" s="18"/>
      <c r="D81" s="18"/>
      <c r="E81" s="18"/>
      <c r="F81" s="18"/>
      <c r="G81" s="19"/>
      <c r="H81" s="18"/>
    </row>
    <row r="82" spans="1:8">
      <c r="A82" s="18"/>
      <c r="B82" s="18"/>
      <c r="C82" s="18"/>
      <c r="D82" s="18"/>
      <c r="E82" s="18"/>
      <c r="F82" s="18"/>
      <c r="G82" s="19"/>
      <c r="H82" s="18"/>
    </row>
    <row r="83" spans="1:8">
      <c r="A83" s="18"/>
      <c r="B83" s="18"/>
      <c r="C83" s="18"/>
      <c r="D83" s="18"/>
      <c r="E83" s="18"/>
      <c r="F83" s="18"/>
      <c r="G83" s="19"/>
      <c r="H83" s="18"/>
    </row>
    <row r="84" spans="1:8">
      <c r="A84" s="18"/>
      <c r="B84" s="18"/>
      <c r="C84" s="18"/>
      <c r="D84" s="18"/>
      <c r="E84" s="18"/>
      <c r="F84" s="18"/>
      <c r="G84" s="19"/>
      <c r="H84" s="18"/>
    </row>
    <row r="85" spans="1:8">
      <c r="A85" s="18"/>
      <c r="B85" s="18"/>
      <c r="C85" s="18"/>
      <c r="D85" s="18"/>
      <c r="E85" s="18"/>
      <c r="F85" s="18"/>
      <c r="G85" s="19"/>
      <c r="H85" s="18"/>
    </row>
    <row r="86" spans="1:8">
      <c r="A86" s="18"/>
      <c r="B86" s="18"/>
      <c r="C86" s="18"/>
      <c r="D86" s="18"/>
      <c r="E86" s="18"/>
      <c r="F86" s="18"/>
      <c r="G86" s="19"/>
      <c r="H86" s="18"/>
    </row>
    <row r="87" spans="1:8">
      <c r="A87" s="18"/>
      <c r="B87" s="18"/>
      <c r="C87" s="18"/>
      <c r="D87" s="18"/>
      <c r="E87" s="18"/>
      <c r="F87" s="18"/>
      <c r="G87" s="19"/>
      <c r="H87" s="18"/>
    </row>
    <row r="88" spans="1:8">
      <c r="A88" s="18"/>
      <c r="B88" s="18"/>
      <c r="C88" s="18"/>
      <c r="D88" s="18"/>
      <c r="E88" s="18"/>
      <c r="F88" s="18"/>
      <c r="G88" s="19"/>
      <c r="H88" s="18"/>
    </row>
    <row r="89" spans="1:8">
      <c r="A89" s="18"/>
      <c r="B89" s="18"/>
      <c r="C89" s="18"/>
      <c r="D89" s="18"/>
      <c r="E89" s="18"/>
      <c r="F89" s="18"/>
      <c r="G89" s="19"/>
      <c r="H89" s="18"/>
    </row>
    <row r="90" spans="1:8">
      <c r="A90" s="18"/>
      <c r="B90" s="18"/>
      <c r="C90" s="18"/>
      <c r="D90" s="18"/>
      <c r="E90" s="18"/>
      <c r="F90" s="18"/>
      <c r="G90" s="19"/>
      <c r="H90" s="18"/>
    </row>
    <row r="91" spans="1:8">
      <c r="A91" s="18"/>
      <c r="B91" s="18"/>
      <c r="C91" s="18"/>
      <c r="D91" s="18"/>
      <c r="E91" s="18"/>
      <c r="F91" s="18"/>
      <c r="G91" s="19"/>
      <c r="H91" s="18"/>
    </row>
    <row r="92" spans="1:8">
      <c r="A92" s="18"/>
      <c r="B92" s="18"/>
      <c r="C92" s="18"/>
      <c r="D92" s="18"/>
      <c r="E92" s="18"/>
      <c r="F92" s="18"/>
      <c r="G92" s="19"/>
      <c r="H92" s="18"/>
    </row>
    <row r="93" spans="1:8">
      <c r="A93" s="18"/>
      <c r="B93" s="18"/>
      <c r="C93" s="18"/>
      <c r="D93" s="18"/>
      <c r="E93" s="18"/>
      <c r="F93" s="18"/>
      <c r="G93" s="19"/>
      <c r="H93" s="18"/>
    </row>
    <row r="94" spans="1:8">
      <c r="A94" s="18"/>
      <c r="B94" s="18"/>
      <c r="C94" s="18"/>
      <c r="D94" s="18"/>
      <c r="E94" s="18"/>
      <c r="F94" s="18"/>
      <c r="G94" s="19"/>
      <c r="H94" s="18"/>
    </row>
    <row r="95" spans="1:8">
      <c r="A95" s="18"/>
      <c r="B95" s="18"/>
      <c r="C95" s="18"/>
      <c r="D95" s="18"/>
      <c r="E95" s="18"/>
      <c r="F95" s="18"/>
      <c r="G95" s="19"/>
      <c r="H95" s="18"/>
    </row>
    <row r="96" spans="1:8">
      <c r="A96" s="18"/>
      <c r="B96" s="18"/>
      <c r="C96" s="18"/>
      <c r="D96" s="18"/>
      <c r="E96" s="18"/>
      <c r="F96" s="18"/>
      <c r="G96" s="19"/>
      <c r="H96" s="18"/>
    </row>
    <row r="97" spans="1:8">
      <c r="A97" s="18"/>
      <c r="B97" s="18"/>
      <c r="C97" s="18"/>
      <c r="D97" s="18"/>
      <c r="E97" s="18"/>
      <c r="F97" s="18"/>
      <c r="G97" s="19"/>
      <c r="H97" s="18"/>
    </row>
    <row r="98" spans="1:8">
      <c r="A98" s="18"/>
      <c r="B98" s="18"/>
      <c r="C98" s="18"/>
      <c r="D98" s="18"/>
      <c r="E98" s="18"/>
      <c r="F98" s="18"/>
      <c r="G98" s="19"/>
      <c r="H98" s="18"/>
    </row>
    <row r="99" spans="1:8">
      <c r="A99" s="18"/>
      <c r="B99" s="18"/>
      <c r="C99" s="18"/>
      <c r="D99" s="18"/>
      <c r="E99" s="18"/>
      <c r="F99" s="18"/>
      <c r="G99" s="19"/>
      <c r="H99" s="18"/>
    </row>
    <row r="100" spans="1:8">
      <c r="A100" s="18"/>
      <c r="B100" s="18"/>
      <c r="C100" s="18"/>
      <c r="D100" s="18"/>
      <c r="E100" s="18"/>
      <c r="F100" s="18"/>
      <c r="G100" s="19"/>
      <c r="H100" s="18"/>
    </row>
    <row r="101" spans="1:8">
      <c r="A101" s="18"/>
      <c r="B101" s="18"/>
      <c r="C101" s="18"/>
      <c r="D101" s="18"/>
      <c r="E101" s="18"/>
      <c r="F101" s="18"/>
      <c r="G101" s="19"/>
      <c r="H101" s="18"/>
    </row>
    <row r="102" spans="1:8">
      <c r="A102" s="18"/>
      <c r="B102" s="18"/>
      <c r="C102" s="18"/>
      <c r="D102" s="18"/>
      <c r="E102" s="18"/>
      <c r="F102" s="18"/>
      <c r="G102" s="19"/>
      <c r="H102" s="18"/>
    </row>
    <row r="103" spans="1:8">
      <c r="A103" s="18"/>
      <c r="B103" s="18"/>
      <c r="C103" s="18"/>
      <c r="D103" s="18"/>
      <c r="E103" s="18"/>
      <c r="F103" s="18"/>
      <c r="G103" s="19"/>
      <c r="H103" s="18"/>
    </row>
    <row r="104" spans="1:8">
      <c r="A104" s="18"/>
      <c r="B104" s="18"/>
      <c r="C104" s="18"/>
      <c r="D104" s="18"/>
      <c r="E104" s="18"/>
      <c r="F104" s="18"/>
      <c r="G104" s="19"/>
      <c r="H104" s="18"/>
    </row>
    <row r="105" spans="1:8">
      <c r="A105" s="18"/>
      <c r="B105" s="18"/>
      <c r="C105" s="18"/>
      <c r="D105" s="18"/>
      <c r="E105" s="18"/>
      <c r="F105" s="18"/>
      <c r="G105" s="19"/>
      <c r="H105" s="18"/>
    </row>
    <row r="106" spans="1:8">
      <c r="A106" s="18"/>
      <c r="B106" s="18"/>
      <c r="C106" s="18"/>
      <c r="D106" s="18"/>
      <c r="E106" s="18"/>
      <c r="F106" s="18"/>
      <c r="G106" s="19"/>
      <c r="H106" s="18"/>
    </row>
    <row r="107" spans="1:8">
      <c r="A107" s="18"/>
      <c r="B107" s="18"/>
      <c r="C107" s="18"/>
      <c r="D107" s="18"/>
      <c r="E107" s="18"/>
      <c r="F107" s="18"/>
      <c r="G107" s="19"/>
      <c r="H107" s="18"/>
    </row>
    <row r="108" spans="1:8">
      <c r="A108" s="18"/>
      <c r="B108" s="18"/>
      <c r="C108" s="18"/>
      <c r="D108" s="18"/>
      <c r="E108" s="18"/>
      <c r="F108" s="18"/>
      <c r="G108" s="19"/>
      <c r="H108" s="18"/>
    </row>
    <row r="109" spans="1:8">
      <c r="A109" s="18"/>
      <c r="B109" s="18"/>
      <c r="C109" s="18"/>
      <c r="D109" s="18"/>
      <c r="E109" s="18"/>
      <c r="F109" s="18"/>
      <c r="G109" s="19"/>
      <c r="H109" s="18"/>
    </row>
    <row r="110" spans="1:8">
      <c r="A110" s="18"/>
      <c r="B110" s="18"/>
      <c r="C110" s="18"/>
      <c r="D110" s="18"/>
      <c r="E110" s="18"/>
      <c r="F110" s="18"/>
      <c r="G110" s="19"/>
      <c r="H110" s="18"/>
    </row>
    <row r="111" spans="1:8">
      <c r="A111" s="18"/>
      <c r="B111" s="18"/>
      <c r="C111" s="18"/>
      <c r="D111" s="18"/>
      <c r="E111" s="18"/>
      <c r="F111" s="18"/>
      <c r="G111" s="19"/>
      <c r="H111" s="18"/>
    </row>
    <row r="112" spans="1:8">
      <c r="A112" s="18"/>
      <c r="B112" s="18"/>
      <c r="C112" s="18"/>
      <c r="D112" s="18"/>
      <c r="E112" s="18"/>
      <c r="F112" s="18"/>
      <c r="G112" s="19"/>
      <c r="H112" s="18"/>
    </row>
    <row r="113" spans="1:8">
      <c r="A113" s="18"/>
      <c r="B113" s="18"/>
      <c r="C113" s="18"/>
      <c r="D113" s="18"/>
      <c r="E113" s="18"/>
      <c r="F113" s="18"/>
      <c r="G113" s="19"/>
      <c r="H113" s="18"/>
    </row>
    <row r="114" spans="1:8">
      <c r="G114" s="21"/>
    </row>
    <row r="115" spans="1:8">
      <c r="G115" s="21"/>
    </row>
    <row r="116" spans="1:8">
      <c r="G116" s="21"/>
    </row>
    <row r="117" spans="1:8">
      <c r="G117" s="21"/>
    </row>
    <row r="118" spans="1:8">
      <c r="G118" s="21"/>
    </row>
    <row r="119" spans="1:8">
      <c r="G119" s="21"/>
    </row>
    <row r="120" spans="1:8">
      <c r="G120" s="21"/>
    </row>
    <row r="121" spans="1:8">
      <c r="G121" s="21"/>
    </row>
    <row r="122" spans="1:8">
      <c r="G122" s="21"/>
    </row>
    <row r="123" spans="1:8">
      <c r="G123" s="21"/>
    </row>
    <row r="124" spans="1:8">
      <c r="G124" s="21"/>
    </row>
    <row r="125" spans="1:8">
      <c r="G125" s="21"/>
    </row>
    <row r="126" spans="1:8">
      <c r="G126" s="21"/>
    </row>
    <row r="127" spans="1:8">
      <c r="G127" s="21"/>
    </row>
    <row r="128" spans="1:8">
      <c r="G128" s="21"/>
    </row>
    <row r="129" spans="7:7">
      <c r="G129" s="21"/>
    </row>
    <row r="130" spans="7:7">
      <c r="G130" s="21"/>
    </row>
    <row r="131" spans="7:7">
      <c r="G131" s="21"/>
    </row>
    <row r="132" spans="7:7">
      <c r="G132" s="21"/>
    </row>
  </sheetData>
  <mergeCells count="20">
    <mergeCell ref="A6:A7"/>
    <mergeCell ref="C6:C7"/>
    <mergeCell ref="AT6:AT7"/>
    <mergeCell ref="J6:L6"/>
    <mergeCell ref="P6:P7"/>
    <mergeCell ref="R6:R7"/>
    <mergeCell ref="Q6:Q7"/>
    <mergeCell ref="I6:I7"/>
    <mergeCell ref="B6:B7"/>
    <mergeCell ref="AL6:AP6"/>
    <mergeCell ref="D6:H6"/>
    <mergeCell ref="O6:O7"/>
    <mergeCell ref="AJ6:AJ7"/>
    <mergeCell ref="M6:M7"/>
    <mergeCell ref="N6:N7"/>
    <mergeCell ref="AH1:AS1"/>
    <mergeCell ref="S6:AE6"/>
    <mergeCell ref="AU6:AU7"/>
    <mergeCell ref="B2:C2"/>
    <mergeCell ref="B3:C3"/>
  </mergeCells>
  <conditionalFormatting sqref="G8:G23">
    <cfRule type="duplicateValues" dxfId="11" priority="5"/>
  </conditionalFormatting>
  <conditionalFormatting sqref="G24">
    <cfRule type="duplicateValues" dxfId="10" priority="4"/>
  </conditionalFormatting>
  <conditionalFormatting sqref="G25">
    <cfRule type="duplicateValues" dxfId="9" priority="3"/>
  </conditionalFormatting>
  <conditionalFormatting sqref="G26">
    <cfRule type="duplicateValues" dxfId="8" priority="2"/>
  </conditionalFormatting>
  <conditionalFormatting sqref="G27">
    <cfRule type="duplicateValues" dxfId="7" priority="1"/>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B3278-CD49-42E4-BF6D-F2A4F0CADE5F}">
  <sheetPr codeName="Sheet2"/>
  <dimension ref="A1:AU129"/>
  <sheetViews>
    <sheetView workbookViewId="0">
      <pane xSplit="2" ySplit="4" topLeftCell="AB5" activePane="bottomRight" state="frozen"/>
      <selection pane="bottomRight" activeCell="AT1" sqref="AT1:AU1048576"/>
      <selection pane="bottomLeft"/>
      <selection pane="topRight"/>
    </sheetView>
  </sheetViews>
  <sheetFormatPr defaultColWidth="11" defaultRowHeight="12.75"/>
  <cols>
    <col min="1" max="2" width="11" style="20"/>
    <col min="3" max="3" width="29.125" style="20" bestFit="1" customWidth="1"/>
    <col min="4" max="6" width="11" style="20"/>
    <col min="7" max="7" width="17.25" style="20" bestFit="1" customWidth="1"/>
    <col min="8" max="8" width="9" style="20"/>
    <col min="9" max="9" width="10.75" style="20" bestFit="1" customWidth="1"/>
    <col min="10" max="12" width="9" style="20"/>
    <col min="13" max="15" width="13.375" style="20" customWidth="1"/>
    <col min="16" max="16" width="13.375" style="20" bestFit="1" customWidth="1"/>
    <col min="17" max="17" width="10.125" style="20" customWidth="1"/>
    <col min="18" max="18" width="20.375" style="20" customWidth="1"/>
    <col min="19" max="29" width="5.5" style="20" customWidth="1"/>
    <col min="30" max="31" width="7.875" style="20" bestFit="1" customWidth="1"/>
    <col min="32" max="32" width="10.125" style="20" customWidth="1"/>
    <col min="33" max="33" width="20.375" style="20" customWidth="1"/>
    <col min="34" max="34" width="10.125" style="20" customWidth="1"/>
    <col min="35" max="35" width="14.25" style="20" customWidth="1"/>
    <col min="36" max="36" width="13.375" style="20" customWidth="1"/>
    <col min="37" max="37" width="14.25" style="20" customWidth="1"/>
    <col min="38" max="42" width="9.625" style="20" customWidth="1"/>
    <col min="43" max="43" width="9" style="20"/>
    <col min="44" max="44" width="13" style="20" bestFit="1" customWidth="1"/>
    <col min="45" max="45" width="9" style="20"/>
    <col min="46" max="46" width="9" style="118"/>
    <col min="47" max="47" width="15.75" style="118" bestFit="1" customWidth="1"/>
    <col min="48" max="16384" width="11" style="20"/>
  </cols>
  <sheetData>
    <row r="1" spans="1:47" s="22" customFormat="1" ht="21">
      <c r="A1" s="85"/>
      <c r="B1" s="86" t="s">
        <v>0</v>
      </c>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92" t="s">
        <v>1</v>
      </c>
      <c r="AI1" s="92"/>
      <c r="AJ1" s="92"/>
      <c r="AK1" s="92"/>
      <c r="AL1" s="92"/>
      <c r="AM1" s="92"/>
      <c r="AN1" s="92"/>
      <c r="AO1" s="92"/>
      <c r="AP1" s="92"/>
      <c r="AQ1" s="92"/>
      <c r="AR1" s="92"/>
      <c r="AS1" s="92"/>
      <c r="AT1" s="120"/>
      <c r="AU1" s="120"/>
    </row>
    <row r="3" spans="1:47" s="22" customFormat="1" ht="21.75" customHeight="1">
      <c r="A3" s="97" t="s">
        <v>5</v>
      </c>
      <c r="B3" s="99" t="s">
        <v>6</v>
      </c>
      <c r="C3" s="99" t="s">
        <v>7</v>
      </c>
      <c r="D3" s="108" t="s">
        <v>8</v>
      </c>
      <c r="E3" s="109"/>
      <c r="F3" s="109"/>
      <c r="G3" s="109"/>
      <c r="H3" s="110"/>
      <c r="I3" s="103" t="s">
        <v>9</v>
      </c>
      <c r="J3" s="103" t="s">
        <v>10</v>
      </c>
      <c r="K3" s="103"/>
      <c r="L3" s="104"/>
      <c r="M3" s="115" t="s">
        <v>11</v>
      </c>
      <c r="N3" s="115" t="s">
        <v>12</v>
      </c>
      <c r="O3" s="111" t="s">
        <v>13</v>
      </c>
      <c r="P3" s="93" t="s">
        <v>14</v>
      </c>
      <c r="Q3" s="93" t="s">
        <v>15</v>
      </c>
      <c r="R3" s="93" t="s">
        <v>16</v>
      </c>
      <c r="S3" s="93" t="s">
        <v>17</v>
      </c>
      <c r="T3" s="93"/>
      <c r="U3" s="93"/>
      <c r="V3" s="93"/>
      <c r="W3" s="93"/>
      <c r="X3" s="93"/>
      <c r="Y3" s="93"/>
      <c r="Z3" s="93"/>
      <c r="AA3" s="93"/>
      <c r="AB3" s="93"/>
      <c r="AC3" s="93"/>
      <c r="AD3" s="93"/>
      <c r="AE3" s="93"/>
      <c r="AF3" s="9"/>
      <c r="AG3" s="9"/>
      <c r="AH3" s="23"/>
      <c r="AI3" s="7"/>
      <c r="AJ3" s="113" t="s">
        <v>18</v>
      </c>
      <c r="AK3" s="7"/>
      <c r="AL3" s="107" t="s">
        <v>19</v>
      </c>
      <c r="AM3" s="107"/>
      <c r="AN3" s="107"/>
      <c r="AO3" s="107"/>
      <c r="AP3" s="107"/>
      <c r="AQ3" s="7"/>
      <c r="AR3" s="7"/>
      <c r="AS3" s="24"/>
      <c r="AT3" s="101" t="s">
        <v>20</v>
      </c>
      <c r="AU3" s="94" t="s">
        <v>21</v>
      </c>
    </row>
    <row r="4" spans="1:47" s="22" customFormat="1" ht="31.5" customHeight="1">
      <c r="A4" s="98"/>
      <c r="B4" s="100"/>
      <c r="C4" s="100"/>
      <c r="D4" s="15" t="s">
        <v>22</v>
      </c>
      <c r="E4" s="33" t="s">
        <v>23</v>
      </c>
      <c r="F4" s="16" t="s">
        <v>24</v>
      </c>
      <c r="G4" s="16" t="s">
        <v>25</v>
      </c>
      <c r="H4" s="17" t="s">
        <v>26</v>
      </c>
      <c r="I4" s="106"/>
      <c r="J4" s="5" t="s">
        <v>27</v>
      </c>
      <c r="K4" s="6" t="s">
        <v>28</v>
      </c>
      <c r="L4" s="8" t="s">
        <v>29</v>
      </c>
      <c r="M4" s="116"/>
      <c r="N4" s="116"/>
      <c r="O4" s="112"/>
      <c r="P4" s="105"/>
      <c r="Q4" s="105"/>
      <c r="R4" s="105"/>
      <c r="S4" s="4" t="s">
        <v>30</v>
      </c>
      <c r="T4" s="4" t="s">
        <v>31</v>
      </c>
      <c r="U4" s="4" t="s">
        <v>32</v>
      </c>
      <c r="V4" s="4" t="s">
        <v>33</v>
      </c>
      <c r="W4" s="4" t="s">
        <v>34</v>
      </c>
      <c r="X4" s="4" t="s">
        <v>35</v>
      </c>
      <c r="Y4" s="4" t="s">
        <v>36</v>
      </c>
      <c r="Z4" s="4" t="s">
        <v>37</v>
      </c>
      <c r="AA4" s="4" t="s">
        <v>38</v>
      </c>
      <c r="AB4" s="4" t="s">
        <v>39</v>
      </c>
      <c r="AC4" s="4" t="s">
        <v>40</v>
      </c>
      <c r="AD4" s="4" t="s">
        <v>41</v>
      </c>
      <c r="AE4" s="4" t="s">
        <v>42</v>
      </c>
      <c r="AF4" s="4" t="s">
        <v>43</v>
      </c>
      <c r="AG4" s="4" t="s">
        <v>7</v>
      </c>
      <c r="AH4" s="25" t="s">
        <v>44</v>
      </c>
      <c r="AI4" s="2" t="s">
        <v>45</v>
      </c>
      <c r="AJ4" s="114"/>
      <c r="AK4" s="2" t="s">
        <v>7</v>
      </c>
      <c r="AL4" s="3" t="s">
        <v>46</v>
      </c>
      <c r="AM4" s="3" t="s">
        <v>46</v>
      </c>
      <c r="AN4" s="3" t="s">
        <v>47</v>
      </c>
      <c r="AO4" s="3" t="s">
        <v>47</v>
      </c>
      <c r="AP4" s="3" t="s">
        <v>40</v>
      </c>
      <c r="AQ4" s="3" t="s">
        <v>48</v>
      </c>
      <c r="AR4" s="3" t="s">
        <v>49</v>
      </c>
      <c r="AS4" s="26" t="s">
        <v>7</v>
      </c>
      <c r="AT4" s="102"/>
      <c r="AU4" s="95"/>
    </row>
    <row r="5" spans="1:47">
      <c r="A5" s="89" t="s">
        <v>178</v>
      </c>
      <c r="B5" s="18">
        <v>4087331415</v>
      </c>
      <c r="C5" s="18" t="s">
        <v>94</v>
      </c>
      <c r="D5" s="18" t="s">
        <v>66</v>
      </c>
      <c r="E5" s="34">
        <v>0.5</v>
      </c>
      <c r="F5" s="18" t="s">
        <v>70</v>
      </c>
      <c r="G5" s="19">
        <v>26378</v>
      </c>
      <c r="H5" s="18" t="s">
        <v>47</v>
      </c>
      <c r="I5" s="20" t="s">
        <v>40</v>
      </c>
      <c r="L5" s="20" t="s">
        <v>56</v>
      </c>
      <c r="M5" s="20" t="s">
        <v>57</v>
      </c>
      <c r="N5" s="20" t="s">
        <v>57</v>
      </c>
      <c r="O5" s="20" t="s">
        <v>57</v>
      </c>
      <c r="R5" s="20" t="s">
        <v>179</v>
      </c>
      <c r="AU5" s="121"/>
    </row>
    <row r="6" spans="1:47">
      <c r="A6" s="18" t="s">
        <v>180</v>
      </c>
      <c r="B6" s="18">
        <v>4582280676</v>
      </c>
      <c r="C6" s="18" t="s">
        <v>181</v>
      </c>
      <c r="D6" s="18" t="s">
        <v>66</v>
      </c>
      <c r="E6" s="34">
        <v>0.7</v>
      </c>
      <c r="F6" s="18" t="s">
        <v>70</v>
      </c>
      <c r="G6" s="19">
        <v>19731</v>
      </c>
      <c r="H6" s="18" t="s">
        <v>47</v>
      </c>
      <c r="I6" s="20" t="s">
        <v>40</v>
      </c>
      <c r="J6" s="20" t="s">
        <v>56</v>
      </c>
      <c r="M6" s="20" t="s">
        <v>57</v>
      </c>
      <c r="N6" s="20" t="s">
        <v>57</v>
      </c>
      <c r="O6" s="20" t="s">
        <v>57</v>
      </c>
      <c r="P6" s="20" t="s">
        <v>182</v>
      </c>
      <c r="Q6" s="20" t="s">
        <v>59</v>
      </c>
      <c r="AE6" s="20" t="s">
        <v>76</v>
      </c>
      <c r="AU6" s="121"/>
    </row>
    <row r="7" spans="1:47">
      <c r="A7" s="89" t="s">
        <v>183</v>
      </c>
      <c r="B7" s="18">
        <v>4521134254</v>
      </c>
      <c r="C7" s="18" t="s">
        <v>184</v>
      </c>
      <c r="D7" s="18" t="s">
        <v>185</v>
      </c>
      <c r="E7" s="34">
        <v>0.4</v>
      </c>
      <c r="F7" s="18" t="s">
        <v>70</v>
      </c>
      <c r="G7" s="19">
        <v>18759</v>
      </c>
      <c r="H7" s="18" t="s">
        <v>55</v>
      </c>
      <c r="I7" s="20" t="s">
        <v>40</v>
      </c>
      <c r="J7" s="20" t="s">
        <v>56</v>
      </c>
      <c r="M7" s="20" t="s">
        <v>57</v>
      </c>
      <c r="N7" s="20" t="s">
        <v>57</v>
      </c>
      <c r="O7" s="20" t="s">
        <v>57</v>
      </c>
      <c r="P7" s="20" t="s">
        <v>186</v>
      </c>
      <c r="Q7" s="20" t="s">
        <v>59</v>
      </c>
      <c r="AE7" s="20" t="s">
        <v>76</v>
      </c>
      <c r="AU7" s="121"/>
    </row>
    <row r="8" spans="1:47">
      <c r="A8" s="18" t="s">
        <v>187</v>
      </c>
      <c r="B8" s="18">
        <v>4509092997</v>
      </c>
      <c r="C8" s="18" t="s">
        <v>88</v>
      </c>
      <c r="D8" s="18" t="s">
        <v>95</v>
      </c>
      <c r="E8" s="34">
        <v>0.1</v>
      </c>
      <c r="F8" s="18" t="s">
        <v>54</v>
      </c>
      <c r="G8" s="19">
        <v>17816</v>
      </c>
      <c r="H8" s="18" t="s">
        <v>55</v>
      </c>
      <c r="I8" s="20" t="s">
        <v>40</v>
      </c>
      <c r="J8" s="20" t="s">
        <v>56</v>
      </c>
      <c r="M8" s="20" t="s">
        <v>57</v>
      </c>
      <c r="N8" s="20" t="s">
        <v>57</v>
      </c>
      <c r="O8" s="20" t="s">
        <v>57</v>
      </c>
      <c r="P8" s="20" t="s">
        <v>188</v>
      </c>
      <c r="Q8" s="20" t="s">
        <v>59</v>
      </c>
      <c r="AD8" s="20" t="s">
        <v>76</v>
      </c>
      <c r="AU8" s="121"/>
    </row>
    <row r="9" spans="1:47">
      <c r="A9" s="18" t="s">
        <v>189</v>
      </c>
      <c r="B9" s="18">
        <v>4998143018</v>
      </c>
      <c r="C9" s="18" t="s">
        <v>88</v>
      </c>
      <c r="D9" s="18" t="s">
        <v>52</v>
      </c>
      <c r="E9" s="34">
        <v>0.8</v>
      </c>
      <c r="F9" s="18" t="s">
        <v>54</v>
      </c>
      <c r="G9" s="19">
        <v>15624</v>
      </c>
      <c r="H9" s="18" t="s">
        <v>55</v>
      </c>
      <c r="I9" s="20" t="s">
        <v>40</v>
      </c>
      <c r="J9" s="20" t="s">
        <v>56</v>
      </c>
      <c r="M9" s="20" t="s">
        <v>57</v>
      </c>
      <c r="N9" s="20" t="s">
        <v>57</v>
      </c>
      <c r="O9" s="20" t="s">
        <v>57</v>
      </c>
      <c r="P9" s="20" t="s">
        <v>182</v>
      </c>
      <c r="Q9" s="20" t="s">
        <v>59</v>
      </c>
      <c r="AD9" s="20" t="s">
        <v>76</v>
      </c>
      <c r="AU9" s="121"/>
    </row>
    <row r="10" spans="1:47">
      <c r="A10" s="18" t="s">
        <v>190</v>
      </c>
      <c r="B10" s="18">
        <v>4861907535</v>
      </c>
      <c r="C10" s="18" t="s">
        <v>88</v>
      </c>
      <c r="D10" s="18" t="s">
        <v>52</v>
      </c>
      <c r="E10" s="34">
        <v>0.3</v>
      </c>
      <c r="F10" s="18" t="s">
        <v>54</v>
      </c>
      <c r="G10" s="19">
        <v>23809</v>
      </c>
      <c r="H10" s="18" t="s">
        <v>47</v>
      </c>
      <c r="I10" s="20" t="s">
        <v>40</v>
      </c>
      <c r="J10" s="20" t="s">
        <v>56</v>
      </c>
      <c r="M10" s="20" t="s">
        <v>57</v>
      </c>
      <c r="N10" s="20" t="s">
        <v>57</v>
      </c>
      <c r="O10" s="20" t="s">
        <v>57</v>
      </c>
      <c r="P10" s="20" t="s">
        <v>182</v>
      </c>
      <c r="Q10" s="20" t="s">
        <v>59</v>
      </c>
      <c r="AD10" s="20" t="s">
        <v>76</v>
      </c>
      <c r="AU10" s="121"/>
    </row>
    <row r="11" spans="1:47">
      <c r="A11" s="18" t="s">
        <v>191</v>
      </c>
      <c r="B11" s="18">
        <v>4363077174</v>
      </c>
      <c r="C11" s="18" t="s">
        <v>88</v>
      </c>
      <c r="D11" s="18" t="s">
        <v>192</v>
      </c>
      <c r="E11" s="34">
        <v>0.5</v>
      </c>
      <c r="F11" s="18" t="s">
        <v>54</v>
      </c>
      <c r="G11" s="19">
        <v>16730</v>
      </c>
      <c r="H11" s="18" t="s">
        <v>55</v>
      </c>
      <c r="I11" s="20" t="s">
        <v>40</v>
      </c>
      <c r="J11" s="20" t="s">
        <v>56</v>
      </c>
      <c r="M11" s="20" t="s">
        <v>57</v>
      </c>
      <c r="N11" s="20" t="s">
        <v>57</v>
      </c>
      <c r="O11" s="20" t="s">
        <v>57</v>
      </c>
      <c r="P11" s="20" t="s">
        <v>193</v>
      </c>
      <c r="Q11" s="20" t="s">
        <v>59</v>
      </c>
      <c r="AD11" s="20" t="s">
        <v>76</v>
      </c>
      <c r="AT11" s="118" t="s">
        <v>59</v>
      </c>
      <c r="AU11" s="118" t="s">
        <v>59</v>
      </c>
    </row>
    <row r="12" spans="1:47">
      <c r="A12" s="18" t="s">
        <v>194</v>
      </c>
      <c r="B12" s="18">
        <v>4990492374</v>
      </c>
      <c r="C12" s="18" t="s">
        <v>88</v>
      </c>
      <c r="D12" s="18" t="s">
        <v>66</v>
      </c>
      <c r="E12" s="34" t="s">
        <v>195</v>
      </c>
      <c r="F12" s="18" t="s">
        <v>54</v>
      </c>
      <c r="G12" s="19">
        <v>11919</v>
      </c>
      <c r="H12" s="18" t="s">
        <v>47</v>
      </c>
      <c r="I12" s="20" t="s">
        <v>40</v>
      </c>
      <c r="J12" s="20" t="s">
        <v>56</v>
      </c>
      <c r="M12" s="20" t="s">
        <v>57</v>
      </c>
      <c r="N12" s="20" t="s">
        <v>57</v>
      </c>
      <c r="O12" s="20" t="s">
        <v>57</v>
      </c>
      <c r="P12" s="20" t="s">
        <v>193</v>
      </c>
      <c r="Q12" s="20" t="s">
        <v>59</v>
      </c>
      <c r="AD12" s="20" t="s">
        <v>76</v>
      </c>
      <c r="AT12" s="118" t="s">
        <v>59</v>
      </c>
      <c r="AU12" s="118" t="s">
        <v>59</v>
      </c>
    </row>
    <row r="13" spans="1:47">
      <c r="A13" s="18" t="s">
        <v>196</v>
      </c>
      <c r="B13" s="18">
        <v>6290099566</v>
      </c>
      <c r="C13" s="18" t="s">
        <v>88</v>
      </c>
      <c r="D13" s="18" t="s">
        <v>66</v>
      </c>
      <c r="E13" s="34">
        <v>0.5</v>
      </c>
      <c r="F13" s="18" t="s">
        <v>54</v>
      </c>
      <c r="G13" s="19">
        <v>16223</v>
      </c>
      <c r="H13" s="18" t="s">
        <v>47</v>
      </c>
      <c r="I13" s="20" t="s">
        <v>40</v>
      </c>
      <c r="J13" s="20" t="s">
        <v>56</v>
      </c>
      <c r="M13" s="20" t="s">
        <v>57</v>
      </c>
      <c r="N13" s="20" t="s">
        <v>57</v>
      </c>
      <c r="O13" s="20" t="s">
        <v>57</v>
      </c>
      <c r="P13" s="20" t="s">
        <v>193</v>
      </c>
      <c r="Q13" s="20" t="s">
        <v>59</v>
      </c>
      <c r="AD13" s="20" t="s">
        <v>76</v>
      </c>
      <c r="AT13" s="118" t="s">
        <v>59</v>
      </c>
      <c r="AU13" s="118" t="s">
        <v>59</v>
      </c>
    </row>
    <row r="14" spans="1:47">
      <c r="A14" s="89" t="s">
        <v>197</v>
      </c>
      <c r="B14" s="18">
        <v>6491041689</v>
      </c>
      <c r="C14" s="18" t="s">
        <v>94</v>
      </c>
      <c r="D14" s="18" t="s">
        <v>52</v>
      </c>
      <c r="E14" s="34">
        <v>0.2</v>
      </c>
      <c r="F14" s="18" t="s">
        <v>54</v>
      </c>
      <c r="G14" s="19">
        <v>29646</v>
      </c>
      <c r="H14" s="18" t="s">
        <v>47</v>
      </c>
      <c r="I14" s="20" t="s">
        <v>40</v>
      </c>
      <c r="J14" s="20" t="s">
        <v>56</v>
      </c>
      <c r="M14" s="20" t="s">
        <v>57</v>
      </c>
      <c r="N14" s="20" t="s">
        <v>57</v>
      </c>
      <c r="O14" s="20" t="s">
        <v>57</v>
      </c>
      <c r="P14" s="20" t="s">
        <v>198</v>
      </c>
      <c r="Q14" s="20" t="s">
        <v>59</v>
      </c>
      <c r="AE14" s="20" t="s">
        <v>161</v>
      </c>
      <c r="AT14" s="118" t="s">
        <v>59</v>
      </c>
      <c r="AU14" s="118" t="s">
        <v>59</v>
      </c>
    </row>
    <row r="15" spans="1:47">
      <c r="A15" s="18" t="s">
        <v>199</v>
      </c>
      <c r="B15" s="18">
        <v>4582429564</v>
      </c>
      <c r="C15" s="18" t="s">
        <v>88</v>
      </c>
      <c r="D15" s="18" t="s">
        <v>52</v>
      </c>
      <c r="E15" s="34" t="s">
        <v>195</v>
      </c>
      <c r="F15" s="18" t="s">
        <v>54</v>
      </c>
      <c r="G15" s="19">
        <v>20209</v>
      </c>
      <c r="H15" s="18" t="s">
        <v>55</v>
      </c>
      <c r="I15" s="20" t="s">
        <v>40</v>
      </c>
      <c r="J15" s="20" t="s">
        <v>56</v>
      </c>
      <c r="M15" s="20" t="s">
        <v>57</v>
      </c>
      <c r="N15" s="20" t="s">
        <v>57</v>
      </c>
      <c r="O15" s="20" t="s">
        <v>57</v>
      </c>
      <c r="P15" s="20" t="s">
        <v>193</v>
      </c>
      <c r="Q15" s="20" t="s">
        <v>59</v>
      </c>
      <c r="AD15" s="20" t="s">
        <v>76</v>
      </c>
      <c r="AT15" s="118" t="s">
        <v>59</v>
      </c>
      <c r="AU15" s="118" t="s">
        <v>59</v>
      </c>
    </row>
    <row r="16" spans="1:47">
      <c r="A16" s="18" t="s">
        <v>200</v>
      </c>
      <c r="B16" s="18">
        <v>4520407397</v>
      </c>
      <c r="C16" s="18" t="s">
        <v>88</v>
      </c>
      <c r="D16" s="18" t="s">
        <v>201</v>
      </c>
      <c r="E16" s="34">
        <v>0.5</v>
      </c>
      <c r="F16" s="18" t="s">
        <v>54</v>
      </c>
      <c r="G16" s="19">
        <v>18346</v>
      </c>
      <c r="H16" s="18" t="s">
        <v>47</v>
      </c>
      <c r="I16" s="20" t="s">
        <v>40</v>
      </c>
      <c r="J16" s="20" t="s">
        <v>56</v>
      </c>
      <c r="M16" s="20" t="s">
        <v>57</v>
      </c>
      <c r="N16" s="20" t="s">
        <v>57</v>
      </c>
      <c r="O16" s="20" t="s">
        <v>57</v>
      </c>
      <c r="P16" s="20" t="s">
        <v>202</v>
      </c>
      <c r="Q16" s="20" t="s">
        <v>59</v>
      </c>
      <c r="AD16" s="20" t="s">
        <v>76</v>
      </c>
      <c r="AT16" s="118" t="s">
        <v>59</v>
      </c>
      <c r="AU16" s="118" t="s">
        <v>59</v>
      </c>
    </row>
    <row r="17" spans="1:47">
      <c r="A17" s="18" t="s">
        <v>203</v>
      </c>
      <c r="B17" s="18">
        <v>4487159377</v>
      </c>
      <c r="C17" s="18" t="s">
        <v>88</v>
      </c>
      <c r="D17" s="18" t="s">
        <v>95</v>
      </c>
      <c r="E17" s="34">
        <v>0.7</v>
      </c>
      <c r="F17" s="18" t="s">
        <v>54</v>
      </c>
      <c r="G17" s="19">
        <v>21196</v>
      </c>
      <c r="H17" s="18" t="s">
        <v>55</v>
      </c>
      <c r="I17" s="20" t="s">
        <v>40</v>
      </c>
      <c r="J17" s="20" t="s">
        <v>56</v>
      </c>
      <c r="M17" s="20" t="s">
        <v>57</v>
      </c>
      <c r="N17" s="20" t="s">
        <v>57</v>
      </c>
      <c r="O17" s="20" t="s">
        <v>57</v>
      </c>
      <c r="P17" s="20" t="s">
        <v>193</v>
      </c>
      <c r="Q17" s="20" t="s">
        <v>59</v>
      </c>
      <c r="AD17" s="20" t="s">
        <v>76</v>
      </c>
      <c r="AT17" s="118" t="s">
        <v>59</v>
      </c>
      <c r="AU17" s="118" t="s">
        <v>59</v>
      </c>
    </row>
    <row r="18" spans="1:47">
      <c r="A18" s="89" t="s">
        <v>204</v>
      </c>
      <c r="B18" s="18">
        <v>4087061981</v>
      </c>
      <c r="C18" s="18" t="s">
        <v>205</v>
      </c>
      <c r="D18" s="18" t="s">
        <v>206</v>
      </c>
      <c r="E18" s="34">
        <v>0.3</v>
      </c>
      <c r="F18" s="18" t="s">
        <v>54</v>
      </c>
      <c r="G18" s="19">
        <v>29881</v>
      </c>
      <c r="H18" s="18" t="s">
        <v>55</v>
      </c>
      <c r="I18" s="20" t="s">
        <v>40</v>
      </c>
      <c r="L18" s="20" t="s">
        <v>56</v>
      </c>
      <c r="M18" s="20" t="s">
        <v>57</v>
      </c>
      <c r="N18" s="20" t="s">
        <v>57</v>
      </c>
      <c r="O18" s="20" t="s">
        <v>57</v>
      </c>
      <c r="P18" s="20" t="s">
        <v>207</v>
      </c>
      <c r="Q18" s="20" t="s">
        <v>59</v>
      </c>
      <c r="AE18" s="20" t="s">
        <v>161</v>
      </c>
      <c r="AT18" s="118" t="s">
        <v>59</v>
      </c>
      <c r="AU18" s="118" t="s">
        <v>59</v>
      </c>
    </row>
    <row r="19" spans="1:47">
      <c r="A19" s="18" t="s">
        <v>208</v>
      </c>
      <c r="B19" s="18">
        <v>4566586421</v>
      </c>
      <c r="C19" s="18" t="s">
        <v>88</v>
      </c>
      <c r="D19" s="18" t="s">
        <v>209</v>
      </c>
      <c r="E19" s="34">
        <v>0.3</v>
      </c>
      <c r="F19" s="18" t="s">
        <v>70</v>
      </c>
      <c r="G19" s="19">
        <v>20352</v>
      </c>
      <c r="H19" s="18" t="s">
        <v>55</v>
      </c>
      <c r="I19" s="20" t="s">
        <v>40</v>
      </c>
      <c r="J19" s="20" t="s">
        <v>56</v>
      </c>
      <c r="M19" s="20" t="s">
        <v>57</v>
      </c>
      <c r="N19" s="20" t="s">
        <v>57</v>
      </c>
      <c r="O19" s="20" t="s">
        <v>57</v>
      </c>
      <c r="P19" s="20" t="s">
        <v>210</v>
      </c>
      <c r="Q19" s="20" t="s">
        <v>59</v>
      </c>
      <c r="AD19" s="20" t="s">
        <v>76</v>
      </c>
      <c r="AT19" s="118" t="s">
        <v>59</v>
      </c>
      <c r="AU19" s="118" t="s">
        <v>59</v>
      </c>
    </row>
    <row r="20" spans="1:47">
      <c r="A20" s="18" t="s">
        <v>211</v>
      </c>
      <c r="B20" s="18">
        <v>4421103764</v>
      </c>
      <c r="C20" s="18" t="s">
        <v>88</v>
      </c>
      <c r="D20" s="18" t="s">
        <v>66</v>
      </c>
      <c r="E20" s="34" t="s">
        <v>152</v>
      </c>
      <c r="F20" s="18" t="s">
        <v>70</v>
      </c>
      <c r="G20" s="19">
        <v>15888</v>
      </c>
      <c r="H20" s="18" t="s">
        <v>47</v>
      </c>
      <c r="I20" s="20" t="s">
        <v>40</v>
      </c>
      <c r="J20" s="20" t="s">
        <v>56</v>
      </c>
      <c r="M20" s="20" t="s">
        <v>57</v>
      </c>
      <c r="N20" s="20" t="s">
        <v>57</v>
      </c>
      <c r="O20" s="20" t="s">
        <v>57</v>
      </c>
      <c r="P20" s="20" t="s">
        <v>210</v>
      </c>
      <c r="Q20" s="20" t="s">
        <v>59</v>
      </c>
      <c r="AD20" s="20" t="s">
        <v>76</v>
      </c>
      <c r="AT20" s="118" t="s">
        <v>59</v>
      </c>
      <c r="AU20" s="118" t="s">
        <v>59</v>
      </c>
    </row>
    <row r="21" spans="1:47">
      <c r="A21" s="18" t="s">
        <v>212</v>
      </c>
      <c r="B21" s="18">
        <v>7063319159</v>
      </c>
      <c r="C21" s="18" t="s">
        <v>88</v>
      </c>
      <c r="D21" s="18" t="s">
        <v>213</v>
      </c>
      <c r="E21" s="34">
        <v>0.3</v>
      </c>
      <c r="F21" s="18" t="s">
        <v>158</v>
      </c>
      <c r="G21" s="19">
        <v>28941</v>
      </c>
      <c r="H21" s="18" t="s">
        <v>55</v>
      </c>
      <c r="I21" s="20" t="s">
        <v>40</v>
      </c>
      <c r="J21" s="20" t="s">
        <v>56</v>
      </c>
      <c r="M21" s="20" t="s">
        <v>57</v>
      </c>
      <c r="N21" s="20" t="s">
        <v>57</v>
      </c>
      <c r="O21" s="20" t="s">
        <v>57</v>
      </c>
      <c r="P21" s="20" t="s">
        <v>214</v>
      </c>
      <c r="Q21" s="20" t="s">
        <v>59</v>
      </c>
      <c r="AD21" s="20" t="s">
        <v>76</v>
      </c>
      <c r="AT21" s="118" t="s">
        <v>59</v>
      </c>
      <c r="AU21" s="118" t="s">
        <v>59</v>
      </c>
    </row>
    <row r="22" spans="1:47">
      <c r="A22" s="89" t="s">
        <v>215</v>
      </c>
      <c r="B22" s="18">
        <v>4123806422</v>
      </c>
      <c r="C22" s="18" t="s">
        <v>94</v>
      </c>
      <c r="D22" s="18" t="s">
        <v>216</v>
      </c>
      <c r="E22" s="34">
        <v>0.2</v>
      </c>
      <c r="F22" s="18" t="s">
        <v>158</v>
      </c>
      <c r="G22" s="19">
        <v>25366</v>
      </c>
      <c r="H22" s="18" t="s">
        <v>55</v>
      </c>
      <c r="I22" s="20" t="s">
        <v>40</v>
      </c>
      <c r="J22" s="20" t="s">
        <v>56</v>
      </c>
      <c r="M22" s="20" t="s">
        <v>57</v>
      </c>
      <c r="N22" s="20" t="s">
        <v>57</v>
      </c>
      <c r="O22" s="20" t="s">
        <v>57</v>
      </c>
      <c r="P22" s="20" t="s">
        <v>217</v>
      </c>
      <c r="Q22" s="20" t="s">
        <v>59</v>
      </c>
      <c r="AD22" s="20" t="s">
        <v>78</v>
      </c>
      <c r="AT22" s="118" t="s">
        <v>59</v>
      </c>
      <c r="AU22" s="118" t="s">
        <v>59</v>
      </c>
    </row>
    <row r="23" spans="1:47">
      <c r="A23" s="89" t="s">
        <v>218</v>
      </c>
      <c r="B23" s="18">
        <v>4507901820</v>
      </c>
      <c r="C23" s="18" t="s">
        <v>94</v>
      </c>
      <c r="D23" s="18" t="s">
        <v>66</v>
      </c>
      <c r="E23" s="34">
        <v>0.3</v>
      </c>
      <c r="F23" s="18" t="s">
        <v>158</v>
      </c>
      <c r="G23" s="19">
        <v>17218</v>
      </c>
      <c r="H23" s="18" t="s">
        <v>55</v>
      </c>
      <c r="I23" s="20" t="s">
        <v>40</v>
      </c>
      <c r="L23" s="20" t="s">
        <v>56</v>
      </c>
      <c r="M23" s="20" t="s">
        <v>57</v>
      </c>
      <c r="N23" s="20" t="s">
        <v>57</v>
      </c>
      <c r="O23" s="20" t="s">
        <v>57</v>
      </c>
      <c r="P23" s="20" t="s">
        <v>219</v>
      </c>
      <c r="Q23" s="20" t="s">
        <v>59</v>
      </c>
      <c r="AE23" s="20" t="s">
        <v>220</v>
      </c>
      <c r="AT23" s="118" t="s">
        <v>59</v>
      </c>
      <c r="AU23" s="118" t="s">
        <v>59</v>
      </c>
    </row>
    <row r="24" spans="1:47">
      <c r="A24" s="18"/>
      <c r="B24" s="18"/>
      <c r="C24" s="18"/>
      <c r="D24" s="18"/>
      <c r="E24" s="18"/>
      <c r="F24" s="18"/>
      <c r="G24" s="19"/>
      <c r="H24" s="18"/>
      <c r="AU24" s="121"/>
    </row>
    <row r="25" spans="1:47">
      <c r="A25" s="36">
        <f>COUNTA(A5:A23)</f>
        <v>19</v>
      </c>
      <c r="B25" s="36">
        <f t="shared" ref="B25:AU25" si="0">COUNTA(B5:B23)</f>
        <v>19</v>
      </c>
      <c r="C25" s="36">
        <f t="shared" si="0"/>
        <v>19</v>
      </c>
      <c r="D25" s="36">
        <f t="shared" si="0"/>
        <v>19</v>
      </c>
      <c r="E25" s="36">
        <f t="shared" si="0"/>
        <v>19</v>
      </c>
      <c r="F25" s="36">
        <f t="shared" si="0"/>
        <v>19</v>
      </c>
      <c r="G25" s="36">
        <f t="shared" si="0"/>
        <v>19</v>
      </c>
      <c r="H25" s="36">
        <f t="shared" si="0"/>
        <v>19</v>
      </c>
      <c r="I25" s="36">
        <f t="shared" si="0"/>
        <v>19</v>
      </c>
      <c r="J25" s="36">
        <f t="shared" si="0"/>
        <v>16</v>
      </c>
      <c r="K25" s="36">
        <f t="shared" si="0"/>
        <v>0</v>
      </c>
      <c r="L25" s="36">
        <f t="shared" si="0"/>
        <v>3</v>
      </c>
      <c r="M25" s="36">
        <f t="shared" si="0"/>
        <v>19</v>
      </c>
      <c r="N25" s="36">
        <f t="shared" si="0"/>
        <v>19</v>
      </c>
      <c r="O25" s="36">
        <f t="shared" si="0"/>
        <v>19</v>
      </c>
      <c r="P25" s="36">
        <f t="shared" si="0"/>
        <v>18</v>
      </c>
      <c r="Q25" s="36">
        <f t="shared" si="0"/>
        <v>18</v>
      </c>
      <c r="R25" s="36">
        <f t="shared" si="0"/>
        <v>1</v>
      </c>
      <c r="S25" s="36">
        <f t="shared" si="0"/>
        <v>0</v>
      </c>
      <c r="T25" s="36">
        <f t="shared" si="0"/>
        <v>0</v>
      </c>
      <c r="U25" s="36">
        <f t="shared" si="0"/>
        <v>0</v>
      </c>
      <c r="V25" s="36">
        <f t="shared" si="0"/>
        <v>0</v>
      </c>
      <c r="W25" s="36">
        <f t="shared" si="0"/>
        <v>0</v>
      </c>
      <c r="X25" s="36">
        <f t="shared" si="0"/>
        <v>0</v>
      </c>
      <c r="Y25" s="36">
        <f t="shared" si="0"/>
        <v>0</v>
      </c>
      <c r="Z25" s="36">
        <f t="shared" si="0"/>
        <v>0</v>
      </c>
      <c r="AA25" s="36">
        <f t="shared" si="0"/>
        <v>0</v>
      </c>
      <c r="AB25" s="36">
        <f t="shared" si="0"/>
        <v>0</v>
      </c>
      <c r="AC25" s="36">
        <f t="shared" si="0"/>
        <v>0</v>
      </c>
      <c r="AD25" s="36">
        <f t="shared" si="0"/>
        <v>13</v>
      </c>
      <c r="AE25" s="36">
        <f>COUNTA(AE5:AE23)</f>
        <v>5</v>
      </c>
      <c r="AF25" s="36">
        <f t="shared" si="0"/>
        <v>0</v>
      </c>
      <c r="AG25" s="36">
        <f t="shared" si="0"/>
        <v>0</v>
      </c>
      <c r="AH25" s="36">
        <f t="shared" si="0"/>
        <v>0</v>
      </c>
      <c r="AI25" s="36">
        <f t="shared" si="0"/>
        <v>0</v>
      </c>
      <c r="AJ25" s="36">
        <f t="shared" si="0"/>
        <v>0</v>
      </c>
      <c r="AK25" s="36">
        <f t="shared" si="0"/>
        <v>0</v>
      </c>
      <c r="AL25" s="36">
        <f t="shared" si="0"/>
        <v>0</v>
      </c>
      <c r="AM25" s="36">
        <f t="shared" si="0"/>
        <v>0</v>
      </c>
      <c r="AN25" s="36">
        <f t="shared" si="0"/>
        <v>0</v>
      </c>
      <c r="AO25" s="36">
        <f t="shared" si="0"/>
        <v>0</v>
      </c>
      <c r="AP25" s="36">
        <f t="shared" si="0"/>
        <v>0</v>
      </c>
      <c r="AQ25" s="36">
        <f t="shared" si="0"/>
        <v>0</v>
      </c>
      <c r="AR25" s="36">
        <f t="shared" si="0"/>
        <v>0</v>
      </c>
      <c r="AS25" s="36">
        <f t="shared" si="0"/>
        <v>0</v>
      </c>
      <c r="AT25" s="125">
        <f t="shared" si="0"/>
        <v>13</v>
      </c>
      <c r="AU25" s="125">
        <f t="shared" si="0"/>
        <v>13</v>
      </c>
    </row>
    <row r="26" spans="1:47">
      <c r="A26" s="18"/>
      <c r="B26" s="18"/>
      <c r="C26" s="18"/>
      <c r="D26" s="18"/>
      <c r="E26" s="18"/>
      <c r="F26" s="18"/>
      <c r="G26" s="19"/>
      <c r="H26" s="18"/>
      <c r="AU26" s="121"/>
    </row>
    <row r="27" spans="1:47">
      <c r="A27" s="18"/>
      <c r="B27" s="18"/>
      <c r="C27" s="18"/>
      <c r="D27" s="18"/>
      <c r="E27" s="18"/>
      <c r="F27" s="18"/>
      <c r="G27" s="19"/>
      <c r="H27" s="18"/>
      <c r="AU27" s="121"/>
    </row>
    <row r="28" spans="1:47">
      <c r="A28" s="18"/>
      <c r="B28" s="18"/>
      <c r="C28" s="18"/>
      <c r="D28" s="18"/>
      <c r="E28" s="18"/>
      <c r="F28" s="18"/>
      <c r="G28" s="19"/>
      <c r="H28" s="18"/>
      <c r="AU28" s="121"/>
    </row>
    <row r="29" spans="1:47">
      <c r="A29" s="18"/>
      <c r="B29" s="18"/>
      <c r="C29" s="18"/>
      <c r="D29" s="18"/>
      <c r="E29" s="18"/>
      <c r="F29" s="18"/>
      <c r="G29" s="19"/>
      <c r="H29" s="18"/>
      <c r="AU29" s="121"/>
    </row>
    <row r="30" spans="1:47">
      <c r="A30" s="18"/>
      <c r="B30" s="18"/>
      <c r="C30" s="18"/>
      <c r="D30" s="18"/>
      <c r="E30" s="18"/>
      <c r="F30" s="18"/>
      <c r="G30" s="19"/>
      <c r="H30" s="18"/>
      <c r="AU30" s="121"/>
    </row>
    <row r="31" spans="1:47">
      <c r="A31" s="18"/>
      <c r="B31" s="18"/>
      <c r="C31" s="18"/>
      <c r="D31" s="18"/>
      <c r="E31" s="18"/>
      <c r="F31" s="18"/>
      <c r="G31" s="19"/>
      <c r="H31" s="18"/>
      <c r="AU31" s="121"/>
    </row>
    <row r="32" spans="1:47">
      <c r="A32" s="18"/>
      <c r="B32" s="18"/>
      <c r="C32" s="18"/>
      <c r="D32" s="18"/>
      <c r="E32" s="18"/>
      <c r="F32" s="18"/>
      <c r="G32" s="19"/>
      <c r="H32" s="18"/>
      <c r="AU32" s="121"/>
    </row>
    <row r="33" spans="1:8">
      <c r="A33" s="18"/>
      <c r="B33" s="18"/>
      <c r="C33" s="18"/>
      <c r="D33" s="18"/>
      <c r="E33" s="18"/>
      <c r="F33" s="18"/>
      <c r="G33" s="19"/>
      <c r="H33" s="18"/>
    </row>
    <row r="34" spans="1:8">
      <c r="A34" s="18"/>
      <c r="B34" s="18"/>
      <c r="C34" s="18"/>
      <c r="D34" s="18"/>
      <c r="E34" s="18"/>
      <c r="F34" s="18"/>
      <c r="G34" s="19"/>
      <c r="H34" s="18"/>
    </row>
    <row r="35" spans="1:8">
      <c r="A35" s="18"/>
      <c r="B35" s="18"/>
      <c r="C35" s="18"/>
      <c r="D35" s="18"/>
      <c r="E35" s="18"/>
      <c r="F35" s="18"/>
      <c r="G35" s="19"/>
      <c r="H35" s="18"/>
    </row>
    <row r="36" spans="1:8">
      <c r="A36" s="18"/>
      <c r="B36" s="18"/>
      <c r="C36" s="18"/>
      <c r="D36" s="18"/>
      <c r="E36" s="18"/>
      <c r="F36" s="18"/>
      <c r="G36" s="19"/>
      <c r="H36" s="18"/>
    </row>
    <row r="37" spans="1:8">
      <c r="A37" s="18"/>
      <c r="B37" s="18"/>
      <c r="C37" s="18"/>
      <c r="D37" s="18"/>
      <c r="E37" s="18"/>
      <c r="F37" s="18"/>
      <c r="G37" s="19"/>
      <c r="H37" s="18"/>
    </row>
    <row r="38" spans="1:8">
      <c r="A38" s="18"/>
      <c r="B38" s="18"/>
      <c r="C38" s="18"/>
      <c r="D38" s="18"/>
      <c r="E38" s="18"/>
      <c r="F38" s="18"/>
      <c r="G38" s="19"/>
      <c r="H38" s="18"/>
    </row>
    <row r="39" spans="1:8">
      <c r="A39" s="18"/>
      <c r="B39" s="18"/>
      <c r="C39" s="18"/>
      <c r="D39" s="18"/>
      <c r="E39" s="18"/>
      <c r="F39" s="18"/>
      <c r="G39" s="19"/>
      <c r="H39" s="18"/>
    </row>
    <row r="40" spans="1:8">
      <c r="A40" s="18"/>
      <c r="B40" s="18"/>
      <c r="C40" s="18"/>
      <c r="D40" s="18"/>
      <c r="E40" s="18"/>
      <c r="F40" s="18"/>
      <c r="G40" s="19"/>
      <c r="H40" s="18"/>
    </row>
    <row r="41" spans="1:8">
      <c r="A41" s="18"/>
      <c r="B41" s="18"/>
      <c r="C41" s="18"/>
      <c r="D41" s="18"/>
      <c r="E41" s="18"/>
      <c r="F41" s="18"/>
      <c r="G41" s="19"/>
      <c r="H41" s="18"/>
    </row>
    <row r="42" spans="1:8">
      <c r="A42" s="18"/>
      <c r="B42" s="18"/>
      <c r="C42" s="18"/>
      <c r="D42" s="18"/>
      <c r="E42" s="18"/>
      <c r="F42" s="18"/>
      <c r="G42" s="19"/>
      <c r="H42" s="18"/>
    </row>
    <row r="43" spans="1:8">
      <c r="A43" s="18"/>
      <c r="B43" s="18"/>
      <c r="C43" s="18"/>
      <c r="D43" s="18"/>
      <c r="E43" s="18"/>
      <c r="F43" s="18"/>
      <c r="G43" s="19"/>
      <c r="H43" s="18"/>
    </row>
    <row r="44" spans="1:8">
      <c r="A44" s="18"/>
      <c r="B44" s="18"/>
      <c r="C44" s="18"/>
      <c r="D44" s="18"/>
      <c r="E44" s="18"/>
      <c r="F44" s="18"/>
      <c r="G44" s="19"/>
      <c r="H44" s="18"/>
    </row>
    <row r="45" spans="1:8">
      <c r="A45" s="18"/>
      <c r="B45" s="18"/>
      <c r="C45" s="18"/>
      <c r="D45" s="18"/>
      <c r="E45" s="18"/>
      <c r="F45" s="18"/>
      <c r="G45" s="19"/>
      <c r="H45" s="18"/>
    </row>
    <row r="46" spans="1:8">
      <c r="A46" s="18"/>
      <c r="B46" s="18"/>
      <c r="C46" s="18"/>
      <c r="D46" s="18"/>
      <c r="E46" s="18"/>
      <c r="F46" s="18"/>
      <c r="G46" s="19"/>
      <c r="H46" s="18"/>
    </row>
    <row r="47" spans="1:8">
      <c r="A47" s="18"/>
      <c r="B47" s="18"/>
      <c r="C47" s="18"/>
      <c r="D47" s="18"/>
      <c r="E47" s="18"/>
      <c r="F47" s="18"/>
      <c r="G47" s="19"/>
      <c r="H47" s="18"/>
    </row>
    <row r="48" spans="1:8">
      <c r="A48" s="18"/>
      <c r="B48" s="18"/>
      <c r="C48" s="18"/>
      <c r="D48" s="18"/>
      <c r="E48" s="18"/>
      <c r="F48" s="18"/>
      <c r="G48" s="19"/>
      <c r="H48" s="18"/>
    </row>
    <row r="49" spans="1:8">
      <c r="A49" s="18"/>
      <c r="B49" s="18"/>
      <c r="C49" s="18"/>
      <c r="D49" s="18"/>
      <c r="E49" s="18"/>
      <c r="F49" s="18"/>
      <c r="G49" s="19"/>
      <c r="H49" s="18"/>
    </row>
    <row r="50" spans="1:8">
      <c r="A50" s="18"/>
      <c r="B50" s="18"/>
      <c r="C50" s="18"/>
      <c r="D50" s="18"/>
      <c r="E50" s="18"/>
      <c r="F50" s="18"/>
      <c r="G50" s="19"/>
      <c r="H50" s="18"/>
    </row>
    <row r="51" spans="1:8">
      <c r="A51" s="18"/>
      <c r="B51" s="18"/>
      <c r="C51" s="18"/>
      <c r="D51" s="18"/>
      <c r="E51" s="18"/>
      <c r="F51" s="18"/>
      <c r="G51" s="19"/>
      <c r="H51" s="18"/>
    </row>
    <row r="52" spans="1:8">
      <c r="A52" s="18"/>
      <c r="B52" s="18"/>
      <c r="C52" s="18"/>
      <c r="D52" s="18"/>
      <c r="E52" s="18"/>
      <c r="F52" s="18"/>
      <c r="G52" s="19"/>
      <c r="H52" s="18"/>
    </row>
    <row r="53" spans="1:8">
      <c r="A53" s="18"/>
      <c r="B53" s="18"/>
      <c r="C53" s="18"/>
      <c r="D53" s="18"/>
      <c r="E53" s="18"/>
      <c r="F53" s="18"/>
      <c r="G53" s="19"/>
      <c r="H53" s="18"/>
    </row>
    <row r="54" spans="1:8">
      <c r="A54" s="18"/>
      <c r="B54" s="18"/>
      <c r="C54" s="18"/>
      <c r="D54" s="18"/>
      <c r="E54" s="18"/>
      <c r="F54" s="18"/>
      <c r="G54" s="19"/>
      <c r="H54" s="18"/>
    </row>
    <row r="55" spans="1:8">
      <c r="A55" s="18"/>
      <c r="B55" s="18"/>
      <c r="C55" s="18"/>
      <c r="D55" s="18"/>
      <c r="E55" s="18"/>
      <c r="F55" s="18"/>
      <c r="G55" s="19"/>
      <c r="H55" s="18"/>
    </row>
    <row r="56" spans="1:8">
      <c r="A56" s="18"/>
      <c r="B56" s="18"/>
      <c r="C56" s="18"/>
      <c r="D56" s="18"/>
      <c r="E56" s="18"/>
      <c r="F56" s="18"/>
      <c r="G56" s="19"/>
      <c r="H56" s="18"/>
    </row>
    <row r="57" spans="1:8">
      <c r="A57" s="18"/>
      <c r="B57" s="18"/>
      <c r="C57" s="18"/>
      <c r="D57" s="18"/>
      <c r="E57" s="18"/>
      <c r="F57" s="18"/>
      <c r="G57" s="19"/>
      <c r="H57" s="18"/>
    </row>
    <row r="58" spans="1:8">
      <c r="A58" s="18"/>
      <c r="B58" s="18"/>
      <c r="C58" s="18"/>
      <c r="D58" s="18"/>
      <c r="E58" s="18"/>
      <c r="F58" s="18"/>
      <c r="G58" s="19"/>
      <c r="H58" s="18"/>
    </row>
    <row r="59" spans="1:8">
      <c r="A59" s="18"/>
      <c r="B59" s="18"/>
      <c r="C59" s="18"/>
      <c r="D59" s="18"/>
      <c r="E59" s="18"/>
      <c r="F59" s="18"/>
      <c r="G59" s="19"/>
      <c r="H59" s="18"/>
    </row>
    <row r="60" spans="1:8">
      <c r="A60" s="18"/>
      <c r="B60" s="18"/>
      <c r="C60" s="18"/>
      <c r="D60" s="18"/>
      <c r="E60" s="18"/>
      <c r="F60" s="18"/>
      <c r="G60" s="19"/>
      <c r="H60" s="18"/>
    </row>
    <row r="61" spans="1:8">
      <c r="A61" s="18"/>
      <c r="B61" s="18"/>
      <c r="C61" s="18"/>
      <c r="D61" s="18"/>
      <c r="E61" s="18"/>
      <c r="F61" s="18"/>
      <c r="G61" s="19"/>
      <c r="H61" s="18"/>
    </row>
    <row r="62" spans="1:8">
      <c r="A62" s="18"/>
      <c r="B62" s="18"/>
      <c r="C62" s="18"/>
      <c r="D62" s="18"/>
      <c r="E62" s="18"/>
      <c r="F62" s="18"/>
      <c r="G62" s="19"/>
      <c r="H62" s="18"/>
    </row>
    <row r="63" spans="1:8">
      <c r="A63" s="18"/>
      <c r="B63" s="18"/>
      <c r="C63" s="18"/>
      <c r="D63" s="18"/>
      <c r="E63" s="18"/>
      <c r="F63" s="18"/>
      <c r="G63" s="19"/>
      <c r="H63" s="18"/>
    </row>
    <row r="64" spans="1:8">
      <c r="A64" s="18"/>
      <c r="B64" s="18"/>
      <c r="C64" s="18"/>
      <c r="D64" s="18"/>
      <c r="E64" s="18"/>
      <c r="F64" s="18"/>
      <c r="G64" s="19"/>
      <c r="H64" s="18"/>
    </row>
    <row r="65" spans="1:8">
      <c r="A65" s="18"/>
      <c r="B65" s="18"/>
      <c r="C65" s="18"/>
      <c r="D65" s="18"/>
      <c r="E65" s="18"/>
      <c r="F65" s="18"/>
      <c r="G65" s="19"/>
      <c r="H65" s="18"/>
    </row>
    <row r="66" spans="1:8">
      <c r="A66" s="18"/>
      <c r="B66" s="18"/>
      <c r="C66" s="18"/>
      <c r="D66" s="18"/>
      <c r="E66" s="18"/>
      <c r="F66" s="18"/>
      <c r="G66" s="19"/>
      <c r="H66" s="18"/>
    </row>
    <row r="67" spans="1:8">
      <c r="A67" s="18"/>
      <c r="B67" s="18"/>
      <c r="C67" s="18"/>
      <c r="D67" s="18"/>
      <c r="E67" s="18"/>
      <c r="F67" s="18"/>
      <c r="G67" s="19"/>
      <c r="H67" s="18"/>
    </row>
    <row r="68" spans="1:8">
      <c r="A68" s="18"/>
      <c r="B68" s="18"/>
      <c r="C68" s="18"/>
      <c r="D68" s="18"/>
      <c r="E68" s="18"/>
      <c r="F68" s="18"/>
      <c r="G68" s="19"/>
      <c r="H68" s="18"/>
    </row>
    <row r="69" spans="1:8">
      <c r="A69" s="18"/>
      <c r="B69" s="18"/>
      <c r="C69" s="18"/>
      <c r="D69" s="18"/>
      <c r="E69" s="18"/>
      <c r="F69" s="18"/>
      <c r="G69" s="19"/>
      <c r="H69" s="18"/>
    </row>
    <row r="70" spans="1:8">
      <c r="A70" s="18"/>
      <c r="B70" s="18"/>
      <c r="C70" s="18"/>
      <c r="D70" s="18"/>
      <c r="E70" s="18"/>
      <c r="F70" s="18"/>
      <c r="G70" s="19"/>
      <c r="H70" s="18"/>
    </row>
    <row r="71" spans="1:8">
      <c r="A71" s="18"/>
      <c r="B71" s="18"/>
      <c r="C71" s="18"/>
      <c r="D71" s="18"/>
      <c r="E71" s="18"/>
      <c r="F71" s="18"/>
      <c r="G71" s="19"/>
      <c r="H71" s="18"/>
    </row>
    <row r="72" spans="1:8">
      <c r="A72" s="18"/>
      <c r="B72" s="18"/>
      <c r="C72" s="18"/>
      <c r="D72" s="18"/>
      <c r="E72" s="18"/>
      <c r="F72" s="18"/>
      <c r="G72" s="19"/>
      <c r="H72" s="18"/>
    </row>
    <row r="73" spans="1:8">
      <c r="A73" s="18"/>
      <c r="B73" s="18"/>
      <c r="C73" s="18"/>
      <c r="D73" s="18"/>
      <c r="E73" s="18"/>
      <c r="F73" s="18"/>
      <c r="G73" s="19"/>
      <c r="H73" s="18"/>
    </row>
    <row r="74" spans="1:8">
      <c r="A74" s="18"/>
      <c r="B74" s="18"/>
      <c r="C74" s="18"/>
      <c r="D74" s="18"/>
      <c r="E74" s="18"/>
      <c r="F74" s="18"/>
      <c r="G74" s="19"/>
      <c r="H74" s="18"/>
    </row>
    <row r="75" spans="1:8">
      <c r="A75" s="18"/>
      <c r="B75" s="18"/>
      <c r="C75" s="18"/>
      <c r="D75" s="18"/>
      <c r="E75" s="18"/>
      <c r="F75" s="18"/>
      <c r="G75" s="19"/>
      <c r="H75" s="18"/>
    </row>
    <row r="76" spans="1:8">
      <c r="A76" s="18"/>
      <c r="B76" s="18"/>
      <c r="C76" s="18"/>
      <c r="D76" s="18"/>
      <c r="E76" s="18"/>
      <c r="F76" s="18"/>
      <c r="G76" s="19"/>
      <c r="H76" s="18"/>
    </row>
    <row r="77" spans="1:8">
      <c r="A77" s="18"/>
      <c r="B77" s="18"/>
      <c r="C77" s="18"/>
      <c r="D77" s="18"/>
      <c r="E77" s="18"/>
      <c r="F77" s="18"/>
      <c r="G77" s="19"/>
      <c r="H77" s="18"/>
    </row>
    <row r="78" spans="1:8">
      <c r="A78" s="18"/>
      <c r="B78" s="18"/>
      <c r="C78" s="18"/>
      <c r="D78" s="18"/>
      <c r="E78" s="18"/>
      <c r="F78" s="18"/>
      <c r="G78" s="19"/>
      <c r="H78" s="18"/>
    </row>
    <row r="79" spans="1:8">
      <c r="A79" s="18"/>
      <c r="B79" s="18"/>
      <c r="C79" s="18"/>
      <c r="D79" s="18"/>
      <c r="E79" s="18"/>
      <c r="F79" s="18"/>
      <c r="G79" s="19"/>
      <c r="H79" s="18"/>
    </row>
    <row r="80" spans="1:8">
      <c r="A80" s="18"/>
      <c r="B80" s="18"/>
      <c r="C80" s="18"/>
      <c r="D80" s="18"/>
      <c r="E80" s="18"/>
      <c r="F80" s="18"/>
      <c r="G80" s="19"/>
      <c r="H80" s="18"/>
    </row>
    <row r="81" spans="1:8">
      <c r="A81" s="18"/>
      <c r="B81" s="18"/>
      <c r="C81" s="18"/>
      <c r="D81" s="18"/>
      <c r="E81" s="18"/>
      <c r="F81" s="18"/>
      <c r="G81" s="19"/>
      <c r="H81" s="18"/>
    </row>
    <row r="82" spans="1:8">
      <c r="A82" s="18"/>
      <c r="B82" s="18"/>
      <c r="C82" s="18"/>
      <c r="D82" s="18"/>
      <c r="E82" s="18"/>
      <c r="F82" s="18"/>
      <c r="G82" s="19"/>
      <c r="H82" s="18"/>
    </row>
    <row r="83" spans="1:8">
      <c r="A83" s="18"/>
      <c r="B83" s="18"/>
      <c r="C83" s="18"/>
      <c r="D83" s="18"/>
      <c r="E83" s="18"/>
      <c r="F83" s="18"/>
      <c r="G83" s="19"/>
      <c r="H83" s="18"/>
    </row>
    <row r="84" spans="1:8">
      <c r="A84" s="18"/>
      <c r="B84" s="18"/>
      <c r="C84" s="18"/>
      <c r="D84" s="18"/>
      <c r="E84" s="18"/>
      <c r="F84" s="18"/>
      <c r="G84" s="19"/>
      <c r="H84" s="18"/>
    </row>
    <row r="85" spans="1:8">
      <c r="A85" s="18"/>
      <c r="B85" s="18"/>
      <c r="C85" s="18"/>
      <c r="D85" s="18"/>
      <c r="E85" s="18"/>
      <c r="F85" s="18"/>
      <c r="G85" s="19"/>
      <c r="H85" s="18"/>
    </row>
    <row r="86" spans="1:8">
      <c r="A86" s="18"/>
      <c r="B86" s="18"/>
      <c r="C86" s="18"/>
      <c r="D86" s="18"/>
      <c r="E86" s="18"/>
      <c r="F86" s="18"/>
      <c r="G86" s="19"/>
      <c r="H86" s="18"/>
    </row>
    <row r="87" spans="1:8">
      <c r="A87" s="18"/>
      <c r="B87" s="18"/>
      <c r="C87" s="18"/>
      <c r="D87" s="18"/>
      <c r="E87" s="18"/>
      <c r="F87" s="18"/>
      <c r="G87" s="19"/>
      <c r="H87" s="18"/>
    </row>
    <row r="88" spans="1:8">
      <c r="A88" s="18"/>
      <c r="B88" s="18"/>
      <c r="C88" s="18"/>
      <c r="D88" s="18"/>
      <c r="E88" s="18"/>
      <c r="F88" s="18"/>
      <c r="G88" s="19"/>
      <c r="H88" s="18"/>
    </row>
    <row r="89" spans="1:8">
      <c r="A89" s="18"/>
      <c r="B89" s="18"/>
      <c r="C89" s="18"/>
      <c r="D89" s="18"/>
      <c r="E89" s="18"/>
      <c r="F89" s="18"/>
      <c r="G89" s="19"/>
      <c r="H89" s="18"/>
    </row>
    <row r="90" spans="1:8">
      <c r="A90" s="18"/>
      <c r="B90" s="18"/>
      <c r="C90" s="18"/>
      <c r="D90" s="18"/>
      <c r="E90" s="18"/>
      <c r="F90" s="18"/>
      <c r="G90" s="19"/>
      <c r="H90" s="18"/>
    </row>
    <row r="91" spans="1:8">
      <c r="A91" s="18"/>
      <c r="B91" s="18"/>
      <c r="C91" s="18"/>
      <c r="D91" s="18"/>
      <c r="E91" s="18"/>
      <c r="F91" s="18"/>
      <c r="G91" s="19"/>
      <c r="H91" s="18"/>
    </row>
    <row r="92" spans="1:8">
      <c r="A92" s="18"/>
      <c r="B92" s="18"/>
      <c r="C92" s="18"/>
      <c r="D92" s="18"/>
      <c r="E92" s="18"/>
      <c r="F92" s="18"/>
      <c r="G92" s="19"/>
      <c r="H92" s="18"/>
    </row>
    <row r="93" spans="1:8">
      <c r="A93" s="18"/>
      <c r="B93" s="18"/>
      <c r="C93" s="18"/>
      <c r="D93" s="18"/>
      <c r="E93" s="18"/>
      <c r="F93" s="18"/>
      <c r="G93" s="19"/>
      <c r="H93" s="18"/>
    </row>
    <row r="94" spans="1:8">
      <c r="A94" s="18"/>
      <c r="B94" s="18"/>
      <c r="C94" s="18"/>
      <c r="D94" s="18"/>
      <c r="E94" s="18"/>
      <c r="F94" s="18"/>
      <c r="G94" s="19"/>
      <c r="H94" s="18"/>
    </row>
    <row r="95" spans="1:8">
      <c r="A95" s="18"/>
      <c r="B95" s="18"/>
      <c r="C95" s="18"/>
      <c r="D95" s="18"/>
      <c r="E95" s="18"/>
      <c r="F95" s="18"/>
      <c r="G95" s="19"/>
      <c r="H95" s="18"/>
    </row>
    <row r="96" spans="1:8">
      <c r="A96" s="18"/>
      <c r="B96" s="18"/>
      <c r="C96" s="18"/>
      <c r="D96" s="18"/>
      <c r="E96" s="18"/>
      <c r="F96" s="18"/>
      <c r="G96" s="19"/>
      <c r="H96" s="18"/>
    </row>
    <row r="97" spans="1:8">
      <c r="A97" s="18"/>
      <c r="B97" s="18"/>
      <c r="C97" s="18"/>
      <c r="D97" s="18"/>
      <c r="E97" s="18"/>
      <c r="F97" s="18"/>
      <c r="G97" s="19"/>
      <c r="H97" s="18"/>
    </row>
    <row r="98" spans="1:8">
      <c r="A98" s="18"/>
      <c r="B98" s="18"/>
      <c r="C98" s="18"/>
      <c r="D98" s="18"/>
      <c r="E98" s="18"/>
      <c r="F98" s="18"/>
      <c r="G98" s="19"/>
      <c r="H98" s="18"/>
    </row>
    <row r="99" spans="1:8">
      <c r="A99" s="18"/>
      <c r="B99" s="18"/>
      <c r="C99" s="18"/>
      <c r="D99" s="18"/>
      <c r="E99" s="18"/>
      <c r="F99" s="18"/>
      <c r="G99" s="19"/>
      <c r="H99" s="18"/>
    </row>
    <row r="100" spans="1:8">
      <c r="A100" s="18"/>
      <c r="B100" s="18"/>
      <c r="C100" s="18"/>
      <c r="D100" s="18"/>
      <c r="E100" s="18"/>
      <c r="F100" s="18"/>
      <c r="G100" s="19"/>
      <c r="H100" s="18"/>
    </row>
    <row r="101" spans="1:8">
      <c r="A101" s="18"/>
      <c r="B101" s="18"/>
      <c r="C101" s="18"/>
      <c r="D101" s="18"/>
      <c r="E101" s="18"/>
      <c r="F101" s="18"/>
      <c r="G101" s="19"/>
      <c r="H101" s="18"/>
    </row>
    <row r="102" spans="1:8">
      <c r="A102" s="18"/>
      <c r="B102" s="18"/>
      <c r="C102" s="18"/>
      <c r="D102" s="18"/>
      <c r="E102" s="18"/>
      <c r="F102" s="18"/>
      <c r="G102" s="19"/>
      <c r="H102" s="18"/>
    </row>
    <row r="103" spans="1:8">
      <c r="A103" s="18"/>
      <c r="B103" s="18"/>
      <c r="C103" s="18"/>
      <c r="D103" s="18"/>
      <c r="E103" s="18"/>
      <c r="F103" s="18"/>
      <c r="G103" s="19"/>
      <c r="H103" s="18"/>
    </row>
    <row r="104" spans="1:8">
      <c r="A104" s="18"/>
      <c r="B104" s="18"/>
      <c r="C104" s="18"/>
      <c r="D104" s="18"/>
      <c r="E104" s="18"/>
      <c r="F104" s="18"/>
      <c r="G104" s="19"/>
      <c r="H104" s="18"/>
    </row>
    <row r="105" spans="1:8">
      <c r="A105" s="18"/>
      <c r="B105" s="18"/>
      <c r="C105" s="18"/>
      <c r="D105" s="18"/>
      <c r="E105" s="18"/>
      <c r="F105" s="18"/>
      <c r="G105" s="19"/>
      <c r="H105" s="18"/>
    </row>
    <row r="106" spans="1:8">
      <c r="A106" s="18"/>
      <c r="B106" s="18"/>
      <c r="C106" s="18"/>
      <c r="D106" s="18"/>
      <c r="E106" s="18"/>
      <c r="F106" s="18"/>
      <c r="G106" s="19"/>
      <c r="H106" s="18"/>
    </row>
    <row r="107" spans="1:8">
      <c r="A107" s="18"/>
      <c r="B107" s="18"/>
      <c r="C107" s="18"/>
      <c r="D107" s="18"/>
      <c r="E107" s="18"/>
      <c r="F107" s="18"/>
      <c r="G107" s="19"/>
      <c r="H107" s="18"/>
    </row>
    <row r="108" spans="1:8">
      <c r="A108" s="18"/>
      <c r="B108" s="18"/>
      <c r="C108" s="18"/>
      <c r="D108" s="18"/>
      <c r="E108" s="18"/>
      <c r="F108" s="18"/>
      <c r="G108" s="19"/>
      <c r="H108" s="18"/>
    </row>
    <row r="109" spans="1:8">
      <c r="A109" s="18"/>
      <c r="B109" s="18"/>
      <c r="C109" s="18"/>
      <c r="D109" s="18"/>
      <c r="E109" s="18"/>
      <c r="F109" s="18"/>
      <c r="G109" s="19"/>
      <c r="H109" s="18"/>
    </row>
    <row r="110" spans="1:8">
      <c r="A110" s="18"/>
      <c r="B110" s="18"/>
      <c r="C110" s="18"/>
      <c r="D110" s="18"/>
      <c r="E110" s="18"/>
      <c r="F110" s="18"/>
      <c r="G110" s="19"/>
      <c r="H110" s="18"/>
    </row>
    <row r="111" spans="1:8">
      <c r="G111" s="21"/>
    </row>
    <row r="112" spans="1:8">
      <c r="G112" s="21"/>
    </row>
    <row r="113" spans="7:7">
      <c r="G113" s="21"/>
    </row>
    <row r="114" spans="7:7">
      <c r="G114" s="21"/>
    </row>
    <row r="115" spans="7:7">
      <c r="G115" s="21"/>
    </row>
    <row r="116" spans="7:7">
      <c r="G116" s="21"/>
    </row>
    <row r="117" spans="7:7">
      <c r="G117" s="21"/>
    </row>
    <row r="118" spans="7:7">
      <c r="G118" s="21"/>
    </row>
    <row r="119" spans="7:7">
      <c r="G119" s="21"/>
    </row>
    <row r="120" spans="7:7">
      <c r="G120" s="21"/>
    </row>
    <row r="121" spans="7:7">
      <c r="G121" s="21"/>
    </row>
    <row r="122" spans="7:7">
      <c r="G122" s="21"/>
    </row>
    <row r="123" spans="7:7">
      <c r="G123" s="21"/>
    </row>
    <row r="124" spans="7:7">
      <c r="G124" s="21"/>
    </row>
    <row r="125" spans="7:7">
      <c r="G125" s="21"/>
    </row>
    <row r="126" spans="7:7">
      <c r="G126" s="21"/>
    </row>
    <row r="127" spans="7:7">
      <c r="G127" s="21"/>
    </row>
    <row r="128" spans="7:7">
      <c r="G128" s="21"/>
    </row>
    <row r="129" spans="7:7">
      <c r="G129" s="21"/>
    </row>
  </sheetData>
  <mergeCells count="18">
    <mergeCell ref="AH1:AS1"/>
    <mergeCell ref="A3:A4"/>
    <mergeCell ref="B3:B4"/>
    <mergeCell ref="C3:C4"/>
    <mergeCell ref="D3:H3"/>
    <mergeCell ref="I3:I4"/>
    <mergeCell ref="J3:L3"/>
    <mergeCell ref="M3:M4"/>
    <mergeCell ref="N3:N4"/>
    <mergeCell ref="O3:O4"/>
    <mergeCell ref="AT3:AT4"/>
    <mergeCell ref="AU3:AU4"/>
    <mergeCell ref="P3:P4"/>
    <mergeCell ref="Q3:Q4"/>
    <mergeCell ref="R3:R4"/>
    <mergeCell ref="S3:AE3"/>
    <mergeCell ref="AJ3:AJ4"/>
    <mergeCell ref="AL3:AP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0A94C-2362-4387-839D-2E316AB66040}">
  <sheetPr codeName="Sheet3"/>
  <dimension ref="A1:AU131"/>
  <sheetViews>
    <sheetView workbookViewId="0">
      <pane xSplit="1" ySplit="6" topLeftCell="AC46" activePane="bottomRight" state="frozen"/>
      <selection pane="bottomRight" activeCell="AI53" sqref="AI53"/>
      <selection pane="bottomLeft"/>
      <selection pane="topRight"/>
    </sheetView>
  </sheetViews>
  <sheetFormatPr defaultColWidth="11" defaultRowHeight="12.75"/>
  <cols>
    <col min="1" max="2" width="11" style="20"/>
    <col min="3" max="3" width="33.625" style="20" bestFit="1" customWidth="1"/>
    <col min="4" max="4" width="11" style="20"/>
    <col min="5" max="6" width="9" style="20"/>
    <col min="7" max="7" width="17.25" style="20" bestFit="1" customWidth="1"/>
    <col min="8" max="10" width="9" style="20"/>
    <col min="11" max="11" width="10.125" style="20" customWidth="1"/>
    <col min="12" max="12" width="9" style="20"/>
    <col min="13" max="15" width="13.375" style="20" customWidth="1"/>
    <col min="16" max="16" width="70.25" style="20" bestFit="1" customWidth="1"/>
    <col min="17" max="17" width="10.125" style="20" customWidth="1"/>
    <col min="18" max="18" width="20.375" style="20" customWidth="1"/>
    <col min="19" max="22" width="5.5" style="20" customWidth="1"/>
    <col min="23" max="23" width="10.125" style="20" bestFit="1" customWidth="1"/>
    <col min="24" max="28" width="5.5" style="20" customWidth="1"/>
    <col min="29" max="29" width="6.25" style="20" bestFit="1" customWidth="1"/>
    <col min="30" max="30" width="8.625" style="20" bestFit="1" customWidth="1"/>
    <col min="31" max="31" width="12.375" style="20" bestFit="1" customWidth="1"/>
    <col min="32" max="32" width="10.125" style="20" customWidth="1"/>
    <col min="33" max="33" width="20.375" style="20" customWidth="1"/>
    <col min="34" max="34" width="10.125" style="20" customWidth="1"/>
    <col min="35" max="35" width="14.25" style="20" customWidth="1"/>
    <col min="36" max="36" width="13.375" style="20" customWidth="1"/>
    <col min="37" max="37" width="14.25" style="20" customWidth="1"/>
    <col min="38" max="42" width="9.625" style="20" customWidth="1"/>
    <col min="43" max="43" width="9" style="20"/>
    <col min="44" max="44" width="13" style="20" bestFit="1" customWidth="1"/>
    <col min="45" max="45" width="9" style="20"/>
    <col min="46" max="46" width="9" style="118"/>
    <col min="47" max="47" width="15.75" style="118" bestFit="1" customWidth="1"/>
    <col min="48" max="16384" width="11" style="20"/>
  </cols>
  <sheetData>
    <row r="1" spans="1:47" s="22" customFormat="1" ht="21">
      <c r="A1" s="85"/>
      <c r="B1" s="86" t="s">
        <v>0</v>
      </c>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92" t="s">
        <v>1</v>
      </c>
      <c r="AI1" s="92"/>
      <c r="AJ1" s="92"/>
      <c r="AK1" s="92"/>
      <c r="AL1" s="92"/>
      <c r="AM1" s="92"/>
      <c r="AN1" s="92"/>
      <c r="AO1" s="92"/>
      <c r="AP1" s="92"/>
      <c r="AQ1" s="92"/>
      <c r="AR1" s="92"/>
      <c r="AS1" s="92"/>
      <c r="AT1" s="120"/>
      <c r="AU1" s="120"/>
    </row>
    <row r="2" spans="1:47" s="22" customFormat="1" ht="21">
      <c r="A2" s="86" t="s">
        <v>221</v>
      </c>
      <c r="B2" s="86" t="s">
        <v>222</v>
      </c>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27"/>
      <c r="AI2" s="27"/>
      <c r="AJ2" s="27"/>
      <c r="AK2" s="27"/>
      <c r="AL2" s="27"/>
      <c r="AM2" s="27"/>
      <c r="AN2" s="27"/>
      <c r="AO2" s="27"/>
      <c r="AP2" s="27"/>
      <c r="AQ2" s="27"/>
      <c r="AR2" s="27"/>
      <c r="AS2" s="27"/>
      <c r="AT2" s="120"/>
      <c r="AU2" s="120"/>
    </row>
    <row r="3" spans="1:47" s="22" customFormat="1" ht="21">
      <c r="A3" s="86"/>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27"/>
      <c r="AI3" s="27"/>
      <c r="AJ3" s="27"/>
      <c r="AK3" s="27"/>
      <c r="AL3" s="27"/>
      <c r="AM3" s="27"/>
      <c r="AN3" s="27"/>
      <c r="AO3" s="27"/>
      <c r="AP3" s="27"/>
      <c r="AQ3" s="27"/>
      <c r="AR3" s="27"/>
      <c r="AS3" s="27"/>
      <c r="AT3" s="120"/>
      <c r="AU3" s="120"/>
    </row>
    <row r="5" spans="1:47" s="22" customFormat="1" ht="21.75" customHeight="1">
      <c r="A5" s="97" t="s">
        <v>5</v>
      </c>
      <c r="B5" s="99" t="s">
        <v>6</v>
      </c>
      <c r="C5" s="99" t="s">
        <v>7</v>
      </c>
      <c r="D5" s="108" t="s">
        <v>8</v>
      </c>
      <c r="E5" s="109"/>
      <c r="F5" s="109"/>
      <c r="G5" s="109"/>
      <c r="H5" s="110"/>
      <c r="I5" s="103" t="s">
        <v>9</v>
      </c>
      <c r="J5" s="103" t="s">
        <v>10</v>
      </c>
      <c r="K5" s="103"/>
      <c r="L5" s="104"/>
      <c r="M5" s="115" t="s">
        <v>11</v>
      </c>
      <c r="N5" s="115" t="s">
        <v>12</v>
      </c>
      <c r="O5" s="111" t="s">
        <v>13</v>
      </c>
      <c r="P5" s="93" t="s">
        <v>14</v>
      </c>
      <c r="Q5" s="93" t="s">
        <v>15</v>
      </c>
      <c r="R5" s="93" t="s">
        <v>16</v>
      </c>
      <c r="S5" s="93" t="s">
        <v>17</v>
      </c>
      <c r="T5" s="93"/>
      <c r="U5" s="93"/>
      <c r="V5" s="93"/>
      <c r="W5" s="93"/>
      <c r="X5" s="93"/>
      <c r="Y5" s="93"/>
      <c r="Z5" s="93"/>
      <c r="AA5" s="93"/>
      <c r="AB5" s="93"/>
      <c r="AC5" s="93"/>
      <c r="AD5" s="93"/>
      <c r="AE5" s="93"/>
      <c r="AF5" s="9"/>
      <c r="AG5" s="9"/>
      <c r="AH5" s="23"/>
      <c r="AI5" s="7"/>
      <c r="AJ5" s="113" t="s">
        <v>18</v>
      </c>
      <c r="AK5" s="7"/>
      <c r="AL5" s="107" t="s">
        <v>19</v>
      </c>
      <c r="AM5" s="107"/>
      <c r="AN5" s="107"/>
      <c r="AO5" s="107"/>
      <c r="AP5" s="107"/>
      <c r="AQ5" s="7"/>
      <c r="AR5" s="7"/>
      <c r="AS5" s="24"/>
      <c r="AT5" s="101" t="s">
        <v>20</v>
      </c>
      <c r="AU5" s="94" t="s">
        <v>21</v>
      </c>
    </row>
    <row r="6" spans="1:47" s="22" customFormat="1" ht="31.5" customHeight="1">
      <c r="A6" s="98"/>
      <c r="B6" s="100"/>
      <c r="C6" s="100"/>
      <c r="D6" s="15" t="s">
        <v>22</v>
      </c>
      <c r="E6" s="33" t="s">
        <v>23</v>
      </c>
      <c r="F6" s="16" t="s">
        <v>24</v>
      </c>
      <c r="G6" s="16" t="s">
        <v>25</v>
      </c>
      <c r="H6" s="17" t="s">
        <v>26</v>
      </c>
      <c r="I6" s="106"/>
      <c r="J6" s="5" t="s">
        <v>27</v>
      </c>
      <c r="K6" s="6" t="s">
        <v>28</v>
      </c>
      <c r="L6" s="8" t="s">
        <v>29</v>
      </c>
      <c r="M6" s="116"/>
      <c r="N6" s="116"/>
      <c r="O6" s="112"/>
      <c r="P6" s="105"/>
      <c r="Q6" s="105"/>
      <c r="R6" s="105"/>
      <c r="S6" s="4" t="s">
        <v>30</v>
      </c>
      <c r="T6" s="4" t="s">
        <v>31</v>
      </c>
      <c r="U6" s="4" t="s">
        <v>32</v>
      </c>
      <c r="V6" s="4" t="s">
        <v>33</v>
      </c>
      <c r="W6" s="4" t="s">
        <v>34</v>
      </c>
      <c r="X6" s="4" t="s">
        <v>35</v>
      </c>
      <c r="Y6" s="4" t="s">
        <v>36</v>
      </c>
      <c r="Z6" s="4" t="s">
        <v>37</v>
      </c>
      <c r="AA6" s="4" t="s">
        <v>38</v>
      </c>
      <c r="AB6" s="4" t="s">
        <v>39</v>
      </c>
      <c r="AC6" s="4" t="s">
        <v>40</v>
      </c>
      <c r="AD6" s="4" t="s">
        <v>41</v>
      </c>
      <c r="AE6" s="4" t="s">
        <v>42</v>
      </c>
      <c r="AF6" s="4" t="s">
        <v>43</v>
      </c>
      <c r="AG6" s="4" t="s">
        <v>7</v>
      </c>
      <c r="AH6" s="25" t="s">
        <v>44</v>
      </c>
      <c r="AI6" s="2" t="s">
        <v>45</v>
      </c>
      <c r="AJ6" s="114"/>
      <c r="AK6" s="2" t="s">
        <v>7</v>
      </c>
      <c r="AL6" s="3" t="s">
        <v>46</v>
      </c>
      <c r="AM6" s="3" t="s">
        <v>46</v>
      </c>
      <c r="AN6" s="3" t="s">
        <v>47</v>
      </c>
      <c r="AO6" s="3" t="s">
        <v>47</v>
      </c>
      <c r="AP6" s="3" t="s">
        <v>40</v>
      </c>
      <c r="AQ6" s="3" t="s">
        <v>48</v>
      </c>
      <c r="AR6" s="3" t="s">
        <v>49</v>
      </c>
      <c r="AS6" s="26" t="s">
        <v>7</v>
      </c>
      <c r="AT6" s="102"/>
      <c r="AU6" s="95"/>
    </row>
    <row r="7" spans="1:47">
      <c r="A7" s="89" t="s">
        <v>223</v>
      </c>
      <c r="B7" s="18">
        <v>4507689627</v>
      </c>
      <c r="C7" s="18" t="s">
        <v>224</v>
      </c>
      <c r="D7" s="18" t="s">
        <v>225</v>
      </c>
      <c r="E7" s="34">
        <v>0.7</v>
      </c>
      <c r="F7" s="18" t="s">
        <v>54</v>
      </c>
      <c r="G7" s="19">
        <v>17155</v>
      </c>
      <c r="H7" s="18" t="s">
        <v>55</v>
      </c>
      <c r="I7" s="20" t="s">
        <v>40</v>
      </c>
      <c r="L7" s="20" t="s">
        <v>56</v>
      </c>
      <c r="M7" s="20" t="s">
        <v>57</v>
      </c>
      <c r="N7" s="20" t="s">
        <v>57</v>
      </c>
      <c r="O7" s="20" t="s">
        <v>57</v>
      </c>
      <c r="R7" s="20" t="s">
        <v>226</v>
      </c>
      <c r="AU7" s="121"/>
    </row>
    <row r="8" spans="1:47">
      <c r="A8" s="89" t="s">
        <v>227</v>
      </c>
      <c r="B8" s="18">
        <v>4581350247</v>
      </c>
      <c r="C8" s="18" t="s">
        <v>228</v>
      </c>
      <c r="D8" s="18" t="s">
        <v>225</v>
      </c>
      <c r="E8" s="34">
        <v>0.2</v>
      </c>
      <c r="F8" s="18" t="s">
        <v>54</v>
      </c>
      <c r="G8" s="19">
        <v>19862</v>
      </c>
      <c r="H8" s="18" t="s">
        <v>47</v>
      </c>
      <c r="I8" s="20" t="s">
        <v>40</v>
      </c>
      <c r="J8" s="20" t="s">
        <v>56</v>
      </c>
      <c r="M8" s="20" t="s">
        <v>57</v>
      </c>
      <c r="N8" s="20" t="s">
        <v>57</v>
      </c>
      <c r="O8" s="20" t="s">
        <v>57</v>
      </c>
      <c r="R8" s="20" t="s">
        <v>226</v>
      </c>
      <c r="AU8" s="121"/>
    </row>
    <row r="9" spans="1:47">
      <c r="A9" s="89" t="s">
        <v>229</v>
      </c>
      <c r="B9" s="18">
        <v>4982321809</v>
      </c>
      <c r="C9" s="18" t="s">
        <v>88</v>
      </c>
      <c r="D9" s="18" t="s">
        <v>225</v>
      </c>
      <c r="E9" s="34">
        <v>0.3</v>
      </c>
      <c r="F9" s="18" t="s">
        <v>54</v>
      </c>
      <c r="G9" s="19">
        <v>17051</v>
      </c>
      <c r="H9" s="18" t="s">
        <v>47</v>
      </c>
      <c r="I9" s="20" t="s">
        <v>40</v>
      </c>
      <c r="L9" s="20" t="s">
        <v>56</v>
      </c>
      <c r="M9" s="20" t="s">
        <v>57</v>
      </c>
      <c r="N9" s="20" t="s">
        <v>57</v>
      </c>
      <c r="O9" s="20" t="s">
        <v>57</v>
      </c>
      <c r="R9" s="20" t="s">
        <v>226</v>
      </c>
      <c r="AU9" s="121"/>
    </row>
    <row r="10" spans="1:47">
      <c r="A10" s="89" t="s">
        <v>230</v>
      </c>
      <c r="B10" s="18">
        <v>4581502551</v>
      </c>
      <c r="C10" s="18" t="s">
        <v>231</v>
      </c>
      <c r="D10" s="18" t="s">
        <v>225</v>
      </c>
      <c r="E10" s="34">
        <v>0.4</v>
      </c>
      <c r="F10" s="18" t="s">
        <v>54</v>
      </c>
      <c r="G10" s="19">
        <v>19445</v>
      </c>
      <c r="H10" s="18" t="s">
        <v>55</v>
      </c>
      <c r="I10" s="20" t="s">
        <v>40</v>
      </c>
      <c r="J10" s="20" t="s">
        <v>56</v>
      </c>
      <c r="M10" s="20" t="s">
        <v>57</v>
      </c>
      <c r="N10" s="20" t="s">
        <v>57</v>
      </c>
      <c r="O10" s="20" t="s">
        <v>57</v>
      </c>
      <c r="P10" s="20" t="s">
        <v>232</v>
      </c>
      <c r="Q10" s="20" t="s">
        <v>59</v>
      </c>
      <c r="S10" s="20" t="s">
        <v>77</v>
      </c>
      <c r="T10" s="20" t="s">
        <v>79</v>
      </c>
      <c r="U10" s="20" t="s">
        <v>80</v>
      </c>
      <c r="AC10" s="20" t="s">
        <v>120</v>
      </c>
      <c r="AE10" s="20" t="s">
        <v>233</v>
      </c>
      <c r="AU10" s="121"/>
    </row>
    <row r="11" spans="1:47">
      <c r="A11" s="89" t="s">
        <v>234</v>
      </c>
      <c r="B11" s="18">
        <v>4342827417</v>
      </c>
      <c r="C11" s="18" t="s">
        <v>65</v>
      </c>
      <c r="D11" s="18" t="s">
        <v>225</v>
      </c>
      <c r="E11" s="34">
        <v>0.3</v>
      </c>
      <c r="F11" s="18" t="s">
        <v>54</v>
      </c>
      <c r="G11" s="19">
        <v>13949</v>
      </c>
      <c r="H11" s="18" t="s">
        <v>47</v>
      </c>
      <c r="I11" s="20" t="s">
        <v>40</v>
      </c>
      <c r="J11" s="20" t="s">
        <v>56</v>
      </c>
      <c r="M11" s="20" t="s">
        <v>57</v>
      </c>
      <c r="N11" s="20" t="s">
        <v>57</v>
      </c>
      <c r="O11" s="20" t="s">
        <v>57</v>
      </c>
      <c r="P11" s="20" t="s">
        <v>235</v>
      </c>
      <c r="Q11" s="20" t="s">
        <v>59</v>
      </c>
      <c r="S11" s="20" t="s">
        <v>77</v>
      </c>
      <c r="T11" s="20" t="s">
        <v>131</v>
      </c>
      <c r="U11" s="20" t="s">
        <v>79</v>
      </c>
      <c r="AE11" s="20" t="s">
        <v>90</v>
      </c>
      <c r="AU11" s="121"/>
    </row>
    <row r="12" spans="1:47">
      <c r="A12" s="89" t="s">
        <v>236</v>
      </c>
      <c r="B12" s="18">
        <v>4661971981</v>
      </c>
      <c r="C12" s="18" t="s">
        <v>237</v>
      </c>
      <c r="D12" s="18" t="s">
        <v>225</v>
      </c>
      <c r="E12" s="34" t="s">
        <v>195</v>
      </c>
      <c r="F12" s="18" t="s">
        <v>54</v>
      </c>
      <c r="G12" s="19">
        <v>14079</v>
      </c>
      <c r="H12" s="18" t="s">
        <v>47</v>
      </c>
      <c r="I12" s="20" t="s">
        <v>40</v>
      </c>
      <c r="L12" s="20" t="s">
        <v>56</v>
      </c>
      <c r="M12" s="20" t="s">
        <v>57</v>
      </c>
      <c r="N12" s="20" t="s">
        <v>57</v>
      </c>
      <c r="O12" s="20" t="s">
        <v>57</v>
      </c>
      <c r="R12" s="20" t="s">
        <v>226</v>
      </c>
      <c r="AU12" s="121"/>
    </row>
    <row r="13" spans="1:47">
      <c r="A13" s="89" t="s">
        <v>238</v>
      </c>
      <c r="B13" s="18">
        <v>4387568356</v>
      </c>
      <c r="C13" s="18" t="s">
        <v>239</v>
      </c>
      <c r="D13" s="18" t="s">
        <v>225</v>
      </c>
      <c r="E13" s="34">
        <v>0.6</v>
      </c>
      <c r="F13" s="18" t="s">
        <v>54</v>
      </c>
      <c r="G13" s="19">
        <v>15413</v>
      </c>
      <c r="H13" s="18" t="s">
        <v>47</v>
      </c>
      <c r="I13" s="20" t="s">
        <v>40</v>
      </c>
      <c r="J13" s="20" t="s">
        <v>56</v>
      </c>
      <c r="M13" s="20" t="s">
        <v>57</v>
      </c>
      <c r="N13" s="20" t="s">
        <v>57</v>
      </c>
      <c r="O13" s="20" t="s">
        <v>57</v>
      </c>
      <c r="P13" s="20" t="s">
        <v>240</v>
      </c>
      <c r="Q13" s="20" t="s">
        <v>59</v>
      </c>
      <c r="S13" s="20" t="s">
        <v>241</v>
      </c>
      <c r="T13" s="20" t="s">
        <v>242</v>
      </c>
      <c r="U13" s="20" t="s">
        <v>243</v>
      </c>
      <c r="V13" s="20" t="s">
        <v>244</v>
      </c>
      <c r="X13" s="20" t="s">
        <v>245</v>
      </c>
      <c r="Y13" s="20" t="s">
        <v>138</v>
      </c>
      <c r="Z13" s="20" t="s">
        <v>246</v>
      </c>
      <c r="AE13" s="20" t="s">
        <v>247</v>
      </c>
      <c r="AU13" s="121"/>
    </row>
    <row r="14" spans="1:47">
      <c r="A14" s="89" t="s">
        <v>248</v>
      </c>
      <c r="B14" s="18">
        <v>4382775264</v>
      </c>
      <c r="C14" s="18" t="s">
        <v>249</v>
      </c>
      <c r="D14" s="18" t="s">
        <v>225</v>
      </c>
      <c r="E14" s="34">
        <v>0.7</v>
      </c>
      <c r="F14" s="18" t="s">
        <v>54</v>
      </c>
      <c r="G14" s="19">
        <v>15392</v>
      </c>
      <c r="H14" s="18" t="s">
        <v>55</v>
      </c>
      <c r="I14" s="20" t="s">
        <v>40</v>
      </c>
      <c r="J14" s="20" t="s">
        <v>56</v>
      </c>
      <c r="M14" s="20" t="s">
        <v>57</v>
      </c>
      <c r="N14" s="20" t="s">
        <v>57</v>
      </c>
      <c r="O14" s="20" t="s">
        <v>57</v>
      </c>
      <c r="P14" s="20" t="s">
        <v>250</v>
      </c>
      <c r="Q14" s="20" t="s">
        <v>59</v>
      </c>
      <c r="AU14" s="121"/>
    </row>
    <row r="15" spans="1:47" s="41" customFormat="1">
      <c r="A15" s="38" t="s">
        <v>251</v>
      </c>
      <c r="B15" s="38">
        <v>6042020927</v>
      </c>
      <c r="C15" s="38" t="s">
        <v>252</v>
      </c>
      <c r="D15" s="38" t="s">
        <v>225</v>
      </c>
      <c r="E15" s="39">
        <v>0.3</v>
      </c>
      <c r="F15" s="38" t="s">
        <v>54</v>
      </c>
      <c r="G15" s="40">
        <v>14945</v>
      </c>
      <c r="H15" s="38" t="s">
        <v>47</v>
      </c>
      <c r="I15" s="41" t="s">
        <v>40</v>
      </c>
      <c r="J15" s="41" t="s">
        <v>56</v>
      </c>
      <c r="M15" s="41" t="s">
        <v>57</v>
      </c>
      <c r="N15" s="41" t="s">
        <v>57</v>
      </c>
      <c r="O15" s="41" t="s">
        <v>57</v>
      </c>
      <c r="P15" s="41" t="s">
        <v>253</v>
      </c>
      <c r="Q15" s="41" t="s">
        <v>59</v>
      </c>
      <c r="AT15" s="123"/>
      <c r="AU15" s="124"/>
    </row>
    <row r="16" spans="1:47">
      <c r="A16" s="89" t="s">
        <v>254</v>
      </c>
      <c r="B16" s="18">
        <v>4381812255</v>
      </c>
      <c r="C16" s="18" t="s">
        <v>255</v>
      </c>
      <c r="D16" s="18" t="s">
        <v>225</v>
      </c>
      <c r="E16" s="34">
        <v>0.2</v>
      </c>
      <c r="F16" s="18" t="s">
        <v>54</v>
      </c>
      <c r="G16" s="19">
        <v>15826</v>
      </c>
      <c r="H16" s="18" t="s">
        <v>55</v>
      </c>
      <c r="I16" s="20" t="s">
        <v>40</v>
      </c>
      <c r="J16" s="20" t="s">
        <v>56</v>
      </c>
      <c r="M16" s="20" t="s">
        <v>57</v>
      </c>
      <c r="N16" s="20" t="s">
        <v>57</v>
      </c>
      <c r="O16" s="20" t="s">
        <v>57</v>
      </c>
      <c r="R16" s="20" t="s">
        <v>256</v>
      </c>
      <c r="AU16" s="121"/>
    </row>
    <row r="17" spans="1:47">
      <c r="A17" s="89" t="s">
        <v>257</v>
      </c>
      <c r="B17" s="18">
        <v>4582715427</v>
      </c>
      <c r="C17" s="18" t="s">
        <v>150</v>
      </c>
      <c r="D17" s="18" t="s">
        <v>225</v>
      </c>
      <c r="E17" s="34">
        <v>0.6</v>
      </c>
      <c r="F17" s="18" t="s">
        <v>54</v>
      </c>
      <c r="G17" s="19">
        <v>20030</v>
      </c>
      <c r="H17" s="18" t="s">
        <v>47</v>
      </c>
      <c r="I17" s="20" t="s">
        <v>40</v>
      </c>
      <c r="J17" s="20" t="s">
        <v>56</v>
      </c>
      <c r="M17" s="20" t="s">
        <v>57</v>
      </c>
      <c r="N17" s="20" t="s">
        <v>57</v>
      </c>
      <c r="O17" s="20" t="s">
        <v>57</v>
      </c>
      <c r="P17" s="20" t="s">
        <v>258</v>
      </c>
      <c r="Q17" s="20" t="s">
        <v>59</v>
      </c>
      <c r="AE17" s="20" t="s">
        <v>160</v>
      </c>
      <c r="AU17" s="121"/>
    </row>
    <row r="18" spans="1:47" s="41" customFormat="1">
      <c r="A18" s="38" t="s">
        <v>259</v>
      </c>
      <c r="B18" s="38">
        <v>4520869641</v>
      </c>
      <c r="C18" s="38" t="s">
        <v>231</v>
      </c>
      <c r="D18" s="38" t="s">
        <v>225</v>
      </c>
      <c r="E18" s="39" t="s">
        <v>195</v>
      </c>
      <c r="F18" s="38" t="s">
        <v>70</v>
      </c>
      <c r="G18" s="40">
        <v>18610</v>
      </c>
      <c r="H18" s="38" t="s">
        <v>55</v>
      </c>
      <c r="I18" s="41" t="s">
        <v>40</v>
      </c>
      <c r="L18" s="41" t="s">
        <v>56</v>
      </c>
      <c r="M18" s="41" t="s">
        <v>57</v>
      </c>
      <c r="N18" s="41" t="s">
        <v>57</v>
      </c>
      <c r="O18" s="41" t="s">
        <v>57</v>
      </c>
      <c r="P18" s="41" t="s">
        <v>260</v>
      </c>
      <c r="Q18" s="41" t="s">
        <v>59</v>
      </c>
      <c r="AT18" s="123"/>
      <c r="AU18" s="123" t="s">
        <v>59</v>
      </c>
    </row>
    <row r="19" spans="1:47" s="41" customFormat="1">
      <c r="A19" s="38" t="s">
        <v>261</v>
      </c>
      <c r="B19" s="38">
        <v>4520318785</v>
      </c>
      <c r="C19" s="38" t="s">
        <v>262</v>
      </c>
      <c r="D19" s="38" t="s">
        <v>225</v>
      </c>
      <c r="E19" s="39">
        <v>0.8</v>
      </c>
      <c r="F19" s="38" t="s">
        <v>263</v>
      </c>
      <c r="G19" s="40">
        <v>18268</v>
      </c>
      <c r="H19" s="38" t="s">
        <v>47</v>
      </c>
      <c r="I19" s="41" t="s">
        <v>40</v>
      </c>
      <c r="L19" s="41" t="s">
        <v>56</v>
      </c>
      <c r="M19" s="41" t="s">
        <v>57</v>
      </c>
      <c r="N19" s="41" t="s">
        <v>57</v>
      </c>
      <c r="O19" s="41" t="s">
        <v>57</v>
      </c>
      <c r="P19" s="41" t="s">
        <v>264</v>
      </c>
      <c r="Q19" s="41" t="s">
        <v>59</v>
      </c>
      <c r="AT19" s="123"/>
      <c r="AU19" s="123" t="s">
        <v>59</v>
      </c>
    </row>
    <row r="20" spans="1:47">
      <c r="A20" s="89" t="s">
        <v>265</v>
      </c>
      <c r="B20" s="18">
        <v>4382392586</v>
      </c>
      <c r="C20" s="18" t="s">
        <v>94</v>
      </c>
      <c r="D20" s="18" t="s">
        <v>225</v>
      </c>
      <c r="E20" s="34">
        <v>0.3</v>
      </c>
      <c r="F20" s="18" t="s">
        <v>266</v>
      </c>
      <c r="G20" s="19">
        <v>15797</v>
      </c>
      <c r="H20" s="18" t="s">
        <v>47</v>
      </c>
      <c r="I20" s="20" t="s">
        <v>40</v>
      </c>
      <c r="J20" s="20" t="s">
        <v>56</v>
      </c>
      <c r="M20" s="20" t="s">
        <v>57</v>
      </c>
      <c r="N20" s="20" t="s">
        <v>57</v>
      </c>
      <c r="O20" s="20" t="s">
        <v>57</v>
      </c>
      <c r="P20" s="20" t="s">
        <v>267</v>
      </c>
      <c r="Q20" s="20" t="s">
        <v>59</v>
      </c>
      <c r="S20" s="20" t="s">
        <v>76</v>
      </c>
      <c r="T20" s="20" t="s">
        <v>78</v>
      </c>
      <c r="U20" s="20" t="s">
        <v>268</v>
      </c>
      <c r="V20" s="20" t="s">
        <v>130</v>
      </c>
      <c r="W20" s="20" t="s">
        <v>269</v>
      </c>
      <c r="AE20" s="20" t="s">
        <v>270</v>
      </c>
      <c r="AT20" s="118" t="s">
        <v>59</v>
      </c>
      <c r="AU20" s="118" t="s">
        <v>59</v>
      </c>
    </row>
    <row r="21" spans="1:47" s="41" customFormat="1">
      <c r="A21" s="38" t="s">
        <v>271</v>
      </c>
      <c r="B21" s="38">
        <v>4087259978</v>
      </c>
      <c r="C21" s="38" t="s">
        <v>272</v>
      </c>
      <c r="D21" s="38" t="s">
        <v>225</v>
      </c>
      <c r="E21" s="39">
        <v>0.6</v>
      </c>
      <c r="F21" s="38" t="s">
        <v>70</v>
      </c>
      <c r="G21" s="40">
        <v>24848</v>
      </c>
      <c r="H21" s="38" t="s">
        <v>47</v>
      </c>
      <c r="I21" s="41" t="s">
        <v>40</v>
      </c>
      <c r="L21" s="41" t="s">
        <v>56</v>
      </c>
      <c r="M21" s="41" t="s">
        <v>57</v>
      </c>
      <c r="N21" s="41" t="s">
        <v>57</v>
      </c>
      <c r="O21" s="41" t="s">
        <v>57</v>
      </c>
      <c r="P21" s="41" t="s">
        <v>273</v>
      </c>
      <c r="Q21" s="41" t="s">
        <v>59</v>
      </c>
      <c r="AT21" s="123"/>
      <c r="AU21" s="123" t="s">
        <v>59</v>
      </c>
    </row>
    <row r="22" spans="1:47">
      <c r="A22" s="89" t="s">
        <v>274</v>
      </c>
      <c r="B22" s="18">
        <v>4105116347</v>
      </c>
      <c r="C22" s="18" t="s">
        <v>275</v>
      </c>
      <c r="D22" s="18" t="s">
        <v>225</v>
      </c>
      <c r="E22" s="34">
        <v>0.8</v>
      </c>
      <c r="F22" s="18" t="s">
        <v>158</v>
      </c>
      <c r="G22" s="19">
        <v>26736</v>
      </c>
      <c r="H22" s="18" t="s">
        <v>55</v>
      </c>
      <c r="I22" s="20" t="s">
        <v>40</v>
      </c>
      <c r="L22" s="20" t="s">
        <v>56</v>
      </c>
      <c r="M22" s="20" t="s">
        <v>57</v>
      </c>
      <c r="N22" s="20" t="s">
        <v>57</v>
      </c>
      <c r="O22" s="20" t="s">
        <v>57</v>
      </c>
      <c r="P22" s="20" t="s">
        <v>276</v>
      </c>
      <c r="Q22" s="20" t="s">
        <v>59</v>
      </c>
      <c r="S22" s="20" t="s">
        <v>277</v>
      </c>
      <c r="T22" s="20" t="s">
        <v>278</v>
      </c>
      <c r="U22" s="20" t="s">
        <v>241</v>
      </c>
      <c r="AC22" s="20" t="s">
        <v>279</v>
      </c>
      <c r="AE22" s="20" t="s">
        <v>280</v>
      </c>
      <c r="AT22" s="118" t="s">
        <v>59</v>
      </c>
      <c r="AU22" s="118" t="s">
        <v>59</v>
      </c>
    </row>
    <row r="23" spans="1:47">
      <c r="A23" s="89" t="s">
        <v>281</v>
      </c>
      <c r="B23" s="18">
        <v>4607845787</v>
      </c>
      <c r="C23" s="18" t="s">
        <v>282</v>
      </c>
      <c r="D23" s="18" t="s">
        <v>225</v>
      </c>
      <c r="E23" s="34" t="s">
        <v>53</v>
      </c>
      <c r="F23" s="18" t="s">
        <v>54</v>
      </c>
      <c r="G23" s="19">
        <v>19796</v>
      </c>
      <c r="H23" s="18" t="s">
        <v>55</v>
      </c>
      <c r="I23" s="20" t="s">
        <v>40</v>
      </c>
      <c r="J23" s="20" t="s">
        <v>56</v>
      </c>
      <c r="M23" s="20" t="s">
        <v>57</v>
      </c>
      <c r="N23" s="20" t="s">
        <v>57</v>
      </c>
      <c r="O23" s="20" t="s">
        <v>57</v>
      </c>
      <c r="P23" s="20" t="s">
        <v>283</v>
      </c>
      <c r="Q23" s="20" t="s">
        <v>59</v>
      </c>
      <c r="S23" s="20" t="s">
        <v>166</v>
      </c>
      <c r="AC23" s="20" t="s">
        <v>284</v>
      </c>
      <c r="AD23" s="20" t="s">
        <v>165</v>
      </c>
      <c r="AE23" s="20" t="s">
        <v>285</v>
      </c>
      <c r="AT23" s="118" t="s">
        <v>59</v>
      </c>
      <c r="AU23" s="118" t="s">
        <v>59</v>
      </c>
    </row>
    <row r="24" spans="1:47">
      <c r="A24" s="89" t="s">
        <v>286</v>
      </c>
      <c r="B24" s="18">
        <v>4381270088</v>
      </c>
      <c r="C24" s="18" t="s">
        <v>287</v>
      </c>
      <c r="D24" s="18" t="s">
        <v>225</v>
      </c>
      <c r="E24" s="34">
        <v>0.8</v>
      </c>
      <c r="F24" s="18" t="s">
        <v>158</v>
      </c>
      <c r="G24" s="19">
        <v>17152</v>
      </c>
      <c r="H24" s="18" t="s">
        <v>55</v>
      </c>
      <c r="I24" s="20" t="s">
        <v>40</v>
      </c>
      <c r="J24" s="20" t="s">
        <v>56</v>
      </c>
      <c r="M24" s="20" t="s">
        <v>57</v>
      </c>
      <c r="N24" s="20" t="s">
        <v>57</v>
      </c>
      <c r="O24" s="20" t="s">
        <v>57</v>
      </c>
      <c r="P24" s="20" t="s">
        <v>288</v>
      </c>
      <c r="Q24" s="20" t="s">
        <v>59</v>
      </c>
      <c r="S24" s="20" t="s">
        <v>289</v>
      </c>
      <c r="T24" s="20" t="s">
        <v>290</v>
      </c>
      <c r="AE24" s="20" t="s">
        <v>291</v>
      </c>
      <c r="AT24" s="118" t="s">
        <v>59</v>
      </c>
      <c r="AU24" s="118" t="s">
        <v>59</v>
      </c>
    </row>
    <row r="25" spans="1:47" s="41" customFormat="1">
      <c r="A25" s="38" t="s">
        <v>292</v>
      </c>
      <c r="B25" s="38">
        <v>4860610520</v>
      </c>
      <c r="C25" s="38" t="s">
        <v>88</v>
      </c>
      <c r="D25" s="38" t="s">
        <v>225</v>
      </c>
      <c r="E25" s="39">
        <v>0.3</v>
      </c>
      <c r="F25" s="38" t="s">
        <v>54</v>
      </c>
      <c r="G25" s="40">
        <v>22688</v>
      </c>
      <c r="H25" s="38" t="s">
        <v>47</v>
      </c>
      <c r="I25" s="41" t="s">
        <v>40</v>
      </c>
      <c r="J25" s="41" t="s">
        <v>56</v>
      </c>
      <c r="M25" s="41" t="s">
        <v>57</v>
      </c>
      <c r="N25" s="41" t="s">
        <v>57</v>
      </c>
      <c r="O25" s="41" t="s">
        <v>57</v>
      </c>
      <c r="P25" s="41" t="s">
        <v>293</v>
      </c>
      <c r="Q25" s="41" t="s">
        <v>59</v>
      </c>
      <c r="AT25" s="123"/>
      <c r="AU25" s="123" t="s">
        <v>59</v>
      </c>
    </row>
    <row r="26" spans="1:47">
      <c r="A26" s="89" t="s">
        <v>294</v>
      </c>
      <c r="B26" s="18">
        <v>4422465724</v>
      </c>
      <c r="C26" s="18" t="s">
        <v>295</v>
      </c>
      <c r="D26" s="18" t="s">
        <v>225</v>
      </c>
      <c r="E26" s="34">
        <v>0.8</v>
      </c>
      <c r="F26" s="18" t="s">
        <v>54</v>
      </c>
      <c r="G26" s="19">
        <v>17014</v>
      </c>
      <c r="H26" s="18" t="s">
        <v>47</v>
      </c>
      <c r="I26" s="20" t="s">
        <v>40</v>
      </c>
      <c r="J26" s="20" t="s">
        <v>56</v>
      </c>
      <c r="M26" s="20" t="s">
        <v>57</v>
      </c>
      <c r="N26" s="20" t="s">
        <v>57</v>
      </c>
      <c r="O26" s="20" t="s">
        <v>57</v>
      </c>
      <c r="P26" s="20" t="s">
        <v>296</v>
      </c>
      <c r="Q26" s="20" t="s">
        <v>59</v>
      </c>
      <c r="AD26" s="20" t="s">
        <v>97</v>
      </c>
      <c r="AT26" s="118" t="s">
        <v>59</v>
      </c>
      <c r="AU26" s="118" t="s">
        <v>59</v>
      </c>
    </row>
    <row r="27" spans="1:47">
      <c r="A27" s="89" t="s">
        <v>297</v>
      </c>
      <c r="B27" s="18">
        <v>4387805943</v>
      </c>
      <c r="C27" s="18" t="s">
        <v>88</v>
      </c>
      <c r="D27" s="18" t="s">
        <v>225</v>
      </c>
      <c r="E27" s="34">
        <v>0.6</v>
      </c>
      <c r="F27" s="18" t="s">
        <v>54</v>
      </c>
      <c r="G27" s="19">
        <v>16777</v>
      </c>
      <c r="H27" s="18" t="s">
        <v>47</v>
      </c>
      <c r="I27" s="20" t="s">
        <v>40</v>
      </c>
      <c r="J27" s="20" t="s">
        <v>56</v>
      </c>
      <c r="M27" s="20" t="s">
        <v>57</v>
      </c>
      <c r="N27" s="20" t="s">
        <v>57</v>
      </c>
      <c r="O27" s="20" t="s">
        <v>57</v>
      </c>
      <c r="P27" s="20" t="s">
        <v>188</v>
      </c>
      <c r="Q27" s="20" t="s">
        <v>59</v>
      </c>
      <c r="AD27" s="20" t="s">
        <v>76</v>
      </c>
      <c r="AT27" s="118" t="s">
        <v>59</v>
      </c>
      <c r="AU27" s="118" t="s">
        <v>59</v>
      </c>
    </row>
    <row r="28" spans="1:47" s="41" customFormat="1">
      <c r="A28" s="38" t="s">
        <v>298</v>
      </c>
      <c r="B28" s="38">
        <v>4507847818</v>
      </c>
      <c r="C28" s="38" t="s">
        <v>272</v>
      </c>
      <c r="D28" s="38" t="s">
        <v>225</v>
      </c>
      <c r="E28" s="39">
        <v>0.4</v>
      </c>
      <c r="F28" s="38" t="s">
        <v>70</v>
      </c>
      <c r="G28" s="40">
        <v>17453</v>
      </c>
      <c r="H28" s="38" t="s">
        <v>47</v>
      </c>
      <c r="I28" s="41" t="s">
        <v>40</v>
      </c>
      <c r="L28" s="41" t="s">
        <v>56</v>
      </c>
      <c r="M28" s="41" t="s">
        <v>57</v>
      </c>
      <c r="N28" s="41" t="s">
        <v>57</v>
      </c>
      <c r="O28" s="41" t="s">
        <v>57</v>
      </c>
      <c r="P28" s="41" t="s">
        <v>299</v>
      </c>
      <c r="Q28" s="41" t="s">
        <v>59</v>
      </c>
      <c r="AT28" s="123"/>
      <c r="AU28" s="123" t="s">
        <v>59</v>
      </c>
    </row>
    <row r="29" spans="1:47">
      <c r="A29" s="89" t="s">
        <v>300</v>
      </c>
      <c r="B29" s="18">
        <v>4581551366</v>
      </c>
      <c r="C29" s="18" t="s">
        <v>94</v>
      </c>
      <c r="D29" s="18" t="s">
        <v>225</v>
      </c>
      <c r="E29" s="34" t="s">
        <v>195</v>
      </c>
      <c r="F29" s="18" t="s">
        <v>70</v>
      </c>
      <c r="G29" s="19">
        <v>19264</v>
      </c>
      <c r="H29" s="18" t="s">
        <v>55</v>
      </c>
      <c r="I29" s="20" t="s">
        <v>40</v>
      </c>
      <c r="L29" s="20" t="s">
        <v>56</v>
      </c>
      <c r="M29" s="20" t="s">
        <v>57</v>
      </c>
      <c r="N29" s="20" t="s">
        <v>57</v>
      </c>
      <c r="O29" s="20" t="s">
        <v>57</v>
      </c>
      <c r="P29" s="20" t="s">
        <v>301</v>
      </c>
      <c r="Q29" s="20" t="s">
        <v>59</v>
      </c>
      <c r="AE29" s="20" t="s">
        <v>302</v>
      </c>
      <c r="AT29" s="118" t="s">
        <v>59</v>
      </c>
      <c r="AU29" s="118" t="s">
        <v>59</v>
      </c>
    </row>
    <row r="30" spans="1:47">
      <c r="A30" s="89" t="s">
        <v>303</v>
      </c>
      <c r="B30" s="18">
        <v>4506190874</v>
      </c>
      <c r="C30" s="18" t="s">
        <v>304</v>
      </c>
      <c r="D30" s="18" t="s">
        <v>225</v>
      </c>
      <c r="E30" s="34">
        <v>0.4</v>
      </c>
      <c r="F30" s="18" t="s">
        <v>54</v>
      </c>
      <c r="G30" s="19">
        <v>21028</v>
      </c>
      <c r="H30" s="18" t="s">
        <v>47</v>
      </c>
      <c r="I30" s="20" t="s">
        <v>40</v>
      </c>
      <c r="L30" s="20" t="s">
        <v>56</v>
      </c>
      <c r="M30" s="20" t="s">
        <v>57</v>
      </c>
      <c r="N30" s="20" t="s">
        <v>57</v>
      </c>
      <c r="O30" s="20" t="s">
        <v>57</v>
      </c>
      <c r="P30" s="20" t="s">
        <v>305</v>
      </c>
      <c r="Q30" s="20" t="s">
        <v>59</v>
      </c>
      <c r="S30" s="20" t="s">
        <v>290</v>
      </c>
      <c r="X30" s="20" t="s">
        <v>306</v>
      </c>
      <c r="Y30" s="20" t="s">
        <v>160</v>
      </c>
      <c r="AE30" s="20" t="s">
        <v>307</v>
      </c>
      <c r="AT30" s="118" t="s">
        <v>59</v>
      </c>
      <c r="AU30" s="118" t="s">
        <v>59</v>
      </c>
    </row>
    <row r="31" spans="1:47">
      <c r="A31" s="89" t="s">
        <v>308</v>
      </c>
      <c r="B31" s="18">
        <v>4860855264</v>
      </c>
      <c r="C31" s="18" t="s">
        <v>309</v>
      </c>
      <c r="D31" s="18" t="s">
        <v>225</v>
      </c>
      <c r="E31" s="34">
        <v>0.4</v>
      </c>
      <c r="F31" s="18" t="s">
        <v>54</v>
      </c>
      <c r="G31" s="19">
        <v>21903</v>
      </c>
      <c r="H31" s="18" t="s">
        <v>47</v>
      </c>
      <c r="I31" s="20" t="s">
        <v>40</v>
      </c>
      <c r="L31" s="20" t="s">
        <v>56</v>
      </c>
      <c r="M31" s="20" t="s">
        <v>57</v>
      </c>
      <c r="N31" s="20" t="s">
        <v>57</v>
      </c>
      <c r="O31" s="20" t="s">
        <v>57</v>
      </c>
      <c r="P31" s="20" t="s">
        <v>310</v>
      </c>
      <c r="Q31" s="20" t="s">
        <v>59</v>
      </c>
      <c r="S31" s="20" t="s">
        <v>311</v>
      </c>
      <c r="T31" s="20" t="s">
        <v>112</v>
      </c>
      <c r="U31" s="20" t="s">
        <v>312</v>
      </c>
      <c r="AE31" s="20" t="s">
        <v>313</v>
      </c>
      <c r="AT31" s="118" t="s">
        <v>59</v>
      </c>
      <c r="AU31" s="118" t="s">
        <v>59</v>
      </c>
    </row>
    <row r="32" spans="1:47">
      <c r="A32" s="89" t="s">
        <v>314</v>
      </c>
      <c r="B32" s="18">
        <v>4824088720</v>
      </c>
      <c r="C32" s="18" t="s">
        <v>65</v>
      </c>
      <c r="D32" s="18" t="s">
        <v>225</v>
      </c>
      <c r="E32" s="34">
        <v>0.4</v>
      </c>
      <c r="F32" s="18" t="s">
        <v>54</v>
      </c>
      <c r="G32" s="19">
        <v>22681</v>
      </c>
      <c r="H32" s="18" t="s">
        <v>55</v>
      </c>
      <c r="I32" s="20" t="s">
        <v>40</v>
      </c>
      <c r="L32" s="20" t="s">
        <v>56</v>
      </c>
      <c r="M32" s="20" t="s">
        <v>57</v>
      </c>
      <c r="N32" s="20" t="s">
        <v>57</v>
      </c>
      <c r="O32" s="20" t="s">
        <v>57</v>
      </c>
      <c r="P32" s="20" t="s">
        <v>315</v>
      </c>
      <c r="Q32" s="20" t="s">
        <v>59</v>
      </c>
      <c r="S32" s="20" t="s">
        <v>76</v>
      </c>
      <c r="T32" s="20" t="s">
        <v>80</v>
      </c>
      <c r="AE32" s="20" t="s">
        <v>316</v>
      </c>
      <c r="AT32" s="118" t="s">
        <v>59</v>
      </c>
      <c r="AU32" s="118" t="s">
        <v>59</v>
      </c>
    </row>
    <row r="33" spans="1:47">
      <c r="A33" s="89" t="s">
        <v>317</v>
      </c>
      <c r="B33" s="18">
        <v>4109412099</v>
      </c>
      <c r="C33" s="18" t="s">
        <v>318</v>
      </c>
      <c r="D33" s="18" t="s">
        <v>225</v>
      </c>
      <c r="E33" s="34">
        <v>0.4</v>
      </c>
      <c r="F33" s="18" t="s">
        <v>54</v>
      </c>
      <c r="G33" s="19">
        <v>26469</v>
      </c>
      <c r="H33" s="18" t="s">
        <v>47</v>
      </c>
      <c r="I33" s="20" t="s">
        <v>40</v>
      </c>
      <c r="J33" s="20" t="s">
        <v>56</v>
      </c>
      <c r="M33" s="20" t="s">
        <v>57</v>
      </c>
      <c r="N33" s="20" t="s">
        <v>57</v>
      </c>
      <c r="O33" s="20" t="s">
        <v>57</v>
      </c>
      <c r="P33" s="20" t="s">
        <v>319</v>
      </c>
      <c r="Q33" s="20" t="s">
        <v>59</v>
      </c>
      <c r="S33" s="20" t="s">
        <v>138</v>
      </c>
      <c r="T33" s="20" t="s">
        <v>320</v>
      </c>
      <c r="U33" s="20" t="s">
        <v>139</v>
      </c>
      <c r="V33" s="20" t="s">
        <v>321</v>
      </c>
      <c r="X33" s="20" t="s">
        <v>322</v>
      </c>
      <c r="AC33" s="20" t="s">
        <v>245</v>
      </c>
      <c r="AD33" s="20" t="s">
        <v>323</v>
      </c>
      <c r="AE33" s="20" t="s">
        <v>324</v>
      </c>
      <c r="AT33" s="118" t="s">
        <v>59</v>
      </c>
      <c r="AU33" s="118" t="s">
        <v>59</v>
      </c>
    </row>
    <row r="34" spans="1:47">
      <c r="A34" s="89" t="s">
        <v>325</v>
      </c>
      <c r="B34" s="18">
        <v>6285941998</v>
      </c>
      <c r="C34" s="18" t="s">
        <v>295</v>
      </c>
      <c r="D34" s="18" t="s">
        <v>225</v>
      </c>
      <c r="E34" s="34">
        <v>0.6</v>
      </c>
      <c r="F34" s="18" t="s">
        <v>70</v>
      </c>
      <c r="G34" s="19">
        <v>23644</v>
      </c>
      <c r="H34" s="18" t="s">
        <v>47</v>
      </c>
      <c r="I34" s="20" t="s">
        <v>40</v>
      </c>
      <c r="L34" s="20" t="s">
        <v>56</v>
      </c>
      <c r="M34" s="20" t="s">
        <v>57</v>
      </c>
      <c r="N34" s="20" t="s">
        <v>57</v>
      </c>
      <c r="O34" s="20" t="s">
        <v>57</v>
      </c>
      <c r="P34" s="20" t="s">
        <v>326</v>
      </c>
      <c r="Q34" s="20" t="s">
        <v>59</v>
      </c>
      <c r="S34" s="20" t="s">
        <v>104</v>
      </c>
      <c r="T34" s="20" t="s">
        <v>327</v>
      </c>
      <c r="U34" s="20" t="s">
        <v>97</v>
      </c>
      <c r="X34" s="20" t="s">
        <v>160</v>
      </c>
      <c r="Y34" s="20" t="s">
        <v>328</v>
      </c>
      <c r="AC34" s="20" t="s">
        <v>146</v>
      </c>
      <c r="AE34" s="20" t="s">
        <v>148</v>
      </c>
      <c r="AT34" s="118" t="s">
        <v>59</v>
      </c>
      <c r="AU34" s="118" t="s">
        <v>59</v>
      </c>
    </row>
    <row r="35" spans="1:47" s="41" customFormat="1">
      <c r="A35" s="38" t="s">
        <v>329</v>
      </c>
      <c r="B35" s="38">
        <v>4521179584</v>
      </c>
      <c r="C35" s="38" t="s">
        <v>168</v>
      </c>
      <c r="D35" s="38" t="s">
        <v>225</v>
      </c>
      <c r="E35" s="39">
        <v>0.7</v>
      </c>
      <c r="F35" s="38" t="s">
        <v>70</v>
      </c>
      <c r="G35" s="40">
        <v>19023</v>
      </c>
      <c r="H35" s="38" t="s">
        <v>47</v>
      </c>
      <c r="I35" s="41" t="s">
        <v>40</v>
      </c>
      <c r="L35" s="41" t="s">
        <v>56</v>
      </c>
      <c r="M35" s="41" t="s">
        <v>57</v>
      </c>
      <c r="N35" s="41" t="s">
        <v>57</v>
      </c>
      <c r="O35" s="41" t="s">
        <v>57</v>
      </c>
      <c r="P35" s="41" t="s">
        <v>330</v>
      </c>
      <c r="Q35" s="41" t="s">
        <v>59</v>
      </c>
      <c r="AT35" s="123"/>
      <c r="AU35" s="123" t="s">
        <v>59</v>
      </c>
    </row>
    <row r="36" spans="1:47" s="41" customFormat="1">
      <c r="A36" s="38" t="s">
        <v>331</v>
      </c>
      <c r="B36" s="38">
        <v>4387565616</v>
      </c>
      <c r="C36" s="38" t="s">
        <v>168</v>
      </c>
      <c r="D36" s="38" t="s">
        <v>225</v>
      </c>
      <c r="E36" s="39">
        <v>0.6</v>
      </c>
      <c r="F36" s="38" t="s">
        <v>70</v>
      </c>
      <c r="G36" s="40">
        <v>14906</v>
      </c>
      <c r="H36" s="38" t="s">
        <v>47</v>
      </c>
      <c r="I36" s="41" t="s">
        <v>40</v>
      </c>
      <c r="L36" s="41" t="s">
        <v>56</v>
      </c>
      <c r="M36" s="41" t="s">
        <v>57</v>
      </c>
      <c r="N36" s="41" t="s">
        <v>57</v>
      </c>
      <c r="O36" s="41" t="s">
        <v>57</v>
      </c>
      <c r="P36" s="41" t="s">
        <v>332</v>
      </c>
      <c r="Q36" s="41" t="s">
        <v>59</v>
      </c>
      <c r="AT36" s="123"/>
      <c r="AU36" s="123" t="s">
        <v>59</v>
      </c>
    </row>
    <row r="37" spans="1:47">
      <c r="A37" s="89" t="s">
        <v>333</v>
      </c>
      <c r="B37" s="18">
        <v>4506855388</v>
      </c>
      <c r="C37" s="18" t="s">
        <v>94</v>
      </c>
      <c r="D37" s="18" t="s">
        <v>225</v>
      </c>
      <c r="E37" s="34">
        <v>0.6</v>
      </c>
      <c r="F37" s="18" t="s">
        <v>70</v>
      </c>
      <c r="G37" s="19">
        <v>21367</v>
      </c>
      <c r="H37" s="18" t="s">
        <v>55</v>
      </c>
      <c r="I37" s="20" t="s">
        <v>40</v>
      </c>
      <c r="L37" s="20" t="s">
        <v>56</v>
      </c>
      <c r="M37" s="20" t="s">
        <v>57</v>
      </c>
      <c r="N37" s="20" t="s">
        <v>57</v>
      </c>
      <c r="O37" s="20" t="s">
        <v>57</v>
      </c>
      <c r="P37" s="20" t="s">
        <v>334</v>
      </c>
      <c r="Q37" s="20" t="s">
        <v>59</v>
      </c>
      <c r="S37" s="20" t="s">
        <v>78</v>
      </c>
      <c r="T37" s="20" t="s">
        <v>77</v>
      </c>
      <c r="AE37" s="20" t="s">
        <v>335</v>
      </c>
      <c r="AT37" s="118" t="s">
        <v>59</v>
      </c>
      <c r="AU37" s="118" t="s">
        <v>59</v>
      </c>
    </row>
    <row r="38" spans="1:47">
      <c r="A38" s="89" t="s">
        <v>336</v>
      </c>
      <c r="B38" s="18">
        <v>6291017369</v>
      </c>
      <c r="C38" s="18" t="s">
        <v>337</v>
      </c>
      <c r="D38" s="18" t="s">
        <v>225</v>
      </c>
      <c r="E38" s="34" t="s">
        <v>338</v>
      </c>
      <c r="F38" s="18" t="s">
        <v>54</v>
      </c>
      <c r="G38" s="19">
        <v>24720</v>
      </c>
      <c r="H38" s="18" t="s">
        <v>55</v>
      </c>
      <c r="I38" s="20" t="s">
        <v>40</v>
      </c>
      <c r="L38" s="20" t="s">
        <v>56</v>
      </c>
      <c r="M38" s="20" t="s">
        <v>57</v>
      </c>
      <c r="N38" s="20" t="s">
        <v>57</v>
      </c>
      <c r="O38" s="20" t="s">
        <v>57</v>
      </c>
      <c r="P38" s="20" t="s">
        <v>339</v>
      </c>
      <c r="Q38" s="20" t="s">
        <v>59</v>
      </c>
      <c r="S38" s="20" t="s">
        <v>340</v>
      </c>
      <c r="AC38" s="20" t="s">
        <v>341</v>
      </c>
      <c r="AE38" s="20" t="s">
        <v>342</v>
      </c>
      <c r="AT38" s="118" t="s">
        <v>59</v>
      </c>
      <c r="AU38" s="118" t="s">
        <v>59</v>
      </c>
    </row>
    <row r="39" spans="1:47">
      <c r="A39" s="89" t="s">
        <v>343</v>
      </c>
      <c r="B39" s="18">
        <v>4583595557</v>
      </c>
      <c r="C39" s="18" t="s">
        <v>344</v>
      </c>
      <c r="D39" s="18" t="s">
        <v>225</v>
      </c>
      <c r="E39" s="34">
        <v>0.3</v>
      </c>
      <c r="F39" s="18" t="s">
        <v>54</v>
      </c>
      <c r="G39" s="19">
        <v>20596</v>
      </c>
      <c r="H39" s="18" t="s">
        <v>47</v>
      </c>
      <c r="I39" s="20" t="s">
        <v>40</v>
      </c>
      <c r="L39" s="20" t="s">
        <v>56</v>
      </c>
      <c r="M39" s="20" t="s">
        <v>57</v>
      </c>
      <c r="N39" s="20" t="s">
        <v>57</v>
      </c>
      <c r="O39" s="20" t="s">
        <v>57</v>
      </c>
      <c r="P39" s="20" t="s">
        <v>345</v>
      </c>
      <c r="Q39" s="20" t="s">
        <v>59</v>
      </c>
      <c r="S39" s="20" t="s">
        <v>115</v>
      </c>
      <c r="T39" s="20" t="s">
        <v>85</v>
      </c>
      <c r="AC39" s="20" t="s">
        <v>312</v>
      </c>
      <c r="AE39" s="20" t="s">
        <v>116</v>
      </c>
      <c r="AT39" s="118" t="s">
        <v>59</v>
      </c>
      <c r="AU39" s="118" t="s">
        <v>59</v>
      </c>
    </row>
    <row r="40" spans="1:47">
      <c r="A40" s="89" t="s">
        <v>346</v>
      </c>
      <c r="B40" s="18">
        <v>4860899555</v>
      </c>
      <c r="C40" s="18" t="s">
        <v>94</v>
      </c>
      <c r="D40" s="18" t="s">
        <v>225</v>
      </c>
      <c r="E40" s="34">
        <v>0.4</v>
      </c>
      <c r="F40" s="18" t="s">
        <v>70</v>
      </c>
      <c r="G40" s="19">
        <v>22792</v>
      </c>
      <c r="H40" s="18" t="s">
        <v>47</v>
      </c>
      <c r="I40" s="20" t="s">
        <v>40</v>
      </c>
      <c r="L40" s="20" t="s">
        <v>56</v>
      </c>
      <c r="M40" s="20" t="s">
        <v>57</v>
      </c>
      <c r="N40" s="20" t="s">
        <v>57</v>
      </c>
      <c r="O40" s="20" t="s">
        <v>57</v>
      </c>
      <c r="P40" s="20" t="s">
        <v>347</v>
      </c>
      <c r="Q40" s="20" t="s">
        <v>59</v>
      </c>
      <c r="AD40" s="20" t="s">
        <v>76</v>
      </c>
      <c r="AE40" s="20" t="s">
        <v>348</v>
      </c>
      <c r="AT40" s="118" t="s">
        <v>59</v>
      </c>
      <c r="AU40" s="118" t="s">
        <v>59</v>
      </c>
    </row>
    <row r="41" spans="1:47">
      <c r="A41" s="89" t="s">
        <v>349</v>
      </c>
      <c r="B41" s="18">
        <v>4860895487</v>
      </c>
      <c r="C41" s="18" t="s">
        <v>249</v>
      </c>
      <c r="D41" s="18" t="s">
        <v>225</v>
      </c>
      <c r="E41" s="34">
        <v>0.7</v>
      </c>
      <c r="F41" s="18" t="s">
        <v>70</v>
      </c>
      <c r="G41" s="19">
        <v>22750</v>
      </c>
      <c r="H41" s="18" t="s">
        <v>47</v>
      </c>
      <c r="I41" s="20" t="s">
        <v>40</v>
      </c>
      <c r="L41" s="20" t="s">
        <v>56</v>
      </c>
      <c r="M41" s="20" t="s">
        <v>57</v>
      </c>
      <c r="N41" s="20" t="s">
        <v>57</v>
      </c>
      <c r="O41" s="20" t="s">
        <v>57</v>
      </c>
      <c r="P41" s="20" t="s">
        <v>350</v>
      </c>
      <c r="Q41" s="20" t="s">
        <v>59</v>
      </c>
      <c r="S41" s="20" t="s">
        <v>115</v>
      </c>
      <c r="T41" s="20" t="s">
        <v>85</v>
      </c>
      <c r="AE41" s="20" t="s">
        <v>351</v>
      </c>
      <c r="AT41" s="118" t="s">
        <v>59</v>
      </c>
      <c r="AU41" s="118" t="s">
        <v>59</v>
      </c>
    </row>
    <row r="42" spans="1:47">
      <c r="A42" s="89" t="s">
        <v>352</v>
      </c>
      <c r="B42" s="18">
        <v>4269773782</v>
      </c>
      <c r="C42" s="18" t="s">
        <v>353</v>
      </c>
      <c r="D42" s="18" t="s">
        <v>225</v>
      </c>
      <c r="E42" s="34">
        <v>0.5</v>
      </c>
      <c r="F42" s="18" t="s">
        <v>70</v>
      </c>
      <c r="G42" s="19">
        <v>15244</v>
      </c>
      <c r="H42" s="18" t="s">
        <v>47</v>
      </c>
      <c r="I42" s="20" t="s">
        <v>40</v>
      </c>
      <c r="L42" s="20" t="s">
        <v>56</v>
      </c>
      <c r="M42" s="20" t="s">
        <v>57</v>
      </c>
      <c r="N42" s="20" t="s">
        <v>57</v>
      </c>
      <c r="O42" s="20" t="s">
        <v>57</v>
      </c>
      <c r="P42" s="20" t="s">
        <v>354</v>
      </c>
      <c r="Q42" s="20" t="s">
        <v>59</v>
      </c>
      <c r="R42" s="42" t="s">
        <v>355</v>
      </c>
      <c r="AU42" s="118" t="s">
        <v>59</v>
      </c>
    </row>
    <row r="43" spans="1:47">
      <c r="A43" s="89" t="s">
        <v>356</v>
      </c>
      <c r="B43" s="18">
        <v>4387866438</v>
      </c>
      <c r="C43" s="18" t="s">
        <v>357</v>
      </c>
      <c r="D43" s="18" t="s">
        <v>358</v>
      </c>
      <c r="E43" s="34" t="s">
        <v>359</v>
      </c>
      <c r="F43" s="18" t="s">
        <v>158</v>
      </c>
      <c r="G43" s="19">
        <v>17100</v>
      </c>
      <c r="H43" s="18" t="s">
        <v>55</v>
      </c>
      <c r="I43" s="20" t="s">
        <v>40</v>
      </c>
      <c r="J43" s="20" t="s">
        <v>56</v>
      </c>
      <c r="M43" s="20" t="s">
        <v>57</v>
      </c>
      <c r="N43" s="20" t="s">
        <v>57</v>
      </c>
      <c r="O43" s="20" t="s">
        <v>57</v>
      </c>
      <c r="P43" s="20" t="s">
        <v>360</v>
      </c>
      <c r="Q43" s="20" t="s">
        <v>59</v>
      </c>
      <c r="S43" s="20" t="s">
        <v>361</v>
      </c>
      <c r="T43" s="20" t="s">
        <v>104</v>
      </c>
      <c r="U43" s="20" t="s">
        <v>60</v>
      </c>
      <c r="V43" s="20" t="s">
        <v>165</v>
      </c>
      <c r="W43" s="20" t="s">
        <v>146</v>
      </c>
      <c r="AE43" s="20" t="s">
        <v>362</v>
      </c>
      <c r="AT43" s="118" t="s">
        <v>59</v>
      </c>
      <c r="AU43" s="118" t="s">
        <v>59</v>
      </c>
    </row>
    <row r="44" spans="1:47">
      <c r="A44" s="89" t="s">
        <v>363</v>
      </c>
      <c r="B44" s="18">
        <v>4509413769</v>
      </c>
      <c r="C44" s="18" t="s">
        <v>364</v>
      </c>
      <c r="D44" s="18" t="s">
        <v>225</v>
      </c>
      <c r="E44" s="34">
        <v>0.3</v>
      </c>
      <c r="F44" s="18" t="s">
        <v>70</v>
      </c>
      <c r="G44" s="19">
        <v>18128</v>
      </c>
      <c r="H44" s="18" t="s">
        <v>55</v>
      </c>
      <c r="I44" s="20" t="s">
        <v>40</v>
      </c>
      <c r="L44" s="20" t="s">
        <v>56</v>
      </c>
      <c r="M44" s="20" t="s">
        <v>57</v>
      </c>
      <c r="N44" s="20" t="s">
        <v>57</v>
      </c>
      <c r="O44" s="20" t="s">
        <v>57</v>
      </c>
      <c r="P44" s="20" t="s">
        <v>365</v>
      </c>
      <c r="Q44" s="20" t="s">
        <v>59</v>
      </c>
      <c r="S44" s="20" t="s">
        <v>366</v>
      </c>
      <c r="T44" s="20" t="s">
        <v>367</v>
      </c>
      <c r="U44" s="20" t="s">
        <v>368</v>
      </c>
      <c r="V44" s="20" t="s">
        <v>369</v>
      </c>
      <c r="W44" s="20" t="s">
        <v>370</v>
      </c>
      <c r="AD44" s="20" t="s">
        <v>371</v>
      </c>
      <c r="AE44" s="20" t="s">
        <v>372</v>
      </c>
      <c r="AT44" s="118" t="s">
        <v>59</v>
      </c>
      <c r="AU44" s="118" t="s">
        <v>59</v>
      </c>
    </row>
    <row r="45" spans="1:47">
      <c r="A45" s="89" t="s">
        <v>373</v>
      </c>
      <c r="B45" s="18">
        <v>4520163684</v>
      </c>
      <c r="C45" s="18" t="s">
        <v>374</v>
      </c>
      <c r="D45" s="18" t="s">
        <v>225</v>
      </c>
      <c r="E45" s="34">
        <v>0.4</v>
      </c>
      <c r="F45" s="18" t="s">
        <v>70</v>
      </c>
      <c r="G45" s="19">
        <v>18212</v>
      </c>
      <c r="H45" s="18" t="s">
        <v>55</v>
      </c>
      <c r="I45" s="20" t="s">
        <v>40</v>
      </c>
      <c r="J45" s="20" t="s">
        <v>56</v>
      </c>
      <c r="M45" s="20" t="s">
        <v>57</v>
      </c>
      <c r="N45" s="20" t="s">
        <v>57</v>
      </c>
      <c r="O45" s="20" t="s">
        <v>57</v>
      </c>
      <c r="P45" s="20" t="s">
        <v>375</v>
      </c>
      <c r="Q45" s="20" t="s">
        <v>59</v>
      </c>
      <c r="S45" s="20" t="s">
        <v>376</v>
      </c>
      <c r="T45" s="20" t="s">
        <v>377</v>
      </c>
      <c r="U45" s="20" t="s">
        <v>115</v>
      </c>
      <c r="AC45" s="20" t="s">
        <v>160</v>
      </c>
      <c r="AD45" s="20" t="s">
        <v>378</v>
      </c>
      <c r="AE45" s="20" t="s">
        <v>379</v>
      </c>
      <c r="AT45" s="118" t="s">
        <v>59</v>
      </c>
      <c r="AU45" s="118" t="s">
        <v>59</v>
      </c>
    </row>
    <row r="46" spans="1:47">
      <c r="A46" s="89" t="s">
        <v>380</v>
      </c>
      <c r="B46" s="18">
        <v>4581765358</v>
      </c>
      <c r="C46" s="18" t="s">
        <v>224</v>
      </c>
      <c r="D46" s="18" t="s">
        <v>225</v>
      </c>
      <c r="E46" s="34">
        <v>0.2</v>
      </c>
      <c r="F46" s="18" t="s">
        <v>70</v>
      </c>
      <c r="G46" s="19">
        <v>19941</v>
      </c>
      <c r="H46" s="18" t="s">
        <v>55</v>
      </c>
      <c r="I46" s="20" t="s">
        <v>40</v>
      </c>
      <c r="J46" s="20" t="s">
        <v>56</v>
      </c>
      <c r="M46" s="20" t="s">
        <v>57</v>
      </c>
      <c r="N46" s="20" t="s">
        <v>57</v>
      </c>
      <c r="O46" s="20" t="s">
        <v>57</v>
      </c>
      <c r="P46" s="20" t="s">
        <v>381</v>
      </c>
      <c r="Q46" s="20" t="s">
        <v>59</v>
      </c>
      <c r="S46" s="20" t="s">
        <v>79</v>
      </c>
      <c r="T46" s="20" t="s">
        <v>177</v>
      </c>
      <c r="AE46" s="20" t="s">
        <v>382</v>
      </c>
      <c r="AT46" s="118" t="s">
        <v>59</v>
      </c>
      <c r="AU46" s="118" t="s">
        <v>59</v>
      </c>
    </row>
    <row r="47" spans="1:47">
      <c r="A47" s="89" t="s">
        <v>383</v>
      </c>
      <c r="B47" s="18">
        <v>4509292422</v>
      </c>
      <c r="C47" s="18" t="s">
        <v>384</v>
      </c>
      <c r="D47" s="18" t="s">
        <v>225</v>
      </c>
      <c r="E47" s="34" t="s">
        <v>338</v>
      </c>
      <c r="F47" s="18" t="s">
        <v>70</v>
      </c>
      <c r="G47" s="19">
        <v>17982</v>
      </c>
      <c r="H47" s="18" t="s">
        <v>47</v>
      </c>
      <c r="I47" s="20" t="s">
        <v>40</v>
      </c>
      <c r="J47" s="20" t="s">
        <v>56</v>
      </c>
      <c r="M47" s="20" t="s">
        <v>57</v>
      </c>
      <c r="N47" s="20" t="s">
        <v>57</v>
      </c>
      <c r="O47" s="20" t="s">
        <v>57</v>
      </c>
      <c r="P47" s="20" t="s">
        <v>385</v>
      </c>
      <c r="Q47" s="20" t="s">
        <v>59</v>
      </c>
      <c r="R47" s="42" t="s">
        <v>386</v>
      </c>
      <c r="AU47" s="118" t="s">
        <v>59</v>
      </c>
    </row>
    <row r="48" spans="1:47">
      <c r="A48" s="89" t="s">
        <v>387</v>
      </c>
      <c r="B48" s="18">
        <v>4467748962</v>
      </c>
      <c r="C48" s="18" t="s">
        <v>102</v>
      </c>
      <c r="D48" s="18" t="s">
        <v>225</v>
      </c>
      <c r="E48" s="34">
        <v>0.3</v>
      </c>
      <c r="F48" s="18" t="s">
        <v>70</v>
      </c>
      <c r="G48" s="19">
        <v>17641</v>
      </c>
      <c r="H48" s="18" t="s">
        <v>47</v>
      </c>
      <c r="I48" s="20" t="s">
        <v>40</v>
      </c>
      <c r="J48" s="20" t="s">
        <v>56</v>
      </c>
      <c r="M48" s="20" t="s">
        <v>57</v>
      </c>
      <c r="N48" s="20" t="s">
        <v>57</v>
      </c>
      <c r="O48" s="20" t="s">
        <v>57</v>
      </c>
      <c r="P48" s="20" t="s">
        <v>388</v>
      </c>
      <c r="Q48" s="20" t="s">
        <v>59</v>
      </c>
      <c r="S48" s="20" t="s">
        <v>97</v>
      </c>
      <c r="T48" s="20" t="s">
        <v>146</v>
      </c>
      <c r="U48" s="20" t="s">
        <v>80</v>
      </c>
      <c r="V48" s="20" t="s">
        <v>105</v>
      </c>
      <c r="W48" s="20" t="s">
        <v>327</v>
      </c>
      <c r="AE48" s="20" t="s">
        <v>389</v>
      </c>
      <c r="AT48" s="118" t="s">
        <v>59</v>
      </c>
      <c r="AU48" s="118" t="s">
        <v>59</v>
      </c>
    </row>
    <row r="49" spans="1:47">
      <c r="A49" s="89" t="s">
        <v>390</v>
      </c>
      <c r="B49" s="18">
        <v>4520789931</v>
      </c>
      <c r="C49" s="18" t="s">
        <v>391</v>
      </c>
      <c r="D49" s="18" t="s">
        <v>225</v>
      </c>
      <c r="E49" s="34">
        <v>0.4</v>
      </c>
      <c r="F49" s="18" t="s">
        <v>70</v>
      </c>
      <c r="G49" s="19">
        <v>18511</v>
      </c>
      <c r="H49" s="18" t="s">
        <v>55</v>
      </c>
      <c r="I49" s="20" t="s">
        <v>40</v>
      </c>
      <c r="J49" s="20" t="s">
        <v>56</v>
      </c>
      <c r="M49" s="20" t="s">
        <v>57</v>
      </c>
      <c r="N49" s="20" t="s">
        <v>57</v>
      </c>
      <c r="O49" s="20" t="s">
        <v>57</v>
      </c>
      <c r="P49" s="20" t="s">
        <v>392</v>
      </c>
      <c r="Q49" s="20" t="s">
        <v>59</v>
      </c>
      <c r="AE49" s="20" t="s">
        <v>393</v>
      </c>
      <c r="AT49" s="118" t="s">
        <v>59</v>
      </c>
      <c r="AU49" s="118" t="s">
        <v>59</v>
      </c>
    </row>
    <row r="50" spans="1:47">
      <c r="A50" s="89" t="s">
        <v>394</v>
      </c>
      <c r="B50" s="18">
        <v>4528207311</v>
      </c>
      <c r="C50" s="18" t="s">
        <v>94</v>
      </c>
      <c r="D50" s="18" t="s">
        <v>225</v>
      </c>
      <c r="E50" s="34" t="s">
        <v>53</v>
      </c>
      <c r="F50" s="18" t="s">
        <v>70</v>
      </c>
      <c r="G50" s="19">
        <v>17618</v>
      </c>
      <c r="H50" s="18" t="s">
        <v>47</v>
      </c>
      <c r="I50" s="20" t="s">
        <v>40</v>
      </c>
      <c r="J50" s="20" t="s">
        <v>56</v>
      </c>
      <c r="M50" s="20" t="s">
        <v>57</v>
      </c>
      <c r="N50" s="20" t="s">
        <v>57</v>
      </c>
      <c r="O50" s="20" t="s">
        <v>57</v>
      </c>
      <c r="P50" s="20" t="s">
        <v>395</v>
      </c>
      <c r="Q50" s="20" t="s">
        <v>59</v>
      </c>
      <c r="AE50" s="20" t="s">
        <v>78</v>
      </c>
      <c r="AT50" s="118" t="s">
        <v>59</v>
      </c>
      <c r="AU50" s="118" t="s">
        <v>59</v>
      </c>
    </row>
    <row r="51" spans="1:47">
      <c r="A51" s="89" t="s">
        <v>396</v>
      </c>
      <c r="B51" s="18">
        <v>4508297331</v>
      </c>
      <c r="C51" s="18" t="s">
        <v>374</v>
      </c>
      <c r="D51" s="18" t="s">
        <v>225</v>
      </c>
      <c r="E51" s="34">
        <v>0.4</v>
      </c>
      <c r="F51" s="18" t="s">
        <v>70</v>
      </c>
      <c r="G51" s="19">
        <v>17589</v>
      </c>
      <c r="H51" s="18" t="s">
        <v>55</v>
      </c>
      <c r="I51" s="20" t="s">
        <v>40</v>
      </c>
      <c r="L51" s="20" t="s">
        <v>56</v>
      </c>
      <c r="M51" s="20" t="s">
        <v>57</v>
      </c>
      <c r="N51" s="20" t="s">
        <v>57</v>
      </c>
      <c r="O51" s="20" t="s">
        <v>57</v>
      </c>
      <c r="P51" s="20" t="s">
        <v>397</v>
      </c>
      <c r="Q51" s="20" t="s">
        <v>59</v>
      </c>
      <c r="S51" s="20" t="s">
        <v>112</v>
      </c>
      <c r="AD51" s="20" t="s">
        <v>398</v>
      </c>
      <c r="AE51" s="20" t="s">
        <v>86</v>
      </c>
      <c r="AT51" s="118" t="s">
        <v>59</v>
      </c>
      <c r="AU51" s="118" t="s">
        <v>59</v>
      </c>
    </row>
    <row r="52" spans="1:47">
      <c r="A52" s="89" t="s">
        <v>399</v>
      </c>
      <c r="B52" s="18">
        <v>4380690334</v>
      </c>
      <c r="C52" s="18" t="s">
        <v>83</v>
      </c>
      <c r="D52" s="18" t="s">
        <v>225</v>
      </c>
      <c r="E52" s="34">
        <v>0.5</v>
      </c>
      <c r="F52" s="18" t="s">
        <v>70</v>
      </c>
      <c r="G52" s="19">
        <v>16601</v>
      </c>
      <c r="H52" s="18" t="s">
        <v>55</v>
      </c>
      <c r="I52" s="20" t="s">
        <v>40</v>
      </c>
      <c r="L52" s="20" t="s">
        <v>56</v>
      </c>
      <c r="M52" s="20" t="s">
        <v>57</v>
      </c>
      <c r="N52" s="20" t="s">
        <v>57</v>
      </c>
      <c r="O52" s="20" t="s">
        <v>57</v>
      </c>
      <c r="P52" s="20" t="s">
        <v>400</v>
      </c>
      <c r="Q52" s="20" t="s">
        <v>59</v>
      </c>
      <c r="S52" s="20" t="s">
        <v>376</v>
      </c>
      <c r="T52" s="20" t="s">
        <v>115</v>
      </c>
      <c r="X52" s="20" t="s">
        <v>311</v>
      </c>
      <c r="Y52" s="20" t="s">
        <v>367</v>
      </c>
      <c r="AC52" s="20" t="s">
        <v>312</v>
      </c>
      <c r="AE52" s="20" t="s">
        <v>379</v>
      </c>
      <c r="AT52" s="118" t="s">
        <v>59</v>
      </c>
      <c r="AU52" s="118" t="s">
        <v>59</v>
      </c>
    </row>
    <row r="53" spans="1:47">
      <c r="A53" s="89" t="s">
        <v>401</v>
      </c>
      <c r="B53" s="18">
        <v>4508493378</v>
      </c>
      <c r="C53" s="18" t="s">
        <v>402</v>
      </c>
      <c r="D53" s="18" t="s">
        <v>225</v>
      </c>
      <c r="E53" s="34">
        <v>0.3</v>
      </c>
      <c r="F53" s="18" t="s">
        <v>70</v>
      </c>
      <c r="G53" s="19">
        <v>17546</v>
      </c>
      <c r="H53" s="18" t="s">
        <v>47</v>
      </c>
      <c r="I53" s="20" t="s">
        <v>40</v>
      </c>
      <c r="L53" s="20" t="s">
        <v>56</v>
      </c>
      <c r="M53" s="20" t="s">
        <v>57</v>
      </c>
      <c r="N53" s="20" t="s">
        <v>57</v>
      </c>
      <c r="O53" s="20" t="s">
        <v>57</v>
      </c>
      <c r="P53" s="20" t="s">
        <v>403</v>
      </c>
      <c r="Q53" s="20" t="s">
        <v>59</v>
      </c>
      <c r="S53" s="20" t="s">
        <v>404</v>
      </c>
      <c r="AC53" s="20" t="s">
        <v>405</v>
      </c>
      <c r="AD53" s="20" t="s">
        <v>406</v>
      </c>
      <c r="AE53" s="20" t="s">
        <v>120</v>
      </c>
      <c r="AT53" s="118" t="s">
        <v>59</v>
      </c>
      <c r="AU53" s="118" t="s">
        <v>59</v>
      </c>
    </row>
    <row r="54" spans="1:47">
      <c r="A54" s="89" t="s">
        <v>407</v>
      </c>
      <c r="B54" s="18">
        <v>4125888051</v>
      </c>
      <c r="C54" s="18" t="s">
        <v>88</v>
      </c>
      <c r="D54" s="18" t="s">
        <v>225</v>
      </c>
      <c r="E54" s="34" t="s">
        <v>408</v>
      </c>
      <c r="F54" s="18" t="s">
        <v>158</v>
      </c>
      <c r="G54" s="19">
        <v>25113</v>
      </c>
      <c r="H54" s="18" t="s">
        <v>55</v>
      </c>
      <c r="I54" s="20" t="s">
        <v>40</v>
      </c>
      <c r="J54" s="20" t="s">
        <v>56</v>
      </c>
      <c r="M54" s="20" t="s">
        <v>57</v>
      </c>
      <c r="N54" s="20" t="s">
        <v>57</v>
      </c>
      <c r="O54" s="20" t="s">
        <v>57</v>
      </c>
      <c r="P54" s="20" t="s">
        <v>409</v>
      </c>
      <c r="Q54" s="20" t="s">
        <v>59</v>
      </c>
      <c r="S54" s="20" t="s">
        <v>177</v>
      </c>
      <c r="T54" s="20" t="s">
        <v>410</v>
      </c>
      <c r="AC54" s="20" t="s">
        <v>130</v>
      </c>
      <c r="AE54" s="20" t="s">
        <v>411</v>
      </c>
      <c r="AT54" s="118" t="s">
        <v>59</v>
      </c>
      <c r="AU54" s="118" t="s">
        <v>59</v>
      </c>
    </row>
    <row r="55" spans="1:47">
      <c r="A55" s="89" t="s">
        <v>412</v>
      </c>
      <c r="B55" s="18">
        <v>9</v>
      </c>
      <c r="C55" s="18" t="s">
        <v>94</v>
      </c>
      <c r="D55" s="18" t="s">
        <v>225</v>
      </c>
      <c r="E55" s="34">
        <v>0.3</v>
      </c>
      <c r="F55" s="18" t="s">
        <v>70</v>
      </c>
      <c r="G55" s="19">
        <v>17262</v>
      </c>
      <c r="H55" s="18" t="s">
        <v>55</v>
      </c>
      <c r="I55" s="20" t="s">
        <v>40</v>
      </c>
      <c r="J55" s="20" t="s">
        <v>56</v>
      </c>
      <c r="M55" s="20" t="s">
        <v>57</v>
      </c>
      <c r="N55" s="20" t="s">
        <v>57</v>
      </c>
      <c r="O55" s="20" t="s">
        <v>57</v>
      </c>
      <c r="P55" s="20" t="s">
        <v>413</v>
      </c>
      <c r="Q55" s="20" t="s">
        <v>59</v>
      </c>
      <c r="AE55" s="20" t="s">
        <v>161</v>
      </c>
      <c r="AT55" s="118" t="s">
        <v>59</v>
      </c>
      <c r="AU55" s="118" t="s">
        <v>59</v>
      </c>
    </row>
    <row r="56" spans="1:47">
      <c r="A56" s="89" t="s">
        <v>414</v>
      </c>
      <c r="B56" s="18">
        <v>4583708823</v>
      </c>
      <c r="C56" s="18" t="s">
        <v>353</v>
      </c>
      <c r="D56" s="18" t="s">
        <v>225</v>
      </c>
      <c r="E56" s="34" t="s">
        <v>415</v>
      </c>
      <c r="F56" s="18" t="s">
        <v>70</v>
      </c>
      <c r="G56" s="19">
        <v>20608</v>
      </c>
      <c r="H56" s="18" t="s">
        <v>55</v>
      </c>
      <c r="I56" s="20" t="s">
        <v>40</v>
      </c>
      <c r="J56" s="20" t="s">
        <v>56</v>
      </c>
      <c r="M56" s="20" t="s">
        <v>57</v>
      </c>
      <c r="N56" s="20" t="s">
        <v>57</v>
      </c>
      <c r="O56" s="20" t="s">
        <v>57</v>
      </c>
      <c r="P56" s="20" t="s">
        <v>416</v>
      </c>
      <c r="Q56" s="20" t="s">
        <v>59</v>
      </c>
      <c r="S56" s="20" t="s">
        <v>165</v>
      </c>
      <c r="T56" s="20" t="s">
        <v>104</v>
      </c>
      <c r="U56" s="20" t="s">
        <v>105</v>
      </c>
      <c r="V56" s="20" t="s">
        <v>166</v>
      </c>
      <c r="AC56" s="20" t="s">
        <v>417</v>
      </c>
      <c r="AE56" s="20" t="s">
        <v>418</v>
      </c>
      <c r="AT56" s="118" t="s">
        <v>59</v>
      </c>
      <c r="AU56" s="118" t="s">
        <v>59</v>
      </c>
    </row>
    <row r="57" spans="1:47">
      <c r="A57" s="89" t="s">
        <v>419</v>
      </c>
      <c r="B57" s="18">
        <v>4127072784</v>
      </c>
      <c r="C57" s="18" t="s">
        <v>384</v>
      </c>
      <c r="D57" s="18" t="s">
        <v>225</v>
      </c>
      <c r="E57" s="34">
        <v>0.4</v>
      </c>
      <c r="F57" s="18" t="s">
        <v>70</v>
      </c>
      <c r="G57" s="19">
        <v>31798</v>
      </c>
      <c r="H57" s="18" t="s">
        <v>55</v>
      </c>
      <c r="I57" s="20" t="s">
        <v>40</v>
      </c>
      <c r="L57" s="20" t="s">
        <v>56</v>
      </c>
      <c r="M57" s="20" t="s">
        <v>57</v>
      </c>
      <c r="N57" s="20" t="s">
        <v>57</v>
      </c>
      <c r="O57" s="20" t="s">
        <v>57</v>
      </c>
      <c r="P57" s="20" t="s">
        <v>420</v>
      </c>
      <c r="Q57" s="20" t="s">
        <v>59</v>
      </c>
      <c r="S57" s="20" t="s">
        <v>79</v>
      </c>
      <c r="T57" s="20" t="s">
        <v>177</v>
      </c>
      <c r="U57" s="20" t="s">
        <v>78</v>
      </c>
      <c r="V57" s="20" t="s">
        <v>76</v>
      </c>
      <c r="W57" s="20" t="s">
        <v>131</v>
      </c>
      <c r="AC57" s="20" t="s">
        <v>268</v>
      </c>
      <c r="AE57" s="20" t="s">
        <v>421</v>
      </c>
      <c r="AT57" s="118" t="s">
        <v>59</v>
      </c>
      <c r="AU57" s="118" t="s">
        <v>59</v>
      </c>
    </row>
    <row r="58" spans="1:47">
      <c r="A58" s="89" t="s">
        <v>422</v>
      </c>
      <c r="B58" s="18">
        <v>4582710042</v>
      </c>
      <c r="C58" s="18" t="s">
        <v>272</v>
      </c>
      <c r="D58" s="18" t="s">
        <v>225</v>
      </c>
      <c r="E58" s="34">
        <v>0.5</v>
      </c>
      <c r="F58" s="18" t="s">
        <v>158</v>
      </c>
      <c r="G58" s="19">
        <v>19888</v>
      </c>
      <c r="H58" s="18" t="s">
        <v>55</v>
      </c>
      <c r="I58" s="20" t="s">
        <v>40</v>
      </c>
      <c r="J58" s="20" t="s">
        <v>56</v>
      </c>
      <c r="M58" s="20" t="s">
        <v>57</v>
      </c>
      <c r="N58" s="20" t="s">
        <v>57</v>
      </c>
      <c r="O58" s="20" t="s">
        <v>57</v>
      </c>
      <c r="P58" s="20" t="s">
        <v>423</v>
      </c>
      <c r="Q58" s="20" t="s">
        <v>59</v>
      </c>
      <c r="S58" s="20" t="s">
        <v>78</v>
      </c>
      <c r="T58" s="20" t="s">
        <v>76</v>
      </c>
      <c r="AE58" s="20" t="s">
        <v>335</v>
      </c>
      <c r="AT58" s="118" t="s">
        <v>59</v>
      </c>
      <c r="AU58" s="118" t="s">
        <v>59</v>
      </c>
    </row>
    <row r="59" spans="1:47">
      <c r="A59" s="89" t="s">
        <v>424</v>
      </c>
      <c r="B59" s="18">
        <v>4722242569</v>
      </c>
      <c r="C59" s="18" t="s">
        <v>94</v>
      </c>
      <c r="D59" s="18" t="s">
        <v>225</v>
      </c>
      <c r="E59" s="34">
        <v>0.8</v>
      </c>
      <c r="F59" s="18" t="s">
        <v>158</v>
      </c>
      <c r="G59" s="19">
        <v>27094</v>
      </c>
      <c r="H59" s="18" t="s">
        <v>47</v>
      </c>
      <c r="I59" s="20" t="s">
        <v>40</v>
      </c>
      <c r="J59" s="20" t="s">
        <v>56</v>
      </c>
      <c r="M59" s="20" t="s">
        <v>57</v>
      </c>
      <c r="N59" s="20" t="s">
        <v>57</v>
      </c>
      <c r="O59" s="20" t="s">
        <v>57</v>
      </c>
      <c r="P59" s="20" t="s">
        <v>425</v>
      </c>
      <c r="Q59" s="20" t="s">
        <v>59</v>
      </c>
      <c r="AD59" s="20" t="s">
        <v>97</v>
      </c>
      <c r="AE59" s="20" t="s">
        <v>161</v>
      </c>
      <c r="AT59" s="118" t="s">
        <v>59</v>
      </c>
      <c r="AU59" s="118" t="s">
        <v>59</v>
      </c>
    </row>
    <row r="60" spans="1:47">
      <c r="A60" s="89" t="s">
        <v>426</v>
      </c>
      <c r="B60" s="18">
        <v>4089902940</v>
      </c>
      <c r="C60" s="18" t="s">
        <v>88</v>
      </c>
      <c r="D60" s="18" t="s">
        <v>225</v>
      </c>
      <c r="E60" s="34" t="s">
        <v>427</v>
      </c>
      <c r="F60" s="18" t="s">
        <v>158</v>
      </c>
      <c r="G60" s="19">
        <v>18170</v>
      </c>
      <c r="H60" s="18" t="s">
        <v>47</v>
      </c>
      <c r="I60" s="20" t="s">
        <v>40</v>
      </c>
      <c r="J60" s="20" t="s">
        <v>56</v>
      </c>
      <c r="M60" s="20" t="s">
        <v>57</v>
      </c>
      <c r="N60" s="20" t="s">
        <v>57</v>
      </c>
      <c r="O60" s="20" t="s">
        <v>57</v>
      </c>
      <c r="P60" s="20" t="s">
        <v>428</v>
      </c>
      <c r="Q60" s="20" t="s">
        <v>59</v>
      </c>
      <c r="S60" s="20" t="s">
        <v>78</v>
      </c>
      <c r="T60" s="20" t="s">
        <v>76</v>
      </c>
      <c r="AE60" s="20" t="s">
        <v>90</v>
      </c>
      <c r="AT60" s="118" t="s">
        <v>59</v>
      </c>
      <c r="AU60" s="118" t="s">
        <v>59</v>
      </c>
    </row>
    <row r="61" spans="1:47">
      <c r="A61" s="89" t="s">
        <v>429</v>
      </c>
      <c r="B61" s="18">
        <v>4569356338</v>
      </c>
      <c r="C61" s="18" t="s">
        <v>430</v>
      </c>
      <c r="D61" s="18" t="s">
        <v>225</v>
      </c>
      <c r="E61" s="34">
        <v>0.3</v>
      </c>
      <c r="F61" s="18" t="s">
        <v>158</v>
      </c>
      <c r="G61" s="19">
        <v>21013</v>
      </c>
      <c r="H61" s="18" t="s">
        <v>55</v>
      </c>
      <c r="I61" s="20" t="s">
        <v>40</v>
      </c>
      <c r="L61" s="20" t="s">
        <v>56</v>
      </c>
      <c r="M61" s="20" t="s">
        <v>57</v>
      </c>
      <c r="N61" s="20" t="s">
        <v>57</v>
      </c>
      <c r="O61" s="20" t="s">
        <v>57</v>
      </c>
      <c r="P61" s="20" t="s">
        <v>431</v>
      </c>
      <c r="Q61" s="20" t="s">
        <v>59</v>
      </c>
      <c r="S61" s="20" t="s">
        <v>173</v>
      </c>
      <c r="AE61" s="20" t="s">
        <v>432</v>
      </c>
      <c r="AT61" s="118" t="s">
        <v>59</v>
      </c>
      <c r="AU61" s="118" t="s">
        <v>59</v>
      </c>
    </row>
    <row r="62" spans="1:47">
      <c r="A62" s="89" t="s">
        <v>433</v>
      </c>
      <c r="B62" s="18">
        <v>4508291104</v>
      </c>
      <c r="C62" s="18" t="s">
        <v>249</v>
      </c>
      <c r="D62" s="18" t="s">
        <v>225</v>
      </c>
      <c r="E62" s="34">
        <v>0.7</v>
      </c>
      <c r="F62" s="18" t="s">
        <v>158</v>
      </c>
      <c r="G62" s="19">
        <v>17647</v>
      </c>
      <c r="H62" s="18" t="s">
        <v>55</v>
      </c>
      <c r="I62" s="20" t="s">
        <v>40</v>
      </c>
      <c r="L62" s="20" t="s">
        <v>56</v>
      </c>
      <c r="M62" s="20" t="s">
        <v>57</v>
      </c>
      <c r="N62" s="20" t="s">
        <v>57</v>
      </c>
      <c r="O62" s="20" t="s">
        <v>57</v>
      </c>
      <c r="P62" s="20" t="s">
        <v>434</v>
      </c>
      <c r="Q62" s="20" t="s">
        <v>59</v>
      </c>
      <c r="S62" s="20" t="s">
        <v>376</v>
      </c>
      <c r="T62" s="20" t="s">
        <v>85</v>
      </c>
      <c r="U62" s="20" t="s">
        <v>115</v>
      </c>
      <c r="AC62" s="20" t="s">
        <v>435</v>
      </c>
      <c r="AE62" s="20" t="s">
        <v>436</v>
      </c>
      <c r="AT62" s="118" t="s">
        <v>59</v>
      </c>
      <c r="AU62" s="118" t="s">
        <v>59</v>
      </c>
    </row>
    <row r="63" spans="1:47">
      <c r="A63" s="89" t="s">
        <v>437</v>
      </c>
      <c r="B63" s="18">
        <v>4087950905</v>
      </c>
      <c r="C63" s="18" t="s">
        <v>438</v>
      </c>
      <c r="D63" s="18" t="s">
        <v>225</v>
      </c>
      <c r="E63" s="34">
        <v>0.4</v>
      </c>
      <c r="F63" s="18" t="s">
        <v>158</v>
      </c>
      <c r="G63" s="19">
        <v>27412</v>
      </c>
      <c r="H63" s="18" t="s">
        <v>55</v>
      </c>
      <c r="I63" s="20" t="s">
        <v>40</v>
      </c>
      <c r="L63" s="20" t="s">
        <v>56</v>
      </c>
      <c r="M63" s="20" t="s">
        <v>57</v>
      </c>
      <c r="N63" s="20" t="s">
        <v>57</v>
      </c>
      <c r="O63" s="20" t="s">
        <v>57</v>
      </c>
      <c r="P63" s="20" t="s">
        <v>439</v>
      </c>
      <c r="Q63" s="20" t="s">
        <v>59</v>
      </c>
      <c r="S63" s="20" t="s">
        <v>113</v>
      </c>
      <c r="T63" s="20" t="s">
        <v>171</v>
      </c>
      <c r="X63" s="20" t="s">
        <v>440</v>
      </c>
      <c r="Y63" s="20" t="s">
        <v>441</v>
      </c>
      <c r="Z63" s="20" t="s">
        <v>78</v>
      </c>
      <c r="AA63" s="20" t="s">
        <v>76</v>
      </c>
      <c r="AB63" s="20" t="s">
        <v>177</v>
      </c>
      <c r="AD63" s="20" t="s">
        <v>442</v>
      </c>
      <c r="AE63" s="20" t="s">
        <v>443</v>
      </c>
      <c r="AT63" s="118" t="s">
        <v>59</v>
      </c>
      <c r="AU63" s="118" t="s">
        <v>59</v>
      </c>
    </row>
    <row r="64" spans="1:47">
      <c r="A64" s="89" t="s">
        <v>444</v>
      </c>
      <c r="B64" s="18">
        <v>4848769809</v>
      </c>
      <c r="C64" s="18" t="s">
        <v>445</v>
      </c>
      <c r="D64" s="18" t="s">
        <v>225</v>
      </c>
      <c r="E64" s="34">
        <v>0.4</v>
      </c>
      <c r="F64" s="18" t="s">
        <v>158</v>
      </c>
      <c r="G64" s="19">
        <v>21498</v>
      </c>
      <c r="H64" s="18" t="s">
        <v>47</v>
      </c>
      <c r="I64" s="20" t="s">
        <v>40</v>
      </c>
      <c r="J64" s="20" t="s">
        <v>56</v>
      </c>
      <c r="M64" s="20" t="s">
        <v>57</v>
      </c>
      <c r="N64" s="20" t="s">
        <v>57</v>
      </c>
      <c r="O64" s="20" t="s">
        <v>57</v>
      </c>
      <c r="P64" s="20" t="s">
        <v>446</v>
      </c>
      <c r="Q64" s="20" t="s">
        <v>59</v>
      </c>
      <c r="S64" s="20" t="s">
        <v>447</v>
      </c>
      <c r="T64" s="20" t="s">
        <v>284</v>
      </c>
      <c r="U64" s="20" t="s">
        <v>328</v>
      </c>
      <c r="V64" s="20" t="s">
        <v>448</v>
      </c>
      <c r="W64" s="20" t="s">
        <v>449</v>
      </c>
      <c r="X64" s="20" t="s">
        <v>165</v>
      </c>
      <c r="AC64" s="20" t="s">
        <v>450</v>
      </c>
      <c r="AE64" s="20" t="s">
        <v>451</v>
      </c>
      <c r="AT64" s="118" t="s">
        <v>59</v>
      </c>
      <c r="AU64" s="118" t="s">
        <v>59</v>
      </c>
    </row>
    <row r="65" spans="1:47">
      <c r="A65" s="89" t="s">
        <v>452</v>
      </c>
      <c r="B65" s="18">
        <v>6049665699</v>
      </c>
      <c r="C65" s="18" t="s">
        <v>88</v>
      </c>
      <c r="D65" s="18" t="s">
        <v>225</v>
      </c>
      <c r="E65" s="34">
        <v>0.4</v>
      </c>
      <c r="F65" s="18" t="s">
        <v>158</v>
      </c>
      <c r="G65" s="19">
        <v>19313</v>
      </c>
      <c r="H65" s="18" t="s">
        <v>55</v>
      </c>
      <c r="I65" s="20" t="s">
        <v>40</v>
      </c>
      <c r="J65" s="20" t="s">
        <v>56</v>
      </c>
      <c r="M65" s="20" t="s">
        <v>57</v>
      </c>
      <c r="N65" s="20" t="s">
        <v>57</v>
      </c>
      <c r="O65" s="20" t="s">
        <v>57</v>
      </c>
      <c r="P65" s="20" t="s">
        <v>453</v>
      </c>
      <c r="Q65" s="20" t="s">
        <v>59</v>
      </c>
      <c r="S65" s="20" t="s">
        <v>78</v>
      </c>
      <c r="T65" s="20" t="s">
        <v>131</v>
      </c>
      <c r="X65" s="20" t="s">
        <v>97</v>
      </c>
      <c r="AC65" s="20" t="s">
        <v>77</v>
      </c>
      <c r="AD65" s="20" t="s">
        <v>454</v>
      </c>
      <c r="AE65" s="20" t="s">
        <v>455</v>
      </c>
      <c r="AT65" s="118" t="s">
        <v>59</v>
      </c>
      <c r="AU65" s="118" t="s">
        <v>59</v>
      </c>
    </row>
    <row r="66" spans="1:47">
      <c r="A66" s="89" t="s">
        <v>456</v>
      </c>
      <c r="B66" s="18">
        <v>4382783526</v>
      </c>
      <c r="C66" s="18" t="s">
        <v>168</v>
      </c>
      <c r="D66" s="18" t="s">
        <v>225</v>
      </c>
      <c r="E66" s="34">
        <v>0.7</v>
      </c>
      <c r="F66" s="18" t="s">
        <v>158</v>
      </c>
      <c r="G66" s="19">
        <v>15433</v>
      </c>
      <c r="H66" s="18" t="s">
        <v>55</v>
      </c>
      <c r="I66" s="20" t="s">
        <v>40</v>
      </c>
      <c r="L66" s="20" t="s">
        <v>56</v>
      </c>
      <c r="M66" s="20" t="s">
        <v>57</v>
      </c>
      <c r="N66" s="20" t="s">
        <v>57</v>
      </c>
      <c r="O66" s="20" t="s">
        <v>57</v>
      </c>
      <c r="P66" s="20" t="s">
        <v>457</v>
      </c>
      <c r="Q66" s="20" t="s">
        <v>59</v>
      </c>
      <c r="S66" s="20" t="s">
        <v>340</v>
      </c>
      <c r="T66" s="20" t="s">
        <v>173</v>
      </c>
      <c r="U66" s="20" t="s">
        <v>458</v>
      </c>
      <c r="V66" s="20" t="s">
        <v>171</v>
      </c>
      <c r="W66" s="20" t="s">
        <v>459</v>
      </c>
      <c r="AC66" s="20" t="s">
        <v>460</v>
      </c>
      <c r="AE66" s="20" t="s">
        <v>461</v>
      </c>
      <c r="AT66" s="118" t="s">
        <v>59</v>
      </c>
      <c r="AU66" s="118" t="s">
        <v>59</v>
      </c>
    </row>
    <row r="67" spans="1:47">
      <c r="A67" s="18"/>
      <c r="B67" s="18"/>
      <c r="C67" s="18"/>
      <c r="D67" s="18"/>
      <c r="E67" s="18"/>
      <c r="F67" s="18"/>
      <c r="G67" s="19"/>
      <c r="H67" s="18"/>
    </row>
    <row r="68" spans="1:47">
      <c r="A68" s="36">
        <f>COUNTA(A7:A66)</f>
        <v>60</v>
      </c>
      <c r="B68" s="36">
        <f t="shared" ref="B68:AU68" si="0">COUNTA(B7:B66)</f>
        <v>60</v>
      </c>
      <c r="C68" s="36">
        <f t="shared" si="0"/>
        <v>60</v>
      </c>
      <c r="D68" s="36">
        <f t="shared" si="0"/>
        <v>60</v>
      </c>
      <c r="E68" s="36">
        <f t="shared" si="0"/>
        <v>60</v>
      </c>
      <c r="F68" s="36">
        <f t="shared" si="0"/>
        <v>60</v>
      </c>
      <c r="G68" s="36">
        <f t="shared" si="0"/>
        <v>60</v>
      </c>
      <c r="H68" s="36">
        <f t="shared" si="0"/>
        <v>60</v>
      </c>
      <c r="I68" s="36">
        <f t="shared" si="0"/>
        <v>60</v>
      </c>
      <c r="J68" s="36">
        <f t="shared" si="0"/>
        <v>30</v>
      </c>
      <c r="K68" s="36">
        <f t="shared" si="0"/>
        <v>0</v>
      </c>
      <c r="L68" s="36">
        <f t="shared" si="0"/>
        <v>30</v>
      </c>
      <c r="M68" s="36">
        <f t="shared" si="0"/>
        <v>60</v>
      </c>
      <c r="N68" s="36">
        <f t="shared" si="0"/>
        <v>60</v>
      </c>
      <c r="O68" s="36">
        <f t="shared" si="0"/>
        <v>60</v>
      </c>
      <c r="P68" s="36">
        <f t="shared" si="0"/>
        <v>55</v>
      </c>
      <c r="Q68" s="36">
        <f t="shared" si="0"/>
        <v>55</v>
      </c>
      <c r="R68" s="36">
        <f t="shared" si="0"/>
        <v>7</v>
      </c>
      <c r="S68" s="36">
        <f t="shared" si="0"/>
        <v>35</v>
      </c>
      <c r="T68" s="36">
        <f t="shared" si="0"/>
        <v>29</v>
      </c>
      <c r="U68" s="36">
        <f t="shared" si="0"/>
        <v>17</v>
      </c>
      <c r="V68" s="36">
        <f t="shared" si="0"/>
        <v>10</v>
      </c>
      <c r="W68" s="36">
        <f t="shared" si="0"/>
        <v>7</v>
      </c>
      <c r="X68" s="36">
        <f t="shared" si="0"/>
        <v>8</v>
      </c>
      <c r="Y68" s="36">
        <f t="shared" si="0"/>
        <v>5</v>
      </c>
      <c r="Z68" s="36">
        <f t="shared" si="0"/>
        <v>2</v>
      </c>
      <c r="AA68" s="36">
        <f t="shared" si="0"/>
        <v>1</v>
      </c>
      <c r="AB68" s="36">
        <f t="shared" si="0"/>
        <v>1</v>
      </c>
      <c r="AC68" s="36">
        <f t="shared" si="0"/>
        <v>17</v>
      </c>
      <c r="AD68" s="36">
        <f t="shared" si="0"/>
        <v>12</v>
      </c>
      <c r="AE68" s="36">
        <f t="shared" si="0"/>
        <v>42</v>
      </c>
      <c r="AF68" s="36">
        <f t="shared" si="0"/>
        <v>0</v>
      </c>
      <c r="AG68" s="36">
        <f t="shared" si="0"/>
        <v>0</v>
      </c>
      <c r="AH68" s="36">
        <f t="shared" si="0"/>
        <v>0</v>
      </c>
      <c r="AI68" s="36">
        <f t="shared" si="0"/>
        <v>0</v>
      </c>
      <c r="AJ68" s="36">
        <f t="shared" si="0"/>
        <v>0</v>
      </c>
      <c r="AK68" s="36">
        <f t="shared" si="0"/>
        <v>0</v>
      </c>
      <c r="AL68" s="36">
        <f t="shared" si="0"/>
        <v>0</v>
      </c>
      <c r="AM68" s="36">
        <f t="shared" si="0"/>
        <v>0</v>
      </c>
      <c r="AN68" s="36">
        <f t="shared" si="0"/>
        <v>0</v>
      </c>
      <c r="AO68" s="36">
        <f t="shared" si="0"/>
        <v>0</v>
      </c>
      <c r="AP68" s="36">
        <f t="shared" si="0"/>
        <v>0</v>
      </c>
      <c r="AQ68" s="36">
        <f t="shared" si="0"/>
        <v>0</v>
      </c>
      <c r="AR68" s="36">
        <f t="shared" si="0"/>
        <v>0</v>
      </c>
      <c r="AS68" s="36">
        <f t="shared" si="0"/>
        <v>0</v>
      </c>
      <c r="AT68" s="125">
        <f t="shared" si="0"/>
        <v>40</v>
      </c>
      <c r="AU68" s="125">
        <f t="shared" si="0"/>
        <v>49</v>
      </c>
    </row>
    <row r="69" spans="1:47">
      <c r="A69" s="18"/>
      <c r="B69" s="18"/>
      <c r="C69" s="18"/>
      <c r="D69" s="18"/>
      <c r="E69" s="18"/>
      <c r="F69" s="18"/>
      <c r="G69" s="19"/>
      <c r="H69" s="18"/>
    </row>
    <row r="70" spans="1:47">
      <c r="A70" s="18"/>
      <c r="B70" s="18"/>
      <c r="C70" s="18"/>
      <c r="D70" s="18"/>
      <c r="E70" s="18"/>
      <c r="F70" s="18"/>
      <c r="G70" s="19"/>
      <c r="H70" s="18"/>
    </row>
    <row r="71" spans="1:47">
      <c r="A71" s="18"/>
      <c r="B71" s="18"/>
      <c r="C71" s="18"/>
      <c r="D71" s="18"/>
      <c r="E71" s="18"/>
      <c r="F71" s="18"/>
      <c r="G71" s="19"/>
      <c r="H71" s="18"/>
    </row>
    <row r="72" spans="1:47">
      <c r="A72" s="18"/>
      <c r="B72" s="18"/>
      <c r="C72" s="18"/>
      <c r="D72" s="18"/>
      <c r="E72" s="18"/>
      <c r="F72" s="18"/>
      <c r="G72" s="19"/>
      <c r="H72" s="18"/>
    </row>
    <row r="73" spans="1:47">
      <c r="A73" s="18"/>
      <c r="B73" s="18"/>
      <c r="C73" s="18"/>
      <c r="D73" s="18"/>
      <c r="E73" s="18"/>
      <c r="F73" s="18"/>
      <c r="G73" s="19"/>
      <c r="H73" s="18"/>
    </row>
    <row r="74" spans="1:47">
      <c r="A74" s="18"/>
      <c r="B74" s="18"/>
      <c r="C74" s="18"/>
      <c r="D74" s="18"/>
      <c r="E74" s="18"/>
      <c r="F74" s="18"/>
      <c r="G74" s="19"/>
      <c r="H74" s="18"/>
    </row>
    <row r="75" spans="1:47">
      <c r="A75" s="18"/>
      <c r="B75" s="18"/>
      <c r="C75" s="18"/>
      <c r="D75" s="18"/>
      <c r="E75" s="18"/>
      <c r="F75" s="18"/>
      <c r="G75" s="19"/>
      <c r="H75" s="18"/>
    </row>
    <row r="76" spans="1:47">
      <c r="A76" s="18"/>
      <c r="B76" s="18"/>
      <c r="C76" s="18"/>
      <c r="D76" s="18"/>
      <c r="E76" s="18"/>
      <c r="F76" s="18"/>
      <c r="G76" s="19"/>
      <c r="H76" s="18"/>
    </row>
    <row r="77" spans="1:47">
      <c r="A77" s="18"/>
      <c r="B77" s="18"/>
      <c r="C77" s="18"/>
      <c r="D77" s="18"/>
      <c r="E77" s="18"/>
      <c r="F77" s="18"/>
      <c r="G77" s="19"/>
      <c r="H77" s="18"/>
    </row>
    <row r="78" spans="1:47">
      <c r="A78" s="18"/>
      <c r="B78" s="18"/>
      <c r="C78" s="18"/>
      <c r="D78" s="18"/>
      <c r="E78" s="18"/>
      <c r="F78" s="18"/>
      <c r="G78" s="19"/>
      <c r="H78" s="18"/>
    </row>
    <row r="79" spans="1:47">
      <c r="A79" s="18"/>
      <c r="B79" s="18"/>
      <c r="C79" s="18"/>
      <c r="D79" s="18"/>
      <c r="E79" s="18"/>
      <c r="F79" s="18"/>
      <c r="G79" s="19"/>
      <c r="H79" s="18"/>
    </row>
    <row r="80" spans="1:47">
      <c r="A80" s="18"/>
      <c r="B80" s="18"/>
      <c r="C80" s="18"/>
      <c r="D80" s="18"/>
      <c r="E80" s="18"/>
      <c r="F80" s="18"/>
      <c r="G80" s="19"/>
      <c r="H80" s="18"/>
    </row>
    <row r="81" spans="1:8">
      <c r="A81" s="18"/>
      <c r="B81" s="18"/>
      <c r="C81" s="18"/>
      <c r="D81" s="18"/>
      <c r="E81" s="18"/>
      <c r="F81" s="18"/>
      <c r="G81" s="19"/>
      <c r="H81" s="18"/>
    </row>
    <row r="82" spans="1:8">
      <c r="A82" s="18"/>
      <c r="B82" s="18"/>
      <c r="C82" s="18"/>
      <c r="D82" s="18"/>
      <c r="E82" s="18"/>
      <c r="F82" s="18"/>
      <c r="G82" s="19"/>
      <c r="H82" s="18"/>
    </row>
    <row r="83" spans="1:8">
      <c r="A83" s="18"/>
      <c r="B83" s="18"/>
      <c r="C83" s="18"/>
      <c r="D83" s="18"/>
      <c r="E83" s="18"/>
      <c r="F83" s="18"/>
      <c r="G83" s="19"/>
      <c r="H83" s="18"/>
    </row>
    <row r="84" spans="1:8">
      <c r="A84" s="18"/>
      <c r="B84" s="18"/>
      <c r="C84" s="18"/>
      <c r="D84" s="18"/>
      <c r="E84" s="18"/>
      <c r="F84" s="18"/>
      <c r="G84" s="19"/>
      <c r="H84" s="18"/>
    </row>
    <row r="85" spans="1:8">
      <c r="A85" s="18"/>
      <c r="B85" s="18"/>
      <c r="C85" s="18"/>
      <c r="D85" s="18"/>
      <c r="E85" s="18"/>
      <c r="F85" s="18"/>
      <c r="G85" s="19"/>
      <c r="H85" s="18"/>
    </row>
    <row r="86" spans="1:8">
      <c r="A86" s="18"/>
      <c r="B86" s="18"/>
      <c r="C86" s="18"/>
      <c r="D86" s="18"/>
      <c r="E86" s="18"/>
      <c r="F86" s="18"/>
      <c r="G86" s="19"/>
      <c r="H86" s="18"/>
    </row>
    <row r="87" spans="1:8">
      <c r="A87" s="18"/>
      <c r="B87" s="18"/>
      <c r="C87" s="18"/>
      <c r="D87" s="18"/>
      <c r="E87" s="18"/>
      <c r="F87" s="18"/>
      <c r="G87" s="19"/>
      <c r="H87" s="18"/>
    </row>
    <row r="88" spans="1:8">
      <c r="A88" s="18"/>
      <c r="B88" s="18"/>
      <c r="C88" s="18"/>
      <c r="D88" s="18"/>
      <c r="E88" s="18"/>
      <c r="F88" s="18"/>
      <c r="G88" s="19"/>
      <c r="H88" s="18"/>
    </row>
    <row r="89" spans="1:8">
      <c r="A89" s="18"/>
      <c r="B89" s="18"/>
      <c r="C89" s="18"/>
      <c r="D89" s="18"/>
      <c r="E89" s="18"/>
      <c r="F89" s="18"/>
      <c r="G89" s="19"/>
      <c r="H89" s="18"/>
    </row>
    <row r="90" spans="1:8">
      <c r="A90" s="18"/>
      <c r="B90" s="18"/>
      <c r="C90" s="18"/>
      <c r="D90" s="18"/>
      <c r="E90" s="18"/>
      <c r="F90" s="18"/>
      <c r="G90" s="19"/>
      <c r="H90" s="18"/>
    </row>
    <row r="91" spans="1:8">
      <c r="A91" s="18"/>
      <c r="B91" s="18"/>
      <c r="C91" s="18"/>
      <c r="D91" s="18"/>
      <c r="E91" s="18"/>
      <c r="F91" s="18"/>
      <c r="G91" s="19"/>
      <c r="H91" s="18"/>
    </row>
    <row r="92" spans="1:8">
      <c r="A92" s="18"/>
      <c r="B92" s="18"/>
      <c r="C92" s="18"/>
      <c r="D92" s="18"/>
      <c r="E92" s="18"/>
      <c r="F92" s="18"/>
      <c r="G92" s="19"/>
      <c r="H92" s="18"/>
    </row>
    <row r="93" spans="1:8">
      <c r="A93" s="18"/>
      <c r="B93" s="18"/>
      <c r="C93" s="18"/>
      <c r="D93" s="18"/>
      <c r="E93" s="18"/>
      <c r="F93" s="18"/>
      <c r="G93" s="19"/>
      <c r="H93" s="18"/>
    </row>
    <row r="94" spans="1:8">
      <c r="A94" s="18"/>
      <c r="B94" s="18"/>
      <c r="C94" s="18"/>
      <c r="D94" s="18"/>
      <c r="E94" s="18"/>
      <c r="F94" s="18"/>
      <c r="G94" s="19"/>
      <c r="H94" s="18"/>
    </row>
    <row r="95" spans="1:8">
      <c r="A95" s="18"/>
      <c r="B95" s="18"/>
      <c r="C95" s="18"/>
      <c r="D95" s="18"/>
      <c r="E95" s="18"/>
      <c r="F95" s="18"/>
      <c r="G95" s="19"/>
      <c r="H95" s="18"/>
    </row>
    <row r="96" spans="1:8">
      <c r="A96" s="18"/>
      <c r="B96" s="18"/>
      <c r="C96" s="18"/>
      <c r="D96" s="18"/>
      <c r="E96" s="18"/>
      <c r="F96" s="18"/>
      <c r="G96" s="19"/>
      <c r="H96" s="18"/>
    </row>
    <row r="97" spans="1:8">
      <c r="A97" s="18"/>
      <c r="B97" s="18"/>
      <c r="C97" s="18"/>
      <c r="D97" s="18"/>
      <c r="E97" s="18"/>
      <c r="F97" s="18"/>
      <c r="G97" s="19"/>
      <c r="H97" s="18"/>
    </row>
    <row r="98" spans="1:8">
      <c r="A98" s="18"/>
      <c r="B98" s="18"/>
      <c r="C98" s="18"/>
      <c r="D98" s="18"/>
      <c r="E98" s="18"/>
      <c r="F98" s="18"/>
      <c r="G98" s="19"/>
      <c r="H98" s="18"/>
    </row>
    <row r="99" spans="1:8">
      <c r="A99" s="18"/>
      <c r="B99" s="18"/>
      <c r="C99" s="18"/>
      <c r="D99" s="18"/>
      <c r="E99" s="18"/>
      <c r="F99" s="18"/>
      <c r="G99" s="19"/>
      <c r="H99" s="18"/>
    </row>
    <row r="100" spans="1:8">
      <c r="A100" s="18"/>
      <c r="B100" s="18"/>
      <c r="C100" s="18"/>
      <c r="D100" s="18"/>
      <c r="E100" s="18"/>
      <c r="F100" s="18"/>
      <c r="G100" s="19"/>
      <c r="H100" s="18"/>
    </row>
    <row r="101" spans="1:8">
      <c r="A101" s="18"/>
      <c r="B101" s="18"/>
      <c r="C101" s="18"/>
      <c r="D101" s="18"/>
      <c r="E101" s="18"/>
      <c r="F101" s="18"/>
      <c r="G101" s="19"/>
      <c r="H101" s="18"/>
    </row>
    <row r="102" spans="1:8">
      <c r="A102" s="18"/>
      <c r="B102" s="18"/>
      <c r="C102" s="18"/>
      <c r="D102" s="18"/>
      <c r="E102" s="18"/>
      <c r="F102" s="18"/>
      <c r="G102" s="19"/>
      <c r="H102" s="18"/>
    </row>
    <row r="103" spans="1:8">
      <c r="A103" s="18"/>
      <c r="B103" s="18"/>
      <c r="C103" s="18"/>
      <c r="D103" s="18"/>
      <c r="E103" s="18"/>
      <c r="F103" s="18"/>
      <c r="G103" s="19"/>
      <c r="H103" s="18"/>
    </row>
    <row r="104" spans="1:8">
      <c r="A104" s="18"/>
      <c r="B104" s="18"/>
      <c r="C104" s="18"/>
      <c r="D104" s="18"/>
      <c r="E104" s="18"/>
      <c r="F104" s="18"/>
      <c r="G104" s="19"/>
      <c r="H104" s="18"/>
    </row>
    <row r="105" spans="1:8">
      <c r="A105" s="18"/>
      <c r="B105" s="18"/>
      <c r="C105" s="18"/>
      <c r="D105" s="18"/>
      <c r="E105" s="18"/>
      <c r="F105" s="18"/>
      <c r="G105" s="19"/>
      <c r="H105" s="18"/>
    </row>
    <row r="106" spans="1:8">
      <c r="A106" s="18"/>
      <c r="B106" s="18"/>
      <c r="C106" s="18"/>
      <c r="D106" s="18"/>
      <c r="E106" s="18"/>
      <c r="F106" s="18"/>
      <c r="G106" s="19"/>
      <c r="H106" s="18"/>
    </row>
    <row r="107" spans="1:8">
      <c r="A107" s="18"/>
      <c r="B107" s="18"/>
      <c r="C107" s="18"/>
      <c r="D107" s="18"/>
      <c r="E107" s="18"/>
      <c r="F107" s="18"/>
      <c r="G107" s="19"/>
      <c r="H107" s="18"/>
    </row>
    <row r="108" spans="1:8">
      <c r="A108" s="18"/>
      <c r="B108" s="18"/>
      <c r="C108" s="18"/>
      <c r="D108" s="18"/>
      <c r="E108" s="18"/>
      <c r="F108" s="18"/>
      <c r="G108" s="19"/>
      <c r="H108" s="18"/>
    </row>
    <row r="109" spans="1:8">
      <c r="A109" s="18"/>
      <c r="B109" s="18"/>
      <c r="C109" s="18"/>
      <c r="D109" s="18"/>
      <c r="E109" s="18"/>
      <c r="F109" s="18"/>
      <c r="G109" s="19"/>
      <c r="H109" s="18"/>
    </row>
    <row r="110" spans="1:8">
      <c r="A110" s="18"/>
      <c r="B110" s="18"/>
      <c r="C110" s="18"/>
      <c r="D110" s="18"/>
      <c r="E110" s="18"/>
      <c r="F110" s="18"/>
      <c r="G110" s="19"/>
      <c r="H110" s="18"/>
    </row>
    <row r="111" spans="1:8">
      <c r="A111" s="18"/>
      <c r="B111" s="18"/>
      <c r="C111" s="18"/>
      <c r="D111" s="18"/>
      <c r="E111" s="18"/>
      <c r="F111" s="18"/>
      <c r="G111" s="19"/>
      <c r="H111" s="18"/>
    </row>
    <row r="112" spans="1:8">
      <c r="A112" s="18"/>
      <c r="B112" s="18"/>
      <c r="C112" s="18"/>
      <c r="D112" s="18"/>
      <c r="E112" s="18"/>
      <c r="F112" s="18"/>
      <c r="G112" s="19"/>
      <c r="H112" s="18"/>
    </row>
    <row r="113" spans="7:7">
      <c r="G113" s="21"/>
    </row>
    <row r="114" spans="7:7">
      <c r="G114" s="21"/>
    </row>
    <row r="115" spans="7:7">
      <c r="G115" s="21"/>
    </row>
    <row r="116" spans="7:7">
      <c r="G116" s="21"/>
    </row>
    <row r="117" spans="7:7">
      <c r="G117" s="21"/>
    </row>
    <row r="118" spans="7:7">
      <c r="G118" s="21"/>
    </row>
    <row r="119" spans="7:7">
      <c r="G119" s="21"/>
    </row>
    <row r="120" spans="7:7">
      <c r="G120" s="21"/>
    </row>
    <row r="121" spans="7:7">
      <c r="G121" s="21"/>
    </row>
    <row r="122" spans="7:7">
      <c r="G122" s="21"/>
    </row>
    <row r="123" spans="7:7">
      <c r="G123" s="21"/>
    </row>
    <row r="124" spans="7:7">
      <c r="G124" s="21"/>
    </row>
    <row r="125" spans="7:7">
      <c r="G125" s="21"/>
    </row>
    <row r="126" spans="7:7">
      <c r="G126" s="21"/>
    </row>
    <row r="127" spans="7:7">
      <c r="G127" s="21"/>
    </row>
    <row r="128" spans="7:7">
      <c r="G128" s="21"/>
    </row>
    <row r="129" spans="7:7">
      <c r="G129" s="21"/>
    </row>
    <row r="130" spans="7:7">
      <c r="G130" s="21"/>
    </row>
    <row r="131" spans="7:7">
      <c r="G131" s="21"/>
    </row>
  </sheetData>
  <mergeCells count="18">
    <mergeCell ref="A5:A6"/>
    <mergeCell ref="B5:B6"/>
    <mergeCell ref="C5:C6"/>
    <mergeCell ref="M5:M6"/>
    <mergeCell ref="AH1:AS1"/>
    <mergeCell ref="D5:H5"/>
    <mergeCell ref="I5:I6"/>
    <mergeCell ref="J5:L5"/>
    <mergeCell ref="AT5:AT6"/>
    <mergeCell ref="AU5:AU6"/>
    <mergeCell ref="N5:N6"/>
    <mergeCell ref="O5:O6"/>
    <mergeCell ref="P5:P6"/>
    <mergeCell ref="Q5:Q6"/>
    <mergeCell ref="R5:R6"/>
    <mergeCell ref="S5:AE5"/>
    <mergeCell ref="AJ5:AJ6"/>
    <mergeCell ref="AL5:AP5"/>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3690F-763C-4AD1-A006-8BFC724949F9}">
  <sheetPr codeName="Sheet4"/>
  <dimension ref="A1:AU129"/>
  <sheetViews>
    <sheetView workbookViewId="0">
      <pane xSplit="2" ySplit="4" topLeftCell="AB28" activePane="bottomRight" state="frozen"/>
      <selection pane="bottomRight" activeCell="AK35" sqref="AK35"/>
      <selection pane="bottomLeft"/>
      <selection pane="topRight"/>
    </sheetView>
  </sheetViews>
  <sheetFormatPr defaultColWidth="11" defaultRowHeight="12.75"/>
  <cols>
    <col min="1" max="1" width="11" style="20"/>
    <col min="2" max="2" width="13.75" style="20" bestFit="1" customWidth="1"/>
    <col min="3" max="3" width="29" style="20" bestFit="1" customWidth="1"/>
    <col min="4" max="4" width="11" style="20"/>
    <col min="5" max="6" width="9" style="20"/>
    <col min="7" max="7" width="17.25" style="20" bestFit="1" customWidth="1"/>
    <col min="8" max="8" width="9" style="20"/>
    <col min="9" max="9" width="10.75" style="20" bestFit="1" customWidth="1"/>
    <col min="10" max="12" width="9" style="20"/>
    <col min="13" max="15" width="13.375" style="20" customWidth="1"/>
    <col min="16" max="16" width="55.5" style="20" bestFit="1" customWidth="1"/>
    <col min="17" max="17" width="10.125" style="20" customWidth="1"/>
    <col min="18" max="18" width="20.375" style="20" customWidth="1"/>
    <col min="19" max="27" width="5.5" style="20" customWidth="1"/>
    <col min="28" max="28" width="11" style="20" customWidth="1"/>
    <col min="29" max="30" width="5.5" style="20" customWidth="1"/>
    <col min="31" max="31" width="11" style="20" customWidth="1"/>
    <col min="32" max="32" width="10.125" style="20" hidden="1" customWidth="1"/>
    <col min="33" max="33" width="20.375" style="20" hidden="1" customWidth="1"/>
    <col min="34" max="34" width="10.125" style="20" customWidth="1"/>
    <col min="35" max="35" width="14.25" style="20" customWidth="1"/>
    <col min="36" max="36" width="13.375" style="20" customWidth="1"/>
    <col min="37" max="37" width="14.25" style="20" customWidth="1"/>
    <col min="38" max="42" width="9.625" style="20" customWidth="1"/>
    <col min="43" max="43" width="9" style="20"/>
    <col min="44" max="44" width="13" style="20" bestFit="1" customWidth="1"/>
    <col min="45" max="45" width="9" style="20"/>
    <col min="46" max="46" width="9" style="118"/>
    <col min="47" max="47" width="15.75" style="118" bestFit="1" customWidth="1"/>
    <col min="48" max="16384" width="11" style="20"/>
  </cols>
  <sheetData>
    <row r="1" spans="1:47" s="22" customFormat="1" ht="21">
      <c r="A1" s="85"/>
      <c r="B1" s="86" t="s">
        <v>0</v>
      </c>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92" t="s">
        <v>1</v>
      </c>
      <c r="AI1" s="92"/>
      <c r="AJ1" s="92"/>
      <c r="AK1" s="92"/>
      <c r="AL1" s="92"/>
      <c r="AM1" s="92"/>
      <c r="AN1" s="92"/>
      <c r="AO1" s="92"/>
      <c r="AP1" s="92"/>
      <c r="AQ1" s="92"/>
      <c r="AR1" s="92"/>
      <c r="AS1" s="92"/>
      <c r="AT1" s="120"/>
      <c r="AU1" s="120"/>
    </row>
    <row r="3" spans="1:47" s="22" customFormat="1" ht="21.75" customHeight="1">
      <c r="A3" s="97" t="s">
        <v>5</v>
      </c>
      <c r="B3" s="99" t="s">
        <v>6</v>
      </c>
      <c r="C3" s="99" t="s">
        <v>7</v>
      </c>
      <c r="D3" s="108" t="s">
        <v>8</v>
      </c>
      <c r="E3" s="109"/>
      <c r="F3" s="109"/>
      <c r="G3" s="109"/>
      <c r="H3" s="110"/>
      <c r="I3" s="103" t="s">
        <v>9</v>
      </c>
      <c r="J3" s="103" t="s">
        <v>10</v>
      </c>
      <c r="K3" s="103"/>
      <c r="L3" s="104"/>
      <c r="M3" s="115" t="s">
        <v>11</v>
      </c>
      <c r="N3" s="115" t="s">
        <v>12</v>
      </c>
      <c r="O3" s="111" t="s">
        <v>13</v>
      </c>
      <c r="P3" s="93" t="s">
        <v>14</v>
      </c>
      <c r="Q3" s="93" t="s">
        <v>15</v>
      </c>
      <c r="R3" s="93" t="s">
        <v>16</v>
      </c>
      <c r="S3" s="93" t="s">
        <v>17</v>
      </c>
      <c r="T3" s="93"/>
      <c r="U3" s="93"/>
      <c r="V3" s="93"/>
      <c r="W3" s="93"/>
      <c r="X3" s="93"/>
      <c r="Y3" s="93"/>
      <c r="Z3" s="93"/>
      <c r="AA3" s="93"/>
      <c r="AB3" s="93"/>
      <c r="AC3" s="93"/>
      <c r="AD3" s="93"/>
      <c r="AE3" s="93"/>
      <c r="AF3" s="9"/>
      <c r="AG3" s="9"/>
      <c r="AH3" s="23"/>
      <c r="AI3" s="7"/>
      <c r="AJ3" s="113" t="s">
        <v>18</v>
      </c>
      <c r="AK3" s="7"/>
      <c r="AL3" s="107" t="s">
        <v>19</v>
      </c>
      <c r="AM3" s="107"/>
      <c r="AN3" s="107"/>
      <c r="AO3" s="107"/>
      <c r="AP3" s="107"/>
      <c r="AQ3" s="7"/>
      <c r="AR3" s="7"/>
      <c r="AS3" s="24"/>
      <c r="AT3" s="101" t="s">
        <v>20</v>
      </c>
      <c r="AU3" s="94" t="s">
        <v>21</v>
      </c>
    </row>
    <row r="4" spans="1:47" s="22" customFormat="1" ht="31.5" customHeight="1">
      <c r="A4" s="98"/>
      <c r="B4" s="100"/>
      <c r="C4" s="100"/>
      <c r="D4" s="15" t="s">
        <v>22</v>
      </c>
      <c r="E4" s="33" t="s">
        <v>23</v>
      </c>
      <c r="F4" s="16" t="s">
        <v>24</v>
      </c>
      <c r="G4" s="16" t="s">
        <v>25</v>
      </c>
      <c r="H4" s="17" t="s">
        <v>26</v>
      </c>
      <c r="I4" s="106"/>
      <c r="J4" s="5" t="s">
        <v>27</v>
      </c>
      <c r="K4" s="6" t="s">
        <v>28</v>
      </c>
      <c r="L4" s="8" t="s">
        <v>29</v>
      </c>
      <c r="M4" s="116"/>
      <c r="N4" s="116"/>
      <c r="O4" s="112"/>
      <c r="P4" s="105"/>
      <c r="Q4" s="105"/>
      <c r="R4" s="105"/>
      <c r="S4" s="4" t="s">
        <v>30</v>
      </c>
      <c r="T4" s="4" t="s">
        <v>31</v>
      </c>
      <c r="U4" s="4" t="s">
        <v>32</v>
      </c>
      <c r="V4" s="4" t="s">
        <v>33</v>
      </c>
      <c r="W4" s="4" t="s">
        <v>34</v>
      </c>
      <c r="X4" s="4" t="s">
        <v>35</v>
      </c>
      <c r="Y4" s="4" t="s">
        <v>36</v>
      </c>
      <c r="Z4" s="4" t="s">
        <v>37</v>
      </c>
      <c r="AA4" s="4" t="s">
        <v>38</v>
      </c>
      <c r="AB4" s="4" t="s">
        <v>39</v>
      </c>
      <c r="AC4" s="4" t="s">
        <v>40</v>
      </c>
      <c r="AD4" s="4" t="s">
        <v>41</v>
      </c>
      <c r="AE4" s="4" t="s">
        <v>42</v>
      </c>
      <c r="AF4" s="4" t="s">
        <v>43</v>
      </c>
      <c r="AG4" s="4" t="s">
        <v>7</v>
      </c>
      <c r="AH4" s="25" t="s">
        <v>44</v>
      </c>
      <c r="AI4" s="2" t="s">
        <v>45</v>
      </c>
      <c r="AJ4" s="114"/>
      <c r="AK4" s="2" t="s">
        <v>7</v>
      </c>
      <c r="AL4" s="3" t="s">
        <v>46</v>
      </c>
      <c r="AM4" s="3" t="s">
        <v>46</v>
      </c>
      <c r="AN4" s="3" t="s">
        <v>47</v>
      </c>
      <c r="AO4" s="3" t="s">
        <v>47</v>
      </c>
      <c r="AP4" s="3" t="s">
        <v>40</v>
      </c>
      <c r="AQ4" s="3" t="s">
        <v>48</v>
      </c>
      <c r="AR4" s="3" t="s">
        <v>49</v>
      </c>
      <c r="AS4" s="26" t="s">
        <v>7</v>
      </c>
      <c r="AT4" s="102"/>
      <c r="AU4" s="95"/>
    </row>
    <row r="5" spans="1:47">
      <c r="A5" s="18" t="s">
        <v>462</v>
      </c>
      <c r="B5" s="18">
        <v>6201711902</v>
      </c>
      <c r="C5" s="18" t="s">
        <v>463</v>
      </c>
      <c r="D5" s="18" t="s">
        <v>225</v>
      </c>
      <c r="E5" s="34">
        <v>0.6</v>
      </c>
      <c r="F5" s="18" t="s">
        <v>70</v>
      </c>
      <c r="G5" s="19">
        <v>28195</v>
      </c>
      <c r="H5" s="18" t="s">
        <v>47</v>
      </c>
      <c r="I5" s="20" t="s">
        <v>40</v>
      </c>
      <c r="J5" s="20" t="s">
        <v>56</v>
      </c>
      <c r="M5" s="20" t="s">
        <v>57</v>
      </c>
      <c r="N5" s="20" t="s">
        <v>57</v>
      </c>
      <c r="O5" s="20" t="s">
        <v>57</v>
      </c>
      <c r="R5" s="20" t="s">
        <v>464</v>
      </c>
      <c r="AU5" s="121"/>
    </row>
    <row r="6" spans="1:47">
      <c r="A6" s="18" t="s">
        <v>465</v>
      </c>
      <c r="B6" s="18">
        <v>4508138772</v>
      </c>
      <c r="C6" s="18" t="s">
        <v>466</v>
      </c>
      <c r="D6" s="18" t="s">
        <v>225</v>
      </c>
      <c r="E6" s="34">
        <v>0.2</v>
      </c>
      <c r="F6" s="18" t="s">
        <v>54</v>
      </c>
      <c r="G6" s="19">
        <v>17439</v>
      </c>
      <c r="H6" s="18" t="s">
        <v>47</v>
      </c>
      <c r="I6" s="20" t="s">
        <v>40</v>
      </c>
      <c r="J6" s="20" t="s">
        <v>56</v>
      </c>
      <c r="M6" s="20" t="s">
        <v>57</v>
      </c>
      <c r="N6" s="20" t="s">
        <v>57</v>
      </c>
      <c r="O6" s="20" t="s">
        <v>57</v>
      </c>
      <c r="P6" s="20" t="s">
        <v>467</v>
      </c>
      <c r="Q6" s="20" t="s">
        <v>59</v>
      </c>
      <c r="AE6" s="20" t="s">
        <v>76</v>
      </c>
      <c r="AU6" s="121"/>
    </row>
    <row r="7" spans="1:47">
      <c r="A7" s="18" t="s">
        <v>468</v>
      </c>
      <c r="B7" s="18">
        <v>4980334253</v>
      </c>
      <c r="C7" s="18" t="s">
        <v>463</v>
      </c>
      <c r="D7" s="18" t="s">
        <v>225</v>
      </c>
      <c r="E7" s="34">
        <v>0.2</v>
      </c>
      <c r="F7" s="18" t="s">
        <v>70</v>
      </c>
      <c r="G7" s="19">
        <v>22965</v>
      </c>
      <c r="H7" s="18" t="s">
        <v>47</v>
      </c>
      <c r="I7" s="20" t="s">
        <v>40</v>
      </c>
      <c r="L7" s="20" t="s">
        <v>56</v>
      </c>
      <c r="M7" s="20" t="s">
        <v>57</v>
      </c>
      <c r="N7" s="20" t="s">
        <v>57</v>
      </c>
      <c r="O7" s="20" t="s">
        <v>57</v>
      </c>
      <c r="R7" s="20" t="s">
        <v>464</v>
      </c>
      <c r="AU7" s="121"/>
    </row>
    <row r="8" spans="1:47">
      <c r="A8" s="18" t="s">
        <v>469</v>
      </c>
      <c r="B8" s="18">
        <v>4507687209</v>
      </c>
      <c r="C8" s="18" t="s">
        <v>463</v>
      </c>
      <c r="D8" s="18" t="s">
        <v>225</v>
      </c>
      <c r="E8" s="34">
        <v>0.7</v>
      </c>
      <c r="F8" s="18" t="s">
        <v>70</v>
      </c>
      <c r="G8" s="19">
        <v>17364</v>
      </c>
      <c r="H8" s="18" t="s">
        <v>55</v>
      </c>
      <c r="I8" s="20" t="s">
        <v>40</v>
      </c>
      <c r="J8" s="20" t="s">
        <v>56</v>
      </c>
      <c r="M8" s="20" t="s">
        <v>57</v>
      </c>
      <c r="N8" s="20" t="s">
        <v>57</v>
      </c>
      <c r="O8" s="20" t="s">
        <v>57</v>
      </c>
      <c r="P8" s="20" t="s">
        <v>470</v>
      </c>
      <c r="Q8" s="20" t="s">
        <v>59</v>
      </c>
      <c r="AE8" s="20" t="s">
        <v>76</v>
      </c>
      <c r="AU8" s="121"/>
    </row>
    <row r="9" spans="1:47">
      <c r="A9" s="18" t="s">
        <v>471</v>
      </c>
      <c r="B9" s="18">
        <v>4382264227</v>
      </c>
      <c r="C9" s="18" t="s">
        <v>463</v>
      </c>
      <c r="D9" s="18" t="s">
        <v>225</v>
      </c>
      <c r="E9" s="34">
        <v>0.3</v>
      </c>
      <c r="F9" s="18" t="s">
        <v>70</v>
      </c>
      <c r="G9" s="19">
        <v>15488</v>
      </c>
      <c r="H9" s="18" t="s">
        <v>47</v>
      </c>
      <c r="I9" s="20" t="s">
        <v>40</v>
      </c>
      <c r="J9" s="20" t="s">
        <v>56</v>
      </c>
      <c r="M9" s="20" t="s">
        <v>57</v>
      </c>
      <c r="N9" s="20" t="s">
        <v>57</v>
      </c>
      <c r="O9" s="20" t="s">
        <v>57</v>
      </c>
      <c r="R9" s="20" t="s">
        <v>464</v>
      </c>
      <c r="AU9" s="121"/>
    </row>
    <row r="10" spans="1:47">
      <c r="A10" s="18" t="s">
        <v>472</v>
      </c>
      <c r="B10" s="18">
        <v>4387574720</v>
      </c>
      <c r="C10" s="18" t="s">
        <v>463</v>
      </c>
      <c r="D10" s="18" t="s">
        <v>225</v>
      </c>
      <c r="E10" s="34">
        <v>0.6</v>
      </c>
      <c r="F10" s="18" t="s">
        <v>70</v>
      </c>
      <c r="G10" s="19">
        <v>15979</v>
      </c>
      <c r="H10" s="18" t="s">
        <v>47</v>
      </c>
      <c r="I10" s="20" t="s">
        <v>40</v>
      </c>
      <c r="J10" s="20" t="s">
        <v>56</v>
      </c>
      <c r="M10" s="20" t="s">
        <v>57</v>
      </c>
      <c r="N10" s="20" t="s">
        <v>57</v>
      </c>
      <c r="O10" s="20" t="s">
        <v>57</v>
      </c>
      <c r="R10" s="20" t="s">
        <v>464</v>
      </c>
      <c r="AU10" s="121"/>
    </row>
    <row r="11" spans="1:47">
      <c r="A11" s="18" t="s">
        <v>473</v>
      </c>
      <c r="B11" s="18">
        <v>4342232219</v>
      </c>
      <c r="C11" s="18" t="s">
        <v>466</v>
      </c>
      <c r="D11" s="18" t="s">
        <v>225</v>
      </c>
      <c r="E11" s="34">
        <v>0.2</v>
      </c>
      <c r="F11" s="18" t="s">
        <v>70</v>
      </c>
      <c r="G11" s="19">
        <v>11061</v>
      </c>
      <c r="H11" s="18" t="s">
        <v>55</v>
      </c>
      <c r="I11" s="20" t="s">
        <v>40</v>
      </c>
      <c r="J11" s="20" t="s">
        <v>56</v>
      </c>
      <c r="M11" s="20" t="s">
        <v>57</v>
      </c>
      <c r="N11" s="20" t="s">
        <v>57</v>
      </c>
      <c r="O11" s="20" t="s">
        <v>57</v>
      </c>
      <c r="P11" s="20" t="s">
        <v>474</v>
      </c>
      <c r="Q11" s="20" t="s">
        <v>59</v>
      </c>
      <c r="AE11" s="20" t="s">
        <v>76</v>
      </c>
      <c r="AU11" s="121"/>
    </row>
    <row r="12" spans="1:47">
      <c r="A12" s="18" t="s">
        <v>475</v>
      </c>
      <c r="B12" s="18">
        <v>6501533503</v>
      </c>
      <c r="C12" s="18" t="s">
        <v>463</v>
      </c>
      <c r="D12" s="18" t="s">
        <v>225</v>
      </c>
      <c r="E12" s="34">
        <v>0.7</v>
      </c>
      <c r="F12" s="18" t="s">
        <v>70</v>
      </c>
      <c r="G12" s="19">
        <v>28517</v>
      </c>
      <c r="H12" s="18" t="s">
        <v>47</v>
      </c>
      <c r="I12" s="20" t="s">
        <v>40</v>
      </c>
      <c r="J12" s="20" t="s">
        <v>56</v>
      </c>
      <c r="M12" s="20" t="s">
        <v>57</v>
      </c>
      <c r="N12" s="20" t="s">
        <v>57</v>
      </c>
      <c r="O12" s="20" t="s">
        <v>57</v>
      </c>
      <c r="P12" s="20" t="s">
        <v>476</v>
      </c>
      <c r="Q12" s="20" t="s">
        <v>59</v>
      </c>
      <c r="AE12" s="20" t="s">
        <v>76</v>
      </c>
      <c r="AU12" s="121"/>
    </row>
    <row r="13" spans="1:47">
      <c r="A13" s="18" t="s">
        <v>477</v>
      </c>
      <c r="B13" s="18">
        <v>4860950097</v>
      </c>
      <c r="C13" s="18" t="s">
        <v>463</v>
      </c>
      <c r="D13" s="18" t="s">
        <v>225</v>
      </c>
      <c r="E13" s="34">
        <v>0.7</v>
      </c>
      <c r="F13" s="18" t="s">
        <v>70</v>
      </c>
      <c r="G13" s="19">
        <v>23712</v>
      </c>
      <c r="H13" s="18" t="s">
        <v>47</v>
      </c>
      <c r="I13" s="20" t="s">
        <v>40</v>
      </c>
      <c r="J13" s="20" t="s">
        <v>56</v>
      </c>
      <c r="M13" s="20" t="s">
        <v>57</v>
      </c>
      <c r="N13" s="20" t="s">
        <v>57</v>
      </c>
      <c r="O13" s="20" t="s">
        <v>57</v>
      </c>
      <c r="R13" s="20" t="s">
        <v>464</v>
      </c>
      <c r="AU13" s="121"/>
    </row>
    <row r="14" spans="1:47">
      <c r="A14" s="18" t="s">
        <v>478</v>
      </c>
      <c r="B14" s="18">
        <v>4582581501</v>
      </c>
      <c r="C14" s="18" t="s">
        <v>466</v>
      </c>
      <c r="D14" s="18" t="s">
        <v>225</v>
      </c>
      <c r="E14" s="34">
        <v>0.3</v>
      </c>
      <c r="F14" s="18" t="s">
        <v>54</v>
      </c>
      <c r="G14" s="19">
        <v>19952</v>
      </c>
      <c r="H14" s="18" t="s">
        <v>47</v>
      </c>
      <c r="I14" s="20" t="s">
        <v>40</v>
      </c>
      <c r="J14" s="20" t="s">
        <v>56</v>
      </c>
      <c r="M14" s="20" t="s">
        <v>57</v>
      </c>
      <c r="N14" s="20" t="s">
        <v>57</v>
      </c>
      <c r="O14" s="20" t="s">
        <v>57</v>
      </c>
      <c r="P14" s="20" t="s">
        <v>479</v>
      </c>
      <c r="Q14" s="20" t="s">
        <v>59</v>
      </c>
      <c r="AE14" s="20" t="s">
        <v>76</v>
      </c>
      <c r="AU14" s="121"/>
    </row>
    <row r="15" spans="1:47">
      <c r="A15" s="18" t="s">
        <v>480</v>
      </c>
      <c r="B15" s="18">
        <v>6127266688</v>
      </c>
      <c r="C15" s="18" t="s">
        <v>481</v>
      </c>
      <c r="D15" s="18" t="s">
        <v>225</v>
      </c>
      <c r="E15" s="34">
        <v>0.2</v>
      </c>
      <c r="F15" s="18" t="s">
        <v>70</v>
      </c>
      <c r="G15" s="19">
        <v>17006</v>
      </c>
      <c r="H15" s="18" t="s">
        <v>55</v>
      </c>
      <c r="I15" s="20" t="s">
        <v>40</v>
      </c>
      <c r="J15" s="20" t="s">
        <v>56</v>
      </c>
      <c r="M15" s="20" t="s">
        <v>57</v>
      </c>
      <c r="N15" s="20" t="s">
        <v>57</v>
      </c>
      <c r="O15" s="20" t="s">
        <v>57</v>
      </c>
      <c r="R15" s="20" t="s">
        <v>464</v>
      </c>
      <c r="AU15" s="121"/>
    </row>
    <row r="16" spans="1:47">
      <c r="A16" s="18" t="s">
        <v>482</v>
      </c>
      <c r="B16" s="18">
        <v>4509289413</v>
      </c>
      <c r="C16" s="18" t="s">
        <v>463</v>
      </c>
      <c r="D16" s="18" t="s">
        <v>225</v>
      </c>
      <c r="E16" s="34">
        <v>0.3</v>
      </c>
      <c r="F16" s="18" t="s">
        <v>70</v>
      </c>
      <c r="G16" s="19">
        <v>17961</v>
      </c>
      <c r="H16" s="18" t="s">
        <v>47</v>
      </c>
      <c r="I16" s="20" t="s">
        <v>40</v>
      </c>
      <c r="J16" s="20" t="s">
        <v>56</v>
      </c>
      <c r="M16" s="20" t="s">
        <v>57</v>
      </c>
      <c r="N16" s="20" t="s">
        <v>57</v>
      </c>
      <c r="O16" s="20" t="s">
        <v>57</v>
      </c>
      <c r="R16" s="20" t="s">
        <v>464</v>
      </c>
      <c r="AU16" s="121"/>
    </row>
    <row r="17" spans="1:47">
      <c r="A17" s="18" t="s">
        <v>483</v>
      </c>
      <c r="B17" s="18">
        <v>4382086949</v>
      </c>
      <c r="C17" s="18" t="s">
        <v>463</v>
      </c>
      <c r="D17" s="18" t="s">
        <v>225</v>
      </c>
      <c r="E17" s="34" t="s">
        <v>53</v>
      </c>
      <c r="F17" s="18" t="s">
        <v>54</v>
      </c>
      <c r="G17" s="19">
        <v>16496</v>
      </c>
      <c r="H17" s="18" t="s">
        <v>55</v>
      </c>
      <c r="I17" s="20" t="s">
        <v>40</v>
      </c>
      <c r="J17" s="20" t="s">
        <v>56</v>
      </c>
      <c r="M17" s="20" t="s">
        <v>57</v>
      </c>
      <c r="N17" s="20" t="s">
        <v>57</v>
      </c>
      <c r="O17" s="20" t="s">
        <v>57</v>
      </c>
      <c r="R17" s="20" t="s">
        <v>484</v>
      </c>
      <c r="AU17" s="121"/>
    </row>
    <row r="18" spans="1:47">
      <c r="A18" s="18" t="s">
        <v>485</v>
      </c>
      <c r="B18" s="18">
        <v>6306945407</v>
      </c>
      <c r="C18" s="18" t="s">
        <v>486</v>
      </c>
      <c r="D18" s="18" t="s">
        <v>225</v>
      </c>
      <c r="E18" s="34">
        <v>0.4</v>
      </c>
      <c r="F18" s="18" t="s">
        <v>54</v>
      </c>
      <c r="G18" s="19">
        <v>21551</v>
      </c>
      <c r="H18" s="18" t="s">
        <v>55</v>
      </c>
      <c r="I18" s="20" t="s">
        <v>40</v>
      </c>
      <c r="L18" s="20" t="s">
        <v>56</v>
      </c>
      <c r="M18" s="20" t="s">
        <v>57</v>
      </c>
      <c r="N18" s="20" t="s">
        <v>57</v>
      </c>
      <c r="O18" s="20" t="s">
        <v>57</v>
      </c>
      <c r="R18" s="20" t="s">
        <v>487</v>
      </c>
      <c r="AU18" s="121"/>
    </row>
    <row r="19" spans="1:47">
      <c r="A19" s="18" t="s">
        <v>488</v>
      </c>
      <c r="B19" s="18">
        <v>4343361314</v>
      </c>
      <c r="C19" s="18" t="s">
        <v>466</v>
      </c>
      <c r="D19" s="18" t="s">
        <v>225</v>
      </c>
      <c r="E19" s="34">
        <v>0.5</v>
      </c>
      <c r="F19" s="18" t="s">
        <v>54</v>
      </c>
      <c r="G19" s="19">
        <v>12309</v>
      </c>
      <c r="H19" s="18" t="s">
        <v>47</v>
      </c>
      <c r="I19" s="20" t="s">
        <v>40</v>
      </c>
      <c r="J19" s="20" t="s">
        <v>56</v>
      </c>
      <c r="M19" s="20" t="s">
        <v>57</v>
      </c>
      <c r="N19" s="20" t="s">
        <v>57</v>
      </c>
      <c r="O19" s="20" t="s">
        <v>57</v>
      </c>
      <c r="P19" s="20" t="s">
        <v>489</v>
      </c>
      <c r="Q19" s="20" t="s">
        <v>59</v>
      </c>
      <c r="AE19" s="20" t="s">
        <v>76</v>
      </c>
      <c r="AU19" s="121"/>
    </row>
    <row r="20" spans="1:47">
      <c r="A20" s="18" t="s">
        <v>490</v>
      </c>
      <c r="B20" s="18">
        <v>4362617205</v>
      </c>
      <c r="C20" s="18" t="s">
        <v>486</v>
      </c>
      <c r="D20" s="18" t="s">
        <v>225</v>
      </c>
      <c r="E20" s="34">
        <v>0.3</v>
      </c>
      <c r="F20" s="18" t="s">
        <v>54</v>
      </c>
      <c r="G20" s="19">
        <v>12821</v>
      </c>
      <c r="H20" s="18" t="s">
        <v>47</v>
      </c>
      <c r="I20" s="20" t="s">
        <v>40</v>
      </c>
      <c r="J20" s="20" t="s">
        <v>56</v>
      </c>
      <c r="M20" s="20" t="s">
        <v>57</v>
      </c>
      <c r="N20" s="20" t="s">
        <v>57</v>
      </c>
      <c r="O20" s="20" t="s">
        <v>57</v>
      </c>
      <c r="P20" s="20" t="s">
        <v>491</v>
      </c>
      <c r="Q20" s="20" t="s">
        <v>59</v>
      </c>
      <c r="AE20" s="20" t="s">
        <v>161</v>
      </c>
      <c r="AU20" s="121"/>
    </row>
    <row r="21" spans="1:47">
      <c r="A21" s="18" t="s">
        <v>492</v>
      </c>
      <c r="B21" s="18">
        <v>4540403273</v>
      </c>
      <c r="C21" s="18" t="s">
        <v>466</v>
      </c>
      <c r="D21" s="18" t="s">
        <v>225</v>
      </c>
      <c r="E21" s="34">
        <v>0.3</v>
      </c>
      <c r="F21" s="18" t="s">
        <v>54</v>
      </c>
      <c r="G21" s="19">
        <v>18271</v>
      </c>
      <c r="H21" s="18" t="s">
        <v>47</v>
      </c>
      <c r="I21" s="20" t="s">
        <v>40</v>
      </c>
      <c r="J21" s="20" t="s">
        <v>56</v>
      </c>
      <c r="M21" s="20" t="s">
        <v>57</v>
      </c>
      <c r="N21" s="20" t="s">
        <v>57</v>
      </c>
      <c r="O21" s="20" t="s">
        <v>57</v>
      </c>
      <c r="R21" s="20" t="s">
        <v>493</v>
      </c>
      <c r="AU21" s="121"/>
    </row>
    <row r="22" spans="1:47">
      <c r="A22" s="18" t="s">
        <v>494</v>
      </c>
      <c r="B22" s="18">
        <v>4383316263</v>
      </c>
      <c r="C22" s="18" t="s">
        <v>466</v>
      </c>
      <c r="D22" s="18" t="s">
        <v>225</v>
      </c>
      <c r="E22" s="34" t="s">
        <v>408</v>
      </c>
      <c r="F22" s="18" t="s">
        <v>54</v>
      </c>
      <c r="G22" s="19">
        <v>15289</v>
      </c>
      <c r="H22" s="18" t="s">
        <v>55</v>
      </c>
      <c r="I22" s="20" t="s">
        <v>40</v>
      </c>
      <c r="J22" s="20" t="s">
        <v>56</v>
      </c>
      <c r="M22" s="20" t="s">
        <v>57</v>
      </c>
      <c r="N22" s="20" t="s">
        <v>57</v>
      </c>
      <c r="O22" s="20" t="s">
        <v>57</v>
      </c>
      <c r="P22" s="20" t="s">
        <v>495</v>
      </c>
      <c r="Q22" s="20" t="s">
        <v>59</v>
      </c>
      <c r="AE22" s="20" t="s">
        <v>76</v>
      </c>
      <c r="AU22" s="121"/>
    </row>
    <row r="23" spans="1:47">
      <c r="A23" s="18" t="s">
        <v>496</v>
      </c>
      <c r="B23" s="18">
        <v>4521207219</v>
      </c>
      <c r="C23" s="18" t="s">
        <v>466</v>
      </c>
      <c r="D23" s="18" t="s">
        <v>225</v>
      </c>
      <c r="E23" s="34">
        <v>0.4</v>
      </c>
      <c r="F23" s="18" t="s">
        <v>54</v>
      </c>
      <c r="G23" s="19">
        <v>18883</v>
      </c>
      <c r="H23" s="18" t="s">
        <v>55</v>
      </c>
      <c r="I23" s="20" t="s">
        <v>40</v>
      </c>
      <c r="J23" s="20" t="s">
        <v>56</v>
      </c>
      <c r="M23" s="20" t="s">
        <v>57</v>
      </c>
      <c r="N23" s="20" t="s">
        <v>57</v>
      </c>
      <c r="O23" s="20" t="s">
        <v>57</v>
      </c>
      <c r="P23" s="20" t="s">
        <v>497</v>
      </c>
      <c r="Q23" s="20" t="s">
        <v>59</v>
      </c>
      <c r="AE23" s="20" t="s">
        <v>76</v>
      </c>
      <c r="AU23" s="121"/>
    </row>
    <row r="24" spans="1:47">
      <c r="A24" s="18" t="s">
        <v>498</v>
      </c>
      <c r="B24" s="18">
        <v>4382783658</v>
      </c>
      <c r="C24" s="18" t="s">
        <v>466</v>
      </c>
      <c r="D24" s="18" t="s">
        <v>225</v>
      </c>
      <c r="E24" s="34">
        <v>0.4</v>
      </c>
      <c r="F24" s="18" t="s">
        <v>54</v>
      </c>
      <c r="G24" s="19">
        <v>15806</v>
      </c>
      <c r="H24" s="18" t="s">
        <v>47</v>
      </c>
      <c r="I24" s="20" t="s">
        <v>40</v>
      </c>
      <c r="J24" s="20" t="s">
        <v>56</v>
      </c>
      <c r="M24" s="20" t="s">
        <v>57</v>
      </c>
      <c r="N24" s="20" t="s">
        <v>57</v>
      </c>
      <c r="O24" s="20" t="s">
        <v>57</v>
      </c>
      <c r="P24" s="20" t="s">
        <v>499</v>
      </c>
      <c r="Q24" s="20" t="s">
        <v>59</v>
      </c>
      <c r="AE24" s="20" t="s">
        <v>76</v>
      </c>
      <c r="AT24" s="118" t="s">
        <v>59</v>
      </c>
      <c r="AU24" s="118" t="s">
        <v>59</v>
      </c>
    </row>
    <row r="25" spans="1:47">
      <c r="A25" s="18" t="s">
        <v>500</v>
      </c>
      <c r="B25" s="18">
        <v>4861570220</v>
      </c>
      <c r="C25" s="18" t="s">
        <v>463</v>
      </c>
      <c r="D25" s="18" t="s">
        <v>225</v>
      </c>
      <c r="E25" s="34">
        <v>0.5</v>
      </c>
      <c r="F25" s="18" t="s">
        <v>54</v>
      </c>
      <c r="G25" s="19">
        <v>21885</v>
      </c>
      <c r="H25" s="18" t="s">
        <v>47</v>
      </c>
      <c r="I25" s="20" t="s">
        <v>40</v>
      </c>
      <c r="J25" s="20" t="s">
        <v>56</v>
      </c>
      <c r="M25" s="20" t="s">
        <v>57</v>
      </c>
      <c r="N25" s="20" t="s">
        <v>57</v>
      </c>
      <c r="O25" s="20" t="s">
        <v>57</v>
      </c>
      <c r="P25" s="20" t="s">
        <v>501</v>
      </c>
      <c r="Q25" s="20" t="s">
        <v>59</v>
      </c>
      <c r="AE25" s="20" t="s">
        <v>76</v>
      </c>
      <c r="AT25" s="118" t="s">
        <v>59</v>
      </c>
      <c r="AU25" s="118" t="s">
        <v>59</v>
      </c>
    </row>
    <row r="26" spans="1:47">
      <c r="A26" s="18" t="s">
        <v>502</v>
      </c>
      <c r="B26" s="18">
        <v>4162352542</v>
      </c>
      <c r="C26" s="18" t="s">
        <v>466</v>
      </c>
      <c r="D26" s="18" t="s">
        <v>225</v>
      </c>
      <c r="E26" s="34">
        <v>0.8</v>
      </c>
      <c r="F26" s="18" t="s">
        <v>54</v>
      </c>
      <c r="G26" s="19">
        <v>24213</v>
      </c>
      <c r="H26" s="18" t="s">
        <v>47</v>
      </c>
      <c r="I26" s="20" t="s">
        <v>40</v>
      </c>
      <c r="J26" s="20" t="s">
        <v>56</v>
      </c>
      <c r="M26" s="20" t="s">
        <v>57</v>
      </c>
      <c r="N26" s="20" t="s">
        <v>57</v>
      </c>
      <c r="O26" s="20" t="s">
        <v>57</v>
      </c>
      <c r="P26" s="20" t="s">
        <v>503</v>
      </c>
      <c r="Q26" s="20" t="s">
        <v>59</v>
      </c>
      <c r="AE26" s="20" t="s">
        <v>76</v>
      </c>
      <c r="AT26" s="118" t="s">
        <v>59</v>
      </c>
      <c r="AU26" s="118" t="s">
        <v>59</v>
      </c>
    </row>
    <row r="27" spans="1:47">
      <c r="A27" s="18" t="s">
        <v>504</v>
      </c>
      <c r="B27" s="18">
        <v>4582428274</v>
      </c>
      <c r="C27" s="18" t="s">
        <v>466</v>
      </c>
      <c r="D27" s="18" t="s">
        <v>225</v>
      </c>
      <c r="E27" s="34">
        <v>0.3</v>
      </c>
      <c r="F27" s="18" t="s">
        <v>54</v>
      </c>
      <c r="G27" s="19">
        <v>20075</v>
      </c>
      <c r="H27" s="18" t="s">
        <v>47</v>
      </c>
      <c r="I27" s="20" t="s">
        <v>40</v>
      </c>
      <c r="K27" s="20" t="s">
        <v>56</v>
      </c>
      <c r="M27" s="20" t="s">
        <v>57</v>
      </c>
      <c r="N27" s="20" t="s">
        <v>57</v>
      </c>
      <c r="O27" s="20" t="s">
        <v>57</v>
      </c>
      <c r="P27" s="20" t="s">
        <v>505</v>
      </c>
      <c r="Q27" s="20" t="s">
        <v>59</v>
      </c>
      <c r="AE27" s="20" t="s">
        <v>76</v>
      </c>
      <c r="AT27" s="118" t="s">
        <v>59</v>
      </c>
      <c r="AU27" s="118" t="s">
        <v>59</v>
      </c>
    </row>
    <row r="28" spans="1:47">
      <c r="A28" s="18" t="s">
        <v>506</v>
      </c>
      <c r="B28" s="18">
        <v>4521130445</v>
      </c>
      <c r="C28" s="18" t="s">
        <v>466</v>
      </c>
      <c r="D28" s="18" t="s">
        <v>225</v>
      </c>
      <c r="E28" s="34">
        <v>0.5</v>
      </c>
      <c r="F28" s="18" t="s">
        <v>54</v>
      </c>
      <c r="G28" s="19">
        <v>18924</v>
      </c>
      <c r="H28" s="18" t="s">
        <v>55</v>
      </c>
      <c r="I28" s="20" t="s">
        <v>40</v>
      </c>
      <c r="J28" s="20" t="s">
        <v>56</v>
      </c>
      <c r="M28" s="20" t="s">
        <v>57</v>
      </c>
      <c r="N28" s="20" t="s">
        <v>57</v>
      </c>
      <c r="O28" s="20" t="s">
        <v>57</v>
      </c>
      <c r="P28" s="20" t="s">
        <v>507</v>
      </c>
      <c r="Q28" s="20" t="s">
        <v>59</v>
      </c>
      <c r="AE28" s="20" t="s">
        <v>76</v>
      </c>
      <c r="AT28" s="118" t="s">
        <v>59</v>
      </c>
      <c r="AU28" s="118" t="s">
        <v>59</v>
      </c>
    </row>
    <row r="29" spans="1:47">
      <c r="A29" s="18" t="s">
        <v>508</v>
      </c>
      <c r="B29" s="18">
        <v>7176873704</v>
      </c>
      <c r="C29" s="18" t="s">
        <v>466</v>
      </c>
      <c r="D29" s="18" t="s">
        <v>225</v>
      </c>
      <c r="E29" s="34">
        <v>0.4</v>
      </c>
      <c r="F29" s="18" t="s">
        <v>70</v>
      </c>
      <c r="G29" s="19">
        <v>25569</v>
      </c>
      <c r="H29" s="18" t="s">
        <v>47</v>
      </c>
      <c r="I29" s="20" t="s">
        <v>40</v>
      </c>
      <c r="J29" s="20" t="s">
        <v>56</v>
      </c>
      <c r="M29" s="20" t="s">
        <v>57</v>
      </c>
      <c r="N29" s="20" t="s">
        <v>57</v>
      </c>
      <c r="O29" s="20" t="s">
        <v>57</v>
      </c>
      <c r="P29" s="20" t="s">
        <v>509</v>
      </c>
      <c r="Q29" s="20" t="s">
        <v>59</v>
      </c>
      <c r="AE29" s="20" t="s">
        <v>76</v>
      </c>
      <c r="AT29" s="118" t="s">
        <v>59</v>
      </c>
      <c r="AU29" s="118" t="s">
        <v>59</v>
      </c>
    </row>
    <row r="30" spans="1:47">
      <c r="A30" s="18" t="s">
        <v>510</v>
      </c>
      <c r="B30" s="18">
        <v>4123413250</v>
      </c>
      <c r="C30" s="18" t="s">
        <v>466</v>
      </c>
      <c r="D30" s="18" t="s">
        <v>225</v>
      </c>
      <c r="E30" s="34">
        <v>0.9</v>
      </c>
      <c r="F30" s="18" t="s">
        <v>54</v>
      </c>
      <c r="G30" s="19">
        <v>25162</v>
      </c>
      <c r="H30" s="18" t="s">
        <v>47</v>
      </c>
      <c r="I30" s="20" t="s">
        <v>40</v>
      </c>
      <c r="L30" s="20" t="s">
        <v>56</v>
      </c>
      <c r="M30" s="20" t="s">
        <v>57</v>
      </c>
      <c r="N30" s="20" t="s">
        <v>57</v>
      </c>
      <c r="O30" s="20" t="s">
        <v>57</v>
      </c>
      <c r="P30" s="20" t="s">
        <v>511</v>
      </c>
      <c r="Q30" s="20" t="s">
        <v>59</v>
      </c>
      <c r="AE30" s="20" t="s">
        <v>161</v>
      </c>
      <c r="AT30" s="118" t="s">
        <v>59</v>
      </c>
      <c r="AU30" s="118" t="s">
        <v>59</v>
      </c>
    </row>
    <row r="31" spans="1:47">
      <c r="A31" s="18" t="s">
        <v>512</v>
      </c>
      <c r="B31" s="18">
        <v>4861942470</v>
      </c>
      <c r="C31" s="18" t="s">
        <v>466</v>
      </c>
      <c r="D31" s="18" t="s">
        <v>225</v>
      </c>
      <c r="E31" s="34">
        <v>0.4</v>
      </c>
      <c r="F31" s="18" t="s">
        <v>54</v>
      </c>
      <c r="G31" s="19">
        <v>22625</v>
      </c>
      <c r="H31" s="18" t="s">
        <v>55</v>
      </c>
      <c r="I31" s="20" t="s">
        <v>40</v>
      </c>
      <c r="J31" s="20" t="s">
        <v>56</v>
      </c>
      <c r="M31" s="20" t="s">
        <v>57</v>
      </c>
      <c r="N31" s="20" t="s">
        <v>57</v>
      </c>
      <c r="O31" s="20" t="s">
        <v>57</v>
      </c>
      <c r="P31" s="20" t="s">
        <v>513</v>
      </c>
      <c r="Q31" s="20" t="s">
        <v>59</v>
      </c>
      <c r="AE31" s="20" t="s">
        <v>76</v>
      </c>
      <c r="AT31" s="118" t="s">
        <v>59</v>
      </c>
      <c r="AU31" s="118" t="s">
        <v>59</v>
      </c>
    </row>
    <row r="32" spans="1:47">
      <c r="A32" s="18" t="s">
        <v>514</v>
      </c>
      <c r="B32" s="18">
        <v>4581159016</v>
      </c>
      <c r="C32" s="18" t="s">
        <v>466</v>
      </c>
      <c r="D32" s="18" t="s">
        <v>225</v>
      </c>
      <c r="E32" s="34">
        <v>0.75</v>
      </c>
      <c r="F32" s="18" t="s">
        <v>54</v>
      </c>
      <c r="G32" s="19">
        <v>21427</v>
      </c>
      <c r="H32" s="18" t="s">
        <v>55</v>
      </c>
      <c r="I32" s="20" t="s">
        <v>40</v>
      </c>
      <c r="L32" s="20" t="s">
        <v>56</v>
      </c>
      <c r="M32" s="20" t="s">
        <v>57</v>
      </c>
      <c r="N32" s="20" t="s">
        <v>57</v>
      </c>
      <c r="O32" s="20" t="s">
        <v>57</v>
      </c>
      <c r="P32" s="20" t="s">
        <v>515</v>
      </c>
      <c r="Q32" s="20" t="s">
        <v>59</v>
      </c>
      <c r="AE32" s="20" t="s">
        <v>76</v>
      </c>
      <c r="AT32" s="118" t="s">
        <v>59</v>
      </c>
      <c r="AU32" s="118" t="s">
        <v>59</v>
      </c>
    </row>
    <row r="33" spans="1:47">
      <c r="A33" s="18" t="s">
        <v>516</v>
      </c>
      <c r="B33" s="18">
        <v>4520235782</v>
      </c>
      <c r="C33" s="18" t="s">
        <v>466</v>
      </c>
      <c r="D33" s="18" t="s">
        <v>225</v>
      </c>
      <c r="E33" s="34">
        <v>0.3</v>
      </c>
      <c r="F33" s="18" t="s">
        <v>54</v>
      </c>
      <c r="G33" s="19">
        <v>18139</v>
      </c>
      <c r="H33" s="18" t="s">
        <v>47</v>
      </c>
      <c r="I33" s="20" t="s">
        <v>40</v>
      </c>
      <c r="J33" s="20" t="s">
        <v>56</v>
      </c>
      <c r="M33" s="20" t="s">
        <v>57</v>
      </c>
      <c r="N33" s="20" t="s">
        <v>57</v>
      </c>
      <c r="O33" s="20" t="s">
        <v>57</v>
      </c>
      <c r="P33" s="20" t="s">
        <v>517</v>
      </c>
      <c r="Q33" s="20" t="s">
        <v>59</v>
      </c>
      <c r="AE33" s="20" t="s">
        <v>161</v>
      </c>
      <c r="AT33" s="118" t="s">
        <v>59</v>
      </c>
      <c r="AU33" s="118" t="s">
        <v>59</v>
      </c>
    </row>
    <row r="34" spans="1:47">
      <c r="A34" s="18" t="s">
        <v>518</v>
      </c>
      <c r="B34" s="18">
        <v>4508868479</v>
      </c>
      <c r="C34" s="18" t="s">
        <v>466</v>
      </c>
      <c r="D34" s="18" t="s">
        <v>225</v>
      </c>
      <c r="E34" s="34">
        <v>0.6</v>
      </c>
      <c r="F34" s="18" t="s">
        <v>54</v>
      </c>
      <c r="G34" s="19">
        <v>17672</v>
      </c>
      <c r="H34" s="18" t="s">
        <v>55</v>
      </c>
      <c r="I34" s="20" t="s">
        <v>40</v>
      </c>
      <c r="J34" s="20" t="s">
        <v>56</v>
      </c>
      <c r="M34" s="20" t="s">
        <v>57</v>
      </c>
      <c r="N34" s="20" t="s">
        <v>57</v>
      </c>
      <c r="O34" s="20" t="s">
        <v>57</v>
      </c>
      <c r="P34" s="20" t="s">
        <v>519</v>
      </c>
      <c r="Q34" s="20" t="s">
        <v>59</v>
      </c>
      <c r="AE34" s="20" t="s">
        <v>76</v>
      </c>
      <c r="AT34" s="118" t="s">
        <v>59</v>
      </c>
      <c r="AU34" s="118" t="s">
        <v>59</v>
      </c>
    </row>
    <row r="35" spans="1:47">
      <c r="A35" s="18" t="s">
        <v>520</v>
      </c>
      <c r="B35" s="18">
        <v>4520973376</v>
      </c>
      <c r="C35" s="18" t="s">
        <v>466</v>
      </c>
      <c r="D35" s="18" t="s">
        <v>225</v>
      </c>
      <c r="E35" s="34">
        <v>0.3</v>
      </c>
      <c r="F35" s="18" t="s">
        <v>70</v>
      </c>
      <c r="G35" s="19">
        <v>18612</v>
      </c>
      <c r="H35" s="18" t="s">
        <v>55</v>
      </c>
      <c r="I35" s="20" t="s">
        <v>40</v>
      </c>
      <c r="J35" s="20" t="s">
        <v>56</v>
      </c>
      <c r="M35" s="20" t="s">
        <v>57</v>
      </c>
      <c r="N35" s="20" t="s">
        <v>57</v>
      </c>
      <c r="O35" s="20" t="s">
        <v>57</v>
      </c>
      <c r="P35" s="20" t="s">
        <v>521</v>
      </c>
      <c r="Q35" s="20" t="s">
        <v>59</v>
      </c>
      <c r="AE35" s="20" t="s">
        <v>76</v>
      </c>
      <c r="AT35" s="118" t="s">
        <v>59</v>
      </c>
      <c r="AU35" s="118" t="s">
        <v>59</v>
      </c>
    </row>
    <row r="36" spans="1:47">
      <c r="A36" s="18" t="s">
        <v>522</v>
      </c>
      <c r="B36" s="18">
        <v>4582872794</v>
      </c>
      <c r="C36" s="18" t="s">
        <v>466</v>
      </c>
      <c r="D36" s="18" t="s">
        <v>225</v>
      </c>
      <c r="E36" s="34">
        <v>0.5</v>
      </c>
      <c r="F36" s="18" t="s">
        <v>54</v>
      </c>
      <c r="G36" s="19">
        <v>20042</v>
      </c>
      <c r="H36" s="18" t="s">
        <v>47</v>
      </c>
      <c r="I36" s="20" t="s">
        <v>40</v>
      </c>
      <c r="L36" s="20" t="s">
        <v>56</v>
      </c>
      <c r="M36" s="20" t="s">
        <v>57</v>
      </c>
      <c r="N36" s="20" t="s">
        <v>57</v>
      </c>
      <c r="O36" s="20" t="s">
        <v>57</v>
      </c>
      <c r="P36" s="20" t="s">
        <v>523</v>
      </c>
      <c r="Q36" s="20" t="s">
        <v>59</v>
      </c>
      <c r="AE36" s="20" t="s">
        <v>76</v>
      </c>
      <c r="AT36" s="118" t="s">
        <v>59</v>
      </c>
      <c r="AU36" s="118" t="s">
        <v>59</v>
      </c>
    </row>
    <row r="37" spans="1:47">
      <c r="A37" s="18" t="s">
        <v>524</v>
      </c>
      <c r="B37" s="18">
        <v>4581179483</v>
      </c>
      <c r="C37" s="18" t="s">
        <v>466</v>
      </c>
      <c r="D37" s="18" t="s">
        <v>225</v>
      </c>
      <c r="E37" s="34" t="s">
        <v>338</v>
      </c>
      <c r="F37" s="18" t="s">
        <v>54</v>
      </c>
      <c r="G37" s="19">
        <v>19116</v>
      </c>
      <c r="H37" s="18" t="s">
        <v>47</v>
      </c>
      <c r="I37" s="20" t="s">
        <v>40</v>
      </c>
      <c r="L37" s="20" t="s">
        <v>56</v>
      </c>
      <c r="M37" s="20" t="s">
        <v>57</v>
      </c>
      <c r="N37" s="20" t="s">
        <v>57</v>
      </c>
      <c r="O37" s="20" t="s">
        <v>57</v>
      </c>
      <c r="P37" s="20" t="s">
        <v>525</v>
      </c>
      <c r="Q37" s="20" t="s">
        <v>59</v>
      </c>
      <c r="AE37" s="20" t="s">
        <v>76</v>
      </c>
      <c r="AT37" s="118" t="s">
        <v>59</v>
      </c>
      <c r="AU37" s="118" t="s">
        <v>59</v>
      </c>
    </row>
    <row r="38" spans="1:47">
      <c r="A38" s="18" t="s">
        <v>526</v>
      </c>
      <c r="B38" s="18">
        <v>4380966666</v>
      </c>
      <c r="C38" s="18" t="s">
        <v>466</v>
      </c>
      <c r="D38" s="18" t="s">
        <v>225</v>
      </c>
      <c r="E38" s="34">
        <v>0.6</v>
      </c>
      <c r="F38" s="18" t="s">
        <v>54</v>
      </c>
      <c r="G38" s="19">
        <v>16162</v>
      </c>
      <c r="H38" s="18" t="s">
        <v>47</v>
      </c>
      <c r="I38" s="20" t="s">
        <v>40</v>
      </c>
      <c r="J38" s="20" t="s">
        <v>56</v>
      </c>
      <c r="M38" s="20" t="s">
        <v>57</v>
      </c>
      <c r="N38" s="20" t="s">
        <v>57</v>
      </c>
      <c r="O38" s="20" t="s">
        <v>57</v>
      </c>
      <c r="P38" s="20" t="s">
        <v>527</v>
      </c>
      <c r="Q38" s="20" t="s">
        <v>59</v>
      </c>
      <c r="AE38" s="20" t="s">
        <v>76</v>
      </c>
      <c r="AT38" s="118" t="s">
        <v>59</v>
      </c>
      <c r="AU38" s="118" t="s">
        <v>59</v>
      </c>
    </row>
    <row r="39" spans="1:47">
      <c r="A39" s="18" t="s">
        <v>528</v>
      </c>
      <c r="B39" s="18">
        <v>4382274427</v>
      </c>
      <c r="C39" s="18" t="s">
        <v>463</v>
      </c>
      <c r="D39" s="18" t="s">
        <v>225</v>
      </c>
      <c r="E39" s="34">
        <v>0.4</v>
      </c>
      <c r="F39" s="18" t="s">
        <v>54</v>
      </c>
      <c r="G39" s="19">
        <v>15910</v>
      </c>
      <c r="H39" s="18" t="s">
        <v>47</v>
      </c>
      <c r="I39" s="20" t="s">
        <v>40</v>
      </c>
      <c r="J39" s="20" t="s">
        <v>56</v>
      </c>
      <c r="M39" s="20" t="s">
        <v>57</v>
      </c>
      <c r="N39" s="20" t="s">
        <v>57</v>
      </c>
      <c r="O39" s="20" t="s">
        <v>57</v>
      </c>
      <c r="P39" s="20" t="s">
        <v>529</v>
      </c>
      <c r="Q39" s="20" t="s">
        <v>59</v>
      </c>
      <c r="AE39" s="20" t="s">
        <v>76</v>
      </c>
      <c r="AT39" s="118" t="s">
        <v>59</v>
      </c>
      <c r="AU39" s="118" t="s">
        <v>59</v>
      </c>
    </row>
    <row r="40" spans="1:47">
      <c r="A40" s="18" t="s">
        <v>530</v>
      </c>
      <c r="B40" s="18">
        <v>4342999633</v>
      </c>
      <c r="C40" s="18" t="s">
        <v>466</v>
      </c>
      <c r="D40" s="18" t="s">
        <v>225</v>
      </c>
      <c r="E40" s="34">
        <v>0.5</v>
      </c>
      <c r="F40" s="18" t="s">
        <v>54</v>
      </c>
      <c r="G40" s="19">
        <v>12969</v>
      </c>
      <c r="H40" s="18" t="s">
        <v>55</v>
      </c>
      <c r="I40" s="20" t="s">
        <v>40</v>
      </c>
      <c r="J40" s="20" t="s">
        <v>56</v>
      </c>
      <c r="M40" s="20" t="s">
        <v>57</v>
      </c>
      <c r="N40" s="20" t="s">
        <v>57</v>
      </c>
      <c r="O40" s="20" t="s">
        <v>57</v>
      </c>
      <c r="P40" s="20" t="s">
        <v>531</v>
      </c>
      <c r="Q40" s="20" t="s">
        <v>59</v>
      </c>
      <c r="AE40" s="20" t="s">
        <v>76</v>
      </c>
      <c r="AT40" s="118" t="s">
        <v>59</v>
      </c>
      <c r="AU40" s="118" t="s">
        <v>59</v>
      </c>
    </row>
    <row r="41" spans="1:47">
      <c r="A41" s="18" t="s">
        <v>532</v>
      </c>
      <c r="B41" s="18">
        <v>4387546883</v>
      </c>
      <c r="C41" s="18" t="s">
        <v>466</v>
      </c>
      <c r="D41" s="18" t="s">
        <v>225</v>
      </c>
      <c r="E41" s="34">
        <v>0.3</v>
      </c>
      <c r="F41" s="18" t="s">
        <v>54</v>
      </c>
      <c r="G41" s="19">
        <v>14853</v>
      </c>
      <c r="H41" s="18" t="s">
        <v>55</v>
      </c>
      <c r="I41" s="20" t="s">
        <v>40</v>
      </c>
      <c r="L41" s="20" t="s">
        <v>56</v>
      </c>
      <c r="M41" s="20" t="s">
        <v>57</v>
      </c>
      <c r="N41" s="20" t="s">
        <v>57</v>
      </c>
      <c r="O41" s="20" t="s">
        <v>57</v>
      </c>
      <c r="P41" s="20" t="s">
        <v>533</v>
      </c>
      <c r="Q41" s="20" t="s">
        <v>59</v>
      </c>
      <c r="AE41" s="20" t="s">
        <v>76</v>
      </c>
      <c r="AT41" s="118" t="s">
        <v>59</v>
      </c>
      <c r="AU41" s="118" t="s">
        <v>59</v>
      </c>
    </row>
    <row r="42" spans="1:47">
      <c r="A42" s="18" t="s">
        <v>534</v>
      </c>
      <c r="B42" s="18">
        <v>4861594103</v>
      </c>
      <c r="C42" s="18" t="s">
        <v>466</v>
      </c>
      <c r="D42" s="18" t="s">
        <v>225</v>
      </c>
      <c r="E42" s="34">
        <v>0.4</v>
      </c>
      <c r="F42" s="18" t="s">
        <v>54</v>
      </c>
      <c r="G42" s="19">
        <v>21521</v>
      </c>
      <c r="H42" s="18" t="s">
        <v>55</v>
      </c>
      <c r="I42" s="20" t="s">
        <v>40</v>
      </c>
      <c r="J42" s="20" t="s">
        <v>56</v>
      </c>
      <c r="M42" s="20" t="s">
        <v>57</v>
      </c>
      <c r="N42" s="20" t="s">
        <v>57</v>
      </c>
      <c r="O42" s="20" t="s">
        <v>57</v>
      </c>
      <c r="P42" s="20" t="s">
        <v>535</v>
      </c>
      <c r="Q42" s="20" t="s">
        <v>59</v>
      </c>
      <c r="AE42" s="20" t="s">
        <v>76</v>
      </c>
      <c r="AT42" s="118" t="s">
        <v>59</v>
      </c>
      <c r="AU42" s="118" t="s">
        <v>59</v>
      </c>
    </row>
    <row r="43" spans="1:47">
      <c r="A43" s="18" t="s">
        <v>536</v>
      </c>
      <c r="B43" s="18">
        <v>4642347461</v>
      </c>
      <c r="C43" s="18" t="s">
        <v>466</v>
      </c>
      <c r="D43" s="18" t="s">
        <v>225</v>
      </c>
      <c r="E43" s="34" t="s">
        <v>152</v>
      </c>
      <c r="F43" s="18" t="s">
        <v>54</v>
      </c>
      <c r="G43" s="19">
        <v>13242</v>
      </c>
      <c r="H43" s="18" t="s">
        <v>47</v>
      </c>
      <c r="I43" s="20" t="s">
        <v>40</v>
      </c>
      <c r="J43" s="20" t="s">
        <v>56</v>
      </c>
      <c r="M43" s="20" t="s">
        <v>57</v>
      </c>
      <c r="N43" s="20" t="s">
        <v>57</v>
      </c>
      <c r="O43" s="20" t="s">
        <v>57</v>
      </c>
      <c r="P43" s="20" t="s">
        <v>537</v>
      </c>
      <c r="Q43" s="20" t="s">
        <v>59</v>
      </c>
      <c r="AE43" s="20" t="s">
        <v>76</v>
      </c>
      <c r="AT43" s="118" t="s">
        <v>59</v>
      </c>
      <c r="AU43" s="118" t="s">
        <v>59</v>
      </c>
    </row>
    <row r="44" spans="1:47">
      <c r="A44" s="18" t="s">
        <v>538</v>
      </c>
      <c r="B44" s="18">
        <v>4382182409</v>
      </c>
      <c r="C44" s="18" t="s">
        <v>466</v>
      </c>
      <c r="D44" s="18" t="s">
        <v>225</v>
      </c>
      <c r="E44" s="34" t="s">
        <v>427</v>
      </c>
      <c r="F44" s="18" t="s">
        <v>54</v>
      </c>
      <c r="G44" s="19">
        <v>15941</v>
      </c>
      <c r="H44" s="18" t="s">
        <v>47</v>
      </c>
      <c r="I44" s="20" t="s">
        <v>40</v>
      </c>
      <c r="J44" s="20" t="s">
        <v>56</v>
      </c>
      <c r="M44" s="20" t="s">
        <v>57</v>
      </c>
      <c r="N44" s="20" t="s">
        <v>57</v>
      </c>
      <c r="O44" s="20" t="s">
        <v>57</v>
      </c>
      <c r="P44" s="20" t="s">
        <v>539</v>
      </c>
      <c r="Q44" s="20" t="s">
        <v>59</v>
      </c>
      <c r="AE44" s="20" t="s">
        <v>76</v>
      </c>
      <c r="AT44" s="118" t="s">
        <v>59</v>
      </c>
      <c r="AU44" s="118" t="s">
        <v>59</v>
      </c>
    </row>
    <row r="45" spans="1:47">
      <c r="A45" s="18" t="s">
        <v>540</v>
      </c>
      <c r="B45" s="18">
        <v>4125920826</v>
      </c>
      <c r="C45" s="18" t="s">
        <v>466</v>
      </c>
      <c r="D45" s="18" t="s">
        <v>225</v>
      </c>
      <c r="E45" s="34">
        <v>0.6</v>
      </c>
      <c r="F45" s="18" t="s">
        <v>54</v>
      </c>
      <c r="G45" s="19">
        <v>23856</v>
      </c>
      <c r="H45" s="18" t="s">
        <v>55</v>
      </c>
      <c r="I45" s="20" t="s">
        <v>40</v>
      </c>
      <c r="J45" s="20" t="s">
        <v>56</v>
      </c>
      <c r="M45" s="20" t="s">
        <v>57</v>
      </c>
      <c r="N45" s="20" t="s">
        <v>57</v>
      </c>
      <c r="O45" s="20" t="s">
        <v>57</v>
      </c>
      <c r="P45" s="20" t="s">
        <v>541</v>
      </c>
      <c r="Q45" s="20" t="s">
        <v>59</v>
      </c>
      <c r="AE45" s="20" t="s">
        <v>76</v>
      </c>
      <c r="AT45" s="118" t="s">
        <v>59</v>
      </c>
      <c r="AU45" s="118" t="s">
        <v>59</v>
      </c>
    </row>
    <row r="46" spans="1:47">
      <c r="A46" s="18" t="s">
        <v>542</v>
      </c>
      <c r="B46" s="18">
        <v>6355208933</v>
      </c>
      <c r="C46" s="18" t="s">
        <v>466</v>
      </c>
      <c r="D46" s="18" t="s">
        <v>225</v>
      </c>
      <c r="E46" s="34">
        <v>0.5</v>
      </c>
      <c r="F46" s="18" t="s">
        <v>54</v>
      </c>
      <c r="G46" s="19">
        <v>16949</v>
      </c>
      <c r="H46" s="18" t="s">
        <v>47</v>
      </c>
      <c r="I46" s="20" t="s">
        <v>40</v>
      </c>
      <c r="J46" s="20" t="s">
        <v>56</v>
      </c>
      <c r="M46" s="20" t="s">
        <v>57</v>
      </c>
      <c r="N46" s="20" t="s">
        <v>57</v>
      </c>
      <c r="O46" s="20" t="s">
        <v>57</v>
      </c>
      <c r="P46" s="20" t="s">
        <v>543</v>
      </c>
      <c r="Q46" s="20" t="s">
        <v>59</v>
      </c>
      <c r="AE46" s="20" t="s">
        <v>76</v>
      </c>
      <c r="AT46" s="118" t="s">
        <v>59</v>
      </c>
      <c r="AU46" s="118" t="s">
        <v>59</v>
      </c>
    </row>
    <row r="47" spans="1:47">
      <c r="A47" s="18" t="s">
        <v>544</v>
      </c>
      <c r="B47" s="18">
        <v>4582424589</v>
      </c>
      <c r="C47" s="18" t="s">
        <v>466</v>
      </c>
      <c r="D47" s="18" t="s">
        <v>225</v>
      </c>
      <c r="E47" s="34">
        <v>0.7</v>
      </c>
      <c r="F47" s="18" t="s">
        <v>54</v>
      </c>
      <c r="G47" s="19">
        <v>20340</v>
      </c>
      <c r="H47" s="18" t="s">
        <v>55</v>
      </c>
      <c r="I47" s="20" t="s">
        <v>40</v>
      </c>
      <c r="L47" s="20" t="s">
        <v>56</v>
      </c>
      <c r="M47" s="20" t="s">
        <v>57</v>
      </c>
      <c r="N47" s="20" t="s">
        <v>57</v>
      </c>
      <c r="O47" s="20" t="s">
        <v>57</v>
      </c>
      <c r="P47" s="20" t="s">
        <v>545</v>
      </c>
      <c r="Q47" s="20" t="s">
        <v>59</v>
      </c>
      <c r="AE47" s="20" t="s">
        <v>76</v>
      </c>
      <c r="AT47" s="118" t="s">
        <v>59</v>
      </c>
      <c r="AU47" s="118" t="s">
        <v>59</v>
      </c>
    </row>
    <row r="48" spans="1:47">
      <c r="A48" s="18" t="s">
        <v>546</v>
      </c>
      <c r="B48" s="37" t="s">
        <v>547</v>
      </c>
      <c r="C48" s="18" t="s">
        <v>548</v>
      </c>
      <c r="D48" s="18" t="s">
        <v>225</v>
      </c>
      <c r="E48" s="34" t="s">
        <v>427</v>
      </c>
      <c r="F48" s="18" t="s">
        <v>70</v>
      </c>
      <c r="G48" s="19">
        <v>22807</v>
      </c>
      <c r="H48" s="18" t="s">
        <v>47</v>
      </c>
      <c r="I48" s="20" t="s">
        <v>40</v>
      </c>
      <c r="L48" s="20" t="s">
        <v>56</v>
      </c>
      <c r="M48" s="20" t="s">
        <v>57</v>
      </c>
      <c r="N48" s="20" t="s">
        <v>57</v>
      </c>
      <c r="O48" s="20" t="s">
        <v>57</v>
      </c>
      <c r="P48" s="20" t="s">
        <v>549</v>
      </c>
      <c r="Q48" s="20" t="s">
        <v>59</v>
      </c>
      <c r="S48" s="20" t="s">
        <v>405</v>
      </c>
      <c r="T48" s="20" t="s">
        <v>97</v>
      </c>
      <c r="U48" s="20" t="s">
        <v>104</v>
      </c>
      <c r="V48" s="20" t="s">
        <v>327</v>
      </c>
      <c r="W48" s="20" t="s">
        <v>550</v>
      </c>
      <c r="AE48" s="20" t="s">
        <v>551</v>
      </c>
      <c r="AH48" s="20" t="s">
        <v>551</v>
      </c>
      <c r="AL48" s="20" t="s">
        <v>405</v>
      </c>
      <c r="AM48" s="20" t="s">
        <v>97</v>
      </c>
      <c r="AQ48" s="20" t="s">
        <v>59</v>
      </c>
      <c r="AR48" s="20" t="s">
        <v>59</v>
      </c>
      <c r="AT48" s="118" t="s">
        <v>59</v>
      </c>
      <c r="AU48" s="118" t="s">
        <v>59</v>
      </c>
    </row>
    <row r="49" spans="1:47" s="42" customFormat="1">
      <c r="A49" s="30" t="s">
        <v>552</v>
      </c>
      <c r="B49" s="30">
        <v>4861981239</v>
      </c>
      <c r="C49" s="30" t="s">
        <v>466</v>
      </c>
      <c r="D49" s="30" t="s">
        <v>225</v>
      </c>
      <c r="E49" s="43">
        <v>0.4</v>
      </c>
      <c r="F49" s="30" t="s">
        <v>70</v>
      </c>
      <c r="G49" s="44">
        <v>23096</v>
      </c>
      <c r="H49" s="30" t="s">
        <v>47</v>
      </c>
      <c r="I49" s="42" t="s">
        <v>40</v>
      </c>
      <c r="J49" s="42" t="s">
        <v>56</v>
      </c>
      <c r="M49" s="42" t="s">
        <v>57</v>
      </c>
      <c r="N49" s="42" t="s">
        <v>57</v>
      </c>
      <c r="O49" s="42" t="s">
        <v>57</v>
      </c>
      <c r="P49" s="42" t="s">
        <v>553</v>
      </c>
      <c r="Q49" s="42" t="s">
        <v>59</v>
      </c>
      <c r="AT49" s="119"/>
      <c r="AU49" s="119"/>
    </row>
    <row r="50" spans="1:47">
      <c r="A50" s="18" t="s">
        <v>554</v>
      </c>
      <c r="B50" s="18">
        <v>4860155599</v>
      </c>
      <c r="C50" s="18" t="s">
        <v>463</v>
      </c>
      <c r="D50" s="18" t="s">
        <v>225</v>
      </c>
      <c r="E50" s="34" t="s">
        <v>555</v>
      </c>
      <c r="F50" s="18" t="s">
        <v>70</v>
      </c>
      <c r="G50" s="19">
        <v>23754</v>
      </c>
      <c r="H50" s="18" t="s">
        <v>47</v>
      </c>
      <c r="I50" s="20" t="s">
        <v>40</v>
      </c>
      <c r="J50" s="20" t="s">
        <v>56</v>
      </c>
      <c r="M50" s="20" t="s">
        <v>57</v>
      </c>
      <c r="N50" s="20" t="s">
        <v>57</v>
      </c>
      <c r="O50" s="20" t="s">
        <v>57</v>
      </c>
      <c r="P50" s="20" t="s">
        <v>556</v>
      </c>
      <c r="Q50" s="20" t="s">
        <v>59</v>
      </c>
      <c r="AE50" s="20" t="s">
        <v>76</v>
      </c>
      <c r="AT50" s="118" t="s">
        <v>59</v>
      </c>
      <c r="AU50" s="118" t="s">
        <v>59</v>
      </c>
    </row>
    <row r="51" spans="1:47">
      <c r="A51" s="18" t="s">
        <v>557</v>
      </c>
      <c r="B51" s="18">
        <v>4582340121</v>
      </c>
      <c r="C51" s="18" t="s">
        <v>466</v>
      </c>
      <c r="D51" s="18" t="s">
        <v>225</v>
      </c>
      <c r="E51" s="34" t="s">
        <v>53</v>
      </c>
      <c r="F51" s="18" t="s">
        <v>70</v>
      </c>
      <c r="G51" s="19">
        <v>20013</v>
      </c>
      <c r="H51" s="18" t="s">
        <v>47</v>
      </c>
      <c r="I51" s="20" t="s">
        <v>40</v>
      </c>
      <c r="L51" s="20" t="s">
        <v>56</v>
      </c>
      <c r="M51" s="20" t="s">
        <v>57</v>
      </c>
      <c r="N51" s="20" t="s">
        <v>57</v>
      </c>
      <c r="O51" s="20" t="s">
        <v>57</v>
      </c>
      <c r="P51" s="20" t="s">
        <v>558</v>
      </c>
      <c r="Q51" s="20" t="s">
        <v>59</v>
      </c>
      <c r="S51" s="20" t="s">
        <v>97</v>
      </c>
      <c r="AD51" s="20" t="s">
        <v>85</v>
      </c>
      <c r="AE51" s="20" t="s">
        <v>161</v>
      </c>
      <c r="AH51" s="20" t="s">
        <v>161</v>
      </c>
      <c r="AL51" s="20" t="s">
        <v>97</v>
      </c>
      <c r="AQ51" s="20" t="s">
        <v>59</v>
      </c>
      <c r="AR51" s="20" t="s">
        <v>59</v>
      </c>
      <c r="AT51" s="118" t="s">
        <v>59</v>
      </c>
      <c r="AU51" s="118" t="s">
        <v>59</v>
      </c>
    </row>
    <row r="52" spans="1:47">
      <c r="A52" s="18" t="s">
        <v>559</v>
      </c>
      <c r="B52" s="18">
        <v>4089149991</v>
      </c>
      <c r="C52" s="18" t="s">
        <v>481</v>
      </c>
      <c r="D52" s="18" t="s">
        <v>225</v>
      </c>
      <c r="E52" s="34">
        <v>0.8</v>
      </c>
      <c r="F52" s="18" t="s">
        <v>70</v>
      </c>
      <c r="G52" s="19">
        <v>25188</v>
      </c>
      <c r="H52" s="18" t="s">
        <v>47</v>
      </c>
      <c r="I52" s="20" t="s">
        <v>40</v>
      </c>
      <c r="J52" s="20" t="s">
        <v>56</v>
      </c>
      <c r="M52" s="20" t="s">
        <v>57</v>
      </c>
      <c r="N52" s="20" t="s">
        <v>57</v>
      </c>
      <c r="O52" s="20" t="s">
        <v>57</v>
      </c>
      <c r="P52" s="20" t="s">
        <v>560</v>
      </c>
      <c r="Q52" s="20" t="s">
        <v>59</v>
      </c>
      <c r="AE52" s="20" t="s">
        <v>561</v>
      </c>
      <c r="AT52" s="118" t="s">
        <v>59</v>
      </c>
      <c r="AU52" s="118" t="s">
        <v>59</v>
      </c>
    </row>
    <row r="53" spans="1:47" ht="12" customHeight="1">
      <c r="A53" s="18" t="s">
        <v>562</v>
      </c>
      <c r="B53" s="18">
        <v>4507873207</v>
      </c>
      <c r="C53" s="18" t="s">
        <v>563</v>
      </c>
      <c r="D53" s="18" t="s">
        <v>225</v>
      </c>
      <c r="E53" s="34">
        <v>0.3</v>
      </c>
      <c r="F53" s="18" t="s">
        <v>70</v>
      </c>
      <c r="G53" s="19">
        <v>17424</v>
      </c>
      <c r="H53" s="18" t="s">
        <v>55</v>
      </c>
      <c r="I53" s="20" t="s">
        <v>40</v>
      </c>
      <c r="L53" s="20" t="s">
        <v>56</v>
      </c>
      <c r="M53" s="20" t="s">
        <v>57</v>
      </c>
      <c r="N53" s="20" t="s">
        <v>57</v>
      </c>
      <c r="O53" s="20" t="s">
        <v>57</v>
      </c>
      <c r="P53" s="20" t="s">
        <v>564</v>
      </c>
      <c r="Q53" s="20" t="s">
        <v>59</v>
      </c>
      <c r="S53" s="20" t="s">
        <v>76</v>
      </c>
      <c r="AE53" s="20" t="s">
        <v>348</v>
      </c>
      <c r="AH53" s="20" t="s">
        <v>348</v>
      </c>
      <c r="AL53" s="20" t="s">
        <v>76</v>
      </c>
      <c r="AQ53" s="20" t="s">
        <v>59</v>
      </c>
      <c r="AR53" s="20" t="s">
        <v>59</v>
      </c>
      <c r="AT53" s="118" t="s">
        <v>59</v>
      </c>
      <c r="AU53" s="118" t="s">
        <v>59</v>
      </c>
    </row>
    <row r="54" spans="1:47">
      <c r="A54" s="18" t="s">
        <v>565</v>
      </c>
      <c r="B54" s="18">
        <v>4382446074</v>
      </c>
      <c r="C54" s="18" t="s">
        <v>466</v>
      </c>
      <c r="D54" s="18" t="s">
        <v>225</v>
      </c>
      <c r="E54" s="34">
        <v>0.7</v>
      </c>
      <c r="F54" s="18" t="s">
        <v>70</v>
      </c>
      <c r="G54" s="19">
        <v>15883</v>
      </c>
      <c r="H54" s="18" t="s">
        <v>47</v>
      </c>
      <c r="I54" s="20" t="s">
        <v>40</v>
      </c>
      <c r="J54" s="20" t="s">
        <v>56</v>
      </c>
      <c r="M54" s="20" t="s">
        <v>57</v>
      </c>
      <c r="N54" s="20" t="s">
        <v>57</v>
      </c>
      <c r="O54" s="20" t="s">
        <v>57</v>
      </c>
      <c r="P54" s="20" t="s">
        <v>566</v>
      </c>
      <c r="Q54" s="20" t="s">
        <v>59</v>
      </c>
      <c r="AE54" s="20" t="s">
        <v>76</v>
      </c>
      <c r="AT54" s="118" t="s">
        <v>59</v>
      </c>
      <c r="AU54" s="118" t="s">
        <v>59</v>
      </c>
    </row>
    <row r="55" spans="1:47">
      <c r="A55" s="18" t="s">
        <v>567</v>
      </c>
      <c r="B55" s="18">
        <v>4487148073</v>
      </c>
      <c r="C55" s="18" t="s">
        <v>466</v>
      </c>
      <c r="D55" s="18" t="s">
        <v>225</v>
      </c>
      <c r="E55" s="34">
        <v>0.3</v>
      </c>
      <c r="F55" s="18" t="s">
        <v>70</v>
      </c>
      <c r="G55" s="19">
        <v>21206</v>
      </c>
      <c r="H55" s="18" t="s">
        <v>55</v>
      </c>
      <c r="I55" s="20" t="s">
        <v>40</v>
      </c>
      <c r="J55" s="20" t="s">
        <v>56</v>
      </c>
      <c r="M55" s="20" t="s">
        <v>57</v>
      </c>
      <c r="N55" s="20" t="s">
        <v>57</v>
      </c>
      <c r="O55" s="20" t="s">
        <v>57</v>
      </c>
      <c r="P55" s="20" t="s">
        <v>568</v>
      </c>
      <c r="Q55" s="20" t="s">
        <v>59</v>
      </c>
      <c r="AE55" s="20" t="s">
        <v>76</v>
      </c>
      <c r="AT55" s="118" t="s">
        <v>59</v>
      </c>
      <c r="AU55" s="118" t="s">
        <v>59</v>
      </c>
    </row>
    <row r="56" spans="1:47">
      <c r="A56" s="18" t="s">
        <v>569</v>
      </c>
      <c r="B56" s="18">
        <v>4582251684</v>
      </c>
      <c r="C56" s="18" t="s">
        <v>570</v>
      </c>
      <c r="D56" s="18" t="s">
        <v>225</v>
      </c>
      <c r="E56" s="34">
        <v>0.8</v>
      </c>
      <c r="F56" s="18" t="s">
        <v>70</v>
      </c>
      <c r="G56" s="19">
        <v>19972</v>
      </c>
      <c r="H56" s="18" t="s">
        <v>55</v>
      </c>
      <c r="I56" s="20" t="s">
        <v>40</v>
      </c>
      <c r="J56" s="20" t="s">
        <v>56</v>
      </c>
      <c r="M56" s="20" t="s">
        <v>57</v>
      </c>
      <c r="N56" s="20" t="s">
        <v>57</v>
      </c>
      <c r="O56" s="20" t="s">
        <v>57</v>
      </c>
      <c r="P56" s="20" t="s">
        <v>571</v>
      </c>
      <c r="Q56" s="20" t="s">
        <v>59</v>
      </c>
      <c r="AE56" s="20" t="s">
        <v>572</v>
      </c>
      <c r="AT56" s="118" t="s">
        <v>59</v>
      </c>
      <c r="AU56" s="118" t="s">
        <v>59</v>
      </c>
    </row>
    <row r="57" spans="1:47">
      <c r="A57" s="18" t="s">
        <v>573</v>
      </c>
      <c r="B57" s="18">
        <v>6493734150</v>
      </c>
      <c r="C57" s="18" t="s">
        <v>466</v>
      </c>
      <c r="D57" s="18" t="s">
        <v>225</v>
      </c>
      <c r="E57" s="34">
        <v>0.6</v>
      </c>
      <c r="F57" s="18" t="s">
        <v>70</v>
      </c>
      <c r="G57" s="19">
        <v>23714</v>
      </c>
      <c r="H57" s="18" t="s">
        <v>55</v>
      </c>
      <c r="I57" s="20" t="s">
        <v>40</v>
      </c>
      <c r="J57" s="20" t="s">
        <v>56</v>
      </c>
      <c r="M57" s="20" t="s">
        <v>57</v>
      </c>
      <c r="N57" s="20" t="s">
        <v>57</v>
      </c>
      <c r="O57" s="20" t="s">
        <v>57</v>
      </c>
      <c r="P57" s="20" t="s">
        <v>574</v>
      </c>
      <c r="Q57" s="20" t="s">
        <v>59</v>
      </c>
      <c r="S57" s="20" t="s">
        <v>78</v>
      </c>
      <c r="T57" s="20" t="s">
        <v>76</v>
      </c>
      <c r="AE57" s="20" t="s">
        <v>90</v>
      </c>
      <c r="AH57" s="20" t="s">
        <v>90</v>
      </c>
      <c r="AL57" s="20" t="s">
        <v>78</v>
      </c>
      <c r="AM57" s="20" t="s">
        <v>76</v>
      </c>
      <c r="AQ57" s="20" t="s">
        <v>59</v>
      </c>
      <c r="AR57" s="20" t="s">
        <v>59</v>
      </c>
      <c r="AT57" s="118" t="s">
        <v>59</v>
      </c>
      <c r="AU57" s="118" t="s">
        <v>59</v>
      </c>
    </row>
    <row r="58" spans="1:47">
      <c r="A58" s="18" t="s">
        <v>575</v>
      </c>
      <c r="B58" s="18">
        <v>4381377761</v>
      </c>
      <c r="C58" s="18" t="s">
        <v>563</v>
      </c>
      <c r="D58" s="18" t="s">
        <v>225</v>
      </c>
      <c r="E58" s="34">
        <v>0.7</v>
      </c>
      <c r="F58" s="18" t="s">
        <v>70</v>
      </c>
      <c r="G58" s="19">
        <v>15072</v>
      </c>
      <c r="H58" s="18" t="s">
        <v>47</v>
      </c>
      <c r="I58" s="20" t="s">
        <v>40</v>
      </c>
      <c r="J58" s="20" t="s">
        <v>56</v>
      </c>
      <c r="M58" s="20" t="s">
        <v>57</v>
      </c>
      <c r="N58" s="20" t="s">
        <v>57</v>
      </c>
      <c r="O58" s="20" t="s">
        <v>57</v>
      </c>
      <c r="P58" s="20" t="s">
        <v>576</v>
      </c>
      <c r="Q58" s="20" t="s">
        <v>59</v>
      </c>
      <c r="S58" s="20" t="s">
        <v>78</v>
      </c>
      <c r="AE58" s="20" t="s">
        <v>577</v>
      </c>
      <c r="AH58" s="20" t="s">
        <v>577</v>
      </c>
      <c r="AL58" s="20" t="s">
        <v>78</v>
      </c>
      <c r="AQ58" s="20" t="s">
        <v>59</v>
      </c>
      <c r="AR58" s="20" t="s">
        <v>59</v>
      </c>
      <c r="AT58" s="118" t="s">
        <v>59</v>
      </c>
      <c r="AU58" s="118" t="s">
        <v>59</v>
      </c>
    </row>
    <row r="59" spans="1:47">
      <c r="A59" s="18" t="s">
        <v>578</v>
      </c>
      <c r="B59" s="18">
        <v>4383564585</v>
      </c>
      <c r="C59" s="18" t="s">
        <v>486</v>
      </c>
      <c r="D59" s="18" t="s">
        <v>225</v>
      </c>
      <c r="E59" s="34">
        <v>0.4</v>
      </c>
      <c r="F59" s="18" t="s">
        <v>70</v>
      </c>
      <c r="G59" s="19">
        <v>15910</v>
      </c>
      <c r="H59" s="18" t="s">
        <v>55</v>
      </c>
      <c r="I59" s="20" t="s">
        <v>40</v>
      </c>
      <c r="J59" s="20" t="s">
        <v>56</v>
      </c>
      <c r="M59" s="20" t="s">
        <v>57</v>
      </c>
      <c r="N59" s="20" t="s">
        <v>57</v>
      </c>
      <c r="O59" s="20" t="s">
        <v>57</v>
      </c>
      <c r="P59" s="20" t="s">
        <v>579</v>
      </c>
      <c r="Q59" s="20" t="s">
        <v>59</v>
      </c>
      <c r="AE59" s="20" t="s">
        <v>161</v>
      </c>
      <c r="AT59" s="118" t="s">
        <v>59</v>
      </c>
      <c r="AU59" s="118" t="s">
        <v>59</v>
      </c>
    </row>
    <row r="60" spans="1:47">
      <c r="A60" s="18" t="s">
        <v>580</v>
      </c>
      <c r="B60" s="18">
        <v>4300240779</v>
      </c>
      <c r="C60" s="18" t="s">
        <v>563</v>
      </c>
      <c r="D60" s="18" t="s">
        <v>225</v>
      </c>
      <c r="E60" s="34" t="s">
        <v>427</v>
      </c>
      <c r="F60" s="18" t="s">
        <v>70</v>
      </c>
      <c r="G60" s="19">
        <v>11933</v>
      </c>
      <c r="H60" s="18" t="s">
        <v>47</v>
      </c>
      <c r="I60" s="20" t="s">
        <v>40</v>
      </c>
      <c r="J60" s="20" t="s">
        <v>56</v>
      </c>
      <c r="M60" s="20" t="s">
        <v>57</v>
      </c>
      <c r="N60" s="20" t="s">
        <v>57</v>
      </c>
      <c r="O60" s="20" t="s">
        <v>57</v>
      </c>
      <c r="P60" s="20" t="s">
        <v>581</v>
      </c>
      <c r="Q60" s="20" t="s">
        <v>59</v>
      </c>
      <c r="S60" s="20" t="s">
        <v>78</v>
      </c>
      <c r="AE60" s="20" t="s">
        <v>577</v>
      </c>
      <c r="AH60" s="20" t="s">
        <v>577</v>
      </c>
      <c r="AL60" s="20" t="s">
        <v>78</v>
      </c>
      <c r="AQ60" s="20" t="s">
        <v>59</v>
      </c>
      <c r="AR60" s="20" t="s">
        <v>59</v>
      </c>
      <c r="AT60" s="118" t="s">
        <v>59</v>
      </c>
      <c r="AU60" s="118" t="s">
        <v>59</v>
      </c>
    </row>
    <row r="61" spans="1:47">
      <c r="A61" s="18" t="s">
        <v>582</v>
      </c>
      <c r="B61" s="18">
        <v>4361566879</v>
      </c>
      <c r="C61" s="18" t="s">
        <v>466</v>
      </c>
      <c r="D61" s="18" t="s">
        <v>225</v>
      </c>
      <c r="E61" s="34" t="s">
        <v>53</v>
      </c>
      <c r="F61" s="18" t="s">
        <v>158</v>
      </c>
      <c r="G61" s="19">
        <v>10453</v>
      </c>
      <c r="H61" s="18" t="s">
        <v>47</v>
      </c>
      <c r="I61" s="20" t="s">
        <v>40</v>
      </c>
      <c r="J61" s="20" t="s">
        <v>56</v>
      </c>
      <c r="M61" s="20" t="s">
        <v>57</v>
      </c>
      <c r="N61" s="20" t="s">
        <v>57</v>
      </c>
      <c r="O61" s="20" t="s">
        <v>57</v>
      </c>
      <c r="P61" s="20" t="s">
        <v>583</v>
      </c>
      <c r="Q61" s="20" t="s">
        <v>59</v>
      </c>
      <c r="S61" s="20" t="s">
        <v>177</v>
      </c>
      <c r="AD61" s="20" t="s">
        <v>80</v>
      </c>
      <c r="AE61" s="20" t="s">
        <v>161</v>
      </c>
      <c r="AH61" s="20" t="s">
        <v>161</v>
      </c>
      <c r="AL61" s="20" t="s">
        <v>177</v>
      </c>
      <c r="AQ61" s="20" t="s">
        <v>59</v>
      </c>
      <c r="AR61" s="20" t="s">
        <v>59</v>
      </c>
      <c r="AT61" s="118" t="s">
        <v>59</v>
      </c>
      <c r="AU61" s="118" t="s">
        <v>59</v>
      </c>
    </row>
    <row r="62" spans="1:47">
      <c r="A62" s="18" t="s">
        <v>584</v>
      </c>
      <c r="B62" s="18">
        <v>4125400466</v>
      </c>
      <c r="C62" s="18" t="s">
        <v>466</v>
      </c>
      <c r="D62" s="18" t="s">
        <v>225</v>
      </c>
      <c r="E62" s="34">
        <v>0.4</v>
      </c>
      <c r="F62" s="18" t="s">
        <v>70</v>
      </c>
      <c r="G62" s="19">
        <v>24166</v>
      </c>
      <c r="H62" s="18" t="s">
        <v>47</v>
      </c>
      <c r="I62" s="20" t="s">
        <v>40</v>
      </c>
      <c r="J62" s="20" t="s">
        <v>56</v>
      </c>
      <c r="M62" s="20" t="s">
        <v>57</v>
      </c>
      <c r="N62" s="20" t="s">
        <v>57</v>
      </c>
      <c r="O62" s="20" t="s">
        <v>57</v>
      </c>
      <c r="P62" s="20" t="s">
        <v>585</v>
      </c>
      <c r="Q62" s="20" t="s">
        <v>59</v>
      </c>
      <c r="S62" s="20" t="s">
        <v>78</v>
      </c>
      <c r="T62" s="20" t="s">
        <v>77</v>
      </c>
      <c r="AE62" s="20" t="s">
        <v>577</v>
      </c>
      <c r="AH62" s="20" t="s">
        <v>577</v>
      </c>
      <c r="AL62" s="20" t="s">
        <v>78</v>
      </c>
      <c r="AM62" s="20" t="s">
        <v>77</v>
      </c>
      <c r="AQ62" s="20" t="s">
        <v>59</v>
      </c>
      <c r="AR62" s="20" t="s">
        <v>59</v>
      </c>
      <c r="AT62" s="118" t="s">
        <v>59</v>
      </c>
      <c r="AU62" s="118" t="s">
        <v>59</v>
      </c>
    </row>
    <row r="63" spans="1:47">
      <c r="A63" s="18" t="s">
        <v>586</v>
      </c>
      <c r="B63" s="18">
        <v>4125431922</v>
      </c>
      <c r="C63" s="18" t="s">
        <v>466</v>
      </c>
      <c r="D63" s="18" t="s">
        <v>225</v>
      </c>
      <c r="E63" s="34">
        <v>0.4</v>
      </c>
      <c r="F63" s="18" t="s">
        <v>158</v>
      </c>
      <c r="G63" s="19">
        <v>24707</v>
      </c>
      <c r="H63" s="18" t="s">
        <v>47</v>
      </c>
      <c r="I63" s="20" t="s">
        <v>40</v>
      </c>
      <c r="J63" s="20" t="s">
        <v>56</v>
      </c>
      <c r="M63" s="20" t="s">
        <v>57</v>
      </c>
      <c r="N63" s="20" t="s">
        <v>57</v>
      </c>
      <c r="O63" s="20" t="s">
        <v>57</v>
      </c>
      <c r="P63" s="20" t="s">
        <v>587</v>
      </c>
      <c r="Q63" s="20" t="s">
        <v>59</v>
      </c>
      <c r="AE63" s="20" t="s">
        <v>76</v>
      </c>
      <c r="AT63" s="118" t="s">
        <v>59</v>
      </c>
      <c r="AU63" s="118" t="s">
        <v>59</v>
      </c>
    </row>
    <row r="64" spans="1:47">
      <c r="A64" s="18" t="s">
        <v>588</v>
      </c>
      <c r="B64" s="18">
        <v>4381823567</v>
      </c>
      <c r="C64" s="18" t="s">
        <v>466</v>
      </c>
      <c r="D64" s="18" t="s">
        <v>225</v>
      </c>
      <c r="E64" s="34">
        <v>0.3</v>
      </c>
      <c r="F64" s="18" t="s">
        <v>158</v>
      </c>
      <c r="G64" s="19">
        <v>16240</v>
      </c>
      <c r="H64" s="18" t="s">
        <v>55</v>
      </c>
      <c r="I64" s="20" t="s">
        <v>40</v>
      </c>
      <c r="J64" s="20" t="s">
        <v>56</v>
      </c>
      <c r="M64" s="20" t="s">
        <v>57</v>
      </c>
      <c r="N64" s="20" t="s">
        <v>57</v>
      </c>
      <c r="O64" s="20" t="s">
        <v>57</v>
      </c>
      <c r="P64" s="20" t="s">
        <v>589</v>
      </c>
      <c r="Q64" s="20" t="s">
        <v>59</v>
      </c>
      <c r="AE64" s="20" t="s">
        <v>76</v>
      </c>
      <c r="AT64" s="118" t="s">
        <v>59</v>
      </c>
      <c r="AU64" s="118" t="s">
        <v>59</v>
      </c>
    </row>
    <row r="65" spans="1:47">
      <c r="A65" s="18" t="s">
        <v>590</v>
      </c>
      <c r="B65" s="18">
        <v>4382279933</v>
      </c>
      <c r="C65" s="18" t="s">
        <v>591</v>
      </c>
      <c r="D65" s="18" t="s">
        <v>225</v>
      </c>
      <c r="E65" s="34">
        <v>0.2</v>
      </c>
      <c r="F65" s="18" t="s">
        <v>54</v>
      </c>
      <c r="G65" s="19">
        <v>16086</v>
      </c>
      <c r="H65" s="18" t="s">
        <v>47</v>
      </c>
      <c r="I65" s="20" t="s">
        <v>40</v>
      </c>
      <c r="J65" s="20" t="s">
        <v>56</v>
      </c>
      <c r="M65" s="20" t="s">
        <v>57</v>
      </c>
      <c r="N65" s="20" t="s">
        <v>57</v>
      </c>
      <c r="O65" s="20" t="s">
        <v>57</v>
      </c>
      <c r="P65" s="20" t="s">
        <v>592</v>
      </c>
      <c r="Q65" s="20" t="s">
        <v>59</v>
      </c>
      <c r="AE65" s="20" t="s">
        <v>161</v>
      </c>
      <c r="AT65" s="118" t="s">
        <v>59</v>
      </c>
      <c r="AU65" s="118" t="s">
        <v>59</v>
      </c>
    </row>
    <row r="66" spans="1:47">
      <c r="A66" s="18" t="s">
        <v>593</v>
      </c>
      <c r="B66" s="18">
        <v>4861945321</v>
      </c>
      <c r="C66" s="18" t="s">
        <v>486</v>
      </c>
      <c r="D66" s="18" t="s">
        <v>225</v>
      </c>
      <c r="E66" s="34">
        <v>0.5</v>
      </c>
      <c r="F66" s="18" t="s">
        <v>158</v>
      </c>
      <c r="G66" s="19">
        <v>22639</v>
      </c>
      <c r="H66" s="18" t="s">
        <v>47</v>
      </c>
      <c r="I66" s="20" t="s">
        <v>40</v>
      </c>
      <c r="J66" s="20" t="s">
        <v>56</v>
      </c>
      <c r="M66" s="20" t="s">
        <v>57</v>
      </c>
      <c r="N66" s="20" t="s">
        <v>57</v>
      </c>
      <c r="O66" s="20" t="s">
        <v>57</v>
      </c>
      <c r="P66" s="20" t="s">
        <v>594</v>
      </c>
      <c r="Q66" s="20" t="s">
        <v>59</v>
      </c>
      <c r="AE66" s="20" t="s">
        <v>161</v>
      </c>
      <c r="AT66" s="118" t="s">
        <v>59</v>
      </c>
      <c r="AU66" s="118" t="s">
        <v>59</v>
      </c>
    </row>
    <row r="67" spans="1:47">
      <c r="A67" s="18" t="s">
        <v>595</v>
      </c>
      <c r="B67" s="18">
        <v>4981798903</v>
      </c>
      <c r="C67" s="18" t="s">
        <v>466</v>
      </c>
      <c r="D67" s="18" t="s">
        <v>225</v>
      </c>
      <c r="E67" s="34">
        <v>0.3</v>
      </c>
      <c r="F67" s="18" t="s">
        <v>158</v>
      </c>
      <c r="G67" s="19">
        <v>20498</v>
      </c>
      <c r="H67" s="18" t="s">
        <v>55</v>
      </c>
      <c r="I67" s="20" t="s">
        <v>40</v>
      </c>
      <c r="J67" s="20" t="s">
        <v>56</v>
      </c>
      <c r="M67" s="20" t="s">
        <v>57</v>
      </c>
      <c r="N67" s="20" t="s">
        <v>57</v>
      </c>
      <c r="O67" s="20" t="s">
        <v>57</v>
      </c>
      <c r="P67" s="20" t="s">
        <v>596</v>
      </c>
      <c r="Q67" s="20" t="s">
        <v>59</v>
      </c>
      <c r="AE67" s="20" t="s">
        <v>76</v>
      </c>
      <c r="AT67" s="118" t="s">
        <v>59</v>
      </c>
      <c r="AU67" s="118" t="s">
        <v>59</v>
      </c>
    </row>
    <row r="68" spans="1:47">
      <c r="A68" s="18"/>
      <c r="B68" s="18"/>
      <c r="C68" s="18"/>
      <c r="D68" s="18"/>
      <c r="E68" s="18"/>
      <c r="F68" s="18"/>
      <c r="G68" s="19"/>
      <c r="H68" s="18"/>
    </row>
    <row r="69" spans="1:47">
      <c r="A69" s="35">
        <f>COUNTA(A5:A67)</f>
        <v>63</v>
      </c>
      <c r="B69" s="35">
        <f t="shared" ref="B69:AU69" si="0">COUNTA(B5:B67)</f>
        <v>63</v>
      </c>
      <c r="C69" s="35">
        <f t="shared" si="0"/>
        <v>63</v>
      </c>
      <c r="D69" s="35">
        <f t="shared" si="0"/>
        <v>63</v>
      </c>
      <c r="E69" s="35">
        <f t="shared" si="0"/>
        <v>63</v>
      </c>
      <c r="F69" s="35">
        <f t="shared" si="0"/>
        <v>63</v>
      </c>
      <c r="G69" s="35">
        <f t="shared" si="0"/>
        <v>63</v>
      </c>
      <c r="H69" s="35">
        <f t="shared" si="0"/>
        <v>63</v>
      </c>
      <c r="I69" s="35">
        <f t="shared" si="0"/>
        <v>63</v>
      </c>
      <c r="J69" s="35">
        <f t="shared" si="0"/>
        <v>51</v>
      </c>
      <c r="K69" s="35">
        <f t="shared" si="0"/>
        <v>1</v>
      </c>
      <c r="L69" s="35">
        <f t="shared" si="0"/>
        <v>11</v>
      </c>
      <c r="M69" s="35">
        <f t="shared" si="0"/>
        <v>63</v>
      </c>
      <c r="N69" s="35">
        <f t="shared" si="0"/>
        <v>63</v>
      </c>
      <c r="O69" s="35">
        <f t="shared" si="0"/>
        <v>63</v>
      </c>
      <c r="P69" s="35">
        <f t="shared" si="0"/>
        <v>53</v>
      </c>
      <c r="Q69" s="35">
        <f t="shared" si="0"/>
        <v>53</v>
      </c>
      <c r="R69" s="35">
        <f>COUNTA(R5:R67)</f>
        <v>10</v>
      </c>
      <c r="S69" s="35">
        <f t="shared" si="0"/>
        <v>8</v>
      </c>
      <c r="T69" s="35">
        <f t="shared" si="0"/>
        <v>3</v>
      </c>
      <c r="U69" s="35">
        <f t="shared" si="0"/>
        <v>1</v>
      </c>
      <c r="V69" s="35">
        <f t="shared" si="0"/>
        <v>1</v>
      </c>
      <c r="W69" s="35">
        <f t="shared" si="0"/>
        <v>1</v>
      </c>
      <c r="X69" s="35">
        <f t="shared" si="0"/>
        <v>0</v>
      </c>
      <c r="Y69" s="35">
        <f t="shared" si="0"/>
        <v>0</v>
      </c>
      <c r="Z69" s="35">
        <f t="shared" si="0"/>
        <v>0</v>
      </c>
      <c r="AA69" s="35">
        <f t="shared" si="0"/>
        <v>0</v>
      </c>
      <c r="AB69" s="35">
        <f t="shared" si="0"/>
        <v>0</v>
      </c>
      <c r="AC69" s="35">
        <f t="shared" si="0"/>
        <v>0</v>
      </c>
      <c r="AD69" s="35">
        <f t="shared" si="0"/>
        <v>2</v>
      </c>
      <c r="AE69" s="35">
        <f t="shared" si="0"/>
        <v>52</v>
      </c>
      <c r="AF69" s="35">
        <f t="shared" si="0"/>
        <v>0</v>
      </c>
      <c r="AG69" s="35">
        <f t="shared" si="0"/>
        <v>0</v>
      </c>
      <c r="AH69" s="35">
        <f t="shared" si="0"/>
        <v>8</v>
      </c>
      <c r="AI69" s="35">
        <f t="shared" si="0"/>
        <v>0</v>
      </c>
      <c r="AJ69" s="35">
        <f t="shared" si="0"/>
        <v>0</v>
      </c>
      <c r="AK69" s="35">
        <f t="shared" si="0"/>
        <v>0</v>
      </c>
      <c r="AL69" s="35">
        <f t="shared" si="0"/>
        <v>8</v>
      </c>
      <c r="AM69" s="35">
        <f t="shared" si="0"/>
        <v>3</v>
      </c>
      <c r="AN69" s="35">
        <f t="shared" si="0"/>
        <v>0</v>
      </c>
      <c r="AO69" s="35">
        <f t="shared" si="0"/>
        <v>0</v>
      </c>
      <c r="AP69" s="35">
        <f t="shared" si="0"/>
        <v>0</v>
      </c>
      <c r="AQ69" s="35">
        <f t="shared" si="0"/>
        <v>8</v>
      </c>
      <c r="AR69" s="35">
        <f t="shared" si="0"/>
        <v>8</v>
      </c>
      <c r="AS69" s="35">
        <f t="shared" si="0"/>
        <v>0</v>
      </c>
      <c r="AT69" s="122">
        <f t="shared" si="0"/>
        <v>43</v>
      </c>
      <c r="AU69" s="122">
        <f t="shared" si="0"/>
        <v>43</v>
      </c>
    </row>
    <row r="70" spans="1:47">
      <c r="A70" s="18"/>
      <c r="B70" s="18"/>
      <c r="C70" s="18"/>
      <c r="D70" s="18"/>
      <c r="E70" s="18"/>
      <c r="F70" s="18"/>
      <c r="G70" s="19"/>
      <c r="H70" s="18"/>
    </row>
    <row r="71" spans="1:47">
      <c r="A71" s="18"/>
      <c r="B71" s="18"/>
      <c r="C71" s="18"/>
      <c r="D71" s="18"/>
      <c r="E71" s="18"/>
      <c r="F71" s="18"/>
      <c r="G71" s="19"/>
      <c r="H71" s="18"/>
    </row>
    <row r="72" spans="1:47">
      <c r="A72" s="18"/>
      <c r="B72" s="18"/>
      <c r="C72" s="18"/>
      <c r="D72" s="18"/>
      <c r="E72" s="18"/>
      <c r="F72" s="18"/>
      <c r="G72" s="19"/>
      <c r="H72" s="18"/>
    </row>
    <row r="73" spans="1:47">
      <c r="A73" s="18"/>
      <c r="B73" s="18"/>
      <c r="C73" s="18"/>
      <c r="D73" s="18"/>
      <c r="E73" s="18"/>
      <c r="F73" s="18"/>
      <c r="G73" s="19"/>
      <c r="H73" s="18"/>
    </row>
    <row r="74" spans="1:47">
      <c r="A74" s="18"/>
      <c r="B74" s="18"/>
      <c r="C74" s="18"/>
      <c r="D74" s="18"/>
      <c r="E74" s="18"/>
      <c r="F74" s="18"/>
      <c r="G74" s="19"/>
      <c r="H74" s="18"/>
    </row>
    <row r="75" spans="1:47">
      <c r="A75" s="18"/>
      <c r="B75" s="18"/>
      <c r="C75" s="18"/>
      <c r="D75" s="18"/>
      <c r="E75" s="18"/>
      <c r="F75" s="18"/>
      <c r="G75" s="19"/>
      <c r="H75" s="18"/>
    </row>
    <row r="76" spans="1:47">
      <c r="A76" s="18"/>
      <c r="B76" s="18"/>
      <c r="C76" s="18"/>
      <c r="D76" s="18"/>
      <c r="E76" s="18"/>
      <c r="F76" s="18"/>
      <c r="G76" s="19"/>
      <c r="H76" s="18"/>
    </row>
    <row r="77" spans="1:47">
      <c r="A77" s="18"/>
      <c r="B77" s="18"/>
      <c r="C77" s="18"/>
      <c r="D77" s="18"/>
      <c r="E77" s="18"/>
      <c r="F77" s="18"/>
      <c r="G77" s="19"/>
      <c r="H77" s="18"/>
    </row>
    <row r="78" spans="1:47">
      <c r="A78" s="18"/>
      <c r="B78" s="18"/>
      <c r="C78" s="18"/>
      <c r="D78" s="18"/>
      <c r="E78" s="18"/>
      <c r="F78" s="18"/>
      <c r="G78" s="19"/>
      <c r="H78" s="18"/>
    </row>
    <row r="79" spans="1:47">
      <c r="A79" s="18"/>
      <c r="B79" s="18"/>
      <c r="C79" s="18"/>
      <c r="D79" s="18"/>
      <c r="E79" s="18"/>
      <c r="F79" s="18"/>
      <c r="G79" s="19"/>
      <c r="H79" s="18"/>
    </row>
    <row r="80" spans="1:47">
      <c r="A80" s="18"/>
      <c r="B80" s="18"/>
      <c r="C80" s="18"/>
      <c r="D80" s="18"/>
      <c r="E80" s="18"/>
      <c r="F80" s="18"/>
      <c r="G80" s="19"/>
      <c r="H80" s="18"/>
    </row>
    <row r="81" spans="1:8">
      <c r="A81" s="18"/>
      <c r="B81" s="18"/>
      <c r="C81" s="18"/>
      <c r="D81" s="18"/>
      <c r="E81" s="18"/>
      <c r="F81" s="18"/>
      <c r="G81" s="19"/>
      <c r="H81" s="18"/>
    </row>
    <row r="82" spans="1:8">
      <c r="A82" s="18"/>
      <c r="B82" s="18"/>
      <c r="C82" s="18"/>
      <c r="D82" s="18"/>
      <c r="E82" s="18"/>
      <c r="F82" s="18"/>
      <c r="G82" s="19"/>
      <c r="H82" s="18"/>
    </row>
    <row r="83" spans="1:8">
      <c r="A83" s="18"/>
      <c r="B83" s="18"/>
      <c r="C83" s="18"/>
      <c r="D83" s="18"/>
      <c r="E83" s="18"/>
      <c r="F83" s="18"/>
      <c r="G83" s="19"/>
      <c r="H83" s="18"/>
    </row>
    <row r="84" spans="1:8">
      <c r="A84" s="18"/>
      <c r="B84" s="18"/>
      <c r="C84" s="18"/>
      <c r="D84" s="18"/>
      <c r="E84" s="18"/>
      <c r="F84" s="18"/>
      <c r="G84" s="19"/>
      <c r="H84" s="18"/>
    </row>
    <row r="85" spans="1:8">
      <c r="A85" s="18"/>
      <c r="B85" s="18"/>
      <c r="C85" s="18"/>
      <c r="D85" s="18"/>
      <c r="E85" s="18"/>
      <c r="F85" s="18"/>
      <c r="G85" s="19"/>
      <c r="H85" s="18"/>
    </row>
    <row r="86" spans="1:8">
      <c r="A86" s="18"/>
      <c r="B86" s="18"/>
      <c r="C86" s="18"/>
      <c r="D86" s="18"/>
      <c r="E86" s="18"/>
      <c r="F86" s="18"/>
      <c r="G86" s="19"/>
      <c r="H86" s="18"/>
    </row>
    <row r="87" spans="1:8">
      <c r="A87" s="18"/>
      <c r="B87" s="18"/>
      <c r="C87" s="18"/>
      <c r="D87" s="18"/>
      <c r="E87" s="18"/>
      <c r="F87" s="18"/>
      <c r="G87" s="19"/>
      <c r="H87" s="18"/>
    </row>
    <row r="88" spans="1:8">
      <c r="A88" s="18"/>
      <c r="B88" s="18"/>
      <c r="C88" s="18"/>
      <c r="D88" s="18"/>
      <c r="E88" s="18"/>
      <c r="F88" s="18"/>
      <c r="G88" s="19"/>
      <c r="H88" s="18"/>
    </row>
    <row r="89" spans="1:8">
      <c r="A89" s="18"/>
      <c r="B89" s="18"/>
      <c r="C89" s="18"/>
      <c r="D89" s="18"/>
      <c r="E89" s="18"/>
      <c r="F89" s="18"/>
      <c r="G89" s="19"/>
      <c r="H89" s="18"/>
    </row>
    <row r="90" spans="1:8">
      <c r="A90" s="18"/>
      <c r="B90" s="18"/>
      <c r="C90" s="18"/>
      <c r="D90" s="18"/>
      <c r="E90" s="18"/>
      <c r="F90" s="18"/>
      <c r="G90" s="19"/>
      <c r="H90" s="18"/>
    </row>
    <row r="91" spans="1:8">
      <c r="A91" s="18"/>
      <c r="B91" s="18"/>
      <c r="C91" s="18"/>
      <c r="D91" s="18"/>
      <c r="E91" s="18"/>
      <c r="F91" s="18"/>
      <c r="G91" s="19"/>
      <c r="H91" s="18"/>
    </row>
    <row r="92" spans="1:8">
      <c r="A92" s="18"/>
      <c r="B92" s="18"/>
      <c r="C92" s="18"/>
      <c r="D92" s="18"/>
      <c r="E92" s="18"/>
      <c r="F92" s="18"/>
      <c r="G92" s="19"/>
      <c r="H92" s="18"/>
    </row>
    <row r="93" spans="1:8">
      <c r="A93" s="18"/>
      <c r="B93" s="18"/>
      <c r="C93" s="18"/>
      <c r="D93" s="18"/>
      <c r="E93" s="18"/>
      <c r="F93" s="18"/>
      <c r="G93" s="19"/>
      <c r="H93" s="18"/>
    </row>
    <row r="94" spans="1:8">
      <c r="A94" s="18"/>
      <c r="B94" s="18"/>
      <c r="C94" s="18"/>
      <c r="D94" s="18"/>
      <c r="E94" s="18"/>
      <c r="F94" s="18"/>
      <c r="G94" s="19"/>
      <c r="H94" s="18"/>
    </row>
    <row r="95" spans="1:8">
      <c r="A95" s="18"/>
      <c r="B95" s="18"/>
      <c r="C95" s="18"/>
      <c r="D95" s="18"/>
      <c r="E95" s="18"/>
      <c r="F95" s="18"/>
      <c r="G95" s="19"/>
      <c r="H95" s="18"/>
    </row>
    <row r="96" spans="1:8">
      <c r="A96" s="18"/>
      <c r="B96" s="18"/>
      <c r="C96" s="18"/>
      <c r="D96" s="18"/>
      <c r="E96" s="18"/>
      <c r="F96" s="18"/>
      <c r="G96" s="19"/>
      <c r="H96" s="18"/>
    </row>
    <row r="97" spans="1:8">
      <c r="A97" s="18"/>
      <c r="B97" s="18"/>
      <c r="C97" s="18"/>
      <c r="D97" s="18"/>
      <c r="E97" s="18"/>
      <c r="F97" s="18"/>
      <c r="G97" s="19"/>
      <c r="H97" s="18"/>
    </row>
    <row r="98" spans="1:8">
      <c r="A98" s="18"/>
      <c r="B98" s="18"/>
      <c r="C98" s="18"/>
      <c r="D98" s="18"/>
      <c r="E98" s="18"/>
      <c r="F98" s="18"/>
      <c r="G98" s="19"/>
      <c r="H98" s="18"/>
    </row>
    <row r="99" spans="1:8">
      <c r="A99" s="18"/>
      <c r="B99" s="18"/>
      <c r="C99" s="18"/>
      <c r="D99" s="18"/>
      <c r="E99" s="18"/>
      <c r="F99" s="18"/>
      <c r="G99" s="19"/>
      <c r="H99" s="18"/>
    </row>
    <row r="100" spans="1:8">
      <c r="A100" s="18"/>
      <c r="B100" s="18"/>
      <c r="C100" s="18"/>
      <c r="D100" s="18"/>
      <c r="E100" s="18"/>
      <c r="F100" s="18"/>
      <c r="G100" s="19"/>
      <c r="H100" s="18"/>
    </row>
    <row r="101" spans="1:8">
      <c r="A101" s="18"/>
      <c r="B101" s="18"/>
      <c r="C101" s="18"/>
      <c r="D101" s="18"/>
      <c r="E101" s="18"/>
      <c r="F101" s="18"/>
      <c r="G101" s="19"/>
      <c r="H101" s="18"/>
    </row>
    <row r="102" spans="1:8">
      <c r="A102" s="18"/>
      <c r="B102" s="18"/>
      <c r="C102" s="18"/>
      <c r="D102" s="18"/>
      <c r="E102" s="18"/>
      <c r="F102" s="18"/>
      <c r="G102" s="19"/>
      <c r="H102" s="18"/>
    </row>
    <row r="103" spans="1:8">
      <c r="A103" s="18"/>
      <c r="B103" s="18"/>
      <c r="C103" s="18"/>
      <c r="D103" s="18"/>
      <c r="E103" s="18"/>
      <c r="F103" s="18"/>
      <c r="G103" s="19"/>
      <c r="H103" s="18"/>
    </row>
    <row r="104" spans="1:8">
      <c r="A104" s="18"/>
      <c r="B104" s="18"/>
      <c r="C104" s="18"/>
      <c r="D104" s="18"/>
      <c r="E104" s="18"/>
      <c r="F104" s="18"/>
      <c r="G104" s="19"/>
      <c r="H104" s="18"/>
    </row>
    <row r="105" spans="1:8">
      <c r="A105" s="18"/>
      <c r="B105" s="18"/>
      <c r="C105" s="18"/>
      <c r="D105" s="18"/>
      <c r="E105" s="18"/>
      <c r="F105" s="18"/>
      <c r="G105" s="19"/>
      <c r="H105" s="18"/>
    </row>
    <row r="106" spans="1:8">
      <c r="A106" s="18"/>
      <c r="B106" s="18"/>
      <c r="C106" s="18"/>
      <c r="D106" s="18"/>
      <c r="E106" s="18"/>
      <c r="F106" s="18"/>
      <c r="G106" s="19"/>
      <c r="H106" s="18"/>
    </row>
    <row r="107" spans="1:8">
      <c r="A107" s="18"/>
      <c r="B107" s="18"/>
      <c r="C107" s="18"/>
      <c r="D107" s="18"/>
      <c r="E107" s="18"/>
      <c r="F107" s="18"/>
      <c r="G107" s="19"/>
      <c r="H107" s="18"/>
    </row>
    <row r="108" spans="1:8">
      <c r="A108" s="18"/>
      <c r="B108" s="18"/>
      <c r="C108" s="18"/>
      <c r="D108" s="18"/>
      <c r="E108" s="18"/>
      <c r="F108" s="18"/>
      <c r="G108" s="19"/>
      <c r="H108" s="18"/>
    </row>
    <row r="109" spans="1:8">
      <c r="A109" s="18"/>
      <c r="B109" s="18"/>
      <c r="C109" s="18"/>
      <c r="D109" s="18"/>
      <c r="E109" s="18"/>
      <c r="F109" s="18"/>
      <c r="G109" s="19"/>
      <c r="H109" s="18"/>
    </row>
    <row r="110" spans="1:8">
      <c r="A110" s="18"/>
      <c r="B110" s="18"/>
      <c r="C110" s="18"/>
      <c r="D110" s="18"/>
      <c r="E110" s="18"/>
      <c r="F110" s="18"/>
      <c r="G110" s="19"/>
      <c r="H110" s="18"/>
    </row>
    <row r="111" spans="1:8">
      <c r="G111" s="21"/>
    </row>
    <row r="112" spans="1:8">
      <c r="G112" s="21"/>
    </row>
    <row r="113" spans="7:7">
      <c r="G113" s="21"/>
    </row>
    <row r="114" spans="7:7">
      <c r="G114" s="21"/>
    </row>
    <row r="115" spans="7:7">
      <c r="G115" s="21"/>
    </row>
    <row r="116" spans="7:7">
      <c r="G116" s="21"/>
    </row>
    <row r="117" spans="7:7">
      <c r="G117" s="21"/>
    </row>
    <row r="118" spans="7:7">
      <c r="G118" s="21"/>
    </row>
    <row r="119" spans="7:7">
      <c r="G119" s="21"/>
    </row>
    <row r="120" spans="7:7">
      <c r="G120" s="21"/>
    </row>
    <row r="121" spans="7:7">
      <c r="G121" s="21"/>
    </row>
    <row r="122" spans="7:7">
      <c r="G122" s="21"/>
    </row>
    <row r="123" spans="7:7">
      <c r="G123" s="21"/>
    </row>
    <row r="124" spans="7:7">
      <c r="G124" s="21"/>
    </row>
    <row r="125" spans="7:7">
      <c r="G125" s="21"/>
    </row>
    <row r="126" spans="7:7">
      <c r="G126" s="21"/>
    </row>
    <row r="127" spans="7:7">
      <c r="G127" s="21"/>
    </row>
    <row r="128" spans="7:7">
      <c r="G128" s="21"/>
    </row>
    <row r="129" spans="7:7">
      <c r="G129" s="21"/>
    </row>
  </sheetData>
  <mergeCells count="18">
    <mergeCell ref="A3:A4"/>
    <mergeCell ref="B3:B4"/>
    <mergeCell ref="C3:C4"/>
    <mergeCell ref="M3:M4"/>
    <mergeCell ref="AH1:AS1"/>
    <mergeCell ref="D3:H3"/>
    <mergeCell ref="I3:I4"/>
    <mergeCell ref="J3:L3"/>
    <mergeCell ref="AT3:AT4"/>
    <mergeCell ref="AU3:AU4"/>
    <mergeCell ref="N3:N4"/>
    <mergeCell ref="O3:O4"/>
    <mergeCell ref="P3:P4"/>
    <mergeCell ref="Q3:Q4"/>
    <mergeCell ref="R3:R4"/>
    <mergeCell ref="S3:AE3"/>
    <mergeCell ref="AJ3:AJ4"/>
    <mergeCell ref="AL3:AP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F6F31-1F28-48A3-8D93-F36A3FE780D6}">
  <dimension ref="A1:H9"/>
  <sheetViews>
    <sheetView workbookViewId="0">
      <selection activeCell="C2" sqref="C2:C9"/>
    </sheetView>
  </sheetViews>
  <sheetFormatPr defaultRowHeight="15.75"/>
  <cols>
    <col min="2" max="2" width="11.875" bestFit="1" customWidth="1"/>
    <col min="3" max="3" width="13.75" bestFit="1" customWidth="1"/>
  </cols>
  <sheetData>
    <row r="1" spans="1:8">
      <c r="A1" s="90" t="s">
        <v>5</v>
      </c>
      <c r="B1" s="90" t="s">
        <v>6</v>
      </c>
      <c r="C1" s="90" t="s">
        <v>25</v>
      </c>
      <c r="D1" s="90" t="s">
        <v>26</v>
      </c>
      <c r="E1" s="90" t="s">
        <v>46</v>
      </c>
      <c r="F1" s="90" t="s">
        <v>46</v>
      </c>
      <c r="G1" s="90" t="s">
        <v>47</v>
      </c>
      <c r="H1" s="90" t="s">
        <v>47</v>
      </c>
    </row>
    <row r="2" spans="1:8">
      <c r="A2" s="18" t="s">
        <v>546</v>
      </c>
      <c r="B2" s="37">
        <v>6399229510</v>
      </c>
      <c r="C2" s="19">
        <v>22807</v>
      </c>
      <c r="D2" s="18" t="s">
        <v>47</v>
      </c>
      <c r="E2" s="20" t="s">
        <v>405</v>
      </c>
      <c r="F2" s="20" t="s">
        <v>97</v>
      </c>
      <c r="G2" s="20"/>
      <c r="H2" s="20"/>
    </row>
    <row r="3" spans="1:8">
      <c r="A3" s="18" t="s">
        <v>557</v>
      </c>
      <c r="B3" s="18">
        <v>4582340121</v>
      </c>
      <c r="C3" s="19">
        <v>20013</v>
      </c>
      <c r="D3" s="18" t="s">
        <v>47</v>
      </c>
      <c r="E3" s="20" t="s">
        <v>97</v>
      </c>
      <c r="F3" s="20"/>
      <c r="G3" s="20"/>
      <c r="H3" s="20"/>
    </row>
    <row r="4" spans="1:8">
      <c r="A4" s="18" t="s">
        <v>562</v>
      </c>
      <c r="B4" s="18">
        <v>4507873207</v>
      </c>
      <c r="C4" s="19">
        <v>17424</v>
      </c>
      <c r="D4" s="18" t="s">
        <v>55</v>
      </c>
      <c r="E4" s="20" t="s">
        <v>76</v>
      </c>
      <c r="F4" s="20"/>
      <c r="G4" s="20"/>
      <c r="H4" s="20"/>
    </row>
    <row r="5" spans="1:8">
      <c r="A5" s="18" t="s">
        <v>573</v>
      </c>
      <c r="B5" s="18">
        <v>6493734150</v>
      </c>
      <c r="C5" s="19">
        <v>23714</v>
      </c>
      <c r="D5" s="18" t="s">
        <v>55</v>
      </c>
      <c r="E5" s="20" t="s">
        <v>78</v>
      </c>
      <c r="F5" s="20" t="s">
        <v>76</v>
      </c>
      <c r="G5" s="20"/>
      <c r="H5" s="20"/>
    </row>
    <row r="6" spans="1:8">
      <c r="A6" s="18" t="s">
        <v>575</v>
      </c>
      <c r="B6" s="18">
        <v>4381377761</v>
      </c>
      <c r="C6" s="19">
        <v>15072</v>
      </c>
      <c r="D6" s="18" t="s">
        <v>47</v>
      </c>
      <c r="E6" s="20" t="s">
        <v>78</v>
      </c>
      <c r="F6" s="20"/>
      <c r="G6" s="20"/>
      <c r="H6" s="20"/>
    </row>
    <row r="7" spans="1:8">
      <c r="A7" s="18" t="s">
        <v>580</v>
      </c>
      <c r="B7" s="18">
        <v>4300240779</v>
      </c>
      <c r="C7" s="19">
        <v>11933</v>
      </c>
      <c r="D7" s="18" t="s">
        <v>47</v>
      </c>
      <c r="E7" s="20" t="s">
        <v>78</v>
      </c>
      <c r="F7" s="20"/>
      <c r="G7" s="20"/>
      <c r="H7" s="20"/>
    </row>
    <row r="8" spans="1:8">
      <c r="A8" s="18" t="s">
        <v>582</v>
      </c>
      <c r="B8" s="18">
        <v>4361566879</v>
      </c>
      <c r="C8" s="19">
        <v>10453</v>
      </c>
      <c r="D8" s="18" t="s">
        <v>47</v>
      </c>
      <c r="E8" s="20" t="s">
        <v>177</v>
      </c>
      <c r="F8" s="20"/>
      <c r="G8" s="20"/>
      <c r="H8" s="20"/>
    </row>
    <row r="9" spans="1:8">
      <c r="A9" s="18" t="s">
        <v>584</v>
      </c>
      <c r="B9" s="18">
        <v>4125400466</v>
      </c>
      <c r="C9" s="19">
        <v>24166</v>
      </c>
      <c r="D9" s="18" t="s">
        <v>47</v>
      </c>
      <c r="E9" s="20" t="s">
        <v>78</v>
      </c>
      <c r="F9" s="20" t="s">
        <v>77</v>
      </c>
      <c r="G9" s="20"/>
      <c r="H9"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F21"/>
  <sheetViews>
    <sheetView workbookViewId="0">
      <selection activeCell="A3" sqref="A3"/>
    </sheetView>
  </sheetViews>
  <sheetFormatPr defaultRowHeight="15.75"/>
  <cols>
    <col min="1" max="1" width="21" customWidth="1"/>
    <col min="3" max="3" width="9.75" bestFit="1" customWidth="1"/>
  </cols>
  <sheetData>
    <row r="1" spans="1:6" ht="15.75" customHeight="1">
      <c r="B1" s="1"/>
      <c r="C1" s="1"/>
      <c r="D1" s="117" t="s">
        <v>597</v>
      </c>
      <c r="E1" s="117"/>
      <c r="F1" s="1"/>
    </row>
    <row r="2" spans="1:6" ht="16.5">
      <c r="A2" s="91" t="s">
        <v>5</v>
      </c>
      <c r="B2" s="1" t="s">
        <v>598</v>
      </c>
      <c r="C2" s="1" t="s">
        <v>599</v>
      </c>
      <c r="D2" s="10" t="s">
        <v>600</v>
      </c>
      <c r="E2" s="10" t="s">
        <v>601</v>
      </c>
      <c r="F2" s="1" t="s">
        <v>40</v>
      </c>
    </row>
    <row r="3" spans="1:6">
      <c r="A3" t="s">
        <v>546</v>
      </c>
      <c r="B3" t="s">
        <v>405</v>
      </c>
      <c r="C3" t="s">
        <v>602</v>
      </c>
      <c r="D3" t="s">
        <v>603</v>
      </c>
      <c r="E3" t="s">
        <v>604</v>
      </c>
    </row>
    <row r="4" spans="1:6">
      <c r="A4" t="s">
        <v>546</v>
      </c>
      <c r="B4" t="s">
        <v>97</v>
      </c>
      <c r="C4" t="s">
        <v>602</v>
      </c>
      <c r="D4" t="s">
        <v>603</v>
      </c>
      <c r="E4" t="s">
        <v>604</v>
      </c>
    </row>
    <row r="5" spans="1:6">
      <c r="A5" t="s">
        <v>557</v>
      </c>
      <c r="B5" t="s">
        <v>97</v>
      </c>
      <c r="C5" t="s">
        <v>602</v>
      </c>
      <c r="D5" t="s">
        <v>603</v>
      </c>
      <c r="E5" t="s">
        <v>604</v>
      </c>
    </row>
    <row r="6" spans="1:6">
      <c r="A6" t="s">
        <v>562</v>
      </c>
      <c r="B6" t="s">
        <v>76</v>
      </c>
      <c r="C6" t="s">
        <v>605</v>
      </c>
      <c r="D6" t="s">
        <v>603</v>
      </c>
      <c r="E6" t="s">
        <v>604</v>
      </c>
    </row>
    <row r="7" spans="1:6">
      <c r="A7" t="s">
        <v>573</v>
      </c>
      <c r="B7" t="s">
        <v>78</v>
      </c>
      <c r="C7" t="s">
        <v>602</v>
      </c>
      <c r="D7" t="s">
        <v>603</v>
      </c>
      <c r="E7" t="s">
        <v>604</v>
      </c>
    </row>
    <row r="8" spans="1:6">
      <c r="A8" t="s">
        <v>573</v>
      </c>
      <c r="B8" t="s">
        <v>76</v>
      </c>
      <c r="C8" t="s">
        <v>602</v>
      </c>
      <c r="D8" t="s">
        <v>603</v>
      </c>
      <c r="E8" t="s">
        <v>604</v>
      </c>
    </row>
    <row r="9" spans="1:6">
      <c r="A9" t="s">
        <v>575</v>
      </c>
      <c r="B9" t="s">
        <v>78</v>
      </c>
      <c r="C9" t="s">
        <v>605</v>
      </c>
      <c r="D9" t="s">
        <v>603</v>
      </c>
      <c r="E9" t="s">
        <v>604</v>
      </c>
    </row>
    <row r="10" spans="1:6">
      <c r="A10" t="s">
        <v>580</v>
      </c>
      <c r="B10" t="s">
        <v>78</v>
      </c>
      <c r="C10" t="s">
        <v>602</v>
      </c>
      <c r="D10" t="s">
        <v>603</v>
      </c>
      <c r="E10" t="s">
        <v>604</v>
      </c>
    </row>
    <row r="11" spans="1:6">
      <c r="A11" t="s">
        <v>582</v>
      </c>
      <c r="B11" t="s">
        <v>177</v>
      </c>
      <c r="C11" t="s">
        <v>602</v>
      </c>
      <c r="D11" t="s">
        <v>603</v>
      </c>
      <c r="E11" t="s">
        <v>604</v>
      </c>
    </row>
    <row r="12" spans="1:6">
      <c r="A12" t="s">
        <v>584</v>
      </c>
      <c r="B12" t="s">
        <v>78</v>
      </c>
      <c r="C12" t="s">
        <v>602</v>
      </c>
      <c r="D12" t="s">
        <v>603</v>
      </c>
      <c r="E12" t="s">
        <v>604</v>
      </c>
    </row>
    <row r="13" spans="1:6">
      <c r="A13" t="s">
        <v>584</v>
      </c>
      <c r="B13" t="s">
        <v>77</v>
      </c>
      <c r="C13" t="s">
        <v>602</v>
      </c>
      <c r="D13" t="s">
        <v>603</v>
      </c>
      <c r="E13" t="s">
        <v>604</v>
      </c>
    </row>
    <row r="15" spans="1:6">
      <c r="A15" s="11" t="s">
        <v>606</v>
      </c>
      <c r="C15" s="12">
        <f>COUNTA(A3:A13)</f>
        <v>11</v>
      </c>
    </row>
    <row r="17" spans="1:3">
      <c r="A17" s="11" t="s">
        <v>607</v>
      </c>
      <c r="C17" s="11">
        <f>COUNTIF(C3:C13, "Primary")</f>
        <v>2</v>
      </c>
    </row>
    <row r="18" spans="1:3">
      <c r="A18" s="11" t="s">
        <v>608</v>
      </c>
      <c r="C18" s="11">
        <f>COUNTIF(C3:C13, "Metastatic")</f>
        <v>9</v>
      </c>
    </row>
    <row r="19" spans="1:3">
      <c r="A19" s="11" t="s">
        <v>609</v>
      </c>
      <c r="C19" s="11">
        <f>COUNTIF(C3:C13, "Normal")</f>
        <v>0</v>
      </c>
    </row>
    <row r="20" spans="1:3">
      <c r="A20" s="13"/>
      <c r="C20" s="13"/>
    </row>
    <row r="21" spans="1:3">
      <c r="A21" s="11" t="s">
        <v>610</v>
      </c>
      <c r="C21" s="14">
        <f>SUM(C17:C19)</f>
        <v>11</v>
      </c>
    </row>
  </sheetData>
  <mergeCells count="1">
    <mergeCell ref="D1:E1"/>
  </mergeCells>
  <conditionalFormatting sqref="A15 C15">
    <cfRule type="duplicateValues" dxfId="6" priority="5"/>
  </conditionalFormatting>
  <conditionalFormatting sqref="A2">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69926-5CC2-41A7-A269-CF9ADBFAE9C1}">
  <sheetPr codeName="Sheet6"/>
  <dimension ref="A2:A34"/>
  <sheetViews>
    <sheetView topLeftCell="A18" workbookViewId="0"/>
  </sheetViews>
  <sheetFormatPr defaultColWidth="10" defaultRowHeight="15.75"/>
  <cols>
    <col min="1" max="1" width="40.125" customWidth="1"/>
  </cols>
  <sheetData>
    <row r="2" spans="1:1">
      <c r="A2" t="s">
        <v>611</v>
      </c>
    </row>
    <row r="3" spans="1:1">
      <c r="A3" t="s">
        <v>612</v>
      </c>
    </row>
    <row r="4" spans="1:1">
      <c r="A4" t="s">
        <v>613</v>
      </c>
    </row>
    <row r="5" spans="1:1">
      <c r="A5" t="s">
        <v>614</v>
      </c>
    </row>
    <row r="7" spans="1:1">
      <c r="A7" t="s">
        <v>615</v>
      </c>
    </row>
    <row r="8" spans="1:1">
      <c r="A8" t="s">
        <v>616</v>
      </c>
    </row>
    <row r="10" spans="1:1">
      <c r="A10" t="s">
        <v>617</v>
      </c>
    </row>
    <row r="11" spans="1:1">
      <c r="A11" t="s">
        <v>618</v>
      </c>
    </row>
    <row r="12" spans="1:1">
      <c r="A12" t="s">
        <v>619</v>
      </c>
    </row>
    <row r="13" spans="1:1">
      <c r="A13" t="s">
        <v>620</v>
      </c>
    </row>
    <row r="14" spans="1:1">
      <c r="A14" t="s">
        <v>621</v>
      </c>
    </row>
    <row r="16" spans="1:1">
      <c r="A16" t="s">
        <v>622</v>
      </c>
    </row>
    <row r="17" spans="1:1">
      <c r="A17" t="s">
        <v>623</v>
      </c>
    </row>
    <row r="18" spans="1:1">
      <c r="A18" t="s">
        <v>624</v>
      </c>
    </row>
    <row r="20" spans="1:1">
      <c r="A20" t="s">
        <v>625</v>
      </c>
    </row>
    <row r="22" spans="1:1">
      <c r="A22" t="s">
        <v>626</v>
      </c>
    </row>
    <row r="23" spans="1:1">
      <c r="A23" t="s">
        <v>627</v>
      </c>
    </row>
    <row r="25" spans="1:1">
      <c r="A25" t="s">
        <v>628</v>
      </c>
    </row>
    <row r="26" spans="1:1">
      <c r="A26" t="s">
        <v>629</v>
      </c>
    </row>
    <row r="27" spans="1:1">
      <c r="A27" t="s">
        <v>630</v>
      </c>
    </row>
    <row r="29" spans="1:1">
      <c r="A29" t="s">
        <v>631</v>
      </c>
    </row>
    <row r="31" spans="1:1" ht="21">
      <c r="A31" s="28" t="s">
        <v>632</v>
      </c>
    </row>
    <row r="33" spans="1:1">
      <c r="A33" t="s">
        <v>633</v>
      </c>
    </row>
    <row r="34" spans="1:1">
      <c r="A34" t="s">
        <v>634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78E64-7876-4B69-A181-59A70FB0E65C}">
  <dimension ref="A1:AU25"/>
  <sheetViews>
    <sheetView workbookViewId="0"/>
  </sheetViews>
  <sheetFormatPr defaultColWidth="18.125" defaultRowHeight="15"/>
  <cols>
    <col min="1" max="16384" width="18.125" style="81"/>
  </cols>
  <sheetData>
    <row r="1" spans="1:47" ht="54.95" customHeight="1" thickBot="1">
      <c r="A1" s="45" t="s">
        <v>5</v>
      </c>
      <c r="B1" s="46" t="s">
        <v>6</v>
      </c>
      <c r="C1" s="46" t="s">
        <v>7</v>
      </c>
      <c r="D1" s="47" t="s">
        <v>22</v>
      </c>
      <c r="E1" s="48" t="s">
        <v>23</v>
      </c>
      <c r="F1" s="49" t="s">
        <v>24</v>
      </c>
      <c r="G1" s="49" t="s">
        <v>25</v>
      </c>
      <c r="H1" s="50" t="s">
        <v>26</v>
      </c>
      <c r="I1" s="51" t="s">
        <v>9</v>
      </c>
      <c r="J1" s="51" t="s">
        <v>635</v>
      </c>
      <c r="K1" s="52" t="s">
        <v>636</v>
      </c>
      <c r="L1" s="53" t="s">
        <v>637</v>
      </c>
      <c r="M1" s="54" t="s">
        <v>11</v>
      </c>
      <c r="N1" s="54" t="s">
        <v>12</v>
      </c>
      <c r="O1" s="55" t="s">
        <v>13</v>
      </c>
      <c r="P1" s="56" t="s">
        <v>14</v>
      </c>
      <c r="Q1" s="56" t="s">
        <v>15</v>
      </c>
      <c r="R1" s="56" t="s">
        <v>16</v>
      </c>
      <c r="S1" s="56" t="s">
        <v>30</v>
      </c>
      <c r="T1" s="56" t="s">
        <v>31</v>
      </c>
      <c r="U1" s="56" t="s">
        <v>32</v>
      </c>
      <c r="V1" s="56" t="s">
        <v>33</v>
      </c>
      <c r="W1" s="56" t="s">
        <v>34</v>
      </c>
      <c r="X1" s="56" t="s">
        <v>35</v>
      </c>
      <c r="Y1" s="56" t="s">
        <v>36</v>
      </c>
      <c r="Z1" s="56" t="s">
        <v>37</v>
      </c>
      <c r="AA1" s="56" t="s">
        <v>38</v>
      </c>
      <c r="AB1" s="56" t="s">
        <v>39</v>
      </c>
      <c r="AC1" s="56" t="s">
        <v>40</v>
      </c>
      <c r="AD1" s="56" t="s">
        <v>41</v>
      </c>
      <c r="AE1" s="56" t="s">
        <v>42</v>
      </c>
      <c r="AF1" s="56" t="s">
        <v>43</v>
      </c>
      <c r="AG1" s="56" t="s">
        <v>7</v>
      </c>
      <c r="AH1" s="57" t="s">
        <v>44</v>
      </c>
      <c r="AI1" s="58" t="s">
        <v>45</v>
      </c>
      <c r="AJ1" s="58" t="s">
        <v>18</v>
      </c>
      <c r="AK1" s="58" t="s">
        <v>7</v>
      </c>
      <c r="AL1" s="59" t="s">
        <v>46</v>
      </c>
      <c r="AM1" s="59" t="s">
        <v>46</v>
      </c>
      <c r="AN1" s="59" t="s">
        <v>47</v>
      </c>
      <c r="AO1" s="59" t="s">
        <v>47</v>
      </c>
      <c r="AP1" s="59" t="s">
        <v>40</v>
      </c>
      <c r="AQ1" s="59" t="s">
        <v>48</v>
      </c>
      <c r="AR1" s="59" t="s">
        <v>49</v>
      </c>
      <c r="AS1" s="60" t="s">
        <v>7</v>
      </c>
      <c r="AT1" s="61" t="s">
        <v>20</v>
      </c>
      <c r="AU1" s="62" t="s">
        <v>21</v>
      </c>
    </row>
    <row r="2" spans="1:47">
      <c r="A2" s="63" t="s">
        <v>50</v>
      </c>
      <c r="B2" s="63">
        <v>4001423189</v>
      </c>
      <c r="C2" s="63" t="s">
        <v>51</v>
      </c>
      <c r="D2" s="63" t="s">
        <v>52</v>
      </c>
      <c r="E2" s="64" t="s">
        <v>53</v>
      </c>
      <c r="F2" s="63" t="s">
        <v>54</v>
      </c>
      <c r="G2" s="65">
        <v>17962</v>
      </c>
      <c r="H2" s="63" t="s">
        <v>55</v>
      </c>
      <c r="I2" s="66" t="s">
        <v>40</v>
      </c>
      <c r="J2" s="66" t="s">
        <v>56</v>
      </c>
      <c r="K2" s="66"/>
      <c r="L2" s="66"/>
      <c r="M2" s="66" t="s">
        <v>57</v>
      </c>
      <c r="N2" s="66" t="s">
        <v>57</v>
      </c>
      <c r="O2" s="66" t="s">
        <v>57</v>
      </c>
      <c r="P2" s="66" t="s">
        <v>58</v>
      </c>
      <c r="Q2" s="66" t="s">
        <v>59</v>
      </c>
      <c r="R2" s="66"/>
      <c r="S2" s="66"/>
      <c r="T2" s="66"/>
      <c r="U2" s="66"/>
      <c r="V2" s="66"/>
      <c r="W2" s="66"/>
      <c r="X2" s="66"/>
      <c r="Y2" s="66"/>
      <c r="Z2" s="66"/>
      <c r="AA2" s="66"/>
      <c r="AB2" s="66"/>
      <c r="AC2" s="66"/>
      <c r="AD2" s="66"/>
      <c r="AE2" s="66"/>
      <c r="AF2" s="66"/>
      <c r="AG2" s="66"/>
      <c r="AH2" s="66" t="s">
        <v>57</v>
      </c>
      <c r="AI2" s="66" t="s">
        <v>57</v>
      </c>
      <c r="AJ2" s="66" t="s">
        <v>57</v>
      </c>
      <c r="AK2" s="66" t="s">
        <v>57</v>
      </c>
      <c r="AL2" s="66" t="s">
        <v>57</v>
      </c>
      <c r="AM2" s="66" t="s">
        <v>57</v>
      </c>
      <c r="AN2" s="66" t="s">
        <v>57</v>
      </c>
      <c r="AO2" s="66" t="s">
        <v>57</v>
      </c>
      <c r="AP2" s="66" t="s">
        <v>57</v>
      </c>
      <c r="AQ2" s="66" t="s">
        <v>57</v>
      </c>
      <c r="AR2" s="66" t="s">
        <v>57</v>
      </c>
      <c r="AS2" s="66" t="s">
        <v>57</v>
      </c>
      <c r="AT2" s="66"/>
      <c r="AU2" s="67"/>
    </row>
    <row r="3" spans="1:47">
      <c r="A3" s="63" t="s">
        <v>64</v>
      </c>
      <c r="B3" s="63">
        <v>6180864543</v>
      </c>
      <c r="C3" s="63" t="s">
        <v>65</v>
      </c>
      <c r="D3" s="63" t="s">
        <v>66</v>
      </c>
      <c r="E3" s="64">
        <v>0.8</v>
      </c>
      <c r="F3" s="63" t="s">
        <v>54</v>
      </c>
      <c r="G3" s="65">
        <v>15553</v>
      </c>
      <c r="H3" s="63" t="s">
        <v>55</v>
      </c>
      <c r="I3" s="66" t="s">
        <v>40</v>
      </c>
      <c r="J3" s="66" t="s">
        <v>56</v>
      </c>
      <c r="K3" s="66"/>
      <c r="L3" s="66"/>
      <c r="M3" s="66" t="s">
        <v>57</v>
      </c>
      <c r="N3" s="66" t="s">
        <v>57</v>
      </c>
      <c r="O3" s="66" t="s">
        <v>57</v>
      </c>
      <c r="P3" s="66"/>
      <c r="Q3" s="66"/>
      <c r="R3" s="66" t="s">
        <v>67</v>
      </c>
      <c r="S3" s="66"/>
      <c r="T3" s="66"/>
      <c r="U3" s="66"/>
      <c r="V3" s="66"/>
      <c r="W3" s="66"/>
      <c r="X3" s="66"/>
      <c r="Y3" s="66"/>
      <c r="Z3" s="66"/>
      <c r="AA3" s="66"/>
      <c r="AB3" s="66"/>
      <c r="AC3" s="66"/>
      <c r="AD3" s="66"/>
      <c r="AE3" s="66"/>
      <c r="AF3" s="66"/>
      <c r="AG3" s="66"/>
      <c r="AH3" s="66" t="s">
        <v>57</v>
      </c>
      <c r="AI3" s="66" t="s">
        <v>57</v>
      </c>
      <c r="AJ3" s="66" t="s">
        <v>57</v>
      </c>
      <c r="AK3" s="66" t="s">
        <v>57</v>
      </c>
      <c r="AL3" s="66" t="s">
        <v>57</v>
      </c>
      <c r="AM3" s="66" t="s">
        <v>57</v>
      </c>
      <c r="AN3" s="66" t="s">
        <v>57</v>
      </c>
      <c r="AO3" s="66" t="s">
        <v>57</v>
      </c>
      <c r="AP3" s="66" t="s">
        <v>57</v>
      </c>
      <c r="AQ3" s="66" t="s">
        <v>57</v>
      </c>
      <c r="AR3" s="66" t="s">
        <v>57</v>
      </c>
      <c r="AS3" s="66" t="s">
        <v>57</v>
      </c>
      <c r="AT3" s="66"/>
      <c r="AU3" s="67"/>
    </row>
    <row r="4" spans="1:47">
      <c r="A4" s="63" t="s">
        <v>68</v>
      </c>
      <c r="B4" s="63">
        <v>4787147250</v>
      </c>
      <c r="C4" s="63" t="s">
        <v>69</v>
      </c>
      <c r="D4" s="63" t="s">
        <v>66</v>
      </c>
      <c r="E4" s="64">
        <v>0.5</v>
      </c>
      <c r="F4" s="63" t="s">
        <v>70</v>
      </c>
      <c r="G4" s="65">
        <v>23290</v>
      </c>
      <c r="H4" s="63" t="s">
        <v>47</v>
      </c>
      <c r="I4" s="66" t="s">
        <v>40</v>
      </c>
      <c r="J4" s="66"/>
      <c r="K4" s="66"/>
      <c r="L4" s="66" t="s">
        <v>56</v>
      </c>
      <c r="M4" s="66" t="s">
        <v>57</v>
      </c>
      <c r="N4" s="66" t="s">
        <v>57</v>
      </c>
      <c r="O4" s="66" t="s">
        <v>57</v>
      </c>
      <c r="P4" s="66" t="s">
        <v>71</v>
      </c>
      <c r="Q4" s="66" t="s">
        <v>59</v>
      </c>
      <c r="R4" s="66"/>
      <c r="S4" s="66"/>
      <c r="T4" s="66"/>
      <c r="U4" s="66"/>
      <c r="V4" s="66"/>
      <c r="W4" s="66"/>
      <c r="X4" s="66"/>
      <c r="Y4" s="66"/>
      <c r="Z4" s="66"/>
      <c r="AA4" s="66"/>
      <c r="AB4" s="66"/>
      <c r="AC4" s="66"/>
      <c r="AD4" s="66"/>
      <c r="AE4" s="66"/>
      <c r="AF4" s="66"/>
      <c r="AG4" s="66"/>
      <c r="AH4" s="66" t="s">
        <v>57</v>
      </c>
      <c r="AI4" s="66" t="s">
        <v>57</v>
      </c>
      <c r="AJ4" s="66" t="s">
        <v>57</v>
      </c>
      <c r="AK4" s="66" t="s">
        <v>57</v>
      </c>
      <c r="AL4" s="66" t="s">
        <v>57</v>
      </c>
      <c r="AM4" s="66" t="s">
        <v>57</v>
      </c>
      <c r="AN4" s="66" t="s">
        <v>57</v>
      </c>
      <c r="AO4" s="66" t="s">
        <v>57</v>
      </c>
      <c r="AP4" s="66" t="s">
        <v>57</v>
      </c>
      <c r="AQ4" s="66" t="s">
        <v>57</v>
      </c>
      <c r="AR4" s="66" t="s">
        <v>57</v>
      </c>
      <c r="AS4" s="66" t="s">
        <v>57</v>
      </c>
      <c r="AT4" s="66"/>
      <c r="AU4" s="67"/>
    </row>
    <row r="5" spans="1:47">
      <c r="A5" s="63" t="s">
        <v>73</v>
      </c>
      <c r="B5" s="63">
        <v>4581969433</v>
      </c>
      <c r="C5" s="63" t="s">
        <v>65</v>
      </c>
      <c r="D5" s="63" t="s">
        <v>74</v>
      </c>
      <c r="E5" s="64">
        <v>0.3</v>
      </c>
      <c r="F5" s="63" t="s">
        <v>54</v>
      </c>
      <c r="G5" s="65">
        <v>19541</v>
      </c>
      <c r="H5" s="63" t="s">
        <v>47</v>
      </c>
      <c r="I5" s="66" t="s">
        <v>40</v>
      </c>
      <c r="J5" s="66" t="s">
        <v>56</v>
      </c>
      <c r="K5" s="66"/>
      <c r="L5" s="66"/>
      <c r="M5" s="66" t="s">
        <v>57</v>
      </c>
      <c r="N5" s="66" t="s">
        <v>57</v>
      </c>
      <c r="O5" s="66" t="s">
        <v>57</v>
      </c>
      <c r="P5" s="66" t="s">
        <v>75</v>
      </c>
      <c r="Q5" s="66" t="s">
        <v>59</v>
      </c>
      <c r="R5" s="66"/>
      <c r="S5" s="66"/>
      <c r="T5" s="66"/>
      <c r="U5" s="66"/>
      <c r="V5" s="66"/>
      <c r="W5" s="66"/>
      <c r="X5" s="66"/>
      <c r="Y5" s="66"/>
      <c r="Z5" s="66"/>
      <c r="AA5" s="66"/>
      <c r="AB5" s="66"/>
      <c r="AC5" s="66"/>
      <c r="AD5" s="66"/>
      <c r="AE5" s="66"/>
      <c r="AF5" s="66"/>
      <c r="AG5" s="66"/>
      <c r="AH5" s="66" t="s">
        <v>57</v>
      </c>
      <c r="AI5" s="66" t="s">
        <v>57</v>
      </c>
      <c r="AJ5" s="66" t="s">
        <v>57</v>
      </c>
      <c r="AK5" s="66" t="s">
        <v>57</v>
      </c>
      <c r="AL5" s="66" t="s">
        <v>57</v>
      </c>
      <c r="AM5" s="66" t="s">
        <v>57</v>
      </c>
      <c r="AN5" s="66" t="s">
        <v>57</v>
      </c>
      <c r="AO5" s="66" t="s">
        <v>57</v>
      </c>
      <c r="AP5" s="66" t="s">
        <v>57</v>
      </c>
      <c r="AQ5" s="66" t="s">
        <v>57</v>
      </c>
      <c r="AR5" s="66" t="s">
        <v>57</v>
      </c>
      <c r="AS5" s="66" t="s">
        <v>57</v>
      </c>
      <c r="AT5" s="66"/>
      <c r="AU5" s="67"/>
    </row>
    <row r="6" spans="1:47">
      <c r="A6" s="63" t="s">
        <v>82</v>
      </c>
      <c r="B6" s="63">
        <v>6311509369</v>
      </c>
      <c r="C6" s="63" t="s">
        <v>83</v>
      </c>
      <c r="D6" s="63" t="s">
        <v>66</v>
      </c>
      <c r="E6" s="64">
        <v>0.4</v>
      </c>
      <c r="F6" s="63" t="s">
        <v>54</v>
      </c>
      <c r="G6" s="65">
        <v>19484</v>
      </c>
      <c r="H6" s="63" t="s">
        <v>55</v>
      </c>
      <c r="I6" s="66" t="s">
        <v>40</v>
      </c>
      <c r="J6" s="66" t="s">
        <v>56</v>
      </c>
      <c r="K6" s="66"/>
      <c r="L6" s="66"/>
      <c r="M6" s="66" t="s">
        <v>57</v>
      </c>
      <c r="N6" s="66" t="s">
        <v>57</v>
      </c>
      <c r="O6" s="66" t="s">
        <v>57</v>
      </c>
      <c r="P6" s="66" t="s">
        <v>84</v>
      </c>
      <c r="Q6" s="66" t="s">
        <v>59</v>
      </c>
      <c r="R6" s="66"/>
      <c r="S6" s="66"/>
      <c r="T6" s="66"/>
      <c r="U6" s="66"/>
      <c r="V6" s="66"/>
      <c r="W6" s="66"/>
      <c r="X6" s="66"/>
      <c r="Y6" s="66"/>
      <c r="Z6" s="66"/>
      <c r="AA6" s="66"/>
      <c r="AB6" s="66"/>
      <c r="AC6" s="66"/>
      <c r="AD6" s="66"/>
      <c r="AE6" s="66"/>
      <c r="AF6" s="66"/>
      <c r="AG6" s="66"/>
      <c r="AH6" s="66" t="s">
        <v>57</v>
      </c>
      <c r="AI6" s="66" t="s">
        <v>57</v>
      </c>
      <c r="AJ6" s="66" t="s">
        <v>57</v>
      </c>
      <c r="AK6" s="66" t="s">
        <v>57</v>
      </c>
      <c r="AL6" s="66" t="s">
        <v>57</v>
      </c>
      <c r="AM6" s="66" t="s">
        <v>57</v>
      </c>
      <c r="AN6" s="66" t="s">
        <v>57</v>
      </c>
      <c r="AO6" s="66" t="s">
        <v>57</v>
      </c>
      <c r="AP6" s="66" t="s">
        <v>57</v>
      </c>
      <c r="AQ6" s="66" t="s">
        <v>57</v>
      </c>
      <c r="AR6" s="66" t="s">
        <v>57</v>
      </c>
      <c r="AS6" s="66" t="s">
        <v>57</v>
      </c>
      <c r="AT6" s="66"/>
      <c r="AU6" s="67"/>
    </row>
    <row r="7" spans="1:47">
      <c r="A7" s="63" t="s">
        <v>87</v>
      </c>
      <c r="B7" s="63">
        <v>4383954715</v>
      </c>
      <c r="C7" s="63" t="s">
        <v>88</v>
      </c>
      <c r="D7" s="63" t="s">
        <v>66</v>
      </c>
      <c r="E7" s="64">
        <v>0.4</v>
      </c>
      <c r="F7" s="63" t="s">
        <v>54</v>
      </c>
      <c r="G7" s="65">
        <v>16900</v>
      </c>
      <c r="H7" s="63" t="s">
        <v>47</v>
      </c>
      <c r="I7" s="66" t="s">
        <v>40</v>
      </c>
      <c r="J7" s="66" t="s">
        <v>56</v>
      </c>
      <c r="K7" s="66"/>
      <c r="L7" s="66"/>
      <c r="M7" s="66" t="s">
        <v>57</v>
      </c>
      <c r="N7" s="66" t="s">
        <v>57</v>
      </c>
      <c r="O7" s="66" t="s">
        <v>57</v>
      </c>
      <c r="P7" s="66" t="s">
        <v>89</v>
      </c>
      <c r="Q7" s="66" t="s">
        <v>59</v>
      </c>
      <c r="R7" s="66"/>
      <c r="S7" s="66"/>
      <c r="T7" s="66"/>
      <c r="U7" s="66"/>
      <c r="V7" s="66"/>
      <c r="W7" s="66"/>
      <c r="X7" s="66"/>
      <c r="Y7" s="66"/>
      <c r="Z7" s="66"/>
      <c r="AA7" s="66"/>
      <c r="AB7" s="66"/>
      <c r="AC7" s="66"/>
      <c r="AD7" s="66"/>
      <c r="AE7" s="66"/>
      <c r="AF7" s="66"/>
      <c r="AG7" s="66"/>
      <c r="AH7" s="66" t="s">
        <v>57</v>
      </c>
      <c r="AI7" s="66" t="s">
        <v>57</v>
      </c>
      <c r="AJ7" s="66" t="s">
        <v>57</v>
      </c>
      <c r="AK7" s="66" t="s">
        <v>57</v>
      </c>
      <c r="AL7" s="66" t="s">
        <v>57</v>
      </c>
      <c r="AM7" s="66" t="s">
        <v>57</v>
      </c>
      <c r="AN7" s="66" t="s">
        <v>57</v>
      </c>
      <c r="AO7" s="66" t="s">
        <v>57</v>
      </c>
      <c r="AP7" s="66" t="s">
        <v>57</v>
      </c>
      <c r="AQ7" s="66" t="s">
        <v>57</v>
      </c>
      <c r="AR7" s="66" t="s">
        <v>57</v>
      </c>
      <c r="AS7" s="66" t="s">
        <v>57</v>
      </c>
      <c r="AT7" s="66"/>
      <c r="AU7" s="67"/>
    </row>
    <row r="8" spans="1:47">
      <c r="A8" s="63" t="s">
        <v>91</v>
      </c>
      <c r="B8" s="63">
        <v>4382082870</v>
      </c>
      <c r="C8" s="63" t="s">
        <v>88</v>
      </c>
      <c r="D8" s="63" t="s">
        <v>52</v>
      </c>
      <c r="E8" s="64">
        <v>0.2</v>
      </c>
      <c r="F8" s="63" t="s">
        <v>54</v>
      </c>
      <c r="G8" s="65">
        <v>16489</v>
      </c>
      <c r="H8" s="63" t="s">
        <v>47</v>
      </c>
      <c r="I8" s="66" t="s">
        <v>40</v>
      </c>
      <c r="J8" s="66" t="s">
        <v>56</v>
      </c>
      <c r="K8" s="66"/>
      <c r="L8" s="66"/>
      <c r="M8" s="66" t="s">
        <v>57</v>
      </c>
      <c r="N8" s="66" t="s">
        <v>57</v>
      </c>
      <c r="O8" s="66" t="s">
        <v>57</v>
      </c>
      <c r="P8" s="66" t="s">
        <v>92</v>
      </c>
      <c r="Q8" s="66" t="s">
        <v>59</v>
      </c>
      <c r="R8" s="66"/>
      <c r="S8" s="66"/>
      <c r="T8" s="66"/>
      <c r="U8" s="66"/>
      <c r="V8" s="66"/>
      <c r="W8" s="66"/>
      <c r="X8" s="66"/>
      <c r="Y8" s="66"/>
      <c r="Z8" s="66"/>
      <c r="AA8" s="66"/>
      <c r="AB8" s="66"/>
      <c r="AC8" s="66"/>
      <c r="AD8" s="66"/>
      <c r="AE8" s="66"/>
      <c r="AF8" s="66"/>
      <c r="AG8" s="66"/>
      <c r="AH8" s="66" t="s">
        <v>57</v>
      </c>
      <c r="AI8" s="66" t="s">
        <v>57</v>
      </c>
      <c r="AJ8" s="66" t="s">
        <v>57</v>
      </c>
      <c r="AK8" s="66" t="s">
        <v>57</v>
      </c>
      <c r="AL8" s="66" t="s">
        <v>57</v>
      </c>
      <c r="AM8" s="66" t="s">
        <v>57</v>
      </c>
      <c r="AN8" s="66" t="s">
        <v>57</v>
      </c>
      <c r="AO8" s="66" t="s">
        <v>57</v>
      </c>
      <c r="AP8" s="66" t="s">
        <v>57</v>
      </c>
      <c r="AQ8" s="66" t="s">
        <v>57</v>
      </c>
      <c r="AR8" s="66" t="s">
        <v>57</v>
      </c>
      <c r="AS8" s="66" t="s">
        <v>57</v>
      </c>
      <c r="AT8" s="66"/>
      <c r="AU8" s="67"/>
    </row>
    <row r="9" spans="1:47">
      <c r="A9" s="63" t="s">
        <v>93</v>
      </c>
      <c r="B9" s="63">
        <v>4509013485</v>
      </c>
      <c r="C9" s="63" t="s">
        <v>94</v>
      </c>
      <c r="D9" s="63" t="s">
        <v>95</v>
      </c>
      <c r="E9" s="64">
        <v>0.3</v>
      </c>
      <c r="F9" s="63" t="s">
        <v>54</v>
      </c>
      <c r="G9" s="65">
        <v>18007</v>
      </c>
      <c r="H9" s="63" t="s">
        <v>55</v>
      </c>
      <c r="I9" s="66" t="s">
        <v>40</v>
      </c>
      <c r="J9" s="66"/>
      <c r="K9" s="66"/>
      <c r="L9" s="66" t="s">
        <v>56</v>
      </c>
      <c r="M9" s="66" t="s">
        <v>57</v>
      </c>
      <c r="N9" s="66" t="s">
        <v>57</v>
      </c>
      <c r="O9" s="66" t="s">
        <v>57</v>
      </c>
      <c r="P9" s="66" t="s">
        <v>96</v>
      </c>
      <c r="Q9" s="66" t="s">
        <v>59</v>
      </c>
      <c r="R9" s="66"/>
      <c r="S9" s="66"/>
      <c r="T9" s="66"/>
      <c r="U9" s="66"/>
      <c r="V9" s="66"/>
      <c r="W9" s="66"/>
      <c r="X9" s="66"/>
      <c r="Y9" s="66"/>
      <c r="Z9" s="66"/>
      <c r="AA9" s="66"/>
      <c r="AB9" s="66"/>
      <c r="AC9" s="66"/>
      <c r="AD9" s="66"/>
      <c r="AE9" s="66"/>
      <c r="AF9" s="66"/>
      <c r="AG9" s="66"/>
      <c r="AH9" s="66" t="s">
        <v>57</v>
      </c>
      <c r="AI9" s="66" t="s">
        <v>57</v>
      </c>
      <c r="AJ9" s="66" t="s">
        <v>57</v>
      </c>
      <c r="AK9" s="66" t="s">
        <v>57</v>
      </c>
      <c r="AL9" s="66" t="s">
        <v>57</v>
      </c>
      <c r="AM9" s="66" t="s">
        <v>57</v>
      </c>
      <c r="AN9" s="66" t="s">
        <v>57</v>
      </c>
      <c r="AO9" s="66" t="s">
        <v>57</v>
      </c>
      <c r="AP9" s="66" t="s">
        <v>57</v>
      </c>
      <c r="AQ9" s="66" t="s">
        <v>57</v>
      </c>
      <c r="AR9" s="66" t="s">
        <v>57</v>
      </c>
      <c r="AS9" s="66" t="s">
        <v>57</v>
      </c>
      <c r="AT9" s="66"/>
      <c r="AU9" s="67"/>
    </row>
    <row r="10" spans="1:47">
      <c r="A10" s="63" t="s">
        <v>101</v>
      </c>
      <c r="B10" s="63">
        <v>6291397250</v>
      </c>
      <c r="C10" s="63" t="s">
        <v>102</v>
      </c>
      <c r="D10" s="63" t="s">
        <v>52</v>
      </c>
      <c r="E10" s="64">
        <v>0.3</v>
      </c>
      <c r="F10" s="63" t="s">
        <v>54</v>
      </c>
      <c r="G10" s="65">
        <v>26247</v>
      </c>
      <c r="H10" s="63" t="s">
        <v>55</v>
      </c>
      <c r="I10" s="66" t="s">
        <v>40</v>
      </c>
      <c r="J10" s="66"/>
      <c r="K10" s="66"/>
      <c r="L10" s="66" t="s">
        <v>56</v>
      </c>
      <c r="M10" s="66" t="s">
        <v>57</v>
      </c>
      <c r="N10" s="66" t="s">
        <v>57</v>
      </c>
      <c r="O10" s="66" t="s">
        <v>57</v>
      </c>
      <c r="P10" s="66" t="s">
        <v>103</v>
      </c>
      <c r="Q10" s="66" t="s">
        <v>59</v>
      </c>
      <c r="R10" s="66"/>
      <c r="S10" s="66"/>
      <c r="T10" s="66"/>
      <c r="U10" s="66"/>
      <c r="V10" s="66"/>
      <c r="W10" s="66"/>
      <c r="X10" s="66"/>
      <c r="Y10" s="66"/>
      <c r="Z10" s="66"/>
      <c r="AA10" s="66"/>
      <c r="AB10" s="66"/>
      <c r="AC10" s="66"/>
      <c r="AD10" s="66"/>
      <c r="AE10" s="66"/>
      <c r="AF10" s="66"/>
      <c r="AG10" s="66"/>
      <c r="AH10" s="66" t="s">
        <v>57</v>
      </c>
      <c r="AI10" s="66" t="s">
        <v>57</v>
      </c>
      <c r="AJ10" s="66" t="s">
        <v>57</v>
      </c>
      <c r="AK10" s="66" t="s">
        <v>57</v>
      </c>
      <c r="AL10" s="66" t="s">
        <v>57</v>
      </c>
      <c r="AM10" s="66" t="s">
        <v>57</v>
      </c>
      <c r="AN10" s="66" t="s">
        <v>57</v>
      </c>
      <c r="AO10" s="66" t="s">
        <v>57</v>
      </c>
      <c r="AP10" s="66" t="s">
        <v>57</v>
      </c>
      <c r="AQ10" s="66" t="s">
        <v>57</v>
      </c>
      <c r="AR10" s="66" t="s">
        <v>57</v>
      </c>
      <c r="AS10" s="66" t="s">
        <v>57</v>
      </c>
      <c r="AT10" s="66"/>
      <c r="AU10" s="67"/>
    </row>
    <row r="11" spans="1:47">
      <c r="A11" s="68" t="s">
        <v>107</v>
      </c>
      <c r="B11" s="63">
        <v>4387817038</v>
      </c>
      <c r="C11" s="63" t="s">
        <v>108</v>
      </c>
      <c r="D11" s="63" t="s">
        <v>109</v>
      </c>
      <c r="E11" s="64" t="s">
        <v>110</v>
      </c>
      <c r="F11" s="63" t="s">
        <v>54</v>
      </c>
      <c r="G11" s="65">
        <v>17003</v>
      </c>
      <c r="H11" s="63" t="s">
        <v>47</v>
      </c>
      <c r="I11" s="66" t="s">
        <v>40</v>
      </c>
      <c r="J11" s="66" t="s">
        <v>56</v>
      </c>
      <c r="K11" s="66"/>
      <c r="L11" s="66"/>
      <c r="M11" s="66" t="s">
        <v>57</v>
      </c>
      <c r="N11" s="66" t="s">
        <v>57</v>
      </c>
      <c r="O11" s="66" t="s">
        <v>57</v>
      </c>
      <c r="P11" s="66" t="s">
        <v>111</v>
      </c>
      <c r="Q11" s="66" t="s">
        <v>59</v>
      </c>
      <c r="R11" s="66"/>
      <c r="S11" s="66"/>
      <c r="T11" s="66"/>
      <c r="U11" s="66"/>
      <c r="V11" s="66"/>
      <c r="W11" s="66"/>
      <c r="X11" s="66"/>
      <c r="Y11" s="66"/>
      <c r="Z11" s="66"/>
      <c r="AA11" s="66"/>
      <c r="AB11" s="66"/>
      <c r="AC11" s="66"/>
      <c r="AD11" s="66"/>
      <c r="AE11" s="66"/>
      <c r="AF11" s="66"/>
      <c r="AG11" s="66"/>
      <c r="AH11" s="66" t="s">
        <v>57</v>
      </c>
      <c r="AI11" s="66" t="s">
        <v>57</v>
      </c>
      <c r="AJ11" s="66" t="s">
        <v>57</v>
      </c>
      <c r="AK11" s="66" t="s">
        <v>57</v>
      </c>
      <c r="AL11" s="66" t="s">
        <v>57</v>
      </c>
      <c r="AM11" s="66" t="s">
        <v>57</v>
      </c>
      <c r="AN11" s="66" t="s">
        <v>57</v>
      </c>
      <c r="AO11" s="66" t="s">
        <v>57</v>
      </c>
      <c r="AP11" s="66" t="s">
        <v>57</v>
      </c>
      <c r="AQ11" s="66" t="s">
        <v>57</v>
      </c>
      <c r="AR11" s="66" t="s">
        <v>57</v>
      </c>
      <c r="AS11" s="66" t="s">
        <v>57</v>
      </c>
      <c r="AT11" s="66"/>
      <c r="AU11" s="67"/>
    </row>
    <row r="12" spans="1:47">
      <c r="A12" s="69" t="s">
        <v>117</v>
      </c>
      <c r="B12" s="63">
        <v>4309377955</v>
      </c>
      <c r="C12" s="63" t="s">
        <v>118</v>
      </c>
      <c r="D12" s="63" t="s">
        <v>66</v>
      </c>
      <c r="E12" s="64">
        <v>0.4</v>
      </c>
      <c r="F12" s="63" t="s">
        <v>70</v>
      </c>
      <c r="G12" s="65">
        <v>19998</v>
      </c>
      <c r="H12" s="63" t="s">
        <v>47</v>
      </c>
      <c r="I12" s="66" t="s">
        <v>40</v>
      </c>
      <c r="J12" s="66" t="s">
        <v>56</v>
      </c>
      <c r="K12" s="66"/>
      <c r="L12" s="66"/>
      <c r="M12" s="66" t="s">
        <v>57</v>
      </c>
      <c r="N12" s="66" t="s">
        <v>57</v>
      </c>
      <c r="O12" s="66" t="s">
        <v>57</v>
      </c>
      <c r="P12" s="66" t="s">
        <v>119</v>
      </c>
      <c r="Q12" s="66" t="s">
        <v>59</v>
      </c>
      <c r="R12" s="66"/>
      <c r="S12" s="66"/>
      <c r="T12" s="66"/>
      <c r="U12" s="66"/>
      <c r="V12" s="66"/>
      <c r="W12" s="66"/>
      <c r="X12" s="66"/>
      <c r="Y12" s="66"/>
      <c r="Z12" s="66"/>
      <c r="AA12" s="66"/>
      <c r="AB12" s="66"/>
      <c r="AC12" s="66"/>
      <c r="AD12" s="66"/>
      <c r="AE12" s="66"/>
      <c r="AF12" s="66"/>
      <c r="AG12" s="66"/>
      <c r="AH12" s="66" t="s">
        <v>57</v>
      </c>
      <c r="AI12" s="66" t="s">
        <v>57</v>
      </c>
      <c r="AJ12" s="66" t="s">
        <v>57</v>
      </c>
      <c r="AK12" s="66" t="s">
        <v>57</v>
      </c>
      <c r="AL12" s="66" t="s">
        <v>57</v>
      </c>
      <c r="AM12" s="66" t="s">
        <v>57</v>
      </c>
      <c r="AN12" s="66" t="s">
        <v>57</v>
      </c>
      <c r="AO12" s="66" t="s">
        <v>57</v>
      </c>
      <c r="AP12" s="66" t="s">
        <v>57</v>
      </c>
      <c r="AQ12" s="66" t="s">
        <v>57</v>
      </c>
      <c r="AR12" s="66" t="s">
        <v>57</v>
      </c>
      <c r="AS12" s="66" t="s">
        <v>57</v>
      </c>
      <c r="AT12" s="66"/>
      <c r="AU12" s="67"/>
    </row>
    <row r="13" spans="1:47">
      <c r="A13" s="63" t="s">
        <v>122</v>
      </c>
      <c r="B13" s="63">
        <v>7145163411</v>
      </c>
      <c r="C13" s="63" t="s">
        <v>123</v>
      </c>
      <c r="D13" s="63" t="s">
        <v>66</v>
      </c>
      <c r="E13" s="64">
        <v>0.3</v>
      </c>
      <c r="F13" s="63" t="s">
        <v>54</v>
      </c>
      <c r="G13" s="65">
        <v>18849</v>
      </c>
      <c r="H13" s="63" t="s">
        <v>47</v>
      </c>
      <c r="I13" s="66" t="s">
        <v>40</v>
      </c>
      <c r="J13" s="66"/>
      <c r="K13" s="66"/>
      <c r="L13" s="66" t="s">
        <v>56</v>
      </c>
      <c r="M13" s="66" t="s">
        <v>57</v>
      </c>
      <c r="N13" s="66" t="s">
        <v>57</v>
      </c>
      <c r="O13" s="66" t="s">
        <v>57</v>
      </c>
      <c r="P13" s="66" t="s">
        <v>124</v>
      </c>
      <c r="Q13" s="66" t="s">
        <v>59</v>
      </c>
      <c r="R13" s="66"/>
      <c r="S13" s="66"/>
      <c r="T13" s="66"/>
      <c r="U13" s="66"/>
      <c r="V13" s="66"/>
      <c r="W13" s="66"/>
      <c r="X13" s="66"/>
      <c r="Y13" s="66"/>
      <c r="Z13" s="66"/>
      <c r="AA13" s="66"/>
      <c r="AB13" s="66"/>
      <c r="AC13" s="66"/>
      <c r="AD13" s="66"/>
      <c r="AE13" s="66"/>
      <c r="AF13" s="66"/>
      <c r="AG13" s="66"/>
      <c r="AH13" s="66" t="s">
        <v>57</v>
      </c>
      <c r="AI13" s="66" t="s">
        <v>57</v>
      </c>
      <c r="AJ13" s="66" t="s">
        <v>57</v>
      </c>
      <c r="AK13" s="66" t="s">
        <v>57</v>
      </c>
      <c r="AL13" s="66" t="s">
        <v>57</v>
      </c>
      <c r="AM13" s="66" t="s">
        <v>57</v>
      </c>
      <c r="AN13" s="66" t="s">
        <v>57</v>
      </c>
      <c r="AO13" s="66" t="s">
        <v>57</v>
      </c>
      <c r="AP13" s="66" t="s">
        <v>57</v>
      </c>
      <c r="AQ13" s="66" t="s">
        <v>57</v>
      </c>
      <c r="AR13" s="66" t="s">
        <v>57</v>
      </c>
      <c r="AS13" s="66" t="s">
        <v>57</v>
      </c>
      <c r="AT13" s="66"/>
      <c r="AU13" s="67"/>
    </row>
    <row r="14" spans="1:47">
      <c r="A14" s="63" t="s">
        <v>127</v>
      </c>
      <c r="B14" s="63">
        <v>6402065552</v>
      </c>
      <c r="C14" s="63" t="s">
        <v>94</v>
      </c>
      <c r="D14" s="63" t="s">
        <v>128</v>
      </c>
      <c r="E14" s="64">
        <v>0.8</v>
      </c>
      <c r="F14" s="63" t="s">
        <v>70</v>
      </c>
      <c r="G14" s="65">
        <v>26063</v>
      </c>
      <c r="H14" s="63" t="s">
        <v>47</v>
      </c>
      <c r="I14" s="66" t="s">
        <v>40</v>
      </c>
      <c r="J14" s="66" t="s">
        <v>56</v>
      </c>
      <c r="K14" s="66"/>
      <c r="L14" s="66"/>
      <c r="M14" s="66" t="s">
        <v>57</v>
      </c>
      <c r="N14" s="66" t="s">
        <v>57</v>
      </c>
      <c r="O14" s="66" t="s">
        <v>57</v>
      </c>
      <c r="P14" s="66" t="s">
        <v>129</v>
      </c>
      <c r="Q14" s="66" t="s">
        <v>59</v>
      </c>
      <c r="R14" s="66"/>
      <c r="S14" s="66"/>
      <c r="T14" s="66"/>
      <c r="U14" s="66"/>
      <c r="V14" s="66"/>
      <c r="W14" s="66"/>
      <c r="X14" s="66"/>
      <c r="Y14" s="66"/>
      <c r="Z14" s="66"/>
      <c r="AA14" s="66"/>
      <c r="AB14" s="66"/>
      <c r="AC14" s="66"/>
      <c r="AD14" s="66"/>
      <c r="AE14" s="66"/>
      <c r="AF14" s="66"/>
      <c r="AG14" s="66"/>
      <c r="AH14" s="66" t="s">
        <v>57</v>
      </c>
      <c r="AI14" s="66" t="s">
        <v>57</v>
      </c>
      <c r="AJ14" s="66" t="s">
        <v>57</v>
      </c>
      <c r="AK14" s="66" t="s">
        <v>57</v>
      </c>
      <c r="AL14" s="66" t="s">
        <v>57</v>
      </c>
      <c r="AM14" s="66" t="s">
        <v>57</v>
      </c>
      <c r="AN14" s="66" t="s">
        <v>57</v>
      </c>
      <c r="AO14" s="66" t="s">
        <v>57</v>
      </c>
      <c r="AP14" s="66" t="s">
        <v>57</v>
      </c>
      <c r="AQ14" s="66" t="s">
        <v>57</v>
      </c>
      <c r="AR14" s="66" t="s">
        <v>57</v>
      </c>
      <c r="AS14" s="66" t="s">
        <v>57</v>
      </c>
      <c r="AT14" s="66"/>
      <c r="AU14" s="67"/>
    </row>
    <row r="15" spans="1:47">
      <c r="A15" s="63" t="s">
        <v>133</v>
      </c>
      <c r="B15" s="63">
        <v>4164990139</v>
      </c>
      <c r="C15" s="63" t="s">
        <v>134</v>
      </c>
      <c r="D15" s="63" t="s">
        <v>135</v>
      </c>
      <c r="E15" s="64">
        <v>0.4</v>
      </c>
      <c r="F15" s="63" t="s">
        <v>70</v>
      </c>
      <c r="G15" s="65">
        <v>16857</v>
      </c>
      <c r="H15" s="63" t="s">
        <v>55</v>
      </c>
      <c r="I15" s="66" t="s">
        <v>40</v>
      </c>
      <c r="J15" s="66"/>
      <c r="K15" s="66"/>
      <c r="L15" s="66" t="s">
        <v>56</v>
      </c>
      <c r="M15" s="66" t="s">
        <v>57</v>
      </c>
      <c r="N15" s="66" t="s">
        <v>57</v>
      </c>
      <c r="O15" s="66" t="s">
        <v>57</v>
      </c>
      <c r="P15" s="66" t="s">
        <v>136</v>
      </c>
      <c r="Q15" s="66" t="s">
        <v>59</v>
      </c>
      <c r="R15" s="66"/>
      <c r="S15" s="66"/>
      <c r="T15" s="66"/>
      <c r="U15" s="66"/>
      <c r="V15" s="66"/>
      <c r="W15" s="66"/>
      <c r="X15" s="66"/>
      <c r="Y15" s="66"/>
      <c r="Z15" s="66"/>
      <c r="AA15" s="66"/>
      <c r="AB15" s="66"/>
      <c r="AC15" s="66"/>
      <c r="AD15" s="66"/>
      <c r="AE15" s="66"/>
      <c r="AF15" s="66"/>
      <c r="AG15" s="66"/>
      <c r="AH15" s="66" t="s">
        <v>57</v>
      </c>
      <c r="AI15" s="66" t="s">
        <v>57</v>
      </c>
      <c r="AJ15" s="66" t="s">
        <v>57</v>
      </c>
      <c r="AK15" s="66" t="s">
        <v>57</v>
      </c>
      <c r="AL15" s="66" t="s">
        <v>57</v>
      </c>
      <c r="AM15" s="66" t="s">
        <v>57</v>
      </c>
      <c r="AN15" s="66" t="s">
        <v>57</v>
      </c>
      <c r="AO15" s="66" t="s">
        <v>57</v>
      </c>
      <c r="AP15" s="66" t="s">
        <v>57</v>
      </c>
      <c r="AQ15" s="66" t="s">
        <v>57</v>
      </c>
      <c r="AR15" s="66" t="s">
        <v>57</v>
      </c>
      <c r="AS15" s="66" t="s">
        <v>57</v>
      </c>
      <c r="AT15" s="66"/>
      <c r="AU15" s="67"/>
    </row>
    <row r="16" spans="1:47">
      <c r="A16" s="63" t="s">
        <v>142</v>
      </c>
      <c r="B16" s="63">
        <v>4582515738</v>
      </c>
      <c r="C16" s="63" t="s">
        <v>143</v>
      </c>
      <c r="D16" s="63" t="s">
        <v>66</v>
      </c>
      <c r="E16" s="64" t="s">
        <v>144</v>
      </c>
      <c r="F16" s="63" t="s">
        <v>70</v>
      </c>
      <c r="G16" s="65">
        <v>19781</v>
      </c>
      <c r="H16" s="63" t="s">
        <v>55</v>
      </c>
      <c r="I16" s="66" t="s">
        <v>40</v>
      </c>
      <c r="J16" s="66" t="s">
        <v>56</v>
      </c>
      <c r="K16" s="66"/>
      <c r="L16" s="66"/>
      <c r="M16" s="66" t="s">
        <v>57</v>
      </c>
      <c r="N16" s="66" t="s">
        <v>57</v>
      </c>
      <c r="O16" s="66" t="s">
        <v>57</v>
      </c>
      <c r="P16" s="66" t="s">
        <v>145</v>
      </c>
      <c r="Q16" s="66" t="s">
        <v>59</v>
      </c>
      <c r="R16" s="66"/>
      <c r="S16" s="66"/>
      <c r="T16" s="66"/>
      <c r="U16" s="66"/>
      <c r="V16" s="66"/>
      <c r="W16" s="66"/>
      <c r="X16" s="66"/>
      <c r="Y16" s="66"/>
      <c r="Z16" s="66"/>
      <c r="AA16" s="66"/>
      <c r="AB16" s="66"/>
      <c r="AC16" s="66"/>
      <c r="AD16" s="66"/>
      <c r="AE16" s="66"/>
      <c r="AF16" s="66"/>
      <c r="AG16" s="66"/>
      <c r="AH16" s="66" t="s">
        <v>57</v>
      </c>
      <c r="AI16" s="66" t="s">
        <v>57</v>
      </c>
      <c r="AJ16" s="66" t="s">
        <v>57</v>
      </c>
      <c r="AK16" s="66" t="s">
        <v>57</v>
      </c>
      <c r="AL16" s="66" t="s">
        <v>57</v>
      </c>
      <c r="AM16" s="66" t="s">
        <v>57</v>
      </c>
      <c r="AN16" s="66" t="s">
        <v>57</v>
      </c>
      <c r="AO16" s="66" t="s">
        <v>57</v>
      </c>
      <c r="AP16" s="66" t="s">
        <v>57</v>
      </c>
      <c r="AQ16" s="66" t="s">
        <v>57</v>
      </c>
      <c r="AR16" s="66" t="s">
        <v>57</v>
      </c>
      <c r="AS16" s="66" t="s">
        <v>57</v>
      </c>
      <c r="AT16" s="66"/>
      <c r="AU16" s="67"/>
    </row>
    <row r="17" spans="1:47">
      <c r="A17" s="63" t="s">
        <v>149</v>
      </c>
      <c r="B17" s="63">
        <v>4162332142</v>
      </c>
      <c r="C17" s="63" t="s">
        <v>150</v>
      </c>
      <c r="D17" s="63" t="s">
        <v>151</v>
      </c>
      <c r="E17" s="64" t="s">
        <v>152</v>
      </c>
      <c r="F17" s="63" t="s">
        <v>70</v>
      </c>
      <c r="G17" s="65">
        <v>24648</v>
      </c>
      <c r="H17" s="63" t="s">
        <v>55</v>
      </c>
      <c r="I17" s="66" t="s">
        <v>40</v>
      </c>
      <c r="J17" s="66" t="s">
        <v>56</v>
      </c>
      <c r="K17" s="66"/>
      <c r="L17" s="66"/>
      <c r="M17" s="66" t="s">
        <v>57</v>
      </c>
      <c r="N17" s="66" t="s">
        <v>57</v>
      </c>
      <c r="O17" s="66" t="s">
        <v>57</v>
      </c>
      <c r="P17" s="66" t="s">
        <v>153</v>
      </c>
      <c r="Q17" s="66" t="s">
        <v>59</v>
      </c>
      <c r="R17" s="66"/>
      <c r="S17" s="66"/>
      <c r="T17" s="66"/>
      <c r="U17" s="66"/>
      <c r="V17" s="66"/>
      <c r="W17" s="66"/>
      <c r="X17" s="66"/>
      <c r="Y17" s="66"/>
      <c r="Z17" s="66"/>
      <c r="AA17" s="66"/>
      <c r="AB17" s="66"/>
      <c r="AC17" s="66"/>
      <c r="AD17" s="66"/>
      <c r="AE17" s="66"/>
      <c r="AF17" s="66"/>
      <c r="AG17" s="66"/>
      <c r="AH17" s="66" t="s">
        <v>57</v>
      </c>
      <c r="AI17" s="66" t="s">
        <v>57</v>
      </c>
      <c r="AJ17" s="66" t="s">
        <v>57</v>
      </c>
      <c r="AK17" s="66" t="s">
        <v>57</v>
      </c>
      <c r="AL17" s="66" t="s">
        <v>57</v>
      </c>
      <c r="AM17" s="66" t="s">
        <v>57</v>
      </c>
      <c r="AN17" s="66" t="s">
        <v>57</v>
      </c>
      <c r="AO17" s="66" t="s">
        <v>57</v>
      </c>
      <c r="AP17" s="66" t="s">
        <v>57</v>
      </c>
      <c r="AQ17" s="66" t="s">
        <v>57</v>
      </c>
      <c r="AR17" s="66" t="s">
        <v>57</v>
      </c>
      <c r="AS17" s="66" t="s">
        <v>57</v>
      </c>
      <c r="AT17" s="66"/>
      <c r="AU17" s="67"/>
    </row>
    <row r="18" spans="1:47">
      <c r="A18" s="70" t="s">
        <v>154</v>
      </c>
      <c r="B18" s="70">
        <v>6381036478</v>
      </c>
      <c r="C18" s="70" t="s">
        <v>65</v>
      </c>
      <c r="D18" s="70" t="s">
        <v>128</v>
      </c>
      <c r="E18" s="71">
        <v>0.6</v>
      </c>
      <c r="F18" s="70" t="s">
        <v>70</v>
      </c>
      <c r="G18" s="72">
        <v>21599</v>
      </c>
      <c r="H18" s="70" t="s">
        <v>47</v>
      </c>
      <c r="I18" s="73" t="s">
        <v>40</v>
      </c>
      <c r="J18" s="73" t="s">
        <v>56</v>
      </c>
      <c r="K18" s="73"/>
      <c r="L18" s="73"/>
      <c r="M18" s="73" t="s">
        <v>57</v>
      </c>
      <c r="N18" s="73" t="s">
        <v>57</v>
      </c>
      <c r="O18" s="73" t="s">
        <v>57</v>
      </c>
      <c r="P18" s="73" t="s">
        <v>155</v>
      </c>
      <c r="Q18" s="73" t="s">
        <v>59</v>
      </c>
      <c r="R18" s="73"/>
      <c r="S18" s="73"/>
      <c r="T18" s="73"/>
      <c r="U18" s="73"/>
      <c r="V18" s="73"/>
      <c r="W18" s="73"/>
      <c r="X18" s="73"/>
      <c r="Y18" s="73"/>
      <c r="Z18" s="73"/>
      <c r="AA18" s="73"/>
      <c r="AB18" s="73"/>
      <c r="AC18" s="73"/>
      <c r="AD18" s="73"/>
      <c r="AE18" s="73"/>
      <c r="AF18" s="73"/>
      <c r="AG18" s="73"/>
      <c r="AH18" s="73" t="s">
        <v>57</v>
      </c>
      <c r="AI18" s="73" t="s">
        <v>57</v>
      </c>
      <c r="AJ18" s="73" t="s">
        <v>57</v>
      </c>
      <c r="AK18" s="73" t="s">
        <v>57</v>
      </c>
      <c r="AL18" s="73" t="s">
        <v>57</v>
      </c>
      <c r="AM18" s="73" t="s">
        <v>57</v>
      </c>
      <c r="AN18" s="73" t="s">
        <v>57</v>
      </c>
      <c r="AO18" s="73" t="s">
        <v>57</v>
      </c>
      <c r="AP18" s="73" t="s">
        <v>57</v>
      </c>
      <c r="AQ18" s="73" t="s">
        <v>57</v>
      </c>
      <c r="AR18" s="73" t="s">
        <v>57</v>
      </c>
      <c r="AS18" s="73" t="s">
        <v>57</v>
      </c>
      <c r="AT18" s="73"/>
      <c r="AU18" s="74"/>
    </row>
    <row r="19" spans="1:47">
      <c r="A19" s="63" t="s">
        <v>156</v>
      </c>
      <c r="B19" s="63">
        <v>6209763413</v>
      </c>
      <c r="C19" s="63" t="s">
        <v>94</v>
      </c>
      <c r="D19" s="63" t="s">
        <v>157</v>
      </c>
      <c r="E19" s="64">
        <v>0.4</v>
      </c>
      <c r="F19" s="63" t="s">
        <v>158</v>
      </c>
      <c r="G19" s="65">
        <v>20798</v>
      </c>
      <c r="H19" s="63" t="s">
        <v>55</v>
      </c>
      <c r="I19" s="66" t="s">
        <v>40</v>
      </c>
      <c r="J19" s="66"/>
      <c r="K19" s="66"/>
      <c r="L19" s="66" t="s">
        <v>56</v>
      </c>
      <c r="M19" s="66" t="s">
        <v>57</v>
      </c>
      <c r="N19" s="66" t="s">
        <v>57</v>
      </c>
      <c r="O19" s="66" t="s">
        <v>57</v>
      </c>
      <c r="P19" s="66" t="s">
        <v>159</v>
      </c>
      <c r="Q19" s="66" t="s">
        <v>59</v>
      </c>
      <c r="R19" s="66"/>
      <c r="S19" s="66"/>
      <c r="T19" s="66"/>
      <c r="U19" s="66"/>
      <c r="V19" s="66"/>
      <c r="W19" s="66"/>
      <c r="X19" s="66"/>
      <c r="Y19" s="66"/>
      <c r="Z19" s="66"/>
      <c r="AA19" s="66"/>
      <c r="AB19" s="66"/>
      <c r="AC19" s="66"/>
      <c r="AD19" s="66"/>
      <c r="AE19" s="66"/>
      <c r="AF19" s="66"/>
      <c r="AG19" s="66"/>
      <c r="AH19" s="66" t="s">
        <v>57</v>
      </c>
      <c r="AI19" s="66" t="s">
        <v>57</v>
      </c>
      <c r="AJ19" s="66" t="s">
        <v>57</v>
      </c>
      <c r="AK19" s="66" t="s">
        <v>57</v>
      </c>
      <c r="AL19" s="66" t="s">
        <v>57</v>
      </c>
      <c r="AM19" s="66" t="s">
        <v>57</v>
      </c>
      <c r="AN19" s="66" t="s">
        <v>57</v>
      </c>
      <c r="AO19" s="66" t="s">
        <v>57</v>
      </c>
      <c r="AP19" s="66" t="s">
        <v>57</v>
      </c>
      <c r="AQ19" s="66" t="s">
        <v>57</v>
      </c>
      <c r="AR19" s="66" t="s">
        <v>57</v>
      </c>
      <c r="AS19" s="66" t="s">
        <v>57</v>
      </c>
      <c r="AT19" s="66"/>
      <c r="AU19" s="67"/>
    </row>
    <row r="20" spans="1:47">
      <c r="A20" s="63" t="s">
        <v>162</v>
      </c>
      <c r="B20" s="63">
        <v>4383746977</v>
      </c>
      <c r="C20" s="63" t="s">
        <v>102</v>
      </c>
      <c r="D20" s="63" t="s">
        <v>66</v>
      </c>
      <c r="E20" s="64">
        <v>0.3</v>
      </c>
      <c r="F20" s="63" t="s">
        <v>158</v>
      </c>
      <c r="G20" s="65">
        <v>15796</v>
      </c>
      <c r="H20" s="63" t="s">
        <v>55</v>
      </c>
      <c r="I20" s="66" t="s">
        <v>40</v>
      </c>
      <c r="J20" s="66"/>
      <c r="K20" s="66" t="s">
        <v>163</v>
      </c>
      <c r="L20" s="66" t="s">
        <v>56</v>
      </c>
      <c r="M20" s="66" t="s">
        <v>57</v>
      </c>
      <c r="N20" s="66" t="s">
        <v>57</v>
      </c>
      <c r="O20" s="66" t="s">
        <v>57</v>
      </c>
      <c r="P20" s="66" t="s">
        <v>164</v>
      </c>
      <c r="Q20" s="66" t="s">
        <v>59</v>
      </c>
      <c r="R20" s="66"/>
      <c r="S20" s="66"/>
      <c r="T20" s="66"/>
      <c r="U20" s="66"/>
      <c r="V20" s="66"/>
      <c r="W20" s="66"/>
      <c r="X20" s="66"/>
      <c r="Y20" s="66"/>
      <c r="Z20" s="66"/>
      <c r="AA20" s="66"/>
      <c r="AB20" s="66"/>
      <c r="AC20" s="66"/>
      <c r="AD20" s="66"/>
      <c r="AE20" s="66"/>
      <c r="AF20" s="66"/>
      <c r="AG20" s="66"/>
      <c r="AH20" s="66" t="s">
        <v>57</v>
      </c>
      <c r="AI20" s="66" t="s">
        <v>57</v>
      </c>
      <c r="AJ20" s="66" t="s">
        <v>57</v>
      </c>
      <c r="AK20" s="66" t="s">
        <v>57</v>
      </c>
      <c r="AL20" s="66" t="s">
        <v>57</v>
      </c>
      <c r="AM20" s="66" t="s">
        <v>57</v>
      </c>
      <c r="AN20" s="66" t="s">
        <v>57</v>
      </c>
      <c r="AO20" s="66" t="s">
        <v>57</v>
      </c>
      <c r="AP20" s="66" t="s">
        <v>57</v>
      </c>
      <c r="AQ20" s="66" t="s">
        <v>57</v>
      </c>
      <c r="AR20" s="66" t="s">
        <v>57</v>
      </c>
      <c r="AS20" s="66" t="s">
        <v>57</v>
      </c>
      <c r="AT20" s="66"/>
      <c r="AU20" s="67"/>
    </row>
    <row r="21" spans="1:47">
      <c r="A21" s="63" t="s">
        <v>167</v>
      </c>
      <c r="B21" s="63">
        <v>4382020255</v>
      </c>
      <c r="C21" s="63" t="s">
        <v>168</v>
      </c>
      <c r="D21" s="63" t="s">
        <v>169</v>
      </c>
      <c r="E21" s="64">
        <v>0.6</v>
      </c>
      <c r="F21" s="63" t="s">
        <v>158</v>
      </c>
      <c r="G21" s="65">
        <v>15168</v>
      </c>
      <c r="H21" s="63" t="s">
        <v>55</v>
      </c>
      <c r="I21" s="66" t="s">
        <v>40</v>
      </c>
      <c r="J21" s="66" t="s">
        <v>56</v>
      </c>
      <c r="K21" s="66"/>
      <c r="L21" s="66"/>
      <c r="M21" s="66" t="s">
        <v>57</v>
      </c>
      <c r="N21" s="66" t="s">
        <v>57</v>
      </c>
      <c r="O21" s="66" t="s">
        <v>57</v>
      </c>
      <c r="P21" s="66" t="s">
        <v>170</v>
      </c>
      <c r="Q21" s="66" t="s">
        <v>59</v>
      </c>
      <c r="R21" s="66"/>
      <c r="S21" s="66"/>
      <c r="T21" s="66"/>
      <c r="U21" s="66"/>
      <c r="V21" s="66"/>
      <c r="W21" s="66"/>
      <c r="X21" s="66"/>
      <c r="Y21" s="66"/>
      <c r="Z21" s="66"/>
      <c r="AA21" s="66"/>
      <c r="AB21" s="66"/>
      <c r="AC21" s="66"/>
      <c r="AD21" s="66"/>
      <c r="AE21" s="66"/>
      <c r="AF21" s="66"/>
      <c r="AG21" s="66"/>
      <c r="AH21" s="66" t="s">
        <v>57</v>
      </c>
      <c r="AI21" s="66" t="s">
        <v>57</v>
      </c>
      <c r="AJ21" s="66" t="s">
        <v>57</v>
      </c>
      <c r="AK21" s="66" t="s">
        <v>57</v>
      </c>
      <c r="AL21" s="66" t="s">
        <v>57</v>
      </c>
      <c r="AM21" s="66" t="s">
        <v>57</v>
      </c>
      <c r="AN21" s="66" t="s">
        <v>57</v>
      </c>
      <c r="AO21" s="66" t="s">
        <v>57</v>
      </c>
      <c r="AP21" s="66" t="s">
        <v>57</v>
      </c>
      <c r="AQ21" s="66" t="s">
        <v>57</v>
      </c>
      <c r="AR21" s="66" t="s">
        <v>57</v>
      </c>
      <c r="AS21" s="66" t="s">
        <v>57</v>
      </c>
      <c r="AT21" s="66"/>
      <c r="AU21" s="67"/>
    </row>
    <row r="22" spans="1:47">
      <c r="A22" s="69" t="s">
        <v>175</v>
      </c>
      <c r="B22" s="63">
        <v>4309377955</v>
      </c>
      <c r="C22" s="63" t="s">
        <v>94</v>
      </c>
      <c r="D22" s="63" t="s">
        <v>66</v>
      </c>
      <c r="E22" s="64">
        <v>0.7</v>
      </c>
      <c r="F22" s="63" t="s">
        <v>158</v>
      </c>
      <c r="G22" s="65">
        <v>19998</v>
      </c>
      <c r="H22" s="63" t="s">
        <v>47</v>
      </c>
      <c r="I22" s="66" t="s">
        <v>40</v>
      </c>
      <c r="J22" s="66" t="s">
        <v>56</v>
      </c>
      <c r="K22" s="66"/>
      <c r="L22" s="66"/>
      <c r="M22" s="66" t="s">
        <v>57</v>
      </c>
      <c r="N22" s="66" t="s">
        <v>57</v>
      </c>
      <c r="O22" s="66" t="s">
        <v>57</v>
      </c>
      <c r="P22" s="66" t="s">
        <v>176</v>
      </c>
      <c r="Q22" s="66" t="s">
        <v>59</v>
      </c>
      <c r="R22" s="66"/>
      <c r="S22" s="66"/>
      <c r="T22" s="66"/>
      <c r="U22" s="66"/>
      <c r="V22" s="66"/>
      <c r="W22" s="66"/>
      <c r="X22" s="66"/>
      <c r="Y22" s="66"/>
      <c r="Z22" s="66"/>
      <c r="AA22" s="66"/>
      <c r="AB22" s="66"/>
      <c r="AC22" s="66"/>
      <c r="AD22" s="66"/>
      <c r="AE22" s="66"/>
      <c r="AF22" s="66"/>
      <c r="AG22" s="66"/>
      <c r="AH22" s="66" t="s">
        <v>57</v>
      </c>
      <c r="AI22" s="66" t="s">
        <v>57</v>
      </c>
      <c r="AJ22" s="66" t="s">
        <v>57</v>
      </c>
      <c r="AK22" s="66" t="s">
        <v>57</v>
      </c>
      <c r="AL22" s="66" t="s">
        <v>57</v>
      </c>
      <c r="AM22" s="66" t="s">
        <v>57</v>
      </c>
      <c r="AN22" s="66" t="s">
        <v>57</v>
      </c>
      <c r="AO22" s="66" t="s">
        <v>57</v>
      </c>
      <c r="AP22" s="66" t="s">
        <v>57</v>
      </c>
      <c r="AQ22" s="66" t="s">
        <v>57</v>
      </c>
      <c r="AR22" s="66" t="s">
        <v>57</v>
      </c>
      <c r="AS22" s="66" t="s">
        <v>57</v>
      </c>
      <c r="AT22" s="66"/>
      <c r="AU22" s="67"/>
    </row>
    <row r="23" spans="1:47">
      <c r="A23" s="63"/>
      <c r="B23" s="63"/>
      <c r="C23" s="63"/>
      <c r="D23" s="63"/>
      <c r="E23" s="63"/>
      <c r="F23" s="63"/>
      <c r="G23" s="65"/>
      <c r="H23" s="63"/>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7"/>
    </row>
    <row r="24" spans="1:47" ht="15.75" thickBot="1">
      <c r="A24" s="75">
        <f>COUNTA(A2:A22)</f>
        <v>21</v>
      </c>
      <c r="B24" s="75">
        <f t="shared" ref="B24:AU24" si="0">COUNTA(B2:B22)</f>
        <v>21</v>
      </c>
      <c r="C24" s="75">
        <f t="shared" si="0"/>
        <v>21</v>
      </c>
      <c r="D24" s="75">
        <f t="shared" si="0"/>
        <v>21</v>
      </c>
      <c r="E24" s="75">
        <f t="shared" si="0"/>
        <v>21</v>
      </c>
      <c r="F24" s="75">
        <f t="shared" si="0"/>
        <v>21</v>
      </c>
      <c r="G24" s="75">
        <f t="shared" si="0"/>
        <v>21</v>
      </c>
      <c r="H24" s="75">
        <f t="shared" si="0"/>
        <v>21</v>
      </c>
      <c r="I24" s="75">
        <f t="shared" si="0"/>
        <v>21</v>
      </c>
      <c r="J24" s="75">
        <f t="shared" si="0"/>
        <v>14</v>
      </c>
      <c r="K24" s="75">
        <f t="shared" si="0"/>
        <v>1</v>
      </c>
      <c r="L24" s="75">
        <f t="shared" si="0"/>
        <v>7</v>
      </c>
      <c r="M24" s="75">
        <f t="shared" si="0"/>
        <v>21</v>
      </c>
      <c r="N24" s="75">
        <f t="shared" si="0"/>
        <v>21</v>
      </c>
      <c r="O24" s="75">
        <f t="shared" si="0"/>
        <v>21</v>
      </c>
      <c r="P24" s="75">
        <f t="shared" si="0"/>
        <v>20</v>
      </c>
      <c r="Q24" s="75">
        <f t="shared" si="0"/>
        <v>20</v>
      </c>
      <c r="R24" s="75">
        <f t="shared" si="0"/>
        <v>1</v>
      </c>
      <c r="S24" s="75">
        <f t="shared" si="0"/>
        <v>0</v>
      </c>
      <c r="T24" s="75">
        <f t="shared" si="0"/>
        <v>0</v>
      </c>
      <c r="U24" s="75">
        <f t="shared" si="0"/>
        <v>0</v>
      </c>
      <c r="V24" s="75">
        <f t="shared" si="0"/>
        <v>0</v>
      </c>
      <c r="W24" s="75">
        <f t="shared" si="0"/>
        <v>0</v>
      </c>
      <c r="X24" s="75">
        <f t="shared" si="0"/>
        <v>0</v>
      </c>
      <c r="Y24" s="75">
        <f t="shared" si="0"/>
        <v>0</v>
      </c>
      <c r="Z24" s="75">
        <f t="shared" si="0"/>
        <v>0</v>
      </c>
      <c r="AA24" s="75">
        <f t="shared" si="0"/>
        <v>0</v>
      </c>
      <c r="AB24" s="75">
        <f t="shared" si="0"/>
        <v>0</v>
      </c>
      <c r="AC24" s="75">
        <f t="shared" si="0"/>
        <v>0</v>
      </c>
      <c r="AD24" s="75">
        <f t="shared" si="0"/>
        <v>0</v>
      </c>
      <c r="AE24" s="75">
        <f t="shared" si="0"/>
        <v>0</v>
      </c>
      <c r="AF24" s="75">
        <f t="shared" si="0"/>
        <v>0</v>
      </c>
      <c r="AG24" s="75">
        <f t="shared" si="0"/>
        <v>0</v>
      </c>
      <c r="AH24" s="75">
        <f t="shared" si="0"/>
        <v>21</v>
      </c>
      <c r="AI24" s="75">
        <f t="shared" si="0"/>
        <v>21</v>
      </c>
      <c r="AJ24" s="75">
        <f t="shared" si="0"/>
        <v>21</v>
      </c>
      <c r="AK24" s="75">
        <f t="shared" si="0"/>
        <v>21</v>
      </c>
      <c r="AL24" s="75">
        <f t="shared" si="0"/>
        <v>21</v>
      </c>
      <c r="AM24" s="75">
        <f t="shared" si="0"/>
        <v>21</v>
      </c>
      <c r="AN24" s="75">
        <f t="shared" si="0"/>
        <v>21</v>
      </c>
      <c r="AO24" s="75">
        <f t="shared" si="0"/>
        <v>21</v>
      </c>
      <c r="AP24" s="75">
        <f t="shared" si="0"/>
        <v>21</v>
      </c>
      <c r="AQ24" s="75">
        <f t="shared" si="0"/>
        <v>21</v>
      </c>
      <c r="AR24" s="75">
        <f t="shared" si="0"/>
        <v>21</v>
      </c>
      <c r="AS24" s="75">
        <f t="shared" si="0"/>
        <v>21</v>
      </c>
      <c r="AT24" s="75">
        <f t="shared" si="0"/>
        <v>0</v>
      </c>
      <c r="AU24" s="75">
        <f t="shared" si="0"/>
        <v>0</v>
      </c>
    </row>
    <row r="25" spans="1:47" ht="15.75" thickTop="1"/>
  </sheetData>
  <conditionalFormatting sqref="G2:G17">
    <cfRule type="duplicateValues" dxfId="4" priority="5"/>
  </conditionalFormatting>
  <conditionalFormatting sqref="G18">
    <cfRule type="duplicateValues" dxfId="3" priority="4"/>
  </conditionalFormatting>
  <conditionalFormatting sqref="G19">
    <cfRule type="duplicateValues" dxfId="2" priority="3"/>
  </conditionalFormatting>
  <conditionalFormatting sqref="G20">
    <cfRule type="duplicateValues" dxfId="1" priority="2"/>
  </conditionalFormatting>
  <conditionalFormatting sqref="G21">
    <cfRule type="duplicateValues" dxfId="0" priority="1"/>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7A88F-6C0B-454B-892D-B9444517DB29}">
  <dimension ref="A1:AU23"/>
  <sheetViews>
    <sheetView workbookViewId="0"/>
  </sheetViews>
  <sheetFormatPr defaultColWidth="18.125" defaultRowHeight="15"/>
  <cols>
    <col min="1" max="16384" width="18.125" style="82"/>
  </cols>
  <sheetData>
    <row r="1" spans="1:47" ht="54.95" customHeight="1" thickBot="1">
      <c r="A1" s="45" t="s">
        <v>5</v>
      </c>
      <c r="B1" s="46" t="s">
        <v>6</v>
      </c>
      <c r="C1" s="46" t="s">
        <v>7</v>
      </c>
      <c r="D1" s="47" t="s">
        <v>22</v>
      </c>
      <c r="E1" s="48" t="s">
        <v>23</v>
      </c>
      <c r="F1" s="49" t="s">
        <v>24</v>
      </c>
      <c r="G1" s="49" t="s">
        <v>25</v>
      </c>
      <c r="H1" s="50" t="s">
        <v>26</v>
      </c>
      <c r="I1" s="51" t="s">
        <v>9</v>
      </c>
      <c r="J1" s="51" t="s">
        <v>635</v>
      </c>
      <c r="K1" s="52" t="s">
        <v>636</v>
      </c>
      <c r="L1" s="53" t="s">
        <v>637</v>
      </c>
      <c r="M1" s="54" t="s">
        <v>11</v>
      </c>
      <c r="N1" s="54" t="s">
        <v>12</v>
      </c>
      <c r="O1" s="55" t="s">
        <v>13</v>
      </c>
      <c r="P1" s="56" t="s">
        <v>14</v>
      </c>
      <c r="Q1" s="56" t="s">
        <v>15</v>
      </c>
      <c r="R1" s="56" t="s">
        <v>16</v>
      </c>
      <c r="S1" s="56" t="s">
        <v>30</v>
      </c>
      <c r="T1" s="56" t="s">
        <v>31</v>
      </c>
      <c r="U1" s="56" t="s">
        <v>32</v>
      </c>
      <c r="V1" s="56" t="s">
        <v>33</v>
      </c>
      <c r="W1" s="56" t="s">
        <v>34</v>
      </c>
      <c r="X1" s="56" t="s">
        <v>35</v>
      </c>
      <c r="Y1" s="56" t="s">
        <v>36</v>
      </c>
      <c r="Z1" s="56" t="s">
        <v>37</v>
      </c>
      <c r="AA1" s="56" t="s">
        <v>38</v>
      </c>
      <c r="AB1" s="56" t="s">
        <v>39</v>
      </c>
      <c r="AC1" s="56" t="s">
        <v>40</v>
      </c>
      <c r="AD1" s="56" t="s">
        <v>41</v>
      </c>
      <c r="AE1" s="56" t="s">
        <v>42</v>
      </c>
      <c r="AF1" s="56" t="s">
        <v>43</v>
      </c>
      <c r="AG1" s="56" t="s">
        <v>7</v>
      </c>
      <c r="AH1" s="57" t="s">
        <v>44</v>
      </c>
      <c r="AI1" s="58" t="s">
        <v>45</v>
      </c>
      <c r="AJ1" s="58" t="s">
        <v>18</v>
      </c>
      <c r="AK1" s="58" t="s">
        <v>7</v>
      </c>
      <c r="AL1" s="59" t="s">
        <v>46</v>
      </c>
      <c r="AM1" s="59" t="s">
        <v>46</v>
      </c>
      <c r="AN1" s="59" t="s">
        <v>47</v>
      </c>
      <c r="AO1" s="59" t="s">
        <v>47</v>
      </c>
      <c r="AP1" s="59" t="s">
        <v>40</v>
      </c>
      <c r="AQ1" s="59" t="s">
        <v>48</v>
      </c>
      <c r="AR1" s="59" t="s">
        <v>49</v>
      </c>
      <c r="AS1" s="60" t="s">
        <v>7</v>
      </c>
      <c r="AT1" s="61" t="s">
        <v>20</v>
      </c>
      <c r="AU1" s="62" t="s">
        <v>21</v>
      </c>
    </row>
    <row r="2" spans="1:47">
      <c r="A2" s="63" t="s">
        <v>178</v>
      </c>
      <c r="B2" s="63">
        <v>4087331415</v>
      </c>
      <c r="C2" s="63" t="s">
        <v>94</v>
      </c>
      <c r="D2" s="63" t="s">
        <v>66</v>
      </c>
      <c r="E2" s="64">
        <v>0.5</v>
      </c>
      <c r="F2" s="63" t="s">
        <v>70</v>
      </c>
      <c r="G2" s="65">
        <v>26378</v>
      </c>
      <c r="H2" s="63" t="s">
        <v>47</v>
      </c>
      <c r="I2" s="66" t="s">
        <v>40</v>
      </c>
      <c r="J2" s="66"/>
      <c r="K2" s="66"/>
      <c r="L2" s="66" t="s">
        <v>56</v>
      </c>
      <c r="M2" s="66" t="s">
        <v>57</v>
      </c>
      <c r="N2" s="66" t="s">
        <v>57</v>
      </c>
      <c r="O2" s="66" t="s">
        <v>57</v>
      </c>
      <c r="P2" s="66"/>
      <c r="Q2" s="66"/>
      <c r="R2" s="66" t="s">
        <v>179</v>
      </c>
      <c r="S2" s="66"/>
      <c r="T2" s="66"/>
      <c r="U2" s="66"/>
      <c r="V2" s="66"/>
      <c r="W2" s="66"/>
      <c r="X2" s="66"/>
      <c r="Y2" s="66"/>
      <c r="Z2" s="66"/>
      <c r="AA2" s="66"/>
      <c r="AB2" s="66"/>
      <c r="AC2" s="66"/>
      <c r="AD2" s="66"/>
      <c r="AE2" s="66"/>
      <c r="AF2" s="66"/>
      <c r="AG2" s="66"/>
      <c r="AH2" s="66" t="s">
        <v>57</v>
      </c>
      <c r="AI2" s="66" t="s">
        <v>57</v>
      </c>
      <c r="AJ2" s="66" t="s">
        <v>57</v>
      </c>
      <c r="AK2" s="66" t="s">
        <v>57</v>
      </c>
      <c r="AL2" s="66" t="s">
        <v>57</v>
      </c>
      <c r="AM2" s="66" t="s">
        <v>57</v>
      </c>
      <c r="AN2" s="66" t="s">
        <v>57</v>
      </c>
      <c r="AO2" s="66" t="s">
        <v>57</v>
      </c>
      <c r="AP2" s="66" t="s">
        <v>57</v>
      </c>
      <c r="AQ2" s="66" t="s">
        <v>57</v>
      </c>
      <c r="AR2" s="66" t="s">
        <v>57</v>
      </c>
      <c r="AS2" s="66" t="s">
        <v>57</v>
      </c>
      <c r="AT2" s="66"/>
      <c r="AU2" s="67"/>
    </row>
    <row r="3" spans="1:47">
      <c r="A3" s="63" t="s">
        <v>180</v>
      </c>
      <c r="B3" s="63">
        <v>4582280676</v>
      </c>
      <c r="C3" s="63" t="s">
        <v>181</v>
      </c>
      <c r="D3" s="63" t="s">
        <v>66</v>
      </c>
      <c r="E3" s="64">
        <v>0.7</v>
      </c>
      <c r="F3" s="63" t="s">
        <v>70</v>
      </c>
      <c r="G3" s="65">
        <v>19731</v>
      </c>
      <c r="H3" s="63" t="s">
        <v>47</v>
      </c>
      <c r="I3" s="66" t="s">
        <v>40</v>
      </c>
      <c r="J3" s="66" t="s">
        <v>56</v>
      </c>
      <c r="K3" s="66"/>
      <c r="L3" s="66"/>
      <c r="M3" s="66" t="s">
        <v>57</v>
      </c>
      <c r="N3" s="66" t="s">
        <v>57</v>
      </c>
      <c r="O3" s="66" t="s">
        <v>57</v>
      </c>
      <c r="P3" s="66" t="s">
        <v>182</v>
      </c>
      <c r="Q3" s="66" t="s">
        <v>59</v>
      </c>
      <c r="R3" s="66"/>
      <c r="S3" s="66"/>
      <c r="T3" s="66"/>
      <c r="U3" s="66"/>
      <c r="V3" s="66"/>
      <c r="W3" s="66"/>
      <c r="X3" s="66"/>
      <c r="Y3" s="66"/>
      <c r="Z3" s="66"/>
      <c r="AA3" s="66"/>
      <c r="AB3" s="66"/>
      <c r="AC3" s="66"/>
      <c r="AD3" s="66"/>
      <c r="AE3" s="66"/>
      <c r="AF3" s="66"/>
      <c r="AG3" s="66"/>
      <c r="AH3" s="66" t="s">
        <v>57</v>
      </c>
      <c r="AI3" s="66" t="s">
        <v>57</v>
      </c>
      <c r="AJ3" s="66" t="s">
        <v>57</v>
      </c>
      <c r="AK3" s="66" t="s">
        <v>57</v>
      </c>
      <c r="AL3" s="66" t="s">
        <v>57</v>
      </c>
      <c r="AM3" s="66" t="s">
        <v>57</v>
      </c>
      <c r="AN3" s="66" t="s">
        <v>57</v>
      </c>
      <c r="AO3" s="66" t="s">
        <v>57</v>
      </c>
      <c r="AP3" s="66" t="s">
        <v>57</v>
      </c>
      <c r="AQ3" s="66" t="s">
        <v>57</v>
      </c>
      <c r="AR3" s="66" t="s">
        <v>57</v>
      </c>
      <c r="AS3" s="66" t="s">
        <v>57</v>
      </c>
      <c r="AT3" s="66"/>
      <c r="AU3" s="67"/>
    </row>
    <row r="4" spans="1:47">
      <c r="A4" s="63" t="s">
        <v>183</v>
      </c>
      <c r="B4" s="63">
        <v>4521134254</v>
      </c>
      <c r="C4" s="63" t="s">
        <v>184</v>
      </c>
      <c r="D4" s="63" t="s">
        <v>185</v>
      </c>
      <c r="E4" s="64">
        <v>0.4</v>
      </c>
      <c r="F4" s="63" t="s">
        <v>70</v>
      </c>
      <c r="G4" s="65">
        <v>18759</v>
      </c>
      <c r="H4" s="63" t="s">
        <v>55</v>
      </c>
      <c r="I4" s="66" t="s">
        <v>40</v>
      </c>
      <c r="J4" s="66" t="s">
        <v>56</v>
      </c>
      <c r="K4" s="66"/>
      <c r="L4" s="66"/>
      <c r="M4" s="66" t="s">
        <v>57</v>
      </c>
      <c r="N4" s="66" t="s">
        <v>57</v>
      </c>
      <c r="O4" s="66" t="s">
        <v>57</v>
      </c>
      <c r="P4" s="66" t="s">
        <v>186</v>
      </c>
      <c r="Q4" s="66" t="s">
        <v>59</v>
      </c>
      <c r="R4" s="66"/>
      <c r="S4" s="66"/>
      <c r="T4" s="66"/>
      <c r="U4" s="66"/>
      <c r="V4" s="66"/>
      <c r="W4" s="66"/>
      <c r="X4" s="66"/>
      <c r="Y4" s="66"/>
      <c r="Z4" s="66"/>
      <c r="AA4" s="66"/>
      <c r="AB4" s="66"/>
      <c r="AC4" s="66"/>
      <c r="AD4" s="66"/>
      <c r="AE4" s="66"/>
      <c r="AF4" s="66"/>
      <c r="AG4" s="66"/>
      <c r="AH4" s="66" t="s">
        <v>57</v>
      </c>
      <c r="AI4" s="66" t="s">
        <v>57</v>
      </c>
      <c r="AJ4" s="66" t="s">
        <v>57</v>
      </c>
      <c r="AK4" s="66" t="s">
        <v>57</v>
      </c>
      <c r="AL4" s="66" t="s">
        <v>57</v>
      </c>
      <c r="AM4" s="66" t="s">
        <v>57</v>
      </c>
      <c r="AN4" s="66" t="s">
        <v>57</v>
      </c>
      <c r="AO4" s="66" t="s">
        <v>57</v>
      </c>
      <c r="AP4" s="66" t="s">
        <v>57</v>
      </c>
      <c r="AQ4" s="66" t="s">
        <v>57</v>
      </c>
      <c r="AR4" s="66" t="s">
        <v>57</v>
      </c>
      <c r="AS4" s="66" t="s">
        <v>57</v>
      </c>
      <c r="AT4" s="66"/>
      <c r="AU4" s="67"/>
    </row>
    <row r="5" spans="1:47">
      <c r="A5" s="63" t="s">
        <v>187</v>
      </c>
      <c r="B5" s="63">
        <v>4509092997</v>
      </c>
      <c r="C5" s="63" t="s">
        <v>88</v>
      </c>
      <c r="D5" s="63" t="s">
        <v>95</v>
      </c>
      <c r="E5" s="64">
        <v>0.1</v>
      </c>
      <c r="F5" s="63" t="s">
        <v>54</v>
      </c>
      <c r="G5" s="65">
        <v>17816</v>
      </c>
      <c r="H5" s="63" t="s">
        <v>55</v>
      </c>
      <c r="I5" s="66" t="s">
        <v>40</v>
      </c>
      <c r="J5" s="66" t="s">
        <v>56</v>
      </c>
      <c r="K5" s="66"/>
      <c r="L5" s="66"/>
      <c r="M5" s="66" t="s">
        <v>57</v>
      </c>
      <c r="N5" s="66" t="s">
        <v>57</v>
      </c>
      <c r="O5" s="66" t="s">
        <v>57</v>
      </c>
      <c r="P5" s="66" t="s">
        <v>188</v>
      </c>
      <c r="Q5" s="66" t="s">
        <v>59</v>
      </c>
      <c r="R5" s="66"/>
      <c r="S5" s="66"/>
      <c r="T5" s="66"/>
      <c r="U5" s="66"/>
      <c r="V5" s="66"/>
      <c r="W5" s="66"/>
      <c r="X5" s="66"/>
      <c r="Y5" s="66"/>
      <c r="Z5" s="66"/>
      <c r="AA5" s="66"/>
      <c r="AB5" s="66"/>
      <c r="AC5" s="66"/>
      <c r="AD5" s="66"/>
      <c r="AE5" s="66"/>
      <c r="AF5" s="66"/>
      <c r="AG5" s="66"/>
      <c r="AH5" s="66" t="s">
        <v>57</v>
      </c>
      <c r="AI5" s="66" t="s">
        <v>57</v>
      </c>
      <c r="AJ5" s="66" t="s">
        <v>57</v>
      </c>
      <c r="AK5" s="66" t="s">
        <v>57</v>
      </c>
      <c r="AL5" s="66" t="s">
        <v>57</v>
      </c>
      <c r="AM5" s="66" t="s">
        <v>57</v>
      </c>
      <c r="AN5" s="66" t="s">
        <v>57</v>
      </c>
      <c r="AO5" s="66" t="s">
        <v>57</v>
      </c>
      <c r="AP5" s="66" t="s">
        <v>57</v>
      </c>
      <c r="AQ5" s="66" t="s">
        <v>57</v>
      </c>
      <c r="AR5" s="66" t="s">
        <v>57</v>
      </c>
      <c r="AS5" s="66" t="s">
        <v>57</v>
      </c>
      <c r="AT5" s="66"/>
      <c r="AU5" s="67"/>
    </row>
    <row r="6" spans="1:47">
      <c r="A6" s="63" t="s">
        <v>189</v>
      </c>
      <c r="B6" s="63">
        <v>4998143018</v>
      </c>
      <c r="C6" s="63" t="s">
        <v>88</v>
      </c>
      <c r="D6" s="63" t="s">
        <v>52</v>
      </c>
      <c r="E6" s="64">
        <v>0.8</v>
      </c>
      <c r="F6" s="63" t="s">
        <v>54</v>
      </c>
      <c r="G6" s="65">
        <v>15624</v>
      </c>
      <c r="H6" s="63" t="s">
        <v>55</v>
      </c>
      <c r="I6" s="66" t="s">
        <v>40</v>
      </c>
      <c r="J6" s="66" t="s">
        <v>56</v>
      </c>
      <c r="K6" s="66"/>
      <c r="L6" s="66"/>
      <c r="M6" s="66" t="s">
        <v>57</v>
      </c>
      <c r="N6" s="66" t="s">
        <v>57</v>
      </c>
      <c r="O6" s="66" t="s">
        <v>57</v>
      </c>
      <c r="P6" s="66" t="s">
        <v>182</v>
      </c>
      <c r="Q6" s="66" t="s">
        <v>59</v>
      </c>
      <c r="R6" s="66"/>
      <c r="S6" s="66"/>
      <c r="T6" s="66"/>
      <c r="U6" s="66"/>
      <c r="V6" s="66"/>
      <c r="W6" s="66"/>
      <c r="X6" s="66"/>
      <c r="Y6" s="66"/>
      <c r="Z6" s="66"/>
      <c r="AA6" s="66"/>
      <c r="AB6" s="66"/>
      <c r="AC6" s="66"/>
      <c r="AD6" s="66"/>
      <c r="AE6" s="66"/>
      <c r="AF6" s="66"/>
      <c r="AG6" s="66"/>
      <c r="AH6" s="66" t="s">
        <v>57</v>
      </c>
      <c r="AI6" s="66" t="s">
        <v>57</v>
      </c>
      <c r="AJ6" s="66" t="s">
        <v>57</v>
      </c>
      <c r="AK6" s="66" t="s">
        <v>57</v>
      </c>
      <c r="AL6" s="66" t="s">
        <v>57</v>
      </c>
      <c r="AM6" s="66" t="s">
        <v>57</v>
      </c>
      <c r="AN6" s="66" t="s">
        <v>57</v>
      </c>
      <c r="AO6" s="66" t="s">
        <v>57</v>
      </c>
      <c r="AP6" s="66" t="s">
        <v>57</v>
      </c>
      <c r="AQ6" s="66" t="s">
        <v>57</v>
      </c>
      <c r="AR6" s="66" t="s">
        <v>57</v>
      </c>
      <c r="AS6" s="66" t="s">
        <v>57</v>
      </c>
      <c r="AT6" s="66"/>
      <c r="AU6" s="67"/>
    </row>
    <row r="7" spans="1:47">
      <c r="A7" s="63" t="s">
        <v>190</v>
      </c>
      <c r="B7" s="63">
        <v>4861907535</v>
      </c>
      <c r="C7" s="63" t="s">
        <v>88</v>
      </c>
      <c r="D7" s="63" t="s">
        <v>52</v>
      </c>
      <c r="E7" s="64">
        <v>0.3</v>
      </c>
      <c r="F7" s="63" t="s">
        <v>54</v>
      </c>
      <c r="G7" s="65">
        <v>23809</v>
      </c>
      <c r="H7" s="63" t="s">
        <v>47</v>
      </c>
      <c r="I7" s="66" t="s">
        <v>40</v>
      </c>
      <c r="J7" s="66" t="s">
        <v>56</v>
      </c>
      <c r="K7" s="66"/>
      <c r="L7" s="66"/>
      <c r="M7" s="66" t="s">
        <v>57</v>
      </c>
      <c r="N7" s="66" t="s">
        <v>57</v>
      </c>
      <c r="O7" s="66" t="s">
        <v>57</v>
      </c>
      <c r="P7" s="66" t="s">
        <v>182</v>
      </c>
      <c r="Q7" s="66" t="s">
        <v>59</v>
      </c>
      <c r="R7" s="66"/>
      <c r="S7" s="66"/>
      <c r="T7" s="66"/>
      <c r="U7" s="66"/>
      <c r="V7" s="66"/>
      <c r="W7" s="66"/>
      <c r="X7" s="66"/>
      <c r="Y7" s="66"/>
      <c r="Z7" s="66"/>
      <c r="AA7" s="66"/>
      <c r="AB7" s="66"/>
      <c r="AC7" s="66"/>
      <c r="AD7" s="66"/>
      <c r="AE7" s="66"/>
      <c r="AF7" s="66"/>
      <c r="AG7" s="66"/>
      <c r="AH7" s="66" t="s">
        <v>57</v>
      </c>
      <c r="AI7" s="66" t="s">
        <v>57</v>
      </c>
      <c r="AJ7" s="66" t="s">
        <v>57</v>
      </c>
      <c r="AK7" s="66" t="s">
        <v>57</v>
      </c>
      <c r="AL7" s="66" t="s">
        <v>57</v>
      </c>
      <c r="AM7" s="66" t="s">
        <v>57</v>
      </c>
      <c r="AN7" s="66" t="s">
        <v>57</v>
      </c>
      <c r="AO7" s="66" t="s">
        <v>57</v>
      </c>
      <c r="AP7" s="66" t="s">
        <v>57</v>
      </c>
      <c r="AQ7" s="66" t="s">
        <v>57</v>
      </c>
      <c r="AR7" s="66" t="s">
        <v>57</v>
      </c>
      <c r="AS7" s="66" t="s">
        <v>57</v>
      </c>
      <c r="AT7" s="66"/>
      <c r="AU7" s="67"/>
    </row>
    <row r="8" spans="1:47">
      <c r="A8" s="63" t="s">
        <v>191</v>
      </c>
      <c r="B8" s="63">
        <v>4363077174</v>
      </c>
      <c r="C8" s="63" t="s">
        <v>88</v>
      </c>
      <c r="D8" s="63" t="s">
        <v>192</v>
      </c>
      <c r="E8" s="64">
        <v>0.5</v>
      </c>
      <c r="F8" s="63" t="s">
        <v>54</v>
      </c>
      <c r="G8" s="65">
        <v>16730</v>
      </c>
      <c r="H8" s="63" t="s">
        <v>55</v>
      </c>
      <c r="I8" s="66" t="s">
        <v>40</v>
      </c>
      <c r="J8" s="66" t="s">
        <v>56</v>
      </c>
      <c r="K8" s="66"/>
      <c r="L8" s="66"/>
      <c r="M8" s="66" t="s">
        <v>57</v>
      </c>
      <c r="N8" s="66" t="s">
        <v>57</v>
      </c>
      <c r="O8" s="66" t="s">
        <v>57</v>
      </c>
      <c r="P8" s="66" t="s">
        <v>193</v>
      </c>
      <c r="Q8" s="66" t="s">
        <v>59</v>
      </c>
      <c r="R8" s="66"/>
      <c r="S8" s="66"/>
      <c r="T8" s="66"/>
      <c r="U8" s="66"/>
      <c r="V8" s="66"/>
      <c r="W8" s="66"/>
      <c r="X8" s="66"/>
      <c r="Y8" s="66"/>
      <c r="Z8" s="66"/>
      <c r="AA8" s="66"/>
      <c r="AB8" s="66"/>
      <c r="AC8" s="66"/>
      <c r="AD8" s="66"/>
      <c r="AE8" s="66"/>
      <c r="AF8" s="66"/>
      <c r="AG8" s="66"/>
      <c r="AH8" s="66" t="s">
        <v>57</v>
      </c>
      <c r="AI8" s="66" t="s">
        <v>57</v>
      </c>
      <c r="AJ8" s="66" t="s">
        <v>57</v>
      </c>
      <c r="AK8" s="66" t="s">
        <v>57</v>
      </c>
      <c r="AL8" s="66" t="s">
        <v>57</v>
      </c>
      <c r="AM8" s="66" t="s">
        <v>57</v>
      </c>
      <c r="AN8" s="66" t="s">
        <v>57</v>
      </c>
      <c r="AO8" s="66" t="s">
        <v>57</v>
      </c>
      <c r="AP8" s="66" t="s">
        <v>57</v>
      </c>
      <c r="AQ8" s="66" t="s">
        <v>57</v>
      </c>
      <c r="AR8" s="66" t="s">
        <v>57</v>
      </c>
      <c r="AS8" s="66" t="s">
        <v>57</v>
      </c>
      <c r="AT8" s="66"/>
      <c r="AU8" s="67"/>
    </row>
    <row r="9" spans="1:47">
      <c r="A9" s="63" t="s">
        <v>194</v>
      </c>
      <c r="B9" s="63">
        <v>4990492374</v>
      </c>
      <c r="C9" s="63" t="s">
        <v>88</v>
      </c>
      <c r="D9" s="63" t="s">
        <v>66</v>
      </c>
      <c r="E9" s="64" t="s">
        <v>195</v>
      </c>
      <c r="F9" s="63" t="s">
        <v>54</v>
      </c>
      <c r="G9" s="65">
        <v>11919</v>
      </c>
      <c r="H9" s="63" t="s">
        <v>47</v>
      </c>
      <c r="I9" s="66" t="s">
        <v>40</v>
      </c>
      <c r="J9" s="66" t="s">
        <v>56</v>
      </c>
      <c r="K9" s="66"/>
      <c r="L9" s="66"/>
      <c r="M9" s="66" t="s">
        <v>57</v>
      </c>
      <c r="N9" s="66" t="s">
        <v>57</v>
      </c>
      <c r="O9" s="66" t="s">
        <v>57</v>
      </c>
      <c r="P9" s="66" t="s">
        <v>193</v>
      </c>
      <c r="Q9" s="66" t="s">
        <v>59</v>
      </c>
      <c r="R9" s="66"/>
      <c r="S9" s="66"/>
      <c r="T9" s="66"/>
      <c r="U9" s="66"/>
      <c r="V9" s="66"/>
      <c r="W9" s="66"/>
      <c r="X9" s="66"/>
      <c r="Y9" s="66"/>
      <c r="Z9" s="66"/>
      <c r="AA9" s="66"/>
      <c r="AB9" s="66"/>
      <c r="AC9" s="66"/>
      <c r="AD9" s="66"/>
      <c r="AE9" s="66"/>
      <c r="AF9" s="66"/>
      <c r="AG9" s="66"/>
      <c r="AH9" s="66" t="s">
        <v>57</v>
      </c>
      <c r="AI9" s="66" t="s">
        <v>57</v>
      </c>
      <c r="AJ9" s="66" t="s">
        <v>57</v>
      </c>
      <c r="AK9" s="66" t="s">
        <v>57</v>
      </c>
      <c r="AL9" s="66" t="s">
        <v>57</v>
      </c>
      <c r="AM9" s="66" t="s">
        <v>57</v>
      </c>
      <c r="AN9" s="66" t="s">
        <v>57</v>
      </c>
      <c r="AO9" s="66" t="s">
        <v>57</v>
      </c>
      <c r="AP9" s="66" t="s">
        <v>57</v>
      </c>
      <c r="AQ9" s="66" t="s">
        <v>57</v>
      </c>
      <c r="AR9" s="66" t="s">
        <v>57</v>
      </c>
      <c r="AS9" s="66" t="s">
        <v>57</v>
      </c>
      <c r="AT9" s="66"/>
      <c r="AU9" s="67"/>
    </row>
    <row r="10" spans="1:47">
      <c r="A10" s="63" t="s">
        <v>196</v>
      </c>
      <c r="B10" s="63">
        <v>6290099566</v>
      </c>
      <c r="C10" s="63" t="s">
        <v>88</v>
      </c>
      <c r="D10" s="63" t="s">
        <v>66</v>
      </c>
      <c r="E10" s="64">
        <v>0.5</v>
      </c>
      <c r="F10" s="63" t="s">
        <v>54</v>
      </c>
      <c r="G10" s="65">
        <v>16223</v>
      </c>
      <c r="H10" s="63" t="s">
        <v>47</v>
      </c>
      <c r="I10" s="66" t="s">
        <v>40</v>
      </c>
      <c r="J10" s="66" t="s">
        <v>56</v>
      </c>
      <c r="K10" s="66"/>
      <c r="L10" s="66"/>
      <c r="M10" s="66" t="s">
        <v>57</v>
      </c>
      <c r="N10" s="66" t="s">
        <v>57</v>
      </c>
      <c r="O10" s="66" t="s">
        <v>57</v>
      </c>
      <c r="P10" s="66" t="s">
        <v>193</v>
      </c>
      <c r="Q10" s="66" t="s">
        <v>59</v>
      </c>
      <c r="R10" s="66"/>
      <c r="S10" s="66"/>
      <c r="T10" s="66"/>
      <c r="U10" s="66"/>
      <c r="V10" s="66"/>
      <c r="W10" s="66"/>
      <c r="X10" s="66"/>
      <c r="Y10" s="66"/>
      <c r="Z10" s="66"/>
      <c r="AA10" s="66"/>
      <c r="AB10" s="66"/>
      <c r="AC10" s="66"/>
      <c r="AD10" s="66"/>
      <c r="AE10" s="66"/>
      <c r="AF10" s="66"/>
      <c r="AG10" s="66"/>
      <c r="AH10" s="66" t="s">
        <v>57</v>
      </c>
      <c r="AI10" s="66" t="s">
        <v>57</v>
      </c>
      <c r="AJ10" s="66" t="s">
        <v>57</v>
      </c>
      <c r="AK10" s="66" t="s">
        <v>57</v>
      </c>
      <c r="AL10" s="66" t="s">
        <v>57</v>
      </c>
      <c r="AM10" s="66" t="s">
        <v>57</v>
      </c>
      <c r="AN10" s="66" t="s">
        <v>57</v>
      </c>
      <c r="AO10" s="66" t="s">
        <v>57</v>
      </c>
      <c r="AP10" s="66" t="s">
        <v>57</v>
      </c>
      <c r="AQ10" s="66" t="s">
        <v>57</v>
      </c>
      <c r="AR10" s="66" t="s">
        <v>57</v>
      </c>
      <c r="AS10" s="66" t="s">
        <v>57</v>
      </c>
      <c r="AT10" s="66"/>
      <c r="AU10" s="67"/>
    </row>
    <row r="11" spans="1:47">
      <c r="A11" s="63" t="s">
        <v>197</v>
      </c>
      <c r="B11" s="63">
        <v>6491041689</v>
      </c>
      <c r="C11" s="63" t="s">
        <v>94</v>
      </c>
      <c r="D11" s="63" t="s">
        <v>52</v>
      </c>
      <c r="E11" s="64">
        <v>0.2</v>
      </c>
      <c r="F11" s="63" t="s">
        <v>54</v>
      </c>
      <c r="G11" s="65">
        <v>29646</v>
      </c>
      <c r="H11" s="63" t="s">
        <v>47</v>
      </c>
      <c r="I11" s="66" t="s">
        <v>40</v>
      </c>
      <c r="J11" s="66" t="s">
        <v>56</v>
      </c>
      <c r="K11" s="66"/>
      <c r="L11" s="66"/>
      <c r="M11" s="66" t="s">
        <v>57</v>
      </c>
      <c r="N11" s="66" t="s">
        <v>57</v>
      </c>
      <c r="O11" s="66" t="s">
        <v>57</v>
      </c>
      <c r="P11" s="66" t="s">
        <v>198</v>
      </c>
      <c r="Q11" s="66" t="s">
        <v>59</v>
      </c>
      <c r="R11" s="66"/>
      <c r="S11" s="66"/>
      <c r="T11" s="66"/>
      <c r="U11" s="66"/>
      <c r="V11" s="66"/>
      <c r="W11" s="66"/>
      <c r="X11" s="66"/>
      <c r="Y11" s="66"/>
      <c r="Z11" s="66"/>
      <c r="AA11" s="66"/>
      <c r="AB11" s="66"/>
      <c r="AC11" s="66"/>
      <c r="AD11" s="66"/>
      <c r="AE11" s="66"/>
      <c r="AF11" s="66"/>
      <c r="AG11" s="66"/>
      <c r="AH11" s="66" t="s">
        <v>57</v>
      </c>
      <c r="AI11" s="66" t="s">
        <v>57</v>
      </c>
      <c r="AJ11" s="66" t="s">
        <v>57</v>
      </c>
      <c r="AK11" s="66" t="s">
        <v>57</v>
      </c>
      <c r="AL11" s="66" t="s">
        <v>57</v>
      </c>
      <c r="AM11" s="66" t="s">
        <v>57</v>
      </c>
      <c r="AN11" s="66" t="s">
        <v>57</v>
      </c>
      <c r="AO11" s="66" t="s">
        <v>57</v>
      </c>
      <c r="AP11" s="66" t="s">
        <v>57</v>
      </c>
      <c r="AQ11" s="66" t="s">
        <v>57</v>
      </c>
      <c r="AR11" s="66" t="s">
        <v>57</v>
      </c>
      <c r="AS11" s="66" t="s">
        <v>57</v>
      </c>
      <c r="AT11" s="66"/>
      <c r="AU11" s="67"/>
    </row>
    <row r="12" spans="1:47">
      <c r="A12" s="63" t="s">
        <v>199</v>
      </c>
      <c r="B12" s="63">
        <v>4582429564</v>
      </c>
      <c r="C12" s="63" t="s">
        <v>88</v>
      </c>
      <c r="D12" s="63" t="s">
        <v>52</v>
      </c>
      <c r="E12" s="64" t="s">
        <v>195</v>
      </c>
      <c r="F12" s="63" t="s">
        <v>54</v>
      </c>
      <c r="G12" s="65">
        <v>20209</v>
      </c>
      <c r="H12" s="63" t="s">
        <v>55</v>
      </c>
      <c r="I12" s="66" t="s">
        <v>40</v>
      </c>
      <c r="J12" s="66" t="s">
        <v>56</v>
      </c>
      <c r="K12" s="66"/>
      <c r="L12" s="66"/>
      <c r="M12" s="66" t="s">
        <v>57</v>
      </c>
      <c r="N12" s="66" t="s">
        <v>57</v>
      </c>
      <c r="O12" s="66" t="s">
        <v>57</v>
      </c>
      <c r="P12" s="66" t="s">
        <v>193</v>
      </c>
      <c r="Q12" s="66" t="s">
        <v>59</v>
      </c>
      <c r="R12" s="66"/>
      <c r="S12" s="66"/>
      <c r="T12" s="66"/>
      <c r="U12" s="66"/>
      <c r="V12" s="66"/>
      <c r="W12" s="66"/>
      <c r="X12" s="66"/>
      <c r="Y12" s="66"/>
      <c r="Z12" s="66"/>
      <c r="AA12" s="66"/>
      <c r="AB12" s="66"/>
      <c r="AC12" s="66"/>
      <c r="AD12" s="66"/>
      <c r="AE12" s="66"/>
      <c r="AF12" s="66"/>
      <c r="AG12" s="66"/>
      <c r="AH12" s="66" t="s">
        <v>57</v>
      </c>
      <c r="AI12" s="66" t="s">
        <v>57</v>
      </c>
      <c r="AJ12" s="66" t="s">
        <v>57</v>
      </c>
      <c r="AK12" s="66" t="s">
        <v>57</v>
      </c>
      <c r="AL12" s="66" t="s">
        <v>57</v>
      </c>
      <c r="AM12" s="66" t="s">
        <v>57</v>
      </c>
      <c r="AN12" s="66" t="s">
        <v>57</v>
      </c>
      <c r="AO12" s="66" t="s">
        <v>57</v>
      </c>
      <c r="AP12" s="66" t="s">
        <v>57</v>
      </c>
      <c r="AQ12" s="66" t="s">
        <v>57</v>
      </c>
      <c r="AR12" s="66" t="s">
        <v>57</v>
      </c>
      <c r="AS12" s="66" t="s">
        <v>57</v>
      </c>
      <c r="AT12" s="66"/>
      <c r="AU12" s="67"/>
    </row>
    <row r="13" spans="1:47">
      <c r="A13" s="63" t="s">
        <v>200</v>
      </c>
      <c r="B13" s="63">
        <v>4520407397</v>
      </c>
      <c r="C13" s="63" t="s">
        <v>88</v>
      </c>
      <c r="D13" s="63" t="s">
        <v>201</v>
      </c>
      <c r="E13" s="64">
        <v>0.5</v>
      </c>
      <c r="F13" s="63" t="s">
        <v>54</v>
      </c>
      <c r="G13" s="65">
        <v>18346</v>
      </c>
      <c r="H13" s="63" t="s">
        <v>47</v>
      </c>
      <c r="I13" s="66" t="s">
        <v>40</v>
      </c>
      <c r="J13" s="66" t="s">
        <v>56</v>
      </c>
      <c r="K13" s="66"/>
      <c r="L13" s="66"/>
      <c r="M13" s="66" t="s">
        <v>57</v>
      </c>
      <c r="N13" s="66" t="s">
        <v>57</v>
      </c>
      <c r="O13" s="66" t="s">
        <v>57</v>
      </c>
      <c r="P13" s="66" t="s">
        <v>202</v>
      </c>
      <c r="Q13" s="66" t="s">
        <v>59</v>
      </c>
      <c r="R13" s="66"/>
      <c r="S13" s="66"/>
      <c r="T13" s="66"/>
      <c r="U13" s="66"/>
      <c r="V13" s="66"/>
      <c r="W13" s="66"/>
      <c r="X13" s="66"/>
      <c r="Y13" s="66"/>
      <c r="Z13" s="66"/>
      <c r="AA13" s="66"/>
      <c r="AB13" s="66"/>
      <c r="AC13" s="66"/>
      <c r="AD13" s="66"/>
      <c r="AE13" s="66"/>
      <c r="AF13" s="66"/>
      <c r="AG13" s="66"/>
      <c r="AH13" s="66" t="s">
        <v>57</v>
      </c>
      <c r="AI13" s="66" t="s">
        <v>57</v>
      </c>
      <c r="AJ13" s="66" t="s">
        <v>57</v>
      </c>
      <c r="AK13" s="66" t="s">
        <v>57</v>
      </c>
      <c r="AL13" s="66" t="s">
        <v>57</v>
      </c>
      <c r="AM13" s="66" t="s">
        <v>57</v>
      </c>
      <c r="AN13" s="66" t="s">
        <v>57</v>
      </c>
      <c r="AO13" s="66" t="s">
        <v>57</v>
      </c>
      <c r="AP13" s="66" t="s">
        <v>57</v>
      </c>
      <c r="AQ13" s="66" t="s">
        <v>57</v>
      </c>
      <c r="AR13" s="66" t="s">
        <v>57</v>
      </c>
      <c r="AS13" s="66" t="s">
        <v>57</v>
      </c>
      <c r="AT13" s="66"/>
      <c r="AU13" s="67"/>
    </row>
    <row r="14" spans="1:47">
      <c r="A14" s="63" t="s">
        <v>203</v>
      </c>
      <c r="B14" s="63">
        <v>4487159377</v>
      </c>
      <c r="C14" s="63" t="s">
        <v>88</v>
      </c>
      <c r="D14" s="63" t="s">
        <v>95</v>
      </c>
      <c r="E14" s="64">
        <v>0.7</v>
      </c>
      <c r="F14" s="63" t="s">
        <v>54</v>
      </c>
      <c r="G14" s="65">
        <v>21196</v>
      </c>
      <c r="H14" s="63" t="s">
        <v>55</v>
      </c>
      <c r="I14" s="66" t="s">
        <v>40</v>
      </c>
      <c r="J14" s="66" t="s">
        <v>56</v>
      </c>
      <c r="K14" s="66"/>
      <c r="L14" s="66"/>
      <c r="M14" s="66" t="s">
        <v>57</v>
      </c>
      <c r="N14" s="66" t="s">
        <v>57</v>
      </c>
      <c r="O14" s="66" t="s">
        <v>57</v>
      </c>
      <c r="P14" s="66" t="s">
        <v>193</v>
      </c>
      <c r="Q14" s="66" t="s">
        <v>59</v>
      </c>
      <c r="R14" s="66"/>
      <c r="S14" s="66"/>
      <c r="T14" s="66"/>
      <c r="U14" s="66"/>
      <c r="V14" s="66"/>
      <c r="W14" s="66"/>
      <c r="X14" s="66"/>
      <c r="Y14" s="66"/>
      <c r="Z14" s="66"/>
      <c r="AA14" s="66"/>
      <c r="AB14" s="66"/>
      <c r="AC14" s="66"/>
      <c r="AD14" s="66"/>
      <c r="AE14" s="66"/>
      <c r="AF14" s="66"/>
      <c r="AG14" s="66"/>
      <c r="AH14" s="66" t="s">
        <v>57</v>
      </c>
      <c r="AI14" s="66" t="s">
        <v>57</v>
      </c>
      <c r="AJ14" s="66" t="s">
        <v>57</v>
      </c>
      <c r="AK14" s="66" t="s">
        <v>57</v>
      </c>
      <c r="AL14" s="66" t="s">
        <v>57</v>
      </c>
      <c r="AM14" s="66" t="s">
        <v>57</v>
      </c>
      <c r="AN14" s="66" t="s">
        <v>57</v>
      </c>
      <c r="AO14" s="66" t="s">
        <v>57</v>
      </c>
      <c r="AP14" s="66" t="s">
        <v>57</v>
      </c>
      <c r="AQ14" s="66" t="s">
        <v>57</v>
      </c>
      <c r="AR14" s="66" t="s">
        <v>57</v>
      </c>
      <c r="AS14" s="66" t="s">
        <v>57</v>
      </c>
      <c r="AT14" s="66"/>
      <c r="AU14" s="67"/>
    </row>
    <row r="15" spans="1:47">
      <c r="A15" s="63" t="s">
        <v>204</v>
      </c>
      <c r="B15" s="63">
        <v>4087061981</v>
      </c>
      <c r="C15" s="63" t="s">
        <v>205</v>
      </c>
      <c r="D15" s="63" t="s">
        <v>206</v>
      </c>
      <c r="E15" s="64">
        <v>0.3</v>
      </c>
      <c r="F15" s="63" t="s">
        <v>54</v>
      </c>
      <c r="G15" s="65">
        <v>29881</v>
      </c>
      <c r="H15" s="63" t="s">
        <v>55</v>
      </c>
      <c r="I15" s="66" t="s">
        <v>40</v>
      </c>
      <c r="J15" s="66"/>
      <c r="K15" s="66"/>
      <c r="L15" s="66" t="s">
        <v>56</v>
      </c>
      <c r="M15" s="66" t="s">
        <v>57</v>
      </c>
      <c r="N15" s="66" t="s">
        <v>57</v>
      </c>
      <c r="O15" s="66" t="s">
        <v>57</v>
      </c>
      <c r="P15" s="66" t="s">
        <v>207</v>
      </c>
      <c r="Q15" s="66" t="s">
        <v>59</v>
      </c>
      <c r="R15" s="66"/>
      <c r="S15" s="66"/>
      <c r="T15" s="66"/>
      <c r="U15" s="66"/>
      <c r="V15" s="66"/>
      <c r="W15" s="66"/>
      <c r="X15" s="66"/>
      <c r="Y15" s="66"/>
      <c r="Z15" s="66"/>
      <c r="AA15" s="66"/>
      <c r="AB15" s="66"/>
      <c r="AC15" s="66"/>
      <c r="AD15" s="66"/>
      <c r="AE15" s="66"/>
      <c r="AF15" s="66"/>
      <c r="AG15" s="66"/>
      <c r="AH15" s="66" t="s">
        <v>57</v>
      </c>
      <c r="AI15" s="66" t="s">
        <v>57</v>
      </c>
      <c r="AJ15" s="66" t="s">
        <v>57</v>
      </c>
      <c r="AK15" s="66" t="s">
        <v>57</v>
      </c>
      <c r="AL15" s="66" t="s">
        <v>57</v>
      </c>
      <c r="AM15" s="66" t="s">
        <v>57</v>
      </c>
      <c r="AN15" s="66" t="s">
        <v>57</v>
      </c>
      <c r="AO15" s="66" t="s">
        <v>57</v>
      </c>
      <c r="AP15" s="66" t="s">
        <v>57</v>
      </c>
      <c r="AQ15" s="66" t="s">
        <v>57</v>
      </c>
      <c r="AR15" s="66" t="s">
        <v>57</v>
      </c>
      <c r="AS15" s="66" t="s">
        <v>57</v>
      </c>
      <c r="AT15" s="66"/>
      <c r="AU15" s="67"/>
    </row>
    <row r="16" spans="1:47">
      <c r="A16" s="63" t="s">
        <v>208</v>
      </c>
      <c r="B16" s="63">
        <v>4566586421</v>
      </c>
      <c r="C16" s="63" t="s">
        <v>88</v>
      </c>
      <c r="D16" s="63" t="s">
        <v>209</v>
      </c>
      <c r="E16" s="64">
        <v>0.3</v>
      </c>
      <c r="F16" s="63" t="s">
        <v>70</v>
      </c>
      <c r="G16" s="65">
        <v>20352</v>
      </c>
      <c r="H16" s="63" t="s">
        <v>55</v>
      </c>
      <c r="I16" s="66" t="s">
        <v>40</v>
      </c>
      <c r="J16" s="66" t="s">
        <v>56</v>
      </c>
      <c r="K16" s="66"/>
      <c r="L16" s="66"/>
      <c r="M16" s="66" t="s">
        <v>57</v>
      </c>
      <c r="N16" s="66" t="s">
        <v>57</v>
      </c>
      <c r="O16" s="66" t="s">
        <v>57</v>
      </c>
      <c r="P16" s="66" t="s">
        <v>210</v>
      </c>
      <c r="Q16" s="66" t="s">
        <v>59</v>
      </c>
      <c r="R16" s="66"/>
      <c r="S16" s="66"/>
      <c r="T16" s="66"/>
      <c r="U16" s="66"/>
      <c r="V16" s="66"/>
      <c r="W16" s="66"/>
      <c r="X16" s="66"/>
      <c r="Y16" s="66"/>
      <c r="Z16" s="66"/>
      <c r="AA16" s="66"/>
      <c r="AB16" s="66"/>
      <c r="AC16" s="66"/>
      <c r="AD16" s="66"/>
      <c r="AE16" s="66"/>
      <c r="AF16" s="66"/>
      <c r="AG16" s="66"/>
      <c r="AH16" s="66" t="s">
        <v>57</v>
      </c>
      <c r="AI16" s="66" t="s">
        <v>57</v>
      </c>
      <c r="AJ16" s="66" t="s">
        <v>57</v>
      </c>
      <c r="AK16" s="66" t="s">
        <v>57</v>
      </c>
      <c r="AL16" s="66" t="s">
        <v>57</v>
      </c>
      <c r="AM16" s="66" t="s">
        <v>57</v>
      </c>
      <c r="AN16" s="66" t="s">
        <v>57</v>
      </c>
      <c r="AO16" s="66" t="s">
        <v>57</v>
      </c>
      <c r="AP16" s="66" t="s">
        <v>57</v>
      </c>
      <c r="AQ16" s="66" t="s">
        <v>57</v>
      </c>
      <c r="AR16" s="66" t="s">
        <v>57</v>
      </c>
      <c r="AS16" s="66" t="s">
        <v>57</v>
      </c>
      <c r="AT16" s="66"/>
      <c r="AU16" s="67"/>
    </row>
    <row r="17" spans="1:47">
      <c r="A17" s="63" t="s">
        <v>211</v>
      </c>
      <c r="B17" s="63">
        <v>4421103764</v>
      </c>
      <c r="C17" s="63" t="s">
        <v>88</v>
      </c>
      <c r="D17" s="63" t="s">
        <v>66</v>
      </c>
      <c r="E17" s="64" t="s">
        <v>152</v>
      </c>
      <c r="F17" s="63" t="s">
        <v>70</v>
      </c>
      <c r="G17" s="65">
        <v>15888</v>
      </c>
      <c r="H17" s="63" t="s">
        <v>47</v>
      </c>
      <c r="I17" s="66" t="s">
        <v>40</v>
      </c>
      <c r="J17" s="66" t="s">
        <v>56</v>
      </c>
      <c r="K17" s="66"/>
      <c r="L17" s="66"/>
      <c r="M17" s="66" t="s">
        <v>57</v>
      </c>
      <c r="N17" s="66" t="s">
        <v>57</v>
      </c>
      <c r="O17" s="66" t="s">
        <v>57</v>
      </c>
      <c r="P17" s="66" t="s">
        <v>210</v>
      </c>
      <c r="Q17" s="66" t="s">
        <v>59</v>
      </c>
      <c r="R17" s="66"/>
      <c r="S17" s="66"/>
      <c r="T17" s="66"/>
      <c r="U17" s="66"/>
      <c r="V17" s="66"/>
      <c r="W17" s="66"/>
      <c r="X17" s="66"/>
      <c r="Y17" s="66"/>
      <c r="Z17" s="66"/>
      <c r="AA17" s="66"/>
      <c r="AB17" s="66"/>
      <c r="AC17" s="66"/>
      <c r="AD17" s="66"/>
      <c r="AE17" s="66"/>
      <c r="AF17" s="66"/>
      <c r="AG17" s="66"/>
      <c r="AH17" s="66" t="s">
        <v>57</v>
      </c>
      <c r="AI17" s="66" t="s">
        <v>57</v>
      </c>
      <c r="AJ17" s="66" t="s">
        <v>57</v>
      </c>
      <c r="AK17" s="66" t="s">
        <v>57</v>
      </c>
      <c r="AL17" s="66" t="s">
        <v>57</v>
      </c>
      <c r="AM17" s="66" t="s">
        <v>57</v>
      </c>
      <c r="AN17" s="66" t="s">
        <v>57</v>
      </c>
      <c r="AO17" s="66" t="s">
        <v>57</v>
      </c>
      <c r="AP17" s="66" t="s">
        <v>57</v>
      </c>
      <c r="AQ17" s="66" t="s">
        <v>57</v>
      </c>
      <c r="AR17" s="66" t="s">
        <v>57</v>
      </c>
      <c r="AS17" s="66" t="s">
        <v>57</v>
      </c>
      <c r="AT17" s="66"/>
      <c r="AU17" s="67"/>
    </row>
    <row r="18" spans="1:47">
      <c r="A18" s="63" t="s">
        <v>212</v>
      </c>
      <c r="B18" s="63">
        <v>7063319159</v>
      </c>
      <c r="C18" s="63" t="s">
        <v>88</v>
      </c>
      <c r="D18" s="63" t="s">
        <v>213</v>
      </c>
      <c r="E18" s="64">
        <v>0.3</v>
      </c>
      <c r="F18" s="63" t="s">
        <v>158</v>
      </c>
      <c r="G18" s="65">
        <v>28941</v>
      </c>
      <c r="H18" s="63" t="s">
        <v>55</v>
      </c>
      <c r="I18" s="66" t="s">
        <v>40</v>
      </c>
      <c r="J18" s="66" t="s">
        <v>56</v>
      </c>
      <c r="K18" s="66"/>
      <c r="L18" s="66"/>
      <c r="M18" s="66" t="s">
        <v>57</v>
      </c>
      <c r="N18" s="66" t="s">
        <v>57</v>
      </c>
      <c r="O18" s="66" t="s">
        <v>57</v>
      </c>
      <c r="P18" s="66" t="s">
        <v>214</v>
      </c>
      <c r="Q18" s="66" t="s">
        <v>59</v>
      </c>
      <c r="R18" s="66"/>
      <c r="S18" s="66"/>
      <c r="T18" s="66"/>
      <c r="U18" s="66"/>
      <c r="V18" s="66"/>
      <c r="W18" s="66"/>
      <c r="X18" s="66"/>
      <c r="Y18" s="66"/>
      <c r="Z18" s="66"/>
      <c r="AA18" s="66"/>
      <c r="AB18" s="66"/>
      <c r="AC18" s="66"/>
      <c r="AD18" s="66"/>
      <c r="AE18" s="66"/>
      <c r="AF18" s="66"/>
      <c r="AG18" s="66"/>
      <c r="AH18" s="66" t="s">
        <v>57</v>
      </c>
      <c r="AI18" s="66" t="s">
        <v>57</v>
      </c>
      <c r="AJ18" s="66" t="s">
        <v>57</v>
      </c>
      <c r="AK18" s="66" t="s">
        <v>57</v>
      </c>
      <c r="AL18" s="66" t="s">
        <v>57</v>
      </c>
      <c r="AM18" s="66" t="s">
        <v>57</v>
      </c>
      <c r="AN18" s="66" t="s">
        <v>57</v>
      </c>
      <c r="AO18" s="66" t="s">
        <v>57</v>
      </c>
      <c r="AP18" s="66" t="s">
        <v>57</v>
      </c>
      <c r="AQ18" s="66" t="s">
        <v>57</v>
      </c>
      <c r="AR18" s="66" t="s">
        <v>57</v>
      </c>
      <c r="AS18" s="66" t="s">
        <v>57</v>
      </c>
      <c r="AT18" s="66"/>
      <c r="AU18" s="67"/>
    </row>
    <row r="19" spans="1:47">
      <c r="A19" s="63" t="s">
        <v>215</v>
      </c>
      <c r="B19" s="63">
        <v>4123806422</v>
      </c>
      <c r="C19" s="63" t="s">
        <v>94</v>
      </c>
      <c r="D19" s="63" t="s">
        <v>216</v>
      </c>
      <c r="E19" s="64">
        <v>0.2</v>
      </c>
      <c r="F19" s="63" t="s">
        <v>158</v>
      </c>
      <c r="G19" s="65">
        <v>25366</v>
      </c>
      <c r="H19" s="63" t="s">
        <v>55</v>
      </c>
      <c r="I19" s="66" t="s">
        <v>40</v>
      </c>
      <c r="J19" s="66" t="s">
        <v>56</v>
      </c>
      <c r="K19" s="66"/>
      <c r="L19" s="66"/>
      <c r="M19" s="66" t="s">
        <v>57</v>
      </c>
      <c r="N19" s="66" t="s">
        <v>57</v>
      </c>
      <c r="O19" s="66" t="s">
        <v>57</v>
      </c>
      <c r="P19" s="66" t="s">
        <v>217</v>
      </c>
      <c r="Q19" s="66" t="s">
        <v>59</v>
      </c>
      <c r="R19" s="66"/>
      <c r="S19" s="66"/>
      <c r="T19" s="66"/>
      <c r="U19" s="66"/>
      <c r="V19" s="66"/>
      <c r="W19" s="66"/>
      <c r="X19" s="66"/>
      <c r="Y19" s="66"/>
      <c r="Z19" s="66"/>
      <c r="AA19" s="66"/>
      <c r="AB19" s="66"/>
      <c r="AC19" s="66"/>
      <c r="AD19" s="66"/>
      <c r="AE19" s="66"/>
      <c r="AF19" s="66"/>
      <c r="AG19" s="66"/>
      <c r="AH19" s="66" t="s">
        <v>57</v>
      </c>
      <c r="AI19" s="66" t="s">
        <v>57</v>
      </c>
      <c r="AJ19" s="66" t="s">
        <v>57</v>
      </c>
      <c r="AK19" s="66" t="s">
        <v>57</v>
      </c>
      <c r="AL19" s="66" t="s">
        <v>57</v>
      </c>
      <c r="AM19" s="66" t="s">
        <v>57</v>
      </c>
      <c r="AN19" s="66" t="s">
        <v>57</v>
      </c>
      <c r="AO19" s="66" t="s">
        <v>57</v>
      </c>
      <c r="AP19" s="66" t="s">
        <v>57</v>
      </c>
      <c r="AQ19" s="66" t="s">
        <v>57</v>
      </c>
      <c r="AR19" s="66" t="s">
        <v>57</v>
      </c>
      <c r="AS19" s="66" t="s">
        <v>57</v>
      </c>
      <c r="AT19" s="66"/>
      <c r="AU19" s="67"/>
    </row>
    <row r="20" spans="1:47">
      <c r="A20" s="63" t="s">
        <v>218</v>
      </c>
      <c r="B20" s="63">
        <v>4507901820</v>
      </c>
      <c r="C20" s="63" t="s">
        <v>94</v>
      </c>
      <c r="D20" s="63" t="s">
        <v>66</v>
      </c>
      <c r="E20" s="64">
        <v>0.3</v>
      </c>
      <c r="F20" s="63" t="s">
        <v>158</v>
      </c>
      <c r="G20" s="65">
        <v>17218</v>
      </c>
      <c r="H20" s="63" t="s">
        <v>55</v>
      </c>
      <c r="I20" s="66" t="s">
        <v>40</v>
      </c>
      <c r="J20" s="66"/>
      <c r="K20" s="66"/>
      <c r="L20" s="66" t="s">
        <v>56</v>
      </c>
      <c r="M20" s="66" t="s">
        <v>57</v>
      </c>
      <c r="N20" s="66" t="s">
        <v>57</v>
      </c>
      <c r="O20" s="66" t="s">
        <v>57</v>
      </c>
      <c r="P20" s="66" t="s">
        <v>219</v>
      </c>
      <c r="Q20" s="66" t="s">
        <v>59</v>
      </c>
      <c r="R20" s="66"/>
      <c r="S20" s="66"/>
      <c r="T20" s="66"/>
      <c r="U20" s="66"/>
      <c r="V20" s="66"/>
      <c r="W20" s="66"/>
      <c r="X20" s="66"/>
      <c r="Y20" s="66"/>
      <c r="Z20" s="66"/>
      <c r="AA20" s="66"/>
      <c r="AB20" s="66"/>
      <c r="AC20" s="66"/>
      <c r="AD20" s="66"/>
      <c r="AE20" s="66"/>
      <c r="AF20" s="66"/>
      <c r="AG20" s="66"/>
      <c r="AH20" s="66" t="s">
        <v>57</v>
      </c>
      <c r="AI20" s="66" t="s">
        <v>57</v>
      </c>
      <c r="AJ20" s="66" t="s">
        <v>57</v>
      </c>
      <c r="AK20" s="66" t="s">
        <v>57</v>
      </c>
      <c r="AL20" s="66" t="s">
        <v>57</v>
      </c>
      <c r="AM20" s="66" t="s">
        <v>57</v>
      </c>
      <c r="AN20" s="66" t="s">
        <v>57</v>
      </c>
      <c r="AO20" s="66" t="s">
        <v>57</v>
      </c>
      <c r="AP20" s="66" t="s">
        <v>57</v>
      </c>
      <c r="AQ20" s="66" t="s">
        <v>57</v>
      </c>
      <c r="AR20" s="66" t="s">
        <v>57</v>
      </c>
      <c r="AS20" s="66" t="s">
        <v>57</v>
      </c>
      <c r="AT20" s="66"/>
      <c r="AU20" s="67"/>
    </row>
    <row r="21" spans="1:47">
      <c r="A21" s="63"/>
      <c r="B21" s="63"/>
      <c r="C21" s="63"/>
      <c r="D21" s="63"/>
      <c r="E21" s="63"/>
      <c r="F21" s="63"/>
      <c r="G21" s="65"/>
      <c r="H21" s="63"/>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7"/>
    </row>
    <row r="22" spans="1:47" ht="15.75" thickBot="1">
      <c r="A22" s="75">
        <f>COUNTA(A2:A20)</f>
        <v>19</v>
      </c>
      <c r="B22" s="75">
        <f t="shared" ref="B22:AU22" si="0">COUNTA(B2:B20)</f>
        <v>19</v>
      </c>
      <c r="C22" s="75">
        <f t="shared" si="0"/>
        <v>19</v>
      </c>
      <c r="D22" s="75">
        <f t="shared" si="0"/>
        <v>19</v>
      </c>
      <c r="E22" s="75">
        <f t="shared" si="0"/>
        <v>19</v>
      </c>
      <c r="F22" s="75">
        <f t="shared" si="0"/>
        <v>19</v>
      </c>
      <c r="G22" s="75">
        <f t="shared" si="0"/>
        <v>19</v>
      </c>
      <c r="H22" s="75">
        <f t="shared" si="0"/>
        <v>19</v>
      </c>
      <c r="I22" s="75">
        <f t="shared" si="0"/>
        <v>19</v>
      </c>
      <c r="J22" s="75">
        <f t="shared" si="0"/>
        <v>16</v>
      </c>
      <c r="K22" s="75">
        <f t="shared" si="0"/>
        <v>0</v>
      </c>
      <c r="L22" s="75">
        <f t="shared" si="0"/>
        <v>3</v>
      </c>
      <c r="M22" s="75">
        <f t="shared" si="0"/>
        <v>19</v>
      </c>
      <c r="N22" s="75">
        <f t="shared" si="0"/>
        <v>19</v>
      </c>
      <c r="O22" s="75">
        <f t="shared" si="0"/>
        <v>19</v>
      </c>
      <c r="P22" s="75">
        <f t="shared" si="0"/>
        <v>18</v>
      </c>
      <c r="Q22" s="75">
        <f t="shared" si="0"/>
        <v>18</v>
      </c>
      <c r="R22" s="75">
        <f t="shared" si="0"/>
        <v>1</v>
      </c>
      <c r="S22" s="75">
        <f t="shared" si="0"/>
        <v>0</v>
      </c>
      <c r="T22" s="75">
        <f t="shared" si="0"/>
        <v>0</v>
      </c>
      <c r="U22" s="75">
        <f t="shared" si="0"/>
        <v>0</v>
      </c>
      <c r="V22" s="75">
        <f t="shared" si="0"/>
        <v>0</v>
      </c>
      <c r="W22" s="75">
        <f t="shared" si="0"/>
        <v>0</v>
      </c>
      <c r="X22" s="75">
        <f t="shared" si="0"/>
        <v>0</v>
      </c>
      <c r="Y22" s="75">
        <f t="shared" si="0"/>
        <v>0</v>
      </c>
      <c r="Z22" s="75">
        <f t="shared" si="0"/>
        <v>0</v>
      </c>
      <c r="AA22" s="75">
        <f t="shared" si="0"/>
        <v>0</v>
      </c>
      <c r="AB22" s="75">
        <f t="shared" si="0"/>
        <v>0</v>
      </c>
      <c r="AC22" s="75">
        <f t="shared" si="0"/>
        <v>0</v>
      </c>
      <c r="AD22" s="75">
        <f t="shared" si="0"/>
        <v>0</v>
      </c>
      <c r="AE22" s="75">
        <f t="shared" si="0"/>
        <v>0</v>
      </c>
      <c r="AF22" s="75">
        <f t="shared" si="0"/>
        <v>0</v>
      </c>
      <c r="AG22" s="75">
        <f t="shared" si="0"/>
        <v>0</v>
      </c>
      <c r="AH22" s="75">
        <f t="shared" si="0"/>
        <v>19</v>
      </c>
      <c r="AI22" s="75">
        <f t="shared" si="0"/>
        <v>19</v>
      </c>
      <c r="AJ22" s="75">
        <f t="shared" si="0"/>
        <v>19</v>
      </c>
      <c r="AK22" s="75">
        <f t="shared" si="0"/>
        <v>19</v>
      </c>
      <c r="AL22" s="75">
        <f t="shared" si="0"/>
        <v>19</v>
      </c>
      <c r="AM22" s="75">
        <f t="shared" si="0"/>
        <v>19</v>
      </c>
      <c r="AN22" s="75">
        <f t="shared" si="0"/>
        <v>19</v>
      </c>
      <c r="AO22" s="75">
        <f t="shared" si="0"/>
        <v>19</v>
      </c>
      <c r="AP22" s="75">
        <f t="shared" si="0"/>
        <v>19</v>
      </c>
      <c r="AQ22" s="75">
        <f t="shared" si="0"/>
        <v>19</v>
      </c>
      <c r="AR22" s="75">
        <f t="shared" si="0"/>
        <v>19</v>
      </c>
      <c r="AS22" s="75">
        <f t="shared" si="0"/>
        <v>19</v>
      </c>
      <c r="AT22" s="75">
        <f t="shared" si="0"/>
        <v>0</v>
      </c>
      <c r="AU22" s="75">
        <f t="shared" si="0"/>
        <v>0</v>
      </c>
    </row>
    <row r="23" spans="1:47" ht="15.75" thickTop="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4555-3967-4B4D-902F-A690F31E2DC4}">
  <dimension ref="A1:AU64"/>
  <sheetViews>
    <sheetView topLeftCell="A17" workbookViewId="0"/>
  </sheetViews>
  <sheetFormatPr defaultColWidth="18.125" defaultRowHeight="15"/>
  <cols>
    <col min="1" max="16384" width="18.125" style="83"/>
  </cols>
  <sheetData>
    <row r="1" spans="1:47" ht="54.95" customHeight="1" thickBot="1">
      <c r="A1" s="45" t="s">
        <v>5</v>
      </c>
      <c r="B1" s="46" t="s">
        <v>6</v>
      </c>
      <c r="C1" s="46" t="s">
        <v>7</v>
      </c>
      <c r="D1" s="47" t="s">
        <v>22</v>
      </c>
      <c r="E1" s="48" t="s">
        <v>23</v>
      </c>
      <c r="F1" s="49" t="s">
        <v>24</v>
      </c>
      <c r="G1" s="49" t="s">
        <v>25</v>
      </c>
      <c r="H1" s="50" t="s">
        <v>26</v>
      </c>
      <c r="I1" s="51" t="s">
        <v>9</v>
      </c>
      <c r="J1" s="51" t="s">
        <v>635</v>
      </c>
      <c r="K1" s="52" t="s">
        <v>636</v>
      </c>
      <c r="L1" s="53" t="s">
        <v>637</v>
      </c>
      <c r="M1" s="54" t="s">
        <v>11</v>
      </c>
      <c r="N1" s="54" t="s">
        <v>12</v>
      </c>
      <c r="O1" s="55" t="s">
        <v>13</v>
      </c>
      <c r="P1" s="56" t="s">
        <v>14</v>
      </c>
      <c r="Q1" s="56" t="s">
        <v>15</v>
      </c>
      <c r="R1" s="56" t="s">
        <v>16</v>
      </c>
      <c r="S1" s="56" t="s">
        <v>30</v>
      </c>
      <c r="T1" s="56" t="s">
        <v>31</v>
      </c>
      <c r="U1" s="56" t="s">
        <v>32</v>
      </c>
      <c r="V1" s="56" t="s">
        <v>33</v>
      </c>
      <c r="W1" s="56" t="s">
        <v>34</v>
      </c>
      <c r="X1" s="56" t="s">
        <v>35</v>
      </c>
      <c r="Y1" s="56" t="s">
        <v>36</v>
      </c>
      <c r="Z1" s="56" t="s">
        <v>37</v>
      </c>
      <c r="AA1" s="56" t="s">
        <v>38</v>
      </c>
      <c r="AB1" s="56" t="s">
        <v>39</v>
      </c>
      <c r="AC1" s="56" t="s">
        <v>40</v>
      </c>
      <c r="AD1" s="56" t="s">
        <v>41</v>
      </c>
      <c r="AE1" s="56" t="s">
        <v>42</v>
      </c>
      <c r="AF1" s="56" t="s">
        <v>43</v>
      </c>
      <c r="AG1" s="56" t="s">
        <v>7</v>
      </c>
      <c r="AH1" s="57" t="s">
        <v>44</v>
      </c>
      <c r="AI1" s="58" t="s">
        <v>45</v>
      </c>
      <c r="AJ1" s="58" t="s">
        <v>18</v>
      </c>
      <c r="AK1" s="58" t="s">
        <v>7</v>
      </c>
      <c r="AL1" s="59" t="s">
        <v>46</v>
      </c>
      <c r="AM1" s="59" t="s">
        <v>46</v>
      </c>
      <c r="AN1" s="59" t="s">
        <v>47</v>
      </c>
      <c r="AO1" s="59" t="s">
        <v>47</v>
      </c>
      <c r="AP1" s="59" t="s">
        <v>40</v>
      </c>
      <c r="AQ1" s="59" t="s">
        <v>48</v>
      </c>
      <c r="AR1" s="59" t="s">
        <v>49</v>
      </c>
      <c r="AS1" s="60" t="s">
        <v>7</v>
      </c>
      <c r="AT1" s="61" t="s">
        <v>20</v>
      </c>
      <c r="AU1" s="62" t="s">
        <v>21</v>
      </c>
    </row>
    <row r="2" spans="1:47">
      <c r="A2" s="63" t="s">
        <v>223</v>
      </c>
      <c r="B2" s="63">
        <v>4507689627</v>
      </c>
      <c r="C2" s="63" t="s">
        <v>224</v>
      </c>
      <c r="D2" s="63" t="s">
        <v>225</v>
      </c>
      <c r="E2" s="64">
        <v>0.7</v>
      </c>
      <c r="F2" s="63" t="s">
        <v>54</v>
      </c>
      <c r="G2" s="65">
        <v>17155</v>
      </c>
      <c r="H2" s="63" t="s">
        <v>55</v>
      </c>
      <c r="I2" s="66" t="s">
        <v>40</v>
      </c>
      <c r="J2" s="66"/>
      <c r="K2" s="66"/>
      <c r="L2" s="66" t="s">
        <v>56</v>
      </c>
      <c r="M2" s="66" t="s">
        <v>57</v>
      </c>
      <c r="N2" s="66" t="s">
        <v>57</v>
      </c>
      <c r="O2" s="66" t="s">
        <v>57</v>
      </c>
      <c r="P2" s="66"/>
      <c r="Q2" s="66"/>
      <c r="R2" s="66" t="s">
        <v>226</v>
      </c>
      <c r="S2" s="66"/>
      <c r="T2" s="66"/>
      <c r="U2" s="66"/>
      <c r="V2" s="66"/>
      <c r="W2" s="66"/>
      <c r="X2" s="66"/>
      <c r="Y2" s="66"/>
      <c r="Z2" s="66"/>
      <c r="AA2" s="66"/>
      <c r="AB2" s="66"/>
      <c r="AC2" s="66"/>
      <c r="AD2" s="66"/>
      <c r="AE2" s="66"/>
      <c r="AF2" s="66"/>
      <c r="AG2" s="66"/>
      <c r="AH2" s="66" t="s">
        <v>57</v>
      </c>
      <c r="AI2" s="66" t="s">
        <v>57</v>
      </c>
      <c r="AJ2" s="66" t="s">
        <v>57</v>
      </c>
      <c r="AK2" s="66" t="s">
        <v>57</v>
      </c>
      <c r="AL2" s="66" t="s">
        <v>57</v>
      </c>
      <c r="AM2" s="66" t="s">
        <v>57</v>
      </c>
      <c r="AN2" s="66" t="s">
        <v>57</v>
      </c>
      <c r="AO2" s="66" t="s">
        <v>57</v>
      </c>
      <c r="AP2" s="66" t="s">
        <v>57</v>
      </c>
      <c r="AQ2" s="66" t="s">
        <v>57</v>
      </c>
      <c r="AR2" s="66" t="s">
        <v>57</v>
      </c>
      <c r="AS2" s="66" t="s">
        <v>57</v>
      </c>
      <c r="AT2" s="66"/>
      <c r="AU2" s="67"/>
    </row>
    <row r="3" spans="1:47">
      <c r="A3" s="63" t="s">
        <v>227</v>
      </c>
      <c r="B3" s="63">
        <v>4581350247</v>
      </c>
      <c r="C3" s="63" t="s">
        <v>228</v>
      </c>
      <c r="D3" s="63" t="s">
        <v>225</v>
      </c>
      <c r="E3" s="64">
        <v>0.2</v>
      </c>
      <c r="F3" s="63" t="s">
        <v>54</v>
      </c>
      <c r="G3" s="65">
        <v>19862</v>
      </c>
      <c r="H3" s="63" t="s">
        <v>47</v>
      </c>
      <c r="I3" s="66" t="s">
        <v>40</v>
      </c>
      <c r="J3" s="66" t="s">
        <v>56</v>
      </c>
      <c r="K3" s="66"/>
      <c r="L3" s="66"/>
      <c r="M3" s="66" t="s">
        <v>57</v>
      </c>
      <c r="N3" s="66" t="s">
        <v>57</v>
      </c>
      <c r="O3" s="66" t="s">
        <v>57</v>
      </c>
      <c r="P3" s="66"/>
      <c r="Q3" s="66"/>
      <c r="R3" s="66" t="s">
        <v>226</v>
      </c>
      <c r="S3" s="66"/>
      <c r="T3" s="66"/>
      <c r="U3" s="66"/>
      <c r="V3" s="66"/>
      <c r="W3" s="66"/>
      <c r="X3" s="66"/>
      <c r="Y3" s="66"/>
      <c r="Z3" s="66"/>
      <c r="AA3" s="66"/>
      <c r="AB3" s="66"/>
      <c r="AC3" s="66"/>
      <c r="AD3" s="66"/>
      <c r="AE3" s="66"/>
      <c r="AF3" s="66"/>
      <c r="AG3" s="66"/>
      <c r="AH3" s="66" t="s">
        <v>57</v>
      </c>
      <c r="AI3" s="66" t="s">
        <v>57</v>
      </c>
      <c r="AJ3" s="66" t="s">
        <v>57</v>
      </c>
      <c r="AK3" s="66" t="s">
        <v>57</v>
      </c>
      <c r="AL3" s="66" t="s">
        <v>57</v>
      </c>
      <c r="AM3" s="66" t="s">
        <v>57</v>
      </c>
      <c r="AN3" s="66" t="s">
        <v>57</v>
      </c>
      <c r="AO3" s="66" t="s">
        <v>57</v>
      </c>
      <c r="AP3" s="66" t="s">
        <v>57</v>
      </c>
      <c r="AQ3" s="66" t="s">
        <v>57</v>
      </c>
      <c r="AR3" s="66" t="s">
        <v>57</v>
      </c>
      <c r="AS3" s="66" t="s">
        <v>57</v>
      </c>
      <c r="AT3" s="66"/>
      <c r="AU3" s="67"/>
    </row>
    <row r="4" spans="1:47">
      <c r="A4" s="63" t="s">
        <v>229</v>
      </c>
      <c r="B4" s="63">
        <v>4982321809</v>
      </c>
      <c r="C4" s="63" t="s">
        <v>88</v>
      </c>
      <c r="D4" s="63" t="s">
        <v>225</v>
      </c>
      <c r="E4" s="64">
        <v>0.3</v>
      </c>
      <c r="F4" s="63" t="s">
        <v>54</v>
      </c>
      <c r="G4" s="65">
        <v>17051</v>
      </c>
      <c r="H4" s="63" t="s">
        <v>47</v>
      </c>
      <c r="I4" s="66" t="s">
        <v>40</v>
      </c>
      <c r="J4" s="66"/>
      <c r="K4" s="66"/>
      <c r="L4" s="66" t="s">
        <v>56</v>
      </c>
      <c r="M4" s="66" t="s">
        <v>57</v>
      </c>
      <c r="N4" s="66" t="s">
        <v>57</v>
      </c>
      <c r="O4" s="66" t="s">
        <v>57</v>
      </c>
      <c r="P4" s="66"/>
      <c r="Q4" s="66"/>
      <c r="R4" s="66" t="s">
        <v>226</v>
      </c>
      <c r="S4" s="66"/>
      <c r="T4" s="66"/>
      <c r="U4" s="66"/>
      <c r="V4" s="66"/>
      <c r="W4" s="66"/>
      <c r="X4" s="66"/>
      <c r="Y4" s="66"/>
      <c r="Z4" s="66"/>
      <c r="AA4" s="66"/>
      <c r="AB4" s="66"/>
      <c r="AC4" s="66"/>
      <c r="AD4" s="66"/>
      <c r="AE4" s="66"/>
      <c r="AF4" s="66"/>
      <c r="AG4" s="66"/>
      <c r="AH4" s="66" t="s">
        <v>57</v>
      </c>
      <c r="AI4" s="66" t="s">
        <v>57</v>
      </c>
      <c r="AJ4" s="66" t="s">
        <v>57</v>
      </c>
      <c r="AK4" s="66" t="s">
        <v>57</v>
      </c>
      <c r="AL4" s="66" t="s">
        <v>57</v>
      </c>
      <c r="AM4" s="66" t="s">
        <v>57</v>
      </c>
      <c r="AN4" s="66" t="s">
        <v>57</v>
      </c>
      <c r="AO4" s="66" t="s">
        <v>57</v>
      </c>
      <c r="AP4" s="66" t="s">
        <v>57</v>
      </c>
      <c r="AQ4" s="66" t="s">
        <v>57</v>
      </c>
      <c r="AR4" s="66" t="s">
        <v>57</v>
      </c>
      <c r="AS4" s="66" t="s">
        <v>57</v>
      </c>
      <c r="AT4" s="66"/>
      <c r="AU4" s="67"/>
    </row>
    <row r="5" spans="1:47">
      <c r="A5" s="63" t="s">
        <v>230</v>
      </c>
      <c r="B5" s="63">
        <v>4581502551</v>
      </c>
      <c r="C5" s="63" t="s">
        <v>231</v>
      </c>
      <c r="D5" s="63" t="s">
        <v>225</v>
      </c>
      <c r="E5" s="64">
        <v>0.4</v>
      </c>
      <c r="F5" s="63" t="s">
        <v>54</v>
      </c>
      <c r="G5" s="65">
        <v>19445</v>
      </c>
      <c r="H5" s="63" t="s">
        <v>55</v>
      </c>
      <c r="I5" s="66" t="s">
        <v>40</v>
      </c>
      <c r="J5" s="66" t="s">
        <v>56</v>
      </c>
      <c r="K5" s="66"/>
      <c r="L5" s="66"/>
      <c r="M5" s="66" t="s">
        <v>57</v>
      </c>
      <c r="N5" s="66" t="s">
        <v>57</v>
      </c>
      <c r="O5" s="66" t="s">
        <v>57</v>
      </c>
      <c r="P5" s="66" t="s">
        <v>232</v>
      </c>
      <c r="Q5" s="66" t="s">
        <v>59</v>
      </c>
      <c r="R5" s="66"/>
      <c r="S5" s="66"/>
      <c r="T5" s="66"/>
      <c r="U5" s="66"/>
      <c r="V5" s="66"/>
      <c r="W5" s="66"/>
      <c r="X5" s="66"/>
      <c r="Y5" s="66"/>
      <c r="Z5" s="66"/>
      <c r="AA5" s="66"/>
      <c r="AB5" s="66"/>
      <c r="AC5" s="66"/>
      <c r="AD5" s="66"/>
      <c r="AE5" s="66"/>
      <c r="AF5" s="66"/>
      <c r="AG5" s="66"/>
      <c r="AH5" s="66" t="s">
        <v>57</v>
      </c>
      <c r="AI5" s="66" t="s">
        <v>57</v>
      </c>
      <c r="AJ5" s="66" t="s">
        <v>57</v>
      </c>
      <c r="AK5" s="66" t="s">
        <v>57</v>
      </c>
      <c r="AL5" s="66" t="s">
        <v>57</v>
      </c>
      <c r="AM5" s="66" t="s">
        <v>57</v>
      </c>
      <c r="AN5" s="66" t="s">
        <v>57</v>
      </c>
      <c r="AO5" s="66" t="s">
        <v>57</v>
      </c>
      <c r="AP5" s="66" t="s">
        <v>57</v>
      </c>
      <c r="AQ5" s="66" t="s">
        <v>57</v>
      </c>
      <c r="AR5" s="66" t="s">
        <v>57</v>
      </c>
      <c r="AS5" s="66" t="s">
        <v>57</v>
      </c>
      <c r="AT5" s="66"/>
      <c r="AU5" s="67"/>
    </row>
    <row r="6" spans="1:47">
      <c r="A6" s="63" t="s">
        <v>234</v>
      </c>
      <c r="B6" s="63">
        <v>4342827417</v>
      </c>
      <c r="C6" s="63" t="s">
        <v>65</v>
      </c>
      <c r="D6" s="63" t="s">
        <v>225</v>
      </c>
      <c r="E6" s="64">
        <v>0.3</v>
      </c>
      <c r="F6" s="63" t="s">
        <v>54</v>
      </c>
      <c r="G6" s="65">
        <v>13949</v>
      </c>
      <c r="H6" s="63" t="s">
        <v>47</v>
      </c>
      <c r="I6" s="66" t="s">
        <v>40</v>
      </c>
      <c r="J6" s="66" t="s">
        <v>56</v>
      </c>
      <c r="K6" s="66"/>
      <c r="L6" s="66"/>
      <c r="M6" s="66" t="s">
        <v>57</v>
      </c>
      <c r="N6" s="66" t="s">
        <v>57</v>
      </c>
      <c r="O6" s="66" t="s">
        <v>57</v>
      </c>
      <c r="P6" s="66" t="s">
        <v>235</v>
      </c>
      <c r="Q6" s="66" t="s">
        <v>59</v>
      </c>
      <c r="R6" s="66"/>
      <c r="S6" s="66"/>
      <c r="T6" s="66"/>
      <c r="U6" s="66"/>
      <c r="V6" s="66"/>
      <c r="W6" s="66"/>
      <c r="X6" s="66"/>
      <c r="Y6" s="66"/>
      <c r="Z6" s="66"/>
      <c r="AA6" s="66"/>
      <c r="AB6" s="66"/>
      <c r="AC6" s="66"/>
      <c r="AD6" s="66"/>
      <c r="AE6" s="66"/>
      <c r="AF6" s="66"/>
      <c r="AG6" s="66"/>
      <c r="AH6" s="66" t="s">
        <v>57</v>
      </c>
      <c r="AI6" s="66" t="s">
        <v>57</v>
      </c>
      <c r="AJ6" s="66" t="s">
        <v>57</v>
      </c>
      <c r="AK6" s="66" t="s">
        <v>57</v>
      </c>
      <c r="AL6" s="66" t="s">
        <v>57</v>
      </c>
      <c r="AM6" s="66" t="s">
        <v>57</v>
      </c>
      <c r="AN6" s="66" t="s">
        <v>57</v>
      </c>
      <c r="AO6" s="66" t="s">
        <v>57</v>
      </c>
      <c r="AP6" s="66" t="s">
        <v>57</v>
      </c>
      <c r="AQ6" s="66" t="s">
        <v>57</v>
      </c>
      <c r="AR6" s="66" t="s">
        <v>57</v>
      </c>
      <c r="AS6" s="66" t="s">
        <v>57</v>
      </c>
      <c r="AT6" s="66"/>
      <c r="AU6" s="67"/>
    </row>
    <row r="7" spans="1:47">
      <c r="A7" s="63" t="s">
        <v>236</v>
      </c>
      <c r="B7" s="63">
        <v>4661971981</v>
      </c>
      <c r="C7" s="63" t="s">
        <v>237</v>
      </c>
      <c r="D7" s="63" t="s">
        <v>225</v>
      </c>
      <c r="E7" s="64" t="s">
        <v>195</v>
      </c>
      <c r="F7" s="63" t="s">
        <v>54</v>
      </c>
      <c r="G7" s="65">
        <v>14079</v>
      </c>
      <c r="H7" s="63" t="s">
        <v>47</v>
      </c>
      <c r="I7" s="66" t="s">
        <v>40</v>
      </c>
      <c r="J7" s="66"/>
      <c r="K7" s="66"/>
      <c r="L7" s="66" t="s">
        <v>56</v>
      </c>
      <c r="M7" s="66" t="s">
        <v>57</v>
      </c>
      <c r="N7" s="66" t="s">
        <v>57</v>
      </c>
      <c r="O7" s="66" t="s">
        <v>57</v>
      </c>
      <c r="P7" s="66"/>
      <c r="Q7" s="66"/>
      <c r="R7" s="66" t="s">
        <v>226</v>
      </c>
      <c r="S7" s="66"/>
      <c r="T7" s="66"/>
      <c r="U7" s="66"/>
      <c r="V7" s="66"/>
      <c r="W7" s="66"/>
      <c r="X7" s="66"/>
      <c r="Y7" s="66"/>
      <c r="Z7" s="66"/>
      <c r="AA7" s="66"/>
      <c r="AB7" s="66"/>
      <c r="AC7" s="66"/>
      <c r="AD7" s="66"/>
      <c r="AE7" s="66"/>
      <c r="AF7" s="66"/>
      <c r="AG7" s="66"/>
      <c r="AH7" s="66" t="s">
        <v>57</v>
      </c>
      <c r="AI7" s="66" t="s">
        <v>57</v>
      </c>
      <c r="AJ7" s="66" t="s">
        <v>57</v>
      </c>
      <c r="AK7" s="66" t="s">
        <v>57</v>
      </c>
      <c r="AL7" s="66" t="s">
        <v>57</v>
      </c>
      <c r="AM7" s="66" t="s">
        <v>57</v>
      </c>
      <c r="AN7" s="66" t="s">
        <v>57</v>
      </c>
      <c r="AO7" s="66" t="s">
        <v>57</v>
      </c>
      <c r="AP7" s="66" t="s">
        <v>57</v>
      </c>
      <c r="AQ7" s="66" t="s">
        <v>57</v>
      </c>
      <c r="AR7" s="66" t="s">
        <v>57</v>
      </c>
      <c r="AS7" s="66" t="s">
        <v>57</v>
      </c>
      <c r="AT7" s="66"/>
      <c r="AU7" s="67"/>
    </row>
    <row r="8" spans="1:47">
      <c r="A8" s="63" t="s">
        <v>238</v>
      </c>
      <c r="B8" s="63">
        <v>4387568356</v>
      </c>
      <c r="C8" s="63" t="s">
        <v>239</v>
      </c>
      <c r="D8" s="63" t="s">
        <v>225</v>
      </c>
      <c r="E8" s="64">
        <v>0.6</v>
      </c>
      <c r="F8" s="63" t="s">
        <v>54</v>
      </c>
      <c r="G8" s="65">
        <v>15413</v>
      </c>
      <c r="H8" s="63" t="s">
        <v>47</v>
      </c>
      <c r="I8" s="66" t="s">
        <v>40</v>
      </c>
      <c r="J8" s="66" t="s">
        <v>56</v>
      </c>
      <c r="K8" s="66"/>
      <c r="L8" s="66"/>
      <c r="M8" s="66" t="s">
        <v>57</v>
      </c>
      <c r="N8" s="66" t="s">
        <v>57</v>
      </c>
      <c r="O8" s="66" t="s">
        <v>57</v>
      </c>
      <c r="P8" s="66" t="s">
        <v>240</v>
      </c>
      <c r="Q8" s="66" t="s">
        <v>59</v>
      </c>
      <c r="R8" s="66"/>
      <c r="S8" s="66"/>
      <c r="T8" s="66"/>
      <c r="U8" s="66"/>
      <c r="V8" s="66"/>
      <c r="W8" s="66"/>
      <c r="X8" s="66"/>
      <c r="Y8" s="66"/>
      <c r="Z8" s="66"/>
      <c r="AA8" s="66"/>
      <c r="AB8" s="66"/>
      <c r="AC8" s="66"/>
      <c r="AD8" s="66"/>
      <c r="AE8" s="66"/>
      <c r="AF8" s="66"/>
      <c r="AG8" s="66"/>
      <c r="AH8" s="66" t="s">
        <v>57</v>
      </c>
      <c r="AI8" s="66" t="s">
        <v>57</v>
      </c>
      <c r="AJ8" s="66" t="s">
        <v>57</v>
      </c>
      <c r="AK8" s="66" t="s">
        <v>57</v>
      </c>
      <c r="AL8" s="66" t="s">
        <v>57</v>
      </c>
      <c r="AM8" s="66" t="s">
        <v>57</v>
      </c>
      <c r="AN8" s="66" t="s">
        <v>57</v>
      </c>
      <c r="AO8" s="66" t="s">
        <v>57</v>
      </c>
      <c r="AP8" s="66" t="s">
        <v>57</v>
      </c>
      <c r="AQ8" s="66" t="s">
        <v>57</v>
      </c>
      <c r="AR8" s="66" t="s">
        <v>57</v>
      </c>
      <c r="AS8" s="66" t="s">
        <v>57</v>
      </c>
      <c r="AT8" s="66"/>
      <c r="AU8" s="67"/>
    </row>
    <row r="9" spans="1:47">
      <c r="A9" s="63" t="s">
        <v>248</v>
      </c>
      <c r="B9" s="63">
        <v>4382775264</v>
      </c>
      <c r="C9" s="63" t="s">
        <v>249</v>
      </c>
      <c r="D9" s="63" t="s">
        <v>225</v>
      </c>
      <c r="E9" s="64">
        <v>0.7</v>
      </c>
      <c r="F9" s="63" t="s">
        <v>54</v>
      </c>
      <c r="G9" s="65">
        <v>15392</v>
      </c>
      <c r="H9" s="63" t="s">
        <v>55</v>
      </c>
      <c r="I9" s="66" t="s">
        <v>40</v>
      </c>
      <c r="J9" s="66" t="s">
        <v>56</v>
      </c>
      <c r="K9" s="66"/>
      <c r="L9" s="66"/>
      <c r="M9" s="66" t="s">
        <v>57</v>
      </c>
      <c r="N9" s="66" t="s">
        <v>57</v>
      </c>
      <c r="O9" s="66" t="s">
        <v>57</v>
      </c>
      <c r="P9" s="66" t="s">
        <v>250</v>
      </c>
      <c r="Q9" s="66" t="s">
        <v>59</v>
      </c>
      <c r="R9" s="66"/>
      <c r="S9" s="66"/>
      <c r="T9" s="66"/>
      <c r="U9" s="66"/>
      <c r="V9" s="66"/>
      <c r="W9" s="66"/>
      <c r="X9" s="66"/>
      <c r="Y9" s="66"/>
      <c r="Z9" s="66"/>
      <c r="AA9" s="66"/>
      <c r="AB9" s="66"/>
      <c r="AC9" s="66"/>
      <c r="AD9" s="66"/>
      <c r="AE9" s="66"/>
      <c r="AF9" s="66"/>
      <c r="AG9" s="66"/>
      <c r="AH9" s="66" t="s">
        <v>57</v>
      </c>
      <c r="AI9" s="66" t="s">
        <v>57</v>
      </c>
      <c r="AJ9" s="66" t="s">
        <v>57</v>
      </c>
      <c r="AK9" s="66" t="s">
        <v>57</v>
      </c>
      <c r="AL9" s="66" t="s">
        <v>57</v>
      </c>
      <c r="AM9" s="66" t="s">
        <v>57</v>
      </c>
      <c r="AN9" s="66" t="s">
        <v>57</v>
      </c>
      <c r="AO9" s="66" t="s">
        <v>57</v>
      </c>
      <c r="AP9" s="66" t="s">
        <v>57</v>
      </c>
      <c r="AQ9" s="66" t="s">
        <v>57</v>
      </c>
      <c r="AR9" s="66" t="s">
        <v>57</v>
      </c>
      <c r="AS9" s="66" t="s">
        <v>57</v>
      </c>
      <c r="AT9" s="66"/>
      <c r="AU9" s="67"/>
    </row>
    <row r="10" spans="1:47">
      <c r="A10" s="70" t="s">
        <v>251</v>
      </c>
      <c r="B10" s="70">
        <v>6042020927</v>
      </c>
      <c r="C10" s="70" t="s">
        <v>252</v>
      </c>
      <c r="D10" s="70" t="s">
        <v>225</v>
      </c>
      <c r="E10" s="71">
        <v>0.3</v>
      </c>
      <c r="F10" s="70" t="s">
        <v>54</v>
      </c>
      <c r="G10" s="72">
        <v>14945</v>
      </c>
      <c r="H10" s="70" t="s">
        <v>47</v>
      </c>
      <c r="I10" s="73" t="s">
        <v>40</v>
      </c>
      <c r="J10" s="73" t="s">
        <v>56</v>
      </c>
      <c r="K10" s="73"/>
      <c r="L10" s="73"/>
      <c r="M10" s="73" t="s">
        <v>57</v>
      </c>
      <c r="N10" s="73" t="s">
        <v>57</v>
      </c>
      <c r="O10" s="73" t="s">
        <v>57</v>
      </c>
      <c r="P10" s="73" t="s">
        <v>253</v>
      </c>
      <c r="Q10" s="73" t="s">
        <v>59</v>
      </c>
      <c r="R10" s="73"/>
      <c r="S10" s="73"/>
      <c r="T10" s="73"/>
      <c r="U10" s="73"/>
      <c r="V10" s="73"/>
      <c r="W10" s="73"/>
      <c r="X10" s="73"/>
      <c r="Y10" s="73"/>
      <c r="Z10" s="73"/>
      <c r="AA10" s="73"/>
      <c r="AB10" s="73"/>
      <c r="AC10" s="73"/>
      <c r="AD10" s="73"/>
      <c r="AE10" s="73"/>
      <c r="AF10" s="73"/>
      <c r="AG10" s="73"/>
      <c r="AH10" s="73" t="s">
        <v>57</v>
      </c>
      <c r="AI10" s="73" t="s">
        <v>57</v>
      </c>
      <c r="AJ10" s="73" t="s">
        <v>57</v>
      </c>
      <c r="AK10" s="73" t="s">
        <v>57</v>
      </c>
      <c r="AL10" s="73" t="s">
        <v>57</v>
      </c>
      <c r="AM10" s="73" t="s">
        <v>57</v>
      </c>
      <c r="AN10" s="73" t="s">
        <v>57</v>
      </c>
      <c r="AO10" s="73" t="s">
        <v>57</v>
      </c>
      <c r="AP10" s="73" t="s">
        <v>57</v>
      </c>
      <c r="AQ10" s="73" t="s">
        <v>57</v>
      </c>
      <c r="AR10" s="73" t="s">
        <v>57</v>
      </c>
      <c r="AS10" s="73" t="s">
        <v>57</v>
      </c>
      <c r="AT10" s="73"/>
      <c r="AU10" s="74"/>
    </row>
    <row r="11" spans="1:47">
      <c r="A11" s="63" t="s">
        <v>254</v>
      </c>
      <c r="B11" s="63">
        <v>4381812255</v>
      </c>
      <c r="C11" s="63" t="s">
        <v>255</v>
      </c>
      <c r="D11" s="63" t="s">
        <v>225</v>
      </c>
      <c r="E11" s="64">
        <v>0.2</v>
      </c>
      <c r="F11" s="63" t="s">
        <v>54</v>
      </c>
      <c r="G11" s="65">
        <v>15826</v>
      </c>
      <c r="H11" s="63" t="s">
        <v>55</v>
      </c>
      <c r="I11" s="66" t="s">
        <v>40</v>
      </c>
      <c r="J11" s="66" t="s">
        <v>56</v>
      </c>
      <c r="K11" s="66"/>
      <c r="L11" s="66"/>
      <c r="M11" s="66" t="s">
        <v>57</v>
      </c>
      <c r="N11" s="66" t="s">
        <v>57</v>
      </c>
      <c r="O11" s="66" t="s">
        <v>57</v>
      </c>
      <c r="P11" s="66"/>
      <c r="Q11" s="66"/>
      <c r="R11" s="66" t="s">
        <v>256</v>
      </c>
      <c r="S11" s="66"/>
      <c r="T11" s="66"/>
      <c r="U11" s="66"/>
      <c r="V11" s="66"/>
      <c r="W11" s="66"/>
      <c r="X11" s="66"/>
      <c r="Y11" s="66"/>
      <c r="Z11" s="66"/>
      <c r="AA11" s="66"/>
      <c r="AB11" s="66"/>
      <c r="AC11" s="66"/>
      <c r="AD11" s="66"/>
      <c r="AE11" s="66"/>
      <c r="AF11" s="66"/>
      <c r="AG11" s="66"/>
      <c r="AH11" s="66" t="s">
        <v>57</v>
      </c>
      <c r="AI11" s="66" t="s">
        <v>57</v>
      </c>
      <c r="AJ11" s="66" t="s">
        <v>57</v>
      </c>
      <c r="AK11" s="66" t="s">
        <v>57</v>
      </c>
      <c r="AL11" s="66" t="s">
        <v>57</v>
      </c>
      <c r="AM11" s="66" t="s">
        <v>57</v>
      </c>
      <c r="AN11" s="66" t="s">
        <v>57</v>
      </c>
      <c r="AO11" s="66" t="s">
        <v>57</v>
      </c>
      <c r="AP11" s="66" t="s">
        <v>57</v>
      </c>
      <c r="AQ11" s="66" t="s">
        <v>57</v>
      </c>
      <c r="AR11" s="66" t="s">
        <v>57</v>
      </c>
      <c r="AS11" s="66" t="s">
        <v>57</v>
      </c>
      <c r="AT11" s="66"/>
      <c r="AU11" s="67"/>
    </row>
    <row r="12" spans="1:47">
      <c r="A12" s="63" t="s">
        <v>257</v>
      </c>
      <c r="B12" s="63">
        <v>4582715427</v>
      </c>
      <c r="C12" s="63" t="s">
        <v>150</v>
      </c>
      <c r="D12" s="63" t="s">
        <v>225</v>
      </c>
      <c r="E12" s="64">
        <v>0.6</v>
      </c>
      <c r="F12" s="63" t="s">
        <v>54</v>
      </c>
      <c r="G12" s="65">
        <v>20030</v>
      </c>
      <c r="H12" s="63" t="s">
        <v>47</v>
      </c>
      <c r="I12" s="66" t="s">
        <v>40</v>
      </c>
      <c r="J12" s="66" t="s">
        <v>56</v>
      </c>
      <c r="K12" s="66"/>
      <c r="L12" s="66"/>
      <c r="M12" s="66" t="s">
        <v>57</v>
      </c>
      <c r="N12" s="66" t="s">
        <v>57</v>
      </c>
      <c r="O12" s="66" t="s">
        <v>57</v>
      </c>
      <c r="P12" s="66" t="s">
        <v>258</v>
      </c>
      <c r="Q12" s="66" t="s">
        <v>59</v>
      </c>
      <c r="R12" s="66"/>
      <c r="S12" s="66"/>
      <c r="T12" s="66"/>
      <c r="U12" s="66"/>
      <c r="V12" s="66"/>
      <c r="W12" s="66"/>
      <c r="X12" s="66"/>
      <c r="Y12" s="66"/>
      <c r="Z12" s="66"/>
      <c r="AA12" s="66"/>
      <c r="AB12" s="66"/>
      <c r="AC12" s="66"/>
      <c r="AD12" s="66"/>
      <c r="AE12" s="66"/>
      <c r="AF12" s="66"/>
      <c r="AG12" s="66"/>
      <c r="AH12" s="66" t="s">
        <v>57</v>
      </c>
      <c r="AI12" s="66" t="s">
        <v>57</v>
      </c>
      <c r="AJ12" s="66" t="s">
        <v>57</v>
      </c>
      <c r="AK12" s="66" t="s">
        <v>57</v>
      </c>
      <c r="AL12" s="66" t="s">
        <v>57</v>
      </c>
      <c r="AM12" s="66" t="s">
        <v>57</v>
      </c>
      <c r="AN12" s="66" t="s">
        <v>57</v>
      </c>
      <c r="AO12" s="66" t="s">
        <v>57</v>
      </c>
      <c r="AP12" s="66" t="s">
        <v>57</v>
      </c>
      <c r="AQ12" s="66" t="s">
        <v>57</v>
      </c>
      <c r="AR12" s="66" t="s">
        <v>57</v>
      </c>
      <c r="AS12" s="66" t="s">
        <v>57</v>
      </c>
      <c r="AT12" s="66"/>
      <c r="AU12" s="67"/>
    </row>
    <row r="13" spans="1:47">
      <c r="A13" s="70" t="s">
        <v>259</v>
      </c>
      <c r="B13" s="70">
        <v>4520869641</v>
      </c>
      <c r="C13" s="70" t="s">
        <v>231</v>
      </c>
      <c r="D13" s="70" t="s">
        <v>225</v>
      </c>
      <c r="E13" s="71" t="s">
        <v>195</v>
      </c>
      <c r="F13" s="70" t="s">
        <v>70</v>
      </c>
      <c r="G13" s="72">
        <v>18610</v>
      </c>
      <c r="H13" s="70" t="s">
        <v>55</v>
      </c>
      <c r="I13" s="73" t="s">
        <v>40</v>
      </c>
      <c r="J13" s="73"/>
      <c r="K13" s="73"/>
      <c r="L13" s="73" t="s">
        <v>56</v>
      </c>
      <c r="M13" s="73" t="s">
        <v>57</v>
      </c>
      <c r="N13" s="73" t="s">
        <v>57</v>
      </c>
      <c r="O13" s="73" t="s">
        <v>57</v>
      </c>
      <c r="P13" s="73" t="s">
        <v>260</v>
      </c>
      <c r="Q13" s="73" t="s">
        <v>59</v>
      </c>
      <c r="R13" s="73"/>
      <c r="S13" s="73"/>
      <c r="T13" s="73"/>
      <c r="U13" s="73"/>
      <c r="V13" s="73"/>
      <c r="W13" s="73"/>
      <c r="X13" s="73"/>
      <c r="Y13" s="73"/>
      <c r="Z13" s="73"/>
      <c r="AA13" s="73"/>
      <c r="AB13" s="73"/>
      <c r="AC13" s="73"/>
      <c r="AD13" s="73"/>
      <c r="AE13" s="73"/>
      <c r="AF13" s="73"/>
      <c r="AG13" s="73"/>
      <c r="AH13" s="73" t="s">
        <v>57</v>
      </c>
      <c r="AI13" s="73" t="s">
        <v>57</v>
      </c>
      <c r="AJ13" s="73" t="s">
        <v>57</v>
      </c>
      <c r="AK13" s="73" t="s">
        <v>57</v>
      </c>
      <c r="AL13" s="73" t="s">
        <v>57</v>
      </c>
      <c r="AM13" s="73" t="s">
        <v>57</v>
      </c>
      <c r="AN13" s="73" t="s">
        <v>57</v>
      </c>
      <c r="AO13" s="73" t="s">
        <v>57</v>
      </c>
      <c r="AP13" s="73" t="s">
        <v>57</v>
      </c>
      <c r="AQ13" s="73" t="s">
        <v>57</v>
      </c>
      <c r="AR13" s="73" t="s">
        <v>57</v>
      </c>
      <c r="AS13" s="73" t="s">
        <v>57</v>
      </c>
      <c r="AT13" s="73"/>
      <c r="AU13" s="74"/>
    </row>
    <row r="14" spans="1:47">
      <c r="A14" s="70" t="s">
        <v>261</v>
      </c>
      <c r="B14" s="70">
        <v>4520318785</v>
      </c>
      <c r="C14" s="70" t="s">
        <v>262</v>
      </c>
      <c r="D14" s="70" t="s">
        <v>225</v>
      </c>
      <c r="E14" s="71">
        <v>0.8</v>
      </c>
      <c r="F14" s="70" t="s">
        <v>263</v>
      </c>
      <c r="G14" s="72">
        <v>18268</v>
      </c>
      <c r="H14" s="70" t="s">
        <v>47</v>
      </c>
      <c r="I14" s="73" t="s">
        <v>40</v>
      </c>
      <c r="J14" s="73"/>
      <c r="K14" s="73"/>
      <c r="L14" s="73" t="s">
        <v>56</v>
      </c>
      <c r="M14" s="73" t="s">
        <v>57</v>
      </c>
      <c r="N14" s="73" t="s">
        <v>57</v>
      </c>
      <c r="O14" s="73" t="s">
        <v>57</v>
      </c>
      <c r="P14" s="73" t="s">
        <v>264</v>
      </c>
      <c r="Q14" s="73" t="s">
        <v>59</v>
      </c>
      <c r="R14" s="73"/>
      <c r="S14" s="73"/>
      <c r="T14" s="73"/>
      <c r="U14" s="73"/>
      <c r="V14" s="73"/>
      <c r="W14" s="73"/>
      <c r="X14" s="73"/>
      <c r="Y14" s="73"/>
      <c r="Z14" s="73"/>
      <c r="AA14" s="73"/>
      <c r="AB14" s="73"/>
      <c r="AC14" s="73"/>
      <c r="AD14" s="73"/>
      <c r="AE14" s="73"/>
      <c r="AF14" s="73"/>
      <c r="AG14" s="73"/>
      <c r="AH14" s="73" t="s">
        <v>57</v>
      </c>
      <c r="AI14" s="73" t="s">
        <v>57</v>
      </c>
      <c r="AJ14" s="73" t="s">
        <v>57</v>
      </c>
      <c r="AK14" s="73" t="s">
        <v>57</v>
      </c>
      <c r="AL14" s="73" t="s">
        <v>57</v>
      </c>
      <c r="AM14" s="73" t="s">
        <v>57</v>
      </c>
      <c r="AN14" s="73" t="s">
        <v>57</v>
      </c>
      <c r="AO14" s="73" t="s">
        <v>57</v>
      </c>
      <c r="AP14" s="73" t="s">
        <v>57</v>
      </c>
      <c r="AQ14" s="73" t="s">
        <v>57</v>
      </c>
      <c r="AR14" s="73" t="s">
        <v>57</v>
      </c>
      <c r="AS14" s="73" t="s">
        <v>57</v>
      </c>
      <c r="AT14" s="73"/>
      <c r="AU14" s="74"/>
    </row>
    <row r="15" spans="1:47">
      <c r="A15" s="63" t="s">
        <v>265</v>
      </c>
      <c r="B15" s="63">
        <v>4382392586</v>
      </c>
      <c r="C15" s="63" t="s">
        <v>94</v>
      </c>
      <c r="D15" s="63" t="s">
        <v>225</v>
      </c>
      <c r="E15" s="64">
        <v>0.3</v>
      </c>
      <c r="F15" s="63" t="s">
        <v>266</v>
      </c>
      <c r="G15" s="65">
        <v>15797</v>
      </c>
      <c r="H15" s="63" t="s">
        <v>47</v>
      </c>
      <c r="I15" s="66" t="s">
        <v>40</v>
      </c>
      <c r="J15" s="66" t="s">
        <v>56</v>
      </c>
      <c r="K15" s="66"/>
      <c r="L15" s="66"/>
      <c r="M15" s="66" t="s">
        <v>57</v>
      </c>
      <c r="N15" s="66" t="s">
        <v>57</v>
      </c>
      <c r="O15" s="66" t="s">
        <v>57</v>
      </c>
      <c r="P15" s="66" t="s">
        <v>267</v>
      </c>
      <c r="Q15" s="66" t="s">
        <v>59</v>
      </c>
      <c r="R15" s="66"/>
      <c r="S15" s="66"/>
      <c r="T15" s="66"/>
      <c r="U15" s="66"/>
      <c r="V15" s="66"/>
      <c r="W15" s="66"/>
      <c r="X15" s="66"/>
      <c r="Y15" s="66"/>
      <c r="Z15" s="66"/>
      <c r="AA15" s="66"/>
      <c r="AB15" s="66"/>
      <c r="AC15" s="66"/>
      <c r="AD15" s="66"/>
      <c r="AE15" s="66"/>
      <c r="AF15" s="66"/>
      <c r="AG15" s="66"/>
      <c r="AH15" s="66" t="s">
        <v>57</v>
      </c>
      <c r="AI15" s="66" t="s">
        <v>57</v>
      </c>
      <c r="AJ15" s="66" t="s">
        <v>57</v>
      </c>
      <c r="AK15" s="66" t="s">
        <v>57</v>
      </c>
      <c r="AL15" s="66" t="s">
        <v>57</v>
      </c>
      <c r="AM15" s="66" t="s">
        <v>57</v>
      </c>
      <c r="AN15" s="66" t="s">
        <v>57</v>
      </c>
      <c r="AO15" s="66" t="s">
        <v>57</v>
      </c>
      <c r="AP15" s="66" t="s">
        <v>57</v>
      </c>
      <c r="AQ15" s="66" t="s">
        <v>57</v>
      </c>
      <c r="AR15" s="66" t="s">
        <v>57</v>
      </c>
      <c r="AS15" s="66" t="s">
        <v>57</v>
      </c>
      <c r="AT15" s="66"/>
      <c r="AU15" s="67"/>
    </row>
    <row r="16" spans="1:47">
      <c r="A16" s="70" t="s">
        <v>271</v>
      </c>
      <c r="B16" s="70">
        <v>4087259978</v>
      </c>
      <c r="C16" s="70" t="s">
        <v>272</v>
      </c>
      <c r="D16" s="70" t="s">
        <v>225</v>
      </c>
      <c r="E16" s="71">
        <v>0.6</v>
      </c>
      <c r="F16" s="70" t="s">
        <v>70</v>
      </c>
      <c r="G16" s="72">
        <v>24848</v>
      </c>
      <c r="H16" s="70" t="s">
        <v>47</v>
      </c>
      <c r="I16" s="73" t="s">
        <v>40</v>
      </c>
      <c r="J16" s="73"/>
      <c r="K16" s="73"/>
      <c r="L16" s="73" t="s">
        <v>56</v>
      </c>
      <c r="M16" s="73" t="s">
        <v>57</v>
      </c>
      <c r="N16" s="73" t="s">
        <v>57</v>
      </c>
      <c r="O16" s="73" t="s">
        <v>57</v>
      </c>
      <c r="P16" s="73" t="s">
        <v>273</v>
      </c>
      <c r="Q16" s="73" t="s">
        <v>59</v>
      </c>
      <c r="R16" s="73"/>
      <c r="S16" s="73"/>
      <c r="T16" s="73"/>
      <c r="U16" s="73"/>
      <c r="V16" s="73"/>
      <c r="W16" s="73"/>
      <c r="X16" s="73"/>
      <c r="Y16" s="73"/>
      <c r="Z16" s="73"/>
      <c r="AA16" s="73"/>
      <c r="AB16" s="73"/>
      <c r="AC16" s="73"/>
      <c r="AD16" s="73"/>
      <c r="AE16" s="73"/>
      <c r="AF16" s="73"/>
      <c r="AG16" s="73"/>
      <c r="AH16" s="73" t="s">
        <v>57</v>
      </c>
      <c r="AI16" s="73" t="s">
        <v>57</v>
      </c>
      <c r="AJ16" s="73" t="s">
        <v>57</v>
      </c>
      <c r="AK16" s="73" t="s">
        <v>57</v>
      </c>
      <c r="AL16" s="73" t="s">
        <v>57</v>
      </c>
      <c r="AM16" s="73" t="s">
        <v>57</v>
      </c>
      <c r="AN16" s="73" t="s">
        <v>57</v>
      </c>
      <c r="AO16" s="73" t="s">
        <v>57</v>
      </c>
      <c r="AP16" s="73" t="s">
        <v>57</v>
      </c>
      <c r="AQ16" s="73" t="s">
        <v>57</v>
      </c>
      <c r="AR16" s="73" t="s">
        <v>57</v>
      </c>
      <c r="AS16" s="73" t="s">
        <v>57</v>
      </c>
      <c r="AT16" s="73"/>
      <c r="AU16" s="74"/>
    </row>
    <row r="17" spans="1:47">
      <c r="A17" s="63" t="s">
        <v>274</v>
      </c>
      <c r="B17" s="63">
        <v>4105116347</v>
      </c>
      <c r="C17" s="63" t="s">
        <v>275</v>
      </c>
      <c r="D17" s="63" t="s">
        <v>225</v>
      </c>
      <c r="E17" s="64">
        <v>0.8</v>
      </c>
      <c r="F17" s="63" t="s">
        <v>158</v>
      </c>
      <c r="G17" s="65">
        <v>26736</v>
      </c>
      <c r="H17" s="63" t="s">
        <v>55</v>
      </c>
      <c r="I17" s="66" t="s">
        <v>40</v>
      </c>
      <c r="J17" s="66"/>
      <c r="K17" s="66"/>
      <c r="L17" s="66" t="s">
        <v>56</v>
      </c>
      <c r="M17" s="66" t="s">
        <v>57</v>
      </c>
      <c r="N17" s="66" t="s">
        <v>57</v>
      </c>
      <c r="O17" s="66" t="s">
        <v>57</v>
      </c>
      <c r="P17" s="66" t="s">
        <v>276</v>
      </c>
      <c r="Q17" s="66" t="s">
        <v>59</v>
      </c>
      <c r="R17" s="66"/>
      <c r="S17" s="66"/>
      <c r="T17" s="66"/>
      <c r="U17" s="66"/>
      <c r="V17" s="66"/>
      <c r="W17" s="66"/>
      <c r="X17" s="66"/>
      <c r="Y17" s="66"/>
      <c r="Z17" s="66"/>
      <c r="AA17" s="66"/>
      <c r="AB17" s="66"/>
      <c r="AC17" s="66"/>
      <c r="AD17" s="66"/>
      <c r="AE17" s="66"/>
      <c r="AF17" s="66"/>
      <c r="AG17" s="66"/>
      <c r="AH17" s="66" t="s">
        <v>57</v>
      </c>
      <c r="AI17" s="66" t="s">
        <v>57</v>
      </c>
      <c r="AJ17" s="66" t="s">
        <v>57</v>
      </c>
      <c r="AK17" s="66" t="s">
        <v>57</v>
      </c>
      <c r="AL17" s="66" t="s">
        <v>57</v>
      </c>
      <c r="AM17" s="66" t="s">
        <v>57</v>
      </c>
      <c r="AN17" s="66" t="s">
        <v>57</v>
      </c>
      <c r="AO17" s="66" t="s">
        <v>57</v>
      </c>
      <c r="AP17" s="66" t="s">
        <v>57</v>
      </c>
      <c r="AQ17" s="66" t="s">
        <v>57</v>
      </c>
      <c r="AR17" s="66" t="s">
        <v>57</v>
      </c>
      <c r="AS17" s="66" t="s">
        <v>57</v>
      </c>
      <c r="AT17" s="66"/>
      <c r="AU17" s="67"/>
    </row>
    <row r="18" spans="1:47">
      <c r="A18" s="63" t="s">
        <v>281</v>
      </c>
      <c r="B18" s="63">
        <v>4607845787</v>
      </c>
      <c r="C18" s="63" t="s">
        <v>282</v>
      </c>
      <c r="D18" s="63" t="s">
        <v>225</v>
      </c>
      <c r="E18" s="64" t="s">
        <v>53</v>
      </c>
      <c r="F18" s="63" t="s">
        <v>54</v>
      </c>
      <c r="G18" s="65">
        <v>19796</v>
      </c>
      <c r="H18" s="63" t="s">
        <v>55</v>
      </c>
      <c r="I18" s="66" t="s">
        <v>40</v>
      </c>
      <c r="J18" s="66" t="s">
        <v>56</v>
      </c>
      <c r="K18" s="66"/>
      <c r="L18" s="66"/>
      <c r="M18" s="66" t="s">
        <v>57</v>
      </c>
      <c r="N18" s="66" t="s">
        <v>57</v>
      </c>
      <c r="O18" s="66" t="s">
        <v>57</v>
      </c>
      <c r="P18" s="66" t="s">
        <v>283</v>
      </c>
      <c r="Q18" s="66" t="s">
        <v>59</v>
      </c>
      <c r="R18" s="66"/>
      <c r="S18" s="66"/>
      <c r="T18" s="66"/>
      <c r="U18" s="66"/>
      <c r="V18" s="66"/>
      <c r="W18" s="66"/>
      <c r="X18" s="66"/>
      <c r="Y18" s="66"/>
      <c r="Z18" s="66"/>
      <c r="AA18" s="66"/>
      <c r="AB18" s="66"/>
      <c r="AC18" s="66"/>
      <c r="AD18" s="66"/>
      <c r="AE18" s="66"/>
      <c r="AF18" s="66"/>
      <c r="AG18" s="66"/>
      <c r="AH18" s="66" t="s">
        <v>57</v>
      </c>
      <c r="AI18" s="66" t="s">
        <v>57</v>
      </c>
      <c r="AJ18" s="66" t="s">
        <v>57</v>
      </c>
      <c r="AK18" s="66" t="s">
        <v>57</v>
      </c>
      <c r="AL18" s="66" t="s">
        <v>57</v>
      </c>
      <c r="AM18" s="66" t="s">
        <v>57</v>
      </c>
      <c r="AN18" s="66" t="s">
        <v>57</v>
      </c>
      <c r="AO18" s="66" t="s">
        <v>57</v>
      </c>
      <c r="AP18" s="66" t="s">
        <v>57</v>
      </c>
      <c r="AQ18" s="66" t="s">
        <v>57</v>
      </c>
      <c r="AR18" s="66" t="s">
        <v>57</v>
      </c>
      <c r="AS18" s="66" t="s">
        <v>57</v>
      </c>
      <c r="AT18" s="66"/>
      <c r="AU18" s="67"/>
    </row>
    <row r="19" spans="1:47">
      <c r="A19" s="63" t="s">
        <v>286</v>
      </c>
      <c r="B19" s="63">
        <v>4381270088</v>
      </c>
      <c r="C19" s="63" t="s">
        <v>287</v>
      </c>
      <c r="D19" s="63" t="s">
        <v>225</v>
      </c>
      <c r="E19" s="64">
        <v>0.8</v>
      </c>
      <c r="F19" s="63" t="s">
        <v>158</v>
      </c>
      <c r="G19" s="65">
        <v>17152</v>
      </c>
      <c r="H19" s="63" t="s">
        <v>55</v>
      </c>
      <c r="I19" s="66" t="s">
        <v>40</v>
      </c>
      <c r="J19" s="66" t="s">
        <v>56</v>
      </c>
      <c r="K19" s="66"/>
      <c r="L19" s="66"/>
      <c r="M19" s="66" t="s">
        <v>57</v>
      </c>
      <c r="N19" s="66" t="s">
        <v>57</v>
      </c>
      <c r="O19" s="66" t="s">
        <v>57</v>
      </c>
      <c r="P19" s="66" t="s">
        <v>288</v>
      </c>
      <c r="Q19" s="66" t="s">
        <v>59</v>
      </c>
      <c r="R19" s="66"/>
      <c r="S19" s="66"/>
      <c r="T19" s="66"/>
      <c r="U19" s="66"/>
      <c r="V19" s="66"/>
      <c r="W19" s="66"/>
      <c r="X19" s="66"/>
      <c r="Y19" s="66"/>
      <c r="Z19" s="66"/>
      <c r="AA19" s="66"/>
      <c r="AB19" s="66"/>
      <c r="AC19" s="66"/>
      <c r="AD19" s="66"/>
      <c r="AE19" s="66"/>
      <c r="AF19" s="66"/>
      <c r="AG19" s="66"/>
      <c r="AH19" s="66" t="s">
        <v>57</v>
      </c>
      <c r="AI19" s="66" t="s">
        <v>57</v>
      </c>
      <c r="AJ19" s="66" t="s">
        <v>57</v>
      </c>
      <c r="AK19" s="66" t="s">
        <v>57</v>
      </c>
      <c r="AL19" s="66" t="s">
        <v>57</v>
      </c>
      <c r="AM19" s="66" t="s">
        <v>57</v>
      </c>
      <c r="AN19" s="66" t="s">
        <v>57</v>
      </c>
      <c r="AO19" s="66" t="s">
        <v>57</v>
      </c>
      <c r="AP19" s="66" t="s">
        <v>57</v>
      </c>
      <c r="AQ19" s="66" t="s">
        <v>57</v>
      </c>
      <c r="AR19" s="66" t="s">
        <v>57</v>
      </c>
      <c r="AS19" s="66" t="s">
        <v>57</v>
      </c>
      <c r="AT19" s="66"/>
      <c r="AU19" s="67"/>
    </row>
    <row r="20" spans="1:47">
      <c r="A20" s="70" t="s">
        <v>292</v>
      </c>
      <c r="B20" s="70">
        <v>4860610520</v>
      </c>
      <c r="C20" s="70" t="s">
        <v>88</v>
      </c>
      <c r="D20" s="70" t="s">
        <v>225</v>
      </c>
      <c r="E20" s="71">
        <v>0.3</v>
      </c>
      <c r="F20" s="70" t="s">
        <v>54</v>
      </c>
      <c r="G20" s="72">
        <v>22688</v>
      </c>
      <c r="H20" s="70" t="s">
        <v>47</v>
      </c>
      <c r="I20" s="73" t="s">
        <v>40</v>
      </c>
      <c r="J20" s="73" t="s">
        <v>56</v>
      </c>
      <c r="K20" s="73"/>
      <c r="L20" s="73"/>
      <c r="M20" s="73" t="s">
        <v>57</v>
      </c>
      <c r="N20" s="73" t="s">
        <v>57</v>
      </c>
      <c r="O20" s="73" t="s">
        <v>57</v>
      </c>
      <c r="P20" s="73" t="s">
        <v>293</v>
      </c>
      <c r="Q20" s="73" t="s">
        <v>59</v>
      </c>
      <c r="R20" s="73"/>
      <c r="S20" s="73"/>
      <c r="T20" s="73"/>
      <c r="U20" s="73"/>
      <c r="V20" s="73"/>
      <c r="W20" s="73"/>
      <c r="X20" s="73"/>
      <c r="Y20" s="73"/>
      <c r="Z20" s="73"/>
      <c r="AA20" s="73"/>
      <c r="AB20" s="73"/>
      <c r="AC20" s="73"/>
      <c r="AD20" s="73"/>
      <c r="AE20" s="73"/>
      <c r="AF20" s="73"/>
      <c r="AG20" s="73"/>
      <c r="AH20" s="73" t="s">
        <v>57</v>
      </c>
      <c r="AI20" s="73" t="s">
        <v>57</v>
      </c>
      <c r="AJ20" s="73" t="s">
        <v>57</v>
      </c>
      <c r="AK20" s="73" t="s">
        <v>57</v>
      </c>
      <c r="AL20" s="73" t="s">
        <v>57</v>
      </c>
      <c r="AM20" s="73" t="s">
        <v>57</v>
      </c>
      <c r="AN20" s="73" t="s">
        <v>57</v>
      </c>
      <c r="AO20" s="73" t="s">
        <v>57</v>
      </c>
      <c r="AP20" s="73" t="s">
        <v>57</v>
      </c>
      <c r="AQ20" s="73" t="s">
        <v>57</v>
      </c>
      <c r="AR20" s="73" t="s">
        <v>57</v>
      </c>
      <c r="AS20" s="73" t="s">
        <v>57</v>
      </c>
      <c r="AT20" s="73"/>
      <c r="AU20" s="74"/>
    </row>
    <row r="21" spans="1:47">
      <c r="A21" s="63" t="s">
        <v>294</v>
      </c>
      <c r="B21" s="63">
        <v>4422465724</v>
      </c>
      <c r="C21" s="63" t="s">
        <v>295</v>
      </c>
      <c r="D21" s="63" t="s">
        <v>225</v>
      </c>
      <c r="E21" s="64">
        <v>0.8</v>
      </c>
      <c r="F21" s="63" t="s">
        <v>54</v>
      </c>
      <c r="G21" s="65">
        <v>17014</v>
      </c>
      <c r="H21" s="63" t="s">
        <v>47</v>
      </c>
      <c r="I21" s="66" t="s">
        <v>40</v>
      </c>
      <c r="J21" s="66" t="s">
        <v>56</v>
      </c>
      <c r="K21" s="66"/>
      <c r="L21" s="66"/>
      <c r="M21" s="66" t="s">
        <v>57</v>
      </c>
      <c r="N21" s="66" t="s">
        <v>57</v>
      </c>
      <c r="O21" s="66" t="s">
        <v>57</v>
      </c>
      <c r="P21" s="66" t="s">
        <v>296</v>
      </c>
      <c r="Q21" s="66" t="s">
        <v>59</v>
      </c>
      <c r="R21" s="66"/>
      <c r="S21" s="66"/>
      <c r="T21" s="66"/>
      <c r="U21" s="66"/>
      <c r="V21" s="66"/>
      <c r="W21" s="66"/>
      <c r="X21" s="66"/>
      <c r="Y21" s="66"/>
      <c r="Z21" s="66"/>
      <c r="AA21" s="66"/>
      <c r="AB21" s="66"/>
      <c r="AC21" s="66"/>
      <c r="AD21" s="66"/>
      <c r="AE21" s="66"/>
      <c r="AF21" s="66"/>
      <c r="AG21" s="66"/>
      <c r="AH21" s="66" t="s">
        <v>57</v>
      </c>
      <c r="AI21" s="66" t="s">
        <v>57</v>
      </c>
      <c r="AJ21" s="66" t="s">
        <v>57</v>
      </c>
      <c r="AK21" s="66" t="s">
        <v>57</v>
      </c>
      <c r="AL21" s="66" t="s">
        <v>57</v>
      </c>
      <c r="AM21" s="66" t="s">
        <v>57</v>
      </c>
      <c r="AN21" s="66" t="s">
        <v>57</v>
      </c>
      <c r="AO21" s="66" t="s">
        <v>57</v>
      </c>
      <c r="AP21" s="66" t="s">
        <v>57</v>
      </c>
      <c r="AQ21" s="66" t="s">
        <v>57</v>
      </c>
      <c r="AR21" s="66" t="s">
        <v>57</v>
      </c>
      <c r="AS21" s="66" t="s">
        <v>57</v>
      </c>
      <c r="AT21" s="66"/>
      <c r="AU21" s="67"/>
    </row>
    <row r="22" spans="1:47">
      <c r="A22" s="63" t="s">
        <v>297</v>
      </c>
      <c r="B22" s="63">
        <v>4387805943</v>
      </c>
      <c r="C22" s="63" t="s">
        <v>88</v>
      </c>
      <c r="D22" s="63" t="s">
        <v>225</v>
      </c>
      <c r="E22" s="64">
        <v>0.6</v>
      </c>
      <c r="F22" s="63" t="s">
        <v>54</v>
      </c>
      <c r="G22" s="65">
        <v>16777</v>
      </c>
      <c r="H22" s="63" t="s">
        <v>47</v>
      </c>
      <c r="I22" s="66" t="s">
        <v>40</v>
      </c>
      <c r="J22" s="66" t="s">
        <v>56</v>
      </c>
      <c r="K22" s="66"/>
      <c r="L22" s="66"/>
      <c r="M22" s="66" t="s">
        <v>57</v>
      </c>
      <c r="N22" s="66" t="s">
        <v>57</v>
      </c>
      <c r="O22" s="66" t="s">
        <v>57</v>
      </c>
      <c r="P22" s="66" t="s">
        <v>188</v>
      </c>
      <c r="Q22" s="66" t="s">
        <v>59</v>
      </c>
      <c r="R22" s="66"/>
      <c r="S22" s="66"/>
      <c r="T22" s="66"/>
      <c r="U22" s="66"/>
      <c r="V22" s="66"/>
      <c r="W22" s="66"/>
      <c r="X22" s="66"/>
      <c r="Y22" s="66"/>
      <c r="Z22" s="66"/>
      <c r="AA22" s="66"/>
      <c r="AB22" s="66"/>
      <c r="AC22" s="66"/>
      <c r="AD22" s="66"/>
      <c r="AE22" s="66"/>
      <c r="AF22" s="66"/>
      <c r="AG22" s="66"/>
      <c r="AH22" s="66" t="s">
        <v>57</v>
      </c>
      <c r="AI22" s="66" t="s">
        <v>57</v>
      </c>
      <c r="AJ22" s="66" t="s">
        <v>57</v>
      </c>
      <c r="AK22" s="66" t="s">
        <v>57</v>
      </c>
      <c r="AL22" s="66" t="s">
        <v>57</v>
      </c>
      <c r="AM22" s="66" t="s">
        <v>57</v>
      </c>
      <c r="AN22" s="66" t="s">
        <v>57</v>
      </c>
      <c r="AO22" s="66" t="s">
        <v>57</v>
      </c>
      <c r="AP22" s="66" t="s">
        <v>57</v>
      </c>
      <c r="AQ22" s="66" t="s">
        <v>57</v>
      </c>
      <c r="AR22" s="66" t="s">
        <v>57</v>
      </c>
      <c r="AS22" s="66" t="s">
        <v>57</v>
      </c>
      <c r="AT22" s="66"/>
      <c r="AU22" s="67"/>
    </row>
    <row r="23" spans="1:47">
      <c r="A23" s="70" t="s">
        <v>298</v>
      </c>
      <c r="B23" s="70">
        <v>4507847818</v>
      </c>
      <c r="C23" s="70" t="s">
        <v>272</v>
      </c>
      <c r="D23" s="70" t="s">
        <v>225</v>
      </c>
      <c r="E23" s="71">
        <v>0.4</v>
      </c>
      <c r="F23" s="70" t="s">
        <v>70</v>
      </c>
      <c r="G23" s="72">
        <v>17453</v>
      </c>
      <c r="H23" s="70" t="s">
        <v>47</v>
      </c>
      <c r="I23" s="73" t="s">
        <v>40</v>
      </c>
      <c r="J23" s="73"/>
      <c r="K23" s="73"/>
      <c r="L23" s="73" t="s">
        <v>56</v>
      </c>
      <c r="M23" s="73" t="s">
        <v>57</v>
      </c>
      <c r="N23" s="73" t="s">
        <v>57</v>
      </c>
      <c r="O23" s="73" t="s">
        <v>57</v>
      </c>
      <c r="P23" s="73" t="s">
        <v>299</v>
      </c>
      <c r="Q23" s="73" t="s">
        <v>59</v>
      </c>
      <c r="R23" s="73"/>
      <c r="S23" s="73"/>
      <c r="T23" s="73"/>
      <c r="U23" s="73"/>
      <c r="V23" s="73"/>
      <c r="W23" s="73"/>
      <c r="X23" s="73"/>
      <c r="Y23" s="73"/>
      <c r="Z23" s="73"/>
      <c r="AA23" s="73"/>
      <c r="AB23" s="73"/>
      <c r="AC23" s="73"/>
      <c r="AD23" s="73"/>
      <c r="AE23" s="73"/>
      <c r="AF23" s="73"/>
      <c r="AG23" s="73"/>
      <c r="AH23" s="73" t="s">
        <v>57</v>
      </c>
      <c r="AI23" s="73" t="s">
        <v>57</v>
      </c>
      <c r="AJ23" s="73" t="s">
        <v>57</v>
      </c>
      <c r="AK23" s="73" t="s">
        <v>57</v>
      </c>
      <c r="AL23" s="73" t="s">
        <v>57</v>
      </c>
      <c r="AM23" s="73" t="s">
        <v>57</v>
      </c>
      <c r="AN23" s="73" t="s">
        <v>57</v>
      </c>
      <c r="AO23" s="73" t="s">
        <v>57</v>
      </c>
      <c r="AP23" s="73" t="s">
        <v>57</v>
      </c>
      <c r="AQ23" s="73" t="s">
        <v>57</v>
      </c>
      <c r="AR23" s="73" t="s">
        <v>57</v>
      </c>
      <c r="AS23" s="73" t="s">
        <v>57</v>
      </c>
      <c r="AT23" s="73"/>
      <c r="AU23" s="74"/>
    </row>
    <row r="24" spans="1:47">
      <c r="A24" s="63" t="s">
        <v>300</v>
      </c>
      <c r="B24" s="63">
        <v>4581551366</v>
      </c>
      <c r="C24" s="63" t="s">
        <v>94</v>
      </c>
      <c r="D24" s="63" t="s">
        <v>225</v>
      </c>
      <c r="E24" s="64" t="s">
        <v>195</v>
      </c>
      <c r="F24" s="63" t="s">
        <v>70</v>
      </c>
      <c r="G24" s="65">
        <v>19264</v>
      </c>
      <c r="H24" s="63" t="s">
        <v>55</v>
      </c>
      <c r="I24" s="66" t="s">
        <v>40</v>
      </c>
      <c r="J24" s="66"/>
      <c r="K24" s="66"/>
      <c r="L24" s="66" t="s">
        <v>56</v>
      </c>
      <c r="M24" s="66" t="s">
        <v>57</v>
      </c>
      <c r="N24" s="66" t="s">
        <v>57</v>
      </c>
      <c r="O24" s="66" t="s">
        <v>57</v>
      </c>
      <c r="P24" s="66" t="s">
        <v>301</v>
      </c>
      <c r="Q24" s="66" t="s">
        <v>59</v>
      </c>
      <c r="R24" s="66"/>
      <c r="S24" s="66"/>
      <c r="T24" s="66"/>
      <c r="U24" s="66"/>
      <c r="V24" s="66"/>
      <c r="W24" s="66"/>
      <c r="X24" s="66"/>
      <c r="Y24" s="66"/>
      <c r="Z24" s="66"/>
      <c r="AA24" s="66"/>
      <c r="AB24" s="66"/>
      <c r="AC24" s="66"/>
      <c r="AD24" s="66"/>
      <c r="AE24" s="66"/>
      <c r="AF24" s="66"/>
      <c r="AG24" s="66"/>
      <c r="AH24" s="66" t="s">
        <v>57</v>
      </c>
      <c r="AI24" s="66" t="s">
        <v>57</v>
      </c>
      <c r="AJ24" s="66" t="s">
        <v>57</v>
      </c>
      <c r="AK24" s="66" t="s">
        <v>57</v>
      </c>
      <c r="AL24" s="66" t="s">
        <v>57</v>
      </c>
      <c r="AM24" s="66" t="s">
        <v>57</v>
      </c>
      <c r="AN24" s="66" t="s">
        <v>57</v>
      </c>
      <c r="AO24" s="66" t="s">
        <v>57</v>
      </c>
      <c r="AP24" s="66" t="s">
        <v>57</v>
      </c>
      <c r="AQ24" s="66" t="s">
        <v>57</v>
      </c>
      <c r="AR24" s="66" t="s">
        <v>57</v>
      </c>
      <c r="AS24" s="66" t="s">
        <v>57</v>
      </c>
      <c r="AT24" s="66"/>
      <c r="AU24" s="67"/>
    </row>
    <row r="25" spans="1:47">
      <c r="A25" s="63" t="s">
        <v>303</v>
      </c>
      <c r="B25" s="63">
        <v>4506190874</v>
      </c>
      <c r="C25" s="63" t="s">
        <v>304</v>
      </c>
      <c r="D25" s="63" t="s">
        <v>225</v>
      </c>
      <c r="E25" s="64">
        <v>0.4</v>
      </c>
      <c r="F25" s="63" t="s">
        <v>54</v>
      </c>
      <c r="G25" s="65">
        <v>21028</v>
      </c>
      <c r="H25" s="63" t="s">
        <v>47</v>
      </c>
      <c r="I25" s="66" t="s">
        <v>40</v>
      </c>
      <c r="J25" s="66"/>
      <c r="K25" s="66"/>
      <c r="L25" s="66" t="s">
        <v>56</v>
      </c>
      <c r="M25" s="66" t="s">
        <v>57</v>
      </c>
      <c r="N25" s="66" t="s">
        <v>57</v>
      </c>
      <c r="O25" s="66" t="s">
        <v>57</v>
      </c>
      <c r="P25" s="66" t="s">
        <v>305</v>
      </c>
      <c r="Q25" s="66" t="s">
        <v>59</v>
      </c>
      <c r="R25" s="66"/>
      <c r="S25" s="66"/>
      <c r="T25" s="66"/>
      <c r="U25" s="66"/>
      <c r="V25" s="66"/>
      <c r="W25" s="66"/>
      <c r="X25" s="66"/>
      <c r="Y25" s="66"/>
      <c r="Z25" s="66"/>
      <c r="AA25" s="66"/>
      <c r="AB25" s="66"/>
      <c r="AC25" s="66"/>
      <c r="AD25" s="66"/>
      <c r="AE25" s="66"/>
      <c r="AF25" s="66"/>
      <c r="AG25" s="66"/>
      <c r="AH25" s="66" t="s">
        <v>57</v>
      </c>
      <c r="AI25" s="66" t="s">
        <v>57</v>
      </c>
      <c r="AJ25" s="66" t="s">
        <v>57</v>
      </c>
      <c r="AK25" s="66" t="s">
        <v>57</v>
      </c>
      <c r="AL25" s="66" t="s">
        <v>57</v>
      </c>
      <c r="AM25" s="66" t="s">
        <v>57</v>
      </c>
      <c r="AN25" s="66" t="s">
        <v>57</v>
      </c>
      <c r="AO25" s="66" t="s">
        <v>57</v>
      </c>
      <c r="AP25" s="66" t="s">
        <v>57</v>
      </c>
      <c r="AQ25" s="66" t="s">
        <v>57</v>
      </c>
      <c r="AR25" s="66" t="s">
        <v>57</v>
      </c>
      <c r="AS25" s="66" t="s">
        <v>57</v>
      </c>
      <c r="AT25" s="66"/>
      <c r="AU25" s="67"/>
    </row>
    <row r="26" spans="1:47">
      <c r="A26" s="63" t="s">
        <v>308</v>
      </c>
      <c r="B26" s="63">
        <v>4860855264</v>
      </c>
      <c r="C26" s="63" t="s">
        <v>309</v>
      </c>
      <c r="D26" s="63" t="s">
        <v>225</v>
      </c>
      <c r="E26" s="64">
        <v>0.4</v>
      </c>
      <c r="F26" s="63" t="s">
        <v>54</v>
      </c>
      <c r="G26" s="65">
        <v>21903</v>
      </c>
      <c r="H26" s="63" t="s">
        <v>47</v>
      </c>
      <c r="I26" s="66" t="s">
        <v>40</v>
      </c>
      <c r="J26" s="66"/>
      <c r="K26" s="66"/>
      <c r="L26" s="66" t="s">
        <v>56</v>
      </c>
      <c r="M26" s="66" t="s">
        <v>57</v>
      </c>
      <c r="N26" s="66" t="s">
        <v>57</v>
      </c>
      <c r="O26" s="66" t="s">
        <v>57</v>
      </c>
      <c r="P26" s="66" t="s">
        <v>310</v>
      </c>
      <c r="Q26" s="66" t="s">
        <v>59</v>
      </c>
      <c r="R26" s="66"/>
      <c r="S26" s="66"/>
      <c r="T26" s="66"/>
      <c r="U26" s="66"/>
      <c r="V26" s="66"/>
      <c r="W26" s="66"/>
      <c r="X26" s="66"/>
      <c r="Y26" s="66"/>
      <c r="Z26" s="66"/>
      <c r="AA26" s="66"/>
      <c r="AB26" s="66"/>
      <c r="AC26" s="66"/>
      <c r="AD26" s="66"/>
      <c r="AE26" s="66"/>
      <c r="AF26" s="66"/>
      <c r="AG26" s="66"/>
      <c r="AH26" s="66" t="s">
        <v>57</v>
      </c>
      <c r="AI26" s="66" t="s">
        <v>57</v>
      </c>
      <c r="AJ26" s="66" t="s">
        <v>57</v>
      </c>
      <c r="AK26" s="66" t="s">
        <v>57</v>
      </c>
      <c r="AL26" s="66" t="s">
        <v>57</v>
      </c>
      <c r="AM26" s="66" t="s">
        <v>57</v>
      </c>
      <c r="AN26" s="66" t="s">
        <v>57</v>
      </c>
      <c r="AO26" s="66" t="s">
        <v>57</v>
      </c>
      <c r="AP26" s="66" t="s">
        <v>57</v>
      </c>
      <c r="AQ26" s="66" t="s">
        <v>57</v>
      </c>
      <c r="AR26" s="66" t="s">
        <v>57</v>
      </c>
      <c r="AS26" s="66" t="s">
        <v>57</v>
      </c>
      <c r="AT26" s="66"/>
      <c r="AU26" s="67"/>
    </row>
    <row r="27" spans="1:47">
      <c r="A27" s="63" t="s">
        <v>314</v>
      </c>
      <c r="B27" s="63">
        <v>4824088720</v>
      </c>
      <c r="C27" s="63" t="s">
        <v>65</v>
      </c>
      <c r="D27" s="63" t="s">
        <v>225</v>
      </c>
      <c r="E27" s="64">
        <v>0.4</v>
      </c>
      <c r="F27" s="63" t="s">
        <v>54</v>
      </c>
      <c r="G27" s="65">
        <v>22681</v>
      </c>
      <c r="H27" s="63" t="s">
        <v>55</v>
      </c>
      <c r="I27" s="66" t="s">
        <v>40</v>
      </c>
      <c r="J27" s="66"/>
      <c r="K27" s="66"/>
      <c r="L27" s="66" t="s">
        <v>56</v>
      </c>
      <c r="M27" s="66" t="s">
        <v>57</v>
      </c>
      <c r="N27" s="66" t="s">
        <v>57</v>
      </c>
      <c r="O27" s="66" t="s">
        <v>57</v>
      </c>
      <c r="P27" s="66" t="s">
        <v>315</v>
      </c>
      <c r="Q27" s="66" t="s">
        <v>59</v>
      </c>
      <c r="R27" s="66"/>
      <c r="S27" s="66"/>
      <c r="T27" s="66"/>
      <c r="U27" s="66"/>
      <c r="V27" s="66"/>
      <c r="W27" s="66"/>
      <c r="X27" s="66"/>
      <c r="Y27" s="66"/>
      <c r="Z27" s="66"/>
      <c r="AA27" s="66"/>
      <c r="AB27" s="66"/>
      <c r="AC27" s="66"/>
      <c r="AD27" s="66"/>
      <c r="AE27" s="66"/>
      <c r="AF27" s="66"/>
      <c r="AG27" s="66"/>
      <c r="AH27" s="66" t="s">
        <v>57</v>
      </c>
      <c r="AI27" s="66" t="s">
        <v>57</v>
      </c>
      <c r="AJ27" s="66" t="s">
        <v>57</v>
      </c>
      <c r="AK27" s="66" t="s">
        <v>57</v>
      </c>
      <c r="AL27" s="66" t="s">
        <v>57</v>
      </c>
      <c r="AM27" s="66" t="s">
        <v>57</v>
      </c>
      <c r="AN27" s="66" t="s">
        <v>57</v>
      </c>
      <c r="AO27" s="66" t="s">
        <v>57</v>
      </c>
      <c r="AP27" s="66" t="s">
        <v>57</v>
      </c>
      <c r="AQ27" s="66" t="s">
        <v>57</v>
      </c>
      <c r="AR27" s="66" t="s">
        <v>57</v>
      </c>
      <c r="AS27" s="66" t="s">
        <v>57</v>
      </c>
      <c r="AT27" s="66"/>
      <c r="AU27" s="67"/>
    </row>
    <row r="28" spans="1:47">
      <c r="A28" s="63" t="s">
        <v>317</v>
      </c>
      <c r="B28" s="63">
        <v>4109412099</v>
      </c>
      <c r="C28" s="63" t="s">
        <v>318</v>
      </c>
      <c r="D28" s="63" t="s">
        <v>225</v>
      </c>
      <c r="E28" s="64">
        <v>0.4</v>
      </c>
      <c r="F28" s="63" t="s">
        <v>54</v>
      </c>
      <c r="G28" s="65">
        <v>26469</v>
      </c>
      <c r="H28" s="63" t="s">
        <v>47</v>
      </c>
      <c r="I28" s="66" t="s">
        <v>40</v>
      </c>
      <c r="J28" s="66" t="s">
        <v>56</v>
      </c>
      <c r="K28" s="66"/>
      <c r="L28" s="66"/>
      <c r="M28" s="66" t="s">
        <v>57</v>
      </c>
      <c r="N28" s="66" t="s">
        <v>57</v>
      </c>
      <c r="O28" s="66" t="s">
        <v>57</v>
      </c>
      <c r="P28" s="66" t="s">
        <v>319</v>
      </c>
      <c r="Q28" s="66" t="s">
        <v>59</v>
      </c>
      <c r="R28" s="66"/>
      <c r="S28" s="66"/>
      <c r="T28" s="66"/>
      <c r="U28" s="66"/>
      <c r="V28" s="66"/>
      <c r="W28" s="66"/>
      <c r="X28" s="66"/>
      <c r="Y28" s="66"/>
      <c r="Z28" s="66"/>
      <c r="AA28" s="66"/>
      <c r="AB28" s="66"/>
      <c r="AC28" s="66"/>
      <c r="AD28" s="66"/>
      <c r="AE28" s="66"/>
      <c r="AF28" s="66"/>
      <c r="AG28" s="66"/>
      <c r="AH28" s="66" t="s">
        <v>57</v>
      </c>
      <c r="AI28" s="66" t="s">
        <v>57</v>
      </c>
      <c r="AJ28" s="66" t="s">
        <v>57</v>
      </c>
      <c r="AK28" s="66" t="s">
        <v>57</v>
      </c>
      <c r="AL28" s="66" t="s">
        <v>57</v>
      </c>
      <c r="AM28" s="66" t="s">
        <v>57</v>
      </c>
      <c r="AN28" s="66" t="s">
        <v>57</v>
      </c>
      <c r="AO28" s="66" t="s">
        <v>57</v>
      </c>
      <c r="AP28" s="66" t="s">
        <v>57</v>
      </c>
      <c r="AQ28" s="66" t="s">
        <v>57</v>
      </c>
      <c r="AR28" s="66" t="s">
        <v>57</v>
      </c>
      <c r="AS28" s="66" t="s">
        <v>57</v>
      </c>
      <c r="AT28" s="66"/>
      <c r="AU28" s="67"/>
    </row>
    <row r="29" spans="1:47">
      <c r="A29" s="63" t="s">
        <v>325</v>
      </c>
      <c r="B29" s="63">
        <v>6285941998</v>
      </c>
      <c r="C29" s="63" t="s">
        <v>295</v>
      </c>
      <c r="D29" s="63" t="s">
        <v>225</v>
      </c>
      <c r="E29" s="64">
        <v>0.6</v>
      </c>
      <c r="F29" s="63" t="s">
        <v>70</v>
      </c>
      <c r="G29" s="65">
        <v>23644</v>
      </c>
      <c r="H29" s="63" t="s">
        <v>47</v>
      </c>
      <c r="I29" s="66" t="s">
        <v>40</v>
      </c>
      <c r="J29" s="66"/>
      <c r="K29" s="66"/>
      <c r="L29" s="66" t="s">
        <v>56</v>
      </c>
      <c r="M29" s="66" t="s">
        <v>57</v>
      </c>
      <c r="N29" s="66" t="s">
        <v>57</v>
      </c>
      <c r="O29" s="66" t="s">
        <v>57</v>
      </c>
      <c r="P29" s="66" t="s">
        <v>326</v>
      </c>
      <c r="Q29" s="66" t="s">
        <v>59</v>
      </c>
      <c r="R29" s="66"/>
      <c r="S29" s="66"/>
      <c r="T29" s="66"/>
      <c r="U29" s="66"/>
      <c r="V29" s="66"/>
      <c r="W29" s="66"/>
      <c r="X29" s="66"/>
      <c r="Y29" s="66"/>
      <c r="Z29" s="66"/>
      <c r="AA29" s="66"/>
      <c r="AB29" s="66"/>
      <c r="AC29" s="66"/>
      <c r="AD29" s="66"/>
      <c r="AE29" s="66"/>
      <c r="AF29" s="66"/>
      <c r="AG29" s="66"/>
      <c r="AH29" s="66" t="s">
        <v>57</v>
      </c>
      <c r="AI29" s="66" t="s">
        <v>57</v>
      </c>
      <c r="AJ29" s="66" t="s">
        <v>57</v>
      </c>
      <c r="AK29" s="66" t="s">
        <v>57</v>
      </c>
      <c r="AL29" s="66" t="s">
        <v>57</v>
      </c>
      <c r="AM29" s="66" t="s">
        <v>57</v>
      </c>
      <c r="AN29" s="66" t="s">
        <v>57</v>
      </c>
      <c r="AO29" s="66" t="s">
        <v>57</v>
      </c>
      <c r="AP29" s="66" t="s">
        <v>57</v>
      </c>
      <c r="AQ29" s="66" t="s">
        <v>57</v>
      </c>
      <c r="AR29" s="66" t="s">
        <v>57</v>
      </c>
      <c r="AS29" s="66" t="s">
        <v>57</v>
      </c>
      <c r="AT29" s="66"/>
      <c r="AU29" s="67"/>
    </row>
    <row r="30" spans="1:47">
      <c r="A30" s="70" t="s">
        <v>329</v>
      </c>
      <c r="B30" s="70">
        <v>4521179584</v>
      </c>
      <c r="C30" s="70" t="s">
        <v>168</v>
      </c>
      <c r="D30" s="70" t="s">
        <v>225</v>
      </c>
      <c r="E30" s="71">
        <v>0.7</v>
      </c>
      <c r="F30" s="70" t="s">
        <v>70</v>
      </c>
      <c r="G30" s="72">
        <v>19023</v>
      </c>
      <c r="H30" s="70" t="s">
        <v>47</v>
      </c>
      <c r="I30" s="73" t="s">
        <v>40</v>
      </c>
      <c r="J30" s="73"/>
      <c r="K30" s="73"/>
      <c r="L30" s="73" t="s">
        <v>56</v>
      </c>
      <c r="M30" s="73" t="s">
        <v>57</v>
      </c>
      <c r="N30" s="73" t="s">
        <v>57</v>
      </c>
      <c r="O30" s="73" t="s">
        <v>57</v>
      </c>
      <c r="P30" s="73" t="s">
        <v>330</v>
      </c>
      <c r="Q30" s="73" t="s">
        <v>59</v>
      </c>
      <c r="R30" s="73"/>
      <c r="S30" s="73"/>
      <c r="T30" s="73"/>
      <c r="U30" s="73"/>
      <c r="V30" s="73"/>
      <c r="W30" s="73"/>
      <c r="X30" s="73"/>
      <c r="Y30" s="73"/>
      <c r="Z30" s="73"/>
      <c r="AA30" s="73"/>
      <c r="AB30" s="73"/>
      <c r="AC30" s="73"/>
      <c r="AD30" s="73"/>
      <c r="AE30" s="73"/>
      <c r="AF30" s="73"/>
      <c r="AG30" s="73"/>
      <c r="AH30" s="73" t="s">
        <v>57</v>
      </c>
      <c r="AI30" s="73" t="s">
        <v>57</v>
      </c>
      <c r="AJ30" s="73" t="s">
        <v>57</v>
      </c>
      <c r="AK30" s="73" t="s">
        <v>57</v>
      </c>
      <c r="AL30" s="73" t="s">
        <v>57</v>
      </c>
      <c r="AM30" s="73" t="s">
        <v>57</v>
      </c>
      <c r="AN30" s="73" t="s">
        <v>57</v>
      </c>
      <c r="AO30" s="73" t="s">
        <v>57</v>
      </c>
      <c r="AP30" s="73" t="s">
        <v>57</v>
      </c>
      <c r="AQ30" s="73" t="s">
        <v>57</v>
      </c>
      <c r="AR30" s="73" t="s">
        <v>57</v>
      </c>
      <c r="AS30" s="73" t="s">
        <v>57</v>
      </c>
      <c r="AT30" s="73"/>
      <c r="AU30" s="73"/>
    </row>
    <row r="31" spans="1:47">
      <c r="A31" s="70" t="s">
        <v>331</v>
      </c>
      <c r="B31" s="70">
        <v>4387565616</v>
      </c>
      <c r="C31" s="70" t="s">
        <v>168</v>
      </c>
      <c r="D31" s="70" t="s">
        <v>225</v>
      </c>
      <c r="E31" s="71">
        <v>0.6</v>
      </c>
      <c r="F31" s="70" t="s">
        <v>70</v>
      </c>
      <c r="G31" s="72">
        <v>14906</v>
      </c>
      <c r="H31" s="70" t="s">
        <v>47</v>
      </c>
      <c r="I31" s="73" t="s">
        <v>40</v>
      </c>
      <c r="J31" s="73"/>
      <c r="K31" s="73"/>
      <c r="L31" s="73" t="s">
        <v>56</v>
      </c>
      <c r="M31" s="73" t="s">
        <v>57</v>
      </c>
      <c r="N31" s="73" t="s">
        <v>57</v>
      </c>
      <c r="O31" s="73" t="s">
        <v>57</v>
      </c>
      <c r="P31" s="73" t="s">
        <v>332</v>
      </c>
      <c r="Q31" s="73" t="s">
        <v>59</v>
      </c>
      <c r="R31" s="73"/>
      <c r="S31" s="73"/>
      <c r="T31" s="73"/>
      <c r="U31" s="73"/>
      <c r="V31" s="73"/>
      <c r="W31" s="73"/>
      <c r="X31" s="73"/>
      <c r="Y31" s="73"/>
      <c r="Z31" s="73"/>
      <c r="AA31" s="73"/>
      <c r="AB31" s="73"/>
      <c r="AC31" s="73"/>
      <c r="AD31" s="73"/>
      <c r="AE31" s="73"/>
      <c r="AF31" s="73"/>
      <c r="AG31" s="73"/>
      <c r="AH31" s="73" t="s">
        <v>57</v>
      </c>
      <c r="AI31" s="73" t="s">
        <v>57</v>
      </c>
      <c r="AJ31" s="73" t="s">
        <v>57</v>
      </c>
      <c r="AK31" s="73" t="s">
        <v>57</v>
      </c>
      <c r="AL31" s="73" t="s">
        <v>57</v>
      </c>
      <c r="AM31" s="73" t="s">
        <v>57</v>
      </c>
      <c r="AN31" s="73" t="s">
        <v>57</v>
      </c>
      <c r="AO31" s="73" t="s">
        <v>57</v>
      </c>
      <c r="AP31" s="73" t="s">
        <v>57</v>
      </c>
      <c r="AQ31" s="73" t="s">
        <v>57</v>
      </c>
      <c r="AR31" s="73" t="s">
        <v>57</v>
      </c>
      <c r="AS31" s="73" t="s">
        <v>57</v>
      </c>
      <c r="AT31" s="73"/>
      <c r="AU31" s="73"/>
    </row>
    <row r="32" spans="1:47">
      <c r="A32" s="63" t="s">
        <v>333</v>
      </c>
      <c r="B32" s="63">
        <v>4506855388</v>
      </c>
      <c r="C32" s="63" t="s">
        <v>94</v>
      </c>
      <c r="D32" s="63" t="s">
        <v>225</v>
      </c>
      <c r="E32" s="64">
        <v>0.6</v>
      </c>
      <c r="F32" s="63" t="s">
        <v>70</v>
      </c>
      <c r="G32" s="65">
        <v>21367</v>
      </c>
      <c r="H32" s="63" t="s">
        <v>55</v>
      </c>
      <c r="I32" s="66" t="s">
        <v>40</v>
      </c>
      <c r="J32" s="66"/>
      <c r="K32" s="66"/>
      <c r="L32" s="66" t="s">
        <v>56</v>
      </c>
      <c r="M32" s="66" t="s">
        <v>57</v>
      </c>
      <c r="N32" s="66" t="s">
        <v>57</v>
      </c>
      <c r="O32" s="66" t="s">
        <v>57</v>
      </c>
      <c r="P32" s="66" t="s">
        <v>334</v>
      </c>
      <c r="Q32" s="66" t="s">
        <v>59</v>
      </c>
      <c r="R32" s="66"/>
      <c r="S32" s="66"/>
      <c r="T32" s="66"/>
      <c r="U32" s="66"/>
      <c r="V32" s="66"/>
      <c r="W32" s="66"/>
      <c r="X32" s="66"/>
      <c r="Y32" s="66"/>
      <c r="Z32" s="66"/>
      <c r="AA32" s="66"/>
      <c r="AB32" s="66"/>
      <c r="AC32" s="66"/>
      <c r="AD32" s="66"/>
      <c r="AE32" s="66"/>
      <c r="AF32" s="66"/>
      <c r="AG32" s="66"/>
      <c r="AH32" s="66" t="s">
        <v>57</v>
      </c>
      <c r="AI32" s="66" t="s">
        <v>57</v>
      </c>
      <c r="AJ32" s="66" t="s">
        <v>57</v>
      </c>
      <c r="AK32" s="66" t="s">
        <v>57</v>
      </c>
      <c r="AL32" s="66" t="s">
        <v>57</v>
      </c>
      <c r="AM32" s="66" t="s">
        <v>57</v>
      </c>
      <c r="AN32" s="66" t="s">
        <v>57</v>
      </c>
      <c r="AO32" s="66" t="s">
        <v>57</v>
      </c>
      <c r="AP32" s="66" t="s">
        <v>57</v>
      </c>
      <c r="AQ32" s="66" t="s">
        <v>57</v>
      </c>
      <c r="AR32" s="66" t="s">
        <v>57</v>
      </c>
      <c r="AS32" s="66" t="s">
        <v>57</v>
      </c>
      <c r="AT32" s="66"/>
      <c r="AU32" s="66"/>
    </row>
    <row r="33" spans="1:47">
      <c r="A33" s="63" t="s">
        <v>336</v>
      </c>
      <c r="B33" s="63">
        <v>6291017369</v>
      </c>
      <c r="C33" s="63" t="s">
        <v>337</v>
      </c>
      <c r="D33" s="63" t="s">
        <v>225</v>
      </c>
      <c r="E33" s="64" t="s">
        <v>338</v>
      </c>
      <c r="F33" s="63" t="s">
        <v>54</v>
      </c>
      <c r="G33" s="65">
        <v>24720</v>
      </c>
      <c r="H33" s="63" t="s">
        <v>55</v>
      </c>
      <c r="I33" s="66" t="s">
        <v>40</v>
      </c>
      <c r="J33" s="66"/>
      <c r="K33" s="66"/>
      <c r="L33" s="66" t="s">
        <v>56</v>
      </c>
      <c r="M33" s="66" t="s">
        <v>57</v>
      </c>
      <c r="N33" s="66" t="s">
        <v>57</v>
      </c>
      <c r="O33" s="66" t="s">
        <v>57</v>
      </c>
      <c r="P33" s="66" t="s">
        <v>339</v>
      </c>
      <c r="Q33" s="66" t="s">
        <v>59</v>
      </c>
      <c r="R33" s="66"/>
      <c r="S33" s="66"/>
      <c r="T33" s="66"/>
      <c r="U33" s="66"/>
      <c r="V33" s="66"/>
      <c r="W33" s="66"/>
      <c r="X33" s="66"/>
      <c r="Y33" s="66"/>
      <c r="Z33" s="66"/>
      <c r="AA33" s="66"/>
      <c r="AB33" s="66"/>
      <c r="AC33" s="66"/>
      <c r="AD33" s="66"/>
      <c r="AE33" s="66"/>
      <c r="AF33" s="66"/>
      <c r="AG33" s="66"/>
      <c r="AH33" s="66" t="s">
        <v>57</v>
      </c>
      <c r="AI33" s="66" t="s">
        <v>57</v>
      </c>
      <c r="AJ33" s="66" t="s">
        <v>57</v>
      </c>
      <c r="AK33" s="66" t="s">
        <v>57</v>
      </c>
      <c r="AL33" s="66" t="s">
        <v>57</v>
      </c>
      <c r="AM33" s="66" t="s">
        <v>57</v>
      </c>
      <c r="AN33" s="66" t="s">
        <v>57</v>
      </c>
      <c r="AO33" s="66" t="s">
        <v>57</v>
      </c>
      <c r="AP33" s="66" t="s">
        <v>57</v>
      </c>
      <c r="AQ33" s="66" t="s">
        <v>57</v>
      </c>
      <c r="AR33" s="66" t="s">
        <v>57</v>
      </c>
      <c r="AS33" s="66" t="s">
        <v>57</v>
      </c>
      <c r="AT33" s="66"/>
      <c r="AU33" s="66"/>
    </row>
    <row r="34" spans="1:47">
      <c r="A34" s="63" t="s">
        <v>343</v>
      </c>
      <c r="B34" s="63">
        <v>4583595557</v>
      </c>
      <c r="C34" s="63" t="s">
        <v>344</v>
      </c>
      <c r="D34" s="63" t="s">
        <v>225</v>
      </c>
      <c r="E34" s="64">
        <v>0.3</v>
      </c>
      <c r="F34" s="63" t="s">
        <v>54</v>
      </c>
      <c r="G34" s="65">
        <v>20596</v>
      </c>
      <c r="H34" s="63" t="s">
        <v>47</v>
      </c>
      <c r="I34" s="66" t="s">
        <v>40</v>
      </c>
      <c r="J34" s="66"/>
      <c r="K34" s="66"/>
      <c r="L34" s="66" t="s">
        <v>56</v>
      </c>
      <c r="M34" s="66" t="s">
        <v>57</v>
      </c>
      <c r="N34" s="66" t="s">
        <v>57</v>
      </c>
      <c r="O34" s="66" t="s">
        <v>57</v>
      </c>
      <c r="P34" s="66" t="s">
        <v>345</v>
      </c>
      <c r="Q34" s="66" t="s">
        <v>59</v>
      </c>
      <c r="R34" s="66"/>
      <c r="S34" s="66"/>
      <c r="T34" s="66"/>
      <c r="U34" s="66"/>
      <c r="V34" s="66"/>
      <c r="W34" s="66"/>
      <c r="X34" s="66"/>
      <c r="Y34" s="66"/>
      <c r="Z34" s="66"/>
      <c r="AA34" s="66"/>
      <c r="AB34" s="66"/>
      <c r="AC34" s="66"/>
      <c r="AD34" s="66"/>
      <c r="AE34" s="66"/>
      <c r="AF34" s="66"/>
      <c r="AG34" s="66"/>
      <c r="AH34" s="66" t="s">
        <v>57</v>
      </c>
      <c r="AI34" s="66" t="s">
        <v>57</v>
      </c>
      <c r="AJ34" s="66" t="s">
        <v>57</v>
      </c>
      <c r="AK34" s="66" t="s">
        <v>57</v>
      </c>
      <c r="AL34" s="66" t="s">
        <v>57</v>
      </c>
      <c r="AM34" s="66" t="s">
        <v>57</v>
      </c>
      <c r="AN34" s="66" t="s">
        <v>57</v>
      </c>
      <c r="AO34" s="66" t="s">
        <v>57</v>
      </c>
      <c r="AP34" s="66" t="s">
        <v>57</v>
      </c>
      <c r="AQ34" s="66" t="s">
        <v>57</v>
      </c>
      <c r="AR34" s="66" t="s">
        <v>57</v>
      </c>
      <c r="AS34" s="66" t="s">
        <v>57</v>
      </c>
      <c r="AT34" s="66"/>
      <c r="AU34" s="66"/>
    </row>
    <row r="35" spans="1:47">
      <c r="A35" s="63" t="s">
        <v>346</v>
      </c>
      <c r="B35" s="63">
        <v>4860899555</v>
      </c>
      <c r="C35" s="63" t="s">
        <v>94</v>
      </c>
      <c r="D35" s="63" t="s">
        <v>225</v>
      </c>
      <c r="E35" s="64">
        <v>0.4</v>
      </c>
      <c r="F35" s="63" t="s">
        <v>70</v>
      </c>
      <c r="G35" s="65">
        <v>22792</v>
      </c>
      <c r="H35" s="63" t="s">
        <v>47</v>
      </c>
      <c r="I35" s="66" t="s">
        <v>40</v>
      </c>
      <c r="J35" s="66"/>
      <c r="K35" s="66"/>
      <c r="L35" s="66" t="s">
        <v>56</v>
      </c>
      <c r="M35" s="66" t="s">
        <v>57</v>
      </c>
      <c r="N35" s="66" t="s">
        <v>57</v>
      </c>
      <c r="O35" s="66" t="s">
        <v>57</v>
      </c>
      <c r="P35" s="66" t="s">
        <v>347</v>
      </c>
      <c r="Q35" s="66" t="s">
        <v>59</v>
      </c>
      <c r="R35" s="66"/>
      <c r="S35" s="66"/>
      <c r="T35" s="66"/>
      <c r="U35" s="66"/>
      <c r="V35" s="66"/>
      <c r="W35" s="66"/>
      <c r="X35" s="66"/>
      <c r="Y35" s="66"/>
      <c r="Z35" s="66"/>
      <c r="AA35" s="66"/>
      <c r="AB35" s="66"/>
      <c r="AC35" s="66"/>
      <c r="AD35" s="66"/>
      <c r="AE35" s="66"/>
      <c r="AF35" s="66"/>
      <c r="AG35" s="66"/>
      <c r="AH35" s="66" t="s">
        <v>57</v>
      </c>
      <c r="AI35" s="66" t="s">
        <v>57</v>
      </c>
      <c r="AJ35" s="66" t="s">
        <v>57</v>
      </c>
      <c r="AK35" s="66" t="s">
        <v>57</v>
      </c>
      <c r="AL35" s="66" t="s">
        <v>57</v>
      </c>
      <c r="AM35" s="66" t="s">
        <v>57</v>
      </c>
      <c r="AN35" s="66" t="s">
        <v>57</v>
      </c>
      <c r="AO35" s="66" t="s">
        <v>57</v>
      </c>
      <c r="AP35" s="66" t="s">
        <v>57</v>
      </c>
      <c r="AQ35" s="66" t="s">
        <v>57</v>
      </c>
      <c r="AR35" s="66" t="s">
        <v>57</v>
      </c>
      <c r="AS35" s="66" t="s">
        <v>57</v>
      </c>
      <c r="AT35" s="66"/>
      <c r="AU35" s="66"/>
    </row>
    <row r="36" spans="1:47">
      <c r="A36" s="63" t="s">
        <v>349</v>
      </c>
      <c r="B36" s="63">
        <v>4860895487</v>
      </c>
      <c r="C36" s="63" t="s">
        <v>249</v>
      </c>
      <c r="D36" s="63" t="s">
        <v>225</v>
      </c>
      <c r="E36" s="64">
        <v>0.7</v>
      </c>
      <c r="F36" s="63" t="s">
        <v>70</v>
      </c>
      <c r="G36" s="65">
        <v>22750</v>
      </c>
      <c r="H36" s="63" t="s">
        <v>47</v>
      </c>
      <c r="I36" s="66" t="s">
        <v>40</v>
      </c>
      <c r="J36" s="66"/>
      <c r="K36" s="66"/>
      <c r="L36" s="66" t="s">
        <v>56</v>
      </c>
      <c r="M36" s="66" t="s">
        <v>57</v>
      </c>
      <c r="N36" s="66" t="s">
        <v>57</v>
      </c>
      <c r="O36" s="66" t="s">
        <v>57</v>
      </c>
      <c r="P36" s="66" t="s">
        <v>350</v>
      </c>
      <c r="Q36" s="66" t="s">
        <v>59</v>
      </c>
      <c r="R36" s="66"/>
      <c r="S36" s="66"/>
      <c r="T36" s="66"/>
      <c r="U36" s="66"/>
      <c r="V36" s="66"/>
      <c r="W36" s="66"/>
      <c r="X36" s="66"/>
      <c r="Y36" s="66"/>
      <c r="Z36" s="66"/>
      <c r="AA36" s="66"/>
      <c r="AB36" s="66"/>
      <c r="AC36" s="66"/>
      <c r="AD36" s="66"/>
      <c r="AE36" s="66"/>
      <c r="AF36" s="66"/>
      <c r="AG36" s="66"/>
      <c r="AH36" s="66" t="s">
        <v>57</v>
      </c>
      <c r="AI36" s="66" t="s">
        <v>57</v>
      </c>
      <c r="AJ36" s="66" t="s">
        <v>57</v>
      </c>
      <c r="AK36" s="66" t="s">
        <v>57</v>
      </c>
      <c r="AL36" s="66" t="s">
        <v>57</v>
      </c>
      <c r="AM36" s="66" t="s">
        <v>57</v>
      </c>
      <c r="AN36" s="66" t="s">
        <v>57</v>
      </c>
      <c r="AO36" s="66" t="s">
        <v>57</v>
      </c>
      <c r="AP36" s="66" t="s">
        <v>57</v>
      </c>
      <c r="AQ36" s="66" t="s">
        <v>57</v>
      </c>
      <c r="AR36" s="66" t="s">
        <v>57</v>
      </c>
      <c r="AS36" s="66" t="s">
        <v>57</v>
      </c>
      <c r="AT36" s="66"/>
      <c r="AU36" s="66"/>
    </row>
    <row r="37" spans="1:47">
      <c r="A37" s="63" t="s">
        <v>352</v>
      </c>
      <c r="B37" s="63">
        <v>4269773782</v>
      </c>
      <c r="C37" s="63" t="s">
        <v>353</v>
      </c>
      <c r="D37" s="63" t="s">
        <v>225</v>
      </c>
      <c r="E37" s="64">
        <v>0.5</v>
      </c>
      <c r="F37" s="63" t="s">
        <v>70</v>
      </c>
      <c r="G37" s="65">
        <v>15244</v>
      </c>
      <c r="H37" s="63" t="s">
        <v>47</v>
      </c>
      <c r="I37" s="66" t="s">
        <v>40</v>
      </c>
      <c r="J37" s="66"/>
      <c r="K37" s="66"/>
      <c r="L37" s="66" t="s">
        <v>56</v>
      </c>
      <c r="M37" s="66" t="s">
        <v>57</v>
      </c>
      <c r="N37" s="66" t="s">
        <v>57</v>
      </c>
      <c r="O37" s="66" t="s">
        <v>57</v>
      </c>
      <c r="P37" s="66" t="s">
        <v>354</v>
      </c>
      <c r="Q37" s="66" t="s">
        <v>59</v>
      </c>
      <c r="R37" s="79" t="s">
        <v>355</v>
      </c>
      <c r="S37" s="66"/>
      <c r="T37" s="66"/>
      <c r="U37" s="66"/>
      <c r="V37" s="66"/>
      <c r="W37" s="66"/>
      <c r="X37" s="66"/>
      <c r="Y37" s="66"/>
      <c r="Z37" s="66"/>
      <c r="AA37" s="66"/>
      <c r="AB37" s="66"/>
      <c r="AC37" s="66"/>
      <c r="AD37" s="66"/>
      <c r="AE37" s="66"/>
      <c r="AF37" s="66"/>
      <c r="AG37" s="66"/>
      <c r="AH37" s="66" t="s">
        <v>57</v>
      </c>
      <c r="AI37" s="66" t="s">
        <v>57</v>
      </c>
      <c r="AJ37" s="66" t="s">
        <v>57</v>
      </c>
      <c r="AK37" s="66" t="s">
        <v>57</v>
      </c>
      <c r="AL37" s="66" t="s">
        <v>57</v>
      </c>
      <c r="AM37" s="66" t="s">
        <v>57</v>
      </c>
      <c r="AN37" s="66" t="s">
        <v>57</v>
      </c>
      <c r="AO37" s="66" t="s">
        <v>57</v>
      </c>
      <c r="AP37" s="66" t="s">
        <v>57</v>
      </c>
      <c r="AQ37" s="66" t="s">
        <v>57</v>
      </c>
      <c r="AR37" s="66" t="s">
        <v>57</v>
      </c>
      <c r="AS37" s="66" t="s">
        <v>57</v>
      </c>
      <c r="AT37" s="66"/>
      <c r="AU37" s="66"/>
    </row>
    <row r="38" spans="1:47">
      <c r="A38" s="63" t="s">
        <v>356</v>
      </c>
      <c r="B38" s="63">
        <v>4387866438</v>
      </c>
      <c r="C38" s="63" t="s">
        <v>357</v>
      </c>
      <c r="D38" s="63" t="s">
        <v>358</v>
      </c>
      <c r="E38" s="64" t="s">
        <v>359</v>
      </c>
      <c r="F38" s="63" t="s">
        <v>158</v>
      </c>
      <c r="G38" s="65">
        <v>17100</v>
      </c>
      <c r="H38" s="63" t="s">
        <v>55</v>
      </c>
      <c r="I38" s="66" t="s">
        <v>40</v>
      </c>
      <c r="J38" s="66" t="s">
        <v>56</v>
      </c>
      <c r="K38" s="66"/>
      <c r="L38" s="66"/>
      <c r="M38" s="66" t="s">
        <v>57</v>
      </c>
      <c r="N38" s="66" t="s">
        <v>57</v>
      </c>
      <c r="O38" s="66" t="s">
        <v>57</v>
      </c>
      <c r="P38" s="66" t="s">
        <v>360</v>
      </c>
      <c r="Q38" s="66" t="s">
        <v>59</v>
      </c>
      <c r="R38" s="66"/>
      <c r="S38" s="66"/>
      <c r="T38" s="66"/>
      <c r="U38" s="66"/>
      <c r="V38" s="66"/>
      <c r="W38" s="66"/>
      <c r="X38" s="66"/>
      <c r="Y38" s="66"/>
      <c r="Z38" s="66"/>
      <c r="AA38" s="66"/>
      <c r="AB38" s="66"/>
      <c r="AC38" s="66"/>
      <c r="AD38" s="66"/>
      <c r="AE38" s="66"/>
      <c r="AF38" s="66"/>
      <c r="AG38" s="66"/>
      <c r="AH38" s="66" t="s">
        <v>57</v>
      </c>
      <c r="AI38" s="66" t="s">
        <v>57</v>
      </c>
      <c r="AJ38" s="66" t="s">
        <v>57</v>
      </c>
      <c r="AK38" s="66" t="s">
        <v>57</v>
      </c>
      <c r="AL38" s="66" t="s">
        <v>57</v>
      </c>
      <c r="AM38" s="66" t="s">
        <v>57</v>
      </c>
      <c r="AN38" s="66" t="s">
        <v>57</v>
      </c>
      <c r="AO38" s="66" t="s">
        <v>57</v>
      </c>
      <c r="AP38" s="66" t="s">
        <v>57</v>
      </c>
      <c r="AQ38" s="66" t="s">
        <v>57</v>
      </c>
      <c r="AR38" s="66" t="s">
        <v>57</v>
      </c>
      <c r="AS38" s="66" t="s">
        <v>57</v>
      </c>
      <c r="AT38" s="66"/>
      <c r="AU38" s="66"/>
    </row>
    <row r="39" spans="1:47">
      <c r="A39" s="63" t="s">
        <v>363</v>
      </c>
      <c r="B39" s="63">
        <v>4509413769</v>
      </c>
      <c r="C39" s="63" t="s">
        <v>364</v>
      </c>
      <c r="D39" s="63" t="s">
        <v>225</v>
      </c>
      <c r="E39" s="64">
        <v>0.3</v>
      </c>
      <c r="F39" s="63" t="s">
        <v>70</v>
      </c>
      <c r="G39" s="65">
        <v>18128</v>
      </c>
      <c r="H39" s="63" t="s">
        <v>55</v>
      </c>
      <c r="I39" s="66" t="s">
        <v>40</v>
      </c>
      <c r="J39" s="66"/>
      <c r="K39" s="66"/>
      <c r="L39" s="66" t="s">
        <v>56</v>
      </c>
      <c r="M39" s="66" t="s">
        <v>57</v>
      </c>
      <c r="N39" s="66" t="s">
        <v>57</v>
      </c>
      <c r="O39" s="66" t="s">
        <v>57</v>
      </c>
      <c r="P39" s="66" t="s">
        <v>365</v>
      </c>
      <c r="Q39" s="66" t="s">
        <v>59</v>
      </c>
      <c r="R39" s="66"/>
      <c r="S39" s="66"/>
      <c r="T39" s="66"/>
      <c r="U39" s="66"/>
      <c r="V39" s="66"/>
      <c r="W39" s="66"/>
      <c r="X39" s="66"/>
      <c r="Y39" s="66"/>
      <c r="Z39" s="66"/>
      <c r="AA39" s="66"/>
      <c r="AB39" s="66"/>
      <c r="AC39" s="66"/>
      <c r="AD39" s="66"/>
      <c r="AE39" s="66"/>
      <c r="AF39" s="66"/>
      <c r="AG39" s="66"/>
      <c r="AH39" s="66" t="s">
        <v>57</v>
      </c>
      <c r="AI39" s="66" t="s">
        <v>57</v>
      </c>
      <c r="AJ39" s="66" t="s">
        <v>57</v>
      </c>
      <c r="AK39" s="66" t="s">
        <v>57</v>
      </c>
      <c r="AL39" s="66" t="s">
        <v>57</v>
      </c>
      <c r="AM39" s="66" t="s">
        <v>57</v>
      </c>
      <c r="AN39" s="66" t="s">
        <v>57</v>
      </c>
      <c r="AO39" s="66" t="s">
        <v>57</v>
      </c>
      <c r="AP39" s="66" t="s">
        <v>57</v>
      </c>
      <c r="AQ39" s="66" t="s">
        <v>57</v>
      </c>
      <c r="AR39" s="66" t="s">
        <v>57</v>
      </c>
      <c r="AS39" s="66" t="s">
        <v>57</v>
      </c>
      <c r="AT39" s="66"/>
      <c r="AU39" s="66"/>
    </row>
    <row r="40" spans="1:47">
      <c r="A40" s="63" t="s">
        <v>373</v>
      </c>
      <c r="B40" s="63">
        <v>4520163684</v>
      </c>
      <c r="C40" s="63" t="s">
        <v>374</v>
      </c>
      <c r="D40" s="63" t="s">
        <v>225</v>
      </c>
      <c r="E40" s="64">
        <v>0.4</v>
      </c>
      <c r="F40" s="63" t="s">
        <v>70</v>
      </c>
      <c r="G40" s="65">
        <v>18212</v>
      </c>
      <c r="H40" s="63" t="s">
        <v>55</v>
      </c>
      <c r="I40" s="66" t="s">
        <v>40</v>
      </c>
      <c r="J40" s="66" t="s">
        <v>56</v>
      </c>
      <c r="K40" s="66"/>
      <c r="L40" s="66"/>
      <c r="M40" s="66" t="s">
        <v>57</v>
      </c>
      <c r="N40" s="66" t="s">
        <v>57</v>
      </c>
      <c r="O40" s="66" t="s">
        <v>57</v>
      </c>
      <c r="P40" s="66" t="s">
        <v>375</v>
      </c>
      <c r="Q40" s="66" t="s">
        <v>59</v>
      </c>
      <c r="R40" s="66"/>
      <c r="S40" s="66"/>
      <c r="T40" s="66"/>
      <c r="U40" s="66"/>
      <c r="V40" s="66"/>
      <c r="W40" s="66"/>
      <c r="X40" s="66"/>
      <c r="Y40" s="66"/>
      <c r="Z40" s="66"/>
      <c r="AA40" s="66"/>
      <c r="AB40" s="66"/>
      <c r="AC40" s="66"/>
      <c r="AD40" s="66"/>
      <c r="AE40" s="66"/>
      <c r="AF40" s="66"/>
      <c r="AG40" s="66"/>
      <c r="AH40" s="66" t="s">
        <v>57</v>
      </c>
      <c r="AI40" s="66" t="s">
        <v>57</v>
      </c>
      <c r="AJ40" s="66" t="s">
        <v>57</v>
      </c>
      <c r="AK40" s="66" t="s">
        <v>57</v>
      </c>
      <c r="AL40" s="66" t="s">
        <v>57</v>
      </c>
      <c r="AM40" s="66" t="s">
        <v>57</v>
      </c>
      <c r="AN40" s="66" t="s">
        <v>57</v>
      </c>
      <c r="AO40" s="66" t="s">
        <v>57</v>
      </c>
      <c r="AP40" s="66" t="s">
        <v>57</v>
      </c>
      <c r="AQ40" s="66" t="s">
        <v>57</v>
      </c>
      <c r="AR40" s="66" t="s">
        <v>57</v>
      </c>
      <c r="AS40" s="66" t="s">
        <v>57</v>
      </c>
      <c r="AT40" s="66"/>
      <c r="AU40" s="66"/>
    </row>
    <row r="41" spans="1:47">
      <c r="A41" s="63" t="s">
        <v>380</v>
      </c>
      <c r="B41" s="63">
        <v>4581765358</v>
      </c>
      <c r="C41" s="63" t="s">
        <v>224</v>
      </c>
      <c r="D41" s="63" t="s">
        <v>225</v>
      </c>
      <c r="E41" s="64">
        <v>0.2</v>
      </c>
      <c r="F41" s="63" t="s">
        <v>70</v>
      </c>
      <c r="G41" s="65">
        <v>19941</v>
      </c>
      <c r="H41" s="63" t="s">
        <v>55</v>
      </c>
      <c r="I41" s="66" t="s">
        <v>40</v>
      </c>
      <c r="J41" s="66" t="s">
        <v>56</v>
      </c>
      <c r="K41" s="66"/>
      <c r="L41" s="66"/>
      <c r="M41" s="66" t="s">
        <v>57</v>
      </c>
      <c r="N41" s="66" t="s">
        <v>57</v>
      </c>
      <c r="O41" s="66" t="s">
        <v>57</v>
      </c>
      <c r="P41" s="66" t="s">
        <v>381</v>
      </c>
      <c r="Q41" s="66" t="s">
        <v>59</v>
      </c>
      <c r="R41" s="66"/>
      <c r="S41" s="66"/>
      <c r="T41" s="66"/>
      <c r="U41" s="66"/>
      <c r="V41" s="66"/>
      <c r="W41" s="66"/>
      <c r="X41" s="66"/>
      <c r="Y41" s="66"/>
      <c r="Z41" s="66"/>
      <c r="AA41" s="66"/>
      <c r="AB41" s="66"/>
      <c r="AC41" s="66"/>
      <c r="AD41" s="66"/>
      <c r="AE41" s="66"/>
      <c r="AF41" s="66"/>
      <c r="AG41" s="66"/>
      <c r="AH41" s="66" t="s">
        <v>57</v>
      </c>
      <c r="AI41" s="66" t="s">
        <v>57</v>
      </c>
      <c r="AJ41" s="66" t="s">
        <v>57</v>
      </c>
      <c r="AK41" s="66" t="s">
        <v>57</v>
      </c>
      <c r="AL41" s="66" t="s">
        <v>57</v>
      </c>
      <c r="AM41" s="66" t="s">
        <v>57</v>
      </c>
      <c r="AN41" s="66" t="s">
        <v>57</v>
      </c>
      <c r="AO41" s="66" t="s">
        <v>57</v>
      </c>
      <c r="AP41" s="66" t="s">
        <v>57</v>
      </c>
      <c r="AQ41" s="66" t="s">
        <v>57</v>
      </c>
      <c r="AR41" s="66" t="s">
        <v>57</v>
      </c>
      <c r="AS41" s="66" t="s">
        <v>57</v>
      </c>
      <c r="AT41" s="66"/>
      <c r="AU41" s="66"/>
    </row>
    <row r="42" spans="1:47">
      <c r="A42" s="63" t="s">
        <v>383</v>
      </c>
      <c r="B42" s="63">
        <v>4509292422</v>
      </c>
      <c r="C42" s="63" t="s">
        <v>384</v>
      </c>
      <c r="D42" s="63" t="s">
        <v>225</v>
      </c>
      <c r="E42" s="64" t="s">
        <v>338</v>
      </c>
      <c r="F42" s="63" t="s">
        <v>70</v>
      </c>
      <c r="G42" s="65">
        <v>17982</v>
      </c>
      <c r="H42" s="63" t="s">
        <v>47</v>
      </c>
      <c r="I42" s="66" t="s">
        <v>40</v>
      </c>
      <c r="J42" s="66" t="s">
        <v>56</v>
      </c>
      <c r="K42" s="66"/>
      <c r="L42" s="66"/>
      <c r="M42" s="66" t="s">
        <v>57</v>
      </c>
      <c r="N42" s="66" t="s">
        <v>57</v>
      </c>
      <c r="O42" s="66" t="s">
        <v>57</v>
      </c>
      <c r="P42" s="66" t="s">
        <v>385</v>
      </c>
      <c r="Q42" s="66" t="s">
        <v>59</v>
      </c>
      <c r="R42" s="79" t="s">
        <v>386</v>
      </c>
      <c r="S42" s="66"/>
      <c r="T42" s="66"/>
      <c r="U42" s="66"/>
      <c r="V42" s="66"/>
      <c r="W42" s="66"/>
      <c r="X42" s="66"/>
      <c r="Y42" s="66"/>
      <c r="Z42" s="66"/>
      <c r="AA42" s="66"/>
      <c r="AB42" s="66"/>
      <c r="AC42" s="66"/>
      <c r="AD42" s="66"/>
      <c r="AE42" s="66"/>
      <c r="AF42" s="66"/>
      <c r="AG42" s="66"/>
      <c r="AH42" s="66" t="s">
        <v>57</v>
      </c>
      <c r="AI42" s="66" t="s">
        <v>57</v>
      </c>
      <c r="AJ42" s="66" t="s">
        <v>57</v>
      </c>
      <c r="AK42" s="66" t="s">
        <v>57</v>
      </c>
      <c r="AL42" s="66" t="s">
        <v>57</v>
      </c>
      <c r="AM42" s="66" t="s">
        <v>57</v>
      </c>
      <c r="AN42" s="66" t="s">
        <v>57</v>
      </c>
      <c r="AO42" s="66" t="s">
        <v>57</v>
      </c>
      <c r="AP42" s="66" t="s">
        <v>57</v>
      </c>
      <c r="AQ42" s="66" t="s">
        <v>57</v>
      </c>
      <c r="AR42" s="66" t="s">
        <v>57</v>
      </c>
      <c r="AS42" s="66" t="s">
        <v>57</v>
      </c>
      <c r="AT42" s="66"/>
      <c r="AU42" s="66"/>
    </row>
    <row r="43" spans="1:47">
      <c r="A43" s="63" t="s">
        <v>387</v>
      </c>
      <c r="B43" s="63">
        <v>4467748962</v>
      </c>
      <c r="C43" s="63" t="s">
        <v>102</v>
      </c>
      <c r="D43" s="63" t="s">
        <v>225</v>
      </c>
      <c r="E43" s="64">
        <v>0.3</v>
      </c>
      <c r="F43" s="63" t="s">
        <v>70</v>
      </c>
      <c r="G43" s="65">
        <v>17641</v>
      </c>
      <c r="H43" s="63" t="s">
        <v>47</v>
      </c>
      <c r="I43" s="66" t="s">
        <v>40</v>
      </c>
      <c r="J43" s="66" t="s">
        <v>56</v>
      </c>
      <c r="K43" s="66"/>
      <c r="L43" s="66"/>
      <c r="M43" s="66" t="s">
        <v>57</v>
      </c>
      <c r="N43" s="66" t="s">
        <v>57</v>
      </c>
      <c r="O43" s="66" t="s">
        <v>57</v>
      </c>
      <c r="P43" s="66" t="s">
        <v>388</v>
      </c>
      <c r="Q43" s="66" t="s">
        <v>59</v>
      </c>
      <c r="R43" s="66"/>
      <c r="S43" s="66"/>
      <c r="T43" s="66"/>
      <c r="U43" s="66"/>
      <c r="V43" s="66"/>
      <c r="W43" s="66"/>
      <c r="X43" s="66"/>
      <c r="Y43" s="66"/>
      <c r="Z43" s="66"/>
      <c r="AA43" s="66"/>
      <c r="AB43" s="66"/>
      <c r="AC43" s="66"/>
      <c r="AD43" s="66"/>
      <c r="AE43" s="66"/>
      <c r="AF43" s="66"/>
      <c r="AG43" s="66"/>
      <c r="AH43" s="66" t="s">
        <v>57</v>
      </c>
      <c r="AI43" s="66" t="s">
        <v>57</v>
      </c>
      <c r="AJ43" s="66" t="s">
        <v>57</v>
      </c>
      <c r="AK43" s="66" t="s">
        <v>57</v>
      </c>
      <c r="AL43" s="66" t="s">
        <v>57</v>
      </c>
      <c r="AM43" s="66" t="s">
        <v>57</v>
      </c>
      <c r="AN43" s="66" t="s">
        <v>57</v>
      </c>
      <c r="AO43" s="66" t="s">
        <v>57</v>
      </c>
      <c r="AP43" s="66" t="s">
        <v>57</v>
      </c>
      <c r="AQ43" s="66" t="s">
        <v>57</v>
      </c>
      <c r="AR43" s="66" t="s">
        <v>57</v>
      </c>
      <c r="AS43" s="66" t="s">
        <v>57</v>
      </c>
      <c r="AT43" s="66"/>
      <c r="AU43" s="66"/>
    </row>
    <row r="44" spans="1:47">
      <c r="A44" s="63" t="s">
        <v>390</v>
      </c>
      <c r="B44" s="63">
        <v>4520789931</v>
      </c>
      <c r="C44" s="63" t="s">
        <v>391</v>
      </c>
      <c r="D44" s="63" t="s">
        <v>225</v>
      </c>
      <c r="E44" s="64">
        <v>0.4</v>
      </c>
      <c r="F44" s="63" t="s">
        <v>70</v>
      </c>
      <c r="G44" s="65">
        <v>18511</v>
      </c>
      <c r="H44" s="63" t="s">
        <v>55</v>
      </c>
      <c r="I44" s="66" t="s">
        <v>40</v>
      </c>
      <c r="J44" s="66" t="s">
        <v>56</v>
      </c>
      <c r="K44" s="66"/>
      <c r="L44" s="66"/>
      <c r="M44" s="66" t="s">
        <v>57</v>
      </c>
      <c r="N44" s="66" t="s">
        <v>57</v>
      </c>
      <c r="O44" s="66" t="s">
        <v>57</v>
      </c>
      <c r="P44" s="66" t="s">
        <v>392</v>
      </c>
      <c r="Q44" s="66" t="s">
        <v>59</v>
      </c>
      <c r="R44" s="66"/>
      <c r="S44" s="66"/>
      <c r="T44" s="66"/>
      <c r="U44" s="66"/>
      <c r="V44" s="66"/>
      <c r="W44" s="66"/>
      <c r="X44" s="66"/>
      <c r="Y44" s="66"/>
      <c r="Z44" s="66"/>
      <c r="AA44" s="66"/>
      <c r="AB44" s="66"/>
      <c r="AC44" s="66"/>
      <c r="AD44" s="66"/>
      <c r="AE44" s="66"/>
      <c r="AF44" s="66"/>
      <c r="AG44" s="66"/>
      <c r="AH44" s="66" t="s">
        <v>57</v>
      </c>
      <c r="AI44" s="66" t="s">
        <v>57</v>
      </c>
      <c r="AJ44" s="66" t="s">
        <v>57</v>
      </c>
      <c r="AK44" s="66" t="s">
        <v>57</v>
      </c>
      <c r="AL44" s="66" t="s">
        <v>57</v>
      </c>
      <c r="AM44" s="66" t="s">
        <v>57</v>
      </c>
      <c r="AN44" s="66" t="s">
        <v>57</v>
      </c>
      <c r="AO44" s="66" t="s">
        <v>57</v>
      </c>
      <c r="AP44" s="66" t="s">
        <v>57</v>
      </c>
      <c r="AQ44" s="66" t="s">
        <v>57</v>
      </c>
      <c r="AR44" s="66" t="s">
        <v>57</v>
      </c>
      <c r="AS44" s="66" t="s">
        <v>57</v>
      </c>
      <c r="AT44" s="66"/>
      <c r="AU44" s="66"/>
    </row>
    <row r="45" spans="1:47">
      <c r="A45" s="63" t="s">
        <v>394</v>
      </c>
      <c r="B45" s="63">
        <v>4528207311</v>
      </c>
      <c r="C45" s="63" t="s">
        <v>94</v>
      </c>
      <c r="D45" s="63" t="s">
        <v>225</v>
      </c>
      <c r="E45" s="64" t="s">
        <v>53</v>
      </c>
      <c r="F45" s="63" t="s">
        <v>70</v>
      </c>
      <c r="G45" s="65">
        <v>17618</v>
      </c>
      <c r="H45" s="63" t="s">
        <v>47</v>
      </c>
      <c r="I45" s="66" t="s">
        <v>40</v>
      </c>
      <c r="J45" s="66" t="s">
        <v>56</v>
      </c>
      <c r="K45" s="66"/>
      <c r="L45" s="66"/>
      <c r="M45" s="66" t="s">
        <v>57</v>
      </c>
      <c r="N45" s="66" t="s">
        <v>57</v>
      </c>
      <c r="O45" s="66" t="s">
        <v>57</v>
      </c>
      <c r="P45" s="66" t="s">
        <v>395</v>
      </c>
      <c r="Q45" s="66" t="s">
        <v>59</v>
      </c>
      <c r="R45" s="66"/>
      <c r="S45" s="66"/>
      <c r="T45" s="66"/>
      <c r="U45" s="66"/>
      <c r="V45" s="66"/>
      <c r="W45" s="66"/>
      <c r="X45" s="66"/>
      <c r="Y45" s="66"/>
      <c r="Z45" s="66"/>
      <c r="AA45" s="66"/>
      <c r="AB45" s="66"/>
      <c r="AC45" s="66"/>
      <c r="AD45" s="66"/>
      <c r="AE45" s="66"/>
      <c r="AF45" s="66"/>
      <c r="AG45" s="66"/>
      <c r="AH45" s="66" t="s">
        <v>57</v>
      </c>
      <c r="AI45" s="66" t="s">
        <v>57</v>
      </c>
      <c r="AJ45" s="66" t="s">
        <v>57</v>
      </c>
      <c r="AK45" s="66" t="s">
        <v>57</v>
      </c>
      <c r="AL45" s="66" t="s">
        <v>57</v>
      </c>
      <c r="AM45" s="66" t="s">
        <v>57</v>
      </c>
      <c r="AN45" s="66" t="s">
        <v>57</v>
      </c>
      <c r="AO45" s="66" t="s">
        <v>57</v>
      </c>
      <c r="AP45" s="66" t="s">
        <v>57</v>
      </c>
      <c r="AQ45" s="66" t="s">
        <v>57</v>
      </c>
      <c r="AR45" s="66" t="s">
        <v>57</v>
      </c>
      <c r="AS45" s="66" t="s">
        <v>57</v>
      </c>
      <c r="AT45" s="66"/>
      <c r="AU45" s="66"/>
    </row>
    <row r="46" spans="1:47">
      <c r="A46" s="63" t="s">
        <v>396</v>
      </c>
      <c r="B46" s="63">
        <v>4508297331</v>
      </c>
      <c r="C46" s="63" t="s">
        <v>374</v>
      </c>
      <c r="D46" s="63" t="s">
        <v>225</v>
      </c>
      <c r="E46" s="64">
        <v>0.4</v>
      </c>
      <c r="F46" s="63" t="s">
        <v>70</v>
      </c>
      <c r="G46" s="65">
        <v>17589</v>
      </c>
      <c r="H46" s="63" t="s">
        <v>55</v>
      </c>
      <c r="I46" s="66" t="s">
        <v>40</v>
      </c>
      <c r="J46" s="66"/>
      <c r="K46" s="66"/>
      <c r="L46" s="66" t="s">
        <v>56</v>
      </c>
      <c r="M46" s="66" t="s">
        <v>57</v>
      </c>
      <c r="N46" s="66" t="s">
        <v>57</v>
      </c>
      <c r="O46" s="66" t="s">
        <v>57</v>
      </c>
      <c r="P46" s="66" t="s">
        <v>397</v>
      </c>
      <c r="Q46" s="66" t="s">
        <v>59</v>
      </c>
      <c r="R46" s="66"/>
      <c r="S46" s="66"/>
      <c r="T46" s="66"/>
      <c r="U46" s="66"/>
      <c r="V46" s="66"/>
      <c r="W46" s="66"/>
      <c r="X46" s="66"/>
      <c r="Y46" s="66"/>
      <c r="Z46" s="66"/>
      <c r="AA46" s="66"/>
      <c r="AB46" s="66"/>
      <c r="AC46" s="66"/>
      <c r="AD46" s="66"/>
      <c r="AE46" s="66"/>
      <c r="AF46" s="66"/>
      <c r="AG46" s="66"/>
      <c r="AH46" s="66" t="s">
        <v>57</v>
      </c>
      <c r="AI46" s="66" t="s">
        <v>57</v>
      </c>
      <c r="AJ46" s="66" t="s">
        <v>57</v>
      </c>
      <c r="AK46" s="66" t="s">
        <v>57</v>
      </c>
      <c r="AL46" s="66" t="s">
        <v>57</v>
      </c>
      <c r="AM46" s="66" t="s">
        <v>57</v>
      </c>
      <c r="AN46" s="66" t="s">
        <v>57</v>
      </c>
      <c r="AO46" s="66" t="s">
        <v>57</v>
      </c>
      <c r="AP46" s="66" t="s">
        <v>57</v>
      </c>
      <c r="AQ46" s="66" t="s">
        <v>57</v>
      </c>
      <c r="AR46" s="66" t="s">
        <v>57</v>
      </c>
      <c r="AS46" s="66" t="s">
        <v>57</v>
      </c>
      <c r="AT46" s="66"/>
      <c r="AU46" s="66"/>
    </row>
    <row r="47" spans="1:47">
      <c r="A47" s="63" t="s">
        <v>399</v>
      </c>
      <c r="B47" s="63">
        <v>4380690334</v>
      </c>
      <c r="C47" s="63" t="s">
        <v>83</v>
      </c>
      <c r="D47" s="63" t="s">
        <v>225</v>
      </c>
      <c r="E47" s="64">
        <v>0.5</v>
      </c>
      <c r="F47" s="63" t="s">
        <v>70</v>
      </c>
      <c r="G47" s="65">
        <v>16601</v>
      </c>
      <c r="H47" s="63" t="s">
        <v>55</v>
      </c>
      <c r="I47" s="66" t="s">
        <v>40</v>
      </c>
      <c r="J47" s="66"/>
      <c r="K47" s="66"/>
      <c r="L47" s="66" t="s">
        <v>56</v>
      </c>
      <c r="M47" s="66" t="s">
        <v>57</v>
      </c>
      <c r="N47" s="66" t="s">
        <v>57</v>
      </c>
      <c r="O47" s="66" t="s">
        <v>57</v>
      </c>
      <c r="P47" s="66" t="s">
        <v>400</v>
      </c>
      <c r="Q47" s="66" t="s">
        <v>59</v>
      </c>
      <c r="R47" s="66"/>
      <c r="S47" s="66"/>
      <c r="T47" s="66"/>
      <c r="U47" s="66"/>
      <c r="V47" s="66"/>
      <c r="W47" s="66"/>
      <c r="X47" s="66"/>
      <c r="Y47" s="66"/>
      <c r="Z47" s="66"/>
      <c r="AA47" s="66"/>
      <c r="AB47" s="66"/>
      <c r="AC47" s="66"/>
      <c r="AD47" s="66"/>
      <c r="AE47" s="66"/>
      <c r="AF47" s="66"/>
      <c r="AG47" s="66"/>
      <c r="AH47" s="66" t="s">
        <v>57</v>
      </c>
      <c r="AI47" s="66" t="s">
        <v>57</v>
      </c>
      <c r="AJ47" s="66" t="s">
        <v>57</v>
      </c>
      <c r="AK47" s="66" t="s">
        <v>57</v>
      </c>
      <c r="AL47" s="66" t="s">
        <v>57</v>
      </c>
      <c r="AM47" s="66" t="s">
        <v>57</v>
      </c>
      <c r="AN47" s="66" t="s">
        <v>57</v>
      </c>
      <c r="AO47" s="66" t="s">
        <v>57</v>
      </c>
      <c r="AP47" s="66" t="s">
        <v>57</v>
      </c>
      <c r="AQ47" s="66" t="s">
        <v>57</v>
      </c>
      <c r="AR47" s="66" t="s">
        <v>57</v>
      </c>
      <c r="AS47" s="66" t="s">
        <v>57</v>
      </c>
      <c r="AT47" s="66"/>
      <c r="AU47" s="66"/>
    </row>
    <row r="48" spans="1:47">
      <c r="A48" s="63" t="s">
        <v>401</v>
      </c>
      <c r="B48" s="63">
        <v>4508493378</v>
      </c>
      <c r="C48" s="63" t="s">
        <v>402</v>
      </c>
      <c r="D48" s="63" t="s">
        <v>225</v>
      </c>
      <c r="E48" s="64">
        <v>0.3</v>
      </c>
      <c r="F48" s="63" t="s">
        <v>70</v>
      </c>
      <c r="G48" s="65">
        <v>17546</v>
      </c>
      <c r="H48" s="63" t="s">
        <v>47</v>
      </c>
      <c r="I48" s="66" t="s">
        <v>40</v>
      </c>
      <c r="J48" s="66"/>
      <c r="K48" s="66"/>
      <c r="L48" s="66" t="s">
        <v>56</v>
      </c>
      <c r="M48" s="66" t="s">
        <v>57</v>
      </c>
      <c r="N48" s="66" t="s">
        <v>57</v>
      </c>
      <c r="O48" s="66" t="s">
        <v>57</v>
      </c>
      <c r="P48" s="66" t="s">
        <v>403</v>
      </c>
      <c r="Q48" s="66" t="s">
        <v>59</v>
      </c>
      <c r="R48" s="66"/>
      <c r="S48" s="66"/>
      <c r="T48" s="66"/>
      <c r="U48" s="66"/>
      <c r="V48" s="66"/>
      <c r="W48" s="66"/>
      <c r="X48" s="66"/>
      <c r="Y48" s="66"/>
      <c r="Z48" s="66"/>
      <c r="AA48" s="66"/>
      <c r="AB48" s="66"/>
      <c r="AC48" s="66"/>
      <c r="AD48" s="66"/>
      <c r="AE48" s="66"/>
      <c r="AF48" s="66"/>
      <c r="AG48" s="66"/>
      <c r="AH48" s="66" t="s">
        <v>57</v>
      </c>
      <c r="AI48" s="66" t="s">
        <v>57</v>
      </c>
      <c r="AJ48" s="66" t="s">
        <v>57</v>
      </c>
      <c r="AK48" s="66" t="s">
        <v>57</v>
      </c>
      <c r="AL48" s="66" t="s">
        <v>57</v>
      </c>
      <c r="AM48" s="66" t="s">
        <v>57</v>
      </c>
      <c r="AN48" s="66" t="s">
        <v>57</v>
      </c>
      <c r="AO48" s="66" t="s">
        <v>57</v>
      </c>
      <c r="AP48" s="66" t="s">
        <v>57</v>
      </c>
      <c r="AQ48" s="66" t="s">
        <v>57</v>
      </c>
      <c r="AR48" s="66" t="s">
        <v>57</v>
      </c>
      <c r="AS48" s="66" t="s">
        <v>57</v>
      </c>
      <c r="AT48" s="66"/>
      <c r="AU48" s="66"/>
    </row>
    <row r="49" spans="1:47">
      <c r="A49" s="63" t="s">
        <v>407</v>
      </c>
      <c r="B49" s="63">
        <v>4125888051</v>
      </c>
      <c r="C49" s="63" t="s">
        <v>88</v>
      </c>
      <c r="D49" s="63" t="s">
        <v>225</v>
      </c>
      <c r="E49" s="64" t="s">
        <v>408</v>
      </c>
      <c r="F49" s="63" t="s">
        <v>158</v>
      </c>
      <c r="G49" s="65">
        <v>25113</v>
      </c>
      <c r="H49" s="63" t="s">
        <v>55</v>
      </c>
      <c r="I49" s="66" t="s">
        <v>40</v>
      </c>
      <c r="J49" s="66" t="s">
        <v>56</v>
      </c>
      <c r="K49" s="66"/>
      <c r="L49" s="66"/>
      <c r="M49" s="66" t="s">
        <v>57</v>
      </c>
      <c r="N49" s="66" t="s">
        <v>57</v>
      </c>
      <c r="O49" s="66" t="s">
        <v>57</v>
      </c>
      <c r="P49" s="66" t="s">
        <v>409</v>
      </c>
      <c r="Q49" s="66" t="s">
        <v>59</v>
      </c>
      <c r="R49" s="66"/>
      <c r="S49" s="66"/>
      <c r="T49" s="66"/>
      <c r="U49" s="66"/>
      <c r="V49" s="66"/>
      <c r="W49" s="66"/>
      <c r="X49" s="66"/>
      <c r="Y49" s="66"/>
      <c r="Z49" s="66"/>
      <c r="AA49" s="66"/>
      <c r="AB49" s="66"/>
      <c r="AC49" s="66"/>
      <c r="AD49" s="66"/>
      <c r="AE49" s="66"/>
      <c r="AF49" s="66"/>
      <c r="AG49" s="66"/>
      <c r="AH49" s="66" t="s">
        <v>57</v>
      </c>
      <c r="AI49" s="66" t="s">
        <v>57</v>
      </c>
      <c r="AJ49" s="66" t="s">
        <v>57</v>
      </c>
      <c r="AK49" s="66" t="s">
        <v>57</v>
      </c>
      <c r="AL49" s="66" t="s">
        <v>57</v>
      </c>
      <c r="AM49" s="66" t="s">
        <v>57</v>
      </c>
      <c r="AN49" s="66" t="s">
        <v>57</v>
      </c>
      <c r="AO49" s="66" t="s">
        <v>57</v>
      </c>
      <c r="AP49" s="66" t="s">
        <v>57</v>
      </c>
      <c r="AQ49" s="66" t="s">
        <v>57</v>
      </c>
      <c r="AR49" s="66" t="s">
        <v>57</v>
      </c>
      <c r="AS49" s="66" t="s">
        <v>57</v>
      </c>
      <c r="AT49" s="66"/>
      <c r="AU49" s="66"/>
    </row>
    <row r="50" spans="1:47">
      <c r="A50" s="63" t="s">
        <v>412</v>
      </c>
      <c r="B50" s="63">
        <v>6285729336</v>
      </c>
      <c r="C50" s="63" t="s">
        <v>94</v>
      </c>
      <c r="D50" s="63" t="s">
        <v>225</v>
      </c>
      <c r="E50" s="64">
        <v>0.3</v>
      </c>
      <c r="F50" s="63" t="s">
        <v>70</v>
      </c>
      <c r="G50" s="65">
        <v>17262</v>
      </c>
      <c r="H50" s="63" t="s">
        <v>55</v>
      </c>
      <c r="I50" s="66" t="s">
        <v>40</v>
      </c>
      <c r="J50" s="66" t="s">
        <v>56</v>
      </c>
      <c r="K50" s="66"/>
      <c r="L50" s="66"/>
      <c r="M50" s="66" t="s">
        <v>57</v>
      </c>
      <c r="N50" s="66" t="s">
        <v>57</v>
      </c>
      <c r="O50" s="66" t="s">
        <v>57</v>
      </c>
      <c r="P50" s="66" t="s">
        <v>413</v>
      </c>
      <c r="Q50" s="66" t="s">
        <v>59</v>
      </c>
      <c r="R50" s="66"/>
      <c r="S50" s="66"/>
      <c r="T50" s="66"/>
      <c r="U50" s="66"/>
      <c r="V50" s="66"/>
      <c r="W50" s="66"/>
      <c r="X50" s="66"/>
      <c r="Y50" s="66"/>
      <c r="Z50" s="66"/>
      <c r="AA50" s="66"/>
      <c r="AB50" s="66"/>
      <c r="AC50" s="66"/>
      <c r="AD50" s="66"/>
      <c r="AE50" s="66"/>
      <c r="AF50" s="66"/>
      <c r="AG50" s="66"/>
      <c r="AH50" s="66" t="s">
        <v>57</v>
      </c>
      <c r="AI50" s="66" t="s">
        <v>57</v>
      </c>
      <c r="AJ50" s="66" t="s">
        <v>57</v>
      </c>
      <c r="AK50" s="66" t="s">
        <v>57</v>
      </c>
      <c r="AL50" s="66" t="s">
        <v>57</v>
      </c>
      <c r="AM50" s="66" t="s">
        <v>57</v>
      </c>
      <c r="AN50" s="66" t="s">
        <v>57</v>
      </c>
      <c r="AO50" s="66" t="s">
        <v>57</v>
      </c>
      <c r="AP50" s="66" t="s">
        <v>57</v>
      </c>
      <c r="AQ50" s="66" t="s">
        <v>57</v>
      </c>
      <c r="AR50" s="66" t="s">
        <v>57</v>
      </c>
      <c r="AS50" s="66" t="s">
        <v>57</v>
      </c>
      <c r="AT50" s="66"/>
      <c r="AU50" s="66"/>
    </row>
    <row r="51" spans="1:47">
      <c r="A51" s="63" t="s">
        <v>414</v>
      </c>
      <c r="B51" s="63">
        <v>4583708823</v>
      </c>
      <c r="C51" s="63" t="s">
        <v>353</v>
      </c>
      <c r="D51" s="63" t="s">
        <v>225</v>
      </c>
      <c r="E51" s="64" t="s">
        <v>415</v>
      </c>
      <c r="F51" s="63" t="s">
        <v>70</v>
      </c>
      <c r="G51" s="65">
        <v>20608</v>
      </c>
      <c r="H51" s="63" t="s">
        <v>55</v>
      </c>
      <c r="I51" s="66" t="s">
        <v>40</v>
      </c>
      <c r="J51" s="66" t="s">
        <v>56</v>
      </c>
      <c r="K51" s="66"/>
      <c r="L51" s="66"/>
      <c r="M51" s="66" t="s">
        <v>57</v>
      </c>
      <c r="N51" s="66" t="s">
        <v>57</v>
      </c>
      <c r="O51" s="66" t="s">
        <v>57</v>
      </c>
      <c r="P51" s="66" t="s">
        <v>416</v>
      </c>
      <c r="Q51" s="66" t="s">
        <v>59</v>
      </c>
      <c r="R51" s="66"/>
      <c r="S51" s="66"/>
      <c r="T51" s="66"/>
      <c r="U51" s="66"/>
      <c r="V51" s="66"/>
      <c r="W51" s="66"/>
      <c r="X51" s="66"/>
      <c r="Y51" s="66"/>
      <c r="Z51" s="66"/>
      <c r="AA51" s="66"/>
      <c r="AB51" s="66"/>
      <c r="AC51" s="66"/>
      <c r="AD51" s="66"/>
      <c r="AE51" s="66"/>
      <c r="AF51" s="66"/>
      <c r="AG51" s="66"/>
      <c r="AH51" s="66" t="s">
        <v>57</v>
      </c>
      <c r="AI51" s="66" t="s">
        <v>57</v>
      </c>
      <c r="AJ51" s="66" t="s">
        <v>57</v>
      </c>
      <c r="AK51" s="66" t="s">
        <v>57</v>
      </c>
      <c r="AL51" s="66" t="s">
        <v>57</v>
      </c>
      <c r="AM51" s="66" t="s">
        <v>57</v>
      </c>
      <c r="AN51" s="66" t="s">
        <v>57</v>
      </c>
      <c r="AO51" s="66" t="s">
        <v>57</v>
      </c>
      <c r="AP51" s="66" t="s">
        <v>57</v>
      </c>
      <c r="AQ51" s="66" t="s">
        <v>57</v>
      </c>
      <c r="AR51" s="66" t="s">
        <v>57</v>
      </c>
      <c r="AS51" s="66" t="s">
        <v>57</v>
      </c>
      <c r="AT51" s="66"/>
      <c r="AU51" s="66"/>
    </row>
    <row r="52" spans="1:47">
      <c r="A52" s="63" t="s">
        <v>419</v>
      </c>
      <c r="B52" s="63">
        <v>4127072784</v>
      </c>
      <c r="C52" s="63" t="s">
        <v>384</v>
      </c>
      <c r="D52" s="63" t="s">
        <v>225</v>
      </c>
      <c r="E52" s="64">
        <v>0.4</v>
      </c>
      <c r="F52" s="63" t="s">
        <v>70</v>
      </c>
      <c r="G52" s="65">
        <v>31798</v>
      </c>
      <c r="H52" s="63" t="s">
        <v>55</v>
      </c>
      <c r="I52" s="66" t="s">
        <v>40</v>
      </c>
      <c r="J52" s="66"/>
      <c r="K52" s="66"/>
      <c r="L52" s="66" t="s">
        <v>56</v>
      </c>
      <c r="M52" s="66" t="s">
        <v>57</v>
      </c>
      <c r="N52" s="66" t="s">
        <v>57</v>
      </c>
      <c r="O52" s="66" t="s">
        <v>57</v>
      </c>
      <c r="P52" s="66" t="s">
        <v>420</v>
      </c>
      <c r="Q52" s="66" t="s">
        <v>59</v>
      </c>
      <c r="R52" s="66"/>
      <c r="S52" s="66"/>
      <c r="T52" s="66"/>
      <c r="U52" s="66"/>
      <c r="V52" s="66"/>
      <c r="W52" s="66"/>
      <c r="X52" s="66"/>
      <c r="Y52" s="66"/>
      <c r="Z52" s="66"/>
      <c r="AA52" s="66"/>
      <c r="AB52" s="66"/>
      <c r="AC52" s="66"/>
      <c r="AD52" s="66"/>
      <c r="AE52" s="66"/>
      <c r="AF52" s="66"/>
      <c r="AG52" s="66"/>
      <c r="AH52" s="66" t="s">
        <v>57</v>
      </c>
      <c r="AI52" s="66" t="s">
        <v>57</v>
      </c>
      <c r="AJ52" s="66" t="s">
        <v>57</v>
      </c>
      <c r="AK52" s="66" t="s">
        <v>57</v>
      </c>
      <c r="AL52" s="66" t="s">
        <v>57</v>
      </c>
      <c r="AM52" s="66" t="s">
        <v>57</v>
      </c>
      <c r="AN52" s="66" t="s">
        <v>57</v>
      </c>
      <c r="AO52" s="66" t="s">
        <v>57</v>
      </c>
      <c r="AP52" s="66" t="s">
        <v>57</v>
      </c>
      <c r="AQ52" s="66" t="s">
        <v>57</v>
      </c>
      <c r="AR52" s="66" t="s">
        <v>57</v>
      </c>
      <c r="AS52" s="66" t="s">
        <v>57</v>
      </c>
      <c r="AT52" s="66"/>
      <c r="AU52" s="66"/>
    </row>
    <row r="53" spans="1:47">
      <c r="A53" s="63" t="s">
        <v>422</v>
      </c>
      <c r="B53" s="63">
        <v>4582710042</v>
      </c>
      <c r="C53" s="63" t="s">
        <v>272</v>
      </c>
      <c r="D53" s="63" t="s">
        <v>225</v>
      </c>
      <c r="E53" s="64">
        <v>0.5</v>
      </c>
      <c r="F53" s="63" t="s">
        <v>158</v>
      </c>
      <c r="G53" s="65">
        <v>19888</v>
      </c>
      <c r="H53" s="63" t="s">
        <v>55</v>
      </c>
      <c r="I53" s="66" t="s">
        <v>40</v>
      </c>
      <c r="J53" s="66" t="s">
        <v>56</v>
      </c>
      <c r="K53" s="66"/>
      <c r="L53" s="66"/>
      <c r="M53" s="66" t="s">
        <v>57</v>
      </c>
      <c r="N53" s="66" t="s">
        <v>57</v>
      </c>
      <c r="O53" s="66" t="s">
        <v>57</v>
      </c>
      <c r="P53" s="66" t="s">
        <v>423</v>
      </c>
      <c r="Q53" s="66" t="s">
        <v>59</v>
      </c>
      <c r="R53" s="66"/>
      <c r="S53" s="66"/>
      <c r="T53" s="66"/>
      <c r="U53" s="66"/>
      <c r="V53" s="66"/>
      <c r="W53" s="66"/>
      <c r="X53" s="66"/>
      <c r="Y53" s="66"/>
      <c r="Z53" s="66"/>
      <c r="AA53" s="66"/>
      <c r="AB53" s="66"/>
      <c r="AC53" s="66"/>
      <c r="AD53" s="66"/>
      <c r="AE53" s="66"/>
      <c r="AF53" s="66"/>
      <c r="AG53" s="66"/>
      <c r="AH53" s="66" t="s">
        <v>57</v>
      </c>
      <c r="AI53" s="66" t="s">
        <v>57</v>
      </c>
      <c r="AJ53" s="66" t="s">
        <v>57</v>
      </c>
      <c r="AK53" s="66" t="s">
        <v>57</v>
      </c>
      <c r="AL53" s="66" t="s">
        <v>57</v>
      </c>
      <c r="AM53" s="66" t="s">
        <v>57</v>
      </c>
      <c r="AN53" s="66" t="s">
        <v>57</v>
      </c>
      <c r="AO53" s="66" t="s">
        <v>57</v>
      </c>
      <c r="AP53" s="66" t="s">
        <v>57</v>
      </c>
      <c r="AQ53" s="66" t="s">
        <v>57</v>
      </c>
      <c r="AR53" s="66" t="s">
        <v>57</v>
      </c>
      <c r="AS53" s="66" t="s">
        <v>57</v>
      </c>
      <c r="AT53" s="66"/>
      <c r="AU53" s="66"/>
    </row>
    <row r="54" spans="1:47">
      <c r="A54" s="63" t="s">
        <v>424</v>
      </c>
      <c r="B54" s="63">
        <v>4722242569</v>
      </c>
      <c r="C54" s="63" t="s">
        <v>94</v>
      </c>
      <c r="D54" s="63" t="s">
        <v>225</v>
      </c>
      <c r="E54" s="64">
        <v>0.8</v>
      </c>
      <c r="F54" s="63" t="s">
        <v>158</v>
      </c>
      <c r="G54" s="65">
        <v>27094</v>
      </c>
      <c r="H54" s="63" t="s">
        <v>47</v>
      </c>
      <c r="I54" s="66" t="s">
        <v>40</v>
      </c>
      <c r="J54" s="66" t="s">
        <v>56</v>
      </c>
      <c r="K54" s="66"/>
      <c r="L54" s="66"/>
      <c r="M54" s="66" t="s">
        <v>57</v>
      </c>
      <c r="N54" s="66" t="s">
        <v>57</v>
      </c>
      <c r="O54" s="66" t="s">
        <v>57</v>
      </c>
      <c r="P54" s="66" t="s">
        <v>425</v>
      </c>
      <c r="Q54" s="66" t="s">
        <v>59</v>
      </c>
      <c r="R54" s="66"/>
      <c r="S54" s="66"/>
      <c r="T54" s="66"/>
      <c r="U54" s="66"/>
      <c r="V54" s="66"/>
      <c r="W54" s="66"/>
      <c r="X54" s="66"/>
      <c r="Y54" s="66"/>
      <c r="Z54" s="66"/>
      <c r="AA54" s="66"/>
      <c r="AB54" s="66"/>
      <c r="AC54" s="66"/>
      <c r="AD54" s="66"/>
      <c r="AE54" s="66"/>
      <c r="AF54" s="66"/>
      <c r="AG54" s="66"/>
      <c r="AH54" s="66" t="s">
        <v>57</v>
      </c>
      <c r="AI54" s="66" t="s">
        <v>57</v>
      </c>
      <c r="AJ54" s="66" t="s">
        <v>57</v>
      </c>
      <c r="AK54" s="66" t="s">
        <v>57</v>
      </c>
      <c r="AL54" s="66" t="s">
        <v>57</v>
      </c>
      <c r="AM54" s="66" t="s">
        <v>57</v>
      </c>
      <c r="AN54" s="66" t="s">
        <v>57</v>
      </c>
      <c r="AO54" s="66" t="s">
        <v>57</v>
      </c>
      <c r="AP54" s="66" t="s">
        <v>57</v>
      </c>
      <c r="AQ54" s="66" t="s">
        <v>57</v>
      </c>
      <c r="AR54" s="66" t="s">
        <v>57</v>
      </c>
      <c r="AS54" s="66" t="s">
        <v>57</v>
      </c>
      <c r="AT54" s="66"/>
      <c r="AU54" s="66"/>
    </row>
    <row r="55" spans="1:47">
      <c r="A55" s="63" t="s">
        <v>426</v>
      </c>
      <c r="B55" s="63">
        <v>4089902940</v>
      </c>
      <c r="C55" s="63" t="s">
        <v>88</v>
      </c>
      <c r="D55" s="63" t="s">
        <v>225</v>
      </c>
      <c r="E55" s="64" t="s">
        <v>427</v>
      </c>
      <c r="F55" s="63" t="s">
        <v>158</v>
      </c>
      <c r="G55" s="65">
        <v>18170</v>
      </c>
      <c r="H55" s="63" t="s">
        <v>47</v>
      </c>
      <c r="I55" s="66" t="s">
        <v>40</v>
      </c>
      <c r="J55" s="66" t="s">
        <v>56</v>
      </c>
      <c r="K55" s="66"/>
      <c r="L55" s="66"/>
      <c r="M55" s="66" t="s">
        <v>57</v>
      </c>
      <c r="N55" s="66" t="s">
        <v>57</v>
      </c>
      <c r="O55" s="66" t="s">
        <v>57</v>
      </c>
      <c r="P55" s="66" t="s">
        <v>428</v>
      </c>
      <c r="Q55" s="66" t="s">
        <v>59</v>
      </c>
      <c r="R55" s="66"/>
      <c r="S55" s="66"/>
      <c r="T55" s="66"/>
      <c r="U55" s="66"/>
      <c r="V55" s="66"/>
      <c r="W55" s="66"/>
      <c r="X55" s="66"/>
      <c r="Y55" s="66"/>
      <c r="Z55" s="66"/>
      <c r="AA55" s="66"/>
      <c r="AB55" s="66"/>
      <c r="AC55" s="66"/>
      <c r="AD55" s="66"/>
      <c r="AE55" s="66"/>
      <c r="AF55" s="66"/>
      <c r="AG55" s="66"/>
      <c r="AH55" s="66" t="s">
        <v>57</v>
      </c>
      <c r="AI55" s="66" t="s">
        <v>57</v>
      </c>
      <c r="AJ55" s="66" t="s">
        <v>57</v>
      </c>
      <c r="AK55" s="66" t="s">
        <v>57</v>
      </c>
      <c r="AL55" s="66" t="s">
        <v>57</v>
      </c>
      <c r="AM55" s="66" t="s">
        <v>57</v>
      </c>
      <c r="AN55" s="66" t="s">
        <v>57</v>
      </c>
      <c r="AO55" s="66" t="s">
        <v>57</v>
      </c>
      <c r="AP55" s="66" t="s">
        <v>57</v>
      </c>
      <c r="AQ55" s="66" t="s">
        <v>57</v>
      </c>
      <c r="AR55" s="66" t="s">
        <v>57</v>
      </c>
      <c r="AS55" s="66" t="s">
        <v>57</v>
      </c>
      <c r="AT55" s="66"/>
      <c r="AU55" s="66"/>
    </row>
    <row r="56" spans="1:47">
      <c r="A56" s="63" t="s">
        <v>429</v>
      </c>
      <c r="B56" s="63">
        <v>4569356338</v>
      </c>
      <c r="C56" s="63" t="s">
        <v>430</v>
      </c>
      <c r="D56" s="63" t="s">
        <v>225</v>
      </c>
      <c r="E56" s="64">
        <v>0.3</v>
      </c>
      <c r="F56" s="63" t="s">
        <v>158</v>
      </c>
      <c r="G56" s="65">
        <v>21013</v>
      </c>
      <c r="H56" s="63" t="s">
        <v>55</v>
      </c>
      <c r="I56" s="66" t="s">
        <v>40</v>
      </c>
      <c r="J56" s="66"/>
      <c r="K56" s="66"/>
      <c r="L56" s="66" t="s">
        <v>56</v>
      </c>
      <c r="M56" s="66" t="s">
        <v>57</v>
      </c>
      <c r="N56" s="66" t="s">
        <v>57</v>
      </c>
      <c r="O56" s="66" t="s">
        <v>57</v>
      </c>
      <c r="P56" s="66" t="s">
        <v>431</v>
      </c>
      <c r="Q56" s="66" t="s">
        <v>59</v>
      </c>
      <c r="R56" s="66"/>
      <c r="S56" s="66"/>
      <c r="T56" s="66"/>
      <c r="U56" s="66"/>
      <c r="V56" s="66"/>
      <c r="W56" s="66"/>
      <c r="X56" s="66"/>
      <c r="Y56" s="66"/>
      <c r="Z56" s="66"/>
      <c r="AA56" s="66"/>
      <c r="AB56" s="66"/>
      <c r="AC56" s="66"/>
      <c r="AD56" s="66"/>
      <c r="AE56" s="66"/>
      <c r="AF56" s="66"/>
      <c r="AG56" s="66"/>
      <c r="AH56" s="66" t="s">
        <v>57</v>
      </c>
      <c r="AI56" s="66" t="s">
        <v>57</v>
      </c>
      <c r="AJ56" s="66" t="s">
        <v>57</v>
      </c>
      <c r="AK56" s="66" t="s">
        <v>57</v>
      </c>
      <c r="AL56" s="66" t="s">
        <v>57</v>
      </c>
      <c r="AM56" s="66" t="s">
        <v>57</v>
      </c>
      <c r="AN56" s="66" t="s">
        <v>57</v>
      </c>
      <c r="AO56" s="66" t="s">
        <v>57</v>
      </c>
      <c r="AP56" s="66" t="s">
        <v>57</v>
      </c>
      <c r="AQ56" s="66" t="s">
        <v>57</v>
      </c>
      <c r="AR56" s="66" t="s">
        <v>57</v>
      </c>
      <c r="AS56" s="66" t="s">
        <v>57</v>
      </c>
      <c r="AT56" s="66"/>
      <c r="AU56" s="66"/>
    </row>
    <row r="57" spans="1:47">
      <c r="A57" s="63" t="s">
        <v>433</v>
      </c>
      <c r="B57" s="63">
        <v>4508291104</v>
      </c>
      <c r="C57" s="63" t="s">
        <v>249</v>
      </c>
      <c r="D57" s="63" t="s">
        <v>225</v>
      </c>
      <c r="E57" s="64">
        <v>0.7</v>
      </c>
      <c r="F57" s="63" t="s">
        <v>158</v>
      </c>
      <c r="G57" s="65">
        <v>17647</v>
      </c>
      <c r="H57" s="63" t="s">
        <v>55</v>
      </c>
      <c r="I57" s="66" t="s">
        <v>40</v>
      </c>
      <c r="J57" s="66"/>
      <c r="K57" s="66"/>
      <c r="L57" s="66" t="s">
        <v>56</v>
      </c>
      <c r="M57" s="66" t="s">
        <v>57</v>
      </c>
      <c r="N57" s="66" t="s">
        <v>57</v>
      </c>
      <c r="O57" s="66" t="s">
        <v>57</v>
      </c>
      <c r="P57" s="66" t="s">
        <v>434</v>
      </c>
      <c r="Q57" s="66" t="s">
        <v>59</v>
      </c>
      <c r="R57" s="66"/>
      <c r="S57" s="66"/>
      <c r="T57" s="66"/>
      <c r="U57" s="66"/>
      <c r="V57" s="66"/>
      <c r="W57" s="66"/>
      <c r="X57" s="66"/>
      <c r="Y57" s="66"/>
      <c r="Z57" s="66"/>
      <c r="AA57" s="66"/>
      <c r="AB57" s="66"/>
      <c r="AC57" s="66"/>
      <c r="AD57" s="66"/>
      <c r="AE57" s="66"/>
      <c r="AF57" s="66"/>
      <c r="AG57" s="66"/>
      <c r="AH57" s="66" t="s">
        <v>57</v>
      </c>
      <c r="AI57" s="66" t="s">
        <v>57</v>
      </c>
      <c r="AJ57" s="66" t="s">
        <v>57</v>
      </c>
      <c r="AK57" s="66" t="s">
        <v>57</v>
      </c>
      <c r="AL57" s="66" t="s">
        <v>57</v>
      </c>
      <c r="AM57" s="66" t="s">
        <v>57</v>
      </c>
      <c r="AN57" s="66" t="s">
        <v>57</v>
      </c>
      <c r="AO57" s="66" t="s">
        <v>57</v>
      </c>
      <c r="AP57" s="66" t="s">
        <v>57</v>
      </c>
      <c r="AQ57" s="66" t="s">
        <v>57</v>
      </c>
      <c r="AR57" s="66" t="s">
        <v>57</v>
      </c>
      <c r="AS57" s="66" t="s">
        <v>57</v>
      </c>
      <c r="AT57" s="66"/>
      <c r="AU57" s="66"/>
    </row>
    <row r="58" spans="1:47">
      <c r="A58" s="63" t="s">
        <v>437</v>
      </c>
      <c r="B58" s="63">
        <v>4087950905</v>
      </c>
      <c r="C58" s="63" t="s">
        <v>438</v>
      </c>
      <c r="D58" s="63" t="s">
        <v>225</v>
      </c>
      <c r="E58" s="64">
        <v>0.4</v>
      </c>
      <c r="F58" s="63" t="s">
        <v>158</v>
      </c>
      <c r="G58" s="65">
        <v>27412</v>
      </c>
      <c r="H58" s="63" t="s">
        <v>55</v>
      </c>
      <c r="I58" s="66" t="s">
        <v>40</v>
      </c>
      <c r="J58" s="66"/>
      <c r="K58" s="66"/>
      <c r="L58" s="66" t="s">
        <v>56</v>
      </c>
      <c r="M58" s="66" t="s">
        <v>57</v>
      </c>
      <c r="N58" s="66" t="s">
        <v>57</v>
      </c>
      <c r="O58" s="66" t="s">
        <v>57</v>
      </c>
      <c r="P58" s="66" t="s">
        <v>439</v>
      </c>
      <c r="Q58" s="66" t="s">
        <v>59</v>
      </c>
      <c r="R58" s="66"/>
      <c r="S58" s="66"/>
      <c r="T58" s="66"/>
      <c r="U58" s="66"/>
      <c r="V58" s="66"/>
      <c r="W58" s="66"/>
      <c r="X58" s="66"/>
      <c r="Y58" s="66"/>
      <c r="Z58" s="66"/>
      <c r="AA58" s="66"/>
      <c r="AB58" s="66"/>
      <c r="AC58" s="66"/>
      <c r="AD58" s="66"/>
      <c r="AE58" s="66"/>
      <c r="AF58" s="66"/>
      <c r="AG58" s="66"/>
      <c r="AH58" s="66" t="s">
        <v>57</v>
      </c>
      <c r="AI58" s="66" t="s">
        <v>57</v>
      </c>
      <c r="AJ58" s="66" t="s">
        <v>57</v>
      </c>
      <c r="AK58" s="66" t="s">
        <v>57</v>
      </c>
      <c r="AL58" s="66" t="s">
        <v>57</v>
      </c>
      <c r="AM58" s="66" t="s">
        <v>57</v>
      </c>
      <c r="AN58" s="66" t="s">
        <v>57</v>
      </c>
      <c r="AO58" s="66" t="s">
        <v>57</v>
      </c>
      <c r="AP58" s="66" t="s">
        <v>57</v>
      </c>
      <c r="AQ58" s="66" t="s">
        <v>57</v>
      </c>
      <c r="AR58" s="66" t="s">
        <v>57</v>
      </c>
      <c r="AS58" s="66" t="s">
        <v>57</v>
      </c>
      <c r="AT58" s="66"/>
      <c r="AU58" s="66"/>
    </row>
    <row r="59" spans="1:47">
      <c r="A59" s="63" t="s">
        <v>444</v>
      </c>
      <c r="B59" s="63">
        <v>4848769809</v>
      </c>
      <c r="C59" s="63" t="s">
        <v>445</v>
      </c>
      <c r="D59" s="63" t="s">
        <v>225</v>
      </c>
      <c r="E59" s="64">
        <v>0.4</v>
      </c>
      <c r="F59" s="63" t="s">
        <v>158</v>
      </c>
      <c r="G59" s="65">
        <v>21498</v>
      </c>
      <c r="H59" s="63" t="s">
        <v>47</v>
      </c>
      <c r="I59" s="66" t="s">
        <v>40</v>
      </c>
      <c r="J59" s="66" t="s">
        <v>56</v>
      </c>
      <c r="K59" s="66"/>
      <c r="L59" s="66"/>
      <c r="M59" s="66" t="s">
        <v>57</v>
      </c>
      <c r="N59" s="66" t="s">
        <v>57</v>
      </c>
      <c r="O59" s="66" t="s">
        <v>57</v>
      </c>
      <c r="P59" s="66" t="s">
        <v>446</v>
      </c>
      <c r="Q59" s="66" t="s">
        <v>59</v>
      </c>
      <c r="R59" s="66"/>
      <c r="S59" s="66"/>
      <c r="T59" s="66"/>
      <c r="U59" s="66"/>
      <c r="V59" s="66"/>
      <c r="W59" s="66"/>
      <c r="X59" s="66"/>
      <c r="Y59" s="66"/>
      <c r="Z59" s="66"/>
      <c r="AA59" s="66"/>
      <c r="AB59" s="66"/>
      <c r="AC59" s="66"/>
      <c r="AD59" s="66"/>
      <c r="AE59" s="66"/>
      <c r="AF59" s="66"/>
      <c r="AG59" s="66"/>
      <c r="AH59" s="66" t="s">
        <v>57</v>
      </c>
      <c r="AI59" s="66" t="s">
        <v>57</v>
      </c>
      <c r="AJ59" s="66" t="s">
        <v>57</v>
      </c>
      <c r="AK59" s="66" t="s">
        <v>57</v>
      </c>
      <c r="AL59" s="66" t="s">
        <v>57</v>
      </c>
      <c r="AM59" s="66" t="s">
        <v>57</v>
      </c>
      <c r="AN59" s="66" t="s">
        <v>57</v>
      </c>
      <c r="AO59" s="66" t="s">
        <v>57</v>
      </c>
      <c r="AP59" s="66" t="s">
        <v>57</v>
      </c>
      <c r="AQ59" s="66" t="s">
        <v>57</v>
      </c>
      <c r="AR59" s="66" t="s">
        <v>57</v>
      </c>
      <c r="AS59" s="66" t="s">
        <v>57</v>
      </c>
      <c r="AT59" s="66"/>
      <c r="AU59" s="66"/>
    </row>
    <row r="60" spans="1:47">
      <c r="A60" s="63" t="s">
        <v>452</v>
      </c>
      <c r="B60" s="63">
        <v>6049665699</v>
      </c>
      <c r="C60" s="63" t="s">
        <v>88</v>
      </c>
      <c r="D60" s="63" t="s">
        <v>225</v>
      </c>
      <c r="E60" s="64">
        <v>0.4</v>
      </c>
      <c r="F60" s="63" t="s">
        <v>158</v>
      </c>
      <c r="G60" s="65">
        <v>19313</v>
      </c>
      <c r="H60" s="63" t="s">
        <v>55</v>
      </c>
      <c r="I60" s="66" t="s">
        <v>40</v>
      </c>
      <c r="J60" s="66" t="s">
        <v>56</v>
      </c>
      <c r="K60" s="66"/>
      <c r="L60" s="66"/>
      <c r="M60" s="66" t="s">
        <v>57</v>
      </c>
      <c r="N60" s="66" t="s">
        <v>57</v>
      </c>
      <c r="O60" s="66" t="s">
        <v>57</v>
      </c>
      <c r="P60" s="66" t="s">
        <v>453</v>
      </c>
      <c r="Q60" s="66" t="s">
        <v>59</v>
      </c>
      <c r="R60" s="66"/>
      <c r="S60" s="66"/>
      <c r="T60" s="66"/>
      <c r="U60" s="66"/>
      <c r="V60" s="66"/>
      <c r="W60" s="66"/>
      <c r="X60" s="66"/>
      <c r="Y60" s="66"/>
      <c r="Z60" s="66"/>
      <c r="AA60" s="66"/>
      <c r="AB60" s="66"/>
      <c r="AC60" s="66"/>
      <c r="AD60" s="66"/>
      <c r="AE60" s="66"/>
      <c r="AF60" s="66"/>
      <c r="AG60" s="66"/>
      <c r="AH60" s="66" t="s">
        <v>57</v>
      </c>
      <c r="AI60" s="66" t="s">
        <v>57</v>
      </c>
      <c r="AJ60" s="66" t="s">
        <v>57</v>
      </c>
      <c r="AK60" s="66" t="s">
        <v>57</v>
      </c>
      <c r="AL60" s="66" t="s">
        <v>57</v>
      </c>
      <c r="AM60" s="66" t="s">
        <v>57</v>
      </c>
      <c r="AN60" s="66" t="s">
        <v>57</v>
      </c>
      <c r="AO60" s="66" t="s">
        <v>57</v>
      </c>
      <c r="AP60" s="66" t="s">
        <v>57</v>
      </c>
      <c r="AQ60" s="66" t="s">
        <v>57</v>
      </c>
      <c r="AR60" s="66" t="s">
        <v>57</v>
      </c>
      <c r="AS60" s="66" t="s">
        <v>57</v>
      </c>
      <c r="AT60" s="66"/>
      <c r="AU60" s="66"/>
    </row>
    <row r="61" spans="1:47">
      <c r="A61" s="63" t="s">
        <v>456</v>
      </c>
      <c r="B61" s="63">
        <v>4382783526</v>
      </c>
      <c r="C61" s="63" t="s">
        <v>168</v>
      </c>
      <c r="D61" s="63" t="s">
        <v>225</v>
      </c>
      <c r="E61" s="64">
        <v>0.7</v>
      </c>
      <c r="F61" s="63" t="s">
        <v>158</v>
      </c>
      <c r="G61" s="65">
        <v>15433</v>
      </c>
      <c r="H61" s="63" t="s">
        <v>55</v>
      </c>
      <c r="I61" s="66" t="s">
        <v>40</v>
      </c>
      <c r="J61" s="66"/>
      <c r="K61" s="66"/>
      <c r="L61" s="66" t="s">
        <v>56</v>
      </c>
      <c r="M61" s="66" t="s">
        <v>57</v>
      </c>
      <c r="N61" s="66" t="s">
        <v>57</v>
      </c>
      <c r="O61" s="66" t="s">
        <v>57</v>
      </c>
      <c r="P61" s="66" t="s">
        <v>457</v>
      </c>
      <c r="Q61" s="66" t="s">
        <v>59</v>
      </c>
      <c r="R61" s="66"/>
      <c r="S61" s="66"/>
      <c r="T61" s="66"/>
      <c r="U61" s="66"/>
      <c r="V61" s="66"/>
      <c r="W61" s="66"/>
      <c r="X61" s="66"/>
      <c r="Y61" s="66"/>
      <c r="Z61" s="66"/>
      <c r="AA61" s="66"/>
      <c r="AB61" s="66"/>
      <c r="AC61" s="66"/>
      <c r="AD61" s="66"/>
      <c r="AE61" s="66"/>
      <c r="AF61" s="66"/>
      <c r="AG61" s="66"/>
      <c r="AH61" s="66" t="s">
        <v>57</v>
      </c>
      <c r="AI61" s="66" t="s">
        <v>57</v>
      </c>
      <c r="AJ61" s="66" t="s">
        <v>57</v>
      </c>
      <c r="AK61" s="66" t="s">
        <v>57</v>
      </c>
      <c r="AL61" s="66" t="s">
        <v>57</v>
      </c>
      <c r="AM61" s="66" t="s">
        <v>57</v>
      </c>
      <c r="AN61" s="66" t="s">
        <v>57</v>
      </c>
      <c r="AO61" s="66" t="s">
        <v>57</v>
      </c>
      <c r="AP61" s="66" t="s">
        <v>57</v>
      </c>
      <c r="AQ61" s="66" t="s">
        <v>57</v>
      </c>
      <c r="AR61" s="66" t="s">
        <v>57</v>
      </c>
      <c r="AS61" s="66" t="s">
        <v>57</v>
      </c>
      <c r="AT61" s="66"/>
      <c r="AU61" s="66"/>
    </row>
    <row r="62" spans="1:47">
      <c r="A62" s="63"/>
      <c r="B62" s="63"/>
      <c r="C62" s="63"/>
      <c r="D62" s="63"/>
      <c r="E62" s="63"/>
      <c r="F62" s="63"/>
      <c r="G62" s="65"/>
      <c r="H62" s="63"/>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row>
    <row r="63" spans="1:47" ht="15.75" thickBot="1">
      <c r="A63" s="75">
        <f>COUNTA(A2:A61)</f>
        <v>60</v>
      </c>
      <c r="B63" s="75">
        <f t="shared" ref="B63:AU63" si="0">COUNTA(B2:B61)</f>
        <v>60</v>
      </c>
      <c r="C63" s="75">
        <f t="shared" si="0"/>
        <v>60</v>
      </c>
      <c r="D63" s="75">
        <f t="shared" si="0"/>
        <v>60</v>
      </c>
      <c r="E63" s="75">
        <f t="shared" si="0"/>
        <v>60</v>
      </c>
      <c r="F63" s="75">
        <f t="shared" si="0"/>
        <v>60</v>
      </c>
      <c r="G63" s="75">
        <f t="shared" si="0"/>
        <v>60</v>
      </c>
      <c r="H63" s="75">
        <f t="shared" si="0"/>
        <v>60</v>
      </c>
      <c r="I63" s="75">
        <f t="shared" si="0"/>
        <v>60</v>
      </c>
      <c r="J63" s="75">
        <f t="shared" si="0"/>
        <v>30</v>
      </c>
      <c r="K63" s="75">
        <f t="shared" si="0"/>
        <v>0</v>
      </c>
      <c r="L63" s="75">
        <f t="shared" si="0"/>
        <v>30</v>
      </c>
      <c r="M63" s="75">
        <f t="shared" si="0"/>
        <v>60</v>
      </c>
      <c r="N63" s="75">
        <f t="shared" si="0"/>
        <v>60</v>
      </c>
      <c r="O63" s="75">
        <f t="shared" si="0"/>
        <v>60</v>
      </c>
      <c r="P63" s="75">
        <f t="shared" si="0"/>
        <v>55</v>
      </c>
      <c r="Q63" s="75">
        <f t="shared" si="0"/>
        <v>55</v>
      </c>
      <c r="R63" s="75">
        <f t="shared" si="0"/>
        <v>7</v>
      </c>
      <c r="S63" s="75">
        <f t="shared" si="0"/>
        <v>0</v>
      </c>
      <c r="T63" s="75">
        <f t="shared" si="0"/>
        <v>0</v>
      </c>
      <c r="U63" s="75">
        <f t="shared" si="0"/>
        <v>0</v>
      </c>
      <c r="V63" s="75">
        <f t="shared" si="0"/>
        <v>0</v>
      </c>
      <c r="W63" s="75">
        <f t="shared" si="0"/>
        <v>0</v>
      </c>
      <c r="X63" s="75">
        <f t="shared" si="0"/>
        <v>0</v>
      </c>
      <c r="Y63" s="75">
        <f t="shared" si="0"/>
        <v>0</v>
      </c>
      <c r="Z63" s="75">
        <f t="shared" si="0"/>
        <v>0</v>
      </c>
      <c r="AA63" s="75">
        <f t="shared" si="0"/>
        <v>0</v>
      </c>
      <c r="AB63" s="75">
        <f t="shared" si="0"/>
        <v>0</v>
      </c>
      <c r="AC63" s="75">
        <f t="shared" si="0"/>
        <v>0</v>
      </c>
      <c r="AD63" s="75">
        <f t="shared" si="0"/>
        <v>0</v>
      </c>
      <c r="AE63" s="75">
        <f t="shared" si="0"/>
        <v>0</v>
      </c>
      <c r="AF63" s="75">
        <f t="shared" si="0"/>
        <v>0</v>
      </c>
      <c r="AG63" s="75">
        <f t="shared" si="0"/>
        <v>0</v>
      </c>
      <c r="AH63" s="75">
        <f t="shared" si="0"/>
        <v>60</v>
      </c>
      <c r="AI63" s="75">
        <f t="shared" si="0"/>
        <v>60</v>
      </c>
      <c r="AJ63" s="75">
        <f t="shared" si="0"/>
        <v>60</v>
      </c>
      <c r="AK63" s="75">
        <f t="shared" si="0"/>
        <v>60</v>
      </c>
      <c r="AL63" s="75">
        <f t="shared" si="0"/>
        <v>60</v>
      </c>
      <c r="AM63" s="75">
        <f t="shared" si="0"/>
        <v>60</v>
      </c>
      <c r="AN63" s="75">
        <f t="shared" si="0"/>
        <v>60</v>
      </c>
      <c r="AO63" s="75">
        <f t="shared" si="0"/>
        <v>60</v>
      </c>
      <c r="AP63" s="75">
        <f t="shared" si="0"/>
        <v>60</v>
      </c>
      <c r="AQ63" s="75">
        <f t="shared" si="0"/>
        <v>60</v>
      </c>
      <c r="AR63" s="75">
        <f t="shared" si="0"/>
        <v>60</v>
      </c>
      <c r="AS63" s="75">
        <f t="shared" si="0"/>
        <v>60</v>
      </c>
      <c r="AT63" s="75">
        <f t="shared" si="0"/>
        <v>0</v>
      </c>
      <c r="AU63" s="75">
        <f t="shared" si="0"/>
        <v>0</v>
      </c>
    </row>
    <row r="64" spans="1:47" ht="15.75" thickTop="1"/>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8C23C-C967-4868-859B-A3C1DE71980A}">
  <dimension ref="A1:AU67"/>
  <sheetViews>
    <sheetView workbookViewId="0"/>
  </sheetViews>
  <sheetFormatPr defaultColWidth="18.125" defaultRowHeight="15"/>
  <cols>
    <col min="1" max="16384" width="18.125" style="84"/>
  </cols>
  <sheetData>
    <row r="1" spans="1:47" ht="54.95" customHeight="1" thickBot="1">
      <c r="A1" s="45" t="s">
        <v>5</v>
      </c>
      <c r="B1" s="46" t="s">
        <v>6</v>
      </c>
      <c r="C1" s="46" t="s">
        <v>7</v>
      </c>
      <c r="D1" s="47" t="s">
        <v>22</v>
      </c>
      <c r="E1" s="48" t="s">
        <v>23</v>
      </c>
      <c r="F1" s="49" t="s">
        <v>24</v>
      </c>
      <c r="G1" s="49" t="s">
        <v>25</v>
      </c>
      <c r="H1" s="50" t="s">
        <v>26</v>
      </c>
      <c r="I1" s="51" t="s">
        <v>9</v>
      </c>
      <c r="J1" s="51" t="s">
        <v>635</v>
      </c>
      <c r="K1" s="52" t="s">
        <v>636</v>
      </c>
      <c r="L1" s="53" t="s">
        <v>637</v>
      </c>
      <c r="M1" s="54" t="s">
        <v>11</v>
      </c>
      <c r="N1" s="54" t="s">
        <v>12</v>
      </c>
      <c r="O1" s="55" t="s">
        <v>13</v>
      </c>
      <c r="P1" s="56" t="s">
        <v>14</v>
      </c>
      <c r="Q1" s="56" t="s">
        <v>15</v>
      </c>
      <c r="R1" s="56" t="s">
        <v>16</v>
      </c>
      <c r="S1" s="56" t="s">
        <v>30</v>
      </c>
      <c r="T1" s="56" t="s">
        <v>31</v>
      </c>
      <c r="U1" s="56" t="s">
        <v>32</v>
      </c>
      <c r="V1" s="56" t="s">
        <v>33</v>
      </c>
      <c r="W1" s="56" t="s">
        <v>34</v>
      </c>
      <c r="X1" s="56" t="s">
        <v>35</v>
      </c>
      <c r="Y1" s="56" t="s">
        <v>36</v>
      </c>
      <c r="Z1" s="56" t="s">
        <v>37</v>
      </c>
      <c r="AA1" s="56" t="s">
        <v>38</v>
      </c>
      <c r="AB1" s="56" t="s">
        <v>39</v>
      </c>
      <c r="AC1" s="56" t="s">
        <v>40</v>
      </c>
      <c r="AD1" s="56" t="s">
        <v>41</v>
      </c>
      <c r="AE1" s="56" t="s">
        <v>42</v>
      </c>
      <c r="AF1" s="56" t="s">
        <v>43</v>
      </c>
      <c r="AG1" s="56" t="s">
        <v>7</v>
      </c>
      <c r="AH1" s="57" t="s">
        <v>44</v>
      </c>
      <c r="AI1" s="58" t="s">
        <v>45</v>
      </c>
      <c r="AJ1" s="58" t="s">
        <v>18</v>
      </c>
      <c r="AK1" s="58" t="s">
        <v>7</v>
      </c>
      <c r="AL1" s="59" t="s">
        <v>46</v>
      </c>
      <c r="AM1" s="59" t="s">
        <v>46</v>
      </c>
      <c r="AN1" s="59" t="s">
        <v>47</v>
      </c>
      <c r="AO1" s="59" t="s">
        <v>47</v>
      </c>
      <c r="AP1" s="59" t="s">
        <v>40</v>
      </c>
      <c r="AQ1" s="59" t="s">
        <v>48</v>
      </c>
      <c r="AR1" s="59" t="s">
        <v>49</v>
      </c>
      <c r="AS1" s="60" t="s">
        <v>7</v>
      </c>
      <c r="AT1" s="61" t="s">
        <v>20</v>
      </c>
      <c r="AU1" s="62" t="s">
        <v>21</v>
      </c>
    </row>
    <row r="2" spans="1:47">
      <c r="A2" s="63" t="s">
        <v>462</v>
      </c>
      <c r="B2" s="63">
        <v>6201711902</v>
      </c>
      <c r="C2" s="63" t="s">
        <v>463</v>
      </c>
      <c r="D2" s="63" t="s">
        <v>225</v>
      </c>
      <c r="E2" s="64">
        <v>0.6</v>
      </c>
      <c r="F2" s="63" t="s">
        <v>70</v>
      </c>
      <c r="G2" s="65">
        <v>28195</v>
      </c>
      <c r="H2" s="63" t="s">
        <v>47</v>
      </c>
      <c r="I2" s="66" t="s">
        <v>40</v>
      </c>
      <c r="J2" s="66" t="s">
        <v>56</v>
      </c>
      <c r="K2" s="66"/>
      <c r="L2" s="66"/>
      <c r="M2" s="66" t="s">
        <v>57</v>
      </c>
      <c r="N2" s="66" t="s">
        <v>57</v>
      </c>
      <c r="O2" s="66" t="s">
        <v>57</v>
      </c>
      <c r="P2" s="66"/>
      <c r="Q2" s="66"/>
      <c r="R2" s="66" t="s">
        <v>464</v>
      </c>
      <c r="S2" s="66"/>
      <c r="T2" s="66"/>
      <c r="U2" s="66"/>
      <c r="V2" s="66"/>
      <c r="W2" s="66"/>
      <c r="X2" s="66"/>
      <c r="Y2" s="66"/>
      <c r="Z2" s="66"/>
      <c r="AA2" s="66"/>
      <c r="AB2" s="66"/>
      <c r="AC2" s="66"/>
      <c r="AD2" s="66"/>
      <c r="AE2" s="66"/>
      <c r="AF2" s="66"/>
      <c r="AG2" s="66"/>
      <c r="AH2" s="66" t="s">
        <v>57</v>
      </c>
      <c r="AI2" s="66" t="s">
        <v>57</v>
      </c>
      <c r="AJ2" s="66" t="s">
        <v>57</v>
      </c>
      <c r="AK2" s="66" t="s">
        <v>57</v>
      </c>
      <c r="AL2" s="66" t="s">
        <v>57</v>
      </c>
      <c r="AM2" s="66" t="s">
        <v>57</v>
      </c>
      <c r="AN2" s="66" t="s">
        <v>57</v>
      </c>
      <c r="AO2" s="66" t="s">
        <v>57</v>
      </c>
      <c r="AP2" s="66" t="s">
        <v>57</v>
      </c>
      <c r="AQ2" s="66" t="s">
        <v>57</v>
      </c>
      <c r="AR2" s="66" t="s">
        <v>57</v>
      </c>
      <c r="AS2" s="66" t="s">
        <v>57</v>
      </c>
      <c r="AT2" s="66"/>
      <c r="AU2" s="67"/>
    </row>
    <row r="3" spans="1:47">
      <c r="A3" s="63" t="s">
        <v>465</v>
      </c>
      <c r="B3" s="63">
        <v>4508138772</v>
      </c>
      <c r="C3" s="63" t="s">
        <v>466</v>
      </c>
      <c r="D3" s="63" t="s">
        <v>225</v>
      </c>
      <c r="E3" s="64">
        <v>0.2</v>
      </c>
      <c r="F3" s="63" t="s">
        <v>54</v>
      </c>
      <c r="G3" s="65">
        <v>17439</v>
      </c>
      <c r="H3" s="63" t="s">
        <v>47</v>
      </c>
      <c r="I3" s="66" t="s">
        <v>40</v>
      </c>
      <c r="J3" s="66" t="s">
        <v>56</v>
      </c>
      <c r="K3" s="66"/>
      <c r="L3" s="66"/>
      <c r="M3" s="66" t="s">
        <v>57</v>
      </c>
      <c r="N3" s="66" t="s">
        <v>57</v>
      </c>
      <c r="O3" s="66" t="s">
        <v>57</v>
      </c>
      <c r="P3" s="66" t="s">
        <v>467</v>
      </c>
      <c r="Q3" s="66" t="s">
        <v>59</v>
      </c>
      <c r="R3" s="66"/>
      <c r="S3" s="66"/>
      <c r="T3" s="66"/>
      <c r="U3" s="66"/>
      <c r="V3" s="66"/>
      <c r="W3" s="66"/>
      <c r="X3" s="66"/>
      <c r="Y3" s="66"/>
      <c r="Z3" s="66"/>
      <c r="AA3" s="66"/>
      <c r="AB3" s="66"/>
      <c r="AC3" s="66"/>
      <c r="AD3" s="66"/>
      <c r="AE3" s="66"/>
      <c r="AF3" s="66"/>
      <c r="AG3" s="66"/>
      <c r="AH3" s="66" t="s">
        <v>57</v>
      </c>
      <c r="AI3" s="66" t="s">
        <v>57</v>
      </c>
      <c r="AJ3" s="66" t="s">
        <v>57</v>
      </c>
      <c r="AK3" s="66" t="s">
        <v>57</v>
      </c>
      <c r="AL3" s="66" t="s">
        <v>57</v>
      </c>
      <c r="AM3" s="66" t="s">
        <v>57</v>
      </c>
      <c r="AN3" s="66" t="s">
        <v>57</v>
      </c>
      <c r="AO3" s="66" t="s">
        <v>57</v>
      </c>
      <c r="AP3" s="66" t="s">
        <v>57</v>
      </c>
      <c r="AQ3" s="66" t="s">
        <v>57</v>
      </c>
      <c r="AR3" s="66" t="s">
        <v>57</v>
      </c>
      <c r="AS3" s="66" t="s">
        <v>57</v>
      </c>
      <c r="AT3" s="66"/>
      <c r="AU3" s="67"/>
    </row>
    <row r="4" spans="1:47">
      <c r="A4" s="63" t="s">
        <v>468</v>
      </c>
      <c r="B4" s="63">
        <v>4980334253</v>
      </c>
      <c r="C4" s="63" t="s">
        <v>463</v>
      </c>
      <c r="D4" s="63" t="s">
        <v>225</v>
      </c>
      <c r="E4" s="64">
        <v>0.2</v>
      </c>
      <c r="F4" s="63" t="s">
        <v>70</v>
      </c>
      <c r="G4" s="65">
        <v>22965</v>
      </c>
      <c r="H4" s="63" t="s">
        <v>47</v>
      </c>
      <c r="I4" s="66" t="s">
        <v>40</v>
      </c>
      <c r="J4" s="66"/>
      <c r="K4" s="66"/>
      <c r="L4" s="66" t="s">
        <v>56</v>
      </c>
      <c r="M4" s="66" t="s">
        <v>57</v>
      </c>
      <c r="N4" s="66" t="s">
        <v>57</v>
      </c>
      <c r="O4" s="66" t="s">
        <v>57</v>
      </c>
      <c r="P4" s="66"/>
      <c r="Q4" s="66"/>
      <c r="R4" s="66" t="s">
        <v>464</v>
      </c>
      <c r="S4" s="66"/>
      <c r="T4" s="66"/>
      <c r="U4" s="66"/>
      <c r="V4" s="66"/>
      <c r="W4" s="66"/>
      <c r="X4" s="66"/>
      <c r="Y4" s="66"/>
      <c r="Z4" s="66"/>
      <c r="AA4" s="66"/>
      <c r="AB4" s="66"/>
      <c r="AC4" s="66"/>
      <c r="AD4" s="66"/>
      <c r="AE4" s="66"/>
      <c r="AF4" s="66"/>
      <c r="AG4" s="66"/>
      <c r="AH4" s="66" t="s">
        <v>57</v>
      </c>
      <c r="AI4" s="66" t="s">
        <v>57</v>
      </c>
      <c r="AJ4" s="66" t="s">
        <v>57</v>
      </c>
      <c r="AK4" s="66" t="s">
        <v>57</v>
      </c>
      <c r="AL4" s="66" t="s">
        <v>57</v>
      </c>
      <c r="AM4" s="66" t="s">
        <v>57</v>
      </c>
      <c r="AN4" s="66" t="s">
        <v>57</v>
      </c>
      <c r="AO4" s="66" t="s">
        <v>57</v>
      </c>
      <c r="AP4" s="66" t="s">
        <v>57</v>
      </c>
      <c r="AQ4" s="66" t="s">
        <v>57</v>
      </c>
      <c r="AR4" s="66" t="s">
        <v>57</v>
      </c>
      <c r="AS4" s="66" t="s">
        <v>57</v>
      </c>
      <c r="AT4" s="66"/>
      <c r="AU4" s="67"/>
    </row>
    <row r="5" spans="1:47">
      <c r="A5" s="63" t="s">
        <v>469</v>
      </c>
      <c r="B5" s="63">
        <v>4507687209</v>
      </c>
      <c r="C5" s="63" t="s">
        <v>463</v>
      </c>
      <c r="D5" s="63" t="s">
        <v>225</v>
      </c>
      <c r="E5" s="64">
        <v>0.7</v>
      </c>
      <c r="F5" s="63" t="s">
        <v>70</v>
      </c>
      <c r="G5" s="65">
        <v>17364</v>
      </c>
      <c r="H5" s="63" t="s">
        <v>55</v>
      </c>
      <c r="I5" s="66" t="s">
        <v>40</v>
      </c>
      <c r="J5" s="66" t="s">
        <v>56</v>
      </c>
      <c r="K5" s="66"/>
      <c r="L5" s="66"/>
      <c r="M5" s="66" t="s">
        <v>57</v>
      </c>
      <c r="N5" s="66" t="s">
        <v>57</v>
      </c>
      <c r="O5" s="66" t="s">
        <v>57</v>
      </c>
      <c r="P5" s="66" t="s">
        <v>470</v>
      </c>
      <c r="Q5" s="66" t="s">
        <v>59</v>
      </c>
      <c r="R5" s="66"/>
      <c r="S5" s="66"/>
      <c r="T5" s="66"/>
      <c r="U5" s="66"/>
      <c r="V5" s="66"/>
      <c r="W5" s="66"/>
      <c r="X5" s="66"/>
      <c r="Y5" s="66"/>
      <c r="Z5" s="66"/>
      <c r="AA5" s="66"/>
      <c r="AB5" s="66"/>
      <c r="AC5" s="66"/>
      <c r="AD5" s="66"/>
      <c r="AE5" s="66"/>
      <c r="AF5" s="66"/>
      <c r="AG5" s="66"/>
      <c r="AH5" s="66" t="s">
        <v>57</v>
      </c>
      <c r="AI5" s="66" t="s">
        <v>57</v>
      </c>
      <c r="AJ5" s="66" t="s">
        <v>57</v>
      </c>
      <c r="AK5" s="66" t="s">
        <v>57</v>
      </c>
      <c r="AL5" s="66" t="s">
        <v>57</v>
      </c>
      <c r="AM5" s="66" t="s">
        <v>57</v>
      </c>
      <c r="AN5" s="66" t="s">
        <v>57</v>
      </c>
      <c r="AO5" s="66" t="s">
        <v>57</v>
      </c>
      <c r="AP5" s="66" t="s">
        <v>57</v>
      </c>
      <c r="AQ5" s="66" t="s">
        <v>57</v>
      </c>
      <c r="AR5" s="66" t="s">
        <v>57</v>
      </c>
      <c r="AS5" s="66" t="s">
        <v>57</v>
      </c>
      <c r="AT5" s="66"/>
      <c r="AU5" s="67"/>
    </row>
    <row r="6" spans="1:47">
      <c r="A6" s="63" t="s">
        <v>471</v>
      </c>
      <c r="B6" s="63">
        <v>4382264227</v>
      </c>
      <c r="C6" s="63" t="s">
        <v>463</v>
      </c>
      <c r="D6" s="63" t="s">
        <v>225</v>
      </c>
      <c r="E6" s="64">
        <v>0.3</v>
      </c>
      <c r="F6" s="63" t="s">
        <v>70</v>
      </c>
      <c r="G6" s="65">
        <v>15488</v>
      </c>
      <c r="H6" s="63" t="s">
        <v>47</v>
      </c>
      <c r="I6" s="66" t="s">
        <v>40</v>
      </c>
      <c r="J6" s="66" t="s">
        <v>56</v>
      </c>
      <c r="K6" s="66"/>
      <c r="L6" s="66"/>
      <c r="M6" s="66" t="s">
        <v>57</v>
      </c>
      <c r="N6" s="66" t="s">
        <v>57</v>
      </c>
      <c r="O6" s="66" t="s">
        <v>57</v>
      </c>
      <c r="P6" s="66"/>
      <c r="Q6" s="66"/>
      <c r="R6" s="66" t="s">
        <v>464</v>
      </c>
      <c r="S6" s="66"/>
      <c r="T6" s="66"/>
      <c r="U6" s="66"/>
      <c r="V6" s="66"/>
      <c r="W6" s="66"/>
      <c r="X6" s="66"/>
      <c r="Y6" s="66"/>
      <c r="Z6" s="66"/>
      <c r="AA6" s="66"/>
      <c r="AB6" s="66"/>
      <c r="AC6" s="66"/>
      <c r="AD6" s="66"/>
      <c r="AE6" s="66"/>
      <c r="AF6" s="66"/>
      <c r="AG6" s="66"/>
      <c r="AH6" s="66" t="s">
        <v>57</v>
      </c>
      <c r="AI6" s="66" t="s">
        <v>57</v>
      </c>
      <c r="AJ6" s="66" t="s">
        <v>57</v>
      </c>
      <c r="AK6" s="66" t="s">
        <v>57</v>
      </c>
      <c r="AL6" s="66" t="s">
        <v>57</v>
      </c>
      <c r="AM6" s="66" t="s">
        <v>57</v>
      </c>
      <c r="AN6" s="66" t="s">
        <v>57</v>
      </c>
      <c r="AO6" s="66" t="s">
        <v>57</v>
      </c>
      <c r="AP6" s="66" t="s">
        <v>57</v>
      </c>
      <c r="AQ6" s="66" t="s">
        <v>57</v>
      </c>
      <c r="AR6" s="66" t="s">
        <v>57</v>
      </c>
      <c r="AS6" s="66" t="s">
        <v>57</v>
      </c>
      <c r="AT6" s="66"/>
      <c r="AU6" s="67"/>
    </row>
    <row r="7" spans="1:47">
      <c r="A7" s="63" t="s">
        <v>472</v>
      </c>
      <c r="B7" s="63">
        <v>4387574720</v>
      </c>
      <c r="C7" s="63" t="s">
        <v>463</v>
      </c>
      <c r="D7" s="63" t="s">
        <v>225</v>
      </c>
      <c r="E7" s="64">
        <v>0.6</v>
      </c>
      <c r="F7" s="63" t="s">
        <v>70</v>
      </c>
      <c r="G7" s="65">
        <v>15979</v>
      </c>
      <c r="H7" s="63" t="s">
        <v>47</v>
      </c>
      <c r="I7" s="66" t="s">
        <v>40</v>
      </c>
      <c r="J7" s="66" t="s">
        <v>56</v>
      </c>
      <c r="K7" s="66"/>
      <c r="L7" s="66"/>
      <c r="M7" s="66" t="s">
        <v>57</v>
      </c>
      <c r="N7" s="66" t="s">
        <v>57</v>
      </c>
      <c r="O7" s="66" t="s">
        <v>57</v>
      </c>
      <c r="P7" s="66"/>
      <c r="Q7" s="66"/>
      <c r="R7" s="66" t="s">
        <v>464</v>
      </c>
      <c r="S7" s="66"/>
      <c r="T7" s="66"/>
      <c r="U7" s="66"/>
      <c r="V7" s="66"/>
      <c r="W7" s="66"/>
      <c r="X7" s="66"/>
      <c r="Y7" s="66"/>
      <c r="Z7" s="66"/>
      <c r="AA7" s="66"/>
      <c r="AB7" s="66"/>
      <c r="AC7" s="66"/>
      <c r="AD7" s="66"/>
      <c r="AE7" s="66"/>
      <c r="AF7" s="66"/>
      <c r="AG7" s="66"/>
      <c r="AH7" s="66" t="s">
        <v>57</v>
      </c>
      <c r="AI7" s="66" t="s">
        <v>57</v>
      </c>
      <c r="AJ7" s="66" t="s">
        <v>57</v>
      </c>
      <c r="AK7" s="66" t="s">
        <v>57</v>
      </c>
      <c r="AL7" s="66" t="s">
        <v>57</v>
      </c>
      <c r="AM7" s="66" t="s">
        <v>57</v>
      </c>
      <c r="AN7" s="66" t="s">
        <v>57</v>
      </c>
      <c r="AO7" s="66" t="s">
        <v>57</v>
      </c>
      <c r="AP7" s="66" t="s">
        <v>57</v>
      </c>
      <c r="AQ7" s="66" t="s">
        <v>57</v>
      </c>
      <c r="AR7" s="66" t="s">
        <v>57</v>
      </c>
      <c r="AS7" s="66" t="s">
        <v>57</v>
      </c>
      <c r="AT7" s="66"/>
      <c r="AU7" s="67"/>
    </row>
    <row r="8" spans="1:47">
      <c r="A8" s="63" t="s">
        <v>473</v>
      </c>
      <c r="B8" s="63">
        <v>4342232219</v>
      </c>
      <c r="C8" s="63" t="s">
        <v>466</v>
      </c>
      <c r="D8" s="63" t="s">
        <v>225</v>
      </c>
      <c r="E8" s="64">
        <v>0.2</v>
      </c>
      <c r="F8" s="63" t="s">
        <v>70</v>
      </c>
      <c r="G8" s="65">
        <v>11061</v>
      </c>
      <c r="H8" s="63" t="s">
        <v>55</v>
      </c>
      <c r="I8" s="66" t="s">
        <v>40</v>
      </c>
      <c r="J8" s="66" t="s">
        <v>56</v>
      </c>
      <c r="K8" s="66"/>
      <c r="L8" s="66"/>
      <c r="M8" s="66" t="s">
        <v>57</v>
      </c>
      <c r="N8" s="66" t="s">
        <v>57</v>
      </c>
      <c r="O8" s="66" t="s">
        <v>57</v>
      </c>
      <c r="P8" s="66" t="s">
        <v>474</v>
      </c>
      <c r="Q8" s="66" t="s">
        <v>59</v>
      </c>
      <c r="R8" s="66"/>
      <c r="S8" s="66"/>
      <c r="T8" s="66"/>
      <c r="U8" s="66"/>
      <c r="V8" s="66"/>
      <c r="W8" s="66"/>
      <c r="X8" s="66"/>
      <c r="Y8" s="66"/>
      <c r="Z8" s="66"/>
      <c r="AA8" s="66"/>
      <c r="AB8" s="66"/>
      <c r="AC8" s="66"/>
      <c r="AD8" s="66"/>
      <c r="AE8" s="66"/>
      <c r="AF8" s="66"/>
      <c r="AG8" s="66"/>
      <c r="AH8" s="66" t="s">
        <v>57</v>
      </c>
      <c r="AI8" s="66" t="s">
        <v>57</v>
      </c>
      <c r="AJ8" s="66" t="s">
        <v>57</v>
      </c>
      <c r="AK8" s="66" t="s">
        <v>57</v>
      </c>
      <c r="AL8" s="66" t="s">
        <v>57</v>
      </c>
      <c r="AM8" s="66" t="s">
        <v>57</v>
      </c>
      <c r="AN8" s="66" t="s">
        <v>57</v>
      </c>
      <c r="AO8" s="66" t="s">
        <v>57</v>
      </c>
      <c r="AP8" s="66" t="s">
        <v>57</v>
      </c>
      <c r="AQ8" s="66" t="s">
        <v>57</v>
      </c>
      <c r="AR8" s="66" t="s">
        <v>57</v>
      </c>
      <c r="AS8" s="66" t="s">
        <v>57</v>
      </c>
      <c r="AT8" s="66"/>
      <c r="AU8" s="67"/>
    </row>
    <row r="9" spans="1:47">
      <c r="A9" s="63" t="s">
        <v>475</v>
      </c>
      <c r="B9" s="63">
        <v>6501533503</v>
      </c>
      <c r="C9" s="63" t="s">
        <v>463</v>
      </c>
      <c r="D9" s="63" t="s">
        <v>225</v>
      </c>
      <c r="E9" s="64">
        <v>0.7</v>
      </c>
      <c r="F9" s="63" t="s">
        <v>70</v>
      </c>
      <c r="G9" s="65">
        <v>28517</v>
      </c>
      <c r="H9" s="63" t="s">
        <v>47</v>
      </c>
      <c r="I9" s="66" t="s">
        <v>40</v>
      </c>
      <c r="J9" s="66" t="s">
        <v>56</v>
      </c>
      <c r="K9" s="66"/>
      <c r="L9" s="66"/>
      <c r="M9" s="66" t="s">
        <v>57</v>
      </c>
      <c r="N9" s="66" t="s">
        <v>57</v>
      </c>
      <c r="O9" s="66" t="s">
        <v>57</v>
      </c>
      <c r="P9" s="66" t="s">
        <v>476</v>
      </c>
      <c r="Q9" s="66" t="s">
        <v>59</v>
      </c>
      <c r="R9" s="66"/>
      <c r="S9" s="66"/>
      <c r="T9" s="66"/>
      <c r="U9" s="66"/>
      <c r="V9" s="66"/>
      <c r="W9" s="66"/>
      <c r="X9" s="66"/>
      <c r="Y9" s="66"/>
      <c r="Z9" s="66"/>
      <c r="AA9" s="66"/>
      <c r="AB9" s="66"/>
      <c r="AC9" s="66"/>
      <c r="AD9" s="66"/>
      <c r="AE9" s="66"/>
      <c r="AF9" s="66"/>
      <c r="AG9" s="66"/>
      <c r="AH9" s="66" t="s">
        <v>57</v>
      </c>
      <c r="AI9" s="66" t="s">
        <v>57</v>
      </c>
      <c r="AJ9" s="66" t="s">
        <v>57</v>
      </c>
      <c r="AK9" s="66" t="s">
        <v>57</v>
      </c>
      <c r="AL9" s="66" t="s">
        <v>57</v>
      </c>
      <c r="AM9" s="66" t="s">
        <v>57</v>
      </c>
      <c r="AN9" s="66" t="s">
        <v>57</v>
      </c>
      <c r="AO9" s="66" t="s">
        <v>57</v>
      </c>
      <c r="AP9" s="66" t="s">
        <v>57</v>
      </c>
      <c r="AQ9" s="66" t="s">
        <v>57</v>
      </c>
      <c r="AR9" s="66" t="s">
        <v>57</v>
      </c>
      <c r="AS9" s="66" t="s">
        <v>57</v>
      </c>
      <c r="AT9" s="66"/>
      <c r="AU9" s="67"/>
    </row>
    <row r="10" spans="1:47">
      <c r="A10" s="63" t="s">
        <v>477</v>
      </c>
      <c r="B10" s="63">
        <v>4860950097</v>
      </c>
      <c r="C10" s="63" t="s">
        <v>463</v>
      </c>
      <c r="D10" s="63" t="s">
        <v>225</v>
      </c>
      <c r="E10" s="64">
        <v>0.7</v>
      </c>
      <c r="F10" s="63" t="s">
        <v>70</v>
      </c>
      <c r="G10" s="65">
        <v>23712</v>
      </c>
      <c r="H10" s="63" t="s">
        <v>47</v>
      </c>
      <c r="I10" s="66" t="s">
        <v>40</v>
      </c>
      <c r="J10" s="66" t="s">
        <v>56</v>
      </c>
      <c r="K10" s="66"/>
      <c r="L10" s="66"/>
      <c r="M10" s="66" t="s">
        <v>57</v>
      </c>
      <c r="N10" s="66" t="s">
        <v>57</v>
      </c>
      <c r="O10" s="66" t="s">
        <v>57</v>
      </c>
      <c r="P10" s="66"/>
      <c r="Q10" s="66"/>
      <c r="R10" s="66" t="s">
        <v>464</v>
      </c>
      <c r="S10" s="66"/>
      <c r="T10" s="66"/>
      <c r="U10" s="66"/>
      <c r="V10" s="66"/>
      <c r="W10" s="66"/>
      <c r="X10" s="66"/>
      <c r="Y10" s="66"/>
      <c r="Z10" s="66"/>
      <c r="AA10" s="66"/>
      <c r="AB10" s="66"/>
      <c r="AC10" s="66"/>
      <c r="AD10" s="66"/>
      <c r="AE10" s="66"/>
      <c r="AF10" s="66"/>
      <c r="AG10" s="66"/>
      <c r="AH10" s="66" t="s">
        <v>57</v>
      </c>
      <c r="AI10" s="66" t="s">
        <v>57</v>
      </c>
      <c r="AJ10" s="66" t="s">
        <v>57</v>
      </c>
      <c r="AK10" s="66" t="s">
        <v>57</v>
      </c>
      <c r="AL10" s="66" t="s">
        <v>57</v>
      </c>
      <c r="AM10" s="66" t="s">
        <v>57</v>
      </c>
      <c r="AN10" s="66" t="s">
        <v>57</v>
      </c>
      <c r="AO10" s="66" t="s">
        <v>57</v>
      </c>
      <c r="AP10" s="66" t="s">
        <v>57</v>
      </c>
      <c r="AQ10" s="66" t="s">
        <v>57</v>
      </c>
      <c r="AR10" s="66" t="s">
        <v>57</v>
      </c>
      <c r="AS10" s="66" t="s">
        <v>57</v>
      </c>
      <c r="AT10" s="66"/>
      <c r="AU10" s="67"/>
    </row>
    <row r="11" spans="1:47">
      <c r="A11" s="63" t="s">
        <v>478</v>
      </c>
      <c r="B11" s="63">
        <v>4582581501</v>
      </c>
      <c r="C11" s="63" t="s">
        <v>466</v>
      </c>
      <c r="D11" s="63" t="s">
        <v>225</v>
      </c>
      <c r="E11" s="64">
        <v>0.3</v>
      </c>
      <c r="F11" s="63" t="s">
        <v>54</v>
      </c>
      <c r="G11" s="65">
        <v>19952</v>
      </c>
      <c r="H11" s="63" t="s">
        <v>47</v>
      </c>
      <c r="I11" s="66" t="s">
        <v>40</v>
      </c>
      <c r="J11" s="66" t="s">
        <v>56</v>
      </c>
      <c r="K11" s="66"/>
      <c r="L11" s="66"/>
      <c r="M11" s="66" t="s">
        <v>57</v>
      </c>
      <c r="N11" s="66" t="s">
        <v>57</v>
      </c>
      <c r="O11" s="66" t="s">
        <v>57</v>
      </c>
      <c r="P11" s="66" t="s">
        <v>479</v>
      </c>
      <c r="Q11" s="66" t="s">
        <v>59</v>
      </c>
      <c r="R11" s="66"/>
      <c r="S11" s="66"/>
      <c r="T11" s="66"/>
      <c r="U11" s="66"/>
      <c r="V11" s="66"/>
      <c r="W11" s="66"/>
      <c r="X11" s="66"/>
      <c r="Y11" s="66"/>
      <c r="Z11" s="66"/>
      <c r="AA11" s="66"/>
      <c r="AB11" s="66"/>
      <c r="AC11" s="66"/>
      <c r="AD11" s="66"/>
      <c r="AE11" s="66"/>
      <c r="AF11" s="66"/>
      <c r="AG11" s="66"/>
      <c r="AH11" s="66" t="s">
        <v>57</v>
      </c>
      <c r="AI11" s="66" t="s">
        <v>57</v>
      </c>
      <c r="AJ11" s="66" t="s">
        <v>57</v>
      </c>
      <c r="AK11" s="66" t="s">
        <v>57</v>
      </c>
      <c r="AL11" s="66" t="s">
        <v>57</v>
      </c>
      <c r="AM11" s="66" t="s">
        <v>57</v>
      </c>
      <c r="AN11" s="66" t="s">
        <v>57</v>
      </c>
      <c r="AO11" s="66" t="s">
        <v>57</v>
      </c>
      <c r="AP11" s="66" t="s">
        <v>57</v>
      </c>
      <c r="AQ11" s="66" t="s">
        <v>57</v>
      </c>
      <c r="AR11" s="66" t="s">
        <v>57</v>
      </c>
      <c r="AS11" s="66" t="s">
        <v>57</v>
      </c>
      <c r="AT11" s="66"/>
      <c r="AU11" s="67"/>
    </row>
    <row r="12" spans="1:47">
      <c r="A12" s="63" t="s">
        <v>480</v>
      </c>
      <c r="B12" s="63">
        <v>6127266688</v>
      </c>
      <c r="C12" s="63" t="s">
        <v>481</v>
      </c>
      <c r="D12" s="63" t="s">
        <v>225</v>
      </c>
      <c r="E12" s="64">
        <v>0.2</v>
      </c>
      <c r="F12" s="63" t="s">
        <v>70</v>
      </c>
      <c r="G12" s="65">
        <v>17006</v>
      </c>
      <c r="H12" s="63" t="s">
        <v>55</v>
      </c>
      <c r="I12" s="66" t="s">
        <v>40</v>
      </c>
      <c r="J12" s="66" t="s">
        <v>56</v>
      </c>
      <c r="K12" s="66"/>
      <c r="L12" s="66"/>
      <c r="M12" s="66" t="s">
        <v>57</v>
      </c>
      <c r="N12" s="66" t="s">
        <v>57</v>
      </c>
      <c r="O12" s="66" t="s">
        <v>57</v>
      </c>
      <c r="P12" s="66"/>
      <c r="Q12" s="66"/>
      <c r="R12" s="66" t="s">
        <v>464</v>
      </c>
      <c r="S12" s="66"/>
      <c r="T12" s="66"/>
      <c r="U12" s="66"/>
      <c r="V12" s="66"/>
      <c r="W12" s="66"/>
      <c r="X12" s="66"/>
      <c r="Y12" s="66"/>
      <c r="Z12" s="66"/>
      <c r="AA12" s="66"/>
      <c r="AB12" s="66"/>
      <c r="AC12" s="66"/>
      <c r="AD12" s="66"/>
      <c r="AE12" s="66"/>
      <c r="AF12" s="66"/>
      <c r="AG12" s="66"/>
      <c r="AH12" s="66" t="s">
        <v>57</v>
      </c>
      <c r="AI12" s="66" t="s">
        <v>57</v>
      </c>
      <c r="AJ12" s="66" t="s">
        <v>57</v>
      </c>
      <c r="AK12" s="66" t="s">
        <v>57</v>
      </c>
      <c r="AL12" s="66" t="s">
        <v>57</v>
      </c>
      <c r="AM12" s="66" t="s">
        <v>57</v>
      </c>
      <c r="AN12" s="66" t="s">
        <v>57</v>
      </c>
      <c r="AO12" s="66" t="s">
        <v>57</v>
      </c>
      <c r="AP12" s="66" t="s">
        <v>57</v>
      </c>
      <c r="AQ12" s="66" t="s">
        <v>57</v>
      </c>
      <c r="AR12" s="66" t="s">
        <v>57</v>
      </c>
      <c r="AS12" s="66" t="s">
        <v>57</v>
      </c>
      <c r="AT12" s="66"/>
      <c r="AU12" s="67"/>
    </row>
    <row r="13" spans="1:47">
      <c r="A13" s="63" t="s">
        <v>482</v>
      </c>
      <c r="B13" s="63">
        <v>4509289413</v>
      </c>
      <c r="C13" s="63" t="s">
        <v>463</v>
      </c>
      <c r="D13" s="63" t="s">
        <v>225</v>
      </c>
      <c r="E13" s="64">
        <v>0.3</v>
      </c>
      <c r="F13" s="63" t="s">
        <v>70</v>
      </c>
      <c r="G13" s="65">
        <v>17961</v>
      </c>
      <c r="H13" s="63" t="s">
        <v>47</v>
      </c>
      <c r="I13" s="66" t="s">
        <v>40</v>
      </c>
      <c r="J13" s="66" t="s">
        <v>56</v>
      </c>
      <c r="K13" s="66"/>
      <c r="L13" s="66"/>
      <c r="M13" s="66" t="s">
        <v>57</v>
      </c>
      <c r="N13" s="66" t="s">
        <v>57</v>
      </c>
      <c r="O13" s="66" t="s">
        <v>57</v>
      </c>
      <c r="P13" s="66"/>
      <c r="Q13" s="66"/>
      <c r="R13" s="66" t="s">
        <v>464</v>
      </c>
      <c r="S13" s="66"/>
      <c r="T13" s="66"/>
      <c r="U13" s="66"/>
      <c r="V13" s="66"/>
      <c r="W13" s="66"/>
      <c r="X13" s="66"/>
      <c r="Y13" s="66"/>
      <c r="Z13" s="66"/>
      <c r="AA13" s="66"/>
      <c r="AB13" s="66"/>
      <c r="AC13" s="66"/>
      <c r="AD13" s="66"/>
      <c r="AE13" s="66"/>
      <c r="AF13" s="66"/>
      <c r="AG13" s="66"/>
      <c r="AH13" s="66" t="s">
        <v>57</v>
      </c>
      <c r="AI13" s="66" t="s">
        <v>57</v>
      </c>
      <c r="AJ13" s="66" t="s">
        <v>57</v>
      </c>
      <c r="AK13" s="66" t="s">
        <v>57</v>
      </c>
      <c r="AL13" s="66" t="s">
        <v>57</v>
      </c>
      <c r="AM13" s="66" t="s">
        <v>57</v>
      </c>
      <c r="AN13" s="66" t="s">
        <v>57</v>
      </c>
      <c r="AO13" s="66" t="s">
        <v>57</v>
      </c>
      <c r="AP13" s="66" t="s">
        <v>57</v>
      </c>
      <c r="AQ13" s="66" t="s">
        <v>57</v>
      </c>
      <c r="AR13" s="66" t="s">
        <v>57</v>
      </c>
      <c r="AS13" s="66" t="s">
        <v>57</v>
      </c>
      <c r="AT13" s="66"/>
      <c r="AU13" s="67"/>
    </row>
    <row r="14" spans="1:47">
      <c r="A14" s="63" t="s">
        <v>483</v>
      </c>
      <c r="B14" s="63">
        <v>4382086949</v>
      </c>
      <c r="C14" s="63" t="s">
        <v>463</v>
      </c>
      <c r="D14" s="63" t="s">
        <v>225</v>
      </c>
      <c r="E14" s="64" t="s">
        <v>53</v>
      </c>
      <c r="F14" s="63" t="s">
        <v>54</v>
      </c>
      <c r="G14" s="65">
        <v>16496</v>
      </c>
      <c r="H14" s="63" t="s">
        <v>55</v>
      </c>
      <c r="I14" s="66" t="s">
        <v>40</v>
      </c>
      <c r="J14" s="66" t="s">
        <v>56</v>
      </c>
      <c r="K14" s="66"/>
      <c r="L14" s="66"/>
      <c r="M14" s="66" t="s">
        <v>57</v>
      </c>
      <c r="N14" s="66" t="s">
        <v>57</v>
      </c>
      <c r="O14" s="66" t="s">
        <v>57</v>
      </c>
      <c r="P14" s="66"/>
      <c r="Q14" s="66"/>
      <c r="R14" s="66" t="s">
        <v>484</v>
      </c>
      <c r="S14" s="66"/>
      <c r="T14" s="66"/>
      <c r="U14" s="66"/>
      <c r="V14" s="66"/>
      <c r="W14" s="66"/>
      <c r="X14" s="66"/>
      <c r="Y14" s="66"/>
      <c r="Z14" s="66"/>
      <c r="AA14" s="66"/>
      <c r="AB14" s="66"/>
      <c r="AC14" s="66"/>
      <c r="AD14" s="66"/>
      <c r="AE14" s="66"/>
      <c r="AF14" s="66"/>
      <c r="AG14" s="66"/>
      <c r="AH14" s="66" t="s">
        <v>57</v>
      </c>
      <c r="AI14" s="66" t="s">
        <v>57</v>
      </c>
      <c r="AJ14" s="66" t="s">
        <v>57</v>
      </c>
      <c r="AK14" s="66" t="s">
        <v>57</v>
      </c>
      <c r="AL14" s="66" t="s">
        <v>57</v>
      </c>
      <c r="AM14" s="66" t="s">
        <v>57</v>
      </c>
      <c r="AN14" s="66" t="s">
        <v>57</v>
      </c>
      <c r="AO14" s="66" t="s">
        <v>57</v>
      </c>
      <c r="AP14" s="66" t="s">
        <v>57</v>
      </c>
      <c r="AQ14" s="66" t="s">
        <v>57</v>
      </c>
      <c r="AR14" s="66" t="s">
        <v>57</v>
      </c>
      <c r="AS14" s="66" t="s">
        <v>57</v>
      </c>
      <c r="AT14" s="66"/>
      <c r="AU14" s="67"/>
    </row>
    <row r="15" spans="1:47">
      <c r="A15" s="63" t="s">
        <v>485</v>
      </c>
      <c r="B15" s="63">
        <v>6306945407</v>
      </c>
      <c r="C15" s="63" t="s">
        <v>486</v>
      </c>
      <c r="D15" s="63" t="s">
        <v>225</v>
      </c>
      <c r="E15" s="64">
        <v>0.4</v>
      </c>
      <c r="F15" s="63" t="s">
        <v>54</v>
      </c>
      <c r="G15" s="65">
        <v>21551</v>
      </c>
      <c r="H15" s="63" t="s">
        <v>55</v>
      </c>
      <c r="I15" s="66" t="s">
        <v>40</v>
      </c>
      <c r="J15" s="66"/>
      <c r="K15" s="66"/>
      <c r="L15" s="66" t="s">
        <v>56</v>
      </c>
      <c r="M15" s="66" t="s">
        <v>57</v>
      </c>
      <c r="N15" s="66" t="s">
        <v>57</v>
      </c>
      <c r="O15" s="66" t="s">
        <v>57</v>
      </c>
      <c r="P15" s="66"/>
      <c r="Q15" s="66"/>
      <c r="R15" s="66" t="s">
        <v>487</v>
      </c>
      <c r="S15" s="66"/>
      <c r="T15" s="66"/>
      <c r="U15" s="66"/>
      <c r="V15" s="66"/>
      <c r="W15" s="66"/>
      <c r="X15" s="66"/>
      <c r="Y15" s="66"/>
      <c r="Z15" s="66"/>
      <c r="AA15" s="66"/>
      <c r="AB15" s="66"/>
      <c r="AC15" s="66"/>
      <c r="AD15" s="66"/>
      <c r="AE15" s="66"/>
      <c r="AF15" s="66"/>
      <c r="AG15" s="66"/>
      <c r="AH15" s="66" t="s">
        <v>57</v>
      </c>
      <c r="AI15" s="66" t="s">
        <v>57</v>
      </c>
      <c r="AJ15" s="66" t="s">
        <v>57</v>
      </c>
      <c r="AK15" s="66" t="s">
        <v>57</v>
      </c>
      <c r="AL15" s="66" t="s">
        <v>57</v>
      </c>
      <c r="AM15" s="66" t="s">
        <v>57</v>
      </c>
      <c r="AN15" s="66" t="s">
        <v>57</v>
      </c>
      <c r="AO15" s="66" t="s">
        <v>57</v>
      </c>
      <c r="AP15" s="66" t="s">
        <v>57</v>
      </c>
      <c r="AQ15" s="66" t="s">
        <v>57</v>
      </c>
      <c r="AR15" s="66" t="s">
        <v>57</v>
      </c>
      <c r="AS15" s="66" t="s">
        <v>57</v>
      </c>
      <c r="AT15" s="66"/>
      <c r="AU15" s="67"/>
    </row>
    <row r="16" spans="1:47">
      <c r="A16" s="63" t="s">
        <v>488</v>
      </c>
      <c r="B16" s="63">
        <v>4343361314</v>
      </c>
      <c r="C16" s="63" t="s">
        <v>466</v>
      </c>
      <c r="D16" s="63" t="s">
        <v>225</v>
      </c>
      <c r="E16" s="64">
        <v>0.5</v>
      </c>
      <c r="F16" s="63" t="s">
        <v>54</v>
      </c>
      <c r="G16" s="65">
        <v>12309</v>
      </c>
      <c r="H16" s="63" t="s">
        <v>47</v>
      </c>
      <c r="I16" s="66" t="s">
        <v>40</v>
      </c>
      <c r="J16" s="66" t="s">
        <v>56</v>
      </c>
      <c r="K16" s="66"/>
      <c r="L16" s="66"/>
      <c r="M16" s="66" t="s">
        <v>57</v>
      </c>
      <c r="N16" s="66" t="s">
        <v>57</v>
      </c>
      <c r="O16" s="66" t="s">
        <v>57</v>
      </c>
      <c r="P16" s="66" t="s">
        <v>489</v>
      </c>
      <c r="Q16" s="66" t="s">
        <v>59</v>
      </c>
      <c r="R16" s="66"/>
      <c r="S16" s="66"/>
      <c r="T16" s="66"/>
      <c r="U16" s="66"/>
      <c r="V16" s="66"/>
      <c r="W16" s="66"/>
      <c r="X16" s="66"/>
      <c r="Y16" s="66"/>
      <c r="Z16" s="66"/>
      <c r="AA16" s="66"/>
      <c r="AB16" s="66"/>
      <c r="AC16" s="66"/>
      <c r="AD16" s="66"/>
      <c r="AE16" s="66"/>
      <c r="AF16" s="66"/>
      <c r="AG16" s="66"/>
      <c r="AH16" s="66" t="s">
        <v>57</v>
      </c>
      <c r="AI16" s="66" t="s">
        <v>57</v>
      </c>
      <c r="AJ16" s="66" t="s">
        <v>57</v>
      </c>
      <c r="AK16" s="66" t="s">
        <v>57</v>
      </c>
      <c r="AL16" s="66" t="s">
        <v>57</v>
      </c>
      <c r="AM16" s="66" t="s">
        <v>57</v>
      </c>
      <c r="AN16" s="66" t="s">
        <v>57</v>
      </c>
      <c r="AO16" s="66" t="s">
        <v>57</v>
      </c>
      <c r="AP16" s="66" t="s">
        <v>57</v>
      </c>
      <c r="AQ16" s="66" t="s">
        <v>57</v>
      </c>
      <c r="AR16" s="66" t="s">
        <v>57</v>
      </c>
      <c r="AS16" s="66" t="s">
        <v>57</v>
      </c>
      <c r="AT16" s="66"/>
      <c r="AU16" s="67"/>
    </row>
    <row r="17" spans="1:47">
      <c r="A17" s="63" t="s">
        <v>490</v>
      </c>
      <c r="B17" s="63">
        <v>4362617205</v>
      </c>
      <c r="C17" s="63" t="s">
        <v>486</v>
      </c>
      <c r="D17" s="63" t="s">
        <v>225</v>
      </c>
      <c r="E17" s="64">
        <v>0.3</v>
      </c>
      <c r="F17" s="63" t="s">
        <v>54</v>
      </c>
      <c r="G17" s="65">
        <v>12821</v>
      </c>
      <c r="H17" s="63" t="s">
        <v>47</v>
      </c>
      <c r="I17" s="66" t="s">
        <v>40</v>
      </c>
      <c r="J17" s="66" t="s">
        <v>56</v>
      </c>
      <c r="K17" s="66"/>
      <c r="L17" s="66"/>
      <c r="M17" s="66" t="s">
        <v>57</v>
      </c>
      <c r="N17" s="66" t="s">
        <v>57</v>
      </c>
      <c r="O17" s="66" t="s">
        <v>57</v>
      </c>
      <c r="P17" s="66" t="s">
        <v>491</v>
      </c>
      <c r="Q17" s="66" t="s">
        <v>59</v>
      </c>
      <c r="R17" s="66"/>
      <c r="S17" s="66"/>
      <c r="T17" s="66"/>
      <c r="U17" s="66"/>
      <c r="V17" s="66"/>
      <c r="W17" s="66"/>
      <c r="X17" s="66"/>
      <c r="Y17" s="66"/>
      <c r="Z17" s="66"/>
      <c r="AA17" s="66"/>
      <c r="AB17" s="66"/>
      <c r="AC17" s="66"/>
      <c r="AD17" s="66"/>
      <c r="AE17" s="66"/>
      <c r="AF17" s="66"/>
      <c r="AG17" s="66"/>
      <c r="AH17" s="66" t="s">
        <v>57</v>
      </c>
      <c r="AI17" s="66" t="s">
        <v>57</v>
      </c>
      <c r="AJ17" s="66" t="s">
        <v>57</v>
      </c>
      <c r="AK17" s="66" t="s">
        <v>57</v>
      </c>
      <c r="AL17" s="66" t="s">
        <v>57</v>
      </c>
      <c r="AM17" s="66" t="s">
        <v>57</v>
      </c>
      <c r="AN17" s="66" t="s">
        <v>57</v>
      </c>
      <c r="AO17" s="66" t="s">
        <v>57</v>
      </c>
      <c r="AP17" s="66" t="s">
        <v>57</v>
      </c>
      <c r="AQ17" s="66" t="s">
        <v>57</v>
      </c>
      <c r="AR17" s="66" t="s">
        <v>57</v>
      </c>
      <c r="AS17" s="66" t="s">
        <v>57</v>
      </c>
      <c r="AT17" s="66"/>
      <c r="AU17" s="67"/>
    </row>
    <row r="18" spans="1:47">
      <c r="A18" s="63" t="s">
        <v>492</v>
      </c>
      <c r="B18" s="63">
        <v>4540403273</v>
      </c>
      <c r="C18" s="63" t="s">
        <v>466</v>
      </c>
      <c r="D18" s="63" t="s">
        <v>225</v>
      </c>
      <c r="E18" s="64">
        <v>0.3</v>
      </c>
      <c r="F18" s="63" t="s">
        <v>54</v>
      </c>
      <c r="G18" s="65">
        <v>18271</v>
      </c>
      <c r="H18" s="63" t="s">
        <v>47</v>
      </c>
      <c r="I18" s="66" t="s">
        <v>40</v>
      </c>
      <c r="J18" s="66" t="s">
        <v>56</v>
      </c>
      <c r="K18" s="66"/>
      <c r="L18" s="66"/>
      <c r="M18" s="66" t="s">
        <v>57</v>
      </c>
      <c r="N18" s="66" t="s">
        <v>57</v>
      </c>
      <c r="O18" s="66" t="s">
        <v>57</v>
      </c>
      <c r="P18" s="66"/>
      <c r="Q18" s="66"/>
      <c r="R18" s="66" t="s">
        <v>493</v>
      </c>
      <c r="S18" s="66"/>
      <c r="T18" s="66"/>
      <c r="U18" s="66"/>
      <c r="V18" s="66"/>
      <c r="W18" s="66"/>
      <c r="X18" s="66"/>
      <c r="Y18" s="66"/>
      <c r="Z18" s="66"/>
      <c r="AA18" s="66"/>
      <c r="AB18" s="66"/>
      <c r="AC18" s="66"/>
      <c r="AD18" s="66"/>
      <c r="AE18" s="66"/>
      <c r="AF18" s="66"/>
      <c r="AG18" s="66"/>
      <c r="AH18" s="66" t="s">
        <v>57</v>
      </c>
      <c r="AI18" s="66" t="s">
        <v>57</v>
      </c>
      <c r="AJ18" s="66" t="s">
        <v>57</v>
      </c>
      <c r="AK18" s="66" t="s">
        <v>57</v>
      </c>
      <c r="AL18" s="66" t="s">
        <v>57</v>
      </c>
      <c r="AM18" s="66" t="s">
        <v>57</v>
      </c>
      <c r="AN18" s="66" t="s">
        <v>57</v>
      </c>
      <c r="AO18" s="66" t="s">
        <v>57</v>
      </c>
      <c r="AP18" s="66" t="s">
        <v>57</v>
      </c>
      <c r="AQ18" s="66" t="s">
        <v>57</v>
      </c>
      <c r="AR18" s="66" t="s">
        <v>57</v>
      </c>
      <c r="AS18" s="66" t="s">
        <v>57</v>
      </c>
      <c r="AT18" s="66"/>
      <c r="AU18" s="67"/>
    </row>
    <row r="19" spans="1:47">
      <c r="A19" s="63" t="s">
        <v>494</v>
      </c>
      <c r="B19" s="63">
        <v>4383316263</v>
      </c>
      <c r="C19" s="63" t="s">
        <v>466</v>
      </c>
      <c r="D19" s="63" t="s">
        <v>225</v>
      </c>
      <c r="E19" s="64" t="s">
        <v>408</v>
      </c>
      <c r="F19" s="63" t="s">
        <v>54</v>
      </c>
      <c r="G19" s="65">
        <v>15289</v>
      </c>
      <c r="H19" s="63" t="s">
        <v>55</v>
      </c>
      <c r="I19" s="66" t="s">
        <v>40</v>
      </c>
      <c r="J19" s="66" t="s">
        <v>56</v>
      </c>
      <c r="K19" s="66"/>
      <c r="L19" s="66"/>
      <c r="M19" s="66" t="s">
        <v>57</v>
      </c>
      <c r="N19" s="66" t="s">
        <v>57</v>
      </c>
      <c r="O19" s="66" t="s">
        <v>57</v>
      </c>
      <c r="P19" s="66" t="s">
        <v>495</v>
      </c>
      <c r="Q19" s="66" t="s">
        <v>59</v>
      </c>
      <c r="R19" s="66"/>
      <c r="S19" s="66"/>
      <c r="T19" s="66"/>
      <c r="U19" s="66"/>
      <c r="V19" s="66"/>
      <c r="W19" s="66"/>
      <c r="X19" s="66"/>
      <c r="Y19" s="66"/>
      <c r="Z19" s="66"/>
      <c r="AA19" s="66"/>
      <c r="AB19" s="66"/>
      <c r="AC19" s="66"/>
      <c r="AD19" s="66"/>
      <c r="AE19" s="66"/>
      <c r="AF19" s="66"/>
      <c r="AG19" s="66"/>
      <c r="AH19" s="66" t="s">
        <v>57</v>
      </c>
      <c r="AI19" s="66" t="s">
        <v>57</v>
      </c>
      <c r="AJ19" s="66" t="s">
        <v>57</v>
      </c>
      <c r="AK19" s="66" t="s">
        <v>57</v>
      </c>
      <c r="AL19" s="66" t="s">
        <v>57</v>
      </c>
      <c r="AM19" s="66" t="s">
        <v>57</v>
      </c>
      <c r="AN19" s="66" t="s">
        <v>57</v>
      </c>
      <c r="AO19" s="66" t="s">
        <v>57</v>
      </c>
      <c r="AP19" s="66" t="s">
        <v>57</v>
      </c>
      <c r="AQ19" s="66" t="s">
        <v>57</v>
      </c>
      <c r="AR19" s="66" t="s">
        <v>57</v>
      </c>
      <c r="AS19" s="66" t="s">
        <v>57</v>
      </c>
      <c r="AT19" s="66"/>
      <c r="AU19" s="67"/>
    </row>
    <row r="20" spans="1:47">
      <c r="A20" s="63" t="s">
        <v>496</v>
      </c>
      <c r="B20" s="63">
        <v>4521207219</v>
      </c>
      <c r="C20" s="63" t="s">
        <v>466</v>
      </c>
      <c r="D20" s="63" t="s">
        <v>225</v>
      </c>
      <c r="E20" s="64">
        <v>0.4</v>
      </c>
      <c r="F20" s="63" t="s">
        <v>54</v>
      </c>
      <c r="G20" s="65">
        <v>18883</v>
      </c>
      <c r="H20" s="63" t="s">
        <v>55</v>
      </c>
      <c r="I20" s="66" t="s">
        <v>40</v>
      </c>
      <c r="J20" s="66" t="s">
        <v>56</v>
      </c>
      <c r="K20" s="66"/>
      <c r="L20" s="66"/>
      <c r="M20" s="66" t="s">
        <v>57</v>
      </c>
      <c r="N20" s="66" t="s">
        <v>57</v>
      </c>
      <c r="O20" s="66" t="s">
        <v>57</v>
      </c>
      <c r="P20" s="66" t="s">
        <v>497</v>
      </c>
      <c r="Q20" s="66" t="s">
        <v>59</v>
      </c>
      <c r="R20" s="66"/>
      <c r="S20" s="66"/>
      <c r="T20" s="66"/>
      <c r="U20" s="66"/>
      <c r="V20" s="66"/>
      <c r="W20" s="66"/>
      <c r="X20" s="66"/>
      <c r="Y20" s="66"/>
      <c r="Z20" s="66"/>
      <c r="AA20" s="66"/>
      <c r="AB20" s="66"/>
      <c r="AC20" s="66"/>
      <c r="AD20" s="66"/>
      <c r="AE20" s="66"/>
      <c r="AF20" s="66"/>
      <c r="AG20" s="66"/>
      <c r="AH20" s="66" t="s">
        <v>57</v>
      </c>
      <c r="AI20" s="66" t="s">
        <v>57</v>
      </c>
      <c r="AJ20" s="66" t="s">
        <v>57</v>
      </c>
      <c r="AK20" s="66" t="s">
        <v>57</v>
      </c>
      <c r="AL20" s="66" t="s">
        <v>57</v>
      </c>
      <c r="AM20" s="66" t="s">
        <v>57</v>
      </c>
      <c r="AN20" s="66" t="s">
        <v>57</v>
      </c>
      <c r="AO20" s="66" t="s">
        <v>57</v>
      </c>
      <c r="AP20" s="66" t="s">
        <v>57</v>
      </c>
      <c r="AQ20" s="66" t="s">
        <v>57</v>
      </c>
      <c r="AR20" s="66" t="s">
        <v>57</v>
      </c>
      <c r="AS20" s="66" t="s">
        <v>57</v>
      </c>
      <c r="AT20" s="66"/>
      <c r="AU20" s="67"/>
    </row>
    <row r="21" spans="1:47">
      <c r="A21" s="63" t="s">
        <v>498</v>
      </c>
      <c r="B21" s="63">
        <v>4382783658</v>
      </c>
      <c r="C21" s="63" t="s">
        <v>466</v>
      </c>
      <c r="D21" s="63" t="s">
        <v>225</v>
      </c>
      <c r="E21" s="64">
        <v>0.4</v>
      </c>
      <c r="F21" s="63" t="s">
        <v>54</v>
      </c>
      <c r="G21" s="65">
        <v>15806</v>
      </c>
      <c r="H21" s="63" t="s">
        <v>47</v>
      </c>
      <c r="I21" s="66" t="s">
        <v>40</v>
      </c>
      <c r="J21" s="66" t="s">
        <v>56</v>
      </c>
      <c r="K21" s="66"/>
      <c r="L21" s="66"/>
      <c r="M21" s="66" t="s">
        <v>57</v>
      </c>
      <c r="N21" s="66" t="s">
        <v>57</v>
      </c>
      <c r="O21" s="66" t="s">
        <v>57</v>
      </c>
      <c r="P21" s="66" t="s">
        <v>499</v>
      </c>
      <c r="Q21" s="66" t="s">
        <v>59</v>
      </c>
      <c r="R21" s="66"/>
      <c r="S21" s="66"/>
      <c r="T21" s="66"/>
      <c r="U21" s="66"/>
      <c r="V21" s="66"/>
      <c r="W21" s="66"/>
      <c r="X21" s="66"/>
      <c r="Y21" s="66"/>
      <c r="Z21" s="66"/>
      <c r="AA21" s="66"/>
      <c r="AB21" s="66"/>
      <c r="AC21" s="66"/>
      <c r="AD21" s="66"/>
      <c r="AE21" s="66"/>
      <c r="AF21" s="66"/>
      <c r="AG21" s="66"/>
      <c r="AH21" s="66" t="s">
        <v>57</v>
      </c>
      <c r="AI21" s="66" t="s">
        <v>57</v>
      </c>
      <c r="AJ21" s="66" t="s">
        <v>57</v>
      </c>
      <c r="AK21" s="66" t="s">
        <v>57</v>
      </c>
      <c r="AL21" s="66" t="s">
        <v>57</v>
      </c>
      <c r="AM21" s="66" t="s">
        <v>57</v>
      </c>
      <c r="AN21" s="66" t="s">
        <v>57</v>
      </c>
      <c r="AO21" s="66" t="s">
        <v>57</v>
      </c>
      <c r="AP21" s="66" t="s">
        <v>57</v>
      </c>
      <c r="AQ21" s="66" t="s">
        <v>57</v>
      </c>
      <c r="AR21" s="66" t="s">
        <v>57</v>
      </c>
      <c r="AS21" s="66" t="s">
        <v>57</v>
      </c>
      <c r="AT21" s="66"/>
      <c r="AU21" s="67"/>
    </row>
    <row r="22" spans="1:47">
      <c r="A22" s="63" t="s">
        <v>500</v>
      </c>
      <c r="B22" s="63">
        <v>4861570220</v>
      </c>
      <c r="C22" s="63" t="s">
        <v>463</v>
      </c>
      <c r="D22" s="63" t="s">
        <v>225</v>
      </c>
      <c r="E22" s="64">
        <v>0.5</v>
      </c>
      <c r="F22" s="63" t="s">
        <v>54</v>
      </c>
      <c r="G22" s="65">
        <v>21885</v>
      </c>
      <c r="H22" s="63" t="s">
        <v>47</v>
      </c>
      <c r="I22" s="66" t="s">
        <v>40</v>
      </c>
      <c r="J22" s="66" t="s">
        <v>56</v>
      </c>
      <c r="K22" s="66"/>
      <c r="L22" s="66"/>
      <c r="M22" s="66" t="s">
        <v>57</v>
      </c>
      <c r="N22" s="66" t="s">
        <v>57</v>
      </c>
      <c r="O22" s="66" t="s">
        <v>57</v>
      </c>
      <c r="P22" s="66" t="s">
        <v>501</v>
      </c>
      <c r="Q22" s="66" t="s">
        <v>59</v>
      </c>
      <c r="R22" s="66"/>
      <c r="S22" s="66"/>
      <c r="T22" s="66"/>
      <c r="U22" s="66"/>
      <c r="V22" s="66"/>
      <c r="W22" s="66"/>
      <c r="X22" s="66"/>
      <c r="Y22" s="66"/>
      <c r="Z22" s="66"/>
      <c r="AA22" s="66"/>
      <c r="AB22" s="66"/>
      <c r="AC22" s="66"/>
      <c r="AD22" s="66"/>
      <c r="AE22" s="66"/>
      <c r="AF22" s="66"/>
      <c r="AG22" s="66"/>
      <c r="AH22" s="66" t="s">
        <v>57</v>
      </c>
      <c r="AI22" s="66" t="s">
        <v>57</v>
      </c>
      <c r="AJ22" s="66" t="s">
        <v>57</v>
      </c>
      <c r="AK22" s="66" t="s">
        <v>57</v>
      </c>
      <c r="AL22" s="66" t="s">
        <v>57</v>
      </c>
      <c r="AM22" s="66" t="s">
        <v>57</v>
      </c>
      <c r="AN22" s="66" t="s">
        <v>57</v>
      </c>
      <c r="AO22" s="66" t="s">
        <v>57</v>
      </c>
      <c r="AP22" s="66" t="s">
        <v>57</v>
      </c>
      <c r="AQ22" s="66" t="s">
        <v>57</v>
      </c>
      <c r="AR22" s="66" t="s">
        <v>57</v>
      </c>
      <c r="AS22" s="66" t="s">
        <v>57</v>
      </c>
      <c r="AT22" s="66"/>
      <c r="AU22" s="67"/>
    </row>
    <row r="23" spans="1:47">
      <c r="A23" s="63" t="s">
        <v>502</v>
      </c>
      <c r="B23" s="63">
        <v>4162352542</v>
      </c>
      <c r="C23" s="63" t="s">
        <v>466</v>
      </c>
      <c r="D23" s="63" t="s">
        <v>225</v>
      </c>
      <c r="E23" s="64">
        <v>0.8</v>
      </c>
      <c r="F23" s="63" t="s">
        <v>54</v>
      </c>
      <c r="G23" s="65">
        <v>24213</v>
      </c>
      <c r="H23" s="63" t="s">
        <v>47</v>
      </c>
      <c r="I23" s="66" t="s">
        <v>40</v>
      </c>
      <c r="J23" s="66" t="s">
        <v>56</v>
      </c>
      <c r="K23" s="66"/>
      <c r="L23" s="66"/>
      <c r="M23" s="66" t="s">
        <v>57</v>
      </c>
      <c r="N23" s="66" t="s">
        <v>57</v>
      </c>
      <c r="O23" s="66" t="s">
        <v>57</v>
      </c>
      <c r="P23" s="66" t="s">
        <v>503</v>
      </c>
      <c r="Q23" s="66" t="s">
        <v>59</v>
      </c>
      <c r="R23" s="66"/>
      <c r="S23" s="66"/>
      <c r="T23" s="66"/>
      <c r="U23" s="66"/>
      <c r="V23" s="66"/>
      <c r="W23" s="66"/>
      <c r="X23" s="66"/>
      <c r="Y23" s="66"/>
      <c r="Z23" s="66"/>
      <c r="AA23" s="66"/>
      <c r="AB23" s="66"/>
      <c r="AC23" s="66"/>
      <c r="AD23" s="66"/>
      <c r="AE23" s="66"/>
      <c r="AF23" s="66"/>
      <c r="AG23" s="66"/>
      <c r="AH23" s="66" t="s">
        <v>57</v>
      </c>
      <c r="AI23" s="66" t="s">
        <v>57</v>
      </c>
      <c r="AJ23" s="66" t="s">
        <v>57</v>
      </c>
      <c r="AK23" s="66" t="s">
        <v>57</v>
      </c>
      <c r="AL23" s="66" t="s">
        <v>57</v>
      </c>
      <c r="AM23" s="66" t="s">
        <v>57</v>
      </c>
      <c r="AN23" s="66" t="s">
        <v>57</v>
      </c>
      <c r="AO23" s="66" t="s">
        <v>57</v>
      </c>
      <c r="AP23" s="66" t="s">
        <v>57</v>
      </c>
      <c r="AQ23" s="66" t="s">
        <v>57</v>
      </c>
      <c r="AR23" s="66" t="s">
        <v>57</v>
      </c>
      <c r="AS23" s="66" t="s">
        <v>57</v>
      </c>
      <c r="AT23" s="66"/>
      <c r="AU23" s="67"/>
    </row>
    <row r="24" spans="1:47">
      <c r="A24" s="63" t="s">
        <v>504</v>
      </c>
      <c r="B24" s="63">
        <v>4582428274</v>
      </c>
      <c r="C24" s="63" t="s">
        <v>466</v>
      </c>
      <c r="D24" s="63" t="s">
        <v>225</v>
      </c>
      <c r="E24" s="64">
        <v>0.3</v>
      </c>
      <c r="F24" s="63" t="s">
        <v>54</v>
      </c>
      <c r="G24" s="65">
        <v>20075</v>
      </c>
      <c r="H24" s="63" t="s">
        <v>47</v>
      </c>
      <c r="I24" s="66" t="s">
        <v>40</v>
      </c>
      <c r="J24" s="66"/>
      <c r="K24" s="66" t="s">
        <v>56</v>
      </c>
      <c r="L24" s="66"/>
      <c r="M24" s="66" t="s">
        <v>57</v>
      </c>
      <c r="N24" s="66" t="s">
        <v>57</v>
      </c>
      <c r="O24" s="66" t="s">
        <v>57</v>
      </c>
      <c r="P24" s="66" t="s">
        <v>505</v>
      </c>
      <c r="Q24" s="66" t="s">
        <v>59</v>
      </c>
      <c r="R24" s="66"/>
      <c r="S24" s="66"/>
      <c r="T24" s="66"/>
      <c r="U24" s="66"/>
      <c r="V24" s="66"/>
      <c r="W24" s="66"/>
      <c r="X24" s="66"/>
      <c r="Y24" s="66"/>
      <c r="Z24" s="66"/>
      <c r="AA24" s="66"/>
      <c r="AB24" s="66"/>
      <c r="AC24" s="66"/>
      <c r="AD24" s="66"/>
      <c r="AE24" s="66"/>
      <c r="AF24" s="66"/>
      <c r="AG24" s="66"/>
      <c r="AH24" s="66" t="s">
        <v>57</v>
      </c>
      <c r="AI24" s="66" t="s">
        <v>57</v>
      </c>
      <c r="AJ24" s="66" t="s">
        <v>57</v>
      </c>
      <c r="AK24" s="66" t="s">
        <v>57</v>
      </c>
      <c r="AL24" s="66" t="s">
        <v>57</v>
      </c>
      <c r="AM24" s="66" t="s">
        <v>57</v>
      </c>
      <c r="AN24" s="66" t="s">
        <v>57</v>
      </c>
      <c r="AO24" s="66" t="s">
        <v>57</v>
      </c>
      <c r="AP24" s="66" t="s">
        <v>57</v>
      </c>
      <c r="AQ24" s="66" t="s">
        <v>57</v>
      </c>
      <c r="AR24" s="66" t="s">
        <v>57</v>
      </c>
      <c r="AS24" s="66" t="s">
        <v>57</v>
      </c>
      <c r="AT24" s="66"/>
      <c r="AU24" s="67"/>
    </row>
    <row r="25" spans="1:47">
      <c r="A25" s="63" t="s">
        <v>506</v>
      </c>
      <c r="B25" s="63">
        <v>4521130445</v>
      </c>
      <c r="C25" s="63" t="s">
        <v>466</v>
      </c>
      <c r="D25" s="63" t="s">
        <v>225</v>
      </c>
      <c r="E25" s="64">
        <v>0.5</v>
      </c>
      <c r="F25" s="63" t="s">
        <v>54</v>
      </c>
      <c r="G25" s="65">
        <v>18924</v>
      </c>
      <c r="H25" s="63" t="s">
        <v>55</v>
      </c>
      <c r="I25" s="66" t="s">
        <v>40</v>
      </c>
      <c r="J25" s="66" t="s">
        <v>56</v>
      </c>
      <c r="K25" s="66"/>
      <c r="L25" s="66"/>
      <c r="M25" s="66" t="s">
        <v>57</v>
      </c>
      <c r="N25" s="66" t="s">
        <v>57</v>
      </c>
      <c r="O25" s="66" t="s">
        <v>57</v>
      </c>
      <c r="P25" s="66" t="s">
        <v>507</v>
      </c>
      <c r="Q25" s="66" t="s">
        <v>59</v>
      </c>
      <c r="R25" s="66"/>
      <c r="S25" s="66"/>
      <c r="T25" s="66"/>
      <c r="U25" s="66"/>
      <c r="V25" s="66"/>
      <c r="W25" s="66"/>
      <c r="X25" s="66"/>
      <c r="Y25" s="66"/>
      <c r="Z25" s="66"/>
      <c r="AA25" s="66"/>
      <c r="AB25" s="66"/>
      <c r="AC25" s="66"/>
      <c r="AD25" s="66"/>
      <c r="AE25" s="66"/>
      <c r="AF25" s="66"/>
      <c r="AG25" s="66"/>
      <c r="AH25" s="66" t="s">
        <v>57</v>
      </c>
      <c r="AI25" s="66" t="s">
        <v>57</v>
      </c>
      <c r="AJ25" s="66" t="s">
        <v>57</v>
      </c>
      <c r="AK25" s="66" t="s">
        <v>57</v>
      </c>
      <c r="AL25" s="66" t="s">
        <v>57</v>
      </c>
      <c r="AM25" s="66" t="s">
        <v>57</v>
      </c>
      <c r="AN25" s="66" t="s">
        <v>57</v>
      </c>
      <c r="AO25" s="66" t="s">
        <v>57</v>
      </c>
      <c r="AP25" s="66" t="s">
        <v>57</v>
      </c>
      <c r="AQ25" s="66" t="s">
        <v>57</v>
      </c>
      <c r="AR25" s="66" t="s">
        <v>57</v>
      </c>
      <c r="AS25" s="66" t="s">
        <v>57</v>
      </c>
      <c r="AT25" s="66"/>
      <c r="AU25" s="67"/>
    </row>
    <row r="26" spans="1:47">
      <c r="A26" s="63" t="s">
        <v>508</v>
      </c>
      <c r="B26" s="63">
        <v>7176873704</v>
      </c>
      <c r="C26" s="63" t="s">
        <v>466</v>
      </c>
      <c r="D26" s="63" t="s">
        <v>225</v>
      </c>
      <c r="E26" s="64">
        <v>0.4</v>
      </c>
      <c r="F26" s="63" t="s">
        <v>70</v>
      </c>
      <c r="G26" s="65">
        <v>25569</v>
      </c>
      <c r="H26" s="63" t="s">
        <v>47</v>
      </c>
      <c r="I26" s="66" t="s">
        <v>40</v>
      </c>
      <c r="J26" s="66" t="s">
        <v>56</v>
      </c>
      <c r="K26" s="66"/>
      <c r="L26" s="66"/>
      <c r="M26" s="66" t="s">
        <v>57</v>
      </c>
      <c r="N26" s="66" t="s">
        <v>57</v>
      </c>
      <c r="O26" s="66" t="s">
        <v>57</v>
      </c>
      <c r="P26" s="66" t="s">
        <v>509</v>
      </c>
      <c r="Q26" s="66" t="s">
        <v>59</v>
      </c>
      <c r="R26" s="66"/>
      <c r="S26" s="66"/>
      <c r="T26" s="66"/>
      <c r="U26" s="66"/>
      <c r="V26" s="66"/>
      <c r="W26" s="66"/>
      <c r="X26" s="66"/>
      <c r="Y26" s="66"/>
      <c r="Z26" s="66"/>
      <c r="AA26" s="66"/>
      <c r="AB26" s="66"/>
      <c r="AC26" s="66"/>
      <c r="AD26" s="66"/>
      <c r="AE26" s="66"/>
      <c r="AF26" s="66"/>
      <c r="AG26" s="66"/>
      <c r="AH26" s="66" t="s">
        <v>57</v>
      </c>
      <c r="AI26" s="66" t="s">
        <v>57</v>
      </c>
      <c r="AJ26" s="66" t="s">
        <v>57</v>
      </c>
      <c r="AK26" s="66" t="s">
        <v>57</v>
      </c>
      <c r="AL26" s="66" t="s">
        <v>57</v>
      </c>
      <c r="AM26" s="66" t="s">
        <v>57</v>
      </c>
      <c r="AN26" s="66" t="s">
        <v>57</v>
      </c>
      <c r="AO26" s="66" t="s">
        <v>57</v>
      </c>
      <c r="AP26" s="66" t="s">
        <v>57</v>
      </c>
      <c r="AQ26" s="66" t="s">
        <v>57</v>
      </c>
      <c r="AR26" s="66" t="s">
        <v>57</v>
      </c>
      <c r="AS26" s="66" t="s">
        <v>57</v>
      </c>
      <c r="AT26" s="66"/>
      <c r="AU26" s="67"/>
    </row>
    <row r="27" spans="1:47">
      <c r="A27" s="63" t="s">
        <v>510</v>
      </c>
      <c r="B27" s="63">
        <v>4123413250</v>
      </c>
      <c r="C27" s="63" t="s">
        <v>466</v>
      </c>
      <c r="D27" s="63" t="s">
        <v>225</v>
      </c>
      <c r="E27" s="64">
        <v>0.9</v>
      </c>
      <c r="F27" s="63" t="s">
        <v>54</v>
      </c>
      <c r="G27" s="65">
        <v>25162</v>
      </c>
      <c r="H27" s="63" t="s">
        <v>47</v>
      </c>
      <c r="I27" s="66" t="s">
        <v>40</v>
      </c>
      <c r="J27" s="66"/>
      <c r="K27" s="66"/>
      <c r="L27" s="66" t="s">
        <v>56</v>
      </c>
      <c r="M27" s="66" t="s">
        <v>57</v>
      </c>
      <c r="N27" s="66" t="s">
        <v>57</v>
      </c>
      <c r="O27" s="66" t="s">
        <v>57</v>
      </c>
      <c r="P27" s="66" t="s">
        <v>511</v>
      </c>
      <c r="Q27" s="66" t="s">
        <v>59</v>
      </c>
      <c r="R27" s="66"/>
      <c r="S27" s="66"/>
      <c r="T27" s="66"/>
      <c r="U27" s="66"/>
      <c r="V27" s="66"/>
      <c r="W27" s="66"/>
      <c r="X27" s="66"/>
      <c r="Y27" s="66"/>
      <c r="Z27" s="66"/>
      <c r="AA27" s="66"/>
      <c r="AB27" s="66"/>
      <c r="AC27" s="66"/>
      <c r="AD27" s="66"/>
      <c r="AE27" s="66"/>
      <c r="AF27" s="66"/>
      <c r="AG27" s="66"/>
      <c r="AH27" s="66" t="s">
        <v>57</v>
      </c>
      <c r="AI27" s="66" t="s">
        <v>57</v>
      </c>
      <c r="AJ27" s="66" t="s">
        <v>57</v>
      </c>
      <c r="AK27" s="66" t="s">
        <v>57</v>
      </c>
      <c r="AL27" s="66" t="s">
        <v>57</v>
      </c>
      <c r="AM27" s="66" t="s">
        <v>57</v>
      </c>
      <c r="AN27" s="66" t="s">
        <v>57</v>
      </c>
      <c r="AO27" s="66" t="s">
        <v>57</v>
      </c>
      <c r="AP27" s="66" t="s">
        <v>57</v>
      </c>
      <c r="AQ27" s="66" t="s">
        <v>57</v>
      </c>
      <c r="AR27" s="66" t="s">
        <v>57</v>
      </c>
      <c r="AS27" s="66" t="s">
        <v>57</v>
      </c>
      <c r="AT27" s="66"/>
      <c r="AU27" s="67"/>
    </row>
    <row r="28" spans="1:47">
      <c r="A28" s="63" t="s">
        <v>512</v>
      </c>
      <c r="B28" s="63">
        <v>4861942470</v>
      </c>
      <c r="C28" s="63" t="s">
        <v>466</v>
      </c>
      <c r="D28" s="63" t="s">
        <v>225</v>
      </c>
      <c r="E28" s="64">
        <v>0.4</v>
      </c>
      <c r="F28" s="63" t="s">
        <v>54</v>
      </c>
      <c r="G28" s="65">
        <v>22625</v>
      </c>
      <c r="H28" s="63" t="s">
        <v>55</v>
      </c>
      <c r="I28" s="66" t="s">
        <v>40</v>
      </c>
      <c r="J28" s="66" t="s">
        <v>56</v>
      </c>
      <c r="K28" s="66"/>
      <c r="L28" s="66"/>
      <c r="M28" s="66" t="s">
        <v>57</v>
      </c>
      <c r="N28" s="66" t="s">
        <v>57</v>
      </c>
      <c r="O28" s="66" t="s">
        <v>57</v>
      </c>
      <c r="P28" s="66" t="s">
        <v>513</v>
      </c>
      <c r="Q28" s="66" t="s">
        <v>59</v>
      </c>
      <c r="R28" s="66"/>
      <c r="S28" s="66"/>
      <c r="T28" s="66"/>
      <c r="U28" s="66"/>
      <c r="V28" s="66"/>
      <c r="W28" s="66"/>
      <c r="X28" s="66"/>
      <c r="Y28" s="66"/>
      <c r="Z28" s="66"/>
      <c r="AA28" s="66"/>
      <c r="AB28" s="66"/>
      <c r="AC28" s="66"/>
      <c r="AD28" s="66"/>
      <c r="AE28" s="66"/>
      <c r="AF28" s="66"/>
      <c r="AG28" s="66"/>
      <c r="AH28" s="66" t="s">
        <v>57</v>
      </c>
      <c r="AI28" s="66" t="s">
        <v>57</v>
      </c>
      <c r="AJ28" s="66" t="s">
        <v>57</v>
      </c>
      <c r="AK28" s="66" t="s">
        <v>57</v>
      </c>
      <c r="AL28" s="66" t="s">
        <v>57</v>
      </c>
      <c r="AM28" s="66" t="s">
        <v>57</v>
      </c>
      <c r="AN28" s="66" t="s">
        <v>57</v>
      </c>
      <c r="AO28" s="66" t="s">
        <v>57</v>
      </c>
      <c r="AP28" s="66" t="s">
        <v>57</v>
      </c>
      <c r="AQ28" s="66" t="s">
        <v>57</v>
      </c>
      <c r="AR28" s="66" t="s">
        <v>57</v>
      </c>
      <c r="AS28" s="66" t="s">
        <v>57</v>
      </c>
      <c r="AT28" s="66"/>
      <c r="AU28" s="67"/>
    </row>
    <row r="29" spans="1:47">
      <c r="A29" s="63" t="s">
        <v>514</v>
      </c>
      <c r="B29" s="63">
        <v>4581159016</v>
      </c>
      <c r="C29" s="63" t="s">
        <v>466</v>
      </c>
      <c r="D29" s="63" t="s">
        <v>225</v>
      </c>
      <c r="E29" s="64">
        <v>0.75</v>
      </c>
      <c r="F29" s="63" t="s">
        <v>54</v>
      </c>
      <c r="G29" s="65">
        <v>21427</v>
      </c>
      <c r="H29" s="63" t="s">
        <v>55</v>
      </c>
      <c r="I29" s="66" t="s">
        <v>40</v>
      </c>
      <c r="J29" s="66"/>
      <c r="K29" s="66"/>
      <c r="L29" s="66" t="s">
        <v>56</v>
      </c>
      <c r="M29" s="66" t="s">
        <v>57</v>
      </c>
      <c r="N29" s="66" t="s">
        <v>57</v>
      </c>
      <c r="O29" s="66" t="s">
        <v>57</v>
      </c>
      <c r="P29" s="66" t="s">
        <v>515</v>
      </c>
      <c r="Q29" s="66" t="s">
        <v>59</v>
      </c>
      <c r="R29" s="66"/>
      <c r="S29" s="66"/>
      <c r="T29" s="66"/>
      <c r="U29" s="66"/>
      <c r="V29" s="66"/>
      <c r="W29" s="66"/>
      <c r="X29" s="66"/>
      <c r="Y29" s="66"/>
      <c r="Z29" s="66"/>
      <c r="AA29" s="66"/>
      <c r="AB29" s="66"/>
      <c r="AC29" s="66"/>
      <c r="AD29" s="66"/>
      <c r="AE29" s="66"/>
      <c r="AF29" s="66"/>
      <c r="AG29" s="66"/>
      <c r="AH29" s="66" t="s">
        <v>57</v>
      </c>
      <c r="AI29" s="66" t="s">
        <v>57</v>
      </c>
      <c r="AJ29" s="66" t="s">
        <v>57</v>
      </c>
      <c r="AK29" s="66" t="s">
        <v>57</v>
      </c>
      <c r="AL29" s="66" t="s">
        <v>57</v>
      </c>
      <c r="AM29" s="66" t="s">
        <v>57</v>
      </c>
      <c r="AN29" s="66" t="s">
        <v>57</v>
      </c>
      <c r="AO29" s="66" t="s">
        <v>57</v>
      </c>
      <c r="AP29" s="66" t="s">
        <v>57</v>
      </c>
      <c r="AQ29" s="66" t="s">
        <v>57</v>
      </c>
      <c r="AR29" s="66" t="s">
        <v>57</v>
      </c>
      <c r="AS29" s="66" t="s">
        <v>57</v>
      </c>
      <c r="AT29" s="66"/>
      <c r="AU29" s="67"/>
    </row>
    <row r="30" spans="1:47">
      <c r="A30" s="63" t="s">
        <v>516</v>
      </c>
      <c r="B30" s="63">
        <v>4520235782</v>
      </c>
      <c r="C30" s="63" t="s">
        <v>466</v>
      </c>
      <c r="D30" s="63" t="s">
        <v>225</v>
      </c>
      <c r="E30" s="64">
        <v>0.3</v>
      </c>
      <c r="F30" s="63" t="s">
        <v>54</v>
      </c>
      <c r="G30" s="65">
        <v>18139</v>
      </c>
      <c r="H30" s="63" t="s">
        <v>47</v>
      </c>
      <c r="I30" s="66" t="s">
        <v>40</v>
      </c>
      <c r="J30" s="66" t="s">
        <v>56</v>
      </c>
      <c r="K30" s="66"/>
      <c r="L30" s="66"/>
      <c r="M30" s="66" t="s">
        <v>57</v>
      </c>
      <c r="N30" s="66" t="s">
        <v>57</v>
      </c>
      <c r="O30" s="66" t="s">
        <v>57</v>
      </c>
      <c r="P30" s="66" t="s">
        <v>517</v>
      </c>
      <c r="Q30" s="66" t="s">
        <v>59</v>
      </c>
      <c r="R30" s="66"/>
      <c r="S30" s="66"/>
      <c r="T30" s="66"/>
      <c r="U30" s="66"/>
      <c r="V30" s="66"/>
      <c r="W30" s="66"/>
      <c r="X30" s="66"/>
      <c r="Y30" s="66"/>
      <c r="Z30" s="66"/>
      <c r="AA30" s="66"/>
      <c r="AB30" s="66"/>
      <c r="AC30" s="66"/>
      <c r="AD30" s="66"/>
      <c r="AE30" s="66"/>
      <c r="AF30" s="66"/>
      <c r="AG30" s="66"/>
      <c r="AH30" s="66" t="s">
        <v>57</v>
      </c>
      <c r="AI30" s="66" t="s">
        <v>57</v>
      </c>
      <c r="AJ30" s="66" t="s">
        <v>57</v>
      </c>
      <c r="AK30" s="66" t="s">
        <v>57</v>
      </c>
      <c r="AL30" s="66" t="s">
        <v>57</v>
      </c>
      <c r="AM30" s="66" t="s">
        <v>57</v>
      </c>
      <c r="AN30" s="66" t="s">
        <v>57</v>
      </c>
      <c r="AO30" s="66" t="s">
        <v>57</v>
      </c>
      <c r="AP30" s="66" t="s">
        <v>57</v>
      </c>
      <c r="AQ30" s="66" t="s">
        <v>57</v>
      </c>
      <c r="AR30" s="66" t="s">
        <v>57</v>
      </c>
      <c r="AS30" s="66" t="s">
        <v>57</v>
      </c>
      <c r="AT30" s="66"/>
      <c r="AU30" s="66"/>
    </row>
    <row r="31" spans="1:47">
      <c r="A31" s="63" t="s">
        <v>518</v>
      </c>
      <c r="B31" s="63">
        <v>4508868479</v>
      </c>
      <c r="C31" s="63" t="s">
        <v>466</v>
      </c>
      <c r="D31" s="63" t="s">
        <v>225</v>
      </c>
      <c r="E31" s="64">
        <v>0.6</v>
      </c>
      <c r="F31" s="63" t="s">
        <v>54</v>
      </c>
      <c r="G31" s="65">
        <v>17672</v>
      </c>
      <c r="H31" s="63" t="s">
        <v>55</v>
      </c>
      <c r="I31" s="66" t="s">
        <v>40</v>
      </c>
      <c r="J31" s="66" t="s">
        <v>56</v>
      </c>
      <c r="K31" s="66"/>
      <c r="L31" s="66"/>
      <c r="M31" s="66" t="s">
        <v>57</v>
      </c>
      <c r="N31" s="66" t="s">
        <v>57</v>
      </c>
      <c r="O31" s="66" t="s">
        <v>57</v>
      </c>
      <c r="P31" s="66" t="s">
        <v>519</v>
      </c>
      <c r="Q31" s="66" t="s">
        <v>59</v>
      </c>
      <c r="R31" s="66"/>
      <c r="S31" s="66"/>
      <c r="T31" s="66"/>
      <c r="U31" s="66"/>
      <c r="V31" s="66"/>
      <c r="W31" s="66"/>
      <c r="X31" s="66"/>
      <c r="Y31" s="66"/>
      <c r="Z31" s="66"/>
      <c r="AA31" s="66"/>
      <c r="AB31" s="66"/>
      <c r="AC31" s="66"/>
      <c r="AD31" s="66"/>
      <c r="AE31" s="66"/>
      <c r="AF31" s="66"/>
      <c r="AG31" s="66"/>
      <c r="AH31" s="66" t="s">
        <v>57</v>
      </c>
      <c r="AI31" s="66" t="s">
        <v>57</v>
      </c>
      <c r="AJ31" s="66" t="s">
        <v>57</v>
      </c>
      <c r="AK31" s="66" t="s">
        <v>57</v>
      </c>
      <c r="AL31" s="66" t="s">
        <v>57</v>
      </c>
      <c r="AM31" s="66" t="s">
        <v>57</v>
      </c>
      <c r="AN31" s="66" t="s">
        <v>57</v>
      </c>
      <c r="AO31" s="66" t="s">
        <v>57</v>
      </c>
      <c r="AP31" s="66" t="s">
        <v>57</v>
      </c>
      <c r="AQ31" s="66" t="s">
        <v>57</v>
      </c>
      <c r="AR31" s="66" t="s">
        <v>57</v>
      </c>
      <c r="AS31" s="66" t="s">
        <v>57</v>
      </c>
      <c r="AT31" s="66"/>
      <c r="AU31" s="66"/>
    </row>
    <row r="32" spans="1:47">
      <c r="A32" s="63" t="s">
        <v>520</v>
      </c>
      <c r="B32" s="63">
        <v>4520973376</v>
      </c>
      <c r="C32" s="63" t="s">
        <v>466</v>
      </c>
      <c r="D32" s="63" t="s">
        <v>225</v>
      </c>
      <c r="E32" s="64">
        <v>0.3</v>
      </c>
      <c r="F32" s="63" t="s">
        <v>70</v>
      </c>
      <c r="G32" s="65">
        <v>18612</v>
      </c>
      <c r="H32" s="63" t="s">
        <v>55</v>
      </c>
      <c r="I32" s="66" t="s">
        <v>40</v>
      </c>
      <c r="J32" s="66" t="s">
        <v>56</v>
      </c>
      <c r="K32" s="66"/>
      <c r="L32" s="66"/>
      <c r="M32" s="66" t="s">
        <v>57</v>
      </c>
      <c r="N32" s="66" t="s">
        <v>57</v>
      </c>
      <c r="O32" s="66" t="s">
        <v>57</v>
      </c>
      <c r="P32" s="66" t="s">
        <v>521</v>
      </c>
      <c r="Q32" s="66" t="s">
        <v>59</v>
      </c>
      <c r="R32" s="66"/>
      <c r="S32" s="66"/>
      <c r="T32" s="66"/>
      <c r="U32" s="66"/>
      <c r="V32" s="66"/>
      <c r="W32" s="66"/>
      <c r="X32" s="66"/>
      <c r="Y32" s="66"/>
      <c r="Z32" s="66"/>
      <c r="AA32" s="66"/>
      <c r="AB32" s="66"/>
      <c r="AC32" s="66"/>
      <c r="AD32" s="66"/>
      <c r="AE32" s="66"/>
      <c r="AF32" s="66"/>
      <c r="AG32" s="66"/>
      <c r="AH32" s="66" t="s">
        <v>57</v>
      </c>
      <c r="AI32" s="66" t="s">
        <v>57</v>
      </c>
      <c r="AJ32" s="66" t="s">
        <v>57</v>
      </c>
      <c r="AK32" s="66" t="s">
        <v>57</v>
      </c>
      <c r="AL32" s="66" t="s">
        <v>57</v>
      </c>
      <c r="AM32" s="66" t="s">
        <v>57</v>
      </c>
      <c r="AN32" s="66" t="s">
        <v>57</v>
      </c>
      <c r="AO32" s="66" t="s">
        <v>57</v>
      </c>
      <c r="AP32" s="66" t="s">
        <v>57</v>
      </c>
      <c r="AQ32" s="66" t="s">
        <v>57</v>
      </c>
      <c r="AR32" s="66" t="s">
        <v>57</v>
      </c>
      <c r="AS32" s="66" t="s">
        <v>57</v>
      </c>
      <c r="AT32" s="66"/>
      <c r="AU32" s="66"/>
    </row>
    <row r="33" spans="1:47">
      <c r="A33" s="63" t="s">
        <v>522</v>
      </c>
      <c r="B33" s="63">
        <v>4582872794</v>
      </c>
      <c r="C33" s="63" t="s">
        <v>466</v>
      </c>
      <c r="D33" s="63" t="s">
        <v>225</v>
      </c>
      <c r="E33" s="64">
        <v>0.5</v>
      </c>
      <c r="F33" s="63" t="s">
        <v>54</v>
      </c>
      <c r="G33" s="65">
        <v>20042</v>
      </c>
      <c r="H33" s="63" t="s">
        <v>47</v>
      </c>
      <c r="I33" s="66" t="s">
        <v>40</v>
      </c>
      <c r="J33" s="66"/>
      <c r="K33" s="66"/>
      <c r="L33" s="66" t="s">
        <v>56</v>
      </c>
      <c r="M33" s="66" t="s">
        <v>57</v>
      </c>
      <c r="N33" s="66" t="s">
        <v>57</v>
      </c>
      <c r="O33" s="66" t="s">
        <v>57</v>
      </c>
      <c r="P33" s="66" t="s">
        <v>523</v>
      </c>
      <c r="Q33" s="66" t="s">
        <v>59</v>
      </c>
      <c r="R33" s="66"/>
      <c r="S33" s="66"/>
      <c r="T33" s="66"/>
      <c r="U33" s="66"/>
      <c r="V33" s="66"/>
      <c r="W33" s="66"/>
      <c r="X33" s="66"/>
      <c r="Y33" s="66"/>
      <c r="Z33" s="66"/>
      <c r="AA33" s="66"/>
      <c r="AB33" s="66"/>
      <c r="AC33" s="66"/>
      <c r="AD33" s="66"/>
      <c r="AE33" s="66"/>
      <c r="AF33" s="66"/>
      <c r="AG33" s="66"/>
      <c r="AH33" s="66" t="s">
        <v>57</v>
      </c>
      <c r="AI33" s="66" t="s">
        <v>57</v>
      </c>
      <c r="AJ33" s="66" t="s">
        <v>57</v>
      </c>
      <c r="AK33" s="66" t="s">
        <v>57</v>
      </c>
      <c r="AL33" s="66" t="s">
        <v>57</v>
      </c>
      <c r="AM33" s="66" t="s">
        <v>57</v>
      </c>
      <c r="AN33" s="66" t="s">
        <v>57</v>
      </c>
      <c r="AO33" s="66" t="s">
        <v>57</v>
      </c>
      <c r="AP33" s="66" t="s">
        <v>57</v>
      </c>
      <c r="AQ33" s="66" t="s">
        <v>57</v>
      </c>
      <c r="AR33" s="66" t="s">
        <v>57</v>
      </c>
      <c r="AS33" s="66" t="s">
        <v>57</v>
      </c>
      <c r="AT33" s="66"/>
      <c r="AU33" s="66"/>
    </row>
    <row r="34" spans="1:47">
      <c r="A34" s="63" t="s">
        <v>524</v>
      </c>
      <c r="B34" s="63">
        <v>4581179483</v>
      </c>
      <c r="C34" s="63" t="s">
        <v>466</v>
      </c>
      <c r="D34" s="63" t="s">
        <v>225</v>
      </c>
      <c r="E34" s="64" t="s">
        <v>338</v>
      </c>
      <c r="F34" s="63" t="s">
        <v>54</v>
      </c>
      <c r="G34" s="65">
        <v>19116</v>
      </c>
      <c r="H34" s="63" t="s">
        <v>47</v>
      </c>
      <c r="I34" s="66" t="s">
        <v>40</v>
      </c>
      <c r="J34" s="66"/>
      <c r="K34" s="66"/>
      <c r="L34" s="66" t="s">
        <v>56</v>
      </c>
      <c r="M34" s="66" t="s">
        <v>57</v>
      </c>
      <c r="N34" s="66" t="s">
        <v>57</v>
      </c>
      <c r="O34" s="66" t="s">
        <v>57</v>
      </c>
      <c r="P34" s="66" t="s">
        <v>525</v>
      </c>
      <c r="Q34" s="66" t="s">
        <v>59</v>
      </c>
      <c r="R34" s="66"/>
      <c r="S34" s="66"/>
      <c r="T34" s="66"/>
      <c r="U34" s="66"/>
      <c r="V34" s="66"/>
      <c r="W34" s="66"/>
      <c r="X34" s="66"/>
      <c r="Y34" s="66"/>
      <c r="Z34" s="66"/>
      <c r="AA34" s="66"/>
      <c r="AB34" s="66"/>
      <c r="AC34" s="66"/>
      <c r="AD34" s="66"/>
      <c r="AE34" s="66"/>
      <c r="AF34" s="66"/>
      <c r="AG34" s="66"/>
      <c r="AH34" s="66" t="s">
        <v>57</v>
      </c>
      <c r="AI34" s="66" t="s">
        <v>57</v>
      </c>
      <c r="AJ34" s="66" t="s">
        <v>57</v>
      </c>
      <c r="AK34" s="66" t="s">
        <v>57</v>
      </c>
      <c r="AL34" s="66" t="s">
        <v>57</v>
      </c>
      <c r="AM34" s="66" t="s">
        <v>57</v>
      </c>
      <c r="AN34" s="66" t="s">
        <v>57</v>
      </c>
      <c r="AO34" s="66" t="s">
        <v>57</v>
      </c>
      <c r="AP34" s="66" t="s">
        <v>57</v>
      </c>
      <c r="AQ34" s="66" t="s">
        <v>57</v>
      </c>
      <c r="AR34" s="66" t="s">
        <v>57</v>
      </c>
      <c r="AS34" s="66" t="s">
        <v>57</v>
      </c>
      <c r="AT34" s="66"/>
      <c r="AU34" s="66"/>
    </row>
    <row r="35" spans="1:47">
      <c r="A35" s="63" t="s">
        <v>526</v>
      </c>
      <c r="B35" s="63">
        <v>4380966666</v>
      </c>
      <c r="C35" s="63" t="s">
        <v>466</v>
      </c>
      <c r="D35" s="63" t="s">
        <v>225</v>
      </c>
      <c r="E35" s="64">
        <v>0.6</v>
      </c>
      <c r="F35" s="63" t="s">
        <v>54</v>
      </c>
      <c r="G35" s="65">
        <v>16162</v>
      </c>
      <c r="H35" s="63" t="s">
        <v>47</v>
      </c>
      <c r="I35" s="66" t="s">
        <v>40</v>
      </c>
      <c r="J35" s="66" t="s">
        <v>56</v>
      </c>
      <c r="K35" s="66"/>
      <c r="L35" s="66"/>
      <c r="M35" s="66" t="s">
        <v>57</v>
      </c>
      <c r="N35" s="66" t="s">
        <v>57</v>
      </c>
      <c r="O35" s="66" t="s">
        <v>57</v>
      </c>
      <c r="P35" s="66" t="s">
        <v>527</v>
      </c>
      <c r="Q35" s="66" t="s">
        <v>59</v>
      </c>
      <c r="R35" s="66"/>
      <c r="S35" s="66"/>
      <c r="T35" s="66"/>
      <c r="U35" s="66"/>
      <c r="V35" s="66"/>
      <c r="W35" s="66"/>
      <c r="X35" s="66"/>
      <c r="Y35" s="66"/>
      <c r="Z35" s="66"/>
      <c r="AA35" s="66"/>
      <c r="AB35" s="66"/>
      <c r="AC35" s="66"/>
      <c r="AD35" s="66"/>
      <c r="AE35" s="66"/>
      <c r="AF35" s="66"/>
      <c r="AG35" s="66"/>
      <c r="AH35" s="66" t="s">
        <v>57</v>
      </c>
      <c r="AI35" s="66" t="s">
        <v>57</v>
      </c>
      <c r="AJ35" s="66" t="s">
        <v>57</v>
      </c>
      <c r="AK35" s="66" t="s">
        <v>57</v>
      </c>
      <c r="AL35" s="66" t="s">
        <v>57</v>
      </c>
      <c r="AM35" s="66" t="s">
        <v>57</v>
      </c>
      <c r="AN35" s="66" t="s">
        <v>57</v>
      </c>
      <c r="AO35" s="66" t="s">
        <v>57</v>
      </c>
      <c r="AP35" s="66" t="s">
        <v>57</v>
      </c>
      <c r="AQ35" s="66" t="s">
        <v>57</v>
      </c>
      <c r="AR35" s="66" t="s">
        <v>57</v>
      </c>
      <c r="AS35" s="66" t="s">
        <v>57</v>
      </c>
      <c r="AT35" s="66"/>
      <c r="AU35" s="66"/>
    </row>
    <row r="36" spans="1:47">
      <c r="A36" s="63" t="s">
        <v>528</v>
      </c>
      <c r="B36" s="63">
        <v>4382274427</v>
      </c>
      <c r="C36" s="63" t="s">
        <v>463</v>
      </c>
      <c r="D36" s="63" t="s">
        <v>225</v>
      </c>
      <c r="E36" s="64">
        <v>0.4</v>
      </c>
      <c r="F36" s="63" t="s">
        <v>54</v>
      </c>
      <c r="G36" s="65">
        <v>15910</v>
      </c>
      <c r="H36" s="63" t="s">
        <v>47</v>
      </c>
      <c r="I36" s="66" t="s">
        <v>40</v>
      </c>
      <c r="J36" s="66" t="s">
        <v>56</v>
      </c>
      <c r="K36" s="66"/>
      <c r="L36" s="66"/>
      <c r="M36" s="66" t="s">
        <v>57</v>
      </c>
      <c r="N36" s="66" t="s">
        <v>57</v>
      </c>
      <c r="O36" s="66" t="s">
        <v>57</v>
      </c>
      <c r="P36" s="66" t="s">
        <v>529</v>
      </c>
      <c r="Q36" s="66" t="s">
        <v>59</v>
      </c>
      <c r="R36" s="66"/>
      <c r="S36" s="66"/>
      <c r="T36" s="66"/>
      <c r="U36" s="66"/>
      <c r="V36" s="66"/>
      <c r="W36" s="66"/>
      <c r="X36" s="66"/>
      <c r="Y36" s="66"/>
      <c r="Z36" s="66"/>
      <c r="AA36" s="66"/>
      <c r="AB36" s="66"/>
      <c r="AC36" s="66"/>
      <c r="AD36" s="66"/>
      <c r="AE36" s="66"/>
      <c r="AF36" s="66"/>
      <c r="AG36" s="66"/>
      <c r="AH36" s="66" t="s">
        <v>57</v>
      </c>
      <c r="AI36" s="66" t="s">
        <v>57</v>
      </c>
      <c r="AJ36" s="66" t="s">
        <v>57</v>
      </c>
      <c r="AK36" s="66" t="s">
        <v>57</v>
      </c>
      <c r="AL36" s="66" t="s">
        <v>57</v>
      </c>
      <c r="AM36" s="66" t="s">
        <v>57</v>
      </c>
      <c r="AN36" s="66" t="s">
        <v>57</v>
      </c>
      <c r="AO36" s="66" t="s">
        <v>57</v>
      </c>
      <c r="AP36" s="66" t="s">
        <v>57</v>
      </c>
      <c r="AQ36" s="66" t="s">
        <v>57</v>
      </c>
      <c r="AR36" s="66" t="s">
        <v>57</v>
      </c>
      <c r="AS36" s="66" t="s">
        <v>57</v>
      </c>
      <c r="AT36" s="66"/>
      <c r="AU36" s="66"/>
    </row>
    <row r="37" spans="1:47">
      <c r="A37" s="63" t="s">
        <v>530</v>
      </c>
      <c r="B37" s="63">
        <v>4342999633</v>
      </c>
      <c r="C37" s="63" t="s">
        <v>466</v>
      </c>
      <c r="D37" s="63" t="s">
        <v>225</v>
      </c>
      <c r="E37" s="64">
        <v>0.5</v>
      </c>
      <c r="F37" s="63" t="s">
        <v>54</v>
      </c>
      <c r="G37" s="65">
        <v>12969</v>
      </c>
      <c r="H37" s="63" t="s">
        <v>55</v>
      </c>
      <c r="I37" s="66" t="s">
        <v>40</v>
      </c>
      <c r="J37" s="66" t="s">
        <v>56</v>
      </c>
      <c r="K37" s="66"/>
      <c r="L37" s="66"/>
      <c r="M37" s="66" t="s">
        <v>57</v>
      </c>
      <c r="N37" s="66" t="s">
        <v>57</v>
      </c>
      <c r="O37" s="66" t="s">
        <v>57</v>
      </c>
      <c r="P37" s="66" t="s">
        <v>531</v>
      </c>
      <c r="Q37" s="66" t="s">
        <v>59</v>
      </c>
      <c r="R37" s="66"/>
      <c r="S37" s="66"/>
      <c r="T37" s="66"/>
      <c r="U37" s="66"/>
      <c r="V37" s="66"/>
      <c r="W37" s="66"/>
      <c r="X37" s="66"/>
      <c r="Y37" s="66"/>
      <c r="Z37" s="66"/>
      <c r="AA37" s="66"/>
      <c r="AB37" s="66"/>
      <c r="AC37" s="66"/>
      <c r="AD37" s="66"/>
      <c r="AE37" s="66"/>
      <c r="AF37" s="66"/>
      <c r="AG37" s="66"/>
      <c r="AH37" s="66" t="s">
        <v>57</v>
      </c>
      <c r="AI37" s="66" t="s">
        <v>57</v>
      </c>
      <c r="AJ37" s="66" t="s">
        <v>57</v>
      </c>
      <c r="AK37" s="66" t="s">
        <v>57</v>
      </c>
      <c r="AL37" s="66" t="s">
        <v>57</v>
      </c>
      <c r="AM37" s="66" t="s">
        <v>57</v>
      </c>
      <c r="AN37" s="66" t="s">
        <v>57</v>
      </c>
      <c r="AO37" s="66" t="s">
        <v>57</v>
      </c>
      <c r="AP37" s="66" t="s">
        <v>57</v>
      </c>
      <c r="AQ37" s="66" t="s">
        <v>57</v>
      </c>
      <c r="AR37" s="66" t="s">
        <v>57</v>
      </c>
      <c r="AS37" s="66" t="s">
        <v>57</v>
      </c>
      <c r="AT37" s="66"/>
      <c r="AU37" s="66"/>
    </row>
    <row r="38" spans="1:47">
      <c r="A38" s="63" t="s">
        <v>532</v>
      </c>
      <c r="B38" s="63">
        <v>4387546883</v>
      </c>
      <c r="C38" s="63" t="s">
        <v>466</v>
      </c>
      <c r="D38" s="63" t="s">
        <v>225</v>
      </c>
      <c r="E38" s="64">
        <v>0.3</v>
      </c>
      <c r="F38" s="63" t="s">
        <v>54</v>
      </c>
      <c r="G38" s="65">
        <v>14853</v>
      </c>
      <c r="H38" s="63" t="s">
        <v>55</v>
      </c>
      <c r="I38" s="66" t="s">
        <v>40</v>
      </c>
      <c r="J38" s="66"/>
      <c r="K38" s="66"/>
      <c r="L38" s="66" t="s">
        <v>56</v>
      </c>
      <c r="M38" s="66" t="s">
        <v>57</v>
      </c>
      <c r="N38" s="66" t="s">
        <v>57</v>
      </c>
      <c r="O38" s="66" t="s">
        <v>57</v>
      </c>
      <c r="P38" s="66" t="s">
        <v>533</v>
      </c>
      <c r="Q38" s="66" t="s">
        <v>59</v>
      </c>
      <c r="R38" s="66"/>
      <c r="S38" s="66"/>
      <c r="T38" s="66"/>
      <c r="U38" s="66"/>
      <c r="V38" s="66"/>
      <c r="W38" s="66"/>
      <c r="X38" s="66"/>
      <c r="Y38" s="66"/>
      <c r="Z38" s="66"/>
      <c r="AA38" s="66"/>
      <c r="AB38" s="66"/>
      <c r="AC38" s="66"/>
      <c r="AD38" s="66"/>
      <c r="AE38" s="66"/>
      <c r="AF38" s="66"/>
      <c r="AG38" s="66"/>
      <c r="AH38" s="66" t="s">
        <v>57</v>
      </c>
      <c r="AI38" s="66" t="s">
        <v>57</v>
      </c>
      <c r="AJ38" s="66" t="s">
        <v>57</v>
      </c>
      <c r="AK38" s="66" t="s">
        <v>57</v>
      </c>
      <c r="AL38" s="66" t="s">
        <v>57</v>
      </c>
      <c r="AM38" s="66" t="s">
        <v>57</v>
      </c>
      <c r="AN38" s="66" t="s">
        <v>57</v>
      </c>
      <c r="AO38" s="66" t="s">
        <v>57</v>
      </c>
      <c r="AP38" s="66" t="s">
        <v>57</v>
      </c>
      <c r="AQ38" s="66" t="s">
        <v>57</v>
      </c>
      <c r="AR38" s="66" t="s">
        <v>57</v>
      </c>
      <c r="AS38" s="66" t="s">
        <v>57</v>
      </c>
      <c r="AT38" s="66"/>
      <c r="AU38" s="66"/>
    </row>
    <row r="39" spans="1:47">
      <c r="A39" s="63" t="s">
        <v>534</v>
      </c>
      <c r="B39" s="63">
        <v>4861594103</v>
      </c>
      <c r="C39" s="63" t="s">
        <v>466</v>
      </c>
      <c r="D39" s="63" t="s">
        <v>225</v>
      </c>
      <c r="E39" s="64">
        <v>0.4</v>
      </c>
      <c r="F39" s="63" t="s">
        <v>54</v>
      </c>
      <c r="G39" s="65">
        <v>21521</v>
      </c>
      <c r="H39" s="63" t="s">
        <v>55</v>
      </c>
      <c r="I39" s="66" t="s">
        <v>40</v>
      </c>
      <c r="J39" s="66" t="s">
        <v>56</v>
      </c>
      <c r="K39" s="66"/>
      <c r="L39" s="66"/>
      <c r="M39" s="66" t="s">
        <v>57</v>
      </c>
      <c r="N39" s="66" t="s">
        <v>57</v>
      </c>
      <c r="O39" s="66" t="s">
        <v>57</v>
      </c>
      <c r="P39" s="66" t="s">
        <v>535</v>
      </c>
      <c r="Q39" s="66" t="s">
        <v>59</v>
      </c>
      <c r="R39" s="66"/>
      <c r="S39" s="66"/>
      <c r="T39" s="66"/>
      <c r="U39" s="66"/>
      <c r="V39" s="66"/>
      <c r="W39" s="66"/>
      <c r="X39" s="66"/>
      <c r="Y39" s="66"/>
      <c r="Z39" s="66"/>
      <c r="AA39" s="66"/>
      <c r="AB39" s="66"/>
      <c r="AC39" s="66"/>
      <c r="AD39" s="66"/>
      <c r="AE39" s="66"/>
      <c r="AF39" s="66"/>
      <c r="AG39" s="66"/>
      <c r="AH39" s="66" t="s">
        <v>57</v>
      </c>
      <c r="AI39" s="66" t="s">
        <v>57</v>
      </c>
      <c r="AJ39" s="66" t="s">
        <v>57</v>
      </c>
      <c r="AK39" s="66" t="s">
        <v>57</v>
      </c>
      <c r="AL39" s="66" t="s">
        <v>57</v>
      </c>
      <c r="AM39" s="66" t="s">
        <v>57</v>
      </c>
      <c r="AN39" s="66" t="s">
        <v>57</v>
      </c>
      <c r="AO39" s="66" t="s">
        <v>57</v>
      </c>
      <c r="AP39" s="66" t="s">
        <v>57</v>
      </c>
      <c r="AQ39" s="66" t="s">
        <v>57</v>
      </c>
      <c r="AR39" s="66" t="s">
        <v>57</v>
      </c>
      <c r="AS39" s="66" t="s">
        <v>57</v>
      </c>
      <c r="AT39" s="66"/>
      <c r="AU39" s="66"/>
    </row>
    <row r="40" spans="1:47">
      <c r="A40" s="63" t="s">
        <v>536</v>
      </c>
      <c r="B40" s="63">
        <v>4642347461</v>
      </c>
      <c r="C40" s="63" t="s">
        <v>466</v>
      </c>
      <c r="D40" s="63" t="s">
        <v>225</v>
      </c>
      <c r="E40" s="64" t="s">
        <v>152</v>
      </c>
      <c r="F40" s="63" t="s">
        <v>54</v>
      </c>
      <c r="G40" s="65">
        <v>13242</v>
      </c>
      <c r="H40" s="63" t="s">
        <v>47</v>
      </c>
      <c r="I40" s="66" t="s">
        <v>40</v>
      </c>
      <c r="J40" s="66" t="s">
        <v>56</v>
      </c>
      <c r="K40" s="66"/>
      <c r="L40" s="66"/>
      <c r="M40" s="66" t="s">
        <v>57</v>
      </c>
      <c r="N40" s="66" t="s">
        <v>57</v>
      </c>
      <c r="O40" s="66" t="s">
        <v>57</v>
      </c>
      <c r="P40" s="66" t="s">
        <v>537</v>
      </c>
      <c r="Q40" s="66" t="s">
        <v>59</v>
      </c>
      <c r="R40" s="66"/>
      <c r="S40" s="66"/>
      <c r="T40" s="66"/>
      <c r="U40" s="66"/>
      <c r="V40" s="66"/>
      <c r="W40" s="66"/>
      <c r="X40" s="66"/>
      <c r="Y40" s="66"/>
      <c r="Z40" s="66"/>
      <c r="AA40" s="66"/>
      <c r="AB40" s="66"/>
      <c r="AC40" s="66"/>
      <c r="AD40" s="66"/>
      <c r="AE40" s="66"/>
      <c r="AF40" s="66"/>
      <c r="AG40" s="66"/>
      <c r="AH40" s="66" t="s">
        <v>57</v>
      </c>
      <c r="AI40" s="66" t="s">
        <v>57</v>
      </c>
      <c r="AJ40" s="66" t="s">
        <v>57</v>
      </c>
      <c r="AK40" s="66" t="s">
        <v>57</v>
      </c>
      <c r="AL40" s="66" t="s">
        <v>57</v>
      </c>
      <c r="AM40" s="66" t="s">
        <v>57</v>
      </c>
      <c r="AN40" s="66" t="s">
        <v>57</v>
      </c>
      <c r="AO40" s="66" t="s">
        <v>57</v>
      </c>
      <c r="AP40" s="66" t="s">
        <v>57</v>
      </c>
      <c r="AQ40" s="66" t="s">
        <v>57</v>
      </c>
      <c r="AR40" s="66" t="s">
        <v>57</v>
      </c>
      <c r="AS40" s="66" t="s">
        <v>57</v>
      </c>
      <c r="AT40" s="66"/>
      <c r="AU40" s="66"/>
    </row>
    <row r="41" spans="1:47">
      <c r="A41" s="63" t="s">
        <v>538</v>
      </c>
      <c r="B41" s="63">
        <v>4382182409</v>
      </c>
      <c r="C41" s="63" t="s">
        <v>466</v>
      </c>
      <c r="D41" s="63" t="s">
        <v>225</v>
      </c>
      <c r="E41" s="64" t="s">
        <v>427</v>
      </c>
      <c r="F41" s="63" t="s">
        <v>54</v>
      </c>
      <c r="G41" s="65">
        <v>15941</v>
      </c>
      <c r="H41" s="63" t="s">
        <v>47</v>
      </c>
      <c r="I41" s="66" t="s">
        <v>40</v>
      </c>
      <c r="J41" s="66" t="s">
        <v>56</v>
      </c>
      <c r="K41" s="66"/>
      <c r="L41" s="66"/>
      <c r="M41" s="66" t="s">
        <v>57</v>
      </c>
      <c r="N41" s="66" t="s">
        <v>57</v>
      </c>
      <c r="O41" s="66" t="s">
        <v>57</v>
      </c>
      <c r="P41" s="66" t="s">
        <v>539</v>
      </c>
      <c r="Q41" s="66" t="s">
        <v>59</v>
      </c>
      <c r="R41" s="66"/>
      <c r="S41" s="66"/>
      <c r="T41" s="66"/>
      <c r="U41" s="66"/>
      <c r="V41" s="66"/>
      <c r="W41" s="66"/>
      <c r="X41" s="66"/>
      <c r="Y41" s="66"/>
      <c r="Z41" s="66"/>
      <c r="AA41" s="66"/>
      <c r="AB41" s="66"/>
      <c r="AC41" s="66"/>
      <c r="AD41" s="66"/>
      <c r="AE41" s="66"/>
      <c r="AF41" s="66"/>
      <c r="AG41" s="66"/>
      <c r="AH41" s="66" t="s">
        <v>57</v>
      </c>
      <c r="AI41" s="66" t="s">
        <v>57</v>
      </c>
      <c r="AJ41" s="66" t="s">
        <v>57</v>
      </c>
      <c r="AK41" s="66" t="s">
        <v>57</v>
      </c>
      <c r="AL41" s="66" t="s">
        <v>57</v>
      </c>
      <c r="AM41" s="66" t="s">
        <v>57</v>
      </c>
      <c r="AN41" s="66" t="s">
        <v>57</v>
      </c>
      <c r="AO41" s="66" t="s">
        <v>57</v>
      </c>
      <c r="AP41" s="66" t="s">
        <v>57</v>
      </c>
      <c r="AQ41" s="66" t="s">
        <v>57</v>
      </c>
      <c r="AR41" s="66" t="s">
        <v>57</v>
      </c>
      <c r="AS41" s="66" t="s">
        <v>57</v>
      </c>
      <c r="AT41" s="66"/>
      <c r="AU41" s="66"/>
    </row>
    <row r="42" spans="1:47">
      <c r="A42" s="63" t="s">
        <v>540</v>
      </c>
      <c r="B42" s="63">
        <v>4125920826</v>
      </c>
      <c r="C42" s="63" t="s">
        <v>466</v>
      </c>
      <c r="D42" s="63" t="s">
        <v>225</v>
      </c>
      <c r="E42" s="64">
        <v>0.6</v>
      </c>
      <c r="F42" s="63" t="s">
        <v>54</v>
      </c>
      <c r="G42" s="65">
        <v>23856</v>
      </c>
      <c r="H42" s="63" t="s">
        <v>55</v>
      </c>
      <c r="I42" s="66" t="s">
        <v>40</v>
      </c>
      <c r="J42" s="66" t="s">
        <v>56</v>
      </c>
      <c r="K42" s="66"/>
      <c r="L42" s="66"/>
      <c r="M42" s="66" t="s">
        <v>57</v>
      </c>
      <c r="N42" s="66" t="s">
        <v>57</v>
      </c>
      <c r="O42" s="66" t="s">
        <v>57</v>
      </c>
      <c r="P42" s="66" t="s">
        <v>541</v>
      </c>
      <c r="Q42" s="66" t="s">
        <v>59</v>
      </c>
      <c r="R42" s="66"/>
      <c r="S42" s="66"/>
      <c r="T42" s="66"/>
      <c r="U42" s="66"/>
      <c r="V42" s="66"/>
      <c r="W42" s="66"/>
      <c r="X42" s="66"/>
      <c r="Y42" s="66"/>
      <c r="Z42" s="66"/>
      <c r="AA42" s="66"/>
      <c r="AB42" s="66"/>
      <c r="AC42" s="66"/>
      <c r="AD42" s="66"/>
      <c r="AE42" s="66"/>
      <c r="AF42" s="66"/>
      <c r="AG42" s="66"/>
      <c r="AH42" s="66" t="s">
        <v>57</v>
      </c>
      <c r="AI42" s="66" t="s">
        <v>57</v>
      </c>
      <c r="AJ42" s="66" t="s">
        <v>57</v>
      </c>
      <c r="AK42" s="66" t="s">
        <v>57</v>
      </c>
      <c r="AL42" s="66" t="s">
        <v>57</v>
      </c>
      <c r="AM42" s="66" t="s">
        <v>57</v>
      </c>
      <c r="AN42" s="66" t="s">
        <v>57</v>
      </c>
      <c r="AO42" s="66" t="s">
        <v>57</v>
      </c>
      <c r="AP42" s="66" t="s">
        <v>57</v>
      </c>
      <c r="AQ42" s="66" t="s">
        <v>57</v>
      </c>
      <c r="AR42" s="66" t="s">
        <v>57</v>
      </c>
      <c r="AS42" s="66" t="s">
        <v>57</v>
      </c>
      <c r="AT42" s="66"/>
      <c r="AU42" s="66"/>
    </row>
    <row r="43" spans="1:47">
      <c r="A43" s="63" t="s">
        <v>542</v>
      </c>
      <c r="B43" s="63">
        <v>6355208933</v>
      </c>
      <c r="C43" s="63" t="s">
        <v>466</v>
      </c>
      <c r="D43" s="63" t="s">
        <v>225</v>
      </c>
      <c r="E43" s="64">
        <v>0.5</v>
      </c>
      <c r="F43" s="63" t="s">
        <v>54</v>
      </c>
      <c r="G43" s="65">
        <v>16949</v>
      </c>
      <c r="H43" s="63" t="s">
        <v>47</v>
      </c>
      <c r="I43" s="66" t="s">
        <v>40</v>
      </c>
      <c r="J43" s="66" t="s">
        <v>56</v>
      </c>
      <c r="K43" s="66"/>
      <c r="L43" s="66"/>
      <c r="M43" s="66" t="s">
        <v>57</v>
      </c>
      <c r="N43" s="66" t="s">
        <v>57</v>
      </c>
      <c r="O43" s="66" t="s">
        <v>57</v>
      </c>
      <c r="P43" s="66" t="s">
        <v>543</v>
      </c>
      <c r="Q43" s="66" t="s">
        <v>59</v>
      </c>
      <c r="R43" s="66"/>
      <c r="S43" s="66"/>
      <c r="T43" s="66"/>
      <c r="U43" s="66"/>
      <c r="V43" s="66"/>
      <c r="W43" s="66"/>
      <c r="X43" s="66"/>
      <c r="Y43" s="66"/>
      <c r="Z43" s="66"/>
      <c r="AA43" s="66"/>
      <c r="AB43" s="66"/>
      <c r="AC43" s="66"/>
      <c r="AD43" s="66"/>
      <c r="AE43" s="66"/>
      <c r="AF43" s="66"/>
      <c r="AG43" s="66"/>
      <c r="AH43" s="66" t="s">
        <v>57</v>
      </c>
      <c r="AI43" s="66" t="s">
        <v>57</v>
      </c>
      <c r="AJ43" s="66" t="s">
        <v>57</v>
      </c>
      <c r="AK43" s="66" t="s">
        <v>57</v>
      </c>
      <c r="AL43" s="66" t="s">
        <v>57</v>
      </c>
      <c r="AM43" s="66" t="s">
        <v>57</v>
      </c>
      <c r="AN43" s="66" t="s">
        <v>57</v>
      </c>
      <c r="AO43" s="66" t="s">
        <v>57</v>
      </c>
      <c r="AP43" s="66" t="s">
        <v>57</v>
      </c>
      <c r="AQ43" s="66" t="s">
        <v>57</v>
      </c>
      <c r="AR43" s="66" t="s">
        <v>57</v>
      </c>
      <c r="AS43" s="66" t="s">
        <v>57</v>
      </c>
      <c r="AT43" s="66"/>
      <c r="AU43" s="66"/>
    </row>
    <row r="44" spans="1:47">
      <c r="A44" s="63" t="s">
        <v>544</v>
      </c>
      <c r="B44" s="63">
        <v>4582424589</v>
      </c>
      <c r="C44" s="63" t="s">
        <v>466</v>
      </c>
      <c r="D44" s="63" t="s">
        <v>225</v>
      </c>
      <c r="E44" s="64">
        <v>0.7</v>
      </c>
      <c r="F44" s="63" t="s">
        <v>54</v>
      </c>
      <c r="G44" s="65">
        <v>20340</v>
      </c>
      <c r="H44" s="63" t="s">
        <v>55</v>
      </c>
      <c r="I44" s="66" t="s">
        <v>40</v>
      </c>
      <c r="J44" s="66"/>
      <c r="K44" s="66"/>
      <c r="L44" s="66" t="s">
        <v>56</v>
      </c>
      <c r="M44" s="66" t="s">
        <v>57</v>
      </c>
      <c r="N44" s="66" t="s">
        <v>57</v>
      </c>
      <c r="O44" s="66" t="s">
        <v>57</v>
      </c>
      <c r="P44" s="66" t="s">
        <v>545</v>
      </c>
      <c r="Q44" s="66" t="s">
        <v>59</v>
      </c>
      <c r="R44" s="66"/>
      <c r="S44" s="66"/>
      <c r="T44" s="66"/>
      <c r="U44" s="66"/>
      <c r="V44" s="66"/>
      <c r="W44" s="66"/>
      <c r="X44" s="66"/>
      <c r="Y44" s="66"/>
      <c r="Z44" s="66"/>
      <c r="AA44" s="66"/>
      <c r="AB44" s="66"/>
      <c r="AC44" s="66"/>
      <c r="AD44" s="66"/>
      <c r="AE44" s="66"/>
      <c r="AF44" s="66"/>
      <c r="AG44" s="66"/>
      <c r="AH44" s="66" t="s">
        <v>57</v>
      </c>
      <c r="AI44" s="66" t="s">
        <v>57</v>
      </c>
      <c r="AJ44" s="66" t="s">
        <v>57</v>
      </c>
      <c r="AK44" s="66" t="s">
        <v>57</v>
      </c>
      <c r="AL44" s="66" t="s">
        <v>57</v>
      </c>
      <c r="AM44" s="66" t="s">
        <v>57</v>
      </c>
      <c r="AN44" s="66" t="s">
        <v>57</v>
      </c>
      <c r="AO44" s="66" t="s">
        <v>57</v>
      </c>
      <c r="AP44" s="66" t="s">
        <v>57</v>
      </c>
      <c r="AQ44" s="66" t="s">
        <v>57</v>
      </c>
      <c r="AR44" s="66" t="s">
        <v>57</v>
      </c>
      <c r="AS44" s="66" t="s">
        <v>57</v>
      </c>
      <c r="AT44" s="66"/>
      <c r="AU44" s="66"/>
    </row>
    <row r="45" spans="1:47">
      <c r="A45" s="63" t="s">
        <v>546</v>
      </c>
      <c r="B45" s="76" t="s">
        <v>547</v>
      </c>
      <c r="C45" s="63" t="s">
        <v>548</v>
      </c>
      <c r="D45" s="63" t="s">
        <v>225</v>
      </c>
      <c r="E45" s="64" t="s">
        <v>427</v>
      </c>
      <c r="F45" s="63" t="s">
        <v>70</v>
      </c>
      <c r="G45" s="65">
        <v>22807</v>
      </c>
      <c r="H45" s="63" t="s">
        <v>47</v>
      </c>
      <c r="I45" s="66" t="s">
        <v>40</v>
      </c>
      <c r="J45" s="66"/>
      <c r="K45" s="66"/>
      <c r="L45" s="66" t="s">
        <v>56</v>
      </c>
      <c r="M45" s="66" t="s">
        <v>57</v>
      </c>
      <c r="N45" s="66" t="s">
        <v>57</v>
      </c>
      <c r="O45" s="66" t="s">
        <v>57</v>
      </c>
      <c r="P45" s="66" t="s">
        <v>549</v>
      </c>
      <c r="Q45" s="66" t="s">
        <v>59</v>
      </c>
      <c r="R45" s="66"/>
      <c r="S45" s="66"/>
      <c r="T45" s="66"/>
      <c r="U45" s="66"/>
      <c r="V45" s="66"/>
      <c r="W45" s="66"/>
      <c r="X45" s="66"/>
      <c r="Y45" s="66"/>
      <c r="Z45" s="66"/>
      <c r="AA45" s="66"/>
      <c r="AB45" s="66"/>
      <c r="AC45" s="66"/>
      <c r="AD45" s="66"/>
      <c r="AE45" s="66"/>
      <c r="AF45" s="66"/>
      <c r="AG45" s="66"/>
      <c r="AH45" s="66" t="s">
        <v>57</v>
      </c>
      <c r="AI45" s="66" t="s">
        <v>57</v>
      </c>
      <c r="AJ45" s="66" t="s">
        <v>57</v>
      </c>
      <c r="AK45" s="66" t="s">
        <v>57</v>
      </c>
      <c r="AL45" s="66" t="s">
        <v>57</v>
      </c>
      <c r="AM45" s="66" t="s">
        <v>57</v>
      </c>
      <c r="AN45" s="66" t="s">
        <v>57</v>
      </c>
      <c r="AO45" s="66" t="s">
        <v>57</v>
      </c>
      <c r="AP45" s="66" t="s">
        <v>57</v>
      </c>
      <c r="AQ45" s="66" t="s">
        <v>57</v>
      </c>
      <c r="AR45" s="66" t="s">
        <v>57</v>
      </c>
      <c r="AS45" s="66" t="s">
        <v>57</v>
      </c>
      <c r="AT45" s="66"/>
      <c r="AU45" s="66"/>
    </row>
    <row r="46" spans="1:47">
      <c r="A46" s="68" t="s">
        <v>552</v>
      </c>
      <c r="B46" s="68">
        <v>4861981239</v>
      </c>
      <c r="C46" s="68" t="s">
        <v>466</v>
      </c>
      <c r="D46" s="68" t="s">
        <v>225</v>
      </c>
      <c r="E46" s="77">
        <v>0.4</v>
      </c>
      <c r="F46" s="68" t="s">
        <v>70</v>
      </c>
      <c r="G46" s="78">
        <v>23096</v>
      </c>
      <c r="H46" s="68" t="s">
        <v>47</v>
      </c>
      <c r="I46" s="79" t="s">
        <v>40</v>
      </c>
      <c r="J46" s="79" t="s">
        <v>56</v>
      </c>
      <c r="K46" s="79"/>
      <c r="L46" s="79"/>
      <c r="M46" s="79" t="s">
        <v>57</v>
      </c>
      <c r="N46" s="79" t="s">
        <v>57</v>
      </c>
      <c r="O46" s="79" t="s">
        <v>57</v>
      </c>
      <c r="P46" s="79" t="s">
        <v>553</v>
      </c>
      <c r="Q46" s="79" t="s">
        <v>59</v>
      </c>
      <c r="R46" s="79"/>
      <c r="S46" s="79"/>
      <c r="T46" s="79"/>
      <c r="U46" s="79"/>
      <c r="V46" s="79"/>
      <c r="W46" s="79"/>
      <c r="X46" s="79"/>
      <c r="Y46" s="79"/>
      <c r="Z46" s="79"/>
      <c r="AA46" s="79"/>
      <c r="AB46" s="79"/>
      <c r="AC46" s="79"/>
      <c r="AD46" s="79"/>
      <c r="AE46" s="79"/>
      <c r="AF46" s="79"/>
      <c r="AG46" s="79"/>
      <c r="AH46" s="79" t="s">
        <v>57</v>
      </c>
      <c r="AI46" s="79" t="s">
        <v>57</v>
      </c>
      <c r="AJ46" s="79" t="s">
        <v>57</v>
      </c>
      <c r="AK46" s="79" t="s">
        <v>57</v>
      </c>
      <c r="AL46" s="79" t="s">
        <v>57</v>
      </c>
      <c r="AM46" s="79" t="s">
        <v>57</v>
      </c>
      <c r="AN46" s="79" t="s">
        <v>57</v>
      </c>
      <c r="AO46" s="79" t="s">
        <v>57</v>
      </c>
      <c r="AP46" s="79" t="s">
        <v>57</v>
      </c>
      <c r="AQ46" s="79" t="s">
        <v>57</v>
      </c>
      <c r="AR46" s="79" t="s">
        <v>57</v>
      </c>
      <c r="AS46" s="79" t="s">
        <v>57</v>
      </c>
      <c r="AT46" s="79"/>
      <c r="AU46" s="79"/>
    </row>
    <row r="47" spans="1:47">
      <c r="A47" s="63" t="s">
        <v>554</v>
      </c>
      <c r="B47" s="63">
        <v>4860155599</v>
      </c>
      <c r="C47" s="63" t="s">
        <v>463</v>
      </c>
      <c r="D47" s="63" t="s">
        <v>225</v>
      </c>
      <c r="E47" s="64" t="s">
        <v>555</v>
      </c>
      <c r="F47" s="63" t="s">
        <v>70</v>
      </c>
      <c r="G47" s="65">
        <v>23754</v>
      </c>
      <c r="H47" s="63" t="s">
        <v>47</v>
      </c>
      <c r="I47" s="66" t="s">
        <v>40</v>
      </c>
      <c r="J47" s="66" t="s">
        <v>56</v>
      </c>
      <c r="K47" s="66"/>
      <c r="L47" s="66"/>
      <c r="M47" s="66" t="s">
        <v>57</v>
      </c>
      <c r="N47" s="66" t="s">
        <v>57</v>
      </c>
      <c r="O47" s="66" t="s">
        <v>57</v>
      </c>
      <c r="P47" s="66" t="s">
        <v>556</v>
      </c>
      <c r="Q47" s="66" t="s">
        <v>59</v>
      </c>
      <c r="R47" s="66"/>
      <c r="S47" s="66"/>
      <c r="T47" s="66"/>
      <c r="U47" s="66"/>
      <c r="V47" s="66"/>
      <c r="W47" s="66"/>
      <c r="X47" s="66"/>
      <c r="Y47" s="66"/>
      <c r="Z47" s="66"/>
      <c r="AA47" s="66"/>
      <c r="AB47" s="66"/>
      <c r="AC47" s="66"/>
      <c r="AD47" s="66"/>
      <c r="AE47" s="66"/>
      <c r="AF47" s="66"/>
      <c r="AG47" s="66"/>
      <c r="AH47" s="66" t="s">
        <v>57</v>
      </c>
      <c r="AI47" s="66" t="s">
        <v>57</v>
      </c>
      <c r="AJ47" s="66" t="s">
        <v>57</v>
      </c>
      <c r="AK47" s="66" t="s">
        <v>57</v>
      </c>
      <c r="AL47" s="66" t="s">
        <v>57</v>
      </c>
      <c r="AM47" s="66" t="s">
        <v>57</v>
      </c>
      <c r="AN47" s="66" t="s">
        <v>57</v>
      </c>
      <c r="AO47" s="66" t="s">
        <v>57</v>
      </c>
      <c r="AP47" s="66" t="s">
        <v>57</v>
      </c>
      <c r="AQ47" s="66" t="s">
        <v>57</v>
      </c>
      <c r="AR47" s="66" t="s">
        <v>57</v>
      </c>
      <c r="AS47" s="66" t="s">
        <v>57</v>
      </c>
      <c r="AT47" s="66"/>
      <c r="AU47" s="66"/>
    </row>
    <row r="48" spans="1:47">
      <c r="A48" s="63" t="s">
        <v>557</v>
      </c>
      <c r="B48" s="63">
        <v>4582340121</v>
      </c>
      <c r="C48" s="63" t="s">
        <v>466</v>
      </c>
      <c r="D48" s="63" t="s">
        <v>225</v>
      </c>
      <c r="E48" s="64" t="s">
        <v>53</v>
      </c>
      <c r="F48" s="63" t="s">
        <v>70</v>
      </c>
      <c r="G48" s="65">
        <v>20013</v>
      </c>
      <c r="H48" s="63" t="s">
        <v>47</v>
      </c>
      <c r="I48" s="66" t="s">
        <v>40</v>
      </c>
      <c r="J48" s="66"/>
      <c r="K48" s="66"/>
      <c r="L48" s="66" t="s">
        <v>56</v>
      </c>
      <c r="M48" s="66" t="s">
        <v>57</v>
      </c>
      <c r="N48" s="66" t="s">
        <v>57</v>
      </c>
      <c r="O48" s="66" t="s">
        <v>57</v>
      </c>
      <c r="P48" s="66" t="s">
        <v>558</v>
      </c>
      <c r="Q48" s="66" t="s">
        <v>59</v>
      </c>
      <c r="R48" s="66"/>
      <c r="S48" s="66"/>
      <c r="T48" s="66"/>
      <c r="U48" s="66"/>
      <c r="V48" s="66"/>
      <c r="W48" s="66"/>
      <c r="X48" s="66"/>
      <c r="Y48" s="66"/>
      <c r="Z48" s="66"/>
      <c r="AA48" s="66"/>
      <c r="AB48" s="66"/>
      <c r="AC48" s="66"/>
      <c r="AD48" s="66"/>
      <c r="AE48" s="66"/>
      <c r="AF48" s="66"/>
      <c r="AG48" s="66"/>
      <c r="AH48" s="66" t="s">
        <v>57</v>
      </c>
      <c r="AI48" s="66" t="s">
        <v>57</v>
      </c>
      <c r="AJ48" s="66" t="s">
        <v>57</v>
      </c>
      <c r="AK48" s="66" t="s">
        <v>57</v>
      </c>
      <c r="AL48" s="66" t="s">
        <v>57</v>
      </c>
      <c r="AM48" s="66" t="s">
        <v>57</v>
      </c>
      <c r="AN48" s="66" t="s">
        <v>57</v>
      </c>
      <c r="AO48" s="66" t="s">
        <v>57</v>
      </c>
      <c r="AP48" s="66" t="s">
        <v>57</v>
      </c>
      <c r="AQ48" s="66" t="s">
        <v>57</v>
      </c>
      <c r="AR48" s="66" t="s">
        <v>57</v>
      </c>
      <c r="AS48" s="66" t="s">
        <v>57</v>
      </c>
      <c r="AT48" s="66"/>
      <c r="AU48" s="66"/>
    </row>
    <row r="49" spans="1:47">
      <c r="A49" s="63" t="s">
        <v>559</v>
      </c>
      <c r="B49" s="63">
        <v>4089149991</v>
      </c>
      <c r="C49" s="63" t="s">
        <v>481</v>
      </c>
      <c r="D49" s="63" t="s">
        <v>225</v>
      </c>
      <c r="E49" s="64">
        <v>0.8</v>
      </c>
      <c r="F49" s="63" t="s">
        <v>70</v>
      </c>
      <c r="G49" s="65">
        <v>25188</v>
      </c>
      <c r="H49" s="63" t="s">
        <v>47</v>
      </c>
      <c r="I49" s="66" t="s">
        <v>40</v>
      </c>
      <c r="J49" s="66" t="s">
        <v>56</v>
      </c>
      <c r="K49" s="66"/>
      <c r="L49" s="66"/>
      <c r="M49" s="66" t="s">
        <v>57</v>
      </c>
      <c r="N49" s="66" t="s">
        <v>57</v>
      </c>
      <c r="O49" s="66" t="s">
        <v>57</v>
      </c>
      <c r="P49" s="66" t="s">
        <v>560</v>
      </c>
      <c r="Q49" s="66" t="s">
        <v>59</v>
      </c>
      <c r="R49" s="66"/>
      <c r="S49" s="66"/>
      <c r="T49" s="66"/>
      <c r="U49" s="66"/>
      <c r="V49" s="66"/>
      <c r="W49" s="66"/>
      <c r="X49" s="66"/>
      <c r="Y49" s="66"/>
      <c r="Z49" s="66"/>
      <c r="AA49" s="66"/>
      <c r="AB49" s="66"/>
      <c r="AC49" s="66"/>
      <c r="AD49" s="66"/>
      <c r="AE49" s="66"/>
      <c r="AF49" s="66"/>
      <c r="AG49" s="66"/>
      <c r="AH49" s="66" t="s">
        <v>57</v>
      </c>
      <c r="AI49" s="66" t="s">
        <v>57</v>
      </c>
      <c r="AJ49" s="66" t="s">
        <v>57</v>
      </c>
      <c r="AK49" s="66" t="s">
        <v>57</v>
      </c>
      <c r="AL49" s="66" t="s">
        <v>57</v>
      </c>
      <c r="AM49" s="66" t="s">
        <v>57</v>
      </c>
      <c r="AN49" s="66" t="s">
        <v>57</v>
      </c>
      <c r="AO49" s="66" t="s">
        <v>57</v>
      </c>
      <c r="AP49" s="66" t="s">
        <v>57</v>
      </c>
      <c r="AQ49" s="66" t="s">
        <v>57</v>
      </c>
      <c r="AR49" s="66" t="s">
        <v>57</v>
      </c>
      <c r="AS49" s="66" t="s">
        <v>57</v>
      </c>
      <c r="AT49" s="66"/>
      <c r="AU49" s="66"/>
    </row>
    <row r="50" spans="1:47">
      <c r="A50" s="63" t="s">
        <v>562</v>
      </c>
      <c r="B50" s="63">
        <v>4507873207</v>
      </c>
      <c r="C50" s="63" t="s">
        <v>563</v>
      </c>
      <c r="D50" s="63" t="s">
        <v>225</v>
      </c>
      <c r="E50" s="64">
        <v>0.3</v>
      </c>
      <c r="F50" s="63" t="s">
        <v>70</v>
      </c>
      <c r="G50" s="65">
        <v>17424</v>
      </c>
      <c r="H50" s="63" t="s">
        <v>55</v>
      </c>
      <c r="I50" s="66" t="s">
        <v>40</v>
      </c>
      <c r="J50" s="66"/>
      <c r="K50" s="66"/>
      <c r="L50" s="66" t="s">
        <v>56</v>
      </c>
      <c r="M50" s="66" t="s">
        <v>57</v>
      </c>
      <c r="N50" s="66" t="s">
        <v>57</v>
      </c>
      <c r="O50" s="66" t="s">
        <v>57</v>
      </c>
      <c r="P50" s="66" t="s">
        <v>564</v>
      </c>
      <c r="Q50" s="66" t="s">
        <v>59</v>
      </c>
      <c r="R50" s="66"/>
      <c r="S50" s="66"/>
      <c r="T50" s="66"/>
      <c r="U50" s="66"/>
      <c r="V50" s="66"/>
      <c r="W50" s="66"/>
      <c r="X50" s="66"/>
      <c r="Y50" s="66"/>
      <c r="Z50" s="66"/>
      <c r="AA50" s="66"/>
      <c r="AB50" s="66"/>
      <c r="AC50" s="66"/>
      <c r="AD50" s="66"/>
      <c r="AE50" s="66"/>
      <c r="AF50" s="66"/>
      <c r="AG50" s="66"/>
      <c r="AH50" s="66" t="s">
        <v>57</v>
      </c>
      <c r="AI50" s="66" t="s">
        <v>57</v>
      </c>
      <c r="AJ50" s="66" t="s">
        <v>57</v>
      </c>
      <c r="AK50" s="66" t="s">
        <v>57</v>
      </c>
      <c r="AL50" s="66" t="s">
        <v>57</v>
      </c>
      <c r="AM50" s="66" t="s">
        <v>57</v>
      </c>
      <c r="AN50" s="66" t="s">
        <v>57</v>
      </c>
      <c r="AO50" s="66" t="s">
        <v>57</v>
      </c>
      <c r="AP50" s="66" t="s">
        <v>57</v>
      </c>
      <c r="AQ50" s="66" t="s">
        <v>57</v>
      </c>
      <c r="AR50" s="66" t="s">
        <v>57</v>
      </c>
      <c r="AS50" s="66" t="s">
        <v>57</v>
      </c>
      <c r="AT50" s="66"/>
      <c r="AU50" s="66"/>
    </row>
    <row r="51" spans="1:47">
      <c r="A51" s="63" t="s">
        <v>565</v>
      </c>
      <c r="B51" s="63">
        <v>4382446074</v>
      </c>
      <c r="C51" s="63" t="s">
        <v>466</v>
      </c>
      <c r="D51" s="63" t="s">
        <v>225</v>
      </c>
      <c r="E51" s="64">
        <v>0.7</v>
      </c>
      <c r="F51" s="63" t="s">
        <v>70</v>
      </c>
      <c r="G51" s="65">
        <v>15883</v>
      </c>
      <c r="H51" s="63" t="s">
        <v>47</v>
      </c>
      <c r="I51" s="66" t="s">
        <v>40</v>
      </c>
      <c r="J51" s="66" t="s">
        <v>56</v>
      </c>
      <c r="K51" s="66"/>
      <c r="L51" s="66"/>
      <c r="M51" s="66" t="s">
        <v>57</v>
      </c>
      <c r="N51" s="66" t="s">
        <v>57</v>
      </c>
      <c r="O51" s="66" t="s">
        <v>57</v>
      </c>
      <c r="P51" s="66" t="s">
        <v>566</v>
      </c>
      <c r="Q51" s="66" t="s">
        <v>59</v>
      </c>
      <c r="R51" s="66"/>
      <c r="S51" s="66"/>
      <c r="T51" s="66"/>
      <c r="U51" s="66"/>
      <c r="V51" s="66"/>
      <c r="W51" s="66"/>
      <c r="X51" s="66"/>
      <c r="Y51" s="66"/>
      <c r="Z51" s="66"/>
      <c r="AA51" s="66"/>
      <c r="AB51" s="66"/>
      <c r="AC51" s="66"/>
      <c r="AD51" s="66"/>
      <c r="AE51" s="66"/>
      <c r="AF51" s="66"/>
      <c r="AG51" s="66"/>
      <c r="AH51" s="66" t="s">
        <v>57</v>
      </c>
      <c r="AI51" s="66" t="s">
        <v>57</v>
      </c>
      <c r="AJ51" s="66" t="s">
        <v>57</v>
      </c>
      <c r="AK51" s="66" t="s">
        <v>57</v>
      </c>
      <c r="AL51" s="66" t="s">
        <v>57</v>
      </c>
      <c r="AM51" s="66" t="s">
        <v>57</v>
      </c>
      <c r="AN51" s="66" t="s">
        <v>57</v>
      </c>
      <c r="AO51" s="66" t="s">
        <v>57</v>
      </c>
      <c r="AP51" s="66" t="s">
        <v>57</v>
      </c>
      <c r="AQ51" s="66" t="s">
        <v>57</v>
      </c>
      <c r="AR51" s="66" t="s">
        <v>57</v>
      </c>
      <c r="AS51" s="66" t="s">
        <v>57</v>
      </c>
      <c r="AT51" s="66"/>
      <c r="AU51" s="66"/>
    </row>
    <row r="52" spans="1:47">
      <c r="A52" s="63" t="s">
        <v>567</v>
      </c>
      <c r="B52" s="63">
        <v>4487148073</v>
      </c>
      <c r="C52" s="63" t="s">
        <v>466</v>
      </c>
      <c r="D52" s="63" t="s">
        <v>225</v>
      </c>
      <c r="E52" s="64">
        <v>0.3</v>
      </c>
      <c r="F52" s="63" t="s">
        <v>70</v>
      </c>
      <c r="G52" s="65">
        <v>21206</v>
      </c>
      <c r="H52" s="63" t="s">
        <v>55</v>
      </c>
      <c r="I52" s="66" t="s">
        <v>40</v>
      </c>
      <c r="J52" s="66" t="s">
        <v>56</v>
      </c>
      <c r="K52" s="66"/>
      <c r="L52" s="66"/>
      <c r="M52" s="66" t="s">
        <v>57</v>
      </c>
      <c r="N52" s="66" t="s">
        <v>57</v>
      </c>
      <c r="O52" s="66" t="s">
        <v>57</v>
      </c>
      <c r="P52" s="66" t="s">
        <v>568</v>
      </c>
      <c r="Q52" s="66" t="s">
        <v>59</v>
      </c>
      <c r="R52" s="66"/>
      <c r="S52" s="66"/>
      <c r="T52" s="66"/>
      <c r="U52" s="66"/>
      <c r="V52" s="66"/>
      <c r="W52" s="66"/>
      <c r="X52" s="66"/>
      <c r="Y52" s="66"/>
      <c r="Z52" s="66"/>
      <c r="AA52" s="66"/>
      <c r="AB52" s="66"/>
      <c r="AC52" s="66"/>
      <c r="AD52" s="66"/>
      <c r="AE52" s="66"/>
      <c r="AF52" s="66"/>
      <c r="AG52" s="66"/>
      <c r="AH52" s="66" t="s">
        <v>57</v>
      </c>
      <c r="AI52" s="66" t="s">
        <v>57</v>
      </c>
      <c r="AJ52" s="66" t="s">
        <v>57</v>
      </c>
      <c r="AK52" s="66" t="s">
        <v>57</v>
      </c>
      <c r="AL52" s="66" t="s">
        <v>57</v>
      </c>
      <c r="AM52" s="66" t="s">
        <v>57</v>
      </c>
      <c r="AN52" s="66" t="s">
        <v>57</v>
      </c>
      <c r="AO52" s="66" t="s">
        <v>57</v>
      </c>
      <c r="AP52" s="66" t="s">
        <v>57</v>
      </c>
      <c r="AQ52" s="66" t="s">
        <v>57</v>
      </c>
      <c r="AR52" s="66" t="s">
        <v>57</v>
      </c>
      <c r="AS52" s="66" t="s">
        <v>57</v>
      </c>
      <c r="AT52" s="66"/>
      <c r="AU52" s="66"/>
    </row>
    <row r="53" spans="1:47">
      <c r="A53" s="63" t="s">
        <v>569</v>
      </c>
      <c r="B53" s="63">
        <v>4582251684</v>
      </c>
      <c r="C53" s="63" t="s">
        <v>570</v>
      </c>
      <c r="D53" s="63" t="s">
        <v>225</v>
      </c>
      <c r="E53" s="64">
        <v>0.8</v>
      </c>
      <c r="F53" s="63" t="s">
        <v>70</v>
      </c>
      <c r="G53" s="65">
        <v>19972</v>
      </c>
      <c r="H53" s="63" t="s">
        <v>55</v>
      </c>
      <c r="I53" s="66" t="s">
        <v>40</v>
      </c>
      <c r="J53" s="66" t="s">
        <v>56</v>
      </c>
      <c r="K53" s="66"/>
      <c r="L53" s="66"/>
      <c r="M53" s="66" t="s">
        <v>57</v>
      </c>
      <c r="N53" s="66" t="s">
        <v>57</v>
      </c>
      <c r="O53" s="66" t="s">
        <v>57</v>
      </c>
      <c r="P53" s="66" t="s">
        <v>571</v>
      </c>
      <c r="Q53" s="66" t="s">
        <v>59</v>
      </c>
      <c r="R53" s="66"/>
      <c r="S53" s="66"/>
      <c r="T53" s="66"/>
      <c r="U53" s="66"/>
      <c r="V53" s="66"/>
      <c r="W53" s="66"/>
      <c r="X53" s="66"/>
      <c r="Y53" s="66"/>
      <c r="Z53" s="66"/>
      <c r="AA53" s="66"/>
      <c r="AB53" s="66"/>
      <c r="AC53" s="66"/>
      <c r="AD53" s="66"/>
      <c r="AE53" s="66"/>
      <c r="AF53" s="66"/>
      <c r="AG53" s="66"/>
      <c r="AH53" s="66" t="s">
        <v>57</v>
      </c>
      <c r="AI53" s="66" t="s">
        <v>57</v>
      </c>
      <c r="AJ53" s="66" t="s">
        <v>57</v>
      </c>
      <c r="AK53" s="66" t="s">
        <v>57</v>
      </c>
      <c r="AL53" s="66" t="s">
        <v>57</v>
      </c>
      <c r="AM53" s="66" t="s">
        <v>57</v>
      </c>
      <c r="AN53" s="66" t="s">
        <v>57</v>
      </c>
      <c r="AO53" s="66" t="s">
        <v>57</v>
      </c>
      <c r="AP53" s="66" t="s">
        <v>57</v>
      </c>
      <c r="AQ53" s="66" t="s">
        <v>57</v>
      </c>
      <c r="AR53" s="66" t="s">
        <v>57</v>
      </c>
      <c r="AS53" s="66" t="s">
        <v>57</v>
      </c>
      <c r="AT53" s="66"/>
      <c r="AU53" s="66"/>
    </row>
    <row r="54" spans="1:47">
      <c r="A54" s="63" t="s">
        <v>573</v>
      </c>
      <c r="B54" s="63">
        <v>6493734150</v>
      </c>
      <c r="C54" s="63" t="s">
        <v>466</v>
      </c>
      <c r="D54" s="63" t="s">
        <v>225</v>
      </c>
      <c r="E54" s="64">
        <v>0.6</v>
      </c>
      <c r="F54" s="63" t="s">
        <v>70</v>
      </c>
      <c r="G54" s="65">
        <v>23714</v>
      </c>
      <c r="H54" s="63" t="s">
        <v>55</v>
      </c>
      <c r="I54" s="66" t="s">
        <v>40</v>
      </c>
      <c r="J54" s="66" t="s">
        <v>56</v>
      </c>
      <c r="K54" s="66"/>
      <c r="L54" s="66"/>
      <c r="M54" s="66" t="s">
        <v>57</v>
      </c>
      <c r="N54" s="66" t="s">
        <v>57</v>
      </c>
      <c r="O54" s="66" t="s">
        <v>57</v>
      </c>
      <c r="P54" s="66" t="s">
        <v>574</v>
      </c>
      <c r="Q54" s="66" t="s">
        <v>59</v>
      </c>
      <c r="R54" s="66"/>
      <c r="S54" s="66"/>
      <c r="T54" s="66"/>
      <c r="U54" s="66"/>
      <c r="V54" s="66"/>
      <c r="W54" s="66"/>
      <c r="X54" s="66"/>
      <c r="Y54" s="66"/>
      <c r="Z54" s="66"/>
      <c r="AA54" s="66"/>
      <c r="AB54" s="66"/>
      <c r="AC54" s="66"/>
      <c r="AD54" s="66"/>
      <c r="AE54" s="66"/>
      <c r="AF54" s="66"/>
      <c r="AG54" s="66"/>
      <c r="AH54" s="66" t="s">
        <v>57</v>
      </c>
      <c r="AI54" s="66" t="s">
        <v>57</v>
      </c>
      <c r="AJ54" s="66" t="s">
        <v>57</v>
      </c>
      <c r="AK54" s="66" t="s">
        <v>57</v>
      </c>
      <c r="AL54" s="66" t="s">
        <v>57</v>
      </c>
      <c r="AM54" s="66" t="s">
        <v>57</v>
      </c>
      <c r="AN54" s="66" t="s">
        <v>57</v>
      </c>
      <c r="AO54" s="66" t="s">
        <v>57</v>
      </c>
      <c r="AP54" s="66" t="s">
        <v>57</v>
      </c>
      <c r="AQ54" s="66" t="s">
        <v>57</v>
      </c>
      <c r="AR54" s="66" t="s">
        <v>57</v>
      </c>
      <c r="AS54" s="66" t="s">
        <v>57</v>
      </c>
      <c r="AT54" s="66"/>
      <c r="AU54" s="66"/>
    </row>
    <row r="55" spans="1:47">
      <c r="A55" s="63" t="s">
        <v>575</v>
      </c>
      <c r="B55" s="63">
        <v>4381377761</v>
      </c>
      <c r="C55" s="63" t="s">
        <v>563</v>
      </c>
      <c r="D55" s="63" t="s">
        <v>225</v>
      </c>
      <c r="E55" s="64">
        <v>0.7</v>
      </c>
      <c r="F55" s="63" t="s">
        <v>70</v>
      </c>
      <c r="G55" s="65">
        <v>15072</v>
      </c>
      <c r="H55" s="63" t="s">
        <v>47</v>
      </c>
      <c r="I55" s="66" t="s">
        <v>40</v>
      </c>
      <c r="J55" s="66" t="s">
        <v>56</v>
      </c>
      <c r="K55" s="66"/>
      <c r="L55" s="66"/>
      <c r="M55" s="66" t="s">
        <v>57</v>
      </c>
      <c r="N55" s="66" t="s">
        <v>57</v>
      </c>
      <c r="O55" s="66" t="s">
        <v>57</v>
      </c>
      <c r="P55" s="66" t="s">
        <v>576</v>
      </c>
      <c r="Q55" s="66" t="s">
        <v>59</v>
      </c>
      <c r="R55" s="66"/>
      <c r="S55" s="66"/>
      <c r="T55" s="66"/>
      <c r="U55" s="66"/>
      <c r="V55" s="66"/>
      <c r="W55" s="66"/>
      <c r="X55" s="66"/>
      <c r="Y55" s="66"/>
      <c r="Z55" s="66"/>
      <c r="AA55" s="66"/>
      <c r="AB55" s="66"/>
      <c r="AC55" s="66"/>
      <c r="AD55" s="66"/>
      <c r="AE55" s="66"/>
      <c r="AF55" s="66"/>
      <c r="AG55" s="66"/>
      <c r="AH55" s="66" t="s">
        <v>57</v>
      </c>
      <c r="AI55" s="66" t="s">
        <v>57</v>
      </c>
      <c r="AJ55" s="66" t="s">
        <v>57</v>
      </c>
      <c r="AK55" s="66" t="s">
        <v>57</v>
      </c>
      <c r="AL55" s="66" t="s">
        <v>57</v>
      </c>
      <c r="AM55" s="66" t="s">
        <v>57</v>
      </c>
      <c r="AN55" s="66" t="s">
        <v>57</v>
      </c>
      <c r="AO55" s="66" t="s">
        <v>57</v>
      </c>
      <c r="AP55" s="66" t="s">
        <v>57</v>
      </c>
      <c r="AQ55" s="66" t="s">
        <v>57</v>
      </c>
      <c r="AR55" s="66" t="s">
        <v>57</v>
      </c>
      <c r="AS55" s="66" t="s">
        <v>57</v>
      </c>
      <c r="AT55" s="66"/>
      <c r="AU55" s="66"/>
    </row>
    <row r="56" spans="1:47">
      <c r="A56" s="63" t="s">
        <v>578</v>
      </c>
      <c r="B56" s="63">
        <v>4383564585</v>
      </c>
      <c r="C56" s="63" t="s">
        <v>486</v>
      </c>
      <c r="D56" s="63" t="s">
        <v>225</v>
      </c>
      <c r="E56" s="64">
        <v>0.4</v>
      </c>
      <c r="F56" s="63" t="s">
        <v>70</v>
      </c>
      <c r="G56" s="65">
        <v>15910</v>
      </c>
      <c r="H56" s="63" t="s">
        <v>55</v>
      </c>
      <c r="I56" s="66" t="s">
        <v>40</v>
      </c>
      <c r="J56" s="66" t="s">
        <v>56</v>
      </c>
      <c r="K56" s="66"/>
      <c r="L56" s="66"/>
      <c r="M56" s="66" t="s">
        <v>57</v>
      </c>
      <c r="N56" s="66" t="s">
        <v>57</v>
      </c>
      <c r="O56" s="66" t="s">
        <v>57</v>
      </c>
      <c r="P56" s="66" t="s">
        <v>579</v>
      </c>
      <c r="Q56" s="66" t="s">
        <v>59</v>
      </c>
      <c r="R56" s="66"/>
      <c r="S56" s="66"/>
      <c r="T56" s="66"/>
      <c r="U56" s="66"/>
      <c r="V56" s="66"/>
      <c r="W56" s="66"/>
      <c r="X56" s="66"/>
      <c r="Y56" s="66"/>
      <c r="Z56" s="66"/>
      <c r="AA56" s="66"/>
      <c r="AB56" s="66"/>
      <c r="AC56" s="66"/>
      <c r="AD56" s="66"/>
      <c r="AE56" s="66"/>
      <c r="AF56" s="66"/>
      <c r="AG56" s="66"/>
      <c r="AH56" s="66" t="s">
        <v>57</v>
      </c>
      <c r="AI56" s="66" t="s">
        <v>57</v>
      </c>
      <c r="AJ56" s="66" t="s">
        <v>57</v>
      </c>
      <c r="AK56" s="66" t="s">
        <v>57</v>
      </c>
      <c r="AL56" s="66" t="s">
        <v>57</v>
      </c>
      <c r="AM56" s="66" t="s">
        <v>57</v>
      </c>
      <c r="AN56" s="66" t="s">
        <v>57</v>
      </c>
      <c r="AO56" s="66" t="s">
        <v>57</v>
      </c>
      <c r="AP56" s="66" t="s">
        <v>57</v>
      </c>
      <c r="AQ56" s="66" t="s">
        <v>57</v>
      </c>
      <c r="AR56" s="66" t="s">
        <v>57</v>
      </c>
      <c r="AS56" s="66" t="s">
        <v>57</v>
      </c>
      <c r="AT56" s="66"/>
      <c r="AU56" s="66"/>
    </row>
    <row r="57" spans="1:47">
      <c r="A57" s="63" t="s">
        <v>580</v>
      </c>
      <c r="B57" s="63">
        <v>4300240779</v>
      </c>
      <c r="C57" s="63" t="s">
        <v>563</v>
      </c>
      <c r="D57" s="63" t="s">
        <v>225</v>
      </c>
      <c r="E57" s="64" t="s">
        <v>427</v>
      </c>
      <c r="F57" s="63" t="s">
        <v>70</v>
      </c>
      <c r="G57" s="65">
        <v>11933</v>
      </c>
      <c r="H57" s="63" t="s">
        <v>47</v>
      </c>
      <c r="I57" s="66" t="s">
        <v>40</v>
      </c>
      <c r="J57" s="66" t="s">
        <v>56</v>
      </c>
      <c r="K57" s="66"/>
      <c r="L57" s="66"/>
      <c r="M57" s="66" t="s">
        <v>57</v>
      </c>
      <c r="N57" s="66" t="s">
        <v>57</v>
      </c>
      <c r="O57" s="66" t="s">
        <v>57</v>
      </c>
      <c r="P57" s="66" t="s">
        <v>581</v>
      </c>
      <c r="Q57" s="66" t="s">
        <v>59</v>
      </c>
      <c r="R57" s="66"/>
      <c r="S57" s="66"/>
      <c r="T57" s="66"/>
      <c r="U57" s="66"/>
      <c r="V57" s="66"/>
      <c r="W57" s="66"/>
      <c r="X57" s="66"/>
      <c r="Y57" s="66"/>
      <c r="Z57" s="66"/>
      <c r="AA57" s="66"/>
      <c r="AB57" s="66"/>
      <c r="AC57" s="66"/>
      <c r="AD57" s="66"/>
      <c r="AE57" s="66"/>
      <c r="AF57" s="66"/>
      <c r="AG57" s="66"/>
      <c r="AH57" s="66" t="s">
        <v>57</v>
      </c>
      <c r="AI57" s="66" t="s">
        <v>57</v>
      </c>
      <c r="AJ57" s="66" t="s">
        <v>57</v>
      </c>
      <c r="AK57" s="66" t="s">
        <v>57</v>
      </c>
      <c r="AL57" s="66" t="s">
        <v>57</v>
      </c>
      <c r="AM57" s="66" t="s">
        <v>57</v>
      </c>
      <c r="AN57" s="66" t="s">
        <v>57</v>
      </c>
      <c r="AO57" s="66" t="s">
        <v>57</v>
      </c>
      <c r="AP57" s="66" t="s">
        <v>57</v>
      </c>
      <c r="AQ57" s="66" t="s">
        <v>57</v>
      </c>
      <c r="AR57" s="66" t="s">
        <v>57</v>
      </c>
      <c r="AS57" s="66" t="s">
        <v>57</v>
      </c>
      <c r="AT57" s="66"/>
      <c r="AU57" s="66"/>
    </row>
    <row r="58" spans="1:47">
      <c r="A58" s="63" t="s">
        <v>582</v>
      </c>
      <c r="B58" s="63">
        <v>4361566879</v>
      </c>
      <c r="C58" s="63" t="s">
        <v>466</v>
      </c>
      <c r="D58" s="63" t="s">
        <v>225</v>
      </c>
      <c r="E58" s="64" t="s">
        <v>53</v>
      </c>
      <c r="F58" s="63" t="s">
        <v>158</v>
      </c>
      <c r="G58" s="65">
        <v>10453</v>
      </c>
      <c r="H58" s="63" t="s">
        <v>47</v>
      </c>
      <c r="I58" s="66" t="s">
        <v>40</v>
      </c>
      <c r="J58" s="66" t="s">
        <v>56</v>
      </c>
      <c r="K58" s="66"/>
      <c r="L58" s="66"/>
      <c r="M58" s="66" t="s">
        <v>57</v>
      </c>
      <c r="N58" s="66" t="s">
        <v>57</v>
      </c>
      <c r="O58" s="66" t="s">
        <v>57</v>
      </c>
      <c r="P58" s="66" t="s">
        <v>583</v>
      </c>
      <c r="Q58" s="66" t="s">
        <v>59</v>
      </c>
      <c r="R58" s="66"/>
      <c r="S58" s="66"/>
      <c r="T58" s="66"/>
      <c r="U58" s="66"/>
      <c r="V58" s="66"/>
      <c r="W58" s="66"/>
      <c r="X58" s="66"/>
      <c r="Y58" s="66"/>
      <c r="Z58" s="66"/>
      <c r="AA58" s="66"/>
      <c r="AB58" s="66"/>
      <c r="AC58" s="66"/>
      <c r="AD58" s="66"/>
      <c r="AE58" s="66"/>
      <c r="AF58" s="66"/>
      <c r="AG58" s="66"/>
      <c r="AH58" s="66" t="s">
        <v>57</v>
      </c>
      <c r="AI58" s="66" t="s">
        <v>57</v>
      </c>
      <c r="AJ58" s="66" t="s">
        <v>57</v>
      </c>
      <c r="AK58" s="66" t="s">
        <v>57</v>
      </c>
      <c r="AL58" s="66" t="s">
        <v>57</v>
      </c>
      <c r="AM58" s="66" t="s">
        <v>57</v>
      </c>
      <c r="AN58" s="66" t="s">
        <v>57</v>
      </c>
      <c r="AO58" s="66" t="s">
        <v>57</v>
      </c>
      <c r="AP58" s="66" t="s">
        <v>57</v>
      </c>
      <c r="AQ58" s="66" t="s">
        <v>57</v>
      </c>
      <c r="AR58" s="66" t="s">
        <v>57</v>
      </c>
      <c r="AS58" s="66" t="s">
        <v>57</v>
      </c>
      <c r="AT58" s="66"/>
      <c r="AU58" s="66"/>
    </row>
    <row r="59" spans="1:47">
      <c r="A59" s="63" t="s">
        <v>584</v>
      </c>
      <c r="B59" s="63">
        <v>4125400466</v>
      </c>
      <c r="C59" s="63" t="s">
        <v>466</v>
      </c>
      <c r="D59" s="63" t="s">
        <v>225</v>
      </c>
      <c r="E59" s="64">
        <v>0.4</v>
      </c>
      <c r="F59" s="63" t="s">
        <v>70</v>
      </c>
      <c r="G59" s="65">
        <v>24166</v>
      </c>
      <c r="H59" s="63" t="s">
        <v>47</v>
      </c>
      <c r="I59" s="66" t="s">
        <v>40</v>
      </c>
      <c r="J59" s="66" t="s">
        <v>56</v>
      </c>
      <c r="K59" s="66"/>
      <c r="L59" s="66"/>
      <c r="M59" s="66" t="s">
        <v>57</v>
      </c>
      <c r="N59" s="66" t="s">
        <v>57</v>
      </c>
      <c r="O59" s="66" t="s">
        <v>57</v>
      </c>
      <c r="P59" s="66" t="s">
        <v>585</v>
      </c>
      <c r="Q59" s="66" t="s">
        <v>59</v>
      </c>
      <c r="R59" s="66"/>
      <c r="S59" s="66"/>
      <c r="T59" s="66"/>
      <c r="U59" s="66"/>
      <c r="V59" s="66"/>
      <c r="W59" s="66"/>
      <c r="X59" s="66"/>
      <c r="Y59" s="66"/>
      <c r="Z59" s="66"/>
      <c r="AA59" s="66"/>
      <c r="AB59" s="66"/>
      <c r="AC59" s="66"/>
      <c r="AD59" s="66"/>
      <c r="AE59" s="66"/>
      <c r="AF59" s="66"/>
      <c r="AG59" s="66"/>
      <c r="AH59" s="66" t="s">
        <v>57</v>
      </c>
      <c r="AI59" s="66" t="s">
        <v>57</v>
      </c>
      <c r="AJ59" s="66" t="s">
        <v>57</v>
      </c>
      <c r="AK59" s="66" t="s">
        <v>57</v>
      </c>
      <c r="AL59" s="66" t="s">
        <v>57</v>
      </c>
      <c r="AM59" s="66" t="s">
        <v>57</v>
      </c>
      <c r="AN59" s="66" t="s">
        <v>57</v>
      </c>
      <c r="AO59" s="66" t="s">
        <v>57</v>
      </c>
      <c r="AP59" s="66" t="s">
        <v>57</v>
      </c>
      <c r="AQ59" s="66" t="s">
        <v>57</v>
      </c>
      <c r="AR59" s="66" t="s">
        <v>57</v>
      </c>
      <c r="AS59" s="66" t="s">
        <v>57</v>
      </c>
      <c r="AT59" s="66"/>
      <c r="AU59" s="66"/>
    </row>
    <row r="60" spans="1:47">
      <c r="A60" s="63" t="s">
        <v>586</v>
      </c>
      <c r="B60" s="63">
        <v>4125431922</v>
      </c>
      <c r="C60" s="63" t="s">
        <v>466</v>
      </c>
      <c r="D60" s="63" t="s">
        <v>225</v>
      </c>
      <c r="E60" s="64">
        <v>0.4</v>
      </c>
      <c r="F60" s="63" t="s">
        <v>158</v>
      </c>
      <c r="G60" s="65">
        <v>24707</v>
      </c>
      <c r="H60" s="63" t="s">
        <v>47</v>
      </c>
      <c r="I60" s="66" t="s">
        <v>40</v>
      </c>
      <c r="J60" s="66" t="s">
        <v>56</v>
      </c>
      <c r="K60" s="66"/>
      <c r="L60" s="66"/>
      <c r="M60" s="66" t="s">
        <v>57</v>
      </c>
      <c r="N60" s="66" t="s">
        <v>57</v>
      </c>
      <c r="O60" s="66" t="s">
        <v>57</v>
      </c>
      <c r="P60" s="66" t="s">
        <v>587</v>
      </c>
      <c r="Q60" s="66" t="s">
        <v>59</v>
      </c>
      <c r="R60" s="66"/>
      <c r="S60" s="66"/>
      <c r="T60" s="66"/>
      <c r="U60" s="66"/>
      <c r="V60" s="66"/>
      <c r="W60" s="66"/>
      <c r="X60" s="66"/>
      <c r="Y60" s="66"/>
      <c r="Z60" s="66"/>
      <c r="AA60" s="66"/>
      <c r="AB60" s="66"/>
      <c r="AC60" s="66"/>
      <c r="AD60" s="66"/>
      <c r="AE60" s="66"/>
      <c r="AF60" s="66"/>
      <c r="AG60" s="66"/>
      <c r="AH60" s="66" t="s">
        <v>57</v>
      </c>
      <c r="AI60" s="66" t="s">
        <v>57</v>
      </c>
      <c r="AJ60" s="66" t="s">
        <v>57</v>
      </c>
      <c r="AK60" s="66" t="s">
        <v>57</v>
      </c>
      <c r="AL60" s="66" t="s">
        <v>57</v>
      </c>
      <c r="AM60" s="66" t="s">
        <v>57</v>
      </c>
      <c r="AN60" s="66" t="s">
        <v>57</v>
      </c>
      <c r="AO60" s="66" t="s">
        <v>57</v>
      </c>
      <c r="AP60" s="66" t="s">
        <v>57</v>
      </c>
      <c r="AQ60" s="66" t="s">
        <v>57</v>
      </c>
      <c r="AR60" s="66" t="s">
        <v>57</v>
      </c>
      <c r="AS60" s="66" t="s">
        <v>57</v>
      </c>
      <c r="AT60" s="66"/>
      <c r="AU60" s="66"/>
    </row>
    <row r="61" spans="1:47">
      <c r="A61" s="63" t="s">
        <v>588</v>
      </c>
      <c r="B61" s="63">
        <v>4381823567</v>
      </c>
      <c r="C61" s="63" t="s">
        <v>466</v>
      </c>
      <c r="D61" s="63" t="s">
        <v>225</v>
      </c>
      <c r="E61" s="64">
        <v>0.3</v>
      </c>
      <c r="F61" s="63" t="s">
        <v>158</v>
      </c>
      <c r="G61" s="65">
        <v>16240</v>
      </c>
      <c r="H61" s="63" t="s">
        <v>55</v>
      </c>
      <c r="I61" s="66" t="s">
        <v>40</v>
      </c>
      <c r="J61" s="66" t="s">
        <v>56</v>
      </c>
      <c r="K61" s="66"/>
      <c r="L61" s="66"/>
      <c r="M61" s="66" t="s">
        <v>57</v>
      </c>
      <c r="N61" s="66" t="s">
        <v>57</v>
      </c>
      <c r="O61" s="66" t="s">
        <v>57</v>
      </c>
      <c r="P61" s="66" t="s">
        <v>589</v>
      </c>
      <c r="Q61" s="66" t="s">
        <v>59</v>
      </c>
      <c r="R61" s="66"/>
      <c r="S61" s="66"/>
      <c r="T61" s="66"/>
      <c r="U61" s="66"/>
      <c r="V61" s="66"/>
      <c r="W61" s="66"/>
      <c r="X61" s="66"/>
      <c r="Y61" s="66"/>
      <c r="Z61" s="66"/>
      <c r="AA61" s="66"/>
      <c r="AB61" s="66"/>
      <c r="AC61" s="66"/>
      <c r="AD61" s="66"/>
      <c r="AE61" s="66"/>
      <c r="AF61" s="66"/>
      <c r="AG61" s="66"/>
      <c r="AH61" s="66" t="s">
        <v>57</v>
      </c>
      <c r="AI61" s="66" t="s">
        <v>57</v>
      </c>
      <c r="AJ61" s="66" t="s">
        <v>57</v>
      </c>
      <c r="AK61" s="66" t="s">
        <v>57</v>
      </c>
      <c r="AL61" s="66" t="s">
        <v>57</v>
      </c>
      <c r="AM61" s="66" t="s">
        <v>57</v>
      </c>
      <c r="AN61" s="66" t="s">
        <v>57</v>
      </c>
      <c r="AO61" s="66" t="s">
        <v>57</v>
      </c>
      <c r="AP61" s="66" t="s">
        <v>57</v>
      </c>
      <c r="AQ61" s="66" t="s">
        <v>57</v>
      </c>
      <c r="AR61" s="66" t="s">
        <v>57</v>
      </c>
      <c r="AS61" s="66" t="s">
        <v>57</v>
      </c>
      <c r="AT61" s="66"/>
      <c r="AU61" s="66"/>
    </row>
    <row r="62" spans="1:47">
      <c r="A62" s="63" t="s">
        <v>590</v>
      </c>
      <c r="B62" s="63">
        <v>4382279933</v>
      </c>
      <c r="C62" s="63" t="s">
        <v>591</v>
      </c>
      <c r="D62" s="63" t="s">
        <v>225</v>
      </c>
      <c r="E62" s="64">
        <v>0.2</v>
      </c>
      <c r="F62" s="63" t="s">
        <v>54</v>
      </c>
      <c r="G62" s="65">
        <v>16086</v>
      </c>
      <c r="H62" s="63" t="s">
        <v>47</v>
      </c>
      <c r="I62" s="66" t="s">
        <v>40</v>
      </c>
      <c r="J62" s="66" t="s">
        <v>56</v>
      </c>
      <c r="K62" s="66"/>
      <c r="L62" s="66"/>
      <c r="M62" s="66" t="s">
        <v>57</v>
      </c>
      <c r="N62" s="66" t="s">
        <v>57</v>
      </c>
      <c r="O62" s="66" t="s">
        <v>57</v>
      </c>
      <c r="P62" s="66" t="s">
        <v>592</v>
      </c>
      <c r="Q62" s="66" t="s">
        <v>59</v>
      </c>
      <c r="R62" s="66"/>
      <c r="S62" s="66"/>
      <c r="T62" s="66"/>
      <c r="U62" s="66"/>
      <c r="V62" s="66"/>
      <c r="W62" s="66"/>
      <c r="X62" s="66"/>
      <c r="Y62" s="66"/>
      <c r="Z62" s="66"/>
      <c r="AA62" s="66"/>
      <c r="AB62" s="66"/>
      <c r="AC62" s="66"/>
      <c r="AD62" s="66"/>
      <c r="AE62" s="66"/>
      <c r="AF62" s="66"/>
      <c r="AG62" s="66"/>
      <c r="AH62" s="66" t="s">
        <v>57</v>
      </c>
      <c r="AI62" s="66" t="s">
        <v>57</v>
      </c>
      <c r="AJ62" s="66" t="s">
        <v>57</v>
      </c>
      <c r="AK62" s="66" t="s">
        <v>57</v>
      </c>
      <c r="AL62" s="66" t="s">
        <v>57</v>
      </c>
      <c r="AM62" s="66" t="s">
        <v>57</v>
      </c>
      <c r="AN62" s="66" t="s">
        <v>57</v>
      </c>
      <c r="AO62" s="66" t="s">
        <v>57</v>
      </c>
      <c r="AP62" s="66" t="s">
        <v>57</v>
      </c>
      <c r="AQ62" s="66" t="s">
        <v>57</v>
      </c>
      <c r="AR62" s="66" t="s">
        <v>57</v>
      </c>
      <c r="AS62" s="66" t="s">
        <v>57</v>
      </c>
      <c r="AT62" s="66"/>
      <c r="AU62" s="66"/>
    </row>
    <row r="63" spans="1:47">
      <c r="A63" s="63" t="s">
        <v>593</v>
      </c>
      <c r="B63" s="63">
        <v>4861945321</v>
      </c>
      <c r="C63" s="63" t="s">
        <v>486</v>
      </c>
      <c r="D63" s="63" t="s">
        <v>225</v>
      </c>
      <c r="E63" s="64">
        <v>0.5</v>
      </c>
      <c r="F63" s="63" t="s">
        <v>158</v>
      </c>
      <c r="G63" s="65">
        <v>22639</v>
      </c>
      <c r="H63" s="63" t="s">
        <v>47</v>
      </c>
      <c r="I63" s="66" t="s">
        <v>40</v>
      </c>
      <c r="J63" s="66" t="s">
        <v>56</v>
      </c>
      <c r="K63" s="66"/>
      <c r="L63" s="66"/>
      <c r="M63" s="66" t="s">
        <v>57</v>
      </c>
      <c r="N63" s="66" t="s">
        <v>57</v>
      </c>
      <c r="O63" s="66" t="s">
        <v>57</v>
      </c>
      <c r="P63" s="66" t="s">
        <v>594</v>
      </c>
      <c r="Q63" s="66" t="s">
        <v>59</v>
      </c>
      <c r="R63" s="66"/>
      <c r="S63" s="66"/>
      <c r="T63" s="66"/>
      <c r="U63" s="66"/>
      <c r="V63" s="66"/>
      <c r="W63" s="66"/>
      <c r="X63" s="66"/>
      <c r="Y63" s="66"/>
      <c r="Z63" s="66"/>
      <c r="AA63" s="66"/>
      <c r="AB63" s="66"/>
      <c r="AC63" s="66"/>
      <c r="AD63" s="66"/>
      <c r="AE63" s="66"/>
      <c r="AF63" s="66"/>
      <c r="AG63" s="66"/>
      <c r="AH63" s="66" t="s">
        <v>57</v>
      </c>
      <c r="AI63" s="66" t="s">
        <v>57</v>
      </c>
      <c r="AJ63" s="66" t="s">
        <v>57</v>
      </c>
      <c r="AK63" s="66" t="s">
        <v>57</v>
      </c>
      <c r="AL63" s="66" t="s">
        <v>57</v>
      </c>
      <c r="AM63" s="66" t="s">
        <v>57</v>
      </c>
      <c r="AN63" s="66" t="s">
        <v>57</v>
      </c>
      <c r="AO63" s="66" t="s">
        <v>57</v>
      </c>
      <c r="AP63" s="66" t="s">
        <v>57</v>
      </c>
      <c r="AQ63" s="66" t="s">
        <v>57</v>
      </c>
      <c r="AR63" s="66" t="s">
        <v>57</v>
      </c>
      <c r="AS63" s="66" t="s">
        <v>57</v>
      </c>
      <c r="AT63" s="66"/>
      <c r="AU63" s="66"/>
    </row>
    <row r="64" spans="1:47">
      <c r="A64" s="63" t="s">
        <v>595</v>
      </c>
      <c r="B64" s="63">
        <v>4981798903</v>
      </c>
      <c r="C64" s="63" t="s">
        <v>466</v>
      </c>
      <c r="D64" s="63" t="s">
        <v>225</v>
      </c>
      <c r="E64" s="64">
        <v>0.3</v>
      </c>
      <c r="F64" s="63" t="s">
        <v>158</v>
      </c>
      <c r="G64" s="65">
        <v>20498</v>
      </c>
      <c r="H64" s="63" t="s">
        <v>55</v>
      </c>
      <c r="I64" s="66" t="s">
        <v>40</v>
      </c>
      <c r="J64" s="66" t="s">
        <v>56</v>
      </c>
      <c r="K64" s="66"/>
      <c r="L64" s="66"/>
      <c r="M64" s="66" t="s">
        <v>57</v>
      </c>
      <c r="N64" s="66" t="s">
        <v>57</v>
      </c>
      <c r="O64" s="66" t="s">
        <v>57</v>
      </c>
      <c r="P64" s="66" t="s">
        <v>596</v>
      </c>
      <c r="Q64" s="66" t="s">
        <v>59</v>
      </c>
      <c r="R64" s="66"/>
      <c r="S64" s="66"/>
      <c r="T64" s="66"/>
      <c r="U64" s="66"/>
      <c r="V64" s="66"/>
      <c r="W64" s="66"/>
      <c r="X64" s="66"/>
      <c r="Y64" s="66"/>
      <c r="Z64" s="66"/>
      <c r="AA64" s="66"/>
      <c r="AB64" s="66"/>
      <c r="AC64" s="66"/>
      <c r="AD64" s="66"/>
      <c r="AE64" s="66"/>
      <c r="AF64" s="66"/>
      <c r="AG64" s="66"/>
      <c r="AH64" s="66" t="s">
        <v>57</v>
      </c>
      <c r="AI64" s="66" t="s">
        <v>57</v>
      </c>
      <c r="AJ64" s="66" t="s">
        <v>57</v>
      </c>
      <c r="AK64" s="66" t="s">
        <v>57</v>
      </c>
      <c r="AL64" s="66" t="s">
        <v>57</v>
      </c>
      <c r="AM64" s="66" t="s">
        <v>57</v>
      </c>
      <c r="AN64" s="66" t="s">
        <v>57</v>
      </c>
      <c r="AO64" s="66" t="s">
        <v>57</v>
      </c>
      <c r="AP64" s="66" t="s">
        <v>57</v>
      </c>
      <c r="AQ64" s="66" t="s">
        <v>57</v>
      </c>
      <c r="AR64" s="66" t="s">
        <v>57</v>
      </c>
      <c r="AS64" s="66" t="s">
        <v>57</v>
      </c>
      <c r="AT64" s="66"/>
      <c r="AU64" s="66"/>
    </row>
    <row r="65" spans="1:47">
      <c r="A65" s="63"/>
      <c r="B65" s="63"/>
      <c r="C65" s="63"/>
      <c r="D65" s="63"/>
      <c r="E65" s="63"/>
      <c r="F65" s="63"/>
      <c r="G65" s="65"/>
      <c r="H65" s="63"/>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row>
    <row r="66" spans="1:47" ht="15.75" thickBot="1">
      <c r="A66" s="80">
        <f>COUNTA(A2:A64)</f>
        <v>63</v>
      </c>
      <c r="B66" s="80">
        <f t="shared" ref="B66:AU66" si="0">COUNTA(B2:B64)</f>
        <v>63</v>
      </c>
      <c r="C66" s="80">
        <f t="shared" si="0"/>
        <v>63</v>
      </c>
      <c r="D66" s="80">
        <f t="shared" si="0"/>
        <v>63</v>
      </c>
      <c r="E66" s="80">
        <f t="shared" si="0"/>
        <v>63</v>
      </c>
      <c r="F66" s="80">
        <f t="shared" si="0"/>
        <v>63</v>
      </c>
      <c r="G66" s="80">
        <f t="shared" si="0"/>
        <v>63</v>
      </c>
      <c r="H66" s="80">
        <f t="shared" si="0"/>
        <v>63</v>
      </c>
      <c r="I66" s="80">
        <f t="shared" si="0"/>
        <v>63</v>
      </c>
      <c r="J66" s="80">
        <f t="shared" si="0"/>
        <v>51</v>
      </c>
      <c r="K66" s="80">
        <f t="shared" si="0"/>
        <v>1</v>
      </c>
      <c r="L66" s="80">
        <f t="shared" si="0"/>
        <v>11</v>
      </c>
      <c r="M66" s="80">
        <f t="shared" si="0"/>
        <v>63</v>
      </c>
      <c r="N66" s="80">
        <f t="shared" si="0"/>
        <v>63</v>
      </c>
      <c r="O66" s="80">
        <f t="shared" si="0"/>
        <v>63</v>
      </c>
      <c r="P66" s="80">
        <f t="shared" si="0"/>
        <v>53</v>
      </c>
      <c r="Q66" s="80">
        <f t="shared" si="0"/>
        <v>53</v>
      </c>
      <c r="R66" s="80">
        <f>COUNTA(R2:R64)</f>
        <v>10</v>
      </c>
      <c r="S66" s="80">
        <f t="shared" si="0"/>
        <v>0</v>
      </c>
      <c r="T66" s="80">
        <f t="shared" si="0"/>
        <v>0</v>
      </c>
      <c r="U66" s="80">
        <f t="shared" si="0"/>
        <v>0</v>
      </c>
      <c r="V66" s="80">
        <f t="shared" si="0"/>
        <v>0</v>
      </c>
      <c r="W66" s="80">
        <f t="shared" si="0"/>
        <v>0</v>
      </c>
      <c r="X66" s="80">
        <f t="shared" si="0"/>
        <v>0</v>
      </c>
      <c r="Y66" s="80">
        <f t="shared" si="0"/>
        <v>0</v>
      </c>
      <c r="Z66" s="80">
        <f t="shared" si="0"/>
        <v>0</v>
      </c>
      <c r="AA66" s="80">
        <f t="shared" si="0"/>
        <v>0</v>
      </c>
      <c r="AB66" s="80">
        <f t="shared" si="0"/>
        <v>0</v>
      </c>
      <c r="AC66" s="80">
        <f t="shared" si="0"/>
        <v>0</v>
      </c>
      <c r="AD66" s="80">
        <f t="shared" si="0"/>
        <v>0</v>
      </c>
      <c r="AE66" s="80">
        <f t="shared" si="0"/>
        <v>0</v>
      </c>
      <c r="AF66" s="80">
        <f t="shared" si="0"/>
        <v>0</v>
      </c>
      <c r="AG66" s="80">
        <f t="shared" si="0"/>
        <v>0</v>
      </c>
      <c r="AH66" s="80">
        <f t="shared" si="0"/>
        <v>63</v>
      </c>
      <c r="AI66" s="80">
        <f t="shared" si="0"/>
        <v>63</v>
      </c>
      <c r="AJ66" s="80">
        <f t="shared" si="0"/>
        <v>63</v>
      </c>
      <c r="AK66" s="80">
        <f t="shared" si="0"/>
        <v>63</v>
      </c>
      <c r="AL66" s="80">
        <f t="shared" si="0"/>
        <v>63</v>
      </c>
      <c r="AM66" s="80">
        <f t="shared" si="0"/>
        <v>63</v>
      </c>
      <c r="AN66" s="80">
        <f t="shared" si="0"/>
        <v>63</v>
      </c>
      <c r="AO66" s="80">
        <f t="shared" si="0"/>
        <v>63</v>
      </c>
      <c r="AP66" s="80">
        <f t="shared" si="0"/>
        <v>63</v>
      </c>
      <c r="AQ66" s="80">
        <f t="shared" si="0"/>
        <v>63</v>
      </c>
      <c r="AR66" s="80">
        <f t="shared" si="0"/>
        <v>63</v>
      </c>
      <c r="AS66" s="80">
        <f t="shared" si="0"/>
        <v>63</v>
      </c>
      <c r="AT66" s="80">
        <f t="shared" si="0"/>
        <v>0</v>
      </c>
      <c r="AU66" s="80">
        <f t="shared" si="0"/>
        <v>0</v>
      </c>
    </row>
    <row r="67" spans="1:47" ht="15.75" thickTop="1"/>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HYDE, Mitchell (LEEDS TEACHING HOSPITALS NHS TRUST)</cp:lastModifiedBy>
  <cp:revision/>
  <dcterms:created xsi:type="dcterms:W3CDTF">2022-06-16T21:28:15Z</dcterms:created>
  <dcterms:modified xsi:type="dcterms:W3CDTF">2025-09-25T14:37:48Z</dcterms:modified>
  <cp:category/>
  <cp:contentStatus/>
</cp:coreProperties>
</file>