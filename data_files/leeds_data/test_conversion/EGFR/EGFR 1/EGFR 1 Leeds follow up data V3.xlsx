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eeds365-my.sharepoint.com/personal/medaamm_leeds_ac_uk/Documents/UOL Data Manager/database_management/data_files/leeds_data/test_conversion/EGFR/EGFR 1/"/>
    </mc:Choice>
  </mc:AlternateContent>
  <xr:revisionPtr revIDLastSave="1324" documentId="13_ncr:1_{E6D48B10-B71F-487D-882C-3CB31150C105}" xr6:coauthVersionLast="47" xr6:coauthVersionMax="47" xr10:uidLastSave="{45CDBD75-9790-455E-9468-E3B3FEE4B865}"/>
  <bookViews>
    <workbookView xWindow="-110" yWindow="-110" windowWidth="38620" windowHeight="21820" activeTab="1" xr2:uid="{00000000-000D-0000-FFFF-FFFF00000000}"/>
  </bookViews>
  <sheets>
    <sheet name="EFGR 1 Follow up" sheetId="1" r:id="rId1"/>
    <sheet name="EFGR 1 Supplementary" sheetId="4" r:id="rId2"/>
    <sheet name="Calculations &amp; Lists" sheetId="2" r:id="rId3"/>
    <sheet name="TTE Error Log" sheetId="7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M5" i="1" l="1"/>
  <c r="GN5" i="1"/>
  <c r="GO5" i="1"/>
  <c r="GP5" i="1"/>
  <c r="GQ5" i="1"/>
  <c r="GR5" i="1"/>
  <c r="GS5" i="1"/>
  <c r="GT5" i="1"/>
  <c r="GU5" i="1"/>
  <c r="GV5" i="1"/>
  <c r="GW5" i="1"/>
  <c r="GX5" i="1"/>
  <c r="GY5" i="1"/>
  <c r="GZ5" i="1"/>
  <c r="HA5" i="1"/>
  <c r="HB5" i="1"/>
  <c r="HG5" i="1" s="1" a="1"/>
  <c r="HC5" i="1"/>
  <c r="HD5" i="1"/>
  <c r="HE5" i="1"/>
  <c r="HF5" i="1"/>
  <c r="HI5" i="1"/>
  <c r="HJ5" i="1"/>
  <c r="GM6" i="1"/>
  <c r="GN6" i="1"/>
  <c r="GO6" i="1"/>
  <c r="GP6" i="1"/>
  <c r="GQ6" i="1"/>
  <c r="GR6" i="1"/>
  <c r="GS6" i="1"/>
  <c r="GT6" i="1"/>
  <c r="GU6" i="1"/>
  <c r="GV6" i="1"/>
  <c r="GW6" i="1"/>
  <c r="GX6" i="1"/>
  <c r="GY6" i="1"/>
  <c r="HB6" i="1" s="1"/>
  <c r="GZ6" i="1"/>
  <c r="HA6" i="1"/>
  <c r="HC6" i="1"/>
  <c r="HJ6" i="1" s="1"/>
  <c r="HD6" i="1"/>
  <c r="HE6" i="1"/>
  <c r="HF6" i="1"/>
  <c r="HI6" i="1"/>
  <c r="GM7" i="1"/>
  <c r="GN7" i="1"/>
  <c r="GO7" i="1"/>
  <c r="GP7" i="1"/>
  <c r="GQ7" i="1"/>
  <c r="GR7" i="1"/>
  <c r="GS7" i="1"/>
  <c r="GT7" i="1"/>
  <c r="GU7" i="1"/>
  <c r="GV7" i="1"/>
  <c r="GW7" i="1"/>
  <c r="GX7" i="1"/>
  <c r="GY7" i="1"/>
  <c r="HB7" i="1" s="1"/>
  <c r="HG7" i="1" s="1" a="1"/>
  <c r="GZ7" i="1"/>
  <c r="HA7" i="1"/>
  <c r="HC7" i="1"/>
  <c r="HD7" i="1"/>
  <c r="HE7" i="1"/>
  <c r="HI7" i="1"/>
  <c r="GM8" i="1"/>
  <c r="GN8" i="1"/>
  <c r="GO8" i="1"/>
  <c r="GP8" i="1"/>
  <c r="GQ8" i="1"/>
  <c r="GR8" i="1"/>
  <c r="GS8" i="1"/>
  <c r="GT8" i="1"/>
  <c r="GU8" i="1"/>
  <c r="GV8" i="1"/>
  <c r="GW8" i="1"/>
  <c r="GX8" i="1"/>
  <c r="GY8" i="1"/>
  <c r="GZ8" i="1"/>
  <c r="HA8" i="1"/>
  <c r="HB8" i="1"/>
  <c r="HH8" i="1" s="1"/>
  <c r="HC8" i="1"/>
  <c r="HJ8" i="1" s="1"/>
  <c r="HD8" i="1"/>
  <c r="HE8" i="1"/>
  <c r="HG8" i="1" a="1"/>
  <c r="HI8" i="1"/>
  <c r="GM9" i="1"/>
  <c r="GN9" i="1"/>
  <c r="GO9" i="1"/>
  <c r="GP9" i="1"/>
  <c r="GQ9" i="1"/>
  <c r="GR9" i="1"/>
  <c r="GS9" i="1"/>
  <c r="GT9" i="1"/>
  <c r="GU9" i="1"/>
  <c r="GV9" i="1"/>
  <c r="GW9" i="1"/>
  <c r="GX9" i="1"/>
  <c r="GY9" i="1"/>
  <c r="HB9" i="1" s="1"/>
  <c r="GZ9" i="1"/>
  <c r="HA9" i="1"/>
  <c r="HC9" i="1"/>
  <c r="HD9" i="1"/>
  <c r="HE9" i="1"/>
  <c r="HI9" i="1"/>
  <c r="HJ9" i="1"/>
  <c r="GM10" i="1"/>
  <c r="GN10" i="1"/>
  <c r="GO10" i="1"/>
  <c r="GP10" i="1"/>
  <c r="GQ10" i="1"/>
  <c r="GR10" i="1"/>
  <c r="GS10" i="1"/>
  <c r="GT10" i="1"/>
  <c r="GU10" i="1"/>
  <c r="GV10" i="1"/>
  <c r="GW10" i="1"/>
  <c r="GX10" i="1"/>
  <c r="GY10" i="1"/>
  <c r="HB10" i="1" s="1"/>
  <c r="GZ10" i="1"/>
  <c r="HA10" i="1"/>
  <c r="HC10" i="1"/>
  <c r="HJ10" i="1" s="1"/>
  <c r="HD10" i="1"/>
  <c r="HE10" i="1"/>
  <c r="HF10" i="1" s="1"/>
  <c r="HI10" i="1"/>
  <c r="GM11" i="1"/>
  <c r="GN11" i="1"/>
  <c r="GO11" i="1"/>
  <c r="GP11" i="1"/>
  <c r="GQ11" i="1"/>
  <c r="GR11" i="1"/>
  <c r="GS11" i="1"/>
  <c r="GT11" i="1"/>
  <c r="GU11" i="1"/>
  <c r="GV11" i="1"/>
  <c r="GW11" i="1"/>
  <c r="GX11" i="1"/>
  <c r="GY11" i="1"/>
  <c r="GZ11" i="1"/>
  <c r="HA11" i="1"/>
  <c r="HB11" i="1"/>
  <c r="HH11" i="1" s="1"/>
  <c r="HC11" i="1"/>
  <c r="HD11" i="1"/>
  <c r="HE11" i="1"/>
  <c r="HF11" i="1"/>
  <c r="HG11" i="1" a="1"/>
  <c r="HI11" i="1"/>
  <c r="HJ11" i="1"/>
  <c r="HI4" i="1"/>
  <c r="HE4" i="1"/>
  <c r="HD4" i="1"/>
  <c r="HC4" i="1"/>
  <c r="HA4" i="1"/>
  <c r="GZ4" i="1"/>
  <c r="GY4" i="1"/>
  <c r="HB4" i="1" s="1"/>
  <c r="GX4" i="1"/>
  <c r="GW4" i="1"/>
  <c r="GV4" i="1"/>
  <c r="GU4" i="1"/>
  <c r="GT4" i="1"/>
  <c r="GS4" i="1"/>
  <c r="GR4" i="1"/>
  <c r="GQ4" i="1"/>
  <c r="GP4" i="1"/>
  <c r="GO4" i="1"/>
  <c r="GN4" i="1"/>
  <c r="GM4" i="1"/>
  <c r="AT4" i="1"/>
  <c r="AT5" i="1"/>
  <c r="AT6" i="1"/>
  <c r="AT7" i="1"/>
  <c r="AT8" i="1"/>
  <c r="AT9" i="1"/>
  <c r="AT10" i="1"/>
  <c r="AT11" i="1"/>
  <c r="HK8" i="1" l="1"/>
  <c r="HF9" i="1"/>
  <c r="HK11" i="1"/>
  <c r="HF7" i="1"/>
  <c r="HH5" i="1"/>
  <c r="HK5" i="1" s="1"/>
  <c r="HF8" i="1"/>
  <c r="HG10" i="1" a="1"/>
  <c r="HH10" i="1"/>
  <c r="HK10" i="1" s="1"/>
  <c r="HG9" i="1" a="1"/>
  <c r="HH9" i="1"/>
  <c r="HK9" i="1" s="1"/>
  <c r="HH6" i="1"/>
  <c r="HK6" i="1" s="1"/>
  <c r="HG6" i="1" a="1"/>
  <c r="HJ7" i="1"/>
  <c r="HH7" i="1"/>
  <c r="HK7" i="1" s="1"/>
  <c r="HH4" i="1"/>
  <c r="HK4" i="1" s="1"/>
  <c r="HG4" i="1" a="1"/>
  <c r="HJ4" i="1"/>
  <c r="H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tc={02E80307-0995-4A31-8757-5DC395F9D27C}</author>
    <author>tc={82DCD9ED-E656-4FF7-8DD1-3E7BD1A8475B}</author>
    <author>tc={E7D09E71-4CE6-4A7F-93FF-436FBE7C23A3}</author>
  </authors>
  <commentList>
    <comment ref="BF5" authorId="0" shapeId="0" xr:uid="{02E80307-0995-4A31-8757-5DC395F9D27C}">
      <text>
        <t>[Threaded comment]
Your version of Excel allows you to read this threaded comment; however, any edits to it will get removed if the file is opened in a newer version of Excel. Learn more: https://go.microsoft.com/fwlink/?linkid=870924
Comment:
    neoadjuvant is best definition rather than adjuvant as there was no resection. Neither ideal though!</t>
      </text>
    </comment>
    <comment ref="EO7" authorId="1" shapeId="0" xr:uid="{82DCD9ED-E656-4FF7-8DD1-3E7BD1A8475B}">
      <text>
        <t>[Threaded comment]
Your version of Excel allows you to read this threaded comment; however, any edits to it will get removed if the file is opened in a newer version of Excel. Learn more: https://go.microsoft.com/fwlink/?linkid=870924
Comment:
    23 04 2023</t>
      </text>
    </comment>
    <comment ref="EO11" authorId="2" shapeId="0" xr:uid="{E7D09E71-4CE6-4A7F-93FF-436FBE7C23A3}">
      <text>
        <t>[Threaded comment]
Your version of Excel allows you to read this threaded comment; however, any edits to it will get removed if the file is opened in a newer version of Excel. Learn more: https://go.microsoft.com/fwlink/?linkid=870924
Comment:
    Epro 29 09 2023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<sst xmlns="http://schemas.openxmlformats.org/spreadsheetml/2006/main" count="2704" uniqueCount="984">
  <si>
    <t>PLEASE BE AWARE COLUMNS MAY BE 'HIDDEN' OR 'COLLAPSED'</t>
  </si>
  <si>
    <t>NHS number</t>
  </si>
  <si>
    <t xml:space="preserve">Any Immunotherapy </t>
  </si>
  <si>
    <t>Specimen treatment subgrouping</t>
  </si>
  <si>
    <t xml:space="preserve">Specimen is a recurrence </t>
  </si>
  <si>
    <t>Selected specimen Anonymised ID</t>
  </si>
  <si>
    <t>Specimen Block number 1</t>
  </si>
  <si>
    <t>Specimen Block number 2</t>
  </si>
  <si>
    <t>Specimen surgery date</t>
  </si>
  <si>
    <t>Specimen surgery</t>
  </si>
  <si>
    <t>Specimen tumour site</t>
  </si>
  <si>
    <t xml:space="preserve">Primary Surgery date </t>
  </si>
  <si>
    <t>Primary tumour site</t>
  </si>
  <si>
    <t>Anonymized ID Matched met 1</t>
  </si>
  <si>
    <t>Matched met 1 Block Number</t>
  </si>
  <si>
    <t>Matched met 1 Site</t>
  </si>
  <si>
    <t xml:space="preserve">Matched met 1 Surgery Date </t>
  </si>
  <si>
    <t>Matched met 1 treatment subgrouping</t>
  </si>
  <si>
    <t>Anonymized ID Matched met 2</t>
  </si>
  <si>
    <t>Matched met 2 Block Number</t>
  </si>
  <si>
    <t>Matched met 2 Site</t>
  </si>
  <si>
    <t xml:space="preserve">Matched met 2 Surgery Date </t>
  </si>
  <si>
    <t>Matched met 2 treatment subgrouping</t>
  </si>
  <si>
    <t>Anonymized ID Matched met 3</t>
  </si>
  <si>
    <t>Matched met 3 Block Number</t>
  </si>
  <si>
    <t>Matched met 3 Site</t>
  </si>
  <si>
    <t xml:space="preserve">Matched met 3 Surgery Date </t>
  </si>
  <si>
    <t>Matched met 3 treatment subgrouping</t>
  </si>
  <si>
    <t>Anonymized ID Matched met 4</t>
  </si>
  <si>
    <t>Matched met 4 Block Number</t>
  </si>
  <si>
    <t>Matched met 4 Site</t>
  </si>
  <si>
    <t xml:space="preserve">Matched met 4 Surgery Date </t>
  </si>
  <si>
    <t>Matched met 4 treatment subgrouping</t>
  </si>
  <si>
    <t>Anonymized ID Matched met 5</t>
  </si>
  <si>
    <t>Matched met 5 Block Number</t>
  </si>
  <si>
    <t>Matched met 5 Site</t>
  </si>
  <si>
    <t xml:space="preserve">Matched met 5 Surgery Date </t>
  </si>
  <si>
    <t>Matched met 5 treatment subgrouping</t>
  </si>
  <si>
    <t>Anonymized ID Normal tissue</t>
  </si>
  <si>
    <t>Matched Normal tissue Block Number</t>
  </si>
  <si>
    <t>Matched Normal tissue Site</t>
  </si>
  <si>
    <t xml:space="preserve">Matched Normal tissue Surgery Date </t>
  </si>
  <si>
    <t>Matched Normal treatment subgrouping</t>
  </si>
  <si>
    <t>Gender</t>
  </si>
  <si>
    <t xml:space="preserve">DOB </t>
  </si>
  <si>
    <t>Date of DX</t>
  </si>
  <si>
    <t xml:space="preserve">Age at Diagnosis </t>
  </si>
  <si>
    <t>Specimen Histological Diagnosis</t>
  </si>
  <si>
    <t>Staging/grading info provided for:</t>
  </si>
  <si>
    <t xml:space="preserve">Resection margins clear </t>
  </si>
  <si>
    <t>pT</t>
  </si>
  <si>
    <t>pN</t>
  </si>
  <si>
    <t>pM</t>
  </si>
  <si>
    <t>cM</t>
  </si>
  <si>
    <t>TNM stage</t>
  </si>
  <si>
    <t>Grade</t>
  </si>
  <si>
    <t>Staging criteria</t>
  </si>
  <si>
    <t>Stage at DX</t>
  </si>
  <si>
    <t>Any Neoadjuvant therapy</t>
  </si>
  <si>
    <t>Response to neoadjuvant therapy (TRS score)</t>
  </si>
  <si>
    <t>Neoadjuvant Tx1</t>
  </si>
  <si>
    <t>Neoadjuvant Tx1 Agent</t>
  </si>
  <si>
    <t>Neoadjuvant Tx1 Start Date</t>
  </si>
  <si>
    <t>Neoadjuvant Tx1 End Date</t>
  </si>
  <si>
    <t>Tumour response Neoadjuvant Tx1</t>
  </si>
  <si>
    <t>Neoadjuvant Tx2</t>
  </si>
  <si>
    <t>Neoadjuvant Tx2 Agent</t>
  </si>
  <si>
    <t>Tumour response Neoadjuvant  Tx2</t>
  </si>
  <si>
    <t>Neoadjuvant Tx3</t>
  </si>
  <si>
    <t>Neoadjuvant Tx3 Agent</t>
  </si>
  <si>
    <t>Tumour response Neoadjuvant  Tx3</t>
  </si>
  <si>
    <t>Neoadjuvant Tx4</t>
  </si>
  <si>
    <t>Neoadjuvant Tx4 Agent</t>
  </si>
  <si>
    <t>Tumour response Neoadjuvant  Tx4</t>
  </si>
  <si>
    <t>Neoadjuvant Tx5</t>
  </si>
  <si>
    <t>Neoadjuvant Tx5 Agent</t>
  </si>
  <si>
    <t>Tumour response Neoadjuvant  Tx5</t>
  </si>
  <si>
    <t>Neoadjuvant Tx6</t>
  </si>
  <si>
    <t>Neoadjuvant Tx6 Agent</t>
  </si>
  <si>
    <t>Tumour response Neoadjuvant  Tx6</t>
  </si>
  <si>
    <t>Neoadjuvant Tx7</t>
  </si>
  <si>
    <t>Neoadjuvant Tx7 Agent</t>
  </si>
  <si>
    <t>Tumour response Neoadjuvant  Tx7</t>
  </si>
  <si>
    <t>Neoadjuvant Tx8</t>
  </si>
  <si>
    <t>Neoadjuvant Tx8 Agent</t>
  </si>
  <si>
    <t>Tumour response Neoadjuvant  Tx8</t>
  </si>
  <si>
    <t>Neoadjuvant Tx9</t>
  </si>
  <si>
    <t>Neoadjuvant Tx9 Agent</t>
  </si>
  <si>
    <t>Tumour response Neoadjuvant  Tx9</t>
  </si>
  <si>
    <t>Neoadjuvant Tx10</t>
  </si>
  <si>
    <t>Neoadjuvant Tx10 Agent</t>
  </si>
  <si>
    <t>Tumour response Neoadjuvant Tx10</t>
  </si>
  <si>
    <t>Adjuvant Tx1</t>
  </si>
  <si>
    <t>Adjuvant Tx1 Agent</t>
  </si>
  <si>
    <t>Adjuvant Tx1 Start Date</t>
  </si>
  <si>
    <t>Adjuvant Tx1 End Date</t>
  </si>
  <si>
    <t>Tumour response Adjuvant Tx1</t>
  </si>
  <si>
    <t>Adjuvant Tx2</t>
  </si>
  <si>
    <t>Adjuvant Tx2 Agent</t>
  </si>
  <si>
    <t>Tumour response Adjuvant  Tx2</t>
  </si>
  <si>
    <t>Adjuvant Tx3</t>
  </si>
  <si>
    <t>Adjuvant Tx3 Agent</t>
  </si>
  <si>
    <t>Tumour response Adjuvant  Tx3</t>
  </si>
  <si>
    <t>Adjuvant Tx4</t>
  </si>
  <si>
    <t>Adjuvant Tx4 Agent</t>
  </si>
  <si>
    <t>Tumour response Adjuvant  Tx4</t>
  </si>
  <si>
    <t>Adjuvant Tx5</t>
  </si>
  <si>
    <t>Adjuvant Tx5 Agent</t>
  </si>
  <si>
    <t>Tumour response Adjuvant  Tx5</t>
  </si>
  <si>
    <t>Adjuvant Tx6</t>
  </si>
  <si>
    <t>Adjuvant Tx6 Agent</t>
  </si>
  <si>
    <t>Tumour response Adjuvant  Tx6</t>
  </si>
  <si>
    <t>Adjuvant Tx7</t>
  </si>
  <si>
    <t>Adjuvant Tx7 Agent</t>
  </si>
  <si>
    <t>Tumour response Adjuvant  Tx7</t>
  </si>
  <si>
    <t>Adjuvant Tx8</t>
  </si>
  <si>
    <t>Adjuvant Tx8 Agent</t>
  </si>
  <si>
    <t>Tumour response Adjuvant  Tx8</t>
  </si>
  <si>
    <t>Adjuvant Tx9</t>
  </si>
  <si>
    <t>Adjuvant Tx9 Agent</t>
  </si>
  <si>
    <t>Tumour response Adjuvant  Tx9</t>
  </si>
  <si>
    <t>Adjuvant Tx10</t>
  </si>
  <si>
    <t>Adjuvant Tx10 Agent</t>
  </si>
  <si>
    <t>Tumour response Adjuvant Tx10</t>
  </si>
  <si>
    <t>Adjuvant Tx11</t>
  </si>
  <si>
    <t>Adjuvant Tx11 Agent</t>
  </si>
  <si>
    <t>Tumour response Adjuvant Tx11</t>
  </si>
  <si>
    <t>Adjuvant Tx12</t>
  </si>
  <si>
    <t>Adjuvant Tx12 Agent</t>
  </si>
  <si>
    <t>Tumour response Adjuvant Tx12</t>
  </si>
  <si>
    <t>Adjuvant Tx13</t>
  </si>
  <si>
    <t>Adjuvant Tx13 Agent</t>
  </si>
  <si>
    <t>Tumour response Adjuvant Tx13</t>
  </si>
  <si>
    <t>Adjuvant Tx14</t>
  </si>
  <si>
    <t>Adjuvant Tx14 Agent</t>
  </si>
  <si>
    <t>Tumour response Adjuvant Tx14</t>
  </si>
  <si>
    <t>Adjuvant Tx15</t>
  </si>
  <si>
    <t>Adjuvant Tx15 Agent</t>
  </si>
  <si>
    <t>Tumour response Adjuvant Tx15</t>
  </si>
  <si>
    <t>Date recurrence/ progression 1</t>
  </si>
  <si>
    <t>Sites recurrence/ progression 1</t>
  </si>
  <si>
    <t>Subsequent Tx1</t>
  </si>
  <si>
    <t>Subsequent Tx1 Agent</t>
  </si>
  <si>
    <t>Subsequent Tx1 Start Date</t>
  </si>
  <si>
    <t>Subsequent Tx1        End Date</t>
  </si>
  <si>
    <t>Tumour response to Subsequent Tx1</t>
  </si>
  <si>
    <t>Subsequent Tx2</t>
  </si>
  <si>
    <t>Subsequent Tx2 Agent</t>
  </si>
  <si>
    <t>Tumour response to Subsequent Tx2</t>
  </si>
  <si>
    <t>Subsequent Tx3</t>
  </si>
  <si>
    <t>Subsequent Tx3 Agent</t>
  </si>
  <si>
    <t>Tumour response to Subsequent Tx3</t>
  </si>
  <si>
    <t>Subsequent Tx4</t>
  </si>
  <si>
    <t>Subsequent Tx4 Agent</t>
  </si>
  <si>
    <t>Tumour response to Subsequent Tx4</t>
  </si>
  <si>
    <t>Subsequent Tx5</t>
  </si>
  <si>
    <t>Subsequent Tx5 Agent</t>
  </si>
  <si>
    <t>Tumour response to Subsequent Tx5</t>
  </si>
  <si>
    <t>Subsequent Tx6</t>
  </si>
  <si>
    <t>Subsequent Tx6 Agent</t>
  </si>
  <si>
    <t>Tumour response to Subsequent Tx6</t>
  </si>
  <si>
    <t>Subsequent Tx7</t>
  </si>
  <si>
    <t>Subsequent Tx7 Agent</t>
  </si>
  <si>
    <t>Tumour response to Subsequent Tx7</t>
  </si>
  <si>
    <t>Subsequent Tx8</t>
  </si>
  <si>
    <t>Subsequent Tx8 Agent</t>
  </si>
  <si>
    <t>Tumour response to Subsequent Tx8</t>
  </si>
  <si>
    <t>Subsequent Tx9</t>
  </si>
  <si>
    <t>Subsequent Tx9 Agent</t>
  </si>
  <si>
    <t>Tumour response to Subsequent Tx9</t>
  </si>
  <si>
    <t>Subsequent Tx10</t>
  </si>
  <si>
    <t>Subsequent Tx10 Agent</t>
  </si>
  <si>
    <t>Tumour response to Subsequent Tx10</t>
  </si>
  <si>
    <t>Subsequent Tx11</t>
  </si>
  <si>
    <t>Subsequent Tx11 Agent</t>
  </si>
  <si>
    <t>Tumour response to Subsequent Tx11</t>
  </si>
  <si>
    <t>Subsequent Tx12</t>
  </si>
  <si>
    <t>Subsequent Tx12 Agent</t>
  </si>
  <si>
    <t>Tumour response to Subsequent Tx12</t>
  </si>
  <si>
    <t>Subsequent Tx13</t>
  </si>
  <si>
    <t>Subsequent Tx13 Agent</t>
  </si>
  <si>
    <t>Tumour response to Subsequent Tx13</t>
  </si>
  <si>
    <t>Subsequent Tx14</t>
  </si>
  <si>
    <t>Subsequent Tx14 Agent</t>
  </si>
  <si>
    <t>Tumour response to Subsequent Tx14</t>
  </si>
  <si>
    <t>Subsequent Tx15</t>
  </si>
  <si>
    <t>Subsequent Tx15 Agent</t>
  </si>
  <si>
    <t>Tumour response to Subsequent Tx15</t>
  </si>
  <si>
    <t>Current Status</t>
  </si>
  <si>
    <t>Death date</t>
  </si>
  <si>
    <t>Death tumour related</t>
  </si>
  <si>
    <t>Cause of death</t>
  </si>
  <si>
    <t>Date last follow-up</t>
  </si>
  <si>
    <t>Date Last Seen</t>
  </si>
  <si>
    <t>Comments from clinical team</t>
  </si>
  <si>
    <t>TTE Neoadjuvant Tx1 Start Date</t>
  </si>
  <si>
    <t>TTE Neoadjuvant Tx1 End Date</t>
  </si>
  <si>
    <t>TTE Specimen surgery date</t>
  </si>
  <si>
    <t xml:space="preserve">TTE Primary Surgery date </t>
  </si>
  <si>
    <t xml:space="preserve">TTE Matched met 1 Surgery Date </t>
  </si>
  <si>
    <t xml:space="preserve">TTE Matched met 2 Surgery Date </t>
  </si>
  <si>
    <t xml:space="preserve">TTE Matched met 3 Surgery Date </t>
  </si>
  <si>
    <t xml:space="preserve">TTE Matched met 4 Surgery Date </t>
  </si>
  <si>
    <t xml:space="preserve">TTE Matched met 5 Surgery Date </t>
  </si>
  <si>
    <t xml:space="preserve">TTE Matched Normal tissue Surgery Date </t>
  </si>
  <si>
    <t>TTE Adjuvant Tx1 Start Date</t>
  </si>
  <si>
    <t>TTE Adjuvant Tx1 End Date</t>
  </si>
  <si>
    <t>TTE Date recurrence/ progression 1</t>
  </si>
  <si>
    <t>TTE Subsequent Tx1 Start Date</t>
  </si>
  <si>
    <t>TTE Subsequent Tx1 End Date</t>
  </si>
  <si>
    <t>TTE Recurrence (PFS)</t>
  </si>
  <si>
    <t>TTE Death (OS and PFS)</t>
  </si>
  <si>
    <t>TTE Date last follow-up (PFS)</t>
  </si>
  <si>
    <t>TTE Date last seen (OS)</t>
  </si>
  <si>
    <t>TTE Overall survival (OS) in months</t>
  </si>
  <si>
    <t>TTE Progression free survival (PFS) in months</t>
  </si>
  <si>
    <t>Event (recurrence/progression)</t>
  </si>
  <si>
    <t>Event (cancer death)</t>
  </si>
  <si>
    <t>Event (death; all causes)</t>
  </si>
  <si>
    <t>Event (recurrence or cancer death)</t>
  </si>
  <si>
    <t>No</t>
  </si>
  <si>
    <t>N/A</t>
  </si>
  <si>
    <t>Right VATS pleural biopsy + rib resection</t>
  </si>
  <si>
    <t>Right Lung, lower lobe</t>
  </si>
  <si>
    <t>LH21-33704</t>
  </si>
  <si>
    <t>A11</t>
  </si>
  <si>
    <t>Right pleura</t>
  </si>
  <si>
    <t>Treatment naïve</t>
  </si>
  <si>
    <t>B1</t>
  </si>
  <si>
    <t>Right pleura/cortex of rib</t>
  </si>
  <si>
    <t>M</t>
  </si>
  <si>
    <t>Squamous Cell Carcinoma</t>
  </si>
  <si>
    <t>x</t>
  </si>
  <si>
    <t>1 (pleura)</t>
  </si>
  <si>
    <t>1a (pleura)</t>
  </si>
  <si>
    <t>T4N2M1a</t>
  </si>
  <si>
    <t>P</t>
  </si>
  <si>
    <t>AJCC 8</t>
  </si>
  <si>
    <t>IVA</t>
  </si>
  <si>
    <t>Deceased</t>
  </si>
  <si>
    <t>Yes</t>
  </si>
  <si>
    <t>NR</t>
  </si>
  <si>
    <t>Right Vats+ rib resection + pleural effusion drainage + pleural biopsy + pleurx catheter insertion+ properative ultrasound guidance</t>
  </si>
  <si>
    <t>Right Lung</t>
  </si>
  <si>
    <t>LH22-02733</t>
  </si>
  <si>
    <t>Right parietal pleura</t>
  </si>
  <si>
    <t>Adenocarcinoma</t>
  </si>
  <si>
    <t>Immunotherapy</t>
  </si>
  <si>
    <t>Pembrolizumab (3 Cycles)</t>
  </si>
  <si>
    <t>PD</t>
  </si>
  <si>
    <t>Peritoneal nodules and retropertoneal Lymph nodes (Progression)</t>
  </si>
  <si>
    <t>LH22-05373</t>
  </si>
  <si>
    <t>A1</t>
  </si>
  <si>
    <t>Excision of segment of lung</t>
  </si>
  <si>
    <t>Right Lung Lower lobe</t>
  </si>
  <si>
    <t>F</t>
  </si>
  <si>
    <t>Adenocarcinoma (mixed mucinous and non-mucinous type)</t>
  </si>
  <si>
    <t>Specimen</t>
  </si>
  <si>
    <t>T2N0M0</t>
  </si>
  <si>
    <t>IB</t>
  </si>
  <si>
    <t>Alive</t>
  </si>
  <si>
    <t>Chronic obstructive lung disease</t>
  </si>
  <si>
    <t>Biopsies, left supraclavicular fossa</t>
  </si>
  <si>
    <t>Lung, right lower lobe</t>
  </si>
  <si>
    <t>LH22-25474</t>
  </si>
  <si>
    <t>A2</t>
  </si>
  <si>
    <t>Lymph node, left supraclavicular fossa</t>
  </si>
  <si>
    <t>1b (Adrenal Gland)</t>
  </si>
  <si>
    <t>T3N3M1b</t>
  </si>
  <si>
    <t>Atezolizumab (5 Cycles)</t>
  </si>
  <si>
    <t>PR</t>
  </si>
  <si>
    <t>Brain (New Mets)</t>
  </si>
  <si>
    <t>Chemotherapy</t>
  </si>
  <si>
    <t>Carboplatin, Pemetrexed (4 cycles)</t>
  </si>
  <si>
    <t>MR</t>
  </si>
  <si>
    <t>LH22-31808</t>
  </si>
  <si>
    <t>CT Guided biopsy thorax</t>
  </si>
  <si>
    <t>Left Lung Lower Lobe</t>
  </si>
  <si>
    <t>Carcinoma</t>
  </si>
  <si>
    <t>1c (2 peritoneal mets)</t>
  </si>
  <si>
    <t>T3N3M1c</t>
  </si>
  <si>
    <t>IVB</t>
  </si>
  <si>
    <t>thoracoscopy and pleural biopsies</t>
  </si>
  <si>
    <t>Left lung</t>
  </si>
  <si>
    <t>LH22-46956</t>
  </si>
  <si>
    <t>Left pleura</t>
  </si>
  <si>
    <t>TxN0M1a</t>
  </si>
  <si>
    <t>US guided biopsy</t>
  </si>
  <si>
    <t>Left lung, upper lobe</t>
  </si>
  <si>
    <t>LH22-47286</t>
  </si>
  <si>
    <t>A3</t>
  </si>
  <si>
    <t>Right arm subcutaneous nodule</t>
  </si>
  <si>
    <t>Metastatic Carcinoma</t>
  </si>
  <si>
    <t>T1cN0M0</t>
  </si>
  <si>
    <t>IA3</t>
  </si>
  <si>
    <t>Radiotherapy</t>
  </si>
  <si>
    <t>60Gy in 8# (Lung)</t>
  </si>
  <si>
    <t xml:space="preserve">Lymph nodes (new mets), Abdomen (new met) Arm, subcutaneous (new met) </t>
  </si>
  <si>
    <t>8 Gy in 1# (Upper arm)</t>
  </si>
  <si>
    <t>SD</t>
  </si>
  <si>
    <t>8Gy in 1# (Right upper arm); 8Gy 1# (chest wall)</t>
  </si>
  <si>
    <t>1a) Metastatic Lung Cancer</t>
  </si>
  <si>
    <t>US Guided biopsy neck</t>
  </si>
  <si>
    <t>Lung, right upper lobe</t>
  </si>
  <si>
    <t>LH22-51940</t>
  </si>
  <si>
    <t>Right SCF lymph node</t>
  </si>
  <si>
    <t>A5</t>
  </si>
  <si>
    <t>1c (Brain; 10 mets)</t>
  </si>
  <si>
    <t>Pemetrexed (4 cycles)</t>
  </si>
  <si>
    <t>Brain (Larger mets), Left Lung (New mets)</t>
  </si>
  <si>
    <t>Docetaxel (4 cycles)</t>
  </si>
  <si>
    <t>Donor ID</t>
  </si>
  <si>
    <t>Specimen used for testing (If different)</t>
  </si>
  <si>
    <t>Block used for testing</t>
  </si>
  <si>
    <t>EGFR mutation(s)</t>
  </si>
  <si>
    <t>Detection platform</t>
  </si>
  <si>
    <t>KRAS mutation</t>
  </si>
  <si>
    <t xml:space="preserve">NRAS mutation </t>
  </si>
  <si>
    <t>BRAF muation</t>
  </si>
  <si>
    <t>ALK rearrangement</t>
  </si>
  <si>
    <t>PD-L1</t>
  </si>
  <si>
    <t>PD-L1 % positive cells</t>
  </si>
  <si>
    <t>Other genetic lesions</t>
  </si>
  <si>
    <t>Indication</t>
  </si>
  <si>
    <t>LDS0005322</t>
  </si>
  <si>
    <t>A4</t>
  </si>
  <si>
    <t>No mutation detected in the EGFR gene (exons 18-21)</t>
  </si>
  <si>
    <t>Illumina MiSeq platform</t>
  </si>
  <si>
    <t>Detected c35G&gt;A p.(Gly12Asp)</t>
  </si>
  <si>
    <t>Not detected</t>
  </si>
  <si>
    <t>Positive</t>
  </si>
  <si>
    <t>&gt;90%</t>
  </si>
  <si>
    <t>Lung carcinoma (NSCLC)</t>
  </si>
  <si>
    <t>LDS0005323</t>
  </si>
  <si>
    <t>RET rearrangement</t>
  </si>
  <si>
    <t>LDS0005324</t>
  </si>
  <si>
    <t>Detected c.1799T&gt;A p.(Val600Glu)</t>
  </si>
  <si>
    <t>LDS0005325</t>
  </si>
  <si>
    <t>&gt;70%</t>
  </si>
  <si>
    <t>LDS0005326</t>
  </si>
  <si>
    <t>Negative</t>
  </si>
  <si>
    <t>&lt;1%</t>
  </si>
  <si>
    <t>LDS0005327</t>
  </si>
  <si>
    <t>80-90%</t>
  </si>
  <si>
    <t>LDS0005328</t>
  </si>
  <si>
    <t>LDS0005329</t>
  </si>
  <si>
    <t>Detected c.35G&gt;T p.(Gly12Val)</t>
  </si>
  <si>
    <t>Therapy type</t>
  </si>
  <si>
    <t>Yes/No</t>
  </si>
  <si>
    <r>
      <rPr>
        <sz val="10"/>
        <color rgb="FFFF0000"/>
        <rFont val="Calibri Light"/>
        <family val="2"/>
        <scheme val="major"/>
      </rPr>
      <t>Red text</t>
    </r>
    <r>
      <rPr>
        <sz val="10"/>
        <color rgb="FF000000"/>
        <rFont val="Calibri Light"/>
        <family val="2"/>
        <scheme val="major"/>
      </rPr>
      <t xml:space="preserve"> = cells to select for formula</t>
    </r>
  </si>
  <si>
    <t>AJCC</t>
  </si>
  <si>
    <t>When copying and pasting formulas, you need to delete the ' before the =</t>
  </si>
  <si>
    <t>Immunotherapy naïve</t>
  </si>
  <si>
    <t>Primary tumour</t>
  </si>
  <si>
    <t>AJCC 5</t>
  </si>
  <si>
    <t>Header</t>
  </si>
  <si>
    <t>Column</t>
  </si>
  <si>
    <t>Immunotherapy only</t>
  </si>
  <si>
    <t>Other specimen</t>
  </si>
  <si>
    <t>AJCC 6</t>
  </si>
  <si>
    <t>A</t>
  </si>
  <si>
    <t>Mixed therapy</t>
  </si>
  <si>
    <t>Mixed treatment</t>
  </si>
  <si>
    <t>AJCC 7</t>
  </si>
  <si>
    <t>B</t>
  </si>
  <si>
    <t>Age at diagnosis</t>
  </si>
  <si>
    <t>=DATEDIF(DOB, DODx,"Y")</t>
  </si>
  <si>
    <t>Hormone therapy</t>
  </si>
  <si>
    <t>C</t>
  </si>
  <si>
    <t>Quarter formula</t>
  </si>
  <si>
    <r>
      <rPr>
        <sz val="10"/>
        <color rgb="FF000000"/>
        <rFont val="Calibri Light"/>
        <family val="2"/>
        <scheme val="major"/>
      </rPr>
      <t>=IFERROR("Q" &amp;INT((MONTH(</t>
    </r>
    <r>
      <rPr>
        <sz val="10"/>
        <color rgb="FFFF0000"/>
        <rFont val="Calibri Light"/>
        <family val="2"/>
        <scheme val="major"/>
      </rPr>
      <t>cell with date</t>
    </r>
    <r>
      <rPr>
        <sz val="10"/>
        <color rgb="FF000000"/>
        <rFont val="Calibri Light"/>
        <family val="2"/>
        <scheme val="major"/>
      </rPr>
      <t>)+2)/3) &amp; "-" &amp; YEAR(</t>
    </r>
    <r>
      <rPr>
        <sz val="10"/>
        <color rgb="FFFF0000"/>
        <rFont val="Calibri Light"/>
        <family val="2"/>
        <scheme val="major"/>
      </rPr>
      <t>same cell with date</t>
    </r>
    <r>
      <rPr>
        <sz val="10"/>
        <color rgb="FF000000"/>
        <rFont val="Calibri Light"/>
        <family val="2"/>
        <scheme val="major"/>
      </rPr>
      <t>),"N/A")</t>
    </r>
  </si>
  <si>
    <t>Antibody-drug-conjugates</t>
  </si>
  <si>
    <t>Figo</t>
  </si>
  <si>
    <t>D</t>
  </si>
  <si>
    <t>The months between two dates in decimals</t>
  </si>
  <si>
    <r>
      <rPr>
        <sz val="10"/>
        <color rgb="FF000000"/>
        <rFont val="Calibri Light"/>
        <family val="2"/>
        <scheme val="major"/>
      </rPr>
      <t>=IFERROR(INT((</t>
    </r>
    <r>
      <rPr>
        <sz val="10"/>
        <color rgb="FFFF0000"/>
        <rFont val="Calibri Light"/>
        <family val="2"/>
        <scheme val="major"/>
      </rPr>
      <t>cell with event date</t>
    </r>
    <r>
      <rPr>
        <sz val="10"/>
        <color rgb="FF000000"/>
        <rFont val="Calibri Light"/>
        <family val="2"/>
        <scheme val="major"/>
      </rPr>
      <t xml:space="preserve"> - </t>
    </r>
    <r>
      <rPr>
        <sz val="10"/>
        <color rgb="FFFF0000"/>
        <rFont val="Calibri Light"/>
        <family val="2"/>
        <scheme val="major"/>
      </rPr>
      <t>DODx</t>
    </r>
    <r>
      <rPr>
        <sz val="10"/>
        <color rgb="FF000000"/>
        <rFont val="Calibri Light"/>
        <family val="2"/>
        <scheme val="major"/>
      </rPr>
      <t>)/30),"N/A")</t>
    </r>
  </si>
  <si>
    <t>Other</t>
  </si>
  <si>
    <t>E</t>
  </si>
  <si>
    <t>OS</t>
  </si>
  <si>
    <r>
      <t>=SUM(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,Time to event date last seen)</t>
    </r>
  </si>
  <si>
    <t>PFS</t>
  </si>
  <si>
    <r>
      <rPr>
        <sz val="10"/>
        <color rgb="FF000000"/>
        <rFont val="Calibri Light"/>
        <family val="2"/>
        <scheme val="major"/>
      </rPr>
      <t>=INDEX(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;</t>
    </r>
    <r>
      <rPr>
        <sz val="10"/>
        <color rgb="FFFF0000"/>
        <rFont val="Calibri Light"/>
        <family val="2"/>
        <scheme val="major"/>
      </rPr>
      <t>Time to event date last follow-up</t>
    </r>
    <r>
      <rPr>
        <sz val="10"/>
        <color rgb="FF000000"/>
        <rFont val="Calibri Light"/>
        <family val="2"/>
        <scheme val="major"/>
      </rPr>
      <t>,MATCH(TRUE,INDEX(ISNUMBER(),0),0))</t>
    </r>
  </si>
  <si>
    <t>G</t>
  </si>
  <si>
    <r>
      <t>=IF(</t>
    </r>
    <r>
      <rPr>
        <sz val="10"/>
        <color rgb="FFFF0000"/>
        <rFont val="Calibri Light"/>
        <family val="2"/>
        <scheme val="major"/>
      </rPr>
      <t>Time to event recurrence</t>
    </r>
    <r>
      <rPr>
        <sz val="10"/>
        <color rgb="FF000000"/>
        <rFont val="Calibri Light"/>
        <family val="2"/>
        <scheme val="major"/>
      </rPr>
      <t>="N/A",0,1)</t>
    </r>
  </si>
  <si>
    <t>H</t>
  </si>
  <si>
    <r>
      <t>=IF(=</t>
    </r>
    <r>
      <rPr>
        <sz val="10"/>
        <color rgb="FFFF0000"/>
        <rFont val="Calibri Light"/>
        <family val="2"/>
        <scheme val="major"/>
      </rPr>
      <t>Death due to tumour/ assumed tumour related</t>
    </r>
    <r>
      <rPr>
        <sz val="10"/>
        <color rgb="FF000000"/>
        <rFont val="Calibri Light"/>
        <family val="2"/>
        <scheme val="major"/>
      </rPr>
      <t xml:space="preserve"> Yes/No"Yes",1,0)</t>
    </r>
  </si>
  <si>
    <t>I</t>
  </si>
  <si>
    <r>
      <t>=IF(</t>
    </r>
    <r>
      <rPr>
        <sz val="10"/>
        <color rgb="FFFF0000"/>
        <rFont val="Calibri Light"/>
        <family val="2"/>
        <scheme val="major"/>
      </rPr>
      <t>time to event death</t>
    </r>
    <r>
      <rPr>
        <sz val="10"/>
        <color rgb="FF000000"/>
        <rFont val="Calibri Light"/>
        <family val="2"/>
        <scheme val="major"/>
      </rPr>
      <t>="N/A",0,1)</t>
    </r>
  </si>
  <si>
    <t>J</t>
  </si>
  <si>
    <r>
      <t>=IF(OR(</t>
    </r>
    <r>
      <rPr>
        <sz val="10"/>
        <color rgb="FFFF0000"/>
        <rFont val="Calibri Light"/>
        <family val="2"/>
        <scheme val="major"/>
      </rPr>
      <t>Event recurrence/progression</t>
    </r>
    <r>
      <rPr>
        <sz val="10"/>
        <color rgb="FF000000"/>
        <rFont val="Calibri Light"/>
        <family val="2"/>
        <scheme val="major"/>
      </rPr>
      <t>=1,</t>
    </r>
    <r>
      <rPr>
        <sz val="10"/>
        <color rgb="FFFF0000"/>
        <rFont val="Calibri Light"/>
        <family val="2"/>
        <scheme val="major"/>
      </rPr>
      <t>Event cancer death</t>
    </r>
    <r>
      <rPr>
        <sz val="10"/>
        <color rgb="FF000000"/>
        <rFont val="Calibri Light"/>
        <family val="2"/>
        <scheme val="major"/>
      </rPr>
      <t>=1),"1","0")</t>
    </r>
  </si>
  <si>
    <t>K</t>
  </si>
  <si>
    <t>Combine TNM</t>
  </si>
  <si>
    <r>
      <t>=CONCATENATE("T",</t>
    </r>
    <r>
      <rPr>
        <sz val="10"/>
        <color rgb="FFFF0000"/>
        <rFont val="Calibri Light"/>
        <family val="2"/>
        <scheme val="major"/>
      </rPr>
      <t>cell with pT,</t>
    </r>
    <r>
      <rPr>
        <sz val="10"/>
        <color rgb="FF000000"/>
        <rFont val="Calibri Light"/>
        <family val="2"/>
        <scheme val="major"/>
      </rPr>
      <t>"N",</t>
    </r>
    <r>
      <rPr>
        <sz val="10"/>
        <color rgb="FFFF0000"/>
        <rFont val="Calibri Light"/>
        <family val="2"/>
        <scheme val="major"/>
      </rPr>
      <t>cell with pN</t>
    </r>
    <r>
      <rPr>
        <sz val="10"/>
        <color rgb="FF000000"/>
        <rFont val="Calibri Light"/>
        <family val="2"/>
        <scheme val="major"/>
      </rPr>
      <t>,"M",</t>
    </r>
    <r>
      <rPr>
        <sz val="10"/>
        <color rgb="FFFF0000"/>
        <rFont val="Calibri Light"/>
        <family val="2"/>
        <scheme val="major"/>
      </rPr>
      <t>cell with cM</t>
    </r>
    <r>
      <rPr>
        <sz val="10"/>
        <color rgb="FF000000"/>
        <rFont val="Calibri Light"/>
        <family val="2"/>
        <scheme val="major"/>
      </rPr>
      <t>)</t>
    </r>
  </si>
  <si>
    <t>L</t>
  </si>
  <si>
    <t>Combine text from 2 cells</t>
  </si>
  <si>
    <r>
      <t>=</t>
    </r>
    <r>
      <rPr>
        <sz val="10"/>
        <color rgb="FFFF0000"/>
        <rFont val="Calibri Light"/>
        <family val="2"/>
        <scheme val="major"/>
      </rPr>
      <t>cell number</t>
    </r>
    <r>
      <rPr>
        <sz val="10"/>
        <color rgb="FF000000"/>
        <rFont val="Calibri Light"/>
        <family val="2"/>
        <scheme val="major"/>
      </rPr>
      <t>&amp;" "&amp;</t>
    </r>
    <r>
      <rPr>
        <sz val="10"/>
        <color rgb="FFFF0000"/>
        <rFont val="Calibri Light"/>
        <family val="2"/>
        <scheme val="major"/>
      </rPr>
      <t>second cell</t>
    </r>
  </si>
  <si>
    <t>N</t>
  </si>
  <si>
    <t>O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</si>
  <si>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</si>
  <si>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</si>
  <si>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</si>
  <si>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</si>
  <si>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</si>
  <si>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</si>
  <si>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</si>
  <si>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</si>
  <si>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</si>
  <si>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</si>
  <si>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</si>
  <si>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</si>
  <si>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</si>
  <si>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</si>
  <si>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</si>
  <si>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</si>
  <si>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</si>
  <si>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</si>
  <si>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</si>
  <si>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</si>
  <si>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</si>
  <si>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</si>
  <si>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</si>
  <si>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</si>
  <si>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</si>
  <si>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</si>
  <si>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</si>
  <si>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</si>
  <si>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</si>
  <si>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</si>
  <si>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</si>
  <si>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</si>
  <si>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</si>
  <si>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</si>
  <si>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</si>
  <si>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</si>
  <si>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</si>
  <si>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</si>
  <si>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</si>
  <si>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</si>
  <si>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</si>
  <si>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</si>
  <si>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</si>
  <si>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</si>
  <si>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</si>
  <si>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</si>
  <si>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</si>
  <si>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</si>
  <si>
    <t>BM</t>
  </si>
  <si>
    <t>BN</t>
  </si>
  <si>
    <t>Neoadjuvant Tx2 Start Date</t>
  </si>
  <si>
    <t>BO</t>
  </si>
  <si>
    <t>Neoadjuvant Tx2 End Date</t>
  </si>
  <si>
    <t>BP</t>
  </si>
  <si>
    <t>BQ</t>
  </si>
  <si>
    <t>BR</t>
  </si>
  <si>
    <t>BS</t>
  </si>
  <si>
    <t>Neoadjuvant Tx3 Start Date</t>
  </si>
  <si>
    <t>BT</t>
  </si>
  <si>
    <t>Neoadjuvant Tx3 End Date</t>
  </si>
  <si>
    <t>BU</t>
  </si>
  <si>
    <t>BV</t>
  </si>
  <si>
    <t>BW</t>
  </si>
  <si>
    <t>BX</t>
  </si>
  <si>
    <t>Neoadjuvant Tx4 Start Date</t>
  </si>
  <si>
    <t>BY</t>
  </si>
  <si>
    <t>Neoadjuvant Tx4 End Date</t>
  </si>
  <si>
    <t>BZ</t>
  </si>
  <si>
    <t>CA</t>
  </si>
  <si>
    <t>CB</t>
  </si>
  <si>
    <t>CC</t>
  </si>
  <si>
    <t>Neoadjuvant Tx5 Start Date</t>
  </si>
  <si>
    <t>CD</t>
  </si>
  <si>
    <t>Neoadjuvant Tx5 End Date</t>
  </si>
  <si>
    <t>CE</t>
  </si>
  <si>
    <t>CF</t>
  </si>
  <si>
    <t>CG</t>
  </si>
  <si>
    <t>CH</t>
  </si>
  <si>
    <t>Neoadjuvant Tx6 Start Date</t>
  </si>
  <si>
    <t>CI</t>
  </si>
  <si>
    <t>Neoadjuvant Tx6 End Date</t>
  </si>
  <si>
    <t>CJ</t>
  </si>
  <si>
    <t>CK</t>
  </si>
  <si>
    <t>CL</t>
  </si>
  <si>
    <t>CM</t>
  </si>
  <si>
    <t>Neoadjuvant Tx7 Start Date</t>
  </si>
  <si>
    <t>CN</t>
  </si>
  <si>
    <t>Neoadjuvant Tx7 End Date</t>
  </si>
  <si>
    <t>CO</t>
  </si>
  <si>
    <t>CP</t>
  </si>
  <si>
    <t>CQ</t>
  </si>
  <si>
    <t>CR</t>
  </si>
  <si>
    <t>Neoadjuvant Tx8 Start Date</t>
  </si>
  <si>
    <t>CS</t>
  </si>
  <si>
    <t>Neoadjuvant Tx8 End Date</t>
  </si>
  <si>
    <t>CT</t>
  </si>
  <si>
    <t>CU</t>
  </si>
  <si>
    <t>CV</t>
  </si>
  <si>
    <t>CW</t>
  </si>
  <si>
    <t>Neoadjuvant Tx9 Start Date</t>
  </si>
  <si>
    <t>CX</t>
  </si>
  <si>
    <t>Neoadjuvant Tx9 End Date</t>
  </si>
  <si>
    <t>CY</t>
  </si>
  <si>
    <t>CZ</t>
  </si>
  <si>
    <t>DA</t>
  </si>
  <si>
    <t>DB</t>
  </si>
  <si>
    <t>Neoadjuvant Tx10 Start Date</t>
  </si>
  <si>
    <t>DC</t>
  </si>
  <si>
    <t>Neoadjuvant Tx10 End Date</t>
  </si>
  <si>
    <t>DD</t>
  </si>
  <si>
    <t>DE</t>
  </si>
  <si>
    <t>DF</t>
  </si>
  <si>
    <t>DG</t>
  </si>
  <si>
    <t>DH</t>
  </si>
  <si>
    <t>DI</t>
  </si>
  <si>
    <t>DJ</t>
  </si>
  <si>
    <t>DK</t>
  </si>
  <si>
    <t>DL</t>
  </si>
  <si>
    <t>Adjuvant Tx2 Start Date</t>
  </si>
  <si>
    <t>DM</t>
  </si>
  <si>
    <t>Adjuvant Tx2 End Date</t>
  </si>
  <si>
    <t>DN</t>
  </si>
  <si>
    <t>DO</t>
  </si>
  <si>
    <t>DP</t>
  </si>
  <si>
    <t>DQ</t>
  </si>
  <si>
    <t>Adjuvant Tx3 Start Date</t>
  </si>
  <si>
    <t>DR</t>
  </si>
  <si>
    <t>Adjuvant Tx3 End Date</t>
  </si>
  <si>
    <t>DS</t>
  </si>
  <si>
    <t>DT</t>
  </si>
  <si>
    <t>DU</t>
  </si>
  <si>
    <t>DV</t>
  </si>
  <si>
    <t>Adjuvant Tx4 Start Date</t>
  </si>
  <si>
    <t>DW</t>
  </si>
  <si>
    <t>Adjuvant Tx4 End Date</t>
  </si>
  <si>
    <t>DX</t>
  </si>
  <si>
    <t>DY</t>
  </si>
  <si>
    <t>DZ</t>
  </si>
  <si>
    <t>EA</t>
  </si>
  <si>
    <t>Adjuvant Tx5 Start Date</t>
  </si>
  <si>
    <t>EB</t>
  </si>
  <si>
    <t>Adjuvant Tx5 End Date</t>
  </si>
  <si>
    <t>EC</t>
  </si>
  <si>
    <t>ED</t>
  </si>
  <si>
    <t>EE</t>
  </si>
  <si>
    <t>EF</t>
  </si>
  <si>
    <t>Adjuvant Tx6 Start Date</t>
  </si>
  <si>
    <t>EG</t>
  </si>
  <si>
    <t>Adjuvant Tx6 End Date</t>
  </si>
  <si>
    <t>EH</t>
  </si>
  <si>
    <t>EI</t>
  </si>
  <si>
    <t>EJ</t>
  </si>
  <si>
    <t>EK</t>
  </si>
  <si>
    <t>Adjuvant Tx7 Start Date</t>
  </si>
  <si>
    <t>EL</t>
  </si>
  <si>
    <t>Adjuvant Tx7 End Date</t>
  </si>
  <si>
    <t>EM</t>
  </si>
  <si>
    <t>EN</t>
  </si>
  <si>
    <t>EO</t>
  </si>
  <si>
    <t>EP</t>
  </si>
  <si>
    <t>Adjuvant Tx8 Start Date</t>
  </si>
  <si>
    <t>EQ</t>
  </si>
  <si>
    <t>Adjuvant Tx8 End Date</t>
  </si>
  <si>
    <t>ER</t>
  </si>
  <si>
    <t>ES</t>
  </si>
  <si>
    <t>ET</t>
  </si>
  <si>
    <t>EU</t>
  </si>
  <si>
    <t>Adjuvant Tx9 Start Date</t>
  </si>
  <si>
    <t>EV</t>
  </si>
  <si>
    <t>Adjuvant Tx9 End Date</t>
  </si>
  <si>
    <t>EW</t>
  </si>
  <si>
    <t>EX</t>
  </si>
  <si>
    <t>EY</t>
  </si>
  <si>
    <t>EZ</t>
  </si>
  <si>
    <t>Adjuvant Tx10 Start Date</t>
  </si>
  <si>
    <t>FA</t>
  </si>
  <si>
    <t>Adjuvant Tx10 End Date</t>
  </si>
  <si>
    <t>FB</t>
  </si>
  <si>
    <t>FC</t>
  </si>
  <si>
    <t>FD</t>
  </si>
  <si>
    <t>FE</t>
  </si>
  <si>
    <t>Adjuvant Tx11 Start Date</t>
  </si>
  <si>
    <t>FF</t>
  </si>
  <si>
    <t>Adjuvant Tx11 End Date</t>
  </si>
  <si>
    <t>FG</t>
  </si>
  <si>
    <t>FH</t>
  </si>
  <si>
    <t>FI</t>
  </si>
  <si>
    <t>FJ</t>
  </si>
  <si>
    <t>Adjuvant Tx12 Start Date</t>
  </si>
  <si>
    <t>FK</t>
  </si>
  <si>
    <t>Adjuvant Tx12 End Date</t>
  </si>
  <si>
    <t>FL</t>
  </si>
  <si>
    <t>FM</t>
  </si>
  <si>
    <t>FN</t>
  </si>
  <si>
    <t>FO</t>
  </si>
  <si>
    <t>Adjuvant Tx13 Start Date</t>
  </si>
  <si>
    <t>FP</t>
  </si>
  <si>
    <t>Adjuvant Tx13 End Date</t>
  </si>
  <si>
    <t>FQ</t>
  </si>
  <si>
    <t>FR</t>
  </si>
  <si>
    <t>FS</t>
  </si>
  <si>
    <t>FT</t>
  </si>
  <si>
    <t>Adjuvant Tx14 Start Date</t>
  </si>
  <si>
    <t>FU</t>
  </si>
  <si>
    <t>Adjuvant Tx14 End Date</t>
  </si>
  <si>
    <t>FV</t>
  </si>
  <si>
    <t>FW</t>
  </si>
  <si>
    <t>FX</t>
  </si>
  <si>
    <t>FY</t>
  </si>
  <si>
    <t>Adjuvant Tx15 Start Date</t>
  </si>
  <si>
    <t>FZ</t>
  </si>
  <si>
    <t>Adjuvant Tx15 End Date</t>
  </si>
  <si>
    <t>GA</t>
  </si>
  <si>
    <t>GB</t>
  </si>
  <si>
    <t>GC</t>
  </si>
  <si>
    <t>GD</t>
  </si>
  <si>
    <t>Date recurrence/ progression 2</t>
  </si>
  <si>
    <t>GE</t>
  </si>
  <si>
    <t>Sites recurrence/ progression 2</t>
  </si>
  <si>
    <t>GF</t>
  </si>
  <si>
    <t>Date recurrence/ progression 3</t>
  </si>
  <si>
    <t>GG</t>
  </si>
  <si>
    <t>Sites recurrence/ progression 3</t>
  </si>
  <si>
    <t>GH</t>
  </si>
  <si>
    <t>Date recurrence/ progression 4</t>
  </si>
  <si>
    <t>GI</t>
  </si>
  <si>
    <t>Sites recurrence/ progression 4</t>
  </si>
  <si>
    <t>GJ</t>
  </si>
  <si>
    <t>Date recurrence/ progression 5</t>
  </si>
  <si>
    <t>GK</t>
  </si>
  <si>
    <t>Sites recurrence/ progression 5</t>
  </si>
  <si>
    <t>GL</t>
  </si>
  <si>
    <t>Date recurrence/ progression 6</t>
  </si>
  <si>
    <t>GM</t>
  </si>
  <si>
    <t>Sites recurrence/ progression 6</t>
  </si>
  <si>
    <t>GN</t>
  </si>
  <si>
    <t>Date recurrence/ progression 7</t>
  </si>
  <si>
    <t>GO</t>
  </si>
  <si>
    <t>Sites recurrence/ progression 7</t>
  </si>
  <si>
    <t>GP</t>
  </si>
  <si>
    <t>Date recurrence/ progression 8</t>
  </si>
  <si>
    <t>GQ</t>
  </si>
  <si>
    <t>Sites recurrence/ progression 8</t>
  </si>
  <si>
    <t>GR</t>
  </si>
  <si>
    <t>Date recurrence/ progression 9</t>
  </si>
  <si>
    <t>GS</t>
  </si>
  <si>
    <t>Sites recurrence/ progression 9</t>
  </si>
  <si>
    <t>GT</t>
  </si>
  <si>
    <t>Date recurrence/ progression 10</t>
  </si>
  <si>
    <t>GU</t>
  </si>
  <si>
    <t>Sites recurrence/ progression 10</t>
  </si>
  <si>
    <t>GV</t>
  </si>
  <si>
    <t>Date recurrence/ progression 11</t>
  </si>
  <si>
    <t>GW</t>
  </si>
  <si>
    <t>Sites recurrence/ progression 11</t>
  </si>
  <si>
    <t>GX</t>
  </si>
  <si>
    <t>Date recurrence/ progression 12</t>
  </si>
  <si>
    <t>GY</t>
  </si>
  <si>
    <t>Sites recurrence/ progression 12</t>
  </si>
  <si>
    <t>GZ</t>
  </si>
  <si>
    <t>Date recurrence/ progression 13</t>
  </si>
  <si>
    <t>HA</t>
  </si>
  <si>
    <t>Sites recurrence/ progression 13</t>
  </si>
  <si>
    <t>HB</t>
  </si>
  <si>
    <t>Date recurrence/ progression 14</t>
  </si>
  <si>
    <t>HC</t>
  </si>
  <si>
    <t>Sites recurrence/ progression 14</t>
  </si>
  <si>
    <t>HD</t>
  </si>
  <si>
    <t>Date recurrence/ progression 15</t>
  </si>
  <si>
    <t>HE</t>
  </si>
  <si>
    <t>Sites recurrence/ progression 15</t>
  </si>
  <si>
    <t>HF</t>
  </si>
  <si>
    <t>HG</t>
  </si>
  <si>
    <t>HH</t>
  </si>
  <si>
    <t>HI</t>
  </si>
  <si>
    <t>Subsequent Tx1 Finish Date</t>
  </si>
  <si>
    <t>HJ</t>
  </si>
  <si>
    <t>HK</t>
  </si>
  <si>
    <t>HL</t>
  </si>
  <si>
    <t>HM</t>
  </si>
  <si>
    <t>Subsequent Tx2 Start Date</t>
  </si>
  <si>
    <t>HN</t>
  </si>
  <si>
    <t>Subsequent Tx2 Finish Date</t>
  </si>
  <si>
    <t>HO</t>
  </si>
  <si>
    <t>HP</t>
  </si>
  <si>
    <t>HQ</t>
  </si>
  <si>
    <t>HR</t>
  </si>
  <si>
    <t>Subsequent Tx3 Start Date</t>
  </si>
  <si>
    <t>HS</t>
  </si>
  <si>
    <t>Subsequent Tx3 Finish Date</t>
  </si>
  <si>
    <t>HT</t>
  </si>
  <si>
    <t>HU</t>
  </si>
  <si>
    <t>HV</t>
  </si>
  <si>
    <t>HW</t>
  </si>
  <si>
    <t>Subsequent Tx4 Start Date</t>
  </si>
  <si>
    <t>HX</t>
  </si>
  <si>
    <t>Subsequent Tx4 Finish Date</t>
  </si>
  <si>
    <t>HY</t>
  </si>
  <si>
    <t>HZ</t>
  </si>
  <si>
    <t>IA</t>
  </si>
  <si>
    <t>Subsequent Tx5 Start Date</t>
  </si>
  <si>
    <t>IC</t>
  </si>
  <si>
    <t>Subsequent Tx5 Finish Date</t>
  </si>
  <si>
    <t>ID</t>
  </si>
  <si>
    <t>IE</t>
  </si>
  <si>
    <t>IF</t>
  </si>
  <si>
    <t>IG</t>
  </si>
  <si>
    <t>Subsequent Tx6 Start Date</t>
  </si>
  <si>
    <t>IH</t>
  </si>
  <si>
    <t>Subsequent Tx6 Finish Date</t>
  </si>
  <si>
    <t>II</t>
  </si>
  <si>
    <t>IJ</t>
  </si>
  <si>
    <t>IK</t>
  </si>
  <si>
    <t>IL</t>
  </si>
  <si>
    <t>Subsequent Tx7 Start Date</t>
  </si>
  <si>
    <t>IM</t>
  </si>
  <si>
    <t>Subsequent Tx7 Finish Date</t>
  </si>
  <si>
    <t>IN</t>
  </si>
  <si>
    <t>IO</t>
  </si>
  <si>
    <t>IP</t>
  </si>
  <si>
    <t>IQ</t>
  </si>
  <si>
    <t>Subsequent Tx8 Start Date</t>
  </si>
  <si>
    <t>IR</t>
  </si>
  <si>
    <t>Subsequent Tx8 Finish Date</t>
  </si>
  <si>
    <t>IS</t>
  </si>
  <si>
    <t>IT</t>
  </si>
  <si>
    <t>IU</t>
  </si>
  <si>
    <t>IV</t>
  </si>
  <si>
    <t>Subsequent Tx9 Start Date</t>
  </si>
  <si>
    <t>IW</t>
  </si>
  <si>
    <t>Subsequent Tx9 Finish Date</t>
  </si>
  <si>
    <t>IX</t>
  </si>
  <si>
    <t>IY</t>
  </si>
  <si>
    <t>IZ</t>
  </si>
  <si>
    <t>JA</t>
  </si>
  <si>
    <t>Subsequent Tx10 Start Date</t>
  </si>
  <si>
    <t>JB</t>
  </si>
  <si>
    <t>Subsequent Tx10 Finish Date</t>
  </si>
  <si>
    <t>JC</t>
  </si>
  <si>
    <t>JD</t>
  </si>
  <si>
    <t>JE</t>
  </si>
  <si>
    <t>JF</t>
  </si>
  <si>
    <t>Subsequent Tx11 Start Date</t>
  </si>
  <si>
    <t>JG</t>
  </si>
  <si>
    <t>Subsequent Tx11 Finish Date</t>
  </si>
  <si>
    <t>JH</t>
  </si>
  <si>
    <t>JI</t>
  </si>
  <si>
    <t>JJ</t>
  </si>
  <si>
    <t>JK</t>
  </si>
  <si>
    <t>Subsequent Tx12 Start Date</t>
  </si>
  <si>
    <t>JL</t>
  </si>
  <si>
    <t>Subsequent Tx12 Finish Date</t>
  </si>
  <si>
    <t>JM</t>
  </si>
  <si>
    <t>JN</t>
  </si>
  <si>
    <t>JO</t>
  </si>
  <si>
    <t>JP</t>
  </si>
  <si>
    <t>Subsequent Tx13 Start Date</t>
  </si>
  <si>
    <t>JQ</t>
  </si>
  <si>
    <t>Subsequent Tx13 Finish Date</t>
  </si>
  <si>
    <t>JR</t>
  </si>
  <si>
    <t>JS</t>
  </si>
  <si>
    <t>JT</t>
  </si>
  <si>
    <t>JU</t>
  </si>
  <si>
    <t>Subsequent Tx14 Start Date</t>
  </si>
  <si>
    <t>JV</t>
  </si>
  <si>
    <t>Subsequent Tx14 Finish Date</t>
  </si>
  <si>
    <t>JW</t>
  </si>
  <si>
    <t>JX</t>
  </si>
  <si>
    <t>JY</t>
  </si>
  <si>
    <t>JZ</t>
  </si>
  <si>
    <t>Subsequent Tx15 Start Date</t>
  </si>
  <si>
    <t>KA</t>
  </si>
  <si>
    <t>Subsequent Tx15 Finish Date</t>
  </si>
  <si>
    <t>KB</t>
  </si>
  <si>
    <t>KC</t>
  </si>
  <si>
    <t>KD</t>
  </si>
  <si>
    <t>KE</t>
  </si>
  <si>
    <t>KF</t>
  </si>
  <si>
    <t>KG</t>
  </si>
  <si>
    <t>KH</t>
  </si>
  <si>
    <t>KI</t>
  </si>
  <si>
    <t>Concurrent Medical Conditions</t>
  </si>
  <si>
    <t>KJ</t>
  </si>
  <si>
    <t>KK</t>
  </si>
  <si>
    <t>KL</t>
  </si>
  <si>
    <t>KM</t>
  </si>
  <si>
    <t>TTE Neoadjuvant Tx2 Start Date</t>
  </si>
  <si>
    <t>KN</t>
  </si>
  <si>
    <t>TTE Neoadjuvant Tx2 End Date</t>
  </si>
  <si>
    <t>KO</t>
  </si>
  <si>
    <t>TTE Neoadjuvant Tx3 Start Date</t>
  </si>
  <si>
    <t>KP</t>
  </si>
  <si>
    <t>TTE Neoadjuvant Tx3 End Date</t>
  </si>
  <si>
    <t>KQ</t>
  </si>
  <si>
    <t>TTE Neoadjuvant Tx4 Start Date</t>
  </si>
  <si>
    <t>KR</t>
  </si>
  <si>
    <t>TTE Neoadjuvant Tx4 End Date</t>
  </si>
  <si>
    <t>KS</t>
  </si>
  <si>
    <t>TTE Neoadjuvant Tx5 Start Date</t>
  </si>
  <si>
    <t>KT</t>
  </si>
  <si>
    <t>TTE Neoadjuvant Tx5 End Date</t>
  </si>
  <si>
    <t>KU</t>
  </si>
  <si>
    <t>TTE Neoadjuvant Tx6 Start Date</t>
  </si>
  <si>
    <t>KV</t>
  </si>
  <si>
    <t>TTE Neoadjuvant Tx6 End Date</t>
  </si>
  <si>
    <t>KW</t>
  </si>
  <si>
    <t>TTE Neoadjuvant Tx7 Start Date</t>
  </si>
  <si>
    <t>KX</t>
  </si>
  <si>
    <t>TTE Neoadjuvant Tx7 End Date</t>
  </si>
  <si>
    <t>KY</t>
  </si>
  <si>
    <t>TTE Neoadjuvant Tx8 Start Date</t>
  </si>
  <si>
    <t>KZ</t>
  </si>
  <si>
    <t>TTE Neoadjuvant Tx8 End Date</t>
  </si>
  <si>
    <t>LA</t>
  </si>
  <si>
    <t>TTE Neoadjuvant Tx9 Start Date</t>
  </si>
  <si>
    <t>LB</t>
  </si>
  <si>
    <t>TTE Neoadjuvant Tx9 End Date</t>
  </si>
  <si>
    <t>LC</t>
  </si>
  <si>
    <t>TTE Neoadjuvant Tx10 Start Date</t>
  </si>
  <si>
    <t>LD</t>
  </si>
  <si>
    <t>TTE Neoadjuvant Tx10 End Date</t>
  </si>
  <si>
    <t>LE</t>
  </si>
  <si>
    <t>LF</t>
  </si>
  <si>
    <t>LG</t>
  </si>
  <si>
    <t>LH</t>
  </si>
  <si>
    <t>LI</t>
  </si>
  <si>
    <t>LJ</t>
  </si>
  <si>
    <t>LK</t>
  </si>
  <si>
    <t>LL</t>
  </si>
  <si>
    <t>LM</t>
  </si>
  <si>
    <t>LN</t>
  </si>
  <si>
    <t>LO</t>
  </si>
  <si>
    <t>TTE Adjuvant Tx2 Start Date</t>
  </si>
  <si>
    <t>LP</t>
  </si>
  <si>
    <t>TTE Adjuvant Tx2 End Date</t>
  </si>
  <si>
    <t>LQ</t>
  </si>
  <si>
    <t>TTE Adjuvant Tx3 Start Date</t>
  </si>
  <si>
    <t>LR</t>
  </si>
  <si>
    <t>TTE Adjuvant Tx3 End Date</t>
  </si>
  <si>
    <t>LS</t>
  </si>
  <si>
    <t>TTE Adjuvant Tx4 Start Date</t>
  </si>
  <si>
    <t>LT</t>
  </si>
  <si>
    <t>TTE Adjuvant Tx4 End Date</t>
  </si>
  <si>
    <t>LU</t>
  </si>
  <si>
    <t>TTE Adjuvant Tx5 Start Date</t>
  </si>
  <si>
    <t>LV</t>
  </si>
  <si>
    <t>TTE Adjuvant Tx5 End Date</t>
  </si>
  <si>
    <t>LW</t>
  </si>
  <si>
    <t>TTE Adjuvant Tx6 Start Date</t>
  </si>
  <si>
    <t>LX</t>
  </si>
  <si>
    <t>TTE Adjuvant Tx6 End Date</t>
  </si>
  <si>
    <t>LY</t>
  </si>
  <si>
    <t>TTE Adjuvant Tx7 Start Date</t>
  </si>
  <si>
    <t>LZ</t>
  </si>
  <si>
    <t>TTE Adjuvant Tx7 End Date</t>
  </si>
  <si>
    <t>MA</t>
  </si>
  <si>
    <t>TTE Adjuvant Tx8 Start Date</t>
  </si>
  <si>
    <t>MB</t>
  </si>
  <si>
    <t>TTE Adjuvant Tx8 End Date</t>
  </si>
  <si>
    <t>MC</t>
  </si>
  <si>
    <t>TTE Adjuvant Tx9 Start Date</t>
  </si>
  <si>
    <t>MD</t>
  </si>
  <si>
    <t>TTE Adjuvant Tx9 End Date</t>
  </si>
  <si>
    <t>ME</t>
  </si>
  <si>
    <t>TTE Adjuvant Tx10 Start Date</t>
  </si>
  <si>
    <t>MF</t>
  </si>
  <si>
    <t>TTE Adjuvant Tx10 End Date</t>
  </si>
  <si>
    <t>MG</t>
  </si>
  <si>
    <t>TTE Adjuvant Tx11 Start Date</t>
  </si>
  <si>
    <t>MH</t>
  </si>
  <si>
    <t>TTE Adjuvant Tx11 End Date</t>
  </si>
  <si>
    <t>MI</t>
  </si>
  <si>
    <t>TTE Adjuvant Tx12 Start Date</t>
  </si>
  <si>
    <t>MJ</t>
  </si>
  <si>
    <t>TTE Adjuvant Tx12 End Date</t>
  </si>
  <si>
    <t>MK</t>
  </si>
  <si>
    <t>TTE Adjuvant Tx13 Start Date</t>
  </si>
  <si>
    <t>ML</t>
  </si>
  <si>
    <t>TTE Adjuvant Tx13 End Date</t>
  </si>
  <si>
    <t>MM</t>
  </si>
  <si>
    <t>TTE Adjuvant Tx14 Start Date</t>
  </si>
  <si>
    <t>MN</t>
  </si>
  <si>
    <t>TTE Adjuvant Tx14 End Date</t>
  </si>
  <si>
    <t>MO</t>
  </si>
  <si>
    <t>TTE Adjuvant Tx15 Start Date</t>
  </si>
  <si>
    <t>MP</t>
  </si>
  <si>
    <t>TTE Adjuvant Tx15 End Date</t>
  </si>
  <si>
    <t>MQ</t>
  </si>
  <si>
    <t>TTE Date recurrence/ progression 2</t>
  </si>
  <si>
    <t>MS</t>
  </si>
  <si>
    <t>TTE Date recurrence/ progression 3</t>
  </si>
  <si>
    <t>MT</t>
  </si>
  <si>
    <t>TTE Date recurrence/ progression 4</t>
  </si>
  <si>
    <t>MU</t>
  </si>
  <si>
    <t>TTE Date recurrence/ progression 5</t>
  </si>
  <si>
    <t>MV</t>
  </si>
  <si>
    <t>TTE Date recurrence/ progression 6</t>
  </si>
  <si>
    <t>MW</t>
  </si>
  <si>
    <t>TTE Date recurrence/ progression 7</t>
  </si>
  <si>
    <t>MX</t>
  </si>
  <si>
    <t>TTE Date recurrence/ progression 8</t>
  </si>
  <si>
    <t>MY</t>
  </si>
  <si>
    <t>TTE Date recurrence/ progression 9</t>
  </si>
  <si>
    <t>MZ</t>
  </si>
  <si>
    <t>TTE Date recurrence/ progression 10</t>
  </si>
  <si>
    <t>NA</t>
  </si>
  <si>
    <t>TTE Date recurrence/ progression 11</t>
  </si>
  <si>
    <t>NB</t>
  </si>
  <si>
    <t>TTE Date recurrence/ progression 12</t>
  </si>
  <si>
    <t>NC</t>
  </si>
  <si>
    <t>TTE Date recurrence/ progression 13</t>
  </si>
  <si>
    <t>ND</t>
  </si>
  <si>
    <t>TTE Date recurrence/ progression 14</t>
  </si>
  <si>
    <t>NE</t>
  </si>
  <si>
    <t>TTE Date recurrence/ progression 15</t>
  </si>
  <si>
    <t>NF</t>
  </si>
  <si>
    <t>NG</t>
  </si>
  <si>
    <t>TTE Subsequent Tx1 Finish Date</t>
  </si>
  <si>
    <t>NH</t>
  </si>
  <si>
    <t>TTE Subsequent Tx2 Start Date</t>
  </si>
  <si>
    <t>NI</t>
  </si>
  <si>
    <t>TTE Subsequent Tx2 Finish Date</t>
  </si>
  <si>
    <t>NJ</t>
  </si>
  <si>
    <t>TTE Subsequent Tx3 Start Date</t>
  </si>
  <si>
    <t>NK</t>
  </si>
  <si>
    <t>TTE Subsequent Tx3 Finish Date</t>
  </si>
  <si>
    <t>NL</t>
  </si>
  <si>
    <t>TTE Subsequent Tx4 Start Date</t>
  </si>
  <si>
    <t>NM</t>
  </si>
  <si>
    <t>TTE Subsequent Tx4 Finish Date</t>
  </si>
  <si>
    <t>NN</t>
  </si>
  <si>
    <t>TTE Subsequent Tx5 Start Date</t>
  </si>
  <si>
    <t>NO</t>
  </si>
  <si>
    <t>TTE Subsequent Tx5 Finish Date</t>
  </si>
  <si>
    <t>NP</t>
  </si>
  <si>
    <t>TTE Subsequent Tx6 Start Date</t>
  </si>
  <si>
    <t>NQ</t>
  </si>
  <si>
    <t>TTE Subsequent Tx6 Finish Date</t>
  </si>
  <si>
    <t>TTE Subsequent Tx7 Start Date</t>
  </si>
  <si>
    <t>NS</t>
  </si>
  <si>
    <t>TTE Subsequent Tx7 Finish Date</t>
  </si>
  <si>
    <t>NT</t>
  </si>
  <si>
    <t>TTE Subsequent Tx8 Start Date</t>
  </si>
  <si>
    <t>NU</t>
  </si>
  <si>
    <t>TTE Subsequent Tx8 Finish Date</t>
  </si>
  <si>
    <t>NV</t>
  </si>
  <si>
    <t>TTE Subsequent Tx9 Start Date</t>
  </si>
  <si>
    <t>NW</t>
  </si>
  <si>
    <t>TTE Subsequent Tx9 Finish Date</t>
  </si>
  <si>
    <t>NX</t>
  </si>
  <si>
    <t>TTE Subsequent Tx10 Start Date</t>
  </si>
  <si>
    <t>NY</t>
  </si>
  <si>
    <t>TTE Subsequent Tx10 Finish Date</t>
  </si>
  <si>
    <t>NZ</t>
  </si>
  <si>
    <t>TTE Subsequent Tx11 Start Date</t>
  </si>
  <si>
    <t>OA</t>
  </si>
  <si>
    <t>TTE Subsequent Tx11 Finish Date</t>
  </si>
  <si>
    <t>OB</t>
  </si>
  <si>
    <t>TTE Subsequent Tx12 Start Date</t>
  </si>
  <si>
    <t>OC</t>
  </si>
  <si>
    <t>TTE Subsequent Tx12 Finish Date</t>
  </si>
  <si>
    <t>OD</t>
  </si>
  <si>
    <t>TTE Subsequent Tx13 Start Date</t>
  </si>
  <si>
    <t>OE</t>
  </si>
  <si>
    <t>TTE Subsequent Tx13 Finish Date</t>
  </si>
  <si>
    <t>OF</t>
  </si>
  <si>
    <t>TTE Subsequent Tx14 Start Date</t>
  </si>
  <si>
    <t>OG</t>
  </si>
  <si>
    <t>TTE Subsequent Tx14 Finish Date</t>
  </si>
  <si>
    <t>OH</t>
  </si>
  <si>
    <t>TTE Subsequent Tx15 Start Date</t>
  </si>
  <si>
    <t>OI</t>
  </si>
  <si>
    <t>TTE Subsequent Tx15 Finish Date</t>
  </si>
  <si>
    <t>OJ</t>
  </si>
  <si>
    <t>OK</t>
  </si>
  <si>
    <t>OL</t>
  </si>
  <si>
    <t>OM</t>
  </si>
  <si>
    <t>ON</t>
  </si>
  <si>
    <t>OO</t>
  </si>
  <si>
    <t>OP</t>
  </si>
  <si>
    <t>OQ</t>
  </si>
  <si>
    <t>OR</t>
  </si>
  <si>
    <t>OT</t>
  </si>
  <si>
    <t>Row Number</t>
  </si>
  <si>
    <t>NHS Number</t>
  </si>
  <si>
    <t>TTE Error Reasoning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</si>
</sst>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;@"/>
    <numFmt numFmtId="165" formatCode="[$-809]dd\ mmmm\ yyyy;@"/>
    <numFmt numFmtId="166" formatCode="[$-409]mmm\-yy;@"/>
  </numFmts>
  <fonts count="20" x14ac:knownFonts="1">
    <font>
      <sz val="10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0"/>
      <color rgb="FF000000"/>
      <name val="Calibri"/>
      <family val="2"/>
    </font>
    <font>
      <b/>
      <sz val="14"/>
      <color rgb="FFFF0000"/>
      <name val="Calibri"/>
      <family val="2"/>
    </font>
    <font>
      <sz val="10"/>
      <color theme="1"/>
      <name val="Calibri"/>
      <family val="2"/>
    </font>
    <font>
      <b/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color rgb="FF000000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u/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sz val="12"/>
      <color rgb="FF000000"/>
      <name val="Calibri Light"/>
      <family val="2"/>
      <scheme val="major"/>
    </font>
    <font>
      <sz val="10"/>
      <color rgb="FF000000"/>
      <name val="Calibri"/>
      <family val="2"/>
      <scheme val="minor"/>
    </font>
    <font>
      <b/>
      <sz val="10"/>
      <color theme="0"/>
      <name val="Calibri"/>
      <family val="2"/>
    </font>
    <font>
      <sz val="11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8AD8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CB9CA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92D050"/>
        <bgColor indexed="64"/>
      </patternFill>
    </fill>
  </fills>
  <borders count="19">
    <border>
      <left/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82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164" fontId="7" fillId="4" borderId="1" xfId="1" applyNumberFormat="1" applyFont="1" applyFill="1" applyBorder="1" applyAlignment="1">
      <alignment horizontal="center" vertical="center" wrapText="1"/>
    </xf>
    <xf numFmtId="164" fontId="8" fillId="4" borderId="1" xfId="1" applyNumberFormat="1" applyFont="1" applyFill="1" applyBorder="1" applyAlignment="1">
      <alignment horizontal="center" vertical="center" wrapText="1"/>
    </xf>
    <xf numFmtId="165" fontId="8" fillId="4" borderId="1" xfId="1" applyNumberFormat="1" applyFont="1" applyFill="1" applyBorder="1" applyAlignment="1">
      <alignment horizontal="center" vertical="center" wrapText="1"/>
    </xf>
    <xf numFmtId="164" fontId="8" fillId="4" borderId="2" xfId="1" applyNumberFormat="1" applyFont="1" applyFill="1" applyBorder="1" applyAlignment="1">
      <alignment horizontal="center" vertical="center" wrapText="1"/>
    </xf>
    <xf numFmtId="166" fontId="7" fillId="4" borderId="7" xfId="1" applyNumberFormat="1" applyFont="1" applyFill="1" applyBorder="1" applyAlignment="1">
      <alignment horizontal="center" vertical="center" wrapText="1"/>
    </xf>
    <xf numFmtId="164" fontId="7" fillId="4" borderId="7" xfId="1" applyNumberFormat="1" applyFont="1" applyFill="1" applyBorder="1" applyAlignment="1">
      <alignment horizontal="center" vertical="center" wrapText="1"/>
    </xf>
    <xf numFmtId="165" fontId="8" fillId="4" borderId="3" xfId="1" applyNumberFormat="1" applyFont="1" applyFill="1" applyBorder="1" applyAlignment="1">
      <alignment horizontal="center" vertical="center" wrapText="1"/>
    </xf>
    <xf numFmtId="165" fontId="8" fillId="4" borderId="4" xfId="1" applyNumberFormat="1" applyFont="1" applyFill="1" applyBorder="1" applyAlignment="1">
      <alignment horizontal="center" vertical="center" wrapText="1"/>
    </xf>
    <xf numFmtId="0" fontId="8" fillId="4" borderId="4" xfId="1" applyFont="1" applyFill="1" applyBorder="1" applyAlignment="1">
      <alignment horizontal="center" vertical="center" wrapText="1"/>
    </xf>
    <xf numFmtId="164" fontId="8" fillId="4" borderId="7" xfId="1" applyNumberFormat="1" applyFont="1" applyFill="1" applyBorder="1" applyAlignment="1">
      <alignment horizontal="center" vertical="center" wrapText="1"/>
    </xf>
    <xf numFmtId="164" fontId="8" fillId="4" borderId="4" xfId="1" applyNumberFormat="1" applyFont="1" applyFill="1" applyBorder="1" applyAlignment="1">
      <alignment horizontal="center" vertical="center" wrapText="1"/>
    </xf>
    <xf numFmtId="0" fontId="8" fillId="4" borderId="7" xfId="1" applyFont="1" applyFill="1" applyBorder="1" applyAlignment="1">
      <alignment horizontal="center" vertical="center" wrapText="1"/>
    </xf>
    <xf numFmtId="164" fontId="8" fillId="4" borderId="8" xfId="1" applyNumberFormat="1" applyFont="1" applyFill="1" applyBorder="1" applyAlignment="1">
      <alignment horizontal="center" vertical="center" wrapText="1"/>
    </xf>
    <xf numFmtId="164" fontId="8" fillId="4" borderId="3" xfId="1" applyNumberFormat="1" applyFont="1" applyFill="1" applyBorder="1" applyAlignment="1">
      <alignment horizontal="center" vertical="center" wrapText="1"/>
    </xf>
    <xf numFmtId="164" fontId="8" fillId="5" borderId="4" xfId="1" applyNumberFormat="1" applyFont="1" applyFill="1" applyBorder="1" applyAlignment="1">
      <alignment horizontal="center" vertical="center" wrapText="1"/>
    </xf>
    <xf numFmtId="0" fontId="8" fillId="5" borderId="7" xfId="1" applyFont="1" applyFill="1" applyBorder="1" applyAlignment="1">
      <alignment horizontal="center" vertical="center" wrapText="1"/>
    </xf>
    <xf numFmtId="165" fontId="8" fillId="5" borderId="7" xfId="1" applyNumberFormat="1" applyFont="1" applyFill="1" applyBorder="1" applyAlignment="1">
      <alignment horizontal="center" vertical="center" wrapText="1"/>
    </xf>
    <xf numFmtId="0" fontId="8" fillId="3" borderId="7" xfId="1" applyFont="1" applyFill="1" applyBorder="1" applyAlignment="1">
      <alignment horizontal="center" vertical="center" wrapText="1"/>
    </xf>
    <xf numFmtId="165" fontId="8" fillId="3" borderId="7" xfId="1" applyNumberFormat="1" applyFont="1" applyFill="1" applyBorder="1" applyAlignment="1">
      <alignment horizontal="center" vertical="center" wrapText="1"/>
    </xf>
    <xf numFmtId="0" fontId="8" fillId="3" borderId="4" xfId="1" applyFont="1" applyFill="1" applyBorder="1" applyAlignment="1">
      <alignment horizontal="center" vertical="center" wrapText="1"/>
    </xf>
    <xf numFmtId="165" fontId="7" fillId="2" borderId="7" xfId="1" applyNumberFormat="1" applyFont="1" applyFill="1" applyBorder="1" applyAlignment="1">
      <alignment horizontal="center" vertical="center" wrapText="1"/>
    </xf>
    <xf numFmtId="164" fontId="7" fillId="2" borderId="7" xfId="1" applyNumberFormat="1" applyFont="1" applyFill="1" applyBorder="1" applyAlignment="1">
      <alignment horizontal="center" vertical="center" wrapText="1"/>
    </xf>
    <xf numFmtId="0" fontId="8" fillId="9" borderId="7" xfId="1" applyFont="1" applyFill="1" applyBorder="1" applyAlignment="1">
      <alignment horizontal="center" vertical="center" wrapText="1"/>
    </xf>
    <xf numFmtId="165" fontId="8" fillId="9" borderId="7" xfId="1" applyNumberFormat="1" applyFont="1" applyFill="1" applyBorder="1" applyAlignment="1">
      <alignment horizontal="center" vertical="center" wrapText="1"/>
    </xf>
    <xf numFmtId="165" fontId="8" fillId="9" borderId="7" xfId="1" quotePrefix="1" applyNumberFormat="1" applyFont="1" applyFill="1" applyBorder="1" applyAlignment="1">
      <alignment horizontal="center" vertical="center" wrapText="1"/>
    </xf>
    <xf numFmtId="0" fontId="8" fillId="9" borderId="7" xfId="1" quotePrefix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165" fontId="8" fillId="3" borderId="2" xfId="1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8" fillId="3" borderId="2" xfId="1" applyFont="1" applyFill="1" applyBorder="1" applyAlignment="1">
      <alignment horizontal="center" vertical="center" wrapText="1"/>
    </xf>
    <xf numFmtId="0" fontId="8" fillId="3" borderId="5" xfId="1" applyFont="1" applyFill="1" applyBorder="1" applyAlignment="1">
      <alignment horizontal="center" vertical="center" wrapText="1"/>
    </xf>
    <xf numFmtId="164" fontId="7" fillId="8" borderId="7" xfId="2" applyNumberFormat="1" applyFont="1" applyFill="1" applyBorder="1" applyAlignment="1">
      <alignment horizontal="center" vertical="center" wrapText="1"/>
    </xf>
    <xf numFmtId="0" fontId="9" fillId="10" borderId="6" xfId="0" applyFont="1" applyFill="1" applyBorder="1" applyAlignment="1">
      <alignment horizontal="center" vertical="center" wrapText="1"/>
    </xf>
    <xf numFmtId="164" fontId="7" fillId="6" borderId="4" xfId="0" applyNumberFormat="1" applyFont="1" applyFill="1" applyBorder="1" applyAlignment="1">
      <alignment horizontal="center" vertical="center" wrapText="1"/>
    </xf>
    <xf numFmtId="164" fontId="7" fillId="7" borderId="4" xfId="0" applyNumberFormat="1" applyFont="1" applyFill="1" applyBorder="1" applyAlignment="1">
      <alignment horizontal="center" vertical="center" wrapText="1"/>
    </xf>
    <xf numFmtId="164" fontId="7" fillId="5" borderId="4" xfId="1" applyNumberFormat="1" applyFont="1" applyFill="1" applyBorder="1" applyAlignment="1">
      <alignment horizontal="center" vertical="center" wrapText="1"/>
    </xf>
    <xf numFmtId="164" fontId="7" fillId="5" borderId="1" xfId="1" applyNumberFormat="1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  <xf numFmtId="0" fontId="12" fillId="0" borderId="7" xfId="0" applyFont="1" applyBorder="1"/>
    <xf numFmtId="0" fontId="4" fillId="0" borderId="7" xfId="0" applyFont="1" applyBorder="1"/>
    <xf numFmtId="0" fontId="12" fillId="0" borderId="0" xfId="0" applyFont="1"/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2" fillId="0" borderId="9" xfId="0" applyFont="1" applyBorder="1"/>
    <xf numFmtId="0" fontId="10" fillId="0" borderId="0" xfId="0" quotePrefix="1" applyFont="1"/>
    <xf numFmtId="0" fontId="16" fillId="0" borderId="0" xfId="0" applyFont="1"/>
    <xf numFmtId="0" fontId="12" fillId="0" borderId="2" xfId="0" applyFont="1" applyBorder="1"/>
    <xf numFmtId="0" fontId="9" fillId="10" borderId="4" xfId="0" applyFont="1" applyFill="1" applyBorder="1" applyAlignment="1">
      <alignment horizontal="center" vertical="center" wrapText="1"/>
    </xf>
    <xf numFmtId="0" fontId="14" fillId="0" borderId="7" xfId="1" applyFont="1" applyBorder="1" applyAlignment="1">
      <alignment horizontal="left"/>
    </xf>
    <xf numFmtId="0" fontId="10" fillId="0" borderId="7" xfId="0" quotePrefix="1" applyFont="1" applyBorder="1"/>
    <xf numFmtId="0" fontId="14" fillId="0" borderId="7" xfId="0" applyFont="1" applyBorder="1"/>
    <xf numFmtId="0" fontId="10" fillId="0" borderId="7" xfId="1" quotePrefix="1" applyFont="1" applyBorder="1" applyAlignment="1">
      <alignment horizontal="left"/>
    </xf>
    <xf numFmtId="0" fontId="15" fillId="0" borderId="7" xfId="0" applyFont="1" applyBorder="1"/>
    <xf numFmtId="165" fontId="6" fillId="0" borderId="0" xfId="0" applyNumberFormat="1" applyFont="1" applyAlignment="1">
      <alignment wrapText="1"/>
    </xf>
    <xf numFmtId="1" fontId="6" fillId="0" borderId="0" xfId="0" applyNumberFormat="1" applyFont="1" applyAlignment="1">
      <alignment wrapText="1"/>
    </xf>
    <xf numFmtId="0" fontId="4" fillId="0" borderId="0" xfId="0" applyFont="1" applyAlignment="1">
      <alignment horizontal="left"/>
    </xf>
    <xf numFmtId="165" fontId="6" fillId="0" borderId="0" xfId="0" applyNumberFormat="1" applyFont="1" applyAlignment="1">
      <alignment horizontal="left" wrapText="1"/>
    </xf>
    <xf numFmtId="0" fontId="4" fillId="0" borderId="7" xfId="0" applyFont="1" applyBorder="1" applyProtection="1">
      <protection locked="0"/>
    </xf>
    <xf numFmtId="0" fontId="4" fillId="0" borderId="7" xfId="0" applyFont="1" applyBorder="1" applyAlignment="1" applyProtection="1">
      <alignment horizontal="left"/>
      <protection locked="0"/>
    </xf>
    <xf numFmtId="0" fontId="4" fillId="12" borderId="7" xfId="0" applyFont="1" applyFill="1" applyBorder="1" applyAlignment="1">
      <alignment wrapText="1"/>
    </xf>
    <xf numFmtId="164" fontId="4" fillId="12" borderId="7" xfId="0" applyNumberFormat="1" applyFont="1" applyFill="1" applyBorder="1" applyAlignment="1">
      <alignment wrapText="1"/>
    </xf>
    <xf numFmtId="0" fontId="7" fillId="11" borderId="1" xfId="0" applyFont="1" applyFill="1" applyBorder="1" applyAlignment="1">
      <alignment horizontal="center" vertical="center" wrapText="1"/>
    </xf>
    <xf numFmtId="0" fontId="8" fillId="11" borderId="1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8" fillId="11" borderId="10" xfId="0" applyFont="1" applyFill="1" applyBorder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 wrapText="1"/>
    </xf>
    <xf numFmtId="0" fontId="1" fillId="0" borderId="7" xfId="0" applyFont="1" applyBorder="1"/>
    <xf numFmtId="0" fontId="1" fillId="0" borderId="12" xfId="0" applyFont="1" applyBorder="1"/>
    <xf numFmtId="0" fontId="1" fillId="0" borderId="0" xfId="0" applyFont="1" applyAlignment="1">
      <alignment wrapText="1"/>
    </xf>
    <xf numFmtId="165" fontId="1" fillId="0" borderId="0" xfId="0" applyNumberFormat="1" applyFont="1" applyAlignment="1">
      <alignment wrapText="1"/>
    </xf>
    <xf numFmtId="165" fontId="1" fillId="0" borderId="0" xfId="0" applyNumberFormat="1" applyFont="1" applyAlignment="1">
      <alignment horizontal="left" wrapText="1"/>
    </xf>
    <xf numFmtId="1" fontId="1" fillId="0" borderId="0" xfId="0" applyNumberFormat="1" applyFont="1" applyAlignment="1">
      <alignment wrapText="1"/>
    </xf>
    <xf numFmtId="0" fontId="1" fillId="0" borderId="7" xfId="0" applyFont="1" applyBorder="1" applyAlignment="1">
      <alignment wrapText="1"/>
    </xf>
    <xf numFmtId="165" fontId="1" fillId="0" borderId="7" xfId="0" applyNumberFormat="1" applyFont="1" applyBorder="1" applyAlignment="1">
      <alignment wrapText="1"/>
    </xf>
    <xf numFmtId="0" fontId="1" fillId="12" borderId="7" xfId="0" applyFont="1" applyFill="1" applyBorder="1" applyAlignment="1">
      <alignment wrapText="1"/>
    </xf>
    <xf numFmtId="165" fontId="1" fillId="12" borderId="7" xfId="0" applyNumberFormat="1" applyFont="1" applyFill="1" applyBorder="1" applyAlignment="1">
      <alignment wrapText="1"/>
    </xf>
    <xf numFmtId="0" fontId="1" fillId="0" borderId="11" xfId="0" applyFont="1" applyBorder="1" applyAlignment="1">
      <alignment wrapText="1"/>
    </xf>
    <xf numFmtId="1" fontId="1" fillId="12" borderId="8" xfId="0" applyNumberFormat="1" applyFont="1" applyFill="1" applyBorder="1" applyAlignment="1">
      <alignment wrapText="1"/>
    </xf>
    <xf numFmtId="0" fontId="1" fillId="12" borderId="8" xfId="0" applyFont="1" applyFill="1" applyBorder="1" applyAlignment="1">
      <alignment wrapText="1"/>
    </xf>
    <xf numFmtId="0" fontId="1" fillId="0" borderId="9" xfId="0" applyFont="1" applyBorder="1"/>
    <xf numFmtId="164" fontId="7" fillId="6" borderId="6" xfId="0" applyNumberFormat="1" applyFont="1" applyFill="1" applyBorder="1" applyAlignment="1">
      <alignment horizontal="center" vertical="center" wrapText="1"/>
    </xf>
    <xf numFmtId="0" fontId="4" fillId="0" borderId="10" xfId="0" applyFont="1" applyBorder="1" applyAlignment="1">
      <alignment wrapText="1"/>
    </xf>
    <xf numFmtId="165" fontId="1" fillId="0" borderId="10" xfId="0" applyNumberFormat="1" applyFont="1" applyBorder="1" applyAlignment="1">
      <alignment wrapText="1"/>
    </xf>
    <xf numFmtId="0" fontId="1" fillId="0" borderId="10" xfId="0" applyFont="1" applyBorder="1" applyAlignment="1">
      <alignment wrapText="1"/>
    </xf>
    <xf numFmtId="164" fontId="7" fillId="4" borderId="13" xfId="1" applyNumberFormat="1" applyFont="1" applyFill="1" applyBorder="1" applyAlignment="1">
      <alignment horizontal="center" vertical="center" wrapText="1"/>
    </xf>
    <xf numFmtId="164" fontId="7" fillId="4" borderId="5" xfId="1" applyNumberFormat="1" applyFont="1" applyFill="1" applyBorder="1" applyAlignment="1">
      <alignment horizontal="center" vertical="center" wrapText="1"/>
    </xf>
    <xf numFmtId="164" fontId="8" fillId="4" borderId="5" xfId="1" applyNumberFormat="1" applyFont="1" applyFill="1" applyBorder="1" applyAlignment="1">
      <alignment horizontal="center" vertical="center" wrapText="1"/>
    </xf>
    <xf numFmtId="165" fontId="8" fillId="4" borderId="5" xfId="1" applyNumberFormat="1" applyFont="1" applyFill="1" applyBorder="1" applyAlignment="1">
      <alignment horizontal="center" vertical="center" wrapText="1"/>
    </xf>
    <xf numFmtId="166" fontId="7" fillId="4" borderId="10" xfId="1" applyNumberFormat="1" applyFont="1" applyFill="1" applyBorder="1" applyAlignment="1">
      <alignment horizontal="center" vertical="center" wrapText="1"/>
    </xf>
    <xf numFmtId="165" fontId="7" fillId="4" borderId="10" xfId="1" applyNumberFormat="1" applyFont="1" applyFill="1" applyBorder="1" applyAlignment="1">
      <alignment horizontal="center" vertical="center" wrapText="1"/>
    </xf>
    <xf numFmtId="164" fontId="7" fillId="4" borderId="14" xfId="1" applyNumberFormat="1" applyFont="1" applyFill="1" applyBorder="1" applyAlignment="1">
      <alignment horizontal="center" vertical="center" wrapText="1"/>
    </xf>
    <xf numFmtId="165" fontId="8" fillId="4" borderId="5" xfId="1" applyNumberFormat="1" applyFont="1" applyFill="1" applyBorder="1" applyAlignment="1">
      <alignment horizontal="left" vertical="center" wrapText="1"/>
    </xf>
    <xf numFmtId="165" fontId="8" fillId="4" borderId="10" xfId="1" applyNumberFormat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164" fontId="8" fillId="4" borderId="10" xfId="1" applyNumberFormat="1" applyFont="1" applyFill="1" applyBorder="1" applyAlignment="1">
      <alignment horizontal="center" vertical="center" wrapText="1"/>
    </xf>
    <xf numFmtId="164" fontId="8" fillId="4" borderId="14" xfId="1" applyNumberFormat="1" applyFont="1" applyFill="1" applyBorder="1" applyAlignment="1">
      <alignment horizontal="center" vertical="center" wrapText="1"/>
    </xf>
    <xf numFmtId="164" fontId="8" fillId="5" borderId="10" xfId="1" applyNumberFormat="1" applyFont="1" applyFill="1" applyBorder="1" applyAlignment="1">
      <alignment horizontal="center" vertical="center" wrapText="1"/>
    </xf>
    <xf numFmtId="1" fontId="8" fillId="5" borderId="10" xfId="1" applyNumberFormat="1" applyFont="1" applyFill="1" applyBorder="1" applyAlignment="1">
      <alignment horizontal="center" vertical="center" wrapText="1"/>
    </xf>
    <xf numFmtId="0" fontId="8" fillId="5" borderId="10" xfId="1" applyFont="1" applyFill="1" applyBorder="1" applyAlignment="1">
      <alignment horizontal="center" vertical="center" wrapText="1"/>
    </xf>
    <xf numFmtId="165" fontId="8" fillId="5" borderId="10" xfId="1" applyNumberFormat="1" applyFont="1" applyFill="1" applyBorder="1" applyAlignment="1">
      <alignment horizontal="center" vertical="center" wrapText="1"/>
    </xf>
    <xf numFmtId="0" fontId="8" fillId="3" borderId="10" xfId="1" applyFont="1" applyFill="1" applyBorder="1" applyAlignment="1">
      <alignment horizontal="center" vertical="center" wrapText="1"/>
    </xf>
    <xf numFmtId="165" fontId="8" fillId="3" borderId="10" xfId="1" applyNumberFormat="1" applyFont="1" applyFill="1" applyBorder="1" applyAlignment="1">
      <alignment horizontal="center" vertical="center" wrapText="1"/>
    </xf>
    <xf numFmtId="165" fontId="7" fillId="2" borderId="10" xfId="1" applyNumberFormat="1" applyFont="1" applyFill="1" applyBorder="1" applyAlignment="1">
      <alignment horizontal="center" vertical="center" wrapText="1"/>
    </xf>
    <xf numFmtId="164" fontId="7" fillId="2" borderId="10" xfId="1" applyNumberFormat="1" applyFont="1" applyFill="1" applyBorder="1" applyAlignment="1">
      <alignment horizontal="center" vertical="center" wrapText="1"/>
    </xf>
    <xf numFmtId="0" fontId="8" fillId="9" borderId="10" xfId="1" applyFont="1" applyFill="1" applyBorder="1" applyAlignment="1">
      <alignment horizontal="center" vertical="center" wrapText="1"/>
    </xf>
    <xf numFmtId="165" fontId="8" fillId="9" borderId="10" xfId="1" applyNumberFormat="1" applyFont="1" applyFill="1" applyBorder="1" applyAlignment="1">
      <alignment horizontal="center" vertical="center" wrapText="1"/>
    </xf>
    <xf numFmtId="0" fontId="8" fillId="3" borderId="14" xfId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0" fontId="7" fillId="3" borderId="5" xfId="1" applyFont="1" applyFill="1" applyBorder="1" applyAlignment="1">
      <alignment horizontal="center" vertical="center" wrapText="1"/>
    </xf>
    <xf numFmtId="164" fontId="7" fillId="8" borderId="10" xfId="2" applyNumberFormat="1" applyFont="1" applyFill="1" applyBorder="1" applyAlignment="1">
      <alignment horizontal="center" vertical="center" wrapText="1"/>
    </xf>
    <xf numFmtId="0" fontId="18" fillId="10" borderId="10" xfId="0" applyFont="1" applyFill="1" applyBorder="1" applyAlignment="1">
      <alignment horizontal="center" vertical="center" wrapText="1"/>
    </xf>
    <xf numFmtId="164" fontId="7" fillId="6" borderId="10" xfId="0" applyNumberFormat="1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 wrapText="1"/>
    </xf>
    <xf numFmtId="164" fontId="7" fillId="5" borderId="10" xfId="1" applyNumberFormat="1" applyFont="1" applyFill="1" applyBorder="1" applyAlignment="1">
      <alignment horizontal="center" vertical="center" wrapText="1"/>
    </xf>
    <xf numFmtId="0" fontId="4" fillId="12" borderId="10" xfId="0" applyFont="1" applyFill="1" applyBorder="1" applyAlignment="1">
      <alignment horizontal="left"/>
    </xf>
    <xf numFmtId="49" fontId="4" fillId="12" borderId="10" xfId="0" applyNumberFormat="1" applyFont="1" applyFill="1" applyBorder="1" applyAlignment="1">
      <alignment horizontal="left"/>
    </xf>
    <xf numFmtId="165" fontId="4" fillId="12" borderId="10" xfId="0" applyNumberFormat="1" applyFont="1" applyFill="1" applyBorder="1" applyAlignment="1">
      <alignment horizontal="left"/>
    </xf>
    <xf numFmtId="0" fontId="4" fillId="12" borderId="10" xfId="0" applyFont="1" applyFill="1" applyBorder="1" applyAlignment="1">
      <alignment wrapText="1"/>
    </xf>
    <xf numFmtId="0" fontId="4" fillId="12" borderId="10" xfId="0" applyFont="1" applyFill="1" applyBorder="1"/>
    <xf numFmtId="0" fontId="1" fillId="12" borderId="10" xfId="0" applyFont="1" applyFill="1" applyBorder="1" applyAlignment="1">
      <alignment wrapText="1"/>
    </xf>
    <xf numFmtId="0" fontId="1" fillId="12" borderId="10" xfId="0" applyFont="1" applyFill="1" applyBorder="1"/>
    <xf numFmtId="165" fontId="1" fillId="12" borderId="10" xfId="0" applyNumberFormat="1" applyFont="1" applyFill="1" applyBorder="1" applyAlignment="1">
      <alignment wrapText="1"/>
    </xf>
    <xf numFmtId="0" fontId="4" fillId="0" borderId="10" xfId="0" applyFont="1" applyBorder="1" applyAlignment="1">
      <alignment horizontal="left" wrapText="1"/>
    </xf>
    <xf numFmtId="1" fontId="1" fillId="12" borderId="10" xfId="0" applyNumberFormat="1" applyFont="1" applyFill="1" applyBorder="1" applyAlignment="1">
      <alignment wrapText="1"/>
    </xf>
    <xf numFmtId="164" fontId="4" fillId="12" borderId="10" xfId="0" applyNumberFormat="1" applyFont="1" applyFill="1" applyBorder="1" applyAlignment="1">
      <alignment wrapText="1"/>
    </xf>
    <xf numFmtId="164" fontId="4" fillId="0" borderId="10" xfId="0" applyNumberFormat="1" applyFont="1" applyBorder="1" applyAlignment="1">
      <alignment wrapText="1"/>
    </xf>
    <xf numFmtId="1" fontId="1" fillId="0" borderId="10" xfId="0" applyNumberFormat="1" applyFont="1" applyBorder="1" applyAlignment="1">
      <alignment wrapText="1"/>
    </xf>
    <xf numFmtId="164" fontId="7" fillId="5" borderId="16" xfId="1" applyNumberFormat="1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wrapText="1"/>
    </xf>
    <xf numFmtId="0" fontId="1" fillId="12" borderId="12" xfId="0" applyFont="1" applyFill="1" applyBorder="1" applyAlignment="1">
      <alignment wrapText="1"/>
    </xf>
    <xf numFmtId="165" fontId="1" fillId="12" borderId="12" xfId="0" applyNumberFormat="1" applyFont="1" applyFill="1" applyBorder="1" applyAlignment="1">
      <alignment wrapText="1"/>
    </xf>
    <xf numFmtId="164" fontId="4" fillId="12" borderId="12" xfId="0" applyNumberFormat="1" applyFont="1" applyFill="1" applyBorder="1" applyAlignment="1">
      <alignment wrapText="1"/>
    </xf>
    <xf numFmtId="0" fontId="4" fillId="0" borderId="15" xfId="0" applyFont="1" applyBorder="1"/>
    <xf numFmtId="0" fontId="4" fillId="0" borderId="10" xfId="0" applyFont="1" applyBorder="1" applyAlignment="1">
      <alignment horizontal="left"/>
    </xf>
    <xf numFmtId="0" fontId="1" fillId="0" borderId="10" xfId="0" applyFont="1" applyBorder="1"/>
    <xf numFmtId="0" fontId="1" fillId="0" borderId="12" xfId="0" applyFont="1" applyBorder="1" applyAlignment="1">
      <alignment wrapText="1"/>
    </xf>
    <xf numFmtId="0" fontId="4" fillId="0" borderId="12" xfId="0" applyFont="1" applyBorder="1" applyAlignment="1">
      <alignment wrapText="1"/>
    </xf>
    <xf numFmtId="0" fontId="4" fillId="0" borderId="8" xfId="0" applyFont="1" applyBorder="1" applyAlignment="1">
      <alignment wrapText="1"/>
    </xf>
    <xf numFmtId="165" fontId="4" fillId="0" borderId="10" xfId="0" applyNumberFormat="1" applyFont="1" applyBorder="1" applyAlignment="1">
      <alignment horizontal="left"/>
    </xf>
    <xf numFmtId="165" fontId="1" fillId="0" borderId="12" xfId="0" applyNumberFormat="1" applyFont="1" applyBorder="1" applyAlignment="1">
      <alignment wrapText="1"/>
    </xf>
    <xf numFmtId="164" fontId="4" fillId="0" borderId="10" xfId="0" applyNumberFormat="1" applyFont="1" applyBorder="1" applyAlignment="1">
      <alignment horizontal="left"/>
    </xf>
    <xf numFmtId="0" fontId="10" fillId="0" borderId="10" xfId="0" applyFont="1" applyBorder="1"/>
    <xf numFmtId="1" fontId="4" fillId="0" borderId="10" xfId="0" applyNumberFormat="1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165" fontId="1" fillId="0" borderId="10" xfId="0" applyNumberFormat="1" applyFont="1" applyBorder="1" applyAlignment="1">
      <alignment horizontal="left"/>
    </xf>
    <xf numFmtId="2" fontId="4" fillId="0" borderId="10" xfId="0" applyNumberFormat="1" applyFont="1" applyBorder="1" applyAlignment="1">
      <alignment horizontal="left"/>
    </xf>
    <xf numFmtId="2" fontId="4" fillId="0" borderId="10" xfId="1" applyNumberFormat="1" applyFont="1" applyBorder="1" applyAlignment="1">
      <alignment horizontal="left"/>
    </xf>
    <xf numFmtId="0" fontId="4" fillId="0" borderId="10" xfId="1" applyFont="1" applyBorder="1" applyAlignment="1">
      <alignment horizontal="left"/>
    </xf>
    <xf numFmtId="0" fontId="4" fillId="0" borderId="4" xfId="1" applyFont="1" applyBorder="1" applyAlignment="1">
      <alignment horizontal="left"/>
    </xf>
    <xf numFmtId="0" fontId="4" fillId="0" borderId="8" xfId="1" applyFont="1" applyBorder="1" applyAlignment="1">
      <alignment horizontal="left"/>
    </xf>
    <xf numFmtId="0" fontId="4" fillId="0" borderId="7" xfId="1" applyFont="1" applyBorder="1" applyAlignment="1">
      <alignment horizontal="left"/>
    </xf>
    <xf numFmtId="165" fontId="4" fillId="0" borderId="10" xfId="0" applyNumberFormat="1" applyFont="1" applyBorder="1" applyAlignment="1">
      <alignment wrapText="1"/>
    </xf>
    <xf numFmtId="165" fontId="1" fillId="0" borderId="10" xfId="0" applyNumberFormat="1" applyFont="1" applyBorder="1" applyAlignment="1">
      <alignment horizontal="left" wrapText="1"/>
    </xf>
    <xf numFmtId="0" fontId="17" fillId="0" borderId="10" xfId="0" applyFont="1" applyBorder="1"/>
    <xf numFmtId="165" fontId="4" fillId="0" borderId="12" xfId="0" applyNumberFormat="1" applyFont="1" applyBorder="1" applyAlignment="1">
      <alignment wrapText="1"/>
    </xf>
    <xf numFmtId="165" fontId="1" fillId="0" borderId="12" xfId="0" applyNumberFormat="1" applyFont="1" applyBorder="1" applyAlignment="1">
      <alignment horizontal="left" wrapText="1"/>
    </xf>
    <xf numFmtId="0" fontId="10" fillId="0" borderId="12" xfId="0" applyFont="1" applyBorder="1"/>
    <xf numFmtId="0" fontId="4" fillId="0" borderId="12" xfId="0" applyFont="1" applyBorder="1" applyAlignment="1">
      <alignment horizontal="left" wrapText="1"/>
    </xf>
    <xf numFmtId="1" fontId="1" fillId="0" borderId="12" xfId="0" applyNumberFormat="1" applyFont="1" applyBorder="1" applyAlignment="1">
      <alignment wrapText="1"/>
    </xf>
    <xf numFmtId="164" fontId="4" fillId="0" borderId="12" xfId="0" applyNumberFormat="1" applyFont="1" applyBorder="1" applyAlignment="1">
      <alignment wrapText="1"/>
    </xf>
    <xf numFmtId="2" fontId="4" fillId="0" borderId="12" xfId="0" applyNumberFormat="1" applyFont="1" applyBorder="1" applyAlignment="1">
      <alignment horizontal="left"/>
    </xf>
    <xf numFmtId="2" fontId="4" fillId="0" borderId="12" xfId="1" applyNumberFormat="1" applyFont="1" applyBorder="1" applyAlignment="1">
      <alignment horizontal="left"/>
    </xf>
    <xf numFmtId="0" fontId="4" fillId="0" borderId="12" xfId="1" applyFont="1" applyBorder="1" applyAlignment="1">
      <alignment horizontal="left"/>
    </xf>
    <xf numFmtId="165" fontId="4" fillId="0" borderId="8" xfId="0" applyNumberFormat="1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4" fillId="0" borderId="7" xfId="0" applyFont="1" applyBorder="1" applyAlignment="1">
      <alignment wrapText="1"/>
    </xf>
    <xf numFmtId="165" fontId="1" fillId="0" borderId="7" xfId="0" applyNumberFormat="1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165" fontId="1" fillId="0" borderId="11" xfId="0" applyNumberFormat="1" applyFont="1" applyBorder="1" applyAlignment="1">
      <alignment wrapText="1"/>
    </xf>
    <xf numFmtId="2" fontId="4" fillId="0" borderId="7" xfId="0" quotePrefix="1" applyNumberFormat="1" applyFont="1" applyBorder="1" applyAlignment="1">
      <alignment horizontal="left"/>
    </xf>
    <xf numFmtId="2" fontId="4" fillId="0" borderId="7" xfId="1" applyNumberFormat="1" applyFont="1" applyBorder="1" applyAlignment="1">
      <alignment horizontal="left"/>
    </xf>
    <xf numFmtId="165" fontId="1" fillId="0" borderId="4" xfId="0" applyNumberFormat="1" applyFont="1" applyBorder="1" applyAlignment="1">
      <alignment wrapText="1"/>
    </xf>
    <xf numFmtId="165" fontId="1" fillId="0" borderId="17" xfId="0" applyNumberFormat="1" applyFont="1" applyBorder="1" applyAlignment="1">
      <alignment wrapText="1"/>
    </xf>
    <xf numFmtId="0" fontId="0" fillId="0" borderId="0" xfId="0" applyAlignment="1">
      <alignment vertical="center"/>
    </xf>
    <xf numFmtId="0" fontId="19" fillId="0" borderId="7" xfId="0" applyFont="1" applyBorder="1"/>
    <xf numFmtId="0" fontId="1" fillId="0" borderId="18" xfId="0" applyFont="1" applyBorder="1"/>
    <xf numFmtId="0" fontId="8" fillId="11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58" xfId="3" xr:uid="{42C07B4C-463F-482E-B2CB-82DEA87A1F93}"/>
    <cellStyle name="Normal 2 2 58 4" xfId="4" xr:uid="{3351B1A5-B317-4B0C-A202-615389AE3D6F}"/>
  </cellStyles>
  <dxfs count="248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none"/>
      </font>
      <fill>
        <patternFill patternType="solid">
          <fgColor rgb="FF000000"/>
          <bgColor rgb="FFE7E6E6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2" formatCode="0.00"/>
      <alignment horizontal="left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4" formatCode="dd/mm/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" formatCode="0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 Light"/>
        <family val="2"/>
        <scheme val="major"/>
      </font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left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809]dd\ mmmm\ yyyy;@"/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92D05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outline="0">
        <right style="thin">
          <color rgb="FF000000"/>
        </right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vertical="center"/>
    </dxf>
    <dxf>
      <alignment vertical="center"/>
    </dxf>
    <dxf>
      <alignment vertical="center"/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name val="Calibri Light"/>
        <scheme val="major"/>
      </font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theme="1"/>
        <name val="Calibri Light"/>
        <scheme val="major"/>
      </font>
    </dxf>
  </dxfs>
  <tableStyles count="1" defaultTableStyle="TableStyleMedium2" defaultPivotStyle="PivotStyleLight16">
    <tableStyle name="Invisible" pivot="0" table="0" count="0" xr9:uid="{681BB7B1-F4B2-4BDC-BE59-91659596BB1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Relationship Id="rId14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UMMINGS, Michele (LEEDS TEACHING HOSPITALS NHS TRUST)" id="{EAB7C061-B927-4127-9F58-976A8F2D232D}" userId="S::m.cummings3@nhs.net::464af9cb-2ac6-4a60-90d5-810b97c4769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795F5D-5274-4004-B1EA-F754CCA915EC}" name="FollowUp_1" displayName="FollowUp_1" ref="A3:HK11" totalsRowShown="0" tableBorderDxfId="230">
  <autoFilter ref="A3:HK11" xr:uid="{33795F5D-5274-4004-B1EA-F754CCA915EC}"/>
  <tableColumns count="219">
    <tableColumn id="1" xr3:uid="{CD20948A-B2FF-47AC-AC2F-852031B93DD9}" name="NHS number" dataDxfId="229"/>
    <tableColumn id="2" xr3:uid="{5F2F0F12-8EA1-40B7-9A75-BFC10666E791}" name="Any Immunotherapy " dataDxfId="228"/>
    <tableColumn id="3" xr3:uid="{A78BACFF-6B65-41E7-BF9B-B63F536DFC5A}" name="Specimen treatment subgrouping" dataDxfId="227"/>
    <tableColumn id="4" xr3:uid="{2A0037BA-4059-421A-8334-CF7426FA49A2}" name="Specimen is a recurrence " dataDxfId="226"/>
    <tableColumn id="5" xr3:uid="{3666D82E-3B33-4FD0-8723-59E187B6D603}" name="Selected specimen Anonymised ID" dataDxfId="225"/>
    <tableColumn id="6" xr3:uid="{8DDAB1FE-6E42-47C7-A9D4-BFD1D1517FBD}" name="Specimen Block number 1" dataDxfId="224"/>
    <tableColumn id="7" xr3:uid="{539451CA-45F7-446F-9A28-1D1E6D33226F}" name="Specimen Block number 2" dataDxfId="223"/>
    <tableColumn id="8" xr3:uid="{F1F660FC-37DE-4D61-9765-0F5145F1DD50}" name="Specimen surgery date" dataDxfId="222"/>
    <tableColumn id="9" xr3:uid="{C543268B-A876-4B09-9028-3E43D5BBEEE3}" name="Specimen surgery" dataDxfId="221"/>
    <tableColumn id="10" xr3:uid="{A24116C1-7453-439E-B596-FFFBA302855B}" name="Specimen tumour site" dataDxfId="220"/>
    <tableColumn id="11" xr3:uid="{45D22FDE-C3C8-43AE-9F5A-94D02F681EFB}" name="Primary Surgery date " dataDxfId="219"/>
    <tableColumn id="12" xr3:uid="{B3F75DA2-84B0-482D-B0D3-35104161375F}" name="Primary tumour site" dataDxfId="218"/>
    <tableColumn id="13" xr3:uid="{226BC277-3484-46D7-BDB2-182BE8B50AB2}" name="Anonymized ID Matched met 1" dataDxfId="217"/>
    <tableColumn id="14" xr3:uid="{A74503DA-5EEC-4FE6-AA98-D843A7BD550E}" name="Matched met 1 Block Number" dataDxfId="216"/>
    <tableColumn id="15" xr3:uid="{1DC964B1-463E-4BF0-815A-8A8542F99FBE}" name="Matched met 1 Site" dataDxfId="215"/>
    <tableColumn id="16" xr3:uid="{126E4CD6-5E18-46F0-91CB-516A4C2E0C08}" name="Matched met 1 Surgery Date " dataDxfId="214"/>
    <tableColumn id="17" xr3:uid="{394AF05D-32F7-4238-8F8D-00AA525BCC7C}" name="Matched met 1 treatment subgrouping" dataDxfId="213"/>
    <tableColumn id="18" xr3:uid="{87A3B2B5-FA41-4479-89C4-E3D5E645E19F}" name="Anonymized ID Matched met 2" dataDxfId="212"/>
    <tableColumn id="19" xr3:uid="{5BFF04C3-A447-4033-8709-AF6A52FD3E12}" name="Matched met 2 Block Number" dataDxfId="211"/>
    <tableColumn id="20" xr3:uid="{10BACA8E-9DD5-4EF8-99A2-5A1AF688AA68}" name="Matched met 2 Site" dataDxfId="210"/>
    <tableColumn id="21" xr3:uid="{EA1D251B-F223-4DEE-A63B-4C2F078A05F8}" name="Matched met 2 Surgery Date " dataDxfId="209"/>
    <tableColumn id="22" xr3:uid="{EE5FFCD9-8174-4087-81B2-9F95117527F5}" name="Matched met 2 treatment subgrouping" dataDxfId="208"/>
    <tableColumn id="23" xr3:uid="{D814D1AE-5A52-4D5D-9D97-7868416A973A}" name="Anonymized ID Matched met 3" dataDxfId="207"/>
    <tableColumn id="24" xr3:uid="{042128F0-9496-4A94-9959-FC61296E631B}" name="Matched met 3 Block Number" dataDxfId="206"/>
    <tableColumn id="25" xr3:uid="{31CCC042-45EC-43FF-A61B-E2CC86ED2C9B}" name="Matched met 3 Site" dataDxfId="205"/>
    <tableColumn id="26" xr3:uid="{29AF307A-DE01-4C78-A21F-9783149B0DEF}" name="Matched met 3 Surgery Date " dataDxfId="204"/>
    <tableColumn id="27" xr3:uid="{7FAD7AB0-AD15-4E07-85FE-AB2FDF046D0C}" name="Matched met 3 treatment subgrouping" dataDxfId="203"/>
    <tableColumn id="28" xr3:uid="{E98B1B70-84B0-4178-95B2-686913479C07}" name="Anonymized ID Matched met 4" dataDxfId="202"/>
    <tableColumn id="29" xr3:uid="{B834AD9D-41E4-4C67-BFD3-DB4939688F24}" name="Matched met 4 Block Number" dataDxfId="201"/>
    <tableColumn id="30" xr3:uid="{DA9924AD-7C4C-4371-BA7C-A83594A8ACCF}" name="Matched met 4 Site" dataDxfId="200"/>
    <tableColumn id="31" xr3:uid="{69016ECF-D52E-4E7C-8AA8-6A75E690DDA7}" name="Matched met 4 Surgery Date " dataDxfId="199"/>
    <tableColumn id="32" xr3:uid="{DA26BF63-D727-4EBD-81DD-D0F1DE65A317}" name="Matched met 4 treatment subgrouping" dataDxfId="198"/>
    <tableColumn id="33" xr3:uid="{784070A7-E1E1-4AB3-8148-E7122A6210C6}" name="Anonymized ID Matched met 5" dataDxfId="197"/>
    <tableColumn id="34" xr3:uid="{ADCEAFAA-25C2-4B70-8884-F4C6745D52A8}" name="Matched met 5 Block Number" dataDxfId="196"/>
    <tableColumn id="35" xr3:uid="{6A728B78-B967-4421-A315-775ADF8FE00C}" name="Matched met 5 Site" dataDxfId="195"/>
    <tableColumn id="36" xr3:uid="{0C707DE6-CC20-4829-87CC-38C77139649F}" name="Matched met 5 Surgery Date " dataDxfId="194"/>
    <tableColumn id="37" xr3:uid="{9119347F-A278-424D-8F85-9342FB76872F}" name="Matched met 5 treatment subgrouping" dataDxfId="193"/>
    <tableColumn id="38" xr3:uid="{A1880880-3EEF-4320-8A08-BC113B2E39AF}" name="Anonymized ID Normal tissue" dataDxfId="192"/>
    <tableColumn id="39" xr3:uid="{3718158A-0326-4436-83FE-A5CC1A0BCBD2}" name="Matched Normal tissue Block Number" dataDxfId="191"/>
    <tableColumn id="40" xr3:uid="{C88E4723-2E12-42ED-81BD-82BD02E2B89D}" name="Matched Normal tissue Site" dataDxfId="190"/>
    <tableColumn id="41" xr3:uid="{C7D2C998-4694-4012-8400-E7013C9DC439}" name="Matched Normal tissue Surgery Date " dataDxfId="189"/>
    <tableColumn id="42" xr3:uid="{3F0356B0-33C8-46EF-A12B-1461F91744FF}" name="Matched Normal treatment subgrouping" dataDxfId="188"/>
    <tableColumn id="43" xr3:uid="{18BDCB8F-0BC2-496D-A65B-2715AC8D2527}" name="Gender" dataDxfId="187"/>
    <tableColumn id="44" xr3:uid="{C890C803-B4EC-419B-8964-A362FE126AD7}" name="DOB " dataDxfId="186"/>
    <tableColumn id="45" xr3:uid="{35C86B4F-5FCD-4EB5-9E23-4EA4608B0C3A}" name="Date of DX" dataDxfId="185"/>
    <tableColumn id="46" xr3:uid="{01CB4AD6-3D59-4DD0-B6DD-792795953F85}" name="Age at Diagnosis " dataDxfId="184">
      <calculatedColumnFormula>DATEDIF(AR4, AS4,"Y")</calculatedColumnFormula>
    </tableColumn>
    <tableColumn id="47" xr3:uid="{1BB15807-80A9-4AC2-BB1B-9A40ED0C13BC}" name="Specimen Histological Diagnosis" dataDxfId="183"/>
    <tableColumn id="48" xr3:uid="{66382B08-FA53-47B8-8B2C-529285F113B7}" name="Staging/grading info provided for:" dataDxfId="182"/>
    <tableColumn id="49" xr3:uid="{BD4A5860-354B-414F-AF02-E78065D75C07}" name="Resection margins clear " dataDxfId="181"/>
    <tableColumn id="50" xr3:uid="{A2C4BB2B-8187-479C-9470-FE577AED47B5}" name="pT" dataDxfId="180"/>
    <tableColumn id="51" xr3:uid="{805018D9-5400-4B67-8220-AAD1DFABC706}" name="pN" dataDxfId="179"/>
    <tableColumn id="52" xr3:uid="{3B717E95-A841-49AF-98B5-58AB9A70F2D1}" name="pM" dataDxfId="178"/>
    <tableColumn id="53" xr3:uid="{426CEA63-001C-4CFB-BA34-BC52B0E0A7C8}" name="cM"/>
    <tableColumn id="54" xr3:uid="{769BFFD8-EA0D-477A-BA2E-CCA51D59783B}" name="TNM stage" dataDxfId="177"/>
    <tableColumn id="55" xr3:uid="{AD8FE507-FDF0-4491-A1EA-6AB3115BB4C3}" name="Grade" dataDxfId="176"/>
    <tableColumn id="56" xr3:uid="{7BDD184E-8BA4-40CB-95AC-F4B8D6BB8BC8}" name="Staging criteria" dataDxfId="175"/>
    <tableColumn id="57" xr3:uid="{64CCBD6E-7661-4C10-B207-FA3C30492E30}" name="Stage at DX" dataDxfId="174"/>
    <tableColumn id="58" xr3:uid="{2D24ECA1-0113-4E64-B208-2DAB12249FCD}" name="Any Neoadjuvant therapy" dataDxfId="173"/>
    <tableColumn id="59" xr3:uid="{077C0209-F4A6-4901-8BB2-40B2010688E6}" name="Response to neoadjuvant therapy (TRS score)" dataDxfId="172"/>
    <tableColumn id="60" xr3:uid="{CF7D39B2-9C8E-42C7-B690-6D771A1927AE}" name="Neoadjuvant Tx1" dataDxfId="171"/>
    <tableColumn id="61" xr3:uid="{58FA25C0-C496-4730-AB15-0D23904DA8E9}" name="Neoadjuvant Tx1 Agent" dataDxfId="170"/>
    <tableColumn id="62" xr3:uid="{8E7730DA-D7B9-4F00-8971-325DE5F29939}" name="Neoadjuvant Tx1 Start Date" dataDxfId="169"/>
    <tableColumn id="63" xr3:uid="{6EC77438-0922-4440-A754-E3D94517FD50}" name="Neoadjuvant Tx1 End Date" dataDxfId="168"/>
    <tableColumn id="64" xr3:uid="{ADC34152-76C9-4071-8D72-C62EADBBA30A}" name="Tumour response Neoadjuvant Tx1" dataDxfId="167"/>
    <tableColumn id="65" xr3:uid="{57E9203A-EC6E-4D91-B237-66B111CE68B8}" name="Neoadjuvant Tx2" dataDxfId="166"/>
    <tableColumn id="66" xr3:uid="{F1BF987B-DB0F-4A53-A976-6BD48715266B}" name="Neoadjuvant Tx2 Agent" dataDxfId="165"/>
    <tableColumn id="67" xr3:uid="{60ADC568-6304-465A-AD62-78AA43C84D3B}" name="Tumour response Neoadjuvant  Tx2" dataDxfId="164"/>
    <tableColumn id="68" xr3:uid="{6EA366ED-B80A-4AEB-A314-234600B6C042}" name="Neoadjuvant Tx3" dataDxfId="163"/>
    <tableColumn id="69" xr3:uid="{ED6DC250-09EF-4E86-B5D7-2DAD0EBE1F85}" name="Neoadjuvant Tx3 Agent" dataDxfId="162"/>
    <tableColumn id="70" xr3:uid="{41D0CD01-0152-4FE0-A973-A670B2070F36}" name="Tumour response Neoadjuvant  Tx3" dataDxfId="161"/>
    <tableColumn id="71" xr3:uid="{7F1831BF-317B-414F-B1E0-B296517DD483}" name="Neoadjuvant Tx4" dataDxfId="160"/>
    <tableColumn id="72" xr3:uid="{7FFA8D0C-1C2B-4957-B3BC-C7C347D03037}" name="Neoadjuvant Tx4 Agent" dataDxfId="159"/>
    <tableColumn id="73" xr3:uid="{61900EB7-0D64-4BC4-99E9-E0DD0C85B5E1}" name="Tumour response Neoadjuvant  Tx4" dataDxfId="158"/>
    <tableColumn id="74" xr3:uid="{F62054A7-3B19-4A5C-B577-E45E0B323D29}" name="Neoadjuvant Tx5" dataDxfId="157"/>
    <tableColumn id="75" xr3:uid="{6C3F7141-25C2-4B0A-BBE5-8D6DC886F117}" name="Neoadjuvant Tx5 Agent" dataDxfId="156"/>
    <tableColumn id="76" xr3:uid="{0D198605-A6F0-40F8-84FF-C6CBBB892605}" name="Tumour response Neoadjuvant  Tx5" dataDxfId="155"/>
    <tableColumn id="77" xr3:uid="{F3761225-7613-4BB2-9321-0174CFA68BD8}" name="Neoadjuvant Tx6" dataDxfId="154"/>
    <tableColumn id="78" xr3:uid="{6A8F5FDB-1A61-4418-8735-4E9316E631F5}" name="Neoadjuvant Tx6 Agent" dataDxfId="153"/>
    <tableColumn id="79" xr3:uid="{AEEB11CE-A1B4-4389-B2DD-888B8E8A1F15}" name="Tumour response Neoadjuvant  Tx6" dataDxfId="152"/>
    <tableColumn id="80" xr3:uid="{26C7A1F2-467F-4FCF-876D-CABAAC8D00A7}" name="Neoadjuvant Tx7" dataDxfId="151"/>
    <tableColumn id="81" xr3:uid="{868D0CDF-5FFA-4486-BB5D-DE4B9F19C3CA}" name="Neoadjuvant Tx7 Agent" dataDxfId="150"/>
    <tableColumn id="82" xr3:uid="{058C1C74-4612-43B9-B6CC-C941FCD72611}" name="Tumour response Neoadjuvant  Tx7" dataDxfId="149"/>
    <tableColumn id="83" xr3:uid="{B547265E-13FB-41A2-B625-C337CD0002C9}" name="Neoadjuvant Tx8" dataDxfId="148"/>
    <tableColumn id="84" xr3:uid="{ACDAE9F8-2279-400C-8D7B-06D3EC36790E}" name="Neoadjuvant Tx8 Agent" dataDxfId="147"/>
    <tableColumn id="85" xr3:uid="{31730455-CEA5-4608-AAA4-CFF448491774}" name="Tumour response Neoadjuvant  Tx8" dataDxfId="146"/>
    <tableColumn id="86" xr3:uid="{1A407142-40EB-49F3-B223-12F4D1C0EA6A}" name="Neoadjuvant Tx9" dataDxfId="145"/>
    <tableColumn id="87" xr3:uid="{5FC16BCE-668E-40FD-BE4A-9733B9A42A7E}" name="Neoadjuvant Tx9 Agent" dataDxfId="144"/>
    <tableColumn id="88" xr3:uid="{5784B934-3DE8-489C-9E5A-C5C3ABE56C91}" name="Tumour response Neoadjuvant  Tx9" dataDxfId="143"/>
    <tableColumn id="89" xr3:uid="{75D0CA55-2CEE-4CD6-9C3F-CF69FAB60B4F}" name="Neoadjuvant Tx10" dataDxfId="142"/>
    <tableColumn id="90" xr3:uid="{5A03773F-385E-4490-B5CE-E9C5F1E6BDA8}" name="Neoadjuvant Tx10 Agent" dataDxfId="141"/>
    <tableColumn id="91" xr3:uid="{AEB1FBA9-414A-4B8E-ABD5-DC9246E9C8C2}" name="Tumour response Neoadjuvant Tx10" dataDxfId="140"/>
    <tableColumn id="92" xr3:uid="{8E8425A6-38C7-4490-AA30-0ED3082BC9C4}" name="Adjuvant Tx1"/>
    <tableColumn id="93" xr3:uid="{F28894A2-E55A-4A14-9116-67D7683E17B7}" name="Adjuvant Tx1 Agent"/>
    <tableColumn id="94" xr3:uid="{A06B1344-4496-4A21-B364-2FEE71EFDDA2}" name="Adjuvant Tx1 Start Date"/>
    <tableColumn id="95" xr3:uid="{AA334DD2-DFF0-4A25-9388-36A5EE5B87FE}" name="Adjuvant Tx1 End Date"/>
    <tableColumn id="96" xr3:uid="{5F213F58-6168-46A8-92BB-DAA73AF57035}" name="Tumour response Adjuvant Tx1" dataDxfId="139"/>
    <tableColumn id="97" xr3:uid="{BC7650F3-34C5-4663-ABCD-1CEDF22DEBE2}" name="Adjuvant Tx2" dataDxfId="138"/>
    <tableColumn id="98" xr3:uid="{7FD519C0-BDBB-4343-B145-131F6EFA4B4F}" name="Adjuvant Tx2 Agent" dataDxfId="137"/>
    <tableColumn id="99" xr3:uid="{347DA3F3-EC5D-47BE-8A68-7121DE0A1153}" name="Tumour response Adjuvant  Tx2" dataDxfId="136"/>
    <tableColumn id="100" xr3:uid="{FABC77B0-384B-4EE7-879B-BA76DBEDE1F3}" name="Adjuvant Tx3" dataDxfId="135"/>
    <tableColumn id="101" xr3:uid="{D5E015EB-CDCE-4894-BB63-018C582E112D}" name="Adjuvant Tx3 Agent" dataDxfId="134"/>
    <tableColumn id="102" xr3:uid="{82BB2D44-ED9C-488E-BC8C-38D81E8C50E7}" name="Tumour response Adjuvant  Tx3" dataDxfId="133"/>
    <tableColumn id="103" xr3:uid="{3534963F-ED91-48AC-89E3-36A388E60FD9}" name="Adjuvant Tx4" dataDxfId="132"/>
    <tableColumn id="104" xr3:uid="{B577AC01-61CB-48C9-94D8-0B5181CA91D2}" name="Adjuvant Tx4 Agent" dataDxfId="131"/>
    <tableColumn id="105" xr3:uid="{0914AA8C-5BA0-4C5E-BEF8-174609A77D26}" name="Tumour response Adjuvant  Tx4" dataDxfId="130"/>
    <tableColumn id="106" xr3:uid="{26D007E8-968E-479E-ADB4-2AFB96344AAB}" name="Adjuvant Tx5" dataDxfId="129"/>
    <tableColumn id="107" xr3:uid="{4298936A-E8D5-483C-B94D-E2926B7C15BE}" name="Adjuvant Tx5 Agent" dataDxfId="128"/>
    <tableColumn id="108" xr3:uid="{A8041E1C-1CF4-4DB1-88E7-5ED4A3F96AEA}" name="Tumour response Adjuvant  Tx5" dataDxfId="127"/>
    <tableColumn id="109" xr3:uid="{668B8D1F-0625-4D3E-B179-B3EA0B911499}" name="Adjuvant Tx6" dataDxfId="126"/>
    <tableColumn id="110" xr3:uid="{D81E4FE8-4FF6-4185-BE7B-0FE5233EDA69}" name="Adjuvant Tx6 Agent" dataDxfId="125"/>
    <tableColumn id="111" xr3:uid="{8D4FE381-1826-43E9-AE2F-70F91A79FB46}" name="Tumour response Adjuvant  Tx6" dataDxfId="124"/>
    <tableColumn id="112" xr3:uid="{C0C7718F-B77F-423B-B0C9-4D84D5739BC9}" name="Adjuvant Tx7" dataDxfId="123"/>
    <tableColumn id="113" xr3:uid="{A5279113-D4CD-4F40-9400-83D2430230C0}" name="Adjuvant Tx7 Agent" dataDxfId="122"/>
    <tableColumn id="114" xr3:uid="{44AA3513-C997-40D7-BE23-EF93EC568DE5}" name="Tumour response Adjuvant  Tx7" dataDxfId="121"/>
    <tableColumn id="115" xr3:uid="{2FB20256-249F-4CB3-BD35-F6DD22A51309}" name="Adjuvant Tx8" dataDxfId="120"/>
    <tableColumn id="116" xr3:uid="{0213ED86-B766-45DF-8EEF-042A4F3C200B}" name="Adjuvant Tx8 Agent" dataDxfId="119"/>
    <tableColumn id="117" xr3:uid="{7A3B69FF-5222-464D-8ECE-ADC93859E442}" name="Tumour response Adjuvant  Tx8" dataDxfId="118"/>
    <tableColumn id="118" xr3:uid="{A5E93DD2-013D-40FA-85B0-8E11770309D1}" name="Adjuvant Tx9" dataDxfId="117"/>
    <tableColumn id="119" xr3:uid="{F6E13213-25BB-4B9A-AFAD-9DB25953BB44}" name="Adjuvant Tx9 Agent" dataDxfId="116"/>
    <tableColumn id="120" xr3:uid="{7C609229-BAC3-496F-9B1D-527661D14ECB}" name="Tumour response Adjuvant  Tx9" dataDxfId="115"/>
    <tableColumn id="121" xr3:uid="{0876CB04-B60A-49CF-97CA-74FB4E371D79}" name="Adjuvant Tx10" dataDxfId="114"/>
    <tableColumn id="122" xr3:uid="{0758A822-3859-4641-9B43-8C69BACB0E5D}" name="Adjuvant Tx10 Agent" dataDxfId="113"/>
    <tableColumn id="123" xr3:uid="{0CDF8E42-F999-454E-94E0-38B4B184FB3F}" name="Tumour response Adjuvant Tx10" dataDxfId="112"/>
    <tableColumn id="124" xr3:uid="{CA47D1B4-688C-4751-A2B2-86DA9054E681}" name="Adjuvant Tx11" dataDxfId="111"/>
    <tableColumn id="125" xr3:uid="{2A134638-C25E-41BC-9D1A-FA14224C8780}" name="Adjuvant Tx11 Agent" dataDxfId="110"/>
    <tableColumn id="126" xr3:uid="{016EC886-AE91-44A3-AB8E-9F2E23DEB34E}" name="Tumour response Adjuvant Tx11" dataDxfId="109"/>
    <tableColumn id="127" xr3:uid="{0B9BA222-DF46-41C6-80A6-AF16BF253A74}" name="Adjuvant Tx12" dataDxfId="108"/>
    <tableColumn id="128" xr3:uid="{052BA3C2-27F0-4F34-82D0-4D42302E1997}" name="Adjuvant Tx12 Agent" dataDxfId="107"/>
    <tableColumn id="129" xr3:uid="{5429FD48-96CC-474B-8686-FEB277E5E5DE}" name="Tumour response Adjuvant Tx12" dataDxfId="106"/>
    <tableColumn id="130" xr3:uid="{F3640414-89F6-458C-A78D-24BC6A0D9B5D}" name="Adjuvant Tx13" dataDxfId="105"/>
    <tableColumn id="131" xr3:uid="{D8A4C659-4F97-46E9-944E-E9B23B915272}" name="Adjuvant Tx13 Agent" dataDxfId="104"/>
    <tableColumn id="132" xr3:uid="{EE213A0F-61FC-42E9-87D5-391452A0C966}" name="Tumour response Adjuvant Tx13" dataDxfId="103"/>
    <tableColumn id="133" xr3:uid="{CE7FFFAF-22A0-4FB7-9190-FC7A4FBC1325}" name="Adjuvant Tx14" dataDxfId="102"/>
    <tableColumn id="134" xr3:uid="{7F8546A2-1773-4599-A714-3D81148EED25}" name="Adjuvant Tx14 Agent" dataDxfId="101"/>
    <tableColumn id="135" xr3:uid="{38E68EFD-1806-45C6-A7F7-0ADB7B07C3A4}" name="Tumour response Adjuvant Tx14" dataDxfId="100"/>
    <tableColumn id="136" xr3:uid="{1F6FA456-84B8-408D-8B02-8D99FE67E5E6}" name="Adjuvant Tx15" dataDxfId="99"/>
    <tableColumn id="137" xr3:uid="{9326597D-00AE-4D8B-9E4E-975C73B425A8}" name="Adjuvant Tx15 Agent" dataDxfId="98"/>
    <tableColumn id="138" xr3:uid="{8EB9CFC1-F62D-4DF5-94F2-17A8423A9CB8}" name="Tumour response Adjuvant Tx15" dataDxfId="97"/>
    <tableColumn id="139" xr3:uid="{8B37F4CC-9CEB-46FC-98F2-8894A64EF893}" name="Date recurrence/ progression 1" dataDxfId="96"/>
    <tableColumn id="140" xr3:uid="{985F1AAB-E4C1-498A-9502-EDCA69809EA1}" name="Sites recurrence/ progression 1" dataDxfId="95"/>
    <tableColumn id="141" xr3:uid="{6FCB8B89-0CAD-4737-8BB9-865AB70D0A99}" name="Subsequent Tx1" dataDxfId="94"/>
    <tableColumn id="142" xr3:uid="{6E986EC8-27B7-4C3E-A244-F4F0B220D729}" name="Subsequent Tx1 Agent" dataDxfId="93"/>
    <tableColumn id="143" xr3:uid="{04663CB6-84F2-4B25-AD11-8FEC3AAB325F}" name="Subsequent Tx1 Start Date" dataDxfId="92"/>
    <tableColumn id="144" xr3:uid="{FBF0146E-C1A1-4016-960D-8181C15E2A10}" name="Subsequent Tx1        End Date" dataDxfId="91"/>
    <tableColumn id="145" xr3:uid="{6F979AC1-C200-4EE3-BF90-EDC4896D5929}" name="Tumour response to Subsequent Tx1"/>
    <tableColumn id="146" xr3:uid="{EA659FA1-1643-4C05-8FA2-6968BB7DECCC}" name="Subsequent Tx2" dataDxfId="90"/>
    <tableColumn id="147" xr3:uid="{C64A7B8D-1B75-4E7F-B76A-E671A81353D6}" name="Subsequent Tx2 Agent" dataDxfId="89"/>
    <tableColumn id="148" xr3:uid="{9C4CCCE0-43F4-485A-BFAA-706C51085EEE}" name="Tumour response to Subsequent Tx2" dataDxfId="88"/>
    <tableColumn id="149" xr3:uid="{E8F6ABF1-A536-46E3-BAF6-C3E7E3E7ADB6}" name="Subsequent Tx3" dataDxfId="87"/>
    <tableColumn id="150" xr3:uid="{5B66B2B7-B017-4166-8611-7F7FA1E8AA9D}" name="Subsequent Tx3 Agent" dataDxfId="86"/>
    <tableColumn id="151" xr3:uid="{D027E04A-77DC-4C6B-8576-3539AC8905BF}" name="Tumour response to Subsequent Tx3" dataDxfId="85"/>
    <tableColumn id="152" xr3:uid="{7510F64F-88C3-49B8-B380-8EC2A0E24098}" name="Subsequent Tx4" dataDxfId="84"/>
    <tableColumn id="153" xr3:uid="{D2A278BE-2163-4BA6-8A08-536F574BC219}" name="Subsequent Tx4 Agent" dataDxfId="83"/>
    <tableColumn id="154" xr3:uid="{CBDF889E-4113-465B-9DE3-57E430E93E26}" name="Tumour response to Subsequent Tx4" dataDxfId="82"/>
    <tableColumn id="155" xr3:uid="{03B4BC07-AB7C-4B41-8897-12710B7E2E74}" name="Subsequent Tx5" dataDxfId="81"/>
    <tableColumn id="156" xr3:uid="{AA47A474-1C5B-49E0-A802-ED4E1846D892}" name="Subsequent Tx5 Agent" dataDxfId="80"/>
    <tableColumn id="157" xr3:uid="{C1FB802C-0237-4D18-A763-4677DD520719}" name="Tumour response to Subsequent Tx5" dataDxfId="79"/>
    <tableColumn id="158" xr3:uid="{1B4911AA-334B-4008-A81D-E87EA974A4DB}" name="Subsequent Tx6" dataDxfId="78"/>
    <tableColumn id="159" xr3:uid="{80253F71-7489-4D62-9385-D2BF928C055E}" name="Subsequent Tx6 Agent" dataDxfId="77"/>
    <tableColumn id="160" xr3:uid="{BEA4DE5A-85C8-4FAC-AE74-CCFCE0F61624}" name="Tumour response to Subsequent Tx6" dataDxfId="76"/>
    <tableColumn id="161" xr3:uid="{894D573D-A492-49F8-8D5C-CC93D2734521}" name="Subsequent Tx7" dataDxfId="75"/>
    <tableColumn id="162" xr3:uid="{2D56BDF9-951A-46AA-ACF6-3BCE3CA6178A}" name="Subsequent Tx7 Agent" dataDxfId="74"/>
    <tableColumn id="163" xr3:uid="{54833846-E854-45AC-ABDA-768F5693E38A}" name="Tumour response to Subsequent Tx7" dataDxfId="73"/>
    <tableColumn id="164" xr3:uid="{D9BE7899-460C-4663-BABE-F15B378D74D1}" name="Subsequent Tx8" dataDxfId="72"/>
    <tableColumn id="165" xr3:uid="{6D2DA3FD-3A22-4B8F-AB74-5940EF9A01ED}" name="Subsequent Tx8 Agent" dataDxfId="71"/>
    <tableColumn id="166" xr3:uid="{25B665F1-0D27-4889-A06C-96F2E3F28F33}" name="Tumour response to Subsequent Tx8" dataDxfId="70"/>
    <tableColumn id="167" xr3:uid="{C879E54A-93F2-4C6E-BEC9-E7F521AD5100}" name="Subsequent Tx9" dataDxfId="69"/>
    <tableColumn id="168" xr3:uid="{AB5C756F-9C81-4181-8C0A-EA8E92BDE046}" name="Subsequent Tx9 Agent" dataDxfId="68"/>
    <tableColumn id="169" xr3:uid="{8E4DE76C-3A60-4417-B183-68BCD1C69D4F}" name="Tumour response to Subsequent Tx9" dataDxfId="67"/>
    <tableColumn id="170" xr3:uid="{68ADE8F7-CD34-48F1-87A0-529A1068B260}" name="Subsequent Tx10" dataDxfId="66"/>
    <tableColumn id="171" xr3:uid="{B65F6559-FAEB-4570-80B1-BFEAB774BB99}" name="Subsequent Tx10 Agent" dataDxfId="65"/>
    <tableColumn id="172" xr3:uid="{3C892FE3-D626-49F1-BEDD-C2675DB0402A}" name="Tumour response to Subsequent Tx10" dataDxfId="64"/>
    <tableColumn id="173" xr3:uid="{034A0919-80CF-4FF2-A785-649F38353000}" name="Subsequent Tx11" dataDxfId="63"/>
    <tableColumn id="174" xr3:uid="{91804073-F5A2-4253-A756-1CB44793930B}" name="Subsequent Tx11 Agent" dataDxfId="62"/>
    <tableColumn id="175" xr3:uid="{CD33C33A-B885-47EC-A4BE-4BAF7A60D225}" name="Tumour response to Subsequent Tx11" dataDxfId="61"/>
    <tableColumn id="176" xr3:uid="{C9B82860-571E-4844-8190-74DDE8560465}" name="Subsequent Tx12" dataDxfId="60"/>
    <tableColumn id="177" xr3:uid="{4F1C2C1C-0C18-4577-AA2B-3038E32A072F}" name="Subsequent Tx12 Agent" dataDxfId="59"/>
    <tableColumn id="178" xr3:uid="{61B1A8DD-3E15-4F02-9414-660C50B56D3A}" name="Tumour response to Subsequent Tx12" dataDxfId="58"/>
    <tableColumn id="179" xr3:uid="{E31398E5-30E8-4AD1-AE57-F074AD9CAB80}" name="Subsequent Tx13" dataDxfId="57"/>
    <tableColumn id="180" xr3:uid="{4DB5D967-0EE7-47EE-A9DC-988937237419}" name="Subsequent Tx13 Agent" dataDxfId="56"/>
    <tableColumn id="181" xr3:uid="{BC889218-FA72-4F13-872A-3B20AEAF9D16}" name="Tumour response to Subsequent Tx13" dataDxfId="55"/>
    <tableColumn id="182" xr3:uid="{3B02F0B9-F7C6-4D03-9C5D-657E267798C3}" name="Subsequent Tx14" dataDxfId="54"/>
    <tableColumn id="183" xr3:uid="{22EEA278-3896-4062-BE5C-D13B84294EA0}" name="Subsequent Tx14 Agent" dataDxfId="53"/>
    <tableColumn id="184" xr3:uid="{E1C8BBAF-262A-450C-9180-144E29D00A85}" name="Tumour response to Subsequent Tx14" dataDxfId="52"/>
    <tableColumn id="185" xr3:uid="{BF4D5425-1E91-4612-8623-2E1699FEE2C3}" name="Subsequent Tx15" dataDxfId="51"/>
    <tableColumn id="186" xr3:uid="{7C0657F7-29AF-4D59-B815-329172923C75}" name="Subsequent Tx15 Agent" dataDxfId="50"/>
    <tableColumn id="187" xr3:uid="{E1C41B1F-4B5B-4137-A8D3-B3BDA0A1E0FC}" name="Tumour response to Subsequent Tx15" dataDxfId="49"/>
    <tableColumn id="188" xr3:uid="{B9D2FFF5-3AAF-44C2-999A-8259363DB45B}" name="Current Status" dataDxfId="48"/>
    <tableColumn id="189" xr3:uid="{23112B57-FF7E-4FB4-9A4F-2DEE9A5E53AB}" name="Death date" dataDxfId="47"/>
    <tableColumn id="190" xr3:uid="{47772239-643A-43BB-AF2E-94D9EE72DB65}" name="Death tumour related" dataDxfId="46"/>
    <tableColumn id="191" xr3:uid="{5439898F-8898-4E83-8F40-49E8FC9F46F5}" name="Cause of death" dataDxfId="45"/>
    <tableColumn id="192" xr3:uid="{639FBB24-4397-4FF1-9352-516D7155B7A2}" name="Date last follow-up" dataDxfId="44"/>
    <tableColumn id="193" xr3:uid="{E886D96B-3EC9-48A1-AB5C-37CFE0DE9790}" name="Date Last Seen" dataDxfId="43"/>
    <tableColumn id="194" xr3:uid="{1804B08A-8C7A-4ED1-89D6-EB002589FB75}" name="Comments from clinical team" dataDxfId="42"/>
    <tableColumn id="195" xr3:uid="{745A1817-4B3A-4B09-B3C7-CC825733B571}" name="TTE Neoadjuvant Tx1 Start Date" dataDxfId="41">
      <calculatedColumnFormula>IFERROR(INT(BJ4 - $AS4)/30,"N/A")</calculatedColumnFormula>
    </tableColumn>
    <tableColumn id="196" xr3:uid="{085E7311-FFE9-4888-97CD-FFBAA828F226}" name="TTE Neoadjuvant Tx1 End Date" dataDxfId="40">
      <calculatedColumnFormula>IFERROR(INT(BK4 - $AS4)/30,"N/A")</calculatedColumnFormula>
    </tableColumn>
    <tableColumn id="197" xr3:uid="{7C6B989F-332B-4072-861C-04184CF92834}" name="TTE Specimen surgery date" dataDxfId="39">
      <calculatedColumnFormula>IFERROR(INT(H4 - $AS4)/30,"N/A")</calculatedColumnFormula>
    </tableColumn>
    <tableColumn id="198" xr3:uid="{2CED9C9C-CEB1-43D9-8311-7CBF164DEFDD}" name="TTE Primary Surgery date " dataDxfId="38">
      <calculatedColumnFormula>IFERROR(INT(K4 - $AS4)/30,"N/A")</calculatedColumnFormula>
    </tableColumn>
    <tableColumn id="199" xr3:uid="{5308006D-4122-4B15-B35C-554634D47FA9}" name="TTE Matched met 1 Surgery Date " dataDxfId="37">
      <calculatedColumnFormula>IFERROR(INT(P4 - $AS4)/30,"N/A")</calculatedColumnFormula>
    </tableColumn>
    <tableColumn id="200" xr3:uid="{3EDB672B-CC8F-4340-A47E-33700283FA91}" name="TTE Matched met 2 Surgery Date " dataDxfId="36">
      <calculatedColumnFormula>IFERROR(INT(U4 - $AS4)/30,"N/A")</calculatedColumnFormula>
    </tableColumn>
    <tableColumn id="201" xr3:uid="{6D6FCA08-90DB-4630-A465-397AAC64228E}" name="TTE Matched met 3 Surgery Date " dataDxfId="35">
      <calculatedColumnFormula>IFERROR(INT(Z4 - $AS4)/30,"N/A")</calculatedColumnFormula>
    </tableColumn>
    <tableColumn id="202" xr3:uid="{B76B6FC3-67DF-4345-8AF6-7A2722E22677}" name="TTE Matched met 4 Surgery Date " dataDxfId="34">
      <calculatedColumnFormula>IFERROR(INT(AE4 - $AS4)/30,"N/A")</calculatedColumnFormula>
    </tableColumn>
    <tableColumn id="203" xr3:uid="{16A0EED0-A250-4A01-8721-EBEAAA40DB5B}" name="TTE Matched met 5 Surgery Date " dataDxfId="33">
      <calculatedColumnFormula>IFERROR(INT(AJ4 - $AS4)/30,"N/A")</calculatedColumnFormula>
    </tableColumn>
    <tableColumn id="204" xr3:uid="{6907DA1B-2217-4F31-96BC-0A6672300C8A}" name="TTE Matched Normal tissue Surgery Date " dataDxfId="32">
      <calculatedColumnFormula>IFERROR(INT(AO4 - $AS4)/30,"N/A")</calculatedColumnFormula>
    </tableColumn>
    <tableColumn id="205" xr3:uid="{050D4DC5-9565-4AF5-BFEE-2FAFBFC10845}" name="TTE Adjuvant Tx1 Start Date" dataDxfId="31">
      <calculatedColumnFormula>IFERROR(INT(CP4 - $AS4)/30,"N/A")</calculatedColumnFormula>
    </tableColumn>
    <tableColumn id="206" xr3:uid="{08BAE82E-3CA9-43A2-AA22-9E0C5D094B95}" name="TTE Adjuvant Tx1 End Date" dataDxfId="30">
      <calculatedColumnFormula>IFERROR(INT(CQ4 - $AS4)/30,"N/A")</calculatedColumnFormula>
    </tableColumn>
    <tableColumn id="207" xr3:uid="{1C6D6336-F696-4408-B532-A230E8954F31}" name="TTE Date recurrence/ progression 1" dataDxfId="29">
      <calculatedColumnFormula>IFERROR(INT(EI4 - $AS4)/30,"N/A")</calculatedColumnFormula>
    </tableColumn>
    <tableColumn id="208" xr3:uid="{11CA082C-56F3-46F2-9C5C-040F471B27AE}" name="TTE Subsequent Tx1 Start Date" dataDxfId="28">
      <calculatedColumnFormula>IFERROR(INT(EM4 - $AS4)/30,"N/A")</calculatedColumnFormula>
    </tableColumn>
    <tableColumn id="209" xr3:uid="{D7F038C5-AF9A-408F-A2FD-62D8BA186BC8}" name="TTE Subsequent Tx1 End Date" dataDxfId="27">
      <calculatedColumnFormula>IFERROR(INT(EN4 - $AS4)/30,"N/A")</calculatedColumnFormula>
    </tableColumn>
    <tableColumn id="210" xr3:uid="{6052BF49-F1FC-4794-999A-E06F4E95D517}" name="TTE Recurrence (PFS)" dataDxfId="26">
      <calculatedColumnFormula>$GY4</calculatedColumnFormula>
    </tableColumn>
    <tableColumn id="211" xr3:uid="{1B5B3156-8751-42BC-AA76-44E5FC4C441C}" name="TTE Death (OS and PFS)" dataDxfId="25">
      <calculatedColumnFormula>IFERROR(INT(GG4 - $AS4)/30,"N/A")</calculatedColumnFormula>
    </tableColumn>
    <tableColumn id="212" xr3:uid="{F5FA9567-0B37-4636-B413-C8EDC6A1CBCE}" name="TTE Date last follow-up (PFS)" dataDxfId="24">
      <calculatedColumnFormula>IFERROR(INT(GJ4 - $AS4)/30,"N/A")</calculatedColumnFormula>
    </tableColumn>
    <tableColumn id="213" xr3:uid="{3A4890C2-0EB8-4485-BE35-8DBC3C5621D2}" name="TTE Date last seen (OS)" dataDxfId="23">
      <calculatedColumnFormula>IFERROR(INT(GK4 - $AS4)/30,"N/A")</calculatedColumnFormula>
    </tableColumn>
    <tableColumn id="214" xr3:uid="{648A95F1-CD25-4130-A74F-674090B28A28}" name="TTE Overall survival (OS) in months" dataDxfId="22" dataCellStyle="Normal 2">
      <calculatedColumnFormula>SUM($HC4,$HE4)</calculatedColumnFormula>
    </tableColumn>
    <tableColumn id="215" xr3:uid="{D27CB58D-4562-478F-9F46-88ADB01CF938}" name="TTE Progression free survival (PFS) in months" dataDxfId="21" dataCellStyle="Normal 2">
      <calculatedColumnFormula array="1">INDEX($HB4:$HD4,MATCH(TRUE,INDEX(ISNUMBER($HB4:$HD4),0),0))</calculatedColumnFormula>
    </tableColumn>
    <tableColumn id="216" xr3:uid="{BA7775BF-BB0E-4334-889B-8E79DEF579F1}" name="Event (recurrence/progression)" dataDxfId="20" dataCellStyle="Normal 2">
      <calculatedColumnFormula>IF($HB4="N/A",0,1)</calculatedColumnFormula>
    </tableColumn>
    <tableColumn id="217" xr3:uid="{0A09B377-5BED-4342-89DB-BB97D1C070A4}" name="Event (cancer death)" dataDxfId="19" dataCellStyle="Normal 2">
      <calculatedColumnFormula>IF($GH4="Yes",1,0)</calculatedColumnFormula>
    </tableColumn>
    <tableColumn id="218" xr3:uid="{1DCBD77D-4E72-41A6-AECF-3EAE62CBF742}" name="Event (death; all causes)" dataDxfId="18" dataCellStyle="Normal 2">
      <calculatedColumnFormula>IF($HC4="N/A",0,1)</calculatedColumnFormula>
    </tableColumn>
    <tableColumn id="219" xr3:uid="{BAE6E7A2-32E5-4ABE-9056-B40FD87DB90C}" name="Event (recurrence or cancer death)" dataDxfId="17" dataCellStyle="Normal 2">
      <calculatedColumnFormula>IF(OR($HH4=1,$HI4=1),"1","0")</calculatedColumnFormula>
    </tableColumn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F417CE-DF26-4921-A222-D5FA09502FC7}" name="Supplementary_1" displayName="Supplementary_1" ref="A1:O9" totalsRowShown="0" headerRowDxfId="0" dataDxfId="1">
  <autoFilter ref="A1:O9" xr:uid="{D8F417CE-DF26-4921-A222-D5FA09502FC7}"/>
  <tableColumns count="15">
    <tableColumn id="1" xr3:uid="{44139524-D1ED-49D7-B27E-5C4F2B552541}" name="NHS number" dataDxfId="16"/>
    <tableColumn id="2" xr3:uid="{F7E610D6-F2A4-445B-9960-ED3D9CAE7F3D}" name="Donor ID" dataDxfId="15"/>
    <tableColumn id="3" xr3:uid="{2251F5F9-1A39-4FEF-8101-4B6B085E242E}" name="Selected specimen Anonymised ID" dataDxfId="14"/>
    <tableColumn id="4" xr3:uid="{D398DB29-5880-4A07-8D31-1E5658237D28}" name="Specimen used for testing (If different)" dataDxfId="13"/>
    <tableColumn id="5" xr3:uid="{A0D62826-7771-4954-96DA-3E42FF590030}" name="Block used for testing" dataDxfId="12"/>
    <tableColumn id="6" xr3:uid="{60C308A9-2D5A-431A-AF1B-54396190A7EF}" name="EGFR mutation(s)" dataDxfId="11"/>
    <tableColumn id="7" xr3:uid="{8ECB5812-9AF1-4BBF-A963-A1C0F27E9DE0}" name="Detection platform" dataDxfId="10"/>
    <tableColumn id="8" xr3:uid="{709CB63A-B431-47E5-8D7D-AFCDFA5EB402}" name="KRAS mutation" dataDxfId="9"/>
    <tableColumn id="9" xr3:uid="{F423FBEA-7F7D-484D-922C-8ADE891E51EE}" name="NRAS mutation " dataDxfId="8"/>
    <tableColumn id="10" xr3:uid="{FD5CED3D-E110-45B4-A304-346DA6ABBA3F}" name="BRAF muation" dataDxfId="7"/>
    <tableColumn id="11" xr3:uid="{561F7BDA-EC39-46D4-880B-17D4F04CFC64}" name="ALK rearrangement" dataDxfId="6"/>
    <tableColumn id="12" xr3:uid="{FD3F356E-15DD-426C-94D7-8B0966F4A129}" name="PD-L1" dataDxfId="5"/>
    <tableColumn id="13" xr3:uid="{7B26F369-0A2A-4451-AC2A-87DF3537DB97}" name="PD-L1 % positive cells" dataDxfId="4"/>
    <tableColumn id="14" xr3:uid="{157EC4C7-9585-4A41-BD3B-41E4F885C4BD}" name="Other genetic lesions" dataDxfId="3"/>
    <tableColumn id="15" xr3:uid="{C496795A-B0CD-4CE9-8FDE-92BAA143DB3F}" name="Indication" dataDxfId="2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CB22BC-1695-4F56-9502-53B227EFDF84}" name="Table1" displayName="Table1" ref="E1:I10" totalsRowShown="0" headerRowDxfId="247" dataDxfId="246">
  <autoFilter ref="E1:I10" xr:uid="{D6CB22BC-1695-4F56-9502-53B227EFDF84}"/>
  <tableColumns count="5">
    <tableColumn id="1" xr3:uid="{63272864-20E5-4A7C-8D58-41CB534C8CC6}" name="Therapy type" dataDxfId="245"/>
    <tableColumn id="2" xr3:uid="{B73E30ED-C9DE-48F0-B683-FC8FE9EC3B63}" name="Yes/No" dataDxfId="244"/>
    <tableColumn id="3" xr3:uid="{03246ABE-255C-4892-868D-F0AEF1FAC5E9}" name="Matched Normal treatment subgrouping" dataDxfId="243"/>
    <tableColumn id="4" xr3:uid="{85936DCB-2C5F-44AE-84FF-5D7F3DD5CA45}" name="Staging/grading info provided for:" dataDxfId="242"/>
    <tableColumn id="5" xr3:uid="{CE5B5999-5BA0-43D3-9526-3C81CFAB2209}" name="Staging criteria" dataDxfId="241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E0797F-1811-41AF-971B-59A95D79F4C6}" name="error_log" displayName="error_log" ref="A1:C2" insertRow="1" totalsRowShown="0">
  <autoFilter ref="A1:C2" xr:uid="{27E0797F-1811-41AF-971B-59A95D79F4C6}"/>
  <tableColumns count="3">
    <tableColumn id="1" xr3:uid="{D26513B7-111E-4ADB-B4BA-4375584620B6}" name="Row Number" dataDxfId="240"/>
    <tableColumn id="2" xr3:uid="{19DD9611-619F-4101-BAF5-07C38391D82B}" name="NHS Number" dataDxfId="239"/>
    <tableColumn id="3" xr3:uid="{B3D9DA62-E6A7-4805-9EAE-D36FF4359F53}" name="TTE Error Reasoning" dataDxfId="23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F5" dT="2025-07-04T15:14:15.99" personId="{EAB7C061-B927-4127-9F58-976A8F2D232D}" id="{02E80307-0995-4A31-8757-5DC395F9D27C}">
    <text>neoadjuvant is best definition rather than adjuvant as there was no resection. Neither ideal though!</text>
  </threadedComment>
  <threadedComment ref="EO7" dT="2025-07-04T16:15:47.79" personId="{EAB7C061-B927-4127-9F58-976A8F2D232D}" id="{82DCD9ED-E656-4FF7-8DD1-3E7BD1A8475B}">
    <text>23 04 2023</text>
  </threadedComment>
  <threadedComment ref="EO11" dT="2025-07-05T22:04:37.79" personId="{EAB7C061-B927-4127-9F58-976A8F2D232D}" id="{E7D09E71-4CE6-4A7F-93FF-436FBE7C23A3}">
    <text>Epro 29 09 2023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K11"/>
  <sheetViews>
    <sheetView zoomScale="85" zoomScaleNormal="85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D3" sqref="D3"/>
    </sheetView>
  </sheetViews>
  <sheetFormatPr defaultColWidth="9.1796875" defaultRowHeight="15" customHeight="1" outlineLevelCol="1" x14ac:dyDescent="0.3"/>
  <cols>
    <col min="1" max="1" width="13.26953125" style="3" customWidth="1"/>
    <col min="2" max="2" width="19.453125" style="3" customWidth="1"/>
    <col min="3" max="3" width="29.26953125" style="3" customWidth="1"/>
    <col min="4" max="4" width="23" style="3" customWidth="1"/>
    <col min="5" max="5" width="30.1796875" style="3" customWidth="1"/>
    <col min="6" max="7" width="23.453125" style="3" customWidth="1"/>
    <col min="8" max="8" width="20.81640625" style="58" customWidth="1"/>
    <col min="9" max="9" width="25.54296875" style="3" customWidth="1"/>
    <col min="10" max="10" width="20.26953125" style="3" customWidth="1"/>
    <col min="11" max="11" width="19.7265625" style="58" customWidth="1"/>
    <col min="12" max="12" width="18.7265625" style="3" customWidth="1"/>
    <col min="13" max="13" width="27.26953125" style="3" customWidth="1"/>
    <col min="14" max="14" width="26.453125" style="3" customWidth="1"/>
    <col min="15" max="15" width="18.453125" style="3" customWidth="1"/>
    <col min="16" max="16" width="25.7265625" style="58" customWidth="1"/>
    <col min="17" max="17" width="33.453125" style="3" customWidth="1"/>
    <col min="18" max="18" width="27.26953125" style="3" customWidth="1" outlineLevel="1"/>
    <col min="19" max="19" width="26.453125" style="3" customWidth="1" outlineLevel="1"/>
    <col min="20" max="20" width="18.453125" style="3" customWidth="1" outlineLevel="1"/>
    <col min="21" max="21" width="25.7265625" style="58" customWidth="1" outlineLevel="1"/>
    <col min="22" max="22" width="33.453125" style="3" customWidth="1" outlineLevel="1"/>
    <col min="23" max="23" width="27.26953125" style="3" customWidth="1" outlineLevel="1"/>
    <col min="24" max="24" width="26.453125" style="3" customWidth="1" outlineLevel="1"/>
    <col min="25" max="25" width="18.81640625" style="3" customWidth="1" outlineLevel="1"/>
    <col min="26" max="26" width="25.7265625" style="58" customWidth="1" outlineLevel="1"/>
    <col min="27" max="27" width="33.453125" style="3" customWidth="1" outlineLevel="1"/>
    <col min="28" max="28" width="27.26953125" style="3" customWidth="1" outlineLevel="1"/>
    <col min="29" max="29" width="26.453125" style="3" customWidth="1" outlineLevel="1"/>
    <col min="30" max="30" width="18.81640625" style="3" customWidth="1" outlineLevel="1"/>
    <col min="31" max="31" width="25.7265625" style="58" customWidth="1" outlineLevel="1"/>
    <col min="32" max="32" width="33.453125" style="3" customWidth="1" outlineLevel="1"/>
    <col min="33" max="33" width="27.26953125" style="3" customWidth="1" outlineLevel="1"/>
    <col min="34" max="34" width="26.453125" style="3" customWidth="1" outlineLevel="1"/>
    <col min="35" max="35" width="18.81640625" style="3" customWidth="1" outlineLevel="1"/>
    <col min="36" max="36" width="25.7265625" style="58" customWidth="1" outlineLevel="1"/>
    <col min="37" max="37" width="33.453125" style="3" customWidth="1" outlineLevel="1"/>
    <col min="38" max="38" width="25.81640625" style="3" customWidth="1" outlineLevel="1"/>
    <col min="39" max="39" width="32.453125" style="3" customWidth="1" outlineLevel="1"/>
    <col min="40" max="40" width="24.54296875" style="3" customWidth="1" outlineLevel="1"/>
    <col min="41" max="41" width="31.7265625" style="58" customWidth="1" outlineLevel="1"/>
    <col min="42" max="42" width="34.54296875" style="3" customWidth="1" outlineLevel="1"/>
    <col min="43" max="43" width="9.1796875" style="3" customWidth="1"/>
    <col min="44" max="44" width="16" style="61" customWidth="1"/>
    <col min="45" max="45" width="16" style="58" customWidth="1"/>
    <col min="46" max="46" width="16" style="3" customWidth="1"/>
    <col min="47" max="47" width="27.81640625" style="3" customWidth="1"/>
    <col min="48" max="48" width="29.1796875" style="3" customWidth="1"/>
    <col min="49" max="49" width="21.81640625" style="3" customWidth="1"/>
    <col min="50" max="50" width="5" style="3" customWidth="1"/>
    <col min="51" max="51" width="5.453125" style="3" customWidth="1"/>
    <col min="52" max="52" width="5.81640625" style="3" customWidth="1"/>
    <col min="53" max="53" width="15.26953125" style="3" customWidth="1"/>
    <col min="54" max="54" width="21.1796875" style="3" customWidth="1"/>
    <col min="55" max="55" width="7.81640625" style="3" customWidth="1"/>
    <col min="56" max="56" width="14.81640625" style="3" customWidth="1"/>
    <col min="57" max="57" width="11.7265625" style="3" customWidth="1"/>
    <col min="58" max="58" width="22.81640625" style="3" customWidth="1" collapsed="1"/>
    <col min="59" max="59" width="37.7265625" style="59" customWidth="1"/>
    <col min="60" max="60" width="16.1796875" style="3" customWidth="1"/>
    <col min="61" max="61" width="21.1796875" style="3" customWidth="1"/>
    <col min="62" max="62" width="24.1796875" style="58" customWidth="1"/>
    <col min="63" max="63" width="23.453125" style="58" customWidth="1"/>
    <col min="64" max="64" width="29.81640625" style="3" customWidth="1"/>
    <col min="65" max="65" width="16.1796875" style="3" customWidth="1"/>
    <col min="66" max="66" width="21.1796875" style="3" customWidth="1"/>
    <col min="67" max="67" width="30.26953125" style="3" customWidth="1"/>
    <col min="68" max="68" width="16.1796875" style="3" customWidth="1"/>
    <col min="69" max="69" width="21.1796875" style="3" customWidth="1"/>
    <col min="70" max="70" width="30.26953125" style="3" customWidth="1"/>
    <col min="71" max="71" width="16.1796875" style="3" customWidth="1"/>
    <col min="72" max="72" width="21.1796875" style="3" customWidth="1"/>
    <col min="73" max="73" width="30.26953125" style="3" customWidth="1"/>
    <col min="74" max="74" width="16.1796875" style="3" customWidth="1"/>
    <col min="75" max="75" width="21.1796875" style="3" customWidth="1"/>
    <col min="76" max="76" width="30.26953125" style="3" customWidth="1"/>
    <col min="77" max="77" width="16.1796875" style="3" customWidth="1"/>
    <col min="78" max="78" width="21.1796875" style="3" customWidth="1"/>
    <col min="79" max="79" width="30.26953125" style="3" customWidth="1"/>
    <col min="80" max="80" width="16.1796875" style="3" customWidth="1"/>
    <col min="81" max="81" width="21.1796875" style="3" customWidth="1"/>
    <col min="82" max="82" width="30.26953125" style="3" customWidth="1"/>
    <col min="83" max="83" width="16.1796875" style="3" customWidth="1"/>
    <col min="84" max="84" width="21.1796875" style="3" customWidth="1"/>
    <col min="85" max="85" width="30.26953125" style="3" customWidth="1"/>
    <col min="86" max="86" width="16.1796875" style="3" customWidth="1"/>
    <col min="87" max="87" width="21.1796875" style="3" customWidth="1"/>
    <col min="88" max="88" width="30.26953125" style="3" customWidth="1"/>
    <col min="89" max="89" width="17.1796875" style="3" customWidth="1"/>
    <col min="90" max="90" width="22.1796875" style="3" customWidth="1"/>
    <col min="91" max="91" width="30.81640625" style="3" customWidth="1"/>
    <col min="92" max="92" width="15.81640625" style="3" customWidth="1"/>
    <col min="93" max="93" width="18.26953125" style="3" customWidth="1"/>
    <col min="94" max="94" width="21.26953125" style="58" customWidth="1"/>
    <col min="95" max="95" width="20.54296875" style="58" customWidth="1"/>
    <col min="96" max="96" width="27" style="3" customWidth="1"/>
    <col min="97" max="97" width="15.81640625" style="3" customWidth="1"/>
    <col min="98" max="98" width="18.26953125" style="3" customWidth="1"/>
    <col min="99" max="99" width="27.453125" style="3" customWidth="1"/>
    <col min="100" max="100" width="15.81640625" style="3" customWidth="1"/>
    <col min="101" max="101" width="18.26953125" style="3" customWidth="1"/>
    <col min="102" max="102" width="27.453125" style="3" customWidth="1"/>
    <col min="103" max="103" width="15.81640625" style="3" customWidth="1"/>
    <col min="104" max="104" width="18.26953125" style="3" customWidth="1"/>
    <col min="105" max="105" width="27.453125" style="3" customWidth="1"/>
    <col min="106" max="106" width="15.81640625" style="3" customWidth="1"/>
    <col min="107" max="107" width="18.26953125" style="3" customWidth="1"/>
    <col min="108" max="108" width="27.453125" style="3" customWidth="1"/>
    <col min="109" max="109" width="15.81640625" style="3" customWidth="1"/>
    <col min="110" max="110" width="18.26953125" style="3" customWidth="1"/>
    <col min="111" max="111" width="27.453125" style="3" customWidth="1"/>
    <col min="112" max="112" width="15.81640625" style="3" customWidth="1"/>
    <col min="113" max="113" width="18.26953125" style="3" customWidth="1"/>
    <col min="114" max="114" width="27.453125" style="3" customWidth="1"/>
    <col min="115" max="115" width="15.81640625" style="3" customWidth="1"/>
    <col min="116" max="116" width="18.26953125" style="3" customWidth="1"/>
    <col min="117" max="117" width="27.453125" style="3" customWidth="1"/>
    <col min="118" max="118" width="15.81640625" style="3" customWidth="1"/>
    <col min="119" max="119" width="18.26953125" style="3" customWidth="1"/>
    <col min="120" max="120" width="27.453125" style="3" customWidth="1"/>
    <col min="121" max="121" width="15.81640625" style="3" customWidth="1"/>
    <col min="122" max="122" width="19.26953125" style="3" customWidth="1"/>
    <col min="123" max="123" width="28" style="3" customWidth="1"/>
    <col min="124" max="124" width="15.81640625" style="3" customWidth="1"/>
    <col min="125" max="125" width="19.26953125" style="3" customWidth="1"/>
    <col min="126" max="126" width="28" style="3" customWidth="1"/>
    <col min="127" max="127" width="15.81640625" style="3" customWidth="1"/>
    <col min="128" max="128" width="19.26953125" style="3" customWidth="1"/>
    <col min="129" max="129" width="28" style="3" customWidth="1"/>
    <col min="130" max="130" width="15.81640625" style="3" customWidth="1"/>
    <col min="131" max="131" width="19.26953125" style="3" customWidth="1"/>
    <col min="132" max="132" width="28" style="3" customWidth="1"/>
    <col min="133" max="133" width="15.81640625" style="3" customWidth="1"/>
    <col min="134" max="134" width="19.26953125" style="3" customWidth="1"/>
    <col min="135" max="135" width="28" style="3" customWidth="1"/>
    <col min="136" max="136" width="15.81640625" style="3" customWidth="1"/>
    <col min="137" max="137" width="19.26953125" style="3" customWidth="1"/>
    <col min="138" max="138" width="28" style="3" customWidth="1"/>
    <col min="139" max="139" width="27.54296875" style="58" customWidth="1" collapsed="1"/>
    <col min="140" max="140" width="27.54296875" style="3" customWidth="1"/>
    <col min="141" max="141" width="16" style="3" customWidth="1"/>
    <col min="142" max="142" width="20.54296875" style="3" customWidth="1"/>
    <col min="143" max="143" width="23.54296875" style="58" customWidth="1"/>
    <col min="144" max="144" width="25.26953125" style="58" customWidth="1"/>
    <col min="145" max="145" width="31.26953125" style="3" customWidth="1"/>
    <col min="146" max="146" width="16" style="3" customWidth="1"/>
    <col min="147" max="147" width="20.54296875" style="3" customWidth="1"/>
    <col min="148" max="148" width="31.26953125" style="3" customWidth="1"/>
    <col min="149" max="149" width="16" style="3" customWidth="1"/>
    <col min="150" max="150" width="20.54296875" style="3" customWidth="1"/>
    <col min="151" max="151" width="31.26953125" style="3" customWidth="1"/>
    <col min="152" max="152" width="15.453125" style="3" customWidth="1"/>
    <col min="153" max="153" width="20.54296875" style="3" customWidth="1"/>
    <col min="154" max="154" width="31.26953125" style="3" customWidth="1"/>
    <col min="155" max="155" width="15.453125" style="3" customWidth="1"/>
    <col min="156" max="156" width="20.54296875" style="3" customWidth="1"/>
    <col min="157" max="157" width="31.26953125" style="3" customWidth="1"/>
    <col min="158" max="158" width="16" style="3" customWidth="1"/>
    <col min="159" max="159" width="20.54296875" style="3" customWidth="1"/>
    <col min="160" max="160" width="31.26953125" style="3" customWidth="1"/>
    <col min="161" max="161" width="16" style="3" customWidth="1"/>
    <col min="162" max="162" width="20.54296875" style="3" customWidth="1"/>
    <col min="163" max="163" width="31.26953125" style="3" customWidth="1"/>
    <col min="164" max="164" width="16" style="3" customWidth="1"/>
    <col min="165" max="165" width="20.54296875" style="3" customWidth="1"/>
    <col min="166" max="166" width="31.26953125" style="3" customWidth="1"/>
    <col min="167" max="167" width="16" style="3" customWidth="1"/>
    <col min="168" max="168" width="20.54296875" style="3" customWidth="1"/>
    <col min="169" max="169" width="31.26953125" style="3" customWidth="1"/>
    <col min="170" max="170" width="16.453125" style="3" customWidth="1"/>
    <col min="171" max="171" width="21.54296875" style="3" customWidth="1"/>
    <col min="172" max="172" width="32.26953125" style="3" customWidth="1"/>
    <col min="173" max="173" width="16.453125" style="3" customWidth="1"/>
    <col min="174" max="174" width="21.54296875" style="3" customWidth="1"/>
    <col min="175" max="175" width="32.26953125" style="3" customWidth="1"/>
    <col min="176" max="176" width="16.453125" style="3" customWidth="1"/>
    <col min="177" max="177" width="21.54296875" style="3" customWidth="1"/>
    <col min="178" max="178" width="32.26953125" style="3" customWidth="1"/>
    <col min="179" max="179" width="16.453125" style="3" customWidth="1"/>
    <col min="180" max="180" width="21.54296875" style="3" customWidth="1"/>
    <col min="181" max="181" width="32.26953125" style="3" customWidth="1"/>
    <col min="182" max="182" width="16.453125" style="3" customWidth="1"/>
    <col min="183" max="183" width="21.54296875" style="3" customWidth="1"/>
    <col min="184" max="184" width="32.26953125" style="3" customWidth="1"/>
    <col min="185" max="185" width="16.453125" style="3" customWidth="1"/>
    <col min="186" max="186" width="21.54296875" style="3" customWidth="1"/>
    <col min="187" max="187" width="32.26953125" style="3" customWidth="1"/>
    <col min="188" max="188" width="14.26953125" style="3" customWidth="1"/>
    <col min="189" max="189" width="15.81640625" style="58" customWidth="1"/>
    <col min="190" max="190" width="20.1796875" style="3" customWidth="1"/>
    <col min="191" max="191" width="19" style="3" customWidth="1"/>
    <col min="192" max="192" width="17.7265625" style="58" customWidth="1"/>
    <col min="193" max="193" width="14.453125" style="58" customWidth="1"/>
    <col min="194" max="194" width="25.81640625" style="58" customWidth="1"/>
    <col min="195" max="195" width="27" style="3" customWidth="1"/>
    <col min="196" max="196" width="26.26953125" style="3" customWidth="1"/>
    <col min="197" max="197" width="23.7265625" style="3" customWidth="1"/>
    <col min="198" max="198" width="22.54296875" style="3" customWidth="1"/>
    <col min="199" max="203" width="28.54296875" style="3" customWidth="1"/>
    <col min="204" max="204" width="34.54296875" style="3" customWidth="1"/>
    <col min="205" max="205" width="24.1796875" style="3" customWidth="1"/>
    <col min="206" max="206" width="23.453125" style="3" customWidth="1"/>
    <col min="207" max="207" width="30.453125" style="3" customWidth="1"/>
    <col min="208" max="208" width="26.453125" style="3" customWidth="1"/>
    <col min="209" max="209" width="25.54296875" style="3" customWidth="1"/>
    <col min="210" max="210" width="19.1796875" style="3" customWidth="1"/>
    <col min="211" max="211" width="20.453125" style="3" customWidth="1"/>
    <col min="212" max="212" width="24.54296875" style="3" customWidth="1"/>
    <col min="213" max="213" width="20.36328125" style="3" customWidth="1"/>
    <col min="214" max="214" width="29.26953125" style="3" customWidth="1"/>
    <col min="215" max="215" width="37" style="3" customWidth="1"/>
    <col min="216" max="216" width="27.54296875" style="3" customWidth="1"/>
    <col min="217" max="217" width="19" style="3" customWidth="1"/>
    <col min="218" max="218" width="21.1796875" style="3" customWidth="1"/>
    <col min="219" max="219" width="29.08984375" style="3" customWidth="1"/>
    <col min="220" max="16384" width="9.1796875" style="3"/>
  </cols>
  <sheetData>
    <row r="1" spans="1:219" ht="15" customHeight="1" x14ac:dyDescent="0.4">
      <c r="A1" s="1" t="s">
        <v>0</v>
      </c>
      <c r="B1" s="73"/>
      <c r="C1" s="73"/>
      <c r="D1" s="73"/>
      <c r="E1" s="73"/>
      <c r="F1" s="73"/>
      <c r="G1" s="73"/>
      <c r="H1" s="74"/>
      <c r="I1" s="73"/>
      <c r="J1" s="73"/>
      <c r="K1" s="74"/>
      <c r="L1" s="73"/>
      <c r="M1" s="73"/>
      <c r="N1" s="73"/>
      <c r="O1" s="73"/>
      <c r="P1" s="74"/>
      <c r="Q1" s="73"/>
      <c r="R1" s="73"/>
      <c r="S1" s="73"/>
      <c r="T1" s="73"/>
      <c r="U1" s="74"/>
      <c r="V1" s="73"/>
      <c r="W1" s="73"/>
      <c r="X1" s="73"/>
      <c r="Y1" s="73"/>
      <c r="Z1" s="74"/>
      <c r="AA1" s="73"/>
      <c r="AB1" s="73"/>
      <c r="AC1" s="73"/>
      <c r="AD1" s="73"/>
      <c r="AE1" s="74"/>
      <c r="AF1" s="73"/>
      <c r="AG1" s="73"/>
      <c r="AH1" s="73"/>
      <c r="AI1" s="73"/>
      <c r="AJ1" s="74"/>
      <c r="AK1" s="73"/>
      <c r="AL1" s="73"/>
      <c r="AM1" s="73"/>
      <c r="AN1" s="73"/>
      <c r="AO1" s="74"/>
      <c r="AP1" s="73"/>
      <c r="AQ1" s="73"/>
      <c r="AR1" s="75"/>
      <c r="AS1" s="74"/>
      <c r="AT1" s="73"/>
      <c r="AU1" s="73"/>
      <c r="AV1" s="73"/>
      <c r="AW1" s="73"/>
      <c r="AX1" s="73"/>
      <c r="AY1" s="73"/>
      <c r="AZ1" s="73"/>
      <c r="BA1" s="73"/>
      <c r="BB1" s="73"/>
      <c r="BC1" s="73"/>
      <c r="BD1" s="73"/>
      <c r="BE1" s="73"/>
      <c r="BF1" s="73"/>
      <c r="BG1" s="76"/>
      <c r="BH1" s="73"/>
      <c r="BI1" s="73"/>
      <c r="BJ1" s="74"/>
      <c r="BK1" s="74"/>
      <c r="BL1" s="73"/>
      <c r="BM1" s="73"/>
      <c r="BN1" s="73"/>
      <c r="BO1" s="73"/>
      <c r="BP1" s="73"/>
      <c r="BQ1" s="73"/>
      <c r="BR1" s="73"/>
      <c r="BS1" s="73"/>
      <c r="BT1" s="73"/>
      <c r="BU1" s="73"/>
      <c r="BV1" s="73"/>
      <c r="BW1" s="73"/>
      <c r="BX1" s="73"/>
      <c r="BY1" s="73"/>
      <c r="BZ1" s="73"/>
      <c r="CA1" s="73"/>
      <c r="CB1" s="73"/>
      <c r="CC1" s="73"/>
      <c r="CD1" s="73"/>
      <c r="CE1" s="73"/>
      <c r="CF1" s="73"/>
      <c r="CG1" s="73"/>
      <c r="CH1" s="73"/>
      <c r="CI1" s="73"/>
      <c r="CJ1" s="73"/>
      <c r="CK1" s="73"/>
      <c r="CL1" s="73"/>
      <c r="CM1" s="73"/>
      <c r="CN1" s="73"/>
      <c r="CO1" s="73"/>
      <c r="CP1" s="74"/>
      <c r="CQ1" s="74"/>
      <c r="CR1" s="73"/>
      <c r="CS1" s="73"/>
      <c r="CT1" s="73"/>
      <c r="CU1" s="73"/>
      <c r="CV1" s="73"/>
      <c r="CW1" s="73"/>
      <c r="CX1" s="73"/>
      <c r="CY1" s="73"/>
      <c r="CZ1" s="73"/>
      <c r="DA1" s="73"/>
      <c r="DB1" s="73"/>
      <c r="DC1" s="73"/>
      <c r="DD1" s="73"/>
      <c r="DE1" s="73"/>
      <c r="DF1" s="73"/>
      <c r="DG1" s="73"/>
      <c r="DH1" s="73"/>
      <c r="DI1" s="73"/>
      <c r="DJ1" s="73"/>
      <c r="DK1" s="73"/>
      <c r="DL1" s="73"/>
      <c r="DM1" s="73"/>
      <c r="DN1" s="73"/>
      <c r="DO1" s="73"/>
      <c r="DP1" s="73"/>
      <c r="DQ1" s="73"/>
      <c r="DR1" s="73"/>
      <c r="DS1" s="73"/>
      <c r="DT1" s="73"/>
      <c r="DU1" s="73"/>
      <c r="DV1" s="73"/>
      <c r="DW1" s="73"/>
      <c r="DX1" s="73"/>
      <c r="DY1" s="73"/>
      <c r="DZ1" s="73"/>
      <c r="EA1" s="73"/>
      <c r="EB1" s="73"/>
      <c r="EC1" s="73"/>
      <c r="ED1" s="73"/>
      <c r="EE1" s="73"/>
      <c r="EF1" s="73"/>
      <c r="EG1" s="73"/>
      <c r="EH1" s="73"/>
      <c r="EI1" s="74"/>
      <c r="EJ1" s="73"/>
      <c r="EK1" s="73"/>
      <c r="EL1" s="73"/>
      <c r="EM1" s="74"/>
      <c r="EN1" s="74"/>
      <c r="EO1" s="73"/>
      <c r="EP1" s="73"/>
      <c r="EQ1" s="73"/>
      <c r="ER1" s="73"/>
      <c r="ES1" s="73"/>
      <c r="ET1" s="73"/>
      <c r="EU1" s="73"/>
      <c r="EV1" s="73"/>
      <c r="EW1" s="73"/>
      <c r="EX1" s="73"/>
      <c r="EY1" s="73"/>
      <c r="EZ1" s="73"/>
      <c r="FA1" s="73"/>
      <c r="FB1" s="73"/>
      <c r="FC1" s="73"/>
      <c r="FD1" s="73"/>
      <c r="FE1" s="73"/>
      <c r="FF1" s="73"/>
      <c r="FG1" s="73"/>
      <c r="FH1" s="73"/>
      <c r="FI1" s="73"/>
      <c r="FJ1" s="73"/>
      <c r="FK1" s="73"/>
      <c r="FL1" s="73"/>
      <c r="FM1" s="73"/>
      <c r="FN1" s="73"/>
      <c r="FO1" s="73"/>
      <c r="FP1" s="73"/>
      <c r="FQ1" s="73"/>
      <c r="FR1" s="73"/>
      <c r="FS1" s="73"/>
      <c r="FT1" s="73"/>
      <c r="FU1" s="73"/>
      <c r="FV1" s="73"/>
      <c r="FW1" s="73"/>
      <c r="FX1" s="73"/>
      <c r="FY1" s="73"/>
      <c r="FZ1" s="73"/>
      <c r="GA1" s="73"/>
      <c r="GB1" s="73"/>
      <c r="GC1" s="73"/>
      <c r="GD1" s="73"/>
      <c r="GE1" s="73"/>
      <c r="GF1" s="73"/>
      <c r="GG1" s="74"/>
      <c r="GH1" s="73"/>
      <c r="GI1" s="73"/>
      <c r="GJ1" s="74"/>
      <c r="GK1" s="74"/>
      <c r="GL1" s="74"/>
      <c r="GM1" s="73"/>
      <c r="GN1" s="73"/>
      <c r="GO1" s="73"/>
      <c r="GP1" s="73"/>
      <c r="GQ1" s="73"/>
      <c r="GR1" s="73"/>
      <c r="GS1" s="73"/>
      <c r="GT1" s="73"/>
      <c r="GU1" s="73"/>
      <c r="GV1" s="73"/>
      <c r="GW1" s="73"/>
      <c r="GX1" s="73"/>
      <c r="GY1" s="73"/>
      <c r="GZ1" s="73"/>
      <c r="HA1" s="73"/>
      <c r="HB1" s="73"/>
      <c r="HC1" s="73"/>
      <c r="HD1" s="73"/>
      <c r="HE1" s="73"/>
      <c r="HF1" s="73"/>
      <c r="HG1" s="73"/>
      <c r="HH1" s="73"/>
      <c r="HI1" s="73"/>
      <c r="HJ1" s="73"/>
      <c r="HK1" s="73"/>
    </row>
    <row r="2" spans="1:219" ht="15" customHeight="1" x14ac:dyDescent="0.45">
      <c r="A2" s="2"/>
      <c r="B2" s="73"/>
      <c r="C2" s="73"/>
      <c r="D2" s="73"/>
      <c r="E2" s="73"/>
      <c r="F2" s="73"/>
      <c r="G2" s="73"/>
      <c r="H2" s="74"/>
      <c r="I2" s="73"/>
      <c r="J2" s="73"/>
      <c r="K2" s="74"/>
      <c r="L2" s="73"/>
      <c r="M2" s="73"/>
      <c r="N2" s="73"/>
      <c r="O2" s="73"/>
      <c r="P2" s="74"/>
      <c r="Q2" s="73"/>
      <c r="R2" s="73"/>
      <c r="S2" s="73"/>
      <c r="T2" s="73"/>
      <c r="U2" s="74"/>
      <c r="V2" s="73"/>
      <c r="W2" s="73"/>
      <c r="X2" s="73"/>
      <c r="Y2" s="73"/>
      <c r="Z2" s="74"/>
      <c r="AA2" s="73"/>
      <c r="AB2" s="73"/>
      <c r="AC2" s="73"/>
      <c r="AD2" s="73"/>
      <c r="AE2" s="74"/>
      <c r="AF2" s="73"/>
      <c r="AG2" s="73"/>
      <c r="AH2" s="73"/>
      <c r="AI2" s="73"/>
      <c r="AJ2" s="74"/>
      <c r="AK2" s="73"/>
      <c r="AL2" s="73"/>
      <c r="AM2" s="73"/>
      <c r="AN2" s="73"/>
      <c r="AO2" s="74"/>
      <c r="AP2" s="73"/>
      <c r="AQ2" s="73"/>
      <c r="AR2" s="75"/>
      <c r="AS2" s="74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6"/>
      <c r="BH2" s="73"/>
      <c r="BI2" s="73"/>
      <c r="BJ2" s="74"/>
      <c r="BK2" s="74"/>
      <c r="BL2" s="73"/>
      <c r="BM2" s="73"/>
      <c r="BN2" s="73"/>
      <c r="BO2" s="73"/>
      <c r="BP2" s="73"/>
      <c r="BQ2" s="73"/>
      <c r="BR2" s="73"/>
      <c r="BS2" s="73"/>
      <c r="BT2" s="73"/>
      <c r="BU2" s="73"/>
      <c r="BV2" s="73"/>
      <c r="BW2" s="73"/>
      <c r="BX2" s="73"/>
      <c r="BY2" s="73"/>
      <c r="BZ2" s="73"/>
      <c r="CA2" s="73"/>
      <c r="CB2" s="73"/>
      <c r="CC2" s="73"/>
      <c r="CD2" s="73"/>
      <c r="CE2" s="73"/>
      <c r="CF2" s="73"/>
      <c r="CG2" s="73"/>
      <c r="CH2" s="73"/>
      <c r="CI2" s="73"/>
      <c r="CJ2" s="73"/>
      <c r="CK2" s="73"/>
      <c r="CL2" s="73"/>
      <c r="CM2" s="73"/>
      <c r="CN2" s="73"/>
      <c r="CO2" s="73"/>
      <c r="CP2" s="74"/>
      <c r="CQ2" s="74"/>
      <c r="CR2" s="73"/>
      <c r="CS2" s="73"/>
      <c r="CT2" s="73"/>
      <c r="CU2" s="73"/>
      <c r="CV2" s="73"/>
      <c r="CW2" s="73"/>
      <c r="CX2" s="73"/>
      <c r="CY2" s="73"/>
      <c r="CZ2" s="73"/>
      <c r="DA2" s="73"/>
      <c r="DB2" s="73"/>
      <c r="DC2" s="73"/>
      <c r="DD2" s="73"/>
      <c r="DE2" s="73"/>
      <c r="DF2" s="73"/>
      <c r="DG2" s="73"/>
      <c r="DH2" s="73"/>
      <c r="DI2" s="73"/>
      <c r="DJ2" s="73"/>
      <c r="DK2" s="73"/>
      <c r="DL2" s="73"/>
      <c r="DM2" s="73"/>
      <c r="DN2" s="73"/>
      <c r="DO2" s="73"/>
      <c r="DP2" s="73"/>
      <c r="DQ2" s="73"/>
      <c r="DR2" s="73"/>
      <c r="DS2" s="73"/>
      <c r="DT2" s="73"/>
      <c r="DU2" s="73"/>
      <c r="DV2" s="73"/>
      <c r="DW2" s="73"/>
      <c r="DX2" s="73"/>
      <c r="DY2" s="73"/>
      <c r="DZ2" s="73"/>
      <c r="EA2" s="73"/>
      <c r="EB2" s="73"/>
      <c r="EC2" s="73"/>
      <c r="ED2" s="73"/>
      <c r="EE2" s="73"/>
      <c r="EF2" s="73"/>
      <c r="EG2" s="73"/>
      <c r="EH2" s="73"/>
      <c r="EI2" s="74"/>
      <c r="EJ2" s="73"/>
      <c r="EK2" s="73"/>
      <c r="EL2" s="73"/>
      <c r="EM2" s="74"/>
      <c r="EN2" s="74"/>
      <c r="EO2" s="73"/>
      <c r="EP2" s="73"/>
      <c r="EQ2" s="73"/>
      <c r="ER2" s="73"/>
      <c r="ES2" s="73"/>
      <c r="ET2" s="73"/>
      <c r="EU2" s="73"/>
      <c r="EV2" s="73"/>
      <c r="EW2" s="73"/>
      <c r="EX2" s="73"/>
      <c r="EY2" s="73"/>
      <c r="EZ2" s="73"/>
      <c r="FA2" s="73"/>
      <c r="FB2" s="73"/>
      <c r="FC2" s="73"/>
      <c r="FD2" s="73"/>
      <c r="FE2" s="73"/>
      <c r="FF2" s="73"/>
      <c r="FG2" s="73"/>
      <c r="FH2" s="73"/>
      <c r="FI2" s="73"/>
      <c r="FJ2" s="73"/>
      <c r="FK2" s="73"/>
      <c r="FL2" s="73"/>
      <c r="FM2" s="73"/>
      <c r="FN2" s="73"/>
      <c r="FO2" s="73"/>
      <c r="FP2" s="73"/>
      <c r="FQ2" s="73"/>
      <c r="FR2" s="73"/>
      <c r="FS2" s="73"/>
      <c r="FT2" s="73"/>
      <c r="FU2" s="73"/>
      <c r="FV2" s="73"/>
      <c r="FW2" s="73"/>
      <c r="FX2" s="73"/>
      <c r="FY2" s="73"/>
      <c r="FZ2" s="73"/>
      <c r="GA2" s="73"/>
      <c r="GB2" s="73"/>
      <c r="GC2" s="73"/>
      <c r="GD2" s="73"/>
      <c r="GE2" s="73"/>
      <c r="GF2" s="73"/>
      <c r="GG2" s="74"/>
      <c r="GH2" s="73"/>
      <c r="GI2" s="73"/>
      <c r="GJ2" s="74"/>
      <c r="GK2" s="74"/>
      <c r="GL2" s="74"/>
      <c r="GM2" s="73"/>
      <c r="GN2" s="73"/>
      <c r="GO2" s="73"/>
      <c r="GP2" s="73"/>
      <c r="GQ2" s="73"/>
      <c r="GR2" s="73"/>
      <c r="GS2" s="73"/>
      <c r="GT2" s="73"/>
      <c r="GU2" s="73"/>
      <c r="GV2" s="73"/>
      <c r="GW2" s="73"/>
      <c r="GX2" s="73"/>
      <c r="GY2" s="73"/>
      <c r="GZ2" s="73"/>
      <c r="HA2" s="73"/>
      <c r="HB2" s="73"/>
      <c r="HC2" s="73"/>
      <c r="HD2" s="73"/>
      <c r="HE2" s="73"/>
      <c r="HF2" s="73"/>
      <c r="HG2" s="73"/>
      <c r="HH2" s="73"/>
      <c r="HI2" s="73"/>
      <c r="HJ2" s="73"/>
      <c r="HK2" s="73"/>
    </row>
    <row r="3" spans="1:219" ht="57.75" customHeight="1" x14ac:dyDescent="0.3">
      <c r="A3" s="89" t="s">
        <v>1</v>
      </c>
      <c r="B3" s="90" t="s">
        <v>2</v>
      </c>
      <c r="C3" s="90" t="s">
        <v>3</v>
      </c>
      <c r="D3" s="91" t="s">
        <v>4</v>
      </c>
      <c r="E3" s="91" t="s">
        <v>5</v>
      </c>
      <c r="F3" s="91" t="s">
        <v>6</v>
      </c>
      <c r="G3" s="91" t="s">
        <v>7</v>
      </c>
      <c r="H3" s="92" t="s">
        <v>8</v>
      </c>
      <c r="I3" s="91" t="s">
        <v>9</v>
      </c>
      <c r="J3" s="91" t="s">
        <v>10</v>
      </c>
      <c r="K3" s="92" t="s">
        <v>11</v>
      </c>
      <c r="L3" s="90" t="s">
        <v>12</v>
      </c>
      <c r="M3" s="93" t="s">
        <v>13</v>
      </c>
      <c r="N3" s="93" t="s">
        <v>14</v>
      </c>
      <c r="O3" s="93" t="s">
        <v>15</v>
      </c>
      <c r="P3" s="94" t="s">
        <v>16</v>
      </c>
      <c r="Q3" s="95" t="s">
        <v>17</v>
      </c>
      <c r="R3" s="93" t="s">
        <v>18</v>
      </c>
      <c r="S3" s="93" t="s">
        <v>19</v>
      </c>
      <c r="T3" s="93" t="s">
        <v>20</v>
      </c>
      <c r="U3" s="94" t="s">
        <v>21</v>
      </c>
      <c r="V3" s="95" t="s">
        <v>22</v>
      </c>
      <c r="W3" s="93" t="s">
        <v>23</v>
      </c>
      <c r="X3" s="93" t="s">
        <v>24</v>
      </c>
      <c r="Y3" s="93" t="s">
        <v>25</v>
      </c>
      <c r="Z3" s="94" t="s">
        <v>26</v>
      </c>
      <c r="AA3" s="95" t="s">
        <v>27</v>
      </c>
      <c r="AB3" s="93" t="s">
        <v>28</v>
      </c>
      <c r="AC3" s="93" t="s">
        <v>29</v>
      </c>
      <c r="AD3" s="93" t="s">
        <v>30</v>
      </c>
      <c r="AE3" s="94" t="s">
        <v>31</v>
      </c>
      <c r="AF3" s="95" t="s">
        <v>32</v>
      </c>
      <c r="AG3" s="93" t="s">
        <v>33</v>
      </c>
      <c r="AH3" s="93" t="s">
        <v>34</v>
      </c>
      <c r="AI3" s="93" t="s">
        <v>35</v>
      </c>
      <c r="AJ3" s="94" t="s">
        <v>36</v>
      </c>
      <c r="AK3" s="95" t="s">
        <v>37</v>
      </c>
      <c r="AL3" s="93" t="s">
        <v>38</v>
      </c>
      <c r="AM3" s="93" t="s">
        <v>39</v>
      </c>
      <c r="AN3" s="93" t="s">
        <v>40</v>
      </c>
      <c r="AO3" s="94" t="s">
        <v>41</v>
      </c>
      <c r="AP3" s="95" t="s">
        <v>42</v>
      </c>
      <c r="AQ3" s="91" t="s">
        <v>43</v>
      </c>
      <c r="AR3" s="96" t="s">
        <v>44</v>
      </c>
      <c r="AS3" s="97" t="s">
        <v>45</v>
      </c>
      <c r="AT3" s="98" t="s">
        <v>46</v>
      </c>
      <c r="AU3" s="99" t="s">
        <v>47</v>
      </c>
      <c r="AV3" s="99" t="s">
        <v>48</v>
      </c>
      <c r="AW3" s="98" t="s">
        <v>49</v>
      </c>
      <c r="AX3" s="98" t="s">
        <v>50</v>
      </c>
      <c r="AY3" s="98" t="s">
        <v>51</v>
      </c>
      <c r="AZ3" s="98" t="s">
        <v>52</v>
      </c>
      <c r="BA3" s="98" t="s">
        <v>53</v>
      </c>
      <c r="BB3" s="99" t="s">
        <v>54</v>
      </c>
      <c r="BC3" s="99" t="s">
        <v>55</v>
      </c>
      <c r="BD3" s="99" t="s">
        <v>56</v>
      </c>
      <c r="BE3" s="100" t="s">
        <v>57</v>
      </c>
      <c r="BF3" s="101" t="s">
        <v>58</v>
      </c>
      <c r="BG3" s="102" t="s">
        <v>59</v>
      </c>
      <c r="BH3" s="103" t="s">
        <v>60</v>
      </c>
      <c r="BI3" s="103" t="s">
        <v>61</v>
      </c>
      <c r="BJ3" s="104" t="s">
        <v>62</v>
      </c>
      <c r="BK3" s="104" t="s">
        <v>63</v>
      </c>
      <c r="BL3" s="103" t="s">
        <v>64</v>
      </c>
      <c r="BM3" s="103" t="s">
        <v>65</v>
      </c>
      <c r="BN3" s="103" t="s">
        <v>66</v>
      </c>
      <c r="BO3" s="103" t="s">
        <v>67</v>
      </c>
      <c r="BP3" s="103" t="s">
        <v>68</v>
      </c>
      <c r="BQ3" s="103" t="s">
        <v>69</v>
      </c>
      <c r="BR3" s="103" t="s">
        <v>70</v>
      </c>
      <c r="BS3" s="103" t="s">
        <v>71</v>
      </c>
      <c r="BT3" s="103" t="s">
        <v>72</v>
      </c>
      <c r="BU3" s="103" t="s">
        <v>73</v>
      </c>
      <c r="BV3" s="103" t="s">
        <v>74</v>
      </c>
      <c r="BW3" s="103" t="s">
        <v>75</v>
      </c>
      <c r="BX3" s="103" t="s">
        <v>76</v>
      </c>
      <c r="BY3" s="103" t="s">
        <v>77</v>
      </c>
      <c r="BZ3" s="103" t="s">
        <v>78</v>
      </c>
      <c r="CA3" s="103" t="s">
        <v>79</v>
      </c>
      <c r="CB3" s="103" t="s">
        <v>80</v>
      </c>
      <c r="CC3" s="103" t="s">
        <v>81</v>
      </c>
      <c r="CD3" s="103" t="s">
        <v>82</v>
      </c>
      <c r="CE3" s="103" t="s">
        <v>83</v>
      </c>
      <c r="CF3" s="103" t="s">
        <v>84</v>
      </c>
      <c r="CG3" s="103" t="s">
        <v>85</v>
      </c>
      <c r="CH3" s="103" t="s">
        <v>86</v>
      </c>
      <c r="CI3" s="103" t="s">
        <v>87</v>
      </c>
      <c r="CJ3" s="103" t="s">
        <v>88</v>
      </c>
      <c r="CK3" s="103" t="s">
        <v>89</v>
      </c>
      <c r="CL3" s="103" t="s">
        <v>90</v>
      </c>
      <c r="CM3" s="103" t="s">
        <v>91</v>
      </c>
      <c r="CN3" s="105" t="s">
        <v>92</v>
      </c>
      <c r="CO3" s="105" t="s">
        <v>93</v>
      </c>
      <c r="CP3" s="106" t="s">
        <v>94</v>
      </c>
      <c r="CQ3" s="106" t="s">
        <v>95</v>
      </c>
      <c r="CR3" s="105" t="s">
        <v>96</v>
      </c>
      <c r="CS3" s="105" t="s">
        <v>97</v>
      </c>
      <c r="CT3" s="105" t="s">
        <v>98</v>
      </c>
      <c r="CU3" s="105" t="s">
        <v>99</v>
      </c>
      <c r="CV3" s="105" t="s">
        <v>100</v>
      </c>
      <c r="CW3" s="105" t="s">
        <v>101</v>
      </c>
      <c r="CX3" s="105" t="s">
        <v>102</v>
      </c>
      <c r="CY3" s="105" t="s">
        <v>103</v>
      </c>
      <c r="CZ3" s="105" t="s">
        <v>104</v>
      </c>
      <c r="DA3" s="105" t="s">
        <v>105</v>
      </c>
      <c r="DB3" s="105" t="s">
        <v>106</v>
      </c>
      <c r="DC3" s="105" t="s">
        <v>107</v>
      </c>
      <c r="DD3" s="105" t="s">
        <v>108</v>
      </c>
      <c r="DE3" s="105" t="s">
        <v>109</v>
      </c>
      <c r="DF3" s="105" t="s">
        <v>110</v>
      </c>
      <c r="DG3" s="105" t="s">
        <v>111</v>
      </c>
      <c r="DH3" s="105" t="s">
        <v>112</v>
      </c>
      <c r="DI3" s="105" t="s">
        <v>113</v>
      </c>
      <c r="DJ3" s="105" t="s">
        <v>114</v>
      </c>
      <c r="DK3" s="105" t="s">
        <v>115</v>
      </c>
      <c r="DL3" s="105" t="s">
        <v>116</v>
      </c>
      <c r="DM3" s="105" t="s">
        <v>117</v>
      </c>
      <c r="DN3" s="105" t="s">
        <v>118</v>
      </c>
      <c r="DO3" s="105" t="s">
        <v>119</v>
      </c>
      <c r="DP3" s="105" t="s">
        <v>120</v>
      </c>
      <c r="DQ3" s="105" t="s">
        <v>121</v>
      </c>
      <c r="DR3" s="105" t="s">
        <v>122</v>
      </c>
      <c r="DS3" s="105" t="s">
        <v>123</v>
      </c>
      <c r="DT3" s="105" t="s">
        <v>124</v>
      </c>
      <c r="DU3" s="105" t="s">
        <v>125</v>
      </c>
      <c r="DV3" s="105" t="s">
        <v>126</v>
      </c>
      <c r="DW3" s="105" t="s">
        <v>127</v>
      </c>
      <c r="DX3" s="105" t="s">
        <v>128</v>
      </c>
      <c r="DY3" s="105" t="s">
        <v>129</v>
      </c>
      <c r="DZ3" s="105" t="s">
        <v>130</v>
      </c>
      <c r="EA3" s="105" t="s">
        <v>131</v>
      </c>
      <c r="EB3" s="105" t="s">
        <v>132</v>
      </c>
      <c r="EC3" s="105" t="s">
        <v>133</v>
      </c>
      <c r="ED3" s="105" t="s">
        <v>134</v>
      </c>
      <c r="EE3" s="105" t="s">
        <v>135</v>
      </c>
      <c r="EF3" s="105" t="s">
        <v>136</v>
      </c>
      <c r="EG3" s="105" t="s">
        <v>137</v>
      </c>
      <c r="EH3" s="105" t="s">
        <v>138</v>
      </c>
      <c r="EI3" s="107" t="s">
        <v>139</v>
      </c>
      <c r="EJ3" s="108" t="s">
        <v>140</v>
      </c>
      <c r="EK3" s="109" t="s">
        <v>141</v>
      </c>
      <c r="EL3" s="109" t="s">
        <v>142</v>
      </c>
      <c r="EM3" s="110" t="s">
        <v>143</v>
      </c>
      <c r="EN3" s="110" t="s">
        <v>144</v>
      </c>
      <c r="EO3" s="109" t="s">
        <v>145</v>
      </c>
      <c r="EP3" s="109" t="s">
        <v>146</v>
      </c>
      <c r="EQ3" s="109" t="s">
        <v>147</v>
      </c>
      <c r="ER3" s="109" t="s">
        <v>148</v>
      </c>
      <c r="ES3" s="109" t="s">
        <v>149</v>
      </c>
      <c r="ET3" s="109" t="s">
        <v>150</v>
      </c>
      <c r="EU3" s="109" t="s">
        <v>151</v>
      </c>
      <c r="EV3" s="109" t="s">
        <v>152</v>
      </c>
      <c r="EW3" s="109" t="s">
        <v>153</v>
      </c>
      <c r="EX3" s="109" t="s">
        <v>154</v>
      </c>
      <c r="EY3" s="109" t="s">
        <v>155</v>
      </c>
      <c r="EZ3" s="109" t="s">
        <v>156</v>
      </c>
      <c r="FA3" s="109" t="s">
        <v>157</v>
      </c>
      <c r="FB3" s="109" t="s">
        <v>158</v>
      </c>
      <c r="FC3" s="109" t="s">
        <v>159</v>
      </c>
      <c r="FD3" s="109" t="s">
        <v>160</v>
      </c>
      <c r="FE3" s="109" t="s">
        <v>161</v>
      </c>
      <c r="FF3" s="109" t="s">
        <v>162</v>
      </c>
      <c r="FG3" s="109" t="s">
        <v>163</v>
      </c>
      <c r="FH3" s="109" t="s">
        <v>164</v>
      </c>
      <c r="FI3" s="109" t="s">
        <v>165</v>
      </c>
      <c r="FJ3" s="109" t="s">
        <v>166</v>
      </c>
      <c r="FK3" s="109" t="s">
        <v>167</v>
      </c>
      <c r="FL3" s="109" t="s">
        <v>168</v>
      </c>
      <c r="FM3" s="109" t="s">
        <v>169</v>
      </c>
      <c r="FN3" s="109" t="s">
        <v>170</v>
      </c>
      <c r="FO3" s="109" t="s">
        <v>171</v>
      </c>
      <c r="FP3" s="109" t="s">
        <v>172</v>
      </c>
      <c r="FQ3" s="109" t="s">
        <v>173</v>
      </c>
      <c r="FR3" s="109" t="s">
        <v>174</v>
      </c>
      <c r="FS3" s="109" t="s">
        <v>175</v>
      </c>
      <c r="FT3" s="109" t="s">
        <v>176</v>
      </c>
      <c r="FU3" s="109" t="s">
        <v>177</v>
      </c>
      <c r="FV3" s="109" t="s">
        <v>178</v>
      </c>
      <c r="FW3" s="109" t="s">
        <v>179</v>
      </c>
      <c r="FX3" s="109" t="s">
        <v>180</v>
      </c>
      <c r="FY3" s="109" t="s">
        <v>181</v>
      </c>
      <c r="FZ3" s="109" t="s">
        <v>182</v>
      </c>
      <c r="GA3" s="109" t="s">
        <v>183</v>
      </c>
      <c r="GB3" s="109" t="s">
        <v>184</v>
      </c>
      <c r="GC3" s="109" t="s">
        <v>185</v>
      </c>
      <c r="GD3" s="109" t="s">
        <v>186</v>
      </c>
      <c r="GE3" s="109" t="s">
        <v>187</v>
      </c>
      <c r="GF3" s="111" t="s">
        <v>188</v>
      </c>
      <c r="GG3" s="112" t="s">
        <v>189</v>
      </c>
      <c r="GH3" s="113" t="s">
        <v>190</v>
      </c>
      <c r="GI3" s="35" t="s">
        <v>191</v>
      </c>
      <c r="GJ3" s="112" t="s">
        <v>192</v>
      </c>
      <c r="GK3" s="112" t="s">
        <v>193</v>
      </c>
      <c r="GL3" s="114" t="s">
        <v>194</v>
      </c>
      <c r="GM3" s="115" t="s">
        <v>195</v>
      </c>
      <c r="GN3" s="115" t="s">
        <v>196</v>
      </c>
      <c r="GO3" s="115" t="s">
        <v>197</v>
      </c>
      <c r="GP3" s="115" t="s">
        <v>198</v>
      </c>
      <c r="GQ3" s="115" t="s">
        <v>199</v>
      </c>
      <c r="GR3" s="115" t="s">
        <v>200</v>
      </c>
      <c r="GS3" s="115" t="s">
        <v>201</v>
      </c>
      <c r="GT3" s="115" t="s">
        <v>202</v>
      </c>
      <c r="GU3" s="115" t="s">
        <v>203</v>
      </c>
      <c r="GV3" s="115" t="s">
        <v>204</v>
      </c>
      <c r="GW3" s="115" t="s">
        <v>205</v>
      </c>
      <c r="GX3" s="115" t="s">
        <v>206</v>
      </c>
      <c r="GY3" s="115" t="s">
        <v>207</v>
      </c>
      <c r="GZ3" s="115" t="s">
        <v>208</v>
      </c>
      <c r="HA3" s="115" t="s">
        <v>209</v>
      </c>
      <c r="HB3" s="115" t="s">
        <v>210</v>
      </c>
      <c r="HC3" s="115" t="s">
        <v>211</v>
      </c>
      <c r="HD3" s="115" t="s">
        <v>212</v>
      </c>
      <c r="HE3" s="115" t="s">
        <v>213</v>
      </c>
      <c r="HF3" s="116" t="s">
        <v>214</v>
      </c>
      <c r="HG3" s="117" t="s">
        <v>215</v>
      </c>
      <c r="HH3" s="118" t="s">
        <v>216</v>
      </c>
      <c r="HI3" s="132" t="s">
        <v>217</v>
      </c>
      <c r="HJ3" s="85" t="s">
        <v>218</v>
      </c>
      <c r="HK3" s="117" t="s">
        <v>219</v>
      </c>
    </row>
    <row r="4" spans="1:219" s="60" customFormat="1" ht="15" customHeight="1" x14ac:dyDescent="0.3">
      <c r="A4" s="137">
        <v>6399229510</v>
      </c>
      <c r="B4" s="138" t="s">
        <v>220</v>
      </c>
      <c r="C4" s="119" t="s">
        <v>221</v>
      </c>
      <c r="D4" s="138" t="s">
        <v>220</v>
      </c>
      <c r="E4" s="119" t="s">
        <v>221</v>
      </c>
      <c r="F4" s="120" t="s">
        <v>221</v>
      </c>
      <c r="G4" s="119" t="s">
        <v>221</v>
      </c>
      <c r="H4" s="121" t="s">
        <v>221</v>
      </c>
      <c r="I4" s="138" t="s">
        <v>222</v>
      </c>
      <c r="J4" s="119" t="s">
        <v>221</v>
      </c>
      <c r="K4" s="143" t="s">
        <v>221</v>
      </c>
      <c r="L4" s="119" t="s">
        <v>223</v>
      </c>
      <c r="M4" s="119" t="s">
        <v>224</v>
      </c>
      <c r="N4" s="120" t="s">
        <v>225</v>
      </c>
      <c r="O4" s="121" t="s">
        <v>226</v>
      </c>
      <c r="P4" s="121">
        <v>44447</v>
      </c>
      <c r="Q4" s="119" t="s">
        <v>227</v>
      </c>
      <c r="R4" s="119" t="s">
        <v>224</v>
      </c>
      <c r="S4" s="119" t="s">
        <v>228</v>
      </c>
      <c r="T4" s="119" t="s">
        <v>229</v>
      </c>
      <c r="U4" s="121">
        <v>44447</v>
      </c>
      <c r="V4" s="119" t="s">
        <v>227</v>
      </c>
      <c r="W4" s="138" t="s">
        <v>221</v>
      </c>
      <c r="X4" s="138" t="s">
        <v>221</v>
      </c>
      <c r="Y4" s="138" t="s">
        <v>221</v>
      </c>
      <c r="Z4" s="138" t="s">
        <v>221</v>
      </c>
      <c r="AA4" s="138" t="s">
        <v>221</v>
      </c>
      <c r="AB4" s="138" t="s">
        <v>221</v>
      </c>
      <c r="AC4" s="138" t="s">
        <v>221</v>
      </c>
      <c r="AD4" s="138" t="s">
        <v>221</v>
      </c>
      <c r="AE4" s="138" t="s">
        <v>221</v>
      </c>
      <c r="AF4" s="138" t="s">
        <v>221</v>
      </c>
      <c r="AG4" s="138" t="s">
        <v>221</v>
      </c>
      <c r="AH4" s="138" t="s">
        <v>221</v>
      </c>
      <c r="AI4" s="138" t="s">
        <v>221</v>
      </c>
      <c r="AJ4" s="138" t="s">
        <v>221</v>
      </c>
      <c r="AK4" s="138" t="s">
        <v>221</v>
      </c>
      <c r="AL4" s="138" t="s">
        <v>221</v>
      </c>
      <c r="AM4" s="138" t="s">
        <v>221</v>
      </c>
      <c r="AN4" s="143" t="s">
        <v>221</v>
      </c>
      <c r="AO4" s="143" t="s">
        <v>221</v>
      </c>
      <c r="AP4" s="138" t="s">
        <v>221</v>
      </c>
      <c r="AQ4" s="145" t="s">
        <v>230</v>
      </c>
      <c r="AR4" s="143">
        <v>22807</v>
      </c>
      <c r="AS4" s="143">
        <v>44447</v>
      </c>
      <c r="AT4" s="146">
        <f t="shared" ref="AT4:AT11" si="0">DATEDIF(AR4, AS4,"Y")</f>
        <v>59</v>
      </c>
      <c r="AU4" s="138" t="s">
        <v>231</v>
      </c>
      <c r="AV4" s="119" t="s">
        <v>221</v>
      </c>
      <c r="AW4" s="138" t="s">
        <v>221</v>
      </c>
      <c r="AX4" s="138" t="s">
        <v>232</v>
      </c>
      <c r="AY4" s="138" t="s">
        <v>232</v>
      </c>
      <c r="AZ4" s="119" t="s">
        <v>233</v>
      </c>
      <c r="BA4" s="138" t="s">
        <v>234</v>
      </c>
      <c r="BB4" s="138" t="s">
        <v>235</v>
      </c>
      <c r="BC4" s="138" t="s">
        <v>236</v>
      </c>
      <c r="BD4" s="138" t="s">
        <v>237</v>
      </c>
      <c r="BE4" s="138" t="s">
        <v>238</v>
      </c>
      <c r="BF4" s="138" t="s">
        <v>220</v>
      </c>
      <c r="BG4" s="147" t="s">
        <v>221</v>
      </c>
      <c r="BH4" s="145" t="s">
        <v>221</v>
      </c>
      <c r="BI4" s="145" t="s">
        <v>221</v>
      </c>
      <c r="BJ4" s="143" t="s">
        <v>221</v>
      </c>
      <c r="BK4" s="143" t="s">
        <v>221</v>
      </c>
      <c r="BL4" s="145" t="s">
        <v>221</v>
      </c>
      <c r="BM4" s="145" t="s">
        <v>221</v>
      </c>
      <c r="BN4" s="143" t="s">
        <v>221</v>
      </c>
      <c r="BO4" s="143" t="s">
        <v>221</v>
      </c>
      <c r="BP4" s="145" t="s">
        <v>221</v>
      </c>
      <c r="BQ4" s="145" t="s">
        <v>221</v>
      </c>
      <c r="BR4" s="145" t="s">
        <v>221</v>
      </c>
      <c r="BS4" s="88" t="s">
        <v>221</v>
      </c>
      <c r="BT4" s="88" t="s">
        <v>221</v>
      </c>
      <c r="BU4" s="88" t="s">
        <v>221</v>
      </c>
      <c r="BV4" s="88" t="s">
        <v>221</v>
      </c>
      <c r="BW4" s="88" t="s">
        <v>221</v>
      </c>
      <c r="BX4" s="88" t="s">
        <v>221</v>
      </c>
      <c r="BY4" s="88" t="s">
        <v>221</v>
      </c>
      <c r="BZ4" s="88" t="s">
        <v>221</v>
      </c>
      <c r="CA4" s="88" t="s">
        <v>221</v>
      </c>
      <c r="CB4" s="88" t="s">
        <v>221</v>
      </c>
      <c r="CC4" s="88" t="s">
        <v>221</v>
      </c>
      <c r="CD4" s="88" t="s">
        <v>221</v>
      </c>
      <c r="CE4" s="88" t="s">
        <v>221</v>
      </c>
      <c r="CF4" s="88" t="s">
        <v>221</v>
      </c>
      <c r="CG4" s="88" t="s">
        <v>221</v>
      </c>
      <c r="CH4" s="88" t="s">
        <v>221</v>
      </c>
      <c r="CI4" s="88" t="s">
        <v>221</v>
      </c>
      <c r="CJ4" s="88" t="s">
        <v>221</v>
      </c>
      <c r="CK4" s="88" t="s">
        <v>221</v>
      </c>
      <c r="CL4" s="88" t="s">
        <v>221</v>
      </c>
      <c r="CM4" s="88" t="s">
        <v>221</v>
      </c>
      <c r="CN4" s="145" t="s">
        <v>221</v>
      </c>
      <c r="CO4" s="145" t="s">
        <v>221</v>
      </c>
      <c r="CP4" s="143" t="s">
        <v>221</v>
      </c>
      <c r="CQ4" s="143" t="s">
        <v>221</v>
      </c>
      <c r="CR4" s="145" t="s">
        <v>221</v>
      </c>
      <c r="CS4" s="145" t="s">
        <v>221</v>
      </c>
      <c r="CT4" s="145" t="s">
        <v>221</v>
      </c>
      <c r="CU4" s="145" t="s">
        <v>221</v>
      </c>
      <c r="CV4" s="145" t="s">
        <v>221</v>
      </c>
      <c r="CW4" s="145" t="s">
        <v>221</v>
      </c>
      <c r="CX4" s="145" t="s">
        <v>221</v>
      </c>
      <c r="CY4" s="88" t="s">
        <v>221</v>
      </c>
      <c r="CZ4" s="88" t="s">
        <v>221</v>
      </c>
      <c r="DA4" s="88" t="s">
        <v>221</v>
      </c>
      <c r="DB4" s="88" t="s">
        <v>221</v>
      </c>
      <c r="DC4" s="88" t="s">
        <v>221</v>
      </c>
      <c r="DD4" s="88" t="s">
        <v>221</v>
      </c>
      <c r="DE4" s="88" t="s">
        <v>221</v>
      </c>
      <c r="DF4" s="88" t="s">
        <v>221</v>
      </c>
      <c r="DG4" s="88" t="s">
        <v>221</v>
      </c>
      <c r="DH4" s="88" t="s">
        <v>221</v>
      </c>
      <c r="DI4" s="88" t="s">
        <v>221</v>
      </c>
      <c r="DJ4" s="88" t="s">
        <v>221</v>
      </c>
      <c r="DK4" s="88" t="s">
        <v>221</v>
      </c>
      <c r="DL4" s="88" t="s">
        <v>221</v>
      </c>
      <c r="DM4" s="88" t="s">
        <v>221</v>
      </c>
      <c r="DN4" s="88" t="s">
        <v>221</v>
      </c>
      <c r="DO4" s="88" t="s">
        <v>221</v>
      </c>
      <c r="DP4" s="88" t="s">
        <v>221</v>
      </c>
      <c r="DQ4" s="88" t="s">
        <v>221</v>
      </c>
      <c r="DR4" s="88" t="s">
        <v>221</v>
      </c>
      <c r="DS4" s="88" t="s">
        <v>221</v>
      </c>
      <c r="DT4" s="88" t="s">
        <v>221</v>
      </c>
      <c r="DU4" s="88" t="s">
        <v>221</v>
      </c>
      <c r="DV4" s="88" t="s">
        <v>221</v>
      </c>
      <c r="DW4" s="88" t="s">
        <v>221</v>
      </c>
      <c r="DX4" s="88" t="s">
        <v>221</v>
      </c>
      <c r="DY4" s="88" t="s">
        <v>221</v>
      </c>
      <c r="DZ4" s="88" t="s">
        <v>221</v>
      </c>
      <c r="EA4" s="88" t="s">
        <v>221</v>
      </c>
      <c r="EB4" s="88" t="s">
        <v>221</v>
      </c>
      <c r="EC4" s="88" t="s">
        <v>221</v>
      </c>
      <c r="ED4" s="88" t="s">
        <v>221</v>
      </c>
      <c r="EE4" s="88" t="s">
        <v>221</v>
      </c>
      <c r="EF4" s="88" t="s">
        <v>221</v>
      </c>
      <c r="EG4" s="88" t="s">
        <v>221</v>
      </c>
      <c r="EH4" s="88" t="s">
        <v>221</v>
      </c>
      <c r="EI4" s="143" t="s">
        <v>221</v>
      </c>
      <c r="EJ4" s="138" t="s">
        <v>221</v>
      </c>
      <c r="EK4" s="145" t="s">
        <v>221</v>
      </c>
      <c r="EL4" s="148" t="s">
        <v>221</v>
      </c>
      <c r="EM4" s="149" t="s">
        <v>221</v>
      </c>
      <c r="EN4" s="87" t="s">
        <v>221</v>
      </c>
      <c r="EO4" s="145" t="s">
        <v>221</v>
      </c>
      <c r="EP4" s="145" t="s">
        <v>221</v>
      </c>
      <c r="EQ4" s="145" t="s">
        <v>221</v>
      </c>
      <c r="ER4" s="145" t="s">
        <v>221</v>
      </c>
      <c r="ES4" s="145" t="s">
        <v>221</v>
      </c>
      <c r="ET4" s="145" t="s">
        <v>221</v>
      </c>
      <c r="EU4" s="145" t="s">
        <v>221</v>
      </c>
      <c r="EV4" s="145" t="s">
        <v>221</v>
      </c>
      <c r="EW4" s="145" t="s">
        <v>221</v>
      </c>
      <c r="EX4" s="145" t="s">
        <v>221</v>
      </c>
      <c r="EY4" s="145" t="s">
        <v>221</v>
      </c>
      <c r="EZ4" s="145" t="s">
        <v>221</v>
      </c>
      <c r="FA4" s="145" t="s">
        <v>221</v>
      </c>
      <c r="FB4" s="88" t="s">
        <v>221</v>
      </c>
      <c r="FC4" s="88" t="s">
        <v>221</v>
      </c>
      <c r="FD4" s="88" t="s">
        <v>221</v>
      </c>
      <c r="FE4" s="88" t="s">
        <v>221</v>
      </c>
      <c r="FF4" s="88" t="s">
        <v>221</v>
      </c>
      <c r="FG4" s="88" t="s">
        <v>221</v>
      </c>
      <c r="FH4" s="88" t="s">
        <v>221</v>
      </c>
      <c r="FI4" s="88" t="s">
        <v>221</v>
      </c>
      <c r="FJ4" s="88" t="s">
        <v>221</v>
      </c>
      <c r="FK4" s="88" t="s">
        <v>221</v>
      </c>
      <c r="FL4" s="88" t="s">
        <v>221</v>
      </c>
      <c r="FM4" s="88" t="s">
        <v>221</v>
      </c>
      <c r="FN4" s="88" t="s">
        <v>221</v>
      </c>
      <c r="FO4" s="88" t="s">
        <v>221</v>
      </c>
      <c r="FP4" s="88" t="s">
        <v>221</v>
      </c>
      <c r="FQ4" s="88" t="s">
        <v>221</v>
      </c>
      <c r="FR4" s="88" t="s">
        <v>221</v>
      </c>
      <c r="FS4" s="88" t="s">
        <v>221</v>
      </c>
      <c r="FT4" s="88" t="s">
        <v>221</v>
      </c>
      <c r="FU4" s="88" t="s">
        <v>221</v>
      </c>
      <c r="FV4" s="88" t="s">
        <v>221</v>
      </c>
      <c r="FW4" s="88" t="s">
        <v>221</v>
      </c>
      <c r="FX4" s="88" t="s">
        <v>221</v>
      </c>
      <c r="FY4" s="88" t="s">
        <v>221</v>
      </c>
      <c r="FZ4" s="88" t="s">
        <v>221</v>
      </c>
      <c r="GA4" s="88" t="s">
        <v>221</v>
      </c>
      <c r="GB4" s="88" t="s">
        <v>221</v>
      </c>
      <c r="GC4" s="88" t="s">
        <v>221</v>
      </c>
      <c r="GD4" s="88" t="s">
        <v>221</v>
      </c>
      <c r="GE4" s="88" t="s">
        <v>221</v>
      </c>
      <c r="GF4" s="138" t="s">
        <v>239</v>
      </c>
      <c r="GG4" s="143">
        <v>44497</v>
      </c>
      <c r="GH4" s="138" t="s">
        <v>240</v>
      </c>
      <c r="GI4" s="119" t="s">
        <v>241</v>
      </c>
      <c r="GJ4" s="143">
        <v>44489</v>
      </c>
      <c r="GK4" s="143" t="s">
        <v>221</v>
      </c>
      <c r="GL4" s="143" t="s">
        <v>221</v>
      </c>
      <c r="GM4" s="150" t="str">
        <f t="shared" ref="GM4:GN4" si="1">IFERROR(INT(BJ4 - $AS4)/30,"N/A")</f>
        <v>N/A</v>
      </c>
      <c r="GN4" s="150" t="str">
        <f t="shared" si="1"/>
        <v>N/A</v>
      </c>
      <c r="GO4" s="150" t="str">
        <f t="shared" ref="GO4" si="2">IFERROR(INT(H4 - $AS4)/30,"N/A")</f>
        <v>N/A</v>
      </c>
      <c r="GP4" s="150" t="str">
        <f t="shared" ref="GP4" si="3">IFERROR(INT(K4 - $AS4)/30,"N/A")</f>
        <v>N/A</v>
      </c>
      <c r="GQ4" s="150">
        <f t="shared" ref="GQ4" si="4">IFERROR(INT(P4 - $AS4)/30,"N/A")</f>
        <v>0</v>
      </c>
      <c r="GR4" s="150">
        <f t="shared" ref="GR4" si="5">IFERROR(INT(U4 - $AS4)/30,"N/A")</f>
        <v>0</v>
      </c>
      <c r="GS4" s="150" t="str">
        <f t="shared" ref="GS4" si="6">IFERROR(INT(Z4 - $AS4)/30,"N/A")</f>
        <v>N/A</v>
      </c>
      <c r="GT4" s="150" t="str">
        <f t="shared" ref="GT4" si="7">IFERROR(INT(AE4 - $AS4)/30,"N/A")</f>
        <v>N/A</v>
      </c>
      <c r="GU4" s="150" t="str">
        <f t="shared" ref="GU4" si="8">IFERROR(INT(AJ4 - $AS4)/30,"N/A")</f>
        <v>N/A</v>
      </c>
      <c r="GV4" s="150" t="str">
        <f t="shared" ref="GV4" si="9">IFERROR(INT(AO4 - $AS4)/30,"N/A")</f>
        <v>N/A</v>
      </c>
      <c r="GW4" s="150" t="str">
        <f t="shared" ref="GW4:GX4" si="10">IFERROR(INT(CP4 - $AS4)/30,"N/A")</f>
        <v>N/A</v>
      </c>
      <c r="GX4" s="150" t="str">
        <f t="shared" si="10"/>
        <v>N/A</v>
      </c>
      <c r="GY4" s="150" t="str">
        <f t="shared" ref="GY4" si="11">IFERROR(INT(EI4 - $AS4)/30,"N/A")</f>
        <v>N/A</v>
      </c>
      <c r="GZ4" s="150" t="str">
        <f t="shared" ref="GZ4:HA4" si="12">IFERROR(INT(EM4 - $AS4)/30,"N/A")</f>
        <v>N/A</v>
      </c>
      <c r="HA4" s="150" t="str">
        <f t="shared" si="12"/>
        <v>N/A</v>
      </c>
      <c r="HB4" s="150" t="str">
        <f t="shared" ref="HB4:HB11" si="13">$GY4</f>
        <v>N/A</v>
      </c>
      <c r="HC4" s="150">
        <f t="shared" ref="HC4" si="14">IFERROR(INT(GG4 - $AS4)/30,"N/A")</f>
        <v>1.6666666666666667</v>
      </c>
      <c r="HD4" s="150">
        <f t="shared" ref="HD4:HE4" si="15">IFERROR(INT(GJ4 - $AS4)/30,"N/A")</f>
        <v>1.4</v>
      </c>
      <c r="HE4" s="150" t="str">
        <f t="shared" si="15"/>
        <v>N/A</v>
      </c>
      <c r="HF4" s="151">
        <f t="shared" ref="HF4:HF11" si="16">SUM($HC4,$HE4)</f>
        <v>1.6666666666666667</v>
      </c>
      <c r="HG4" s="151" cm="1">
        <f t="array" ref="HG4">INDEX($HB4:$HD4,MATCH(TRUE,INDEX(ISNUMBER($HB4:$HD4),0),0))</f>
        <v>1.6666666666666667</v>
      </c>
      <c r="HH4" s="152">
        <f t="shared" ref="HH4:HH11" si="17">IF($HB4="N/A",0,1)</f>
        <v>0</v>
      </c>
      <c r="HI4" s="153">
        <f t="shared" ref="HI4:HI11" si="18">IF($GH4="Yes",1,0)</f>
        <v>1</v>
      </c>
      <c r="HJ4" s="154">
        <f t="shared" ref="HJ4:HJ11" si="19">IF($HC4="N/A",0,1)</f>
        <v>1</v>
      </c>
      <c r="HK4" s="167" t="str">
        <f t="shared" ref="HK4:HK11" si="20">IF(OR($HH4=1,$HI4=1),"1","0")</f>
        <v>1</v>
      </c>
    </row>
    <row r="5" spans="1:219" ht="15" customHeight="1" x14ac:dyDescent="0.3">
      <c r="A5" s="139">
        <v>4582340121</v>
      </c>
      <c r="B5" s="86" t="s">
        <v>240</v>
      </c>
      <c r="C5" s="122" t="s">
        <v>221</v>
      </c>
      <c r="D5" s="86" t="s">
        <v>220</v>
      </c>
      <c r="E5" s="123" t="s">
        <v>221</v>
      </c>
      <c r="F5" s="123" t="s">
        <v>221</v>
      </c>
      <c r="G5" s="123" t="s">
        <v>221</v>
      </c>
      <c r="H5" s="123" t="s">
        <v>221</v>
      </c>
      <c r="I5" s="88" t="s">
        <v>242</v>
      </c>
      <c r="J5" s="124" t="s">
        <v>221</v>
      </c>
      <c r="K5" s="87" t="s">
        <v>221</v>
      </c>
      <c r="L5" s="119" t="s">
        <v>243</v>
      </c>
      <c r="M5" s="123" t="s">
        <v>244</v>
      </c>
      <c r="N5" s="125" t="s">
        <v>228</v>
      </c>
      <c r="O5" s="124" t="s">
        <v>245</v>
      </c>
      <c r="P5" s="126">
        <v>44583</v>
      </c>
      <c r="Q5" s="122" t="s">
        <v>227</v>
      </c>
      <c r="R5" s="88" t="s">
        <v>221</v>
      </c>
      <c r="S5" s="88" t="s">
        <v>221</v>
      </c>
      <c r="T5" s="88" t="s">
        <v>221</v>
      </c>
      <c r="U5" s="87" t="s">
        <v>221</v>
      </c>
      <c r="V5" s="86" t="s">
        <v>221</v>
      </c>
      <c r="W5" s="86" t="s">
        <v>221</v>
      </c>
      <c r="X5" s="86" t="s">
        <v>221</v>
      </c>
      <c r="Y5" s="86" t="s">
        <v>221</v>
      </c>
      <c r="Z5" s="156" t="s">
        <v>221</v>
      </c>
      <c r="AA5" s="86" t="s">
        <v>221</v>
      </c>
      <c r="AB5" s="86" t="s">
        <v>221</v>
      </c>
      <c r="AC5" s="86" t="s">
        <v>221</v>
      </c>
      <c r="AD5" s="86" t="s">
        <v>221</v>
      </c>
      <c r="AE5" s="156" t="s">
        <v>221</v>
      </c>
      <c r="AF5" s="86" t="s">
        <v>221</v>
      </c>
      <c r="AG5" s="86" t="s">
        <v>221</v>
      </c>
      <c r="AH5" s="86" t="s">
        <v>221</v>
      </c>
      <c r="AI5" s="86" t="s">
        <v>221</v>
      </c>
      <c r="AJ5" s="156" t="s">
        <v>221</v>
      </c>
      <c r="AK5" s="86" t="s">
        <v>221</v>
      </c>
      <c r="AL5" s="88" t="s">
        <v>221</v>
      </c>
      <c r="AM5" s="88" t="s">
        <v>221</v>
      </c>
      <c r="AN5" s="88" t="s">
        <v>221</v>
      </c>
      <c r="AO5" s="87" t="s">
        <v>221</v>
      </c>
      <c r="AP5" s="86" t="s">
        <v>221</v>
      </c>
      <c r="AQ5" s="88" t="s">
        <v>230</v>
      </c>
      <c r="AR5" s="157">
        <v>20013</v>
      </c>
      <c r="AS5" s="87">
        <v>44583</v>
      </c>
      <c r="AT5" s="146">
        <f t="shared" si="0"/>
        <v>67</v>
      </c>
      <c r="AU5" s="88" t="s">
        <v>246</v>
      </c>
      <c r="AV5" s="86" t="s">
        <v>221</v>
      </c>
      <c r="AW5" s="86" t="s">
        <v>221</v>
      </c>
      <c r="AX5" s="88" t="s">
        <v>232</v>
      </c>
      <c r="AY5" s="88" t="s">
        <v>232</v>
      </c>
      <c r="AZ5" s="124" t="s">
        <v>233</v>
      </c>
      <c r="BA5" s="88" t="s">
        <v>234</v>
      </c>
      <c r="BB5" s="88" t="s">
        <v>235</v>
      </c>
      <c r="BC5" s="88" t="s">
        <v>241</v>
      </c>
      <c r="BD5" s="127" t="s">
        <v>237</v>
      </c>
      <c r="BE5" s="88" t="s">
        <v>238</v>
      </c>
      <c r="BF5" s="122" t="s">
        <v>240</v>
      </c>
      <c r="BG5" s="128" t="s">
        <v>221</v>
      </c>
      <c r="BH5" s="129" t="s">
        <v>247</v>
      </c>
      <c r="BI5" s="124" t="s">
        <v>248</v>
      </c>
      <c r="BJ5" s="126">
        <v>44671</v>
      </c>
      <c r="BK5" s="126">
        <v>44757</v>
      </c>
      <c r="BL5" s="124" t="s">
        <v>249</v>
      </c>
      <c r="BM5" s="130" t="s">
        <v>221</v>
      </c>
      <c r="BN5" s="88" t="s">
        <v>221</v>
      </c>
      <c r="BO5" s="88" t="s">
        <v>221</v>
      </c>
      <c r="BP5" s="130" t="s">
        <v>221</v>
      </c>
      <c r="BQ5" s="88" t="s">
        <v>221</v>
      </c>
      <c r="BR5" s="88" t="s">
        <v>221</v>
      </c>
      <c r="BS5" s="88" t="s">
        <v>221</v>
      </c>
      <c r="BT5" s="88" t="s">
        <v>221</v>
      </c>
      <c r="BU5" s="88" t="s">
        <v>221</v>
      </c>
      <c r="BV5" s="88" t="s">
        <v>221</v>
      </c>
      <c r="BW5" s="88" t="s">
        <v>221</v>
      </c>
      <c r="BX5" s="88" t="s">
        <v>221</v>
      </c>
      <c r="BY5" s="88" t="s">
        <v>221</v>
      </c>
      <c r="BZ5" s="88" t="s">
        <v>221</v>
      </c>
      <c r="CA5" s="88" t="s">
        <v>221</v>
      </c>
      <c r="CB5" s="88" t="s">
        <v>221</v>
      </c>
      <c r="CC5" s="88" t="s">
        <v>221</v>
      </c>
      <c r="CD5" s="88" t="s">
        <v>221</v>
      </c>
      <c r="CE5" s="88" t="s">
        <v>221</v>
      </c>
      <c r="CF5" s="88" t="s">
        <v>221</v>
      </c>
      <c r="CG5" s="88" t="s">
        <v>221</v>
      </c>
      <c r="CH5" s="88" t="s">
        <v>221</v>
      </c>
      <c r="CI5" s="88" t="s">
        <v>221</v>
      </c>
      <c r="CJ5" s="88" t="s">
        <v>221</v>
      </c>
      <c r="CK5" s="88" t="s">
        <v>221</v>
      </c>
      <c r="CL5" s="88" t="s">
        <v>221</v>
      </c>
      <c r="CM5" s="88" t="s">
        <v>221</v>
      </c>
      <c r="CN5" s="129" t="s">
        <v>221</v>
      </c>
      <c r="CO5" s="129" t="s">
        <v>221</v>
      </c>
      <c r="CP5" s="129" t="s">
        <v>221</v>
      </c>
      <c r="CQ5" s="129" t="s">
        <v>221</v>
      </c>
      <c r="CR5" s="129" t="s">
        <v>221</v>
      </c>
      <c r="CS5" s="130" t="s">
        <v>221</v>
      </c>
      <c r="CT5" s="88" t="s">
        <v>221</v>
      </c>
      <c r="CU5" s="88" t="s">
        <v>221</v>
      </c>
      <c r="CV5" s="130" t="s">
        <v>221</v>
      </c>
      <c r="CW5" s="88" t="s">
        <v>221</v>
      </c>
      <c r="CX5" s="88" t="s">
        <v>221</v>
      </c>
      <c r="CY5" s="88" t="s">
        <v>221</v>
      </c>
      <c r="CZ5" s="88" t="s">
        <v>221</v>
      </c>
      <c r="DA5" s="88" t="s">
        <v>221</v>
      </c>
      <c r="DB5" s="88" t="s">
        <v>221</v>
      </c>
      <c r="DC5" s="88" t="s">
        <v>221</v>
      </c>
      <c r="DD5" s="88" t="s">
        <v>221</v>
      </c>
      <c r="DE5" s="88" t="s">
        <v>221</v>
      </c>
      <c r="DF5" s="88" t="s">
        <v>221</v>
      </c>
      <c r="DG5" s="88" t="s">
        <v>221</v>
      </c>
      <c r="DH5" s="88" t="s">
        <v>221</v>
      </c>
      <c r="DI5" s="88" t="s">
        <v>221</v>
      </c>
      <c r="DJ5" s="88" t="s">
        <v>221</v>
      </c>
      <c r="DK5" s="88" t="s">
        <v>221</v>
      </c>
      <c r="DL5" s="88" t="s">
        <v>221</v>
      </c>
      <c r="DM5" s="88" t="s">
        <v>221</v>
      </c>
      <c r="DN5" s="88" t="s">
        <v>221</v>
      </c>
      <c r="DO5" s="88" t="s">
        <v>221</v>
      </c>
      <c r="DP5" s="88" t="s">
        <v>221</v>
      </c>
      <c r="DQ5" s="88" t="s">
        <v>221</v>
      </c>
      <c r="DR5" s="88" t="s">
        <v>221</v>
      </c>
      <c r="DS5" s="88" t="s">
        <v>221</v>
      </c>
      <c r="DT5" s="88" t="s">
        <v>221</v>
      </c>
      <c r="DU5" s="88" t="s">
        <v>221</v>
      </c>
      <c r="DV5" s="88" t="s">
        <v>221</v>
      </c>
      <c r="DW5" s="88" t="s">
        <v>221</v>
      </c>
      <c r="DX5" s="88" t="s">
        <v>221</v>
      </c>
      <c r="DY5" s="88" t="s">
        <v>221</v>
      </c>
      <c r="DZ5" s="88" t="s">
        <v>221</v>
      </c>
      <c r="EA5" s="88" t="s">
        <v>221</v>
      </c>
      <c r="EB5" s="88" t="s">
        <v>221</v>
      </c>
      <c r="EC5" s="88" t="s">
        <v>221</v>
      </c>
      <c r="ED5" s="88" t="s">
        <v>221</v>
      </c>
      <c r="EE5" s="88" t="s">
        <v>221</v>
      </c>
      <c r="EF5" s="88" t="s">
        <v>221</v>
      </c>
      <c r="EG5" s="88" t="s">
        <v>221</v>
      </c>
      <c r="EH5" s="88" t="s">
        <v>221</v>
      </c>
      <c r="EI5" s="87">
        <v>44781</v>
      </c>
      <c r="EJ5" s="88" t="s">
        <v>250</v>
      </c>
      <c r="EK5" s="130" t="s">
        <v>221</v>
      </c>
      <c r="EL5" s="88" t="s">
        <v>221</v>
      </c>
      <c r="EM5" s="87" t="s">
        <v>221</v>
      </c>
      <c r="EN5" s="87" t="s">
        <v>221</v>
      </c>
      <c r="EO5" s="88" t="s">
        <v>221</v>
      </c>
      <c r="EP5" s="130" t="s">
        <v>221</v>
      </c>
      <c r="EQ5" s="88" t="s">
        <v>221</v>
      </c>
      <c r="ER5" s="88" t="s">
        <v>221</v>
      </c>
      <c r="ES5" s="130" t="s">
        <v>221</v>
      </c>
      <c r="ET5" s="88" t="s">
        <v>221</v>
      </c>
      <c r="EU5" s="88" t="s">
        <v>221</v>
      </c>
      <c r="EV5" s="130" t="s">
        <v>221</v>
      </c>
      <c r="EW5" s="88" t="s">
        <v>221</v>
      </c>
      <c r="EX5" s="88" t="s">
        <v>221</v>
      </c>
      <c r="EY5" s="130" t="s">
        <v>221</v>
      </c>
      <c r="EZ5" s="88" t="s">
        <v>221</v>
      </c>
      <c r="FA5" s="88" t="s">
        <v>221</v>
      </c>
      <c r="FB5" s="88" t="s">
        <v>221</v>
      </c>
      <c r="FC5" s="88" t="s">
        <v>221</v>
      </c>
      <c r="FD5" s="88" t="s">
        <v>221</v>
      </c>
      <c r="FE5" s="88" t="s">
        <v>221</v>
      </c>
      <c r="FF5" s="88" t="s">
        <v>221</v>
      </c>
      <c r="FG5" s="88" t="s">
        <v>221</v>
      </c>
      <c r="FH5" s="88" t="s">
        <v>221</v>
      </c>
      <c r="FI5" s="88" t="s">
        <v>221</v>
      </c>
      <c r="FJ5" s="88" t="s">
        <v>221</v>
      </c>
      <c r="FK5" s="88" t="s">
        <v>221</v>
      </c>
      <c r="FL5" s="88" t="s">
        <v>221</v>
      </c>
      <c r="FM5" s="88" t="s">
        <v>221</v>
      </c>
      <c r="FN5" s="88" t="s">
        <v>221</v>
      </c>
      <c r="FO5" s="88" t="s">
        <v>221</v>
      </c>
      <c r="FP5" s="88" t="s">
        <v>221</v>
      </c>
      <c r="FQ5" s="88" t="s">
        <v>221</v>
      </c>
      <c r="FR5" s="88" t="s">
        <v>221</v>
      </c>
      <c r="FS5" s="88" t="s">
        <v>221</v>
      </c>
      <c r="FT5" s="88" t="s">
        <v>221</v>
      </c>
      <c r="FU5" s="88" t="s">
        <v>221</v>
      </c>
      <c r="FV5" s="88" t="s">
        <v>221</v>
      </c>
      <c r="FW5" s="88" t="s">
        <v>221</v>
      </c>
      <c r="FX5" s="88" t="s">
        <v>221</v>
      </c>
      <c r="FY5" s="88" t="s">
        <v>221</v>
      </c>
      <c r="FZ5" s="88" t="s">
        <v>221</v>
      </c>
      <c r="GA5" s="88" t="s">
        <v>221</v>
      </c>
      <c r="GB5" s="88" t="s">
        <v>221</v>
      </c>
      <c r="GC5" s="88" t="s">
        <v>221</v>
      </c>
      <c r="GD5" s="88" t="s">
        <v>221</v>
      </c>
      <c r="GE5" s="88" t="s">
        <v>221</v>
      </c>
      <c r="GF5" s="127" t="s">
        <v>239</v>
      </c>
      <c r="GG5" s="87">
        <v>45018</v>
      </c>
      <c r="GH5" s="86" t="s">
        <v>241</v>
      </c>
      <c r="GI5" s="88" t="s">
        <v>241</v>
      </c>
      <c r="GJ5" s="87">
        <v>44911</v>
      </c>
      <c r="GK5" s="87" t="s">
        <v>221</v>
      </c>
      <c r="GL5" s="87" t="s">
        <v>221</v>
      </c>
      <c r="GM5" s="150">
        <f t="shared" ref="GM5:GM11" si="21">IFERROR(INT(BJ5 - $AS5)/30,"N/A")</f>
        <v>2.9333333333333331</v>
      </c>
      <c r="GN5" s="150">
        <f t="shared" ref="GN5:GN11" si="22">IFERROR(INT(BK5 - $AS5)/30,"N/A")</f>
        <v>5.8</v>
      </c>
      <c r="GO5" s="150" t="str">
        <f t="shared" ref="GO5:GO11" si="23">IFERROR(INT(H5 - $AS5)/30,"N/A")</f>
        <v>N/A</v>
      </c>
      <c r="GP5" s="150" t="str">
        <f t="shared" ref="GP5:GP11" si="24">IFERROR(INT(K5 - $AS5)/30,"N/A")</f>
        <v>N/A</v>
      </c>
      <c r="GQ5" s="150">
        <f t="shared" ref="GQ5:GQ11" si="25">IFERROR(INT(P5 - $AS5)/30,"N/A")</f>
        <v>0</v>
      </c>
      <c r="GR5" s="150" t="str">
        <f t="shared" ref="GR5:GR11" si="26">IFERROR(INT(U5 - $AS5)/30,"N/A")</f>
        <v>N/A</v>
      </c>
      <c r="GS5" s="150" t="str">
        <f t="shared" ref="GS5:GS11" si="27">IFERROR(INT(Z5 - $AS5)/30,"N/A")</f>
        <v>N/A</v>
      </c>
      <c r="GT5" s="150" t="str">
        <f t="shared" ref="GT5:GT11" si="28">IFERROR(INT(AE5 - $AS5)/30,"N/A")</f>
        <v>N/A</v>
      </c>
      <c r="GU5" s="150" t="str">
        <f t="shared" ref="GU5:GU11" si="29">IFERROR(INT(AJ5 - $AS5)/30,"N/A")</f>
        <v>N/A</v>
      </c>
      <c r="GV5" s="150" t="str">
        <f t="shared" ref="GV5:GV11" si="30">IFERROR(INT(AO5 - $AS5)/30,"N/A")</f>
        <v>N/A</v>
      </c>
      <c r="GW5" s="150" t="str">
        <f t="shared" ref="GW5:GW11" si="31">IFERROR(INT(CP5 - $AS5)/30,"N/A")</f>
        <v>N/A</v>
      </c>
      <c r="GX5" s="150" t="str">
        <f t="shared" ref="GX5:GX11" si="32">IFERROR(INT(CQ5 - $AS5)/30,"N/A")</f>
        <v>N/A</v>
      </c>
      <c r="GY5" s="150">
        <f t="shared" ref="GY5:GY11" si="33">IFERROR(INT(EI5 - $AS5)/30,"N/A")</f>
        <v>6.6</v>
      </c>
      <c r="GZ5" s="150" t="str">
        <f t="shared" ref="GZ5:GZ11" si="34">IFERROR(INT(EM5 - $AS5)/30,"N/A")</f>
        <v>N/A</v>
      </c>
      <c r="HA5" s="150" t="str">
        <f t="shared" ref="HA5:HA11" si="35">IFERROR(INT(EN5 - $AS5)/30,"N/A")</f>
        <v>N/A</v>
      </c>
      <c r="HB5" s="150">
        <f t="shared" si="13"/>
        <v>6.6</v>
      </c>
      <c r="HC5" s="150">
        <f t="shared" ref="HC5:HC11" si="36">IFERROR(INT(GG5 - $AS5)/30,"N/A")</f>
        <v>14.5</v>
      </c>
      <c r="HD5" s="150">
        <f t="shared" ref="HD5:HD11" si="37">IFERROR(INT(GJ5 - $AS5)/30,"N/A")</f>
        <v>10.933333333333334</v>
      </c>
      <c r="HE5" s="150" t="str">
        <f t="shared" ref="HE5:HE11" si="38">IFERROR(INT(GK5 - $AS5)/30,"N/A")</f>
        <v>N/A</v>
      </c>
      <c r="HF5" s="151">
        <f t="shared" si="16"/>
        <v>14.5</v>
      </c>
      <c r="HG5" s="151" cm="1">
        <f t="array" ref="HG5">INDEX($HB5:$HD5,MATCH(TRUE,INDEX(ISNUMBER($HB5:$HD5),0),0))</f>
        <v>6.6</v>
      </c>
      <c r="HH5" s="152">
        <f t="shared" si="17"/>
        <v>1</v>
      </c>
      <c r="HI5" s="153">
        <f t="shared" si="18"/>
        <v>0</v>
      </c>
      <c r="HJ5" s="154">
        <f t="shared" si="19"/>
        <v>1</v>
      </c>
      <c r="HK5" s="167" t="str">
        <f t="shared" si="20"/>
        <v>1</v>
      </c>
    </row>
    <row r="6" spans="1:219" ht="15" customHeight="1" x14ac:dyDescent="0.3">
      <c r="A6" s="88">
        <v>4507873207</v>
      </c>
      <c r="B6" s="86" t="s">
        <v>220</v>
      </c>
      <c r="C6" s="86" t="s">
        <v>227</v>
      </c>
      <c r="D6" s="86" t="s">
        <v>220</v>
      </c>
      <c r="E6" s="88" t="s">
        <v>251</v>
      </c>
      <c r="F6" s="88" t="s">
        <v>252</v>
      </c>
      <c r="G6" s="88" t="s">
        <v>221</v>
      </c>
      <c r="H6" s="87">
        <v>44601</v>
      </c>
      <c r="I6" s="88" t="s">
        <v>253</v>
      </c>
      <c r="J6" s="88" t="s">
        <v>254</v>
      </c>
      <c r="K6" s="87" t="s">
        <v>221</v>
      </c>
      <c r="L6" s="88" t="s">
        <v>221</v>
      </c>
      <c r="M6" s="88" t="s">
        <v>221</v>
      </c>
      <c r="N6" s="88" t="s">
        <v>221</v>
      </c>
      <c r="O6" s="88" t="s">
        <v>221</v>
      </c>
      <c r="P6" s="87" t="s">
        <v>221</v>
      </c>
      <c r="Q6" s="86" t="s">
        <v>221</v>
      </c>
      <c r="R6" s="88" t="s">
        <v>221</v>
      </c>
      <c r="S6" s="88" t="s">
        <v>221</v>
      </c>
      <c r="T6" s="88" t="s">
        <v>221</v>
      </c>
      <c r="U6" s="87" t="s">
        <v>221</v>
      </c>
      <c r="V6" s="86" t="s">
        <v>221</v>
      </c>
      <c r="W6" s="86" t="s">
        <v>221</v>
      </c>
      <c r="X6" s="86" t="s">
        <v>221</v>
      </c>
      <c r="Y6" s="86" t="s">
        <v>221</v>
      </c>
      <c r="Z6" s="156" t="s">
        <v>221</v>
      </c>
      <c r="AA6" s="86" t="s">
        <v>221</v>
      </c>
      <c r="AB6" s="86" t="s">
        <v>221</v>
      </c>
      <c r="AC6" s="86" t="s">
        <v>221</v>
      </c>
      <c r="AD6" s="86" t="s">
        <v>221</v>
      </c>
      <c r="AE6" s="156" t="s">
        <v>221</v>
      </c>
      <c r="AF6" s="86" t="s">
        <v>221</v>
      </c>
      <c r="AG6" s="86" t="s">
        <v>221</v>
      </c>
      <c r="AH6" s="86" t="s">
        <v>221</v>
      </c>
      <c r="AI6" s="86" t="s">
        <v>221</v>
      </c>
      <c r="AJ6" s="156" t="s">
        <v>221</v>
      </c>
      <c r="AK6" s="86" t="s">
        <v>221</v>
      </c>
      <c r="AL6" s="88" t="s">
        <v>221</v>
      </c>
      <c r="AM6" s="88" t="s">
        <v>221</v>
      </c>
      <c r="AN6" s="88" t="s">
        <v>221</v>
      </c>
      <c r="AO6" s="87" t="s">
        <v>221</v>
      </c>
      <c r="AP6" s="86" t="s">
        <v>221</v>
      </c>
      <c r="AQ6" s="88" t="s">
        <v>255</v>
      </c>
      <c r="AR6" s="157">
        <v>17424</v>
      </c>
      <c r="AS6" s="87">
        <v>44601</v>
      </c>
      <c r="AT6" s="146">
        <f t="shared" si="0"/>
        <v>74</v>
      </c>
      <c r="AU6" s="124" t="s">
        <v>256</v>
      </c>
      <c r="AV6" s="86" t="s">
        <v>257</v>
      </c>
      <c r="AW6" s="86" t="s">
        <v>240</v>
      </c>
      <c r="AX6" s="88">
        <v>2</v>
      </c>
      <c r="AY6" s="88">
        <v>0</v>
      </c>
      <c r="AZ6" s="88" t="s">
        <v>232</v>
      </c>
      <c r="BA6" s="88">
        <v>0</v>
      </c>
      <c r="BB6" s="88" t="s">
        <v>258</v>
      </c>
      <c r="BC6" s="88" t="s">
        <v>230</v>
      </c>
      <c r="BD6" s="127" t="s">
        <v>237</v>
      </c>
      <c r="BE6" s="124" t="s">
        <v>259</v>
      </c>
      <c r="BF6" s="86" t="s">
        <v>220</v>
      </c>
      <c r="BG6" s="131" t="s">
        <v>221</v>
      </c>
      <c r="BH6" s="130" t="s">
        <v>221</v>
      </c>
      <c r="BI6" s="88" t="s">
        <v>221</v>
      </c>
      <c r="BJ6" s="87" t="s">
        <v>221</v>
      </c>
      <c r="BK6" s="87" t="s">
        <v>221</v>
      </c>
      <c r="BL6" s="88" t="s">
        <v>221</v>
      </c>
      <c r="BM6" s="130" t="s">
        <v>221</v>
      </c>
      <c r="BN6" s="88" t="s">
        <v>221</v>
      </c>
      <c r="BO6" s="88" t="s">
        <v>221</v>
      </c>
      <c r="BP6" s="130" t="s">
        <v>221</v>
      </c>
      <c r="BQ6" s="88" t="s">
        <v>221</v>
      </c>
      <c r="BR6" s="88" t="s">
        <v>221</v>
      </c>
      <c r="BS6" s="88" t="s">
        <v>221</v>
      </c>
      <c r="BT6" s="88" t="s">
        <v>221</v>
      </c>
      <c r="BU6" s="88" t="s">
        <v>221</v>
      </c>
      <c r="BV6" s="88" t="s">
        <v>221</v>
      </c>
      <c r="BW6" s="88" t="s">
        <v>221</v>
      </c>
      <c r="BX6" s="88" t="s">
        <v>221</v>
      </c>
      <c r="BY6" s="88" t="s">
        <v>221</v>
      </c>
      <c r="BZ6" s="88" t="s">
        <v>221</v>
      </c>
      <c r="CA6" s="88" t="s">
        <v>221</v>
      </c>
      <c r="CB6" s="88" t="s">
        <v>221</v>
      </c>
      <c r="CC6" s="88" t="s">
        <v>221</v>
      </c>
      <c r="CD6" s="88" t="s">
        <v>221</v>
      </c>
      <c r="CE6" s="88" t="s">
        <v>221</v>
      </c>
      <c r="CF6" s="88" t="s">
        <v>221</v>
      </c>
      <c r="CG6" s="88" t="s">
        <v>221</v>
      </c>
      <c r="CH6" s="88" t="s">
        <v>221</v>
      </c>
      <c r="CI6" s="88" t="s">
        <v>221</v>
      </c>
      <c r="CJ6" s="88" t="s">
        <v>221</v>
      </c>
      <c r="CK6" s="88" t="s">
        <v>221</v>
      </c>
      <c r="CL6" s="88" t="s">
        <v>221</v>
      </c>
      <c r="CM6" s="88" t="s">
        <v>221</v>
      </c>
      <c r="CN6" s="130" t="s">
        <v>221</v>
      </c>
      <c r="CO6" s="88" t="s">
        <v>221</v>
      </c>
      <c r="CP6" s="87" t="s">
        <v>221</v>
      </c>
      <c r="CQ6" s="87" t="s">
        <v>221</v>
      </c>
      <c r="CR6" s="88" t="s">
        <v>221</v>
      </c>
      <c r="CS6" s="130" t="s">
        <v>221</v>
      </c>
      <c r="CT6" s="88" t="s">
        <v>221</v>
      </c>
      <c r="CU6" s="88" t="s">
        <v>221</v>
      </c>
      <c r="CV6" s="130" t="s">
        <v>221</v>
      </c>
      <c r="CW6" s="88" t="s">
        <v>221</v>
      </c>
      <c r="CX6" s="88" t="s">
        <v>221</v>
      </c>
      <c r="CY6" s="88" t="s">
        <v>221</v>
      </c>
      <c r="CZ6" s="88" t="s">
        <v>221</v>
      </c>
      <c r="DA6" s="88" t="s">
        <v>221</v>
      </c>
      <c r="DB6" s="88" t="s">
        <v>221</v>
      </c>
      <c r="DC6" s="88" t="s">
        <v>221</v>
      </c>
      <c r="DD6" s="88" t="s">
        <v>221</v>
      </c>
      <c r="DE6" s="88" t="s">
        <v>221</v>
      </c>
      <c r="DF6" s="88" t="s">
        <v>221</v>
      </c>
      <c r="DG6" s="88" t="s">
        <v>221</v>
      </c>
      <c r="DH6" s="88" t="s">
        <v>221</v>
      </c>
      <c r="DI6" s="88" t="s">
        <v>221</v>
      </c>
      <c r="DJ6" s="88" t="s">
        <v>221</v>
      </c>
      <c r="DK6" s="88" t="s">
        <v>221</v>
      </c>
      <c r="DL6" s="88" t="s">
        <v>221</v>
      </c>
      <c r="DM6" s="88" t="s">
        <v>221</v>
      </c>
      <c r="DN6" s="88" t="s">
        <v>221</v>
      </c>
      <c r="DO6" s="88" t="s">
        <v>221</v>
      </c>
      <c r="DP6" s="88" t="s">
        <v>221</v>
      </c>
      <c r="DQ6" s="88" t="s">
        <v>221</v>
      </c>
      <c r="DR6" s="88" t="s">
        <v>221</v>
      </c>
      <c r="DS6" s="88" t="s">
        <v>221</v>
      </c>
      <c r="DT6" s="88" t="s">
        <v>221</v>
      </c>
      <c r="DU6" s="88" t="s">
        <v>221</v>
      </c>
      <c r="DV6" s="88" t="s">
        <v>221</v>
      </c>
      <c r="DW6" s="88" t="s">
        <v>221</v>
      </c>
      <c r="DX6" s="88" t="s">
        <v>221</v>
      </c>
      <c r="DY6" s="88" t="s">
        <v>221</v>
      </c>
      <c r="DZ6" s="88" t="s">
        <v>221</v>
      </c>
      <c r="EA6" s="88" t="s">
        <v>221</v>
      </c>
      <c r="EB6" s="88" t="s">
        <v>221</v>
      </c>
      <c r="EC6" s="88" t="s">
        <v>221</v>
      </c>
      <c r="ED6" s="88" t="s">
        <v>221</v>
      </c>
      <c r="EE6" s="88" t="s">
        <v>221</v>
      </c>
      <c r="EF6" s="88" t="s">
        <v>221</v>
      </c>
      <c r="EG6" s="88" t="s">
        <v>221</v>
      </c>
      <c r="EH6" s="88" t="s">
        <v>221</v>
      </c>
      <c r="EI6" s="87" t="s">
        <v>221</v>
      </c>
      <c r="EJ6" s="88" t="s">
        <v>221</v>
      </c>
      <c r="EK6" s="130" t="s">
        <v>221</v>
      </c>
      <c r="EL6" s="88" t="s">
        <v>221</v>
      </c>
      <c r="EM6" s="87" t="s">
        <v>221</v>
      </c>
      <c r="EN6" s="87" t="s">
        <v>221</v>
      </c>
      <c r="EO6" s="88" t="s">
        <v>221</v>
      </c>
      <c r="EP6" s="130" t="s">
        <v>221</v>
      </c>
      <c r="EQ6" s="88" t="s">
        <v>221</v>
      </c>
      <c r="ER6" s="88" t="s">
        <v>221</v>
      </c>
      <c r="ES6" s="130" t="s">
        <v>221</v>
      </c>
      <c r="ET6" s="88" t="s">
        <v>221</v>
      </c>
      <c r="EU6" s="88" t="s">
        <v>221</v>
      </c>
      <c r="EV6" s="130" t="s">
        <v>221</v>
      </c>
      <c r="EW6" s="88" t="s">
        <v>221</v>
      </c>
      <c r="EX6" s="88" t="s">
        <v>221</v>
      </c>
      <c r="EY6" s="130" t="s">
        <v>221</v>
      </c>
      <c r="EZ6" s="88" t="s">
        <v>221</v>
      </c>
      <c r="FA6" s="88" t="s">
        <v>221</v>
      </c>
      <c r="FB6" s="88" t="s">
        <v>221</v>
      </c>
      <c r="FC6" s="88" t="s">
        <v>221</v>
      </c>
      <c r="FD6" s="88" t="s">
        <v>221</v>
      </c>
      <c r="FE6" s="88" t="s">
        <v>221</v>
      </c>
      <c r="FF6" s="88" t="s">
        <v>221</v>
      </c>
      <c r="FG6" s="88" t="s">
        <v>221</v>
      </c>
      <c r="FH6" s="88" t="s">
        <v>221</v>
      </c>
      <c r="FI6" s="88" t="s">
        <v>221</v>
      </c>
      <c r="FJ6" s="88" t="s">
        <v>221</v>
      </c>
      <c r="FK6" s="88" t="s">
        <v>221</v>
      </c>
      <c r="FL6" s="88" t="s">
        <v>221</v>
      </c>
      <c r="FM6" s="88" t="s">
        <v>221</v>
      </c>
      <c r="FN6" s="88" t="s">
        <v>221</v>
      </c>
      <c r="FO6" s="88" t="s">
        <v>221</v>
      </c>
      <c r="FP6" s="88" t="s">
        <v>221</v>
      </c>
      <c r="FQ6" s="88" t="s">
        <v>221</v>
      </c>
      <c r="FR6" s="88" t="s">
        <v>221</v>
      </c>
      <c r="FS6" s="88" t="s">
        <v>221</v>
      </c>
      <c r="FT6" s="88" t="s">
        <v>221</v>
      </c>
      <c r="FU6" s="88" t="s">
        <v>221</v>
      </c>
      <c r="FV6" s="88" t="s">
        <v>221</v>
      </c>
      <c r="FW6" s="88" t="s">
        <v>221</v>
      </c>
      <c r="FX6" s="88" t="s">
        <v>221</v>
      </c>
      <c r="FY6" s="88" t="s">
        <v>221</v>
      </c>
      <c r="FZ6" s="88" t="s">
        <v>221</v>
      </c>
      <c r="GA6" s="88" t="s">
        <v>221</v>
      </c>
      <c r="GB6" s="88" t="s">
        <v>221</v>
      </c>
      <c r="GC6" s="88" t="s">
        <v>221</v>
      </c>
      <c r="GD6" s="88" t="s">
        <v>221</v>
      </c>
      <c r="GE6" s="88" t="s">
        <v>221</v>
      </c>
      <c r="GF6" s="127" t="s">
        <v>260</v>
      </c>
      <c r="GG6" s="87" t="s">
        <v>221</v>
      </c>
      <c r="GH6" s="86" t="s">
        <v>221</v>
      </c>
      <c r="GI6" s="88" t="s">
        <v>221</v>
      </c>
      <c r="GJ6" s="87">
        <v>44657</v>
      </c>
      <c r="GK6" s="126">
        <v>45841</v>
      </c>
      <c r="GL6" s="158" t="s">
        <v>261</v>
      </c>
      <c r="GM6" s="150" t="str">
        <f t="shared" si="21"/>
        <v>N/A</v>
      </c>
      <c r="GN6" s="150" t="str">
        <f t="shared" si="22"/>
        <v>N/A</v>
      </c>
      <c r="GO6" s="150">
        <f t="shared" si="23"/>
        <v>0</v>
      </c>
      <c r="GP6" s="150" t="str">
        <f t="shared" si="24"/>
        <v>N/A</v>
      </c>
      <c r="GQ6" s="150" t="str">
        <f t="shared" si="25"/>
        <v>N/A</v>
      </c>
      <c r="GR6" s="150" t="str">
        <f t="shared" si="26"/>
        <v>N/A</v>
      </c>
      <c r="GS6" s="150" t="str">
        <f t="shared" si="27"/>
        <v>N/A</v>
      </c>
      <c r="GT6" s="150" t="str">
        <f t="shared" si="28"/>
        <v>N/A</v>
      </c>
      <c r="GU6" s="150" t="str">
        <f t="shared" si="29"/>
        <v>N/A</v>
      </c>
      <c r="GV6" s="150" t="str">
        <f t="shared" si="30"/>
        <v>N/A</v>
      </c>
      <c r="GW6" s="150" t="str">
        <f t="shared" si="31"/>
        <v>N/A</v>
      </c>
      <c r="GX6" s="150" t="str">
        <f t="shared" si="32"/>
        <v>N/A</v>
      </c>
      <c r="GY6" s="150" t="str">
        <f t="shared" si="33"/>
        <v>N/A</v>
      </c>
      <c r="GZ6" s="150" t="str">
        <f t="shared" si="34"/>
        <v>N/A</v>
      </c>
      <c r="HA6" s="150" t="str">
        <f t="shared" si="35"/>
        <v>N/A</v>
      </c>
      <c r="HB6" s="150" t="str">
        <f t="shared" si="13"/>
        <v>N/A</v>
      </c>
      <c r="HC6" s="150" t="str">
        <f t="shared" si="36"/>
        <v>N/A</v>
      </c>
      <c r="HD6" s="150">
        <f t="shared" si="37"/>
        <v>1.8666666666666667</v>
      </c>
      <c r="HE6" s="150">
        <f t="shared" si="38"/>
        <v>41.333333333333336</v>
      </c>
      <c r="HF6" s="151">
        <f t="shared" si="16"/>
        <v>41.333333333333336</v>
      </c>
      <c r="HG6" s="151" cm="1">
        <f t="array" ref="HG6">INDEX($HB6:$HD6,MATCH(TRUE,INDEX(ISNUMBER($HB6:$HD6),0),0))</f>
        <v>1.8666666666666667</v>
      </c>
      <c r="HH6" s="152">
        <f t="shared" si="17"/>
        <v>0</v>
      </c>
      <c r="HI6" s="153">
        <f t="shared" si="18"/>
        <v>0</v>
      </c>
      <c r="HJ6" s="154">
        <f t="shared" si="19"/>
        <v>0</v>
      </c>
      <c r="HK6" s="167" t="str">
        <f t="shared" si="20"/>
        <v>0</v>
      </c>
    </row>
    <row r="7" spans="1:219" ht="15" customHeight="1" x14ac:dyDescent="0.3">
      <c r="A7" s="88">
        <v>6493734150</v>
      </c>
      <c r="B7" s="86" t="s">
        <v>240</v>
      </c>
      <c r="C7" s="122" t="s">
        <v>221</v>
      </c>
      <c r="D7" s="86" t="s">
        <v>220</v>
      </c>
      <c r="E7" s="124" t="s">
        <v>221</v>
      </c>
      <c r="F7" s="124" t="s">
        <v>221</v>
      </c>
      <c r="G7" s="124" t="s">
        <v>221</v>
      </c>
      <c r="H7" s="126" t="s">
        <v>221</v>
      </c>
      <c r="I7" s="88" t="s">
        <v>262</v>
      </c>
      <c r="J7" s="124" t="s">
        <v>221</v>
      </c>
      <c r="K7" s="87" t="s">
        <v>221</v>
      </c>
      <c r="L7" s="124" t="s">
        <v>263</v>
      </c>
      <c r="M7" s="124" t="s">
        <v>264</v>
      </c>
      <c r="N7" s="124" t="s">
        <v>265</v>
      </c>
      <c r="O7" s="124" t="s">
        <v>266</v>
      </c>
      <c r="P7" s="126">
        <v>44735</v>
      </c>
      <c r="Q7" s="122" t="s">
        <v>227</v>
      </c>
      <c r="R7" s="124" t="s">
        <v>264</v>
      </c>
      <c r="S7" s="126" t="s">
        <v>252</v>
      </c>
      <c r="T7" s="124" t="s">
        <v>266</v>
      </c>
      <c r="U7" s="126">
        <v>44735</v>
      </c>
      <c r="V7" s="122" t="s">
        <v>227</v>
      </c>
      <c r="W7" s="86" t="s">
        <v>221</v>
      </c>
      <c r="X7" s="86" t="s">
        <v>221</v>
      </c>
      <c r="Y7" s="86" t="s">
        <v>221</v>
      </c>
      <c r="Z7" s="156" t="s">
        <v>221</v>
      </c>
      <c r="AA7" s="86" t="s">
        <v>221</v>
      </c>
      <c r="AB7" s="86" t="s">
        <v>221</v>
      </c>
      <c r="AC7" s="86" t="s">
        <v>221</v>
      </c>
      <c r="AD7" s="86" t="s">
        <v>221</v>
      </c>
      <c r="AE7" s="156" t="s">
        <v>221</v>
      </c>
      <c r="AF7" s="86" t="s">
        <v>221</v>
      </c>
      <c r="AG7" s="86" t="s">
        <v>221</v>
      </c>
      <c r="AH7" s="86" t="s">
        <v>221</v>
      </c>
      <c r="AI7" s="86" t="s">
        <v>221</v>
      </c>
      <c r="AJ7" s="156" t="s">
        <v>221</v>
      </c>
      <c r="AK7" s="86" t="s">
        <v>221</v>
      </c>
      <c r="AL7" s="88" t="s">
        <v>221</v>
      </c>
      <c r="AM7" s="88" t="s">
        <v>221</v>
      </c>
      <c r="AN7" s="88" t="s">
        <v>221</v>
      </c>
      <c r="AO7" s="87" t="s">
        <v>221</v>
      </c>
      <c r="AP7" s="86" t="s">
        <v>221</v>
      </c>
      <c r="AQ7" s="88" t="s">
        <v>255</v>
      </c>
      <c r="AR7" s="157">
        <v>23714</v>
      </c>
      <c r="AS7" s="87">
        <v>44735</v>
      </c>
      <c r="AT7" s="146">
        <f t="shared" si="0"/>
        <v>57</v>
      </c>
      <c r="AU7" s="88" t="s">
        <v>246</v>
      </c>
      <c r="AV7" s="86" t="s">
        <v>221</v>
      </c>
      <c r="AW7" s="86" t="s">
        <v>221</v>
      </c>
      <c r="AX7" s="88" t="s">
        <v>232</v>
      </c>
      <c r="AY7" s="88" t="s">
        <v>232</v>
      </c>
      <c r="AZ7" s="88" t="s">
        <v>232</v>
      </c>
      <c r="BA7" s="88" t="s">
        <v>267</v>
      </c>
      <c r="BB7" s="88" t="s">
        <v>268</v>
      </c>
      <c r="BC7" s="124" t="s">
        <v>241</v>
      </c>
      <c r="BD7" s="127" t="s">
        <v>237</v>
      </c>
      <c r="BE7" s="88" t="s">
        <v>238</v>
      </c>
      <c r="BF7" s="122" t="s">
        <v>240</v>
      </c>
      <c r="BG7" s="128" t="s">
        <v>221</v>
      </c>
      <c r="BH7" s="129" t="s">
        <v>247</v>
      </c>
      <c r="BI7" s="124" t="s">
        <v>269</v>
      </c>
      <c r="BJ7" s="126">
        <v>44785</v>
      </c>
      <c r="BK7" s="126">
        <v>44899</v>
      </c>
      <c r="BL7" s="124" t="s">
        <v>270</v>
      </c>
      <c r="BM7" s="130" t="s">
        <v>221</v>
      </c>
      <c r="BN7" s="88" t="s">
        <v>221</v>
      </c>
      <c r="BO7" s="88" t="s">
        <v>221</v>
      </c>
      <c r="BP7" s="130" t="s">
        <v>221</v>
      </c>
      <c r="BQ7" s="88" t="s">
        <v>221</v>
      </c>
      <c r="BR7" s="88" t="s">
        <v>221</v>
      </c>
      <c r="BS7" s="88" t="s">
        <v>221</v>
      </c>
      <c r="BT7" s="88" t="s">
        <v>221</v>
      </c>
      <c r="BU7" s="88" t="s">
        <v>221</v>
      </c>
      <c r="BV7" s="88" t="s">
        <v>221</v>
      </c>
      <c r="BW7" s="88" t="s">
        <v>221</v>
      </c>
      <c r="BX7" s="88" t="s">
        <v>221</v>
      </c>
      <c r="BY7" s="88" t="s">
        <v>221</v>
      </c>
      <c r="BZ7" s="88" t="s">
        <v>221</v>
      </c>
      <c r="CA7" s="88" t="s">
        <v>221</v>
      </c>
      <c r="CB7" s="88" t="s">
        <v>221</v>
      </c>
      <c r="CC7" s="88" t="s">
        <v>221</v>
      </c>
      <c r="CD7" s="88" t="s">
        <v>221</v>
      </c>
      <c r="CE7" s="88" t="s">
        <v>221</v>
      </c>
      <c r="CF7" s="88" t="s">
        <v>221</v>
      </c>
      <c r="CG7" s="88" t="s">
        <v>221</v>
      </c>
      <c r="CH7" s="88" t="s">
        <v>221</v>
      </c>
      <c r="CI7" s="88" t="s">
        <v>221</v>
      </c>
      <c r="CJ7" s="88" t="s">
        <v>221</v>
      </c>
      <c r="CK7" s="88" t="s">
        <v>221</v>
      </c>
      <c r="CL7" s="88" t="s">
        <v>221</v>
      </c>
      <c r="CM7" s="88" t="s">
        <v>221</v>
      </c>
      <c r="CN7" s="129" t="s">
        <v>221</v>
      </c>
      <c r="CO7" s="129" t="s">
        <v>221</v>
      </c>
      <c r="CP7" s="129" t="s">
        <v>221</v>
      </c>
      <c r="CQ7" s="129" t="s">
        <v>221</v>
      </c>
      <c r="CR7" s="129" t="s">
        <v>221</v>
      </c>
      <c r="CS7" s="130" t="s">
        <v>221</v>
      </c>
      <c r="CT7" s="88" t="s">
        <v>221</v>
      </c>
      <c r="CU7" s="88" t="s">
        <v>221</v>
      </c>
      <c r="CV7" s="130" t="s">
        <v>221</v>
      </c>
      <c r="CW7" s="88" t="s">
        <v>221</v>
      </c>
      <c r="CX7" s="88" t="s">
        <v>221</v>
      </c>
      <c r="CY7" s="88" t="s">
        <v>221</v>
      </c>
      <c r="CZ7" s="88" t="s">
        <v>221</v>
      </c>
      <c r="DA7" s="88" t="s">
        <v>221</v>
      </c>
      <c r="DB7" s="88" t="s">
        <v>221</v>
      </c>
      <c r="DC7" s="88" t="s">
        <v>221</v>
      </c>
      <c r="DD7" s="88" t="s">
        <v>221</v>
      </c>
      <c r="DE7" s="88" t="s">
        <v>221</v>
      </c>
      <c r="DF7" s="88" t="s">
        <v>221</v>
      </c>
      <c r="DG7" s="88" t="s">
        <v>221</v>
      </c>
      <c r="DH7" s="88" t="s">
        <v>221</v>
      </c>
      <c r="DI7" s="88" t="s">
        <v>221</v>
      </c>
      <c r="DJ7" s="88" t="s">
        <v>221</v>
      </c>
      <c r="DK7" s="88" t="s">
        <v>221</v>
      </c>
      <c r="DL7" s="88" t="s">
        <v>221</v>
      </c>
      <c r="DM7" s="88" t="s">
        <v>221</v>
      </c>
      <c r="DN7" s="88" t="s">
        <v>221</v>
      </c>
      <c r="DO7" s="88" t="s">
        <v>221</v>
      </c>
      <c r="DP7" s="88" t="s">
        <v>221</v>
      </c>
      <c r="DQ7" s="88" t="s">
        <v>221</v>
      </c>
      <c r="DR7" s="88" t="s">
        <v>221</v>
      </c>
      <c r="DS7" s="88" t="s">
        <v>221</v>
      </c>
      <c r="DT7" s="88" t="s">
        <v>221</v>
      </c>
      <c r="DU7" s="88" t="s">
        <v>221</v>
      </c>
      <c r="DV7" s="88" t="s">
        <v>221</v>
      </c>
      <c r="DW7" s="88" t="s">
        <v>221</v>
      </c>
      <c r="DX7" s="88" t="s">
        <v>221</v>
      </c>
      <c r="DY7" s="88" t="s">
        <v>221</v>
      </c>
      <c r="DZ7" s="88" t="s">
        <v>221</v>
      </c>
      <c r="EA7" s="88" t="s">
        <v>221</v>
      </c>
      <c r="EB7" s="88" t="s">
        <v>221</v>
      </c>
      <c r="EC7" s="88" t="s">
        <v>221</v>
      </c>
      <c r="ED7" s="88" t="s">
        <v>221</v>
      </c>
      <c r="EE7" s="88" t="s">
        <v>221</v>
      </c>
      <c r="EF7" s="88" t="s">
        <v>221</v>
      </c>
      <c r="EG7" s="88" t="s">
        <v>221</v>
      </c>
      <c r="EH7" s="88" t="s">
        <v>221</v>
      </c>
      <c r="EI7" s="87">
        <v>44931</v>
      </c>
      <c r="EJ7" s="88" t="s">
        <v>271</v>
      </c>
      <c r="EK7" s="130" t="s">
        <v>272</v>
      </c>
      <c r="EL7" s="88" t="s">
        <v>273</v>
      </c>
      <c r="EM7" s="87">
        <v>44991</v>
      </c>
      <c r="EN7" s="87">
        <v>45055</v>
      </c>
      <c r="EO7" s="124" t="s">
        <v>274</v>
      </c>
      <c r="EP7" s="130" t="s">
        <v>221</v>
      </c>
      <c r="EQ7" s="88" t="s">
        <v>221</v>
      </c>
      <c r="ER7" s="88" t="s">
        <v>221</v>
      </c>
      <c r="ES7" s="130" t="s">
        <v>221</v>
      </c>
      <c r="ET7" s="88" t="s">
        <v>221</v>
      </c>
      <c r="EU7" s="88" t="s">
        <v>221</v>
      </c>
      <c r="EV7" s="130" t="s">
        <v>221</v>
      </c>
      <c r="EW7" s="88" t="s">
        <v>221</v>
      </c>
      <c r="EX7" s="88" t="s">
        <v>221</v>
      </c>
      <c r="EY7" s="130" t="s">
        <v>221</v>
      </c>
      <c r="EZ7" s="88" t="s">
        <v>221</v>
      </c>
      <c r="FA7" s="88" t="s">
        <v>221</v>
      </c>
      <c r="FB7" s="88" t="s">
        <v>221</v>
      </c>
      <c r="FC7" s="88" t="s">
        <v>221</v>
      </c>
      <c r="FD7" s="88" t="s">
        <v>221</v>
      </c>
      <c r="FE7" s="88" t="s">
        <v>221</v>
      </c>
      <c r="FF7" s="88" t="s">
        <v>221</v>
      </c>
      <c r="FG7" s="88" t="s">
        <v>221</v>
      </c>
      <c r="FH7" s="88" t="s">
        <v>221</v>
      </c>
      <c r="FI7" s="88" t="s">
        <v>221</v>
      </c>
      <c r="FJ7" s="88" t="s">
        <v>221</v>
      </c>
      <c r="FK7" s="88" t="s">
        <v>221</v>
      </c>
      <c r="FL7" s="88" t="s">
        <v>221</v>
      </c>
      <c r="FM7" s="88" t="s">
        <v>221</v>
      </c>
      <c r="FN7" s="88" t="s">
        <v>221</v>
      </c>
      <c r="FO7" s="88" t="s">
        <v>221</v>
      </c>
      <c r="FP7" s="88" t="s">
        <v>221</v>
      </c>
      <c r="FQ7" s="88" t="s">
        <v>221</v>
      </c>
      <c r="FR7" s="88" t="s">
        <v>221</v>
      </c>
      <c r="FS7" s="88" t="s">
        <v>221</v>
      </c>
      <c r="FT7" s="88" t="s">
        <v>221</v>
      </c>
      <c r="FU7" s="88" t="s">
        <v>221</v>
      </c>
      <c r="FV7" s="88" t="s">
        <v>221</v>
      </c>
      <c r="FW7" s="88" t="s">
        <v>221</v>
      </c>
      <c r="FX7" s="88" t="s">
        <v>221</v>
      </c>
      <c r="FY7" s="88" t="s">
        <v>221</v>
      </c>
      <c r="FZ7" s="88" t="s">
        <v>221</v>
      </c>
      <c r="GA7" s="88" t="s">
        <v>221</v>
      </c>
      <c r="GB7" s="88" t="s">
        <v>221</v>
      </c>
      <c r="GC7" s="88" t="s">
        <v>221</v>
      </c>
      <c r="GD7" s="88" t="s">
        <v>221</v>
      </c>
      <c r="GE7" s="88" t="s">
        <v>221</v>
      </c>
      <c r="GF7" s="127" t="s">
        <v>239</v>
      </c>
      <c r="GG7" s="87">
        <v>45113</v>
      </c>
      <c r="GH7" s="86" t="s">
        <v>240</v>
      </c>
      <c r="GI7" s="124" t="s">
        <v>241</v>
      </c>
      <c r="GJ7" s="87">
        <v>45092</v>
      </c>
      <c r="GK7" s="176" t="s">
        <v>221</v>
      </c>
      <c r="GL7" s="87" t="s">
        <v>221</v>
      </c>
      <c r="GM7" s="150">
        <f t="shared" si="21"/>
        <v>1.6666666666666667</v>
      </c>
      <c r="GN7" s="150">
        <f t="shared" si="22"/>
        <v>5.4666666666666668</v>
      </c>
      <c r="GO7" s="150" t="str">
        <f t="shared" si="23"/>
        <v>N/A</v>
      </c>
      <c r="GP7" s="150" t="str">
        <f t="shared" si="24"/>
        <v>N/A</v>
      </c>
      <c r="GQ7" s="150">
        <f t="shared" si="25"/>
        <v>0</v>
      </c>
      <c r="GR7" s="150">
        <f t="shared" si="26"/>
        <v>0</v>
      </c>
      <c r="GS7" s="150" t="str">
        <f t="shared" si="27"/>
        <v>N/A</v>
      </c>
      <c r="GT7" s="150" t="str">
        <f t="shared" si="28"/>
        <v>N/A</v>
      </c>
      <c r="GU7" s="150" t="str">
        <f t="shared" si="29"/>
        <v>N/A</v>
      </c>
      <c r="GV7" s="150" t="str">
        <f t="shared" si="30"/>
        <v>N/A</v>
      </c>
      <c r="GW7" s="150" t="str">
        <f t="shared" si="31"/>
        <v>N/A</v>
      </c>
      <c r="GX7" s="150" t="str">
        <f t="shared" si="32"/>
        <v>N/A</v>
      </c>
      <c r="GY7" s="150">
        <f t="shared" si="33"/>
        <v>6.5333333333333332</v>
      </c>
      <c r="GZ7" s="150">
        <f t="shared" si="34"/>
        <v>8.5333333333333332</v>
      </c>
      <c r="HA7" s="150">
        <f t="shared" si="35"/>
        <v>10.666666666666666</v>
      </c>
      <c r="HB7" s="150">
        <f t="shared" si="13"/>
        <v>6.5333333333333332</v>
      </c>
      <c r="HC7" s="150">
        <f t="shared" si="36"/>
        <v>12.6</v>
      </c>
      <c r="HD7" s="150">
        <f t="shared" si="37"/>
        <v>11.9</v>
      </c>
      <c r="HE7" s="150" t="str">
        <f t="shared" si="38"/>
        <v>N/A</v>
      </c>
      <c r="HF7" s="151">
        <f t="shared" si="16"/>
        <v>12.6</v>
      </c>
      <c r="HG7" s="151" cm="1">
        <f t="array" ref="HG7">INDEX($HB7:$HD7,MATCH(TRUE,INDEX(ISNUMBER($HB7:$HD7),0),0))</f>
        <v>6.5333333333333332</v>
      </c>
      <c r="HH7" s="152">
        <f t="shared" si="17"/>
        <v>1</v>
      </c>
      <c r="HI7" s="153">
        <f t="shared" si="18"/>
        <v>1</v>
      </c>
      <c r="HJ7" s="154">
        <f t="shared" si="19"/>
        <v>1</v>
      </c>
      <c r="HK7" s="167" t="str">
        <f t="shared" si="20"/>
        <v>1</v>
      </c>
    </row>
    <row r="8" spans="1:219" ht="15" customHeight="1" x14ac:dyDescent="0.3">
      <c r="A8" s="88">
        <v>4381377761</v>
      </c>
      <c r="B8" s="86" t="s">
        <v>220</v>
      </c>
      <c r="C8" s="86" t="s">
        <v>227</v>
      </c>
      <c r="D8" s="86" t="s">
        <v>220</v>
      </c>
      <c r="E8" s="88" t="s">
        <v>275</v>
      </c>
      <c r="F8" s="88" t="s">
        <v>265</v>
      </c>
      <c r="G8" s="88" t="s">
        <v>221</v>
      </c>
      <c r="H8" s="87">
        <v>44776</v>
      </c>
      <c r="I8" s="88" t="s">
        <v>276</v>
      </c>
      <c r="J8" s="88" t="s">
        <v>277</v>
      </c>
      <c r="K8" s="87" t="s">
        <v>221</v>
      </c>
      <c r="L8" s="88" t="s">
        <v>221</v>
      </c>
      <c r="M8" s="88" t="s">
        <v>221</v>
      </c>
      <c r="N8" s="88" t="s">
        <v>221</v>
      </c>
      <c r="O8" s="88" t="s">
        <v>221</v>
      </c>
      <c r="P8" s="87" t="s">
        <v>221</v>
      </c>
      <c r="Q8" s="86" t="s">
        <v>221</v>
      </c>
      <c r="R8" s="88" t="s">
        <v>221</v>
      </c>
      <c r="S8" s="88" t="s">
        <v>221</v>
      </c>
      <c r="T8" s="88" t="s">
        <v>221</v>
      </c>
      <c r="U8" s="87" t="s">
        <v>221</v>
      </c>
      <c r="V8" s="86" t="s">
        <v>221</v>
      </c>
      <c r="W8" s="86" t="s">
        <v>221</v>
      </c>
      <c r="X8" s="86" t="s">
        <v>221</v>
      </c>
      <c r="Y8" s="86" t="s">
        <v>221</v>
      </c>
      <c r="Z8" s="156" t="s">
        <v>221</v>
      </c>
      <c r="AA8" s="86" t="s">
        <v>221</v>
      </c>
      <c r="AB8" s="86" t="s">
        <v>221</v>
      </c>
      <c r="AC8" s="86" t="s">
        <v>221</v>
      </c>
      <c r="AD8" s="86" t="s">
        <v>221</v>
      </c>
      <c r="AE8" s="156" t="s">
        <v>221</v>
      </c>
      <c r="AF8" s="86" t="s">
        <v>221</v>
      </c>
      <c r="AG8" s="86" t="s">
        <v>221</v>
      </c>
      <c r="AH8" s="86" t="s">
        <v>221</v>
      </c>
      <c r="AI8" s="86" t="s">
        <v>221</v>
      </c>
      <c r="AJ8" s="156" t="s">
        <v>221</v>
      </c>
      <c r="AK8" s="86" t="s">
        <v>221</v>
      </c>
      <c r="AL8" s="88" t="s">
        <v>221</v>
      </c>
      <c r="AM8" s="88" t="s">
        <v>221</v>
      </c>
      <c r="AN8" s="88" t="s">
        <v>221</v>
      </c>
      <c r="AO8" s="87" t="s">
        <v>221</v>
      </c>
      <c r="AP8" s="86" t="s">
        <v>221</v>
      </c>
      <c r="AQ8" s="88" t="s">
        <v>230</v>
      </c>
      <c r="AR8" s="157">
        <v>15072</v>
      </c>
      <c r="AS8" s="87">
        <v>44776</v>
      </c>
      <c r="AT8" s="146">
        <f t="shared" si="0"/>
        <v>81</v>
      </c>
      <c r="AU8" s="88" t="s">
        <v>278</v>
      </c>
      <c r="AV8" s="86" t="s">
        <v>221</v>
      </c>
      <c r="AW8" s="86" t="s">
        <v>221</v>
      </c>
      <c r="AX8" s="88" t="s">
        <v>232</v>
      </c>
      <c r="AY8" s="88" t="s">
        <v>232</v>
      </c>
      <c r="AZ8" s="88" t="s">
        <v>232</v>
      </c>
      <c r="BA8" s="124" t="s">
        <v>279</v>
      </c>
      <c r="BB8" s="124" t="s">
        <v>280</v>
      </c>
      <c r="BC8" s="88" t="s">
        <v>236</v>
      </c>
      <c r="BD8" s="127" t="s">
        <v>237</v>
      </c>
      <c r="BE8" s="124" t="s">
        <v>281</v>
      </c>
      <c r="BF8" s="86" t="s">
        <v>220</v>
      </c>
      <c r="BG8" s="131" t="s">
        <v>221</v>
      </c>
      <c r="BH8" s="130" t="s">
        <v>221</v>
      </c>
      <c r="BI8" s="88" t="s">
        <v>221</v>
      </c>
      <c r="BJ8" s="87" t="s">
        <v>221</v>
      </c>
      <c r="BK8" s="87" t="s">
        <v>221</v>
      </c>
      <c r="BL8" s="88" t="s">
        <v>221</v>
      </c>
      <c r="BM8" s="130" t="s">
        <v>221</v>
      </c>
      <c r="BN8" s="88" t="s">
        <v>221</v>
      </c>
      <c r="BO8" s="88" t="s">
        <v>221</v>
      </c>
      <c r="BP8" s="130" t="s">
        <v>221</v>
      </c>
      <c r="BQ8" s="88" t="s">
        <v>221</v>
      </c>
      <c r="BR8" s="88" t="s">
        <v>221</v>
      </c>
      <c r="BS8" s="88" t="s">
        <v>221</v>
      </c>
      <c r="BT8" s="88" t="s">
        <v>221</v>
      </c>
      <c r="BU8" s="88" t="s">
        <v>221</v>
      </c>
      <c r="BV8" s="88" t="s">
        <v>221</v>
      </c>
      <c r="BW8" s="88" t="s">
        <v>221</v>
      </c>
      <c r="BX8" s="88" t="s">
        <v>221</v>
      </c>
      <c r="BY8" s="88" t="s">
        <v>221</v>
      </c>
      <c r="BZ8" s="88" t="s">
        <v>221</v>
      </c>
      <c r="CA8" s="88" t="s">
        <v>221</v>
      </c>
      <c r="CB8" s="88" t="s">
        <v>221</v>
      </c>
      <c r="CC8" s="88" t="s">
        <v>221</v>
      </c>
      <c r="CD8" s="88" t="s">
        <v>221</v>
      </c>
      <c r="CE8" s="88" t="s">
        <v>221</v>
      </c>
      <c r="CF8" s="88" t="s">
        <v>221</v>
      </c>
      <c r="CG8" s="88" t="s">
        <v>221</v>
      </c>
      <c r="CH8" s="88" t="s">
        <v>221</v>
      </c>
      <c r="CI8" s="88" t="s">
        <v>221</v>
      </c>
      <c r="CJ8" s="88" t="s">
        <v>221</v>
      </c>
      <c r="CK8" s="88" t="s">
        <v>221</v>
      </c>
      <c r="CL8" s="88" t="s">
        <v>221</v>
      </c>
      <c r="CM8" s="88" t="s">
        <v>221</v>
      </c>
      <c r="CN8" s="130" t="s">
        <v>221</v>
      </c>
      <c r="CO8" s="88" t="s">
        <v>221</v>
      </c>
      <c r="CP8" s="87" t="s">
        <v>221</v>
      </c>
      <c r="CQ8" s="87" t="s">
        <v>221</v>
      </c>
      <c r="CR8" s="88" t="s">
        <v>221</v>
      </c>
      <c r="CS8" s="130" t="s">
        <v>221</v>
      </c>
      <c r="CT8" s="88" t="s">
        <v>221</v>
      </c>
      <c r="CU8" s="88" t="s">
        <v>221</v>
      </c>
      <c r="CV8" s="130" t="s">
        <v>221</v>
      </c>
      <c r="CW8" s="88" t="s">
        <v>221</v>
      </c>
      <c r="CX8" s="88" t="s">
        <v>221</v>
      </c>
      <c r="CY8" s="88" t="s">
        <v>221</v>
      </c>
      <c r="CZ8" s="88" t="s">
        <v>221</v>
      </c>
      <c r="DA8" s="88" t="s">
        <v>221</v>
      </c>
      <c r="DB8" s="88" t="s">
        <v>221</v>
      </c>
      <c r="DC8" s="88" t="s">
        <v>221</v>
      </c>
      <c r="DD8" s="88" t="s">
        <v>221</v>
      </c>
      <c r="DE8" s="88" t="s">
        <v>221</v>
      </c>
      <c r="DF8" s="88" t="s">
        <v>221</v>
      </c>
      <c r="DG8" s="88" t="s">
        <v>221</v>
      </c>
      <c r="DH8" s="88" t="s">
        <v>221</v>
      </c>
      <c r="DI8" s="88" t="s">
        <v>221</v>
      </c>
      <c r="DJ8" s="88" t="s">
        <v>221</v>
      </c>
      <c r="DK8" s="88" t="s">
        <v>221</v>
      </c>
      <c r="DL8" s="88" t="s">
        <v>221</v>
      </c>
      <c r="DM8" s="88" t="s">
        <v>221</v>
      </c>
      <c r="DN8" s="88" t="s">
        <v>221</v>
      </c>
      <c r="DO8" s="88" t="s">
        <v>221</v>
      </c>
      <c r="DP8" s="88" t="s">
        <v>221</v>
      </c>
      <c r="DQ8" s="88" t="s">
        <v>221</v>
      </c>
      <c r="DR8" s="88" t="s">
        <v>221</v>
      </c>
      <c r="DS8" s="88" t="s">
        <v>221</v>
      </c>
      <c r="DT8" s="88" t="s">
        <v>221</v>
      </c>
      <c r="DU8" s="88" t="s">
        <v>221</v>
      </c>
      <c r="DV8" s="88" t="s">
        <v>221</v>
      </c>
      <c r="DW8" s="88" t="s">
        <v>221</v>
      </c>
      <c r="DX8" s="88" t="s">
        <v>221</v>
      </c>
      <c r="DY8" s="88" t="s">
        <v>221</v>
      </c>
      <c r="DZ8" s="88" t="s">
        <v>221</v>
      </c>
      <c r="EA8" s="88" t="s">
        <v>221</v>
      </c>
      <c r="EB8" s="88" t="s">
        <v>221</v>
      </c>
      <c r="EC8" s="88" t="s">
        <v>221</v>
      </c>
      <c r="ED8" s="88" t="s">
        <v>221</v>
      </c>
      <c r="EE8" s="88" t="s">
        <v>221</v>
      </c>
      <c r="EF8" s="88" t="s">
        <v>221</v>
      </c>
      <c r="EG8" s="88" t="s">
        <v>221</v>
      </c>
      <c r="EH8" s="88" t="s">
        <v>221</v>
      </c>
      <c r="EI8" s="87" t="s">
        <v>221</v>
      </c>
      <c r="EJ8" s="88" t="s">
        <v>221</v>
      </c>
      <c r="EK8" s="130" t="s">
        <v>221</v>
      </c>
      <c r="EL8" s="88" t="s">
        <v>221</v>
      </c>
      <c r="EM8" s="87" t="s">
        <v>221</v>
      </c>
      <c r="EN8" s="87" t="s">
        <v>221</v>
      </c>
      <c r="EO8" s="88" t="s">
        <v>221</v>
      </c>
      <c r="EP8" s="130" t="s">
        <v>221</v>
      </c>
      <c r="EQ8" s="88" t="s">
        <v>221</v>
      </c>
      <c r="ER8" s="88" t="s">
        <v>221</v>
      </c>
      <c r="ES8" s="130" t="s">
        <v>221</v>
      </c>
      <c r="ET8" s="88" t="s">
        <v>221</v>
      </c>
      <c r="EU8" s="88" t="s">
        <v>221</v>
      </c>
      <c r="EV8" s="130" t="s">
        <v>221</v>
      </c>
      <c r="EW8" s="88" t="s">
        <v>221</v>
      </c>
      <c r="EX8" s="88" t="s">
        <v>221</v>
      </c>
      <c r="EY8" s="130" t="s">
        <v>221</v>
      </c>
      <c r="EZ8" s="88" t="s">
        <v>221</v>
      </c>
      <c r="FA8" s="88" t="s">
        <v>221</v>
      </c>
      <c r="FB8" s="88" t="s">
        <v>221</v>
      </c>
      <c r="FC8" s="88" t="s">
        <v>221</v>
      </c>
      <c r="FD8" s="88" t="s">
        <v>221</v>
      </c>
      <c r="FE8" s="88" t="s">
        <v>221</v>
      </c>
      <c r="FF8" s="88" t="s">
        <v>221</v>
      </c>
      <c r="FG8" s="88" t="s">
        <v>221</v>
      </c>
      <c r="FH8" s="88" t="s">
        <v>221</v>
      </c>
      <c r="FI8" s="88" t="s">
        <v>221</v>
      </c>
      <c r="FJ8" s="88" t="s">
        <v>221</v>
      </c>
      <c r="FK8" s="88" t="s">
        <v>221</v>
      </c>
      <c r="FL8" s="88" t="s">
        <v>221</v>
      </c>
      <c r="FM8" s="88" t="s">
        <v>221</v>
      </c>
      <c r="FN8" s="88" t="s">
        <v>221</v>
      </c>
      <c r="FO8" s="88" t="s">
        <v>221</v>
      </c>
      <c r="FP8" s="88" t="s">
        <v>221</v>
      </c>
      <c r="FQ8" s="88" t="s">
        <v>221</v>
      </c>
      <c r="FR8" s="88" t="s">
        <v>221</v>
      </c>
      <c r="FS8" s="88" t="s">
        <v>221</v>
      </c>
      <c r="FT8" s="88" t="s">
        <v>221</v>
      </c>
      <c r="FU8" s="88" t="s">
        <v>221</v>
      </c>
      <c r="FV8" s="88" t="s">
        <v>221</v>
      </c>
      <c r="FW8" s="88" t="s">
        <v>221</v>
      </c>
      <c r="FX8" s="88" t="s">
        <v>221</v>
      </c>
      <c r="FY8" s="88" t="s">
        <v>221</v>
      </c>
      <c r="FZ8" s="88" t="s">
        <v>221</v>
      </c>
      <c r="GA8" s="88" t="s">
        <v>221</v>
      </c>
      <c r="GB8" s="88" t="s">
        <v>221</v>
      </c>
      <c r="GC8" s="88" t="s">
        <v>221</v>
      </c>
      <c r="GD8" s="88" t="s">
        <v>221</v>
      </c>
      <c r="GE8" s="88" t="s">
        <v>221</v>
      </c>
      <c r="GF8" s="127" t="s">
        <v>239</v>
      </c>
      <c r="GG8" s="87">
        <v>44911</v>
      </c>
      <c r="GH8" s="86" t="s">
        <v>240</v>
      </c>
      <c r="GI8" s="124" t="s">
        <v>241</v>
      </c>
      <c r="GJ8" s="87">
        <v>44869</v>
      </c>
      <c r="GK8" s="176" t="s">
        <v>221</v>
      </c>
      <c r="GL8" s="87" t="s">
        <v>221</v>
      </c>
      <c r="GM8" s="150" t="str">
        <f t="shared" si="21"/>
        <v>N/A</v>
      </c>
      <c r="GN8" s="150" t="str">
        <f t="shared" si="22"/>
        <v>N/A</v>
      </c>
      <c r="GO8" s="150">
        <f t="shared" si="23"/>
        <v>0</v>
      </c>
      <c r="GP8" s="150" t="str">
        <f t="shared" si="24"/>
        <v>N/A</v>
      </c>
      <c r="GQ8" s="150" t="str">
        <f t="shared" si="25"/>
        <v>N/A</v>
      </c>
      <c r="GR8" s="150" t="str">
        <f t="shared" si="26"/>
        <v>N/A</v>
      </c>
      <c r="GS8" s="150" t="str">
        <f t="shared" si="27"/>
        <v>N/A</v>
      </c>
      <c r="GT8" s="150" t="str">
        <f t="shared" si="28"/>
        <v>N/A</v>
      </c>
      <c r="GU8" s="150" t="str">
        <f t="shared" si="29"/>
        <v>N/A</v>
      </c>
      <c r="GV8" s="150" t="str">
        <f t="shared" si="30"/>
        <v>N/A</v>
      </c>
      <c r="GW8" s="150" t="str">
        <f t="shared" si="31"/>
        <v>N/A</v>
      </c>
      <c r="GX8" s="150" t="str">
        <f t="shared" si="32"/>
        <v>N/A</v>
      </c>
      <c r="GY8" s="150" t="str">
        <f t="shared" si="33"/>
        <v>N/A</v>
      </c>
      <c r="GZ8" s="150" t="str">
        <f t="shared" si="34"/>
        <v>N/A</v>
      </c>
      <c r="HA8" s="150" t="str">
        <f t="shared" si="35"/>
        <v>N/A</v>
      </c>
      <c r="HB8" s="150" t="str">
        <f t="shared" si="13"/>
        <v>N/A</v>
      </c>
      <c r="HC8" s="150">
        <f t="shared" si="36"/>
        <v>4.5</v>
      </c>
      <c r="HD8" s="150">
        <f t="shared" si="37"/>
        <v>3.1</v>
      </c>
      <c r="HE8" s="150" t="str">
        <f t="shared" si="38"/>
        <v>N/A</v>
      </c>
      <c r="HF8" s="151">
        <f t="shared" si="16"/>
        <v>4.5</v>
      </c>
      <c r="HG8" s="151" cm="1">
        <f t="array" ref="HG8">INDEX($HB8:$HD8,MATCH(TRUE,INDEX(ISNUMBER($HB8:$HD8),0),0))</f>
        <v>4.5</v>
      </c>
      <c r="HH8" s="152">
        <f t="shared" si="17"/>
        <v>0</v>
      </c>
      <c r="HI8" s="153">
        <f t="shared" si="18"/>
        <v>1</v>
      </c>
      <c r="HJ8" s="154">
        <f t="shared" si="19"/>
        <v>1</v>
      </c>
      <c r="HK8" s="167" t="str">
        <f t="shared" si="20"/>
        <v>1</v>
      </c>
    </row>
    <row r="9" spans="1:219" ht="15" customHeight="1" x14ac:dyDescent="0.3">
      <c r="A9" s="88">
        <v>4300240779</v>
      </c>
      <c r="B9" s="86" t="s">
        <v>220</v>
      </c>
      <c r="C9" s="122" t="s">
        <v>221</v>
      </c>
      <c r="D9" s="86" t="s">
        <v>220</v>
      </c>
      <c r="E9" s="124" t="s">
        <v>221</v>
      </c>
      <c r="F9" s="124" t="s">
        <v>221</v>
      </c>
      <c r="G9" s="124" t="s">
        <v>221</v>
      </c>
      <c r="H9" s="126" t="s">
        <v>221</v>
      </c>
      <c r="I9" s="88" t="s">
        <v>282</v>
      </c>
      <c r="J9" s="124" t="s">
        <v>221</v>
      </c>
      <c r="K9" s="87" t="s">
        <v>221</v>
      </c>
      <c r="L9" s="124" t="s">
        <v>283</v>
      </c>
      <c r="M9" s="124" t="s">
        <v>284</v>
      </c>
      <c r="N9" s="124" t="s">
        <v>265</v>
      </c>
      <c r="O9" s="124" t="s">
        <v>285</v>
      </c>
      <c r="P9" s="126">
        <v>44873</v>
      </c>
      <c r="Q9" s="122" t="s">
        <v>227</v>
      </c>
      <c r="R9" s="88" t="s">
        <v>221</v>
      </c>
      <c r="S9" s="88" t="s">
        <v>221</v>
      </c>
      <c r="T9" s="88" t="s">
        <v>221</v>
      </c>
      <c r="U9" s="87" t="s">
        <v>221</v>
      </c>
      <c r="V9" s="86" t="s">
        <v>221</v>
      </c>
      <c r="W9" s="86" t="s">
        <v>221</v>
      </c>
      <c r="X9" s="86" t="s">
        <v>221</v>
      </c>
      <c r="Y9" s="86" t="s">
        <v>221</v>
      </c>
      <c r="Z9" s="156" t="s">
        <v>221</v>
      </c>
      <c r="AA9" s="86" t="s">
        <v>221</v>
      </c>
      <c r="AB9" s="86" t="s">
        <v>221</v>
      </c>
      <c r="AC9" s="86" t="s">
        <v>221</v>
      </c>
      <c r="AD9" s="86" t="s">
        <v>221</v>
      </c>
      <c r="AE9" s="156" t="s">
        <v>221</v>
      </c>
      <c r="AF9" s="86" t="s">
        <v>221</v>
      </c>
      <c r="AG9" s="86" t="s">
        <v>221</v>
      </c>
      <c r="AH9" s="86" t="s">
        <v>221</v>
      </c>
      <c r="AI9" s="86" t="s">
        <v>221</v>
      </c>
      <c r="AJ9" s="156" t="s">
        <v>221</v>
      </c>
      <c r="AK9" s="86" t="s">
        <v>221</v>
      </c>
      <c r="AL9" s="88" t="s">
        <v>221</v>
      </c>
      <c r="AM9" s="88" t="s">
        <v>221</v>
      </c>
      <c r="AN9" s="88" t="s">
        <v>221</v>
      </c>
      <c r="AO9" s="87" t="s">
        <v>221</v>
      </c>
      <c r="AP9" s="86" t="s">
        <v>221</v>
      </c>
      <c r="AQ9" s="88" t="s">
        <v>230</v>
      </c>
      <c r="AR9" s="157">
        <v>11933</v>
      </c>
      <c r="AS9" s="87">
        <v>44866</v>
      </c>
      <c r="AT9" s="146">
        <f t="shared" si="0"/>
        <v>90</v>
      </c>
      <c r="AU9" s="88" t="s">
        <v>246</v>
      </c>
      <c r="AV9" s="86" t="s">
        <v>221</v>
      </c>
      <c r="AW9" s="86" t="s">
        <v>221</v>
      </c>
      <c r="AX9" s="88" t="s">
        <v>232</v>
      </c>
      <c r="AY9" s="88" t="s">
        <v>232</v>
      </c>
      <c r="AZ9" s="124" t="s">
        <v>233</v>
      </c>
      <c r="BA9" s="124" t="s">
        <v>234</v>
      </c>
      <c r="BB9" s="88" t="s">
        <v>286</v>
      </c>
      <c r="BC9" s="88" t="s">
        <v>236</v>
      </c>
      <c r="BD9" s="127" t="s">
        <v>237</v>
      </c>
      <c r="BE9" s="88" t="s">
        <v>238</v>
      </c>
      <c r="BF9" s="86" t="s">
        <v>220</v>
      </c>
      <c r="BG9" s="131" t="s">
        <v>221</v>
      </c>
      <c r="BH9" s="130" t="s">
        <v>221</v>
      </c>
      <c r="BI9" s="88" t="s">
        <v>221</v>
      </c>
      <c r="BJ9" s="87" t="s">
        <v>221</v>
      </c>
      <c r="BK9" s="87" t="s">
        <v>221</v>
      </c>
      <c r="BL9" s="88" t="s">
        <v>221</v>
      </c>
      <c r="BM9" s="130" t="s">
        <v>221</v>
      </c>
      <c r="BN9" s="88" t="s">
        <v>221</v>
      </c>
      <c r="BO9" s="88" t="s">
        <v>221</v>
      </c>
      <c r="BP9" s="130" t="s">
        <v>221</v>
      </c>
      <c r="BQ9" s="88" t="s">
        <v>221</v>
      </c>
      <c r="BR9" s="88" t="s">
        <v>221</v>
      </c>
      <c r="BS9" s="88" t="s">
        <v>221</v>
      </c>
      <c r="BT9" s="88" t="s">
        <v>221</v>
      </c>
      <c r="BU9" s="88" t="s">
        <v>221</v>
      </c>
      <c r="BV9" s="88" t="s">
        <v>221</v>
      </c>
      <c r="BW9" s="88" t="s">
        <v>221</v>
      </c>
      <c r="BX9" s="88" t="s">
        <v>221</v>
      </c>
      <c r="BY9" s="88" t="s">
        <v>221</v>
      </c>
      <c r="BZ9" s="88" t="s">
        <v>221</v>
      </c>
      <c r="CA9" s="88" t="s">
        <v>221</v>
      </c>
      <c r="CB9" s="88" t="s">
        <v>221</v>
      </c>
      <c r="CC9" s="88" t="s">
        <v>221</v>
      </c>
      <c r="CD9" s="88" t="s">
        <v>221</v>
      </c>
      <c r="CE9" s="88" t="s">
        <v>221</v>
      </c>
      <c r="CF9" s="88" t="s">
        <v>221</v>
      </c>
      <c r="CG9" s="88" t="s">
        <v>221</v>
      </c>
      <c r="CH9" s="88" t="s">
        <v>221</v>
      </c>
      <c r="CI9" s="88" t="s">
        <v>221</v>
      </c>
      <c r="CJ9" s="88" t="s">
        <v>221</v>
      </c>
      <c r="CK9" s="88" t="s">
        <v>221</v>
      </c>
      <c r="CL9" s="88" t="s">
        <v>221</v>
      </c>
      <c r="CM9" s="88" t="s">
        <v>221</v>
      </c>
      <c r="CN9" s="130" t="s">
        <v>221</v>
      </c>
      <c r="CO9" s="88" t="s">
        <v>221</v>
      </c>
      <c r="CP9" s="87" t="s">
        <v>221</v>
      </c>
      <c r="CQ9" s="87" t="s">
        <v>221</v>
      </c>
      <c r="CR9" s="88" t="s">
        <v>221</v>
      </c>
      <c r="CS9" s="130" t="s">
        <v>221</v>
      </c>
      <c r="CT9" s="88" t="s">
        <v>221</v>
      </c>
      <c r="CU9" s="88" t="s">
        <v>221</v>
      </c>
      <c r="CV9" s="130" t="s">
        <v>221</v>
      </c>
      <c r="CW9" s="88" t="s">
        <v>221</v>
      </c>
      <c r="CX9" s="88" t="s">
        <v>221</v>
      </c>
      <c r="CY9" s="88" t="s">
        <v>221</v>
      </c>
      <c r="CZ9" s="88" t="s">
        <v>221</v>
      </c>
      <c r="DA9" s="88" t="s">
        <v>221</v>
      </c>
      <c r="DB9" s="88" t="s">
        <v>221</v>
      </c>
      <c r="DC9" s="88" t="s">
        <v>221</v>
      </c>
      <c r="DD9" s="88" t="s">
        <v>221</v>
      </c>
      <c r="DE9" s="88" t="s">
        <v>221</v>
      </c>
      <c r="DF9" s="88" t="s">
        <v>221</v>
      </c>
      <c r="DG9" s="88" t="s">
        <v>221</v>
      </c>
      <c r="DH9" s="88" t="s">
        <v>221</v>
      </c>
      <c r="DI9" s="88" t="s">
        <v>221</v>
      </c>
      <c r="DJ9" s="88" t="s">
        <v>221</v>
      </c>
      <c r="DK9" s="88" t="s">
        <v>221</v>
      </c>
      <c r="DL9" s="88" t="s">
        <v>221</v>
      </c>
      <c r="DM9" s="88" t="s">
        <v>221</v>
      </c>
      <c r="DN9" s="88" t="s">
        <v>221</v>
      </c>
      <c r="DO9" s="88" t="s">
        <v>221</v>
      </c>
      <c r="DP9" s="88" t="s">
        <v>221</v>
      </c>
      <c r="DQ9" s="88" t="s">
        <v>221</v>
      </c>
      <c r="DR9" s="88" t="s">
        <v>221</v>
      </c>
      <c r="DS9" s="88" t="s">
        <v>221</v>
      </c>
      <c r="DT9" s="88" t="s">
        <v>221</v>
      </c>
      <c r="DU9" s="88" t="s">
        <v>221</v>
      </c>
      <c r="DV9" s="88" t="s">
        <v>221</v>
      </c>
      <c r="DW9" s="88" t="s">
        <v>221</v>
      </c>
      <c r="DX9" s="88" t="s">
        <v>221</v>
      </c>
      <c r="DY9" s="88" t="s">
        <v>221</v>
      </c>
      <c r="DZ9" s="88" t="s">
        <v>221</v>
      </c>
      <c r="EA9" s="88" t="s">
        <v>221</v>
      </c>
      <c r="EB9" s="88" t="s">
        <v>221</v>
      </c>
      <c r="EC9" s="88" t="s">
        <v>221</v>
      </c>
      <c r="ED9" s="88" t="s">
        <v>221</v>
      </c>
      <c r="EE9" s="88" t="s">
        <v>221</v>
      </c>
      <c r="EF9" s="88" t="s">
        <v>221</v>
      </c>
      <c r="EG9" s="88" t="s">
        <v>221</v>
      </c>
      <c r="EH9" s="88" t="s">
        <v>221</v>
      </c>
      <c r="EI9" s="87" t="s">
        <v>221</v>
      </c>
      <c r="EJ9" s="88" t="s">
        <v>221</v>
      </c>
      <c r="EK9" s="130" t="s">
        <v>221</v>
      </c>
      <c r="EL9" s="88" t="s">
        <v>221</v>
      </c>
      <c r="EM9" s="87" t="s">
        <v>221</v>
      </c>
      <c r="EN9" s="87" t="s">
        <v>221</v>
      </c>
      <c r="EO9" s="88" t="s">
        <v>221</v>
      </c>
      <c r="EP9" s="130" t="s">
        <v>221</v>
      </c>
      <c r="EQ9" s="88" t="s">
        <v>221</v>
      </c>
      <c r="ER9" s="88" t="s">
        <v>221</v>
      </c>
      <c r="ES9" s="130" t="s">
        <v>221</v>
      </c>
      <c r="ET9" s="88" t="s">
        <v>221</v>
      </c>
      <c r="EU9" s="88" t="s">
        <v>221</v>
      </c>
      <c r="EV9" s="130" t="s">
        <v>221</v>
      </c>
      <c r="EW9" s="88" t="s">
        <v>221</v>
      </c>
      <c r="EX9" s="88" t="s">
        <v>221</v>
      </c>
      <c r="EY9" s="130" t="s">
        <v>221</v>
      </c>
      <c r="EZ9" s="88" t="s">
        <v>221</v>
      </c>
      <c r="FA9" s="88" t="s">
        <v>221</v>
      </c>
      <c r="FB9" s="88" t="s">
        <v>221</v>
      </c>
      <c r="FC9" s="88" t="s">
        <v>221</v>
      </c>
      <c r="FD9" s="88" t="s">
        <v>221</v>
      </c>
      <c r="FE9" s="88" t="s">
        <v>221</v>
      </c>
      <c r="FF9" s="88" t="s">
        <v>221</v>
      </c>
      <c r="FG9" s="88" t="s">
        <v>221</v>
      </c>
      <c r="FH9" s="88" t="s">
        <v>221</v>
      </c>
      <c r="FI9" s="88" t="s">
        <v>221</v>
      </c>
      <c r="FJ9" s="88" t="s">
        <v>221</v>
      </c>
      <c r="FK9" s="88" t="s">
        <v>221</v>
      </c>
      <c r="FL9" s="88" t="s">
        <v>221</v>
      </c>
      <c r="FM9" s="88" t="s">
        <v>221</v>
      </c>
      <c r="FN9" s="88" t="s">
        <v>221</v>
      </c>
      <c r="FO9" s="88" t="s">
        <v>221</v>
      </c>
      <c r="FP9" s="88" t="s">
        <v>221</v>
      </c>
      <c r="FQ9" s="88" t="s">
        <v>221</v>
      </c>
      <c r="FR9" s="88" t="s">
        <v>221</v>
      </c>
      <c r="FS9" s="88" t="s">
        <v>221</v>
      </c>
      <c r="FT9" s="88" t="s">
        <v>221</v>
      </c>
      <c r="FU9" s="88" t="s">
        <v>221</v>
      </c>
      <c r="FV9" s="88" t="s">
        <v>221</v>
      </c>
      <c r="FW9" s="88" t="s">
        <v>221</v>
      </c>
      <c r="FX9" s="88" t="s">
        <v>221</v>
      </c>
      <c r="FY9" s="88" t="s">
        <v>221</v>
      </c>
      <c r="FZ9" s="88" t="s">
        <v>221</v>
      </c>
      <c r="GA9" s="88" t="s">
        <v>221</v>
      </c>
      <c r="GB9" s="88" t="s">
        <v>221</v>
      </c>
      <c r="GC9" s="88" t="s">
        <v>221</v>
      </c>
      <c r="GD9" s="88" t="s">
        <v>221</v>
      </c>
      <c r="GE9" s="88" t="s">
        <v>221</v>
      </c>
      <c r="GF9" s="127" t="s">
        <v>239</v>
      </c>
      <c r="GG9" s="87">
        <v>44940</v>
      </c>
      <c r="GH9" s="86" t="s">
        <v>240</v>
      </c>
      <c r="GI9" s="124" t="s">
        <v>241</v>
      </c>
      <c r="GJ9" s="87">
        <v>44915</v>
      </c>
      <c r="GK9" s="176" t="s">
        <v>221</v>
      </c>
      <c r="GL9" s="87" t="s">
        <v>221</v>
      </c>
      <c r="GM9" s="150" t="str">
        <f t="shared" si="21"/>
        <v>N/A</v>
      </c>
      <c r="GN9" s="150" t="str">
        <f t="shared" si="22"/>
        <v>N/A</v>
      </c>
      <c r="GO9" s="150" t="str">
        <f t="shared" si="23"/>
        <v>N/A</v>
      </c>
      <c r="GP9" s="150" t="str">
        <f t="shared" si="24"/>
        <v>N/A</v>
      </c>
      <c r="GQ9" s="150">
        <f t="shared" si="25"/>
        <v>0.23333333333333334</v>
      </c>
      <c r="GR9" s="150" t="str">
        <f t="shared" si="26"/>
        <v>N/A</v>
      </c>
      <c r="GS9" s="150" t="str">
        <f t="shared" si="27"/>
        <v>N/A</v>
      </c>
      <c r="GT9" s="150" t="str">
        <f t="shared" si="28"/>
        <v>N/A</v>
      </c>
      <c r="GU9" s="150" t="str">
        <f t="shared" si="29"/>
        <v>N/A</v>
      </c>
      <c r="GV9" s="150" t="str">
        <f t="shared" si="30"/>
        <v>N/A</v>
      </c>
      <c r="GW9" s="150" t="str">
        <f t="shared" si="31"/>
        <v>N/A</v>
      </c>
      <c r="GX9" s="150" t="str">
        <f t="shared" si="32"/>
        <v>N/A</v>
      </c>
      <c r="GY9" s="150" t="str">
        <f t="shared" si="33"/>
        <v>N/A</v>
      </c>
      <c r="GZ9" s="150" t="str">
        <f t="shared" si="34"/>
        <v>N/A</v>
      </c>
      <c r="HA9" s="150" t="str">
        <f t="shared" si="35"/>
        <v>N/A</v>
      </c>
      <c r="HB9" s="150" t="str">
        <f t="shared" si="13"/>
        <v>N/A</v>
      </c>
      <c r="HC9" s="150">
        <f t="shared" si="36"/>
        <v>2.4666666666666668</v>
      </c>
      <c r="HD9" s="150">
        <f t="shared" si="37"/>
        <v>1.6333333333333333</v>
      </c>
      <c r="HE9" s="150" t="str">
        <f t="shared" si="38"/>
        <v>N/A</v>
      </c>
      <c r="HF9" s="151">
        <f t="shared" si="16"/>
        <v>2.4666666666666668</v>
      </c>
      <c r="HG9" s="151" cm="1">
        <f t="array" ref="HG9">INDEX($HB9:$HD9,MATCH(TRUE,INDEX(ISNUMBER($HB9:$HD9),0),0))</f>
        <v>2.4666666666666668</v>
      </c>
      <c r="HH9" s="152">
        <f t="shared" si="17"/>
        <v>0</v>
      </c>
      <c r="HI9" s="153">
        <f t="shared" si="18"/>
        <v>1</v>
      </c>
      <c r="HJ9" s="154">
        <f t="shared" si="19"/>
        <v>1</v>
      </c>
      <c r="HK9" s="167" t="str">
        <f t="shared" si="20"/>
        <v>1</v>
      </c>
    </row>
    <row r="10" spans="1:219" ht="15" customHeight="1" x14ac:dyDescent="0.3">
      <c r="A10" s="140">
        <v>4361566879</v>
      </c>
      <c r="B10" s="141" t="s">
        <v>220</v>
      </c>
      <c r="C10" s="133" t="s">
        <v>221</v>
      </c>
      <c r="D10" s="141" t="s">
        <v>240</v>
      </c>
      <c r="E10" s="134" t="s">
        <v>221</v>
      </c>
      <c r="F10" s="134" t="s">
        <v>221</v>
      </c>
      <c r="G10" s="134" t="s">
        <v>221</v>
      </c>
      <c r="H10" s="135" t="s">
        <v>221</v>
      </c>
      <c r="I10" s="140" t="s">
        <v>287</v>
      </c>
      <c r="J10" s="134" t="s">
        <v>221</v>
      </c>
      <c r="K10" s="144" t="s">
        <v>221</v>
      </c>
      <c r="L10" s="134" t="s">
        <v>288</v>
      </c>
      <c r="M10" s="134" t="s">
        <v>289</v>
      </c>
      <c r="N10" s="134" t="s">
        <v>290</v>
      </c>
      <c r="O10" s="134" t="s">
        <v>291</v>
      </c>
      <c r="P10" s="135">
        <v>44874</v>
      </c>
      <c r="Q10" s="133" t="s">
        <v>227</v>
      </c>
      <c r="R10" s="140" t="s">
        <v>221</v>
      </c>
      <c r="S10" s="140" t="s">
        <v>221</v>
      </c>
      <c r="T10" s="140" t="s">
        <v>221</v>
      </c>
      <c r="U10" s="144" t="s">
        <v>221</v>
      </c>
      <c r="V10" s="141" t="s">
        <v>221</v>
      </c>
      <c r="W10" s="141" t="s">
        <v>221</v>
      </c>
      <c r="X10" s="141" t="s">
        <v>221</v>
      </c>
      <c r="Y10" s="141" t="s">
        <v>221</v>
      </c>
      <c r="Z10" s="159" t="s">
        <v>221</v>
      </c>
      <c r="AA10" s="141" t="s">
        <v>221</v>
      </c>
      <c r="AB10" s="141" t="s">
        <v>221</v>
      </c>
      <c r="AC10" s="141" t="s">
        <v>221</v>
      </c>
      <c r="AD10" s="141" t="s">
        <v>221</v>
      </c>
      <c r="AE10" s="159" t="s">
        <v>221</v>
      </c>
      <c r="AF10" s="141" t="s">
        <v>221</v>
      </c>
      <c r="AG10" s="141" t="s">
        <v>221</v>
      </c>
      <c r="AH10" s="141" t="s">
        <v>221</v>
      </c>
      <c r="AI10" s="141" t="s">
        <v>221</v>
      </c>
      <c r="AJ10" s="159" t="s">
        <v>221</v>
      </c>
      <c r="AK10" s="141" t="s">
        <v>221</v>
      </c>
      <c r="AL10" s="140" t="s">
        <v>221</v>
      </c>
      <c r="AM10" s="140" t="s">
        <v>221</v>
      </c>
      <c r="AN10" s="140" t="s">
        <v>221</v>
      </c>
      <c r="AO10" s="144" t="s">
        <v>221</v>
      </c>
      <c r="AP10" s="141" t="s">
        <v>221</v>
      </c>
      <c r="AQ10" s="140" t="s">
        <v>230</v>
      </c>
      <c r="AR10" s="160">
        <v>10453</v>
      </c>
      <c r="AS10" s="144">
        <v>44479</v>
      </c>
      <c r="AT10" s="161">
        <f t="shared" si="0"/>
        <v>93</v>
      </c>
      <c r="AU10" s="140" t="s">
        <v>292</v>
      </c>
      <c r="AV10" s="141" t="s">
        <v>221</v>
      </c>
      <c r="AW10" s="141" t="s">
        <v>221</v>
      </c>
      <c r="AX10" s="140" t="s">
        <v>232</v>
      </c>
      <c r="AY10" s="140" t="s">
        <v>232</v>
      </c>
      <c r="AZ10" s="140" t="s">
        <v>232</v>
      </c>
      <c r="BA10" s="140">
        <v>0</v>
      </c>
      <c r="BB10" s="140" t="s">
        <v>293</v>
      </c>
      <c r="BC10" s="140" t="s">
        <v>230</v>
      </c>
      <c r="BD10" s="162" t="s">
        <v>237</v>
      </c>
      <c r="BE10" s="140" t="s">
        <v>294</v>
      </c>
      <c r="BF10" s="141" t="s">
        <v>240</v>
      </c>
      <c r="BG10" s="163" t="s">
        <v>241</v>
      </c>
      <c r="BH10" s="164" t="s">
        <v>295</v>
      </c>
      <c r="BI10" s="140" t="s">
        <v>296</v>
      </c>
      <c r="BJ10" s="144">
        <v>44566</v>
      </c>
      <c r="BK10" s="144">
        <v>44586</v>
      </c>
      <c r="BL10" s="140" t="s">
        <v>270</v>
      </c>
      <c r="BM10" s="164" t="s">
        <v>221</v>
      </c>
      <c r="BN10" s="140" t="s">
        <v>221</v>
      </c>
      <c r="BO10" s="140" t="s">
        <v>221</v>
      </c>
      <c r="BP10" s="164" t="s">
        <v>221</v>
      </c>
      <c r="BQ10" s="140" t="s">
        <v>221</v>
      </c>
      <c r="BR10" s="140" t="s">
        <v>221</v>
      </c>
      <c r="BS10" s="140" t="s">
        <v>221</v>
      </c>
      <c r="BT10" s="140" t="s">
        <v>221</v>
      </c>
      <c r="BU10" s="140" t="s">
        <v>221</v>
      </c>
      <c r="BV10" s="140" t="s">
        <v>221</v>
      </c>
      <c r="BW10" s="140" t="s">
        <v>221</v>
      </c>
      <c r="BX10" s="140" t="s">
        <v>221</v>
      </c>
      <c r="BY10" s="140" t="s">
        <v>221</v>
      </c>
      <c r="BZ10" s="140" t="s">
        <v>221</v>
      </c>
      <c r="CA10" s="140" t="s">
        <v>221</v>
      </c>
      <c r="CB10" s="140" t="s">
        <v>221</v>
      </c>
      <c r="CC10" s="140" t="s">
        <v>221</v>
      </c>
      <c r="CD10" s="140" t="s">
        <v>221</v>
      </c>
      <c r="CE10" s="140" t="s">
        <v>221</v>
      </c>
      <c r="CF10" s="140" t="s">
        <v>221</v>
      </c>
      <c r="CG10" s="140" t="s">
        <v>221</v>
      </c>
      <c r="CH10" s="140" t="s">
        <v>221</v>
      </c>
      <c r="CI10" s="140" t="s">
        <v>221</v>
      </c>
      <c r="CJ10" s="140" t="s">
        <v>221</v>
      </c>
      <c r="CK10" s="140" t="s">
        <v>221</v>
      </c>
      <c r="CL10" s="140" t="s">
        <v>221</v>
      </c>
      <c r="CM10" s="140" t="s">
        <v>221</v>
      </c>
      <c r="CN10" s="136" t="s">
        <v>221</v>
      </c>
      <c r="CO10" s="136" t="s">
        <v>221</v>
      </c>
      <c r="CP10" s="136" t="s">
        <v>221</v>
      </c>
      <c r="CQ10" s="136" t="s">
        <v>221</v>
      </c>
      <c r="CR10" s="140" t="s">
        <v>221</v>
      </c>
      <c r="CS10" s="164" t="s">
        <v>221</v>
      </c>
      <c r="CT10" s="140" t="s">
        <v>221</v>
      </c>
      <c r="CU10" s="140" t="s">
        <v>221</v>
      </c>
      <c r="CV10" s="164" t="s">
        <v>221</v>
      </c>
      <c r="CW10" s="140" t="s">
        <v>221</v>
      </c>
      <c r="CX10" s="140" t="s">
        <v>221</v>
      </c>
      <c r="CY10" s="140" t="s">
        <v>221</v>
      </c>
      <c r="CZ10" s="140" t="s">
        <v>221</v>
      </c>
      <c r="DA10" s="140" t="s">
        <v>221</v>
      </c>
      <c r="DB10" s="140" t="s">
        <v>221</v>
      </c>
      <c r="DC10" s="140" t="s">
        <v>221</v>
      </c>
      <c r="DD10" s="140" t="s">
        <v>221</v>
      </c>
      <c r="DE10" s="140" t="s">
        <v>221</v>
      </c>
      <c r="DF10" s="140" t="s">
        <v>221</v>
      </c>
      <c r="DG10" s="140" t="s">
        <v>221</v>
      </c>
      <c r="DH10" s="140" t="s">
        <v>221</v>
      </c>
      <c r="DI10" s="140" t="s">
        <v>221</v>
      </c>
      <c r="DJ10" s="140" t="s">
        <v>221</v>
      </c>
      <c r="DK10" s="140" t="s">
        <v>221</v>
      </c>
      <c r="DL10" s="140" t="s">
        <v>221</v>
      </c>
      <c r="DM10" s="140" t="s">
        <v>221</v>
      </c>
      <c r="DN10" s="140" t="s">
        <v>221</v>
      </c>
      <c r="DO10" s="140" t="s">
        <v>221</v>
      </c>
      <c r="DP10" s="140" t="s">
        <v>221</v>
      </c>
      <c r="DQ10" s="140" t="s">
        <v>221</v>
      </c>
      <c r="DR10" s="140" t="s">
        <v>221</v>
      </c>
      <c r="DS10" s="140" t="s">
        <v>221</v>
      </c>
      <c r="DT10" s="140" t="s">
        <v>221</v>
      </c>
      <c r="DU10" s="140" t="s">
        <v>221</v>
      </c>
      <c r="DV10" s="140" t="s">
        <v>221</v>
      </c>
      <c r="DW10" s="140" t="s">
        <v>221</v>
      </c>
      <c r="DX10" s="140" t="s">
        <v>221</v>
      </c>
      <c r="DY10" s="140" t="s">
        <v>221</v>
      </c>
      <c r="DZ10" s="140" t="s">
        <v>221</v>
      </c>
      <c r="EA10" s="140" t="s">
        <v>221</v>
      </c>
      <c r="EB10" s="140" t="s">
        <v>221</v>
      </c>
      <c r="EC10" s="140" t="s">
        <v>221</v>
      </c>
      <c r="ED10" s="140" t="s">
        <v>221</v>
      </c>
      <c r="EE10" s="140" t="s">
        <v>221</v>
      </c>
      <c r="EF10" s="140" t="s">
        <v>221</v>
      </c>
      <c r="EG10" s="140" t="s">
        <v>221</v>
      </c>
      <c r="EH10" s="140" t="s">
        <v>221</v>
      </c>
      <c r="EI10" s="135">
        <v>44868</v>
      </c>
      <c r="EJ10" s="134" t="s">
        <v>297</v>
      </c>
      <c r="EK10" s="136" t="s">
        <v>295</v>
      </c>
      <c r="EL10" s="134" t="s">
        <v>298</v>
      </c>
      <c r="EM10" s="135">
        <v>44910</v>
      </c>
      <c r="EN10" s="135">
        <v>44910</v>
      </c>
      <c r="EO10" s="134" t="s">
        <v>299</v>
      </c>
      <c r="EP10" s="136" t="s">
        <v>295</v>
      </c>
      <c r="EQ10" s="134" t="s">
        <v>300</v>
      </c>
      <c r="ER10" s="134" t="s">
        <v>241</v>
      </c>
      <c r="ES10" s="164" t="s">
        <v>221</v>
      </c>
      <c r="ET10" s="140" t="s">
        <v>221</v>
      </c>
      <c r="EU10" s="140" t="s">
        <v>221</v>
      </c>
      <c r="EV10" s="164" t="s">
        <v>221</v>
      </c>
      <c r="EW10" s="140" t="s">
        <v>221</v>
      </c>
      <c r="EX10" s="140" t="s">
        <v>221</v>
      </c>
      <c r="EY10" s="164" t="s">
        <v>221</v>
      </c>
      <c r="EZ10" s="140" t="s">
        <v>221</v>
      </c>
      <c r="FA10" s="140" t="s">
        <v>221</v>
      </c>
      <c r="FB10" s="140" t="s">
        <v>221</v>
      </c>
      <c r="FC10" s="140" t="s">
        <v>221</v>
      </c>
      <c r="FD10" s="140" t="s">
        <v>221</v>
      </c>
      <c r="FE10" s="140" t="s">
        <v>221</v>
      </c>
      <c r="FF10" s="140" t="s">
        <v>221</v>
      </c>
      <c r="FG10" s="140" t="s">
        <v>221</v>
      </c>
      <c r="FH10" s="140" t="s">
        <v>221</v>
      </c>
      <c r="FI10" s="140" t="s">
        <v>221</v>
      </c>
      <c r="FJ10" s="140" t="s">
        <v>221</v>
      </c>
      <c r="FK10" s="140" t="s">
        <v>221</v>
      </c>
      <c r="FL10" s="140" t="s">
        <v>221</v>
      </c>
      <c r="FM10" s="140" t="s">
        <v>221</v>
      </c>
      <c r="FN10" s="140" t="s">
        <v>221</v>
      </c>
      <c r="FO10" s="140" t="s">
        <v>221</v>
      </c>
      <c r="FP10" s="140" t="s">
        <v>221</v>
      </c>
      <c r="FQ10" s="140" t="s">
        <v>221</v>
      </c>
      <c r="FR10" s="140" t="s">
        <v>221</v>
      </c>
      <c r="FS10" s="140" t="s">
        <v>221</v>
      </c>
      <c r="FT10" s="140" t="s">
        <v>221</v>
      </c>
      <c r="FU10" s="140" t="s">
        <v>221</v>
      </c>
      <c r="FV10" s="140" t="s">
        <v>221</v>
      </c>
      <c r="FW10" s="140" t="s">
        <v>221</v>
      </c>
      <c r="FX10" s="140" t="s">
        <v>221</v>
      </c>
      <c r="FY10" s="140" t="s">
        <v>221</v>
      </c>
      <c r="FZ10" s="140" t="s">
        <v>221</v>
      </c>
      <c r="GA10" s="140" t="s">
        <v>221</v>
      </c>
      <c r="GB10" s="140" t="s">
        <v>221</v>
      </c>
      <c r="GC10" s="140" t="s">
        <v>221</v>
      </c>
      <c r="GD10" s="140" t="s">
        <v>221</v>
      </c>
      <c r="GE10" s="140" t="s">
        <v>221</v>
      </c>
      <c r="GF10" s="162" t="s">
        <v>239</v>
      </c>
      <c r="GG10" s="144">
        <v>45304</v>
      </c>
      <c r="GH10" s="141" t="s">
        <v>240</v>
      </c>
      <c r="GI10" s="140" t="s">
        <v>301</v>
      </c>
      <c r="GJ10" s="144">
        <v>45184</v>
      </c>
      <c r="GK10" s="78" t="s">
        <v>221</v>
      </c>
      <c r="GL10" s="144" t="s">
        <v>221</v>
      </c>
      <c r="GM10" s="165">
        <f t="shared" si="21"/>
        <v>2.9</v>
      </c>
      <c r="GN10" s="165">
        <f t="shared" si="22"/>
        <v>3.5666666666666669</v>
      </c>
      <c r="GO10" s="165" t="str">
        <f t="shared" si="23"/>
        <v>N/A</v>
      </c>
      <c r="GP10" s="165" t="str">
        <f t="shared" si="24"/>
        <v>N/A</v>
      </c>
      <c r="GQ10" s="165">
        <f t="shared" si="25"/>
        <v>13.166666666666666</v>
      </c>
      <c r="GR10" s="165" t="str">
        <f t="shared" si="26"/>
        <v>N/A</v>
      </c>
      <c r="GS10" s="165" t="str">
        <f t="shared" si="27"/>
        <v>N/A</v>
      </c>
      <c r="GT10" s="165" t="str">
        <f t="shared" si="28"/>
        <v>N/A</v>
      </c>
      <c r="GU10" s="165" t="str">
        <f t="shared" si="29"/>
        <v>N/A</v>
      </c>
      <c r="GV10" s="165" t="str">
        <f t="shared" si="30"/>
        <v>N/A</v>
      </c>
      <c r="GW10" s="165" t="str">
        <f t="shared" si="31"/>
        <v>N/A</v>
      </c>
      <c r="GX10" s="165" t="str">
        <f t="shared" si="32"/>
        <v>N/A</v>
      </c>
      <c r="GY10" s="165">
        <f t="shared" si="33"/>
        <v>12.966666666666667</v>
      </c>
      <c r="GZ10" s="165">
        <f t="shared" si="34"/>
        <v>14.366666666666667</v>
      </c>
      <c r="HA10" s="165">
        <f t="shared" si="35"/>
        <v>14.366666666666667</v>
      </c>
      <c r="HB10" s="165">
        <f t="shared" si="13"/>
        <v>12.966666666666667</v>
      </c>
      <c r="HC10" s="165">
        <f t="shared" si="36"/>
        <v>27.5</v>
      </c>
      <c r="HD10" s="165">
        <f t="shared" si="37"/>
        <v>23.5</v>
      </c>
      <c r="HE10" s="165" t="str">
        <f t="shared" si="38"/>
        <v>N/A</v>
      </c>
      <c r="HF10" s="166">
        <f t="shared" si="16"/>
        <v>27.5</v>
      </c>
      <c r="HG10" s="166" cm="1">
        <f t="array" ref="HG10">INDEX($HB10:$HD10,MATCH(TRUE,INDEX(ISNUMBER($HB10:$HD10),0),0))</f>
        <v>12.966666666666667</v>
      </c>
      <c r="HH10" s="167">
        <f t="shared" si="17"/>
        <v>1</v>
      </c>
      <c r="HI10" s="155">
        <f t="shared" si="18"/>
        <v>1</v>
      </c>
      <c r="HJ10" s="154">
        <f t="shared" si="19"/>
        <v>1</v>
      </c>
      <c r="HK10" s="167" t="str">
        <f t="shared" si="20"/>
        <v>1</v>
      </c>
    </row>
    <row r="11" spans="1:219" ht="15" customHeight="1" x14ac:dyDescent="0.3">
      <c r="A11" s="77">
        <v>4125400466</v>
      </c>
      <c r="B11" s="141" t="s">
        <v>220</v>
      </c>
      <c r="C11" s="64" t="s">
        <v>221</v>
      </c>
      <c r="D11" s="142" t="s">
        <v>220</v>
      </c>
      <c r="E11" s="79" t="s">
        <v>221</v>
      </c>
      <c r="F11" s="79" t="s">
        <v>221</v>
      </c>
      <c r="G11" s="79" t="s">
        <v>221</v>
      </c>
      <c r="H11" s="80" t="s">
        <v>221</v>
      </c>
      <c r="I11" s="77" t="s">
        <v>302</v>
      </c>
      <c r="J11" s="79" t="s">
        <v>221</v>
      </c>
      <c r="K11" s="78" t="s">
        <v>221</v>
      </c>
      <c r="L11" s="79" t="s">
        <v>303</v>
      </c>
      <c r="M11" s="79" t="s">
        <v>304</v>
      </c>
      <c r="N11" s="79" t="s">
        <v>265</v>
      </c>
      <c r="O11" s="79" t="s">
        <v>305</v>
      </c>
      <c r="P11" s="80">
        <v>44902</v>
      </c>
      <c r="Q11" s="64" t="s">
        <v>227</v>
      </c>
      <c r="R11" s="79" t="s">
        <v>304</v>
      </c>
      <c r="S11" s="79" t="s">
        <v>306</v>
      </c>
      <c r="T11" s="79" t="s">
        <v>305</v>
      </c>
      <c r="U11" s="80">
        <v>44902</v>
      </c>
      <c r="V11" s="64" t="s">
        <v>227</v>
      </c>
      <c r="W11" s="142" t="s">
        <v>221</v>
      </c>
      <c r="X11" s="142" t="s">
        <v>221</v>
      </c>
      <c r="Y11" s="142" t="s">
        <v>221</v>
      </c>
      <c r="Z11" s="168" t="s">
        <v>221</v>
      </c>
      <c r="AA11" s="142" t="s">
        <v>221</v>
      </c>
      <c r="AB11" s="142" t="s">
        <v>221</v>
      </c>
      <c r="AC11" s="142" t="s">
        <v>221</v>
      </c>
      <c r="AD11" s="142" t="s">
        <v>221</v>
      </c>
      <c r="AE11" s="168" t="s">
        <v>221</v>
      </c>
      <c r="AF11" s="142" t="s">
        <v>221</v>
      </c>
      <c r="AG11" s="142" t="s">
        <v>221</v>
      </c>
      <c r="AH11" s="142" t="s">
        <v>221</v>
      </c>
      <c r="AI11" s="142" t="s">
        <v>221</v>
      </c>
      <c r="AJ11" s="168" t="s">
        <v>221</v>
      </c>
      <c r="AK11" s="142" t="s">
        <v>221</v>
      </c>
      <c r="AL11" s="169" t="s">
        <v>221</v>
      </c>
      <c r="AM11" s="77" t="s">
        <v>221</v>
      </c>
      <c r="AN11" s="77" t="s">
        <v>221</v>
      </c>
      <c r="AO11" s="144" t="s">
        <v>221</v>
      </c>
      <c r="AP11" s="170" t="s">
        <v>221</v>
      </c>
      <c r="AQ11" s="169" t="s">
        <v>230</v>
      </c>
      <c r="AR11" s="171">
        <v>24166</v>
      </c>
      <c r="AS11" s="144">
        <v>44902</v>
      </c>
      <c r="AT11" s="54">
        <f t="shared" si="0"/>
        <v>56</v>
      </c>
      <c r="AU11" s="81" t="s">
        <v>246</v>
      </c>
      <c r="AV11" s="170" t="s">
        <v>221</v>
      </c>
      <c r="AW11" s="142" t="s">
        <v>221</v>
      </c>
      <c r="AX11" s="77" t="s">
        <v>232</v>
      </c>
      <c r="AY11" s="77" t="s">
        <v>232</v>
      </c>
      <c r="AZ11" s="77" t="s">
        <v>232</v>
      </c>
      <c r="BA11" s="79" t="s">
        <v>307</v>
      </c>
      <c r="BB11" s="79" t="s">
        <v>280</v>
      </c>
      <c r="BC11" s="140" t="s">
        <v>230</v>
      </c>
      <c r="BD11" s="172" t="s">
        <v>237</v>
      </c>
      <c r="BE11" s="81" t="s">
        <v>281</v>
      </c>
      <c r="BF11" s="64" t="s">
        <v>240</v>
      </c>
      <c r="BG11" s="82" t="s">
        <v>241</v>
      </c>
      <c r="BH11" s="65" t="s">
        <v>272</v>
      </c>
      <c r="BI11" s="79" t="s">
        <v>273</v>
      </c>
      <c r="BJ11" s="80">
        <v>44935</v>
      </c>
      <c r="BK11" s="80">
        <v>45005</v>
      </c>
      <c r="BL11" s="79" t="s">
        <v>270</v>
      </c>
      <c r="BM11" s="65" t="s">
        <v>272</v>
      </c>
      <c r="BN11" s="79" t="s">
        <v>308</v>
      </c>
      <c r="BO11" s="79" t="s">
        <v>249</v>
      </c>
      <c r="BP11" s="42" t="s">
        <v>221</v>
      </c>
      <c r="BQ11" s="77" t="s">
        <v>221</v>
      </c>
      <c r="BR11" s="77" t="s">
        <v>221</v>
      </c>
      <c r="BS11" s="77" t="s">
        <v>221</v>
      </c>
      <c r="BT11" s="77" t="s">
        <v>221</v>
      </c>
      <c r="BU11" s="77" t="s">
        <v>221</v>
      </c>
      <c r="BV11" s="77" t="s">
        <v>221</v>
      </c>
      <c r="BW11" s="77" t="s">
        <v>221</v>
      </c>
      <c r="BX11" s="77" t="s">
        <v>221</v>
      </c>
      <c r="BY11" s="77" t="s">
        <v>221</v>
      </c>
      <c r="BZ11" s="77" t="s">
        <v>221</v>
      </c>
      <c r="CA11" s="77" t="s">
        <v>221</v>
      </c>
      <c r="CB11" s="77" t="s">
        <v>221</v>
      </c>
      <c r="CC11" s="77" t="s">
        <v>221</v>
      </c>
      <c r="CD11" s="77" t="s">
        <v>221</v>
      </c>
      <c r="CE11" s="77" t="s">
        <v>221</v>
      </c>
      <c r="CF11" s="77" t="s">
        <v>221</v>
      </c>
      <c r="CG11" s="77" t="s">
        <v>221</v>
      </c>
      <c r="CH11" s="77" t="s">
        <v>221</v>
      </c>
      <c r="CI11" s="77" t="s">
        <v>221</v>
      </c>
      <c r="CJ11" s="77" t="s">
        <v>221</v>
      </c>
      <c r="CK11" s="77" t="s">
        <v>221</v>
      </c>
      <c r="CL11" s="77" t="s">
        <v>221</v>
      </c>
      <c r="CM11" s="77" t="s">
        <v>221</v>
      </c>
      <c r="CN11" s="65" t="s">
        <v>221</v>
      </c>
      <c r="CO11" s="65" t="s">
        <v>221</v>
      </c>
      <c r="CP11" s="65" t="s">
        <v>221</v>
      </c>
      <c r="CQ11" s="65" t="s">
        <v>221</v>
      </c>
      <c r="CR11" s="65" t="s">
        <v>221</v>
      </c>
      <c r="CS11" s="65" t="s">
        <v>221</v>
      </c>
      <c r="CT11" s="65" t="s">
        <v>221</v>
      </c>
      <c r="CU11" s="65" t="s">
        <v>221</v>
      </c>
      <c r="CV11" s="42" t="s">
        <v>221</v>
      </c>
      <c r="CW11" s="77" t="s">
        <v>221</v>
      </c>
      <c r="CX11" s="77" t="s">
        <v>221</v>
      </c>
      <c r="CY11" s="77" t="s">
        <v>221</v>
      </c>
      <c r="CZ11" s="77" t="s">
        <v>221</v>
      </c>
      <c r="DA11" s="77" t="s">
        <v>221</v>
      </c>
      <c r="DB11" s="77" t="s">
        <v>221</v>
      </c>
      <c r="DC11" s="77" t="s">
        <v>221</v>
      </c>
      <c r="DD11" s="77" t="s">
        <v>221</v>
      </c>
      <c r="DE11" s="77" t="s">
        <v>221</v>
      </c>
      <c r="DF11" s="77" t="s">
        <v>221</v>
      </c>
      <c r="DG11" s="77" t="s">
        <v>221</v>
      </c>
      <c r="DH11" s="77" t="s">
        <v>221</v>
      </c>
      <c r="DI11" s="77" t="s">
        <v>221</v>
      </c>
      <c r="DJ11" s="77" t="s">
        <v>221</v>
      </c>
      <c r="DK11" s="77" t="s">
        <v>221</v>
      </c>
      <c r="DL11" s="77" t="s">
        <v>221</v>
      </c>
      <c r="DM11" s="77" t="s">
        <v>221</v>
      </c>
      <c r="DN11" s="77" t="s">
        <v>221</v>
      </c>
      <c r="DO11" s="77" t="s">
        <v>221</v>
      </c>
      <c r="DP11" s="77" t="s">
        <v>221</v>
      </c>
      <c r="DQ11" s="77" t="s">
        <v>221</v>
      </c>
      <c r="DR11" s="77" t="s">
        <v>221</v>
      </c>
      <c r="DS11" s="77" t="s">
        <v>221</v>
      </c>
      <c r="DT11" s="77" t="s">
        <v>221</v>
      </c>
      <c r="DU11" s="77" t="s">
        <v>221</v>
      </c>
      <c r="DV11" s="77" t="s">
        <v>221</v>
      </c>
      <c r="DW11" s="77" t="s">
        <v>221</v>
      </c>
      <c r="DX11" s="77" t="s">
        <v>221</v>
      </c>
      <c r="DY11" s="77" t="s">
        <v>221</v>
      </c>
      <c r="DZ11" s="77" t="s">
        <v>221</v>
      </c>
      <c r="EA11" s="77" t="s">
        <v>221</v>
      </c>
      <c r="EB11" s="77" t="s">
        <v>221</v>
      </c>
      <c r="EC11" s="77" t="s">
        <v>221</v>
      </c>
      <c r="ED11" s="77" t="s">
        <v>221</v>
      </c>
      <c r="EE11" s="77" t="s">
        <v>221</v>
      </c>
      <c r="EF11" s="77" t="s">
        <v>221</v>
      </c>
      <c r="EG11" s="77" t="s">
        <v>221</v>
      </c>
      <c r="EH11" s="77" t="s">
        <v>221</v>
      </c>
      <c r="EI11" s="78">
        <v>45089</v>
      </c>
      <c r="EJ11" s="77" t="s">
        <v>309</v>
      </c>
      <c r="EK11" s="42" t="s">
        <v>272</v>
      </c>
      <c r="EL11" s="77" t="s">
        <v>310</v>
      </c>
      <c r="EM11" s="78">
        <v>45110</v>
      </c>
      <c r="EN11" s="78">
        <v>45173</v>
      </c>
      <c r="EO11" s="79" t="s">
        <v>274</v>
      </c>
      <c r="EP11" s="42" t="s">
        <v>221</v>
      </c>
      <c r="EQ11" s="77" t="s">
        <v>221</v>
      </c>
      <c r="ER11" s="77" t="s">
        <v>221</v>
      </c>
      <c r="ES11" s="42" t="s">
        <v>221</v>
      </c>
      <c r="ET11" s="77" t="s">
        <v>221</v>
      </c>
      <c r="EU11" s="77" t="s">
        <v>221</v>
      </c>
      <c r="EV11" s="42" t="s">
        <v>221</v>
      </c>
      <c r="EW11" s="77" t="s">
        <v>221</v>
      </c>
      <c r="EX11" s="77" t="s">
        <v>221</v>
      </c>
      <c r="EY11" s="42" t="s">
        <v>221</v>
      </c>
      <c r="EZ11" s="77" t="s">
        <v>221</v>
      </c>
      <c r="FA11" s="77" t="s">
        <v>221</v>
      </c>
      <c r="FB11" s="77" t="s">
        <v>221</v>
      </c>
      <c r="FC11" s="77" t="s">
        <v>221</v>
      </c>
      <c r="FD11" s="77" t="s">
        <v>221</v>
      </c>
      <c r="FE11" s="77" t="s">
        <v>221</v>
      </c>
      <c r="FF11" s="77" t="s">
        <v>221</v>
      </c>
      <c r="FG11" s="77" t="s">
        <v>221</v>
      </c>
      <c r="FH11" s="77" t="s">
        <v>221</v>
      </c>
      <c r="FI11" s="77" t="s">
        <v>221</v>
      </c>
      <c r="FJ11" s="77" t="s">
        <v>221</v>
      </c>
      <c r="FK11" s="77" t="s">
        <v>221</v>
      </c>
      <c r="FL11" s="77" t="s">
        <v>221</v>
      </c>
      <c r="FM11" s="77" t="s">
        <v>221</v>
      </c>
      <c r="FN11" s="77" t="s">
        <v>221</v>
      </c>
      <c r="FO11" s="77" t="s">
        <v>221</v>
      </c>
      <c r="FP11" s="77" t="s">
        <v>221</v>
      </c>
      <c r="FQ11" s="77" t="s">
        <v>221</v>
      </c>
      <c r="FR11" s="77" t="s">
        <v>221</v>
      </c>
      <c r="FS11" s="77" t="s">
        <v>221</v>
      </c>
      <c r="FT11" s="77" t="s">
        <v>221</v>
      </c>
      <c r="FU11" s="77" t="s">
        <v>221</v>
      </c>
      <c r="FV11" s="77" t="s">
        <v>221</v>
      </c>
      <c r="FW11" s="77" t="s">
        <v>221</v>
      </c>
      <c r="FX11" s="77" t="s">
        <v>221</v>
      </c>
      <c r="FY11" s="77" t="s">
        <v>221</v>
      </c>
      <c r="FZ11" s="77" t="s">
        <v>221</v>
      </c>
      <c r="GA11" s="77" t="s">
        <v>221</v>
      </c>
      <c r="GB11" s="77" t="s">
        <v>221</v>
      </c>
      <c r="GC11" s="77" t="s">
        <v>221</v>
      </c>
      <c r="GD11" s="77" t="s">
        <v>221</v>
      </c>
      <c r="GE11" s="77" t="s">
        <v>221</v>
      </c>
      <c r="GF11" s="172" t="s">
        <v>239</v>
      </c>
      <c r="GG11" s="173">
        <v>45225</v>
      </c>
      <c r="GH11" s="170" t="s">
        <v>240</v>
      </c>
      <c r="GI11" s="83" t="s">
        <v>241</v>
      </c>
      <c r="GJ11" s="177">
        <v>45224</v>
      </c>
      <c r="GK11" s="177" t="s">
        <v>221</v>
      </c>
      <c r="GL11" s="78" t="s">
        <v>221</v>
      </c>
      <c r="GM11" s="174">
        <f t="shared" si="21"/>
        <v>1.1000000000000001</v>
      </c>
      <c r="GN11" s="174">
        <f t="shared" si="22"/>
        <v>3.4333333333333331</v>
      </c>
      <c r="GO11" s="174" t="str">
        <f t="shared" si="23"/>
        <v>N/A</v>
      </c>
      <c r="GP11" s="174" t="str">
        <f t="shared" si="24"/>
        <v>N/A</v>
      </c>
      <c r="GQ11" s="174">
        <f t="shared" si="25"/>
        <v>0</v>
      </c>
      <c r="GR11" s="174">
        <f t="shared" si="26"/>
        <v>0</v>
      </c>
      <c r="GS11" s="174" t="str">
        <f t="shared" si="27"/>
        <v>N/A</v>
      </c>
      <c r="GT11" s="174" t="str">
        <f t="shared" si="28"/>
        <v>N/A</v>
      </c>
      <c r="GU11" s="174" t="str">
        <f t="shared" si="29"/>
        <v>N/A</v>
      </c>
      <c r="GV11" s="174" t="str">
        <f t="shared" si="30"/>
        <v>N/A</v>
      </c>
      <c r="GW11" s="174" t="str">
        <f t="shared" si="31"/>
        <v>N/A</v>
      </c>
      <c r="GX11" s="174" t="str">
        <f t="shared" si="32"/>
        <v>N/A</v>
      </c>
      <c r="GY11" s="174">
        <f t="shared" si="33"/>
        <v>6.2333333333333334</v>
      </c>
      <c r="GZ11" s="174">
        <f t="shared" si="34"/>
        <v>6.9333333333333336</v>
      </c>
      <c r="HA11" s="174">
        <f t="shared" si="35"/>
        <v>9.0333333333333332</v>
      </c>
      <c r="HB11" s="174">
        <f t="shared" si="13"/>
        <v>6.2333333333333334</v>
      </c>
      <c r="HC11" s="174">
        <f t="shared" si="36"/>
        <v>10.766666666666667</v>
      </c>
      <c r="HD11" s="174">
        <f t="shared" si="37"/>
        <v>10.733333333333333</v>
      </c>
      <c r="HE11" s="174" t="str">
        <f t="shared" si="38"/>
        <v>N/A</v>
      </c>
      <c r="HF11" s="175">
        <f t="shared" si="16"/>
        <v>10.766666666666667</v>
      </c>
      <c r="HG11" s="175" cm="1">
        <f t="array" ref="HG11">INDEX($HB11:$HD11,MATCH(TRUE,INDEX(ISNUMBER($HB11:$HD11),0),0))</f>
        <v>6.2333333333333334</v>
      </c>
      <c r="HH11" s="155">
        <f t="shared" si="17"/>
        <v>1</v>
      </c>
      <c r="HI11" s="155">
        <f t="shared" si="18"/>
        <v>1</v>
      </c>
      <c r="HJ11" s="155">
        <f t="shared" si="19"/>
        <v>1</v>
      </c>
      <c r="HK11" s="167" t="str">
        <f t="shared" si="20"/>
        <v>1</v>
      </c>
    </row>
  </sheetData>
  <conditionalFormatting sqref="A1:A1048576">
    <cfRule type="duplicateValues" dxfId="237" priority="6"/>
  </conditionalFormatting>
  <conditionalFormatting sqref="M4">
    <cfRule type="duplicateValues" dxfId="236" priority="3"/>
  </conditionalFormatting>
  <conditionalFormatting sqref="M5">
    <cfRule type="duplicateValues" dxfId="235" priority="1"/>
  </conditionalFormatting>
  <conditionalFormatting sqref="R4">
    <cfRule type="duplicateValues" dxfId="234" priority="2"/>
  </conditionalFormatting>
  <conditionalFormatting sqref="AL4">
    <cfRule type="duplicateValues" dxfId="233" priority="4"/>
  </conditionalFormatting>
  <dataValidations count="1">
    <dataValidation type="list" allowBlank="1" showInputMessage="1" showErrorMessage="1" sqref="GF4:GF11" xr:uid="{66257367-C725-43AF-996E-B752A2E1118E}">
      <formula1>"Alive, Deceased"</formula1>
    </dataValidation>
  </dataValidations>
  <pageMargins left="0.7" right="0.7" top="0.75" bottom="0.75" header="0.3" footer="0.3"/>
  <pageSetup paperSize="9" orientation="portrait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0CE9489-21B9-4AF7-8AD5-582F61E8EFA0}">
          <x14:formula1>
            <xm:f>'Calculations &amp; Lists'!$F$2:$F$5</xm:f>
          </x14:formula1>
          <xm:sqref>GH4:GH11 B4:B11 BF4:BF11 AW4:AW11 D4:D11</xm:sqref>
        </x14:dataValidation>
        <x14:dataValidation type="list" allowBlank="1" showInputMessage="1" showErrorMessage="1" xr:uid="{093CD397-5176-4DF9-B49A-C26FAAA98932}">
          <x14:formula1>
            <xm:f>'Calculations &amp; Lists'!$H$2:$H$6</xm:f>
          </x14:formula1>
          <xm:sqref>AV4:AV11</xm:sqref>
        </x14:dataValidation>
        <x14:dataValidation type="list" allowBlank="1" showInputMessage="1" showErrorMessage="1" xr:uid="{9873B8BB-C2ED-451F-8F20-133049F4F09A}">
          <x14:formula1>
            <xm:f>'Calculations &amp; Lists'!$E$2:$E$9</xm:f>
          </x14:formula1>
          <xm:sqref>BH4:BH11 BP4:BP11 BQ4:BR4 CO7:CR7 ES5:ES11 EV5:EV11 BM4:BM11 EP5:EP11 EY5:EY11 CN4:CN11 CV5:CV11 CO5:CR5 CO10:CQ10 EK4:EK11 CS5:CS11 CO11:CR11 CT11:CU11</xm:sqref>
        </x14:dataValidation>
        <x14:dataValidation type="list" allowBlank="1" showInputMessage="1" showErrorMessage="1" xr:uid="{FC1FA70A-B770-4674-821E-833C79035C90}">
          <x14:formula1>
            <xm:f>'Calculations &amp; Lists'!$G$2:$G$7</xm:f>
          </x14:formula1>
          <xm:sqref>V4 V5:AK11 C4:C11 AP4:AP11 Q4:Q11</xm:sqref>
        </x14:dataValidation>
        <x14:dataValidation type="list" allowBlank="1" showInputMessage="1" showErrorMessage="1" xr:uid="{F0D1E866-6DF8-4277-9AE6-D782031E80BC}">
          <x14:formula1>
            <xm:f>'Calculations &amp; Lists'!$I$2:$I$10</xm:f>
          </x14:formula1>
          <xm:sqref>BD4:BD11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CB81-FC4C-4459-87B7-958AFA35823D}">
  <sheetPr codeName="Sheet3"/>
  <dimension ref="A1:O9"/>
  <sheetViews>
    <sheetView tabSelected="1" topLeftCell="G1" workbookViewId="0">
      <selection activeCell="O2" sqref="O2:O9"/>
    </sheetView>
  </sheetViews>
  <sheetFormatPr defaultRowHeight="12.5" x14ac:dyDescent="0.25"/>
  <cols>
    <col min="1" max="1" width="12.453125" customWidth="1"/>
    <col min="2" max="2" width="9.7265625" customWidth="1"/>
    <col min="3" max="3" width="28.81640625" customWidth="1"/>
    <col min="4" max="4" width="32.08984375" customWidth="1"/>
    <col min="5" max="5" width="19.26953125" customWidth="1"/>
    <col min="6" max="6" width="66.54296875" customWidth="1"/>
    <col min="7" max="7" width="30" customWidth="1"/>
    <col min="8" max="8" width="29" customWidth="1"/>
    <col min="9" max="9" width="14.90625" customWidth="1"/>
    <col min="10" max="10" width="13.6328125" customWidth="1"/>
    <col min="11" max="11" width="17.453125" customWidth="1"/>
    <col min="13" max="13" width="19.1796875" customWidth="1"/>
    <col min="14" max="14" width="18.90625" customWidth="1"/>
    <col min="15" max="15" width="10.453125" customWidth="1"/>
  </cols>
  <sheetData>
    <row r="1" spans="1:15" ht="13" x14ac:dyDescent="0.25">
      <c r="A1" s="66" t="s">
        <v>1</v>
      </c>
      <c r="B1" s="66" t="s">
        <v>311</v>
      </c>
      <c r="C1" s="67" t="s">
        <v>5</v>
      </c>
      <c r="D1" s="68" t="s">
        <v>312</v>
      </c>
      <c r="E1" s="69" t="s">
        <v>313</v>
      </c>
      <c r="F1" s="69" t="s">
        <v>314</v>
      </c>
      <c r="G1" s="69" t="s">
        <v>315</v>
      </c>
      <c r="H1" s="69" t="s">
        <v>316</v>
      </c>
      <c r="I1" s="69" t="s">
        <v>317</v>
      </c>
      <c r="J1" s="69" t="s">
        <v>318</v>
      </c>
      <c r="K1" s="69" t="s">
        <v>319</v>
      </c>
      <c r="L1" s="69" t="s">
        <v>320</v>
      </c>
      <c r="M1" s="69" t="s">
        <v>321</v>
      </c>
      <c r="N1" s="70" t="s">
        <v>322</v>
      </c>
      <c r="O1" s="181" t="s">
        <v>323</v>
      </c>
    </row>
    <row r="2" spans="1:15" ht="14.5" x14ac:dyDescent="0.35">
      <c r="A2" s="62">
        <v>6399229510</v>
      </c>
      <c r="B2" s="71" t="s">
        <v>324</v>
      </c>
      <c r="C2" s="63" t="s">
        <v>224</v>
      </c>
      <c r="D2" s="71" t="s">
        <v>221</v>
      </c>
      <c r="E2" s="71" t="s">
        <v>325</v>
      </c>
      <c r="F2" s="72" t="s">
        <v>326</v>
      </c>
      <c r="G2" s="72" t="s">
        <v>327</v>
      </c>
      <c r="H2" s="84" t="s">
        <v>328</v>
      </c>
      <c r="I2" s="84" t="s">
        <v>329</v>
      </c>
      <c r="J2" s="84" t="s">
        <v>329</v>
      </c>
      <c r="K2" s="84" t="s">
        <v>329</v>
      </c>
      <c r="L2" s="84" t="s">
        <v>330</v>
      </c>
      <c r="M2" s="84" t="s">
        <v>331</v>
      </c>
      <c r="N2" s="180" t="s">
        <v>221</v>
      </c>
      <c r="O2" s="179" t="s">
        <v>332</v>
      </c>
    </row>
    <row r="3" spans="1:15" ht="14.5" x14ac:dyDescent="0.35">
      <c r="A3" s="71">
        <v>4582340121</v>
      </c>
      <c r="B3" s="71" t="s">
        <v>333</v>
      </c>
      <c r="C3" s="44" t="s">
        <v>244</v>
      </c>
      <c r="D3" s="71" t="s">
        <v>221</v>
      </c>
      <c r="E3" s="71" t="s">
        <v>252</v>
      </c>
      <c r="F3" s="71" t="s">
        <v>326</v>
      </c>
      <c r="G3" s="72" t="s">
        <v>327</v>
      </c>
      <c r="H3" s="84" t="s">
        <v>329</v>
      </c>
      <c r="I3" s="84" t="s">
        <v>329</v>
      </c>
      <c r="J3" s="84" t="s">
        <v>329</v>
      </c>
      <c r="K3" s="84" t="s">
        <v>329</v>
      </c>
      <c r="L3" s="84" t="s">
        <v>330</v>
      </c>
      <c r="M3" s="84" t="s">
        <v>331</v>
      </c>
      <c r="N3" s="180" t="s">
        <v>334</v>
      </c>
      <c r="O3" s="179" t="s">
        <v>332</v>
      </c>
    </row>
    <row r="4" spans="1:15" ht="14.5" x14ac:dyDescent="0.35">
      <c r="A4" s="77">
        <v>4507873207</v>
      </c>
      <c r="B4" s="71" t="s">
        <v>335</v>
      </c>
      <c r="C4" s="77" t="s">
        <v>251</v>
      </c>
      <c r="D4" s="71" t="s">
        <v>221</v>
      </c>
      <c r="E4" s="71" t="s">
        <v>290</v>
      </c>
      <c r="F4" s="71" t="s">
        <v>326</v>
      </c>
      <c r="G4" s="72" t="s">
        <v>327</v>
      </c>
      <c r="H4" s="84" t="s">
        <v>329</v>
      </c>
      <c r="I4" s="84" t="s">
        <v>329</v>
      </c>
      <c r="J4" s="84" t="s">
        <v>336</v>
      </c>
      <c r="K4" s="84" t="s">
        <v>221</v>
      </c>
      <c r="L4" s="84" t="s">
        <v>221</v>
      </c>
      <c r="M4" s="84" t="s">
        <v>221</v>
      </c>
      <c r="N4" s="180" t="s">
        <v>221</v>
      </c>
      <c r="O4" s="179" t="s">
        <v>332</v>
      </c>
    </row>
    <row r="5" spans="1:15" ht="14.5" x14ac:dyDescent="0.35">
      <c r="A5" s="77">
        <v>6493734150</v>
      </c>
      <c r="B5" s="71" t="s">
        <v>337</v>
      </c>
      <c r="C5" s="77" t="s">
        <v>264</v>
      </c>
      <c r="D5" s="71" t="s">
        <v>221</v>
      </c>
      <c r="E5" s="71" t="s">
        <v>252</v>
      </c>
      <c r="F5" s="71" t="s">
        <v>326</v>
      </c>
      <c r="G5" s="72" t="s">
        <v>327</v>
      </c>
      <c r="H5" s="84" t="s">
        <v>329</v>
      </c>
      <c r="I5" s="84" t="s">
        <v>329</v>
      </c>
      <c r="J5" s="84" t="s">
        <v>329</v>
      </c>
      <c r="K5" s="84" t="s">
        <v>329</v>
      </c>
      <c r="L5" s="84" t="s">
        <v>330</v>
      </c>
      <c r="M5" s="84" t="s">
        <v>338</v>
      </c>
      <c r="N5" s="180" t="s">
        <v>221</v>
      </c>
      <c r="O5" s="179" t="s">
        <v>332</v>
      </c>
    </row>
    <row r="6" spans="1:15" ht="14.5" x14ac:dyDescent="0.35">
      <c r="A6" s="77">
        <v>4381377761</v>
      </c>
      <c r="B6" s="71" t="s">
        <v>339</v>
      </c>
      <c r="C6" s="77" t="s">
        <v>275</v>
      </c>
      <c r="D6" s="71" t="s">
        <v>221</v>
      </c>
      <c r="E6" s="71" t="s">
        <v>290</v>
      </c>
      <c r="F6" s="71" t="s">
        <v>326</v>
      </c>
      <c r="G6" s="72" t="s">
        <v>327</v>
      </c>
      <c r="H6" s="84" t="s">
        <v>329</v>
      </c>
      <c r="I6" s="84" t="s">
        <v>329</v>
      </c>
      <c r="J6" s="84" t="s">
        <v>329</v>
      </c>
      <c r="K6" s="84" t="s">
        <v>329</v>
      </c>
      <c r="L6" s="84" t="s">
        <v>340</v>
      </c>
      <c r="M6" s="84" t="s">
        <v>341</v>
      </c>
      <c r="N6" s="180" t="s">
        <v>221</v>
      </c>
      <c r="O6" s="179" t="s">
        <v>332</v>
      </c>
    </row>
    <row r="7" spans="1:15" ht="14.5" x14ac:dyDescent="0.35">
      <c r="A7" s="77">
        <v>4300240779</v>
      </c>
      <c r="B7" s="71" t="s">
        <v>342</v>
      </c>
      <c r="C7" s="77" t="s">
        <v>284</v>
      </c>
      <c r="D7" s="71" t="s">
        <v>221</v>
      </c>
      <c r="E7" s="71" t="s">
        <v>290</v>
      </c>
      <c r="F7" s="71" t="s">
        <v>326</v>
      </c>
      <c r="G7" s="72" t="s">
        <v>327</v>
      </c>
      <c r="H7" s="84" t="s">
        <v>329</v>
      </c>
      <c r="I7" s="84" t="s">
        <v>329</v>
      </c>
      <c r="J7" s="84" t="s">
        <v>329</v>
      </c>
      <c r="K7" s="84" t="s">
        <v>329</v>
      </c>
      <c r="L7" s="84" t="s">
        <v>330</v>
      </c>
      <c r="M7" s="84" t="s">
        <v>343</v>
      </c>
      <c r="N7" s="180" t="s">
        <v>221</v>
      </c>
      <c r="O7" s="179" t="s">
        <v>332</v>
      </c>
    </row>
    <row r="8" spans="1:15" ht="14.5" x14ac:dyDescent="0.35">
      <c r="A8" s="77">
        <v>4361566879</v>
      </c>
      <c r="B8" s="71" t="s">
        <v>344</v>
      </c>
      <c r="C8" s="77" t="s">
        <v>289</v>
      </c>
      <c r="D8" s="71" t="s">
        <v>221</v>
      </c>
      <c r="E8" s="71" t="s">
        <v>252</v>
      </c>
      <c r="F8" s="71" t="s">
        <v>326</v>
      </c>
      <c r="G8" s="72" t="s">
        <v>327</v>
      </c>
      <c r="H8" s="84" t="s">
        <v>329</v>
      </c>
      <c r="I8" s="84" t="s">
        <v>329</v>
      </c>
      <c r="J8" s="84" t="s">
        <v>329</v>
      </c>
      <c r="K8" s="84" t="s">
        <v>329</v>
      </c>
      <c r="L8" s="84" t="s">
        <v>340</v>
      </c>
      <c r="M8" s="84" t="s">
        <v>341</v>
      </c>
      <c r="N8" s="180" t="s">
        <v>221</v>
      </c>
      <c r="O8" s="179" t="s">
        <v>332</v>
      </c>
    </row>
    <row r="9" spans="1:15" ht="14.5" x14ac:dyDescent="0.35">
      <c r="A9" s="77">
        <v>4125400466</v>
      </c>
      <c r="B9" s="71" t="s">
        <v>345</v>
      </c>
      <c r="C9" s="77" t="s">
        <v>304</v>
      </c>
      <c r="D9" s="71" t="s">
        <v>221</v>
      </c>
      <c r="E9" s="71" t="s">
        <v>252</v>
      </c>
      <c r="F9" s="71" t="s">
        <v>326</v>
      </c>
      <c r="G9" s="72" t="s">
        <v>327</v>
      </c>
      <c r="H9" s="84" t="s">
        <v>346</v>
      </c>
      <c r="I9" s="84" t="s">
        <v>329</v>
      </c>
      <c r="J9" s="84" t="s">
        <v>329</v>
      </c>
      <c r="K9" s="84" t="s">
        <v>329</v>
      </c>
      <c r="L9" s="84" t="s">
        <v>340</v>
      </c>
      <c r="M9" s="84" t="s">
        <v>341</v>
      </c>
      <c r="N9" s="180" t="s">
        <v>221</v>
      </c>
      <c r="O9" s="179" t="s">
        <v>332</v>
      </c>
    </row>
  </sheetData>
  <conditionalFormatting sqref="A2:A9">
    <cfRule type="duplicateValues" dxfId="232" priority="2"/>
  </conditionalFormatting>
  <conditionalFormatting sqref="C2:C9">
    <cfRule type="duplicateValues" dxfId="231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CDCDE-6648-41FE-8F0D-ADD710C198FB}">
  <sheetPr codeName="Sheet4"/>
  <dimension ref="B1:L419"/>
  <sheetViews>
    <sheetView topLeftCell="E1" workbookViewId="0">
      <selection activeCell="G25" sqref="G25"/>
    </sheetView>
  </sheetViews>
  <sheetFormatPr defaultColWidth="9.1796875" defaultRowHeight="15" customHeight="1" x14ac:dyDescent="0.3"/>
  <cols>
    <col min="1" max="1" width="9.1796875" style="45"/>
    <col min="2" max="2" width="43.453125" style="45" bestFit="1" customWidth="1"/>
    <col min="3" max="3" width="112.81640625" style="45" customWidth="1"/>
    <col min="4" max="4" width="9.1796875" style="45"/>
    <col min="5" max="6" width="15.81640625" style="45" customWidth="1"/>
    <col min="7" max="7" width="37.26953125" style="45" bestFit="1" customWidth="1"/>
    <col min="8" max="8" width="31.81640625" style="45" bestFit="1" customWidth="1"/>
    <col min="9" max="9" width="17.1796875" style="45" bestFit="1" customWidth="1"/>
    <col min="10" max="10" width="9.1796875" style="45"/>
    <col min="11" max="11" width="42.7265625" style="45" bestFit="1" customWidth="1"/>
    <col min="12" max="12" width="8" style="45" bestFit="1" customWidth="1"/>
    <col min="13" max="16384" width="9.1796875" style="45"/>
  </cols>
  <sheetData>
    <row r="1" spans="2:12" ht="18.75" customHeight="1" x14ac:dyDescent="0.3">
      <c r="E1" s="46" t="s">
        <v>347</v>
      </c>
      <c r="F1" s="46" t="s">
        <v>348</v>
      </c>
      <c r="G1" s="46" t="s">
        <v>42</v>
      </c>
      <c r="H1" s="46" t="s">
        <v>48</v>
      </c>
      <c r="I1" s="46" t="s">
        <v>56</v>
      </c>
    </row>
    <row r="2" spans="2:12" ht="15" customHeight="1" x14ac:dyDescent="0.3">
      <c r="B2" s="43" t="s">
        <v>349</v>
      </c>
      <c r="C2" s="43"/>
      <c r="E2" s="45" t="s">
        <v>295</v>
      </c>
      <c r="F2" s="45" t="s">
        <v>240</v>
      </c>
      <c r="G2" s="45" t="s">
        <v>227</v>
      </c>
      <c r="H2" s="45" t="s">
        <v>257</v>
      </c>
      <c r="I2" s="45" t="s">
        <v>350</v>
      </c>
    </row>
    <row r="3" spans="2:12" ht="15" customHeight="1" x14ac:dyDescent="0.3">
      <c r="B3" s="43" t="s">
        <v>351</v>
      </c>
      <c r="C3" s="43"/>
      <c r="E3" s="45" t="s">
        <v>272</v>
      </c>
      <c r="F3" s="45" t="s">
        <v>220</v>
      </c>
      <c r="G3" s="45" t="s">
        <v>352</v>
      </c>
      <c r="H3" s="45" t="s">
        <v>353</v>
      </c>
      <c r="I3" s="45" t="s">
        <v>354</v>
      </c>
      <c r="K3" s="47" t="s">
        <v>355</v>
      </c>
      <c r="L3" s="47" t="s">
        <v>356</v>
      </c>
    </row>
    <row r="4" spans="2:12" ht="15" customHeight="1" x14ac:dyDescent="0.3">
      <c r="B4" s="43"/>
      <c r="C4" s="43"/>
      <c r="E4" s="45" t="s">
        <v>247</v>
      </c>
      <c r="F4" s="45" t="s">
        <v>221</v>
      </c>
      <c r="G4" s="45" t="s">
        <v>357</v>
      </c>
      <c r="H4" s="45" t="s">
        <v>358</v>
      </c>
      <c r="I4" s="45" t="s">
        <v>359</v>
      </c>
      <c r="K4" s="4" t="s">
        <v>1</v>
      </c>
      <c r="L4" s="48" t="s">
        <v>360</v>
      </c>
    </row>
    <row r="5" spans="2:12" ht="15" customHeight="1" x14ac:dyDescent="0.3">
      <c r="B5" s="43"/>
      <c r="C5" s="43"/>
      <c r="E5" s="45" t="s">
        <v>361</v>
      </c>
      <c r="F5" s="45" t="s">
        <v>241</v>
      </c>
      <c r="G5" s="45" t="s">
        <v>362</v>
      </c>
      <c r="H5" s="45" t="s">
        <v>221</v>
      </c>
      <c r="I5" s="45" t="s">
        <v>363</v>
      </c>
      <c r="K5" s="4" t="s">
        <v>2</v>
      </c>
      <c r="L5" s="48" t="s">
        <v>364</v>
      </c>
    </row>
    <row r="6" spans="2:12" ht="15" customHeight="1" x14ac:dyDescent="0.3">
      <c r="B6" s="53" t="s">
        <v>365</v>
      </c>
      <c r="C6" s="54" t="s">
        <v>366</v>
      </c>
      <c r="E6" s="45" t="s">
        <v>367</v>
      </c>
      <c r="G6" s="45" t="s">
        <v>221</v>
      </c>
      <c r="H6" s="45" t="s">
        <v>241</v>
      </c>
      <c r="I6" s="45" t="s">
        <v>237</v>
      </c>
      <c r="K6" s="4" t="s">
        <v>3</v>
      </c>
      <c r="L6" s="48" t="s">
        <v>368</v>
      </c>
    </row>
    <row r="7" spans="2:12" ht="15" customHeight="1" x14ac:dyDescent="0.3">
      <c r="B7" s="53" t="s">
        <v>369</v>
      </c>
      <c r="C7" s="54" t="s">
        <v>370</v>
      </c>
      <c r="E7" s="45" t="s">
        <v>371</v>
      </c>
      <c r="G7" s="45" t="s">
        <v>241</v>
      </c>
      <c r="I7" s="45" t="s">
        <v>372</v>
      </c>
      <c r="K7" s="5" t="s">
        <v>4</v>
      </c>
      <c r="L7" s="48" t="s">
        <v>373</v>
      </c>
    </row>
    <row r="8" spans="2:12" ht="15" customHeight="1" x14ac:dyDescent="0.3">
      <c r="B8" s="55" t="s">
        <v>374</v>
      </c>
      <c r="C8" s="56" t="s">
        <v>375</v>
      </c>
      <c r="E8" s="45" t="s">
        <v>376</v>
      </c>
      <c r="I8" s="45" t="s">
        <v>221</v>
      </c>
      <c r="K8" s="5" t="s">
        <v>5</v>
      </c>
      <c r="L8" s="48" t="s">
        <v>377</v>
      </c>
    </row>
    <row r="9" spans="2:12" ht="15" customHeight="1" x14ac:dyDescent="0.3">
      <c r="B9" s="55" t="s">
        <v>378</v>
      </c>
      <c r="C9" s="54" t="s">
        <v>379</v>
      </c>
      <c r="E9" s="45" t="s">
        <v>221</v>
      </c>
      <c r="I9" s="45" t="s">
        <v>241</v>
      </c>
      <c r="K9" s="5" t="s">
        <v>6</v>
      </c>
      <c r="L9" s="48" t="s">
        <v>255</v>
      </c>
    </row>
    <row r="10" spans="2:12" ht="15" customHeight="1" x14ac:dyDescent="0.3">
      <c r="B10" s="55" t="s">
        <v>380</v>
      </c>
      <c r="C10" s="54" t="s">
        <v>381</v>
      </c>
      <c r="E10" s="45" t="s">
        <v>241</v>
      </c>
      <c r="K10" s="5" t="s">
        <v>7</v>
      </c>
      <c r="L10" s="48" t="s">
        <v>382</v>
      </c>
    </row>
    <row r="11" spans="2:12" ht="15" customHeight="1" x14ac:dyDescent="0.3">
      <c r="B11" s="57" t="s">
        <v>216</v>
      </c>
      <c r="C11" s="54" t="s">
        <v>383</v>
      </c>
      <c r="K11" s="6" t="s">
        <v>8</v>
      </c>
      <c r="L11" s="48" t="s">
        <v>384</v>
      </c>
    </row>
    <row r="12" spans="2:12" ht="15" customHeight="1" x14ac:dyDescent="0.3">
      <c r="B12" s="57" t="s">
        <v>217</v>
      </c>
      <c r="C12" s="54" t="s">
        <v>385</v>
      </c>
      <c r="K12" s="7" t="s">
        <v>9</v>
      </c>
      <c r="L12" s="48" t="s">
        <v>386</v>
      </c>
    </row>
    <row r="13" spans="2:12" ht="15" customHeight="1" x14ac:dyDescent="0.3">
      <c r="B13" s="57" t="s">
        <v>218</v>
      </c>
      <c r="C13" s="54" t="s">
        <v>387</v>
      </c>
      <c r="K13" s="7" t="s">
        <v>10</v>
      </c>
      <c r="L13" s="48" t="s">
        <v>388</v>
      </c>
    </row>
    <row r="14" spans="2:12" ht="15" customHeight="1" x14ac:dyDescent="0.3">
      <c r="B14" s="57" t="s">
        <v>219</v>
      </c>
      <c r="C14" s="54" t="s">
        <v>389</v>
      </c>
      <c r="K14" s="5" t="s">
        <v>11</v>
      </c>
      <c r="L14" s="48" t="s">
        <v>390</v>
      </c>
    </row>
    <row r="15" spans="2:12" ht="15" customHeight="1" x14ac:dyDescent="0.3">
      <c r="B15" s="57" t="s">
        <v>391</v>
      </c>
      <c r="C15" s="54" t="s">
        <v>392</v>
      </c>
      <c r="K15" s="4" t="s">
        <v>12</v>
      </c>
      <c r="L15" s="48" t="s">
        <v>393</v>
      </c>
    </row>
    <row r="16" spans="2:12" ht="15" customHeight="1" x14ac:dyDescent="0.3">
      <c r="B16" s="57" t="s">
        <v>394</v>
      </c>
      <c r="C16" s="54" t="s">
        <v>395</v>
      </c>
      <c r="K16" s="8" t="s">
        <v>13</v>
      </c>
      <c r="L16" s="48" t="s">
        <v>230</v>
      </c>
    </row>
    <row r="17" spans="3:12" ht="15" customHeight="1" x14ac:dyDescent="0.3">
      <c r="K17" s="8" t="s">
        <v>14</v>
      </c>
      <c r="L17" s="48" t="s">
        <v>396</v>
      </c>
    </row>
    <row r="18" spans="3:12" ht="15" customHeight="1" x14ac:dyDescent="0.3">
      <c r="K18" s="8" t="s">
        <v>15</v>
      </c>
      <c r="L18" s="48" t="s">
        <v>397</v>
      </c>
    </row>
    <row r="19" spans="3:12" ht="15" customHeight="1" x14ac:dyDescent="0.3">
      <c r="K19" s="9" t="s">
        <v>16</v>
      </c>
      <c r="L19" s="48" t="s">
        <v>236</v>
      </c>
    </row>
    <row r="20" spans="3:12" ht="15" customHeight="1" x14ac:dyDescent="0.3">
      <c r="C20" s="49"/>
      <c r="K20" s="4" t="s">
        <v>17</v>
      </c>
      <c r="L20" s="48" t="s">
        <v>398</v>
      </c>
    </row>
    <row r="21" spans="3:12" ht="15" customHeight="1" x14ac:dyDescent="0.3">
      <c r="C21"/>
      <c r="K21" s="8" t="s">
        <v>18</v>
      </c>
      <c r="L21" s="48" t="s">
        <v>399</v>
      </c>
    </row>
    <row r="22" spans="3:12" ht="15" customHeight="1" x14ac:dyDescent="0.3">
      <c r="K22" s="8" t="s">
        <v>19</v>
      </c>
      <c r="L22" s="48" t="s">
        <v>400</v>
      </c>
    </row>
    <row r="23" spans="3:12" ht="15" customHeight="1" x14ac:dyDescent="0.3">
      <c r="C23"/>
      <c r="D23"/>
      <c r="K23" s="8" t="s">
        <v>20</v>
      </c>
      <c r="L23" s="48" t="s">
        <v>401</v>
      </c>
    </row>
    <row r="24" spans="3:12" ht="15" customHeight="1" x14ac:dyDescent="0.3">
      <c r="K24" s="9" t="s">
        <v>21</v>
      </c>
      <c r="L24" s="48" t="s">
        <v>402</v>
      </c>
    </row>
    <row r="25" spans="3:12" ht="15" customHeight="1" x14ac:dyDescent="0.3">
      <c r="K25" s="4" t="s">
        <v>22</v>
      </c>
      <c r="L25" s="48" t="s">
        <v>403</v>
      </c>
    </row>
    <row r="26" spans="3:12" ht="15" customHeight="1" x14ac:dyDescent="0.35">
      <c r="D26" s="50"/>
      <c r="F26" s="50"/>
      <c r="K26" s="8" t="s">
        <v>23</v>
      </c>
      <c r="L26" s="48" t="s">
        <v>404</v>
      </c>
    </row>
    <row r="27" spans="3:12" ht="15" customHeight="1" x14ac:dyDescent="0.35">
      <c r="D27" s="50"/>
      <c r="E27" s="50"/>
      <c r="F27" s="50"/>
      <c r="G27" s="50"/>
      <c r="K27" s="8" t="s">
        <v>24</v>
      </c>
      <c r="L27" s="48" t="s">
        <v>405</v>
      </c>
    </row>
    <row r="28" spans="3:12" ht="15" customHeight="1" x14ac:dyDescent="0.35">
      <c r="D28" s="50"/>
      <c r="E28" s="50"/>
      <c r="F28" s="50"/>
      <c r="G28" s="50"/>
      <c r="K28" s="8" t="s">
        <v>25</v>
      </c>
      <c r="L28" s="48" t="s">
        <v>406</v>
      </c>
    </row>
    <row r="29" spans="3:12" ht="15" customHeight="1" x14ac:dyDescent="0.35">
      <c r="D29" s="50"/>
      <c r="E29" s="50"/>
      <c r="F29" s="50"/>
      <c r="G29" s="50"/>
      <c r="K29" s="9" t="s">
        <v>26</v>
      </c>
      <c r="L29" s="48" t="s">
        <v>407</v>
      </c>
    </row>
    <row r="30" spans="3:12" ht="15" customHeight="1" x14ac:dyDescent="0.35">
      <c r="D30" s="50"/>
      <c r="E30" s="50"/>
      <c r="F30" s="50"/>
      <c r="G30" s="50"/>
      <c r="K30" s="4" t="s">
        <v>27</v>
      </c>
      <c r="L30" s="48" t="s">
        <v>408</v>
      </c>
    </row>
    <row r="31" spans="3:12" ht="15" customHeight="1" x14ac:dyDescent="0.35">
      <c r="D31" s="50"/>
      <c r="E31" s="50"/>
      <c r="F31" s="50"/>
      <c r="G31" s="50"/>
      <c r="K31" s="8" t="s">
        <v>28</v>
      </c>
      <c r="L31" s="48" t="s">
        <v>409</v>
      </c>
    </row>
    <row r="32" spans="3:12" ht="15" customHeight="1" x14ac:dyDescent="0.35">
      <c r="D32" s="50"/>
      <c r="E32" s="50"/>
      <c r="F32" s="50"/>
      <c r="G32" s="50"/>
      <c r="K32" s="8" t="s">
        <v>29</v>
      </c>
      <c r="L32" s="48" t="s">
        <v>410</v>
      </c>
    </row>
    <row r="33" spans="4:12" ht="15" customHeight="1" x14ac:dyDescent="0.35">
      <c r="D33" s="50"/>
      <c r="E33" s="50"/>
      <c r="F33" s="50"/>
      <c r="G33" s="50"/>
      <c r="K33" s="8" t="s">
        <v>30</v>
      </c>
      <c r="L33" s="48" t="s">
        <v>411</v>
      </c>
    </row>
    <row r="34" spans="4:12" ht="15" customHeight="1" x14ac:dyDescent="0.35">
      <c r="D34" s="50"/>
      <c r="E34" s="50"/>
      <c r="K34" s="9" t="s">
        <v>31</v>
      </c>
      <c r="L34" s="48" t="s">
        <v>412</v>
      </c>
    </row>
    <row r="35" spans="4:12" ht="15" customHeight="1" x14ac:dyDescent="0.35">
      <c r="D35" s="50"/>
      <c r="E35" s="50"/>
      <c r="F35" s="50"/>
      <c r="K35" s="4" t="s">
        <v>32</v>
      </c>
      <c r="L35" s="48" t="s">
        <v>413</v>
      </c>
    </row>
    <row r="36" spans="4:12" ht="15" customHeight="1" x14ac:dyDescent="0.35">
      <c r="D36" s="50"/>
      <c r="E36" s="50"/>
      <c r="F36" s="50"/>
      <c r="G36" s="50"/>
      <c r="K36" s="8" t="s">
        <v>33</v>
      </c>
      <c r="L36" s="48" t="s">
        <v>414</v>
      </c>
    </row>
    <row r="37" spans="4:12" ht="15" customHeight="1" x14ac:dyDescent="0.35">
      <c r="D37" s="50"/>
      <c r="E37" s="50"/>
      <c r="F37" s="50"/>
      <c r="G37" s="50"/>
      <c r="K37" s="8" t="s">
        <v>34</v>
      </c>
      <c r="L37" s="48" t="s">
        <v>415</v>
      </c>
    </row>
    <row r="38" spans="4:12" ht="15" customHeight="1" x14ac:dyDescent="0.35">
      <c r="D38" s="50"/>
      <c r="E38" s="50"/>
      <c r="F38" s="50"/>
      <c r="G38" s="50"/>
      <c r="K38" s="8" t="s">
        <v>35</v>
      </c>
      <c r="L38" s="48" t="s">
        <v>416</v>
      </c>
    </row>
    <row r="39" spans="4:12" ht="15" customHeight="1" x14ac:dyDescent="0.35">
      <c r="D39" s="50"/>
      <c r="E39" s="50"/>
      <c r="F39" s="50"/>
      <c r="G39" s="50"/>
      <c r="K39" s="9" t="s">
        <v>36</v>
      </c>
      <c r="L39" s="48" t="s">
        <v>417</v>
      </c>
    </row>
    <row r="40" spans="4:12" ht="15" customHeight="1" x14ac:dyDescent="0.35">
      <c r="D40" s="50"/>
      <c r="E40" s="50"/>
      <c r="F40" s="50"/>
      <c r="G40" s="50"/>
      <c r="K40" s="4" t="s">
        <v>37</v>
      </c>
      <c r="L40" s="48" t="s">
        <v>418</v>
      </c>
    </row>
    <row r="41" spans="4:12" ht="15" customHeight="1" x14ac:dyDescent="0.35">
      <c r="D41" s="50"/>
      <c r="E41" s="50"/>
      <c r="F41" s="50"/>
      <c r="G41" s="50"/>
      <c r="K41" s="8" t="s">
        <v>38</v>
      </c>
      <c r="L41" s="48" t="s">
        <v>419</v>
      </c>
    </row>
    <row r="42" spans="4:12" ht="15" customHeight="1" x14ac:dyDescent="0.35">
      <c r="D42" s="50"/>
      <c r="E42" s="50"/>
      <c r="K42" s="8" t="s">
        <v>39</v>
      </c>
      <c r="L42" s="48" t="s">
        <v>420</v>
      </c>
    </row>
    <row r="43" spans="4:12" ht="15" customHeight="1" x14ac:dyDescent="0.35">
      <c r="D43" s="50"/>
      <c r="E43" s="50"/>
      <c r="F43" s="50"/>
      <c r="K43" s="8" t="s">
        <v>40</v>
      </c>
      <c r="L43" s="48" t="s">
        <v>421</v>
      </c>
    </row>
    <row r="44" spans="4:12" ht="15" customHeight="1" x14ac:dyDescent="0.35">
      <c r="D44" s="50"/>
      <c r="E44" s="50"/>
      <c r="F44" s="50"/>
      <c r="K44" s="9" t="s">
        <v>41</v>
      </c>
      <c r="L44" s="48" t="s">
        <v>422</v>
      </c>
    </row>
    <row r="45" spans="4:12" ht="15" customHeight="1" x14ac:dyDescent="0.35">
      <c r="E45" s="50"/>
      <c r="F45" s="50"/>
      <c r="K45" s="4" t="s">
        <v>42</v>
      </c>
      <c r="L45" s="48" t="s">
        <v>423</v>
      </c>
    </row>
    <row r="46" spans="4:12" ht="15" customHeight="1" x14ac:dyDescent="0.35">
      <c r="F46" s="50"/>
      <c r="K46" s="5" t="s">
        <v>43</v>
      </c>
      <c r="L46" s="48" t="s">
        <v>424</v>
      </c>
    </row>
    <row r="47" spans="4:12" ht="15" customHeight="1" x14ac:dyDescent="0.3">
      <c r="K47" s="10" t="s">
        <v>44</v>
      </c>
      <c r="L47" s="48" t="s">
        <v>425</v>
      </c>
    </row>
    <row r="48" spans="4:12" ht="15" customHeight="1" x14ac:dyDescent="0.3">
      <c r="K48" s="11" t="s">
        <v>45</v>
      </c>
      <c r="L48" s="48" t="s">
        <v>426</v>
      </c>
    </row>
    <row r="49" spans="11:12" ht="15" customHeight="1" x14ac:dyDescent="0.3">
      <c r="K49" s="12" t="s">
        <v>46</v>
      </c>
      <c r="L49" s="48" t="s">
        <v>427</v>
      </c>
    </row>
    <row r="50" spans="11:12" ht="15" customHeight="1" x14ac:dyDescent="0.3">
      <c r="K50" s="13" t="s">
        <v>47</v>
      </c>
      <c r="L50" s="48" t="s">
        <v>428</v>
      </c>
    </row>
    <row r="51" spans="11:12" ht="15" customHeight="1" x14ac:dyDescent="0.3">
      <c r="K51" s="14" t="s">
        <v>48</v>
      </c>
      <c r="L51" s="48" t="s">
        <v>429</v>
      </c>
    </row>
    <row r="52" spans="11:12" ht="15" customHeight="1" x14ac:dyDescent="0.3">
      <c r="K52" s="15" t="s">
        <v>49</v>
      </c>
      <c r="L52" s="48" t="s">
        <v>430</v>
      </c>
    </row>
    <row r="53" spans="11:12" ht="15" customHeight="1" x14ac:dyDescent="0.3">
      <c r="K53" s="15" t="s">
        <v>50</v>
      </c>
      <c r="L53" s="48" t="s">
        <v>431</v>
      </c>
    </row>
    <row r="54" spans="11:12" ht="15" customHeight="1" x14ac:dyDescent="0.3">
      <c r="K54" s="15" t="s">
        <v>51</v>
      </c>
      <c r="L54" s="48" t="s">
        <v>432</v>
      </c>
    </row>
    <row r="55" spans="11:12" ht="15" customHeight="1" x14ac:dyDescent="0.3">
      <c r="K55" s="15" t="s">
        <v>52</v>
      </c>
      <c r="L55" s="48" t="s">
        <v>433</v>
      </c>
    </row>
    <row r="56" spans="11:12" ht="15" customHeight="1" x14ac:dyDescent="0.3">
      <c r="K56" s="15" t="s">
        <v>53</v>
      </c>
      <c r="L56" s="48" t="s">
        <v>434</v>
      </c>
    </row>
    <row r="57" spans="11:12" ht="15" customHeight="1" x14ac:dyDescent="0.3">
      <c r="K57" s="16" t="s">
        <v>54</v>
      </c>
      <c r="L57" s="48" t="s">
        <v>435</v>
      </c>
    </row>
    <row r="58" spans="11:12" ht="15" customHeight="1" x14ac:dyDescent="0.3">
      <c r="K58" s="13" t="s">
        <v>55</v>
      </c>
      <c r="L58" s="48" t="s">
        <v>436</v>
      </c>
    </row>
    <row r="59" spans="11:12" ht="15" customHeight="1" x14ac:dyDescent="0.3">
      <c r="K59" s="13" t="s">
        <v>56</v>
      </c>
      <c r="L59" s="48" t="s">
        <v>437</v>
      </c>
    </row>
    <row r="60" spans="11:12" ht="15" customHeight="1" x14ac:dyDescent="0.3">
      <c r="K60" s="17" t="s">
        <v>57</v>
      </c>
      <c r="L60" s="48" t="s">
        <v>438</v>
      </c>
    </row>
    <row r="61" spans="11:12" ht="15" customHeight="1" x14ac:dyDescent="0.3">
      <c r="K61" s="18" t="s">
        <v>58</v>
      </c>
      <c r="L61" s="48" t="s">
        <v>439</v>
      </c>
    </row>
    <row r="62" spans="11:12" ht="15" customHeight="1" x14ac:dyDescent="0.3">
      <c r="K62" s="19" t="s">
        <v>59</v>
      </c>
      <c r="L62" s="48" t="s">
        <v>440</v>
      </c>
    </row>
    <row r="63" spans="11:12" ht="15" customHeight="1" x14ac:dyDescent="0.3">
      <c r="K63" s="19" t="s">
        <v>60</v>
      </c>
      <c r="L63" s="48" t="s">
        <v>441</v>
      </c>
    </row>
    <row r="64" spans="11:12" ht="15" customHeight="1" x14ac:dyDescent="0.3">
      <c r="K64" s="19" t="s">
        <v>61</v>
      </c>
      <c r="L64" s="48" t="s">
        <v>442</v>
      </c>
    </row>
    <row r="65" spans="11:12" ht="15" customHeight="1" x14ac:dyDescent="0.3">
      <c r="K65" s="20" t="s">
        <v>62</v>
      </c>
      <c r="L65" s="48" t="s">
        <v>443</v>
      </c>
    </row>
    <row r="66" spans="11:12" ht="15" customHeight="1" x14ac:dyDescent="0.3">
      <c r="K66" s="20" t="s">
        <v>63</v>
      </c>
      <c r="L66" s="48" t="s">
        <v>444</v>
      </c>
    </row>
    <row r="67" spans="11:12" ht="15" customHeight="1" x14ac:dyDescent="0.3">
      <c r="K67" s="19" t="s">
        <v>64</v>
      </c>
      <c r="L67" s="48" t="s">
        <v>445</v>
      </c>
    </row>
    <row r="68" spans="11:12" ht="15" customHeight="1" x14ac:dyDescent="0.3">
      <c r="K68" s="19" t="s">
        <v>65</v>
      </c>
      <c r="L68" s="48" t="s">
        <v>446</v>
      </c>
    </row>
    <row r="69" spans="11:12" ht="15" customHeight="1" x14ac:dyDescent="0.3">
      <c r="K69" s="19" t="s">
        <v>66</v>
      </c>
      <c r="L69" s="48" t="s">
        <v>447</v>
      </c>
    </row>
    <row r="70" spans="11:12" ht="15" customHeight="1" x14ac:dyDescent="0.3">
      <c r="K70" s="20" t="s">
        <v>448</v>
      </c>
      <c r="L70" s="48" t="s">
        <v>449</v>
      </c>
    </row>
    <row r="71" spans="11:12" ht="15" customHeight="1" x14ac:dyDescent="0.3">
      <c r="K71" s="20" t="s">
        <v>450</v>
      </c>
      <c r="L71" s="48" t="s">
        <v>451</v>
      </c>
    </row>
    <row r="72" spans="11:12" ht="15" customHeight="1" x14ac:dyDescent="0.3">
      <c r="K72" s="19" t="s">
        <v>67</v>
      </c>
      <c r="L72" s="48" t="s">
        <v>452</v>
      </c>
    </row>
    <row r="73" spans="11:12" ht="15" customHeight="1" x14ac:dyDescent="0.3">
      <c r="K73" s="19" t="s">
        <v>68</v>
      </c>
      <c r="L73" s="48" t="s">
        <v>453</v>
      </c>
    </row>
    <row r="74" spans="11:12" ht="15" customHeight="1" x14ac:dyDescent="0.3">
      <c r="K74" s="19" t="s">
        <v>69</v>
      </c>
      <c r="L74" s="48" t="s">
        <v>454</v>
      </c>
    </row>
    <row r="75" spans="11:12" ht="15" customHeight="1" x14ac:dyDescent="0.3">
      <c r="K75" s="20" t="s">
        <v>455</v>
      </c>
      <c r="L75" s="48" t="s">
        <v>456</v>
      </c>
    </row>
    <row r="76" spans="11:12" ht="15" customHeight="1" x14ac:dyDescent="0.3">
      <c r="K76" s="20" t="s">
        <v>457</v>
      </c>
      <c r="L76" s="48" t="s">
        <v>458</v>
      </c>
    </row>
    <row r="77" spans="11:12" ht="15" customHeight="1" x14ac:dyDescent="0.3">
      <c r="K77" s="19" t="s">
        <v>70</v>
      </c>
      <c r="L77" s="48" t="s">
        <v>459</v>
      </c>
    </row>
    <row r="78" spans="11:12" ht="15" customHeight="1" x14ac:dyDescent="0.3">
      <c r="K78" s="19" t="s">
        <v>71</v>
      </c>
      <c r="L78" s="48" t="s">
        <v>460</v>
      </c>
    </row>
    <row r="79" spans="11:12" ht="15" customHeight="1" x14ac:dyDescent="0.3">
      <c r="K79" s="19" t="s">
        <v>72</v>
      </c>
      <c r="L79" s="48" t="s">
        <v>461</v>
      </c>
    </row>
    <row r="80" spans="11:12" ht="15" customHeight="1" x14ac:dyDescent="0.3">
      <c r="K80" s="20" t="s">
        <v>462</v>
      </c>
      <c r="L80" s="48" t="s">
        <v>463</v>
      </c>
    </row>
    <row r="81" spans="11:12" ht="15" customHeight="1" x14ac:dyDescent="0.3">
      <c r="K81" s="20" t="s">
        <v>464</v>
      </c>
      <c r="L81" s="48" t="s">
        <v>465</v>
      </c>
    </row>
    <row r="82" spans="11:12" ht="15" customHeight="1" x14ac:dyDescent="0.3">
      <c r="K82" s="19" t="s">
        <v>73</v>
      </c>
      <c r="L82" s="48" t="s">
        <v>466</v>
      </c>
    </row>
    <row r="83" spans="11:12" ht="15" customHeight="1" x14ac:dyDescent="0.3">
      <c r="K83" s="19" t="s">
        <v>74</v>
      </c>
      <c r="L83" s="48" t="s">
        <v>467</v>
      </c>
    </row>
    <row r="84" spans="11:12" ht="15" customHeight="1" x14ac:dyDescent="0.3">
      <c r="K84" s="19" t="s">
        <v>75</v>
      </c>
      <c r="L84" s="48" t="s">
        <v>468</v>
      </c>
    </row>
    <row r="85" spans="11:12" ht="15" customHeight="1" x14ac:dyDescent="0.3">
      <c r="K85" s="20" t="s">
        <v>469</v>
      </c>
      <c r="L85" s="48" t="s">
        <v>470</v>
      </c>
    </row>
    <row r="86" spans="11:12" ht="15" customHeight="1" x14ac:dyDescent="0.3">
      <c r="K86" s="20" t="s">
        <v>471</v>
      </c>
      <c r="L86" s="48" t="s">
        <v>472</v>
      </c>
    </row>
    <row r="87" spans="11:12" ht="15" customHeight="1" x14ac:dyDescent="0.3">
      <c r="K87" s="19" t="s">
        <v>76</v>
      </c>
      <c r="L87" s="48" t="s">
        <v>473</v>
      </c>
    </row>
    <row r="88" spans="11:12" ht="15" customHeight="1" x14ac:dyDescent="0.3">
      <c r="K88" s="19" t="s">
        <v>77</v>
      </c>
      <c r="L88" s="48" t="s">
        <v>474</v>
      </c>
    </row>
    <row r="89" spans="11:12" ht="15" customHeight="1" x14ac:dyDescent="0.3">
      <c r="K89" s="19" t="s">
        <v>78</v>
      </c>
      <c r="L89" s="48" t="s">
        <v>475</v>
      </c>
    </row>
    <row r="90" spans="11:12" ht="15" customHeight="1" x14ac:dyDescent="0.3">
      <c r="K90" s="20" t="s">
        <v>476</v>
      </c>
      <c r="L90" s="48" t="s">
        <v>477</v>
      </c>
    </row>
    <row r="91" spans="11:12" ht="15" customHeight="1" x14ac:dyDescent="0.3">
      <c r="K91" s="20" t="s">
        <v>478</v>
      </c>
      <c r="L91" s="48" t="s">
        <v>479</v>
      </c>
    </row>
    <row r="92" spans="11:12" ht="15" customHeight="1" x14ac:dyDescent="0.3">
      <c r="K92" s="19" t="s">
        <v>79</v>
      </c>
      <c r="L92" s="48" t="s">
        <v>480</v>
      </c>
    </row>
    <row r="93" spans="11:12" ht="15" customHeight="1" x14ac:dyDescent="0.3">
      <c r="K93" s="19" t="s">
        <v>80</v>
      </c>
      <c r="L93" s="48" t="s">
        <v>481</v>
      </c>
    </row>
    <row r="94" spans="11:12" ht="15" customHeight="1" x14ac:dyDescent="0.3">
      <c r="K94" s="19" t="s">
        <v>81</v>
      </c>
      <c r="L94" s="48" t="s">
        <v>482</v>
      </c>
    </row>
    <row r="95" spans="11:12" ht="15" customHeight="1" x14ac:dyDescent="0.3">
      <c r="K95" s="20" t="s">
        <v>483</v>
      </c>
      <c r="L95" s="48" t="s">
        <v>484</v>
      </c>
    </row>
    <row r="96" spans="11:12" ht="15" customHeight="1" x14ac:dyDescent="0.3">
      <c r="K96" s="20" t="s">
        <v>485</v>
      </c>
      <c r="L96" s="48" t="s">
        <v>486</v>
      </c>
    </row>
    <row r="97" spans="11:12" ht="15" customHeight="1" x14ac:dyDescent="0.3">
      <c r="K97" s="19" t="s">
        <v>82</v>
      </c>
      <c r="L97" s="48" t="s">
        <v>487</v>
      </c>
    </row>
    <row r="98" spans="11:12" ht="15" customHeight="1" x14ac:dyDescent="0.3">
      <c r="K98" s="19" t="s">
        <v>83</v>
      </c>
      <c r="L98" s="48" t="s">
        <v>488</v>
      </c>
    </row>
    <row r="99" spans="11:12" ht="15" customHeight="1" x14ac:dyDescent="0.3">
      <c r="K99" s="19" t="s">
        <v>84</v>
      </c>
      <c r="L99" s="48" t="s">
        <v>489</v>
      </c>
    </row>
    <row r="100" spans="11:12" ht="15" customHeight="1" x14ac:dyDescent="0.3">
      <c r="K100" s="20" t="s">
        <v>490</v>
      </c>
      <c r="L100" s="48" t="s">
        <v>491</v>
      </c>
    </row>
    <row r="101" spans="11:12" ht="15" customHeight="1" x14ac:dyDescent="0.3">
      <c r="K101" s="20" t="s">
        <v>492</v>
      </c>
      <c r="L101" s="48" t="s">
        <v>493</v>
      </c>
    </row>
    <row r="102" spans="11:12" ht="15" customHeight="1" x14ac:dyDescent="0.3">
      <c r="K102" s="19" t="s">
        <v>85</v>
      </c>
      <c r="L102" s="48" t="s">
        <v>494</v>
      </c>
    </row>
    <row r="103" spans="11:12" ht="15" customHeight="1" x14ac:dyDescent="0.3">
      <c r="K103" s="19" t="s">
        <v>86</v>
      </c>
      <c r="L103" s="48" t="s">
        <v>495</v>
      </c>
    </row>
    <row r="104" spans="11:12" ht="15" customHeight="1" x14ac:dyDescent="0.3">
      <c r="K104" s="19" t="s">
        <v>87</v>
      </c>
      <c r="L104" s="48" t="s">
        <v>496</v>
      </c>
    </row>
    <row r="105" spans="11:12" ht="15" customHeight="1" x14ac:dyDescent="0.3">
      <c r="K105" s="20" t="s">
        <v>497</v>
      </c>
      <c r="L105" s="48" t="s">
        <v>498</v>
      </c>
    </row>
    <row r="106" spans="11:12" ht="15" customHeight="1" x14ac:dyDescent="0.3">
      <c r="K106" s="20" t="s">
        <v>499</v>
      </c>
      <c r="L106" s="48" t="s">
        <v>500</v>
      </c>
    </row>
    <row r="107" spans="11:12" ht="15" customHeight="1" x14ac:dyDescent="0.3">
      <c r="K107" s="19" t="s">
        <v>88</v>
      </c>
      <c r="L107" s="48" t="s">
        <v>501</v>
      </c>
    </row>
    <row r="108" spans="11:12" ht="15" customHeight="1" x14ac:dyDescent="0.3">
      <c r="K108" s="19" t="s">
        <v>89</v>
      </c>
      <c r="L108" s="48" t="s">
        <v>502</v>
      </c>
    </row>
    <row r="109" spans="11:12" ht="15" customHeight="1" x14ac:dyDescent="0.3">
      <c r="K109" s="19" t="s">
        <v>90</v>
      </c>
      <c r="L109" s="48" t="s">
        <v>503</v>
      </c>
    </row>
    <row r="110" spans="11:12" ht="15" customHeight="1" x14ac:dyDescent="0.3">
      <c r="K110" s="20" t="s">
        <v>504</v>
      </c>
      <c r="L110" s="48" t="s">
        <v>505</v>
      </c>
    </row>
    <row r="111" spans="11:12" ht="15" customHeight="1" x14ac:dyDescent="0.3">
      <c r="K111" s="20" t="s">
        <v>506</v>
      </c>
      <c r="L111" s="48" t="s">
        <v>507</v>
      </c>
    </row>
    <row r="112" spans="11:12" ht="15" customHeight="1" x14ac:dyDescent="0.3">
      <c r="K112" s="19" t="s">
        <v>91</v>
      </c>
      <c r="L112" s="48" t="s">
        <v>508</v>
      </c>
    </row>
    <row r="113" spans="11:12" ht="15" customHeight="1" x14ac:dyDescent="0.3">
      <c r="K113" s="21" t="s">
        <v>92</v>
      </c>
      <c r="L113" s="48" t="s">
        <v>509</v>
      </c>
    </row>
    <row r="114" spans="11:12" ht="15" customHeight="1" x14ac:dyDescent="0.3">
      <c r="K114" s="21" t="s">
        <v>93</v>
      </c>
      <c r="L114" s="48" t="s">
        <v>510</v>
      </c>
    </row>
    <row r="115" spans="11:12" ht="15" customHeight="1" x14ac:dyDescent="0.3">
      <c r="K115" s="22" t="s">
        <v>94</v>
      </c>
      <c r="L115" s="48" t="s">
        <v>511</v>
      </c>
    </row>
    <row r="116" spans="11:12" ht="15" customHeight="1" x14ac:dyDescent="0.3">
      <c r="K116" s="22" t="s">
        <v>95</v>
      </c>
      <c r="L116" s="48" t="s">
        <v>512</v>
      </c>
    </row>
    <row r="117" spans="11:12" ht="15" customHeight="1" x14ac:dyDescent="0.3">
      <c r="K117" s="21" t="s">
        <v>96</v>
      </c>
      <c r="L117" s="48" t="s">
        <v>513</v>
      </c>
    </row>
    <row r="118" spans="11:12" ht="15" customHeight="1" x14ac:dyDescent="0.3">
      <c r="K118" s="21" t="s">
        <v>97</v>
      </c>
      <c r="L118" s="48" t="s">
        <v>514</v>
      </c>
    </row>
    <row r="119" spans="11:12" ht="15" customHeight="1" x14ac:dyDescent="0.3">
      <c r="K119" s="21" t="s">
        <v>98</v>
      </c>
      <c r="L119" s="48" t="s">
        <v>515</v>
      </c>
    </row>
    <row r="120" spans="11:12" ht="15" customHeight="1" x14ac:dyDescent="0.3">
      <c r="K120" s="22" t="s">
        <v>516</v>
      </c>
      <c r="L120" s="48" t="s">
        <v>517</v>
      </c>
    </row>
    <row r="121" spans="11:12" ht="15" customHeight="1" x14ac:dyDescent="0.3">
      <c r="K121" s="22" t="s">
        <v>518</v>
      </c>
      <c r="L121" s="48" t="s">
        <v>519</v>
      </c>
    </row>
    <row r="122" spans="11:12" ht="15" customHeight="1" x14ac:dyDescent="0.3">
      <c r="K122" s="21" t="s">
        <v>99</v>
      </c>
      <c r="L122" s="48" t="s">
        <v>520</v>
      </c>
    </row>
    <row r="123" spans="11:12" ht="15" customHeight="1" x14ac:dyDescent="0.3">
      <c r="K123" s="21" t="s">
        <v>100</v>
      </c>
      <c r="L123" s="48" t="s">
        <v>521</v>
      </c>
    </row>
    <row r="124" spans="11:12" ht="15" customHeight="1" x14ac:dyDescent="0.3">
      <c r="K124" s="21" t="s">
        <v>101</v>
      </c>
      <c r="L124" s="48" t="s">
        <v>522</v>
      </c>
    </row>
    <row r="125" spans="11:12" ht="15" customHeight="1" x14ac:dyDescent="0.3">
      <c r="K125" s="22" t="s">
        <v>523</v>
      </c>
      <c r="L125" s="48" t="s">
        <v>524</v>
      </c>
    </row>
    <row r="126" spans="11:12" ht="15" customHeight="1" x14ac:dyDescent="0.3">
      <c r="K126" s="22" t="s">
        <v>525</v>
      </c>
      <c r="L126" s="48" t="s">
        <v>526</v>
      </c>
    </row>
    <row r="127" spans="11:12" ht="15" customHeight="1" x14ac:dyDescent="0.3">
      <c r="K127" s="21" t="s">
        <v>102</v>
      </c>
      <c r="L127" s="48" t="s">
        <v>527</v>
      </c>
    </row>
    <row r="128" spans="11:12" ht="15" customHeight="1" x14ac:dyDescent="0.3">
      <c r="K128" s="21" t="s">
        <v>103</v>
      </c>
      <c r="L128" s="48" t="s">
        <v>528</v>
      </c>
    </row>
    <row r="129" spans="11:12" ht="15" customHeight="1" x14ac:dyDescent="0.3">
      <c r="K129" s="21" t="s">
        <v>104</v>
      </c>
      <c r="L129" s="48" t="s">
        <v>529</v>
      </c>
    </row>
    <row r="130" spans="11:12" ht="15" customHeight="1" x14ac:dyDescent="0.3">
      <c r="K130" s="22" t="s">
        <v>530</v>
      </c>
      <c r="L130" s="48" t="s">
        <v>531</v>
      </c>
    </row>
    <row r="131" spans="11:12" ht="15" customHeight="1" x14ac:dyDescent="0.3">
      <c r="K131" s="22" t="s">
        <v>532</v>
      </c>
      <c r="L131" s="48" t="s">
        <v>533</v>
      </c>
    </row>
    <row r="132" spans="11:12" ht="15" customHeight="1" x14ac:dyDescent="0.3">
      <c r="K132" s="21" t="s">
        <v>105</v>
      </c>
      <c r="L132" s="48" t="s">
        <v>534</v>
      </c>
    </row>
    <row r="133" spans="11:12" ht="15" customHeight="1" x14ac:dyDescent="0.3">
      <c r="K133" s="21" t="s">
        <v>106</v>
      </c>
      <c r="L133" s="48" t="s">
        <v>535</v>
      </c>
    </row>
    <row r="134" spans="11:12" ht="15" customHeight="1" x14ac:dyDescent="0.3">
      <c r="K134" s="21" t="s">
        <v>107</v>
      </c>
      <c r="L134" s="48" t="s">
        <v>536</v>
      </c>
    </row>
    <row r="135" spans="11:12" ht="15" customHeight="1" x14ac:dyDescent="0.3">
      <c r="K135" s="22" t="s">
        <v>537</v>
      </c>
      <c r="L135" s="48" t="s">
        <v>538</v>
      </c>
    </row>
    <row r="136" spans="11:12" ht="15" customHeight="1" x14ac:dyDescent="0.3">
      <c r="K136" s="22" t="s">
        <v>539</v>
      </c>
      <c r="L136" s="48" t="s">
        <v>540</v>
      </c>
    </row>
    <row r="137" spans="11:12" ht="15" customHeight="1" x14ac:dyDescent="0.3">
      <c r="K137" s="21" t="s">
        <v>108</v>
      </c>
      <c r="L137" s="48" t="s">
        <v>541</v>
      </c>
    </row>
    <row r="138" spans="11:12" ht="15" customHeight="1" x14ac:dyDescent="0.3">
      <c r="K138" s="21" t="s">
        <v>109</v>
      </c>
      <c r="L138" s="48" t="s">
        <v>542</v>
      </c>
    </row>
    <row r="139" spans="11:12" ht="15" customHeight="1" x14ac:dyDescent="0.3">
      <c r="K139" s="21" t="s">
        <v>110</v>
      </c>
      <c r="L139" s="48" t="s">
        <v>543</v>
      </c>
    </row>
    <row r="140" spans="11:12" ht="15" customHeight="1" x14ac:dyDescent="0.3">
      <c r="K140" s="22" t="s">
        <v>544</v>
      </c>
      <c r="L140" s="48" t="s">
        <v>545</v>
      </c>
    </row>
    <row r="141" spans="11:12" ht="15" customHeight="1" x14ac:dyDescent="0.3">
      <c r="K141" s="22" t="s">
        <v>546</v>
      </c>
      <c r="L141" s="48" t="s">
        <v>547</v>
      </c>
    </row>
    <row r="142" spans="11:12" ht="15" customHeight="1" x14ac:dyDescent="0.3">
      <c r="K142" s="21" t="s">
        <v>111</v>
      </c>
      <c r="L142" s="48" t="s">
        <v>548</v>
      </c>
    </row>
    <row r="143" spans="11:12" ht="15" customHeight="1" x14ac:dyDescent="0.3">
      <c r="K143" s="21" t="s">
        <v>112</v>
      </c>
      <c r="L143" s="48" t="s">
        <v>549</v>
      </c>
    </row>
    <row r="144" spans="11:12" ht="15" customHeight="1" x14ac:dyDescent="0.3">
      <c r="K144" s="21" t="s">
        <v>113</v>
      </c>
      <c r="L144" s="48" t="s">
        <v>550</v>
      </c>
    </row>
    <row r="145" spans="11:12" ht="15" customHeight="1" x14ac:dyDescent="0.3">
      <c r="K145" s="22" t="s">
        <v>551</v>
      </c>
      <c r="L145" s="48" t="s">
        <v>552</v>
      </c>
    </row>
    <row r="146" spans="11:12" ht="15" customHeight="1" x14ac:dyDescent="0.3">
      <c r="K146" s="22" t="s">
        <v>553</v>
      </c>
      <c r="L146" s="48" t="s">
        <v>554</v>
      </c>
    </row>
    <row r="147" spans="11:12" ht="15" customHeight="1" x14ac:dyDescent="0.3">
      <c r="K147" s="21" t="s">
        <v>114</v>
      </c>
      <c r="L147" s="48" t="s">
        <v>555</v>
      </c>
    </row>
    <row r="148" spans="11:12" ht="15" customHeight="1" x14ac:dyDescent="0.3">
      <c r="K148" s="21" t="s">
        <v>115</v>
      </c>
      <c r="L148" s="48" t="s">
        <v>556</v>
      </c>
    </row>
    <row r="149" spans="11:12" ht="15" customHeight="1" x14ac:dyDescent="0.3">
      <c r="K149" s="21" t="s">
        <v>116</v>
      </c>
      <c r="L149" s="48" t="s">
        <v>557</v>
      </c>
    </row>
    <row r="150" spans="11:12" ht="15" customHeight="1" x14ac:dyDescent="0.3">
      <c r="K150" s="22" t="s">
        <v>558</v>
      </c>
      <c r="L150" s="48" t="s">
        <v>559</v>
      </c>
    </row>
    <row r="151" spans="11:12" ht="15" customHeight="1" x14ac:dyDescent="0.3">
      <c r="K151" s="22" t="s">
        <v>560</v>
      </c>
      <c r="L151" s="48" t="s">
        <v>561</v>
      </c>
    </row>
    <row r="152" spans="11:12" ht="15" customHeight="1" x14ac:dyDescent="0.3">
      <c r="K152" s="21" t="s">
        <v>117</v>
      </c>
      <c r="L152" s="48" t="s">
        <v>562</v>
      </c>
    </row>
    <row r="153" spans="11:12" ht="15" customHeight="1" x14ac:dyDescent="0.3">
      <c r="K153" s="21" t="s">
        <v>118</v>
      </c>
      <c r="L153" s="48" t="s">
        <v>563</v>
      </c>
    </row>
    <row r="154" spans="11:12" ht="15" customHeight="1" x14ac:dyDescent="0.3">
      <c r="K154" s="21" t="s">
        <v>119</v>
      </c>
      <c r="L154" s="48" t="s">
        <v>564</v>
      </c>
    </row>
    <row r="155" spans="11:12" ht="15" customHeight="1" x14ac:dyDescent="0.3">
      <c r="K155" s="22" t="s">
        <v>565</v>
      </c>
      <c r="L155" s="48" t="s">
        <v>566</v>
      </c>
    </row>
    <row r="156" spans="11:12" ht="15" customHeight="1" x14ac:dyDescent="0.3">
      <c r="K156" s="22" t="s">
        <v>567</v>
      </c>
      <c r="L156" s="48" t="s">
        <v>568</v>
      </c>
    </row>
    <row r="157" spans="11:12" ht="15" customHeight="1" x14ac:dyDescent="0.3">
      <c r="K157" s="21" t="s">
        <v>120</v>
      </c>
      <c r="L157" s="48" t="s">
        <v>569</v>
      </c>
    </row>
    <row r="158" spans="11:12" ht="15" customHeight="1" x14ac:dyDescent="0.3">
      <c r="K158" s="21" t="s">
        <v>121</v>
      </c>
      <c r="L158" s="48" t="s">
        <v>570</v>
      </c>
    </row>
    <row r="159" spans="11:12" ht="15" customHeight="1" x14ac:dyDescent="0.3">
      <c r="K159" s="21" t="s">
        <v>122</v>
      </c>
      <c r="L159" s="48" t="s">
        <v>571</v>
      </c>
    </row>
    <row r="160" spans="11:12" ht="15" customHeight="1" x14ac:dyDescent="0.3">
      <c r="K160" s="22" t="s">
        <v>572</v>
      </c>
      <c r="L160" s="48" t="s">
        <v>573</v>
      </c>
    </row>
    <row r="161" spans="11:12" ht="15" customHeight="1" x14ac:dyDescent="0.3">
      <c r="K161" s="22" t="s">
        <v>574</v>
      </c>
      <c r="L161" s="48" t="s">
        <v>575</v>
      </c>
    </row>
    <row r="162" spans="11:12" ht="15" customHeight="1" x14ac:dyDescent="0.3">
      <c r="K162" s="21" t="s">
        <v>123</v>
      </c>
      <c r="L162" s="48" t="s">
        <v>576</v>
      </c>
    </row>
    <row r="163" spans="11:12" ht="15" customHeight="1" x14ac:dyDescent="0.3">
      <c r="K163" s="21" t="s">
        <v>124</v>
      </c>
      <c r="L163" s="48" t="s">
        <v>577</v>
      </c>
    </row>
    <row r="164" spans="11:12" ht="15" customHeight="1" x14ac:dyDescent="0.3">
      <c r="K164" s="21" t="s">
        <v>125</v>
      </c>
      <c r="L164" s="48" t="s">
        <v>578</v>
      </c>
    </row>
    <row r="165" spans="11:12" ht="15" customHeight="1" x14ac:dyDescent="0.3">
      <c r="K165" s="22" t="s">
        <v>579</v>
      </c>
      <c r="L165" s="48" t="s">
        <v>580</v>
      </c>
    </row>
    <row r="166" spans="11:12" ht="15" customHeight="1" x14ac:dyDescent="0.3">
      <c r="K166" s="22" t="s">
        <v>581</v>
      </c>
      <c r="L166" s="48" t="s">
        <v>582</v>
      </c>
    </row>
    <row r="167" spans="11:12" ht="15" customHeight="1" x14ac:dyDescent="0.3">
      <c r="K167" s="21" t="s">
        <v>126</v>
      </c>
      <c r="L167" s="48" t="s">
        <v>583</v>
      </c>
    </row>
    <row r="168" spans="11:12" ht="15" customHeight="1" x14ac:dyDescent="0.3">
      <c r="K168" s="21" t="s">
        <v>127</v>
      </c>
      <c r="L168" s="48" t="s">
        <v>584</v>
      </c>
    </row>
    <row r="169" spans="11:12" ht="15" customHeight="1" x14ac:dyDescent="0.3">
      <c r="K169" s="21" t="s">
        <v>128</v>
      </c>
      <c r="L169" s="48" t="s">
        <v>585</v>
      </c>
    </row>
    <row r="170" spans="11:12" ht="15" customHeight="1" x14ac:dyDescent="0.3">
      <c r="K170" s="22" t="s">
        <v>586</v>
      </c>
      <c r="L170" s="48" t="s">
        <v>587</v>
      </c>
    </row>
    <row r="171" spans="11:12" ht="15" customHeight="1" x14ac:dyDescent="0.3">
      <c r="K171" s="22" t="s">
        <v>588</v>
      </c>
      <c r="L171" s="48" t="s">
        <v>589</v>
      </c>
    </row>
    <row r="172" spans="11:12" ht="15" customHeight="1" x14ac:dyDescent="0.3">
      <c r="K172" s="21" t="s">
        <v>129</v>
      </c>
      <c r="L172" s="48" t="s">
        <v>590</v>
      </c>
    </row>
    <row r="173" spans="11:12" ht="15" customHeight="1" x14ac:dyDescent="0.3">
      <c r="K173" s="21" t="s">
        <v>130</v>
      </c>
      <c r="L173" s="48" t="s">
        <v>591</v>
      </c>
    </row>
    <row r="174" spans="11:12" ht="15" customHeight="1" x14ac:dyDescent="0.3">
      <c r="K174" s="21" t="s">
        <v>131</v>
      </c>
      <c r="L174" s="48" t="s">
        <v>592</v>
      </c>
    </row>
    <row r="175" spans="11:12" ht="15" customHeight="1" x14ac:dyDescent="0.3">
      <c r="K175" s="22" t="s">
        <v>593</v>
      </c>
      <c r="L175" s="48" t="s">
        <v>594</v>
      </c>
    </row>
    <row r="176" spans="11:12" ht="15" customHeight="1" x14ac:dyDescent="0.3">
      <c r="K176" s="22" t="s">
        <v>595</v>
      </c>
      <c r="L176" s="48" t="s">
        <v>596</v>
      </c>
    </row>
    <row r="177" spans="11:12" ht="15" customHeight="1" x14ac:dyDescent="0.3">
      <c r="K177" s="21" t="s">
        <v>132</v>
      </c>
      <c r="L177" s="48" t="s">
        <v>597</v>
      </c>
    </row>
    <row r="178" spans="11:12" ht="15" customHeight="1" x14ac:dyDescent="0.3">
      <c r="K178" s="21" t="s">
        <v>133</v>
      </c>
      <c r="L178" s="48" t="s">
        <v>598</v>
      </c>
    </row>
    <row r="179" spans="11:12" ht="15" customHeight="1" x14ac:dyDescent="0.3">
      <c r="K179" s="23" t="s">
        <v>134</v>
      </c>
      <c r="L179" s="48" t="s">
        <v>599</v>
      </c>
    </row>
    <row r="180" spans="11:12" ht="15" customHeight="1" x14ac:dyDescent="0.3">
      <c r="K180" s="22" t="s">
        <v>600</v>
      </c>
      <c r="L180" s="48" t="s">
        <v>601</v>
      </c>
    </row>
    <row r="181" spans="11:12" ht="15" customHeight="1" x14ac:dyDescent="0.3">
      <c r="K181" s="22" t="s">
        <v>602</v>
      </c>
      <c r="L181" s="48" t="s">
        <v>603</v>
      </c>
    </row>
    <row r="182" spans="11:12" ht="15" customHeight="1" x14ac:dyDescent="0.3">
      <c r="K182" s="21" t="s">
        <v>135</v>
      </c>
      <c r="L182" s="48" t="s">
        <v>604</v>
      </c>
    </row>
    <row r="183" spans="11:12" ht="15" customHeight="1" x14ac:dyDescent="0.3">
      <c r="K183" s="21" t="s">
        <v>136</v>
      </c>
      <c r="L183" s="48" t="s">
        <v>605</v>
      </c>
    </row>
    <row r="184" spans="11:12" ht="15" customHeight="1" x14ac:dyDescent="0.3">
      <c r="K184" s="21" t="s">
        <v>137</v>
      </c>
      <c r="L184" s="48" t="s">
        <v>606</v>
      </c>
    </row>
    <row r="185" spans="11:12" ht="15" customHeight="1" x14ac:dyDescent="0.3">
      <c r="K185" s="22" t="s">
        <v>607</v>
      </c>
      <c r="L185" s="48" t="s">
        <v>608</v>
      </c>
    </row>
    <row r="186" spans="11:12" ht="15" customHeight="1" x14ac:dyDescent="0.3">
      <c r="K186" s="22" t="s">
        <v>609</v>
      </c>
      <c r="L186" s="48" t="s">
        <v>610</v>
      </c>
    </row>
    <row r="187" spans="11:12" ht="15" customHeight="1" x14ac:dyDescent="0.3">
      <c r="K187" s="21" t="s">
        <v>138</v>
      </c>
      <c r="L187" s="48" t="s">
        <v>611</v>
      </c>
    </row>
    <row r="188" spans="11:12" ht="15" customHeight="1" x14ac:dyDescent="0.3">
      <c r="K188" s="24" t="s">
        <v>139</v>
      </c>
      <c r="L188" s="48" t="s">
        <v>612</v>
      </c>
    </row>
    <row r="189" spans="11:12" ht="15" customHeight="1" x14ac:dyDescent="0.3">
      <c r="K189" s="25" t="s">
        <v>140</v>
      </c>
      <c r="L189" s="48" t="s">
        <v>613</v>
      </c>
    </row>
    <row r="190" spans="11:12" ht="15" customHeight="1" x14ac:dyDescent="0.3">
      <c r="K190" s="24" t="s">
        <v>614</v>
      </c>
      <c r="L190" s="48" t="s">
        <v>615</v>
      </c>
    </row>
    <row r="191" spans="11:12" ht="15" customHeight="1" x14ac:dyDescent="0.3">
      <c r="K191" s="25" t="s">
        <v>616</v>
      </c>
      <c r="L191" s="48" t="s">
        <v>617</v>
      </c>
    </row>
    <row r="192" spans="11:12" ht="15" customHeight="1" x14ac:dyDescent="0.3">
      <c r="K192" s="24" t="s">
        <v>618</v>
      </c>
      <c r="L192" s="48" t="s">
        <v>619</v>
      </c>
    </row>
    <row r="193" spans="11:12" ht="15" customHeight="1" x14ac:dyDescent="0.3">
      <c r="K193" s="25" t="s">
        <v>620</v>
      </c>
      <c r="L193" s="48" t="s">
        <v>621</v>
      </c>
    </row>
    <row r="194" spans="11:12" ht="15" customHeight="1" x14ac:dyDescent="0.3">
      <c r="K194" s="24" t="s">
        <v>622</v>
      </c>
      <c r="L194" s="48" t="s">
        <v>623</v>
      </c>
    </row>
    <row r="195" spans="11:12" ht="15" customHeight="1" x14ac:dyDescent="0.3">
      <c r="K195" s="25" t="s">
        <v>624</v>
      </c>
      <c r="L195" s="48" t="s">
        <v>625</v>
      </c>
    </row>
    <row r="196" spans="11:12" ht="15" customHeight="1" x14ac:dyDescent="0.3">
      <c r="K196" s="24" t="s">
        <v>626</v>
      </c>
      <c r="L196" s="48" t="s">
        <v>627</v>
      </c>
    </row>
    <row r="197" spans="11:12" ht="15" customHeight="1" x14ac:dyDescent="0.3">
      <c r="K197" s="25" t="s">
        <v>628</v>
      </c>
      <c r="L197" s="48" t="s">
        <v>629</v>
      </c>
    </row>
    <row r="198" spans="11:12" ht="15" customHeight="1" x14ac:dyDescent="0.3">
      <c r="K198" s="24" t="s">
        <v>630</v>
      </c>
      <c r="L198" s="48" t="s">
        <v>631</v>
      </c>
    </row>
    <row r="199" spans="11:12" ht="15" customHeight="1" x14ac:dyDescent="0.3">
      <c r="K199" s="25" t="s">
        <v>632</v>
      </c>
      <c r="L199" s="48" t="s">
        <v>633</v>
      </c>
    </row>
    <row r="200" spans="11:12" ht="15" customHeight="1" x14ac:dyDescent="0.3">
      <c r="K200" s="24" t="s">
        <v>634</v>
      </c>
      <c r="L200" s="48" t="s">
        <v>635</v>
      </c>
    </row>
    <row r="201" spans="11:12" ht="15" customHeight="1" x14ac:dyDescent="0.3">
      <c r="K201" s="25" t="s">
        <v>636</v>
      </c>
      <c r="L201" s="48" t="s">
        <v>637</v>
      </c>
    </row>
    <row r="202" spans="11:12" ht="15" customHeight="1" x14ac:dyDescent="0.3">
      <c r="K202" s="24" t="s">
        <v>638</v>
      </c>
      <c r="L202" s="48" t="s">
        <v>639</v>
      </c>
    </row>
    <row r="203" spans="11:12" ht="15" customHeight="1" x14ac:dyDescent="0.3">
      <c r="K203" s="25" t="s">
        <v>640</v>
      </c>
      <c r="L203" s="48" t="s">
        <v>641</v>
      </c>
    </row>
    <row r="204" spans="11:12" ht="15" customHeight="1" x14ac:dyDescent="0.3">
      <c r="K204" s="24" t="s">
        <v>642</v>
      </c>
      <c r="L204" s="48" t="s">
        <v>643</v>
      </c>
    </row>
    <row r="205" spans="11:12" ht="15" customHeight="1" x14ac:dyDescent="0.3">
      <c r="K205" s="25" t="s">
        <v>644</v>
      </c>
      <c r="L205" s="48" t="s">
        <v>645</v>
      </c>
    </row>
    <row r="206" spans="11:12" ht="15" customHeight="1" x14ac:dyDescent="0.3">
      <c r="K206" s="24" t="s">
        <v>646</v>
      </c>
      <c r="L206" s="48" t="s">
        <v>647</v>
      </c>
    </row>
    <row r="207" spans="11:12" ht="15" customHeight="1" x14ac:dyDescent="0.3">
      <c r="K207" s="25" t="s">
        <v>648</v>
      </c>
      <c r="L207" s="48" t="s">
        <v>649</v>
      </c>
    </row>
    <row r="208" spans="11:12" ht="15" customHeight="1" x14ac:dyDescent="0.3">
      <c r="K208" s="24" t="s">
        <v>650</v>
      </c>
      <c r="L208" s="48" t="s">
        <v>651</v>
      </c>
    </row>
    <row r="209" spans="11:12" ht="15" customHeight="1" x14ac:dyDescent="0.3">
      <c r="K209" s="25" t="s">
        <v>652</v>
      </c>
      <c r="L209" s="48" t="s">
        <v>653</v>
      </c>
    </row>
    <row r="210" spans="11:12" ht="15" customHeight="1" x14ac:dyDescent="0.3">
      <c r="K210" s="24" t="s">
        <v>654</v>
      </c>
      <c r="L210" s="48" t="s">
        <v>655</v>
      </c>
    </row>
    <row r="211" spans="11:12" ht="15" customHeight="1" x14ac:dyDescent="0.3">
      <c r="K211" s="25" t="s">
        <v>656</v>
      </c>
      <c r="L211" s="48" t="s">
        <v>657</v>
      </c>
    </row>
    <row r="212" spans="11:12" ht="15" customHeight="1" x14ac:dyDescent="0.3">
      <c r="K212" s="24" t="s">
        <v>658</v>
      </c>
      <c r="L212" s="48" t="s">
        <v>659</v>
      </c>
    </row>
    <row r="213" spans="11:12" ht="15" customHeight="1" x14ac:dyDescent="0.3">
      <c r="K213" s="25" t="s">
        <v>660</v>
      </c>
      <c r="L213" s="48" t="s">
        <v>661</v>
      </c>
    </row>
    <row r="214" spans="11:12" ht="15" customHeight="1" x14ac:dyDescent="0.3">
      <c r="K214" s="24" t="s">
        <v>662</v>
      </c>
      <c r="L214" s="48" t="s">
        <v>663</v>
      </c>
    </row>
    <row r="215" spans="11:12" ht="15" customHeight="1" x14ac:dyDescent="0.3">
      <c r="K215" s="25" t="s">
        <v>664</v>
      </c>
      <c r="L215" s="48" t="s">
        <v>665</v>
      </c>
    </row>
    <row r="216" spans="11:12" ht="15" customHeight="1" x14ac:dyDescent="0.3">
      <c r="K216" s="24" t="s">
        <v>666</v>
      </c>
      <c r="L216" s="48" t="s">
        <v>667</v>
      </c>
    </row>
    <row r="217" spans="11:12" ht="15" customHeight="1" x14ac:dyDescent="0.3">
      <c r="K217" s="25" t="s">
        <v>668</v>
      </c>
      <c r="L217" s="48" t="s">
        <v>669</v>
      </c>
    </row>
    <row r="218" spans="11:12" ht="15" customHeight="1" x14ac:dyDescent="0.3">
      <c r="K218" s="26" t="s">
        <v>141</v>
      </c>
      <c r="L218" s="48" t="s">
        <v>670</v>
      </c>
    </row>
    <row r="219" spans="11:12" ht="15" customHeight="1" x14ac:dyDescent="0.3">
      <c r="K219" s="26" t="s">
        <v>142</v>
      </c>
      <c r="L219" s="48" t="s">
        <v>671</v>
      </c>
    </row>
    <row r="220" spans="11:12" ht="15" customHeight="1" x14ac:dyDescent="0.3">
      <c r="K220" s="27" t="s">
        <v>143</v>
      </c>
      <c r="L220" s="48" t="s">
        <v>672</v>
      </c>
    </row>
    <row r="221" spans="11:12" ht="15" customHeight="1" x14ac:dyDescent="0.3">
      <c r="K221" s="28" t="s">
        <v>673</v>
      </c>
      <c r="L221" s="48" t="s">
        <v>674</v>
      </c>
    </row>
    <row r="222" spans="11:12" ht="15" customHeight="1" x14ac:dyDescent="0.3">
      <c r="K222" s="29" t="s">
        <v>145</v>
      </c>
      <c r="L222" s="48" t="s">
        <v>675</v>
      </c>
    </row>
    <row r="223" spans="11:12" ht="15" customHeight="1" x14ac:dyDescent="0.3">
      <c r="K223" s="26" t="s">
        <v>146</v>
      </c>
      <c r="L223" s="48" t="s">
        <v>676</v>
      </c>
    </row>
    <row r="224" spans="11:12" ht="15" customHeight="1" x14ac:dyDescent="0.3">
      <c r="K224" s="26" t="s">
        <v>147</v>
      </c>
      <c r="L224" s="48" t="s">
        <v>677</v>
      </c>
    </row>
    <row r="225" spans="11:12" ht="15" customHeight="1" x14ac:dyDescent="0.3">
      <c r="K225" s="27" t="s">
        <v>678</v>
      </c>
      <c r="L225" s="48" t="s">
        <v>679</v>
      </c>
    </row>
    <row r="226" spans="11:12" ht="15" customHeight="1" x14ac:dyDescent="0.3">
      <c r="K226" s="28" t="s">
        <v>680</v>
      </c>
      <c r="L226" s="48" t="s">
        <v>681</v>
      </c>
    </row>
    <row r="227" spans="11:12" ht="15" customHeight="1" x14ac:dyDescent="0.3">
      <c r="K227" s="29" t="s">
        <v>148</v>
      </c>
      <c r="L227" s="48" t="s">
        <v>682</v>
      </c>
    </row>
    <row r="228" spans="11:12" ht="15" customHeight="1" x14ac:dyDescent="0.3">
      <c r="K228" s="26" t="s">
        <v>149</v>
      </c>
      <c r="L228" s="48" t="s">
        <v>683</v>
      </c>
    </row>
    <row r="229" spans="11:12" ht="15" customHeight="1" x14ac:dyDescent="0.3">
      <c r="K229" s="26" t="s">
        <v>150</v>
      </c>
      <c r="L229" s="48" t="s">
        <v>684</v>
      </c>
    </row>
    <row r="230" spans="11:12" ht="15" customHeight="1" x14ac:dyDescent="0.3">
      <c r="K230" s="27" t="s">
        <v>685</v>
      </c>
      <c r="L230" s="48" t="s">
        <v>686</v>
      </c>
    </row>
    <row r="231" spans="11:12" ht="15" customHeight="1" x14ac:dyDescent="0.3">
      <c r="K231" s="28" t="s">
        <v>687</v>
      </c>
      <c r="L231" s="48" t="s">
        <v>688</v>
      </c>
    </row>
    <row r="232" spans="11:12" ht="15" customHeight="1" x14ac:dyDescent="0.3">
      <c r="K232" s="29" t="s">
        <v>151</v>
      </c>
      <c r="L232" s="48" t="s">
        <v>689</v>
      </c>
    </row>
    <row r="233" spans="11:12" ht="15" customHeight="1" x14ac:dyDescent="0.3">
      <c r="K233" s="26" t="s">
        <v>152</v>
      </c>
      <c r="L233" s="48" t="s">
        <v>690</v>
      </c>
    </row>
    <row r="234" spans="11:12" ht="15" customHeight="1" x14ac:dyDescent="0.3">
      <c r="K234" s="26" t="s">
        <v>153</v>
      </c>
      <c r="L234" s="48" t="s">
        <v>691</v>
      </c>
    </row>
    <row r="235" spans="11:12" ht="15" customHeight="1" x14ac:dyDescent="0.3">
      <c r="K235" s="27" t="s">
        <v>692</v>
      </c>
      <c r="L235" s="48" t="s">
        <v>693</v>
      </c>
    </row>
    <row r="236" spans="11:12" ht="15" customHeight="1" x14ac:dyDescent="0.3">
      <c r="K236" s="28" t="s">
        <v>694</v>
      </c>
      <c r="L236" s="48" t="s">
        <v>695</v>
      </c>
    </row>
    <row r="237" spans="11:12" ht="15" customHeight="1" x14ac:dyDescent="0.3">
      <c r="K237" s="29" t="s">
        <v>154</v>
      </c>
      <c r="L237" s="48" t="s">
        <v>696</v>
      </c>
    </row>
    <row r="238" spans="11:12" ht="15" customHeight="1" x14ac:dyDescent="0.3">
      <c r="K238" s="26" t="s">
        <v>155</v>
      </c>
      <c r="L238" s="48" t="s">
        <v>697</v>
      </c>
    </row>
    <row r="239" spans="11:12" ht="15" customHeight="1" x14ac:dyDescent="0.3">
      <c r="K239" s="26" t="s">
        <v>156</v>
      </c>
      <c r="L239" s="48" t="s">
        <v>259</v>
      </c>
    </row>
    <row r="240" spans="11:12" ht="15" customHeight="1" x14ac:dyDescent="0.3">
      <c r="K240" s="27" t="s">
        <v>698</v>
      </c>
      <c r="L240" s="48" t="s">
        <v>699</v>
      </c>
    </row>
    <row r="241" spans="11:12" ht="15" customHeight="1" x14ac:dyDescent="0.3">
      <c r="K241" s="28" t="s">
        <v>700</v>
      </c>
      <c r="L241" s="48" t="s">
        <v>701</v>
      </c>
    </row>
    <row r="242" spans="11:12" ht="15" customHeight="1" x14ac:dyDescent="0.3">
      <c r="K242" s="29" t="s">
        <v>157</v>
      </c>
      <c r="L242" s="48" t="s">
        <v>702</v>
      </c>
    </row>
    <row r="243" spans="11:12" ht="15" customHeight="1" x14ac:dyDescent="0.3">
      <c r="K243" s="26" t="s">
        <v>158</v>
      </c>
      <c r="L243" s="48" t="s">
        <v>703</v>
      </c>
    </row>
    <row r="244" spans="11:12" ht="15" customHeight="1" x14ac:dyDescent="0.3">
      <c r="K244" s="26" t="s">
        <v>159</v>
      </c>
      <c r="L244" s="48" t="s">
        <v>704</v>
      </c>
    </row>
    <row r="245" spans="11:12" ht="15" customHeight="1" x14ac:dyDescent="0.3">
      <c r="K245" s="27" t="s">
        <v>705</v>
      </c>
      <c r="L245" s="48" t="s">
        <v>706</v>
      </c>
    </row>
    <row r="246" spans="11:12" ht="15" customHeight="1" x14ac:dyDescent="0.3">
      <c r="K246" s="28" t="s">
        <v>707</v>
      </c>
      <c r="L246" s="48" t="s">
        <v>708</v>
      </c>
    </row>
    <row r="247" spans="11:12" ht="15" customHeight="1" x14ac:dyDescent="0.3">
      <c r="K247" s="29" t="s">
        <v>160</v>
      </c>
      <c r="L247" s="48" t="s">
        <v>709</v>
      </c>
    </row>
    <row r="248" spans="11:12" ht="15" customHeight="1" x14ac:dyDescent="0.3">
      <c r="K248" s="26" t="s">
        <v>161</v>
      </c>
      <c r="L248" s="48" t="s">
        <v>710</v>
      </c>
    </row>
    <row r="249" spans="11:12" ht="15" customHeight="1" x14ac:dyDescent="0.3">
      <c r="K249" s="26" t="s">
        <v>162</v>
      </c>
      <c r="L249" s="48" t="s">
        <v>711</v>
      </c>
    </row>
    <row r="250" spans="11:12" ht="15" customHeight="1" x14ac:dyDescent="0.3">
      <c r="K250" s="27" t="s">
        <v>712</v>
      </c>
      <c r="L250" s="48" t="s">
        <v>713</v>
      </c>
    </row>
    <row r="251" spans="11:12" ht="15" customHeight="1" x14ac:dyDescent="0.3">
      <c r="K251" s="28" t="s">
        <v>714</v>
      </c>
      <c r="L251" s="48" t="s">
        <v>715</v>
      </c>
    </row>
    <row r="252" spans="11:12" ht="15" customHeight="1" x14ac:dyDescent="0.3">
      <c r="K252" s="29" t="s">
        <v>163</v>
      </c>
      <c r="L252" s="48" t="s">
        <v>716</v>
      </c>
    </row>
    <row r="253" spans="11:12" ht="15" customHeight="1" x14ac:dyDescent="0.3">
      <c r="K253" s="26" t="s">
        <v>164</v>
      </c>
      <c r="L253" s="48" t="s">
        <v>717</v>
      </c>
    </row>
    <row r="254" spans="11:12" ht="15" customHeight="1" x14ac:dyDescent="0.3">
      <c r="K254" s="26" t="s">
        <v>165</v>
      </c>
      <c r="L254" s="48" t="s">
        <v>718</v>
      </c>
    </row>
    <row r="255" spans="11:12" ht="15" customHeight="1" x14ac:dyDescent="0.3">
      <c r="K255" s="27" t="s">
        <v>719</v>
      </c>
      <c r="L255" s="48" t="s">
        <v>720</v>
      </c>
    </row>
    <row r="256" spans="11:12" ht="15" customHeight="1" x14ac:dyDescent="0.3">
      <c r="K256" s="28" t="s">
        <v>721</v>
      </c>
      <c r="L256" s="48" t="s">
        <v>722</v>
      </c>
    </row>
    <row r="257" spans="11:12" ht="15" customHeight="1" x14ac:dyDescent="0.3">
      <c r="K257" s="29" t="s">
        <v>166</v>
      </c>
      <c r="L257" s="48" t="s">
        <v>723</v>
      </c>
    </row>
    <row r="258" spans="11:12" ht="15" customHeight="1" x14ac:dyDescent="0.3">
      <c r="K258" s="26" t="s">
        <v>167</v>
      </c>
      <c r="L258" s="48" t="s">
        <v>724</v>
      </c>
    </row>
    <row r="259" spans="11:12" ht="15" customHeight="1" x14ac:dyDescent="0.3">
      <c r="K259" s="26" t="s">
        <v>168</v>
      </c>
      <c r="L259" s="48" t="s">
        <v>725</v>
      </c>
    </row>
    <row r="260" spans="11:12" ht="15" customHeight="1" x14ac:dyDescent="0.3">
      <c r="K260" s="27" t="s">
        <v>726</v>
      </c>
      <c r="L260" s="48" t="s">
        <v>727</v>
      </c>
    </row>
    <row r="261" spans="11:12" ht="15" customHeight="1" x14ac:dyDescent="0.3">
      <c r="K261" s="28" t="s">
        <v>728</v>
      </c>
      <c r="L261" s="48" t="s">
        <v>729</v>
      </c>
    </row>
    <row r="262" spans="11:12" ht="15" customHeight="1" x14ac:dyDescent="0.3">
      <c r="K262" s="29" t="s">
        <v>169</v>
      </c>
      <c r="L262" s="48" t="s">
        <v>730</v>
      </c>
    </row>
    <row r="263" spans="11:12" ht="15" customHeight="1" x14ac:dyDescent="0.3">
      <c r="K263" s="26" t="s">
        <v>170</v>
      </c>
      <c r="L263" s="48" t="s">
        <v>731</v>
      </c>
    </row>
    <row r="264" spans="11:12" ht="15" customHeight="1" x14ac:dyDescent="0.3">
      <c r="K264" s="26" t="s">
        <v>171</v>
      </c>
      <c r="L264" s="48" t="s">
        <v>732</v>
      </c>
    </row>
    <row r="265" spans="11:12" ht="15" customHeight="1" x14ac:dyDescent="0.3">
      <c r="K265" s="27" t="s">
        <v>733</v>
      </c>
      <c r="L265" s="48" t="s">
        <v>734</v>
      </c>
    </row>
    <row r="266" spans="11:12" ht="15" customHeight="1" x14ac:dyDescent="0.3">
      <c r="K266" s="28" t="s">
        <v>735</v>
      </c>
      <c r="L266" s="48" t="s">
        <v>736</v>
      </c>
    </row>
    <row r="267" spans="11:12" ht="15" customHeight="1" x14ac:dyDescent="0.3">
      <c r="K267" s="29" t="s">
        <v>172</v>
      </c>
      <c r="L267" s="48" t="s">
        <v>737</v>
      </c>
    </row>
    <row r="268" spans="11:12" ht="15" customHeight="1" x14ac:dyDescent="0.3">
      <c r="K268" s="26" t="s">
        <v>173</v>
      </c>
      <c r="L268" s="48" t="s">
        <v>738</v>
      </c>
    </row>
    <row r="269" spans="11:12" ht="15" customHeight="1" x14ac:dyDescent="0.3">
      <c r="K269" s="26" t="s">
        <v>174</v>
      </c>
      <c r="L269" s="48" t="s">
        <v>739</v>
      </c>
    </row>
    <row r="270" spans="11:12" ht="15" customHeight="1" x14ac:dyDescent="0.3">
      <c r="K270" s="27" t="s">
        <v>740</v>
      </c>
      <c r="L270" s="48" t="s">
        <v>741</v>
      </c>
    </row>
    <row r="271" spans="11:12" ht="15" customHeight="1" x14ac:dyDescent="0.3">
      <c r="K271" s="28" t="s">
        <v>742</v>
      </c>
      <c r="L271" s="48" t="s">
        <v>743</v>
      </c>
    </row>
    <row r="272" spans="11:12" ht="15" customHeight="1" x14ac:dyDescent="0.3">
      <c r="K272" s="29" t="s">
        <v>175</v>
      </c>
      <c r="L272" s="48" t="s">
        <v>744</v>
      </c>
    </row>
    <row r="273" spans="11:12" ht="15" customHeight="1" x14ac:dyDescent="0.3">
      <c r="K273" s="26" t="s">
        <v>176</v>
      </c>
      <c r="L273" s="48" t="s">
        <v>745</v>
      </c>
    </row>
    <row r="274" spans="11:12" ht="15" customHeight="1" x14ac:dyDescent="0.3">
      <c r="K274" s="26" t="s">
        <v>177</v>
      </c>
      <c r="L274" s="48" t="s">
        <v>746</v>
      </c>
    </row>
    <row r="275" spans="11:12" ht="15" customHeight="1" x14ac:dyDescent="0.3">
      <c r="K275" s="27" t="s">
        <v>747</v>
      </c>
      <c r="L275" s="48" t="s">
        <v>748</v>
      </c>
    </row>
    <row r="276" spans="11:12" ht="15" customHeight="1" x14ac:dyDescent="0.3">
      <c r="K276" s="28" t="s">
        <v>749</v>
      </c>
      <c r="L276" s="48" t="s">
        <v>750</v>
      </c>
    </row>
    <row r="277" spans="11:12" ht="15" customHeight="1" x14ac:dyDescent="0.3">
      <c r="K277" s="29" t="s">
        <v>178</v>
      </c>
      <c r="L277" s="48" t="s">
        <v>751</v>
      </c>
    </row>
    <row r="278" spans="11:12" ht="15" customHeight="1" x14ac:dyDescent="0.3">
      <c r="K278" s="26" t="s">
        <v>179</v>
      </c>
      <c r="L278" s="48" t="s">
        <v>752</v>
      </c>
    </row>
    <row r="279" spans="11:12" ht="15" customHeight="1" x14ac:dyDescent="0.3">
      <c r="K279" s="26" t="s">
        <v>180</v>
      </c>
      <c r="L279" s="48" t="s">
        <v>753</v>
      </c>
    </row>
    <row r="280" spans="11:12" ht="15" customHeight="1" x14ac:dyDescent="0.3">
      <c r="K280" s="27" t="s">
        <v>754</v>
      </c>
      <c r="L280" s="48" t="s">
        <v>755</v>
      </c>
    </row>
    <row r="281" spans="11:12" ht="15" customHeight="1" x14ac:dyDescent="0.3">
      <c r="K281" s="28" t="s">
        <v>756</v>
      </c>
      <c r="L281" s="48" t="s">
        <v>757</v>
      </c>
    </row>
    <row r="282" spans="11:12" ht="15" customHeight="1" x14ac:dyDescent="0.3">
      <c r="K282" s="29" t="s">
        <v>181</v>
      </c>
      <c r="L282" s="48" t="s">
        <v>758</v>
      </c>
    </row>
    <row r="283" spans="11:12" ht="15" customHeight="1" x14ac:dyDescent="0.3">
      <c r="K283" s="26" t="s">
        <v>182</v>
      </c>
      <c r="L283" s="48" t="s">
        <v>759</v>
      </c>
    </row>
    <row r="284" spans="11:12" ht="15" customHeight="1" x14ac:dyDescent="0.3">
      <c r="K284" s="26" t="s">
        <v>183</v>
      </c>
      <c r="L284" s="48" t="s">
        <v>760</v>
      </c>
    </row>
    <row r="285" spans="11:12" ht="15" customHeight="1" x14ac:dyDescent="0.3">
      <c r="K285" s="27" t="s">
        <v>761</v>
      </c>
      <c r="L285" s="48" t="s">
        <v>762</v>
      </c>
    </row>
    <row r="286" spans="11:12" ht="15" customHeight="1" x14ac:dyDescent="0.3">
      <c r="K286" s="28" t="s">
        <v>763</v>
      </c>
      <c r="L286" s="48" t="s">
        <v>764</v>
      </c>
    </row>
    <row r="287" spans="11:12" ht="15" customHeight="1" x14ac:dyDescent="0.3">
      <c r="K287" s="29" t="s">
        <v>184</v>
      </c>
      <c r="L287" s="48" t="s">
        <v>765</v>
      </c>
    </row>
    <row r="288" spans="11:12" ht="15" customHeight="1" x14ac:dyDescent="0.3">
      <c r="K288" s="30" t="s">
        <v>185</v>
      </c>
      <c r="L288" s="48" t="s">
        <v>766</v>
      </c>
    </row>
    <row r="289" spans="11:12" ht="15" customHeight="1" x14ac:dyDescent="0.3">
      <c r="K289" s="26" t="s">
        <v>186</v>
      </c>
      <c r="L289" s="48" t="s">
        <v>767</v>
      </c>
    </row>
    <row r="290" spans="11:12" ht="15" customHeight="1" x14ac:dyDescent="0.3">
      <c r="K290" s="27" t="s">
        <v>768</v>
      </c>
      <c r="L290" s="48" t="s">
        <v>769</v>
      </c>
    </row>
    <row r="291" spans="11:12" ht="15" customHeight="1" x14ac:dyDescent="0.3">
      <c r="K291" s="28" t="s">
        <v>770</v>
      </c>
      <c r="L291" s="48" t="s">
        <v>771</v>
      </c>
    </row>
    <row r="292" spans="11:12" ht="15" customHeight="1" x14ac:dyDescent="0.3">
      <c r="K292" s="29" t="s">
        <v>187</v>
      </c>
      <c r="L292" s="48" t="s">
        <v>772</v>
      </c>
    </row>
    <row r="293" spans="11:12" ht="15" customHeight="1" x14ac:dyDescent="0.3">
      <c r="K293" s="31" t="s">
        <v>188</v>
      </c>
      <c r="L293" s="48" t="s">
        <v>773</v>
      </c>
    </row>
    <row r="294" spans="11:12" ht="15" customHeight="1" x14ac:dyDescent="0.3">
      <c r="K294" s="32" t="s">
        <v>189</v>
      </c>
      <c r="L294" s="48" t="s">
        <v>774</v>
      </c>
    </row>
    <row r="295" spans="11:12" ht="15" customHeight="1" x14ac:dyDescent="0.3">
      <c r="K295" s="33" t="s">
        <v>190</v>
      </c>
      <c r="L295" s="48" t="s">
        <v>775</v>
      </c>
    </row>
    <row r="296" spans="11:12" ht="15" customHeight="1" x14ac:dyDescent="0.3">
      <c r="K296" s="34" t="s">
        <v>191</v>
      </c>
      <c r="L296" s="48" t="s">
        <v>776</v>
      </c>
    </row>
    <row r="297" spans="11:12" ht="15" customHeight="1" x14ac:dyDescent="0.3">
      <c r="K297" s="32" t="s">
        <v>192</v>
      </c>
      <c r="L297" s="48" t="s">
        <v>777</v>
      </c>
    </row>
    <row r="298" spans="11:12" ht="15" customHeight="1" x14ac:dyDescent="0.3">
      <c r="K298" s="32" t="s">
        <v>193</v>
      </c>
      <c r="L298" s="48" t="s">
        <v>778</v>
      </c>
    </row>
    <row r="299" spans="11:12" ht="15" customHeight="1" x14ac:dyDescent="0.3">
      <c r="K299" s="35" t="s">
        <v>779</v>
      </c>
      <c r="L299" s="48" t="s">
        <v>780</v>
      </c>
    </row>
    <row r="300" spans="11:12" ht="15" customHeight="1" x14ac:dyDescent="0.3">
      <c r="K300" s="36" t="s">
        <v>194</v>
      </c>
      <c r="L300" s="48" t="s">
        <v>781</v>
      </c>
    </row>
    <row r="301" spans="11:12" ht="15" customHeight="1" x14ac:dyDescent="0.3">
      <c r="K301" s="37" t="s">
        <v>195</v>
      </c>
      <c r="L301" s="48" t="s">
        <v>782</v>
      </c>
    </row>
    <row r="302" spans="11:12" ht="15" customHeight="1" x14ac:dyDescent="0.3">
      <c r="K302" s="52" t="s">
        <v>196</v>
      </c>
      <c r="L302" s="48" t="s">
        <v>783</v>
      </c>
    </row>
    <row r="303" spans="11:12" ht="15" customHeight="1" x14ac:dyDescent="0.3">
      <c r="K303" s="52" t="s">
        <v>784</v>
      </c>
      <c r="L303" s="48" t="s">
        <v>785</v>
      </c>
    </row>
    <row r="304" spans="11:12" ht="15" customHeight="1" x14ac:dyDescent="0.3">
      <c r="K304" s="52" t="s">
        <v>786</v>
      </c>
      <c r="L304" s="48" t="s">
        <v>787</v>
      </c>
    </row>
    <row r="305" spans="11:12" ht="15" customHeight="1" x14ac:dyDescent="0.3">
      <c r="K305" s="52" t="s">
        <v>788</v>
      </c>
      <c r="L305" s="48" t="s">
        <v>789</v>
      </c>
    </row>
    <row r="306" spans="11:12" ht="15" customHeight="1" x14ac:dyDescent="0.3">
      <c r="K306" s="52" t="s">
        <v>790</v>
      </c>
      <c r="L306" s="48" t="s">
        <v>791</v>
      </c>
    </row>
    <row r="307" spans="11:12" ht="15" customHeight="1" x14ac:dyDescent="0.3">
      <c r="K307" s="52" t="s">
        <v>792</v>
      </c>
      <c r="L307" s="48" t="s">
        <v>793</v>
      </c>
    </row>
    <row r="308" spans="11:12" ht="15" customHeight="1" x14ac:dyDescent="0.3">
      <c r="K308" s="52" t="s">
        <v>794</v>
      </c>
      <c r="L308" s="48" t="s">
        <v>795</v>
      </c>
    </row>
    <row r="309" spans="11:12" ht="15" customHeight="1" x14ac:dyDescent="0.3">
      <c r="K309" s="52" t="s">
        <v>796</v>
      </c>
      <c r="L309" s="48" t="s">
        <v>797</v>
      </c>
    </row>
    <row r="310" spans="11:12" ht="15" customHeight="1" x14ac:dyDescent="0.3">
      <c r="K310" s="52" t="s">
        <v>798</v>
      </c>
      <c r="L310" s="48" t="s">
        <v>799</v>
      </c>
    </row>
    <row r="311" spans="11:12" ht="15" customHeight="1" x14ac:dyDescent="0.3">
      <c r="K311" s="52" t="s">
        <v>800</v>
      </c>
      <c r="L311" s="48" t="s">
        <v>801</v>
      </c>
    </row>
    <row r="312" spans="11:12" ht="15" customHeight="1" x14ac:dyDescent="0.3">
      <c r="K312" s="52" t="s">
        <v>802</v>
      </c>
      <c r="L312" s="48" t="s">
        <v>803</v>
      </c>
    </row>
    <row r="313" spans="11:12" ht="15" customHeight="1" x14ac:dyDescent="0.3">
      <c r="K313" s="52" t="s">
        <v>804</v>
      </c>
      <c r="L313" s="48" t="s">
        <v>805</v>
      </c>
    </row>
    <row r="314" spans="11:12" ht="15" customHeight="1" x14ac:dyDescent="0.3">
      <c r="K314" s="52" t="s">
        <v>806</v>
      </c>
      <c r="L314" s="48" t="s">
        <v>807</v>
      </c>
    </row>
    <row r="315" spans="11:12" ht="15" customHeight="1" x14ac:dyDescent="0.3">
      <c r="K315" s="52" t="s">
        <v>808</v>
      </c>
      <c r="L315" s="48" t="s">
        <v>809</v>
      </c>
    </row>
    <row r="316" spans="11:12" ht="15" customHeight="1" x14ac:dyDescent="0.3">
      <c r="K316" s="52" t="s">
        <v>810</v>
      </c>
      <c r="L316" s="48" t="s">
        <v>811</v>
      </c>
    </row>
    <row r="317" spans="11:12" ht="15" customHeight="1" x14ac:dyDescent="0.3">
      <c r="K317" s="52" t="s">
        <v>812</v>
      </c>
      <c r="L317" s="48" t="s">
        <v>813</v>
      </c>
    </row>
    <row r="318" spans="11:12" ht="15" customHeight="1" x14ac:dyDescent="0.3">
      <c r="K318" s="52" t="s">
        <v>814</v>
      </c>
      <c r="L318" s="48" t="s">
        <v>815</v>
      </c>
    </row>
    <row r="319" spans="11:12" ht="15" customHeight="1" x14ac:dyDescent="0.3">
      <c r="K319" s="52" t="s">
        <v>816</v>
      </c>
      <c r="L319" s="48" t="s">
        <v>817</v>
      </c>
    </row>
    <row r="320" spans="11:12" ht="15" customHeight="1" x14ac:dyDescent="0.3">
      <c r="K320" s="52" t="s">
        <v>818</v>
      </c>
      <c r="L320" s="48" t="s">
        <v>819</v>
      </c>
    </row>
    <row r="321" spans="11:12" ht="15" customHeight="1" x14ac:dyDescent="0.3">
      <c r="K321" s="52" t="s">
        <v>197</v>
      </c>
      <c r="L321" s="48" t="s">
        <v>820</v>
      </c>
    </row>
    <row r="322" spans="11:12" ht="15" customHeight="1" x14ac:dyDescent="0.3">
      <c r="K322" s="52" t="s">
        <v>198</v>
      </c>
      <c r="L322" s="48" t="s">
        <v>821</v>
      </c>
    </row>
    <row r="323" spans="11:12" ht="15" customHeight="1" x14ac:dyDescent="0.3">
      <c r="K323" s="52" t="s">
        <v>199</v>
      </c>
      <c r="L323" s="48" t="s">
        <v>822</v>
      </c>
    </row>
    <row r="324" spans="11:12" ht="15" customHeight="1" x14ac:dyDescent="0.3">
      <c r="K324" s="52" t="s">
        <v>200</v>
      </c>
      <c r="L324" s="48" t="s">
        <v>823</v>
      </c>
    </row>
    <row r="325" spans="11:12" ht="15" customHeight="1" x14ac:dyDescent="0.3">
      <c r="K325" s="52" t="s">
        <v>201</v>
      </c>
      <c r="L325" s="48" t="s">
        <v>824</v>
      </c>
    </row>
    <row r="326" spans="11:12" ht="15" customHeight="1" x14ac:dyDescent="0.3">
      <c r="K326" s="52" t="s">
        <v>202</v>
      </c>
      <c r="L326" s="48" t="s">
        <v>825</v>
      </c>
    </row>
    <row r="327" spans="11:12" ht="15" customHeight="1" x14ac:dyDescent="0.3">
      <c r="K327" s="52" t="s">
        <v>203</v>
      </c>
      <c r="L327" s="48" t="s">
        <v>826</v>
      </c>
    </row>
    <row r="328" spans="11:12" ht="15" customHeight="1" x14ac:dyDescent="0.3">
      <c r="K328" s="52" t="s">
        <v>204</v>
      </c>
      <c r="L328" s="48" t="s">
        <v>827</v>
      </c>
    </row>
    <row r="329" spans="11:12" ht="15" customHeight="1" x14ac:dyDescent="0.3">
      <c r="K329" s="52" t="s">
        <v>205</v>
      </c>
      <c r="L329" s="48" t="s">
        <v>828</v>
      </c>
    </row>
    <row r="330" spans="11:12" ht="15" customHeight="1" x14ac:dyDescent="0.3">
      <c r="K330" s="52" t="s">
        <v>206</v>
      </c>
      <c r="L330" s="48" t="s">
        <v>829</v>
      </c>
    </row>
    <row r="331" spans="11:12" ht="15" customHeight="1" x14ac:dyDescent="0.3">
      <c r="K331" s="52" t="s">
        <v>830</v>
      </c>
      <c r="L331" s="48" t="s">
        <v>831</v>
      </c>
    </row>
    <row r="332" spans="11:12" ht="15" customHeight="1" x14ac:dyDescent="0.3">
      <c r="K332" s="52" t="s">
        <v>832</v>
      </c>
      <c r="L332" s="48" t="s">
        <v>833</v>
      </c>
    </row>
    <row r="333" spans="11:12" ht="15" customHeight="1" x14ac:dyDescent="0.3">
      <c r="K333" s="52" t="s">
        <v>834</v>
      </c>
      <c r="L333" s="48" t="s">
        <v>835</v>
      </c>
    </row>
    <row r="334" spans="11:12" ht="15" customHeight="1" x14ac:dyDescent="0.3">
      <c r="K334" s="52" t="s">
        <v>836</v>
      </c>
      <c r="L334" s="48" t="s">
        <v>837</v>
      </c>
    </row>
    <row r="335" spans="11:12" ht="15" customHeight="1" x14ac:dyDescent="0.3">
      <c r="K335" s="52" t="s">
        <v>838</v>
      </c>
      <c r="L335" s="48" t="s">
        <v>839</v>
      </c>
    </row>
    <row r="336" spans="11:12" ht="15" customHeight="1" x14ac:dyDescent="0.3">
      <c r="K336" s="52" t="s">
        <v>840</v>
      </c>
      <c r="L336" s="48" t="s">
        <v>841</v>
      </c>
    </row>
    <row r="337" spans="11:12" ht="15" customHeight="1" x14ac:dyDescent="0.3">
      <c r="K337" s="52" t="s">
        <v>842</v>
      </c>
      <c r="L337" s="48" t="s">
        <v>843</v>
      </c>
    </row>
    <row r="338" spans="11:12" ht="15" customHeight="1" x14ac:dyDescent="0.3">
      <c r="K338" s="52" t="s">
        <v>844</v>
      </c>
      <c r="L338" s="48" t="s">
        <v>845</v>
      </c>
    </row>
    <row r="339" spans="11:12" ht="15" customHeight="1" x14ac:dyDescent="0.3">
      <c r="K339" s="52" t="s">
        <v>846</v>
      </c>
      <c r="L339" s="48" t="s">
        <v>847</v>
      </c>
    </row>
    <row r="340" spans="11:12" ht="15" customHeight="1" x14ac:dyDescent="0.3">
      <c r="K340" s="52" t="s">
        <v>848</v>
      </c>
      <c r="L340" s="48" t="s">
        <v>849</v>
      </c>
    </row>
    <row r="341" spans="11:12" ht="15" customHeight="1" x14ac:dyDescent="0.3">
      <c r="K341" s="52" t="s">
        <v>850</v>
      </c>
      <c r="L341" s="48" t="s">
        <v>851</v>
      </c>
    </row>
    <row r="342" spans="11:12" ht="15" customHeight="1" x14ac:dyDescent="0.3">
      <c r="K342" s="52" t="s">
        <v>852</v>
      </c>
      <c r="L342" s="48" t="s">
        <v>853</v>
      </c>
    </row>
    <row r="343" spans="11:12" ht="15" customHeight="1" x14ac:dyDescent="0.3">
      <c r="K343" s="52" t="s">
        <v>854</v>
      </c>
      <c r="L343" s="48" t="s">
        <v>855</v>
      </c>
    </row>
    <row r="344" spans="11:12" ht="15" customHeight="1" x14ac:dyDescent="0.3">
      <c r="K344" s="52" t="s">
        <v>856</v>
      </c>
      <c r="L344" s="48" t="s">
        <v>857</v>
      </c>
    </row>
    <row r="345" spans="11:12" ht="15" customHeight="1" x14ac:dyDescent="0.3">
      <c r="K345" s="52" t="s">
        <v>858</v>
      </c>
      <c r="L345" s="48" t="s">
        <v>859</v>
      </c>
    </row>
    <row r="346" spans="11:12" ht="15" customHeight="1" x14ac:dyDescent="0.3">
      <c r="K346" s="52" t="s">
        <v>860</v>
      </c>
      <c r="L346" s="48" t="s">
        <v>861</v>
      </c>
    </row>
    <row r="347" spans="11:12" ht="15" customHeight="1" x14ac:dyDescent="0.3">
      <c r="K347" s="52" t="s">
        <v>862</v>
      </c>
      <c r="L347" s="48" t="s">
        <v>863</v>
      </c>
    </row>
    <row r="348" spans="11:12" ht="15" customHeight="1" x14ac:dyDescent="0.3">
      <c r="K348" s="52" t="s">
        <v>864</v>
      </c>
      <c r="L348" s="48" t="s">
        <v>865</v>
      </c>
    </row>
    <row r="349" spans="11:12" ht="15" customHeight="1" x14ac:dyDescent="0.3">
      <c r="K349" s="52" t="s">
        <v>866</v>
      </c>
      <c r="L349" s="48" t="s">
        <v>867</v>
      </c>
    </row>
    <row r="350" spans="11:12" ht="15" customHeight="1" x14ac:dyDescent="0.3">
      <c r="K350" s="52" t="s">
        <v>868</v>
      </c>
      <c r="L350" s="48" t="s">
        <v>869</v>
      </c>
    </row>
    <row r="351" spans="11:12" ht="15" customHeight="1" x14ac:dyDescent="0.3">
      <c r="K351" s="52" t="s">
        <v>870</v>
      </c>
      <c r="L351" s="48" t="s">
        <v>871</v>
      </c>
    </row>
    <row r="352" spans="11:12" ht="15" customHeight="1" x14ac:dyDescent="0.3">
      <c r="K352" s="52" t="s">
        <v>872</v>
      </c>
      <c r="L352" s="48" t="s">
        <v>873</v>
      </c>
    </row>
    <row r="353" spans="11:12" ht="15" customHeight="1" x14ac:dyDescent="0.3">
      <c r="K353" s="52" t="s">
        <v>874</v>
      </c>
      <c r="L353" s="48" t="s">
        <v>875</v>
      </c>
    </row>
    <row r="354" spans="11:12" ht="15" customHeight="1" x14ac:dyDescent="0.3">
      <c r="K354" s="52" t="s">
        <v>876</v>
      </c>
      <c r="L354" s="48" t="s">
        <v>877</v>
      </c>
    </row>
    <row r="355" spans="11:12" ht="15" customHeight="1" x14ac:dyDescent="0.3">
      <c r="K355" s="52" t="s">
        <v>878</v>
      </c>
      <c r="L355" s="48" t="s">
        <v>879</v>
      </c>
    </row>
    <row r="356" spans="11:12" ht="15" customHeight="1" x14ac:dyDescent="0.3">
      <c r="K356" s="52" t="s">
        <v>880</v>
      </c>
      <c r="L356" s="48" t="s">
        <v>881</v>
      </c>
    </row>
    <row r="357" spans="11:12" ht="15" customHeight="1" x14ac:dyDescent="0.3">
      <c r="K357" s="52" t="s">
        <v>882</v>
      </c>
      <c r="L357" s="48" t="s">
        <v>883</v>
      </c>
    </row>
    <row r="358" spans="11:12" ht="15" customHeight="1" x14ac:dyDescent="0.3">
      <c r="K358" s="52" t="s">
        <v>884</v>
      </c>
      <c r="L358" s="48" t="s">
        <v>885</v>
      </c>
    </row>
    <row r="359" spans="11:12" ht="15" customHeight="1" x14ac:dyDescent="0.3">
      <c r="K359" s="52" t="s">
        <v>207</v>
      </c>
      <c r="L359" s="48" t="s">
        <v>274</v>
      </c>
    </row>
    <row r="360" spans="11:12" ht="15" customHeight="1" x14ac:dyDescent="0.3">
      <c r="K360" s="52" t="s">
        <v>886</v>
      </c>
      <c r="L360" s="48" t="s">
        <v>887</v>
      </c>
    </row>
    <row r="361" spans="11:12" ht="15" customHeight="1" x14ac:dyDescent="0.3">
      <c r="K361" s="52" t="s">
        <v>888</v>
      </c>
      <c r="L361" s="48" t="s">
        <v>889</v>
      </c>
    </row>
    <row r="362" spans="11:12" ht="15" customHeight="1" x14ac:dyDescent="0.3">
      <c r="K362" s="52" t="s">
        <v>890</v>
      </c>
      <c r="L362" s="48" t="s">
        <v>891</v>
      </c>
    </row>
    <row r="363" spans="11:12" ht="15" customHeight="1" x14ac:dyDescent="0.3">
      <c r="K363" s="52" t="s">
        <v>892</v>
      </c>
      <c r="L363" s="48" t="s">
        <v>893</v>
      </c>
    </row>
    <row r="364" spans="11:12" ht="15" customHeight="1" x14ac:dyDescent="0.3">
      <c r="K364" s="52" t="s">
        <v>894</v>
      </c>
      <c r="L364" s="48" t="s">
        <v>895</v>
      </c>
    </row>
    <row r="365" spans="11:12" ht="15" customHeight="1" x14ac:dyDescent="0.3">
      <c r="K365" s="52" t="s">
        <v>896</v>
      </c>
      <c r="L365" s="48" t="s">
        <v>897</v>
      </c>
    </row>
    <row r="366" spans="11:12" ht="15" customHeight="1" x14ac:dyDescent="0.3">
      <c r="K366" s="52" t="s">
        <v>898</v>
      </c>
      <c r="L366" s="48" t="s">
        <v>899</v>
      </c>
    </row>
    <row r="367" spans="11:12" ht="15" customHeight="1" x14ac:dyDescent="0.3">
      <c r="K367" s="52" t="s">
        <v>900</v>
      </c>
      <c r="L367" s="48" t="s">
        <v>901</v>
      </c>
    </row>
    <row r="368" spans="11:12" ht="15" customHeight="1" x14ac:dyDescent="0.3">
      <c r="K368" s="52" t="s">
        <v>902</v>
      </c>
      <c r="L368" s="48" t="s">
        <v>903</v>
      </c>
    </row>
    <row r="369" spans="11:12" ht="15" customHeight="1" x14ac:dyDescent="0.3">
      <c r="K369" s="52" t="s">
        <v>904</v>
      </c>
      <c r="L369" s="48" t="s">
        <v>905</v>
      </c>
    </row>
    <row r="370" spans="11:12" ht="15" customHeight="1" x14ac:dyDescent="0.3">
      <c r="K370" s="52" t="s">
        <v>906</v>
      </c>
      <c r="L370" s="48" t="s">
        <v>907</v>
      </c>
    </row>
    <row r="371" spans="11:12" ht="15" customHeight="1" x14ac:dyDescent="0.3">
      <c r="K371" s="52" t="s">
        <v>908</v>
      </c>
      <c r="L371" s="48" t="s">
        <v>909</v>
      </c>
    </row>
    <row r="372" spans="11:12" ht="15" customHeight="1" x14ac:dyDescent="0.3">
      <c r="K372" s="52" t="s">
        <v>910</v>
      </c>
      <c r="L372" s="48" t="s">
        <v>911</v>
      </c>
    </row>
    <row r="373" spans="11:12" ht="15" customHeight="1" x14ac:dyDescent="0.3">
      <c r="K373" s="52" t="s">
        <v>912</v>
      </c>
      <c r="L373" s="48" t="s">
        <v>913</v>
      </c>
    </row>
    <row r="374" spans="11:12" ht="15" customHeight="1" x14ac:dyDescent="0.3">
      <c r="K374" s="52" t="s">
        <v>208</v>
      </c>
      <c r="L374" s="48" t="s">
        <v>914</v>
      </c>
    </row>
    <row r="375" spans="11:12" ht="15" customHeight="1" x14ac:dyDescent="0.3">
      <c r="K375" s="52" t="s">
        <v>915</v>
      </c>
      <c r="L375" s="48" t="s">
        <v>916</v>
      </c>
    </row>
    <row r="376" spans="11:12" ht="15" customHeight="1" x14ac:dyDescent="0.3">
      <c r="K376" s="52" t="s">
        <v>917</v>
      </c>
      <c r="L376" s="48" t="s">
        <v>918</v>
      </c>
    </row>
    <row r="377" spans="11:12" ht="15" customHeight="1" x14ac:dyDescent="0.3">
      <c r="K377" s="52" t="s">
        <v>919</v>
      </c>
      <c r="L377" s="48" t="s">
        <v>920</v>
      </c>
    </row>
    <row r="378" spans="11:12" ht="15" customHeight="1" x14ac:dyDescent="0.3">
      <c r="K378" s="52" t="s">
        <v>921</v>
      </c>
      <c r="L378" s="48" t="s">
        <v>922</v>
      </c>
    </row>
    <row r="379" spans="11:12" ht="15" customHeight="1" x14ac:dyDescent="0.3">
      <c r="K379" s="52" t="s">
        <v>923</v>
      </c>
      <c r="L379" s="48" t="s">
        <v>924</v>
      </c>
    </row>
    <row r="380" spans="11:12" ht="15" customHeight="1" x14ac:dyDescent="0.3">
      <c r="K380" s="52" t="s">
        <v>925</v>
      </c>
      <c r="L380" s="48" t="s">
        <v>926</v>
      </c>
    </row>
    <row r="381" spans="11:12" ht="15" customHeight="1" x14ac:dyDescent="0.3">
      <c r="K381" s="52" t="s">
        <v>927</v>
      </c>
      <c r="L381" s="48" t="s">
        <v>928</v>
      </c>
    </row>
    <row r="382" spans="11:12" ht="15" customHeight="1" x14ac:dyDescent="0.3">
      <c r="K382" s="52" t="s">
        <v>929</v>
      </c>
      <c r="L382" s="51" t="s">
        <v>930</v>
      </c>
    </row>
    <row r="383" spans="11:12" ht="15" customHeight="1" x14ac:dyDescent="0.3">
      <c r="K383" s="52" t="s">
        <v>931</v>
      </c>
      <c r="L383" s="51" t="s">
        <v>932</v>
      </c>
    </row>
    <row r="384" spans="11:12" ht="15" customHeight="1" x14ac:dyDescent="0.3">
      <c r="K384" s="52" t="s">
        <v>933</v>
      </c>
      <c r="L384" s="51" t="s">
        <v>934</v>
      </c>
    </row>
    <row r="385" spans="11:12" ht="15" customHeight="1" x14ac:dyDescent="0.3">
      <c r="K385" s="52" t="s">
        <v>935</v>
      </c>
      <c r="L385" s="51" t="s">
        <v>241</v>
      </c>
    </row>
    <row r="386" spans="11:12" ht="15" customHeight="1" x14ac:dyDescent="0.3">
      <c r="K386" s="52" t="s">
        <v>936</v>
      </c>
      <c r="L386" s="51" t="s">
        <v>937</v>
      </c>
    </row>
    <row r="387" spans="11:12" ht="15" customHeight="1" x14ac:dyDescent="0.3">
      <c r="K387" s="52" t="s">
        <v>938</v>
      </c>
      <c r="L387" s="48" t="s">
        <v>939</v>
      </c>
    </row>
    <row r="388" spans="11:12" ht="15" customHeight="1" x14ac:dyDescent="0.3">
      <c r="K388" s="52" t="s">
        <v>940</v>
      </c>
      <c r="L388" s="48" t="s">
        <v>941</v>
      </c>
    </row>
    <row r="389" spans="11:12" ht="15" customHeight="1" x14ac:dyDescent="0.3">
      <c r="K389" s="52" t="s">
        <v>942</v>
      </c>
      <c r="L389" s="48" t="s">
        <v>943</v>
      </c>
    </row>
    <row r="390" spans="11:12" ht="15" customHeight="1" x14ac:dyDescent="0.3">
      <c r="K390" s="52" t="s">
        <v>944</v>
      </c>
      <c r="L390" s="48" t="s">
        <v>945</v>
      </c>
    </row>
    <row r="391" spans="11:12" ht="15" customHeight="1" x14ac:dyDescent="0.3">
      <c r="K391" s="52" t="s">
        <v>946</v>
      </c>
      <c r="L391" s="48" t="s">
        <v>947</v>
      </c>
    </row>
    <row r="392" spans="11:12" ht="15" customHeight="1" x14ac:dyDescent="0.3">
      <c r="K392" s="52" t="s">
        <v>948</v>
      </c>
      <c r="L392" s="48" t="s">
        <v>949</v>
      </c>
    </row>
    <row r="393" spans="11:12" ht="15" customHeight="1" x14ac:dyDescent="0.3">
      <c r="K393" s="52" t="s">
        <v>950</v>
      </c>
      <c r="L393" s="48" t="s">
        <v>951</v>
      </c>
    </row>
    <row r="394" spans="11:12" ht="15" customHeight="1" x14ac:dyDescent="0.3">
      <c r="K394" s="52" t="s">
        <v>952</v>
      </c>
      <c r="L394" s="48" t="s">
        <v>953</v>
      </c>
    </row>
    <row r="395" spans="11:12" ht="15" customHeight="1" x14ac:dyDescent="0.3">
      <c r="K395" s="52" t="s">
        <v>954</v>
      </c>
      <c r="L395" s="48" t="s">
        <v>955</v>
      </c>
    </row>
    <row r="396" spans="11:12" ht="15" customHeight="1" x14ac:dyDescent="0.3">
      <c r="K396" s="52" t="s">
        <v>956</v>
      </c>
      <c r="L396" s="48" t="s">
        <v>957</v>
      </c>
    </row>
    <row r="397" spans="11:12" ht="15" customHeight="1" x14ac:dyDescent="0.3">
      <c r="K397" s="52" t="s">
        <v>958</v>
      </c>
      <c r="L397" s="48" t="s">
        <v>959</v>
      </c>
    </row>
    <row r="398" spans="11:12" ht="15" customHeight="1" x14ac:dyDescent="0.3">
      <c r="K398" s="52" t="s">
        <v>960</v>
      </c>
      <c r="L398" s="48" t="s">
        <v>961</v>
      </c>
    </row>
    <row r="399" spans="11:12" ht="15" customHeight="1" x14ac:dyDescent="0.3">
      <c r="K399" s="52" t="s">
        <v>962</v>
      </c>
      <c r="L399" s="48" t="s">
        <v>963</v>
      </c>
    </row>
    <row r="400" spans="11:12" ht="15" customHeight="1" x14ac:dyDescent="0.3">
      <c r="K400" s="52" t="s">
        <v>964</v>
      </c>
      <c r="L400" s="48" t="s">
        <v>965</v>
      </c>
    </row>
    <row r="401" spans="11:12" ht="15" customHeight="1" x14ac:dyDescent="0.3">
      <c r="K401" s="52" t="s">
        <v>966</v>
      </c>
      <c r="L401" s="48" t="s">
        <v>967</v>
      </c>
    </row>
    <row r="402" spans="11:12" ht="15" customHeight="1" x14ac:dyDescent="0.3">
      <c r="K402" s="52" t="s">
        <v>968</v>
      </c>
      <c r="L402" s="48" t="s">
        <v>969</v>
      </c>
    </row>
    <row r="403" spans="11:12" ht="15" customHeight="1" x14ac:dyDescent="0.3">
      <c r="K403" s="52" t="s">
        <v>970</v>
      </c>
      <c r="L403" s="48" t="s">
        <v>971</v>
      </c>
    </row>
    <row r="404" spans="11:12" ht="15" customHeight="1" x14ac:dyDescent="0.3">
      <c r="K404" s="52" t="s">
        <v>210</v>
      </c>
      <c r="L404" s="48" t="s">
        <v>972</v>
      </c>
    </row>
    <row r="405" spans="11:12" ht="15" customHeight="1" x14ac:dyDescent="0.3">
      <c r="K405" s="52" t="s">
        <v>211</v>
      </c>
      <c r="L405" s="48" t="s">
        <v>973</v>
      </c>
    </row>
    <row r="406" spans="11:12" ht="15" customHeight="1" x14ac:dyDescent="0.3">
      <c r="K406" s="52" t="s">
        <v>212</v>
      </c>
      <c r="L406" s="48" t="s">
        <v>974</v>
      </c>
    </row>
    <row r="407" spans="11:12" ht="15" customHeight="1" x14ac:dyDescent="0.3">
      <c r="K407" s="52" t="s">
        <v>213</v>
      </c>
      <c r="L407" s="48" t="s">
        <v>975</v>
      </c>
    </row>
    <row r="408" spans="11:12" ht="15" customHeight="1" x14ac:dyDescent="0.3">
      <c r="K408" s="38" t="s">
        <v>214</v>
      </c>
      <c r="L408" s="51" t="s">
        <v>976</v>
      </c>
    </row>
    <row r="409" spans="11:12" ht="15" customHeight="1" x14ac:dyDescent="0.3">
      <c r="K409" s="39" t="s">
        <v>215</v>
      </c>
      <c r="L409" s="51" t="s">
        <v>977</v>
      </c>
    </row>
    <row r="410" spans="11:12" ht="15" customHeight="1" x14ac:dyDescent="0.3">
      <c r="K410" s="40" t="s">
        <v>216</v>
      </c>
      <c r="L410" s="51" t="s">
        <v>978</v>
      </c>
    </row>
    <row r="411" spans="11:12" ht="15" customHeight="1" x14ac:dyDescent="0.3">
      <c r="K411" s="41" t="s">
        <v>217</v>
      </c>
      <c r="L411" s="51" t="s">
        <v>979</v>
      </c>
    </row>
    <row r="412" spans="11:12" ht="15" customHeight="1" x14ac:dyDescent="0.3">
      <c r="K412" s="38" t="s">
        <v>218</v>
      </c>
      <c r="L412" s="51" t="s">
        <v>378</v>
      </c>
    </row>
    <row r="413" spans="11:12" ht="15" customHeight="1" x14ac:dyDescent="0.3">
      <c r="K413" s="39" t="s">
        <v>219</v>
      </c>
      <c r="L413" s="48" t="s">
        <v>980</v>
      </c>
    </row>
    <row r="414" spans="11:12" ht="15" customHeight="1" x14ac:dyDescent="0.3">
      <c r="L414"/>
    </row>
    <row r="415" spans="11:12" ht="15" customHeight="1" x14ac:dyDescent="0.3">
      <c r="L415"/>
    </row>
    <row r="416" spans="11:12" ht="15" customHeight="1" x14ac:dyDescent="0.3">
      <c r="L416"/>
    </row>
    <row r="417" spans="12:12" ht="15" customHeight="1" x14ac:dyDescent="0.3">
      <c r="L417"/>
    </row>
    <row r="418" spans="12:12" ht="15" customHeight="1" x14ac:dyDescent="0.3">
      <c r="L418"/>
    </row>
    <row r="419" spans="12:12" ht="15" customHeight="1" x14ac:dyDescent="0.3">
      <c r="L41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07C05-C9A6-4C50-93A5-43983AB37223}">
  <sheetPr codeName="Sheet2"/>
  <dimension ref="A1:C2"/>
  <sheetViews>
    <sheetView workbookViewId="0">
      <selection activeCell="C31" sqref="C31:C32"/>
    </sheetView>
  </sheetViews>
  <sheetFormatPr defaultRowHeight="12.5" x14ac:dyDescent="0.25"/>
  <cols>
    <col min="1" max="2" width="24.7265625" customWidth="1"/>
    <col min="3" max="3" width="80" customWidth="1"/>
  </cols>
  <sheetData>
    <row r="1" spans="1:3" x14ac:dyDescent="0.25">
      <c r="A1" s="178" t="s">
        <v>981</v>
      </c>
      <c r="B1" s="178" t="s">
        <v>982</v>
      </c>
      <c r="C1" s="178" t="s">
        <v>983</v>
      </c>
    </row>
    <row r="2" spans="1:3" x14ac:dyDescent="0.25">
      <c r="A2" s="178"/>
      <c r="B2" s="178"/>
      <c r="C2" s="178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6a8a4b19-784b-465e-aa35-6654f8f52060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99AE8192CFA24EB5A276D2676884B5" ma:contentTypeVersion="10" ma:contentTypeDescription="Create a new document." ma:contentTypeScope="" ma:versionID="fde96bac0649592f9c2aecf85e76ae14">
  <xsd:schema xmlns:xsd="http://www.w3.org/2001/XMLSchema" xmlns:xs="http://www.w3.org/2001/XMLSchema" xmlns:p="http://schemas.microsoft.com/office/2006/metadata/properties" xmlns:ns1="http://schemas.microsoft.com/sharepoint/v3" xmlns:ns3="6a8a4b19-784b-465e-aa35-6654f8f52060" xmlns:ns4="f0d2af39-04e3-4c1f-99f7-7eb11321dc22" targetNamespace="http://schemas.microsoft.com/office/2006/metadata/properties" ma:root="true" ma:fieldsID="9ff50973e0313944637720f1dfcd6fd1" ns1:_="" ns3:_="" ns4:_="">
    <xsd:import namespace="http://schemas.microsoft.com/sharepoint/v3"/>
    <xsd:import namespace="6a8a4b19-784b-465e-aa35-6654f8f52060"/>
    <xsd:import namespace="f0d2af39-04e3-4c1f-99f7-7eb11321d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1:_ip_UnifiedCompliancePolicyProperties" minOccurs="0"/>
                <xsd:element ref="ns1:_ip_UnifiedCompliancePolicyUIAction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8a4b19-784b-465e-aa35-6654f8f520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d2af39-04e3-4c1f-99f7-7eb11321d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scriptIds xmlns="http://schemas.microsoft.com/office/extensibility/maker/v1.0" id="script-ids-node-id">
  <scriptId id="ms-officescript%3A%2F%2Fonedrive_business_itemlink%2F012ERAAFIPR7THKCRDEBHZBLDGRK5ALCA7:ms-officescript%3A%2F%2Fonedrive_business_sharinglink%2Fu!aHR0cHM6Ly9uaHMtbXkuc2hhcmVwb2ludC5jb20vOnU6L2cvcGVyc29uYWwvYWhtYWRfYW1tYXNoX25oc19uZXQvSVFBUGotWjFDaU1nVDVDc1pvcTZCWWdmQWVEbVBjMHMzQ0VoVzZSeWF4blNyUmc"/>
</scriptId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B874BC-0900-4C36-868B-0545D46A914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8a4b19-784b-465e-aa35-6654f8f52060"/>
  </ds:schemaRefs>
</ds:datastoreItem>
</file>

<file path=customXml/itemProps2.xml><?xml version="1.0" encoding="utf-8"?>
<ds:datastoreItem xmlns:ds="http://schemas.openxmlformats.org/officeDocument/2006/customXml" ds:itemID="{C02D6F9F-713C-4C93-B164-C6F6139DC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a8a4b19-784b-465e-aa35-6654f8f52060"/>
    <ds:schemaRef ds:uri="f0d2af39-04e3-4c1f-99f7-7eb11321d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981ECE4-84AB-46B6-83CA-75A16CC16445}">
  <ds:schemaRefs>
    <ds:schemaRef ds:uri="http://schemas.microsoft.com/office/extensibility/maker/v1.0"/>
  </ds:schemaRefs>
</ds:datastoreItem>
</file>

<file path=customXml/itemProps4.xml><?xml version="1.0" encoding="utf-8"?>
<ds:datastoreItem xmlns:ds="http://schemas.openxmlformats.org/officeDocument/2006/customXml" ds:itemID="{5A7AE43B-5852-4D8B-BCB2-22A16787A2E9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EFGR 1 Follow up</vt:lpstr>
      <vt:lpstr>EFGR 1 Supplementary</vt:lpstr>
      <vt:lpstr>Calculations &amp; Lists</vt:lpstr>
      <vt:lpstr>TTE Error Log</vt:lpstr>
    </vt:vector>
  </TitlesOfParts>
  <Manager/>
  <Company>University of Leeds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Clare Freer</dc:creator>
  <cp:keywords/>
  <dc:description/>
  <cp:lastModifiedBy>Ahmad Ammash</cp:lastModifiedBy>
  <cp:revision/>
  <dcterms:created xsi:type="dcterms:W3CDTF">2022-11-11T10:11:47Z</dcterms:created>
  <dcterms:modified xsi:type="dcterms:W3CDTF">2026-10-22T09:44:40Z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0x0101003F99AE8192CFA24EB5A276D2676884B5</vt:lpwstr>
  </property>
</Properties>
</file>