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6.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codeName="ThisWorkbook"/>
  <mc:AlternateContent xmlns:mc="http://schemas.openxmlformats.org/markup-compatibility/2006">
    <mc:Choice Requires="x15">
      <x15ac:absPath xmlns:x15ac="http://schemas.microsoft.com/office/spreadsheetml/2010/11/ac" url="https://leeds365-my.sharepoint.com/personal/medaamm_leeds_ac_uk/Documents/UOL Data Manager/database_management/data_files/leeds_data/test_conversion/Endometrial/Endometrial Old Sheets/"/>
    </mc:Choice>
  </mc:AlternateContent>
  <xr:revisionPtr revIDLastSave="990" documentId="13_ncr:1_{0B6FB1E5-2E64-4C6D-9364-B9B6B108584C}" xr6:coauthVersionLast="47" xr6:coauthVersionMax="47" xr10:uidLastSave="{655F4C37-E655-4F4A-B90B-7AA9E9ECB315}"/>
  <bookViews>
    <workbookView xWindow="-110" yWindow="-110" windowWidth="38620" windowHeight="21820" firstSheet="6" activeTab="6" xr2:uid="{00000000-000D-0000-FFFF-FFFF00000000}"/>
  </bookViews>
  <sheets>
    <sheet name="Follow up (ship 1)" sheetId="1" r:id="rId1"/>
    <sheet name="Supplementary (ship 1)" sheetId="4" r:id="rId2"/>
    <sheet name="Follow up (ship 2)" sheetId="5" r:id="rId3"/>
    <sheet name="Supplementary (ship 2)" sheetId="7" r:id="rId4"/>
    <sheet name="Follow up (Ship 3)" sheetId="6" r:id="rId5"/>
    <sheet name="Ship 3 anonymized" sheetId="9" r:id="rId6"/>
    <sheet name="Supplementary (ship 3)" sheetId="8" r:id="rId7"/>
    <sheet name="Calculations &amp; Lists" sheetId="2" r:id="rId8"/>
    <sheet name="Treatments" sheetId="3"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9" l="1"/>
  <c r="AC2" i="9"/>
  <c r="H3" i="9"/>
  <c r="AC3" i="9"/>
  <c r="H4" i="9"/>
  <c r="AC4" i="9"/>
  <c r="H5" i="9"/>
  <c r="AC5" i="9"/>
  <c r="H6" i="9"/>
  <c r="AC6" i="9"/>
  <c r="AE5" i="6"/>
  <c r="AE6" i="6"/>
  <c r="AE7" i="6"/>
  <c r="AE8" i="6"/>
  <c r="AE4" i="6"/>
  <c r="AE5" i="5"/>
  <c r="AE6" i="5"/>
  <c r="AE7" i="5"/>
  <c r="AE8" i="5"/>
  <c r="AE9" i="5"/>
  <c r="AE10" i="5"/>
  <c r="AE11" i="5"/>
  <c r="AE12" i="5"/>
  <c r="AE13" i="5"/>
  <c r="AE14" i="5"/>
  <c r="AE15" i="5"/>
  <c r="AE16" i="5"/>
  <c r="AE17" i="5"/>
  <c r="AE18" i="5"/>
  <c r="AE19" i="5"/>
  <c r="AE20" i="5"/>
  <c r="AE21" i="5"/>
  <c r="AE22" i="5"/>
  <c r="AE23" i="5"/>
  <c r="AE24" i="5"/>
  <c r="AE25" i="5"/>
  <c r="AE26" i="5"/>
  <c r="AE27" i="5"/>
  <c r="AE28" i="5"/>
  <c r="AE29" i="5"/>
  <c r="AE30" i="5"/>
  <c r="AE31" i="5"/>
  <c r="AE32" i="5"/>
  <c r="AE33" i="5"/>
  <c r="AE34" i="5"/>
  <c r="AE35" i="5"/>
  <c r="AE36" i="5"/>
  <c r="AE37" i="5"/>
  <c r="AE38" i="5"/>
  <c r="AE39" i="5"/>
  <c r="AE40" i="5"/>
  <c r="AE41" i="5"/>
  <c r="AE42" i="5"/>
  <c r="AE43" i="5"/>
  <c r="AE44" i="5"/>
  <c r="AE45" i="5"/>
  <c r="AE46" i="5"/>
  <c r="AE47" i="5"/>
  <c r="AE48" i="5"/>
  <c r="AE49" i="5"/>
  <c r="AE50" i="5"/>
  <c r="AE51" i="5"/>
  <c r="AE52" i="5"/>
  <c r="AE53" i="5"/>
  <c r="AE54" i="5"/>
  <c r="AE55" i="5"/>
  <c r="AE56" i="5"/>
  <c r="AE57" i="5"/>
  <c r="AE58" i="5"/>
  <c r="AE59" i="5"/>
  <c r="AE60" i="5"/>
  <c r="AE61" i="5"/>
  <c r="AE62" i="5"/>
  <c r="AE63" i="5"/>
  <c r="AE64" i="5"/>
  <c r="AE65" i="5"/>
  <c r="AE66" i="5"/>
  <c r="AE67" i="5"/>
  <c r="AE68" i="5"/>
  <c r="AE69" i="5"/>
  <c r="AE70" i="5"/>
  <c r="AE71" i="5"/>
  <c r="AE72" i="5"/>
  <c r="AE73" i="5"/>
  <c r="AE74" i="5"/>
  <c r="AE75" i="5"/>
  <c r="AE76" i="5"/>
  <c r="AE77" i="5"/>
  <c r="AE78" i="5"/>
  <c r="AE79" i="5"/>
  <c r="AE80" i="5"/>
  <c r="AE81" i="5"/>
  <c r="AE82" i="5"/>
  <c r="AE83" i="5"/>
  <c r="AE84" i="5"/>
  <c r="AE85" i="5"/>
  <c r="AE86" i="5"/>
  <c r="AE87" i="5"/>
  <c r="AE88" i="5"/>
  <c r="AE89" i="5"/>
  <c r="AE90" i="5"/>
  <c r="AE91" i="5"/>
  <c r="AE92" i="5"/>
  <c r="AE4" i="5"/>
  <c r="NX4" i="6"/>
  <c r="NT4" i="6"/>
  <c r="NS4" i="6"/>
  <c r="NR4" i="6"/>
  <c r="NP4" i="6"/>
  <c r="NO4" i="6"/>
  <c r="NN4" i="6"/>
  <c r="NM4" i="6"/>
  <c r="NL4" i="6"/>
  <c r="NK4" i="6"/>
  <c r="NJ4" i="6"/>
  <c r="NI4" i="6"/>
  <c r="NH4" i="6"/>
  <c r="NG4" i="6"/>
  <c r="NF4" i="6"/>
  <c r="NE4" i="6"/>
  <c r="ND4" i="6"/>
  <c r="NC4" i="6"/>
  <c r="NB4" i="6"/>
  <c r="NA4" i="6"/>
  <c r="MZ4" i="6"/>
  <c r="MY4" i="6"/>
  <c r="MX4" i="6"/>
  <c r="MW4" i="6"/>
  <c r="MV4" i="6"/>
  <c r="MU4" i="6"/>
  <c r="MT4" i="6"/>
  <c r="MS4" i="6"/>
  <c r="MR4" i="6"/>
  <c r="MQ4" i="6"/>
  <c r="MP4" i="6"/>
  <c r="MO4" i="6"/>
  <c r="MN4" i="6"/>
  <c r="MM4" i="6"/>
  <c r="ML4" i="6"/>
  <c r="MK4" i="6"/>
  <c r="MJ4" i="6"/>
  <c r="MI4" i="6"/>
  <c r="MH4" i="6"/>
  <c r="MG4" i="6"/>
  <c r="MF4" i="6"/>
  <c r="ME4" i="6"/>
  <c r="MD4" i="6"/>
  <c r="MC4" i="6"/>
  <c r="MB4" i="6"/>
  <c r="MA4" i="6"/>
  <c r="LZ4" i="6"/>
  <c r="LY4" i="6"/>
  <c r="LX4" i="6"/>
  <c r="NQ4" i="6" s="1"/>
  <c r="LW4" i="6"/>
  <c r="LV4" i="6"/>
  <c r="LU4" i="6"/>
  <c r="LT4" i="6"/>
  <c r="LS4" i="6"/>
  <c r="LR4" i="6"/>
  <c r="LQ4" i="6"/>
  <c r="LP4" i="6"/>
  <c r="LO4" i="6"/>
  <c r="LN4" i="6"/>
  <c r="LM4" i="6"/>
  <c r="LL4" i="6"/>
  <c r="LK4" i="6"/>
  <c r="LJ4" i="6"/>
  <c r="LI4" i="6"/>
  <c r="LH4" i="6"/>
  <c r="LG4" i="6"/>
  <c r="LF4" i="6"/>
  <c r="LE4" i="6"/>
  <c r="LD4" i="6"/>
  <c r="LC4" i="6"/>
  <c r="LB4" i="6"/>
  <c r="LA4" i="6"/>
  <c r="KZ4" i="6"/>
  <c r="KY4" i="6"/>
  <c r="KX4" i="6"/>
  <c r="KW4" i="6"/>
  <c r="KV4" i="6"/>
  <c r="KU4" i="6"/>
  <c r="KT4" i="6"/>
  <c r="KS4" i="6"/>
  <c r="KR4" i="6"/>
  <c r="KQ4" i="6"/>
  <c r="KP4" i="6"/>
  <c r="KO4" i="6"/>
  <c r="KN4" i="6"/>
  <c r="KM4" i="6"/>
  <c r="KL4" i="6"/>
  <c r="KK4" i="6"/>
  <c r="KJ4" i="6"/>
  <c r="KI4" i="6"/>
  <c r="KH4" i="6"/>
  <c r="KG4" i="6"/>
  <c r="KF4" i="6"/>
  <c r="KE4" i="6"/>
  <c r="KD4" i="6"/>
  <c r="KC4" i="6"/>
  <c r="KB4" i="6"/>
  <c r="KA4" i="6"/>
  <c r="JZ4" i="6"/>
  <c r="JY4" i="6"/>
  <c r="JX4" i="6"/>
  <c r="JW4" i="6"/>
  <c r="JV4" i="6"/>
  <c r="JU4" i="6"/>
  <c r="NX4" i="5"/>
  <c r="NT4" i="5"/>
  <c r="NS4" i="5"/>
  <c r="NR4" i="5"/>
  <c r="NP4" i="5"/>
  <c r="NO4" i="5"/>
  <c r="NN4" i="5"/>
  <c r="NM4" i="5"/>
  <c r="NL4" i="5"/>
  <c r="NK4" i="5"/>
  <c r="NJ4" i="5"/>
  <c r="NI4" i="5"/>
  <c r="NH4" i="5"/>
  <c r="NG4" i="5"/>
  <c r="NF4" i="5"/>
  <c r="NE4" i="5"/>
  <c r="ND4" i="5"/>
  <c r="NC4" i="5"/>
  <c r="NB4" i="5"/>
  <c r="NA4" i="5"/>
  <c r="MZ4" i="5"/>
  <c r="MY4" i="5"/>
  <c r="MX4" i="5"/>
  <c r="MW4" i="5"/>
  <c r="MV4" i="5"/>
  <c r="MU4" i="5"/>
  <c r="MT4" i="5"/>
  <c r="MS4" i="5"/>
  <c r="MR4" i="5"/>
  <c r="MQ4" i="5"/>
  <c r="MP4" i="5"/>
  <c r="MO4" i="5"/>
  <c r="MN4" i="5"/>
  <c r="MM4" i="5"/>
  <c r="ML4" i="5"/>
  <c r="MK4" i="5"/>
  <c r="MJ4" i="5"/>
  <c r="MI4" i="5"/>
  <c r="MH4" i="5"/>
  <c r="MG4" i="5"/>
  <c r="MF4" i="5"/>
  <c r="ME4" i="5"/>
  <c r="MD4" i="5"/>
  <c r="MC4" i="5"/>
  <c r="MB4" i="5"/>
  <c r="MA4" i="5"/>
  <c r="LZ4" i="5"/>
  <c r="LY4" i="5"/>
  <c r="LX4" i="5"/>
  <c r="NQ4" i="5" s="1"/>
  <c r="LW4" i="5"/>
  <c r="LV4" i="5"/>
  <c r="LU4" i="5"/>
  <c r="LT4" i="5"/>
  <c r="LS4" i="5"/>
  <c r="LR4" i="5"/>
  <c r="LQ4" i="5"/>
  <c r="LP4" i="5"/>
  <c r="LO4" i="5"/>
  <c r="LN4" i="5"/>
  <c r="LM4" i="5"/>
  <c r="LL4" i="5"/>
  <c r="LK4" i="5"/>
  <c r="LJ4" i="5"/>
  <c r="LI4" i="5"/>
  <c r="LH4" i="5"/>
  <c r="LG4" i="5"/>
  <c r="LF4" i="5"/>
  <c r="LE4" i="5"/>
  <c r="LD4" i="5"/>
  <c r="LC4" i="5"/>
  <c r="LB4" i="5"/>
  <c r="LA4" i="5"/>
  <c r="KZ4" i="5"/>
  <c r="KY4" i="5"/>
  <c r="KX4" i="5"/>
  <c r="KW4" i="5"/>
  <c r="KV4" i="5"/>
  <c r="KU4" i="5"/>
  <c r="KT4" i="5"/>
  <c r="KS4" i="5"/>
  <c r="KR4" i="5"/>
  <c r="KQ4" i="5"/>
  <c r="KP4" i="5"/>
  <c r="KO4" i="5"/>
  <c r="KN4" i="5"/>
  <c r="KM4" i="5"/>
  <c r="KL4" i="5"/>
  <c r="KK4" i="5"/>
  <c r="KJ4" i="5"/>
  <c r="KI4" i="5"/>
  <c r="KH4" i="5"/>
  <c r="KG4" i="5"/>
  <c r="KF4" i="5"/>
  <c r="KE4" i="5"/>
  <c r="KD4" i="5"/>
  <c r="KC4" i="5"/>
  <c r="KB4" i="5"/>
  <c r="KA4" i="5"/>
  <c r="JZ4" i="5"/>
  <c r="JY4" i="5"/>
  <c r="JX4" i="5"/>
  <c r="JW4" i="5"/>
  <c r="JV4" i="5"/>
  <c r="JU4" i="5"/>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46" i="1"/>
  <c r="AE47" i="1"/>
  <c r="AE48" i="1"/>
  <c r="AE49" i="1"/>
  <c r="AE50" i="1"/>
  <c r="AE51" i="1"/>
  <c r="AE52" i="1"/>
  <c r="AE53"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 i="1"/>
  <c r="L5" i="2"/>
  <c r="L6" i="2"/>
  <c r="L7" i="2"/>
  <c r="L8" i="2"/>
  <c r="L9" i="2"/>
  <c r="L10" i="2"/>
  <c r="L11" i="2"/>
  <c r="L12" i="2"/>
  <c r="L13" i="2"/>
  <c r="L14"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4" i="2"/>
  <c r="NX4" i="1"/>
  <c r="NT4" i="1"/>
  <c r="NS4" i="1"/>
  <c r="NR4" i="1"/>
  <c r="NP4" i="1"/>
  <c r="NO4" i="1"/>
  <c r="NN4" i="1"/>
  <c r="NM4" i="1"/>
  <c r="NL4" i="1"/>
  <c r="NK4" i="1"/>
  <c r="NJ4" i="1"/>
  <c r="NI4" i="1"/>
  <c r="NH4" i="1"/>
  <c r="NG4" i="1"/>
  <c r="NF4" i="1"/>
  <c r="NE4" i="1"/>
  <c r="ND4" i="1"/>
  <c r="NC4" i="1"/>
  <c r="NB4" i="1"/>
  <c r="NA4" i="1"/>
  <c r="MZ4" i="1"/>
  <c r="MY4" i="1"/>
  <c r="MX4" i="1"/>
  <c r="MW4" i="1"/>
  <c r="MV4" i="1"/>
  <c r="MU4" i="1"/>
  <c r="MT4" i="1"/>
  <c r="MS4" i="1"/>
  <c r="MR4" i="1"/>
  <c r="MQ4" i="1"/>
  <c r="MP4" i="1"/>
  <c r="MO4" i="1"/>
  <c r="MN4" i="1"/>
  <c r="MM4" i="1"/>
  <c r="ML4" i="1"/>
  <c r="MK4" i="1"/>
  <c r="MJ4" i="1"/>
  <c r="MI4" i="1"/>
  <c r="MH4" i="1"/>
  <c r="MG4" i="1"/>
  <c r="MF4" i="1"/>
  <c r="ME4" i="1"/>
  <c r="MD4" i="1"/>
  <c r="MC4" i="1"/>
  <c r="MB4" i="1"/>
  <c r="MA4" i="1"/>
  <c r="LZ4" i="1"/>
  <c r="LY4" i="1"/>
  <c r="LX4" i="1"/>
  <c r="NQ4" i="1" s="1"/>
  <c r="LW4" i="1"/>
  <c r="LV4" i="1"/>
  <c r="LU4" i="1"/>
  <c r="LT4" i="1"/>
  <c r="LS4" i="1"/>
  <c r="LR4" i="1"/>
  <c r="LQ4" i="1"/>
  <c r="LP4" i="1"/>
  <c r="LO4" i="1"/>
  <c r="LN4" i="1"/>
  <c r="LM4" i="1"/>
  <c r="LL4" i="1"/>
  <c r="LK4" i="1"/>
  <c r="LJ4" i="1"/>
  <c r="LI4" i="1"/>
  <c r="LH4" i="1"/>
  <c r="LG4" i="1"/>
  <c r="LF4" i="1"/>
  <c r="LE4" i="1"/>
  <c r="LD4" i="1"/>
  <c r="LC4" i="1"/>
  <c r="LB4" i="1"/>
  <c r="LA4" i="1"/>
  <c r="KZ4" i="1"/>
  <c r="KY4" i="1"/>
  <c r="KX4" i="1"/>
  <c r="KW4" i="1"/>
  <c r="KV4" i="1"/>
  <c r="KU4" i="1"/>
  <c r="KT4" i="1"/>
  <c r="KR4" i="1"/>
  <c r="KQ4" i="1"/>
  <c r="KP4" i="1"/>
  <c r="KO4" i="1"/>
  <c r="KN4" i="1"/>
  <c r="KM4" i="1"/>
  <c r="KL4" i="1"/>
  <c r="KK4" i="1"/>
  <c r="KJ4" i="1"/>
  <c r="KI4" i="1"/>
  <c r="KH4" i="1"/>
  <c r="KG4" i="1"/>
  <c r="KF4" i="1"/>
  <c r="KE4" i="1"/>
  <c r="KD4" i="1"/>
  <c r="KC4" i="1"/>
  <c r="KB4" i="1"/>
  <c r="KA4" i="1"/>
  <c r="JZ4" i="1"/>
  <c r="JY4" i="1"/>
  <c r="JX4" i="1"/>
  <c r="JW4" i="1"/>
  <c r="JV4" i="1"/>
  <c r="JU4" i="1"/>
  <c r="KS4" i="1"/>
  <c r="NW4" i="6" l="1"/>
  <c r="NZ4" i="6" s="1"/>
  <c r="NV4" i="6" a="1"/>
  <c r="NY4" i="6"/>
  <c r="NU4" i="6"/>
  <c r="NW4" i="5"/>
  <c r="NZ4" i="5" s="1"/>
  <c r="NV4" i="5" a="1"/>
  <c r="NY4" i="5"/>
  <c r="NU4" i="5"/>
  <c r="NW4" i="1"/>
  <c r="NZ4" i="1" s="1"/>
  <c r="NV4" i="1" a="1"/>
  <c r="NY4" i="1"/>
  <c r="NU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tc={93DA5552-99E8-4A8A-B0EA-4307C3D928E0}</author>
    <author>tc={1F0A4C0D-D2F1-45F5-A2C7-93F48AFFE38E}</author>
    <author>tc={7B2265CD-0C12-40BB-97B9-27A05239D2DE}</author>
    <author>tc={28CEBB19-C70E-4D56-89C2-369B86EF73F5}</author>
    <author>tc={D4FE840D-3E16-4D22-ACA4-43BE295A3332}</author>
    <author>tc={28DB8576-656F-4111-B3C7-09DB6D6B82A9}</author>
    <author>tc={99E53430-5057-47E0-9CC6-12D094526C38}</author>
    <author>tc={CE44C29A-100C-4D22-BB28-2A393812D484}</author>
    <author>tc={B09693BC-FAF7-4F44-B4ED-90D59B9DE3E1}</author>
    <author>tc={EFDCF5C6-4838-409A-9CF4-9CC33E58E1D7}</author>
    <author>tc={65B41FBF-67E7-40B2-9A5C-56503C6A54E1}</author>
    <author>tc={648A89C0-8F1E-48B4-B750-FBC0FE55E5F8}</author>
  </authors>
  <commentList>
    <comment ref="C3" authorId="0" shapeId="0" xr:uid="{93DA5552-99E8-4A8A-B0EA-4307C3D928E0}">
      <text>
        <t>[Threaded comment]
Your version of Excel allows you to read this threaded comment; however, any edits to it will get removed if the file is opened in a newer version of Excel. Learn more: https://go.microsoft.com/fwlink/?linkid=870924
Comment:
    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
      </text>
    </comment>
    <comment ref="Q3" authorId="1" shapeId="0" xr:uid="{1F0A4C0D-D2F1-45F5-A2C7-93F48AFFE38E}">
      <text>
        <t>[Threaded comment]
Your version of Excel allows you to read this threaded comment; however, any edits to it will get removed if the file is opened in a newer version of Excel. Learn more: https://go.microsoft.com/fwlink/?linkid=870924
Comment:
    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
      </text>
    </comment>
    <comment ref="V3" authorId="2" shapeId="0" xr:uid="{7B2265CD-0C12-40BB-97B9-27A05239D2DE}">
      <text>
        <t>[Threaded comment]
Your version of Excel allows you to read this threaded comment; however, any edits to it will get removed if the file is opened in a newer version of Excel. Learn more: https://go.microsoft.com/fwlink/?linkid=870924
Comment:
    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
      </text>
    </comment>
    <comment ref="AA3" authorId="3" shapeId="0" xr:uid="{28CEBB19-C70E-4D56-89C2-369B86EF73F5}">
      <text>
        <t>[Threaded comment]
Your version of Excel allows you to read this threaded comment; however, any edits to it will get removed if the file is opened in a newer version of Excel. Learn more: https://go.microsoft.com/fwlink/?linkid=870924
Comment:
    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
      </text>
    </comment>
    <comment ref="AD3" authorId="4" shapeId="0" xr:uid="{D4FE840D-3E16-4D22-ACA4-43BE295A3332}">
      <text>
        <t>[Threaded comment]
Your version of Excel allows you to read this threaded comment; however, any edits to it will get removed if the file is opened in a newer version of Excel. Learn more: https://go.microsoft.com/fwlink/?linkid=870924
Comment:
    Date of first pathological confirmation (biopsy, resection etc)</t>
      </text>
    </comment>
    <comment ref="AG3" authorId="5" shapeId="0" xr:uid="{28DB8576-656F-4111-B3C7-09DB6D6B82A9}">
      <text>
        <t>[Threaded comment]
Your version of Excel allows you to read this threaded comment; however, any edits to it will get removed if the file is opened in a newer version of Excel. Learn more: https://go.microsoft.com/fwlink/?linkid=870924
Comment:
    Where information has come from - this specimen or the primary tumour if a recurrence. Specimen information can also be used if no information has been provided for the primary tumour</t>
      </text>
    </comment>
    <comment ref="AR3" authorId="6" shapeId="0" xr:uid="{99E53430-5057-47E0-9CC6-12D094526C38}">
      <text>
        <t>[Threaded comment]
Your version of Excel allows you to read this threaded comment; however, any edits to it will get removed if the file is opened in a newer version of Excel. Learn more: https://go.microsoft.com/fwlink/?linkid=870924
Comment:
    Specify type of treatment: Radiotherapy, Chemotherapy, Immunotherapy, Other. Other encompasses treatments such as hormone therapy.</t>
      </text>
    </comment>
    <comment ref="AS3" authorId="7" shapeId="0" xr:uid="{CE44C29A-100C-4D22-BB28-2A393812D484}">
      <text>
        <t>[Threaded comment]
Your version of Excel allows you to read this threaded comment; however, any edits to it will get removed if the file is opened in a newer version of Excel. Learn more: https://go.microsoft.com/fwlink/?linkid=870924
Comment:
    Specify name of agent used for treatment and number of cycles (if applicable) e.g. for chemotherapy: Cisplatin (4 cycles) or 40Gy in 15# for radiotherapy</t>
      </text>
    </comment>
    <comment ref="CP3" authorId="8" shapeId="0" xr:uid="{B09693BC-FAF7-4F44-B4ED-90D59B9DE3E1}">
      <text>
        <t>[Threaded comment]
Your version of Excel allows you to read this threaded comment; however, any edits to it will get removed if the file is opened in a newer version of Excel. Learn more: https://go.microsoft.com/fwlink/?linkid=870924
Comment:
    Specify type of treatment: Radiotherapy, Chemotherapy, Immunotherapy, Other. Other encompasses treatments such as hormone therapy.</t>
      </text>
    </comment>
    <comment ref="CQ3" authorId="9" shapeId="0" xr:uid="{EFDCF5C6-4838-409A-9CF4-9CC33E58E1D7}">
      <text>
        <t>[Threaded comment]
Your version of Excel allows you to read this threaded comment; however, any edits to it will get removed if the file is opened in a newer version of Excel. Learn more: https://go.microsoft.com/fwlink/?linkid=870924
Comment:
    Specify name of agent used for treatment and number of cycles (if applicable) e.g. for chemotherapy: Cisplatin (4 cycles) or 40Gy in 15# for radiotherapy</t>
      </text>
    </comment>
    <comment ref="GP3" authorId="10" shapeId="0" xr:uid="{65B41FBF-67E7-40B2-9A5C-56503C6A54E1}">
      <text>
        <t>[Threaded comment]
Your version of Excel allows you to read this threaded comment; however, any edits to it will get removed if the file is opened in a newer version of Excel. Learn more: https://go.microsoft.com/fwlink/?linkid=870924
Comment:
    Specify type of treatment: Radiotherapy, Chemotherapy, Immunotherapy, Other. Other encompasses treatments such as hormone therapy.</t>
      </text>
    </comment>
    <comment ref="GQ3" authorId="11" shapeId="0" xr:uid="{648A89C0-8F1E-48B4-B750-FBC0FE55E5F8}">
      <text>
        <t>[Threaded comment]
Your version of Excel allows you to read this threaded comment; however, any edits to it will get removed if the file is opened in a newer version of Excel. Learn more: https://go.microsoft.com/fwlink/?linkid=870924
Comment:
    Specify name of agent used for treatment and number of cycles (if applicable) e.g. for chemotherapy: Cisplatin (4 cycles) or 40Gy in 15# for radiotherapy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tc={F7AE4696-0BED-4946-B50C-4792F14F93B3}</author>
    <author>tc={C9E6B1B1-0410-4361-8C9A-92DDF8F976B8}</author>
    <author>tc={06F07C74-F19D-4EC6-9E55-53CDC741B8B6}</author>
    <author>tc={B4EE9221-5376-487C-B9CA-E0D95A08A27D}</author>
    <author>tc={A687F9BF-79E1-4FD2-8A7F-53BE6A530912}</author>
    <author>tc={83401841-99F6-4330-A6A5-775D0CFFF678}</author>
    <author>tc={3F53A0D4-1E7D-4483-B422-C5944E7ADF50}</author>
    <author>tc={F7BF58A0-9F7A-4E06-B914-3F7C032E008D}</author>
    <author>tc={584E5017-E259-4845-B94C-BE68A9E838F3}</author>
    <author>tc={C8F6CE52-2C9D-4175-AAB0-F81851EC351E}</author>
    <author>tc={16F73E92-6A67-4788-89D5-48BEDB76846B}</author>
    <author>tc={388C72F0-1099-46C4-9B5F-D0D9AC462D98}</author>
  </authors>
  <commentList>
    <comment ref="C3" authorId="0" shapeId="0" xr:uid="{F7AE4696-0BED-4946-B50C-4792F14F93B3}">
      <text>
        <t>[Threaded comment]
Your version of Excel allows you to read this threaded comment; however, any edits to it will get removed if the file is opened in a newer version of Excel. Learn more: https://go.microsoft.com/fwlink/?linkid=870924
Comment:
    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
      </text>
    </comment>
    <comment ref="Q3" authorId="1" shapeId="0" xr:uid="{C9E6B1B1-0410-4361-8C9A-92DDF8F976B8}">
      <text>
        <t>[Threaded comment]
Your version of Excel allows you to read this threaded comment; however, any edits to it will get removed if the file is opened in a newer version of Excel. Learn more: https://go.microsoft.com/fwlink/?linkid=870924
Comment:
    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
      </text>
    </comment>
    <comment ref="V3" authorId="2" shapeId="0" xr:uid="{06F07C74-F19D-4EC6-9E55-53CDC741B8B6}">
      <text>
        <t>[Threaded comment]
Your version of Excel allows you to read this threaded comment; however, any edits to it will get removed if the file is opened in a newer version of Excel. Learn more: https://go.microsoft.com/fwlink/?linkid=870924
Comment:
    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
      </text>
    </comment>
    <comment ref="AA3" authorId="3" shapeId="0" xr:uid="{B4EE9221-5376-487C-B9CA-E0D95A08A27D}">
      <text>
        <t>[Threaded comment]
Your version of Excel allows you to read this threaded comment; however, any edits to it will get removed if the file is opened in a newer version of Excel. Learn more: https://go.microsoft.com/fwlink/?linkid=870924
Comment:
    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
      </text>
    </comment>
    <comment ref="AD3" authorId="4" shapeId="0" xr:uid="{A687F9BF-79E1-4FD2-8A7F-53BE6A530912}">
      <text>
        <t>[Threaded comment]
Your version of Excel allows you to read this threaded comment; however, any edits to it will get removed if the file is opened in a newer version of Excel. Learn more: https://go.microsoft.com/fwlink/?linkid=870924
Comment:
    Date of first pathological confirmation (biopsy, resection etc)</t>
      </text>
    </comment>
    <comment ref="AG3" authorId="5" shapeId="0" xr:uid="{83401841-99F6-4330-A6A5-775D0CFFF678}">
      <text>
        <t>[Threaded comment]
Your version of Excel allows you to read this threaded comment; however, any edits to it will get removed if the file is opened in a newer version of Excel. Learn more: https://go.microsoft.com/fwlink/?linkid=870924
Comment:
    Where information has come from - this specimen or the primary tumour if a recurrence. Specimen information can also be used if no information has been provided for the primary tumour</t>
      </text>
    </comment>
    <comment ref="AR3" authorId="6" shapeId="0" xr:uid="{3F53A0D4-1E7D-4483-B422-C5944E7ADF50}">
      <text>
        <t>[Threaded comment]
Your version of Excel allows you to read this threaded comment; however, any edits to it will get removed if the file is opened in a newer version of Excel. Learn more: https://go.microsoft.com/fwlink/?linkid=870924
Comment:
    Specify type of treatment: Radiotherapy, Chemotherapy, Immunotherapy, Other. Other encompasses treatments such as hormone therapy.</t>
      </text>
    </comment>
    <comment ref="AS3" authorId="7" shapeId="0" xr:uid="{F7BF58A0-9F7A-4E06-B914-3F7C032E008D}">
      <text>
        <t>[Threaded comment]
Your version of Excel allows you to read this threaded comment; however, any edits to it will get removed if the file is opened in a newer version of Excel. Learn more: https://go.microsoft.com/fwlink/?linkid=870924
Comment:
    Specify name of agent used for treatment and number of cycles (if applicable) e.g. for chemotherapy: Cisplatin (4 cycles) or 40Gy in 15# for radiotherapy</t>
      </text>
    </comment>
    <comment ref="CP3" authorId="8" shapeId="0" xr:uid="{584E5017-E259-4845-B94C-BE68A9E838F3}">
      <text>
        <t>[Threaded comment]
Your version of Excel allows you to read this threaded comment; however, any edits to it will get removed if the file is opened in a newer version of Excel. Learn more: https://go.microsoft.com/fwlink/?linkid=870924
Comment:
    Specify type of treatment: Radiotherapy, Chemotherapy, Immunotherapy, Other. Other encompasses treatments such as hormone therapy.</t>
      </text>
    </comment>
    <comment ref="CQ3" authorId="9" shapeId="0" xr:uid="{C8F6CE52-2C9D-4175-AAB0-F81851EC351E}">
      <text>
        <t>[Threaded comment]
Your version of Excel allows you to read this threaded comment; however, any edits to it will get removed if the file is opened in a newer version of Excel. Learn more: https://go.microsoft.com/fwlink/?linkid=870924
Comment:
    Specify name of agent used for treatment and number of cycles (if applicable) e.g. for chemotherapy: Cisplatin (4 cycles) or 40Gy in 15# for radiotherapy</t>
      </text>
    </comment>
    <comment ref="GP3" authorId="10" shapeId="0" xr:uid="{16F73E92-6A67-4788-89D5-48BEDB76846B}">
      <text>
        <t>[Threaded comment]
Your version of Excel allows you to read this threaded comment; however, any edits to it will get removed if the file is opened in a newer version of Excel. Learn more: https://go.microsoft.com/fwlink/?linkid=870924
Comment:
    Specify type of treatment: Radiotherapy, Chemotherapy, Immunotherapy, Other. Other encompasses treatments such as hormone therapy.</t>
      </text>
    </comment>
    <comment ref="GQ3" authorId="11" shapeId="0" xr:uid="{388C72F0-1099-46C4-9B5F-D0D9AC462D98}">
      <text>
        <t>[Threaded comment]
Your version of Excel allows you to read this threaded comment; however, any edits to it will get removed if the file is opened in a newer version of Excel. Learn more: https://go.microsoft.com/fwlink/?linkid=870924
Comment:
    Specify name of agent used for treatment and number of cycles (if applicable) e.g. for chemotherapy: Cisplatin (4 cycles) or 40Gy in 15# for radiotherapy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tc={6E74EC33-B66D-40FC-8906-6DCB4D29EE0A}</author>
    <author>tc={C22E9158-8656-425A-8E85-7B0B50C65D5E}</author>
    <author>tc={190519C0-C96D-4BD1-8560-425A2C14EBD4}</author>
    <author>tc={0A9BD977-FE68-43A9-868C-D13540C9D366}</author>
    <author>tc={0C344F13-7F4C-4C27-9E07-661631C8D5E4}</author>
    <author>tc={7487DBC9-F520-4935-947A-024E8B25F468}</author>
    <author>tc={BD34CA21-5DAF-4736-8E3F-33F5E2969036}</author>
    <author>tc={B0C90297-960A-4FB1-85B8-538755EC6058}</author>
    <author>tc={C69B70ED-79DE-47A4-BFA0-D713AEC9C68B}</author>
    <author>tc={AE76F5CF-EEE4-4A7B-88E9-8FA1CB0F9346}</author>
    <author>tc={69B08A25-E611-4105-8543-C0B741E2366C}</author>
    <author>tc={B88BF321-14FB-4856-84FB-5EA6F476595D}</author>
    <author>tc={2AC1276F-07FE-4094-9F93-81DB7DAF9260}</author>
  </authors>
  <commentList>
    <comment ref="C3" authorId="0" shapeId="0" xr:uid="{6E74EC33-B66D-40FC-8906-6DCB4D29EE0A}">
      <text>
        <t>[Threaded comment]
Your version of Excel allows you to read this threaded comment; however, any edits to it will get removed if the file is opened in a newer version of Excel. Learn more: https://go.microsoft.com/fwlink/?linkid=870924
Comment:
    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
      </text>
    </comment>
    <comment ref="Q3" authorId="1" shapeId="0" xr:uid="{C22E9158-8656-425A-8E85-7B0B50C65D5E}">
      <text>
        <t>[Threaded comment]
Your version of Excel allows you to read this threaded comment; however, any edits to it will get removed if the file is opened in a newer version of Excel. Learn more: https://go.microsoft.com/fwlink/?linkid=870924
Comment:
    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
      </text>
    </comment>
    <comment ref="V3" authorId="2" shapeId="0" xr:uid="{190519C0-C96D-4BD1-8560-425A2C14EBD4}">
      <text>
        <t>[Threaded comment]
Your version of Excel allows you to read this threaded comment; however, any edits to it will get removed if the file is opened in a newer version of Excel. Learn more: https://go.microsoft.com/fwlink/?linkid=870924
Comment:
    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
      </text>
    </comment>
    <comment ref="AA3" authorId="3" shapeId="0" xr:uid="{0A9BD977-FE68-43A9-868C-D13540C9D366}">
      <text>
        <t>[Threaded comment]
Your version of Excel allows you to read this threaded comment; however, any edits to it will get removed if the file is opened in a newer version of Excel. Learn more: https://go.microsoft.com/fwlink/?linkid=870924
Comment:
    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
      </text>
    </comment>
    <comment ref="AD3" authorId="4" shapeId="0" xr:uid="{0C344F13-7F4C-4C27-9E07-661631C8D5E4}">
      <text>
        <t>[Threaded comment]
Your version of Excel allows you to read this threaded comment; however, any edits to it will get removed if the file is opened in a newer version of Excel. Learn more: https://go.microsoft.com/fwlink/?linkid=870924
Comment:
    Date of first pathological confirmation (biopsy, resection etc)</t>
      </text>
    </comment>
    <comment ref="AG3" authorId="5" shapeId="0" xr:uid="{7487DBC9-F520-4935-947A-024E8B25F468}">
      <text>
        <t>[Threaded comment]
Your version of Excel allows you to read this threaded comment; however, any edits to it will get removed if the file is opened in a newer version of Excel. Learn more: https://go.microsoft.com/fwlink/?linkid=870924
Comment:
    Where information has come from - this specimen or the primary tumour if a recurrence. Specimen information can also be used if no information has been provided for the primary tumour</t>
      </text>
    </comment>
    <comment ref="AR3" authorId="6" shapeId="0" xr:uid="{BD34CA21-5DAF-4736-8E3F-33F5E2969036}">
      <text>
        <t>[Threaded comment]
Your version of Excel allows you to read this threaded comment; however, any edits to it will get removed if the file is opened in a newer version of Excel. Learn more: https://go.microsoft.com/fwlink/?linkid=870924
Comment:
    Specify type of treatment: Radiotherapy, Chemotherapy, Immunotherapy, Other. Other encompasses treatments such as hormone therapy.</t>
      </text>
    </comment>
    <comment ref="AS3" authorId="7" shapeId="0" xr:uid="{B0C90297-960A-4FB1-85B8-538755EC6058}">
      <text>
        <t>[Threaded comment]
Your version of Excel allows you to read this threaded comment; however, any edits to it will get removed if the file is opened in a newer version of Excel. Learn more: https://go.microsoft.com/fwlink/?linkid=870924
Comment:
    Specify name of agent used for treatment and number of cycles (if applicable) e.g. for chemotherapy: Cisplatin (4 cycles) or 40Gy in 15# for radiotherapy</t>
      </text>
    </comment>
    <comment ref="CP3" authorId="8" shapeId="0" xr:uid="{C69B70ED-79DE-47A4-BFA0-D713AEC9C68B}">
      <text>
        <t>[Threaded comment]
Your version of Excel allows you to read this threaded comment; however, any edits to it will get removed if the file is opened in a newer version of Excel. Learn more: https://go.microsoft.com/fwlink/?linkid=870924
Comment:
    Specify type of treatment: Radiotherapy, Chemotherapy, Immunotherapy, Other. Other encompasses treatments such as hormone therapy.</t>
      </text>
    </comment>
    <comment ref="CQ3" authorId="9" shapeId="0" xr:uid="{AE76F5CF-EEE4-4A7B-88E9-8FA1CB0F9346}">
      <text>
        <t>[Threaded comment]
Your version of Excel allows you to read this threaded comment; however, any edits to it will get removed if the file is opened in a newer version of Excel. Learn more: https://go.microsoft.com/fwlink/?linkid=870924
Comment:
    Specify name of agent used for treatment and number of cycles (if applicable) e.g. for chemotherapy: Cisplatin (4 cycles) or 40Gy in 15# for radiotherapy</t>
      </text>
    </comment>
    <comment ref="GP3" authorId="10" shapeId="0" xr:uid="{69B08A25-E611-4105-8543-C0B741E2366C}">
      <text>
        <t>[Threaded comment]
Your version of Excel allows you to read this threaded comment; however, any edits to it will get removed if the file is opened in a newer version of Excel. Learn more: https://go.microsoft.com/fwlink/?linkid=870924
Comment:
    Specify type of treatment: Radiotherapy, Chemotherapy, Immunotherapy, Other. Other encompasses treatments such as hormone therapy.</t>
      </text>
    </comment>
    <comment ref="GQ3" authorId="11" shapeId="0" xr:uid="{B88BF321-14FB-4856-84FB-5EA6F476595D}">
      <text>
        <t>[Threaded comment]
Your version of Excel allows you to read this threaded comment; however, any edits to it will get removed if the file is opened in a newer version of Excel. Learn more: https://go.microsoft.com/fwlink/?linkid=870924
Comment:
    Specify name of agent used for treatment and number of cycles (if applicable) e.g. for chemotherapy: Cisplatin (4 cycles) or 40Gy in 15# for radiotherapy</t>
      </text>
    </comment>
    <comment ref="AJ4" authorId="12" shapeId="0" xr:uid="{2AC1276F-07FE-4094-9F93-81DB7DAF9260}">
      <text>
        <t>[Threaded comment]
Your version of Excel allows you to read this threaded comment; however, any edits to it will get removed if the file is opened in a newer version of Excel. Learn more: https://go.microsoft.com/fwlink/?linkid=870924
Comment:
    No lymph nodes removed so pNX or NR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tc={125CCEE7-B6E0-4084-82B7-0C555769BD52}</author>
  </authors>
  <commentList>
    <comment ref="D1" authorId="0" shapeId="0" xr:uid="{125CCEE7-B6E0-4084-82B7-0C555769BD52}">
      <text>
        <t>[Threaded comment]
Your version of Excel allows you to read this threaded comment; however, any edits to it will get removed if the file is opened in a newer version of Excel. Learn more: https://go.microsoft.com/fwlink/?linkid=870924
Comment:
    corrected to staging (it isn't grading)</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<sst xmlns="http://schemas.openxmlformats.org/spreadsheetml/2006/main" count="9730" uniqueCount="1221">
  <si>
    <t>PLEASE BE AWARE COLUMNS MAY BE 'HIDDEN' OR 'COLLAPSED'</t>
  </si>
  <si>
    <t>NHS number</t>
  </si>
  <si>
    <t xml:space="preserve">Any Immunotherapy </t>
  </si>
  <si>
    <t>Specimen treatment subgrouping</t>
  </si>
  <si>
    <t xml:space="preserve">Specimen is a recurrence </t>
  </si>
  <si>
    <t>Selected specimen Anonymised ID</t>
  </si>
  <si>
    <t>Specimen Block number 1</t>
  </si>
  <si>
    <t>Specimen Block number 2</t>
  </si>
  <si>
    <t>Specimen surgery date</t>
  </si>
  <si>
    <t>Specimen surgery</t>
  </si>
  <si>
    <t>Specimen tumour site</t>
  </si>
  <si>
    <t xml:space="preserve">Primary Surgery date </t>
  </si>
  <si>
    <t>Primary tumour site</t>
  </si>
  <si>
    <t>Anonymized ID Matched met 1</t>
  </si>
  <si>
    <t>Matched met 1 Block Number</t>
  </si>
  <si>
    <t>Matched met 1 Site</t>
  </si>
  <si>
    <t xml:space="preserve">Matched met 1 Surgery Date </t>
  </si>
  <si>
    <t>Matched met 1 treatment subgrouping</t>
  </si>
  <si>
    <t>Anonymized ID Matched met 2</t>
  </si>
  <si>
    <t>Matched met 2 Block Number</t>
  </si>
  <si>
    <t>Matched met 2 Site</t>
  </si>
  <si>
    <t xml:space="preserve">Matched met 2 Surgery Date </t>
  </si>
  <si>
    <t>Matched met 2 treatment subgrouping</t>
  </si>
  <si>
    <t>Anonymized ID Normal tissue</t>
  </si>
  <si>
    <t>Matched Normal tissue Block Number</t>
  </si>
  <si>
    <t>Matched Normal tissue Site</t>
  </si>
  <si>
    <t xml:space="preserve">Matched Normal tissue Surgery Date </t>
  </si>
  <si>
    <t>Matched Normal treatment subgrouping</t>
  </si>
  <si>
    <t>Gender</t>
  </si>
  <si>
    <t xml:space="preserve">DOB </t>
  </si>
  <si>
    <t>Date of DX</t>
  </si>
  <si>
    <t xml:space="preserve">Age at Diagnosis </t>
  </si>
  <si>
    <t>Specimen Histological Diagnosis</t>
  </si>
  <si>
    <t>Staging/grading info provided for:</t>
  </si>
  <si>
    <t xml:space="preserve">Resection margins clear </t>
  </si>
  <si>
    <t>pT</t>
  </si>
  <si>
    <t>pN</t>
  </si>
  <si>
    <t>pM</t>
  </si>
  <si>
    <t>cM</t>
  </si>
  <si>
    <t>TNM stage</t>
  </si>
  <si>
    <t>Grade</t>
  </si>
  <si>
    <t>Stage at DX (AJCC)</t>
  </si>
  <si>
    <t>Any Neoadjuvant therapy</t>
  </si>
  <si>
    <t>Response to neoadjuvant therapy (TRS score)</t>
  </si>
  <si>
    <t>Neoadjuvant Tx1</t>
  </si>
  <si>
    <t>Neoadjuvant Tx1 Agent</t>
  </si>
  <si>
    <t>Neoadjuvant Tx1 Start Date</t>
  </si>
  <si>
    <t>Neoadjuvant Tx1 End Date</t>
  </si>
  <si>
    <t>Tumour response Neoadjuvant Tx1</t>
  </si>
  <si>
    <t>Neoadjuvant Tx2</t>
  </si>
  <si>
    <t>Neoadjuvant Tx2 Agent</t>
  </si>
  <si>
    <t>Neoadjuvant Tx2 Start Date</t>
  </si>
  <si>
    <t>Neoadjuvant Tx2 End Date</t>
  </si>
  <si>
    <t>Tumour response Neoadjuvant  Tx2</t>
  </si>
  <si>
    <t>Neoadjuvant Tx3</t>
  </si>
  <si>
    <t>Neoadjuvant Tx3 Agent</t>
  </si>
  <si>
    <t>Neoadjuvant Tx3 Start Date</t>
  </si>
  <si>
    <t>Neoadjuvant Tx3 End Date</t>
  </si>
  <si>
    <t>Tumour response Neoadjuvant  Tx3</t>
  </si>
  <si>
    <t>Neoadjuvant Tx4</t>
  </si>
  <si>
    <t>Neoadjuvant Tx4 Agent</t>
  </si>
  <si>
    <t>Neoadjuvant Tx4 Start Date</t>
  </si>
  <si>
    <t>Neoadjuvant Tx4 End Date</t>
  </si>
  <si>
    <t>Tumour response Neoadjuvant  Tx4</t>
  </si>
  <si>
    <t>Neoadjuvant Tx5</t>
  </si>
  <si>
    <t>Neoadjuvant Tx5 Agent</t>
  </si>
  <si>
    <t>Neoadjuvant Tx5 Start Date</t>
  </si>
  <si>
    <t>Neoadjuvant Tx5 End Date</t>
  </si>
  <si>
    <t>Tumour response Neoadjuvant  Tx5</t>
  </si>
  <si>
    <t>Neoadjuvant Tx6</t>
  </si>
  <si>
    <t>Neoadjuvant Tx6 Agent</t>
  </si>
  <si>
    <t>Neoadjuvant Tx6 Start Date</t>
  </si>
  <si>
    <t>Neoadjuvant Tx6 End Date</t>
  </si>
  <si>
    <t>Tumour response Neoadjuvant  Tx6</t>
  </si>
  <si>
    <t>Neoadjuvant Tx7</t>
  </si>
  <si>
    <t>Neoadjuvant Tx7 Agent</t>
  </si>
  <si>
    <t>Neoadjuvant Tx7 Start Date</t>
  </si>
  <si>
    <t>Neoadjuvant Tx7 End Date</t>
  </si>
  <si>
    <t>Tumour response Neoadjuvant  Tx7</t>
  </si>
  <si>
    <t>Neoadjuvant Tx8</t>
  </si>
  <si>
    <t>Neoadjuvant Tx8 Agent</t>
  </si>
  <si>
    <t>Neoadjuvant Tx8 Start Date</t>
  </si>
  <si>
    <t>Neoadjuvant Tx8 End Date</t>
  </si>
  <si>
    <t>Tumour response Neoadjuvant  Tx8</t>
  </si>
  <si>
    <t>Neoadjuvant Tx9</t>
  </si>
  <si>
    <t>Neoadjuvant Tx9 Agent</t>
  </si>
  <si>
    <t>Neoadjuvant Tx9 Start Date</t>
  </si>
  <si>
    <t>Neoadjuvant Tx9 End Date</t>
  </si>
  <si>
    <t>Tumour response Neoadjuvant  Tx9</t>
  </si>
  <si>
    <t>Neoadjuvant Tx10</t>
  </si>
  <si>
    <t>Neoadjuvant Tx10 Agent</t>
  </si>
  <si>
    <t>Neoadjuvant Tx10 Start Date</t>
  </si>
  <si>
    <t>Neoadjuvant Tx10 End Date</t>
  </si>
  <si>
    <t>Tumour response Neoadjuvant Tx10</t>
  </si>
  <si>
    <t>Adjuvant Tx1</t>
  </si>
  <si>
    <t>Adjuvant Tx1 Agent</t>
  </si>
  <si>
    <t>Adjuvant Tx1 Start Date</t>
  </si>
  <si>
    <t>Adjuvant Tx1 End Date</t>
  </si>
  <si>
    <t>Tumour response Adjuvant Tx1</t>
  </si>
  <si>
    <t>Adjuvant Tx2</t>
  </si>
  <si>
    <t>Adjuvant Tx2 Agent</t>
  </si>
  <si>
    <t>Adjuvant Tx2 Start Date</t>
  </si>
  <si>
    <t>Adjuvant Tx2 End Date</t>
  </si>
  <si>
    <t>Tumour response Adjuvant  Tx2</t>
  </si>
  <si>
    <t>Adjuvant Tx3</t>
  </si>
  <si>
    <t>Adjuvant Tx3 Agent</t>
  </si>
  <si>
    <t>Adjuvant Tx3 Start Date</t>
  </si>
  <si>
    <t>Adjuvant Tx3 End Date</t>
  </si>
  <si>
    <t>Tumour response Adjuvant  Tx3</t>
  </si>
  <si>
    <t>Adjuvant Tx4</t>
  </si>
  <si>
    <t>Adjuvant Tx4 Agent</t>
  </si>
  <si>
    <t>Adjuvant Tx4 Start Date</t>
  </si>
  <si>
    <t>Adjuvant Tx4 End Date</t>
  </si>
  <si>
    <t>Tumour response Adjuvant  Tx4</t>
  </si>
  <si>
    <t>Adjuvant Tx5</t>
  </si>
  <si>
    <t>Adjuvant Tx5 Agent</t>
  </si>
  <si>
    <t>Adjuvant Tx5 Start Date</t>
  </si>
  <si>
    <t>Adjuvant Tx5 End Date</t>
  </si>
  <si>
    <t>Tumour response Adjuvant  Tx5</t>
  </si>
  <si>
    <t>Adjuvant Tx6</t>
  </si>
  <si>
    <t>Adjuvant Tx6 Agent</t>
  </si>
  <si>
    <t>Adjuvant Tx6 Start Date</t>
  </si>
  <si>
    <t>Adjuvant Tx6 End Date</t>
  </si>
  <si>
    <t>Tumour response Adjuvant  Tx6</t>
  </si>
  <si>
    <t>Adjuvant Tx7</t>
  </si>
  <si>
    <t>Adjuvant Tx7 Agent</t>
  </si>
  <si>
    <t>Adjuvant Tx7 Start Date</t>
  </si>
  <si>
    <t>Adjuvant Tx7 End Date</t>
  </si>
  <si>
    <t>Tumour response Adjuvant  Tx7</t>
  </si>
  <si>
    <t>Adjuvant Tx8</t>
  </si>
  <si>
    <t>Adjuvant Tx8 Agent</t>
  </si>
  <si>
    <t>Adjuvant Tx8 Start Date</t>
  </si>
  <si>
    <t>Adjuvant Tx8 End Date</t>
  </si>
  <si>
    <t>Tumour response Adjuvant  Tx8</t>
  </si>
  <si>
    <t>Adjuvant Tx9</t>
  </si>
  <si>
    <t>Adjuvant Tx9 Agent</t>
  </si>
  <si>
    <t>Adjuvant Tx9 Start Date</t>
  </si>
  <si>
    <t>Adjuvant Tx9 End Date</t>
  </si>
  <si>
    <t>Tumour response Adjuvant  Tx9</t>
  </si>
  <si>
    <t>Adjuvant Tx10</t>
  </si>
  <si>
    <t>Adjuvant Tx10 Agent</t>
  </si>
  <si>
    <t>Adjuvant Tx10 Start Date</t>
  </si>
  <si>
    <t>Adjuvant Tx10 End Date</t>
  </si>
  <si>
    <t>Tumour response Adjuvant Tx10</t>
  </si>
  <si>
    <t>Adjuvant Tx11</t>
  </si>
  <si>
    <t>Adjuvant Tx11 Agent</t>
  </si>
  <si>
    <t>Adjuvant Tx11 Start Date</t>
  </si>
  <si>
    <t>Adjuvant Tx11 End Date</t>
  </si>
  <si>
    <t>Tumour response Adjuvant Tx11</t>
  </si>
  <si>
    <t>Adjuvant Tx12</t>
  </si>
  <si>
    <t>Adjuvant Tx12 Agent</t>
  </si>
  <si>
    <t>Adjuvant Tx12 Start Date</t>
  </si>
  <si>
    <t>Adjuvant Tx12 End Date</t>
  </si>
  <si>
    <t>Tumour response Adjuvant Tx12</t>
  </si>
  <si>
    <t>Adjuvant Tx13</t>
  </si>
  <si>
    <t>Adjuvant Tx13 Agent</t>
  </si>
  <si>
    <t>Adjuvant Tx13 Start Date</t>
  </si>
  <si>
    <t>Adjuvant Tx13 End Date</t>
  </si>
  <si>
    <t>Tumour response Adjuvant Tx13</t>
  </si>
  <si>
    <t>Adjuvant Tx14</t>
  </si>
  <si>
    <t>Adjuvant Tx14 Agent</t>
  </si>
  <si>
    <t>Adjuvant Tx14 Start Date</t>
  </si>
  <si>
    <t>Adjuvant Tx14 End Date</t>
  </si>
  <si>
    <t>Tumour response Adjuvant Tx14</t>
  </si>
  <si>
    <t>Adjuvant Tx15</t>
  </si>
  <si>
    <t>Adjuvant Tx15 Agent</t>
  </si>
  <si>
    <t>Adjuvant Tx15 Start Date</t>
  </si>
  <si>
    <t>Adjuvant Tx15 End Date</t>
  </si>
  <si>
    <t>Date recurrence/ progression 1</t>
  </si>
  <si>
    <t>Sites recurrence/ progression 1</t>
  </si>
  <si>
    <t>Date recurrence/ progression 2</t>
  </si>
  <si>
    <t>Sites recurrence/ progression 2</t>
  </si>
  <si>
    <t>Date recurrence/ progression 3</t>
  </si>
  <si>
    <t>Sites recurrence/ progression 3</t>
  </si>
  <si>
    <t>Date recurrence/ progression 4</t>
  </si>
  <si>
    <t>Sites recurrence/ progression 4</t>
  </si>
  <si>
    <t>Date recurrence/ progression 5</t>
  </si>
  <si>
    <t>Sites recurrence/ progression 5</t>
  </si>
  <si>
    <t>Date recurrence/ progression 6</t>
  </si>
  <si>
    <t>Sites recurrence/ progression 6</t>
  </si>
  <si>
    <t>Date recurrence/ progression 7</t>
  </si>
  <si>
    <t>Sites recurrence/ progression 7</t>
  </si>
  <si>
    <t>Date recurrence/ progression 8</t>
  </si>
  <si>
    <t>Sites recurrence/ progression 8</t>
  </si>
  <si>
    <t>Date recurrence/ progression 9</t>
  </si>
  <si>
    <t>Sites recurrence/ progression 9</t>
  </si>
  <si>
    <t>Date recurrence/ progression 10</t>
  </si>
  <si>
    <t>Sites recurrence/ progression 10</t>
  </si>
  <si>
    <t>Date recurrence/ progression 11</t>
  </si>
  <si>
    <t>Sites recurrence/ progression 11</t>
  </si>
  <si>
    <t>Date recurrence/ progression 12</t>
  </si>
  <si>
    <t>Sites recurrence/ progression 12</t>
  </si>
  <si>
    <t>Date recurrence/ progression 13</t>
  </si>
  <si>
    <t>Sites recurrence/ progression 13</t>
  </si>
  <si>
    <t>Date recurrence/ progression 14</t>
  </si>
  <si>
    <t>Sites recurrence/ progression 14</t>
  </si>
  <si>
    <t>Date recurrence/ progression 15</t>
  </si>
  <si>
    <t>Sites recurrence/ progression 15</t>
  </si>
  <si>
    <t>Subsequent Tx1</t>
  </si>
  <si>
    <t>Subsequent Tx1 Agent</t>
  </si>
  <si>
    <t>Subsequent Tx1 Start Date</t>
  </si>
  <si>
    <t>Subsequent Tx1 Finish Date</t>
  </si>
  <si>
    <t>Tumour response to Subsequent Tx1</t>
  </si>
  <si>
    <t>Subsequent Tx2</t>
  </si>
  <si>
    <t>Subsequent Tx2 Agent</t>
  </si>
  <si>
    <t>Subsequent Tx2 Start Date</t>
  </si>
  <si>
    <t>Subsequent Tx2 Finish Date</t>
  </si>
  <si>
    <t>Tumour response to Subsequent Tx2</t>
  </si>
  <si>
    <t>Subsequent Tx3</t>
  </si>
  <si>
    <t>Subsequent Tx3 Agent</t>
  </si>
  <si>
    <t>Subsequent Tx3 Start Date</t>
  </si>
  <si>
    <t>Subsequent Tx3 Finish Date</t>
  </si>
  <si>
    <t>Tumour response to Subsequent Tx3</t>
  </si>
  <si>
    <t>Subsequent Tx4</t>
  </si>
  <si>
    <t>Subsequent Tx4 Agent</t>
  </si>
  <si>
    <t>Subsequent Tx4 Start Date</t>
  </si>
  <si>
    <t>Subsequent Tx4 Finish Date</t>
  </si>
  <si>
    <t>Tumour response to Subsequent Tx4</t>
  </si>
  <si>
    <t>Subsequent Tx5</t>
  </si>
  <si>
    <t>Subsequent Tx5 Agent</t>
  </si>
  <si>
    <t>Subsequent Tx5 Start Date</t>
  </si>
  <si>
    <t>Subsequent Tx5 Finish Date</t>
  </si>
  <si>
    <t>Tumour response to Subsequent Tx5</t>
  </si>
  <si>
    <t>Subsequent Tx6</t>
  </si>
  <si>
    <t>Subsequent Tx6 Agent</t>
  </si>
  <si>
    <t>Subsequent Tx6 Start Date</t>
  </si>
  <si>
    <t>Subsequent Tx6 Finish Date</t>
  </si>
  <si>
    <t>Tumour response to Subsequent Tx6</t>
  </si>
  <si>
    <t>Subsequent Tx7</t>
  </si>
  <si>
    <t>Subsequent Tx7 Agent</t>
  </si>
  <si>
    <t>Subsequent Tx7 Start Date</t>
  </si>
  <si>
    <t>Subsequent Tx7 Finish Date</t>
  </si>
  <si>
    <t>Tumour response to Subsequent Tx7</t>
  </si>
  <si>
    <t>Subsequent Tx8</t>
  </si>
  <si>
    <t>Subsequent Tx8 Agent</t>
  </si>
  <si>
    <t>Subsequent Tx8 Start Date</t>
  </si>
  <si>
    <t>Subsequent Tx8 Finish Date</t>
  </si>
  <si>
    <t>Tumour response to Subsequent Tx8</t>
  </si>
  <si>
    <t>Subsequent Tx9</t>
  </si>
  <si>
    <t>Subsequent Tx9 Agent</t>
  </si>
  <si>
    <t>Subsequent Tx9 Start Date</t>
  </si>
  <si>
    <t>Subsequent Tx9 Finish Date</t>
  </si>
  <si>
    <t>Tumour response to Subsequent Tx9</t>
  </si>
  <si>
    <t>Subsequent Tx10</t>
  </si>
  <si>
    <t>Subsequent Tx10 Agent</t>
  </si>
  <si>
    <t>Subsequent Tx10 Start Date</t>
  </si>
  <si>
    <t>Subsequent Tx10 Finish Date</t>
  </si>
  <si>
    <t>Tumour response to Subsequent Tx10</t>
  </si>
  <si>
    <t>Subsequent Tx11</t>
  </si>
  <si>
    <t>Subsequent Tx11 Agent</t>
  </si>
  <si>
    <t>Subsequent Tx11 Start Date</t>
  </si>
  <si>
    <t>Subsequent Tx11 Finish Date</t>
  </si>
  <si>
    <t>Tumour response to Subsequent Tx11</t>
  </si>
  <si>
    <t>Subsequent Tx12</t>
  </si>
  <si>
    <t>Subsequent Tx12 Agent</t>
  </si>
  <si>
    <t>Subsequent Tx12 Start Date</t>
  </si>
  <si>
    <t>Subsequent Tx12 Finish Date</t>
  </si>
  <si>
    <t>Tumour response to Subsequent Tx12</t>
  </si>
  <si>
    <t>Subsequent Tx13</t>
  </si>
  <si>
    <t>Subsequent Tx13 Agent</t>
  </si>
  <si>
    <t>Subsequent Tx13 Start Date</t>
  </si>
  <si>
    <t>Subsequent Tx13 Finish Date</t>
  </si>
  <si>
    <t>Tumour response to Subsequent Tx13</t>
  </si>
  <si>
    <t>Subsequent Tx14</t>
  </si>
  <si>
    <t>Subsequent Tx14 Agent</t>
  </si>
  <si>
    <t>Subsequent Tx14 Start Date</t>
  </si>
  <si>
    <t>Subsequent Tx14 Finish Date</t>
  </si>
  <si>
    <t>Tumour response to Subsequent Tx14</t>
  </si>
  <si>
    <t>Subsequent Tx15</t>
  </si>
  <si>
    <t>Subsequent Tx15 Agent</t>
  </si>
  <si>
    <t>Subsequent Tx15 Start Date</t>
  </si>
  <si>
    <t>Subsequent Tx15 Finish Date</t>
  </si>
  <si>
    <t>Tumour response to Subsequent Tx15</t>
  </si>
  <si>
    <t>Current Status</t>
  </si>
  <si>
    <t>Death date</t>
  </si>
  <si>
    <t>Death tumour related</t>
  </si>
  <si>
    <t>Cause of death</t>
  </si>
  <si>
    <t>Date last follow-up</t>
  </si>
  <si>
    <t>Date Last Seen</t>
  </si>
  <si>
    <t>Concurrent Medical Conditions</t>
  </si>
  <si>
    <t>Comments from clinical team</t>
  </si>
  <si>
    <t>TTE Neoadjuvant Tx1 Start Date</t>
  </si>
  <si>
    <t>TTE Neoadjuvant Tx1 End Date</t>
  </si>
  <si>
    <t>TTE Neoadjuvant Tx2 Start Date</t>
  </si>
  <si>
    <t>TTE Neoadjuvant Tx2 End Date</t>
  </si>
  <si>
    <t>TTE Neoadjuvant Tx3 Start Date</t>
  </si>
  <si>
    <t>TTE Neoadjuvant Tx3 End Date</t>
  </si>
  <si>
    <t>TTE Neoadjuvant Tx4 Start Date</t>
  </si>
  <si>
    <t>TTE Neoadjuvant Tx4 End Date</t>
  </si>
  <si>
    <t>TTE Neoadjuvant Tx5 Start Date</t>
  </si>
  <si>
    <t>TTE Neoadjuvant Tx5 End Date</t>
  </si>
  <si>
    <t>TTE Neoadjuvant Tx6 Start Date</t>
  </si>
  <si>
    <t>TTE Neoadjuvant Tx6 End Date</t>
  </si>
  <si>
    <t>TTE Neoadjuvant Tx7 Start Date</t>
  </si>
  <si>
    <t>TTE Neoadjuvant Tx7 End Date</t>
  </si>
  <si>
    <t>TTE Neoadjuvant Tx8 Start Date</t>
  </si>
  <si>
    <t>TTE Neoadjuvant Tx8 End Date</t>
  </si>
  <si>
    <t>TTE Neoadjuvant Tx9 Start Date</t>
  </si>
  <si>
    <t>TTE Neoadjuvant Tx9 End Date</t>
  </si>
  <si>
    <t>TTE Neoadjuvant Tx10 Start Date</t>
  </si>
  <si>
    <t>TTE Neoadjuvant Tx10 End Date</t>
  </si>
  <si>
    <t>TTE Specimen surgery date</t>
  </si>
  <si>
    <t xml:space="preserve">TTE Primary Surgery date </t>
  </si>
  <si>
    <t xml:space="preserve">TTE Matched met 1 Surgery Date </t>
  </si>
  <si>
    <t xml:space="preserve">TTE Matched met 2 Surgery Date </t>
  </si>
  <si>
    <t xml:space="preserve">TTE Matched Normal tissue Surgery Date </t>
  </si>
  <si>
    <t>TTE Adjuvant Tx1 Start Date</t>
  </si>
  <si>
    <t>TTE Adjuvant Tx1 End Date</t>
  </si>
  <si>
    <t>TTE Adjuvant Tx2 Start Date</t>
  </si>
  <si>
    <t>TTE Adjuvant Tx2 End Date</t>
  </si>
  <si>
    <t>TTE Adjuvant Tx3 Start Date</t>
  </si>
  <si>
    <t>TTE Adjuvant Tx3 End Date</t>
  </si>
  <si>
    <t>TTE Adjuvant Tx4 Start Date</t>
  </si>
  <si>
    <t>TTE Adjuvant Tx4 End Date</t>
  </si>
  <si>
    <t>TTE Adjuvant Tx5 Start Date</t>
  </si>
  <si>
    <t>TTE Adjuvant Tx5 End Date</t>
  </si>
  <si>
    <t>TTE Adjuvant Tx6 Start Date</t>
  </si>
  <si>
    <t>TTE Adjuvant Tx6 End Date</t>
  </si>
  <si>
    <t>TTE Adjuvant Tx7 Start Date</t>
  </si>
  <si>
    <t>TTE Adjuvant Tx7 End Date</t>
  </si>
  <si>
    <t>TTE Adjuvant Tx8 Start Date</t>
  </si>
  <si>
    <t>TTE Adjuvant Tx8 End Date</t>
  </si>
  <si>
    <t>TTE Adjuvant Tx9 Start Date</t>
  </si>
  <si>
    <t>TTE Adjuvant Tx9 End Date</t>
  </si>
  <si>
    <t>TTE Adjuvant Tx10 Start Date</t>
  </si>
  <si>
    <t>TTE Adjuvant Tx10 End Date</t>
  </si>
  <si>
    <t>TTE Adjuvant Tx11 Start Date</t>
  </si>
  <si>
    <t>TTE Adjuvant Tx11 End Date</t>
  </si>
  <si>
    <t>TTE Adjuvant Tx12 Start Date</t>
  </si>
  <si>
    <t>TTE Adjuvant Tx12 End Date</t>
  </si>
  <si>
    <t>TTE Adjuvant Tx13 Start Date</t>
  </si>
  <si>
    <t>TTE Adjuvant Tx13 End Date</t>
  </si>
  <si>
    <t>TTE Adjuvant Tx14 Start Date</t>
  </si>
  <si>
    <t>TTE Adjuvant Tx14 End Date</t>
  </si>
  <si>
    <t>TTE Adjuvant Tx15 Start Date</t>
  </si>
  <si>
    <t>TTE Adjuvant Tx15 End Date</t>
  </si>
  <si>
    <t>TTE Date recurrence/ progression 1</t>
  </si>
  <si>
    <t>TTE Date recurrence/ progression 2</t>
  </si>
  <si>
    <t>TTE Date recurrence/ progression 3</t>
  </si>
  <si>
    <t>TTE Date recurrence/ progression 4</t>
  </si>
  <si>
    <t>TTE Date recurrence/ progression 5</t>
  </si>
  <si>
    <t>TTE Date recurrence/ progression 6</t>
  </si>
  <si>
    <t>TTE Date recurrence/ progression 7</t>
  </si>
  <si>
    <t>TTE Date recurrence/ progression 8</t>
  </si>
  <si>
    <t>TTE Date recurrence/ progression 9</t>
  </si>
  <si>
    <t>TTE Date recurrence/ progression 10</t>
  </si>
  <si>
    <t>TTE Date recurrence/ progression 11</t>
  </si>
  <si>
    <t>TTE Date recurrence/ progression 12</t>
  </si>
  <si>
    <t>TTE Date recurrence/ progression 13</t>
  </si>
  <si>
    <t>TTE Date recurrence/ progression 14</t>
  </si>
  <si>
    <t>TTE Date recurrence/ progression 15</t>
  </si>
  <si>
    <t>TTE Subsequent Tx1 Start Date</t>
  </si>
  <si>
    <t>TTE Subsequent Tx1 Finish Date</t>
  </si>
  <si>
    <t>TTE Subsequent Tx2 Start Date</t>
  </si>
  <si>
    <t>TTE Subsequent Tx2 Finish Date</t>
  </si>
  <si>
    <t>TTE Subsequent Tx3 Start Date</t>
  </si>
  <si>
    <t>TTE Subsequent Tx3 Finish Date</t>
  </si>
  <si>
    <t>TTE Subsequent Tx4 Start Date</t>
  </si>
  <si>
    <t>TTE Subsequent Tx4 Finish Date</t>
  </si>
  <si>
    <t>TTE Subsequent Tx5 Start Date</t>
  </si>
  <si>
    <t>TTE Subsequent Tx5 Finish Date</t>
  </si>
  <si>
    <t>TTE Subsequent Tx6 Start Date</t>
  </si>
  <si>
    <t>TTE Subsequent Tx6 Finish Date</t>
  </si>
  <si>
    <t>TTE Subsequent Tx7 Start Date</t>
  </si>
  <si>
    <t>TTE Subsequent Tx7 Finish Date</t>
  </si>
  <si>
    <t>TTE Subsequent Tx8 Start Date</t>
  </si>
  <si>
    <t>TTE Subsequent Tx8 Finish Date</t>
  </si>
  <si>
    <t>TTE Subsequent Tx9 Start Date</t>
  </si>
  <si>
    <t>TTE Subsequent Tx9 Finish Date</t>
  </si>
  <si>
    <t>TTE Subsequent Tx10 Start Date</t>
  </si>
  <si>
    <t>TTE Subsequent Tx10 Finish Date</t>
  </si>
  <si>
    <t>TTE Subsequent Tx11 Start Date</t>
  </si>
  <si>
    <t>TTE Subsequent Tx11 Finish Date</t>
  </si>
  <si>
    <t>TTE Subsequent Tx12 Start Date</t>
  </si>
  <si>
    <t>TTE Subsequent Tx12 Finish Date</t>
  </si>
  <si>
    <t>TTE Subsequent Tx13 Start Date</t>
  </si>
  <si>
    <t>TTE Subsequent Tx13 Finish Date</t>
  </si>
  <si>
    <t>TTE Subsequent Tx14 Start Date</t>
  </si>
  <si>
    <t>TTE Subsequent Tx14 Finish Date</t>
  </si>
  <si>
    <t>TTE Subsequent Tx15 Start Date</t>
  </si>
  <si>
    <t>TTE Subsequent Tx15 Finish Date</t>
  </si>
  <si>
    <t>TTE Recurrence (PFS)</t>
  </si>
  <si>
    <t>TTE Death (OS and PFS)</t>
  </si>
  <si>
    <t>TTE Date last follow-up (PFS)</t>
  </si>
  <si>
    <t>TTE Date last seen (OS)</t>
  </si>
  <si>
    <t>TTE Overall survival (OS) in months</t>
  </si>
  <si>
    <t>TTE Progression free survival (PFS) in months</t>
  </si>
  <si>
    <t>Event (recurrence/progression)</t>
  </si>
  <si>
    <t>Event (cancer death)</t>
  </si>
  <si>
    <t>Event (death; all causes)</t>
  </si>
  <si>
    <t>Event (recurrence or cancer death)</t>
  </si>
  <si>
    <t>No</t>
  </si>
  <si>
    <t>Treatment naïve</t>
  </si>
  <si>
    <t>LH17-02702</t>
  </si>
  <si>
    <t>A1</t>
  </si>
  <si>
    <t>A12</t>
  </si>
  <si>
    <t>Total abdominal hysterectomy</t>
  </si>
  <si>
    <t>Endometrium</t>
  </si>
  <si>
    <t>N/A</t>
  </si>
  <si>
    <t>F</t>
  </si>
  <si>
    <t>Carcinosarcoma with heterologous differentiation</t>
  </si>
  <si>
    <t>Specimen</t>
  </si>
  <si>
    <t>Yes</t>
  </si>
  <si>
    <t>T2N1M0</t>
  </si>
  <si>
    <t>NR</t>
  </si>
  <si>
    <t xml:space="preserve"> </t>
  </si>
  <si>
    <t>hypertension, hypercholesteremia, asthma, ulcerative colitis and hypothyroidism</t>
  </si>
  <si>
    <t>LH17-06069</t>
  </si>
  <si>
    <t>A11</t>
  </si>
  <si>
    <t>B3</t>
  </si>
  <si>
    <t>Lymph node</t>
  </si>
  <si>
    <t>Endometrioid adenocarcinoma</t>
  </si>
  <si>
    <t>1b</t>
  </si>
  <si>
    <t>x</t>
  </si>
  <si>
    <t>T1BN0M0</t>
  </si>
  <si>
    <t>LH17-07381</t>
  </si>
  <si>
    <t>A9</t>
  </si>
  <si>
    <t>A8</t>
  </si>
  <si>
    <t>C1</t>
  </si>
  <si>
    <t>Deeply invasive mixed adenocarcinoma (serous and endometroiod)</t>
  </si>
  <si>
    <t>LH17-10008</t>
  </si>
  <si>
    <t>A4</t>
  </si>
  <si>
    <t>A6</t>
  </si>
  <si>
    <t>High grade serous adenocarcinoma</t>
  </si>
  <si>
    <t>T2N0M0</t>
  </si>
  <si>
    <t>LH17-10854</t>
  </si>
  <si>
    <t>A10</t>
  </si>
  <si>
    <t>Malignant mixed mullerian tumour with rhabdomyoblastic differentiation</t>
  </si>
  <si>
    <t>3b</t>
  </si>
  <si>
    <t>T3BN1M0</t>
  </si>
  <si>
    <t>LH17-11002</t>
  </si>
  <si>
    <t>B5</t>
  </si>
  <si>
    <t>Pelvic node</t>
  </si>
  <si>
    <t>LH17-11093</t>
  </si>
  <si>
    <t xml:space="preserve">Total laparoscopic Hysterectomy </t>
  </si>
  <si>
    <t>D1</t>
  </si>
  <si>
    <t>LH17-11306</t>
  </si>
  <si>
    <t>A3</t>
  </si>
  <si>
    <t>High grade carcinosarcoma of homologous type</t>
  </si>
  <si>
    <t>LH17-12612</t>
  </si>
  <si>
    <t>LH17-13646</t>
  </si>
  <si>
    <t>A20</t>
  </si>
  <si>
    <t>A21</t>
  </si>
  <si>
    <t>High-grade serous adenocarcinoma of the endometrium</t>
  </si>
  <si>
    <t>N/R</t>
  </si>
  <si>
    <t>1 (Omentum)</t>
  </si>
  <si>
    <t>1 (Lung and lymph node)</t>
  </si>
  <si>
    <t>LH17-15131</t>
  </si>
  <si>
    <t>A15</t>
  </si>
  <si>
    <t>G2</t>
  </si>
  <si>
    <t>Mixed high grade endometrioid and serous adenocarcinoma</t>
  </si>
  <si>
    <t>LH17-16034</t>
  </si>
  <si>
    <t>Papillary serous carcinoma</t>
  </si>
  <si>
    <t>LH17-16275</t>
  </si>
  <si>
    <t xml:space="preserve">Adenocarcinoma. Mixed clear cell/endometriod </t>
  </si>
  <si>
    <t>1a</t>
  </si>
  <si>
    <t>T1AN0M0</t>
  </si>
  <si>
    <t>LH17-20256</t>
  </si>
  <si>
    <t>Total laparoscopic hysterectomy</t>
  </si>
  <si>
    <t>LH17-22802</t>
  </si>
  <si>
    <t>LH17-25751</t>
  </si>
  <si>
    <t>A16</t>
  </si>
  <si>
    <t>A33</t>
  </si>
  <si>
    <t>C3</t>
  </si>
  <si>
    <t>LH17-28006</t>
  </si>
  <si>
    <t>A13</t>
  </si>
  <si>
    <t>Total laparoscopic hysterectomy/Bilateral salpingo-oophorectomy</t>
  </si>
  <si>
    <t>Serous adenocarcinoma</t>
  </si>
  <si>
    <t>LH17-28649</t>
  </si>
  <si>
    <t>LH17-29718</t>
  </si>
  <si>
    <t>LH17-30635</t>
  </si>
  <si>
    <t>A14</t>
  </si>
  <si>
    <t>D3</t>
  </si>
  <si>
    <t>LH17-30829</t>
  </si>
  <si>
    <t xml:space="preserve">D4 </t>
  </si>
  <si>
    <t>LH17-30839</t>
  </si>
  <si>
    <t>Total abdominal hysterectomy with bilateral salpingo-oophorectomy.</t>
  </si>
  <si>
    <t>Endometrioid carcinoma</t>
  </si>
  <si>
    <t>LH17-30974</t>
  </si>
  <si>
    <t>A22</t>
  </si>
  <si>
    <t>LH17-32555</t>
  </si>
  <si>
    <t>LH17-32987</t>
  </si>
  <si>
    <t>LH17-33790</t>
  </si>
  <si>
    <t xml:space="preserve">Total abdominal hysterectomy </t>
  </si>
  <si>
    <t>3a</t>
  </si>
  <si>
    <t>T3AN0M0</t>
  </si>
  <si>
    <t>LH17-34068</t>
  </si>
  <si>
    <t>LH17-34353</t>
  </si>
  <si>
    <t>A7</t>
  </si>
  <si>
    <t>Carcinosarcoma with heterologous elements</t>
  </si>
  <si>
    <t>T3CN2M0</t>
  </si>
  <si>
    <t>LH17-35617</t>
  </si>
  <si>
    <t>A2</t>
  </si>
  <si>
    <t>LH17-35965</t>
  </si>
  <si>
    <t>Total laparoscopic hysterectomy,bso,omental biopsy, pelvic and pa lymph node sampling</t>
  </si>
  <si>
    <t xml:space="preserve">B4 </t>
  </si>
  <si>
    <t>Clear cell carcinoma of endometrium</t>
  </si>
  <si>
    <t>LH17-36526</t>
  </si>
  <si>
    <t>T3CN1M0</t>
  </si>
  <si>
    <t>LH17-36679</t>
  </si>
  <si>
    <t>LH17-37241</t>
  </si>
  <si>
    <t>A5</t>
  </si>
  <si>
    <t>LH17-37984</t>
  </si>
  <si>
    <t>Endometrioid adenocarcinoma with foci of clear cell differentiation</t>
  </si>
  <si>
    <t>LH17-38467</t>
  </si>
  <si>
    <t>LH17-40476</t>
  </si>
  <si>
    <t>Laparotomy/Total abdominal hysterectomy/Bilateral salpingo-oophorectomy/Pelvic and para-aortic lymphadenectomy/Omentectomy</t>
  </si>
  <si>
    <t>D9</t>
  </si>
  <si>
    <t>High-grade serous carcinoma</t>
  </si>
  <si>
    <t>LH17-41239</t>
  </si>
  <si>
    <t>Laparotomy, total abdominal hysterectomy, bilateral salpingo-oophorectomy, infracolic omentectomy, pelvic and PA node dissection</t>
  </si>
  <si>
    <t>Carcinosarcoma showing rhabdomyoblastic differentiation</t>
  </si>
  <si>
    <t>LH17-41484</t>
  </si>
  <si>
    <t>Total abdominal hysterectomy nec</t>
  </si>
  <si>
    <t>LH17-41775</t>
  </si>
  <si>
    <t>Laparotomy with total abdominal hysterectomy, bilateral salpingo-oophorectomy, infracolic omentectomy, right pelvic lymphadenectomy and para-aortic lymph node sampling</t>
  </si>
  <si>
    <t>LH17-42076</t>
  </si>
  <si>
    <t>LH17-42609</t>
  </si>
  <si>
    <t>A17</t>
  </si>
  <si>
    <t>A18</t>
  </si>
  <si>
    <t>C8</t>
  </si>
  <si>
    <t>High grade serous carcinoma</t>
  </si>
  <si>
    <t>LH17-43301</t>
  </si>
  <si>
    <t>LH17-43390</t>
  </si>
  <si>
    <t>High grade endometrioid carcinoma</t>
  </si>
  <si>
    <t>LH17-44148</t>
  </si>
  <si>
    <t>D6</t>
  </si>
  <si>
    <t>Carcinosarcoma of endometrium, with heterologous differentiation</t>
  </si>
  <si>
    <t>1 (omentum)</t>
  </si>
  <si>
    <t>LH17-44823</t>
  </si>
  <si>
    <t>Endometrioid adenocarcinoma with secretory change</t>
  </si>
  <si>
    <t>T3BN0M0</t>
  </si>
  <si>
    <t>LH17-45605</t>
  </si>
  <si>
    <t>LH17-46244</t>
  </si>
  <si>
    <t>LH17-47365</t>
  </si>
  <si>
    <t>LH17-48623</t>
  </si>
  <si>
    <t>D2</t>
  </si>
  <si>
    <t>Carcinosarcoma (with rhabdomyoblastic differentiation and high grade serous epithelial component)</t>
  </si>
  <si>
    <t>1 (Left common iliac)</t>
  </si>
  <si>
    <t>LH17-49693</t>
  </si>
  <si>
    <t>LH17-49715</t>
  </si>
  <si>
    <t>LH17-49816</t>
  </si>
  <si>
    <t xml:space="preserve">E3 </t>
  </si>
  <si>
    <t>Para-aortic node</t>
  </si>
  <si>
    <t>High grade serous endometrial carcinoma</t>
  </si>
  <si>
    <t>LH17-50009</t>
  </si>
  <si>
    <t>Endometrioid carcinoma of the endometrium</t>
  </si>
  <si>
    <t>LH17-50634</t>
  </si>
  <si>
    <t>LH17-51779</t>
  </si>
  <si>
    <t>C4</t>
  </si>
  <si>
    <t>LH17-52159</t>
  </si>
  <si>
    <t xml:space="preserve">Endometrioid carcinoma </t>
  </si>
  <si>
    <t>LH17-52304</t>
  </si>
  <si>
    <t>LH17-53225</t>
  </si>
  <si>
    <t>Serous carcinoma of endometrium</t>
  </si>
  <si>
    <t>LH17-53882</t>
  </si>
  <si>
    <t>A19</t>
  </si>
  <si>
    <t>LH17-54999</t>
  </si>
  <si>
    <t>LH17-55555</t>
  </si>
  <si>
    <t>C5</t>
  </si>
  <si>
    <t>LH18-00479</t>
  </si>
  <si>
    <t>Serous adenocarcinoma of the endometrium</t>
  </si>
  <si>
    <t>LH18-01619</t>
  </si>
  <si>
    <t>C2</t>
  </si>
  <si>
    <t>LH18-03854</t>
  </si>
  <si>
    <t>LH18-04036</t>
  </si>
  <si>
    <t>D5</t>
  </si>
  <si>
    <t>Carcinosarcoma of homologous type</t>
  </si>
  <si>
    <t>LH18-05598</t>
  </si>
  <si>
    <t>LH18-07101</t>
  </si>
  <si>
    <t>Endometrioid carcinoma featuring moderately pleomorphic neoplastic cells</t>
  </si>
  <si>
    <t>1 (Hepatic, omentum, peritoneum)</t>
  </si>
  <si>
    <t>LH18-08529</t>
  </si>
  <si>
    <t>LH18-08833</t>
  </si>
  <si>
    <t>LH18-09117</t>
  </si>
  <si>
    <t>Carcinosarcoma with heterologus elements</t>
  </si>
  <si>
    <t>LH18-09944</t>
  </si>
  <si>
    <t>LH18-11381</t>
  </si>
  <si>
    <t>LH18-11648</t>
  </si>
  <si>
    <t>Total laparoscopic hysterectomy  + bilateral salpingo oophorectomy</t>
  </si>
  <si>
    <t>LH18-12664</t>
  </si>
  <si>
    <t>D12</t>
  </si>
  <si>
    <t>LH18-13058</t>
  </si>
  <si>
    <t>LH18-13350</t>
  </si>
  <si>
    <t>Laparoscopic converted to laparotomy/peritoneal washings and biopsies, total abdominal
hysterectomy, bilateral salpingo-oophorectomy, pelvic, lymphadenectomy, para-aortic lymph node
sampling, omentectomy, excision and repair of umbilical hernia._x000D_</t>
  </si>
  <si>
    <t>LH18-13744</t>
  </si>
  <si>
    <t>LH18-14629</t>
  </si>
  <si>
    <t>Node</t>
  </si>
  <si>
    <t>Donor ID</t>
  </si>
  <si>
    <t>Specimen number</t>
  </si>
  <si>
    <t>FIGO grading</t>
  </si>
  <si>
    <t>IIIC1</t>
  </si>
  <si>
    <t>IB</t>
  </si>
  <si>
    <t>II</t>
  </si>
  <si>
    <t>IVB</t>
  </si>
  <si>
    <t>IA</t>
  </si>
  <si>
    <t>IIIA</t>
  </si>
  <si>
    <t>IIIC2</t>
  </si>
  <si>
    <t>IIIB</t>
  </si>
  <si>
    <t>III3B</t>
  </si>
  <si>
    <t>LH18-15364</t>
  </si>
  <si>
    <t>Total Abdominal Hysterectomy; Bilateral Salpingo-oophorectomy; Bilateral Pelvic Lymphadenectomy; Infracolic Omental Biopsy; Peritoneal Washings.</t>
  </si>
  <si>
    <t>Endometrioid adenocarcinoma, NOS</t>
  </si>
  <si>
    <t>LH18-15484</t>
  </si>
  <si>
    <t>LH18-15845</t>
  </si>
  <si>
    <t>A9(L)</t>
  </si>
  <si>
    <t xml:space="preserve">LH18-16236 </t>
  </si>
  <si>
    <t>Endometrioid carcinoma, focal squamous differentiation</t>
  </si>
  <si>
    <t>LH18-17511</t>
  </si>
  <si>
    <t>Endometrioid carcinoma, squamous differentiation</t>
  </si>
  <si>
    <t>LH18-20193</t>
  </si>
  <si>
    <t>LH18-20274</t>
  </si>
  <si>
    <t>LH18-20302</t>
  </si>
  <si>
    <t>Endometrioid adenocarcinoma with mucinous and secretory differentiation</t>
  </si>
  <si>
    <t>LH18-21046</t>
  </si>
  <si>
    <t>A6(L)</t>
  </si>
  <si>
    <t xml:space="preserve">Carcinosarcoma with heterologous elements; Squamous and Rhabdomyosarcomatous differentiation </t>
  </si>
  <si>
    <t>LH18-22036</t>
  </si>
  <si>
    <t>Mixed carcinoma: clear cell and endometrioid</t>
  </si>
  <si>
    <t>LH18-22454</t>
  </si>
  <si>
    <t>LH18-22773</t>
  </si>
  <si>
    <t>Serous carcinoma</t>
  </si>
  <si>
    <t>LH18-22989</t>
  </si>
  <si>
    <t>Endometrioid carcinoma, with areas of mucinous differentiation</t>
  </si>
  <si>
    <t>LH18-24968</t>
  </si>
  <si>
    <t>LH18-27779</t>
  </si>
  <si>
    <t>Carcinosarcoma with heterologous elements; Rhabdomyosarcomatous differentiation prominent</t>
  </si>
  <si>
    <t>LH18-29168</t>
  </si>
  <si>
    <t>Mixed high grade serous and clear cell carcinoma</t>
  </si>
  <si>
    <t>LH18-30200</t>
  </si>
  <si>
    <t>LH18-30464</t>
  </si>
  <si>
    <t>LH18-30878</t>
  </si>
  <si>
    <t>Carcinosarcoma, with serous component</t>
  </si>
  <si>
    <t>LH18-32183</t>
  </si>
  <si>
    <t>endometrioid adenocarcinoma, extensive areas of squamous differentiation</t>
  </si>
  <si>
    <t>LH18-33462</t>
  </si>
  <si>
    <t>LH18-33662</t>
  </si>
  <si>
    <t>A13(L)</t>
  </si>
  <si>
    <t>A12(L)</t>
  </si>
  <si>
    <t>Carcinosarcoma with chondroid differentiation</t>
  </si>
  <si>
    <t>LH18-33989</t>
  </si>
  <si>
    <t>LH18-34484</t>
  </si>
  <si>
    <t>LH18-36225</t>
  </si>
  <si>
    <t>LH18-36980</t>
  </si>
  <si>
    <t>High grade serous carcinoma with clear cell change</t>
  </si>
  <si>
    <t>LH18-37202</t>
  </si>
  <si>
    <t>LH18-37342</t>
  </si>
  <si>
    <t>LH18-37435</t>
  </si>
  <si>
    <t>LH18-37645</t>
  </si>
  <si>
    <t>LH18-38467</t>
  </si>
  <si>
    <t>Total abdominal hysterectomy with hemicolectomy</t>
  </si>
  <si>
    <t>Carcinosarcoma with foci of heterologous differentiation</t>
  </si>
  <si>
    <t>LH18-38853</t>
  </si>
  <si>
    <t>A18(L)</t>
  </si>
  <si>
    <t>Laparotomy with total abdominal hysterectomy</t>
  </si>
  <si>
    <t>LH18-39326</t>
  </si>
  <si>
    <t>Endometrioid carcinoma; areas of mucinous and secretory differentiation</t>
  </si>
  <si>
    <t>LH18-41815</t>
  </si>
  <si>
    <t>Endometrioid carcinoma, prominent squamous differentiation</t>
  </si>
  <si>
    <t>LH18-42247</t>
  </si>
  <si>
    <t>LH18-43108</t>
  </si>
  <si>
    <t>LH18-43194</t>
  </si>
  <si>
    <t>LH18-43856</t>
  </si>
  <si>
    <t>Endometrioid adenocarcinoma with focal secretory change</t>
  </si>
  <si>
    <t>LH18-44168</t>
  </si>
  <si>
    <t>LH18-44171</t>
  </si>
  <si>
    <t>LH18-46536</t>
  </si>
  <si>
    <t>LH18-46662</t>
  </si>
  <si>
    <t>LH18-47374</t>
  </si>
  <si>
    <t>LH18-49070</t>
  </si>
  <si>
    <t>LH18-49606</t>
  </si>
  <si>
    <t>LH18-51153</t>
  </si>
  <si>
    <t>LH18-53700</t>
  </si>
  <si>
    <t>LH18-54839</t>
  </si>
  <si>
    <t>LH18-55530</t>
  </si>
  <si>
    <t>LH18-56373</t>
  </si>
  <si>
    <t>Endometrioid adenocarcinoma, with several squamous morules</t>
  </si>
  <si>
    <t>LH19-00614</t>
  </si>
  <si>
    <t>LH19-01767</t>
  </si>
  <si>
    <t>LH19-02874</t>
  </si>
  <si>
    <t>Endometrioid adenocarcinoma, NOS; squamous morules, areas of secretory change</t>
  </si>
  <si>
    <t>LH19-04865</t>
  </si>
  <si>
    <t>LH19-05000</t>
  </si>
  <si>
    <t>Mixed serous and endometrioid adenocarcinoma</t>
  </si>
  <si>
    <t>LH19-06015</t>
  </si>
  <si>
    <t>Carcinosarcoma</t>
  </si>
  <si>
    <t>LH19-08350</t>
  </si>
  <si>
    <t>LH19-08638</t>
  </si>
  <si>
    <t>LH19-08906</t>
  </si>
  <si>
    <t>A5(L)</t>
  </si>
  <si>
    <t>LH19-09008</t>
  </si>
  <si>
    <t>LH19-09077</t>
  </si>
  <si>
    <t>Dedifferentiated endometrioid carcinoma: undifferentiated carcinoma and endometrioid adenocarcinoma</t>
  </si>
  <si>
    <t>LH19-10812</t>
  </si>
  <si>
    <t>LH19-11019</t>
  </si>
  <si>
    <t>LH19-13469</t>
  </si>
  <si>
    <t>Endometrioid adenocarcinoma, with foci of mucinous differentiation</t>
  </si>
  <si>
    <t>LH19-16274</t>
  </si>
  <si>
    <t>LH19-17069</t>
  </si>
  <si>
    <t>Endometrioid adenocarcinoma, foci of mucinous differentiation and focal squamous differentiation</t>
  </si>
  <si>
    <t>LH19-17790</t>
  </si>
  <si>
    <t>LH19-18891</t>
  </si>
  <si>
    <t>LH19-29675</t>
  </si>
  <si>
    <t>LH19-30077</t>
  </si>
  <si>
    <t>A16(L)</t>
  </si>
  <si>
    <t xml:space="preserve">LH19-30362  </t>
  </si>
  <si>
    <t>LH19-30363</t>
  </si>
  <si>
    <t xml:space="preserve">LH19-34659  </t>
  </si>
  <si>
    <t>Total robotic hysterectomy</t>
  </si>
  <si>
    <t>LH19-35421</t>
  </si>
  <si>
    <t>A9[L]</t>
  </si>
  <si>
    <t xml:space="preserve">Mixed endometrioid and serous adenocarcinoma </t>
  </si>
  <si>
    <t>LH19-37687</t>
  </si>
  <si>
    <t>LH19-40334</t>
  </si>
  <si>
    <t>LH19-40578</t>
  </si>
  <si>
    <t>A15[L]</t>
  </si>
  <si>
    <t>LH19-41050</t>
  </si>
  <si>
    <t xml:space="preserve">LH19-42178  </t>
  </si>
  <si>
    <t>LH19-42528</t>
  </si>
  <si>
    <t>A20[L]</t>
  </si>
  <si>
    <t xml:space="preserve">LH19-42787  </t>
  </si>
  <si>
    <t>Endometrioid carcinoma; areas of squamous and mucinous differentiation</t>
  </si>
  <si>
    <t>LH19-43183</t>
  </si>
  <si>
    <t>A16[L]</t>
  </si>
  <si>
    <t>LH19-45596</t>
  </si>
  <si>
    <t>Robotic Total laparoscopic hysterectomy</t>
  </si>
  <si>
    <t>Endometrioid adenocarcinoma; squamous morule formation</t>
  </si>
  <si>
    <t>LH19-54899</t>
  </si>
  <si>
    <t>Clear cell adenocarcinoma</t>
  </si>
  <si>
    <t>LH20-01285</t>
  </si>
  <si>
    <t>Mixed endometrioid and clear cell carcinoma; foci of squamous differentiation</t>
  </si>
  <si>
    <t>LH20-17198</t>
  </si>
  <si>
    <t>Total Abdominal Hysterectomy</t>
  </si>
  <si>
    <t>Mixed: clear cell and serous carcinoma</t>
  </si>
  <si>
    <t>LH20-18911</t>
  </si>
  <si>
    <t>Clear cell carcinoma</t>
  </si>
  <si>
    <t>LH21-05922</t>
  </si>
  <si>
    <t>LH21-12410</t>
  </si>
  <si>
    <t>Mixed: high grade adenocarcinoma with features of endometrioid and serous carcinoma</t>
  </si>
  <si>
    <t>LH18-25699</t>
  </si>
  <si>
    <t>Laparoscopic extensive adhesiolysis, total hysterectomy and bilateral salpingo-oophorectomy</t>
  </si>
  <si>
    <t>Uterine corpus (Endomyometrium)</t>
  </si>
  <si>
    <t>Mixed endometrioid and serous adenocarcinoma</t>
  </si>
  <si>
    <t>LH18-26339</t>
  </si>
  <si>
    <t>Staging for endometrial cancer: TLH, BSO, Pelvic Lymphadenectomy, washings, and adhesiolysis</t>
  </si>
  <si>
    <t>LH18-27900</t>
  </si>
  <si>
    <t>Total Abdominal Hysterectomy; Bilateral Salpingo-oophorectomy; Extensive adhesiolysis; Peritoneal washings.</t>
  </si>
  <si>
    <t>Uterine corpus (anterior endomyometrium)</t>
  </si>
  <si>
    <t>LH18-28277</t>
  </si>
  <si>
    <t>Adhesiolysis/Total laparoscopic hysterectomy/Bilateral salpingo-oophorectomy</t>
  </si>
  <si>
    <t>Carcinosarcoma with G3 endometrioid epithelial component</t>
  </si>
  <si>
    <t>LH18-28644</t>
  </si>
  <si>
    <t>Laparoscopic hysterectomy, bilateral salpingo-oophorectomy</t>
  </si>
  <si>
    <t>LDS0003060</t>
  </si>
  <si>
    <t>LDS0003061</t>
  </si>
  <si>
    <t>LDS0003062</t>
  </si>
  <si>
    <t>LDS0003063</t>
  </si>
  <si>
    <t>LDS0003064</t>
  </si>
  <si>
    <t>FIGO Staging</t>
  </si>
  <si>
    <t>Therapy type</t>
  </si>
  <si>
    <t>Yes/No</t>
  </si>
  <si>
    <t>A= grade 3+, B = grade 4+, C= Grade 6+</t>
  </si>
  <si>
    <r>
      <rPr>
        <sz val="10"/>
        <color rgb="FFFF0000"/>
        <rFont val="Arial"/>
        <family val="2"/>
      </rPr>
      <t>Red text</t>
    </r>
    <r>
      <rPr>
        <sz val="10"/>
        <color rgb="FF000000"/>
        <rFont val="Arial"/>
        <family val="2"/>
      </rPr>
      <t xml:space="preserve"> = cells to select for formula</t>
    </r>
  </si>
  <si>
    <t>Radiotherapy</t>
  </si>
  <si>
    <t>When copying and pasting formulas, you need to delete the ' before the =</t>
  </si>
  <si>
    <t>Chemotherapy</t>
  </si>
  <si>
    <t>Immunotherapy naïve</t>
  </si>
  <si>
    <t>Primary tumour</t>
  </si>
  <si>
    <t>Header</t>
  </si>
  <si>
    <t>A</t>
  </si>
  <si>
    <t>Column</t>
  </si>
  <si>
    <t>Immunotherapy</t>
  </si>
  <si>
    <t>Immunotherapy only</t>
  </si>
  <si>
    <t>Mixed therapy</t>
  </si>
  <si>
    <t>Mixed treatment</t>
  </si>
  <si>
    <t>B</t>
  </si>
  <si>
    <t>Age at diagnosis</t>
  </si>
  <si>
    <t>=DATEDIF(DOB, DODx,"Y")</t>
  </si>
  <si>
    <t>Other</t>
  </si>
  <si>
    <t>C</t>
  </si>
  <si>
    <t>Quarter formula</t>
  </si>
  <si>
    <t>=IFERROR("Q" &amp;INT((MONTH(cell with date)+2)/3) &amp; "-" &amp; YEAR(same cell with date),"N/A")</t>
  </si>
  <si>
    <t>D</t>
  </si>
  <si>
    <t>The months between two dates in decimals</t>
  </si>
  <si>
    <t>=IFERROR((YEARFRAC(DODx,cell with date)*12),"N/A")</t>
  </si>
  <si>
    <t>E</t>
  </si>
  <si>
    <t>OS</t>
  </si>
  <si>
    <r>
      <t>=SUM(</t>
    </r>
    <r>
      <rPr>
        <sz val="10"/>
        <color rgb="FFFF0000"/>
        <rFont val="Calibri Light"/>
        <family val="2"/>
        <scheme val="major"/>
      </rPr>
      <t>time to event death</t>
    </r>
    <r>
      <rPr>
        <sz val="10"/>
        <color rgb="FF000000"/>
        <rFont val="Calibri Light"/>
        <family val="2"/>
        <scheme val="major"/>
      </rPr>
      <t>,Time to event date last seen)</t>
    </r>
  </si>
  <si>
    <t>PFS</t>
  </si>
  <si>
    <t>=INDEX(Time to event recurrence;time to event death;Time to event date last follow-up,MATCH(TRUE,INDEX(ISNUMBER(),0),0))</t>
  </si>
  <si>
    <t>G</t>
  </si>
  <si>
    <r>
      <t>=IF(</t>
    </r>
    <r>
      <rPr>
        <sz val="10"/>
        <color rgb="FFFF0000"/>
        <rFont val="Calibri Light"/>
        <family val="2"/>
        <scheme val="major"/>
      </rPr>
      <t>Time to event recurrence</t>
    </r>
    <r>
      <rPr>
        <sz val="10"/>
        <color rgb="FF000000"/>
        <rFont val="Calibri Light"/>
        <family val="2"/>
        <scheme val="major"/>
      </rPr>
      <t>="N/A",0,1)</t>
    </r>
  </si>
  <si>
    <t>H</t>
  </si>
  <si>
    <r>
      <t>=IF(=</t>
    </r>
    <r>
      <rPr>
        <sz val="10"/>
        <color rgb="FFFF0000"/>
        <rFont val="Calibri Light"/>
        <family val="2"/>
        <scheme val="major"/>
      </rPr>
      <t>Death due to tumour/ assumed tumour related</t>
    </r>
    <r>
      <rPr>
        <sz val="10"/>
        <color rgb="FF000000"/>
        <rFont val="Calibri Light"/>
        <family val="2"/>
        <scheme val="major"/>
      </rPr>
      <t xml:space="preserve"> Yes/No"Yes",1,0)</t>
    </r>
  </si>
  <si>
    <t>I</t>
  </si>
  <si>
    <r>
      <t>=IF(</t>
    </r>
    <r>
      <rPr>
        <sz val="10"/>
        <color rgb="FFFF0000"/>
        <rFont val="Calibri Light"/>
        <family val="2"/>
        <scheme val="major"/>
      </rPr>
      <t>time to event death</t>
    </r>
    <r>
      <rPr>
        <sz val="10"/>
        <color rgb="FF000000"/>
        <rFont val="Calibri Light"/>
        <family val="2"/>
        <scheme val="major"/>
      </rPr>
      <t>="N/A",0,1)</t>
    </r>
  </si>
  <si>
    <t>J</t>
  </si>
  <si>
    <r>
      <t>=IF(OR(</t>
    </r>
    <r>
      <rPr>
        <sz val="10"/>
        <color rgb="FFFF0000"/>
        <rFont val="Calibri Light"/>
        <family val="2"/>
        <scheme val="major"/>
      </rPr>
      <t>Event recurrence/progression</t>
    </r>
    <r>
      <rPr>
        <sz val="10"/>
        <color rgb="FF000000"/>
        <rFont val="Calibri Light"/>
        <family val="2"/>
        <scheme val="major"/>
      </rPr>
      <t>=1,</t>
    </r>
    <r>
      <rPr>
        <sz val="10"/>
        <color rgb="FFFF0000"/>
        <rFont val="Calibri Light"/>
        <family val="2"/>
        <scheme val="major"/>
      </rPr>
      <t>Event cancer death</t>
    </r>
    <r>
      <rPr>
        <sz val="10"/>
        <color rgb="FF000000"/>
        <rFont val="Calibri Light"/>
        <family val="2"/>
        <scheme val="major"/>
      </rPr>
      <t>=1),"1","0")</t>
    </r>
  </si>
  <si>
    <t>K</t>
  </si>
  <si>
    <t>Combine TNM</t>
  </si>
  <si>
    <r>
      <t>=CONCATENATE("T",</t>
    </r>
    <r>
      <rPr>
        <sz val="10"/>
        <color rgb="FFFF0000"/>
        <rFont val="Calibri Light"/>
        <family val="2"/>
        <scheme val="major"/>
      </rPr>
      <t>cell with pT,</t>
    </r>
    <r>
      <rPr>
        <sz val="10"/>
        <color rgb="FF000000"/>
        <rFont val="Calibri Light"/>
        <family val="2"/>
        <scheme val="major"/>
      </rPr>
      <t>"N",</t>
    </r>
    <r>
      <rPr>
        <sz val="10"/>
        <color rgb="FFFF0000"/>
        <rFont val="Calibri Light"/>
        <family val="2"/>
        <scheme val="major"/>
      </rPr>
      <t>cell with pN</t>
    </r>
    <r>
      <rPr>
        <sz val="10"/>
        <color rgb="FF000000"/>
        <rFont val="Calibri Light"/>
        <family val="2"/>
        <scheme val="major"/>
      </rPr>
      <t>,"M",</t>
    </r>
    <r>
      <rPr>
        <sz val="10"/>
        <color rgb="FFFF0000"/>
        <rFont val="Calibri Light"/>
        <family val="2"/>
        <scheme val="major"/>
      </rPr>
      <t>cell with cM</t>
    </r>
    <r>
      <rPr>
        <sz val="10"/>
        <color rgb="FF000000"/>
        <rFont val="Calibri Light"/>
        <family val="2"/>
        <scheme val="major"/>
      </rPr>
      <t>)</t>
    </r>
  </si>
  <si>
    <t>Combine text from 2 cells</t>
  </si>
  <si>
    <r>
      <t>=</t>
    </r>
    <r>
      <rPr>
        <sz val="10"/>
        <color rgb="FFFF0000"/>
        <rFont val="Calibri Light"/>
        <family val="2"/>
        <scheme val="major"/>
      </rPr>
      <t>cell number</t>
    </r>
    <r>
      <rPr>
        <sz val="10"/>
        <color rgb="FF000000"/>
        <rFont val="Calibri Light"/>
        <family val="2"/>
        <scheme val="major"/>
      </rPr>
      <t>&amp;" "&amp;</t>
    </r>
    <r>
      <rPr>
        <sz val="10"/>
        <color rgb="FFFF0000"/>
        <rFont val="Calibri Light"/>
        <family val="2"/>
        <scheme val="major"/>
      </rPr>
      <t>second cell</t>
    </r>
  </si>
  <si>
    <t>L</t>
  </si>
  <si>
    <t>M</t>
  </si>
  <si>
    <t>N</t>
  </si>
  <si>
    <t>O</t>
  </si>
  <si>
    <t>=DATEDIF(DODx, DOD,"d"),OR DATEDIF(DODx,DLS,"d")</t>
  </si>
  <si>
    <t>P</t>
  </si>
  <si>
    <t>Q</t>
  </si>
  <si>
    <t>R</t>
  </si>
  <si>
    <t>S</t>
  </si>
  <si>
    <t>T</t>
  </si>
  <si>
    <t>U</t>
  </si>
  <si>
    <t>V</t>
  </si>
  <si>
    <t>W</t>
  </si>
  <si>
    <t>X</t>
  </si>
  <si>
    <t>Y</t>
  </si>
  <si>
    <t>Z</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</si>
  <si>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</si>
  <si>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</si>
  <si>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</si>
  <si>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</si>
  <si>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</si>
  <si>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</si>
  <si>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</si>
  <si>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</si>
  <si>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</si>
  <si>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</si>
  <si>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</si>
  <si>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</si>
  <si>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</si>
  <si>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</si>
  <si>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</si>
  <si>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</si>
  <si>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</si>
  <si>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</si>
  <si>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</si>
  <si>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</si>
  <si>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</si>
  <si>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</si>
  <si>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</si>
  <si>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</si>
  <si>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</si>
  <si>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</si>
  <si>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BA</t>
  </si>
  <si>
    <t>BB</t>
  </si>
  <si>
    <t>BC</t>
  </si>
  <si>
    <t>BD</t>
  </si>
  <si>
    <t>BE</t>
  </si>
  <si>
    <t>BF</t>
  </si>
  <si>
    <t>BG</t>
  </si>
  <si>
    <t>BH</t>
  </si>
  <si>
    <t>BI</t>
  </si>
  <si>
    <t>BJ</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</si>
  <si>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</si>
  <si>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</si>
  <si>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</si>
  <si>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</si>
  <si>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</si>
  <si>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</si>
  <si>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</si>
  <si>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</si>
  <si>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</si>
  <si>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</si>
  <si>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</si>
  <si>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</si>
  <si>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</si>
  <si>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</si>
  <si>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</si>
  <si>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</si>
  <si>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</si>
  <si>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</si>
  <si>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</si>
  <si>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</si>
  <si>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</si>
  <si>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</si>
  <si>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</si>
  <si>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</si>
  <si>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</si>
  <si>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CJ</t>
  </si>
  <si>
    <t>CK</t>
  </si>
  <si>
    <t>CL</t>
  </si>
  <si>
    <t>CM</t>
  </si>
  <si>
    <t>CN</t>
  </si>
  <si>
    <t>CO</t>
  </si>
  <si>
    <t>CP</t>
  </si>
  <si>
    <t>CQ</t>
  </si>
  <si>
    <t>CR</t>
  </si>
  <si>
    <t>CS</t>
  </si>
  <si>
    <t>CT</t>
  </si>
  <si>
    <t>CU</t>
  </si>
  <si>
    <t>CV</t>
  </si>
  <si>
    <t>CW</t>
  </si>
  <si>
    <t>CX</t>
  </si>
  <si>
    <t>CY</t>
  </si>
  <si>
    <t>CZ</t>
  </si>
  <si>
    <t>DA</t>
  </si>
  <si>
    <t>DB</t>
  </si>
  <si>
    <t>DC</t>
  </si>
  <si>
    <t>DD</t>
  </si>
  <si>
    <t>DE</t>
  </si>
  <si>
    <t>DF</t>
  </si>
  <si>
    <t>DG</t>
  </si>
  <si>
    <t>DH</t>
  </si>
  <si>
    <t>DI</t>
  </si>
  <si>
    <t>DJ</t>
  </si>
  <si>
    <t>DK</t>
  </si>
  <si>
    <t>DL</t>
  </si>
  <si>
    <t>DM</t>
  </si>
  <si>
    <t>DN</t>
  </si>
  <si>
    <t>DO</t>
  </si>
  <si>
    <t>DP</t>
  </si>
  <si>
    <t>DQ</t>
  </si>
  <si>
    <t>DR</t>
  </si>
  <si>
    <t>DS</t>
  </si>
  <si>
    <t>DT</t>
  </si>
  <si>
    <t>DU</t>
  </si>
  <si>
    <t>DV</t>
  </si>
  <si>
    <t>DW</t>
  </si>
  <si>
    <t>DX</t>
  </si>
  <si>
    <t>DY</t>
  </si>
  <si>
    <t>DZ</t>
  </si>
  <si>
    <t>EA</t>
  </si>
  <si>
    <t>EB</t>
  </si>
  <si>
    <t>EC</t>
  </si>
  <si>
    <t>ED</t>
  </si>
  <si>
    <t>EE</t>
  </si>
  <si>
    <t>EF</t>
  </si>
  <si>
    <t>EG</t>
  </si>
  <si>
    <t>EH</t>
  </si>
  <si>
    <t>EI</t>
  </si>
  <si>
    <t>EJ</t>
  </si>
  <si>
    <t>EK</t>
  </si>
  <si>
    <t>EL</t>
  </si>
  <si>
    <t>EM</t>
  </si>
  <si>
    <t>EN</t>
  </si>
  <si>
    <t>EO</t>
  </si>
  <si>
    <t>EP</t>
  </si>
  <si>
    <t>EQ</t>
  </si>
  <si>
    <t>ER</t>
  </si>
  <si>
    <t>ES</t>
  </si>
  <si>
    <t>ET</t>
  </si>
  <si>
    <t>EU</t>
  </si>
  <si>
    <t>EV</t>
  </si>
  <si>
    <t>EW</t>
  </si>
  <si>
    <t>EX</t>
  </si>
  <si>
    <t>EY</t>
  </si>
  <si>
    <t>EZ</t>
  </si>
  <si>
    <t>FA</t>
  </si>
  <si>
    <t>FB</t>
  </si>
  <si>
    <t>FC</t>
  </si>
  <si>
    <t>FD</t>
  </si>
  <si>
    <t>FE</t>
  </si>
  <si>
    <t>FF</t>
  </si>
  <si>
    <t>FG</t>
  </si>
  <si>
    <t>FH</t>
  </si>
  <si>
    <t>FI</t>
  </si>
  <si>
    <t>FJ</t>
  </si>
  <si>
    <t>FK</t>
  </si>
  <si>
    <t>FL</t>
  </si>
  <si>
    <t>FM</t>
  </si>
  <si>
    <t>FN</t>
  </si>
  <si>
    <t>FO</t>
  </si>
  <si>
    <t>FP</t>
  </si>
  <si>
    <t>FQ</t>
  </si>
  <si>
    <t>FR</t>
  </si>
  <si>
    <t>FS</t>
  </si>
  <si>
    <t>FT</t>
  </si>
  <si>
    <t>FU</t>
  </si>
  <si>
    <t>FV</t>
  </si>
  <si>
    <t>FW</t>
  </si>
  <si>
    <t>FX</t>
  </si>
  <si>
    <t>FY</t>
  </si>
  <si>
    <t>FZ</t>
  </si>
  <si>
    <t>GA</t>
  </si>
  <si>
    <t>GB</t>
  </si>
  <si>
    <t>GC</t>
  </si>
  <si>
    <t>GD</t>
  </si>
  <si>
    <t>GE</t>
  </si>
  <si>
    <t>GF</t>
  </si>
  <si>
    <t>GG</t>
  </si>
  <si>
    <t>GH</t>
  </si>
  <si>
    <t>GI</t>
  </si>
  <si>
    <t>GJ</t>
  </si>
  <si>
    <t>GK</t>
  </si>
  <si>
    <t>GL</t>
  </si>
  <si>
    <t>GM</t>
  </si>
  <si>
    <t>GN</t>
  </si>
  <si>
    <t>GO</t>
  </si>
  <si>
    <t>GP</t>
  </si>
  <si>
    <t>GQ</t>
  </si>
  <si>
    <t>GR</t>
  </si>
  <si>
    <t>GS</t>
  </si>
  <si>
    <t>GT</t>
  </si>
  <si>
    <t>GU</t>
  </si>
  <si>
    <t>GV</t>
  </si>
  <si>
    <t>GW</t>
  </si>
  <si>
    <t>GX</t>
  </si>
  <si>
    <t>GY</t>
  </si>
  <si>
    <t>GZ</t>
  </si>
  <si>
    <t>HA</t>
  </si>
  <si>
    <t>HB</t>
  </si>
  <si>
    <t>HC</t>
  </si>
  <si>
    <t>HD</t>
  </si>
  <si>
    <t>HE</t>
  </si>
  <si>
    <t>HF</t>
  </si>
  <si>
    <t>HG</t>
  </si>
  <si>
    <t>HH</t>
  </si>
  <si>
    <t>HI</t>
  </si>
  <si>
    <t>HJ</t>
  </si>
  <si>
    <t>HK</t>
  </si>
  <si>
    <t>HL</t>
  </si>
  <si>
    <t>HM</t>
  </si>
  <si>
    <t>HN</t>
  </si>
  <si>
    <t>HO</t>
  </si>
  <si>
    <t>HP</t>
  </si>
  <si>
    <t>HQ</t>
  </si>
  <si>
    <t>HR</t>
  </si>
  <si>
    <t>HS</t>
  </si>
  <si>
    <t>HT</t>
  </si>
  <si>
    <t>HU</t>
  </si>
  <si>
    <t>HV</t>
  </si>
  <si>
    <t>HW</t>
  </si>
  <si>
    <t>HX</t>
  </si>
  <si>
    <t>HY</t>
  </si>
  <si>
    <t>HZ</t>
  </si>
  <si>
    <t>IC</t>
  </si>
  <si>
    <t>ID</t>
  </si>
  <si>
    <t>IE</t>
  </si>
  <si>
    <t>IF</t>
  </si>
  <si>
    <t>IG</t>
  </si>
  <si>
    <t>IH</t>
  </si>
  <si>
    <t>IJ</t>
  </si>
  <si>
    <t>IK</t>
  </si>
  <si>
    <t>IL</t>
  </si>
  <si>
    <t>IM</t>
  </si>
  <si>
    <t>IN</t>
  </si>
  <si>
    <t>IO</t>
  </si>
  <si>
    <t>IP</t>
  </si>
  <si>
    <t>IQ</t>
  </si>
  <si>
    <t>IR</t>
  </si>
  <si>
    <t>IS</t>
  </si>
  <si>
    <t>IT</t>
  </si>
  <si>
    <t>IU</t>
  </si>
  <si>
    <t>IV</t>
  </si>
  <si>
    <t>IW</t>
  </si>
  <si>
    <t>IX</t>
  </si>
  <si>
    <t>IY</t>
  </si>
  <si>
    <t>IZ</t>
  </si>
  <si>
    <t>JA</t>
  </si>
  <si>
    <t>JB</t>
  </si>
  <si>
    <t>JC</t>
  </si>
  <si>
    <t>JD</t>
  </si>
  <si>
    <t>JE</t>
  </si>
  <si>
    <t>JF</t>
  </si>
  <si>
    <t>JG</t>
  </si>
  <si>
    <t>JH</t>
  </si>
  <si>
    <t>JI</t>
  </si>
  <si>
    <t>JJ</t>
  </si>
  <si>
    <t>JK</t>
  </si>
  <si>
    <t>JL</t>
  </si>
  <si>
    <t>JM</t>
  </si>
  <si>
    <t>JN</t>
  </si>
  <si>
    <t>JO</t>
  </si>
  <si>
    <t>JP</t>
  </si>
  <si>
    <t>JQ</t>
  </si>
  <si>
    <t>JR</t>
  </si>
  <si>
    <t>JS</t>
  </si>
  <si>
    <t>JT</t>
  </si>
  <si>
    <t>JU</t>
  </si>
  <si>
    <t>JV</t>
  </si>
  <si>
    <t>JW</t>
  </si>
  <si>
    <t>JX</t>
  </si>
  <si>
    <t>JY</t>
  </si>
  <si>
    <t>JZ</t>
  </si>
  <si>
    <t>KA</t>
  </si>
  <si>
    <t>KB</t>
  </si>
  <si>
    <t>KC</t>
  </si>
  <si>
    <t>KD</t>
  </si>
  <si>
    <t>KE</t>
  </si>
  <si>
    <t>KF</t>
  </si>
  <si>
    <t>KG</t>
  </si>
  <si>
    <t>KH</t>
  </si>
  <si>
    <t>KI</t>
  </si>
  <si>
    <t>KJ</t>
  </si>
  <si>
    <t>KK</t>
  </si>
  <si>
    <t>KL</t>
  </si>
  <si>
    <t>KM</t>
  </si>
  <si>
    <t>KN</t>
  </si>
  <si>
    <t>KO</t>
  </si>
  <si>
    <t>KP</t>
  </si>
  <si>
    <t>KQ</t>
  </si>
  <si>
    <t>KR</t>
  </si>
  <si>
    <t>KS</t>
  </si>
  <si>
    <t>KT</t>
  </si>
  <si>
    <t>KU</t>
  </si>
  <si>
    <t>KV</t>
  </si>
  <si>
    <t>KW</t>
  </si>
  <si>
    <t>KX</t>
  </si>
  <si>
    <t>KY</t>
  </si>
  <si>
    <t>KZ</t>
  </si>
  <si>
    <t>LA</t>
  </si>
  <si>
    <t>LB</t>
  </si>
  <si>
    <t>LC</t>
  </si>
  <si>
    <t>LD</t>
  </si>
  <si>
    <t>LE</t>
  </si>
  <si>
    <t>LF</t>
  </si>
  <si>
    <t>LG</t>
  </si>
  <si>
    <t>LH</t>
  </si>
  <si>
    <t>LI</t>
  </si>
  <si>
    <t>LJ</t>
  </si>
  <si>
    <t>LK</t>
  </si>
  <si>
    <t>LL</t>
  </si>
  <si>
    <t>LM</t>
  </si>
  <si>
    <t>LN</t>
  </si>
  <si>
    <t>LO</t>
  </si>
  <si>
    <t>LP</t>
  </si>
  <si>
    <t>LQ</t>
  </si>
  <si>
    <t>LR</t>
  </si>
  <si>
    <t>LS</t>
  </si>
  <si>
    <t>LT</t>
  </si>
  <si>
    <t>LU</t>
  </si>
  <si>
    <t>LV</t>
  </si>
  <si>
    <t>LW</t>
  </si>
  <si>
    <t>LX</t>
  </si>
  <si>
    <t>LY</t>
  </si>
  <si>
    <t>LZ</t>
  </si>
  <si>
    <t>MA</t>
  </si>
  <si>
    <t>MB</t>
  </si>
  <si>
    <t>MC</t>
  </si>
  <si>
    <t>MD</t>
  </si>
  <si>
    <t>ME</t>
  </si>
  <si>
    <t>MF</t>
  </si>
  <si>
    <t>MG</t>
  </si>
  <si>
    <t>MH</t>
  </si>
  <si>
    <t>MI</t>
  </si>
  <si>
    <t>MJ</t>
  </si>
  <si>
    <t>MK</t>
  </si>
  <si>
    <t>TTE Subsequent Tx 1 Start Date</t>
  </si>
  <si>
    <t>ML</t>
  </si>
  <si>
    <t>TTE Subsequent Tx 1 Finish Date</t>
  </si>
  <si>
    <t>MM</t>
  </si>
  <si>
    <t>TTE Subsequent Tx 2 Start Date</t>
  </si>
  <si>
    <t>MN</t>
  </si>
  <si>
    <t>TTE Subsequent Tx 2 Finish Date</t>
  </si>
  <si>
    <t>MO</t>
  </si>
  <si>
    <t>MP</t>
  </si>
  <si>
    <t>TTE Subsequent Tx 3 Finish Date</t>
  </si>
  <si>
    <t>MQ</t>
  </si>
  <si>
    <t>TTE Subsequent Tx 4 Start Date</t>
  </si>
  <si>
    <t>MR</t>
  </si>
  <si>
    <t>TTE Subsequent Tx 4 Finish Date</t>
  </si>
  <si>
    <t>MS</t>
  </si>
  <si>
    <t>TTE Subsequent Tx 5 Start Date</t>
  </si>
  <si>
    <t>MT</t>
  </si>
  <si>
    <t>TTE Subsequent Tx 5 Finish Date</t>
  </si>
  <si>
    <t>MU</t>
  </si>
  <si>
    <t>TTE Subsequent Tx 6 Start Date</t>
  </si>
  <si>
    <t>MV</t>
  </si>
  <si>
    <t>TTE Subsequent Tx 6 Finish Date</t>
  </si>
  <si>
    <t>MW</t>
  </si>
  <si>
    <t>TTE Subsequent Tx 7 Start Date</t>
  </si>
  <si>
    <t>MX</t>
  </si>
  <si>
    <t>TTE Subsequent Tx 7 Finish Date</t>
  </si>
  <si>
    <t>MY</t>
  </si>
  <si>
    <t>TTE Subsequent Tx 8 Start Date</t>
  </si>
  <si>
    <t>MZ</t>
  </si>
  <si>
    <t>TTE Subsequent Tx 8 Finish Date</t>
  </si>
  <si>
    <t>NA</t>
  </si>
  <si>
    <t>TTE Subsequent Tx 9 Start Date</t>
  </si>
  <si>
    <t>NB</t>
  </si>
  <si>
    <t>TTE Subsequent Tx 9 Finish Date</t>
  </si>
  <si>
    <t>NC</t>
  </si>
  <si>
    <t>ND</t>
  </si>
  <si>
    <t>TTE Subsequent Tx 10 Finish Date</t>
  </si>
  <si>
    <t>NE</t>
  </si>
  <si>
    <t>TTE Subsequent Tx 11 Start Date</t>
  </si>
  <si>
    <t>NF</t>
  </si>
  <si>
    <t>TTE Subsequent Tx 11 Finish Date</t>
  </si>
  <si>
    <t>NG</t>
  </si>
  <si>
    <t>TTE Subsequent Tx 12 Start Date</t>
  </si>
  <si>
    <t>NH</t>
  </si>
  <si>
    <t>TTE Subsequent Tx 12 Finish Date</t>
  </si>
  <si>
    <t>NI</t>
  </si>
  <si>
    <t>TTE Subsequent Tx 13 Start Date</t>
  </si>
  <si>
    <t>NJ</t>
  </si>
  <si>
    <t>TTE Subsequent Tx 13 Finish Date</t>
  </si>
  <si>
    <t>NK</t>
  </si>
  <si>
    <t>TTE Subsequent Tx 14 Start Date</t>
  </si>
  <si>
    <t>NL</t>
  </si>
  <si>
    <t>TTE Subsequent Tx 14 Finish Date</t>
  </si>
  <si>
    <t>NM</t>
  </si>
  <si>
    <t>TTE Subsequent Tx 15 Start Date</t>
  </si>
  <si>
    <t>NN</t>
  </si>
  <si>
    <t>TTE Subsequent Tx 15 Finish Date</t>
  </si>
  <si>
    <t>NO</t>
  </si>
  <si>
    <t>Final case review</t>
  </si>
  <si>
    <t>Sending data</t>
  </si>
  <si>
    <t>Sending blocks</t>
  </si>
  <si>
    <t>Chemotherapy agents</t>
  </si>
  <si>
    <t>Immunotherapy agent</t>
  </si>
  <si>
    <t>Hormal therapy agents</t>
  </si>
  <si>
    <t>Non-therapy agents</t>
  </si>
  <si>
    <t>ETOPOSIDE</t>
  </si>
  <si>
    <t>ATEZOLIZUMAB</t>
  </si>
  <si>
    <t>CIPROFLOXACIN</t>
  </si>
  <si>
    <t>CARBOPLATIN</t>
  </si>
  <si>
    <t>DEXAMETHASONE</t>
  </si>
  <si>
    <t>CAPECITABINE</t>
  </si>
  <si>
    <t>FILGRASTIM</t>
  </si>
  <si>
    <t>GEMCITABINE</t>
  </si>
  <si>
    <t>LOPERAMIDE</t>
  </si>
  <si>
    <t>DOCETAXEL</t>
  </si>
  <si>
    <t>METOCLOPRAMIDE</t>
  </si>
  <si>
    <t>CETUXIMAB</t>
  </si>
  <si>
    <t>ONDANSETRON</t>
  </si>
  <si>
    <t>CISPLATIN</t>
  </si>
  <si>
    <t>SODIUM CHLORIDE</t>
  </si>
  <si>
    <t>ZEROBASE</t>
  </si>
  <si>
    <t>LINE FLUSH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</si>
</sst>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809]dd\ mmmm\ yyyy;@"/>
    <numFmt numFmtId="166" formatCode="0.0"/>
    <numFmt numFmtId="167" formatCode="[$-409]mmm\-yy;@"/>
  </numFmts>
  <fonts count="26" x14ac:knownFonts="1">
    <font>
      <sz val="10"/>
      <color theme="1"/>
      <name val="Arial"/>
      <family val="2"/>
    </font>
    <font>
      <sz val="11"/>
      <color theme="1"/>
      <name val="Calibri"/>
      <family val="2"/>
      <scheme val="minor"/>
    </font>
    <font>
      <sz val="12"/>
      <color rgb="FF000000"/>
      <name val="Calibri"/>
      <family val="2"/>
    </font>
    <font>
      <sz val="10"/>
      <color rgb="FFFF0000"/>
      <name val="Arial"/>
      <family val="2"/>
    </font>
    <font>
      <sz val="10"/>
      <color rgb="FF000000"/>
      <name val="Arial"/>
      <family val="2"/>
    </font>
    <font>
      <sz val="10"/>
      <color theme="1"/>
      <name val="Arial"/>
      <family val="2"/>
    </font>
    <font>
      <b/>
      <u/>
      <sz val="10"/>
      <color theme="1"/>
      <name val="Arial"/>
      <family val="2"/>
    </font>
    <font>
      <b/>
      <sz val="10"/>
      <color theme="1"/>
      <name val="Arial"/>
      <family val="2"/>
    </font>
    <font>
      <b/>
      <sz val="10"/>
      <color rgb="FF000000"/>
      <name val="Arial"/>
      <family val="2"/>
    </font>
    <font>
      <b/>
      <sz val="11"/>
      <color rgb="FF000000"/>
      <name val="Calibri"/>
      <family val="2"/>
      <scheme val="minor"/>
    </font>
    <font>
      <sz val="11"/>
      <color rgb="FF141414"/>
      <name val="Segoe UI"/>
      <family val="2"/>
    </font>
    <font>
      <b/>
      <sz val="11"/>
      <name val="Calibri"/>
      <family val="2"/>
      <scheme val="minor"/>
    </font>
    <font>
      <b/>
      <sz val="12"/>
      <color rgb="FF000000"/>
      <name val="Calibri"/>
      <family val="2"/>
      <scheme val="minor"/>
    </font>
    <font>
      <b/>
      <sz val="14"/>
      <color rgb="FFFF0000"/>
      <name val="Arial"/>
      <family val="2"/>
    </font>
    <font>
      <sz val="11"/>
      <color rgb="FF444444"/>
      <name val="Calibri"/>
      <family val="2"/>
      <charset val="1"/>
    </font>
    <font>
      <sz val="10"/>
      <color rgb="FF000000"/>
      <name val="Calibri"/>
      <family val="2"/>
    </font>
    <font>
      <b/>
      <sz val="14"/>
      <color rgb="FFFF0000"/>
      <name val="Calibri"/>
      <family val="2"/>
    </font>
    <font>
      <sz val="10"/>
      <color theme="1"/>
      <name val="Calibri"/>
      <family val="2"/>
    </font>
    <font>
      <b/>
      <sz val="10"/>
      <color rgb="FF000000"/>
      <name val="Calibri"/>
      <family val="2"/>
    </font>
    <font>
      <b/>
      <sz val="10"/>
      <name val="Calibri"/>
      <family val="2"/>
    </font>
    <font>
      <b/>
      <sz val="10"/>
      <color theme="1"/>
      <name val="Calibri"/>
      <family val="2"/>
    </font>
    <font>
      <sz val="10"/>
      <color rgb="FF000000"/>
      <name val="Calibri Light"/>
      <family val="2"/>
      <scheme val="major"/>
    </font>
    <font>
      <sz val="10"/>
      <color rgb="FFFF0000"/>
      <name val="Calibri Light"/>
      <family val="2"/>
      <scheme val="major"/>
    </font>
    <font>
      <sz val="10"/>
      <color theme="1"/>
      <name val="Calibri Light"/>
      <family val="2"/>
      <scheme val="major"/>
    </font>
    <font>
      <b/>
      <sz val="10"/>
      <color rgb="FF000000"/>
      <name val="Calibri Light"/>
      <family val="2"/>
      <scheme val="major"/>
    </font>
    <font>
      <sz val="10"/>
      <name val="Calibri Light"/>
      <family val="2"/>
      <scheme val="major"/>
    </font>
  </fonts>
  <fills count="17">
    <fill>
      <patternFill patternType="none"/>
    </fill>
    <fill>
      <patternFill patternType="gray125"/>
    </fill>
    <fill>
      <patternFill patternType="solid">
        <fgColor rgb="FFF8CBAD"/>
        <bgColor indexed="64"/>
      </patternFill>
    </fill>
    <fill>
      <patternFill patternType="solid">
        <fgColor rgb="FF9BC2E6"/>
        <bgColor indexed="64"/>
      </patternFill>
    </fill>
    <fill>
      <patternFill patternType="solid">
        <fgColor rgb="FFFFFF00"/>
        <bgColor indexed="64"/>
      </patternFill>
    </fill>
    <fill>
      <patternFill patternType="solid">
        <fgColor rgb="FFE7E6E6"/>
        <bgColor indexed="64"/>
      </patternFill>
    </fill>
    <fill>
      <patternFill patternType="solid">
        <fgColor rgb="FFFF8AD8"/>
        <bgColor rgb="FF000000"/>
      </patternFill>
    </fill>
    <fill>
      <patternFill patternType="solid">
        <fgColor rgb="FFA9D08E"/>
        <bgColor rgb="FF000000"/>
      </patternFill>
    </fill>
    <fill>
      <patternFill patternType="solid">
        <fgColor rgb="FFFFC000"/>
        <bgColor indexed="64"/>
      </patternFill>
    </fill>
    <fill>
      <patternFill patternType="solid">
        <fgColor rgb="FFFFD966"/>
        <bgColor indexed="64"/>
      </patternFill>
    </fill>
    <fill>
      <patternFill patternType="solid">
        <fgColor rgb="FFACB9CA"/>
        <bgColor indexed="64"/>
      </patternFill>
    </fill>
    <fill>
      <patternFill patternType="solid">
        <fgColor rgb="FFFFFF00"/>
        <bgColor rgb="FF000000"/>
      </patternFill>
    </fill>
    <fill>
      <patternFill patternType="solid">
        <fgColor rgb="FFE7E6E6"/>
        <bgColor rgb="FF000000"/>
      </patternFill>
    </fill>
    <fill>
      <patternFill patternType="solid">
        <fgColor rgb="FF9BC2E6"/>
        <bgColor rgb="FF000000"/>
      </patternFill>
    </fill>
    <fill>
      <patternFill patternType="solid">
        <fgColor rgb="FFF8CBAD"/>
        <bgColor rgb="FF000000"/>
      </patternFill>
    </fill>
    <fill>
      <patternFill patternType="solid">
        <fgColor rgb="FFFFD966"/>
        <bgColor rgb="FF000000"/>
      </patternFill>
    </fill>
    <fill>
      <patternFill patternType="solid">
        <fgColor rgb="FF92D050"/>
        <bgColor indexed="64"/>
      </patternFill>
    </fill>
  </fills>
  <borders count="29">
    <border>
      <left/>
      <right/>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medium">
        <color rgb="FF000000"/>
      </bottom>
      <diagonal/>
    </border>
    <border>
      <left style="thin">
        <color rgb="FF000000"/>
      </left>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auto="1"/>
      </right>
      <top/>
      <bottom/>
      <diagonal/>
    </border>
    <border>
      <left style="thin">
        <color indexed="64"/>
      </left>
      <right/>
      <top/>
      <bottom style="thin">
        <color indexed="64"/>
      </bottom>
      <diagonal/>
    </border>
  </borders>
  <cellStyleXfs count="3">
    <xf numFmtId="0" fontId="0" fillId="0" borderId="0"/>
    <xf numFmtId="0" fontId="1" fillId="0" borderId="0"/>
    <xf numFmtId="0" fontId="1" fillId="0" borderId="0"/>
  </cellStyleXfs>
  <cellXfs count="265">
    <xf numFmtId="0" fontId="0" fillId="0" borderId="0" xfId="0"/>
    <xf numFmtId="0" fontId="2" fillId="0" borderId="0" xfId="0" applyFont="1"/>
    <xf numFmtId="0" fontId="6" fillId="0" borderId="0" xfId="0" applyFont="1"/>
    <xf numFmtId="0" fontId="6" fillId="0" borderId="0" xfId="0" applyFont="1" applyAlignment="1">
      <alignment horizontal="center" vertical="center"/>
    </xf>
    <xf numFmtId="0" fontId="0" fillId="0" borderId="0" xfId="0" applyAlignment="1">
      <alignment horizontal="center" vertical="center"/>
    </xf>
    <xf numFmtId="0" fontId="9" fillId="11" borderId="9" xfId="0" applyFont="1" applyFill="1" applyBorder="1" applyAlignment="1">
      <alignment horizontal="center" vertical="center"/>
    </xf>
    <xf numFmtId="0" fontId="10" fillId="0" borderId="9" xfId="0" applyFont="1" applyBorder="1"/>
    <xf numFmtId="0" fontId="0" fillId="0" borderId="9" xfId="0" applyBorder="1"/>
    <xf numFmtId="0" fontId="11" fillId="11" borderId="9" xfId="0" applyFont="1" applyFill="1" applyBorder="1" applyAlignment="1">
      <alignment horizontal="center" vertical="center"/>
    </xf>
    <xf numFmtId="0" fontId="11" fillId="12" borderId="9" xfId="0" applyFont="1" applyFill="1" applyBorder="1" applyAlignment="1">
      <alignment horizontal="center" vertical="center"/>
    </xf>
    <xf numFmtId="0" fontId="11" fillId="13" borderId="9" xfId="0" applyFont="1" applyFill="1" applyBorder="1" applyAlignment="1">
      <alignment horizontal="center" vertical="center"/>
    </xf>
    <xf numFmtId="0" fontId="9" fillId="14" borderId="9" xfId="0" applyFont="1" applyFill="1" applyBorder="1" applyAlignment="1">
      <alignment horizontal="center" vertical="center"/>
    </xf>
    <xf numFmtId="0" fontId="11" fillId="15" borderId="9" xfId="0" applyFont="1" applyFill="1" applyBorder="1" applyAlignment="1">
      <alignment horizontal="center" vertical="center"/>
    </xf>
    <xf numFmtId="0" fontId="9" fillId="13" borderId="9" xfId="0" applyFont="1" applyFill="1" applyBorder="1" applyAlignment="1">
      <alignment horizontal="center" vertical="center"/>
    </xf>
    <xf numFmtId="0" fontId="12" fillId="12" borderId="9" xfId="0" applyFont="1" applyFill="1" applyBorder="1" applyAlignment="1">
      <alignment horizontal="center" vertical="center"/>
    </xf>
    <xf numFmtId="0" fontId="5" fillId="0" borderId="10" xfId="0" applyFont="1" applyBorder="1"/>
    <xf numFmtId="0" fontId="0" fillId="0" borderId="11" xfId="0" applyBorder="1"/>
    <xf numFmtId="0" fontId="5" fillId="0" borderId="12" xfId="0" applyFont="1" applyBorder="1"/>
    <xf numFmtId="0" fontId="0" fillId="0" borderId="13" xfId="0" applyBorder="1"/>
    <xf numFmtId="0" fontId="0" fillId="0" borderId="12" xfId="0" applyBorder="1"/>
    <xf numFmtId="0" fontId="7" fillId="0" borderId="12" xfId="1" applyFont="1" applyBorder="1" applyAlignment="1">
      <alignment horizontal="left"/>
    </xf>
    <xf numFmtId="0" fontId="7" fillId="0" borderId="12" xfId="0" applyFont="1" applyBorder="1"/>
    <xf numFmtId="0" fontId="8" fillId="0" borderId="12" xfId="0" applyFont="1" applyBorder="1"/>
    <xf numFmtId="0" fontId="8" fillId="0" borderId="14" xfId="0" applyFont="1" applyBorder="1"/>
    <xf numFmtId="0" fontId="13" fillId="0" borderId="0" xfId="0" applyFont="1"/>
    <xf numFmtId="20" fontId="0" fillId="0" borderId="0" xfId="0" applyNumberFormat="1"/>
    <xf numFmtId="0" fontId="0" fillId="0" borderId="7" xfId="0" applyBorder="1"/>
    <xf numFmtId="14" fontId="6" fillId="0" borderId="0" xfId="0" applyNumberFormat="1" applyFont="1"/>
    <xf numFmtId="0" fontId="14" fillId="0" borderId="0" xfId="0" applyFont="1"/>
    <xf numFmtId="0" fontId="12" fillId="12" borderId="2" xfId="0" applyFont="1" applyFill="1" applyBorder="1" applyAlignment="1">
      <alignment horizontal="center" vertical="center"/>
    </xf>
    <xf numFmtId="0" fontId="10" fillId="0" borderId="2" xfId="0" applyFont="1" applyBorder="1"/>
    <xf numFmtId="0" fontId="0" fillId="0" borderId="2" xfId="0" applyBorder="1"/>
    <xf numFmtId="0" fontId="7" fillId="0" borderId="7" xfId="0" applyFont="1" applyBorder="1" applyAlignment="1">
      <alignment horizontal="center" vertical="center"/>
    </xf>
    <xf numFmtId="0" fontId="0" fillId="0" borderId="4" xfId="0" applyBorder="1"/>
    <xf numFmtId="0" fontId="7" fillId="0" borderId="4" xfId="0" applyFont="1" applyBorder="1" applyAlignment="1">
      <alignment horizontal="center" vertical="center"/>
    </xf>
    <xf numFmtId="0" fontId="7" fillId="0" borderId="7" xfId="0" applyFont="1" applyBorder="1" applyAlignment="1">
      <alignment horizontal="center"/>
    </xf>
    <xf numFmtId="0" fontId="0" fillId="0" borderId="7" xfId="0" applyBorder="1" applyAlignment="1">
      <alignment horizontal="left"/>
    </xf>
    <xf numFmtId="0" fontId="15" fillId="0" borderId="15" xfId="0" applyFont="1" applyBorder="1" applyAlignment="1" applyProtection="1">
      <alignment horizontal="left"/>
      <protection locked="0"/>
    </xf>
    <xf numFmtId="0" fontId="4" fillId="0" borderId="0" xfId="0" applyFont="1"/>
    <xf numFmtId="0" fontId="16" fillId="0" borderId="0" xfId="0" applyFont="1"/>
    <xf numFmtId="0" fontId="17" fillId="0" borderId="0" xfId="0" applyFont="1" applyAlignment="1">
      <alignment wrapText="1"/>
    </xf>
    <xf numFmtId="164" fontId="18" fillId="4" borderId="1" xfId="1" applyNumberFormat="1" applyFont="1" applyFill="1" applyBorder="1" applyAlignment="1">
      <alignment horizontal="center" vertical="center" wrapText="1"/>
    </xf>
    <xf numFmtId="164" fontId="19" fillId="4" borderId="1" xfId="1" applyNumberFormat="1" applyFont="1" applyFill="1" applyBorder="1" applyAlignment="1">
      <alignment horizontal="center" vertical="center" wrapText="1"/>
    </xf>
    <xf numFmtId="165" fontId="19" fillId="4" borderId="1" xfId="1" applyNumberFormat="1" applyFont="1" applyFill="1" applyBorder="1" applyAlignment="1">
      <alignment horizontal="center" vertical="center" wrapText="1"/>
    </xf>
    <xf numFmtId="164" fontId="19" fillId="4" borderId="2" xfId="1" applyNumberFormat="1" applyFont="1" applyFill="1" applyBorder="1" applyAlignment="1">
      <alignment horizontal="center" vertical="center" wrapText="1"/>
    </xf>
    <xf numFmtId="167" fontId="18" fillId="4" borderId="7" xfId="1" applyNumberFormat="1" applyFont="1" applyFill="1" applyBorder="1" applyAlignment="1">
      <alignment horizontal="center" vertical="center" wrapText="1"/>
    </xf>
    <xf numFmtId="164" fontId="18" fillId="4" borderId="7" xfId="1" applyNumberFormat="1" applyFont="1" applyFill="1" applyBorder="1" applyAlignment="1">
      <alignment horizontal="center" vertical="center" wrapText="1"/>
    </xf>
    <xf numFmtId="165" fontId="19" fillId="4" borderId="3" xfId="1" applyNumberFormat="1" applyFont="1" applyFill="1" applyBorder="1" applyAlignment="1">
      <alignment horizontal="center" vertical="center" wrapText="1"/>
    </xf>
    <xf numFmtId="165" fontId="19" fillId="4" borderId="4" xfId="1" applyNumberFormat="1" applyFont="1" applyFill="1" applyBorder="1" applyAlignment="1">
      <alignment horizontal="center" vertical="center" wrapText="1"/>
    </xf>
    <xf numFmtId="0" fontId="19" fillId="4" borderId="4" xfId="1" applyFont="1" applyFill="1" applyBorder="1" applyAlignment="1">
      <alignment horizontal="center" vertical="center" wrapText="1"/>
    </xf>
    <xf numFmtId="164" fontId="19" fillId="4" borderId="7" xfId="1" applyNumberFormat="1" applyFont="1" applyFill="1" applyBorder="1" applyAlignment="1">
      <alignment horizontal="center" vertical="center" wrapText="1"/>
    </xf>
    <xf numFmtId="164" fontId="19" fillId="4" borderId="4" xfId="1" applyNumberFormat="1" applyFont="1" applyFill="1" applyBorder="1" applyAlignment="1">
      <alignment horizontal="center" vertical="center" wrapText="1"/>
    </xf>
    <xf numFmtId="0" fontId="19" fillId="4" borderId="7" xfId="1" applyFont="1" applyFill="1" applyBorder="1" applyAlignment="1">
      <alignment horizontal="center" vertical="center" wrapText="1"/>
    </xf>
    <xf numFmtId="164" fontId="19" fillId="4" borderId="3" xfId="1" applyNumberFormat="1" applyFont="1" applyFill="1" applyBorder="1" applyAlignment="1">
      <alignment horizontal="center" vertical="center" wrapText="1"/>
    </xf>
    <xf numFmtId="164" fontId="19" fillId="5" borderId="4" xfId="1" applyNumberFormat="1" applyFont="1" applyFill="1" applyBorder="1" applyAlignment="1">
      <alignment horizontal="center" vertical="center" wrapText="1"/>
    </xf>
    <xf numFmtId="0" fontId="19" fillId="5" borderId="7" xfId="1" applyFont="1" applyFill="1" applyBorder="1" applyAlignment="1">
      <alignment horizontal="center" vertical="center" wrapText="1"/>
    </xf>
    <xf numFmtId="165" fontId="19" fillId="5" borderId="7" xfId="1" applyNumberFormat="1" applyFont="1" applyFill="1" applyBorder="1" applyAlignment="1">
      <alignment horizontal="center" vertical="center" wrapText="1"/>
    </xf>
    <xf numFmtId="0" fontId="19" fillId="3" borderId="7" xfId="1" applyFont="1" applyFill="1" applyBorder="1" applyAlignment="1">
      <alignment horizontal="center" vertical="center" wrapText="1"/>
    </xf>
    <xf numFmtId="165" fontId="19" fillId="3" borderId="7" xfId="1" applyNumberFormat="1" applyFont="1" applyFill="1" applyBorder="1" applyAlignment="1">
      <alignment horizontal="center" vertical="center" wrapText="1"/>
    </xf>
    <xf numFmtId="0" fontId="19" fillId="3" borderId="4" xfId="1" applyFont="1" applyFill="1" applyBorder="1" applyAlignment="1">
      <alignment horizontal="center" vertical="center" wrapText="1"/>
    </xf>
    <xf numFmtId="165" fontId="18" fillId="2" borderId="7" xfId="1" applyNumberFormat="1" applyFont="1" applyFill="1" applyBorder="1" applyAlignment="1">
      <alignment horizontal="center" vertical="center" wrapText="1"/>
    </xf>
    <xf numFmtId="164" fontId="18" fillId="2" borderId="7" xfId="1" applyNumberFormat="1" applyFont="1" applyFill="1" applyBorder="1" applyAlignment="1">
      <alignment horizontal="center" vertical="center" wrapText="1"/>
    </xf>
    <xf numFmtId="0" fontId="19" fillId="9" borderId="7" xfId="1" applyFont="1" applyFill="1" applyBorder="1" applyAlignment="1">
      <alignment horizontal="center" vertical="center" wrapText="1"/>
    </xf>
    <xf numFmtId="165" fontId="19" fillId="9" borderId="7" xfId="1" applyNumberFormat="1" applyFont="1" applyFill="1" applyBorder="1" applyAlignment="1">
      <alignment horizontal="center" vertical="center" wrapText="1"/>
    </xf>
    <xf numFmtId="165" fontId="19" fillId="9" borderId="7" xfId="1" quotePrefix="1" applyNumberFormat="1" applyFont="1" applyFill="1" applyBorder="1" applyAlignment="1">
      <alignment horizontal="center" vertical="center" wrapText="1"/>
    </xf>
    <xf numFmtId="0" fontId="19" fillId="9" borderId="7" xfId="1" quotePrefix="1" applyFont="1" applyFill="1" applyBorder="1" applyAlignment="1">
      <alignment horizontal="center" vertical="center" wrapText="1"/>
    </xf>
    <xf numFmtId="0" fontId="19" fillId="9" borderId="4" xfId="1" applyFont="1" applyFill="1" applyBorder="1" applyAlignment="1">
      <alignment horizontal="center" vertical="center" wrapText="1"/>
    </xf>
    <xf numFmtId="0" fontId="19" fillId="3" borderId="1" xfId="1" applyFont="1" applyFill="1" applyBorder="1" applyAlignment="1">
      <alignment horizontal="center" vertical="center" wrapText="1"/>
    </xf>
    <xf numFmtId="165" fontId="19" fillId="3" borderId="2" xfId="1" applyNumberFormat="1" applyFont="1" applyFill="1" applyBorder="1" applyAlignment="1">
      <alignment horizontal="center" vertical="center" wrapText="1"/>
    </xf>
    <xf numFmtId="0" fontId="18" fillId="3" borderId="2" xfId="1" applyFont="1" applyFill="1" applyBorder="1" applyAlignment="1">
      <alignment horizontal="center" vertical="center" wrapText="1"/>
    </xf>
    <xf numFmtId="0" fontId="19" fillId="3" borderId="2" xfId="1" applyFont="1" applyFill="1" applyBorder="1" applyAlignment="1">
      <alignment horizontal="center" vertical="center" wrapText="1"/>
    </xf>
    <xf numFmtId="0" fontId="19" fillId="3" borderId="5" xfId="1" applyFont="1" applyFill="1" applyBorder="1" applyAlignment="1">
      <alignment horizontal="center" vertical="center" wrapText="1"/>
    </xf>
    <xf numFmtId="164" fontId="18" fillId="8" borderId="7" xfId="2" applyNumberFormat="1" applyFont="1" applyFill="1" applyBorder="1" applyAlignment="1">
      <alignment horizontal="center" vertical="center" wrapText="1"/>
    </xf>
    <xf numFmtId="0" fontId="20" fillId="10" borderId="6" xfId="0" applyFont="1" applyFill="1" applyBorder="1" applyAlignment="1">
      <alignment horizontal="center" vertical="center" wrapText="1"/>
    </xf>
    <xf numFmtId="0" fontId="20" fillId="10" borderId="7" xfId="0" applyFont="1" applyFill="1" applyBorder="1" applyAlignment="1">
      <alignment horizontal="center" vertical="center" wrapText="1"/>
    </xf>
    <xf numFmtId="164" fontId="18" fillId="6" borderId="4" xfId="0" applyNumberFormat="1" applyFont="1" applyFill="1" applyBorder="1" applyAlignment="1">
      <alignment horizontal="center" vertical="center" wrapText="1"/>
    </xf>
    <xf numFmtId="164" fontId="18" fillId="7" borderId="4" xfId="0" applyNumberFormat="1" applyFont="1" applyFill="1" applyBorder="1" applyAlignment="1">
      <alignment horizontal="center" vertical="center" wrapText="1"/>
    </xf>
    <xf numFmtId="164" fontId="18" fillId="5" borderId="4" xfId="1" applyNumberFormat="1" applyFont="1" applyFill="1" applyBorder="1" applyAlignment="1">
      <alignment horizontal="center" vertical="center" wrapText="1"/>
    </xf>
    <xf numFmtId="164" fontId="18" fillId="5" borderId="1" xfId="1" applyNumberFormat="1" applyFont="1" applyFill="1" applyBorder="1" applyAlignment="1">
      <alignment horizontal="center" vertical="center" wrapText="1"/>
    </xf>
    <xf numFmtId="0" fontId="15" fillId="0" borderId="7" xfId="0" applyFont="1" applyBorder="1" applyAlignment="1">
      <alignment wrapText="1"/>
    </xf>
    <xf numFmtId="0" fontId="15" fillId="0" borderId="6" xfId="0" applyFont="1" applyBorder="1" applyAlignment="1">
      <alignment wrapText="1"/>
    </xf>
    <xf numFmtId="0" fontId="15" fillId="0" borderId="4" xfId="0" applyFont="1" applyBorder="1" applyAlignment="1">
      <alignment horizontal="left" wrapText="1"/>
    </xf>
    <xf numFmtId="165" fontId="15" fillId="0" borderId="4" xfId="0" applyNumberFormat="1" applyFont="1" applyBorder="1" applyAlignment="1">
      <alignment horizontal="left" wrapText="1"/>
    </xf>
    <xf numFmtId="0" fontId="15" fillId="0" borderId="4" xfId="0" applyFont="1" applyBorder="1" applyAlignment="1">
      <alignment wrapText="1"/>
    </xf>
    <xf numFmtId="0" fontId="15" fillId="0" borderId="4" xfId="0" applyFont="1" applyBorder="1"/>
    <xf numFmtId="165" fontId="15" fillId="0" borderId="15" xfId="0" applyNumberFormat="1" applyFont="1" applyBorder="1" applyAlignment="1">
      <alignment horizontal="left" wrapText="1"/>
    </xf>
    <xf numFmtId="0" fontId="15" fillId="0" borderId="0" xfId="0" applyFont="1" applyAlignment="1">
      <alignment wrapText="1"/>
    </xf>
    <xf numFmtId="0" fontId="15" fillId="0" borderId="8" xfId="0" applyFont="1" applyBorder="1" applyAlignment="1">
      <alignment wrapText="1"/>
    </xf>
    <xf numFmtId="0" fontId="15" fillId="0" borderId="18" xfId="0" applyFont="1" applyBorder="1" applyAlignment="1">
      <alignment horizontal="left" wrapText="1"/>
    </xf>
    <xf numFmtId="0" fontId="15" fillId="0" borderId="18" xfId="0" applyFont="1" applyBorder="1" applyAlignment="1">
      <alignment wrapText="1"/>
    </xf>
    <xf numFmtId="164" fontId="15" fillId="0" borderId="17" xfId="0" applyNumberFormat="1" applyFont="1" applyBorder="1" applyAlignment="1">
      <alignment wrapText="1"/>
    </xf>
    <xf numFmtId="164" fontId="15" fillId="0" borderId="7" xfId="0" applyNumberFormat="1" applyFont="1" applyBorder="1" applyAlignment="1">
      <alignment wrapText="1"/>
    </xf>
    <xf numFmtId="164" fontId="15" fillId="0" borderId="18" xfId="0" applyNumberFormat="1" applyFont="1" applyBorder="1" applyAlignment="1">
      <alignment wrapText="1"/>
    </xf>
    <xf numFmtId="165" fontId="15" fillId="0" borderId="18" xfId="0" applyNumberFormat="1" applyFont="1" applyBorder="1" applyAlignment="1">
      <alignment wrapText="1"/>
    </xf>
    <xf numFmtId="164" fontId="15" fillId="0" borderId="19" xfId="0" applyNumberFormat="1" applyFont="1" applyBorder="1" applyAlignment="1">
      <alignment wrapText="1"/>
    </xf>
    <xf numFmtId="0" fontId="15" fillId="0" borderId="7" xfId="0" applyFont="1" applyBorder="1" applyAlignment="1">
      <alignment horizontal="left" wrapText="1"/>
    </xf>
    <xf numFmtId="0" fontId="15" fillId="0" borderId="6" xfId="0" applyFont="1" applyBorder="1" applyAlignment="1">
      <alignment horizontal="left" wrapText="1"/>
    </xf>
    <xf numFmtId="0" fontId="15" fillId="0" borderId="19" xfId="1" applyFont="1" applyBorder="1" applyAlignment="1">
      <alignment horizontal="left" wrapText="1"/>
    </xf>
    <xf numFmtId="0" fontId="15" fillId="0" borderId="4" xfId="0" quotePrefix="1" applyFont="1" applyBorder="1"/>
    <xf numFmtId="166" fontId="15" fillId="0" borderId="18" xfId="1" applyNumberFormat="1" applyFont="1" applyBorder="1" applyAlignment="1">
      <alignment horizontal="left" wrapText="1"/>
    </xf>
    <xf numFmtId="166" fontId="15" fillId="0" borderId="4" xfId="1" applyNumberFormat="1" applyFont="1" applyBorder="1" applyAlignment="1">
      <alignment horizontal="left" wrapText="1"/>
    </xf>
    <xf numFmtId="0" fontId="15" fillId="0" borderId="4" xfId="1" applyFont="1" applyBorder="1" applyAlignment="1">
      <alignment horizontal="left" wrapText="1"/>
    </xf>
    <xf numFmtId="0" fontId="17" fillId="0" borderId="7" xfId="0" applyFont="1" applyBorder="1" applyAlignment="1">
      <alignment horizontal="left"/>
    </xf>
    <xf numFmtId="0" fontId="17" fillId="0" borderId="7" xfId="0" applyFont="1" applyBorder="1"/>
    <xf numFmtId="0" fontId="17" fillId="0" borderId="7" xfId="0" applyFont="1" applyBorder="1" applyAlignment="1">
      <alignment wrapText="1"/>
    </xf>
    <xf numFmtId="0" fontId="17" fillId="0" borderId="21" xfId="0" applyFont="1" applyBorder="1" applyAlignment="1">
      <alignment wrapText="1"/>
    </xf>
    <xf numFmtId="0" fontId="17" fillId="0" borderId="8" xfId="0" applyFont="1" applyBorder="1" applyAlignment="1">
      <alignment wrapText="1"/>
    </xf>
    <xf numFmtId="0" fontId="17" fillId="0" borderId="20" xfId="0" applyFont="1" applyBorder="1" applyAlignment="1">
      <alignment wrapText="1"/>
    </xf>
    <xf numFmtId="0" fontId="21" fillId="0" borderId="7" xfId="0" quotePrefix="1" applyFont="1" applyBorder="1"/>
    <xf numFmtId="0" fontId="21" fillId="0" borderId="7" xfId="1" quotePrefix="1" applyFont="1" applyBorder="1" applyAlignment="1">
      <alignment horizontal="left"/>
    </xf>
    <xf numFmtId="0" fontId="17" fillId="0" borderId="7" xfId="0" applyFont="1" applyBorder="1" applyAlignment="1">
      <alignment horizontal="left" wrapText="1"/>
    </xf>
    <xf numFmtId="165" fontId="23" fillId="0" borderId="7" xfId="0" applyNumberFormat="1" applyFont="1" applyBorder="1" applyAlignment="1">
      <alignment horizontal="left"/>
    </xf>
    <xf numFmtId="165" fontId="23" fillId="0" borderId="7" xfId="0" applyNumberFormat="1" applyFont="1" applyBorder="1" applyAlignment="1">
      <alignment horizontal="left" vertical="center"/>
    </xf>
    <xf numFmtId="0" fontId="23" fillId="0" borderId="7" xfId="0" applyFont="1" applyBorder="1" applyAlignment="1">
      <alignment horizontal="left"/>
    </xf>
    <xf numFmtId="0" fontId="17" fillId="0" borderId="4" xfId="0" applyFont="1" applyBorder="1" applyAlignment="1">
      <alignment horizontal="left" wrapText="1"/>
    </xf>
    <xf numFmtId="0" fontId="17" fillId="0" borderId="4" xfId="0" applyFont="1" applyBorder="1" applyAlignment="1">
      <alignment wrapText="1"/>
    </xf>
    <xf numFmtId="0" fontId="17" fillId="0" borderId="16" xfId="0" applyFont="1" applyBorder="1" applyAlignment="1">
      <alignment wrapText="1"/>
    </xf>
    <xf numFmtId="0" fontId="17" fillId="0" borderId="6" xfId="0" applyFont="1" applyBorder="1" applyAlignment="1">
      <alignment wrapText="1"/>
    </xf>
    <xf numFmtId="0" fontId="17" fillId="0" borderId="15" xfId="0" applyFont="1" applyBorder="1" applyAlignment="1">
      <alignment wrapText="1"/>
    </xf>
    <xf numFmtId="164" fontId="15" fillId="0" borderId="4" xfId="0" applyNumberFormat="1" applyFont="1" applyBorder="1" applyAlignment="1">
      <alignment wrapText="1"/>
    </xf>
    <xf numFmtId="164" fontId="23" fillId="0" borderId="7" xfId="0" applyNumberFormat="1" applyFont="1" applyBorder="1" applyAlignment="1">
      <alignment horizontal="left"/>
    </xf>
    <xf numFmtId="0" fontId="23" fillId="0" borderId="7" xfId="0" applyFont="1" applyBorder="1"/>
    <xf numFmtId="164" fontId="19" fillId="4" borderId="20" xfId="1" applyNumberFormat="1" applyFont="1" applyFill="1" applyBorder="1" applyAlignment="1">
      <alignment horizontal="center" vertical="center" wrapText="1"/>
    </xf>
    <xf numFmtId="0" fontId="15" fillId="0" borderId="19" xfId="0" applyFont="1" applyBorder="1" applyAlignment="1">
      <alignment wrapText="1"/>
    </xf>
    <xf numFmtId="0" fontId="23" fillId="0" borderId="0" xfId="0" applyFont="1"/>
    <xf numFmtId="0" fontId="23" fillId="0" borderId="7" xfId="0" applyFont="1" applyBorder="1" applyAlignment="1">
      <alignment horizontal="left" wrapText="1"/>
    </xf>
    <xf numFmtId="0" fontId="21" fillId="0" borderId="7" xfId="0" applyFont="1" applyBorder="1" applyAlignment="1">
      <alignment wrapText="1"/>
    </xf>
    <xf numFmtId="0" fontId="21" fillId="0" borderId="6" xfId="0" applyFont="1" applyBorder="1" applyAlignment="1">
      <alignment wrapText="1"/>
    </xf>
    <xf numFmtId="0" fontId="21" fillId="0" borderId="4" xfId="0" applyFont="1" applyBorder="1" applyAlignment="1">
      <alignment wrapText="1"/>
    </xf>
    <xf numFmtId="165" fontId="21" fillId="0" borderId="16" xfId="0" quotePrefix="1" applyNumberFormat="1" applyFont="1" applyBorder="1"/>
    <xf numFmtId="0" fontId="21" fillId="0" borderId="0" xfId="0" applyFont="1" applyAlignment="1">
      <alignment wrapText="1"/>
    </xf>
    <xf numFmtId="0" fontId="21" fillId="0" borderId="8" xfId="0" applyFont="1" applyBorder="1" applyAlignment="1">
      <alignment wrapText="1"/>
    </xf>
    <xf numFmtId="0" fontId="21" fillId="0" borderId="18" xfId="0" applyFont="1" applyBorder="1" applyAlignment="1">
      <alignment horizontal="left" wrapText="1"/>
    </xf>
    <xf numFmtId="0" fontId="21" fillId="0" borderId="19" xfId="0" applyFont="1" applyBorder="1" applyAlignment="1">
      <alignment wrapText="1"/>
    </xf>
    <xf numFmtId="0" fontId="21" fillId="0" borderId="7" xfId="0" applyFont="1" applyBorder="1" applyAlignment="1">
      <alignment horizontal="left" wrapText="1"/>
    </xf>
    <xf numFmtId="0" fontId="23" fillId="0" borderId="7" xfId="0" applyFont="1" applyBorder="1" applyAlignment="1">
      <alignment wrapText="1"/>
    </xf>
    <xf numFmtId="0" fontId="23" fillId="0" borderId="8" xfId="0" applyFont="1" applyBorder="1" applyAlignment="1">
      <alignment wrapText="1"/>
    </xf>
    <xf numFmtId="165" fontId="23" fillId="0" borderId="21" xfId="0" applyNumberFormat="1" applyFont="1" applyBorder="1" applyAlignment="1">
      <alignment wrapText="1"/>
    </xf>
    <xf numFmtId="0" fontId="23" fillId="0" borderId="20" xfId="0" applyFont="1" applyBorder="1" applyAlignment="1">
      <alignment wrapText="1"/>
    </xf>
    <xf numFmtId="0" fontId="23" fillId="0" borderId="21" xfId="0" applyFont="1" applyBorder="1" applyAlignment="1">
      <alignment wrapText="1"/>
    </xf>
    <xf numFmtId="0" fontId="23" fillId="0" borderId="4" xfId="0" applyFont="1" applyBorder="1" applyAlignment="1">
      <alignment horizontal="left" wrapText="1"/>
    </xf>
    <xf numFmtId="0" fontId="23" fillId="0" borderId="16" xfId="0" applyFont="1" applyBorder="1" applyAlignment="1">
      <alignment wrapText="1"/>
    </xf>
    <xf numFmtId="0" fontId="21" fillId="0" borderId="4" xfId="0" quotePrefix="1" applyFont="1" applyBorder="1"/>
    <xf numFmtId="0" fontId="23" fillId="0" borderId="15" xfId="0" applyFont="1" applyBorder="1" applyAlignment="1">
      <alignment wrapText="1"/>
    </xf>
    <xf numFmtId="0" fontId="21" fillId="0" borderId="15" xfId="0" applyFont="1" applyBorder="1" applyAlignment="1" applyProtection="1">
      <alignment horizontal="left"/>
      <protection locked="0"/>
    </xf>
    <xf numFmtId="0" fontId="23" fillId="0" borderId="4" xfId="0" applyFont="1" applyBorder="1"/>
    <xf numFmtId="0" fontId="17" fillId="0" borderId="9" xfId="0" applyFont="1" applyBorder="1" applyAlignment="1">
      <alignment horizontal="left" wrapText="1"/>
    </xf>
    <xf numFmtId="0" fontId="23" fillId="0" borderId="9" xfId="0" applyFont="1" applyBorder="1"/>
    <xf numFmtId="0" fontId="17" fillId="0" borderId="9" xfId="0" applyFont="1" applyBorder="1" applyAlignment="1">
      <alignment wrapText="1"/>
    </xf>
    <xf numFmtId="0" fontId="15" fillId="0" borderId="16" xfId="0" applyFont="1" applyBorder="1" applyAlignment="1" applyProtection="1">
      <alignment horizontal="left"/>
      <protection locked="0"/>
    </xf>
    <xf numFmtId="0" fontId="15" fillId="0" borderId="21" xfId="0" applyFont="1" applyBorder="1"/>
    <xf numFmtId="0" fontId="17" fillId="0" borderId="22" xfId="0" applyFont="1" applyBorder="1" applyAlignment="1">
      <alignment wrapText="1"/>
    </xf>
    <xf numFmtId="0" fontId="21" fillId="0" borderId="9" xfId="0" applyFont="1" applyBorder="1" applyAlignment="1">
      <alignment wrapText="1"/>
    </xf>
    <xf numFmtId="0" fontId="23" fillId="0" borderId="9" xfId="0" applyFont="1" applyBorder="1" applyAlignment="1">
      <alignment wrapText="1"/>
    </xf>
    <xf numFmtId="0" fontId="21" fillId="0" borderId="16" xfId="0" applyFont="1" applyBorder="1" applyAlignment="1">
      <alignment wrapText="1"/>
    </xf>
    <xf numFmtId="0" fontId="21" fillId="0" borderId="4" xfId="0" applyFont="1" applyBorder="1" applyAlignment="1" applyProtection="1">
      <alignment horizontal="left"/>
      <protection locked="0"/>
    </xf>
    <xf numFmtId="49" fontId="21" fillId="0" borderId="4" xfId="0" applyNumberFormat="1" applyFont="1" applyBorder="1" applyAlignment="1">
      <alignment horizontal="left"/>
    </xf>
    <xf numFmtId="0" fontId="21" fillId="0" borderId="4" xfId="0" applyFont="1" applyBorder="1" applyAlignment="1">
      <alignment horizontal="left" wrapText="1"/>
    </xf>
    <xf numFmtId="165" fontId="21" fillId="0" borderId="6" xfId="0" applyNumberFormat="1" applyFont="1" applyBorder="1" applyAlignment="1">
      <alignment horizontal="left" wrapText="1"/>
    </xf>
    <xf numFmtId="0" fontId="21" fillId="0" borderId="21" xfId="0" applyFont="1" applyBorder="1" applyAlignment="1">
      <alignment wrapText="1"/>
    </xf>
    <xf numFmtId="0" fontId="21" fillId="0" borderId="7" xfId="0" applyFont="1" applyBorder="1"/>
    <xf numFmtId="0" fontId="23" fillId="0" borderId="4" xfId="0" applyFont="1" applyBorder="1" applyAlignment="1">
      <alignment wrapText="1"/>
    </xf>
    <xf numFmtId="165" fontId="23" fillId="0" borderId="4" xfId="0" applyNumberFormat="1" applyFont="1" applyBorder="1" applyAlignment="1">
      <alignment horizontal="left"/>
    </xf>
    <xf numFmtId="0" fontId="23" fillId="0" borderId="6" xfId="0" applyFont="1" applyBorder="1" applyAlignment="1">
      <alignment wrapText="1"/>
    </xf>
    <xf numFmtId="0" fontId="15" fillId="0" borderId="9" xfId="0" applyFont="1" applyBorder="1" applyAlignment="1">
      <alignment wrapText="1"/>
    </xf>
    <xf numFmtId="0" fontId="25" fillId="0" borderId="9" xfId="0" applyFont="1" applyBorder="1"/>
    <xf numFmtId="164" fontId="23" fillId="0" borderId="9" xfId="0" applyNumberFormat="1" applyFont="1" applyBorder="1" applyAlignment="1">
      <alignment horizontal="left"/>
    </xf>
    <xf numFmtId="0" fontId="23" fillId="0" borderId="9" xfId="0" applyFont="1" applyBorder="1" applyAlignment="1">
      <alignment horizontal="left"/>
    </xf>
    <xf numFmtId="165" fontId="15" fillId="0" borderId="15" xfId="0" quotePrefix="1" applyNumberFormat="1" applyFont="1" applyBorder="1"/>
    <xf numFmtId="165" fontId="17" fillId="0" borderId="20" xfId="0" applyNumberFormat="1" applyFont="1" applyBorder="1" applyAlignment="1">
      <alignment wrapText="1"/>
    </xf>
    <xf numFmtId="0" fontId="21" fillId="0" borderId="7" xfId="0" applyFont="1" applyBorder="1" applyAlignment="1" applyProtection="1">
      <alignment horizontal="left"/>
      <protection locked="0"/>
    </xf>
    <xf numFmtId="0" fontId="15" fillId="0" borderId="16" xfId="0" applyFont="1" applyBorder="1" applyAlignment="1">
      <alignment wrapText="1"/>
    </xf>
    <xf numFmtId="0" fontId="15" fillId="0" borderId="7" xfId="0" applyFont="1" applyBorder="1"/>
    <xf numFmtId="0" fontId="15" fillId="0" borderId="15" xfId="0" applyFont="1" applyBorder="1" applyAlignment="1">
      <alignment wrapText="1"/>
    </xf>
    <xf numFmtId="0" fontId="15" fillId="0" borderId="6" xfId="0" applyFont="1" applyBorder="1"/>
    <xf numFmtId="0" fontId="17" fillId="0" borderId="8" xfId="0" applyFont="1" applyBorder="1" applyAlignment="1">
      <alignment horizontal="left" wrapText="1"/>
    </xf>
    <xf numFmtId="165" fontId="15" fillId="0" borderId="16" xfId="0" quotePrefix="1" applyNumberFormat="1" applyFont="1" applyBorder="1"/>
    <xf numFmtId="0" fontId="17" fillId="0" borderId="20" xfId="0" applyFont="1" applyBorder="1" applyAlignment="1">
      <alignment horizontal="left" wrapText="1"/>
    </xf>
    <xf numFmtId="164" fontId="15" fillId="0" borderId="8" xfId="0" applyNumberFormat="1" applyFont="1" applyBorder="1" applyAlignment="1">
      <alignment wrapText="1"/>
    </xf>
    <xf numFmtId="0" fontId="19" fillId="5" borderId="4" xfId="1" applyFont="1" applyFill="1" applyBorder="1" applyAlignment="1">
      <alignment horizontal="center" vertical="center" wrapText="1"/>
    </xf>
    <xf numFmtId="165" fontId="17" fillId="0" borderId="21" xfId="0" applyNumberFormat="1" applyFont="1" applyBorder="1" applyAlignment="1">
      <alignment wrapText="1"/>
    </xf>
    <xf numFmtId="0" fontId="17" fillId="0" borderId="20" xfId="0" applyFont="1" applyBorder="1"/>
    <xf numFmtId="165" fontId="23" fillId="0" borderId="7" xfId="0" applyNumberFormat="1" applyFont="1" applyBorder="1" applyAlignment="1">
      <alignment horizontal="right"/>
    </xf>
    <xf numFmtId="165" fontId="17" fillId="0" borderId="21" xfId="0" applyNumberFormat="1" applyFont="1" applyBorder="1" applyAlignment="1">
      <alignment horizontal="right" wrapText="1"/>
    </xf>
    <xf numFmtId="0" fontId="17" fillId="0" borderId="6" xfId="0" applyFont="1" applyBorder="1" applyAlignment="1">
      <alignment horizontal="left" wrapText="1"/>
    </xf>
    <xf numFmtId="165" fontId="23" fillId="0" borderId="4" xfId="0" applyNumberFormat="1" applyFont="1" applyBorder="1" applyAlignment="1">
      <alignment horizontal="right" vertical="center"/>
    </xf>
    <xf numFmtId="0" fontId="17" fillId="0" borderId="4" xfId="0" applyFont="1" applyBorder="1"/>
    <xf numFmtId="165" fontId="17" fillId="0" borderId="16" xfId="0" applyNumberFormat="1" applyFont="1" applyBorder="1" applyAlignment="1">
      <alignment wrapText="1"/>
    </xf>
    <xf numFmtId="0" fontId="15" fillId="0" borderId="20" xfId="0" applyFont="1" applyBorder="1" applyAlignment="1">
      <alignment wrapText="1"/>
    </xf>
    <xf numFmtId="164" fontId="19" fillId="4" borderId="15" xfId="1" applyNumberFormat="1" applyFont="1" applyFill="1" applyBorder="1" applyAlignment="1">
      <alignment horizontal="center" vertical="center" wrapText="1"/>
    </xf>
    <xf numFmtId="0" fontId="15" fillId="0" borderId="21" xfId="0" applyFont="1" applyBorder="1" applyAlignment="1">
      <alignment horizontal="left" wrapText="1"/>
    </xf>
    <xf numFmtId="0" fontId="17" fillId="0" borderId="21" xfId="0" applyFont="1" applyBorder="1" applyAlignment="1">
      <alignment horizontal="left" wrapText="1"/>
    </xf>
    <xf numFmtId="0" fontId="15" fillId="16" borderId="0" xfId="0" applyFont="1" applyFill="1"/>
    <xf numFmtId="0" fontId="15" fillId="16" borderId="7" xfId="0" applyFont="1" applyFill="1" applyBorder="1" applyAlignment="1">
      <alignment horizontal="left" wrapText="1"/>
    </xf>
    <xf numFmtId="167" fontId="18" fillId="4" borderId="4" xfId="1" applyNumberFormat="1" applyFont="1" applyFill="1" applyBorder="1" applyAlignment="1">
      <alignment horizontal="center" vertical="center" wrapText="1"/>
    </xf>
    <xf numFmtId="164" fontId="18" fillId="4" borderId="4" xfId="1" applyNumberFormat="1" applyFont="1" applyFill="1" applyBorder="1" applyAlignment="1">
      <alignment horizontal="center" vertical="center" wrapText="1"/>
    </xf>
    <xf numFmtId="164" fontId="19" fillId="4" borderId="16" xfId="1" applyNumberFormat="1" applyFont="1" applyFill="1" applyBorder="1" applyAlignment="1">
      <alignment horizontal="center" vertical="center" wrapText="1"/>
    </xf>
    <xf numFmtId="0" fontId="23" fillId="0" borderId="26" xfId="0" applyFont="1" applyBorder="1" applyAlignment="1">
      <alignment horizontal="left"/>
    </xf>
    <xf numFmtId="0" fontId="25" fillId="4" borderId="9" xfId="0" applyFont="1" applyFill="1" applyBorder="1"/>
    <xf numFmtId="0" fontId="15" fillId="4" borderId="9" xfId="0" applyFont="1" applyFill="1" applyBorder="1" applyAlignment="1">
      <alignment wrapText="1"/>
    </xf>
    <xf numFmtId="164" fontId="23" fillId="4" borderId="9" xfId="0" applyNumberFormat="1" applyFont="1" applyFill="1" applyBorder="1" applyAlignment="1">
      <alignment horizontal="left"/>
    </xf>
    <xf numFmtId="0" fontId="17" fillId="4" borderId="20" xfId="0" applyFont="1" applyFill="1" applyBorder="1" applyAlignment="1">
      <alignment wrapText="1"/>
    </xf>
    <xf numFmtId="0" fontId="21" fillId="4" borderId="7" xfId="0" quotePrefix="1" applyFont="1" applyFill="1" applyBorder="1"/>
    <xf numFmtId="0" fontId="15" fillId="4" borderId="7" xfId="0" applyFont="1" applyFill="1" applyBorder="1" applyAlignment="1">
      <alignment wrapText="1"/>
    </xf>
    <xf numFmtId="0" fontId="15" fillId="4" borderId="8" xfId="0" applyFont="1" applyFill="1" applyBorder="1" applyAlignment="1">
      <alignment wrapText="1"/>
    </xf>
    <xf numFmtId="0" fontId="17" fillId="4" borderId="7" xfId="0" applyFont="1" applyFill="1" applyBorder="1" applyAlignment="1">
      <alignment horizontal="left" wrapText="1"/>
    </xf>
    <xf numFmtId="0" fontId="17" fillId="4" borderId="21" xfId="0" applyFont="1" applyFill="1" applyBorder="1" applyAlignment="1">
      <alignment wrapText="1"/>
    </xf>
    <xf numFmtId="0" fontId="15" fillId="4" borderId="7" xfId="0" applyFont="1" applyFill="1" applyBorder="1" applyAlignment="1">
      <alignment horizontal="left" wrapText="1"/>
    </xf>
    <xf numFmtId="0" fontId="17" fillId="4" borderId="8" xfId="0" applyFont="1" applyFill="1" applyBorder="1" applyAlignment="1">
      <alignment wrapText="1"/>
    </xf>
    <xf numFmtId="164" fontId="15" fillId="4" borderId="7" xfId="0" applyNumberFormat="1" applyFont="1" applyFill="1" applyBorder="1" applyAlignment="1">
      <alignment wrapText="1"/>
    </xf>
    <xf numFmtId="0" fontId="17" fillId="4" borderId="7" xfId="0" applyFont="1" applyFill="1" applyBorder="1" applyAlignment="1">
      <alignment wrapText="1"/>
    </xf>
    <xf numFmtId="0" fontId="17" fillId="4" borderId="7" xfId="0" applyFont="1" applyFill="1" applyBorder="1"/>
    <xf numFmtId="0" fontId="17" fillId="4" borderId="0" xfId="0" applyFont="1" applyFill="1" applyAlignment="1">
      <alignment wrapText="1"/>
    </xf>
    <xf numFmtId="0" fontId="21" fillId="0" borderId="7" xfId="0" applyFont="1" applyBorder="1" applyAlignment="1">
      <alignment horizontal="left"/>
    </xf>
    <xf numFmtId="0" fontId="21" fillId="0" borderId="21" xfId="0" applyFont="1" applyBorder="1"/>
    <xf numFmtId="0" fontId="21" fillId="0" borderId="20" xfId="0" applyFont="1" applyBorder="1" applyAlignment="1">
      <alignment wrapText="1"/>
    </xf>
    <xf numFmtId="0" fontId="21" fillId="0" borderId="9" xfId="0" applyFont="1" applyBorder="1"/>
    <xf numFmtId="0" fontId="21" fillId="0" borderId="6" xfId="0" applyFont="1" applyBorder="1" applyAlignment="1" applyProtection="1">
      <alignment horizontal="left"/>
      <protection locked="0"/>
    </xf>
    <xf numFmtId="0" fontId="21" fillId="0" borderId="16" xfId="0" applyFont="1" applyBorder="1" applyAlignment="1">
      <alignment horizontal="left" wrapText="1"/>
    </xf>
    <xf numFmtId="165" fontId="21" fillId="0" borderId="9" xfId="0" applyNumberFormat="1" applyFont="1" applyBorder="1"/>
    <xf numFmtId="0" fontId="21" fillId="0" borderId="8" xfId="0" applyFont="1" applyBorder="1"/>
    <xf numFmtId="0" fontId="23" fillId="0" borderId="21" xfId="0" applyFont="1" applyBorder="1" applyAlignment="1">
      <alignment horizontal="left" wrapText="1"/>
    </xf>
    <xf numFmtId="0" fontId="21" fillId="4" borderId="21" xfId="0" applyFont="1" applyFill="1" applyBorder="1"/>
    <xf numFmtId="0" fontId="21" fillId="4" borderId="20" xfId="0" applyFont="1" applyFill="1" applyBorder="1" applyAlignment="1">
      <alignment wrapText="1"/>
    </xf>
    <xf numFmtId="0" fontId="21" fillId="4" borderId="9" xfId="0" applyFont="1" applyFill="1" applyBorder="1"/>
    <xf numFmtId="0" fontId="23" fillId="4" borderId="8" xfId="0" applyFont="1" applyFill="1" applyBorder="1" applyAlignment="1">
      <alignment wrapText="1"/>
    </xf>
    <xf numFmtId="0" fontId="23" fillId="4" borderId="7" xfId="0" applyFont="1" applyFill="1" applyBorder="1" applyAlignment="1">
      <alignment horizontal="left" wrapText="1"/>
    </xf>
    <xf numFmtId="0" fontId="23" fillId="4" borderId="21" xfId="0" applyFont="1" applyFill="1" applyBorder="1" applyAlignment="1">
      <alignment horizontal="left" wrapText="1"/>
    </xf>
    <xf numFmtId="165" fontId="21" fillId="4" borderId="9" xfId="0" applyNumberFormat="1" applyFont="1" applyFill="1" applyBorder="1"/>
    <xf numFmtId="0" fontId="23" fillId="4" borderId="9" xfId="0" applyFont="1" applyFill="1" applyBorder="1" applyAlignment="1">
      <alignment wrapText="1"/>
    </xf>
    <xf numFmtId="0" fontId="15" fillId="4" borderId="15" xfId="0" applyFont="1" applyFill="1" applyBorder="1" applyAlignment="1">
      <alignment wrapText="1"/>
    </xf>
    <xf numFmtId="0" fontId="21" fillId="0" borderId="23" xfId="0" applyFont="1" applyBorder="1"/>
    <xf numFmtId="0" fontId="21" fillId="0" borderId="15" xfId="0" applyFont="1" applyBorder="1" applyAlignment="1">
      <alignment wrapText="1"/>
    </xf>
    <xf numFmtId="0" fontId="23" fillId="0" borderId="16" xfId="0" applyFont="1" applyBorder="1" applyAlignment="1">
      <alignment horizontal="left" wrapText="1"/>
    </xf>
    <xf numFmtId="0" fontId="21" fillId="0" borderId="24" xfId="0" applyFont="1" applyBorder="1"/>
    <xf numFmtId="0" fontId="21" fillId="0" borderId="16" xfId="0" applyFont="1" applyBorder="1"/>
    <xf numFmtId="0" fontId="21" fillId="0" borderId="2" xfId="0" applyFont="1" applyBorder="1"/>
    <xf numFmtId="165" fontId="21" fillId="0" borderId="2" xfId="0" applyNumberFormat="1" applyFont="1" applyBorder="1"/>
    <xf numFmtId="0" fontId="23" fillId="0" borderId="22" xfId="0" applyFont="1" applyBorder="1" applyAlignment="1">
      <alignment wrapText="1"/>
    </xf>
    <xf numFmtId="0" fontId="23" fillId="0" borderId="8" xfId="0" applyFont="1" applyBorder="1"/>
    <xf numFmtId="0" fontId="23" fillId="0" borderId="6" xfId="0" applyFont="1" applyBorder="1"/>
    <xf numFmtId="0" fontId="21" fillId="0" borderId="22" xfId="0" applyFont="1" applyBorder="1"/>
    <xf numFmtId="0" fontId="23" fillId="0" borderId="25" xfId="0" applyFont="1" applyBorder="1"/>
    <xf numFmtId="0" fontId="23" fillId="0" borderId="4" xfId="0" applyFont="1" applyBorder="1" applyAlignment="1">
      <alignment horizontal="left"/>
    </xf>
    <xf numFmtId="0" fontId="4" fillId="0" borderId="0" xfId="0" quotePrefix="1" applyFont="1"/>
    <xf numFmtId="0" fontId="21" fillId="0" borderId="22" xfId="0" applyFont="1" applyBorder="1" applyAlignment="1">
      <alignment wrapText="1"/>
    </xf>
    <xf numFmtId="164" fontId="24" fillId="5" borderId="27" xfId="1" applyNumberFormat="1" applyFont="1" applyFill="1" applyBorder="1" applyAlignment="1">
      <alignment horizontal="center" vertical="center" wrapText="1"/>
    </xf>
    <xf numFmtId="164" fontId="24" fillId="5" borderId="28" xfId="1" applyNumberFormat="1" applyFont="1" applyFill="1" applyBorder="1" applyAlignment="1">
      <alignment horizontal="center" vertical="center" wrapText="1"/>
    </xf>
    <xf numFmtId="0" fontId="17" fillId="0" borderId="2" xfId="0" applyFont="1" applyBorder="1" applyAlignment="1">
      <alignment horizontal="left" wrapText="1"/>
    </xf>
    <xf numFmtId="0" fontId="17" fillId="0" borderId="5" xfId="0" applyFont="1" applyBorder="1" applyAlignment="1">
      <alignment wrapText="1"/>
    </xf>
    <xf numFmtId="0" fontId="23" fillId="0" borderId="5" xfId="0" applyFont="1" applyBorder="1" applyAlignment="1">
      <alignment wrapText="1"/>
    </xf>
    <xf numFmtId="0" fontId="23" fillId="0" borderId="22" xfId="0" applyFont="1" applyBorder="1" applyAlignment="1">
      <alignment horizontal="left"/>
    </xf>
    <xf numFmtId="0" fontId="21" fillId="0" borderId="5" xfId="0" applyFont="1" applyBorder="1"/>
    <xf numFmtId="0" fontId="23" fillId="0" borderId="1" xfId="0" applyFont="1" applyBorder="1"/>
    <xf numFmtId="0" fontId="23" fillId="0" borderId="5" xfId="0" applyFont="1" applyBorder="1" applyAlignment="1">
      <alignment horizontal="left"/>
    </xf>
    <xf numFmtId="164" fontId="18" fillId="7" borderId="16" xfId="0" applyNumberFormat="1" applyFont="1" applyFill="1" applyBorder="1" applyAlignment="1">
      <alignment horizontal="center" vertical="center" wrapText="1"/>
    </xf>
    <xf numFmtId="0" fontId="15" fillId="0" borderId="16" xfId="1" applyFont="1" applyBorder="1" applyAlignment="1">
      <alignment horizontal="left" wrapText="1"/>
    </xf>
    <xf numFmtId="0" fontId="17" fillId="0" borderId="16" xfId="0" applyFont="1" applyBorder="1" applyAlignment="1">
      <alignment horizontal="left" wrapText="1"/>
    </xf>
    <xf numFmtId="165" fontId="23" fillId="0" borderId="4" xfId="0" applyNumberFormat="1" applyFont="1" applyBorder="1" applyAlignment="1">
      <alignment horizontal="right"/>
    </xf>
    <xf numFmtId="165" fontId="17" fillId="0" borderId="4" xfId="0" applyNumberFormat="1" applyFont="1" applyBorder="1" applyAlignment="1">
      <alignment wrapText="1"/>
    </xf>
    <xf numFmtId="0" fontId="21" fillId="0" borderId="6" xfId="0" quotePrefix="1" applyFont="1" applyBorder="1"/>
    <xf numFmtId="0" fontId="17" fillId="0" borderId="15" xfId="0" applyFont="1" applyBorder="1"/>
    <xf numFmtId="0" fontId="17" fillId="16" borderId="4" xfId="0" applyFont="1" applyFill="1" applyBorder="1" applyAlignment="1">
      <alignment horizontal="left" wrapText="1"/>
    </xf>
    <xf numFmtId="164" fontId="24" fillId="16" borderId="27" xfId="1" applyNumberFormat="1" applyFont="1" applyFill="1" applyBorder="1" applyAlignment="1">
      <alignment horizontal="center" vertical="center" wrapText="1"/>
    </xf>
    <xf numFmtId="164" fontId="24" fillId="5" borderId="0" xfId="1" applyNumberFormat="1" applyFont="1" applyFill="1" applyBorder="1" applyAlignment="1">
      <alignment horizontal="center" vertical="center" wrapText="1"/>
    </xf>
  </cellXfs>
  <cellStyles count="3">
    <cellStyle name="Normal" xfId="0" builtinId="0"/>
    <cellStyle name="Normal 2" xfId="1" xr:uid="{00000000-0005-0000-0000-000001000000}"/>
    <cellStyle name="Normal 2 2" xfId="2" xr:uid="{00000000-0005-0000-0000-000002000000}"/>
  </cellStyles>
  <dxfs count="1203">
    <dxf>
      <font>
        <b/>
        <i val="0"/>
        <strike val="0"/>
        <condense val="0"/>
        <extend val="0"/>
        <outline val="0"/>
        <shadow val="0"/>
        <u val="none"/>
        <vertAlign val="baseline"/>
        <sz val="10"/>
        <color rgb="FF000000"/>
        <name val="Calibri Light"/>
        <family val="2"/>
        <scheme val="major"/>
      </font>
      <numFmt numFmtId="164" formatCode="dd/mm/yyyy;@"/>
      <fill>
        <patternFill patternType="solid">
          <fgColor indexed="64"/>
          <bgColor rgb="FFE7E6E6"/>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dxf>
    <dxf>
      <font>
        <b val="0"/>
        <i val="0"/>
        <strike val="0"/>
        <condense val="0"/>
        <extend val="0"/>
        <outline val="0"/>
        <shadow val="0"/>
        <u val="none"/>
        <vertAlign val="baseline"/>
        <sz val="10"/>
        <color theme="1"/>
        <name val="Calibri Light"/>
        <family val="2"/>
        <scheme val="maj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auto="1"/>
        </top>
        <bottom style="thin">
          <color rgb="FF000000"/>
        </bottom>
      </border>
    </dxf>
    <dxf>
      <font>
        <b val="0"/>
        <i val="0"/>
        <strike val="0"/>
        <condense val="0"/>
        <extend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numFmt numFmtId="164"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left"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alignment horizontal="left"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92D05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border diagonalUp="0" diagonalDown="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Light"/>
        <family val="2"/>
        <scheme val="maj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numFmt numFmtId="165" formatCode="[$-809]dd\ mmmm\ yyyy;@"/>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Light"/>
        <family val="2"/>
        <scheme val="major"/>
      </font>
      <numFmt numFmtId="165" formatCode="[$-809]dd\ mmmm\ yyyy;@"/>
      <alignment horizontal="left"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Light"/>
        <family val="2"/>
        <scheme val="major"/>
      </font>
      <alignment horizontal="left"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alignment horizontal="left" vertical="bottom"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alignment horizontal="left" vertical="bottom"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alignment horizontal="left" vertical="bottom"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alignment horizontal="left" vertical="bottom"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alignment horizontal="left" vertical="bottom"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alignment horizontal="left" vertical="bottom"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alignment horizontal="left" vertical="bottom"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alignment horizontal="left" vertical="bottom"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alignment horizontal="left" vertical="bottom"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alignment horizontal="left" vertical="bottom"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alignment horizontal="left" vertical="bottom"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alignment horizontal="left" vertical="bottom"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alignment horizontal="left" vertical="bottom"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alignment horizontal="left" vertical="bottom"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alignment horizontal="left" vertical="bottom"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Light"/>
        <family val="2"/>
        <scheme val="major"/>
      </font>
      <numFmt numFmtId="165" formatCode="[$-809]dd\ mmmm\ yyyy;@"/>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left" vertical="bottom"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Calibri Light"/>
        <family val="2"/>
        <scheme val="major"/>
      </font>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Light"/>
        <family val="2"/>
        <scheme val="major"/>
      </font>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0"/>
        <color rgb="FF000000"/>
        <name val="Calibri"/>
        <family val="2"/>
        <scheme val="none"/>
      </font>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border outline="0">
        <right style="thin">
          <color rgb="FF000000"/>
        </right>
        <bottom style="thin">
          <color rgb="FF000000"/>
        </bottom>
      </border>
    </dxf>
    <dxf>
      <font>
        <b/>
        <i val="0"/>
        <strike val="0"/>
        <condense val="0"/>
        <extend val="0"/>
        <outline val="0"/>
        <shadow val="0"/>
        <u val="none"/>
        <vertAlign val="baseline"/>
        <sz val="10"/>
        <color rgb="FF000000"/>
        <name val="Calibri Light"/>
        <family val="2"/>
        <scheme val="major"/>
      </font>
      <numFmt numFmtId="164" formatCode="dd/mm/yyyy;@"/>
      <fill>
        <patternFill patternType="solid">
          <fgColor indexed="64"/>
          <bgColor rgb="FFE7E6E6"/>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Light"/>
        <family val="2"/>
        <scheme val="major"/>
      </font>
      <border diagonalUp="0" diagonalDown="0">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major"/>
      </font>
      <border diagonalUp="0" diagonalDown="0">
        <left style="thin">
          <color indexed="64"/>
        </left>
        <right/>
        <top style="thin">
          <color indexed="64"/>
        </top>
        <bottom style="thin">
          <color indexed="64"/>
        </bottom>
        <vertical/>
        <horizontal/>
      </border>
    </dxf>
    <dxf>
      <border outline="0">
        <right style="thin">
          <color indexed="64"/>
        </right>
        <top style="thin">
          <color auto="1"/>
        </top>
        <bottom style="thin">
          <color indexed="64"/>
        </bottom>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0"/>
        <color theme="1"/>
        <name val="Calibri"/>
        <family val="2"/>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maj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major"/>
      </font>
      <numFmt numFmtId="165" formatCode="[$-809]dd\ mmmm\ yy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major"/>
      </font>
      <numFmt numFmtId="165" formatCode="[$-809]dd\ mmmm\ yy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Light"/>
        <family val="2"/>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Light"/>
        <family val="2"/>
        <scheme val="maj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rgb="FF000000"/>
        <name val="Calibri Light"/>
        <family val="2"/>
        <scheme val="major"/>
      </font>
      <numFmt numFmtId="164" formatCode="dd/mm/yyyy;@"/>
      <fill>
        <patternFill patternType="solid">
          <fgColor indexed="64"/>
          <bgColor rgb="FFE7E6E6"/>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Light"/>
        <family val="2"/>
        <scheme val="major"/>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Light"/>
        <family val="2"/>
        <scheme val="major"/>
      </font>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numFmt numFmtId="165" formatCode="[$-809]dd\ mmmm\ yyyy;@"/>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numFmt numFmtId="165" formatCode="[$-809]dd\ mmmm\ yyyy;@"/>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000000"/>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000000"/>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000000"/>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000000"/>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000000"/>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000000"/>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000000"/>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000000"/>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000000"/>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000000"/>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000000"/>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numFmt numFmtId="165" formatCode="[$-809]dd\ mmmm\ yyyy;@"/>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Light"/>
        <family val="2"/>
        <scheme val="major"/>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Light"/>
        <family val="2"/>
        <scheme val="major"/>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bgColor rgb="FFC6EFCE"/>
        </patternFill>
      </fill>
    </dxf>
    <dxf>
      <fill>
        <patternFill patternType="solid">
          <bgColor rgb="FF9BC2E6"/>
        </patternFill>
      </fill>
    </dxf>
    <dxf>
      <fill>
        <patternFill patternType="solid">
          <bgColor rgb="FFFFC000"/>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ertAlign val="baseline"/>
        <sz val="10"/>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CUMMINGS, Michele (LEEDS TEACHING HOSPITALS NHS TRUST)" id="{93E183F6-8E19-4A76-9C6C-604D82F879E7}" userId="S::m.cummings3@nhs.net::464af9cb-2ac6-4a60-90d5-810b97c47694" providerId="AD"/>
  <person displayName="FREER, Clare (LEEDS TEACHING HOSPITALS NHS TRUST)" id="{A3521B82-4AB3-41F7-9E1A-936392F99007}" userId="S::clare.freer2@nhs.net::38188dba-d054-4eda-9019-5e8a7b85df1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532800-1998-4555-B9A2-F1DCD9B73AB8}" name="FollowUp_1" displayName="FollowUp_1" ref="A3:NZ81" totalsRowShown="0" dataDxfId="801">
  <autoFilter ref="A3:NZ81" xr:uid="{B7532800-1998-4555-B9A2-F1DCD9B73AB8}"/>
  <tableColumns count="390">
    <tableColumn id="1" xr3:uid="{F55F0204-6A24-49A0-9EAA-88F5DAD91CE1}" name="NHS number" dataDxfId="1191"/>
    <tableColumn id="2" xr3:uid="{BEFC1A24-BEF2-4946-BD89-D81CF4C2A8DC}" name="Any Immunotherapy " dataDxfId="1190"/>
    <tableColumn id="3" xr3:uid="{A202181D-3324-44F3-B21A-862BE084A7F8}" name="Specimen treatment subgrouping" dataDxfId="1189"/>
    <tableColumn id="4" xr3:uid="{60FDD53F-5D6F-4B0B-AFED-A34E545D4328}" name="Specimen is a recurrence " dataDxfId="1188"/>
    <tableColumn id="5" xr3:uid="{30EC6719-A8DE-4E27-BC2F-F9B3F00F56CB}" name="Selected specimen Anonymised ID" dataDxfId="1187"/>
    <tableColumn id="6" xr3:uid="{9DEEAB1E-0195-4AE6-A77E-576434F73689}" name="Specimen Block number 1" dataDxfId="1186"/>
    <tableColumn id="7" xr3:uid="{9B76419B-231A-4418-B683-AB1371382230}" name="Specimen Block number 2" dataDxfId="1185"/>
    <tableColumn id="8" xr3:uid="{9B400F4F-2F7D-403D-A9F2-DDD1CF66AB0C}" name="Specimen surgery date" dataDxfId="1184"/>
    <tableColumn id="9" xr3:uid="{7E459B30-2E05-4F9C-B4BD-24643B48621B}" name="Specimen surgery" dataDxfId="1183"/>
    <tableColumn id="10" xr3:uid="{912323F9-FE89-4DB2-AEF0-624F4EEDDD68}" name="Specimen tumour site" dataDxfId="1182"/>
    <tableColumn id="11" xr3:uid="{F1BBC84D-1CA3-4B64-8FA1-87F2DF7C1F0E}" name="Primary Surgery date " dataDxfId="1181"/>
    <tableColumn id="12" xr3:uid="{EAF54EB2-BCC4-42EC-9E75-5A82343A7EB2}" name="Primary tumour site" dataDxfId="1180"/>
    <tableColumn id="13" xr3:uid="{7EBEA23C-E71D-42A3-B93C-B7BFFF22C149}" name="Anonymized ID Matched met 1" dataDxfId="1179"/>
    <tableColumn id="14" xr3:uid="{06A52ADF-560E-44F0-B63E-FE3FA98432DA}" name="Matched met 1 Block Number" dataDxfId="1178"/>
    <tableColumn id="15" xr3:uid="{9DEE010F-6522-45A9-B5CF-68A82BD99E3C}" name="Matched met 1 Site" dataDxfId="1177"/>
    <tableColumn id="16" xr3:uid="{43DA3D89-D19C-4125-BAB3-A99B4DC944EA}" name="Matched met 1 Surgery Date " dataDxfId="1176"/>
    <tableColumn id="17" xr3:uid="{3F472DC1-6B8B-4895-B521-E212BC7EA213}" name="Matched met 1 treatment subgrouping" dataDxfId="1175"/>
    <tableColumn id="18" xr3:uid="{764039A4-FA54-4855-8297-6264EB7C63DD}" name="Anonymized ID Matched met 2" dataDxfId="1174"/>
    <tableColumn id="19" xr3:uid="{3E7C0A88-69A8-45A5-A8FF-21BF8849F3C4}" name="Matched met 2 Block Number" dataDxfId="1173"/>
    <tableColumn id="20" xr3:uid="{03AF56DF-24F0-474B-8A22-7F6E387074AD}" name="Matched met 2 Site" dataDxfId="1172"/>
    <tableColumn id="21" xr3:uid="{E28CFF7C-D841-45D9-9894-06635015772C}" name="Matched met 2 Surgery Date " dataDxfId="1171"/>
    <tableColumn id="22" xr3:uid="{1D584A31-F02B-4E28-B0E7-DD2738C34A50}" name="Matched met 2 treatment subgrouping" dataDxfId="1170"/>
    <tableColumn id="23" xr3:uid="{E9E93112-6B35-4D91-B1E6-634C4B212BD8}" name="Anonymized ID Normal tissue" dataDxfId="1169"/>
    <tableColumn id="24" xr3:uid="{83C7C4C4-44F0-4A72-A985-53537FAE55E7}" name="Matched Normal tissue Block Number" dataDxfId="1168"/>
    <tableColumn id="25" xr3:uid="{39F34D63-C3EB-4F42-B5EC-4E2A9B09159D}" name="Matched Normal tissue Site" dataDxfId="1167"/>
    <tableColumn id="26" xr3:uid="{C6CC85EF-BC0E-43CC-95AF-503377E1AA3C}" name="Matched Normal tissue Surgery Date " dataDxfId="1166"/>
    <tableColumn id="27" xr3:uid="{1EDDDB4C-19B6-429F-B187-0024D4AF8DA5}" name="Matched Normal treatment subgrouping" dataDxfId="1165"/>
    <tableColumn id="28" xr3:uid="{00CB7B3A-033F-4F0A-BBF1-29F6FE837B7F}" name="Gender" dataDxfId="1164"/>
    <tableColumn id="29" xr3:uid="{0EBA18C6-C4E7-4A7C-BF1A-185DFB953E85}" name="DOB " dataDxfId="1163"/>
    <tableColumn id="30" xr3:uid="{60B86422-EB5D-4179-B044-D858F67BA6CC}" name="Date of DX" dataDxfId="1162"/>
    <tableColumn id="31" xr3:uid="{74C6269E-8730-4B60-989B-C052E7119CE0}" name="Age at Diagnosis " dataDxfId="1161">
      <calculatedColumnFormula>DATEDIF(AC4, AD4,"Y")</calculatedColumnFormula>
    </tableColumn>
    <tableColumn id="32" xr3:uid="{9D96DB5C-8C92-4718-95F1-A3FA3166656D}" name="Specimen Histological Diagnosis" dataDxfId="1160"/>
    <tableColumn id="33" xr3:uid="{B4944C01-CB8B-4F37-B3D6-D8F5282B501E}" name="Staging/grading info provided for:" dataDxfId="1159"/>
    <tableColumn id="34" xr3:uid="{CA07B97A-D305-4238-BAC6-6671D00167BB}" name="Resection margins clear " dataDxfId="1158"/>
    <tableColumn id="35" xr3:uid="{F77BE132-5F70-4392-9095-932799D90531}" name="pT" dataDxfId="1157"/>
    <tableColumn id="36" xr3:uid="{728CF895-26D7-4359-9F2D-31008206A984}" name="pN" dataDxfId="1156"/>
    <tableColumn id="37" xr3:uid="{C0935668-3BE0-4E0D-93DD-3238E09F891B}" name="pM" dataDxfId="1155"/>
    <tableColumn id="38" xr3:uid="{6E4A7A5C-A5FB-4C14-9119-A06BA77623FF}" name="cM" dataDxfId="1154"/>
    <tableColumn id="39" xr3:uid="{BE56A31F-EFCA-47AE-9914-326829E4A067}" name="TNM stage" dataDxfId="1153"/>
    <tableColumn id="40" xr3:uid="{2AFD18A2-88B6-4867-97E7-B868E79F620A}" name="Grade" dataDxfId="1152"/>
    <tableColumn id="41" xr3:uid="{E8E3C3E8-39E4-4001-98C5-6613557F3E23}" name="Stage at DX (AJCC)" dataDxfId="1151"/>
    <tableColumn id="42" xr3:uid="{2338763A-972D-40DF-8FE7-407097C60F05}" name="Any Neoadjuvant therapy" dataDxfId="1150"/>
    <tableColumn id="43" xr3:uid="{34844872-9946-4F44-B2D7-5B8FAAF63209}" name="Response to neoadjuvant therapy (TRS score)" dataDxfId="1149"/>
    <tableColumn id="44" xr3:uid="{A9D3F47A-06D8-4CE4-B9D3-978423A2FB89}" name="Neoadjuvant Tx1" dataDxfId="1148"/>
    <tableColumn id="45" xr3:uid="{CF2ED65D-24FC-4CC4-B836-90603AC42ABF}" name="Neoadjuvant Tx1 Agent" dataDxfId="1147"/>
    <tableColumn id="46" xr3:uid="{B7D09083-41E4-46C4-A860-20947EB4556D}" name="Neoadjuvant Tx1 Start Date" dataDxfId="1146"/>
    <tableColumn id="47" xr3:uid="{B825B1FA-FCBB-478E-B278-7538747458A4}" name="Neoadjuvant Tx1 End Date" dataDxfId="1145"/>
    <tableColumn id="48" xr3:uid="{BD29D923-31D9-4CD0-9431-F83C45E354BE}" name="Tumour response Neoadjuvant Tx1" dataDxfId="1144"/>
    <tableColumn id="49" xr3:uid="{E07187FB-558F-4DB3-8A9C-7238CCEC677C}" name="Neoadjuvant Tx2" dataDxfId="1143"/>
    <tableColumn id="50" xr3:uid="{257FF018-88A8-4600-9664-A849F677FAEF}" name="Neoadjuvant Tx2 Agent" dataDxfId="1142"/>
    <tableColumn id="51" xr3:uid="{143DD060-3EE4-4D1D-8DB1-EFA8969F85EE}" name="Neoadjuvant Tx2 Start Date" dataDxfId="1141"/>
    <tableColumn id="52" xr3:uid="{BBA79270-3CC8-4C93-8F43-D4FA3BF05ABA}" name="Neoadjuvant Tx2 End Date" dataDxfId="1140"/>
    <tableColumn id="53" xr3:uid="{B69A730D-106B-49CE-8702-921514CB8C3B}" name="Tumour response Neoadjuvant  Tx2" dataDxfId="1139"/>
    <tableColumn id="54" xr3:uid="{68F50183-63DD-4AC7-9C4F-1756D7CACEFC}" name="Neoadjuvant Tx3" dataDxfId="1138"/>
    <tableColumn id="55" xr3:uid="{4992EA67-C5BB-48F5-8DDA-A07AA2B62AD1}" name="Neoadjuvant Tx3 Agent" dataDxfId="1137"/>
    <tableColumn id="56" xr3:uid="{43618E1F-FC1A-4AB4-9650-F43EADC0453D}" name="Neoadjuvant Tx3 Start Date" dataDxfId="1136"/>
    <tableColumn id="57" xr3:uid="{0C407A9E-E195-4200-8535-35873709B7B2}" name="Neoadjuvant Tx3 End Date" dataDxfId="1135"/>
    <tableColumn id="58" xr3:uid="{F8FADEAC-87EC-4FC3-869A-55A734E6086E}" name="Tumour response Neoadjuvant  Tx3" dataDxfId="1134"/>
    <tableColumn id="59" xr3:uid="{9BD95DFA-D42E-4442-BCB7-9AF69DFFA0E6}" name="Neoadjuvant Tx4" dataDxfId="1133"/>
    <tableColumn id="60" xr3:uid="{4C8BA6A4-8E87-4DF8-81D4-D8FA6571907C}" name="Neoadjuvant Tx4 Agent" dataDxfId="1132"/>
    <tableColumn id="61" xr3:uid="{C812AD42-AF41-4C73-8E1B-30269FA3F763}" name="Neoadjuvant Tx4 Start Date" dataDxfId="1131"/>
    <tableColumn id="62" xr3:uid="{FDB85D49-4257-4A37-A7F4-C717BDA9723D}" name="Neoadjuvant Tx4 End Date" dataDxfId="1130"/>
    <tableColumn id="63" xr3:uid="{648B0D5F-772B-4A39-8B1A-DA6B46515E16}" name="Tumour response Neoadjuvant  Tx4" dataDxfId="1129"/>
    <tableColumn id="64" xr3:uid="{5EC30B31-045F-4B75-8912-80DFC449DA11}" name="Neoadjuvant Tx5" dataDxfId="1128"/>
    <tableColumn id="65" xr3:uid="{6196770E-DE83-4329-B294-F8875EB82B79}" name="Neoadjuvant Tx5 Agent" dataDxfId="1127"/>
    <tableColumn id="66" xr3:uid="{760C6267-9AB6-4EBA-8DE8-3F8E85CC56FE}" name="Neoadjuvant Tx5 Start Date" dataDxfId="1126"/>
    <tableColumn id="67" xr3:uid="{873B57D5-961C-49E7-AA85-C7362D710348}" name="Neoadjuvant Tx5 End Date" dataDxfId="1125"/>
    <tableColumn id="68" xr3:uid="{BCF61219-96EE-4D17-A8B9-01402DC0AE26}" name="Tumour response Neoadjuvant  Tx5" dataDxfId="1124"/>
    <tableColumn id="69" xr3:uid="{56D3EDB5-DC19-45AC-984C-E9B6E8E41C28}" name="Neoadjuvant Tx6" dataDxfId="1123"/>
    <tableColumn id="70" xr3:uid="{DE86B169-DCED-43BB-9E2D-B4AB7CE0E1DC}" name="Neoadjuvant Tx6 Agent" dataDxfId="1122"/>
    <tableColumn id="71" xr3:uid="{C9F52DF1-14B8-4365-9034-80E58728E006}" name="Neoadjuvant Tx6 Start Date" dataDxfId="1121"/>
    <tableColumn id="72" xr3:uid="{FDDFFD84-9A8D-4EBA-BB93-4BD15D411398}" name="Neoadjuvant Tx6 End Date" dataDxfId="1120"/>
    <tableColumn id="73" xr3:uid="{AB44B915-28F6-4416-98D9-6AA0BBB800F8}" name="Tumour response Neoadjuvant  Tx6" dataDxfId="1119"/>
    <tableColumn id="74" xr3:uid="{05A3ED40-84C4-47E0-8EA0-942D475AED2B}" name="Neoadjuvant Tx7" dataDxfId="1118"/>
    <tableColumn id="75" xr3:uid="{15A0907D-28D7-4582-9BB3-1AC31B2566DD}" name="Neoadjuvant Tx7 Agent" dataDxfId="1117"/>
    <tableColumn id="76" xr3:uid="{C335E5D6-EB11-4151-BBA4-5D666B079194}" name="Neoadjuvant Tx7 Start Date" dataDxfId="1116"/>
    <tableColumn id="77" xr3:uid="{A7BAF61F-A07D-44C5-BBC9-02AD40A19870}" name="Neoadjuvant Tx7 End Date" dataDxfId="1115"/>
    <tableColumn id="78" xr3:uid="{40567769-85E0-4441-A23F-D1F4480389E9}" name="Tumour response Neoadjuvant  Tx7" dataDxfId="1114"/>
    <tableColumn id="79" xr3:uid="{EBD551D8-E361-49C0-8DA4-1BE89A41E0AA}" name="Neoadjuvant Tx8" dataDxfId="1113"/>
    <tableColumn id="80" xr3:uid="{CE8E4DE4-72E8-4EA3-98C3-457F14E2BD2F}" name="Neoadjuvant Tx8 Agent" dataDxfId="1112"/>
    <tableColumn id="81" xr3:uid="{0A706238-7355-4C63-B297-3A21514EA7EC}" name="Neoadjuvant Tx8 Start Date" dataDxfId="1111"/>
    <tableColumn id="82" xr3:uid="{D50E3049-DF35-49C2-8A33-40A6C67903DF}" name="Neoadjuvant Tx8 End Date" dataDxfId="1110"/>
    <tableColumn id="83" xr3:uid="{EC44E763-6C4C-41F1-931E-34A41A951845}" name="Tumour response Neoadjuvant  Tx8" dataDxfId="1109"/>
    <tableColumn id="84" xr3:uid="{6CBA9389-D44E-4D66-A840-1654F33DBBB5}" name="Neoadjuvant Tx9" dataDxfId="1108"/>
    <tableColumn id="85" xr3:uid="{B6C41AF5-552C-47A3-B3D0-22C608562548}" name="Neoadjuvant Tx9 Agent" dataDxfId="1107"/>
    <tableColumn id="86" xr3:uid="{B29855F3-60DC-4AA7-8FF7-B0AFF2BC922B}" name="Neoadjuvant Tx9 Start Date" dataDxfId="1106"/>
    <tableColumn id="87" xr3:uid="{BC77CC95-C494-48FB-B676-7BA7F35FFE72}" name="Neoadjuvant Tx9 End Date" dataDxfId="1105"/>
    <tableColumn id="88" xr3:uid="{880EF795-9BC4-4E49-9A29-85EC61DBFE6B}" name="Tumour response Neoadjuvant  Tx9" dataDxfId="1104"/>
    <tableColumn id="89" xr3:uid="{0CD8CC20-DD6B-4E7B-8697-EBF797A9A86D}" name="Neoadjuvant Tx10" dataDxfId="1103"/>
    <tableColumn id="90" xr3:uid="{C0A3E25E-FC15-4A84-8B52-29D80F1EA593}" name="Neoadjuvant Tx10 Agent" dataDxfId="1102"/>
    <tableColumn id="91" xr3:uid="{3ED9BF3F-C32C-40EC-B8A8-BEFD6F51F5FD}" name="Neoadjuvant Tx10 Start Date" dataDxfId="1101"/>
    <tableColumn id="92" xr3:uid="{3B9FF781-2034-4F8A-8CD3-98D79C7252AE}" name="Neoadjuvant Tx10 End Date" dataDxfId="1100"/>
    <tableColumn id="93" xr3:uid="{DCD067F6-C671-4C0F-A10A-EB16D186C3A4}" name="Tumour response Neoadjuvant Tx10" dataDxfId="1099"/>
    <tableColumn id="94" xr3:uid="{88A7451A-BD0A-4782-A599-B63E9BC3D55B}" name="Adjuvant Tx1" dataDxfId="1098"/>
    <tableColumn id="95" xr3:uid="{753F6BCB-DDE1-49C1-A4F2-242B070280CB}" name="Adjuvant Tx1 Agent" dataDxfId="1097"/>
    <tableColumn id="96" xr3:uid="{D453A6AF-EE4B-4597-92BE-4184F4B3F8A6}" name="Adjuvant Tx1 Start Date" dataDxfId="1096"/>
    <tableColumn id="97" xr3:uid="{47293063-E1CE-47BA-9752-B37FC56EEA2E}" name="Adjuvant Tx1 End Date" dataDxfId="1095"/>
    <tableColumn id="98" xr3:uid="{96B48D8B-5C2C-40C7-9220-65A5B5044C17}" name="Tumour response Adjuvant Tx1" dataDxfId="1094"/>
    <tableColumn id="99" xr3:uid="{7FC12CE8-BA97-46C9-AC97-533395E6B066}" name="Adjuvant Tx2" dataDxfId="1093"/>
    <tableColumn id="100" xr3:uid="{2F6DD0B7-4E3D-4CFF-B94D-01FCB48BF497}" name="Adjuvant Tx2 Agent" dataDxfId="1092"/>
    <tableColumn id="101" xr3:uid="{E11F4566-84F1-40B8-BB52-14D2ED00EDB0}" name="Adjuvant Tx2 Start Date" dataDxfId="1091"/>
    <tableColumn id="102" xr3:uid="{ACD15E99-E3C8-4A19-A303-99527784BF37}" name="Adjuvant Tx2 End Date" dataDxfId="1090"/>
    <tableColumn id="103" xr3:uid="{FC3DAF8B-FF4F-41EF-A538-5B81EBF6D5AE}" name="Tumour response Adjuvant  Tx2" dataDxfId="1089"/>
    <tableColumn id="104" xr3:uid="{E3A19C58-708D-4C6C-999D-E3634EFD0A94}" name="Adjuvant Tx3" dataDxfId="1088"/>
    <tableColumn id="105" xr3:uid="{324D0F75-EAEB-4549-AF4C-7E5EC7C1EA2F}" name="Adjuvant Tx3 Agent" dataDxfId="1087"/>
    <tableColumn id="106" xr3:uid="{29170CB0-18F6-4720-B761-D83D5343D3DC}" name="Adjuvant Tx3 Start Date" dataDxfId="1086"/>
    <tableColumn id="107" xr3:uid="{B3C52F5C-C075-47C7-B1E0-8DBB9DB1ECF5}" name="Adjuvant Tx3 End Date" dataDxfId="1085"/>
    <tableColumn id="108" xr3:uid="{F7B34079-93D9-47E1-BD44-BD250D9904B3}" name="Tumour response Adjuvant  Tx3" dataDxfId="1084"/>
    <tableColumn id="109" xr3:uid="{FAB82490-F99F-428D-933A-F59C2B8F91C4}" name="Adjuvant Tx4" dataDxfId="1083"/>
    <tableColumn id="110" xr3:uid="{EA852AC4-75E7-4AB6-A91A-359F2B4B911A}" name="Adjuvant Tx4 Agent" dataDxfId="1082"/>
    <tableColumn id="111" xr3:uid="{15BBDA4E-EBFF-43D4-A98A-03428F4A7773}" name="Adjuvant Tx4 Start Date" dataDxfId="1081"/>
    <tableColumn id="112" xr3:uid="{D517B73A-B1BD-44CD-98D4-20ADF6A93CF7}" name="Adjuvant Tx4 End Date" dataDxfId="1080"/>
    <tableColumn id="113" xr3:uid="{474D7399-D62A-44CC-9958-75C6186381E2}" name="Tumour response Adjuvant  Tx4" dataDxfId="1079"/>
    <tableColumn id="114" xr3:uid="{6D91E938-E5EC-4A68-BEB8-F25B641B3A57}" name="Adjuvant Tx5" dataDxfId="1078"/>
    <tableColumn id="115" xr3:uid="{0267FC10-9B89-4C1B-A728-41F77FE8EC87}" name="Adjuvant Tx5 Agent" dataDxfId="1077"/>
    <tableColumn id="116" xr3:uid="{7C50B7EC-F258-4B21-BCFA-11404AEA0647}" name="Adjuvant Tx5 Start Date" dataDxfId="1076"/>
    <tableColumn id="117" xr3:uid="{D211FCAA-E841-4493-832E-AA440822107C}" name="Adjuvant Tx5 End Date" dataDxfId="1075"/>
    <tableColumn id="118" xr3:uid="{D22F2167-F11E-4C6A-9A19-24B0695237C5}" name="Tumour response Adjuvant  Tx5" dataDxfId="1074"/>
    <tableColumn id="119" xr3:uid="{DBEA07BB-F160-41CE-A338-3932AC24B96A}" name="Adjuvant Tx6" dataDxfId="1073"/>
    <tableColumn id="120" xr3:uid="{09F40C72-AF9B-4E42-A375-521F949D4C30}" name="Adjuvant Tx6 Agent" dataDxfId="1072"/>
    <tableColumn id="121" xr3:uid="{542CE548-6168-41FF-9FD6-1C1949C0D44B}" name="Adjuvant Tx6 Start Date" dataDxfId="1071"/>
    <tableColumn id="122" xr3:uid="{EEB349BE-714F-4C16-AEE2-BB5FE552D79B}" name="Adjuvant Tx6 End Date" dataDxfId="1070"/>
    <tableColumn id="123" xr3:uid="{5FEA39DE-7CE7-4710-8955-86D67C64EE36}" name="Tumour response Adjuvant  Tx6" dataDxfId="1069"/>
    <tableColumn id="124" xr3:uid="{A911063A-48D5-4078-8819-2FB0F46C60C2}" name="Adjuvant Tx7" dataDxfId="1068"/>
    <tableColumn id="125" xr3:uid="{51F18DFC-4C9E-4850-8560-9559D8ADC2EB}" name="Adjuvant Tx7 Agent" dataDxfId="1067"/>
    <tableColumn id="126" xr3:uid="{E7325413-8FEC-4DBA-A64E-DC68839B5D35}" name="Adjuvant Tx7 Start Date" dataDxfId="1066"/>
    <tableColumn id="127" xr3:uid="{D9FBA084-5C7F-43D7-85B0-60BC53D4A252}" name="Adjuvant Tx7 End Date" dataDxfId="1065"/>
    <tableColumn id="128" xr3:uid="{06342C5A-83C1-4C12-BF69-AAAB1C0CCB53}" name="Tumour response Adjuvant  Tx7" dataDxfId="1064"/>
    <tableColumn id="129" xr3:uid="{6A3B01CB-8C52-4CE9-970E-F296FB605065}" name="Adjuvant Tx8" dataDxfId="1063"/>
    <tableColumn id="130" xr3:uid="{124B9427-95DB-4D25-9729-D6EB75605385}" name="Adjuvant Tx8 Agent" dataDxfId="1062"/>
    <tableColumn id="131" xr3:uid="{05744714-3167-4316-A32C-9DC3CE51C5FB}" name="Adjuvant Tx8 Start Date" dataDxfId="1061"/>
    <tableColumn id="132" xr3:uid="{AEBFD689-7CAB-4B6C-8CAB-F2DE6AFADC71}" name="Adjuvant Tx8 End Date" dataDxfId="1060"/>
    <tableColumn id="133" xr3:uid="{4A85DFB9-0B66-4F45-8079-6C66769A0F4C}" name="Tumour response Adjuvant  Tx8" dataDxfId="1059"/>
    <tableColumn id="134" xr3:uid="{692E239D-955B-4750-8869-DCE7351FD926}" name="Adjuvant Tx9" dataDxfId="1058"/>
    <tableColumn id="135" xr3:uid="{F17393CA-9F3F-4BE4-AB7D-7CA25004418C}" name="Adjuvant Tx9 Agent" dataDxfId="1057"/>
    <tableColumn id="136" xr3:uid="{868B1404-49DC-4A83-AC2C-E1ACE7EE6DCD}" name="Adjuvant Tx9 Start Date" dataDxfId="1056"/>
    <tableColumn id="137" xr3:uid="{BAF86A51-412B-4C5D-8C08-99D8CD43F260}" name="Adjuvant Tx9 End Date" dataDxfId="1055"/>
    <tableColumn id="138" xr3:uid="{26032122-14C7-48FC-8E96-E3EEC4A47B10}" name="Tumour response Adjuvant  Tx9" dataDxfId="1054"/>
    <tableColumn id="139" xr3:uid="{62A35AB6-A152-4C60-AE9F-DE4DBC2CC3BE}" name="Adjuvant Tx10" dataDxfId="1053"/>
    <tableColumn id="140" xr3:uid="{CACFED40-A518-4BD3-8A5E-136759428A7E}" name="Adjuvant Tx10 Agent" dataDxfId="1052"/>
    <tableColumn id="141" xr3:uid="{0A332399-DCAD-420A-8A7F-C58E1C55C205}" name="Adjuvant Tx10 Start Date" dataDxfId="1051"/>
    <tableColumn id="142" xr3:uid="{B67CA5D3-E928-4949-9996-5C704427E7EB}" name="Adjuvant Tx10 End Date" dataDxfId="1050"/>
    <tableColumn id="143" xr3:uid="{09F4B576-2CFD-418B-844F-6B948ACFEF3A}" name="Tumour response Adjuvant Tx10" dataDxfId="1049"/>
    <tableColumn id="144" xr3:uid="{86D6E21B-0A3C-4800-A938-990708C918E5}" name="Adjuvant Tx11" dataDxfId="1048"/>
    <tableColumn id="145" xr3:uid="{30411B45-6916-4199-899B-7328151220D6}" name="Adjuvant Tx11 Agent" dataDxfId="1047"/>
    <tableColumn id="146" xr3:uid="{8AC7CBD0-15A7-4768-A1D4-A48B39C7CEC3}" name="Adjuvant Tx11 Start Date" dataDxfId="1046"/>
    <tableColumn id="147" xr3:uid="{92601E01-62AE-4DF9-8F03-81DE1BDBADF2}" name="Adjuvant Tx11 End Date" dataDxfId="1045"/>
    <tableColumn id="148" xr3:uid="{FCF3A611-B11A-43A7-BECD-034D30B13EB4}" name="Tumour response Adjuvant Tx11" dataDxfId="1044"/>
    <tableColumn id="149" xr3:uid="{CF5990CA-A013-4033-9A13-0640AB9B6ECD}" name="Adjuvant Tx12" dataDxfId="1043"/>
    <tableColumn id="150" xr3:uid="{73D13D16-CFE7-4CEB-8FE7-CC58ABE6118E}" name="Adjuvant Tx12 Agent" dataDxfId="1042"/>
    <tableColumn id="151" xr3:uid="{7BA50F27-C659-4919-8CEB-A4A5F08678FC}" name="Adjuvant Tx12 Start Date" dataDxfId="1041"/>
    <tableColumn id="152" xr3:uid="{AC4CD386-5AEE-44DF-BB8E-19A39A1D12FE}" name="Adjuvant Tx12 End Date" dataDxfId="1040"/>
    <tableColumn id="153" xr3:uid="{0F4B64E6-9624-4771-8406-024C6305AFDE}" name="Tumour response Adjuvant Tx12" dataDxfId="1039"/>
    <tableColumn id="154" xr3:uid="{A191FACF-C97C-48F5-A734-C30B3B53A796}" name="Adjuvant Tx13" dataDxfId="1038"/>
    <tableColumn id="155" xr3:uid="{CF969DD8-BAD4-4D5A-8E68-686F13471BAB}" name="Adjuvant Tx13 Agent" dataDxfId="1037"/>
    <tableColumn id="156" xr3:uid="{F0E7FF70-63D0-4444-96BB-44D416E48FE8}" name="Adjuvant Tx13 Start Date" dataDxfId="1036"/>
    <tableColumn id="157" xr3:uid="{FD754E3B-438F-43AD-80B2-36438A015943}" name="Adjuvant Tx13 End Date" dataDxfId="1035"/>
    <tableColumn id="158" xr3:uid="{C96FB2EE-A80A-4D30-B626-487C3E1C4696}" name="Tumour response Adjuvant Tx13" dataDxfId="1034"/>
    <tableColumn id="159" xr3:uid="{89093E6C-0710-4172-A48A-C2289C240A21}" name="Adjuvant Tx14" dataDxfId="1033"/>
    <tableColumn id="160" xr3:uid="{E30182D5-B1A0-4857-8A74-3DC34318EF7B}" name="Adjuvant Tx14 Agent" dataDxfId="1032"/>
    <tableColumn id="161" xr3:uid="{9A274434-1F2F-4D8F-9104-D8AB7621C37D}" name="Adjuvant Tx14 Start Date" dataDxfId="1031"/>
    <tableColumn id="162" xr3:uid="{711491D1-EC74-45D9-A087-31EEC970BEE8}" name="Adjuvant Tx14 End Date" dataDxfId="1030"/>
    <tableColumn id="163" xr3:uid="{F6861F5B-F440-4634-A706-198F8E3AF17C}" name="Tumour response Adjuvant Tx14" dataDxfId="1029"/>
    <tableColumn id="164" xr3:uid="{4B522CB7-8388-4639-8FDE-67AC52F644D4}" name="Adjuvant Tx15" dataDxfId="1028"/>
    <tableColumn id="165" xr3:uid="{2D077DB8-00E7-40CA-A3C8-3503337E17D6}" name="Adjuvant Tx15 Agent" dataDxfId="1027"/>
    <tableColumn id="166" xr3:uid="{F0BC7010-1716-47DD-9666-CCE34B922EAA}" name="Adjuvant Tx15 Start Date" dataDxfId="1026"/>
    <tableColumn id="167" xr3:uid="{429DDCBB-AADC-4EA3-828D-15585D6074F7}" name="Adjuvant Tx15 End Date" dataDxfId="1025"/>
    <tableColumn id="168" xr3:uid="{F105472E-85BB-43AE-8F9D-60F6ECF7D48C}" name="Date recurrence/ progression 1" dataDxfId="1024"/>
    <tableColumn id="169" xr3:uid="{CFCE6562-EB30-44D8-BA54-F4A0C170C120}" name="Sites recurrence/ progression 1" dataDxfId="1023"/>
    <tableColumn id="170" xr3:uid="{4E741097-C9FD-473D-A86C-60678733398B}" name="Date recurrence/ progression 2" dataDxfId="1022"/>
    <tableColumn id="171" xr3:uid="{1FA01EFA-208E-4323-98C6-45E899842B2F}" name="Sites recurrence/ progression 2" dataDxfId="1021"/>
    <tableColumn id="172" xr3:uid="{8F4FC9BF-3394-46DA-B3E6-C9777567E3CF}" name="Date recurrence/ progression 3" dataDxfId="1020"/>
    <tableColumn id="173" xr3:uid="{E531BF78-31C8-4949-A9FE-108C897BC76B}" name="Sites recurrence/ progression 3" dataDxfId="1019"/>
    <tableColumn id="174" xr3:uid="{C2D39552-864C-48D8-8A00-2359B06AB296}" name="Date recurrence/ progression 4" dataDxfId="1018"/>
    <tableColumn id="175" xr3:uid="{D477EDC7-FEFD-4A47-BB4B-F188884A280E}" name="Sites recurrence/ progression 4" dataDxfId="1017"/>
    <tableColumn id="176" xr3:uid="{B8DC2023-C44A-4651-8039-EAD8DECE8206}" name="Date recurrence/ progression 5" dataDxfId="1016"/>
    <tableColumn id="177" xr3:uid="{8CB68381-E4A3-4982-A8DE-7467E739B161}" name="Sites recurrence/ progression 5" dataDxfId="1015"/>
    <tableColumn id="178" xr3:uid="{12BBF44B-B808-4217-A928-2E7D0541C862}" name="Date recurrence/ progression 6" dataDxfId="1014"/>
    <tableColumn id="179" xr3:uid="{724B8499-E8E2-43EB-8022-31F0FA1A4226}" name="Sites recurrence/ progression 6" dataDxfId="1013"/>
    <tableColumn id="180" xr3:uid="{637F19AB-A1EA-41ED-B03F-076265D39876}" name="Date recurrence/ progression 7" dataDxfId="1012"/>
    <tableColumn id="181" xr3:uid="{72608413-89EB-4F9B-99C4-5E9EC5729CE5}" name="Sites recurrence/ progression 7" dataDxfId="1011"/>
    <tableColumn id="182" xr3:uid="{E8FE035A-69F3-42BC-A244-BE612C1B147A}" name="Date recurrence/ progression 8" dataDxfId="1010"/>
    <tableColumn id="183" xr3:uid="{C826B875-3A4C-447C-BB9E-C2612C798B1A}" name="Sites recurrence/ progression 8" dataDxfId="1009"/>
    <tableColumn id="184" xr3:uid="{46F2A64A-0A77-4692-B85D-AEAE58ADC025}" name="Date recurrence/ progression 9" dataDxfId="1008"/>
    <tableColumn id="185" xr3:uid="{686F8BB6-3814-472F-A465-5B87CA2BD513}" name="Sites recurrence/ progression 9" dataDxfId="1007"/>
    <tableColumn id="186" xr3:uid="{24E3186D-F5DD-4B46-B6EB-1842DAD4F8F7}" name="Date recurrence/ progression 10" dataDxfId="1006"/>
    <tableColumn id="187" xr3:uid="{2563FA68-377D-48B1-BAFD-61004D37FEE1}" name="Sites recurrence/ progression 10" dataDxfId="1005"/>
    <tableColumn id="188" xr3:uid="{D79B3E37-B56E-4BFC-A023-7AC7784E4739}" name="Date recurrence/ progression 11" dataDxfId="1004"/>
    <tableColumn id="189" xr3:uid="{896F8138-D9D7-42EE-9E16-522BA9051159}" name="Sites recurrence/ progression 11" dataDxfId="1003"/>
    <tableColumn id="190" xr3:uid="{75E2361C-2DAE-413A-BD5F-48BA953DDB27}" name="Date recurrence/ progression 12" dataDxfId="1002"/>
    <tableColumn id="191" xr3:uid="{A8485FAD-EE6D-4173-B870-F466E2C94644}" name="Sites recurrence/ progression 12" dataDxfId="1001"/>
    <tableColumn id="192" xr3:uid="{2FB7E255-8FF0-4AA3-8BBF-32EFD98AFCF5}" name="Date recurrence/ progression 13" dataDxfId="1000"/>
    <tableColumn id="193" xr3:uid="{7A5F7DA4-EC21-4C43-A9AC-61E92C4096FD}" name="Sites recurrence/ progression 13" dataDxfId="999"/>
    <tableColumn id="194" xr3:uid="{0B45BC35-4FD6-4D20-97FD-3B1CFFFD6F63}" name="Date recurrence/ progression 14" dataDxfId="998"/>
    <tableColumn id="195" xr3:uid="{1F1F9C09-DB27-457E-921F-4009DF80692B}" name="Sites recurrence/ progression 14" dataDxfId="997"/>
    <tableColumn id="196" xr3:uid="{14BBF0A7-C00F-42B5-8839-B10725A7AF4B}" name="Date recurrence/ progression 15" dataDxfId="996"/>
    <tableColumn id="197" xr3:uid="{5479B68C-4725-43F6-B5C3-3839C5764CD6}" name="Sites recurrence/ progression 15" dataDxfId="995"/>
    <tableColumn id="198" xr3:uid="{4FC559DD-B8AD-4107-B671-E9A30FDC8DA4}" name="Subsequent Tx1" dataDxfId="994"/>
    <tableColumn id="199" xr3:uid="{0F982D25-B2DD-4CBC-89FC-3455F707D9B4}" name="Subsequent Tx1 Agent" dataDxfId="993"/>
    <tableColumn id="200" xr3:uid="{8952758B-D336-4C56-A302-1386DF617B9F}" name="Subsequent Tx1 Start Date" dataDxfId="992"/>
    <tableColumn id="201" xr3:uid="{5A449BB9-C3F0-4FCB-8B57-F26F13D7F80D}" name="Subsequent Tx1 Finish Date" dataDxfId="991"/>
    <tableColumn id="202" xr3:uid="{37E159AA-398F-4F76-AE63-56CBFC9897F2}" name="Tumour response to Subsequent Tx1" dataDxfId="990"/>
    <tableColumn id="203" xr3:uid="{5B6A571E-C276-4854-B175-ED784DA9E5C9}" name="Subsequent Tx2" dataDxfId="989"/>
    <tableColumn id="204" xr3:uid="{1F09E714-5B2C-4AF2-A7C0-F94408883A96}" name="Subsequent Tx2 Agent" dataDxfId="988"/>
    <tableColumn id="205" xr3:uid="{24EF12D8-F5F3-4360-825D-3311D2653ADE}" name="Subsequent Tx2 Start Date" dataDxfId="987"/>
    <tableColumn id="206" xr3:uid="{0EB570C5-3D30-4455-9311-30E2F269A810}" name="Subsequent Tx2 Finish Date" dataDxfId="986"/>
    <tableColumn id="207" xr3:uid="{DEE2C17B-86E7-4A48-BF2F-70B4A604FB92}" name="Tumour response to Subsequent Tx2" dataDxfId="985"/>
    <tableColumn id="208" xr3:uid="{1D7B8420-230B-4B2C-BC99-40FC5E96E5F2}" name="Subsequent Tx3" dataDxfId="984"/>
    <tableColumn id="209" xr3:uid="{1A60E13F-6E37-4392-9A0E-83CD2358C421}" name="Subsequent Tx3 Agent" dataDxfId="983"/>
    <tableColumn id="210" xr3:uid="{89F4E300-E9A7-4BD3-8448-C1C672CA4B28}" name="Subsequent Tx3 Start Date" dataDxfId="982"/>
    <tableColumn id="211" xr3:uid="{F0E2C4C4-18F5-40B2-957E-071C8988BA90}" name="Subsequent Tx3 Finish Date" dataDxfId="981"/>
    <tableColumn id="212" xr3:uid="{7F6D454B-DE75-499B-8CC9-D75E89C6584B}" name="Tumour response to Subsequent Tx3" dataDxfId="980"/>
    <tableColumn id="213" xr3:uid="{EEB53606-BA69-458F-AFF5-BBBE13273171}" name="Subsequent Tx4" dataDxfId="979"/>
    <tableColumn id="214" xr3:uid="{7E18C760-BB79-4508-A9B3-15AE86A86EAF}" name="Subsequent Tx4 Agent" dataDxfId="978"/>
    <tableColumn id="215" xr3:uid="{82485F56-56B6-4CC6-8821-EF27E004D9BE}" name="Subsequent Tx4 Start Date" dataDxfId="977"/>
    <tableColumn id="216" xr3:uid="{2594A71D-7083-426C-B33B-1FED355A9F54}" name="Subsequent Tx4 Finish Date" dataDxfId="976"/>
    <tableColumn id="217" xr3:uid="{5C743858-7102-4248-9311-83D154CC6FEB}" name="Tumour response to Subsequent Tx4" dataDxfId="975"/>
    <tableColumn id="218" xr3:uid="{8993C8F4-6627-43C5-9BFB-992134DB0DF0}" name="Subsequent Tx5" dataDxfId="974"/>
    <tableColumn id="219" xr3:uid="{9F63F762-6600-41FC-B162-F8CD39EC0980}" name="Subsequent Tx5 Agent" dataDxfId="973"/>
    <tableColumn id="220" xr3:uid="{73884768-B896-4A9B-8ADF-8757ECBCC9B1}" name="Subsequent Tx5 Start Date" dataDxfId="972"/>
    <tableColumn id="221" xr3:uid="{DE3D7365-3E11-4661-81D0-C0B3CDE93BE7}" name="Subsequent Tx5 Finish Date" dataDxfId="971"/>
    <tableColumn id="222" xr3:uid="{2763EA4B-9262-40F9-B3F8-18DFADCCCFA6}" name="Tumour response to Subsequent Tx5" dataDxfId="970"/>
    <tableColumn id="223" xr3:uid="{E271E53E-618A-46EC-8CC0-006DE7886945}" name="Subsequent Tx6" dataDxfId="969"/>
    <tableColumn id="224" xr3:uid="{F169B646-37E3-4F03-A4EC-944A700E0BEB}" name="Subsequent Tx6 Agent" dataDxfId="968"/>
    <tableColumn id="225" xr3:uid="{D977B1A4-7D6D-4E96-9325-8F41E0C436DA}" name="Subsequent Tx6 Start Date" dataDxfId="967"/>
    <tableColumn id="226" xr3:uid="{C986F2F8-8D5A-48B7-B773-1F984E16D401}" name="Subsequent Tx6 Finish Date" dataDxfId="966"/>
    <tableColumn id="227" xr3:uid="{8692B081-C953-41B3-8DD2-ABC1235C00E9}" name="Tumour response to Subsequent Tx6" dataDxfId="965"/>
    <tableColumn id="228" xr3:uid="{F423CAE6-B674-4B0B-8F93-5CEABBF8284A}" name="Subsequent Tx7" dataDxfId="964"/>
    <tableColumn id="229" xr3:uid="{AFD178F1-9494-429A-9742-B557FBB07CE7}" name="Subsequent Tx7 Agent" dataDxfId="963"/>
    <tableColumn id="230" xr3:uid="{A9A0796F-0355-4DBA-94A6-CA2A6F8DF1D7}" name="Subsequent Tx7 Start Date" dataDxfId="962"/>
    <tableColumn id="231" xr3:uid="{0E781E8F-45C7-45EF-BD55-2E6106C59600}" name="Subsequent Tx7 Finish Date" dataDxfId="961"/>
    <tableColumn id="232" xr3:uid="{FC4E48F7-9840-407C-A2B1-BD95613FFC2C}" name="Tumour response to Subsequent Tx7" dataDxfId="960"/>
    <tableColumn id="233" xr3:uid="{5C80C868-A4DD-4CA4-9C0A-41F65AE9F058}" name="Subsequent Tx8" dataDxfId="959"/>
    <tableColumn id="234" xr3:uid="{7A02B6A4-ECC8-4F27-94A3-BCC2B968C6BB}" name="Subsequent Tx8 Agent" dataDxfId="958"/>
    <tableColumn id="235" xr3:uid="{F6B8A045-DDEF-4A3F-816B-DED4074C0DE8}" name="Subsequent Tx8 Start Date" dataDxfId="957"/>
    <tableColumn id="236" xr3:uid="{62BD8352-55F5-44C8-91AC-2ABF5436EAC2}" name="Subsequent Tx8 Finish Date" dataDxfId="956"/>
    <tableColumn id="237" xr3:uid="{9DDEB2B8-85F3-4008-A2BA-19DEC0555A0B}" name="Tumour response to Subsequent Tx8" dataDxfId="955"/>
    <tableColumn id="238" xr3:uid="{02FDF13D-040E-4C10-A03B-5A74F75090D7}" name="Subsequent Tx9" dataDxfId="954"/>
    <tableColumn id="239" xr3:uid="{2BA00180-D497-44BD-B8F7-DA1D61FF2DE8}" name="Subsequent Tx9 Agent" dataDxfId="953"/>
    <tableColumn id="240" xr3:uid="{36D49D24-3891-4390-B4AB-6815CF59A77F}" name="Subsequent Tx9 Start Date" dataDxfId="952"/>
    <tableColumn id="241" xr3:uid="{D607A0B1-DF86-4927-9BBA-A31EAE068FFA}" name="Subsequent Tx9 Finish Date" dataDxfId="951"/>
    <tableColumn id="242" xr3:uid="{7D3ECAAF-2133-4AB3-8FA6-8AC9DE0BAAA1}" name="Tumour response to Subsequent Tx9" dataDxfId="950"/>
    <tableColumn id="243" xr3:uid="{2507935B-6FBF-46E8-970E-A04462C3650B}" name="Subsequent Tx10" dataDxfId="949"/>
    <tableColumn id="244" xr3:uid="{4F2E63B1-2C1D-46CB-8461-9AD3961AC8BB}" name="Subsequent Tx10 Agent" dataDxfId="948"/>
    <tableColumn id="245" xr3:uid="{0BE62175-A5D3-4545-A9C2-D4F35CD7D85E}" name="Subsequent Tx10 Start Date" dataDxfId="947"/>
    <tableColumn id="246" xr3:uid="{8B2CEDD5-9823-4F02-AD51-DE9A3C094400}" name="Subsequent Tx10 Finish Date" dataDxfId="946"/>
    <tableColumn id="247" xr3:uid="{3DB22BA1-EDB5-4B74-9768-66FF9A7F430B}" name="Tumour response to Subsequent Tx10" dataDxfId="945"/>
    <tableColumn id="248" xr3:uid="{5D45A13D-2663-43DE-85EA-6AD70AC5B733}" name="Subsequent Tx11" dataDxfId="944"/>
    <tableColumn id="249" xr3:uid="{644144CA-9A38-43CC-9706-8923D78E7E47}" name="Subsequent Tx11 Agent" dataDxfId="943"/>
    <tableColumn id="250" xr3:uid="{8C3852B3-99B6-4FF0-A32C-01F161FACF12}" name="Subsequent Tx11 Start Date" dataDxfId="942"/>
    <tableColumn id="251" xr3:uid="{C8B3501A-0E7C-4121-AB67-7F701AE0E2FA}" name="Subsequent Tx11 Finish Date" dataDxfId="941"/>
    <tableColumn id="252" xr3:uid="{D105D7B5-8320-45AB-888B-3D9BFFF652C0}" name="Tumour response to Subsequent Tx11" dataDxfId="940"/>
    <tableColumn id="253" xr3:uid="{81B464CC-D1C7-4BC7-B44B-5F9397E909D2}" name="Subsequent Tx12" dataDxfId="939"/>
    <tableColumn id="254" xr3:uid="{20413843-0677-4818-82A8-6EC0ECF09A09}" name="Subsequent Tx12 Agent" dataDxfId="938"/>
    <tableColumn id="255" xr3:uid="{E757EBB4-D115-477C-A785-EC8AACB41107}" name="Subsequent Tx12 Start Date" dataDxfId="937"/>
    <tableColumn id="256" xr3:uid="{5751737A-AF16-49F0-B970-880B7A7EEA38}" name="Subsequent Tx12 Finish Date" dataDxfId="936"/>
    <tableColumn id="257" xr3:uid="{417463A9-393E-44F3-A76F-7FF1C3305BD5}" name="Tumour response to Subsequent Tx12" dataDxfId="935"/>
    <tableColumn id="258" xr3:uid="{4F9EAE6A-B087-4222-9680-2C3B6E7852D4}" name="Subsequent Tx13" dataDxfId="934"/>
    <tableColumn id="259" xr3:uid="{20EF9BF0-AFCC-4ED7-B05A-1B832F024677}" name="Subsequent Tx13 Agent" dataDxfId="933"/>
    <tableColumn id="260" xr3:uid="{D2706AD9-C449-4B13-86D0-67780906B31F}" name="Subsequent Tx13 Start Date" dataDxfId="932"/>
    <tableColumn id="261" xr3:uid="{5DC50F64-058F-4913-BBCE-948BA6EEF1FF}" name="Subsequent Tx13 Finish Date" dataDxfId="931"/>
    <tableColumn id="262" xr3:uid="{C4643969-850C-4BC4-8617-374F0AB6EF9B}" name="Tumour response to Subsequent Tx13" dataDxfId="930"/>
    <tableColumn id="263" xr3:uid="{8B2146EE-4E47-44C3-95EA-B239AAA3A89F}" name="Subsequent Tx14" dataDxfId="929"/>
    <tableColumn id="264" xr3:uid="{C929DD74-7E09-4F0F-9CA8-5C1C6CF49CF4}" name="Subsequent Tx14 Agent" dataDxfId="928"/>
    <tableColumn id="265" xr3:uid="{0F01BACF-57B1-4ABF-9DCD-286DF986A520}" name="Subsequent Tx14 Start Date" dataDxfId="927"/>
    <tableColumn id="266" xr3:uid="{8C9DEE70-2F10-4B0C-8205-5D0C617423B7}" name="Subsequent Tx14 Finish Date" dataDxfId="926"/>
    <tableColumn id="267" xr3:uid="{FFC0169C-F417-459F-B93B-48F0F0D5919A}" name="Tumour response to Subsequent Tx14" dataDxfId="925"/>
    <tableColumn id="268" xr3:uid="{EDF1353C-1555-445A-9F69-582942D8561E}" name="Subsequent Tx15" dataDxfId="924"/>
    <tableColumn id="269" xr3:uid="{19A618BD-484B-46D3-BA4F-0BB4F670FAF8}" name="Subsequent Tx15 Agent" dataDxfId="923"/>
    <tableColumn id="270" xr3:uid="{5F2B0877-8AAE-44F6-8B31-51C505BF70AE}" name="Subsequent Tx15 Start Date" dataDxfId="922"/>
    <tableColumn id="271" xr3:uid="{298338A1-1C56-4A8D-A7C6-D882A2D0A551}" name="Subsequent Tx15 Finish Date" dataDxfId="921"/>
    <tableColumn id="272" xr3:uid="{839DB0CE-6BBB-4FE4-A6E8-5CFF422007BF}" name="Tumour response to Subsequent Tx15" dataDxfId="920"/>
    <tableColumn id="273" xr3:uid="{0847D7CC-BD8C-4B4B-A21E-9B6D207778D0}" name="Current Status" dataDxfId="919"/>
    <tableColumn id="274" xr3:uid="{9DD2AAEE-17FB-405E-8469-901D54D89C91}" name="Death date" dataDxfId="918"/>
    <tableColumn id="275" xr3:uid="{25D37B69-496C-4831-B46E-8C291AAC2660}" name="Death tumour related" dataDxfId="917"/>
    <tableColumn id="276" xr3:uid="{98207EE6-B2E5-459C-8A77-B76A44A6424F}" name="Cause of death" dataDxfId="916"/>
    <tableColumn id="277" xr3:uid="{CE2D52B3-5F3C-42A9-86D5-9845C29F0A83}" name="Date last follow-up" dataDxfId="915"/>
    <tableColumn id="278" xr3:uid="{BDA54477-CEC1-40F0-A3E4-4B6B66BE53B9}" name="Date Last Seen" dataDxfId="914"/>
    <tableColumn id="279" xr3:uid="{9FB8AEED-76E6-4BAB-A1C8-76297BF8438D}" name="Concurrent Medical Conditions" dataDxfId="913"/>
    <tableColumn id="280" xr3:uid="{38DDEF76-DF34-4649-BB93-372C4A6FDBFE}" name="Comments from clinical team" dataDxfId="912"/>
    <tableColumn id="281" xr3:uid="{4A4550CA-474D-428C-8899-A4983B01747E}" name="TTE Neoadjuvant Tx1 Start Date" dataDxfId="911"/>
    <tableColumn id="282" xr3:uid="{5BE53E5E-C1EA-463D-A4CD-64E7A9ABA1AB}" name="TTE Neoadjuvant Tx1 End Date" dataDxfId="910"/>
    <tableColumn id="283" xr3:uid="{F9B88097-4109-4466-8C9C-10FC4B49C0C1}" name="TTE Neoadjuvant Tx2 Start Date" dataDxfId="909"/>
    <tableColumn id="284" xr3:uid="{8B1D513B-03BA-4B7E-A9FE-F238B79B655F}" name="TTE Neoadjuvant Tx2 End Date" dataDxfId="908"/>
    <tableColumn id="285" xr3:uid="{904F74B8-D362-40C8-A294-C884CBDF023A}" name="TTE Neoadjuvant Tx3 Start Date" dataDxfId="907"/>
    <tableColumn id="286" xr3:uid="{494DA653-03AE-4A5F-8F3D-445EF269EC1F}" name="TTE Neoadjuvant Tx3 End Date" dataDxfId="906"/>
    <tableColumn id="287" xr3:uid="{ACF32F24-3720-439A-9A7C-7CBDE223114E}" name="TTE Neoadjuvant Tx4 Start Date" dataDxfId="905"/>
    <tableColumn id="288" xr3:uid="{AB8A2BE7-4C80-43EC-8A02-5E0D2B037D13}" name="TTE Neoadjuvant Tx4 End Date" dataDxfId="904"/>
    <tableColumn id="289" xr3:uid="{78CD555A-D187-44D3-AE51-3E8AE3B8A2FA}" name="TTE Neoadjuvant Tx5 Start Date" dataDxfId="903"/>
    <tableColumn id="290" xr3:uid="{F51430FE-1E0C-4CA9-B6DA-BCC144AD21C6}" name="TTE Neoadjuvant Tx5 End Date" dataDxfId="902"/>
    <tableColumn id="291" xr3:uid="{DAB8A017-11FE-4CF6-AF93-653498AD72D8}" name="TTE Neoadjuvant Tx6 Start Date" dataDxfId="901"/>
    <tableColumn id="292" xr3:uid="{B405E902-FBB1-4B11-9AE1-971AEF9C3371}" name="TTE Neoadjuvant Tx6 End Date" dataDxfId="900"/>
    <tableColumn id="293" xr3:uid="{B2592D30-67F2-43EF-A4C4-2D35733214AE}" name="TTE Neoadjuvant Tx7 Start Date" dataDxfId="899"/>
    <tableColumn id="294" xr3:uid="{6454F574-1C3F-40D6-93FA-0EBBB7B41B08}" name="TTE Neoadjuvant Tx7 End Date" dataDxfId="898"/>
    <tableColumn id="295" xr3:uid="{AE335611-C43B-44ED-BACC-3195F66B7220}" name="TTE Neoadjuvant Tx8 Start Date" dataDxfId="897"/>
    <tableColumn id="296" xr3:uid="{DB839AD7-83A7-40EA-8032-B3D7952DF885}" name="TTE Neoadjuvant Tx8 End Date" dataDxfId="896"/>
    <tableColumn id="297" xr3:uid="{76B3817E-4667-4F1B-AADE-1461853A4061}" name="TTE Neoadjuvant Tx9 Start Date" dataDxfId="895"/>
    <tableColumn id="298" xr3:uid="{F154FB7E-CFA6-4AA1-A003-E01403FF388B}" name="TTE Neoadjuvant Tx9 End Date" dataDxfId="894"/>
    <tableColumn id="299" xr3:uid="{8F296EA6-F6F0-47D8-ABDD-CA5DD0F27CD6}" name="TTE Neoadjuvant Tx10 Start Date" dataDxfId="893"/>
    <tableColumn id="300" xr3:uid="{CE43F1DB-CC4E-4C39-BAE5-F4AC7D9D3755}" name="TTE Neoadjuvant Tx10 End Date" dataDxfId="892"/>
    <tableColumn id="301" xr3:uid="{94F070BF-6E0D-4E30-87D4-879819ABC484}" name="TTE Specimen surgery date" dataDxfId="891"/>
    <tableColumn id="302" xr3:uid="{775B22CD-A5DC-4E8E-A2D0-D65E86B6B153}" name="TTE Primary Surgery date " dataDxfId="890"/>
    <tableColumn id="303" xr3:uid="{0E8B8FF5-397F-4686-AA80-9E7D8908BE6C}" name="TTE Matched met 1 Surgery Date " dataDxfId="889"/>
    <tableColumn id="304" xr3:uid="{3E2A0D01-46F2-4FDA-8578-1F2252EE000F}" name="TTE Matched met 2 Surgery Date " dataDxfId="888"/>
    <tableColumn id="305" xr3:uid="{3E68E735-2E49-4AB1-9B73-F7B146909441}" name="TTE Matched Normal tissue Surgery Date " dataDxfId="887"/>
    <tableColumn id="306" xr3:uid="{605FA354-2126-4001-A1FF-E8E7CFF05DB2}" name="TTE Adjuvant Tx1 Start Date" dataDxfId="886"/>
    <tableColumn id="307" xr3:uid="{084C9627-EE82-4C67-8C60-46646EFD2FB2}" name="TTE Adjuvant Tx1 End Date" dataDxfId="885"/>
    <tableColumn id="308" xr3:uid="{25A1DA4E-7BEE-462C-BA66-521616735DB5}" name="TTE Adjuvant Tx2 Start Date" dataDxfId="884"/>
    <tableColumn id="309" xr3:uid="{EE701533-A908-4F57-B4A0-2A30F7918232}" name="TTE Adjuvant Tx2 End Date" dataDxfId="883"/>
    <tableColumn id="310" xr3:uid="{6D36DB99-D505-449D-9984-1480BD8D9F61}" name="TTE Adjuvant Tx3 Start Date" dataDxfId="882"/>
    <tableColumn id="311" xr3:uid="{47D23A14-EBC7-4132-8FEF-BC2F800EF6FE}" name="TTE Adjuvant Tx3 End Date" dataDxfId="881"/>
    <tableColumn id="312" xr3:uid="{1198199C-8D47-400A-A7C0-41E73D4F0746}" name="TTE Adjuvant Tx4 Start Date" dataDxfId="880"/>
    <tableColumn id="313" xr3:uid="{197547B7-7C2B-4840-9B6D-026CC67311A8}" name="TTE Adjuvant Tx4 End Date" dataDxfId="879"/>
    <tableColumn id="314" xr3:uid="{1F1F6FEC-C361-4458-8D14-F3111EA256FE}" name="TTE Adjuvant Tx5 Start Date" dataDxfId="878"/>
    <tableColumn id="315" xr3:uid="{33D17203-F29E-4E16-AB8B-30A3215DC0EA}" name="TTE Adjuvant Tx5 End Date" dataDxfId="877"/>
    <tableColumn id="316" xr3:uid="{5E930274-F067-46E4-8CA2-1D941BD897D0}" name="TTE Adjuvant Tx6 Start Date" dataDxfId="876"/>
    <tableColumn id="317" xr3:uid="{2F2C81B1-4A60-4603-800F-D1473C9F1C39}" name="TTE Adjuvant Tx6 End Date" dataDxfId="875"/>
    <tableColumn id="318" xr3:uid="{D0C47E48-E572-4589-B7C4-6BD872F0BD39}" name="TTE Adjuvant Tx7 Start Date" dataDxfId="874"/>
    <tableColumn id="319" xr3:uid="{4CADBF4D-86D8-40B6-AA63-5ACC18AED9C7}" name="TTE Adjuvant Tx7 End Date" dataDxfId="873"/>
    <tableColumn id="320" xr3:uid="{47431DFD-8A50-47EA-AC6D-FB60E5AD44AB}" name="TTE Adjuvant Tx8 Start Date" dataDxfId="872"/>
    <tableColumn id="321" xr3:uid="{726D914A-C19C-447D-9745-68E22D997FBE}" name="TTE Adjuvant Tx8 End Date" dataDxfId="871"/>
    <tableColumn id="322" xr3:uid="{C1909387-6F7B-4D47-B8AF-C4D8CE14B563}" name="TTE Adjuvant Tx9 Start Date" dataDxfId="870"/>
    <tableColumn id="323" xr3:uid="{F0927635-8CE8-4A90-867E-2223CE3F5308}" name="TTE Adjuvant Tx9 End Date" dataDxfId="869"/>
    <tableColumn id="324" xr3:uid="{5AA858DD-0F0F-43B9-8001-7169FA6AF6DD}" name="TTE Adjuvant Tx10 Start Date" dataDxfId="868"/>
    <tableColumn id="325" xr3:uid="{D125091A-A319-44B0-B5A4-C717B05F915E}" name="TTE Adjuvant Tx10 End Date" dataDxfId="867"/>
    <tableColumn id="326" xr3:uid="{C30E415F-6DC1-4BD8-AFC5-EFD9E84ED7C7}" name="TTE Adjuvant Tx11 Start Date" dataDxfId="866"/>
    <tableColumn id="327" xr3:uid="{4E4A1C4E-FF97-487B-BA25-A1BECA15F4E5}" name="TTE Adjuvant Tx11 End Date" dataDxfId="865"/>
    <tableColumn id="328" xr3:uid="{206BC6B4-77EC-4721-816D-A7214AB52D86}" name="TTE Adjuvant Tx12 Start Date" dataDxfId="864"/>
    <tableColumn id="329" xr3:uid="{C82CBD8C-D7EF-47AA-93AC-ADDB591FAB44}" name="TTE Adjuvant Tx12 End Date" dataDxfId="863"/>
    <tableColumn id="330" xr3:uid="{7CAF833C-7A63-437B-B69F-0AB0AB58C958}" name="TTE Adjuvant Tx13 Start Date" dataDxfId="862"/>
    <tableColumn id="331" xr3:uid="{775D0B38-CA11-49AE-8A56-2F01CA7B74F3}" name="TTE Adjuvant Tx13 End Date" dataDxfId="861"/>
    <tableColumn id="332" xr3:uid="{365AA186-AB3A-41A5-8523-5D4987851027}" name="TTE Adjuvant Tx14 Start Date" dataDxfId="860"/>
    <tableColumn id="333" xr3:uid="{505569E3-D8C1-4BAA-B99E-7F84935C202C}" name="TTE Adjuvant Tx14 End Date" dataDxfId="859"/>
    <tableColumn id="334" xr3:uid="{5636DCDD-7E51-4ECD-A135-0A6B56EC387F}" name="TTE Adjuvant Tx15 Start Date" dataDxfId="858"/>
    <tableColumn id="335" xr3:uid="{CC49C2F4-258C-4EBB-975D-D6A5E7DE05A0}" name="TTE Adjuvant Tx15 End Date" dataDxfId="857"/>
    <tableColumn id="336" xr3:uid="{5523607F-7C4A-4251-8D52-189508496B19}" name="TTE Date recurrence/ progression 1" dataDxfId="856"/>
    <tableColumn id="337" xr3:uid="{536375B8-C356-40EE-9C30-372D61880FB3}" name="TTE Date recurrence/ progression 2" dataDxfId="855"/>
    <tableColumn id="338" xr3:uid="{29228A15-7656-470A-B5A7-9BADDBB7F625}" name="TTE Date recurrence/ progression 3" dataDxfId="854"/>
    <tableColumn id="339" xr3:uid="{B6A7C278-9C6E-4549-8727-08082C596751}" name="TTE Date recurrence/ progression 4" dataDxfId="853"/>
    <tableColumn id="340" xr3:uid="{958C87EE-2396-4673-93C8-F5F5581376A4}" name="TTE Date recurrence/ progression 5" dataDxfId="852"/>
    <tableColumn id="341" xr3:uid="{4C5719AF-D86F-48DB-A036-207BF7511F69}" name="TTE Date recurrence/ progression 6" dataDxfId="851"/>
    <tableColumn id="342" xr3:uid="{640954B6-B01F-47E5-8947-7603E628D164}" name="TTE Date recurrence/ progression 7" dataDxfId="850"/>
    <tableColumn id="343" xr3:uid="{0753A31C-7D8E-4ECE-B826-EF3AEC7AF57A}" name="TTE Date recurrence/ progression 8" dataDxfId="849"/>
    <tableColumn id="344" xr3:uid="{B278EECB-7312-4AA5-9C90-1D9BB6B4DA10}" name="TTE Date recurrence/ progression 9" dataDxfId="848"/>
    <tableColumn id="345" xr3:uid="{9FBFCADF-6819-4BFD-8825-0F615F0D418B}" name="TTE Date recurrence/ progression 10" dataDxfId="847"/>
    <tableColumn id="346" xr3:uid="{5BB66F00-CD20-4482-8374-BD737FEB350D}" name="TTE Date recurrence/ progression 11" dataDxfId="846"/>
    <tableColumn id="347" xr3:uid="{6761044C-AD97-4FC3-865C-5CDF0EFB10BD}" name="TTE Date recurrence/ progression 12" dataDxfId="845"/>
    <tableColumn id="348" xr3:uid="{C4648E69-E004-42B1-9676-C84B19DD94DE}" name="TTE Date recurrence/ progression 13" dataDxfId="844"/>
    <tableColumn id="349" xr3:uid="{9F78931A-47F2-4546-AF72-7642F203D29E}" name="TTE Date recurrence/ progression 14" dataDxfId="843"/>
    <tableColumn id="350" xr3:uid="{EF0490E8-293A-47D4-92E8-21A85B20AFF2}" name="TTE Date recurrence/ progression 15" dataDxfId="842"/>
    <tableColumn id="351" xr3:uid="{9849261B-2756-4B3E-A4F7-CFD34A31329D}" name="TTE Subsequent Tx1 Start Date" dataDxfId="841"/>
    <tableColumn id="352" xr3:uid="{5B4916B9-5419-47B4-A456-839B790D2A28}" name="TTE Subsequent Tx1 Finish Date" dataDxfId="840"/>
    <tableColumn id="353" xr3:uid="{679D58D2-0E05-4891-9517-ABDF5FA5190B}" name="TTE Subsequent Tx2 Start Date" dataDxfId="839"/>
    <tableColumn id="354" xr3:uid="{CF85978A-1182-4096-9AFC-36E5EB209EA3}" name="TTE Subsequent Tx2 Finish Date" dataDxfId="838"/>
    <tableColumn id="355" xr3:uid="{41B5EECE-D57F-4D1B-8D12-2B916D43EC19}" name="TTE Subsequent Tx3 Start Date" dataDxfId="837"/>
    <tableColumn id="356" xr3:uid="{78D7BE6B-8DC6-4633-BD08-FB3F5E889E4B}" name="TTE Subsequent Tx3 Finish Date" dataDxfId="836"/>
    <tableColumn id="357" xr3:uid="{73A234A6-DA42-4A7C-AF19-DEAB827AF301}" name="TTE Subsequent Tx4 Start Date" dataDxfId="835"/>
    <tableColumn id="358" xr3:uid="{4F850768-E304-433B-B169-8F80B7E52694}" name="TTE Subsequent Tx4 Finish Date" dataDxfId="834"/>
    <tableColumn id="359" xr3:uid="{2831BA1F-CBA7-4906-AEBA-D76F65B1BB80}" name="TTE Subsequent Tx5 Start Date" dataDxfId="833"/>
    <tableColumn id="360" xr3:uid="{0439D7E1-AFF2-4543-950E-28697C66CA88}" name="TTE Subsequent Tx5 Finish Date" dataDxfId="832"/>
    <tableColumn id="361" xr3:uid="{3034CCD9-C8AC-4D65-A633-42BD049402B2}" name="TTE Subsequent Tx6 Start Date" dataDxfId="831"/>
    <tableColumn id="362" xr3:uid="{9FA71231-EDC5-4F92-92BA-408B670FE81B}" name="TTE Subsequent Tx6 Finish Date" dataDxfId="830"/>
    <tableColumn id="363" xr3:uid="{E00E8931-2742-4EA6-B54B-78284B0CE671}" name="TTE Subsequent Tx7 Start Date" dataDxfId="829"/>
    <tableColumn id="364" xr3:uid="{4D9C119A-E3C1-4DDA-ACA8-417133C1B8B3}" name="TTE Subsequent Tx7 Finish Date" dataDxfId="828"/>
    <tableColumn id="365" xr3:uid="{98800111-F208-41E2-9596-F54A5EBECD5B}" name="TTE Subsequent Tx8 Start Date" dataDxfId="827"/>
    <tableColumn id="366" xr3:uid="{7888802F-0A4E-405C-A9B2-BC087A0DC5A9}" name="TTE Subsequent Tx8 Finish Date" dataDxfId="826"/>
    <tableColumn id="367" xr3:uid="{AA71D5FE-030E-4002-A840-3DC8D98CBAE2}" name="TTE Subsequent Tx9 Start Date" dataDxfId="825"/>
    <tableColumn id="368" xr3:uid="{CD40A6A6-8EB4-448E-9810-4B89609D96A6}" name="TTE Subsequent Tx9 Finish Date" dataDxfId="824"/>
    <tableColumn id="369" xr3:uid="{BA4D8F10-BE77-472D-ABEC-55034B9C1167}" name="TTE Subsequent Tx10 Start Date" dataDxfId="823"/>
    <tableColumn id="370" xr3:uid="{9BF4ADA4-5377-4C68-898B-DD6C263BC08B}" name="TTE Subsequent Tx10 Finish Date" dataDxfId="822"/>
    <tableColumn id="371" xr3:uid="{732A1696-C6C8-444A-B924-F26C8AA85915}" name="TTE Subsequent Tx11 Start Date" dataDxfId="821"/>
    <tableColumn id="372" xr3:uid="{A892F476-3620-43DA-80DF-1DF781F95659}" name="TTE Subsequent Tx11 Finish Date" dataDxfId="820"/>
    <tableColumn id="373" xr3:uid="{4771454B-09D5-4343-A122-7F300AADF58E}" name="TTE Subsequent Tx12 Start Date" dataDxfId="819"/>
    <tableColumn id="374" xr3:uid="{770B837A-0393-4E10-8A15-98593C334791}" name="TTE Subsequent Tx12 Finish Date" dataDxfId="818"/>
    <tableColumn id="375" xr3:uid="{A7EC7C86-E6D3-49D5-9BB7-9CA29001BA32}" name="TTE Subsequent Tx13 Start Date" dataDxfId="817"/>
    <tableColumn id="376" xr3:uid="{AF0265C9-3F53-4CB5-AF42-C022A946EAE8}" name="TTE Subsequent Tx13 Finish Date" dataDxfId="816"/>
    <tableColumn id="377" xr3:uid="{A5AA2A45-3D8C-46C1-A66D-7F6DF8CF3DA6}" name="TTE Subsequent Tx14 Start Date" dataDxfId="815"/>
    <tableColumn id="378" xr3:uid="{EB2E77B6-C33B-40EC-BD46-A85B0FA7A71B}" name="TTE Subsequent Tx14 Finish Date" dataDxfId="814"/>
    <tableColumn id="379" xr3:uid="{644CF552-FC44-49B9-A740-C75BACD5F125}" name="TTE Subsequent Tx15 Start Date" dataDxfId="813"/>
    <tableColumn id="380" xr3:uid="{18337AB4-EE0C-48D2-8D94-A4E932809BE4}" name="TTE Subsequent Tx15 Finish Date" dataDxfId="812"/>
    <tableColumn id="381" xr3:uid="{6B2BB008-B3E2-4120-824C-34277CB3C071}" name="TTE Recurrence (PFS)" dataDxfId="811"/>
    <tableColumn id="382" xr3:uid="{508C8738-B0B9-4EF7-B8B8-4B757B12A1EC}" name="TTE Death (OS and PFS)" dataDxfId="810"/>
    <tableColumn id="383" xr3:uid="{FC81DB28-FCD2-4944-A948-AE3084919D78}" name="TTE Date last follow-up (PFS)" dataDxfId="809"/>
    <tableColumn id="384" xr3:uid="{E443D9C9-16A0-41A1-8BF8-53EEDDBE9E4C}" name="TTE Date last seen (OS)" dataDxfId="808"/>
    <tableColumn id="385" xr3:uid="{2CBEEFA3-59C0-48CC-A65C-DE42E17FD8E4}" name="TTE Overall survival (OS) in months" dataDxfId="807"/>
    <tableColumn id="386" xr3:uid="{5AC658C3-E57A-489B-994A-39148D0B4610}" name="TTE Progression free survival (PFS) in months" dataDxfId="806"/>
    <tableColumn id="387" xr3:uid="{07038458-804F-4851-8CB5-76F1D538D820}" name="Event (recurrence/progression)" dataDxfId="805"/>
    <tableColumn id="388" xr3:uid="{1B3C8ED6-B3E6-4D93-8EA9-B639EF153E6E}" name="Event (cancer death)" dataDxfId="804"/>
    <tableColumn id="389" xr3:uid="{E53CA2D0-143C-4AE6-8A89-CECCD05FED6A}" name="Event (death; all causes)" dataDxfId="803"/>
    <tableColumn id="390" xr3:uid="{56A57C5C-3629-4DC7-A439-8B5334C1FFAA}" name="Event (recurrence or cancer death)" dataDxfId="80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D69861-D2A0-43E2-8209-806449784AA6}" name="Supplementary_1" displayName="Supplementary_1" ref="A1:D74" totalsRowShown="0" headerRowDxfId="795" tableBorderDxfId="800" headerRowCellStyle="Normal 2">
  <autoFilter ref="A1:D74" xr:uid="{EBD69861-D2A0-43E2-8209-806449784AA6}"/>
  <tableColumns count="4">
    <tableColumn id="1" xr3:uid="{9AA7B9E5-9D0B-4F02-BAFE-102659F54B2C}" name="NHS number" dataDxfId="799"/>
    <tableColumn id="2" xr3:uid="{DF1F2A62-1DA0-47F7-A4CB-BB456C54506E}" name="Donor ID" dataDxfId="798"/>
    <tableColumn id="3" xr3:uid="{B5553F38-6688-447A-BA89-7DD565A13B38}" name="Specimen number" dataDxfId="797"/>
    <tableColumn id="4" xr3:uid="{341FAD2B-F828-4D3A-B992-F42A0D4B08DA}" name="FIGO grading" dataDxfId="796"/>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1360A6-FC57-4E15-914C-A282C01F1DA0}" name="FollowUp_2" displayName="FollowUp_2" ref="A3:NZ92" totalsRowShown="0" dataDxfId="404">
  <autoFilter ref="A3:NZ92" xr:uid="{641360A6-FC57-4E15-914C-A282C01F1DA0}"/>
  <tableColumns count="390">
    <tableColumn id="1" xr3:uid="{FB5BF2B4-CB1B-4E22-BA45-D4A92F5C7601}" name="NHS number" dataDxfId="794"/>
    <tableColumn id="2" xr3:uid="{CFB79453-FA38-4C2F-937E-9C4BF184E577}" name="Any Immunotherapy " dataDxfId="793"/>
    <tableColumn id="3" xr3:uid="{BDEAFB42-DA0B-4969-83F3-E99808B10C79}" name="Specimen treatment subgrouping" dataDxfId="792"/>
    <tableColumn id="4" xr3:uid="{A4B262FF-CEFB-4568-A00C-44ED5BEE3BEB}" name="Specimen is a recurrence " dataDxfId="791"/>
    <tableColumn id="5" xr3:uid="{6C06091E-F86E-4558-B3CF-B4FFF5D2D453}" name="Selected specimen Anonymised ID" dataDxfId="790"/>
    <tableColumn id="6" xr3:uid="{445A1011-38EC-4C11-95C6-3491E351D52C}" name="Specimen Block number 1" dataDxfId="789"/>
    <tableColumn id="7" xr3:uid="{51B04E7E-6EA6-4E04-9708-EBF8BE9BF293}" name="Specimen Block number 2" dataDxfId="788"/>
    <tableColumn id="8" xr3:uid="{A8A0DA7D-E938-4CE1-B61A-8D42BEA0EE0B}" name="Specimen surgery date" dataDxfId="787"/>
    <tableColumn id="9" xr3:uid="{7995A300-10CC-4298-B0CC-3871317F423D}" name="Specimen surgery" dataDxfId="786"/>
    <tableColumn id="10" xr3:uid="{B899FBD7-1104-4FAE-BF63-5F1FC38E50BF}" name="Specimen tumour site" dataDxfId="785"/>
    <tableColumn id="11" xr3:uid="{8528F1E3-CC9E-4037-A08B-B30317C641AF}" name="Primary Surgery date " dataDxfId="784"/>
    <tableColumn id="12" xr3:uid="{E529C009-CCBA-4CFE-88D0-4F2B9B89AE63}" name="Primary tumour site" dataDxfId="783"/>
    <tableColumn id="13" xr3:uid="{F754524E-DDA7-4C51-800C-609F2E584FCC}" name="Anonymized ID Matched met 1" dataDxfId="782"/>
    <tableColumn id="14" xr3:uid="{FB47C493-9857-478E-972F-644321C74CFF}" name="Matched met 1 Block Number" dataDxfId="781"/>
    <tableColumn id="15" xr3:uid="{A9F3E126-9DA3-40CB-B4D0-2BB33609D5C4}" name="Matched met 1 Site" dataDxfId="780"/>
    <tableColumn id="16" xr3:uid="{1AEB81E3-389B-452C-957C-EAEB2A6900A3}" name="Matched met 1 Surgery Date " dataDxfId="779"/>
    <tableColumn id="17" xr3:uid="{D8326066-235A-45F7-9730-BA9C9CECFB6A}" name="Matched met 1 treatment subgrouping" dataDxfId="778"/>
    <tableColumn id="18" xr3:uid="{C40EE4F9-DC4A-4E7B-96BA-8A35A7F42DA6}" name="Anonymized ID Matched met 2" dataDxfId="777"/>
    <tableColumn id="19" xr3:uid="{74111D4D-E2EA-4985-80BD-5ED13DB5AFBF}" name="Matched met 2 Block Number" dataDxfId="776"/>
    <tableColumn id="20" xr3:uid="{3162612A-F88D-45E7-9412-BA625FE72C83}" name="Matched met 2 Site" dataDxfId="775"/>
    <tableColumn id="21" xr3:uid="{DE8A504C-AF7B-4674-9535-D24BD1371255}" name="Matched met 2 Surgery Date " dataDxfId="774"/>
    <tableColumn id="22" xr3:uid="{262C6E19-52EF-4603-93B3-D51B2C232FF0}" name="Matched met 2 treatment subgrouping" dataDxfId="773"/>
    <tableColumn id="23" xr3:uid="{790CD594-8F32-4711-A619-92F8FC8C1B0C}" name="Anonymized ID Normal tissue" dataDxfId="772"/>
    <tableColumn id="24" xr3:uid="{EF6E87AC-A929-4242-810E-7C733CA8F97C}" name="Matched Normal tissue Block Number" dataDxfId="771"/>
    <tableColumn id="25" xr3:uid="{65EB5BBB-F2BB-4C92-8958-BE991D7B5E08}" name="Matched Normal tissue Site" dataDxfId="770"/>
    <tableColumn id="26" xr3:uid="{71C6BB2C-8DD9-4F3F-A9D8-6407CA535CAE}" name="Matched Normal tissue Surgery Date " dataDxfId="769"/>
    <tableColumn id="27" xr3:uid="{4FC92B5E-5F44-45FD-8F8A-D78C0C580F05}" name="Matched Normal treatment subgrouping" dataDxfId="768"/>
    <tableColumn id="28" xr3:uid="{14FD6089-3E39-498B-8357-89DD86FE78EC}" name="Gender" dataDxfId="767"/>
    <tableColumn id="29" xr3:uid="{45C38C31-BF8E-40AD-8620-169A4724B2A9}" name="DOB " dataDxfId="766"/>
    <tableColumn id="30" xr3:uid="{6D22B3E1-F4F0-4AF7-9D15-44DB19ED5DCF}" name="Date of DX" dataDxfId="765"/>
    <tableColumn id="31" xr3:uid="{20775AE0-B2CA-4F40-91A8-617FFD088D3B}" name="Age at Diagnosis " dataDxfId="764">
      <calculatedColumnFormula>DATEDIF(AC4, AD4,"Y")</calculatedColumnFormula>
    </tableColumn>
    <tableColumn id="32" xr3:uid="{BD21142D-65DB-4C2E-886D-EB9A0B9CD991}" name="Specimen Histological Diagnosis" dataDxfId="763"/>
    <tableColumn id="33" xr3:uid="{09C86F98-DC10-4D23-9E3B-62C4486EC056}" name="Staging/grading info provided for:" dataDxfId="762"/>
    <tableColumn id="34" xr3:uid="{410ED639-31D8-408C-9595-55E5E739430C}" name="Resection margins clear " dataDxfId="761"/>
    <tableColumn id="35" xr3:uid="{8F7A1813-D5CE-47D6-9F77-485D33FEABE6}" name="pT" dataDxfId="760"/>
    <tableColumn id="36" xr3:uid="{99A6C4F7-3919-49E0-91D4-D951EE3AE526}" name="pN" dataDxfId="759"/>
    <tableColumn id="37" xr3:uid="{5EADEF6E-F5AD-46A3-A96C-BDCCBE15BD9C}" name="pM" dataDxfId="758"/>
    <tableColumn id="38" xr3:uid="{EA3501BA-1E3A-4C05-A9AA-76D92AF61A27}" name="cM" dataDxfId="757"/>
    <tableColumn id="39" xr3:uid="{9100D282-555A-474C-B0D4-52548AFFAB86}" name="TNM stage" dataDxfId="756"/>
    <tableColumn id="40" xr3:uid="{9372E74A-3DD1-4E36-954E-2CB9CE91F31D}" name="Grade" dataDxfId="755"/>
    <tableColumn id="41" xr3:uid="{64093B29-CFE1-408C-8ECD-902E4D8F5DA9}" name="Stage at DX (AJCC)" dataDxfId="754"/>
    <tableColumn id="42" xr3:uid="{D290DC5D-1AA7-4317-96C8-B3C2D6A1C187}" name="Any Neoadjuvant therapy" dataDxfId="753"/>
    <tableColumn id="43" xr3:uid="{B7386D11-BA67-4985-9105-A961CE74CA7C}" name="Response to neoadjuvant therapy (TRS score)" dataDxfId="752"/>
    <tableColumn id="44" xr3:uid="{4DC56D2A-8AF0-4070-8866-9D27647CC96A}" name="Neoadjuvant Tx1" dataDxfId="751"/>
    <tableColumn id="45" xr3:uid="{9778D561-F43E-45BF-9AE5-39B8ED8A62CC}" name="Neoadjuvant Tx1 Agent" dataDxfId="750"/>
    <tableColumn id="46" xr3:uid="{AE8B3B82-42AB-4E19-9A89-39FD9935ADFD}" name="Neoadjuvant Tx1 Start Date" dataDxfId="749"/>
    <tableColumn id="47" xr3:uid="{6502CFBF-A344-4ADB-B244-0BB9EBC52D40}" name="Neoadjuvant Tx1 End Date" dataDxfId="748"/>
    <tableColumn id="48" xr3:uid="{A577D896-8A78-4547-B0AD-CC3C223E186F}" name="Tumour response Neoadjuvant Tx1" dataDxfId="747"/>
    <tableColumn id="49" xr3:uid="{6F8F1C4E-BD32-4338-BAD1-1E281E965063}" name="Neoadjuvant Tx2" dataDxfId="746"/>
    <tableColumn id="50" xr3:uid="{CB5230C3-CD3C-472F-888E-50ACD1BD8653}" name="Neoadjuvant Tx2 Agent" dataDxfId="745"/>
    <tableColumn id="51" xr3:uid="{E67DD3E3-758D-40AA-A724-E4692778DB7D}" name="Neoadjuvant Tx2 Start Date" dataDxfId="744"/>
    <tableColumn id="52" xr3:uid="{BACF6527-F5F8-4FAA-B3F2-A4E70393F0A4}" name="Neoadjuvant Tx2 End Date" dataDxfId="743"/>
    <tableColumn id="53" xr3:uid="{264D2839-BBC6-4DA8-8431-24F9DEB84C0D}" name="Tumour response Neoadjuvant  Tx2" dataDxfId="742"/>
    <tableColumn id="54" xr3:uid="{40E88B70-4DF4-4487-BEA0-E0ABE7CFA1E2}" name="Neoadjuvant Tx3" dataDxfId="741"/>
    <tableColumn id="55" xr3:uid="{F85ACCD2-BCCC-4325-A16F-404B049A9D60}" name="Neoadjuvant Tx3 Agent" dataDxfId="740"/>
    <tableColumn id="56" xr3:uid="{E51067A7-F492-4E99-BE33-62D1BAEBDE7D}" name="Neoadjuvant Tx3 Start Date" dataDxfId="739"/>
    <tableColumn id="57" xr3:uid="{9DBCD8E8-01A5-4759-829C-7C93AAD6FEB2}" name="Neoadjuvant Tx3 End Date" dataDxfId="738"/>
    <tableColumn id="58" xr3:uid="{FDA6C08D-2EF3-4845-A24C-CC0EE25861CE}" name="Tumour response Neoadjuvant  Tx3" dataDxfId="737"/>
    <tableColumn id="59" xr3:uid="{B8240188-6F15-4397-AAA2-103A9CD58243}" name="Neoadjuvant Tx4" dataDxfId="736"/>
    <tableColumn id="60" xr3:uid="{2A36B8F9-BEEB-4FE4-9043-6FE512522BBF}" name="Neoadjuvant Tx4 Agent" dataDxfId="735"/>
    <tableColumn id="61" xr3:uid="{D3D29E7D-E21C-40F2-9A2C-C60CE621D04D}" name="Neoadjuvant Tx4 Start Date" dataDxfId="734"/>
    <tableColumn id="62" xr3:uid="{4A4A69B6-85F9-4846-BC35-38AA85E03C0C}" name="Neoadjuvant Tx4 End Date" dataDxfId="733"/>
    <tableColumn id="63" xr3:uid="{46824A04-4AE5-4CBF-AC97-73E796879E37}" name="Tumour response Neoadjuvant  Tx4" dataDxfId="732"/>
    <tableColumn id="64" xr3:uid="{38D994CD-685D-43D9-B432-006797982548}" name="Neoadjuvant Tx5" dataDxfId="731"/>
    <tableColumn id="65" xr3:uid="{49BA1BD2-16B5-4AFF-8EDD-66CBDD76688B}" name="Neoadjuvant Tx5 Agent" dataDxfId="730"/>
    <tableColumn id="66" xr3:uid="{8FC794E1-C2D4-46E1-A6D2-1B4F8A669FAE}" name="Neoadjuvant Tx5 Start Date" dataDxfId="729"/>
    <tableColumn id="67" xr3:uid="{98D51C0F-3EC3-4DC0-A7C7-9FEC0A5435DE}" name="Neoadjuvant Tx5 End Date" dataDxfId="728"/>
    <tableColumn id="68" xr3:uid="{A22E4E6E-B5D3-4657-A7A9-658F2CBCA512}" name="Tumour response Neoadjuvant  Tx5" dataDxfId="727"/>
    <tableColumn id="69" xr3:uid="{4494E846-81C9-4117-8C42-C5DEC3EEDED7}" name="Neoadjuvant Tx6" dataDxfId="726"/>
    <tableColumn id="70" xr3:uid="{72B74591-6E86-4100-947D-BCCC9A01BECB}" name="Neoadjuvant Tx6 Agent" dataDxfId="725"/>
    <tableColumn id="71" xr3:uid="{160A56E7-6E26-47DA-B316-0A6F4F8FACF5}" name="Neoadjuvant Tx6 Start Date" dataDxfId="724"/>
    <tableColumn id="72" xr3:uid="{297E1306-589A-4224-A8CE-8DC643CF2672}" name="Neoadjuvant Tx6 End Date" dataDxfId="723"/>
    <tableColumn id="73" xr3:uid="{05A85909-EACE-44DE-B4A0-0B5B94679011}" name="Tumour response Neoadjuvant  Tx6" dataDxfId="722"/>
    <tableColumn id="74" xr3:uid="{71B62D52-43C4-4D1C-9DC9-C32C65D96CFE}" name="Neoadjuvant Tx7" dataDxfId="721"/>
    <tableColumn id="75" xr3:uid="{4A7D7226-16C4-4B3D-BC2E-226477420990}" name="Neoadjuvant Tx7 Agent" dataDxfId="720"/>
    <tableColumn id="76" xr3:uid="{521B40ED-95C6-4347-A321-F2C4890C2FD3}" name="Neoadjuvant Tx7 Start Date" dataDxfId="719"/>
    <tableColumn id="77" xr3:uid="{9D41A4F1-222C-4E90-9EB3-E13703EE05CE}" name="Neoadjuvant Tx7 End Date" dataDxfId="718"/>
    <tableColumn id="78" xr3:uid="{079C8F86-CFD4-4B32-8A11-E9604148E28E}" name="Tumour response Neoadjuvant  Tx7" dataDxfId="717"/>
    <tableColumn id="79" xr3:uid="{1B2E1732-5E46-43A1-B270-4DCE6AB784E7}" name="Neoadjuvant Tx8" dataDxfId="716"/>
    <tableColumn id="80" xr3:uid="{FB386E65-BAE2-4F49-8441-1FFD3EF1F70C}" name="Neoadjuvant Tx8 Agent" dataDxfId="715"/>
    <tableColumn id="81" xr3:uid="{AB2EC7ED-F81F-412D-86BD-2FE48970BDCB}" name="Neoadjuvant Tx8 Start Date" dataDxfId="714"/>
    <tableColumn id="82" xr3:uid="{38FCC5FF-4551-4AAC-B21A-BDD42F8445B8}" name="Neoadjuvant Tx8 End Date" dataDxfId="713"/>
    <tableColumn id="83" xr3:uid="{1B876265-4061-41EA-A203-1BC0E676A8D0}" name="Tumour response Neoadjuvant  Tx8" dataDxfId="712"/>
    <tableColumn id="84" xr3:uid="{6144E39D-E42A-4C7B-828B-07982696C75C}" name="Neoadjuvant Tx9" dataDxfId="711"/>
    <tableColumn id="85" xr3:uid="{5A6E58A8-056A-46DD-BDD9-B4B7C0ED5574}" name="Neoadjuvant Tx9 Agent" dataDxfId="710"/>
    <tableColumn id="86" xr3:uid="{D19D21F7-97CC-4A21-816F-8B095DC43099}" name="Neoadjuvant Tx9 Start Date" dataDxfId="709"/>
    <tableColumn id="87" xr3:uid="{6701B9CB-9719-4C4A-8072-6E2EB0C7C440}" name="Neoadjuvant Tx9 End Date" dataDxfId="708"/>
    <tableColumn id="88" xr3:uid="{F8303813-F69D-4C46-A6F3-6A8B786F79B8}" name="Tumour response Neoadjuvant  Tx9" dataDxfId="707"/>
    <tableColumn id="89" xr3:uid="{259A309F-FA3E-4994-8976-6C3BF0BF8EA8}" name="Neoadjuvant Tx10" dataDxfId="706"/>
    <tableColumn id="90" xr3:uid="{5D698BED-E2DF-4EE3-9D95-E6C02E39201D}" name="Neoadjuvant Tx10 Agent" dataDxfId="705"/>
    <tableColumn id="91" xr3:uid="{CAAC56C6-E556-46F8-A073-4FE3CE95A6C9}" name="Neoadjuvant Tx10 Start Date" dataDxfId="704"/>
    <tableColumn id="92" xr3:uid="{55E4B771-B02F-4AD2-BDB5-A84019D470B6}" name="Neoadjuvant Tx10 End Date" dataDxfId="703"/>
    <tableColumn id="93" xr3:uid="{D83FEDEB-1851-47D2-B2B0-44607FDA6911}" name="Tumour response Neoadjuvant Tx10" dataDxfId="702"/>
    <tableColumn id="94" xr3:uid="{0B7DC53C-B220-4ED0-AEB6-0054D9C71A12}" name="Adjuvant Tx1" dataDxfId="701"/>
    <tableColumn id="95" xr3:uid="{D924D867-FADF-4B85-83E0-514DA122743A}" name="Adjuvant Tx1 Agent" dataDxfId="700"/>
    <tableColumn id="96" xr3:uid="{15470477-94D6-4C01-A516-0731BF648A14}" name="Adjuvant Tx1 Start Date" dataDxfId="699"/>
    <tableColumn id="97" xr3:uid="{0DFAFA30-64B7-4E9E-AA10-C9AA4D98457C}" name="Adjuvant Tx1 End Date" dataDxfId="698"/>
    <tableColumn id="98" xr3:uid="{8AEB3E80-8264-4B66-B55E-95989A263881}" name="Tumour response Adjuvant Tx1" dataDxfId="697"/>
    <tableColumn id="99" xr3:uid="{BC869178-B027-46E1-8FD6-FDA34856650E}" name="Adjuvant Tx2" dataDxfId="696"/>
    <tableColumn id="100" xr3:uid="{B66916E0-D49A-4B8E-B5ED-D366D393CFEB}" name="Adjuvant Tx2 Agent" dataDxfId="695"/>
    <tableColumn id="101" xr3:uid="{992D4E3A-288E-439D-B30A-13BF0521D577}" name="Adjuvant Tx2 Start Date" dataDxfId="694"/>
    <tableColumn id="102" xr3:uid="{91C218B5-20DC-4F4C-89E2-AE4EDE073157}" name="Adjuvant Tx2 End Date" dataDxfId="693"/>
    <tableColumn id="103" xr3:uid="{F6A53C48-7E3F-468E-A73F-B506C97C6294}" name="Tumour response Adjuvant  Tx2" dataDxfId="692"/>
    <tableColumn id="104" xr3:uid="{1D9D584D-4F34-4475-92AC-5F4C5B3B59B3}" name="Adjuvant Tx3" dataDxfId="691"/>
    <tableColumn id="105" xr3:uid="{BFC71A93-7C45-4DC8-BA39-D5DA83FC8901}" name="Adjuvant Tx3 Agent" dataDxfId="690"/>
    <tableColumn id="106" xr3:uid="{6B3EF125-69F8-4130-B611-AB8D27155BC2}" name="Adjuvant Tx3 Start Date" dataDxfId="689"/>
    <tableColumn id="107" xr3:uid="{0F3FC967-7FBE-4514-A617-9D9C95BF0E70}" name="Adjuvant Tx3 End Date" dataDxfId="688"/>
    <tableColumn id="108" xr3:uid="{D81DE746-6203-4453-B612-B20CA0D94B2B}" name="Tumour response Adjuvant  Tx3" dataDxfId="687"/>
    <tableColumn id="109" xr3:uid="{5B340D39-BBA0-40D0-B393-78958C01D8BF}" name="Adjuvant Tx4" dataDxfId="686"/>
    <tableColumn id="110" xr3:uid="{2843A923-301A-45CE-A690-D716A6A1B6D0}" name="Adjuvant Tx4 Agent" dataDxfId="685"/>
    <tableColumn id="111" xr3:uid="{783C0BB6-8081-4A64-81B3-482FDC380F9F}" name="Adjuvant Tx4 Start Date" dataDxfId="684"/>
    <tableColumn id="112" xr3:uid="{58667353-2D9A-4229-83C4-2ABA6C628169}" name="Adjuvant Tx4 End Date" dataDxfId="683"/>
    <tableColumn id="113" xr3:uid="{84D9AEA5-8303-45BB-BBFE-64D9BA29D4DD}" name="Tumour response Adjuvant  Tx4" dataDxfId="682"/>
    <tableColumn id="114" xr3:uid="{9AAB9B76-DC81-4D94-B181-AE18E04FE80C}" name="Adjuvant Tx5" dataDxfId="681"/>
    <tableColumn id="115" xr3:uid="{47FD6634-2AAA-49EC-B40E-DDCD741014F8}" name="Adjuvant Tx5 Agent" dataDxfId="680"/>
    <tableColumn id="116" xr3:uid="{71CFA6C8-536A-4DCF-8339-61037FCCAB11}" name="Adjuvant Tx5 Start Date" dataDxfId="679"/>
    <tableColumn id="117" xr3:uid="{C7279428-D44E-40B1-9CD2-13FCE6C12D4F}" name="Adjuvant Tx5 End Date" dataDxfId="678"/>
    <tableColumn id="118" xr3:uid="{B373FC58-E0B4-41DB-A252-27741FA7636E}" name="Tumour response Adjuvant  Tx5" dataDxfId="677"/>
    <tableColumn id="119" xr3:uid="{6F9D1D70-BDBC-415B-9DE3-4EC26775FE43}" name="Adjuvant Tx6" dataDxfId="676"/>
    <tableColumn id="120" xr3:uid="{F89F0747-BFB5-4C2B-8CC4-62A50F134717}" name="Adjuvant Tx6 Agent" dataDxfId="675"/>
    <tableColumn id="121" xr3:uid="{EEEDA671-EDF0-400E-AA66-E86B35BD49CE}" name="Adjuvant Tx6 Start Date" dataDxfId="674"/>
    <tableColumn id="122" xr3:uid="{ECDA1B21-2CBF-4995-BBC6-8FD923AAD0CB}" name="Adjuvant Tx6 End Date" dataDxfId="673"/>
    <tableColumn id="123" xr3:uid="{6F736269-067B-44D3-AB08-08A434F71EDD}" name="Tumour response Adjuvant  Tx6" dataDxfId="672"/>
    <tableColumn id="124" xr3:uid="{96A2D883-D386-4B34-85A9-5D1A9E8C924C}" name="Adjuvant Tx7" dataDxfId="671"/>
    <tableColumn id="125" xr3:uid="{6B58A43A-7F28-4477-99C3-952E2F73ED79}" name="Adjuvant Tx7 Agent" dataDxfId="670"/>
    <tableColumn id="126" xr3:uid="{9A01AFA3-D56A-4659-9F67-AD647088603B}" name="Adjuvant Tx7 Start Date" dataDxfId="669"/>
    <tableColumn id="127" xr3:uid="{A1F5F8C6-319F-4D79-ABE4-EED183D55E2F}" name="Adjuvant Tx7 End Date" dataDxfId="668"/>
    <tableColumn id="128" xr3:uid="{9016F980-5D13-4543-ACEA-CA2E587F4521}" name="Tumour response Adjuvant  Tx7" dataDxfId="667"/>
    <tableColumn id="129" xr3:uid="{6F46004A-09DE-4AC6-8DCE-BA218424C74F}" name="Adjuvant Tx8" dataDxfId="666"/>
    <tableColumn id="130" xr3:uid="{E6D57FA9-790C-4F09-B4AD-DFB677848BE6}" name="Adjuvant Tx8 Agent" dataDxfId="665"/>
    <tableColumn id="131" xr3:uid="{B6EEE3FF-1D33-4C6A-B2CE-FBE4AAA821DE}" name="Adjuvant Tx8 Start Date" dataDxfId="664"/>
    <tableColumn id="132" xr3:uid="{72DB39ED-1EE4-4C1E-9758-8B2858A53D6B}" name="Adjuvant Tx8 End Date" dataDxfId="663"/>
    <tableColumn id="133" xr3:uid="{58E30769-49B8-4F37-A281-9ABD7A8B103C}" name="Tumour response Adjuvant  Tx8" dataDxfId="662"/>
    <tableColumn id="134" xr3:uid="{7E059C58-91E3-443D-BCA7-5D3FBF5F48EC}" name="Adjuvant Tx9" dataDxfId="661"/>
    <tableColumn id="135" xr3:uid="{F80F14C4-E75F-4F25-8320-DE9EF35324CD}" name="Adjuvant Tx9 Agent" dataDxfId="660"/>
    <tableColumn id="136" xr3:uid="{5247FD31-1F18-4CB1-837D-BE5960227268}" name="Adjuvant Tx9 Start Date" dataDxfId="659"/>
    <tableColumn id="137" xr3:uid="{D557B2C2-46D9-4F91-9F8F-A6F5ACBD6EF9}" name="Adjuvant Tx9 End Date" dataDxfId="658"/>
    <tableColumn id="138" xr3:uid="{23350865-A70F-40FB-B52E-D03BBA53675A}" name="Tumour response Adjuvant  Tx9" dataDxfId="657"/>
    <tableColumn id="139" xr3:uid="{DC2D1FD0-AB54-4DFA-BB0F-6911361C9F9E}" name="Adjuvant Tx10" dataDxfId="656"/>
    <tableColumn id="140" xr3:uid="{6A138041-F971-434B-A088-44C7734D524D}" name="Adjuvant Tx10 Agent" dataDxfId="655"/>
    <tableColumn id="141" xr3:uid="{50B505B7-5B51-4506-A98B-4A4566159E79}" name="Adjuvant Tx10 Start Date" dataDxfId="654"/>
    <tableColumn id="142" xr3:uid="{1AC49E11-0954-41E7-AEED-F39AA10C12A2}" name="Adjuvant Tx10 End Date" dataDxfId="653"/>
    <tableColumn id="143" xr3:uid="{61F02B49-D5B7-4EA7-A9D5-2E3F6FB0B455}" name="Tumour response Adjuvant Tx10" dataDxfId="652"/>
    <tableColumn id="144" xr3:uid="{75B1E474-16BC-4866-A987-7C0749901381}" name="Adjuvant Tx11" dataDxfId="651"/>
    <tableColumn id="145" xr3:uid="{84150176-1625-4D0C-86C6-A435533CAA77}" name="Adjuvant Tx11 Agent" dataDxfId="650"/>
    <tableColumn id="146" xr3:uid="{847BE8D8-A0A4-49AE-92C9-82CE58936E14}" name="Adjuvant Tx11 Start Date" dataDxfId="649"/>
    <tableColumn id="147" xr3:uid="{1C9A8366-532D-40E0-BDE8-B1690E2892E3}" name="Adjuvant Tx11 End Date" dataDxfId="648"/>
    <tableColumn id="148" xr3:uid="{6019CD26-E755-44E1-B7F1-F33B34168A5B}" name="Tumour response Adjuvant Tx11" dataDxfId="647"/>
    <tableColumn id="149" xr3:uid="{99056850-3DFE-453C-A504-1EC86859A61F}" name="Adjuvant Tx12" dataDxfId="646"/>
    <tableColumn id="150" xr3:uid="{9359BE57-E352-4DE6-876B-799D2B438867}" name="Adjuvant Tx12 Agent" dataDxfId="645"/>
    <tableColumn id="151" xr3:uid="{6FFD4ACA-CA0D-4731-9E44-4D1EB1EAE213}" name="Adjuvant Tx12 Start Date" dataDxfId="644"/>
    <tableColumn id="152" xr3:uid="{5B27D3F1-3D59-4F8B-9AF9-72B71CFABC41}" name="Adjuvant Tx12 End Date" dataDxfId="643"/>
    <tableColumn id="153" xr3:uid="{DE3EB75D-DB8B-421C-8647-23CC53070360}" name="Tumour response Adjuvant Tx12" dataDxfId="642"/>
    <tableColumn id="154" xr3:uid="{493D5341-44D1-4B5B-AAAB-0538E508F51F}" name="Adjuvant Tx13" dataDxfId="641"/>
    <tableColumn id="155" xr3:uid="{FD895558-D466-4649-B39E-3492B7419021}" name="Adjuvant Tx13 Agent" dataDxfId="640"/>
    <tableColumn id="156" xr3:uid="{73C4C6C5-8F10-4A72-9E4C-31BE400C0A5D}" name="Adjuvant Tx13 Start Date" dataDxfId="639"/>
    <tableColumn id="157" xr3:uid="{A75FDF25-EBC3-4B9F-90D5-7B089F9C17A2}" name="Adjuvant Tx13 End Date" dataDxfId="638"/>
    <tableColumn id="158" xr3:uid="{24E7B5FB-846A-4148-8265-DACF18A312CC}" name="Tumour response Adjuvant Tx13" dataDxfId="637"/>
    <tableColumn id="159" xr3:uid="{DB450F08-6899-453A-B57B-5E0F0CE967CE}" name="Adjuvant Tx14" dataDxfId="636"/>
    <tableColumn id="160" xr3:uid="{ED1B96C5-58A9-487D-B623-D783261066D3}" name="Adjuvant Tx14 Agent" dataDxfId="635"/>
    <tableColumn id="161" xr3:uid="{0BCD7178-5C08-4581-8BF8-21567FCECF9E}" name="Adjuvant Tx14 Start Date" dataDxfId="634"/>
    <tableColumn id="162" xr3:uid="{6B6BCEBE-1FFC-4123-94B6-48DC2D0CCD30}" name="Adjuvant Tx14 End Date" dataDxfId="633"/>
    <tableColumn id="163" xr3:uid="{1A7D343D-80E8-4454-ACA0-F328F7652254}" name="Tumour response Adjuvant Tx14" dataDxfId="632"/>
    <tableColumn id="164" xr3:uid="{7EE3C204-AB61-4D1F-9E67-D4FAED23A767}" name="Adjuvant Tx15" dataDxfId="631"/>
    <tableColumn id="165" xr3:uid="{4CBF0C43-8686-4A76-9648-9EF9A8DB38E5}" name="Adjuvant Tx15 Agent" dataDxfId="630"/>
    <tableColumn id="166" xr3:uid="{B826E844-C7D1-44E0-A2B6-BB0E157935F2}" name="Adjuvant Tx15 Start Date" dataDxfId="629"/>
    <tableColumn id="167" xr3:uid="{69A72B2C-46F9-4B76-91DD-ABC37E761EEE}" name="Adjuvant Tx15 End Date" dataDxfId="628"/>
    <tableColumn id="168" xr3:uid="{802D7A43-1EBA-415E-94B7-92F15CDDFF5A}" name="Date recurrence/ progression 1" dataDxfId="627"/>
    <tableColumn id="169" xr3:uid="{26749985-CE32-4059-87AB-41057BC1DEBC}" name="Sites recurrence/ progression 1" dataDxfId="626"/>
    <tableColumn id="170" xr3:uid="{B9F3F745-3355-4126-B0FE-29755DFA87DA}" name="Date recurrence/ progression 2" dataDxfId="625"/>
    <tableColumn id="171" xr3:uid="{751084DA-656C-4C92-B55A-21393E2305E5}" name="Sites recurrence/ progression 2" dataDxfId="624"/>
    <tableColumn id="172" xr3:uid="{1C0BA60E-FAF6-464C-AEEF-63F6C3B49BD8}" name="Date recurrence/ progression 3" dataDxfId="623"/>
    <tableColumn id="173" xr3:uid="{CCCA4DC6-173F-4121-A4E1-6055CA13486A}" name="Sites recurrence/ progression 3" dataDxfId="622"/>
    <tableColumn id="174" xr3:uid="{3EFBCE59-EB49-4BBF-98F6-A7A0748F68B3}" name="Date recurrence/ progression 4" dataDxfId="621"/>
    <tableColumn id="175" xr3:uid="{E44255D4-3C91-4ED9-A069-0FD4DFEDFF4B}" name="Sites recurrence/ progression 4" dataDxfId="620"/>
    <tableColumn id="176" xr3:uid="{3CB4C3F8-C986-4D51-92E6-2C6334282734}" name="Date recurrence/ progression 5" dataDxfId="619"/>
    <tableColumn id="177" xr3:uid="{55BFC772-D9E7-4189-9D36-4372E9A2C00E}" name="Sites recurrence/ progression 5" dataDxfId="618"/>
    <tableColumn id="178" xr3:uid="{526C1574-6EDB-4D4D-804D-45F9624F7B76}" name="Date recurrence/ progression 6" dataDxfId="617"/>
    <tableColumn id="179" xr3:uid="{351735BC-B66D-4286-B5DD-821E3AFA4638}" name="Sites recurrence/ progression 6" dataDxfId="616"/>
    <tableColumn id="180" xr3:uid="{9D57CB02-9E80-47E4-AD17-37E1B4C964C1}" name="Date recurrence/ progression 7" dataDxfId="615"/>
    <tableColumn id="181" xr3:uid="{3EF9A9F2-ADDE-48F1-87F3-0B55D75A0145}" name="Sites recurrence/ progression 7" dataDxfId="614"/>
    <tableColumn id="182" xr3:uid="{42DAE696-50CA-4E03-BE8A-0306614338F0}" name="Date recurrence/ progression 8" dataDxfId="613"/>
    <tableColumn id="183" xr3:uid="{01639638-F9DA-4F1D-8BD1-4D9429F3A803}" name="Sites recurrence/ progression 8" dataDxfId="612"/>
    <tableColumn id="184" xr3:uid="{B942B1FE-A796-47AF-A89F-7D0B9BA46733}" name="Date recurrence/ progression 9" dataDxfId="611"/>
    <tableColumn id="185" xr3:uid="{94CC34A9-DC95-4857-93CA-DFF77651AB45}" name="Sites recurrence/ progression 9" dataDxfId="610"/>
    <tableColumn id="186" xr3:uid="{57965C62-C5DA-4AD3-8370-A90751942514}" name="Date recurrence/ progression 10" dataDxfId="609"/>
    <tableColumn id="187" xr3:uid="{20A3A211-C231-4DF0-988E-1196555FC7DF}" name="Sites recurrence/ progression 10" dataDxfId="608"/>
    <tableColumn id="188" xr3:uid="{1ADC267C-F918-4895-9DE6-7CE6645A0E75}" name="Date recurrence/ progression 11" dataDxfId="607"/>
    <tableColumn id="189" xr3:uid="{6410DF2C-3E50-4E0C-8828-78B9E62BAB7A}" name="Sites recurrence/ progression 11" dataDxfId="606"/>
    <tableColumn id="190" xr3:uid="{4AAC019F-E592-49C4-8DB1-9419CEC61158}" name="Date recurrence/ progression 12" dataDxfId="605"/>
    <tableColumn id="191" xr3:uid="{48FF6F7C-5670-4212-95F9-EADD35699193}" name="Sites recurrence/ progression 12" dataDxfId="604"/>
    <tableColumn id="192" xr3:uid="{B431FFBD-3C80-4E0E-924A-15DF90B20421}" name="Date recurrence/ progression 13" dataDxfId="603"/>
    <tableColumn id="193" xr3:uid="{4CE6B7B8-39C4-4CE9-9873-74DA8DD8F5A4}" name="Sites recurrence/ progression 13" dataDxfId="602"/>
    <tableColumn id="194" xr3:uid="{B6AF0603-11CD-4782-B90D-CAB2D33C62C4}" name="Date recurrence/ progression 14" dataDxfId="601"/>
    <tableColumn id="195" xr3:uid="{6CB6702F-FA9C-4825-82CB-B60EE6D738ED}" name="Sites recurrence/ progression 14" dataDxfId="600"/>
    <tableColumn id="196" xr3:uid="{3E33A42D-0F77-44E6-A6F6-61640EE35C05}" name="Date recurrence/ progression 15" dataDxfId="599"/>
    <tableColumn id="197" xr3:uid="{AA916DE7-9D2B-4671-811B-442464E8F645}" name="Sites recurrence/ progression 15" dataDxfId="598"/>
    <tableColumn id="198" xr3:uid="{B740EB54-E87E-410C-9FAF-C8BA89765274}" name="Subsequent Tx1" dataDxfId="597"/>
    <tableColumn id="199" xr3:uid="{C6AFE82B-B431-4806-BE74-A36E898FA37C}" name="Subsequent Tx1 Agent" dataDxfId="596"/>
    <tableColumn id="200" xr3:uid="{ADCCCAEE-B0CB-4109-A921-C0B4DDBE28FE}" name="Subsequent Tx1 Start Date" dataDxfId="595"/>
    <tableColumn id="201" xr3:uid="{5E4232B7-1344-4148-9717-467BA2D69D96}" name="Subsequent Tx1 Finish Date" dataDxfId="594"/>
    <tableColumn id="202" xr3:uid="{C30394A8-94C5-4DD2-97BD-C37C7AB49788}" name="Tumour response to Subsequent Tx1" dataDxfId="593"/>
    <tableColumn id="203" xr3:uid="{AF3AE55A-C094-4303-89EA-6AE45B8A1802}" name="Subsequent Tx2" dataDxfId="592"/>
    <tableColumn id="204" xr3:uid="{ABFBA832-EC5C-4D27-892B-E28E221EF6C1}" name="Subsequent Tx2 Agent" dataDxfId="591"/>
    <tableColumn id="205" xr3:uid="{5AEC6A13-C60D-4440-B633-60EA6AD18172}" name="Subsequent Tx2 Start Date" dataDxfId="590"/>
    <tableColumn id="206" xr3:uid="{6A5FF949-C97D-4D35-B030-207692E10FB8}" name="Subsequent Tx2 Finish Date" dataDxfId="589"/>
    <tableColumn id="207" xr3:uid="{8BF41583-8A89-4E75-B455-FEA827A70EB0}" name="Tumour response to Subsequent Tx2" dataDxfId="588"/>
    <tableColumn id="208" xr3:uid="{6FA3830D-F871-4961-BB26-9B080D1FD41F}" name="Subsequent Tx3" dataDxfId="587"/>
    <tableColumn id="209" xr3:uid="{F11F4F73-D5C5-43AB-81D5-A9CE347E2E82}" name="Subsequent Tx3 Agent" dataDxfId="586"/>
    <tableColumn id="210" xr3:uid="{732A6322-B885-4506-9B04-DDD920BAD925}" name="Subsequent Tx3 Start Date" dataDxfId="585"/>
    <tableColumn id="211" xr3:uid="{BC3AD8DC-4D9D-4996-8754-50093E0DE830}" name="Subsequent Tx3 Finish Date" dataDxfId="584"/>
    <tableColumn id="212" xr3:uid="{C8E4CAD4-1D23-42AA-B169-B609F5273EFD}" name="Tumour response to Subsequent Tx3" dataDxfId="583"/>
    <tableColumn id="213" xr3:uid="{DD3BBAB3-8D53-457F-962F-0AD7B101F7EB}" name="Subsequent Tx4" dataDxfId="582"/>
    <tableColumn id="214" xr3:uid="{63949BDA-EEB1-47FA-8537-90E552893F52}" name="Subsequent Tx4 Agent" dataDxfId="581"/>
    <tableColumn id="215" xr3:uid="{7C72BC60-E8C6-4C3F-95A7-5E43B97031EF}" name="Subsequent Tx4 Start Date" dataDxfId="580"/>
    <tableColumn id="216" xr3:uid="{B6E495FF-E65D-4C3A-8526-0A8926514BC2}" name="Subsequent Tx4 Finish Date" dataDxfId="579"/>
    <tableColumn id="217" xr3:uid="{7FFFE248-B5D7-4F7A-B6DD-AFAD3C2F4F56}" name="Tumour response to Subsequent Tx4" dataDxfId="578"/>
    <tableColumn id="218" xr3:uid="{868FFC71-3E33-4A1E-99D7-F9D7D747432A}" name="Subsequent Tx5" dataDxfId="577"/>
    <tableColumn id="219" xr3:uid="{9646D371-155E-43EE-BC2E-61C6AA6AC641}" name="Subsequent Tx5 Agent" dataDxfId="576"/>
    <tableColumn id="220" xr3:uid="{93D3AA76-7BF7-4670-8BCD-BDD32403EE86}" name="Subsequent Tx5 Start Date" dataDxfId="575"/>
    <tableColumn id="221" xr3:uid="{E495E71E-3EFE-4C3B-ACE3-E93CB28F628B}" name="Subsequent Tx5 Finish Date" dataDxfId="574"/>
    <tableColumn id="222" xr3:uid="{FB1C8216-58CA-47B7-AAF1-FC5D0920F9ED}" name="Tumour response to Subsequent Tx5" dataDxfId="573"/>
    <tableColumn id="223" xr3:uid="{D0E848CF-D2FD-495A-8C74-EE30FB30E401}" name="Subsequent Tx6" dataDxfId="572"/>
    <tableColumn id="224" xr3:uid="{0EFD48E5-4B62-4EEF-B4CF-24A79A46E057}" name="Subsequent Tx6 Agent" dataDxfId="571"/>
    <tableColumn id="225" xr3:uid="{2C845D7C-79FB-4BD3-BE90-C55BC064EFE0}" name="Subsequent Tx6 Start Date" dataDxfId="570"/>
    <tableColumn id="226" xr3:uid="{79FB2CC1-78F5-425C-A27A-E5FC00EE741D}" name="Subsequent Tx6 Finish Date" dataDxfId="569"/>
    <tableColumn id="227" xr3:uid="{A0A1CB68-F6F9-4921-A59A-0764429CB6C7}" name="Tumour response to Subsequent Tx6" dataDxfId="568"/>
    <tableColumn id="228" xr3:uid="{635C2C58-4BE2-4C6C-BC91-C5F378CD4D46}" name="Subsequent Tx7" dataDxfId="567"/>
    <tableColumn id="229" xr3:uid="{6247888D-8E9F-4694-9AD8-4614E33442BF}" name="Subsequent Tx7 Agent" dataDxfId="566"/>
    <tableColumn id="230" xr3:uid="{06EA2434-FE80-4E24-B8E5-417E98486627}" name="Subsequent Tx7 Start Date" dataDxfId="565"/>
    <tableColumn id="231" xr3:uid="{0CDC99AD-76FF-400C-9398-24F244A80B6F}" name="Subsequent Tx7 Finish Date" dataDxfId="564"/>
    <tableColumn id="232" xr3:uid="{9E41156E-0BA0-45E8-8AB2-9245F1CE0C5B}" name="Tumour response to Subsequent Tx7" dataDxfId="563"/>
    <tableColumn id="233" xr3:uid="{1538933C-5C13-4AD2-8D3A-ED9057742D23}" name="Subsequent Tx8" dataDxfId="562"/>
    <tableColumn id="234" xr3:uid="{7A607CEA-DAD2-4ED5-BD50-2F3D55955006}" name="Subsequent Tx8 Agent" dataDxfId="561"/>
    <tableColumn id="235" xr3:uid="{C90545FF-FACD-49D9-97B7-4EF20BC15B5C}" name="Subsequent Tx8 Start Date" dataDxfId="560"/>
    <tableColumn id="236" xr3:uid="{77C8B808-60C8-4F43-B06F-CD1A52BB1DC1}" name="Subsequent Tx8 Finish Date" dataDxfId="559"/>
    <tableColumn id="237" xr3:uid="{2605EC1E-4D0E-4449-B1B8-F47768A2A9AF}" name="Tumour response to Subsequent Tx8" dataDxfId="558"/>
    <tableColumn id="238" xr3:uid="{6ACDF504-1B43-430B-B4DC-02F47650B299}" name="Subsequent Tx9" dataDxfId="557"/>
    <tableColumn id="239" xr3:uid="{CA43845B-53C3-4986-8A25-989EC3E86DB5}" name="Subsequent Tx9 Agent" dataDxfId="556"/>
    <tableColumn id="240" xr3:uid="{A2335ECE-1A0C-44F0-93C0-FF4A09DE386D}" name="Subsequent Tx9 Start Date" dataDxfId="555"/>
    <tableColumn id="241" xr3:uid="{8F8CF0F3-FD05-4B83-9AC6-AADAFFABF581}" name="Subsequent Tx9 Finish Date" dataDxfId="554"/>
    <tableColumn id="242" xr3:uid="{F2D9441E-633D-4309-BFD8-0C3BA23E92E9}" name="Tumour response to Subsequent Tx9" dataDxfId="553"/>
    <tableColumn id="243" xr3:uid="{3E4732D8-BA77-4D60-B240-595DE2906AC8}" name="Subsequent Tx10" dataDxfId="552"/>
    <tableColumn id="244" xr3:uid="{2CBFDD37-DAC5-4529-AC41-5F32A5830697}" name="Subsequent Tx10 Agent" dataDxfId="551"/>
    <tableColumn id="245" xr3:uid="{C04D5871-3EBF-4A33-8187-F73871AEE348}" name="Subsequent Tx10 Start Date" dataDxfId="550"/>
    <tableColumn id="246" xr3:uid="{CC0EA65E-0B3F-4C2B-AA6C-34DBED82CDF8}" name="Subsequent Tx10 Finish Date" dataDxfId="549"/>
    <tableColumn id="247" xr3:uid="{7C01CC20-047C-4476-B9DA-F17A6B624136}" name="Tumour response to Subsequent Tx10" dataDxfId="548"/>
    <tableColumn id="248" xr3:uid="{F9795B5A-0696-48E3-8513-1AD8EFA80224}" name="Subsequent Tx11" dataDxfId="547"/>
    <tableColumn id="249" xr3:uid="{121A71AD-3F67-4847-A040-71C8CA00390E}" name="Subsequent Tx11 Agent" dataDxfId="546"/>
    <tableColumn id="250" xr3:uid="{C2DE2F13-D94E-49D3-9BB3-E2FE85204760}" name="Subsequent Tx11 Start Date" dataDxfId="545"/>
    <tableColumn id="251" xr3:uid="{0957F88E-8670-4EA1-9C48-ACAEDCD0A82B}" name="Subsequent Tx11 Finish Date" dataDxfId="544"/>
    <tableColumn id="252" xr3:uid="{BF7D727D-2475-4FA1-ABB9-27541E0F1C8B}" name="Tumour response to Subsequent Tx11" dataDxfId="543"/>
    <tableColumn id="253" xr3:uid="{412A6057-0E8D-4F2F-B973-F93CA049DBBB}" name="Subsequent Tx12" dataDxfId="542"/>
    <tableColumn id="254" xr3:uid="{EB357886-0FB2-4DD1-9626-C823F98BECBA}" name="Subsequent Tx12 Agent" dataDxfId="541"/>
    <tableColumn id="255" xr3:uid="{91F55EB9-E6AE-4874-B9F9-9CA0191D0929}" name="Subsequent Tx12 Start Date" dataDxfId="540"/>
    <tableColumn id="256" xr3:uid="{5BAD852F-303E-42A1-9580-0434975BFECB}" name="Subsequent Tx12 Finish Date" dataDxfId="539"/>
    <tableColumn id="257" xr3:uid="{02AC9BB9-A049-461C-B713-9D2A4E674FA3}" name="Tumour response to Subsequent Tx12" dataDxfId="538"/>
    <tableColumn id="258" xr3:uid="{43F97A11-AE72-4A73-A2EF-CF431F3ED65E}" name="Subsequent Tx13" dataDxfId="537"/>
    <tableColumn id="259" xr3:uid="{903933D8-F697-448C-BB49-5756EC5BCA01}" name="Subsequent Tx13 Agent" dataDxfId="536"/>
    <tableColumn id="260" xr3:uid="{21522C06-2205-4436-B731-3D653CD9ACAA}" name="Subsequent Tx13 Start Date" dataDxfId="535"/>
    <tableColumn id="261" xr3:uid="{1BB6AF2E-8066-4F4A-A98A-452D21F58016}" name="Subsequent Tx13 Finish Date" dataDxfId="534"/>
    <tableColumn id="262" xr3:uid="{96CBB54A-01B1-46A7-90B7-7D12DF36144C}" name="Tumour response to Subsequent Tx13" dataDxfId="533"/>
    <tableColumn id="263" xr3:uid="{5EA77D90-DE9A-49A5-BEAC-A631E5B31222}" name="Subsequent Tx14" dataDxfId="532"/>
    <tableColumn id="264" xr3:uid="{237F1ED8-BB9D-4A30-AF73-70BBB086E1B2}" name="Subsequent Tx14 Agent" dataDxfId="531"/>
    <tableColumn id="265" xr3:uid="{F4638C08-C052-427C-8746-1C284398A7B4}" name="Subsequent Tx14 Start Date" dataDxfId="530"/>
    <tableColumn id="266" xr3:uid="{920062C3-C828-4A50-B998-7E6BC50764B7}" name="Subsequent Tx14 Finish Date" dataDxfId="529"/>
    <tableColumn id="267" xr3:uid="{26D587B0-2B06-4061-8DA7-C521184A7AF4}" name="Tumour response to Subsequent Tx14" dataDxfId="528"/>
    <tableColumn id="268" xr3:uid="{330BB31A-7EF9-4B0E-B252-C0E3E359D506}" name="Subsequent Tx15" dataDxfId="527"/>
    <tableColumn id="269" xr3:uid="{88FEE2D5-8FA8-457D-8761-692F5B8F6551}" name="Subsequent Tx15 Agent" dataDxfId="526"/>
    <tableColumn id="270" xr3:uid="{0FA9AE1E-C437-48D9-A67B-454732222931}" name="Subsequent Tx15 Start Date" dataDxfId="525"/>
    <tableColumn id="271" xr3:uid="{E0869D34-F4A5-47D7-ADCA-3795AD805998}" name="Subsequent Tx15 Finish Date" dataDxfId="524"/>
    <tableColumn id="272" xr3:uid="{0813A564-1416-461E-82AC-F1A4F0479E77}" name="Tumour response to Subsequent Tx15" dataDxfId="523"/>
    <tableColumn id="273" xr3:uid="{D6595D20-7F81-4A98-9C6C-46B6A1A58B4D}" name="Current Status" dataDxfId="522"/>
    <tableColumn id="274" xr3:uid="{5E26E7A1-D72A-40F6-B17E-DBF9EFF2E839}" name="Death date" dataDxfId="521"/>
    <tableColumn id="275" xr3:uid="{883C184A-37BC-4FE2-8738-FCF9E2793751}" name="Death tumour related" dataDxfId="520"/>
    <tableColumn id="276" xr3:uid="{3F53B344-83AD-4693-9156-ED1A67CD7F54}" name="Cause of death" dataDxfId="519"/>
    <tableColumn id="277" xr3:uid="{48A2DB69-C882-4B69-BB8F-8EB3496B29B5}" name="Date last follow-up" dataDxfId="518"/>
    <tableColumn id="278" xr3:uid="{3CE3128B-6A1D-4620-A6E0-BD40EDD13C18}" name="Date Last Seen" dataDxfId="517"/>
    <tableColumn id="279" xr3:uid="{A4330980-82D8-4B18-9433-CCEFE274E4D5}" name="Concurrent Medical Conditions" dataDxfId="516"/>
    <tableColumn id="280" xr3:uid="{556C3701-1A43-461C-8B82-CF15F917CFEE}" name="Comments from clinical team" dataDxfId="515"/>
    <tableColumn id="281" xr3:uid="{3223119F-1D2A-4E55-BBE7-3C342C517D3D}" name="TTE Neoadjuvant Tx1 Start Date" dataDxfId="514"/>
    <tableColumn id="282" xr3:uid="{12A23CFE-279D-4120-B4BD-B5B94CC05A7F}" name="TTE Neoadjuvant Tx1 End Date" dataDxfId="513"/>
    <tableColumn id="283" xr3:uid="{E0CE1DE2-DC5C-4AC3-A072-A496494F7C4D}" name="TTE Neoadjuvant Tx2 Start Date" dataDxfId="512"/>
    <tableColumn id="284" xr3:uid="{106237E1-644A-4229-BFCB-475577D6A505}" name="TTE Neoadjuvant Tx2 End Date" dataDxfId="511"/>
    <tableColumn id="285" xr3:uid="{0E718094-E8F3-4A36-9655-23385302A6D8}" name="TTE Neoadjuvant Tx3 Start Date" dataDxfId="510"/>
    <tableColumn id="286" xr3:uid="{09B3A651-911F-423A-A4B0-9836EEE5F90A}" name="TTE Neoadjuvant Tx3 End Date" dataDxfId="509"/>
    <tableColumn id="287" xr3:uid="{A737ADFE-897D-44CE-9805-FDA60EF492B1}" name="TTE Neoadjuvant Tx4 Start Date" dataDxfId="508"/>
    <tableColumn id="288" xr3:uid="{F292F77A-0623-4AB7-BE74-369F1481BF51}" name="TTE Neoadjuvant Tx4 End Date" dataDxfId="507"/>
    <tableColumn id="289" xr3:uid="{2560CEDD-497D-4749-9A44-29B8C8644EFA}" name="TTE Neoadjuvant Tx5 Start Date" dataDxfId="506"/>
    <tableColumn id="290" xr3:uid="{30B3D1FE-89A7-45B6-83FD-99C0810127D5}" name="TTE Neoadjuvant Tx5 End Date" dataDxfId="505"/>
    <tableColumn id="291" xr3:uid="{99681D8C-6E2B-4B89-B2C1-98D4BFDFC3BB}" name="TTE Neoadjuvant Tx6 Start Date" dataDxfId="504"/>
    <tableColumn id="292" xr3:uid="{10333A5E-BE99-4967-A6A1-A1FBD5B7B8DC}" name="TTE Neoadjuvant Tx6 End Date" dataDxfId="503"/>
    <tableColumn id="293" xr3:uid="{4D2320CA-B747-4D2F-80A8-88E5ABF302BA}" name="TTE Neoadjuvant Tx7 Start Date" dataDxfId="502"/>
    <tableColumn id="294" xr3:uid="{22848E4D-AE0A-4CCB-ADF8-FD7BBB5BA65A}" name="TTE Neoadjuvant Tx7 End Date" dataDxfId="501"/>
    <tableColumn id="295" xr3:uid="{2FC25361-CA24-4640-9309-829AAE3E947C}" name="TTE Neoadjuvant Tx8 Start Date" dataDxfId="500"/>
    <tableColumn id="296" xr3:uid="{B6DA452E-E9C4-47DB-A319-E3F131BC7A9E}" name="TTE Neoadjuvant Tx8 End Date" dataDxfId="499"/>
    <tableColumn id="297" xr3:uid="{467BFCBA-D654-4B08-84FC-31F3650A7095}" name="TTE Neoadjuvant Tx9 Start Date" dataDxfId="498"/>
    <tableColumn id="298" xr3:uid="{B56617D2-01C2-431B-9907-64EA2C67FFDA}" name="TTE Neoadjuvant Tx9 End Date" dataDxfId="497"/>
    <tableColumn id="299" xr3:uid="{DA2F4AC5-0EA2-4848-A881-D9B7B34242C3}" name="TTE Neoadjuvant Tx10 Start Date" dataDxfId="496"/>
    <tableColumn id="300" xr3:uid="{C272F2B5-F843-4C1D-939B-C9DE19153D14}" name="TTE Neoadjuvant Tx10 End Date" dataDxfId="495"/>
    <tableColumn id="301" xr3:uid="{070D64F2-8D53-43C1-A431-51E3217C542E}" name="TTE Specimen surgery date" dataDxfId="494"/>
    <tableColumn id="302" xr3:uid="{9C7C6706-205B-4AEE-94FB-49C537F4FEAE}" name="TTE Primary Surgery date " dataDxfId="493"/>
    <tableColumn id="303" xr3:uid="{1742DFA0-EDBA-4CB1-8209-6805E8C2A2A9}" name="TTE Matched met 1 Surgery Date " dataDxfId="492"/>
    <tableColumn id="304" xr3:uid="{5FBDE3FE-26ED-40C1-921D-B0AEEB3F6847}" name="TTE Matched met 2 Surgery Date " dataDxfId="491"/>
    <tableColumn id="305" xr3:uid="{A74C2F86-ED6B-49F3-85A5-CABCC0A78E1F}" name="TTE Matched Normal tissue Surgery Date " dataDxfId="490"/>
    <tableColumn id="306" xr3:uid="{6A572805-F662-4C15-B852-6370160904D2}" name="TTE Adjuvant Tx1 Start Date" dataDxfId="489"/>
    <tableColumn id="307" xr3:uid="{1D0A8DA6-32EE-47D7-A3E2-9A60EB5BCB57}" name="TTE Adjuvant Tx1 End Date" dataDxfId="488"/>
    <tableColumn id="308" xr3:uid="{EF493EDD-6C4C-4237-A4CE-CE1ADDE928A6}" name="TTE Adjuvant Tx2 Start Date" dataDxfId="487"/>
    <tableColumn id="309" xr3:uid="{1C81A059-E317-41DD-BE6B-09043A1368DE}" name="TTE Adjuvant Tx2 End Date" dataDxfId="486"/>
    <tableColumn id="310" xr3:uid="{3A23B6C4-2BBF-4F16-BE49-74470763B94C}" name="TTE Adjuvant Tx3 Start Date" dataDxfId="485"/>
    <tableColumn id="311" xr3:uid="{0BFA0C81-AFEE-4A97-B82D-F018775AB2E4}" name="TTE Adjuvant Tx3 End Date" dataDxfId="484"/>
    <tableColumn id="312" xr3:uid="{0AF78C70-D7F8-434C-9C31-1618CCC3A1C6}" name="TTE Adjuvant Tx4 Start Date" dataDxfId="483"/>
    <tableColumn id="313" xr3:uid="{E400337A-B157-4669-951B-162AC85742CE}" name="TTE Adjuvant Tx4 End Date" dataDxfId="482"/>
    <tableColumn id="314" xr3:uid="{8C3AA136-8D00-46EF-A224-F2D3448FBD32}" name="TTE Adjuvant Tx5 Start Date" dataDxfId="481"/>
    <tableColumn id="315" xr3:uid="{2C607C85-3D90-42C7-9766-36BCA2847189}" name="TTE Adjuvant Tx5 End Date" dataDxfId="480"/>
    <tableColumn id="316" xr3:uid="{CDA97653-3DE6-459D-B914-0EFD68D1BB45}" name="TTE Adjuvant Tx6 Start Date" dataDxfId="479"/>
    <tableColumn id="317" xr3:uid="{E8927A0A-6052-479E-A738-E4FA7CF7D6DE}" name="TTE Adjuvant Tx6 End Date" dataDxfId="478"/>
    <tableColumn id="318" xr3:uid="{F6FE59F2-F14B-4D00-9F36-A1990DB87390}" name="TTE Adjuvant Tx7 Start Date" dataDxfId="477"/>
    <tableColumn id="319" xr3:uid="{8C8DAC91-AF4B-4BF3-BEF3-BFF56996CD71}" name="TTE Adjuvant Tx7 End Date" dataDxfId="476"/>
    <tableColumn id="320" xr3:uid="{96D61E27-5FC5-4423-8CF5-0149D811F88A}" name="TTE Adjuvant Tx8 Start Date" dataDxfId="475"/>
    <tableColumn id="321" xr3:uid="{88C07E96-8DE7-46AF-BB7D-3A8698E28D20}" name="TTE Adjuvant Tx8 End Date" dataDxfId="474"/>
    <tableColumn id="322" xr3:uid="{F5A15347-AE9C-4D94-895A-7291222A49CD}" name="TTE Adjuvant Tx9 Start Date" dataDxfId="473"/>
    <tableColumn id="323" xr3:uid="{A96983C7-AE18-4D28-82BB-9E5C238992D4}" name="TTE Adjuvant Tx9 End Date" dataDxfId="472"/>
    <tableColumn id="324" xr3:uid="{77CA2DEC-DD11-4D6C-8528-35356EF755CB}" name="TTE Adjuvant Tx10 Start Date" dataDxfId="471"/>
    <tableColumn id="325" xr3:uid="{01240636-C6B9-4B1E-8934-384B86A5DCE0}" name="TTE Adjuvant Tx10 End Date" dataDxfId="470"/>
    <tableColumn id="326" xr3:uid="{C392006F-89ED-456E-977B-6FF5777848B7}" name="TTE Adjuvant Tx11 Start Date" dataDxfId="469"/>
    <tableColumn id="327" xr3:uid="{9CF11473-522D-4024-B8D9-D008D1BC5B2A}" name="TTE Adjuvant Tx11 End Date" dataDxfId="468"/>
    <tableColumn id="328" xr3:uid="{29EDBDAA-AD25-4D99-A2BE-59F90B4A7DCD}" name="TTE Adjuvant Tx12 Start Date" dataDxfId="467"/>
    <tableColumn id="329" xr3:uid="{1E44E1B6-2599-4829-BC9F-C87195BA3E89}" name="TTE Adjuvant Tx12 End Date" dataDxfId="466"/>
    <tableColumn id="330" xr3:uid="{307AA184-133E-4A8B-80F5-2FE98416CDB6}" name="TTE Adjuvant Tx13 Start Date" dataDxfId="465"/>
    <tableColumn id="331" xr3:uid="{8FD29ED7-0DC8-4E6E-938A-06F8BE8023C1}" name="TTE Adjuvant Tx13 End Date" dataDxfId="464"/>
    <tableColumn id="332" xr3:uid="{9191EFAA-0342-44E7-B4ED-B363A0FB9D0D}" name="TTE Adjuvant Tx14 Start Date" dataDxfId="463"/>
    <tableColumn id="333" xr3:uid="{78E16EF7-F63E-4AFA-B650-6C8D7EF1EE84}" name="TTE Adjuvant Tx14 End Date" dataDxfId="462"/>
    <tableColumn id="334" xr3:uid="{E0250C79-A1AF-472E-B689-B87B16FC26BA}" name="TTE Adjuvant Tx15 Start Date" dataDxfId="461"/>
    <tableColumn id="335" xr3:uid="{D72B7712-50CA-4F9D-BC20-189069379097}" name="TTE Adjuvant Tx15 End Date" dataDxfId="460"/>
    <tableColumn id="336" xr3:uid="{48E82ED8-1665-433F-AA73-607A56C740E9}" name="TTE Date recurrence/ progression 1" dataDxfId="459"/>
    <tableColumn id="337" xr3:uid="{F9E009DD-101E-48BB-BA3E-035AD30C8D7D}" name="TTE Date recurrence/ progression 2" dataDxfId="458"/>
    <tableColumn id="338" xr3:uid="{E3056269-431B-4E3B-B9DE-6B7A86F182BD}" name="TTE Date recurrence/ progression 3" dataDxfId="457"/>
    <tableColumn id="339" xr3:uid="{5B6891DA-2AD8-40FA-8687-31E8E5A3AC9C}" name="TTE Date recurrence/ progression 4" dataDxfId="456"/>
    <tableColumn id="340" xr3:uid="{CE927753-9A97-425E-A9E0-B3612317136A}" name="TTE Date recurrence/ progression 5" dataDxfId="455"/>
    <tableColumn id="341" xr3:uid="{1D6AC2F6-E3ED-4886-A593-3916B13F649C}" name="TTE Date recurrence/ progression 6" dataDxfId="454"/>
    <tableColumn id="342" xr3:uid="{F9C89E3A-AF86-4DCB-85D1-3070806E7501}" name="TTE Date recurrence/ progression 7" dataDxfId="453"/>
    <tableColumn id="343" xr3:uid="{1ECE5915-A313-465A-8B1D-5A522163AB40}" name="TTE Date recurrence/ progression 8" dataDxfId="452"/>
    <tableColumn id="344" xr3:uid="{805E5228-A778-45DD-AF4B-B97F5D29158C}" name="TTE Date recurrence/ progression 9" dataDxfId="451"/>
    <tableColumn id="345" xr3:uid="{925FE9C2-65FF-4DF8-9D46-CF5B7025A760}" name="TTE Date recurrence/ progression 10" dataDxfId="450"/>
    <tableColumn id="346" xr3:uid="{78FF617A-85F2-45D2-9E0F-B3BFF478ABE0}" name="TTE Date recurrence/ progression 11" dataDxfId="449"/>
    <tableColumn id="347" xr3:uid="{C7A6DC53-A5FB-4B49-BD29-5B63C059B9FC}" name="TTE Date recurrence/ progression 12" dataDxfId="448"/>
    <tableColumn id="348" xr3:uid="{0B27B6D5-15F0-414B-BAB4-8D69E23A9EE0}" name="TTE Date recurrence/ progression 13" dataDxfId="447"/>
    <tableColumn id="349" xr3:uid="{281806D1-FC4D-4A1C-89BC-64C8D918C208}" name="TTE Date recurrence/ progression 14" dataDxfId="446"/>
    <tableColumn id="350" xr3:uid="{84856A8E-0846-4165-B9AB-7DD9EC553E89}" name="TTE Date recurrence/ progression 15" dataDxfId="445"/>
    <tableColumn id="351" xr3:uid="{C9A44B22-B29B-4F71-B8B7-E302F198C305}" name="TTE Subsequent Tx1 Start Date" dataDxfId="444"/>
    <tableColumn id="352" xr3:uid="{E9ECBC78-1930-44D6-B5BB-457AE5E9F000}" name="TTE Subsequent Tx1 Finish Date" dataDxfId="443"/>
    <tableColumn id="353" xr3:uid="{AF2C6A70-816E-4F56-AD33-7F79C96264EF}" name="TTE Subsequent Tx2 Start Date" dataDxfId="442"/>
    <tableColumn id="354" xr3:uid="{2CABA2B7-4A66-4CC5-B34B-4777FA0728D8}" name="TTE Subsequent Tx2 Finish Date" dataDxfId="441"/>
    <tableColumn id="355" xr3:uid="{4200700D-F80C-417F-963F-AA395F0F01D5}" name="TTE Subsequent Tx3 Start Date" dataDxfId="440"/>
    <tableColumn id="356" xr3:uid="{318114C0-B0C9-40AB-9886-AB2A53666018}" name="TTE Subsequent Tx3 Finish Date" dataDxfId="439"/>
    <tableColumn id="357" xr3:uid="{74EF9DE4-4E5E-4C7B-99FF-9E141A779313}" name="TTE Subsequent Tx4 Start Date" dataDxfId="438"/>
    <tableColumn id="358" xr3:uid="{F0FD9EAF-5A17-4D20-B573-E33F80E853D5}" name="TTE Subsequent Tx4 Finish Date" dataDxfId="437"/>
    <tableColumn id="359" xr3:uid="{0D4B537E-70FC-49F0-B6DA-450277277E70}" name="TTE Subsequent Tx5 Start Date" dataDxfId="436"/>
    <tableColumn id="360" xr3:uid="{1C762C07-D171-48A6-9B6D-4627DE09D86C}" name="TTE Subsequent Tx5 Finish Date" dataDxfId="435"/>
    <tableColumn id="361" xr3:uid="{A6A1F36D-B539-4D3A-9660-48954CFA8E49}" name="TTE Subsequent Tx6 Start Date" dataDxfId="434"/>
    <tableColumn id="362" xr3:uid="{531E6309-6146-4600-8AE0-B0196169CAC5}" name="TTE Subsequent Tx6 Finish Date" dataDxfId="433"/>
    <tableColumn id="363" xr3:uid="{B34BDBB4-4F3F-4590-B966-755C4F8D6910}" name="TTE Subsequent Tx7 Start Date" dataDxfId="432"/>
    <tableColumn id="364" xr3:uid="{9AFAB1AC-CB14-4E10-93F2-C3B1AFFFF2F9}" name="TTE Subsequent Tx7 Finish Date" dataDxfId="431"/>
    <tableColumn id="365" xr3:uid="{2F894141-AAFF-4312-AD4E-2DF4740822C3}" name="TTE Subsequent Tx8 Start Date" dataDxfId="430"/>
    <tableColumn id="366" xr3:uid="{E7E2C791-F895-47E1-ACB9-7289E512DFF5}" name="TTE Subsequent Tx8 Finish Date" dataDxfId="429"/>
    <tableColumn id="367" xr3:uid="{7BA589C5-7AE1-42B4-84A2-E46C890AC89E}" name="TTE Subsequent Tx9 Start Date" dataDxfId="428"/>
    <tableColumn id="368" xr3:uid="{67816735-0569-4BEC-AFB0-F0960364E0E4}" name="TTE Subsequent Tx9 Finish Date" dataDxfId="427"/>
    <tableColumn id="369" xr3:uid="{69A5BC8F-C9BE-48D1-9568-9587ED3B257A}" name="TTE Subsequent Tx10 Start Date" dataDxfId="426"/>
    <tableColumn id="370" xr3:uid="{DA8AC603-1298-4B0C-BD9C-ACFFB772D74B}" name="TTE Subsequent Tx10 Finish Date" dataDxfId="425"/>
    <tableColumn id="371" xr3:uid="{AD1EBC49-2FA8-4377-80F6-2101892BFF88}" name="TTE Subsequent Tx11 Start Date" dataDxfId="424"/>
    <tableColumn id="372" xr3:uid="{CD63E68C-FDB6-4156-9702-5B6339D0D3A2}" name="TTE Subsequent Tx11 Finish Date" dataDxfId="423"/>
    <tableColumn id="373" xr3:uid="{EFD4DA36-1344-4928-BA31-08ED4343B5F8}" name="TTE Subsequent Tx12 Start Date" dataDxfId="422"/>
    <tableColumn id="374" xr3:uid="{706DF31A-E21F-430A-8A00-A3406D6829E4}" name="TTE Subsequent Tx12 Finish Date" dataDxfId="421"/>
    <tableColumn id="375" xr3:uid="{4718175B-9848-4854-A7B5-720D3DDADF3A}" name="TTE Subsequent Tx13 Start Date" dataDxfId="420"/>
    <tableColumn id="376" xr3:uid="{63C956D2-79C5-496C-8ABC-7D89DBE87035}" name="TTE Subsequent Tx13 Finish Date" dataDxfId="419"/>
    <tableColumn id="377" xr3:uid="{60FD5832-93DF-409E-99DC-75BCF9A3E0CF}" name="TTE Subsequent Tx14 Start Date" dataDxfId="418"/>
    <tableColumn id="378" xr3:uid="{DCEF0547-59FC-42AD-B855-1CD2D2CF333B}" name="TTE Subsequent Tx14 Finish Date" dataDxfId="417"/>
    <tableColumn id="379" xr3:uid="{A01FFAB1-F2FE-4F74-A751-60DE11BF7B85}" name="TTE Subsequent Tx15 Start Date" dataDxfId="416"/>
    <tableColumn id="380" xr3:uid="{7A577AB9-E90A-4EFA-90E3-761655E7F328}" name="TTE Subsequent Tx15 Finish Date" dataDxfId="415"/>
    <tableColumn id="381" xr3:uid="{9694FDBF-C2D3-4F71-8E87-086FA56D9F4D}" name="TTE Recurrence (PFS)" dataDxfId="414"/>
    <tableColumn id="382" xr3:uid="{0C034D76-E10B-45CD-A95F-BA8B04B0D41A}" name="TTE Death (OS and PFS)" dataDxfId="413"/>
    <tableColumn id="383" xr3:uid="{FA0B66D3-E9E8-4568-B8BF-26EF9B6E3A47}" name="TTE Date last follow-up (PFS)" dataDxfId="412"/>
    <tableColumn id="384" xr3:uid="{5919AFE9-43B6-45DD-947E-9916DA3861D5}" name="TTE Date last seen (OS)" dataDxfId="411"/>
    <tableColumn id="385" xr3:uid="{6A3BF5BC-ECF6-4FF6-913B-81FF5A555164}" name="TTE Overall survival (OS) in months" dataDxfId="410"/>
    <tableColumn id="386" xr3:uid="{F7A67751-48F4-424F-9D17-9A85D8BFB972}" name="TTE Progression free survival (PFS) in months" dataDxfId="409"/>
    <tableColumn id="387" xr3:uid="{E4360637-156F-4BBE-9DC6-DEC40AF03455}" name="Event (recurrence/progression)" dataDxfId="408"/>
    <tableColumn id="388" xr3:uid="{41B71059-3299-4648-B189-BA5A36090C95}" name="Event (cancer death)" dataDxfId="407"/>
    <tableColumn id="389" xr3:uid="{8D8FC429-56B2-4023-ABD8-1D1AD8A612FF}" name="Event (death; all causes)" dataDxfId="406"/>
    <tableColumn id="390" xr3:uid="{2B90851C-FDB4-4864-BDDF-307C9A5A8BE1}" name="Event (recurrence or cancer death)" dataDxfId="405"/>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987300B-F2DB-426B-A511-55D779CA3B8E}" name="Supplementary_2" displayName="Supplementary_2" ref="A1:D90" totalsRowShown="0" headerRowDxfId="398" tableBorderDxfId="403" headerRowCellStyle="Normal 2">
  <autoFilter ref="A1:D90" xr:uid="{3987300B-F2DB-426B-A511-55D779CA3B8E}"/>
  <tableColumns count="4">
    <tableColumn id="1" xr3:uid="{C9DB0D1C-A344-4DA3-B62F-42B339372894}" name="NHS number" dataDxfId="402"/>
    <tableColumn id="2" xr3:uid="{3E601562-852E-458E-8878-341EF1941D24}" name="Donor ID" dataDxfId="401"/>
    <tableColumn id="3" xr3:uid="{A54DC854-B61B-4DB0-8A42-3B7C06B7DF56}" name="Specimen number" dataDxfId="400"/>
    <tableColumn id="4" xr3:uid="{D3C4C5AE-FD1F-4D72-94C3-6A12082CDDB8}" name="FIGO grading" dataDxfId="399"/>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5FA6111-7697-49CF-BDFB-00A081DF261B}" name="FollowUp_3" displayName="FollowUp_3" ref="A3:NZ8" totalsRowShown="0" dataDxfId="7" tableBorderDxfId="397">
  <autoFilter ref="A3:NZ8" xr:uid="{B5FA6111-7697-49CF-BDFB-00A081DF261B}"/>
  <tableColumns count="390">
    <tableColumn id="1" xr3:uid="{6B8D379D-996F-4FD7-B5AC-92A1DBE3C3CC}" name="NHS number"/>
    <tableColumn id="2" xr3:uid="{20BDE366-1739-4FB3-931F-7D3ACF2A70E3}" name="Any Immunotherapy " dataDxfId="396"/>
    <tableColumn id="3" xr3:uid="{926BEE4E-8B17-4005-9534-CFD8A513082B}" name="Specimen treatment subgrouping" dataDxfId="395"/>
    <tableColumn id="4" xr3:uid="{4BD58578-3591-4529-AC4C-C0A3865323C8}" name="Specimen is a recurrence " dataDxfId="394"/>
    <tableColumn id="5" xr3:uid="{CE901458-F89D-4504-AF98-DEF55FEC124D}" name="Selected specimen Anonymised ID" dataDxfId="393"/>
    <tableColumn id="6" xr3:uid="{BA8DC544-9F53-4FCC-97E9-8E2022937DDF}" name="Specimen Block number 1" dataDxfId="392"/>
    <tableColumn id="7" xr3:uid="{17346EF6-E566-40B6-AFD2-1B078960B7D5}" name="Specimen Block number 2" dataDxfId="391"/>
    <tableColumn id="8" xr3:uid="{32A5FD80-271A-4672-9475-19C0FB41884B}" name="Specimen surgery date" dataDxfId="390"/>
    <tableColumn id="9" xr3:uid="{B5DAE7FC-7DD0-4E45-84D6-8B766066D922}" name="Specimen surgery" dataDxfId="389"/>
    <tableColumn id="10" xr3:uid="{BC3B1533-170C-4CA6-9177-1537FF7D76BF}" name="Specimen tumour site" dataDxfId="388"/>
    <tableColumn id="11" xr3:uid="{6C2E0CC2-D721-4D4E-8F67-28EF566A3888}" name="Primary Surgery date " dataDxfId="387"/>
    <tableColumn id="12" xr3:uid="{3401C562-9E7A-4871-8CF8-1E4291EC2F0E}" name="Primary tumour site" dataDxfId="386"/>
    <tableColumn id="13" xr3:uid="{BE90A396-E1E4-44D1-9175-05672407BA7C}" name="Anonymized ID Matched met 1" dataDxfId="385"/>
    <tableColumn id="14" xr3:uid="{C5146D43-05C8-4F85-89B6-A95D54478E32}" name="Matched met 1 Block Number" dataDxfId="384"/>
    <tableColumn id="15" xr3:uid="{1BBD3968-BD92-4A6B-98F6-A6B5530DE846}" name="Matched met 1 Site" dataDxfId="383"/>
    <tableColumn id="16" xr3:uid="{199A3CC4-0AE6-4714-91F1-F464E6000077}" name="Matched met 1 Surgery Date " dataDxfId="382"/>
    <tableColumn id="17" xr3:uid="{D297BF72-BEF7-4989-8F22-80E99CBB4707}" name="Matched met 1 treatment subgrouping" dataDxfId="381"/>
    <tableColumn id="18" xr3:uid="{B34B4296-24DD-4BFF-ACBB-4479E40764BE}" name="Anonymized ID Matched met 2" dataDxfId="380"/>
    <tableColumn id="19" xr3:uid="{603AE87E-898B-480B-827C-15A24A199143}" name="Matched met 2 Block Number" dataDxfId="379"/>
    <tableColumn id="20" xr3:uid="{1FDD47DE-C0E5-48F1-849E-2CE2F4DECF86}" name="Matched met 2 Site" dataDxfId="378"/>
    <tableColumn id="21" xr3:uid="{BEDE086E-F697-4A3A-AA53-98CEEA86FBF3}" name="Matched met 2 Surgery Date " dataDxfId="377"/>
    <tableColumn id="22" xr3:uid="{92B36F42-68A6-43ED-9DBA-D8DE028A34A7}" name="Matched met 2 treatment subgrouping" dataDxfId="376"/>
    <tableColumn id="23" xr3:uid="{4EC5F8B0-DD96-4B08-A9B1-B664CAB5738D}" name="Anonymized ID Normal tissue" dataDxfId="375"/>
    <tableColumn id="24" xr3:uid="{8DF80107-23F2-4368-869C-1F083CBD2F6C}" name="Matched Normal tissue Block Number" dataDxfId="374"/>
    <tableColumn id="25" xr3:uid="{50638B7D-AFD4-487D-8A70-C543EB5076F3}" name="Matched Normal tissue Site" dataDxfId="373"/>
    <tableColumn id="26" xr3:uid="{B8A7FA65-F35D-46E4-B82B-0ACF485AE584}" name="Matched Normal tissue Surgery Date " dataDxfId="372"/>
    <tableColumn id="27" xr3:uid="{C7081690-8F28-458E-A706-A70C26DF5E18}" name="Matched Normal treatment subgrouping" dataDxfId="371"/>
    <tableColumn id="28" xr3:uid="{504EF48F-2C3D-4E86-872F-7FBAEFB1F116}" name="Gender" dataDxfId="370"/>
    <tableColumn id="29" xr3:uid="{8A787B1E-1C43-4249-9CDC-541ABBFDE835}" name="DOB " dataDxfId="369"/>
    <tableColumn id="30" xr3:uid="{80B79166-692E-4D7F-846E-DBD5FF5C2FF4}" name="Date of DX" dataDxfId="368"/>
    <tableColumn id="31" xr3:uid="{24D2A476-F819-4EFE-834A-35EEC6C9B435}" name="Age at Diagnosis " dataDxfId="367">
      <calculatedColumnFormula>DATEDIF(AC4, AD4,"Y")</calculatedColumnFormula>
    </tableColumn>
    <tableColumn id="32" xr3:uid="{D7F6DE4F-9E5A-4FE2-B0D6-D9CF4C011478}" name="Specimen Histological Diagnosis" dataDxfId="366"/>
    <tableColumn id="33" xr3:uid="{866FD4AE-C691-4D38-8496-A8034354BFE3}" name="Staging/grading info provided for:" dataDxfId="365"/>
    <tableColumn id="34" xr3:uid="{74A1F099-DC11-4250-8836-9F59D6399830}" name="Resection margins clear " dataDxfId="364"/>
    <tableColumn id="35" xr3:uid="{33510AFB-3B51-4633-8A23-060EC5EBB3EF}" name="pT" dataDxfId="363"/>
    <tableColumn id="36" xr3:uid="{AE046ACF-A154-4388-A22E-7EDE8ACDFBB8}" name="pN" dataDxfId="362"/>
    <tableColumn id="37" xr3:uid="{273F8DE6-1DC6-442F-AE2F-DE273D626099}" name="pM" dataDxfId="361"/>
    <tableColumn id="38" xr3:uid="{95B8EAED-45AA-487D-863D-04E8B927B330}" name="cM" dataDxfId="360"/>
    <tableColumn id="39" xr3:uid="{1962CAB5-FC7A-4494-B89C-48986681DF84}" name="TNM stage" dataDxfId="359"/>
    <tableColumn id="40" xr3:uid="{6D07EA70-114C-4BD0-8D23-ACC2FEBA4270}" name="Grade" dataDxfId="358"/>
    <tableColumn id="41" xr3:uid="{0684E9D2-F956-4DF0-983C-A702A86468BC}" name="Stage at DX (AJCC)" dataDxfId="357"/>
    <tableColumn id="42" xr3:uid="{EB0065D2-C64E-4C75-A486-DB62A2327B2D}" name="Any Neoadjuvant therapy" dataDxfId="356"/>
    <tableColumn id="43" xr3:uid="{8576D53E-FE23-4C85-9F81-447C1EC8A66B}" name="Response to neoadjuvant therapy (TRS score)" dataDxfId="355"/>
    <tableColumn id="44" xr3:uid="{91A152A2-3E38-4A29-B66D-D84024FFC555}" name="Neoadjuvant Tx1" dataDxfId="354"/>
    <tableColumn id="45" xr3:uid="{C8E77E9F-5A36-444B-A711-A5C596BE824B}" name="Neoadjuvant Tx1 Agent" dataDxfId="353"/>
    <tableColumn id="46" xr3:uid="{7BB5ABA4-B321-43F5-BF38-51B2263A0F2C}" name="Neoadjuvant Tx1 Start Date" dataDxfId="352"/>
    <tableColumn id="47" xr3:uid="{20BDFFC1-3F70-400E-92A2-A797B3E9AFE3}" name="Neoadjuvant Tx1 End Date" dataDxfId="351"/>
    <tableColumn id="48" xr3:uid="{E73D151B-7EB2-4488-A628-3DF22C1D62FB}" name="Tumour response Neoadjuvant Tx1" dataDxfId="350"/>
    <tableColumn id="49" xr3:uid="{AC02E5A2-87E7-404B-A122-C0E69F597209}" name="Neoadjuvant Tx2" dataDxfId="349"/>
    <tableColumn id="50" xr3:uid="{A3A1DA32-1BC1-4E49-B255-FF70C7B857CA}" name="Neoadjuvant Tx2 Agent" dataDxfId="348"/>
    <tableColumn id="51" xr3:uid="{796D9554-3D08-467D-A179-FD29DDA2B948}" name="Neoadjuvant Tx2 Start Date" dataDxfId="347"/>
    <tableColumn id="52" xr3:uid="{24204215-276F-47F2-BCE1-DF3AAA6E97A6}" name="Neoadjuvant Tx2 End Date" dataDxfId="346"/>
    <tableColumn id="53" xr3:uid="{C759189A-ECA0-44DA-98B4-A8B0438451BF}" name="Tumour response Neoadjuvant  Tx2" dataDxfId="345"/>
    <tableColumn id="54" xr3:uid="{EFD96564-F7AB-40B8-A329-1D9F9ED0AD4E}" name="Neoadjuvant Tx3" dataDxfId="344"/>
    <tableColumn id="55" xr3:uid="{6731A33A-6018-4797-9550-C3ABF0894719}" name="Neoadjuvant Tx3 Agent" dataDxfId="343"/>
    <tableColumn id="56" xr3:uid="{11EACC11-142B-4D94-B8E9-9FACD6083425}" name="Neoadjuvant Tx3 Start Date" dataDxfId="342"/>
    <tableColumn id="57" xr3:uid="{5C7F7D61-D2FA-4AE3-B628-4012EF0F373C}" name="Neoadjuvant Tx3 End Date" dataDxfId="341"/>
    <tableColumn id="58" xr3:uid="{CF166DB6-76FD-460C-BCDB-3600C2850CBB}" name="Tumour response Neoadjuvant  Tx3" dataDxfId="340"/>
    <tableColumn id="59" xr3:uid="{25AEBE72-961D-4E3A-A6DB-2331B936FB89}" name="Neoadjuvant Tx4" dataDxfId="339"/>
    <tableColumn id="60" xr3:uid="{C6E3926B-7097-47BE-8995-1B3B5F512301}" name="Neoadjuvant Tx4 Agent" dataDxfId="338"/>
    <tableColumn id="61" xr3:uid="{94300DD5-5BA9-4E89-9802-4D7D5421AE17}" name="Neoadjuvant Tx4 Start Date" dataDxfId="337"/>
    <tableColumn id="62" xr3:uid="{577534D8-FEEF-4CE0-945D-D4FB28940000}" name="Neoadjuvant Tx4 End Date" dataDxfId="336"/>
    <tableColumn id="63" xr3:uid="{15066C78-287A-4594-8A6F-47DEB79B4739}" name="Tumour response Neoadjuvant  Tx4" dataDxfId="335"/>
    <tableColumn id="64" xr3:uid="{1A2DF05D-D15A-46FD-A7E2-3335399FC93B}" name="Neoadjuvant Tx5" dataDxfId="334"/>
    <tableColumn id="65" xr3:uid="{917B271E-57DE-4024-94EE-4C218FB6BE16}" name="Neoadjuvant Tx5 Agent" dataDxfId="333"/>
    <tableColumn id="66" xr3:uid="{3A2AA7B6-044C-45A1-A5F2-5900F29987A4}" name="Neoadjuvant Tx5 Start Date" dataDxfId="332"/>
    <tableColumn id="67" xr3:uid="{533C7C18-B2BB-409B-B0CA-B7138D5ADBDA}" name="Neoadjuvant Tx5 End Date" dataDxfId="331"/>
    <tableColumn id="68" xr3:uid="{94DE6367-08F8-41F7-AC9A-8E14CBF74A97}" name="Tumour response Neoadjuvant  Tx5" dataDxfId="330"/>
    <tableColumn id="69" xr3:uid="{7D59C06C-7EC0-45C5-A7E1-C5EBBBF8A11C}" name="Neoadjuvant Tx6" dataDxfId="329"/>
    <tableColumn id="70" xr3:uid="{2B47C2DE-315F-4DA9-80CD-27FD2AFBC73D}" name="Neoadjuvant Tx6 Agent" dataDxfId="328"/>
    <tableColumn id="71" xr3:uid="{7D9E67F7-8EFB-4889-B68B-31FB52B0D316}" name="Neoadjuvant Tx6 Start Date" dataDxfId="327"/>
    <tableColumn id="72" xr3:uid="{4D9A4BDB-EC16-41F7-AF88-7C5815B5A259}" name="Neoadjuvant Tx6 End Date" dataDxfId="326"/>
    <tableColumn id="73" xr3:uid="{12CB4E63-228B-4B74-952F-40CF0E9AEEFC}" name="Tumour response Neoadjuvant  Tx6" dataDxfId="325"/>
    <tableColumn id="74" xr3:uid="{5A1B86E4-7652-4E29-9F4E-15C0C3BE397A}" name="Neoadjuvant Tx7" dataDxfId="324"/>
    <tableColumn id="75" xr3:uid="{441C655F-BDAE-4A90-85BF-D41B3EDEB358}" name="Neoadjuvant Tx7 Agent" dataDxfId="323"/>
    <tableColumn id="76" xr3:uid="{38809DC0-D807-424D-B135-ACF6BB4D2B92}" name="Neoadjuvant Tx7 Start Date" dataDxfId="322"/>
    <tableColumn id="77" xr3:uid="{9C32A7A8-9D2E-4DC1-855B-BB8F97966687}" name="Neoadjuvant Tx7 End Date" dataDxfId="321"/>
    <tableColumn id="78" xr3:uid="{E2372D24-F04A-4C28-966B-2CC83A1FFC4E}" name="Tumour response Neoadjuvant  Tx7" dataDxfId="320"/>
    <tableColumn id="79" xr3:uid="{E87E24FB-6FFB-4F6E-BDAA-48AF75FDF709}" name="Neoadjuvant Tx8" dataDxfId="319"/>
    <tableColumn id="80" xr3:uid="{B2FDA806-4E11-4919-9548-FB915937FD01}" name="Neoadjuvant Tx8 Agent" dataDxfId="318"/>
    <tableColumn id="81" xr3:uid="{593798E5-BD2E-4AEC-8B81-02861EA1BED1}" name="Neoadjuvant Tx8 Start Date" dataDxfId="317"/>
    <tableColumn id="82" xr3:uid="{19C10E8A-80EF-4855-A9EE-90C6710B27C4}" name="Neoadjuvant Tx8 End Date" dataDxfId="316"/>
    <tableColumn id="83" xr3:uid="{9CD5DD39-CE4E-4D71-B181-E795C56C8092}" name="Tumour response Neoadjuvant  Tx8" dataDxfId="315"/>
    <tableColumn id="84" xr3:uid="{66CF6045-2434-4D13-8961-A46B5A320192}" name="Neoadjuvant Tx9" dataDxfId="314"/>
    <tableColumn id="85" xr3:uid="{91AF4DB4-84AB-4BB5-94E9-7FC0F46F1A85}" name="Neoadjuvant Tx9 Agent" dataDxfId="313"/>
    <tableColumn id="86" xr3:uid="{DA1B8091-0A58-4D1F-8FEC-24E05609933A}" name="Neoadjuvant Tx9 Start Date" dataDxfId="312"/>
    <tableColumn id="87" xr3:uid="{5567BD70-E281-4D7C-8E67-DC663B59B191}" name="Neoadjuvant Tx9 End Date" dataDxfId="311"/>
    <tableColumn id="88" xr3:uid="{92346602-AF1B-4380-A6A0-A5864BC69946}" name="Tumour response Neoadjuvant  Tx9" dataDxfId="310"/>
    <tableColumn id="89" xr3:uid="{DCAE3F27-4A7B-4F4F-A1FD-405FC469AA93}" name="Neoadjuvant Tx10" dataDxfId="309"/>
    <tableColumn id="90" xr3:uid="{DD1233FA-969A-43CB-923C-3E4A4950A5C0}" name="Neoadjuvant Tx10 Agent" dataDxfId="308"/>
    <tableColumn id="91" xr3:uid="{D9CE5DD2-2823-4562-B941-2226A4F17975}" name="Neoadjuvant Tx10 Start Date" dataDxfId="307"/>
    <tableColumn id="92" xr3:uid="{B0CEFD78-EA6B-46C1-83AC-1745AA391BF6}" name="Neoadjuvant Tx10 End Date" dataDxfId="306"/>
    <tableColumn id="93" xr3:uid="{B7F0749F-9143-4DC5-B17B-027481A23B12}" name="Tumour response Neoadjuvant Tx10" dataDxfId="305"/>
    <tableColumn id="94" xr3:uid="{173A4BF3-FC46-43B7-B03B-F80BA3DF73EC}" name="Adjuvant Tx1" dataDxfId="304"/>
    <tableColumn id="95" xr3:uid="{FC3EB4A5-D18E-4EA4-BAF3-961DDB2EE963}" name="Adjuvant Tx1 Agent" dataDxfId="303"/>
    <tableColumn id="96" xr3:uid="{E9C7C259-928E-42F6-AB6E-47028AAF6415}" name="Adjuvant Tx1 Start Date" dataDxfId="302"/>
    <tableColumn id="97" xr3:uid="{4645C547-8ACF-43B4-8F08-B7C27473644D}" name="Adjuvant Tx1 End Date" dataDxfId="301"/>
    <tableColumn id="98" xr3:uid="{078C2DF3-DBCF-4A22-B5E6-57D84B85DC17}" name="Tumour response Adjuvant Tx1" dataDxfId="300"/>
    <tableColumn id="99" xr3:uid="{F5EB6626-82AA-4C61-8403-A6637AE19AAC}" name="Adjuvant Tx2" dataDxfId="299"/>
    <tableColumn id="100" xr3:uid="{DC243550-8D9B-401D-9D06-E38C119BA1AF}" name="Adjuvant Tx2 Agent" dataDxfId="298"/>
    <tableColumn id="101" xr3:uid="{C2441B2C-46EA-4967-B078-B9CEEB54315A}" name="Adjuvant Tx2 Start Date" dataDxfId="297"/>
    <tableColumn id="102" xr3:uid="{8BE0FC3A-66F3-434E-935F-5B1A41433A82}" name="Adjuvant Tx2 End Date" dataDxfId="296"/>
    <tableColumn id="103" xr3:uid="{BF8AD775-74EC-449D-87B3-7169EAB6DECB}" name="Tumour response Adjuvant  Tx2" dataDxfId="295"/>
    <tableColumn id="104" xr3:uid="{35E34950-1236-41F1-9F2B-C0E988C4F360}" name="Adjuvant Tx3" dataDxfId="294"/>
    <tableColumn id="105" xr3:uid="{DC238AF6-BF32-40F4-A7B4-199589E72F45}" name="Adjuvant Tx3 Agent" dataDxfId="293"/>
    <tableColumn id="106" xr3:uid="{3F3FF5DE-FD29-4CBA-8266-874FE184EDC4}" name="Adjuvant Tx3 Start Date" dataDxfId="292"/>
    <tableColumn id="107" xr3:uid="{5A05B22F-01BE-49EE-B849-4B1F26DF4D4F}" name="Adjuvant Tx3 End Date" dataDxfId="291"/>
    <tableColumn id="108" xr3:uid="{322E3DBC-E033-4AAA-A6CD-5CE88AFA901A}" name="Tumour response Adjuvant  Tx3" dataDxfId="290"/>
    <tableColumn id="109" xr3:uid="{55626731-9C8A-4126-AD66-DECF6C37E609}" name="Adjuvant Tx4" dataDxfId="289"/>
    <tableColumn id="110" xr3:uid="{E242FBED-0EE4-4797-A3A9-E0FD268A2A6E}" name="Adjuvant Tx4 Agent" dataDxfId="288"/>
    <tableColumn id="111" xr3:uid="{4C3B3D24-5738-47F3-A2BC-B57E6102570D}" name="Adjuvant Tx4 Start Date" dataDxfId="287"/>
    <tableColumn id="112" xr3:uid="{C024E014-2527-44FD-8B0E-C074448BEBD1}" name="Adjuvant Tx4 End Date" dataDxfId="286"/>
    <tableColumn id="113" xr3:uid="{95D62F9E-E0C1-489A-8FC3-0639C5C6683D}" name="Tumour response Adjuvant  Tx4" dataDxfId="285"/>
    <tableColumn id="114" xr3:uid="{3F9B95FE-5C33-45AF-A20C-B90E48526C59}" name="Adjuvant Tx5" dataDxfId="284"/>
    <tableColumn id="115" xr3:uid="{346B165A-3681-446A-860B-EAAD03CA27F8}" name="Adjuvant Tx5 Agent" dataDxfId="283"/>
    <tableColumn id="116" xr3:uid="{A933C312-C89B-480C-827E-DDF5F3AE0B22}" name="Adjuvant Tx5 Start Date" dataDxfId="282"/>
    <tableColumn id="117" xr3:uid="{128A3383-499A-4362-8DAD-C7A2ACD034AB}" name="Adjuvant Tx5 End Date" dataDxfId="281"/>
    <tableColumn id="118" xr3:uid="{BD11128B-F8D7-4E38-B448-CF28EE4DCF52}" name="Tumour response Adjuvant  Tx5" dataDxfId="280"/>
    <tableColumn id="119" xr3:uid="{76B2DE75-90CA-491D-AAD5-F344794CB456}" name="Adjuvant Tx6" dataDxfId="279"/>
    <tableColumn id="120" xr3:uid="{6C0178B3-5862-4447-B064-244029278EF2}" name="Adjuvant Tx6 Agent" dataDxfId="278"/>
    <tableColumn id="121" xr3:uid="{2E8C7B56-76C7-40C3-97BC-9E1F28E00217}" name="Adjuvant Tx6 Start Date" dataDxfId="277"/>
    <tableColumn id="122" xr3:uid="{4B5411E7-61FC-4115-9CEF-BB3779D1A891}" name="Adjuvant Tx6 End Date" dataDxfId="276"/>
    <tableColumn id="123" xr3:uid="{EC84BCCC-7050-42C5-9BE4-902BEDDB3948}" name="Tumour response Adjuvant  Tx6" dataDxfId="275"/>
    <tableColumn id="124" xr3:uid="{91394245-D914-491F-8DCD-F4876CD08CD0}" name="Adjuvant Tx7" dataDxfId="274"/>
    <tableColumn id="125" xr3:uid="{B467C340-EE7F-42BB-8A91-703C52681FEC}" name="Adjuvant Tx7 Agent" dataDxfId="273"/>
    <tableColumn id="126" xr3:uid="{152BBC40-F17C-46C2-8CFE-B3D8CD87209C}" name="Adjuvant Tx7 Start Date" dataDxfId="272"/>
    <tableColumn id="127" xr3:uid="{C4B7F947-1BAE-4498-9D31-81D81FD3964F}" name="Adjuvant Tx7 End Date" dataDxfId="271"/>
    <tableColumn id="128" xr3:uid="{8C154F29-D61C-4BDD-88B3-5FFD56DD7929}" name="Tumour response Adjuvant  Tx7" dataDxfId="270"/>
    <tableColumn id="129" xr3:uid="{443AF225-EDAC-4F5C-A2B6-DBDDC921F428}" name="Adjuvant Tx8" dataDxfId="269"/>
    <tableColumn id="130" xr3:uid="{530CC3E0-87E2-473A-8F26-CD1D47974448}" name="Adjuvant Tx8 Agent" dataDxfId="268"/>
    <tableColumn id="131" xr3:uid="{E7A480C2-882C-44C7-93BC-EA8A30E25C93}" name="Adjuvant Tx8 Start Date" dataDxfId="267"/>
    <tableColumn id="132" xr3:uid="{579B5BFD-9DA8-4233-968F-7DC0FADE91A6}" name="Adjuvant Tx8 End Date" dataDxfId="266"/>
    <tableColumn id="133" xr3:uid="{20654A1A-BEC4-4439-94F6-8360FA3E1EDD}" name="Tumour response Adjuvant  Tx8" dataDxfId="265"/>
    <tableColumn id="134" xr3:uid="{6263C8EB-8082-4A47-B9F0-EB4AA3CFB078}" name="Adjuvant Tx9" dataDxfId="264"/>
    <tableColumn id="135" xr3:uid="{D2758198-692F-407F-9FE0-F59C9CBD7BDE}" name="Adjuvant Tx9 Agent" dataDxfId="263"/>
    <tableColumn id="136" xr3:uid="{429A07E9-A113-476D-812A-66E2D7FF18E2}" name="Adjuvant Tx9 Start Date" dataDxfId="262"/>
    <tableColumn id="137" xr3:uid="{81B5773D-006B-4061-ACFE-F5908B828D27}" name="Adjuvant Tx9 End Date" dataDxfId="261"/>
    <tableColumn id="138" xr3:uid="{C4C8F4C5-173E-48D2-8E97-E40DE19FF253}" name="Tumour response Adjuvant  Tx9" dataDxfId="260"/>
    <tableColumn id="139" xr3:uid="{66A9AA57-7EF2-4B05-B6E4-7AFADCD149C5}" name="Adjuvant Tx10" dataDxfId="259"/>
    <tableColumn id="140" xr3:uid="{4132103E-1EE8-4F9A-A100-5659A0147722}" name="Adjuvant Tx10 Agent" dataDxfId="258"/>
    <tableColumn id="141" xr3:uid="{C1A8F5C4-65E0-4EF2-A39B-EA0C0B56DC24}" name="Adjuvant Tx10 Start Date" dataDxfId="257"/>
    <tableColumn id="142" xr3:uid="{627D75E7-C7E7-44F0-BFB9-2064BDD28388}" name="Adjuvant Tx10 End Date" dataDxfId="256"/>
    <tableColumn id="143" xr3:uid="{893781A9-530D-4B6C-B3F3-AEBB0F92CA26}" name="Tumour response Adjuvant Tx10" dataDxfId="255"/>
    <tableColumn id="144" xr3:uid="{B1406D36-B2E2-4C5F-BD1B-D3C371CC38B1}" name="Adjuvant Tx11" dataDxfId="254"/>
    <tableColumn id="145" xr3:uid="{49C55624-698D-4C67-A93B-BF44471DF007}" name="Adjuvant Tx11 Agent" dataDxfId="253"/>
    <tableColumn id="146" xr3:uid="{75157C7C-F6E6-464B-A6F4-D6414E1FDB65}" name="Adjuvant Tx11 Start Date" dataDxfId="252"/>
    <tableColumn id="147" xr3:uid="{3FE1ED04-E471-4D84-A14F-A810CC342047}" name="Adjuvant Tx11 End Date" dataDxfId="251"/>
    <tableColumn id="148" xr3:uid="{FCF5AC25-E95C-4398-8A7F-FC9DCEE9FB96}" name="Tumour response Adjuvant Tx11" dataDxfId="250"/>
    <tableColumn id="149" xr3:uid="{330D13B6-4D3C-42B1-A07E-CE9C1F8B2798}" name="Adjuvant Tx12" dataDxfId="249"/>
    <tableColumn id="150" xr3:uid="{F9E3B940-FC64-4B87-898F-3693CEF71DB5}" name="Adjuvant Tx12 Agent" dataDxfId="248"/>
    <tableColumn id="151" xr3:uid="{10307A52-1014-4CB0-B3A2-4092BDA0711D}" name="Adjuvant Tx12 Start Date" dataDxfId="247"/>
    <tableColumn id="152" xr3:uid="{CBFCA10C-58F6-425B-9335-879EC02F3C37}" name="Adjuvant Tx12 End Date" dataDxfId="246"/>
    <tableColumn id="153" xr3:uid="{526875EB-9858-4688-AF01-71B9FAF27173}" name="Tumour response Adjuvant Tx12" dataDxfId="245"/>
    <tableColumn id="154" xr3:uid="{4D4ABFDB-B038-40AB-B0F1-F7A0B1B66F08}" name="Adjuvant Tx13" dataDxfId="244"/>
    <tableColumn id="155" xr3:uid="{4698066B-7A32-4280-B31F-6174C14A892A}" name="Adjuvant Tx13 Agent" dataDxfId="243"/>
    <tableColumn id="156" xr3:uid="{54A9A4C3-74D4-4098-81F2-1E9D14B39BB6}" name="Adjuvant Tx13 Start Date" dataDxfId="242"/>
    <tableColumn id="157" xr3:uid="{8848033A-EAA3-4C52-8353-05601E6C2E6F}" name="Adjuvant Tx13 End Date" dataDxfId="241"/>
    <tableColumn id="158" xr3:uid="{D00A5953-B931-45D6-BD86-6DF1E6D2BA3A}" name="Tumour response Adjuvant Tx13" dataDxfId="240"/>
    <tableColumn id="159" xr3:uid="{059D2AA7-4410-4304-A54A-D92D6858F189}" name="Adjuvant Tx14" dataDxfId="239"/>
    <tableColumn id="160" xr3:uid="{7888FADF-D79A-4BEE-959D-AEFDAEDF509B}" name="Adjuvant Tx14 Agent" dataDxfId="238"/>
    <tableColumn id="161" xr3:uid="{F3BC0CC0-6E87-49BA-A967-5F050E74F26D}" name="Adjuvant Tx14 Start Date" dataDxfId="237"/>
    <tableColumn id="162" xr3:uid="{BF62E2F9-70BA-4E56-A631-4D5ED280BACC}" name="Adjuvant Tx14 End Date" dataDxfId="236"/>
    <tableColumn id="163" xr3:uid="{C905575B-22D5-42A3-BCDA-1B7584C292B5}" name="Tumour response Adjuvant Tx14" dataDxfId="235"/>
    <tableColumn id="164" xr3:uid="{85564703-6803-4456-A953-5737BEB7B9C5}" name="Adjuvant Tx15" dataDxfId="234"/>
    <tableColumn id="165" xr3:uid="{99FEA67B-DC77-4E73-8538-0A35B2030E31}" name="Adjuvant Tx15 Agent" dataDxfId="233"/>
    <tableColumn id="166" xr3:uid="{C560B76F-8C0F-4D2B-875C-FC1611CDE454}" name="Adjuvant Tx15 Start Date" dataDxfId="232"/>
    <tableColumn id="167" xr3:uid="{3A71595C-9803-4C5D-A412-62658F59D7F7}" name="Adjuvant Tx15 End Date" dataDxfId="231"/>
    <tableColumn id="168" xr3:uid="{1E1D2D17-A00D-422E-A8F2-1ABB4EC720BE}" name="Date recurrence/ progression 1" dataDxfId="230"/>
    <tableColumn id="169" xr3:uid="{A0229481-5CE4-4291-B12E-9AAC29866B71}" name="Sites recurrence/ progression 1" dataDxfId="229"/>
    <tableColumn id="170" xr3:uid="{75F40911-6682-43EB-96F2-87DDD5533AD3}" name="Date recurrence/ progression 2" dataDxfId="228"/>
    <tableColumn id="171" xr3:uid="{53C2AF01-A3C0-4674-B308-471BF74C8E68}" name="Sites recurrence/ progression 2" dataDxfId="227"/>
    <tableColumn id="172" xr3:uid="{AD32C7D6-7500-4003-880F-C4E92EB5986D}" name="Date recurrence/ progression 3" dataDxfId="226"/>
    <tableColumn id="173" xr3:uid="{0B3BC562-896C-44B2-9482-59BB6E045546}" name="Sites recurrence/ progression 3" dataDxfId="225"/>
    <tableColumn id="174" xr3:uid="{6626B2E7-8044-4BDC-AB38-69B2CF0B9868}" name="Date recurrence/ progression 4" dataDxfId="224"/>
    <tableColumn id="175" xr3:uid="{764F798C-8754-4580-BCAD-2E4CC742C2D0}" name="Sites recurrence/ progression 4" dataDxfId="223"/>
    <tableColumn id="176" xr3:uid="{B29DA6B5-F2DB-42CD-848C-8568C1241925}" name="Date recurrence/ progression 5" dataDxfId="222"/>
    <tableColumn id="177" xr3:uid="{28CD7FC2-383F-4171-921F-D36CB87D0F8A}" name="Sites recurrence/ progression 5" dataDxfId="221"/>
    <tableColumn id="178" xr3:uid="{18011D9D-EDE1-4808-9FEC-22BE2002E3CC}" name="Date recurrence/ progression 6" dataDxfId="220"/>
    <tableColumn id="179" xr3:uid="{923AF85E-C788-47AC-A8A3-1CC353B41807}" name="Sites recurrence/ progression 6" dataDxfId="219"/>
    <tableColumn id="180" xr3:uid="{ADCDF4C4-E243-439E-B473-D11AB622A35D}" name="Date recurrence/ progression 7" dataDxfId="218"/>
    <tableColumn id="181" xr3:uid="{25B6512C-74F9-4EC2-B9B7-44EBC04D49A2}" name="Sites recurrence/ progression 7" dataDxfId="217"/>
    <tableColumn id="182" xr3:uid="{A1AF72B8-0685-4167-AE3D-C91A1804602E}" name="Date recurrence/ progression 8" dataDxfId="216"/>
    <tableColumn id="183" xr3:uid="{496B9445-81E0-4A57-AAB9-8F896294C58A}" name="Sites recurrence/ progression 8" dataDxfId="215"/>
    <tableColumn id="184" xr3:uid="{605CCADF-E92E-4A34-B35B-E7BC3F64B283}" name="Date recurrence/ progression 9" dataDxfId="214"/>
    <tableColumn id="185" xr3:uid="{A8192298-EADE-4868-897E-5F588A7E7DB3}" name="Sites recurrence/ progression 9" dataDxfId="213"/>
    <tableColumn id="186" xr3:uid="{E8E9F5A2-1916-465A-B612-9E1CD08A4F7B}" name="Date recurrence/ progression 10" dataDxfId="212"/>
    <tableColumn id="187" xr3:uid="{01576E42-473A-4D96-B2DD-015B7C09D848}" name="Sites recurrence/ progression 10" dataDxfId="211"/>
    <tableColumn id="188" xr3:uid="{81C55A70-4FC1-4BCF-8CCD-E17530861BC4}" name="Date recurrence/ progression 11" dataDxfId="210"/>
    <tableColumn id="189" xr3:uid="{E31CC6C4-31C3-4A9F-BCAA-9342234EDC42}" name="Sites recurrence/ progression 11" dataDxfId="209"/>
    <tableColumn id="190" xr3:uid="{3A3E7D66-B6C6-40DB-AE5A-89ECBCE0724B}" name="Date recurrence/ progression 12" dataDxfId="208"/>
    <tableColumn id="191" xr3:uid="{E7E0FA6C-B148-461F-A232-03A80B7A000E}" name="Sites recurrence/ progression 12" dataDxfId="207"/>
    <tableColumn id="192" xr3:uid="{C40EFAEB-7CC6-486E-9246-04C19EC5CA53}" name="Date recurrence/ progression 13" dataDxfId="206"/>
    <tableColumn id="193" xr3:uid="{C2F5B330-24D4-47F9-BFF7-03DC60E31425}" name="Sites recurrence/ progression 13" dataDxfId="205"/>
    <tableColumn id="194" xr3:uid="{375F4518-B912-4F07-9365-525F8B8AE2FD}" name="Date recurrence/ progression 14" dataDxfId="204"/>
    <tableColumn id="195" xr3:uid="{B809BB50-BB40-4699-9DAD-DA889291D779}" name="Sites recurrence/ progression 14" dataDxfId="203"/>
    <tableColumn id="196" xr3:uid="{59F4F0FF-3BA6-40EC-97CA-61FA67AA4EDA}" name="Date recurrence/ progression 15" dataDxfId="202"/>
    <tableColumn id="197" xr3:uid="{1A5CBDE1-FF13-40A7-B0EE-214D5D070B64}" name="Sites recurrence/ progression 15" dataDxfId="201"/>
    <tableColumn id="198" xr3:uid="{AF27C942-61BD-41FB-A944-03D05FFD87C0}" name="Subsequent Tx1" dataDxfId="200"/>
    <tableColumn id="199" xr3:uid="{0B96348B-7FE6-4FED-BA0D-AFD2B51AF9B7}" name="Subsequent Tx1 Agent" dataDxfId="199"/>
    <tableColumn id="200" xr3:uid="{4FFF203B-0C9F-479A-B32E-763ABC77ED97}" name="Subsequent Tx1 Start Date" dataDxfId="198"/>
    <tableColumn id="201" xr3:uid="{2F730764-E610-4D33-9849-32B1FE79067D}" name="Subsequent Tx1 Finish Date" dataDxfId="197"/>
    <tableColumn id="202" xr3:uid="{17B326B0-9BE0-40A4-BE6B-F19E731BC182}" name="Tumour response to Subsequent Tx1" dataDxfId="196"/>
    <tableColumn id="203" xr3:uid="{B847509B-61B7-4C75-8F68-4CB0CECA159D}" name="Subsequent Tx2" dataDxfId="195"/>
    <tableColumn id="204" xr3:uid="{8B96ECEE-A291-4B7C-A453-4A1D79733014}" name="Subsequent Tx2 Agent" dataDxfId="194"/>
    <tableColumn id="205" xr3:uid="{EB7CF6A9-687A-4C85-8E75-65004C8EECC1}" name="Subsequent Tx2 Start Date" dataDxfId="193"/>
    <tableColumn id="206" xr3:uid="{0DFA84BA-E380-46A3-AE7B-D7C5F944CA6A}" name="Subsequent Tx2 Finish Date" dataDxfId="192"/>
    <tableColumn id="207" xr3:uid="{90EA66B5-34B1-4893-92A5-1B70A941F522}" name="Tumour response to Subsequent Tx2" dataDxfId="191"/>
    <tableColumn id="208" xr3:uid="{52C1F3FE-EC3E-4EA4-84F8-653525C6DD6D}" name="Subsequent Tx3" dataDxfId="190"/>
    <tableColumn id="209" xr3:uid="{29687A90-E043-4E14-B780-081250D16E79}" name="Subsequent Tx3 Agent" dataDxfId="189"/>
    <tableColumn id="210" xr3:uid="{CC763F71-A2FB-4CE5-8F57-0FCE538FA3D9}" name="Subsequent Tx3 Start Date" dataDxfId="188"/>
    <tableColumn id="211" xr3:uid="{6D3DE695-8732-4CAF-825D-6AE6826AAC54}" name="Subsequent Tx3 Finish Date" dataDxfId="187"/>
    <tableColumn id="212" xr3:uid="{4CD3B027-938C-4C1E-BFAC-8340C6C62EC1}" name="Tumour response to Subsequent Tx3" dataDxfId="186"/>
    <tableColumn id="213" xr3:uid="{A62B0DF7-D442-445C-82B0-807D4A771422}" name="Subsequent Tx4" dataDxfId="185"/>
    <tableColumn id="214" xr3:uid="{ACFAC56D-E7DD-4708-A416-646D16254295}" name="Subsequent Tx4 Agent" dataDxfId="184"/>
    <tableColumn id="215" xr3:uid="{CECE918C-5A4D-40E1-A56D-E437D5D7754C}" name="Subsequent Tx4 Start Date" dataDxfId="183"/>
    <tableColumn id="216" xr3:uid="{66AFDCAD-C532-41E8-9B50-5F5F42F3B29A}" name="Subsequent Tx4 Finish Date" dataDxfId="182"/>
    <tableColumn id="217" xr3:uid="{869A08B5-691B-45F3-B5A1-1D16A2A45832}" name="Tumour response to Subsequent Tx4" dataDxfId="181"/>
    <tableColumn id="218" xr3:uid="{229B9BFE-E89F-4441-87D5-0FDAB13EC0EF}" name="Subsequent Tx5" dataDxfId="180"/>
    <tableColumn id="219" xr3:uid="{0A09CE9C-5859-492E-9077-EFCD13C1642E}" name="Subsequent Tx5 Agent" dataDxfId="179"/>
    <tableColumn id="220" xr3:uid="{A4577C48-C8CE-4BDE-921D-BB1ED044341D}" name="Subsequent Tx5 Start Date" dataDxfId="178"/>
    <tableColumn id="221" xr3:uid="{8134AEA4-FFE8-4A55-8FB0-EA9B7559D9C3}" name="Subsequent Tx5 Finish Date" dataDxfId="177"/>
    <tableColumn id="222" xr3:uid="{0165A26E-9BF1-4818-B9F2-8826F1FF77F6}" name="Tumour response to Subsequent Tx5" dataDxfId="176"/>
    <tableColumn id="223" xr3:uid="{FF020555-5F99-4B96-9AF2-1BA53261C16D}" name="Subsequent Tx6" dataDxfId="175"/>
    <tableColumn id="224" xr3:uid="{ED09E469-C8E0-4D4C-B3DE-A47FE1FB0A42}" name="Subsequent Tx6 Agent" dataDxfId="174"/>
    <tableColumn id="225" xr3:uid="{0BB6E36F-F373-4466-A95A-79B2A285318B}" name="Subsequent Tx6 Start Date" dataDxfId="173"/>
    <tableColumn id="226" xr3:uid="{825F7DAB-7CD1-45A6-B9B5-4CB6423FF40A}" name="Subsequent Tx6 Finish Date" dataDxfId="172"/>
    <tableColumn id="227" xr3:uid="{8CEF1F43-7828-4370-95E6-A090D083BF6B}" name="Tumour response to Subsequent Tx6" dataDxfId="171"/>
    <tableColumn id="228" xr3:uid="{76E3357F-1A2B-4246-B18C-18DF29E07AF9}" name="Subsequent Tx7" dataDxfId="170"/>
    <tableColumn id="229" xr3:uid="{5B5D34C5-3C4F-455F-9A41-0D5BD4AE338D}" name="Subsequent Tx7 Agent" dataDxfId="169"/>
    <tableColumn id="230" xr3:uid="{CF22BBC5-6B03-46EF-8232-02322D536B41}" name="Subsequent Tx7 Start Date" dataDxfId="168"/>
    <tableColumn id="231" xr3:uid="{030021E0-66CA-4753-AD17-0D54BF2889CD}" name="Subsequent Tx7 Finish Date" dataDxfId="167"/>
    <tableColumn id="232" xr3:uid="{BE20FD4D-1FFA-4814-9C2B-C05CDA2E6BEF}" name="Tumour response to Subsequent Tx7" dataDxfId="166"/>
    <tableColumn id="233" xr3:uid="{4E8F3D5D-4D4F-4FDB-92F6-5EE16451CD27}" name="Subsequent Tx8" dataDxfId="165"/>
    <tableColumn id="234" xr3:uid="{E99FBC51-CAED-4D7F-9B62-6CA8720C61BF}" name="Subsequent Tx8 Agent" dataDxfId="164"/>
    <tableColumn id="235" xr3:uid="{37DA895B-4914-42B8-BD70-B9D3A6E394E4}" name="Subsequent Tx8 Start Date" dataDxfId="163"/>
    <tableColumn id="236" xr3:uid="{F0A3C2D8-10BC-45CD-B172-E9F80CC8564A}" name="Subsequent Tx8 Finish Date" dataDxfId="162"/>
    <tableColumn id="237" xr3:uid="{F718A5BD-4C46-455A-90E1-03F789966946}" name="Tumour response to Subsequent Tx8" dataDxfId="161"/>
    <tableColumn id="238" xr3:uid="{689B80F7-662B-465B-979C-DD9978BD42D4}" name="Subsequent Tx9" dataDxfId="160"/>
    <tableColumn id="239" xr3:uid="{EBFAAA28-BF8F-4D44-A7D3-5B5DC94C7A0F}" name="Subsequent Tx9 Agent" dataDxfId="159"/>
    <tableColumn id="240" xr3:uid="{57FCB90A-FF72-461B-89F6-6940C803E9CC}" name="Subsequent Tx9 Start Date" dataDxfId="158"/>
    <tableColumn id="241" xr3:uid="{79E63671-B6DE-4245-B014-9C09C6361364}" name="Subsequent Tx9 Finish Date" dataDxfId="157"/>
    <tableColumn id="242" xr3:uid="{8553066D-7322-4963-889E-0180BB1C4091}" name="Tumour response to Subsequent Tx9" dataDxfId="156"/>
    <tableColumn id="243" xr3:uid="{ECD2D01E-E512-4DBB-9EA5-AF8E8DEC030E}" name="Subsequent Tx10" dataDxfId="155"/>
    <tableColumn id="244" xr3:uid="{4A6E0372-84DF-4B59-91FA-594144A4571D}" name="Subsequent Tx10 Agent" dataDxfId="154"/>
    <tableColumn id="245" xr3:uid="{9C88D962-3F0C-48C2-A7E9-9947BAF24904}" name="Subsequent Tx10 Start Date" dataDxfId="153"/>
    <tableColumn id="246" xr3:uid="{97920705-2D01-45C7-A64A-6C0460E4B6AF}" name="Subsequent Tx10 Finish Date" dataDxfId="152"/>
    <tableColumn id="247" xr3:uid="{94C36EBC-273D-4341-B8F1-263336410533}" name="Tumour response to Subsequent Tx10" dataDxfId="151"/>
    <tableColumn id="248" xr3:uid="{FBCE5E82-A5E3-4DC9-9E24-E6D3FBF7FB86}" name="Subsequent Tx11" dataDxfId="150"/>
    <tableColumn id="249" xr3:uid="{075037F3-F19D-4F73-90E0-8547AB7BC2EF}" name="Subsequent Tx11 Agent" dataDxfId="149"/>
    <tableColumn id="250" xr3:uid="{D8487DF9-9949-4E97-BAE2-799DC47DBA98}" name="Subsequent Tx11 Start Date" dataDxfId="148"/>
    <tableColumn id="251" xr3:uid="{BA7409E5-F0B8-43B7-AD72-E19679496A94}" name="Subsequent Tx11 Finish Date" dataDxfId="147"/>
    <tableColumn id="252" xr3:uid="{7D808B4C-FAA0-48E2-AAC8-EF5EA521E756}" name="Tumour response to Subsequent Tx11" dataDxfId="146"/>
    <tableColumn id="253" xr3:uid="{3CDED33A-7A00-45A7-8B2D-98D8E7F9E630}" name="Subsequent Tx12" dataDxfId="145"/>
    <tableColumn id="254" xr3:uid="{A3BD6146-7298-4D53-8A07-F642628197DF}" name="Subsequent Tx12 Agent" dataDxfId="144"/>
    <tableColumn id="255" xr3:uid="{9CD7CF1F-F35F-46EF-85DF-DC7D94F0F79D}" name="Subsequent Tx12 Start Date" dataDxfId="143"/>
    <tableColumn id="256" xr3:uid="{12BFB5C1-3EE5-443D-ACF2-340B2D750DF3}" name="Subsequent Tx12 Finish Date" dataDxfId="142"/>
    <tableColumn id="257" xr3:uid="{1846975B-F552-4BC9-909B-21FFECB400C1}" name="Tumour response to Subsequent Tx12" dataDxfId="141"/>
    <tableColumn id="258" xr3:uid="{AB92E014-908D-46FA-A9B7-B8428E153EA1}" name="Subsequent Tx13" dataDxfId="140"/>
    <tableColumn id="259" xr3:uid="{EFD7E50C-D865-4BC4-BAAC-B3DE8CE1179C}" name="Subsequent Tx13 Agent" dataDxfId="139"/>
    <tableColumn id="260" xr3:uid="{90070B21-EC92-4895-B92E-3210CED5ED52}" name="Subsequent Tx13 Start Date" dataDxfId="138"/>
    <tableColumn id="261" xr3:uid="{690BFBD3-6890-4C2A-8FEE-955CF4E77887}" name="Subsequent Tx13 Finish Date" dataDxfId="137"/>
    <tableColumn id="262" xr3:uid="{CA5520CD-49A7-41D1-B596-FC1D4ED0EB00}" name="Tumour response to Subsequent Tx13" dataDxfId="136"/>
    <tableColumn id="263" xr3:uid="{C444B77C-8A22-4E5C-A98A-69F2A7F6016D}" name="Subsequent Tx14" dataDxfId="135"/>
    <tableColumn id="264" xr3:uid="{E5DFA1DB-B4E1-416A-8B87-D742C8251995}" name="Subsequent Tx14 Agent" dataDxfId="134"/>
    <tableColumn id="265" xr3:uid="{9A3254B0-D79F-4D46-B003-B44FF6231558}" name="Subsequent Tx14 Start Date" dataDxfId="133"/>
    <tableColumn id="266" xr3:uid="{BC4559FA-E2A8-4CDF-A55C-9E073F345D50}" name="Subsequent Tx14 Finish Date" dataDxfId="132"/>
    <tableColumn id="267" xr3:uid="{5D6CE686-1531-4309-9D53-4BA43277ADB1}" name="Tumour response to Subsequent Tx14" dataDxfId="131"/>
    <tableColumn id="268" xr3:uid="{1FAA1580-B1BD-40F8-A2FB-9423BF1A01CF}" name="Subsequent Tx15" dataDxfId="130"/>
    <tableColumn id="269" xr3:uid="{1B59C27A-70EC-4F54-A8D4-958B1834D585}" name="Subsequent Tx15 Agent" dataDxfId="129"/>
    <tableColumn id="270" xr3:uid="{4E6FB79F-2EED-4C43-A653-AF806240CC66}" name="Subsequent Tx15 Start Date" dataDxfId="128"/>
    <tableColumn id="271" xr3:uid="{75B826A6-C41A-417C-B8C2-82B85F1523F2}" name="Subsequent Tx15 Finish Date" dataDxfId="127"/>
    <tableColumn id="272" xr3:uid="{89B3DBC7-A3FD-44FB-BE95-E84626B3E3C0}" name="Tumour response to Subsequent Tx15" dataDxfId="126"/>
    <tableColumn id="273" xr3:uid="{ABA374F4-93E0-41C9-9381-34FE145BEB78}" name="Current Status" dataDxfId="125"/>
    <tableColumn id="274" xr3:uid="{BA173367-2977-4650-84AA-17F2937A48A0}" name="Death date" dataDxfId="124"/>
    <tableColumn id="275" xr3:uid="{2DBE38B5-CAA2-4A70-B084-B9ACB2505E60}" name="Death tumour related" dataDxfId="123"/>
    <tableColumn id="276" xr3:uid="{FF5845C9-C8E5-4830-A926-422B95D5CACC}" name="Cause of death" dataDxfId="122"/>
    <tableColumn id="277" xr3:uid="{84E27EC2-A879-4EDC-899A-628451638082}" name="Date last follow-up" dataDxfId="121"/>
    <tableColumn id="278" xr3:uid="{7CC13CF7-A416-4961-9968-4445240D80D8}" name="Date Last Seen" dataDxfId="120"/>
    <tableColumn id="279" xr3:uid="{770D52E2-8715-4843-82A6-FE9AD25321B6}" name="Concurrent Medical Conditions" dataDxfId="119"/>
    <tableColumn id="280" xr3:uid="{D639554C-9C42-4CB7-A4F7-23B137B304CC}" name="Comments from clinical team" dataDxfId="118"/>
    <tableColumn id="281" xr3:uid="{6A6F987F-65AC-43B8-AD6F-4DD3B36D5F77}" name="TTE Neoadjuvant Tx1 Start Date" dataDxfId="117"/>
    <tableColumn id="282" xr3:uid="{39FCEA5E-9F19-46EA-82E5-87107B686A03}" name="TTE Neoadjuvant Tx1 End Date" dataDxfId="116"/>
    <tableColumn id="283" xr3:uid="{0B6521F8-95E5-4C1C-ABC5-B6B8AFD20EC2}" name="TTE Neoadjuvant Tx2 Start Date" dataDxfId="115"/>
    <tableColumn id="284" xr3:uid="{D2D4E3B6-D434-4A23-9299-620A4C7A6306}" name="TTE Neoadjuvant Tx2 End Date" dataDxfId="114"/>
    <tableColumn id="285" xr3:uid="{27EAA413-E88C-446B-8FD2-52D760CF1104}" name="TTE Neoadjuvant Tx3 Start Date" dataDxfId="113"/>
    <tableColumn id="286" xr3:uid="{3D007CEF-BE1A-4F49-9D7F-01BA6474A9E2}" name="TTE Neoadjuvant Tx3 End Date" dataDxfId="112"/>
    <tableColumn id="287" xr3:uid="{25AA748B-E89E-4F74-8352-D37CDD00A3CE}" name="TTE Neoadjuvant Tx4 Start Date" dataDxfId="111"/>
    <tableColumn id="288" xr3:uid="{3A52B859-E523-40BA-B1B7-F26DEA8BA528}" name="TTE Neoadjuvant Tx4 End Date" dataDxfId="110"/>
    <tableColumn id="289" xr3:uid="{18DDC3B6-743F-4021-A318-F215A08359AD}" name="TTE Neoadjuvant Tx5 Start Date" dataDxfId="109"/>
    <tableColumn id="290" xr3:uid="{56AFC6F2-8144-454B-9CCF-288D90B26640}" name="TTE Neoadjuvant Tx5 End Date" dataDxfId="108"/>
    <tableColumn id="291" xr3:uid="{BA01E1D7-55DC-491F-B6BC-0075FB4014AA}" name="TTE Neoadjuvant Tx6 Start Date" dataDxfId="107"/>
    <tableColumn id="292" xr3:uid="{8F5A4225-F94E-49D7-B3DB-F031174070FC}" name="TTE Neoadjuvant Tx6 End Date" dataDxfId="106"/>
    <tableColumn id="293" xr3:uid="{59A3C0DE-6DDF-4C74-96E6-10B748FB559A}" name="TTE Neoadjuvant Tx7 Start Date" dataDxfId="105"/>
    <tableColumn id="294" xr3:uid="{DAE5B825-B7DC-45A5-A794-1E2AB9ECB9B2}" name="TTE Neoadjuvant Tx7 End Date" dataDxfId="104"/>
    <tableColumn id="295" xr3:uid="{B7D451F4-D2E1-41C9-9553-F347D8F7EB7D}" name="TTE Neoadjuvant Tx8 Start Date" dataDxfId="103"/>
    <tableColumn id="296" xr3:uid="{082F693C-F09F-4E8A-8FE5-87F0FE167D7B}" name="TTE Neoadjuvant Tx8 End Date" dataDxfId="102"/>
    <tableColumn id="297" xr3:uid="{BFDBD5B7-AEE3-40C1-B6C1-390D5CD80039}" name="TTE Neoadjuvant Tx9 Start Date" dataDxfId="101"/>
    <tableColumn id="298" xr3:uid="{E2499F66-1D0D-4203-98C2-CDD4772246A3}" name="TTE Neoadjuvant Tx9 End Date" dataDxfId="100"/>
    <tableColumn id="299" xr3:uid="{9BD32D95-A342-41DA-938C-BC9FE3AFDFA9}" name="TTE Neoadjuvant Tx10 Start Date" dataDxfId="99"/>
    <tableColumn id="300" xr3:uid="{BA4272A9-A643-4EC3-998F-E6D9B52062EC}" name="TTE Neoadjuvant Tx10 End Date" dataDxfId="98"/>
    <tableColumn id="301" xr3:uid="{1D62BE43-2126-4ADB-AD2D-0FA78FE21857}" name="TTE Specimen surgery date" dataDxfId="97"/>
    <tableColumn id="302" xr3:uid="{7EB450E0-CEEC-4534-9C36-DE464C13E4C8}" name="TTE Primary Surgery date " dataDxfId="96"/>
    <tableColumn id="303" xr3:uid="{5E509690-6F94-4C22-BB46-5F59FA39D908}" name="TTE Matched met 1 Surgery Date " dataDxfId="95"/>
    <tableColumn id="304" xr3:uid="{CC0FB19E-3173-4C45-8789-15533A31BD46}" name="TTE Matched met 2 Surgery Date " dataDxfId="94"/>
    <tableColumn id="305" xr3:uid="{840FDD87-1141-40EF-BA1D-52BD26818BD9}" name="TTE Matched Normal tissue Surgery Date " dataDxfId="93"/>
    <tableColumn id="306" xr3:uid="{99FEB6A9-9FA5-449E-AD82-46B291803933}" name="TTE Adjuvant Tx1 Start Date" dataDxfId="92"/>
    <tableColumn id="307" xr3:uid="{E127DEFC-2404-4F66-B1CC-1015E0919A57}" name="TTE Adjuvant Tx1 End Date" dataDxfId="91"/>
    <tableColumn id="308" xr3:uid="{E8856C23-47B0-4791-B590-CF12FE58B8F5}" name="TTE Adjuvant Tx2 Start Date" dataDxfId="90"/>
    <tableColumn id="309" xr3:uid="{A242B14B-D44C-4F73-B437-59759F9C84EB}" name="TTE Adjuvant Tx2 End Date" dataDxfId="89"/>
    <tableColumn id="310" xr3:uid="{DFA44361-F569-4107-9297-D092D29A44A7}" name="TTE Adjuvant Tx3 Start Date" dataDxfId="88"/>
    <tableColumn id="311" xr3:uid="{62B8C2D3-27E4-48B0-B062-465498DDABAD}" name="TTE Adjuvant Tx3 End Date" dataDxfId="87"/>
    <tableColumn id="312" xr3:uid="{8940F82B-A4BB-4B4F-BC62-F9DEF5B16A9C}" name="TTE Adjuvant Tx4 Start Date" dataDxfId="86"/>
    <tableColumn id="313" xr3:uid="{085373F7-35CC-489B-94C6-FAED52734D15}" name="TTE Adjuvant Tx4 End Date" dataDxfId="85"/>
    <tableColumn id="314" xr3:uid="{D245CA81-71FB-4A78-8DE9-8D385B0453A5}" name="TTE Adjuvant Tx5 Start Date" dataDxfId="84"/>
    <tableColumn id="315" xr3:uid="{ABCD54BF-58F8-45DE-A70C-86EFA8EE4D95}" name="TTE Adjuvant Tx5 End Date" dataDxfId="83"/>
    <tableColumn id="316" xr3:uid="{2BBF4293-1CD3-4389-9005-1FA97194BC56}" name="TTE Adjuvant Tx6 Start Date" dataDxfId="82"/>
    <tableColumn id="317" xr3:uid="{0900E99F-D0F3-4789-892C-2D3D408AD2BA}" name="TTE Adjuvant Tx6 End Date" dataDxfId="81"/>
    <tableColumn id="318" xr3:uid="{45B4E301-6F3C-4F76-A2FF-4A38DE53D633}" name="TTE Adjuvant Tx7 Start Date" dataDxfId="80"/>
    <tableColumn id="319" xr3:uid="{D3C0E69B-807C-4656-85D3-A3DF392C12F7}" name="TTE Adjuvant Tx7 End Date" dataDxfId="79"/>
    <tableColumn id="320" xr3:uid="{94FCEF3A-6040-4DE9-A8FF-62A4C2469687}" name="TTE Adjuvant Tx8 Start Date" dataDxfId="78"/>
    <tableColumn id="321" xr3:uid="{B0767107-B225-48EA-A0A7-2FF7395EA130}" name="TTE Adjuvant Tx8 End Date" dataDxfId="77"/>
    <tableColumn id="322" xr3:uid="{C5AE9934-0E4D-491D-ACEF-7238FD69FE45}" name="TTE Adjuvant Tx9 Start Date" dataDxfId="76"/>
    <tableColumn id="323" xr3:uid="{212646D9-9790-468B-9329-E007B052048E}" name="TTE Adjuvant Tx9 End Date" dataDxfId="75"/>
    <tableColumn id="324" xr3:uid="{B8657F2C-EE00-4305-8810-115E5B2F3C8E}" name="TTE Adjuvant Tx10 Start Date" dataDxfId="74"/>
    <tableColumn id="325" xr3:uid="{B8B6B337-9609-4EA5-8636-C6AD895A7BA9}" name="TTE Adjuvant Tx10 End Date" dataDxfId="73"/>
    <tableColumn id="326" xr3:uid="{C6D78DA7-4283-499A-8C0C-B2E38AC220E7}" name="TTE Adjuvant Tx11 Start Date" dataDxfId="72"/>
    <tableColumn id="327" xr3:uid="{C3BF0D8C-B153-435E-A056-2DD311A2A0E9}" name="TTE Adjuvant Tx11 End Date" dataDxfId="71"/>
    <tableColumn id="328" xr3:uid="{E2412439-E074-4684-AB6A-156E13EE3073}" name="TTE Adjuvant Tx12 Start Date" dataDxfId="70"/>
    <tableColumn id="329" xr3:uid="{FF539B14-20A8-4781-B4AD-759AD42387DC}" name="TTE Adjuvant Tx12 End Date" dataDxfId="69"/>
    <tableColumn id="330" xr3:uid="{437A33C9-FC0F-430E-9772-2C32E3B3D0B9}" name="TTE Adjuvant Tx13 Start Date" dataDxfId="68"/>
    <tableColumn id="331" xr3:uid="{968FCA96-A2B0-4501-8110-0170F1D09BE1}" name="TTE Adjuvant Tx13 End Date" dataDxfId="67"/>
    <tableColumn id="332" xr3:uid="{997F92C9-B0F3-4CEA-80CD-1D001159EEDA}" name="TTE Adjuvant Tx14 Start Date" dataDxfId="66"/>
    <tableColumn id="333" xr3:uid="{85260039-AF40-494B-8E3A-0CC27B735EC5}" name="TTE Adjuvant Tx14 End Date" dataDxfId="65"/>
    <tableColumn id="334" xr3:uid="{E8864B5F-C6F0-4C93-AAEF-470523E3A27F}" name="TTE Adjuvant Tx15 Start Date" dataDxfId="64"/>
    <tableColumn id="335" xr3:uid="{39967E81-7EAA-40E3-99C7-194A7CFB00E8}" name="TTE Adjuvant Tx15 End Date" dataDxfId="63"/>
    <tableColumn id="336" xr3:uid="{462171FB-C882-4445-9D31-A9B7D594FD89}" name="TTE Date recurrence/ progression 1" dataDxfId="62"/>
    <tableColumn id="337" xr3:uid="{FA69C599-C3B0-4C0A-9BF2-8B9A62D5A906}" name="TTE Date recurrence/ progression 2" dataDxfId="61"/>
    <tableColumn id="338" xr3:uid="{77D27C07-2309-40E4-8203-D8F83EB1FBF0}" name="TTE Date recurrence/ progression 3" dataDxfId="60"/>
    <tableColumn id="339" xr3:uid="{6F3382EF-C02A-4043-A615-0FA63625E4D9}" name="TTE Date recurrence/ progression 4" dataDxfId="59"/>
    <tableColumn id="340" xr3:uid="{5B609B96-E9CA-41B1-B5AB-18CF0F6D6039}" name="TTE Date recurrence/ progression 5" dataDxfId="58"/>
    <tableColumn id="341" xr3:uid="{7BAD69E0-DC0E-494B-AE84-97440C4FB914}" name="TTE Date recurrence/ progression 6" dataDxfId="57"/>
    <tableColumn id="342" xr3:uid="{06DF1FA6-2463-4B60-A0C4-0B6C946B403A}" name="TTE Date recurrence/ progression 7" dataDxfId="56"/>
    <tableColumn id="343" xr3:uid="{E4CF6767-6C7D-4C19-9B73-31A471ACE08C}" name="TTE Date recurrence/ progression 8" dataDxfId="55"/>
    <tableColumn id="344" xr3:uid="{65306F05-1BC4-474F-BABA-2CD213A86A54}" name="TTE Date recurrence/ progression 9" dataDxfId="54"/>
    <tableColumn id="345" xr3:uid="{E271A199-8791-436A-BB21-C49420E3DE6C}" name="TTE Date recurrence/ progression 10" dataDxfId="53"/>
    <tableColumn id="346" xr3:uid="{1CBF03FF-27E1-4F08-9F38-C525DDAFAFD3}" name="TTE Date recurrence/ progression 11" dataDxfId="52"/>
    <tableColumn id="347" xr3:uid="{267CB2DA-443B-437C-A2EA-6AC9DF7FAA3A}" name="TTE Date recurrence/ progression 12" dataDxfId="51"/>
    <tableColumn id="348" xr3:uid="{FFF39B56-04CC-4F71-9230-E430622E7DD2}" name="TTE Date recurrence/ progression 13" dataDxfId="50"/>
    <tableColumn id="349" xr3:uid="{F1A6F991-E657-4550-AD7D-FC3B49D2257F}" name="TTE Date recurrence/ progression 14" dataDxfId="49"/>
    <tableColumn id="350" xr3:uid="{A9F55ED9-80B2-485D-BA93-726B12DBE81A}" name="TTE Date recurrence/ progression 15" dataDxfId="48"/>
    <tableColumn id="351" xr3:uid="{E90E00E0-61F0-4E4B-BF69-3B6492FB3094}" name="TTE Subsequent Tx1 Start Date" dataDxfId="47"/>
    <tableColumn id="352" xr3:uid="{BEBDB4FD-81A5-4A95-8D70-E1A5DAE60456}" name="TTE Subsequent Tx1 Finish Date" dataDxfId="46"/>
    <tableColumn id="353" xr3:uid="{350FFFBB-402E-4F03-A940-C3BDF2845E39}" name="TTE Subsequent Tx2 Start Date" dataDxfId="45"/>
    <tableColumn id="354" xr3:uid="{2568CD2C-455F-4CF4-B225-BA32E0D160F6}" name="TTE Subsequent Tx2 Finish Date" dataDxfId="44"/>
    <tableColumn id="355" xr3:uid="{8DCB7690-4244-4EAB-B9BB-CE36219B40F7}" name="TTE Subsequent Tx3 Start Date" dataDxfId="43"/>
    <tableColumn id="356" xr3:uid="{275F2C62-FBD0-4101-8EC3-C8DFBDA4A8FF}" name="TTE Subsequent Tx3 Finish Date" dataDxfId="42"/>
    <tableColumn id="357" xr3:uid="{B34FB3E4-932F-4F22-8919-427568138F28}" name="TTE Subsequent Tx4 Start Date" dataDxfId="41"/>
    <tableColumn id="358" xr3:uid="{9591A2A1-0C69-4516-B3DD-DA40D9C88B38}" name="TTE Subsequent Tx4 Finish Date" dataDxfId="40"/>
    <tableColumn id="359" xr3:uid="{354FA399-ABD1-4B4B-BE5D-D8AEBC063DF3}" name="TTE Subsequent Tx5 Start Date" dataDxfId="39"/>
    <tableColumn id="360" xr3:uid="{64CBAE23-5BE2-4DC6-8BAD-3D22129BECAE}" name="TTE Subsequent Tx5 Finish Date" dataDxfId="38"/>
    <tableColumn id="361" xr3:uid="{06D0C2D4-3474-4A46-8831-C537A2501E86}" name="TTE Subsequent Tx6 Start Date" dataDxfId="37"/>
    <tableColumn id="362" xr3:uid="{1D26DFA0-7567-4130-A36F-57B18E926497}" name="TTE Subsequent Tx6 Finish Date" dataDxfId="36"/>
    <tableColumn id="363" xr3:uid="{55FFC37E-41E1-4099-AD5E-A5F2808E34BE}" name="TTE Subsequent Tx7 Start Date" dataDxfId="35"/>
    <tableColumn id="364" xr3:uid="{03CE7234-85AE-4A21-9C5C-5EC66A677693}" name="TTE Subsequent Tx7 Finish Date" dataDxfId="34"/>
    <tableColumn id="365" xr3:uid="{2D2FEB18-62BE-48D6-8584-D5935F377DD5}" name="TTE Subsequent Tx8 Start Date" dataDxfId="33"/>
    <tableColumn id="366" xr3:uid="{5CD4E4D9-6C01-480D-9E82-AE0F74181B61}" name="TTE Subsequent Tx8 Finish Date" dataDxfId="32"/>
    <tableColumn id="367" xr3:uid="{3DC2BD8B-989E-4CA1-B028-4A04379B6661}" name="TTE Subsequent Tx9 Start Date" dataDxfId="31"/>
    <tableColumn id="368" xr3:uid="{AFB1A249-F228-4642-83E0-B291680C87C5}" name="TTE Subsequent Tx9 Finish Date" dataDxfId="30"/>
    <tableColumn id="369" xr3:uid="{455292B2-E13F-45E7-A63E-E47D29DAE48D}" name="TTE Subsequent Tx10 Start Date" dataDxfId="29"/>
    <tableColumn id="370" xr3:uid="{E8EC401D-DBCB-4D3A-A566-6752E11A79F8}" name="TTE Subsequent Tx10 Finish Date" dataDxfId="28"/>
    <tableColumn id="371" xr3:uid="{E703CCDD-CB83-4A91-A281-85B98132FBE7}" name="TTE Subsequent Tx11 Start Date" dataDxfId="27"/>
    <tableColumn id="372" xr3:uid="{0DB110B3-A9F0-47D7-9F07-05BCE4952C73}" name="TTE Subsequent Tx11 Finish Date" dataDxfId="26"/>
    <tableColumn id="373" xr3:uid="{3E23C96F-2CFE-407C-AC03-6E371907B8B5}" name="TTE Subsequent Tx12 Start Date" dataDxfId="25"/>
    <tableColumn id="374" xr3:uid="{85FD6E5F-7B1B-44DE-BF26-9BADAC761180}" name="TTE Subsequent Tx12 Finish Date" dataDxfId="24"/>
    <tableColumn id="375" xr3:uid="{8CBA9C7C-9F3C-4FD4-9F6A-0B1BBC7F491C}" name="TTE Subsequent Tx13 Start Date" dataDxfId="23"/>
    <tableColumn id="376" xr3:uid="{0E74C879-CC83-4418-BE15-8F4450F8AE09}" name="TTE Subsequent Tx13 Finish Date" dataDxfId="22"/>
    <tableColumn id="377" xr3:uid="{A266C219-D71B-4FD1-A730-2781109CAFFC}" name="TTE Subsequent Tx14 Start Date" dataDxfId="21"/>
    <tableColumn id="378" xr3:uid="{48487AF5-A0DA-48B4-B5BA-6FA245459988}" name="TTE Subsequent Tx14 Finish Date" dataDxfId="20"/>
    <tableColumn id="379" xr3:uid="{AC6682BC-904E-4F41-8194-1CE41AB683F9}" name="TTE Subsequent Tx15 Start Date" dataDxfId="19"/>
    <tableColumn id="380" xr3:uid="{8A687FCD-3B02-40B2-91D7-300C40D52FA3}" name="TTE Subsequent Tx15 Finish Date" dataDxfId="18"/>
    <tableColumn id="381" xr3:uid="{DDF9FC4C-4B17-4781-BFC5-DBF4DDF7C202}" name="TTE Recurrence (PFS)" dataDxfId="17"/>
    <tableColumn id="382" xr3:uid="{4D955D45-8C74-41CC-B021-1ED02146E8CE}" name="TTE Death (OS and PFS)" dataDxfId="16"/>
    <tableColumn id="383" xr3:uid="{1BB1DC4A-E147-436C-AFAE-F49BF2A9667B}" name="TTE Date last follow-up (PFS)" dataDxfId="15"/>
    <tableColumn id="384" xr3:uid="{3CFC9451-334A-4125-A633-39AF762611ED}" name="TTE Date last seen (OS)" dataDxfId="14"/>
    <tableColumn id="385" xr3:uid="{4D727BEB-C808-4866-9912-1805C0174327}" name="TTE Overall survival (OS) in months" dataDxfId="13"/>
    <tableColumn id="386" xr3:uid="{CCD36067-5AD5-4D48-B6B8-98B1E237A510}" name="TTE Progression free survival (PFS) in months" dataDxfId="12"/>
    <tableColumn id="387" xr3:uid="{EA67B9BB-C550-4809-AEA1-0A2D8736F85E}" name="Event (recurrence/progression)" dataDxfId="11"/>
    <tableColumn id="388" xr3:uid="{E2202B95-E241-4356-970F-B5A2ED10923A}" name="Event (cancer death)" dataDxfId="10"/>
    <tableColumn id="389" xr3:uid="{CFCD3305-10D8-4091-AE4F-E32CA4F1BC18}" name="Event (death; all causes)" dataDxfId="9"/>
    <tableColumn id="390" xr3:uid="{480B5718-3130-474F-BB44-7CBD14DF7178}" name="Event (recurrence or cancer death)" dataDxfId="8"/>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CDBB4E-916F-4E78-88AC-D8E4D2F6EEBF}" name="Supplementary_3" displayName="Supplementary_3" ref="A1:D6" totalsRowShown="0" headerRowDxfId="0" dataDxfId="1" tableBorderDxfId="6" headerRowCellStyle="Normal 2">
  <autoFilter ref="A1:D6" xr:uid="{79CDBB4E-916F-4E78-88AC-D8E4D2F6EEBF}"/>
  <tableColumns count="4">
    <tableColumn id="1" xr3:uid="{FEB66149-5354-4E03-AB96-E0BF1A999C5B}" name="NHS number" dataDxfId="5"/>
    <tableColumn id="2" xr3:uid="{4EB1520C-C028-474A-A7D3-084B2A7ED5DD}" name="Donor ID" dataDxfId="4"/>
    <tableColumn id="3" xr3:uid="{EB34ACF0-2391-43F1-AE3B-3AD1CA435A03}" name="Specimen number" dataDxfId="3"/>
    <tableColumn id="4" xr3:uid="{245EE278-846A-4131-878D-90B50BD76274}" name="FIGO Staging" dataDxfId="2"/>
  </tableColumns>
  <tableStyleInfo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CB22BC-1695-4F56-9502-53B227EFDF84}" name="Table1" displayName="Table1" ref="E1:H8" totalsRowShown="0" headerRowDxfId="1202">
  <autoFilter ref="E1:H8" xr:uid="{D6CB22BC-1695-4F56-9502-53B227EFDF84}"/>
  <tableColumns count="4">
    <tableColumn id="1" xr3:uid="{63272864-20E5-4A7C-8D58-41CB534C8CC6}" name="Therapy type"/>
    <tableColumn id="2" xr3:uid="{B73E30ED-C9DE-48F0-B683-FC8FE9EC3B63}" name="Yes/No"/>
    <tableColumn id="3" xr3:uid="{03246ABE-255C-4892-868D-F0AEF1FAC5E9}" name="Matched Normal treatment subgrouping"/>
    <tableColumn id="4" xr3:uid="{85936DCB-2C5F-44AE-84FF-5D7F3DD5CA45}" name="Staging/grading info provided for:"/>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 dT="2023-01-26T11:41:29.72" personId="{A3521B82-4AB3-41F7-9E1A-936392F99007}" id="{93DA5552-99E8-4A8A-B0EA-4307C3D928E0}">
    <text>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ext>
  </threadedComment>
  <threadedComment ref="Q3" dT="2023-01-26T11:41:29.72" personId="{A3521B82-4AB3-41F7-9E1A-936392F99007}" id="{1F0A4C0D-D2F1-45F5-A2C7-93F48AFFE38E}">
    <text>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ext>
  </threadedComment>
  <threadedComment ref="V3" dT="2023-01-26T11:41:29.72" personId="{A3521B82-4AB3-41F7-9E1A-936392F99007}" id="{7B2265CD-0C12-40BB-97B9-27A05239D2DE}">
    <text>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ext>
  </threadedComment>
  <threadedComment ref="AA3" dT="2023-01-26T11:41:29.72" personId="{A3521B82-4AB3-41F7-9E1A-936392F99007}" id="{28CEBB19-C70E-4D56-89C2-369B86EF73F5}">
    <text>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ext>
  </threadedComment>
  <threadedComment ref="AD3" dT="2023-04-24T09:27:55.04" personId="{A3521B82-4AB3-41F7-9E1A-936392F99007}" id="{D4FE840D-3E16-4D22-ACA4-43BE295A3332}">
    <text>Date of first pathological confirmation (biopsy, resection etc)</text>
  </threadedComment>
  <threadedComment ref="AG3" dT="2023-04-24T09:29:37.22" personId="{A3521B82-4AB3-41F7-9E1A-936392F99007}" id="{28DB8576-656F-4111-B3C7-09DB6D6B82A9}">
    <text>Where information has come from - this specimen or the primary tumour if a recurrence. Specimen information can also be used if no information has been provided for the primary tumour</text>
  </threadedComment>
  <threadedComment ref="AR3" dT="2023-04-26T09:53:01.26" personId="{A3521B82-4AB3-41F7-9E1A-936392F99007}" id="{99E53430-5057-47E0-9CC6-12D094526C38}">
    <text>Specify type of treatment: Radiotherapy, Chemotherapy, Immunotherapy, Other. Other encompasses treatments such as hormone therapy.</text>
  </threadedComment>
  <threadedComment ref="AS3" dT="2023-04-26T09:48:52.12" personId="{A3521B82-4AB3-41F7-9E1A-936392F99007}" id="{CE44C29A-100C-4D22-BB28-2A393812D484}">
    <text>Specify name of agent used for treatment and number of cycles (if applicable) e.g. for chemotherapy: Cisplatin (4 cycles) or 40Gy in 15# for radiotherapy</text>
  </threadedComment>
  <threadedComment ref="CP3" dT="2023-04-26T09:53:01.26" personId="{A3521B82-4AB3-41F7-9E1A-936392F99007}" id="{B09693BC-FAF7-4F44-B4ED-90D59B9DE3E1}">
    <text>Specify type of treatment: Radiotherapy, Chemotherapy, Immunotherapy, Other. Other encompasses treatments such as hormone therapy.</text>
  </threadedComment>
  <threadedComment ref="CQ3" dT="2023-04-26T09:48:52.12" personId="{A3521B82-4AB3-41F7-9E1A-936392F99007}" id="{EFDCF5C6-4838-409A-9CF4-9CC33E58E1D7}">
    <text>Specify name of agent used for treatment and number of cycles (if applicable) e.g. for chemotherapy: Cisplatin (4 cycles) or 40Gy in 15# for radiotherapy</text>
  </threadedComment>
  <threadedComment ref="GP3" dT="2023-04-26T10:19:41.00" personId="{A3521B82-4AB3-41F7-9E1A-936392F99007}" id="{65B41FBF-67E7-40B2-9A5C-56503C6A54E1}">
    <text>Specify type of treatment: Radiotherapy, Chemotherapy, Immunotherapy, Other. Other encompasses treatments such as hormone therapy.</text>
  </threadedComment>
  <threadedComment ref="GQ3" dT="2023-04-26T10:19:41.00" personId="{A3521B82-4AB3-41F7-9E1A-936392F99007}" id="{648A89C0-8F1E-48B4-B750-FBC0FE55E5F8}">
    <text>Specify name of agent used for treatment and number of cycles (if applicable) e.g. for chemotherapy: Cisplatin (4 cycles) or 40Gy in 15# for radiotherapy</text>
  </threadedComment>
</ThreadedComments>
</file>

<file path=xl/threadedComments/threadedComment2.xml><?xml version="1.0" encoding="utf-8"?>
<ThreadedComments xmlns="http://schemas.microsoft.com/office/spreadsheetml/2018/threadedcomments" xmlns:x="http://schemas.openxmlformats.org/spreadsheetml/2006/main">
  <threadedComment ref="C3" dT="2023-01-26T11:41:29.72" personId="{A3521B82-4AB3-41F7-9E1A-936392F99007}" id="{F7AE4696-0BED-4946-B50C-4792F14F93B3}">
    <text>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ext>
  </threadedComment>
  <threadedComment ref="Q3" dT="2023-01-26T11:41:29.72" personId="{A3521B82-4AB3-41F7-9E1A-936392F99007}" id="{C9E6B1B1-0410-4361-8C9A-92DDF8F976B8}">
    <text>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ext>
  </threadedComment>
  <threadedComment ref="V3" dT="2023-01-26T11:41:29.72" personId="{A3521B82-4AB3-41F7-9E1A-936392F99007}" id="{06F07C74-F19D-4EC6-9E55-53CDC741B8B6}">
    <text>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ext>
  </threadedComment>
  <threadedComment ref="AA3" dT="2023-01-26T11:41:29.72" personId="{A3521B82-4AB3-41F7-9E1A-936392F99007}" id="{B4EE9221-5376-487C-B9CA-E0D95A08A27D}">
    <text>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ext>
  </threadedComment>
  <threadedComment ref="AD3" dT="2023-04-24T09:27:55.04" personId="{A3521B82-4AB3-41F7-9E1A-936392F99007}" id="{A687F9BF-79E1-4FD2-8A7F-53BE6A530912}">
    <text>Date of first pathological confirmation (biopsy, resection etc)</text>
  </threadedComment>
  <threadedComment ref="AG3" dT="2023-04-24T09:29:37.22" personId="{A3521B82-4AB3-41F7-9E1A-936392F99007}" id="{83401841-99F6-4330-A6A5-775D0CFFF678}">
    <text>Where information has come from - this specimen or the primary tumour if a recurrence. Specimen information can also be used if no information has been provided for the primary tumour</text>
  </threadedComment>
  <threadedComment ref="AR3" dT="2023-04-26T09:53:01.26" personId="{A3521B82-4AB3-41F7-9E1A-936392F99007}" id="{3F53A0D4-1E7D-4483-B422-C5944E7ADF50}">
    <text>Specify type of treatment: Radiotherapy, Chemotherapy, Immunotherapy, Other. Other encompasses treatments such as hormone therapy.</text>
  </threadedComment>
  <threadedComment ref="AS3" dT="2023-04-26T09:48:52.12" personId="{A3521B82-4AB3-41F7-9E1A-936392F99007}" id="{F7BF58A0-9F7A-4E06-B914-3F7C032E008D}">
    <text>Specify name of agent used for treatment and number of cycles (if applicable) e.g. for chemotherapy: Cisplatin (4 cycles) or 40Gy in 15# for radiotherapy</text>
  </threadedComment>
  <threadedComment ref="CP3" dT="2023-04-26T09:53:01.26" personId="{A3521B82-4AB3-41F7-9E1A-936392F99007}" id="{584E5017-E259-4845-B94C-BE68A9E838F3}">
    <text>Specify type of treatment: Radiotherapy, Chemotherapy, Immunotherapy, Other. Other encompasses treatments such as hormone therapy.</text>
  </threadedComment>
  <threadedComment ref="CQ3" dT="2023-04-26T09:48:52.12" personId="{A3521B82-4AB3-41F7-9E1A-936392F99007}" id="{C8F6CE52-2C9D-4175-AAB0-F81851EC351E}">
    <text>Specify name of agent used for treatment and number of cycles (if applicable) e.g. for chemotherapy: Cisplatin (4 cycles) or 40Gy in 15# for radiotherapy</text>
  </threadedComment>
  <threadedComment ref="GP3" dT="2023-04-26T10:19:41.00" personId="{A3521B82-4AB3-41F7-9E1A-936392F99007}" id="{16F73E92-6A67-4788-89D5-48BEDB76846B}">
    <text>Specify type of treatment: Radiotherapy, Chemotherapy, Immunotherapy, Other. Other encompasses treatments such as hormone therapy.</text>
  </threadedComment>
  <threadedComment ref="GQ3" dT="2023-04-26T10:19:41.00" personId="{A3521B82-4AB3-41F7-9E1A-936392F99007}" id="{388C72F0-1099-46C4-9B5F-D0D9AC462D98}">
    <text>Specify name of agent used for treatment and number of cycles (if applicable) e.g. for chemotherapy: Cisplatin (4 cycles) or 40Gy in 15# for radiotherapy</text>
  </threadedComment>
</ThreadedComments>
</file>

<file path=xl/threadedComments/threadedComment3.xml><?xml version="1.0" encoding="utf-8"?>
<ThreadedComments xmlns="http://schemas.microsoft.com/office/spreadsheetml/2018/threadedcomments" xmlns:x="http://schemas.openxmlformats.org/spreadsheetml/2006/main">
  <threadedComment ref="C3" dT="2023-01-26T11:41:29.72" personId="{A3521B82-4AB3-41F7-9E1A-936392F99007}" id="{6E74EC33-B66D-40FC-8906-6DCB4D29EE0A}">
    <text>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ext>
  </threadedComment>
  <threadedComment ref="Q3" dT="2023-01-26T11:41:29.72" personId="{A3521B82-4AB3-41F7-9E1A-936392F99007}" id="{C22E9158-8656-425A-8E85-7B0B50C65D5E}">
    <text>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ext>
  </threadedComment>
  <threadedComment ref="V3" dT="2023-01-26T11:41:29.72" personId="{A3521B82-4AB3-41F7-9E1A-936392F99007}" id="{190519C0-C96D-4BD1-8560-425A2C14EBD4}">
    <text>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ext>
  </threadedComment>
  <threadedComment ref="AA3" dT="2023-01-26T11:41:29.72" personId="{A3521B82-4AB3-41F7-9E1A-936392F99007}" id="{0A9BD977-FE68-43A9-868C-D13540C9D366}">
    <text>1.Treatment naïve
Patient has not received any treatment (no chemotherapy or radiotherapy or immunotherapy) prior to this resection
2. Immunotherapy naïve
Patient has received chemotherapy and/or radiotherapy prior to this resection, but has not yet received any immunotherapy
3. Immunotherapy only
Patient has received immunotherapy prior to this resection, but has not received any other treatment (no chemotherapy or radiotherapy)
4.Mixed treatment
Patient has received chemotherapy and/or radiotherapy AND immunotherapy prior to this resection</text>
  </threadedComment>
  <threadedComment ref="AD3" dT="2023-04-24T09:27:55.04" personId="{A3521B82-4AB3-41F7-9E1A-936392F99007}" id="{0C344F13-7F4C-4C27-9E07-661631C8D5E4}">
    <text>Date of first pathological confirmation (biopsy, resection etc)</text>
  </threadedComment>
  <threadedComment ref="AG3" dT="2023-04-24T09:29:37.22" personId="{A3521B82-4AB3-41F7-9E1A-936392F99007}" id="{7487DBC9-F520-4935-947A-024E8B25F468}">
    <text>Where information has come from - this specimen or the primary tumour if a recurrence. Specimen information can also be used if no information has been provided for the primary tumour</text>
  </threadedComment>
  <threadedComment ref="AR3" dT="2023-04-26T09:53:01.26" personId="{A3521B82-4AB3-41F7-9E1A-936392F99007}" id="{BD34CA21-5DAF-4736-8E3F-33F5E2969036}">
    <text>Specify type of treatment: Radiotherapy, Chemotherapy, Immunotherapy, Other. Other encompasses treatments such as hormone therapy.</text>
  </threadedComment>
  <threadedComment ref="AS3" dT="2023-04-26T09:48:52.12" personId="{A3521B82-4AB3-41F7-9E1A-936392F99007}" id="{B0C90297-960A-4FB1-85B8-538755EC6058}">
    <text>Specify name of agent used for treatment and number of cycles (if applicable) e.g. for chemotherapy: Cisplatin (4 cycles) or 40Gy in 15# for radiotherapy</text>
  </threadedComment>
  <threadedComment ref="CP3" dT="2023-04-26T09:53:01.26" personId="{A3521B82-4AB3-41F7-9E1A-936392F99007}" id="{C69B70ED-79DE-47A4-BFA0-D713AEC9C68B}">
    <text>Specify type of treatment: Radiotherapy, Chemotherapy, Immunotherapy, Other. Other encompasses treatments such as hormone therapy.</text>
  </threadedComment>
  <threadedComment ref="CQ3" dT="2023-04-26T09:48:52.12" personId="{A3521B82-4AB3-41F7-9E1A-936392F99007}" id="{AE76F5CF-EEE4-4A7B-88E9-8FA1CB0F9346}">
    <text>Specify name of agent used for treatment and number of cycles (if applicable) e.g. for chemotherapy: Cisplatin (4 cycles) or 40Gy in 15# for radiotherapy</text>
  </threadedComment>
  <threadedComment ref="GP3" dT="2023-04-26T10:19:41.00" personId="{A3521B82-4AB3-41F7-9E1A-936392F99007}" id="{69B08A25-E611-4105-8543-C0B741E2366C}">
    <text>Specify type of treatment: Radiotherapy, Chemotherapy, Immunotherapy, Other. Other encompasses treatments such as hormone therapy.</text>
  </threadedComment>
  <threadedComment ref="GQ3" dT="2023-04-26T10:19:41.00" personId="{A3521B82-4AB3-41F7-9E1A-936392F99007}" id="{B88BF321-14FB-4856-84FB-5EA6F476595D}">
    <text>Specify name of agent used for treatment and number of cycles (if applicable) e.g. for chemotherapy: Cisplatin (4 cycles) or 40Gy in 15# for radiotherapy</text>
  </threadedComment>
  <threadedComment ref="AJ4" dT="2023-11-14T21:32:01.59" personId="{93E183F6-8E19-4A76-9C6C-604D82F879E7}" id="{2AC1276F-07FE-4094-9F93-81DB7DAF9260}">
    <text>No lymph nodes removed so pNX or NR</text>
  </threadedComment>
</ThreadedComments>
</file>

<file path=xl/threadedComments/threadedComment4.xml><?xml version="1.0" encoding="utf-8"?>
<ThreadedComments xmlns="http://schemas.microsoft.com/office/spreadsheetml/2018/threadedcomments" xmlns:x="http://schemas.openxmlformats.org/spreadsheetml/2006/main">
  <threadedComment ref="D1" dT="2023-11-14T21:54:03.26" personId="{93E183F6-8E19-4A76-9C6C-604D82F879E7}" id="{125CCEE7-B6E0-4084-82B7-0C555769BD52}">
    <text>corrected to staging (it isn't grading)</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6.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Z81"/>
  <sheetViews>
    <sheetView zoomScale="120" zoomScaleNormal="120" workbookViewId="0">
      <pane xSplit="1" ySplit="3" topLeftCell="AB4" activePane="bottomRight" state="frozen"/>
      <selection pane="topRight"/>
      <selection pane="bottomLeft"/>
      <selection pane="bottomRight" activeCell="AF4" sqref="AF4:AO81"/>
    </sheetView>
  </sheetViews>
  <sheetFormatPr defaultColWidth="9.1796875" defaultRowHeight="13" outlineLevelCol="1" x14ac:dyDescent="0.3"/>
  <cols>
    <col min="1" max="1" width="12" style="40" customWidth="1" outlineLevel="1"/>
    <col min="2" max="2" width="18.453125" style="40" customWidth="1" outlineLevel="1"/>
    <col min="3" max="3" width="27.6328125" style="40" customWidth="1" outlineLevel="1"/>
    <col min="4" max="4" width="21.6328125" style="40" customWidth="1" outlineLevel="1"/>
    <col min="5" max="5" width="28.26953125" style="40" customWidth="1" outlineLevel="1"/>
    <col min="6" max="7" width="21.90625" style="40" customWidth="1" outlineLevel="1"/>
    <col min="8" max="8" width="19.54296875" style="40" customWidth="1" outlineLevel="1"/>
    <col min="9" max="9" width="16" style="40" customWidth="1" outlineLevel="1"/>
    <col min="10" max="10" width="18.90625" style="40" customWidth="1" outlineLevel="1"/>
    <col min="11" max="11" width="18.7265625" style="40" customWidth="1" outlineLevel="1"/>
    <col min="12" max="12" width="17.6328125" style="40" customWidth="1" outlineLevel="1"/>
    <col min="13" max="13" width="25.7265625" style="40" customWidth="1" outlineLevel="1"/>
    <col min="14" max="14" width="24.90625" style="40" customWidth="1" outlineLevel="1"/>
    <col min="15" max="15" width="17" style="40" customWidth="1" outlineLevel="1"/>
    <col min="16" max="16" width="24.26953125" style="40" customWidth="1" outlineLevel="1"/>
    <col min="17" max="17" width="31.7265625" style="40" customWidth="1" outlineLevel="1"/>
    <col min="18" max="18" width="25.7265625" style="40" customWidth="1" outlineLevel="1"/>
    <col min="19" max="19" width="24.90625" style="40" customWidth="1" outlineLevel="1"/>
    <col min="20" max="20" width="17" style="40" customWidth="1" outlineLevel="1"/>
    <col min="21" max="21" width="24.26953125" style="40" customWidth="1" outlineLevel="1"/>
    <col min="22" max="22" width="31.7265625" style="40" customWidth="1" outlineLevel="1"/>
    <col min="23" max="23" width="24.81640625" style="40" customWidth="1" outlineLevel="1"/>
    <col min="24" max="24" width="31.1796875" style="40" customWidth="1" outlineLevel="1"/>
    <col min="25" max="25" width="23.26953125" style="40" customWidth="1" outlineLevel="1"/>
    <col min="26" max="26" width="30.54296875" style="40" customWidth="1" outlineLevel="1"/>
    <col min="27" max="27" width="33.1796875" style="40" customWidth="1" outlineLevel="1"/>
    <col min="28" max="29" width="16" style="40" customWidth="1" outlineLevel="1"/>
    <col min="30" max="30" width="23.453125" style="40" customWidth="1" outlineLevel="1"/>
    <col min="31" max="31" width="16" style="40" customWidth="1" outlineLevel="1"/>
    <col min="32" max="32" width="26.54296875" style="40" customWidth="1" outlineLevel="1"/>
    <col min="33" max="33" width="28" style="40" customWidth="1" outlineLevel="1"/>
    <col min="34" max="34" width="20.7265625" style="40" customWidth="1" outlineLevel="1"/>
    <col min="35" max="38" width="9.1796875" style="40" customWidth="1" outlineLevel="1"/>
    <col min="39" max="41" width="16" style="40" customWidth="1" outlineLevel="1"/>
    <col min="42" max="42" width="21.7265625" style="40" customWidth="1"/>
    <col min="43" max="43" width="36.6328125" style="40" customWidth="1"/>
    <col min="44" max="44" width="16" style="40" customWidth="1"/>
    <col min="45" max="45" width="20" style="40" customWidth="1"/>
    <col min="46" max="46" width="23.08984375" style="40" customWidth="1"/>
    <col min="47" max="47" width="22.36328125" style="40" customWidth="1"/>
    <col min="48" max="48" width="28.90625" style="40" customWidth="1" outlineLevel="1"/>
    <col min="49" max="49" width="16" style="40" customWidth="1" outlineLevel="1"/>
    <col min="50" max="50" width="20" style="40" customWidth="1" outlineLevel="1"/>
    <col min="51" max="51" width="23.08984375" style="40" customWidth="1" outlineLevel="1"/>
    <col min="52" max="52" width="22.36328125" style="40" customWidth="1" outlineLevel="1"/>
    <col min="53" max="53" width="29.36328125" style="40" customWidth="1" outlineLevel="1"/>
    <col min="54" max="54" width="16" style="40" customWidth="1" outlineLevel="1"/>
    <col min="55" max="55" width="20" style="40" customWidth="1" outlineLevel="1"/>
    <col min="56" max="56" width="23.08984375" style="40" customWidth="1" outlineLevel="1"/>
    <col min="57" max="57" width="22.36328125" style="40" customWidth="1" outlineLevel="1"/>
    <col min="58" max="58" width="29.36328125" style="40" customWidth="1" outlineLevel="1"/>
    <col min="59" max="59" width="16" style="40" customWidth="1" outlineLevel="1"/>
    <col min="60" max="60" width="20" style="40" customWidth="1" outlineLevel="1"/>
    <col min="61" max="61" width="23.08984375" style="40" customWidth="1" outlineLevel="1"/>
    <col min="62" max="62" width="22.36328125" style="40" customWidth="1" outlineLevel="1"/>
    <col min="63" max="63" width="29.36328125" style="40" customWidth="1" outlineLevel="1"/>
    <col min="64" max="64" width="16" style="40" customWidth="1" outlineLevel="1"/>
    <col min="65" max="65" width="20" style="40" customWidth="1" outlineLevel="1"/>
    <col min="66" max="66" width="23.08984375" style="40" customWidth="1" outlineLevel="1"/>
    <col min="67" max="67" width="22.36328125" style="40" customWidth="1" outlineLevel="1"/>
    <col min="68" max="68" width="29.36328125" style="40" customWidth="1" outlineLevel="1"/>
    <col min="69" max="69" width="16" style="40" customWidth="1" outlineLevel="1"/>
    <col min="70" max="70" width="20" style="40" customWidth="1" outlineLevel="1"/>
    <col min="71" max="71" width="23.08984375" style="40" customWidth="1" outlineLevel="1"/>
    <col min="72" max="72" width="22.36328125" style="40" customWidth="1" outlineLevel="1"/>
    <col min="73" max="73" width="29.36328125" style="40" customWidth="1" outlineLevel="1"/>
    <col min="74" max="74" width="16" style="40" customWidth="1" outlineLevel="1"/>
    <col min="75" max="75" width="20" style="40" customWidth="1" outlineLevel="1"/>
    <col min="76" max="76" width="23.08984375" style="40" customWidth="1" outlineLevel="1"/>
    <col min="77" max="77" width="22.36328125" style="40" customWidth="1" outlineLevel="1"/>
    <col min="78" max="78" width="29.36328125" style="40" customWidth="1" outlineLevel="1"/>
    <col min="79" max="79" width="16" style="40" customWidth="1" outlineLevel="1"/>
    <col min="80" max="80" width="20" style="40" customWidth="1" outlineLevel="1"/>
    <col min="81" max="81" width="23.08984375" style="40" customWidth="1" outlineLevel="1"/>
    <col min="82" max="82" width="22.36328125" style="40" customWidth="1" outlineLevel="1"/>
    <col min="83" max="83" width="29.36328125" style="40" customWidth="1" outlineLevel="1"/>
    <col min="84" max="84" width="16" style="40" customWidth="1" outlineLevel="1"/>
    <col min="85" max="85" width="20" style="40" customWidth="1" outlineLevel="1"/>
    <col min="86" max="86" width="23.08984375" style="40" customWidth="1" outlineLevel="1"/>
    <col min="87" max="87" width="22.36328125" style="40" customWidth="1" outlineLevel="1"/>
    <col min="88" max="88" width="29.36328125" style="40" customWidth="1" outlineLevel="1"/>
    <col min="89" max="89" width="16.08984375" style="40" customWidth="1" outlineLevel="1"/>
    <col min="90" max="90" width="20.90625" style="40" customWidth="1" outlineLevel="1"/>
    <col min="91" max="91" width="24" style="40" customWidth="1" outlineLevel="1"/>
    <col min="92" max="92" width="23.26953125" style="40" customWidth="1" outlineLevel="1"/>
    <col min="93" max="93" width="29.81640625" style="40" customWidth="1" outlineLevel="1"/>
    <col min="94" max="94" width="15.81640625" style="40" customWidth="1"/>
    <col min="95" max="95" width="17.08984375" style="40" customWidth="1"/>
    <col min="96" max="96" width="20.26953125" style="40" customWidth="1"/>
    <col min="97" max="97" width="19.453125" style="40" customWidth="1"/>
    <col min="98" max="98" width="26.08984375" style="40" customWidth="1"/>
    <col min="99" max="99" width="15.81640625" style="40" customWidth="1" outlineLevel="1"/>
    <col min="100" max="100" width="17.08984375" style="40" customWidth="1" outlineLevel="1"/>
    <col min="101" max="101" width="20.26953125" style="40" customWidth="1" outlineLevel="1"/>
    <col min="102" max="102" width="19.453125" style="40" customWidth="1" outlineLevel="1"/>
    <col min="103" max="103" width="26.453125" style="40" customWidth="1" outlineLevel="1"/>
    <col min="104" max="104" width="15.81640625" style="40" customWidth="1" outlineLevel="1"/>
    <col min="105" max="105" width="17.08984375" style="40" customWidth="1" outlineLevel="1"/>
    <col min="106" max="106" width="20.26953125" style="40" customWidth="1" outlineLevel="1"/>
    <col min="107" max="107" width="19.453125" style="40" customWidth="1" outlineLevel="1"/>
    <col min="108" max="108" width="26.453125" style="40" customWidth="1" outlineLevel="1"/>
    <col min="109" max="109" width="15.81640625" style="40" customWidth="1" outlineLevel="1"/>
    <col min="110" max="110" width="17.08984375" style="40" customWidth="1" outlineLevel="1"/>
    <col min="111" max="111" width="20.26953125" style="40" customWidth="1" outlineLevel="1"/>
    <col min="112" max="112" width="19.453125" style="40" customWidth="1" outlineLevel="1"/>
    <col min="113" max="113" width="26.453125" style="40" customWidth="1" outlineLevel="1"/>
    <col min="114" max="114" width="15.81640625" style="40" customWidth="1" outlineLevel="1"/>
    <col min="115" max="115" width="17.08984375" style="40" customWidth="1" outlineLevel="1"/>
    <col min="116" max="116" width="20.26953125" style="40" customWidth="1" outlineLevel="1"/>
    <col min="117" max="117" width="19.453125" style="40" customWidth="1" outlineLevel="1"/>
    <col min="118" max="118" width="26.453125" style="40" customWidth="1" outlineLevel="1"/>
    <col min="119" max="119" width="15.81640625" style="40" customWidth="1" outlineLevel="1"/>
    <col min="120" max="120" width="17.08984375" style="40" customWidth="1" outlineLevel="1"/>
    <col min="121" max="121" width="20.26953125" style="40" customWidth="1" outlineLevel="1"/>
    <col min="122" max="122" width="19.453125" style="40" customWidth="1" outlineLevel="1"/>
    <col min="123" max="123" width="26.453125" style="40" customWidth="1" outlineLevel="1"/>
    <col min="124" max="124" width="15.81640625" style="40" customWidth="1" outlineLevel="1"/>
    <col min="125" max="125" width="17.08984375" style="40" customWidth="1" outlineLevel="1"/>
    <col min="126" max="126" width="20.26953125" style="40" customWidth="1" outlineLevel="1"/>
    <col min="127" max="127" width="19.453125" style="40" customWidth="1" outlineLevel="1"/>
    <col min="128" max="128" width="26.453125" style="40" customWidth="1" outlineLevel="1"/>
    <col min="129" max="129" width="15.81640625" style="40" customWidth="1" outlineLevel="1"/>
    <col min="130" max="130" width="17.08984375" style="40" customWidth="1" outlineLevel="1"/>
    <col min="131" max="131" width="20.26953125" style="40" customWidth="1" outlineLevel="1"/>
    <col min="132" max="132" width="19.453125" style="40" customWidth="1" outlineLevel="1"/>
    <col min="133" max="133" width="26.453125" style="40" customWidth="1" outlineLevel="1"/>
    <col min="134" max="134" width="15.81640625" style="40" customWidth="1" outlineLevel="1"/>
    <col min="135" max="135" width="17.08984375" style="40" customWidth="1" outlineLevel="1"/>
    <col min="136" max="136" width="20.26953125" style="40" customWidth="1" outlineLevel="1"/>
    <col min="137" max="137" width="19.453125" style="40" customWidth="1" outlineLevel="1"/>
    <col min="138" max="138" width="26.453125" style="40" customWidth="1" outlineLevel="1"/>
    <col min="139" max="139" width="15.81640625" style="40" customWidth="1" outlineLevel="1"/>
    <col min="140" max="140" width="18" style="40" customWidth="1" outlineLevel="1"/>
    <col min="141" max="141" width="21.1796875" style="40" customWidth="1" outlineLevel="1"/>
    <col min="142" max="142" width="20.36328125" style="40" customWidth="1" outlineLevel="1"/>
    <col min="143" max="143" width="27" style="40" customWidth="1" outlineLevel="1"/>
    <col min="144" max="144" width="15.81640625" style="40" customWidth="1" outlineLevel="1"/>
    <col min="145" max="145" width="18" style="40" customWidth="1" outlineLevel="1"/>
    <col min="146" max="146" width="21.1796875" style="40" customWidth="1" outlineLevel="1"/>
    <col min="147" max="147" width="20.36328125" style="40" customWidth="1" outlineLevel="1"/>
    <col min="148" max="148" width="27" style="40" customWidth="1" outlineLevel="1"/>
    <col min="149" max="149" width="15.81640625" style="40" customWidth="1" outlineLevel="1"/>
    <col min="150" max="150" width="18" style="40" customWidth="1" outlineLevel="1"/>
    <col min="151" max="151" width="21.1796875" style="40" customWidth="1" outlineLevel="1"/>
    <col min="152" max="152" width="20.36328125" style="40" customWidth="1" outlineLevel="1"/>
    <col min="153" max="153" width="27" style="40" customWidth="1" outlineLevel="1"/>
    <col min="154" max="154" width="15.81640625" style="40" customWidth="1" outlineLevel="1"/>
    <col min="155" max="155" width="18" style="40" customWidth="1" outlineLevel="1"/>
    <col min="156" max="156" width="21.1796875" style="40" customWidth="1" outlineLevel="1"/>
    <col min="157" max="157" width="20.36328125" style="40" customWidth="1" outlineLevel="1"/>
    <col min="158" max="158" width="27" style="40" customWidth="1" outlineLevel="1"/>
    <col min="159" max="159" width="15.81640625" style="40" customWidth="1" outlineLevel="1"/>
    <col min="160" max="160" width="18" style="40" customWidth="1" outlineLevel="1"/>
    <col min="161" max="161" width="21.1796875" style="40" customWidth="1" outlineLevel="1"/>
    <col min="162" max="162" width="20.36328125" style="40" customWidth="1" outlineLevel="1"/>
    <col min="163" max="163" width="27" style="40" customWidth="1" outlineLevel="1"/>
    <col min="164" max="164" width="15.81640625" style="40" customWidth="1" outlineLevel="1"/>
    <col min="165" max="165" width="18" style="40" customWidth="1" outlineLevel="1"/>
    <col min="166" max="166" width="21.1796875" style="40" customWidth="1" outlineLevel="1"/>
    <col min="167" max="167" width="20.36328125" style="40" customWidth="1" outlineLevel="1"/>
    <col min="168" max="169" width="26" style="40" customWidth="1"/>
    <col min="170" max="185" width="26" style="40" customWidth="1" outlineLevel="1"/>
    <col min="186" max="197" width="26.90625" style="40" customWidth="1" outlineLevel="1"/>
    <col min="198" max="198" width="16" style="40" customWidth="1"/>
    <col min="199" max="199" width="19.1796875" style="40" customWidth="1"/>
    <col min="200" max="200" width="22.26953125" style="40" customWidth="1"/>
    <col min="201" max="201" width="23.08984375" style="40" customWidth="1"/>
    <col min="202" max="202" width="30.08984375" style="40" customWidth="1" outlineLevel="1"/>
    <col min="203" max="203" width="16" style="40" customWidth="1" outlineLevel="1"/>
    <col min="204" max="204" width="19.1796875" style="40" customWidth="1" outlineLevel="1"/>
    <col min="205" max="205" width="22.26953125" style="40" customWidth="1" outlineLevel="1"/>
    <col min="206" max="206" width="23.08984375" style="40" customWidth="1" outlineLevel="1"/>
    <col min="207" max="207" width="30.08984375" style="40" customWidth="1" outlineLevel="1"/>
    <col min="208" max="208" width="16" style="40" customWidth="1" outlineLevel="1"/>
    <col min="209" max="209" width="19.1796875" style="40" customWidth="1" outlineLevel="1"/>
    <col min="210" max="210" width="22.26953125" style="40" customWidth="1" outlineLevel="1"/>
    <col min="211" max="211" width="23.08984375" style="40" customWidth="1" outlineLevel="1"/>
    <col min="212" max="212" width="30.08984375" style="40" customWidth="1" outlineLevel="1"/>
    <col min="213" max="213" width="16" style="40" customWidth="1" outlineLevel="1"/>
    <col min="214" max="214" width="19.1796875" style="40" customWidth="1" outlineLevel="1"/>
    <col min="215" max="215" width="22.26953125" style="40" customWidth="1" outlineLevel="1"/>
    <col min="216" max="216" width="23.08984375" style="40" customWidth="1" outlineLevel="1"/>
    <col min="217" max="217" width="30.08984375" style="40" customWidth="1" outlineLevel="1"/>
    <col min="218" max="218" width="16" style="40" customWidth="1" outlineLevel="1"/>
    <col min="219" max="219" width="19.1796875" style="40" customWidth="1" outlineLevel="1"/>
    <col min="220" max="220" width="22.26953125" style="40" customWidth="1" outlineLevel="1"/>
    <col min="221" max="221" width="23.08984375" style="40" customWidth="1" outlineLevel="1"/>
    <col min="222" max="222" width="30.08984375" style="40" customWidth="1" outlineLevel="1"/>
    <col min="223" max="223" width="16" style="40" customWidth="1" outlineLevel="1"/>
    <col min="224" max="224" width="19.1796875" style="40" customWidth="1" outlineLevel="1"/>
    <col min="225" max="225" width="22.26953125" style="40" customWidth="1" outlineLevel="1"/>
    <col min="226" max="226" width="23.08984375" style="40" customWidth="1" outlineLevel="1"/>
    <col min="227" max="227" width="30.08984375" style="40" customWidth="1" outlineLevel="1"/>
    <col min="228" max="228" width="16" style="40" customWidth="1" outlineLevel="1"/>
    <col min="229" max="229" width="19.1796875" style="40" customWidth="1" outlineLevel="1"/>
    <col min="230" max="230" width="22.26953125" style="40" customWidth="1" outlineLevel="1"/>
    <col min="231" max="231" width="23.08984375" style="40" customWidth="1" outlineLevel="1"/>
    <col min="232" max="232" width="30.08984375" style="40" customWidth="1" outlineLevel="1"/>
    <col min="233" max="233" width="16" style="40" customWidth="1" outlineLevel="1"/>
    <col min="234" max="234" width="19.1796875" style="40" customWidth="1" outlineLevel="1"/>
    <col min="235" max="235" width="22.26953125" style="40" customWidth="1" outlineLevel="1"/>
    <col min="236" max="236" width="23.08984375" style="40" customWidth="1" outlineLevel="1"/>
    <col min="237" max="237" width="30.08984375" style="40" customWidth="1" outlineLevel="1"/>
    <col min="238" max="238" width="16" style="40" customWidth="1" outlineLevel="1"/>
    <col min="239" max="239" width="19.1796875" style="40" customWidth="1" outlineLevel="1"/>
    <col min="240" max="240" width="22.26953125" style="40" customWidth="1" outlineLevel="1"/>
    <col min="241" max="241" width="23.08984375" style="40" customWidth="1" outlineLevel="1"/>
    <col min="242" max="242" width="30.08984375" style="40" customWidth="1" outlineLevel="1"/>
    <col min="243" max="243" width="16" style="40" customWidth="1" outlineLevel="1"/>
    <col min="244" max="244" width="20.08984375" style="40" customWidth="1" outlineLevel="1"/>
    <col min="245" max="245" width="23.1796875" style="40" customWidth="1" outlineLevel="1"/>
    <col min="246" max="246" width="24" style="40" customWidth="1" outlineLevel="1"/>
    <col min="247" max="247" width="31" style="40" customWidth="1" outlineLevel="1"/>
    <col min="248" max="248" width="16" style="40" customWidth="1" outlineLevel="1"/>
    <col min="249" max="249" width="20.08984375" style="40" customWidth="1" outlineLevel="1"/>
    <col min="250" max="250" width="23.1796875" style="40" customWidth="1" outlineLevel="1"/>
    <col min="251" max="251" width="24" style="40" customWidth="1" outlineLevel="1"/>
    <col min="252" max="252" width="31" style="40" customWidth="1" outlineLevel="1"/>
    <col min="253" max="253" width="16" style="40" customWidth="1" outlineLevel="1"/>
    <col min="254" max="254" width="20.08984375" style="40" customWidth="1" outlineLevel="1"/>
    <col min="255" max="255" width="23.1796875" style="40" customWidth="1" outlineLevel="1"/>
    <col min="256" max="256" width="24" style="40" customWidth="1" outlineLevel="1"/>
    <col min="257" max="257" width="31" style="40" customWidth="1" outlineLevel="1"/>
    <col min="258" max="258" width="16" style="40" customWidth="1" outlineLevel="1"/>
    <col min="259" max="259" width="20.08984375" style="40" customWidth="1" outlineLevel="1"/>
    <col min="260" max="260" width="23.1796875" style="40" customWidth="1" outlineLevel="1"/>
    <col min="261" max="261" width="24" style="40" customWidth="1" outlineLevel="1"/>
    <col min="262" max="262" width="31" style="40" customWidth="1" outlineLevel="1"/>
    <col min="263" max="263" width="16" style="40" customWidth="1" outlineLevel="1"/>
    <col min="264" max="264" width="20.08984375" style="40" customWidth="1" outlineLevel="1"/>
    <col min="265" max="265" width="23.1796875" style="40" customWidth="1" outlineLevel="1"/>
    <col min="266" max="266" width="24" style="40" customWidth="1" outlineLevel="1"/>
    <col min="267" max="267" width="31" style="40" customWidth="1" outlineLevel="1"/>
    <col min="268" max="268" width="16" style="40" customWidth="1" outlineLevel="1"/>
    <col min="269" max="269" width="20.08984375" style="40" customWidth="1" outlineLevel="1"/>
    <col min="270" max="270" width="23.1796875" style="40" customWidth="1" outlineLevel="1"/>
    <col min="271" max="271" width="24" style="40" customWidth="1" outlineLevel="1"/>
    <col min="272" max="272" width="31" style="40" customWidth="1" outlineLevel="1"/>
    <col min="273" max="273" width="13.26953125" style="40" customWidth="1"/>
    <col min="274" max="274" width="10.7265625" style="40" customWidth="1"/>
    <col min="275" max="275" width="18.90625" style="40" customWidth="1"/>
    <col min="276" max="276" width="13.6328125" style="40" customWidth="1"/>
    <col min="277" max="277" width="16.7265625" style="40" customWidth="1"/>
    <col min="278" max="278" width="13.36328125" style="40" customWidth="1"/>
    <col min="279" max="279" width="25.90625" style="40" customWidth="1"/>
    <col min="280" max="280" width="24.7265625" style="40" customWidth="1"/>
    <col min="281" max="281" width="26.1796875" style="40" customWidth="1"/>
    <col min="282" max="282" width="25.453125" style="40" customWidth="1" outlineLevel="1"/>
    <col min="283" max="283" width="26.1796875" style="40" customWidth="1" outlineLevel="1"/>
    <col min="284" max="284" width="25.453125" style="40" customWidth="1" outlineLevel="1"/>
    <col min="285" max="285" width="26.1796875" style="40" customWidth="1" outlineLevel="1"/>
    <col min="286" max="286" width="25.453125" style="40" customWidth="1" outlineLevel="1"/>
    <col min="287" max="287" width="26.1796875" style="40" customWidth="1" outlineLevel="1"/>
    <col min="288" max="288" width="25.453125" style="40" customWidth="1" outlineLevel="1"/>
    <col min="289" max="289" width="26.1796875" style="40" customWidth="1" outlineLevel="1"/>
    <col min="290" max="290" width="25.453125" style="40" customWidth="1" outlineLevel="1"/>
    <col min="291" max="291" width="26.1796875" style="40" customWidth="1" outlineLevel="1"/>
    <col min="292" max="292" width="25.453125" style="40" customWidth="1" outlineLevel="1"/>
    <col min="293" max="293" width="26.1796875" style="40" customWidth="1" outlineLevel="1"/>
    <col min="294" max="294" width="25.453125" style="40" customWidth="1" outlineLevel="1"/>
    <col min="295" max="295" width="26.1796875" style="40" customWidth="1" outlineLevel="1"/>
    <col min="296" max="296" width="25.453125" style="40" customWidth="1" outlineLevel="1"/>
    <col min="297" max="297" width="26.1796875" style="40" customWidth="1" outlineLevel="1"/>
    <col min="298" max="298" width="25.453125" style="40" customWidth="1" outlineLevel="1"/>
    <col min="299" max="299" width="27.08984375" style="40" customWidth="1" outlineLevel="1"/>
    <col min="300" max="300" width="26.36328125" style="40" customWidth="1" outlineLevel="1"/>
    <col min="301" max="301" width="22.6328125" style="40" customWidth="1" outlineLevel="1"/>
    <col min="302" max="302" width="21.81640625" style="40" customWidth="1" outlineLevel="1"/>
    <col min="303" max="304" width="27.36328125" style="40" customWidth="1" outlineLevel="1"/>
    <col min="305" max="305" width="33.6328125" style="40" customWidth="1" outlineLevel="1"/>
    <col min="306" max="306" width="23.36328125" style="40" customWidth="1" outlineLevel="1"/>
    <col min="307" max="307" width="22.54296875" style="40" customWidth="1" outlineLevel="1"/>
    <col min="308" max="308" width="23.36328125" style="40" customWidth="1" outlineLevel="1"/>
    <col min="309" max="309" width="22.54296875" style="40" customWidth="1" outlineLevel="1"/>
    <col min="310" max="310" width="23.36328125" style="40" customWidth="1" outlineLevel="1"/>
    <col min="311" max="311" width="22.54296875" style="40" customWidth="1" outlineLevel="1"/>
    <col min="312" max="312" width="23.36328125" style="40" customWidth="1" outlineLevel="1"/>
    <col min="313" max="313" width="22.54296875" style="40" customWidth="1" outlineLevel="1"/>
    <col min="314" max="314" width="23.36328125" style="40" customWidth="1" outlineLevel="1"/>
    <col min="315" max="315" width="22.54296875" style="40" customWidth="1" outlineLevel="1"/>
    <col min="316" max="316" width="23.36328125" style="40" customWidth="1" outlineLevel="1"/>
    <col min="317" max="317" width="22.54296875" style="40" customWidth="1" outlineLevel="1"/>
    <col min="318" max="318" width="23.36328125" style="40" customWidth="1" outlineLevel="1"/>
    <col min="319" max="319" width="22.54296875" style="40" customWidth="1" outlineLevel="1"/>
    <col min="320" max="320" width="23.36328125" style="40" customWidth="1" outlineLevel="1"/>
    <col min="321" max="321" width="22.54296875" style="40" customWidth="1" outlineLevel="1"/>
    <col min="322" max="322" width="23.36328125" style="40" customWidth="1" outlineLevel="1"/>
    <col min="323" max="323" width="22.54296875" style="40" customWidth="1" outlineLevel="1"/>
    <col min="324" max="324" width="24.26953125" style="40" customWidth="1" outlineLevel="1"/>
    <col min="325" max="325" width="23.453125" style="40" customWidth="1" outlineLevel="1"/>
    <col min="326" max="326" width="24.26953125" style="40" customWidth="1" outlineLevel="1"/>
    <col min="327" max="327" width="23.453125" style="40" customWidth="1" outlineLevel="1"/>
    <col min="328" max="328" width="24.26953125" style="40" customWidth="1" outlineLevel="1"/>
    <col min="329" max="329" width="23.453125" style="40" customWidth="1" outlineLevel="1"/>
    <col min="330" max="330" width="24.26953125" style="40" customWidth="1" outlineLevel="1"/>
    <col min="331" max="331" width="23.453125" style="40" customWidth="1" outlineLevel="1"/>
    <col min="332" max="332" width="24.26953125" style="40" customWidth="1" outlineLevel="1"/>
    <col min="333" max="333" width="23.453125" style="40" customWidth="1" outlineLevel="1"/>
    <col min="334" max="334" width="24.26953125" style="40" customWidth="1" outlineLevel="1"/>
    <col min="335" max="335" width="23.453125" style="40" customWidth="1" outlineLevel="1"/>
    <col min="336" max="344" width="29.08984375" style="40" customWidth="1" outlineLevel="1"/>
    <col min="345" max="350" width="30" style="40" customWidth="1" outlineLevel="1"/>
    <col min="351" max="351" width="25.36328125" style="40" customWidth="1" outlineLevel="1"/>
    <col min="352" max="352" width="26.1796875" style="40" customWidth="1" outlineLevel="1"/>
    <col min="353" max="353" width="25.36328125" style="40" customWidth="1" outlineLevel="1"/>
    <col min="354" max="354" width="26.1796875" style="40" customWidth="1" outlineLevel="1"/>
    <col min="355" max="355" width="25.36328125" style="40" customWidth="1" outlineLevel="1"/>
    <col min="356" max="356" width="26.1796875" style="40" customWidth="1" outlineLevel="1"/>
    <col min="357" max="357" width="25.36328125" style="40" customWidth="1" outlineLevel="1"/>
    <col min="358" max="358" width="26.1796875" style="40" customWidth="1" outlineLevel="1"/>
    <col min="359" max="359" width="25.36328125" style="40" customWidth="1" outlineLevel="1"/>
    <col min="360" max="360" width="26.1796875" style="40" customWidth="1" outlineLevel="1"/>
    <col min="361" max="361" width="25.36328125" style="40" customWidth="1" outlineLevel="1"/>
    <col min="362" max="362" width="26.1796875" style="40" customWidth="1" outlineLevel="1"/>
    <col min="363" max="363" width="25.36328125" style="40" customWidth="1" outlineLevel="1"/>
    <col min="364" max="364" width="26.1796875" style="40" customWidth="1" outlineLevel="1"/>
    <col min="365" max="365" width="25.36328125" style="40" customWidth="1" outlineLevel="1"/>
    <col min="366" max="366" width="26.1796875" style="40" customWidth="1" outlineLevel="1"/>
    <col min="367" max="367" width="25.36328125" style="40" customWidth="1" outlineLevel="1"/>
    <col min="368" max="368" width="26.1796875" style="40" customWidth="1" outlineLevel="1"/>
    <col min="369" max="369" width="26.26953125" style="40" customWidth="1" outlineLevel="1"/>
    <col min="370" max="370" width="27.08984375" style="40" customWidth="1" outlineLevel="1"/>
    <col min="371" max="371" width="26.26953125" style="40" customWidth="1" outlineLevel="1"/>
    <col min="372" max="372" width="27.08984375" style="40" customWidth="1" outlineLevel="1"/>
    <col min="373" max="373" width="26.26953125" style="40" customWidth="1" outlineLevel="1"/>
    <col min="374" max="374" width="27.08984375" style="40" customWidth="1" outlineLevel="1"/>
    <col min="375" max="375" width="26.26953125" style="40" customWidth="1" outlineLevel="1"/>
    <col min="376" max="376" width="27.08984375" style="40" customWidth="1" outlineLevel="1"/>
    <col min="377" max="377" width="26.26953125" style="40" customWidth="1" outlineLevel="1"/>
    <col min="378" max="378" width="27.08984375" style="40" customWidth="1" outlineLevel="1"/>
    <col min="379" max="379" width="26.26953125" style="40" customWidth="1" outlineLevel="1"/>
    <col min="380" max="380" width="27.08984375" style="40" customWidth="1" outlineLevel="1"/>
    <col min="381" max="381" width="18.1796875" style="40" customWidth="1" outlineLevel="1"/>
    <col min="382" max="382" width="19.81640625" style="40" customWidth="1" outlineLevel="1"/>
    <col min="383" max="383" width="23.90625" style="40" customWidth="1" outlineLevel="1"/>
    <col min="384" max="384" width="19.54296875" style="40" customWidth="1" outlineLevel="1"/>
    <col min="385" max="385" width="28.7265625" style="40" customWidth="1" outlineLevel="1"/>
    <col min="386" max="386" width="36.36328125" style="40" customWidth="1" outlineLevel="1"/>
    <col min="387" max="387" width="26.08984375" style="40" customWidth="1" outlineLevel="1"/>
    <col min="388" max="388" width="17.81640625" style="40" customWidth="1" outlineLevel="1"/>
    <col min="389" max="389" width="20.6328125" style="40" customWidth="1" outlineLevel="1"/>
    <col min="390" max="390" width="28.453125" style="40" customWidth="1" outlineLevel="1"/>
    <col min="391" max="16384" width="9.1796875" style="40"/>
  </cols>
  <sheetData>
    <row r="1" spans="1:390" ht="18" x14ac:dyDescent="0.4">
      <c r="A1" s="24" t="s">
        <v>0</v>
      </c>
    </row>
    <row r="2" spans="1:390" ht="18.5" x14ac:dyDescent="0.45">
      <c r="A2" s="39"/>
    </row>
    <row r="3" spans="1:390" ht="58.5" customHeight="1" x14ac:dyDescent="0.3">
      <c r="A3" s="41" t="s">
        <v>1</v>
      </c>
      <c r="B3" s="41" t="s">
        <v>2</v>
      </c>
      <c r="C3" s="41" t="s">
        <v>3</v>
      </c>
      <c r="D3" s="42" t="s">
        <v>4</v>
      </c>
      <c r="E3" s="42" t="s">
        <v>5</v>
      </c>
      <c r="F3" s="42" t="s">
        <v>6</v>
      </c>
      <c r="G3" s="42" t="s">
        <v>7</v>
      </c>
      <c r="H3" s="43" t="s">
        <v>8</v>
      </c>
      <c r="I3" s="44" t="s">
        <v>9</v>
      </c>
      <c r="J3" s="44" t="s">
        <v>10</v>
      </c>
      <c r="K3" s="42" t="s">
        <v>11</v>
      </c>
      <c r="L3" s="41" t="s">
        <v>12</v>
      </c>
      <c r="M3" s="45" t="s">
        <v>13</v>
      </c>
      <c r="N3" s="45" t="s">
        <v>14</v>
      </c>
      <c r="O3" s="45" t="s">
        <v>15</v>
      </c>
      <c r="P3" s="46" t="s">
        <v>16</v>
      </c>
      <c r="Q3" s="41" t="s">
        <v>17</v>
      </c>
      <c r="R3" s="45" t="s">
        <v>18</v>
      </c>
      <c r="S3" s="45" t="s">
        <v>19</v>
      </c>
      <c r="T3" s="45" t="s">
        <v>20</v>
      </c>
      <c r="U3" s="46" t="s">
        <v>21</v>
      </c>
      <c r="V3" s="41" t="s">
        <v>22</v>
      </c>
      <c r="W3" s="45" t="s">
        <v>23</v>
      </c>
      <c r="X3" s="45" t="s">
        <v>24</v>
      </c>
      <c r="Y3" s="45" t="s">
        <v>25</v>
      </c>
      <c r="Z3" s="46" t="s">
        <v>26</v>
      </c>
      <c r="AA3" s="41" t="s">
        <v>27</v>
      </c>
      <c r="AB3" s="42" t="s">
        <v>28</v>
      </c>
      <c r="AC3" s="47" t="s">
        <v>29</v>
      </c>
      <c r="AD3" s="48" t="s">
        <v>30</v>
      </c>
      <c r="AE3" s="49" t="s">
        <v>31</v>
      </c>
      <c r="AF3" s="50" t="s">
        <v>32</v>
      </c>
      <c r="AG3" s="51" t="s">
        <v>33</v>
      </c>
      <c r="AH3" s="52" t="s">
        <v>34</v>
      </c>
      <c r="AI3" s="52" t="s">
        <v>35</v>
      </c>
      <c r="AJ3" s="52" t="s">
        <v>36</v>
      </c>
      <c r="AK3" s="52" t="s">
        <v>37</v>
      </c>
      <c r="AL3" s="52" t="s">
        <v>38</v>
      </c>
      <c r="AM3" s="122" t="s">
        <v>39</v>
      </c>
      <c r="AN3" s="50" t="s">
        <v>40</v>
      </c>
      <c r="AO3" s="53" t="s">
        <v>41</v>
      </c>
      <c r="AP3" s="54" t="s">
        <v>42</v>
      </c>
      <c r="AQ3" s="55" t="s">
        <v>43</v>
      </c>
      <c r="AR3" s="55" t="s">
        <v>44</v>
      </c>
      <c r="AS3" s="55" t="s">
        <v>45</v>
      </c>
      <c r="AT3" s="56" t="s">
        <v>46</v>
      </c>
      <c r="AU3" s="56" t="s">
        <v>47</v>
      </c>
      <c r="AV3" s="55" t="s">
        <v>48</v>
      </c>
      <c r="AW3" s="55" t="s">
        <v>49</v>
      </c>
      <c r="AX3" s="55" t="s">
        <v>50</v>
      </c>
      <c r="AY3" s="56" t="s">
        <v>51</v>
      </c>
      <c r="AZ3" s="56" t="s">
        <v>52</v>
      </c>
      <c r="BA3" s="55" t="s">
        <v>53</v>
      </c>
      <c r="BB3" s="55" t="s">
        <v>54</v>
      </c>
      <c r="BC3" s="55" t="s">
        <v>55</v>
      </c>
      <c r="BD3" s="56" t="s">
        <v>56</v>
      </c>
      <c r="BE3" s="56" t="s">
        <v>57</v>
      </c>
      <c r="BF3" s="55" t="s">
        <v>58</v>
      </c>
      <c r="BG3" s="55" t="s">
        <v>59</v>
      </c>
      <c r="BH3" s="55" t="s">
        <v>60</v>
      </c>
      <c r="BI3" s="56" t="s">
        <v>61</v>
      </c>
      <c r="BJ3" s="56" t="s">
        <v>62</v>
      </c>
      <c r="BK3" s="55" t="s">
        <v>63</v>
      </c>
      <c r="BL3" s="55" t="s">
        <v>64</v>
      </c>
      <c r="BM3" s="55" t="s">
        <v>65</v>
      </c>
      <c r="BN3" s="56" t="s">
        <v>66</v>
      </c>
      <c r="BO3" s="56" t="s">
        <v>67</v>
      </c>
      <c r="BP3" s="55" t="s">
        <v>68</v>
      </c>
      <c r="BQ3" s="55" t="s">
        <v>69</v>
      </c>
      <c r="BR3" s="55" t="s">
        <v>70</v>
      </c>
      <c r="BS3" s="56" t="s">
        <v>71</v>
      </c>
      <c r="BT3" s="56" t="s">
        <v>72</v>
      </c>
      <c r="BU3" s="55" t="s">
        <v>73</v>
      </c>
      <c r="BV3" s="55" t="s">
        <v>74</v>
      </c>
      <c r="BW3" s="55" t="s">
        <v>75</v>
      </c>
      <c r="BX3" s="56" t="s">
        <v>76</v>
      </c>
      <c r="BY3" s="56" t="s">
        <v>77</v>
      </c>
      <c r="BZ3" s="55" t="s">
        <v>78</v>
      </c>
      <c r="CA3" s="55" t="s">
        <v>79</v>
      </c>
      <c r="CB3" s="55" t="s">
        <v>80</v>
      </c>
      <c r="CC3" s="56" t="s">
        <v>81</v>
      </c>
      <c r="CD3" s="56" t="s">
        <v>82</v>
      </c>
      <c r="CE3" s="55" t="s">
        <v>83</v>
      </c>
      <c r="CF3" s="55" t="s">
        <v>84</v>
      </c>
      <c r="CG3" s="55" t="s">
        <v>85</v>
      </c>
      <c r="CH3" s="56" t="s">
        <v>86</v>
      </c>
      <c r="CI3" s="56" t="s">
        <v>87</v>
      </c>
      <c r="CJ3" s="55" t="s">
        <v>88</v>
      </c>
      <c r="CK3" s="55" t="s">
        <v>89</v>
      </c>
      <c r="CL3" s="55" t="s">
        <v>90</v>
      </c>
      <c r="CM3" s="56" t="s">
        <v>91</v>
      </c>
      <c r="CN3" s="56" t="s">
        <v>92</v>
      </c>
      <c r="CO3" s="55" t="s">
        <v>93</v>
      </c>
      <c r="CP3" s="57" t="s">
        <v>94</v>
      </c>
      <c r="CQ3" s="57" t="s">
        <v>95</v>
      </c>
      <c r="CR3" s="58" t="s">
        <v>96</v>
      </c>
      <c r="CS3" s="58" t="s">
        <v>97</v>
      </c>
      <c r="CT3" s="57" t="s">
        <v>98</v>
      </c>
      <c r="CU3" s="57" t="s">
        <v>99</v>
      </c>
      <c r="CV3" s="57" t="s">
        <v>100</v>
      </c>
      <c r="CW3" s="58" t="s">
        <v>101</v>
      </c>
      <c r="CX3" s="58" t="s">
        <v>102</v>
      </c>
      <c r="CY3" s="57" t="s">
        <v>103</v>
      </c>
      <c r="CZ3" s="57" t="s">
        <v>104</v>
      </c>
      <c r="DA3" s="57" t="s">
        <v>105</v>
      </c>
      <c r="DB3" s="58" t="s">
        <v>106</v>
      </c>
      <c r="DC3" s="58" t="s">
        <v>107</v>
      </c>
      <c r="DD3" s="57" t="s">
        <v>108</v>
      </c>
      <c r="DE3" s="57" t="s">
        <v>109</v>
      </c>
      <c r="DF3" s="57" t="s">
        <v>110</v>
      </c>
      <c r="DG3" s="58" t="s">
        <v>111</v>
      </c>
      <c r="DH3" s="58" t="s">
        <v>112</v>
      </c>
      <c r="DI3" s="57" t="s">
        <v>113</v>
      </c>
      <c r="DJ3" s="57" t="s">
        <v>114</v>
      </c>
      <c r="DK3" s="57" t="s">
        <v>115</v>
      </c>
      <c r="DL3" s="58" t="s">
        <v>116</v>
      </c>
      <c r="DM3" s="58" t="s">
        <v>117</v>
      </c>
      <c r="DN3" s="57" t="s">
        <v>118</v>
      </c>
      <c r="DO3" s="57" t="s">
        <v>119</v>
      </c>
      <c r="DP3" s="57" t="s">
        <v>120</v>
      </c>
      <c r="DQ3" s="58" t="s">
        <v>121</v>
      </c>
      <c r="DR3" s="58" t="s">
        <v>122</v>
      </c>
      <c r="DS3" s="57" t="s">
        <v>123</v>
      </c>
      <c r="DT3" s="57" t="s">
        <v>124</v>
      </c>
      <c r="DU3" s="57" t="s">
        <v>125</v>
      </c>
      <c r="DV3" s="58" t="s">
        <v>126</v>
      </c>
      <c r="DW3" s="58" t="s">
        <v>127</v>
      </c>
      <c r="DX3" s="57" t="s">
        <v>128</v>
      </c>
      <c r="DY3" s="57" t="s">
        <v>129</v>
      </c>
      <c r="DZ3" s="57" t="s">
        <v>130</v>
      </c>
      <c r="EA3" s="58" t="s">
        <v>131</v>
      </c>
      <c r="EB3" s="58" t="s">
        <v>132</v>
      </c>
      <c r="EC3" s="57" t="s">
        <v>133</v>
      </c>
      <c r="ED3" s="57" t="s">
        <v>134</v>
      </c>
      <c r="EE3" s="57" t="s">
        <v>135</v>
      </c>
      <c r="EF3" s="58" t="s">
        <v>136</v>
      </c>
      <c r="EG3" s="58" t="s">
        <v>137</v>
      </c>
      <c r="EH3" s="57" t="s">
        <v>138</v>
      </c>
      <c r="EI3" s="57" t="s">
        <v>139</v>
      </c>
      <c r="EJ3" s="57" t="s">
        <v>140</v>
      </c>
      <c r="EK3" s="58" t="s">
        <v>141</v>
      </c>
      <c r="EL3" s="58" t="s">
        <v>142</v>
      </c>
      <c r="EM3" s="57" t="s">
        <v>143</v>
      </c>
      <c r="EN3" s="57" t="s">
        <v>144</v>
      </c>
      <c r="EO3" s="57" t="s">
        <v>145</v>
      </c>
      <c r="EP3" s="58" t="s">
        <v>146</v>
      </c>
      <c r="EQ3" s="58" t="s">
        <v>147</v>
      </c>
      <c r="ER3" s="57" t="s">
        <v>148</v>
      </c>
      <c r="ES3" s="57" t="s">
        <v>149</v>
      </c>
      <c r="ET3" s="57" t="s">
        <v>150</v>
      </c>
      <c r="EU3" s="58" t="s">
        <v>151</v>
      </c>
      <c r="EV3" s="58" t="s">
        <v>152</v>
      </c>
      <c r="EW3" s="57" t="s">
        <v>153</v>
      </c>
      <c r="EX3" s="57" t="s">
        <v>154</v>
      </c>
      <c r="EY3" s="57" t="s">
        <v>155</v>
      </c>
      <c r="EZ3" s="58" t="s">
        <v>156</v>
      </c>
      <c r="FA3" s="58" t="s">
        <v>157</v>
      </c>
      <c r="FB3" s="57" t="s">
        <v>158</v>
      </c>
      <c r="FC3" s="57" t="s">
        <v>159</v>
      </c>
      <c r="FD3" s="59" t="s">
        <v>160</v>
      </c>
      <c r="FE3" s="58" t="s">
        <v>161</v>
      </c>
      <c r="FF3" s="58" t="s">
        <v>162</v>
      </c>
      <c r="FG3" s="57" t="s">
        <v>163</v>
      </c>
      <c r="FH3" s="57" t="s">
        <v>164</v>
      </c>
      <c r="FI3" s="57" t="s">
        <v>165</v>
      </c>
      <c r="FJ3" s="58" t="s">
        <v>166</v>
      </c>
      <c r="FK3" s="58" t="s">
        <v>167</v>
      </c>
      <c r="FL3" s="60" t="s">
        <v>168</v>
      </c>
      <c r="FM3" s="61" t="s">
        <v>169</v>
      </c>
      <c r="FN3" s="60" t="s">
        <v>170</v>
      </c>
      <c r="FO3" s="61" t="s">
        <v>171</v>
      </c>
      <c r="FP3" s="60" t="s">
        <v>172</v>
      </c>
      <c r="FQ3" s="61" t="s">
        <v>173</v>
      </c>
      <c r="FR3" s="60" t="s">
        <v>174</v>
      </c>
      <c r="FS3" s="61" t="s">
        <v>175</v>
      </c>
      <c r="FT3" s="60" t="s">
        <v>176</v>
      </c>
      <c r="FU3" s="61" t="s">
        <v>177</v>
      </c>
      <c r="FV3" s="60" t="s">
        <v>178</v>
      </c>
      <c r="FW3" s="61" t="s">
        <v>179</v>
      </c>
      <c r="FX3" s="60" t="s">
        <v>180</v>
      </c>
      <c r="FY3" s="61" t="s">
        <v>181</v>
      </c>
      <c r="FZ3" s="60" t="s">
        <v>182</v>
      </c>
      <c r="GA3" s="61" t="s">
        <v>183</v>
      </c>
      <c r="GB3" s="60" t="s">
        <v>184</v>
      </c>
      <c r="GC3" s="61" t="s">
        <v>185</v>
      </c>
      <c r="GD3" s="60" t="s">
        <v>186</v>
      </c>
      <c r="GE3" s="61" t="s">
        <v>187</v>
      </c>
      <c r="GF3" s="60" t="s">
        <v>188</v>
      </c>
      <c r="GG3" s="61" t="s">
        <v>189</v>
      </c>
      <c r="GH3" s="60" t="s">
        <v>190</v>
      </c>
      <c r="GI3" s="61" t="s">
        <v>191</v>
      </c>
      <c r="GJ3" s="60" t="s">
        <v>192</v>
      </c>
      <c r="GK3" s="61" t="s">
        <v>193</v>
      </c>
      <c r="GL3" s="60" t="s">
        <v>194</v>
      </c>
      <c r="GM3" s="61" t="s">
        <v>195</v>
      </c>
      <c r="GN3" s="60" t="s">
        <v>196</v>
      </c>
      <c r="GO3" s="61" t="s">
        <v>197</v>
      </c>
      <c r="GP3" s="62" t="s">
        <v>198</v>
      </c>
      <c r="GQ3" s="62" t="s">
        <v>199</v>
      </c>
      <c r="GR3" s="63" t="s">
        <v>200</v>
      </c>
      <c r="GS3" s="64" t="s">
        <v>201</v>
      </c>
      <c r="GT3" s="65" t="s">
        <v>202</v>
      </c>
      <c r="GU3" s="62" t="s">
        <v>203</v>
      </c>
      <c r="GV3" s="62" t="s">
        <v>204</v>
      </c>
      <c r="GW3" s="63" t="s">
        <v>205</v>
      </c>
      <c r="GX3" s="64" t="s">
        <v>206</v>
      </c>
      <c r="GY3" s="65" t="s">
        <v>207</v>
      </c>
      <c r="GZ3" s="62" t="s">
        <v>208</v>
      </c>
      <c r="HA3" s="62" t="s">
        <v>209</v>
      </c>
      <c r="HB3" s="63" t="s">
        <v>210</v>
      </c>
      <c r="HC3" s="64" t="s">
        <v>211</v>
      </c>
      <c r="HD3" s="65" t="s">
        <v>212</v>
      </c>
      <c r="HE3" s="62" t="s">
        <v>213</v>
      </c>
      <c r="HF3" s="62" t="s">
        <v>214</v>
      </c>
      <c r="HG3" s="63" t="s">
        <v>215</v>
      </c>
      <c r="HH3" s="64" t="s">
        <v>216</v>
      </c>
      <c r="HI3" s="65" t="s">
        <v>217</v>
      </c>
      <c r="HJ3" s="62" t="s">
        <v>218</v>
      </c>
      <c r="HK3" s="62" t="s">
        <v>219</v>
      </c>
      <c r="HL3" s="63" t="s">
        <v>220</v>
      </c>
      <c r="HM3" s="64" t="s">
        <v>221</v>
      </c>
      <c r="HN3" s="65" t="s">
        <v>222</v>
      </c>
      <c r="HO3" s="62" t="s">
        <v>223</v>
      </c>
      <c r="HP3" s="62" t="s">
        <v>224</v>
      </c>
      <c r="HQ3" s="63" t="s">
        <v>225</v>
      </c>
      <c r="HR3" s="64" t="s">
        <v>226</v>
      </c>
      <c r="HS3" s="65" t="s">
        <v>227</v>
      </c>
      <c r="HT3" s="62" t="s">
        <v>228</v>
      </c>
      <c r="HU3" s="62" t="s">
        <v>229</v>
      </c>
      <c r="HV3" s="63" t="s">
        <v>230</v>
      </c>
      <c r="HW3" s="64" t="s">
        <v>231</v>
      </c>
      <c r="HX3" s="65" t="s">
        <v>232</v>
      </c>
      <c r="HY3" s="62" t="s">
        <v>233</v>
      </c>
      <c r="HZ3" s="62" t="s">
        <v>234</v>
      </c>
      <c r="IA3" s="63" t="s">
        <v>235</v>
      </c>
      <c r="IB3" s="64" t="s">
        <v>236</v>
      </c>
      <c r="IC3" s="65" t="s">
        <v>237</v>
      </c>
      <c r="ID3" s="62" t="s">
        <v>238</v>
      </c>
      <c r="IE3" s="62" t="s">
        <v>239</v>
      </c>
      <c r="IF3" s="63" t="s">
        <v>240</v>
      </c>
      <c r="IG3" s="64" t="s">
        <v>241</v>
      </c>
      <c r="IH3" s="65" t="s">
        <v>242</v>
      </c>
      <c r="II3" s="62" t="s">
        <v>243</v>
      </c>
      <c r="IJ3" s="62" t="s">
        <v>244</v>
      </c>
      <c r="IK3" s="63" t="s">
        <v>245</v>
      </c>
      <c r="IL3" s="64" t="s">
        <v>246</v>
      </c>
      <c r="IM3" s="65" t="s">
        <v>247</v>
      </c>
      <c r="IN3" s="62" t="s">
        <v>248</v>
      </c>
      <c r="IO3" s="62" t="s">
        <v>249</v>
      </c>
      <c r="IP3" s="63" t="s">
        <v>250</v>
      </c>
      <c r="IQ3" s="64" t="s">
        <v>251</v>
      </c>
      <c r="IR3" s="65" t="s">
        <v>252</v>
      </c>
      <c r="IS3" s="62" t="s">
        <v>253</v>
      </c>
      <c r="IT3" s="62" t="s">
        <v>254</v>
      </c>
      <c r="IU3" s="63" t="s">
        <v>255</v>
      </c>
      <c r="IV3" s="64" t="s">
        <v>256</v>
      </c>
      <c r="IW3" s="65" t="s">
        <v>257</v>
      </c>
      <c r="IX3" s="62" t="s">
        <v>258</v>
      </c>
      <c r="IY3" s="62" t="s">
        <v>259</v>
      </c>
      <c r="IZ3" s="63" t="s">
        <v>260</v>
      </c>
      <c r="JA3" s="64" t="s">
        <v>261</v>
      </c>
      <c r="JB3" s="65" t="s">
        <v>262</v>
      </c>
      <c r="JC3" s="62" t="s">
        <v>263</v>
      </c>
      <c r="JD3" s="62" t="s">
        <v>264</v>
      </c>
      <c r="JE3" s="63" t="s">
        <v>265</v>
      </c>
      <c r="JF3" s="64" t="s">
        <v>266</v>
      </c>
      <c r="JG3" s="65" t="s">
        <v>267</v>
      </c>
      <c r="JH3" s="66" t="s">
        <v>268</v>
      </c>
      <c r="JI3" s="62" t="s">
        <v>269</v>
      </c>
      <c r="JJ3" s="63" t="s">
        <v>270</v>
      </c>
      <c r="JK3" s="64" t="s">
        <v>271</v>
      </c>
      <c r="JL3" s="65" t="s">
        <v>272</v>
      </c>
      <c r="JM3" s="67" t="s">
        <v>273</v>
      </c>
      <c r="JN3" s="68" t="s">
        <v>274</v>
      </c>
      <c r="JO3" s="69" t="s">
        <v>275</v>
      </c>
      <c r="JP3" s="70" t="s">
        <v>276</v>
      </c>
      <c r="JQ3" s="68" t="s">
        <v>277</v>
      </c>
      <c r="JR3" s="68" t="s">
        <v>278</v>
      </c>
      <c r="JS3" s="71" t="s">
        <v>279</v>
      </c>
      <c r="JT3" s="72" t="s">
        <v>280</v>
      </c>
      <c r="JU3" s="73" t="s">
        <v>281</v>
      </c>
      <c r="JV3" s="74" t="s">
        <v>282</v>
      </c>
      <c r="JW3" s="74" t="s">
        <v>283</v>
      </c>
      <c r="JX3" s="74" t="s">
        <v>284</v>
      </c>
      <c r="JY3" s="74" t="s">
        <v>285</v>
      </c>
      <c r="JZ3" s="74" t="s">
        <v>286</v>
      </c>
      <c r="KA3" s="74" t="s">
        <v>287</v>
      </c>
      <c r="KB3" s="74" t="s">
        <v>288</v>
      </c>
      <c r="KC3" s="74" t="s">
        <v>289</v>
      </c>
      <c r="KD3" s="74" t="s">
        <v>290</v>
      </c>
      <c r="KE3" s="74" t="s">
        <v>291</v>
      </c>
      <c r="KF3" s="74" t="s">
        <v>292</v>
      </c>
      <c r="KG3" s="74" t="s">
        <v>293</v>
      </c>
      <c r="KH3" s="74" t="s">
        <v>294</v>
      </c>
      <c r="KI3" s="74" t="s">
        <v>295</v>
      </c>
      <c r="KJ3" s="74" t="s">
        <v>296</v>
      </c>
      <c r="KK3" s="74" t="s">
        <v>297</v>
      </c>
      <c r="KL3" s="74" t="s">
        <v>298</v>
      </c>
      <c r="KM3" s="74" t="s">
        <v>299</v>
      </c>
      <c r="KN3" s="74" t="s">
        <v>300</v>
      </c>
      <c r="KO3" s="74" t="s">
        <v>301</v>
      </c>
      <c r="KP3" s="74" t="s">
        <v>302</v>
      </c>
      <c r="KQ3" s="74" t="s">
        <v>303</v>
      </c>
      <c r="KR3" s="74" t="s">
        <v>304</v>
      </c>
      <c r="KS3" s="74" t="s">
        <v>305</v>
      </c>
      <c r="KT3" s="74" t="s">
        <v>306</v>
      </c>
      <c r="KU3" s="74" t="s">
        <v>307</v>
      </c>
      <c r="KV3" s="74" t="s">
        <v>308</v>
      </c>
      <c r="KW3" s="74" t="s">
        <v>309</v>
      </c>
      <c r="KX3" s="74" t="s">
        <v>310</v>
      </c>
      <c r="KY3" s="74" t="s">
        <v>311</v>
      </c>
      <c r="KZ3" s="74" t="s">
        <v>312</v>
      </c>
      <c r="LA3" s="74" t="s">
        <v>313</v>
      </c>
      <c r="LB3" s="74" t="s">
        <v>314</v>
      </c>
      <c r="LC3" s="74" t="s">
        <v>315</v>
      </c>
      <c r="LD3" s="74" t="s">
        <v>316</v>
      </c>
      <c r="LE3" s="74" t="s">
        <v>317</v>
      </c>
      <c r="LF3" s="74" t="s">
        <v>318</v>
      </c>
      <c r="LG3" s="74" t="s">
        <v>319</v>
      </c>
      <c r="LH3" s="74" t="s">
        <v>320</v>
      </c>
      <c r="LI3" s="74" t="s">
        <v>321</v>
      </c>
      <c r="LJ3" s="74" t="s">
        <v>322</v>
      </c>
      <c r="LK3" s="74" t="s">
        <v>323</v>
      </c>
      <c r="LL3" s="74" t="s">
        <v>324</v>
      </c>
      <c r="LM3" s="74" t="s">
        <v>325</v>
      </c>
      <c r="LN3" s="74" t="s">
        <v>326</v>
      </c>
      <c r="LO3" s="74" t="s">
        <v>327</v>
      </c>
      <c r="LP3" s="74" t="s">
        <v>328</v>
      </c>
      <c r="LQ3" s="74" t="s">
        <v>329</v>
      </c>
      <c r="LR3" s="74" t="s">
        <v>330</v>
      </c>
      <c r="LS3" s="74" t="s">
        <v>331</v>
      </c>
      <c r="LT3" s="74" t="s">
        <v>332</v>
      </c>
      <c r="LU3" s="74" t="s">
        <v>333</v>
      </c>
      <c r="LV3" s="74" t="s">
        <v>334</v>
      </c>
      <c r="LW3" s="74" t="s">
        <v>335</v>
      </c>
      <c r="LX3" s="74" t="s">
        <v>336</v>
      </c>
      <c r="LY3" s="74" t="s">
        <v>337</v>
      </c>
      <c r="LZ3" s="74" t="s">
        <v>338</v>
      </c>
      <c r="MA3" s="74" t="s">
        <v>339</v>
      </c>
      <c r="MB3" s="74" t="s">
        <v>340</v>
      </c>
      <c r="MC3" s="74" t="s">
        <v>341</v>
      </c>
      <c r="MD3" s="74" t="s">
        <v>342</v>
      </c>
      <c r="ME3" s="74" t="s">
        <v>343</v>
      </c>
      <c r="MF3" s="74" t="s">
        <v>344</v>
      </c>
      <c r="MG3" s="74" t="s">
        <v>345</v>
      </c>
      <c r="MH3" s="74" t="s">
        <v>346</v>
      </c>
      <c r="MI3" s="74" t="s">
        <v>347</v>
      </c>
      <c r="MJ3" s="74" t="s">
        <v>348</v>
      </c>
      <c r="MK3" s="74" t="s">
        <v>349</v>
      </c>
      <c r="ML3" s="74" t="s">
        <v>350</v>
      </c>
      <c r="MM3" s="74" t="s">
        <v>351</v>
      </c>
      <c r="MN3" s="74" t="s">
        <v>352</v>
      </c>
      <c r="MO3" s="74" t="s">
        <v>353</v>
      </c>
      <c r="MP3" s="74" t="s">
        <v>354</v>
      </c>
      <c r="MQ3" s="74" t="s">
        <v>355</v>
      </c>
      <c r="MR3" s="74" t="s">
        <v>356</v>
      </c>
      <c r="MS3" s="74" t="s">
        <v>357</v>
      </c>
      <c r="MT3" s="74" t="s">
        <v>358</v>
      </c>
      <c r="MU3" s="74" t="s">
        <v>359</v>
      </c>
      <c r="MV3" s="74" t="s">
        <v>360</v>
      </c>
      <c r="MW3" s="74" t="s">
        <v>361</v>
      </c>
      <c r="MX3" s="74" t="s">
        <v>362</v>
      </c>
      <c r="MY3" s="74" t="s">
        <v>363</v>
      </c>
      <c r="MZ3" s="74" t="s">
        <v>364</v>
      </c>
      <c r="NA3" s="74" t="s">
        <v>365</v>
      </c>
      <c r="NB3" s="74" t="s">
        <v>366</v>
      </c>
      <c r="NC3" s="74" t="s">
        <v>367</v>
      </c>
      <c r="ND3" s="74" t="s">
        <v>368</v>
      </c>
      <c r="NE3" s="74" t="s">
        <v>369</v>
      </c>
      <c r="NF3" s="74" t="s">
        <v>370</v>
      </c>
      <c r="NG3" s="74" t="s">
        <v>371</v>
      </c>
      <c r="NH3" s="74" t="s">
        <v>372</v>
      </c>
      <c r="NI3" s="74" t="s">
        <v>373</v>
      </c>
      <c r="NJ3" s="74" t="s">
        <v>374</v>
      </c>
      <c r="NK3" s="74" t="s">
        <v>375</v>
      </c>
      <c r="NL3" s="74" t="s">
        <v>376</v>
      </c>
      <c r="NM3" s="74" t="s">
        <v>377</v>
      </c>
      <c r="NN3" s="74" t="s">
        <v>378</v>
      </c>
      <c r="NO3" s="74" t="s">
        <v>379</v>
      </c>
      <c r="NP3" s="74" t="s">
        <v>380</v>
      </c>
      <c r="NQ3" s="74" t="s">
        <v>381</v>
      </c>
      <c r="NR3" s="74" t="s">
        <v>382</v>
      </c>
      <c r="NS3" s="74" t="s">
        <v>383</v>
      </c>
      <c r="NT3" s="74" t="s">
        <v>384</v>
      </c>
      <c r="NU3" s="75" t="s">
        <v>385</v>
      </c>
      <c r="NV3" s="76" t="s">
        <v>386</v>
      </c>
      <c r="NW3" s="77" t="s">
        <v>387</v>
      </c>
      <c r="NX3" s="78" t="s">
        <v>388</v>
      </c>
      <c r="NY3" s="75" t="s">
        <v>389</v>
      </c>
      <c r="NZ3" s="76" t="s">
        <v>390</v>
      </c>
    </row>
    <row r="4" spans="1:390" s="86" customFormat="1" ht="15.75" customHeight="1" x14ac:dyDescent="0.3">
      <c r="A4" s="144">
        <v>4520256615</v>
      </c>
      <c r="B4" s="154" t="s">
        <v>391</v>
      </c>
      <c r="C4" s="126" t="s">
        <v>392</v>
      </c>
      <c r="D4" s="213" t="s">
        <v>391</v>
      </c>
      <c r="E4" s="155" t="s">
        <v>393</v>
      </c>
      <c r="F4" s="156" t="s">
        <v>394</v>
      </c>
      <c r="G4" s="157" t="s">
        <v>395</v>
      </c>
      <c r="H4" s="111">
        <v>42753</v>
      </c>
      <c r="I4" s="127" t="s">
        <v>396</v>
      </c>
      <c r="J4" s="128" t="s">
        <v>397</v>
      </c>
      <c r="K4" s="128" t="s">
        <v>398</v>
      </c>
      <c r="L4" s="128" t="s">
        <v>398</v>
      </c>
      <c r="M4" s="128" t="s">
        <v>398</v>
      </c>
      <c r="N4" s="128" t="s">
        <v>398</v>
      </c>
      <c r="O4" s="128" t="s">
        <v>398</v>
      </c>
      <c r="P4" s="128" t="s">
        <v>398</v>
      </c>
      <c r="Q4" s="128" t="s">
        <v>398</v>
      </c>
      <c r="R4" s="128" t="s">
        <v>398</v>
      </c>
      <c r="S4" s="128" t="s">
        <v>398</v>
      </c>
      <c r="T4" s="128" t="s">
        <v>398</v>
      </c>
      <c r="U4" s="128" t="s">
        <v>398</v>
      </c>
      <c r="V4" s="128" t="s">
        <v>398</v>
      </c>
      <c r="W4" s="158" t="s">
        <v>398</v>
      </c>
      <c r="X4" s="158" t="s">
        <v>398</v>
      </c>
      <c r="Y4" s="113" t="s">
        <v>398</v>
      </c>
      <c r="Z4" s="113" t="s">
        <v>398</v>
      </c>
      <c r="AA4" s="126" t="s">
        <v>398</v>
      </c>
      <c r="AB4" s="120" t="s">
        <v>399</v>
      </c>
      <c r="AC4" s="111">
        <v>18552</v>
      </c>
      <c r="AD4" s="129">
        <v>42746</v>
      </c>
      <c r="AE4" s="108">
        <f>DATEDIF(AC4, AD4,"Y")</f>
        <v>66</v>
      </c>
      <c r="AF4" s="130" t="s">
        <v>400</v>
      </c>
      <c r="AG4" s="126" t="s">
        <v>401</v>
      </c>
      <c r="AH4" s="131" t="s">
        <v>402</v>
      </c>
      <c r="AI4" s="132">
        <v>2</v>
      </c>
      <c r="AJ4" s="132">
        <v>1</v>
      </c>
      <c r="AK4" s="132">
        <v>0</v>
      </c>
      <c r="AL4" s="132">
        <v>0</v>
      </c>
      <c r="AM4" s="133" t="s">
        <v>403</v>
      </c>
      <c r="AN4" s="134" t="s">
        <v>404</v>
      </c>
      <c r="AO4" s="136" t="s">
        <v>398</v>
      </c>
      <c r="AP4" s="126" t="s">
        <v>391</v>
      </c>
      <c r="AQ4" s="90"/>
      <c r="AR4" s="91"/>
      <c r="AS4" s="92"/>
      <c r="AT4" s="93"/>
      <c r="AU4" s="93"/>
      <c r="AV4" s="92"/>
      <c r="AW4" s="91"/>
      <c r="AX4" s="93"/>
      <c r="AY4" s="92"/>
      <c r="AZ4" s="93"/>
      <c r="BA4" s="93"/>
      <c r="BB4" s="91"/>
      <c r="BC4" s="93"/>
      <c r="BD4" s="93"/>
      <c r="BE4" s="92"/>
      <c r="BF4" s="93"/>
      <c r="BG4" s="91"/>
      <c r="BH4" s="92"/>
      <c r="BI4" s="93"/>
      <c r="BJ4" s="93"/>
      <c r="BK4" s="92"/>
      <c r="BL4" s="91"/>
      <c r="BM4" s="93"/>
      <c r="BN4" s="93"/>
      <c r="BO4" s="92"/>
      <c r="BP4" s="92"/>
      <c r="BQ4" s="91"/>
      <c r="BR4" s="93"/>
      <c r="BS4" s="92"/>
      <c r="BT4" s="92"/>
      <c r="BU4" s="92"/>
      <c r="BV4" s="91"/>
      <c r="BW4" s="92"/>
      <c r="BX4" s="92"/>
      <c r="BY4" s="92" t="s">
        <v>405</v>
      </c>
      <c r="BZ4" s="92"/>
      <c r="CA4" s="91"/>
      <c r="CB4" s="92"/>
      <c r="CC4" s="92"/>
      <c r="CD4" s="92"/>
      <c r="CE4" s="92"/>
      <c r="CF4" s="91"/>
      <c r="CG4" s="92"/>
      <c r="CH4" s="92"/>
      <c r="CI4" s="92"/>
      <c r="CJ4" s="92"/>
      <c r="CK4" s="91"/>
      <c r="CL4" s="92"/>
      <c r="CM4" s="92"/>
      <c r="CN4" s="92"/>
      <c r="CO4" s="92"/>
      <c r="CP4" s="91"/>
      <c r="CQ4" s="92"/>
      <c r="CR4" s="93"/>
      <c r="CS4" s="93"/>
      <c r="CT4" s="92"/>
      <c r="CU4" s="91"/>
      <c r="CV4" s="93"/>
      <c r="CW4" s="92"/>
      <c r="CX4" s="93"/>
      <c r="CY4" s="93"/>
      <c r="CZ4" s="91"/>
      <c r="DA4" s="93"/>
      <c r="DB4" s="93"/>
      <c r="DC4" s="92"/>
      <c r="DD4" s="93"/>
      <c r="DE4" s="91"/>
      <c r="DF4" s="92"/>
      <c r="DG4" s="93"/>
      <c r="DH4" s="93"/>
      <c r="DI4" s="92"/>
      <c r="DJ4" s="91"/>
      <c r="DK4" s="93"/>
      <c r="DL4" s="93"/>
      <c r="DM4" s="92"/>
      <c r="DN4" s="92"/>
      <c r="DO4" s="91"/>
      <c r="DP4" s="93"/>
      <c r="DQ4" s="92"/>
      <c r="DR4" s="92"/>
      <c r="DS4" s="92"/>
      <c r="DT4" s="91"/>
      <c r="DU4" s="92"/>
      <c r="DV4" s="92"/>
      <c r="DW4" s="92"/>
      <c r="DX4" s="92"/>
      <c r="DY4" s="91"/>
      <c r="DZ4" s="92"/>
      <c r="EA4" s="92"/>
      <c r="EB4" s="92"/>
      <c r="EC4" s="92"/>
      <c r="ED4" s="91"/>
      <c r="EE4" s="92"/>
      <c r="EF4" s="92"/>
      <c r="EG4" s="92"/>
      <c r="EH4" s="92"/>
      <c r="EI4" s="91"/>
      <c r="EJ4" s="92"/>
      <c r="EK4" s="92"/>
      <c r="EL4" s="92"/>
      <c r="EM4" s="92"/>
      <c r="EN4" s="91"/>
      <c r="EO4" s="92"/>
      <c r="EP4" s="92"/>
      <c r="EQ4" s="92"/>
      <c r="ER4" s="92"/>
      <c r="ES4" s="91"/>
      <c r="ET4" s="92"/>
      <c r="EU4" s="92"/>
      <c r="EV4" s="92"/>
      <c r="EW4" s="92"/>
      <c r="EX4" s="91"/>
      <c r="EY4" s="92"/>
      <c r="EZ4" s="92"/>
      <c r="FA4" s="92"/>
      <c r="FB4" s="92"/>
      <c r="FC4" s="91"/>
      <c r="FD4" s="84"/>
      <c r="FE4" s="90"/>
      <c r="FF4" s="92"/>
      <c r="FG4" s="92"/>
      <c r="FH4" s="91"/>
      <c r="FI4" s="92"/>
      <c r="FJ4" s="92"/>
      <c r="FK4" s="92"/>
      <c r="FL4" s="93"/>
      <c r="FM4" s="89"/>
      <c r="FN4" s="89"/>
      <c r="FO4" s="89"/>
      <c r="FP4" s="89"/>
      <c r="FQ4" s="89"/>
      <c r="FR4" s="89"/>
      <c r="FS4" s="89"/>
      <c r="FT4" s="89"/>
      <c r="FU4" s="89"/>
      <c r="FV4" s="89"/>
      <c r="FW4" s="89"/>
      <c r="FX4" s="89"/>
      <c r="FY4" s="89"/>
      <c r="FZ4" s="89"/>
      <c r="GA4" s="89"/>
      <c r="GB4" s="89"/>
      <c r="GC4" s="89"/>
      <c r="GD4" s="89"/>
      <c r="GE4" s="89"/>
      <c r="GF4" s="89"/>
      <c r="GG4" s="89"/>
      <c r="GH4" s="89"/>
      <c r="GI4" s="89"/>
      <c r="GJ4" s="89"/>
      <c r="GK4" s="89"/>
      <c r="GL4" s="89"/>
      <c r="GM4" s="89"/>
      <c r="GN4" s="89"/>
      <c r="GO4" s="89"/>
      <c r="GP4" s="91"/>
      <c r="GQ4" s="92"/>
      <c r="GR4" s="93"/>
      <c r="GS4" s="93"/>
      <c r="GT4" s="92"/>
      <c r="GU4" s="91"/>
      <c r="GV4" s="92"/>
      <c r="GW4" s="93"/>
      <c r="GX4" s="92"/>
      <c r="GY4" s="92"/>
      <c r="GZ4" s="91"/>
      <c r="HA4" s="92"/>
      <c r="HB4" s="93"/>
      <c r="HC4" s="92"/>
      <c r="HD4" s="92"/>
      <c r="HE4" s="91"/>
      <c r="HF4" s="92"/>
      <c r="HG4" s="93"/>
      <c r="HH4" s="92"/>
      <c r="HI4" s="92"/>
      <c r="HJ4" s="91"/>
      <c r="HK4" s="92"/>
      <c r="HL4" s="93"/>
      <c r="HM4" s="92"/>
      <c r="HN4" s="92"/>
      <c r="HO4" s="91"/>
      <c r="HP4" s="92"/>
      <c r="HQ4" s="93"/>
      <c r="HR4" s="92"/>
      <c r="HS4" s="92"/>
      <c r="HT4" s="91"/>
      <c r="HU4" s="92"/>
      <c r="HV4" s="93"/>
      <c r="HW4" s="92"/>
      <c r="HX4" s="92"/>
      <c r="HY4" s="91"/>
      <c r="HZ4" s="92"/>
      <c r="IA4" s="93"/>
      <c r="IB4" s="92"/>
      <c r="IC4" s="92"/>
      <c r="ID4" s="91"/>
      <c r="IE4" s="92"/>
      <c r="IF4" s="93"/>
      <c r="IG4" s="92"/>
      <c r="IH4" s="92"/>
      <c r="II4" s="91"/>
      <c r="IJ4" s="92"/>
      <c r="IK4" s="93"/>
      <c r="IL4" s="92"/>
      <c r="IM4" s="92"/>
      <c r="IN4" s="91"/>
      <c r="IO4" s="92"/>
      <c r="IP4" s="92"/>
      <c r="IQ4" s="92"/>
      <c r="IR4" s="92"/>
      <c r="IS4" s="91"/>
      <c r="IT4" s="92"/>
      <c r="IU4" s="92"/>
      <c r="IV4" s="92"/>
      <c r="IW4" s="92"/>
      <c r="IX4" s="91"/>
      <c r="IY4" s="92"/>
      <c r="IZ4" s="92"/>
      <c r="JA4" s="92"/>
      <c r="JB4" s="92"/>
      <c r="JC4" s="91"/>
      <c r="JD4" s="92"/>
      <c r="JE4" s="92"/>
      <c r="JF4" s="92"/>
      <c r="JG4" s="94"/>
      <c r="JH4" s="91"/>
      <c r="JI4" s="90"/>
      <c r="JJ4" s="92"/>
      <c r="JK4" s="92"/>
      <c r="JL4" s="94"/>
      <c r="JM4" s="95"/>
      <c r="JN4" s="85"/>
      <c r="JO4" s="79"/>
      <c r="JP4" s="96"/>
      <c r="JQ4" s="82"/>
      <c r="JR4" s="82"/>
      <c r="JS4" s="81" t="s">
        <v>406</v>
      </c>
      <c r="JT4" s="97"/>
      <c r="JU4" s="98">
        <f>IFERROR((YEARFRAC($AD4,$AT4)*12),"N/A")</f>
        <v>1404.3666666666666</v>
      </c>
      <c r="JV4" s="98">
        <f>IFERROR((YEARFRAC($AD4,$AU4)*12),"N/A")</f>
        <v>1404.3666666666666</v>
      </c>
      <c r="JW4" s="98">
        <f>IFERROR((YEARFRAC($AD4,$AY4)*12),"N/A")</f>
        <v>1404.3666666666666</v>
      </c>
      <c r="JX4" s="98">
        <f>IFERROR((YEARFRAC($AD4,$AZ4)*12),"N/A")</f>
        <v>1404.3666666666666</v>
      </c>
      <c r="JY4" s="98">
        <f>IFERROR((YEARFRAC($AD4,$BD4)*12),"N/A")</f>
        <v>1404.3666666666666</v>
      </c>
      <c r="JZ4" s="98">
        <f>IFERROR((YEARFRAC($AD4,$BE4)*12),"N/A")</f>
        <v>1404.3666666666666</v>
      </c>
      <c r="KA4" s="98">
        <f>IFERROR((YEARFRAC($AD4,$BI4)*12),"N/A")</f>
        <v>1404.3666666666666</v>
      </c>
      <c r="KB4" s="98">
        <f>IFERROR((YEARFRAC($AD4,$BJ4)*12),"N/A")</f>
        <v>1404.3666666666666</v>
      </c>
      <c r="KC4" s="98">
        <f>IFERROR((YEARFRAC($AD4,$BN4)*12),"N/A")</f>
        <v>1404.3666666666666</v>
      </c>
      <c r="KD4" s="98">
        <f>IFERROR((YEARFRAC($AD4,$BO4)*12),"N/A")</f>
        <v>1404.3666666666666</v>
      </c>
      <c r="KE4" s="98">
        <f>IFERROR((YEARFRAC($AD4,$BS4)*12),"N/A")</f>
        <v>1404.3666666666666</v>
      </c>
      <c r="KF4" s="98">
        <f>IFERROR((YEARFRAC($AD4,$BT4)*12),"N/A")</f>
        <v>1404.3666666666666</v>
      </c>
      <c r="KG4" s="98">
        <f>IFERROR((YEARFRAC($AD4,$BX4)*12),"N/A")</f>
        <v>1404.3666666666666</v>
      </c>
      <c r="KH4" s="98" t="str">
        <f>IFERROR((YEARFRAC($AD4,$BY4)*12),"N/A")</f>
        <v>N/A</v>
      </c>
      <c r="KI4" s="98">
        <f>IFERROR((YEARFRAC($AD4,$CC4)*12),"N/A")</f>
        <v>1404.3666666666666</v>
      </c>
      <c r="KJ4" s="98">
        <f>IFERROR((YEARFRAC($AD4,$CD4)*12),"N/A")</f>
        <v>1404.3666666666666</v>
      </c>
      <c r="KK4" s="98">
        <f>IFERROR((YEARFRAC($AD4,$CH4)*12),"N/A")</f>
        <v>1404.3666666666666</v>
      </c>
      <c r="KL4" s="98">
        <f>IFERROR((YEARFRAC($AD4,$CI4)*12),"N/A")</f>
        <v>1404.3666666666666</v>
      </c>
      <c r="KM4" s="98">
        <f>IFERROR((YEARFRAC($AD4,$CM4)*12),"N/A")</f>
        <v>1404.3666666666666</v>
      </c>
      <c r="KN4" s="98">
        <f>IFERROR((YEARFRAC($AD4,$CN4)*12),"N/A")</f>
        <v>1404.3666666666666</v>
      </c>
      <c r="KO4" s="98">
        <f>IFERROR((YEARFRAC($AD4,$H4)*12),"N/A")</f>
        <v>0.23333333333333334</v>
      </c>
      <c r="KP4" s="98" t="str">
        <f>IFERROR((YEARFRAC($AD4,$K4)*12),"N/A")</f>
        <v>N/A</v>
      </c>
      <c r="KQ4" s="98" t="str">
        <f>IFERROR((YEARFRAC($AD4,$P4)*12),"N/A")</f>
        <v>N/A</v>
      </c>
      <c r="KR4" s="98" t="str">
        <f>IFERROR((YEARFRAC($AD4,$U4)*12),"N/A")</f>
        <v>N/A</v>
      </c>
      <c r="KS4" s="98" t="str">
        <f>IFERROR((YEARFRAC($AD4,$Z4)*12),"N/A")</f>
        <v>N/A</v>
      </c>
      <c r="KT4" s="98">
        <f>IFERROR((YEARFRAC($AD4,$CR4)*12),"N/A")</f>
        <v>1404.3666666666666</v>
      </c>
      <c r="KU4" s="98">
        <f>IFERROR((YEARFRAC($AD4,$CS4)*12),"N/A")</f>
        <v>1404.3666666666666</v>
      </c>
      <c r="KV4" s="98">
        <f>IFERROR((YEARFRAC($AD4,$CW4)*12),"N/A")</f>
        <v>1404.3666666666666</v>
      </c>
      <c r="KW4" s="98">
        <f>IFERROR((YEARFRAC($AD4,$CX4)*12),"N/A")</f>
        <v>1404.3666666666666</v>
      </c>
      <c r="KX4" s="98">
        <f>IFERROR((YEARFRAC($AD4,$DB4)*12),"N/A")</f>
        <v>1404.3666666666666</v>
      </c>
      <c r="KY4" s="98">
        <f>IFERROR((YEARFRAC($AD4,$DC4)*12),"N/A")</f>
        <v>1404.3666666666666</v>
      </c>
      <c r="KZ4" s="98">
        <f>IFERROR((YEARFRAC($AD4,$DG4)*12),"N/A")</f>
        <v>1404.3666666666666</v>
      </c>
      <c r="LA4" s="98">
        <f>IFERROR((YEARFRAC($AD4,$DH4)*12),"N/A")</f>
        <v>1404.3666666666666</v>
      </c>
      <c r="LB4" s="98">
        <f>IFERROR((YEARFRAC($AD4,$DL4)*12),"N/A")</f>
        <v>1404.3666666666666</v>
      </c>
      <c r="LC4" s="98">
        <f>IFERROR((YEARFRAC($AD4,$DM4)*12),"N/A")</f>
        <v>1404.3666666666666</v>
      </c>
      <c r="LD4" s="98">
        <f>IFERROR((YEARFRAC($AD4,$DQ4)*12),"N/A")</f>
        <v>1404.3666666666666</v>
      </c>
      <c r="LE4" s="98">
        <f>IFERROR((YEARFRAC($AD4,$DR4)*12),"N/A")</f>
        <v>1404.3666666666666</v>
      </c>
      <c r="LF4" s="98">
        <f>IFERROR((YEARFRAC($AD4,$DV4)*12),"N/A")</f>
        <v>1404.3666666666666</v>
      </c>
      <c r="LG4" s="98">
        <f>IFERROR((YEARFRAC($AD4,$DW4)*12),"N/A")</f>
        <v>1404.3666666666666</v>
      </c>
      <c r="LH4" s="98">
        <f>IFERROR((YEARFRAC($AD4,$EA4)*12),"N/A")</f>
        <v>1404.3666666666666</v>
      </c>
      <c r="LI4" s="98">
        <f>IFERROR((YEARFRAC($AD4,$EB4)*12),"N/A")</f>
        <v>1404.3666666666666</v>
      </c>
      <c r="LJ4" s="98">
        <f>IFERROR((YEARFRAC($AD4,$EF4)*12),"N/A")</f>
        <v>1404.3666666666666</v>
      </c>
      <c r="LK4" s="98">
        <f>IFERROR((YEARFRAC($AD4,$EG4)*12),"N/A")</f>
        <v>1404.3666666666666</v>
      </c>
      <c r="LL4" s="98">
        <f>IFERROR((YEARFRAC($AD4,$EK4)*12),"N/A")</f>
        <v>1404.3666666666666</v>
      </c>
      <c r="LM4" s="98">
        <f>IFERROR((YEARFRAC($AD4,$EL4)*12),"N/A")</f>
        <v>1404.3666666666666</v>
      </c>
      <c r="LN4" s="98">
        <f>IFERROR((YEARFRAC($AD4,$EP4)*12),"N/A")</f>
        <v>1404.3666666666666</v>
      </c>
      <c r="LO4" s="98">
        <f>IFERROR((YEARFRAC($AD4,$EQ4)*12),"N/A")</f>
        <v>1404.3666666666666</v>
      </c>
      <c r="LP4" s="98">
        <f>IFERROR((YEARFRAC($AD4,$EU4)*12),"N/A")</f>
        <v>1404.3666666666666</v>
      </c>
      <c r="LQ4" s="98">
        <f>IFERROR((YEARFRAC($AD4,$EV4)*12),"N/A")</f>
        <v>1404.3666666666666</v>
      </c>
      <c r="LR4" s="98">
        <f>IFERROR((YEARFRAC($AD4,$EZ4)*12),"N/A")</f>
        <v>1404.3666666666666</v>
      </c>
      <c r="LS4" s="98">
        <f>IFERROR((YEARFRAC($AD4,$FA4)*12),"N/A")</f>
        <v>1404.3666666666666</v>
      </c>
      <c r="LT4" s="98">
        <f>IFERROR((YEARFRAC($AD4,$EE4)*12),"N/A")</f>
        <v>1404.3666666666666</v>
      </c>
      <c r="LU4" s="98">
        <f>IFERROR((YEARFRAC($AD4,$EF4)*12),"N/A")</f>
        <v>1404.3666666666666</v>
      </c>
      <c r="LV4" s="98">
        <f>IFERROR((YEARFRAC($AD4,$FJ4)*12),"N/A")</f>
        <v>1404.3666666666666</v>
      </c>
      <c r="LW4" s="98">
        <f>IFERROR((YEARFRAC($AD4,$FK4)*12),"N/A")</f>
        <v>1404.3666666666666</v>
      </c>
      <c r="LX4" s="98">
        <f>IFERROR((YEARFRAC($AD4,$FL4)*12),"N/A")</f>
        <v>1404.3666666666666</v>
      </c>
      <c r="LY4" s="98">
        <f>IFERROR((YEARFRAC($AD4,$FN4)*12),"N/A")</f>
        <v>1404.3666666666666</v>
      </c>
      <c r="LZ4" s="98">
        <f>IFERROR((YEARFRAC($AD4,$FP4)*12),"N/A")</f>
        <v>1404.3666666666666</v>
      </c>
      <c r="MA4" s="98">
        <f>IFERROR((YEARFRAC($AD4,$FR4)*12),"N/A")</f>
        <v>1404.3666666666666</v>
      </c>
      <c r="MB4" s="98">
        <f>IFERROR((YEARFRAC($AD4,$FT4)*12),"N/A")</f>
        <v>1404.3666666666666</v>
      </c>
      <c r="MC4" s="98">
        <f>IFERROR((YEARFRAC($AD4,$FV4)*12),"N/A")</f>
        <v>1404.3666666666666</v>
      </c>
      <c r="MD4" s="98">
        <f>IFERROR((YEARFRAC($AD4,$FX4)*12),"N/A")</f>
        <v>1404.3666666666666</v>
      </c>
      <c r="ME4" s="98">
        <f>IFERROR((YEARFRAC($AD4,$FZ4)*12),"N/A")</f>
        <v>1404.3666666666666</v>
      </c>
      <c r="MF4" s="98">
        <f>IFERROR((YEARFRAC($AD4,$GB4)*12),"N/A")</f>
        <v>1404.3666666666666</v>
      </c>
      <c r="MG4" s="98">
        <f>IFERROR((YEARFRAC($AD4,$GD4)*12),"N/A")</f>
        <v>1404.3666666666666</v>
      </c>
      <c r="MH4" s="98">
        <f>IFERROR((YEARFRAC($AD4,$GF4)*12),"N/A")</f>
        <v>1404.3666666666666</v>
      </c>
      <c r="MI4" s="98">
        <f>IFERROR((YEARFRAC($AD4,$GH4)*12),"N/A")</f>
        <v>1404.3666666666666</v>
      </c>
      <c r="MJ4" s="98">
        <f>IFERROR((YEARFRAC($AD4,$GJ4)*12),"N/A")</f>
        <v>1404.3666666666666</v>
      </c>
      <c r="MK4" s="98">
        <f>IFERROR((YEARFRAC($AD4,$GL4)*12),"N/A")</f>
        <v>1404.3666666666666</v>
      </c>
      <c r="ML4" s="98">
        <f>IFERROR((YEARFRAC($AD4,$GN4)*12),"N/A")</f>
        <v>1404.3666666666666</v>
      </c>
      <c r="MM4" s="98">
        <f>IFERROR((YEARFRAC($AD4,$GR4)*12),"N/A")</f>
        <v>1404.3666666666666</v>
      </c>
      <c r="MN4" s="98">
        <f>IFERROR((YEARFRAC($AD4,$GS4)*12),"N/A")</f>
        <v>1404.3666666666666</v>
      </c>
      <c r="MO4" s="98">
        <f>IFERROR((YEARFRAC($AD4,$GW4)*12),"N/A")</f>
        <v>1404.3666666666666</v>
      </c>
      <c r="MP4" s="98">
        <f>IFERROR((YEARFRAC($AD4,$GX4)*12),"N/A")</f>
        <v>1404.3666666666666</v>
      </c>
      <c r="MQ4" s="98">
        <f>IFERROR((YEARFRAC($AD4,$HB4)*12),"N/A")</f>
        <v>1404.3666666666666</v>
      </c>
      <c r="MR4" s="98">
        <f>IFERROR((YEARFRAC($AD4,$HC4)*12),"N/A")</f>
        <v>1404.3666666666666</v>
      </c>
      <c r="MS4" s="98">
        <f>IFERROR((YEARFRAC($AD4,$HG4)*12),"N/A")</f>
        <v>1404.3666666666666</v>
      </c>
      <c r="MT4" s="98">
        <f>IFERROR((YEARFRAC($AD4,$HH4)*12),"N/A")</f>
        <v>1404.3666666666666</v>
      </c>
      <c r="MU4" s="98">
        <f>IFERROR((YEARFRAC($AD4,$HL4)*12),"N/A")</f>
        <v>1404.3666666666666</v>
      </c>
      <c r="MV4" s="98">
        <f>IFERROR((YEARFRAC($AD4,$HM4)*12),"N/A")</f>
        <v>1404.3666666666666</v>
      </c>
      <c r="MW4" s="98">
        <f>IFERROR((YEARFRAC($AD4,$HQ4)*12),"N/A")</f>
        <v>1404.3666666666666</v>
      </c>
      <c r="MX4" s="98">
        <f>IFERROR((YEARFRAC($AD4,$HR4)*12),"N/A")</f>
        <v>1404.3666666666666</v>
      </c>
      <c r="MY4" s="98">
        <f>IFERROR((YEARFRAC($AD4,$HV4)*12),"N/A")</f>
        <v>1404.3666666666666</v>
      </c>
      <c r="MZ4" s="98">
        <f>IFERROR((YEARFRAC($AD4,$HW4)*12),"N/A")</f>
        <v>1404.3666666666666</v>
      </c>
      <c r="NA4" s="98">
        <f>IFERROR((YEARFRAC($AD4,$IA4)*12),"N/A")</f>
        <v>1404.3666666666666</v>
      </c>
      <c r="NB4" s="98">
        <f>IFERROR((YEARFRAC($AD4,$IB4)*12),"N/A")</f>
        <v>1404.3666666666666</v>
      </c>
      <c r="NC4" s="98">
        <f>IFERROR((YEARFRAC($AD4,$IF4)*12),"N/A")</f>
        <v>1404.3666666666666</v>
      </c>
      <c r="ND4" s="98">
        <f>IFERROR((YEARFRAC($AD4,$IG4)*12),"N/A")</f>
        <v>1404.3666666666666</v>
      </c>
      <c r="NE4" s="98">
        <f>IFERROR((YEARFRAC($AD4,$IK4)*12),"N/A")</f>
        <v>1404.3666666666666</v>
      </c>
      <c r="NF4" s="98">
        <f>IFERROR((YEARFRAC($AD4,$IL4)*12),"N/A")</f>
        <v>1404.3666666666666</v>
      </c>
      <c r="NG4" s="98">
        <f>IFERROR((YEARFRAC($AD4,$IP4)*12),"N/A")</f>
        <v>1404.3666666666666</v>
      </c>
      <c r="NH4" s="98">
        <f>IFERROR((YEARFRAC($AD4,$IQ4)*12),"N/A")</f>
        <v>1404.3666666666666</v>
      </c>
      <c r="NI4" s="98">
        <f>IFERROR((YEARFRAC($AD4,$IU4)*12),"N/A")</f>
        <v>1404.3666666666666</v>
      </c>
      <c r="NJ4" s="98">
        <f>IFERROR((YEARFRAC($AD4,$IV4)*12),"N/A")</f>
        <v>1404.3666666666666</v>
      </c>
      <c r="NK4" s="98">
        <f>IFERROR((YEARFRAC($AD4,$IZ4)*12),"N/A")</f>
        <v>1404.3666666666666</v>
      </c>
      <c r="NL4" s="98">
        <f>IFERROR((YEARFRAC($AD4,$JA4)*12),"N/A")</f>
        <v>1404.3666666666666</v>
      </c>
      <c r="NM4" s="98">
        <f>IFERROR((YEARFRAC($AD4,$JE4)*12),"N/A")</f>
        <v>1404.3666666666666</v>
      </c>
      <c r="NN4" s="98">
        <f>IFERROR((YEARFRAC($AD4,$JF4)*12),"N/A")</f>
        <v>1404.3666666666666</v>
      </c>
      <c r="NO4" s="98">
        <f>IFERROR((YEARFRAC($AD4,$JJ4)*12),"N/A")</f>
        <v>1404.3666666666666</v>
      </c>
      <c r="NP4" s="98">
        <f>IFERROR((YEARFRAC($AD4,$JK4)*12),"N/A")</f>
        <v>1404.3666666666666</v>
      </c>
      <c r="NQ4" s="99">
        <f>$LX4</f>
        <v>1404.3666666666666</v>
      </c>
      <c r="NR4" s="99">
        <f>IFERROR((YEARFRAC($AD4,$JN4)*12),"N/A")</f>
        <v>1404.3666666666666</v>
      </c>
      <c r="NS4" s="99">
        <f>IFERROR((YEARFRAC($AD4,$JQ4)*12),"N/A")</f>
        <v>1404.3666666666666</v>
      </c>
      <c r="NT4" s="99">
        <f>IFERROR((YEARFRAC($AD4,$JR4)*12),"N/A")</f>
        <v>1404.3666666666666</v>
      </c>
      <c r="NU4" s="100">
        <f>SUM($NR4,$NT4)</f>
        <v>2808.7333333333331</v>
      </c>
      <c r="NV4" s="100" cm="1">
        <f t="array" ref="NV4">INDEX($NQ4:$NS4,MATCH(TRUE,INDEX(ISNUMBER($NQ4:$NS4),0),0))</f>
        <v>1404.3666666666666</v>
      </c>
      <c r="NW4" s="101">
        <f>IF($NQ4="N/A",0,1)</f>
        <v>1</v>
      </c>
      <c r="NX4" s="101">
        <f>IF($JO4="Yes",1,0)</f>
        <v>0</v>
      </c>
      <c r="NY4" s="101">
        <f>IF($NR4="N/A",0,1)</f>
        <v>1</v>
      </c>
      <c r="NZ4" s="101" t="str">
        <f>IF(OR($NW4=1,$NX4=1),"1","0")</f>
        <v>1</v>
      </c>
    </row>
    <row r="5" spans="1:390" ht="15.75" customHeight="1" x14ac:dyDescent="0.3">
      <c r="A5" s="113">
        <v>4250445798</v>
      </c>
      <c r="B5" s="159" t="s">
        <v>391</v>
      </c>
      <c r="C5" s="126" t="s">
        <v>392</v>
      </c>
      <c r="D5" s="213" t="s">
        <v>391</v>
      </c>
      <c r="E5" s="160" t="s">
        <v>407</v>
      </c>
      <c r="F5" s="113" t="s">
        <v>408</v>
      </c>
      <c r="G5" s="125" t="s">
        <v>395</v>
      </c>
      <c r="H5" s="111">
        <v>42774</v>
      </c>
      <c r="I5" s="135" t="s">
        <v>396</v>
      </c>
      <c r="J5" s="135" t="s">
        <v>397</v>
      </c>
      <c r="K5" s="128" t="s">
        <v>398</v>
      </c>
      <c r="L5" s="128" t="s">
        <v>398</v>
      </c>
      <c r="M5" s="128" t="s">
        <v>398</v>
      </c>
      <c r="N5" s="128" t="s">
        <v>398</v>
      </c>
      <c r="O5" s="128" t="s">
        <v>398</v>
      </c>
      <c r="P5" s="128" t="s">
        <v>398</v>
      </c>
      <c r="Q5" s="128" t="s">
        <v>398</v>
      </c>
      <c r="R5" s="128" t="s">
        <v>398</v>
      </c>
      <c r="S5" s="128" t="s">
        <v>398</v>
      </c>
      <c r="T5" s="128" t="s">
        <v>398</v>
      </c>
      <c r="U5" s="128" t="s">
        <v>398</v>
      </c>
      <c r="V5" s="128" t="s">
        <v>398</v>
      </c>
      <c r="W5" s="136" t="s">
        <v>407</v>
      </c>
      <c r="X5" s="135" t="s">
        <v>409</v>
      </c>
      <c r="Y5" s="113" t="s">
        <v>410</v>
      </c>
      <c r="Z5" s="111">
        <v>42774</v>
      </c>
      <c r="AA5" s="128" t="s">
        <v>398</v>
      </c>
      <c r="AB5" s="120" t="s">
        <v>399</v>
      </c>
      <c r="AC5" s="111">
        <v>16856</v>
      </c>
      <c r="AD5" s="137">
        <v>42773</v>
      </c>
      <c r="AE5" s="108">
        <f t="shared" ref="AE5:AE45" si="0">DATEDIF(AC5, AD5,"Y")</f>
        <v>70</v>
      </c>
      <c r="AF5" s="138" t="s">
        <v>411</v>
      </c>
      <c r="AG5" s="126" t="s">
        <v>401</v>
      </c>
      <c r="AH5" s="131" t="s">
        <v>402</v>
      </c>
      <c r="AI5" s="125" t="s">
        <v>412</v>
      </c>
      <c r="AJ5" s="125">
        <v>0</v>
      </c>
      <c r="AK5" s="125" t="s">
        <v>413</v>
      </c>
      <c r="AL5" s="125">
        <v>0</v>
      </c>
      <c r="AM5" s="139" t="s">
        <v>414</v>
      </c>
      <c r="AN5" s="134">
        <v>1</v>
      </c>
      <c r="AO5" s="136" t="s">
        <v>398</v>
      </c>
      <c r="AP5" s="126"/>
      <c r="AQ5" s="106"/>
      <c r="AR5" s="91"/>
      <c r="AS5" s="104"/>
      <c r="AT5" s="104"/>
      <c r="AU5" s="104"/>
      <c r="AV5" s="104"/>
      <c r="AW5" s="91"/>
      <c r="AX5" s="104"/>
      <c r="AY5" s="104"/>
      <c r="AZ5" s="104"/>
      <c r="BA5" s="104"/>
      <c r="BB5" s="91"/>
      <c r="BC5" s="104"/>
      <c r="BD5" s="104"/>
      <c r="BE5" s="104"/>
      <c r="BF5" s="104"/>
      <c r="BG5" s="91"/>
      <c r="BH5" s="104"/>
      <c r="BI5" s="104"/>
      <c r="BJ5" s="104"/>
      <c r="BK5" s="104"/>
      <c r="BL5" s="91"/>
      <c r="BM5" s="104"/>
      <c r="BN5" s="104"/>
      <c r="BO5" s="104"/>
      <c r="BP5" s="104"/>
      <c r="BQ5" s="91"/>
      <c r="BR5" s="104"/>
      <c r="BS5" s="104"/>
      <c r="BT5" s="104"/>
      <c r="BU5" s="104"/>
      <c r="BV5" s="91"/>
      <c r="BW5" s="104"/>
      <c r="BX5" s="104"/>
      <c r="BY5" s="104"/>
      <c r="BZ5" s="104"/>
      <c r="CA5" s="91"/>
      <c r="CB5" s="104"/>
      <c r="CC5" s="104"/>
      <c r="CD5" s="104"/>
      <c r="CE5" s="104"/>
      <c r="CF5" s="91"/>
      <c r="CG5" s="104"/>
      <c r="CH5" s="104"/>
      <c r="CI5" s="104"/>
      <c r="CJ5" s="104"/>
      <c r="CK5" s="91"/>
      <c r="CL5" s="104"/>
      <c r="CM5" s="104"/>
      <c r="CN5" s="104"/>
      <c r="CO5" s="104"/>
      <c r="CP5" s="91"/>
      <c r="CQ5" s="104"/>
      <c r="CR5" s="104"/>
      <c r="CS5" s="104"/>
      <c r="CT5" s="104"/>
      <c r="CU5" s="91"/>
      <c r="CV5" s="104"/>
      <c r="CW5" s="104"/>
      <c r="CX5" s="104"/>
      <c r="CY5" s="104"/>
      <c r="CZ5" s="91"/>
      <c r="DA5" s="104"/>
      <c r="DB5" s="104"/>
      <c r="DC5" s="104"/>
      <c r="DD5" s="104"/>
      <c r="DE5" s="91"/>
      <c r="DF5" s="104"/>
      <c r="DG5" s="104"/>
      <c r="DH5" s="104"/>
      <c r="DI5" s="104"/>
      <c r="DJ5" s="91"/>
      <c r="DK5" s="104"/>
      <c r="DL5" s="104"/>
      <c r="DM5" s="104"/>
      <c r="DN5" s="104"/>
      <c r="DO5" s="91"/>
      <c r="DP5" s="104"/>
      <c r="DQ5" s="104"/>
      <c r="DR5" s="104"/>
      <c r="DS5" s="104"/>
      <c r="DT5" s="91"/>
      <c r="DU5" s="104"/>
      <c r="DV5" s="104"/>
      <c r="DW5" s="104"/>
      <c r="DX5" s="104"/>
      <c r="DY5" s="91"/>
      <c r="DZ5" s="104"/>
      <c r="EA5" s="104"/>
      <c r="EB5" s="104"/>
      <c r="EC5" s="104"/>
      <c r="ED5" s="91"/>
      <c r="EE5" s="104"/>
      <c r="EF5" s="104"/>
      <c r="EG5" s="104"/>
      <c r="EH5" s="104"/>
      <c r="EI5" s="91"/>
      <c r="EJ5" s="104"/>
      <c r="EK5" s="104"/>
      <c r="EL5" s="104"/>
      <c r="EM5" s="104"/>
      <c r="EN5" s="91"/>
      <c r="EO5" s="104"/>
      <c r="EP5" s="104"/>
      <c r="EQ5" s="104"/>
      <c r="ER5" s="104"/>
      <c r="ES5" s="91"/>
      <c r="ET5" s="104"/>
      <c r="EU5" s="104"/>
      <c r="EV5" s="104"/>
      <c r="EW5" s="104"/>
      <c r="EX5" s="91"/>
      <c r="EY5" s="104"/>
      <c r="EZ5" s="104"/>
      <c r="FA5" s="104"/>
      <c r="FB5" s="104"/>
      <c r="FC5" s="91"/>
      <c r="FD5" s="104"/>
      <c r="FE5" s="104"/>
      <c r="FF5" s="104"/>
      <c r="FG5" s="104"/>
      <c r="FH5" s="91"/>
      <c r="FI5" s="104"/>
      <c r="FJ5" s="104"/>
      <c r="FK5" s="104"/>
      <c r="FL5" s="104"/>
      <c r="FM5" s="104"/>
      <c r="FN5" s="104"/>
      <c r="FO5" s="104"/>
      <c r="FP5" s="104"/>
      <c r="FQ5" s="104"/>
      <c r="FR5" s="104"/>
      <c r="FS5" s="104"/>
      <c r="FT5" s="104"/>
      <c r="FU5" s="104"/>
      <c r="FV5" s="104"/>
      <c r="FW5" s="104"/>
      <c r="FX5" s="104"/>
      <c r="FY5" s="104"/>
      <c r="FZ5" s="104"/>
      <c r="GA5" s="104"/>
      <c r="GB5" s="104"/>
      <c r="GC5" s="104"/>
      <c r="GD5" s="104"/>
      <c r="GE5" s="104"/>
      <c r="GF5" s="104"/>
      <c r="GG5" s="104"/>
      <c r="GH5" s="104"/>
      <c r="GI5" s="104"/>
      <c r="GJ5" s="104"/>
      <c r="GK5" s="104"/>
      <c r="GL5" s="104"/>
      <c r="GM5" s="104"/>
      <c r="GN5" s="104"/>
      <c r="GO5" s="104"/>
      <c r="GP5" s="91"/>
      <c r="GQ5" s="104"/>
      <c r="GR5" s="104"/>
      <c r="GS5" s="104"/>
      <c r="GT5" s="104"/>
      <c r="GU5" s="91"/>
      <c r="GV5" s="104"/>
      <c r="GW5" s="104"/>
      <c r="GX5" s="104"/>
      <c r="GY5" s="104"/>
      <c r="GZ5" s="91"/>
      <c r="HA5" s="104"/>
      <c r="HB5" s="104"/>
      <c r="HC5" s="104"/>
      <c r="HD5" s="104"/>
      <c r="HE5" s="91"/>
      <c r="HF5" s="104"/>
      <c r="HG5" s="104"/>
      <c r="HH5" s="104"/>
      <c r="HI5" s="104"/>
      <c r="HJ5" s="91"/>
      <c r="HK5" s="104"/>
      <c r="HL5" s="104"/>
      <c r="HM5" s="104"/>
      <c r="HN5" s="104"/>
      <c r="HO5" s="91"/>
      <c r="HP5" s="104"/>
      <c r="HQ5" s="104"/>
      <c r="HR5" s="104"/>
      <c r="HS5" s="104"/>
      <c r="HT5" s="91"/>
      <c r="HU5" s="104"/>
      <c r="HV5" s="104"/>
      <c r="HW5" s="104"/>
      <c r="HX5" s="104"/>
      <c r="HY5" s="91"/>
      <c r="HZ5" s="104"/>
      <c r="IA5" s="104"/>
      <c r="IB5" s="104"/>
      <c r="IC5" s="104"/>
      <c r="ID5" s="91"/>
      <c r="IE5" s="104"/>
      <c r="IF5" s="104"/>
      <c r="IG5" s="104"/>
      <c r="IH5" s="104"/>
      <c r="II5" s="91"/>
      <c r="IJ5" s="104"/>
      <c r="IK5" s="104"/>
      <c r="IL5" s="104"/>
      <c r="IM5" s="104"/>
      <c r="IN5" s="91"/>
      <c r="IO5" s="104"/>
      <c r="IP5" s="104"/>
      <c r="IQ5" s="104"/>
      <c r="IR5" s="104"/>
      <c r="IS5" s="91"/>
      <c r="IT5" s="104"/>
      <c r="IU5" s="104"/>
      <c r="IV5" s="104"/>
      <c r="IW5" s="104"/>
      <c r="IX5" s="91"/>
      <c r="IY5" s="104"/>
      <c r="IZ5" s="104"/>
      <c r="JA5" s="104"/>
      <c r="JB5" s="104"/>
      <c r="JC5" s="91"/>
      <c r="JD5" s="104"/>
      <c r="JE5" s="104"/>
      <c r="JF5" s="104"/>
      <c r="JG5" s="105"/>
      <c r="JH5" s="91"/>
      <c r="JI5" s="106"/>
      <c r="JJ5" s="104"/>
      <c r="JK5" s="104"/>
      <c r="JL5" s="105"/>
      <c r="JM5" s="95"/>
      <c r="JN5" s="107"/>
      <c r="JO5" s="79"/>
      <c r="JP5" s="106"/>
      <c r="JQ5" s="104"/>
      <c r="JR5" s="104"/>
      <c r="JS5" s="104"/>
      <c r="JT5" s="104"/>
      <c r="JU5" s="104"/>
      <c r="JV5" s="104"/>
      <c r="JW5" s="104"/>
      <c r="JX5" s="104"/>
      <c r="JY5" s="104"/>
      <c r="JZ5" s="104"/>
      <c r="KA5" s="104"/>
      <c r="KB5" s="104"/>
      <c r="KC5" s="104"/>
      <c r="KD5" s="104"/>
      <c r="KE5" s="104"/>
      <c r="KF5" s="104"/>
      <c r="KG5" s="104"/>
      <c r="KH5" s="104"/>
      <c r="KI5" s="104"/>
      <c r="KJ5" s="104"/>
      <c r="KK5" s="104"/>
      <c r="KL5" s="104"/>
      <c r="KM5" s="104"/>
      <c r="KN5" s="104"/>
      <c r="KO5" s="104"/>
      <c r="KP5" s="104"/>
      <c r="KQ5" s="104"/>
      <c r="KR5" s="104"/>
      <c r="KS5" s="104"/>
      <c r="KT5" s="104"/>
      <c r="KU5" s="104"/>
      <c r="KV5" s="104"/>
      <c r="KW5" s="104"/>
      <c r="KX5" s="104"/>
      <c r="KY5" s="104"/>
      <c r="KZ5" s="104"/>
      <c r="LA5" s="104"/>
      <c r="LB5" s="104"/>
      <c r="LC5" s="104"/>
      <c r="LD5" s="104"/>
      <c r="LE5" s="104"/>
      <c r="LF5" s="104"/>
      <c r="LG5" s="104"/>
      <c r="LH5" s="104"/>
      <c r="LI5" s="104"/>
      <c r="LJ5" s="104"/>
      <c r="LK5" s="104"/>
      <c r="LL5" s="104"/>
      <c r="LM5" s="104"/>
      <c r="LN5" s="104"/>
      <c r="LO5" s="104"/>
      <c r="LP5" s="104"/>
      <c r="LQ5" s="104"/>
      <c r="LR5" s="104"/>
      <c r="LS5" s="104"/>
      <c r="LT5" s="104"/>
      <c r="LU5" s="104"/>
      <c r="LV5" s="104"/>
      <c r="LW5" s="104"/>
      <c r="LX5" s="104"/>
      <c r="LY5" s="104"/>
      <c r="LZ5" s="104"/>
      <c r="MA5" s="104"/>
      <c r="MB5" s="104"/>
      <c r="MC5" s="104"/>
      <c r="MD5" s="103"/>
      <c r="ME5" s="103"/>
      <c r="MF5" s="103"/>
      <c r="MG5" s="103"/>
      <c r="MH5" s="103"/>
      <c r="MI5" s="103"/>
      <c r="MJ5" s="103"/>
      <c r="MK5" s="103"/>
      <c r="ML5" s="103"/>
      <c r="MM5" s="103"/>
      <c r="MN5" s="103"/>
      <c r="MO5" s="103"/>
      <c r="MP5" s="103"/>
      <c r="MQ5" s="103"/>
      <c r="MR5" s="103"/>
      <c r="MS5" s="103"/>
      <c r="MT5" s="103"/>
      <c r="MU5" s="103"/>
      <c r="MV5" s="103"/>
      <c r="MW5" s="103"/>
      <c r="MX5" s="103"/>
      <c r="MY5" s="103"/>
      <c r="MZ5" s="103"/>
      <c r="NA5" s="103"/>
      <c r="NB5" s="103"/>
      <c r="NC5" s="103"/>
      <c r="ND5" s="103"/>
      <c r="NE5" s="103"/>
      <c r="NF5" s="103"/>
      <c r="NG5" s="103"/>
      <c r="NH5" s="103"/>
      <c r="NI5" s="103"/>
      <c r="NJ5" s="103"/>
      <c r="NK5" s="103"/>
      <c r="NL5" s="103"/>
      <c r="NM5" s="103"/>
      <c r="NN5" s="103"/>
      <c r="NO5" s="103"/>
      <c r="NP5" s="103"/>
      <c r="NQ5" s="103"/>
      <c r="NR5" s="103"/>
      <c r="NS5" s="103"/>
      <c r="NT5" s="103"/>
      <c r="NU5" s="103"/>
      <c r="NV5" s="103"/>
      <c r="NW5" s="103"/>
      <c r="NX5" s="103"/>
      <c r="NY5" s="104"/>
      <c r="NZ5" s="104"/>
    </row>
    <row r="6" spans="1:390" ht="15.75" customHeight="1" x14ac:dyDescent="0.3">
      <c r="A6" s="125">
        <v>4946723307</v>
      </c>
      <c r="B6" s="159"/>
      <c r="C6" s="126"/>
      <c r="D6" s="213" t="s">
        <v>391</v>
      </c>
      <c r="E6" s="135" t="s">
        <v>415</v>
      </c>
      <c r="F6" s="125" t="s">
        <v>416</v>
      </c>
      <c r="G6" s="125" t="s">
        <v>417</v>
      </c>
      <c r="H6" s="111">
        <v>42783</v>
      </c>
      <c r="I6" s="135" t="s">
        <v>396</v>
      </c>
      <c r="J6" s="135" t="s">
        <v>397</v>
      </c>
      <c r="K6" s="128" t="s">
        <v>398</v>
      </c>
      <c r="L6" s="128" t="s">
        <v>398</v>
      </c>
      <c r="M6" s="128" t="s">
        <v>398</v>
      </c>
      <c r="N6" s="128" t="s">
        <v>398</v>
      </c>
      <c r="O6" s="128" t="s">
        <v>398</v>
      </c>
      <c r="P6" s="128" t="s">
        <v>398</v>
      </c>
      <c r="Q6" s="128" t="s">
        <v>398</v>
      </c>
      <c r="R6" s="128" t="s">
        <v>398</v>
      </c>
      <c r="S6" s="128" t="s">
        <v>398</v>
      </c>
      <c r="T6" s="128" t="s">
        <v>398</v>
      </c>
      <c r="U6" s="128" t="s">
        <v>398</v>
      </c>
      <c r="V6" s="128" t="s">
        <v>398</v>
      </c>
      <c r="W6" s="136" t="s">
        <v>415</v>
      </c>
      <c r="X6" s="135" t="s">
        <v>418</v>
      </c>
      <c r="Y6" s="113" t="s">
        <v>410</v>
      </c>
      <c r="Z6" s="111">
        <v>42783</v>
      </c>
      <c r="AA6" s="126"/>
      <c r="AB6" s="120" t="s">
        <v>399</v>
      </c>
      <c r="AC6" s="111">
        <v>15135</v>
      </c>
      <c r="AD6" s="139"/>
      <c r="AE6" s="108" t="e">
        <f t="shared" si="0"/>
        <v>#NUM!</v>
      </c>
      <c r="AF6" s="138" t="s">
        <v>419</v>
      </c>
      <c r="AG6" s="126" t="s">
        <v>401</v>
      </c>
      <c r="AH6" s="131" t="s">
        <v>402</v>
      </c>
      <c r="AI6" s="125" t="s">
        <v>412</v>
      </c>
      <c r="AJ6" s="125">
        <v>0</v>
      </c>
      <c r="AK6" s="125">
        <v>0</v>
      </c>
      <c r="AL6" s="125">
        <v>0</v>
      </c>
      <c r="AM6" s="139" t="s">
        <v>414</v>
      </c>
      <c r="AN6" s="134">
        <v>3</v>
      </c>
      <c r="AO6" s="136" t="s">
        <v>398</v>
      </c>
      <c r="AP6" s="126"/>
      <c r="AQ6" s="106"/>
      <c r="AR6" s="91"/>
      <c r="AS6" s="104"/>
      <c r="AT6" s="104"/>
      <c r="AU6" s="104"/>
      <c r="AV6" s="104"/>
      <c r="AW6" s="91"/>
      <c r="AX6" s="104"/>
      <c r="AY6" s="104"/>
      <c r="AZ6" s="104"/>
      <c r="BA6" s="104"/>
      <c r="BB6" s="91"/>
      <c r="BC6" s="104"/>
      <c r="BD6" s="104"/>
      <c r="BE6" s="104"/>
      <c r="BF6" s="104"/>
      <c r="BG6" s="91"/>
      <c r="BH6" s="104"/>
      <c r="BI6" s="104"/>
      <c r="BJ6" s="104"/>
      <c r="BK6" s="104"/>
      <c r="BL6" s="91"/>
      <c r="BM6" s="104"/>
      <c r="BN6" s="104"/>
      <c r="BO6" s="104"/>
      <c r="BP6" s="104"/>
      <c r="BQ6" s="91"/>
      <c r="BR6" s="104"/>
      <c r="BS6" s="104"/>
      <c r="BT6" s="104"/>
      <c r="BU6" s="104"/>
      <c r="BV6" s="91"/>
      <c r="BW6" s="104"/>
      <c r="BX6" s="104"/>
      <c r="BY6" s="104"/>
      <c r="BZ6" s="104"/>
      <c r="CA6" s="91"/>
      <c r="CB6" s="104"/>
      <c r="CC6" s="104"/>
      <c r="CD6" s="104"/>
      <c r="CE6" s="104"/>
      <c r="CF6" s="91"/>
      <c r="CG6" s="104"/>
      <c r="CH6" s="104"/>
      <c r="CI6" s="104"/>
      <c r="CJ6" s="104"/>
      <c r="CK6" s="91"/>
      <c r="CL6" s="104"/>
      <c r="CM6" s="104"/>
      <c r="CN6" s="104"/>
      <c r="CO6" s="104"/>
      <c r="CP6" s="91"/>
      <c r="CQ6" s="104"/>
      <c r="CR6" s="104"/>
      <c r="CS6" s="104"/>
      <c r="CT6" s="104"/>
      <c r="CU6" s="91"/>
      <c r="CV6" s="104"/>
      <c r="CW6" s="104"/>
      <c r="CX6" s="104"/>
      <c r="CY6" s="104"/>
      <c r="CZ6" s="91"/>
      <c r="DA6" s="104"/>
      <c r="DB6" s="104"/>
      <c r="DC6" s="104"/>
      <c r="DD6" s="104"/>
      <c r="DE6" s="91"/>
      <c r="DF6" s="104"/>
      <c r="DG6" s="104"/>
      <c r="DH6" s="104"/>
      <c r="DI6" s="104"/>
      <c r="DJ6" s="91"/>
      <c r="DK6" s="104"/>
      <c r="DL6" s="104"/>
      <c r="DM6" s="104"/>
      <c r="DN6" s="104"/>
      <c r="DO6" s="91"/>
      <c r="DP6" s="104"/>
      <c r="DQ6" s="104"/>
      <c r="DR6" s="104"/>
      <c r="DS6" s="104"/>
      <c r="DT6" s="91"/>
      <c r="DU6" s="104"/>
      <c r="DV6" s="104"/>
      <c r="DW6" s="104"/>
      <c r="DX6" s="104"/>
      <c r="DY6" s="91"/>
      <c r="DZ6" s="104"/>
      <c r="EA6" s="104"/>
      <c r="EB6" s="104"/>
      <c r="EC6" s="104"/>
      <c r="ED6" s="91"/>
      <c r="EE6" s="104"/>
      <c r="EF6" s="104"/>
      <c r="EG6" s="104"/>
      <c r="EH6" s="104"/>
      <c r="EI6" s="91"/>
      <c r="EJ6" s="104"/>
      <c r="EK6" s="104"/>
      <c r="EL6" s="104"/>
      <c r="EM6" s="104"/>
      <c r="EN6" s="91"/>
      <c r="EO6" s="104"/>
      <c r="EP6" s="104"/>
      <c r="EQ6" s="104"/>
      <c r="ER6" s="104"/>
      <c r="ES6" s="91"/>
      <c r="ET6" s="104"/>
      <c r="EU6" s="104"/>
      <c r="EV6" s="104"/>
      <c r="EW6" s="104"/>
      <c r="EX6" s="91"/>
      <c r="EY6" s="104"/>
      <c r="EZ6" s="104"/>
      <c r="FA6" s="104"/>
      <c r="FB6" s="104"/>
      <c r="FC6" s="91"/>
      <c r="FD6" s="104"/>
      <c r="FE6" s="104"/>
      <c r="FF6" s="104"/>
      <c r="FG6" s="104"/>
      <c r="FH6" s="91"/>
      <c r="FI6" s="104"/>
      <c r="FJ6" s="104"/>
      <c r="FK6" s="104"/>
      <c r="FL6" s="104"/>
      <c r="FM6" s="104"/>
      <c r="FN6" s="104"/>
      <c r="FO6" s="104"/>
      <c r="FP6" s="104"/>
      <c r="FQ6" s="104"/>
      <c r="FR6" s="104"/>
      <c r="FS6" s="104"/>
      <c r="FT6" s="104"/>
      <c r="FU6" s="104"/>
      <c r="FV6" s="104"/>
      <c r="FW6" s="104"/>
      <c r="FX6" s="104"/>
      <c r="FY6" s="104"/>
      <c r="FZ6" s="104"/>
      <c r="GA6" s="104"/>
      <c r="GB6" s="104"/>
      <c r="GC6" s="104"/>
      <c r="GD6" s="104"/>
      <c r="GE6" s="104"/>
      <c r="GF6" s="104"/>
      <c r="GG6" s="104"/>
      <c r="GH6" s="104"/>
      <c r="GI6" s="104"/>
      <c r="GJ6" s="104"/>
      <c r="GK6" s="104"/>
      <c r="GL6" s="104"/>
      <c r="GM6" s="104"/>
      <c r="GN6" s="104"/>
      <c r="GO6" s="104"/>
      <c r="GP6" s="91"/>
      <c r="GQ6" s="104"/>
      <c r="GR6" s="104"/>
      <c r="GS6" s="104"/>
      <c r="GT6" s="104"/>
      <c r="GU6" s="91"/>
      <c r="GV6" s="104"/>
      <c r="GW6" s="104"/>
      <c r="GX6" s="104"/>
      <c r="GY6" s="104"/>
      <c r="GZ6" s="91"/>
      <c r="HA6" s="104"/>
      <c r="HB6" s="104"/>
      <c r="HC6" s="104"/>
      <c r="HD6" s="104"/>
      <c r="HE6" s="91"/>
      <c r="HF6" s="104"/>
      <c r="HG6" s="104"/>
      <c r="HH6" s="104"/>
      <c r="HI6" s="104"/>
      <c r="HJ6" s="91"/>
      <c r="HK6" s="104"/>
      <c r="HL6" s="104"/>
      <c r="HM6" s="104"/>
      <c r="HN6" s="104"/>
      <c r="HO6" s="91"/>
      <c r="HP6" s="104"/>
      <c r="HQ6" s="104"/>
      <c r="HR6" s="104"/>
      <c r="HS6" s="104"/>
      <c r="HT6" s="91"/>
      <c r="HU6" s="104"/>
      <c r="HV6" s="104"/>
      <c r="HW6" s="104"/>
      <c r="HX6" s="104"/>
      <c r="HY6" s="91"/>
      <c r="HZ6" s="104"/>
      <c r="IA6" s="104"/>
      <c r="IB6" s="104"/>
      <c r="IC6" s="104"/>
      <c r="ID6" s="91"/>
      <c r="IE6" s="104"/>
      <c r="IF6" s="104"/>
      <c r="IG6" s="104"/>
      <c r="IH6" s="104"/>
      <c r="II6" s="91"/>
      <c r="IJ6" s="104"/>
      <c r="IK6" s="104"/>
      <c r="IL6" s="104"/>
      <c r="IM6" s="104"/>
      <c r="IN6" s="91"/>
      <c r="IO6" s="104"/>
      <c r="IP6" s="104"/>
      <c r="IQ6" s="104"/>
      <c r="IR6" s="104"/>
      <c r="IS6" s="91"/>
      <c r="IT6" s="104"/>
      <c r="IU6" s="104"/>
      <c r="IV6" s="104"/>
      <c r="IW6" s="104"/>
      <c r="IX6" s="91"/>
      <c r="IY6" s="104"/>
      <c r="IZ6" s="104"/>
      <c r="JA6" s="104"/>
      <c r="JB6" s="104"/>
      <c r="JC6" s="91"/>
      <c r="JD6" s="104"/>
      <c r="JE6" s="104"/>
      <c r="JF6" s="104"/>
      <c r="JG6" s="105"/>
      <c r="JH6" s="91"/>
      <c r="JI6" s="106"/>
      <c r="JJ6" s="104"/>
      <c r="JK6" s="104"/>
      <c r="JL6" s="105"/>
      <c r="JM6" s="95"/>
      <c r="JN6" s="107"/>
      <c r="JO6" s="79"/>
      <c r="JP6" s="106"/>
      <c r="JQ6" s="104"/>
      <c r="JR6" s="104"/>
      <c r="JS6" s="104"/>
      <c r="JT6" s="104"/>
      <c r="JU6" s="104"/>
      <c r="JV6" s="104"/>
      <c r="JW6" s="104"/>
      <c r="JX6" s="104"/>
      <c r="JY6" s="104"/>
      <c r="JZ6" s="104"/>
      <c r="KA6" s="104"/>
      <c r="KB6" s="104"/>
      <c r="KC6" s="104"/>
      <c r="KD6" s="104"/>
      <c r="KE6" s="104"/>
      <c r="KF6" s="104"/>
      <c r="KG6" s="104"/>
      <c r="KH6" s="104"/>
      <c r="KI6" s="104"/>
      <c r="KJ6" s="104"/>
      <c r="KK6" s="104"/>
      <c r="KL6" s="104"/>
      <c r="KM6" s="104"/>
      <c r="KN6" s="104"/>
      <c r="KO6" s="104"/>
      <c r="KP6" s="104"/>
      <c r="KQ6" s="104"/>
      <c r="KR6" s="104"/>
      <c r="KS6" s="104"/>
      <c r="KT6" s="104"/>
      <c r="KU6" s="104"/>
      <c r="KV6" s="104"/>
      <c r="KW6" s="104"/>
      <c r="KX6" s="104"/>
      <c r="KY6" s="104"/>
      <c r="KZ6" s="104"/>
      <c r="LA6" s="104"/>
      <c r="LB6" s="104"/>
      <c r="LC6" s="104"/>
      <c r="LD6" s="104"/>
      <c r="LE6" s="104"/>
      <c r="LF6" s="104"/>
      <c r="LG6" s="104"/>
      <c r="LH6" s="104"/>
      <c r="LI6" s="104"/>
      <c r="LJ6" s="104"/>
      <c r="LK6" s="104"/>
      <c r="LL6" s="104"/>
      <c r="LM6" s="104"/>
      <c r="LN6" s="104"/>
      <c r="LO6" s="104"/>
      <c r="LP6" s="104"/>
      <c r="LQ6" s="104"/>
      <c r="LR6" s="104"/>
      <c r="LS6" s="104"/>
      <c r="LT6" s="104"/>
      <c r="LU6" s="104"/>
      <c r="LV6" s="104"/>
      <c r="LW6" s="104"/>
      <c r="LX6" s="104"/>
      <c r="LY6" s="104"/>
      <c r="LZ6" s="104"/>
      <c r="MA6" s="104"/>
      <c r="MB6" s="104"/>
      <c r="MC6" s="104"/>
      <c r="MD6" s="103"/>
      <c r="ME6" s="103"/>
      <c r="MF6" s="103"/>
      <c r="MG6" s="103"/>
      <c r="MH6" s="103"/>
      <c r="MI6" s="103"/>
      <c r="MJ6" s="103"/>
      <c r="MK6" s="103"/>
      <c r="ML6" s="103"/>
      <c r="MM6" s="103"/>
      <c r="MN6" s="103"/>
      <c r="MO6" s="103"/>
      <c r="MP6" s="103"/>
      <c r="MQ6" s="103"/>
      <c r="MR6" s="103"/>
      <c r="MS6" s="103"/>
      <c r="MT6" s="103"/>
      <c r="MU6" s="103"/>
      <c r="MV6" s="103"/>
      <c r="MW6" s="103"/>
      <c r="MX6" s="103"/>
      <c r="MY6" s="103"/>
      <c r="MZ6" s="103"/>
      <c r="NA6" s="103"/>
      <c r="NB6" s="103"/>
      <c r="NC6" s="103"/>
      <c r="ND6" s="103"/>
      <c r="NE6" s="103"/>
      <c r="NF6" s="103"/>
      <c r="NG6" s="103"/>
      <c r="NH6" s="103"/>
      <c r="NI6" s="103"/>
      <c r="NJ6" s="103"/>
      <c r="NK6" s="103"/>
      <c r="NL6" s="103"/>
      <c r="NM6" s="103"/>
      <c r="NN6" s="103"/>
      <c r="NO6" s="103"/>
      <c r="NP6" s="103"/>
      <c r="NQ6" s="103"/>
      <c r="NR6" s="103"/>
      <c r="NS6" s="103"/>
      <c r="NT6" s="103"/>
      <c r="NU6" s="103"/>
      <c r="NV6" s="103"/>
      <c r="NW6" s="103"/>
      <c r="NX6" s="103"/>
      <c r="NY6" s="104"/>
      <c r="NZ6" s="104"/>
    </row>
    <row r="7" spans="1:390" ht="15.75" customHeight="1" x14ac:dyDescent="0.3">
      <c r="A7" s="125">
        <v>4362503161</v>
      </c>
      <c r="B7" s="159"/>
      <c r="C7" s="126"/>
      <c r="D7" s="213" t="s">
        <v>391</v>
      </c>
      <c r="E7" s="135" t="s">
        <v>420</v>
      </c>
      <c r="F7" s="125" t="s">
        <v>421</v>
      </c>
      <c r="G7" s="125" t="s">
        <v>422</v>
      </c>
      <c r="H7" s="111">
        <v>42801</v>
      </c>
      <c r="I7" s="135" t="s">
        <v>396</v>
      </c>
      <c r="J7" s="135" t="s">
        <v>397</v>
      </c>
      <c r="K7" s="128" t="s">
        <v>398</v>
      </c>
      <c r="L7" s="128" t="s">
        <v>398</v>
      </c>
      <c r="M7" s="128" t="s">
        <v>398</v>
      </c>
      <c r="N7" s="128" t="s">
        <v>398</v>
      </c>
      <c r="O7" s="128" t="s">
        <v>398</v>
      </c>
      <c r="P7" s="128" t="s">
        <v>398</v>
      </c>
      <c r="Q7" s="128" t="s">
        <v>398</v>
      </c>
      <c r="R7" s="128" t="s">
        <v>398</v>
      </c>
      <c r="S7" s="128" t="s">
        <v>398</v>
      </c>
      <c r="T7" s="128" t="s">
        <v>398</v>
      </c>
      <c r="U7" s="128" t="s">
        <v>398</v>
      </c>
      <c r="V7" s="128" t="s">
        <v>398</v>
      </c>
      <c r="W7" s="136" t="s">
        <v>398</v>
      </c>
      <c r="X7" s="135" t="s">
        <v>398</v>
      </c>
      <c r="Y7" s="113" t="s">
        <v>398</v>
      </c>
      <c r="Z7" s="113" t="s">
        <v>398</v>
      </c>
      <c r="AA7" s="126"/>
      <c r="AB7" s="113" t="s">
        <v>399</v>
      </c>
      <c r="AC7" s="111">
        <v>9597</v>
      </c>
      <c r="AD7" s="139"/>
      <c r="AE7" s="108" t="e">
        <f t="shared" si="0"/>
        <v>#NUM!</v>
      </c>
      <c r="AF7" s="138" t="s">
        <v>423</v>
      </c>
      <c r="AG7" s="126" t="s">
        <v>401</v>
      </c>
      <c r="AH7" s="131" t="s">
        <v>402</v>
      </c>
      <c r="AI7" s="125">
        <v>2</v>
      </c>
      <c r="AJ7" s="125">
        <v>0</v>
      </c>
      <c r="AK7" s="125">
        <v>0</v>
      </c>
      <c r="AL7" s="125">
        <v>0</v>
      </c>
      <c r="AM7" s="139" t="s">
        <v>424</v>
      </c>
      <c r="AN7" s="134">
        <v>3</v>
      </c>
      <c r="AO7" s="136" t="s">
        <v>398</v>
      </c>
      <c r="AP7" s="126"/>
      <c r="AQ7" s="106"/>
      <c r="AR7" s="91"/>
      <c r="AS7" s="104"/>
      <c r="AT7" s="104"/>
      <c r="AU7" s="104"/>
      <c r="AV7" s="104"/>
      <c r="AW7" s="91"/>
      <c r="AX7" s="104"/>
      <c r="AY7" s="104"/>
      <c r="AZ7" s="104"/>
      <c r="BA7" s="104"/>
      <c r="BB7" s="91"/>
      <c r="BC7" s="104"/>
      <c r="BD7" s="104"/>
      <c r="BE7" s="104"/>
      <c r="BF7" s="104"/>
      <c r="BG7" s="91"/>
      <c r="BH7" s="104"/>
      <c r="BI7" s="104"/>
      <c r="BJ7" s="104"/>
      <c r="BK7" s="104"/>
      <c r="BL7" s="91"/>
      <c r="BM7" s="104"/>
      <c r="BN7" s="104"/>
      <c r="BO7" s="104"/>
      <c r="BP7" s="104"/>
      <c r="BQ7" s="91"/>
      <c r="BR7" s="104"/>
      <c r="BS7" s="104"/>
      <c r="BT7" s="104"/>
      <c r="BU7" s="104"/>
      <c r="BV7" s="91"/>
      <c r="BW7" s="104"/>
      <c r="BX7" s="104"/>
      <c r="BY7" s="104"/>
      <c r="BZ7" s="104"/>
      <c r="CA7" s="91"/>
      <c r="CB7" s="104"/>
      <c r="CC7" s="104"/>
      <c r="CD7" s="104"/>
      <c r="CE7" s="104"/>
      <c r="CF7" s="91"/>
      <c r="CG7" s="104"/>
      <c r="CH7" s="104"/>
      <c r="CI7" s="104"/>
      <c r="CJ7" s="104"/>
      <c r="CK7" s="91"/>
      <c r="CL7" s="104"/>
      <c r="CM7" s="104"/>
      <c r="CN7" s="104"/>
      <c r="CO7" s="104"/>
      <c r="CP7" s="91"/>
      <c r="CQ7" s="104"/>
      <c r="CR7" s="104"/>
      <c r="CS7" s="104"/>
      <c r="CT7" s="104"/>
      <c r="CU7" s="91"/>
      <c r="CV7" s="104"/>
      <c r="CW7" s="104"/>
      <c r="CX7" s="104"/>
      <c r="CY7" s="104"/>
      <c r="CZ7" s="91"/>
      <c r="DA7" s="104"/>
      <c r="DB7" s="104"/>
      <c r="DC7" s="104"/>
      <c r="DD7" s="104"/>
      <c r="DE7" s="91"/>
      <c r="DF7" s="104"/>
      <c r="DG7" s="104"/>
      <c r="DH7" s="104"/>
      <c r="DI7" s="104"/>
      <c r="DJ7" s="91"/>
      <c r="DK7" s="104"/>
      <c r="DL7" s="104"/>
      <c r="DM7" s="104"/>
      <c r="DN7" s="104"/>
      <c r="DO7" s="91"/>
      <c r="DP7" s="104"/>
      <c r="DQ7" s="104"/>
      <c r="DR7" s="104"/>
      <c r="DS7" s="104"/>
      <c r="DT7" s="91"/>
      <c r="DU7" s="104"/>
      <c r="DV7" s="104"/>
      <c r="DW7" s="104"/>
      <c r="DX7" s="104"/>
      <c r="DY7" s="91"/>
      <c r="DZ7" s="104"/>
      <c r="EA7" s="104"/>
      <c r="EB7" s="104"/>
      <c r="EC7" s="104"/>
      <c r="ED7" s="91"/>
      <c r="EE7" s="104"/>
      <c r="EF7" s="104"/>
      <c r="EG7" s="104"/>
      <c r="EH7" s="104"/>
      <c r="EI7" s="91"/>
      <c r="EJ7" s="104"/>
      <c r="EK7" s="104"/>
      <c r="EL7" s="104"/>
      <c r="EM7" s="104"/>
      <c r="EN7" s="91"/>
      <c r="EO7" s="104"/>
      <c r="EP7" s="104"/>
      <c r="EQ7" s="104"/>
      <c r="ER7" s="104"/>
      <c r="ES7" s="91"/>
      <c r="ET7" s="104"/>
      <c r="EU7" s="104"/>
      <c r="EV7" s="104"/>
      <c r="EW7" s="104"/>
      <c r="EX7" s="91"/>
      <c r="EY7" s="104"/>
      <c r="EZ7" s="104"/>
      <c r="FA7" s="104"/>
      <c r="FB7" s="104"/>
      <c r="FC7" s="91"/>
      <c r="FD7" s="104"/>
      <c r="FE7" s="104"/>
      <c r="FF7" s="104"/>
      <c r="FG7" s="104"/>
      <c r="FH7" s="91"/>
      <c r="FI7" s="104"/>
      <c r="FJ7" s="104"/>
      <c r="FK7" s="104"/>
      <c r="FL7" s="104"/>
      <c r="FM7" s="104"/>
      <c r="FN7" s="104"/>
      <c r="FO7" s="104"/>
      <c r="FP7" s="104"/>
      <c r="FQ7" s="104"/>
      <c r="FR7" s="104"/>
      <c r="FS7" s="104"/>
      <c r="FT7" s="104"/>
      <c r="FU7" s="104"/>
      <c r="FV7" s="104"/>
      <c r="FW7" s="104"/>
      <c r="FX7" s="104"/>
      <c r="FY7" s="104"/>
      <c r="FZ7" s="104"/>
      <c r="GA7" s="104"/>
      <c r="GB7" s="104"/>
      <c r="GC7" s="104"/>
      <c r="GD7" s="104"/>
      <c r="GE7" s="104"/>
      <c r="GF7" s="104"/>
      <c r="GG7" s="104"/>
      <c r="GH7" s="104"/>
      <c r="GI7" s="104"/>
      <c r="GJ7" s="104"/>
      <c r="GK7" s="104"/>
      <c r="GL7" s="104"/>
      <c r="GM7" s="104"/>
      <c r="GN7" s="104"/>
      <c r="GO7" s="104"/>
      <c r="GP7" s="91"/>
      <c r="GQ7" s="104"/>
      <c r="GR7" s="104"/>
      <c r="GS7" s="104"/>
      <c r="GT7" s="104"/>
      <c r="GU7" s="91"/>
      <c r="GV7" s="104"/>
      <c r="GW7" s="104"/>
      <c r="GX7" s="104"/>
      <c r="GY7" s="104"/>
      <c r="GZ7" s="91"/>
      <c r="HA7" s="104"/>
      <c r="HB7" s="104"/>
      <c r="HC7" s="104"/>
      <c r="HD7" s="104"/>
      <c r="HE7" s="91"/>
      <c r="HF7" s="104"/>
      <c r="HG7" s="104"/>
      <c r="HH7" s="104"/>
      <c r="HI7" s="104"/>
      <c r="HJ7" s="91"/>
      <c r="HK7" s="104"/>
      <c r="HL7" s="104"/>
      <c r="HM7" s="104"/>
      <c r="HN7" s="104"/>
      <c r="HO7" s="91"/>
      <c r="HP7" s="104"/>
      <c r="HQ7" s="104"/>
      <c r="HR7" s="104"/>
      <c r="HS7" s="104"/>
      <c r="HT7" s="91"/>
      <c r="HU7" s="104"/>
      <c r="HV7" s="104"/>
      <c r="HW7" s="104"/>
      <c r="HX7" s="104"/>
      <c r="HY7" s="91"/>
      <c r="HZ7" s="104"/>
      <c r="IA7" s="104"/>
      <c r="IB7" s="104"/>
      <c r="IC7" s="104"/>
      <c r="ID7" s="91"/>
      <c r="IE7" s="104"/>
      <c r="IF7" s="104"/>
      <c r="IG7" s="104"/>
      <c r="IH7" s="104"/>
      <c r="II7" s="91"/>
      <c r="IJ7" s="104"/>
      <c r="IK7" s="104"/>
      <c r="IL7" s="104"/>
      <c r="IM7" s="104"/>
      <c r="IN7" s="91"/>
      <c r="IO7" s="104"/>
      <c r="IP7" s="104"/>
      <c r="IQ7" s="104"/>
      <c r="IR7" s="104"/>
      <c r="IS7" s="91"/>
      <c r="IT7" s="104"/>
      <c r="IU7" s="104"/>
      <c r="IV7" s="104"/>
      <c r="IW7" s="104"/>
      <c r="IX7" s="91"/>
      <c r="IY7" s="104"/>
      <c r="IZ7" s="104"/>
      <c r="JA7" s="104"/>
      <c r="JB7" s="104"/>
      <c r="JC7" s="91"/>
      <c r="JD7" s="104"/>
      <c r="JE7" s="104"/>
      <c r="JF7" s="104"/>
      <c r="JG7" s="105"/>
      <c r="JH7" s="91"/>
      <c r="JI7" s="106"/>
      <c r="JJ7" s="104"/>
      <c r="JK7" s="104"/>
      <c r="JL7" s="105"/>
      <c r="JM7" s="95"/>
      <c r="JN7" s="107"/>
      <c r="JO7" s="79"/>
      <c r="JP7" s="106"/>
      <c r="JQ7" s="104"/>
      <c r="JR7" s="104"/>
      <c r="JS7" s="104"/>
      <c r="JT7" s="104"/>
      <c r="JU7" s="104"/>
      <c r="JV7" s="104"/>
      <c r="JW7" s="104"/>
      <c r="JX7" s="104"/>
      <c r="JY7" s="104"/>
      <c r="JZ7" s="104"/>
      <c r="KA7" s="104"/>
      <c r="KB7" s="104"/>
      <c r="KC7" s="104"/>
      <c r="KD7" s="104"/>
      <c r="KE7" s="104"/>
      <c r="KF7" s="104"/>
      <c r="KG7" s="104"/>
      <c r="KH7" s="104"/>
      <c r="KI7" s="104"/>
      <c r="KJ7" s="104"/>
      <c r="KK7" s="104"/>
      <c r="KL7" s="104"/>
      <c r="KM7" s="104"/>
      <c r="KN7" s="104"/>
      <c r="KO7" s="104"/>
      <c r="KP7" s="104"/>
      <c r="KQ7" s="104"/>
      <c r="KR7" s="104"/>
      <c r="KS7" s="104"/>
      <c r="KT7" s="104"/>
      <c r="KU7" s="104"/>
      <c r="KV7" s="104"/>
      <c r="KW7" s="104"/>
      <c r="KX7" s="104"/>
      <c r="KY7" s="104"/>
      <c r="KZ7" s="104"/>
      <c r="LA7" s="104"/>
      <c r="LB7" s="104"/>
      <c r="LC7" s="104"/>
      <c r="LD7" s="104"/>
      <c r="LE7" s="104"/>
      <c r="LF7" s="104"/>
      <c r="LG7" s="104"/>
      <c r="LH7" s="104"/>
      <c r="LI7" s="104"/>
      <c r="LJ7" s="104"/>
      <c r="LK7" s="104"/>
      <c r="LL7" s="104"/>
      <c r="LM7" s="104"/>
      <c r="LN7" s="104"/>
      <c r="LO7" s="104"/>
      <c r="LP7" s="104"/>
      <c r="LQ7" s="104"/>
      <c r="LR7" s="104"/>
      <c r="LS7" s="104"/>
      <c r="LT7" s="104"/>
      <c r="LU7" s="104"/>
      <c r="LV7" s="104"/>
      <c r="LW7" s="104"/>
      <c r="LX7" s="104"/>
      <c r="LY7" s="104"/>
      <c r="LZ7" s="104"/>
      <c r="MA7" s="104"/>
      <c r="MB7" s="104"/>
      <c r="MC7" s="104"/>
      <c r="MD7" s="103"/>
      <c r="ME7" s="103"/>
      <c r="MF7" s="103"/>
      <c r="MG7" s="103"/>
      <c r="MH7" s="103"/>
      <c r="MI7" s="103"/>
      <c r="MJ7" s="103"/>
      <c r="MK7" s="103"/>
      <c r="ML7" s="103"/>
      <c r="MM7" s="103"/>
      <c r="MN7" s="103"/>
      <c r="MO7" s="103"/>
      <c r="MP7" s="103"/>
      <c r="MQ7" s="103"/>
      <c r="MR7" s="103"/>
      <c r="MS7" s="103"/>
      <c r="MT7" s="103"/>
      <c r="MU7" s="103"/>
      <c r="MV7" s="103"/>
      <c r="MW7" s="103"/>
      <c r="MX7" s="103"/>
      <c r="MY7" s="103"/>
      <c r="MZ7" s="103"/>
      <c r="NA7" s="103"/>
      <c r="NB7" s="103"/>
      <c r="NC7" s="103"/>
      <c r="ND7" s="103"/>
      <c r="NE7" s="103"/>
      <c r="NF7" s="103"/>
      <c r="NG7" s="103"/>
      <c r="NH7" s="103"/>
      <c r="NI7" s="103"/>
      <c r="NJ7" s="103"/>
      <c r="NK7" s="103"/>
      <c r="NL7" s="103"/>
      <c r="NM7" s="103"/>
      <c r="NN7" s="103"/>
      <c r="NO7" s="103"/>
      <c r="NP7" s="103"/>
      <c r="NQ7" s="103"/>
      <c r="NR7" s="103"/>
      <c r="NS7" s="103"/>
      <c r="NT7" s="103"/>
      <c r="NU7" s="103"/>
      <c r="NV7" s="103"/>
      <c r="NW7" s="103"/>
      <c r="NX7" s="103"/>
      <c r="NY7" s="104"/>
      <c r="NZ7" s="104"/>
    </row>
    <row r="8" spans="1:390" ht="15.75" customHeight="1" x14ac:dyDescent="0.3">
      <c r="A8" s="125">
        <v>4363753323</v>
      </c>
      <c r="B8" s="159"/>
      <c r="C8" s="126"/>
      <c r="D8" s="213" t="s">
        <v>391</v>
      </c>
      <c r="E8" s="135" t="s">
        <v>425</v>
      </c>
      <c r="F8" s="125" t="s">
        <v>422</v>
      </c>
      <c r="G8" s="125" t="s">
        <v>426</v>
      </c>
      <c r="H8" s="111">
        <v>42807</v>
      </c>
      <c r="I8" s="135" t="s">
        <v>396</v>
      </c>
      <c r="J8" s="135" t="s">
        <v>397</v>
      </c>
      <c r="K8" s="128" t="s">
        <v>398</v>
      </c>
      <c r="L8" s="128" t="s">
        <v>398</v>
      </c>
      <c r="M8" s="128" t="s">
        <v>398</v>
      </c>
      <c r="N8" s="128" t="s">
        <v>398</v>
      </c>
      <c r="O8" s="128" t="s">
        <v>398</v>
      </c>
      <c r="P8" s="128" t="s">
        <v>398</v>
      </c>
      <c r="Q8" s="128" t="s">
        <v>398</v>
      </c>
      <c r="R8" s="128" t="s">
        <v>398</v>
      </c>
      <c r="S8" s="128" t="s">
        <v>398</v>
      </c>
      <c r="T8" s="128" t="s">
        <v>398</v>
      </c>
      <c r="U8" s="128" t="s">
        <v>398</v>
      </c>
      <c r="V8" s="128" t="s">
        <v>398</v>
      </c>
      <c r="W8" s="136" t="s">
        <v>398</v>
      </c>
      <c r="X8" s="135" t="s">
        <v>398</v>
      </c>
      <c r="Y8" s="113" t="s">
        <v>398</v>
      </c>
      <c r="Z8" s="113" t="s">
        <v>398</v>
      </c>
      <c r="AA8" s="126"/>
      <c r="AB8" s="113" t="s">
        <v>399</v>
      </c>
      <c r="AC8" s="111">
        <v>12131</v>
      </c>
      <c r="AD8" s="139"/>
      <c r="AE8" s="108" t="e">
        <f t="shared" si="0"/>
        <v>#NUM!</v>
      </c>
      <c r="AF8" s="138" t="s">
        <v>427</v>
      </c>
      <c r="AG8" s="126" t="s">
        <v>401</v>
      </c>
      <c r="AH8" s="131" t="s">
        <v>402</v>
      </c>
      <c r="AI8" s="125" t="s">
        <v>428</v>
      </c>
      <c r="AJ8" s="125">
        <v>1</v>
      </c>
      <c r="AK8" s="125">
        <v>0</v>
      </c>
      <c r="AL8" s="125">
        <v>0</v>
      </c>
      <c r="AM8" s="139" t="s">
        <v>429</v>
      </c>
      <c r="AN8" s="134">
        <v>3</v>
      </c>
      <c r="AO8" s="136" t="s">
        <v>398</v>
      </c>
      <c r="AP8" s="126"/>
      <c r="AQ8" s="106"/>
      <c r="AR8" s="91"/>
      <c r="AS8" s="104"/>
      <c r="AT8" s="104"/>
      <c r="AU8" s="104"/>
      <c r="AV8" s="104"/>
      <c r="AW8" s="91"/>
      <c r="AX8" s="104"/>
      <c r="AY8" s="104"/>
      <c r="AZ8" s="104"/>
      <c r="BA8" s="104"/>
      <c r="BB8" s="91"/>
      <c r="BC8" s="104"/>
      <c r="BD8" s="104"/>
      <c r="BE8" s="104"/>
      <c r="BF8" s="104"/>
      <c r="BG8" s="91"/>
      <c r="BH8" s="104"/>
      <c r="BI8" s="104"/>
      <c r="BJ8" s="104"/>
      <c r="BK8" s="104"/>
      <c r="BL8" s="91"/>
      <c r="BM8" s="104"/>
      <c r="BN8" s="104"/>
      <c r="BO8" s="104"/>
      <c r="BP8" s="104"/>
      <c r="BQ8" s="91"/>
      <c r="BR8" s="104"/>
      <c r="BS8" s="104"/>
      <c r="BT8" s="104"/>
      <c r="BU8" s="104"/>
      <c r="BV8" s="91"/>
      <c r="BW8" s="104"/>
      <c r="BX8" s="104"/>
      <c r="BY8" s="104"/>
      <c r="BZ8" s="104"/>
      <c r="CA8" s="91"/>
      <c r="CB8" s="104"/>
      <c r="CC8" s="104"/>
      <c r="CD8" s="104"/>
      <c r="CE8" s="104"/>
      <c r="CF8" s="91"/>
      <c r="CG8" s="104"/>
      <c r="CH8" s="104"/>
      <c r="CI8" s="104"/>
      <c r="CJ8" s="104"/>
      <c r="CK8" s="91"/>
      <c r="CL8" s="104"/>
      <c r="CM8" s="104"/>
      <c r="CN8" s="104"/>
      <c r="CO8" s="104"/>
      <c r="CP8" s="91"/>
      <c r="CQ8" s="104"/>
      <c r="CR8" s="104"/>
      <c r="CS8" s="104"/>
      <c r="CT8" s="104"/>
      <c r="CU8" s="91"/>
      <c r="CV8" s="104"/>
      <c r="CW8" s="104"/>
      <c r="CX8" s="104"/>
      <c r="CY8" s="104"/>
      <c r="CZ8" s="91"/>
      <c r="DA8" s="104"/>
      <c r="DB8" s="104"/>
      <c r="DC8" s="104"/>
      <c r="DD8" s="104"/>
      <c r="DE8" s="91"/>
      <c r="DF8" s="104"/>
      <c r="DG8" s="104"/>
      <c r="DH8" s="104"/>
      <c r="DI8" s="104"/>
      <c r="DJ8" s="91"/>
      <c r="DK8" s="104"/>
      <c r="DL8" s="104"/>
      <c r="DM8" s="104"/>
      <c r="DN8" s="104"/>
      <c r="DO8" s="91"/>
      <c r="DP8" s="104"/>
      <c r="DQ8" s="104"/>
      <c r="DR8" s="104"/>
      <c r="DS8" s="104"/>
      <c r="DT8" s="91"/>
      <c r="DU8" s="104"/>
      <c r="DV8" s="104"/>
      <c r="DW8" s="104"/>
      <c r="DX8" s="104"/>
      <c r="DY8" s="91"/>
      <c r="DZ8" s="104"/>
      <c r="EA8" s="104"/>
      <c r="EB8" s="104"/>
      <c r="EC8" s="104"/>
      <c r="ED8" s="91"/>
      <c r="EE8" s="104"/>
      <c r="EF8" s="104"/>
      <c r="EG8" s="104"/>
      <c r="EH8" s="104"/>
      <c r="EI8" s="91"/>
      <c r="EJ8" s="104"/>
      <c r="EK8" s="104"/>
      <c r="EL8" s="104"/>
      <c r="EM8" s="104"/>
      <c r="EN8" s="91"/>
      <c r="EO8" s="104"/>
      <c r="EP8" s="104"/>
      <c r="EQ8" s="104"/>
      <c r="ER8" s="104"/>
      <c r="ES8" s="91"/>
      <c r="ET8" s="104"/>
      <c r="EU8" s="104"/>
      <c r="EV8" s="104"/>
      <c r="EW8" s="104"/>
      <c r="EX8" s="91"/>
      <c r="EY8" s="104"/>
      <c r="EZ8" s="104"/>
      <c r="FA8" s="104"/>
      <c r="FB8" s="104"/>
      <c r="FC8" s="91"/>
      <c r="FD8" s="104"/>
      <c r="FE8" s="104"/>
      <c r="FF8" s="104"/>
      <c r="FG8" s="104"/>
      <c r="FH8" s="91"/>
      <c r="FI8" s="104"/>
      <c r="FJ8" s="104"/>
      <c r="FK8" s="104"/>
      <c r="FL8" s="104"/>
      <c r="FM8" s="104"/>
      <c r="FN8" s="104"/>
      <c r="FO8" s="104"/>
      <c r="FP8" s="104"/>
      <c r="FQ8" s="104"/>
      <c r="FR8" s="104"/>
      <c r="FS8" s="104"/>
      <c r="FT8" s="104"/>
      <c r="FU8" s="104"/>
      <c r="FV8" s="104"/>
      <c r="FW8" s="104"/>
      <c r="FX8" s="104"/>
      <c r="FY8" s="104"/>
      <c r="FZ8" s="104"/>
      <c r="GA8" s="104"/>
      <c r="GB8" s="104"/>
      <c r="GC8" s="104"/>
      <c r="GD8" s="104"/>
      <c r="GE8" s="104"/>
      <c r="GF8" s="104"/>
      <c r="GG8" s="104"/>
      <c r="GH8" s="104"/>
      <c r="GI8" s="104"/>
      <c r="GJ8" s="104"/>
      <c r="GK8" s="104"/>
      <c r="GL8" s="104"/>
      <c r="GM8" s="104"/>
      <c r="GN8" s="104"/>
      <c r="GO8" s="104"/>
      <c r="GP8" s="91"/>
      <c r="GQ8" s="104"/>
      <c r="GR8" s="104"/>
      <c r="GS8" s="104"/>
      <c r="GT8" s="104"/>
      <c r="GU8" s="91"/>
      <c r="GV8" s="104"/>
      <c r="GW8" s="104"/>
      <c r="GX8" s="104"/>
      <c r="GY8" s="104"/>
      <c r="GZ8" s="91"/>
      <c r="HA8" s="104"/>
      <c r="HB8" s="104"/>
      <c r="HC8" s="104"/>
      <c r="HD8" s="104"/>
      <c r="HE8" s="91"/>
      <c r="HF8" s="104"/>
      <c r="HG8" s="104"/>
      <c r="HH8" s="104"/>
      <c r="HI8" s="104"/>
      <c r="HJ8" s="91"/>
      <c r="HK8" s="104"/>
      <c r="HL8" s="104"/>
      <c r="HM8" s="104"/>
      <c r="HN8" s="104"/>
      <c r="HO8" s="91"/>
      <c r="HP8" s="104"/>
      <c r="HQ8" s="104"/>
      <c r="HR8" s="104"/>
      <c r="HS8" s="104"/>
      <c r="HT8" s="91"/>
      <c r="HU8" s="104"/>
      <c r="HV8" s="104"/>
      <c r="HW8" s="104"/>
      <c r="HX8" s="104"/>
      <c r="HY8" s="91"/>
      <c r="HZ8" s="104"/>
      <c r="IA8" s="104"/>
      <c r="IB8" s="104"/>
      <c r="IC8" s="104"/>
      <c r="ID8" s="91"/>
      <c r="IE8" s="104"/>
      <c r="IF8" s="104"/>
      <c r="IG8" s="104"/>
      <c r="IH8" s="104"/>
      <c r="II8" s="91"/>
      <c r="IJ8" s="104"/>
      <c r="IK8" s="104"/>
      <c r="IL8" s="104"/>
      <c r="IM8" s="104"/>
      <c r="IN8" s="91"/>
      <c r="IO8" s="104"/>
      <c r="IP8" s="104"/>
      <c r="IQ8" s="104"/>
      <c r="IR8" s="104"/>
      <c r="IS8" s="91"/>
      <c r="IT8" s="104"/>
      <c r="IU8" s="104"/>
      <c r="IV8" s="104"/>
      <c r="IW8" s="104"/>
      <c r="IX8" s="91"/>
      <c r="IY8" s="104"/>
      <c r="IZ8" s="104"/>
      <c r="JA8" s="104"/>
      <c r="JB8" s="104"/>
      <c r="JC8" s="91"/>
      <c r="JD8" s="104"/>
      <c r="JE8" s="104"/>
      <c r="JF8" s="104"/>
      <c r="JG8" s="105"/>
      <c r="JH8" s="91"/>
      <c r="JI8" s="106"/>
      <c r="JJ8" s="104"/>
      <c r="JK8" s="104"/>
      <c r="JL8" s="105"/>
      <c r="JM8" s="95"/>
      <c r="JN8" s="107"/>
      <c r="JO8" s="79"/>
      <c r="JP8" s="106"/>
      <c r="JQ8" s="104"/>
      <c r="JR8" s="104"/>
      <c r="JS8" s="104"/>
      <c r="JT8" s="104"/>
      <c r="JU8" s="104"/>
      <c r="JV8" s="104"/>
      <c r="JW8" s="104"/>
      <c r="JX8" s="104"/>
      <c r="JY8" s="104"/>
      <c r="JZ8" s="104"/>
      <c r="KA8" s="104"/>
      <c r="KB8" s="104"/>
      <c r="KC8" s="104"/>
      <c r="KD8" s="104"/>
      <c r="KE8" s="104"/>
      <c r="KF8" s="104"/>
      <c r="KG8" s="104"/>
      <c r="KH8" s="104"/>
      <c r="KI8" s="104"/>
      <c r="KJ8" s="104"/>
      <c r="KK8" s="104"/>
      <c r="KL8" s="104"/>
      <c r="KM8" s="104"/>
      <c r="KN8" s="104"/>
      <c r="KO8" s="104"/>
      <c r="KP8" s="104"/>
      <c r="KQ8" s="104"/>
      <c r="KR8" s="104"/>
      <c r="KS8" s="104"/>
      <c r="KT8" s="104"/>
      <c r="KU8" s="104"/>
      <c r="KV8" s="104"/>
      <c r="KW8" s="104"/>
      <c r="KX8" s="104"/>
      <c r="KY8" s="104"/>
      <c r="KZ8" s="104"/>
      <c r="LA8" s="104"/>
      <c r="LB8" s="104"/>
      <c r="LC8" s="104"/>
      <c r="LD8" s="104"/>
      <c r="LE8" s="104"/>
      <c r="LF8" s="104"/>
      <c r="LG8" s="104"/>
      <c r="LH8" s="104"/>
      <c r="LI8" s="104"/>
      <c r="LJ8" s="104"/>
      <c r="LK8" s="104"/>
      <c r="LL8" s="104"/>
      <c r="LM8" s="104"/>
      <c r="LN8" s="104"/>
      <c r="LO8" s="104"/>
      <c r="LP8" s="104"/>
      <c r="LQ8" s="104"/>
      <c r="LR8" s="104"/>
      <c r="LS8" s="104"/>
      <c r="LT8" s="104"/>
      <c r="LU8" s="104"/>
      <c r="LV8" s="104"/>
      <c r="LW8" s="104"/>
      <c r="LX8" s="104"/>
      <c r="LY8" s="104"/>
      <c r="LZ8" s="104"/>
      <c r="MA8" s="104"/>
      <c r="MB8" s="104"/>
      <c r="MC8" s="104"/>
      <c r="MD8" s="103"/>
      <c r="ME8" s="103"/>
      <c r="MF8" s="103"/>
      <c r="MG8" s="103"/>
      <c r="MH8" s="103"/>
      <c r="MI8" s="103"/>
      <c r="MJ8" s="103"/>
      <c r="MK8" s="103"/>
      <c r="ML8" s="103"/>
      <c r="MM8" s="103"/>
      <c r="MN8" s="103"/>
      <c r="MO8" s="103"/>
      <c r="MP8" s="103"/>
      <c r="MQ8" s="103"/>
      <c r="MR8" s="103"/>
      <c r="MS8" s="103"/>
      <c r="MT8" s="103"/>
      <c r="MU8" s="103"/>
      <c r="MV8" s="103"/>
      <c r="MW8" s="103"/>
      <c r="MX8" s="103"/>
      <c r="MY8" s="103"/>
      <c r="MZ8" s="103"/>
      <c r="NA8" s="103"/>
      <c r="NB8" s="103"/>
      <c r="NC8" s="103"/>
      <c r="ND8" s="103"/>
      <c r="NE8" s="103"/>
      <c r="NF8" s="103"/>
      <c r="NG8" s="103"/>
      <c r="NH8" s="103"/>
      <c r="NI8" s="103"/>
      <c r="NJ8" s="103"/>
      <c r="NK8" s="103"/>
      <c r="NL8" s="103"/>
      <c r="NM8" s="103"/>
      <c r="NN8" s="103"/>
      <c r="NO8" s="103"/>
      <c r="NP8" s="103"/>
      <c r="NQ8" s="103"/>
      <c r="NR8" s="103"/>
      <c r="NS8" s="103"/>
      <c r="NT8" s="103"/>
      <c r="NU8" s="103"/>
      <c r="NV8" s="103"/>
      <c r="NW8" s="103"/>
      <c r="NX8" s="103"/>
      <c r="NY8" s="104"/>
      <c r="NZ8" s="104"/>
    </row>
    <row r="9" spans="1:390" ht="15.75" customHeight="1" x14ac:dyDescent="0.3">
      <c r="A9" s="125">
        <v>4662799619</v>
      </c>
      <c r="B9" s="111" t="s">
        <v>398</v>
      </c>
      <c r="C9" s="111" t="s">
        <v>398</v>
      </c>
      <c r="D9" s="213" t="s">
        <v>398</v>
      </c>
      <c r="E9" s="135" t="s">
        <v>398</v>
      </c>
      <c r="F9" s="125" t="s">
        <v>398</v>
      </c>
      <c r="G9" s="111" t="s">
        <v>398</v>
      </c>
      <c r="H9" s="111" t="s">
        <v>398</v>
      </c>
      <c r="I9" s="135" t="s">
        <v>398</v>
      </c>
      <c r="J9" s="135" t="s">
        <v>398</v>
      </c>
      <c r="K9" s="128" t="s">
        <v>398</v>
      </c>
      <c r="L9" s="128" t="s">
        <v>398</v>
      </c>
      <c r="M9" s="128" t="s">
        <v>398</v>
      </c>
      <c r="N9" s="128" t="s">
        <v>398</v>
      </c>
      <c r="O9" s="128" t="s">
        <v>398</v>
      </c>
      <c r="P9" s="128" t="s">
        <v>398</v>
      </c>
      <c r="Q9" s="128" t="s">
        <v>398</v>
      </c>
      <c r="R9" s="128" t="s">
        <v>398</v>
      </c>
      <c r="S9" s="128" t="s">
        <v>398</v>
      </c>
      <c r="T9" s="128" t="s">
        <v>398</v>
      </c>
      <c r="U9" s="128" t="s">
        <v>398</v>
      </c>
      <c r="V9" s="128" t="s">
        <v>398</v>
      </c>
      <c r="W9" s="136" t="s">
        <v>430</v>
      </c>
      <c r="X9" s="135" t="s">
        <v>431</v>
      </c>
      <c r="Y9" s="113" t="s">
        <v>432</v>
      </c>
      <c r="Z9" s="111">
        <v>42808</v>
      </c>
      <c r="AA9" s="126"/>
      <c r="AB9" s="113" t="s">
        <v>399</v>
      </c>
      <c r="AC9" s="111">
        <v>12867</v>
      </c>
      <c r="AD9" s="139"/>
      <c r="AE9" s="108" t="e">
        <f t="shared" si="0"/>
        <v>#NUM!</v>
      </c>
      <c r="AF9" s="138" t="s">
        <v>398</v>
      </c>
      <c r="AG9" s="126" t="s">
        <v>398</v>
      </c>
      <c r="AH9" s="131" t="s">
        <v>398</v>
      </c>
      <c r="AI9" s="125" t="s">
        <v>398</v>
      </c>
      <c r="AJ9" s="125" t="s">
        <v>398</v>
      </c>
      <c r="AK9" s="125" t="s">
        <v>398</v>
      </c>
      <c r="AL9" s="125" t="s">
        <v>398</v>
      </c>
      <c r="AM9" s="139" t="s">
        <v>398</v>
      </c>
      <c r="AN9" s="134" t="s">
        <v>398</v>
      </c>
      <c r="AO9" s="136" t="s">
        <v>398</v>
      </c>
      <c r="AP9" s="138" t="s">
        <v>398</v>
      </c>
      <c r="AQ9" s="138" t="s">
        <v>398</v>
      </c>
      <c r="AR9" s="138" t="s">
        <v>398</v>
      </c>
      <c r="AS9" s="138" t="s">
        <v>398</v>
      </c>
      <c r="AT9" s="138" t="s">
        <v>398</v>
      </c>
      <c r="AU9" s="138" t="s">
        <v>398</v>
      </c>
      <c r="AV9" s="138" t="s">
        <v>398</v>
      </c>
      <c r="AW9" s="138" t="s">
        <v>398</v>
      </c>
      <c r="AX9" s="138" t="s">
        <v>398</v>
      </c>
      <c r="AY9" s="138" t="s">
        <v>398</v>
      </c>
      <c r="AZ9" s="138" t="s">
        <v>398</v>
      </c>
      <c r="BA9" s="138" t="s">
        <v>398</v>
      </c>
      <c r="BB9" s="138" t="s">
        <v>398</v>
      </c>
      <c r="BC9" s="138" t="s">
        <v>398</v>
      </c>
      <c r="BD9" s="138" t="s">
        <v>398</v>
      </c>
      <c r="BE9" s="138" t="s">
        <v>398</v>
      </c>
      <c r="BF9" s="138" t="s">
        <v>398</v>
      </c>
      <c r="BG9" s="138" t="s">
        <v>398</v>
      </c>
      <c r="BH9" s="138" t="s">
        <v>398</v>
      </c>
      <c r="BI9" s="138" t="s">
        <v>398</v>
      </c>
      <c r="BJ9" s="138" t="s">
        <v>398</v>
      </c>
      <c r="BK9" s="138" t="s">
        <v>398</v>
      </c>
      <c r="BL9" s="138" t="s">
        <v>398</v>
      </c>
      <c r="BM9" s="138" t="s">
        <v>398</v>
      </c>
      <c r="BN9" s="138" t="s">
        <v>398</v>
      </c>
      <c r="BO9" s="138" t="s">
        <v>398</v>
      </c>
      <c r="BP9" s="138" t="s">
        <v>398</v>
      </c>
      <c r="BQ9" s="138" t="s">
        <v>398</v>
      </c>
      <c r="BR9" s="138" t="s">
        <v>398</v>
      </c>
      <c r="BS9" s="138" t="s">
        <v>398</v>
      </c>
      <c r="BT9" s="138" t="s">
        <v>398</v>
      </c>
      <c r="BU9" s="138" t="s">
        <v>398</v>
      </c>
      <c r="BV9" s="138" t="s">
        <v>398</v>
      </c>
      <c r="BW9" s="138" t="s">
        <v>398</v>
      </c>
      <c r="BX9" s="138" t="s">
        <v>398</v>
      </c>
      <c r="BY9" s="138" t="s">
        <v>398</v>
      </c>
      <c r="BZ9" s="138" t="s">
        <v>398</v>
      </c>
      <c r="CA9" s="138" t="s">
        <v>398</v>
      </c>
      <c r="CB9" s="138" t="s">
        <v>398</v>
      </c>
      <c r="CC9" s="138" t="s">
        <v>398</v>
      </c>
      <c r="CD9" s="138" t="s">
        <v>398</v>
      </c>
      <c r="CE9" s="138" t="s">
        <v>398</v>
      </c>
      <c r="CF9" s="138" t="s">
        <v>398</v>
      </c>
      <c r="CG9" s="138" t="s">
        <v>398</v>
      </c>
      <c r="CH9" s="138" t="s">
        <v>398</v>
      </c>
      <c r="CI9" s="138" t="s">
        <v>398</v>
      </c>
      <c r="CJ9" s="138" t="s">
        <v>398</v>
      </c>
      <c r="CK9" s="138" t="s">
        <v>398</v>
      </c>
      <c r="CL9" s="138" t="s">
        <v>398</v>
      </c>
      <c r="CM9" s="138" t="s">
        <v>398</v>
      </c>
      <c r="CN9" s="138" t="s">
        <v>398</v>
      </c>
      <c r="CO9" s="138" t="s">
        <v>398</v>
      </c>
      <c r="CP9" s="138" t="s">
        <v>398</v>
      </c>
      <c r="CQ9" s="138" t="s">
        <v>398</v>
      </c>
      <c r="CR9" s="138" t="s">
        <v>398</v>
      </c>
      <c r="CS9" s="138" t="s">
        <v>398</v>
      </c>
      <c r="CT9" s="138" t="s">
        <v>398</v>
      </c>
      <c r="CU9" s="138" t="s">
        <v>398</v>
      </c>
      <c r="CV9" s="138" t="s">
        <v>398</v>
      </c>
      <c r="CW9" s="138" t="s">
        <v>398</v>
      </c>
      <c r="CX9" s="138" t="s">
        <v>398</v>
      </c>
      <c r="CY9" s="138" t="s">
        <v>398</v>
      </c>
      <c r="CZ9" s="138" t="s">
        <v>398</v>
      </c>
      <c r="DA9" s="138" t="s">
        <v>398</v>
      </c>
      <c r="DB9" s="138" t="s">
        <v>398</v>
      </c>
      <c r="DC9" s="138" t="s">
        <v>398</v>
      </c>
      <c r="DD9" s="138" t="s">
        <v>398</v>
      </c>
      <c r="DE9" s="138" t="s">
        <v>398</v>
      </c>
      <c r="DF9" s="138" t="s">
        <v>398</v>
      </c>
      <c r="DG9" s="138" t="s">
        <v>398</v>
      </c>
      <c r="DH9" s="138" t="s">
        <v>398</v>
      </c>
      <c r="DI9" s="138" t="s">
        <v>398</v>
      </c>
      <c r="DJ9" s="138" t="s">
        <v>398</v>
      </c>
      <c r="DK9" s="138" t="s">
        <v>398</v>
      </c>
      <c r="DL9" s="138" t="s">
        <v>398</v>
      </c>
      <c r="DM9" s="138" t="s">
        <v>398</v>
      </c>
      <c r="DN9" s="138" t="s">
        <v>398</v>
      </c>
      <c r="DO9" s="138" t="s">
        <v>398</v>
      </c>
      <c r="DP9" s="138" t="s">
        <v>398</v>
      </c>
      <c r="DQ9" s="138" t="s">
        <v>398</v>
      </c>
      <c r="DR9" s="138" t="s">
        <v>398</v>
      </c>
      <c r="DS9" s="138" t="s">
        <v>398</v>
      </c>
      <c r="DT9" s="138" t="s">
        <v>398</v>
      </c>
      <c r="DU9" s="138" t="s">
        <v>398</v>
      </c>
      <c r="DV9" s="138" t="s">
        <v>398</v>
      </c>
      <c r="DW9" s="138" t="s">
        <v>398</v>
      </c>
      <c r="DX9" s="138" t="s">
        <v>398</v>
      </c>
      <c r="DY9" s="138" t="s">
        <v>398</v>
      </c>
      <c r="DZ9" s="138" t="s">
        <v>398</v>
      </c>
      <c r="EA9" s="138" t="s">
        <v>398</v>
      </c>
      <c r="EB9" s="138" t="s">
        <v>398</v>
      </c>
      <c r="EC9" s="138" t="s">
        <v>398</v>
      </c>
      <c r="ED9" s="138" t="s">
        <v>398</v>
      </c>
      <c r="EE9" s="138" t="s">
        <v>398</v>
      </c>
      <c r="EF9" s="138" t="s">
        <v>398</v>
      </c>
      <c r="EG9" s="138" t="s">
        <v>398</v>
      </c>
      <c r="EH9" s="138" t="s">
        <v>398</v>
      </c>
      <c r="EI9" s="138" t="s">
        <v>398</v>
      </c>
      <c r="EJ9" s="138" t="s">
        <v>398</v>
      </c>
      <c r="EK9" s="138" t="s">
        <v>398</v>
      </c>
      <c r="EL9" s="138" t="s">
        <v>398</v>
      </c>
      <c r="EM9" s="138" t="s">
        <v>398</v>
      </c>
      <c r="EN9" s="138" t="s">
        <v>398</v>
      </c>
      <c r="EO9" s="138" t="s">
        <v>398</v>
      </c>
      <c r="EP9" s="138" t="s">
        <v>398</v>
      </c>
      <c r="EQ9" s="138" t="s">
        <v>398</v>
      </c>
      <c r="ER9" s="138" t="s">
        <v>398</v>
      </c>
      <c r="ES9" s="138" t="s">
        <v>398</v>
      </c>
      <c r="ET9" s="138" t="s">
        <v>398</v>
      </c>
      <c r="EU9" s="138" t="s">
        <v>398</v>
      </c>
      <c r="EV9" s="138" t="s">
        <v>398</v>
      </c>
      <c r="EW9" s="138" t="s">
        <v>398</v>
      </c>
      <c r="EX9" s="138" t="s">
        <v>398</v>
      </c>
      <c r="EY9" s="138" t="s">
        <v>398</v>
      </c>
      <c r="EZ9" s="138" t="s">
        <v>398</v>
      </c>
      <c r="FA9" s="138" t="s">
        <v>398</v>
      </c>
      <c r="FB9" s="138" t="s">
        <v>398</v>
      </c>
      <c r="FC9" s="138" t="s">
        <v>398</v>
      </c>
      <c r="FD9" s="138" t="s">
        <v>398</v>
      </c>
      <c r="FE9" s="138" t="s">
        <v>398</v>
      </c>
      <c r="FF9" s="138" t="s">
        <v>398</v>
      </c>
      <c r="FG9" s="138" t="s">
        <v>398</v>
      </c>
      <c r="FH9" s="138" t="s">
        <v>398</v>
      </c>
      <c r="FI9" s="138" t="s">
        <v>398</v>
      </c>
      <c r="FJ9" s="138" t="s">
        <v>398</v>
      </c>
      <c r="FK9" s="138" t="s">
        <v>398</v>
      </c>
      <c r="FL9" s="138" t="s">
        <v>398</v>
      </c>
      <c r="FM9" s="138" t="s">
        <v>398</v>
      </c>
      <c r="FN9" s="138" t="s">
        <v>398</v>
      </c>
      <c r="FO9" s="138" t="s">
        <v>398</v>
      </c>
      <c r="FP9" s="138" t="s">
        <v>398</v>
      </c>
      <c r="FQ9" s="138" t="s">
        <v>398</v>
      </c>
      <c r="FR9" s="138" t="s">
        <v>398</v>
      </c>
      <c r="FS9" s="138" t="s">
        <v>398</v>
      </c>
      <c r="FT9" s="138" t="s">
        <v>398</v>
      </c>
      <c r="FU9" s="138" t="s">
        <v>398</v>
      </c>
      <c r="FV9" s="138" t="s">
        <v>398</v>
      </c>
      <c r="FW9" s="138" t="s">
        <v>398</v>
      </c>
      <c r="FX9" s="138" t="s">
        <v>398</v>
      </c>
      <c r="FY9" s="138" t="s">
        <v>398</v>
      </c>
      <c r="FZ9" s="138" t="s">
        <v>398</v>
      </c>
      <c r="GA9" s="138" t="s">
        <v>398</v>
      </c>
      <c r="GB9" s="138" t="s">
        <v>398</v>
      </c>
      <c r="GC9" s="138" t="s">
        <v>398</v>
      </c>
      <c r="GD9" s="138" t="s">
        <v>398</v>
      </c>
      <c r="GE9" s="138" t="s">
        <v>398</v>
      </c>
      <c r="GF9" s="138" t="s">
        <v>398</v>
      </c>
      <c r="GG9" s="138" t="s">
        <v>398</v>
      </c>
      <c r="GH9" s="138" t="s">
        <v>398</v>
      </c>
      <c r="GI9" s="138" t="s">
        <v>398</v>
      </c>
      <c r="GJ9" s="138" t="s">
        <v>398</v>
      </c>
      <c r="GK9" s="138" t="s">
        <v>398</v>
      </c>
      <c r="GL9" s="138" t="s">
        <v>398</v>
      </c>
      <c r="GM9" s="138" t="s">
        <v>398</v>
      </c>
      <c r="GN9" s="138" t="s">
        <v>398</v>
      </c>
      <c r="GO9" s="138" t="s">
        <v>398</v>
      </c>
      <c r="GP9" s="138" t="s">
        <v>398</v>
      </c>
      <c r="GQ9" s="138" t="s">
        <v>398</v>
      </c>
      <c r="GR9" s="138" t="s">
        <v>398</v>
      </c>
      <c r="GS9" s="138" t="s">
        <v>398</v>
      </c>
      <c r="GT9" s="138" t="s">
        <v>398</v>
      </c>
      <c r="GU9" s="138" t="s">
        <v>398</v>
      </c>
      <c r="GV9" s="138" t="s">
        <v>398</v>
      </c>
      <c r="GW9" s="138" t="s">
        <v>398</v>
      </c>
      <c r="GX9" s="138" t="s">
        <v>398</v>
      </c>
      <c r="GY9" s="138" t="s">
        <v>398</v>
      </c>
      <c r="GZ9" s="138" t="s">
        <v>398</v>
      </c>
      <c r="HA9" s="138" t="s">
        <v>398</v>
      </c>
      <c r="HB9" s="138" t="s">
        <v>398</v>
      </c>
      <c r="HC9" s="138" t="s">
        <v>398</v>
      </c>
      <c r="HD9" s="138" t="s">
        <v>398</v>
      </c>
      <c r="HE9" s="138" t="s">
        <v>398</v>
      </c>
      <c r="HF9" s="138" t="s">
        <v>398</v>
      </c>
      <c r="HG9" s="138" t="s">
        <v>398</v>
      </c>
      <c r="HH9" s="138" t="s">
        <v>398</v>
      </c>
      <c r="HI9" s="138" t="s">
        <v>398</v>
      </c>
      <c r="HJ9" s="138" t="s">
        <v>398</v>
      </c>
      <c r="HK9" s="138" t="s">
        <v>398</v>
      </c>
      <c r="HL9" s="138" t="s">
        <v>398</v>
      </c>
      <c r="HM9" s="138" t="s">
        <v>398</v>
      </c>
      <c r="HN9" s="138" t="s">
        <v>398</v>
      </c>
      <c r="HO9" s="138" t="s">
        <v>398</v>
      </c>
      <c r="HP9" s="138" t="s">
        <v>398</v>
      </c>
      <c r="HQ9" s="138" t="s">
        <v>398</v>
      </c>
      <c r="HR9" s="138" t="s">
        <v>398</v>
      </c>
      <c r="HS9" s="138" t="s">
        <v>398</v>
      </c>
      <c r="HT9" s="138" t="s">
        <v>398</v>
      </c>
      <c r="HU9" s="138" t="s">
        <v>398</v>
      </c>
      <c r="HV9" s="138" t="s">
        <v>398</v>
      </c>
      <c r="HW9" s="138" t="s">
        <v>398</v>
      </c>
      <c r="HX9" s="138" t="s">
        <v>398</v>
      </c>
      <c r="HY9" s="138" t="s">
        <v>398</v>
      </c>
      <c r="HZ9" s="138" t="s">
        <v>398</v>
      </c>
      <c r="IA9" s="138" t="s">
        <v>398</v>
      </c>
      <c r="IB9" s="138" t="s">
        <v>398</v>
      </c>
      <c r="IC9" s="138" t="s">
        <v>398</v>
      </c>
      <c r="ID9" s="138" t="s">
        <v>398</v>
      </c>
      <c r="IE9" s="138" t="s">
        <v>398</v>
      </c>
      <c r="IF9" s="138" t="s">
        <v>398</v>
      </c>
      <c r="IG9" s="138" t="s">
        <v>398</v>
      </c>
      <c r="IH9" s="138" t="s">
        <v>398</v>
      </c>
      <c r="II9" s="138" t="s">
        <v>398</v>
      </c>
      <c r="IJ9" s="138" t="s">
        <v>398</v>
      </c>
      <c r="IK9" s="138" t="s">
        <v>398</v>
      </c>
      <c r="IL9" s="138" t="s">
        <v>398</v>
      </c>
      <c r="IM9" s="138" t="s">
        <v>398</v>
      </c>
      <c r="IN9" s="138" t="s">
        <v>398</v>
      </c>
      <c r="IO9" s="138" t="s">
        <v>398</v>
      </c>
      <c r="IP9" s="138" t="s">
        <v>398</v>
      </c>
      <c r="IQ9" s="138" t="s">
        <v>398</v>
      </c>
      <c r="IR9" s="138" t="s">
        <v>398</v>
      </c>
      <c r="IS9" s="138" t="s">
        <v>398</v>
      </c>
      <c r="IT9" s="138" t="s">
        <v>398</v>
      </c>
      <c r="IU9" s="138" t="s">
        <v>398</v>
      </c>
      <c r="IV9" s="138" t="s">
        <v>398</v>
      </c>
      <c r="IW9" s="138" t="s">
        <v>398</v>
      </c>
      <c r="IX9" s="138" t="s">
        <v>398</v>
      </c>
      <c r="IY9" s="138" t="s">
        <v>398</v>
      </c>
      <c r="IZ9" s="138" t="s">
        <v>398</v>
      </c>
      <c r="JA9" s="138" t="s">
        <v>398</v>
      </c>
      <c r="JB9" s="138" t="s">
        <v>398</v>
      </c>
      <c r="JC9" s="138" t="s">
        <v>398</v>
      </c>
      <c r="JD9" s="138" t="s">
        <v>398</v>
      </c>
      <c r="JE9" s="138" t="s">
        <v>398</v>
      </c>
      <c r="JF9" s="138" t="s">
        <v>398</v>
      </c>
      <c r="JG9" s="138" t="s">
        <v>398</v>
      </c>
      <c r="JH9" s="138" t="s">
        <v>398</v>
      </c>
      <c r="JI9" s="138" t="s">
        <v>398</v>
      </c>
      <c r="JJ9" s="138" t="s">
        <v>398</v>
      </c>
      <c r="JK9" s="138" t="s">
        <v>398</v>
      </c>
      <c r="JL9" s="138" t="s">
        <v>398</v>
      </c>
      <c r="JM9" s="138" t="s">
        <v>398</v>
      </c>
      <c r="JN9" s="138" t="s">
        <v>398</v>
      </c>
      <c r="JO9" s="138" t="s">
        <v>398</v>
      </c>
      <c r="JP9" s="138" t="s">
        <v>398</v>
      </c>
      <c r="JQ9" s="138" t="s">
        <v>398</v>
      </c>
      <c r="JR9" s="138" t="s">
        <v>398</v>
      </c>
      <c r="JS9" s="138" t="s">
        <v>398</v>
      </c>
      <c r="JT9" s="138" t="s">
        <v>398</v>
      </c>
      <c r="JU9" s="138" t="s">
        <v>398</v>
      </c>
      <c r="JV9" s="138" t="s">
        <v>398</v>
      </c>
      <c r="JW9" s="138" t="s">
        <v>398</v>
      </c>
      <c r="JX9" s="138" t="s">
        <v>398</v>
      </c>
      <c r="JY9" s="138" t="s">
        <v>398</v>
      </c>
      <c r="JZ9" s="138" t="s">
        <v>398</v>
      </c>
      <c r="KA9" s="138" t="s">
        <v>398</v>
      </c>
      <c r="KB9" s="138" t="s">
        <v>398</v>
      </c>
      <c r="KC9" s="138" t="s">
        <v>398</v>
      </c>
      <c r="KD9" s="138" t="s">
        <v>398</v>
      </c>
      <c r="KE9" s="138" t="s">
        <v>398</v>
      </c>
      <c r="KF9" s="138" t="s">
        <v>398</v>
      </c>
      <c r="KG9" s="138" t="s">
        <v>398</v>
      </c>
      <c r="KH9" s="138" t="s">
        <v>398</v>
      </c>
      <c r="KI9" s="138" t="s">
        <v>398</v>
      </c>
      <c r="KJ9" s="138" t="s">
        <v>398</v>
      </c>
      <c r="KK9" s="138" t="s">
        <v>398</v>
      </c>
      <c r="KL9" s="138" t="s">
        <v>398</v>
      </c>
      <c r="KM9" s="138" t="s">
        <v>398</v>
      </c>
      <c r="KN9" s="138" t="s">
        <v>398</v>
      </c>
      <c r="KO9" s="138" t="s">
        <v>398</v>
      </c>
      <c r="KP9" s="138" t="s">
        <v>398</v>
      </c>
      <c r="KQ9" s="138" t="s">
        <v>398</v>
      </c>
      <c r="KR9" s="138" t="s">
        <v>398</v>
      </c>
      <c r="KS9" s="138" t="s">
        <v>398</v>
      </c>
      <c r="KT9" s="138" t="s">
        <v>398</v>
      </c>
      <c r="KU9" s="138" t="s">
        <v>398</v>
      </c>
      <c r="KV9" s="138" t="s">
        <v>398</v>
      </c>
      <c r="KW9" s="138" t="s">
        <v>398</v>
      </c>
      <c r="KX9" s="138" t="s">
        <v>398</v>
      </c>
      <c r="KY9" s="138" t="s">
        <v>398</v>
      </c>
      <c r="KZ9" s="138" t="s">
        <v>398</v>
      </c>
      <c r="LA9" s="138" t="s">
        <v>398</v>
      </c>
      <c r="LB9" s="138" t="s">
        <v>398</v>
      </c>
      <c r="LC9" s="138" t="s">
        <v>398</v>
      </c>
      <c r="LD9" s="138" t="s">
        <v>398</v>
      </c>
      <c r="LE9" s="138" t="s">
        <v>398</v>
      </c>
      <c r="LF9" s="138" t="s">
        <v>398</v>
      </c>
      <c r="LG9" s="138" t="s">
        <v>398</v>
      </c>
      <c r="LH9" s="138" t="s">
        <v>398</v>
      </c>
      <c r="LI9" s="138" t="s">
        <v>398</v>
      </c>
      <c r="LJ9" s="138" t="s">
        <v>398</v>
      </c>
      <c r="LK9" s="138" t="s">
        <v>398</v>
      </c>
      <c r="LL9" s="138" t="s">
        <v>398</v>
      </c>
      <c r="LM9" s="138" t="s">
        <v>398</v>
      </c>
      <c r="LN9" s="138" t="s">
        <v>398</v>
      </c>
      <c r="LO9" s="138" t="s">
        <v>398</v>
      </c>
      <c r="LP9" s="138" t="s">
        <v>398</v>
      </c>
      <c r="LQ9" s="138" t="s">
        <v>398</v>
      </c>
      <c r="LR9" s="138" t="s">
        <v>398</v>
      </c>
      <c r="LS9" s="138" t="s">
        <v>398</v>
      </c>
      <c r="LT9" s="138" t="s">
        <v>398</v>
      </c>
      <c r="LU9" s="138" t="s">
        <v>398</v>
      </c>
      <c r="LV9" s="138" t="s">
        <v>398</v>
      </c>
      <c r="LW9" s="138" t="s">
        <v>398</v>
      </c>
      <c r="LX9" s="138" t="s">
        <v>398</v>
      </c>
      <c r="LY9" s="138" t="s">
        <v>398</v>
      </c>
      <c r="LZ9" s="138" t="s">
        <v>398</v>
      </c>
      <c r="MA9" s="138" t="s">
        <v>398</v>
      </c>
      <c r="MB9" s="138" t="s">
        <v>398</v>
      </c>
      <c r="MC9" s="138" t="s">
        <v>398</v>
      </c>
      <c r="MD9" s="138" t="s">
        <v>398</v>
      </c>
      <c r="ME9" s="138" t="s">
        <v>398</v>
      </c>
      <c r="MF9" s="138" t="s">
        <v>398</v>
      </c>
      <c r="MG9" s="138" t="s">
        <v>398</v>
      </c>
      <c r="MH9" s="138" t="s">
        <v>398</v>
      </c>
      <c r="MI9" s="138" t="s">
        <v>398</v>
      </c>
      <c r="MJ9" s="138" t="s">
        <v>398</v>
      </c>
      <c r="MK9" s="138" t="s">
        <v>398</v>
      </c>
      <c r="ML9" s="138" t="s">
        <v>398</v>
      </c>
      <c r="MM9" s="138" t="s">
        <v>398</v>
      </c>
      <c r="MN9" s="138" t="s">
        <v>398</v>
      </c>
      <c r="MO9" s="138" t="s">
        <v>398</v>
      </c>
      <c r="MP9" s="138" t="s">
        <v>398</v>
      </c>
      <c r="MQ9" s="138" t="s">
        <v>398</v>
      </c>
      <c r="MR9" s="138" t="s">
        <v>398</v>
      </c>
      <c r="MS9" s="138" t="s">
        <v>398</v>
      </c>
      <c r="MT9" s="138" t="s">
        <v>398</v>
      </c>
      <c r="MU9" s="138" t="s">
        <v>398</v>
      </c>
      <c r="MV9" s="138" t="s">
        <v>398</v>
      </c>
      <c r="MW9" s="138" t="s">
        <v>398</v>
      </c>
      <c r="MX9" s="138" t="s">
        <v>398</v>
      </c>
      <c r="MY9" s="138" t="s">
        <v>398</v>
      </c>
      <c r="MZ9" s="138" t="s">
        <v>398</v>
      </c>
      <c r="NA9" s="138" t="s">
        <v>398</v>
      </c>
      <c r="NB9" s="138" t="s">
        <v>398</v>
      </c>
      <c r="NC9" s="138" t="s">
        <v>398</v>
      </c>
      <c r="ND9" s="138" t="s">
        <v>398</v>
      </c>
      <c r="NE9" s="138" t="s">
        <v>398</v>
      </c>
      <c r="NF9" s="138" t="s">
        <v>398</v>
      </c>
      <c r="NG9" s="138" t="s">
        <v>398</v>
      </c>
      <c r="NH9" s="138" t="s">
        <v>398</v>
      </c>
      <c r="NI9" s="138" t="s">
        <v>398</v>
      </c>
      <c r="NJ9" s="138" t="s">
        <v>398</v>
      </c>
      <c r="NK9" s="138" t="s">
        <v>398</v>
      </c>
      <c r="NL9" s="138" t="s">
        <v>398</v>
      </c>
      <c r="NM9" s="138" t="s">
        <v>398</v>
      </c>
      <c r="NN9" s="138" t="s">
        <v>398</v>
      </c>
      <c r="NO9" s="138" t="s">
        <v>398</v>
      </c>
      <c r="NP9" s="138" t="s">
        <v>398</v>
      </c>
      <c r="NQ9" s="138" t="s">
        <v>398</v>
      </c>
      <c r="NR9" s="138" t="s">
        <v>398</v>
      </c>
      <c r="NS9" s="138" t="s">
        <v>398</v>
      </c>
      <c r="NT9" s="138" t="s">
        <v>398</v>
      </c>
      <c r="NU9" s="138" t="s">
        <v>398</v>
      </c>
      <c r="NV9" s="138" t="s">
        <v>398</v>
      </c>
      <c r="NW9" s="138" t="s">
        <v>398</v>
      </c>
      <c r="NX9" s="138" t="s">
        <v>398</v>
      </c>
      <c r="NY9" s="138" t="s">
        <v>398</v>
      </c>
      <c r="NZ9" s="138" t="s">
        <v>398</v>
      </c>
    </row>
    <row r="10" spans="1:390" ht="15.75" customHeight="1" x14ac:dyDescent="0.3">
      <c r="A10" s="125">
        <v>4367569659</v>
      </c>
      <c r="B10" s="159"/>
      <c r="C10" s="126"/>
      <c r="D10" s="213" t="s">
        <v>391</v>
      </c>
      <c r="E10" s="135" t="s">
        <v>433</v>
      </c>
      <c r="F10" s="125" t="s">
        <v>422</v>
      </c>
      <c r="G10" s="125" t="s">
        <v>417</v>
      </c>
      <c r="H10" s="112">
        <v>42808</v>
      </c>
      <c r="I10" s="135" t="s">
        <v>434</v>
      </c>
      <c r="J10" s="135" t="s">
        <v>397</v>
      </c>
      <c r="K10" s="128" t="s">
        <v>398</v>
      </c>
      <c r="L10" s="128" t="s">
        <v>398</v>
      </c>
      <c r="M10" s="128" t="s">
        <v>398</v>
      </c>
      <c r="N10" s="128" t="s">
        <v>398</v>
      </c>
      <c r="O10" s="128" t="s">
        <v>398</v>
      </c>
      <c r="P10" s="128" t="s">
        <v>398</v>
      </c>
      <c r="Q10" s="128" t="s">
        <v>398</v>
      </c>
      <c r="R10" s="128" t="s">
        <v>398</v>
      </c>
      <c r="S10" s="128" t="s">
        <v>398</v>
      </c>
      <c r="T10" s="128" t="s">
        <v>398</v>
      </c>
      <c r="U10" s="128" t="s">
        <v>398</v>
      </c>
      <c r="V10" s="128" t="s">
        <v>398</v>
      </c>
      <c r="W10" s="136" t="s">
        <v>433</v>
      </c>
      <c r="X10" s="135" t="s">
        <v>435</v>
      </c>
      <c r="Y10" s="113" t="s">
        <v>410</v>
      </c>
      <c r="Z10" s="111">
        <v>42808</v>
      </c>
      <c r="AA10" s="126"/>
      <c r="AB10" s="113" t="s">
        <v>399</v>
      </c>
      <c r="AC10" s="111">
        <v>12927</v>
      </c>
      <c r="AD10" s="139"/>
      <c r="AE10" s="108" t="e">
        <f t="shared" si="0"/>
        <v>#NUM!</v>
      </c>
      <c r="AF10" s="138" t="s">
        <v>411</v>
      </c>
      <c r="AG10" s="126" t="s">
        <v>401</v>
      </c>
      <c r="AH10" s="131" t="s">
        <v>402</v>
      </c>
      <c r="AI10" s="125" t="s">
        <v>412</v>
      </c>
      <c r="AJ10" s="125">
        <v>0</v>
      </c>
      <c r="AK10" s="125">
        <v>0</v>
      </c>
      <c r="AL10" s="125">
        <v>0</v>
      </c>
      <c r="AM10" s="139" t="s">
        <v>414</v>
      </c>
      <c r="AN10" s="134">
        <v>3</v>
      </c>
      <c r="AO10" s="136" t="s">
        <v>398</v>
      </c>
      <c r="AP10" s="126"/>
      <c r="AQ10" s="106"/>
      <c r="AR10" s="91"/>
      <c r="AS10" s="104"/>
      <c r="AT10" s="104"/>
      <c r="AU10" s="104"/>
      <c r="AV10" s="104"/>
      <c r="AW10" s="91"/>
      <c r="AX10" s="104"/>
      <c r="AY10" s="104"/>
      <c r="AZ10" s="104"/>
      <c r="BA10" s="104"/>
      <c r="BB10" s="91"/>
      <c r="BC10" s="104"/>
      <c r="BD10" s="104"/>
      <c r="BE10" s="104"/>
      <c r="BF10" s="104"/>
      <c r="BG10" s="91"/>
      <c r="BH10" s="104"/>
      <c r="BI10" s="104"/>
      <c r="BJ10" s="104"/>
      <c r="BK10" s="104"/>
      <c r="BL10" s="91"/>
      <c r="BM10" s="104"/>
      <c r="BN10" s="104"/>
      <c r="BO10" s="104"/>
      <c r="BP10" s="104"/>
      <c r="BQ10" s="91"/>
      <c r="BR10" s="104"/>
      <c r="BS10" s="104"/>
      <c r="BT10" s="104"/>
      <c r="BU10" s="104"/>
      <c r="BV10" s="91"/>
      <c r="BW10" s="104"/>
      <c r="BX10" s="104"/>
      <c r="BY10" s="104"/>
      <c r="BZ10" s="104"/>
      <c r="CA10" s="91"/>
      <c r="CB10" s="104"/>
      <c r="CC10" s="104"/>
      <c r="CD10" s="104"/>
      <c r="CE10" s="104"/>
      <c r="CF10" s="91"/>
      <c r="CG10" s="104"/>
      <c r="CH10" s="104"/>
      <c r="CI10" s="104"/>
      <c r="CJ10" s="104"/>
      <c r="CK10" s="91"/>
      <c r="CL10" s="104"/>
      <c r="CM10" s="104"/>
      <c r="CN10" s="104"/>
      <c r="CO10" s="104"/>
      <c r="CP10" s="91"/>
      <c r="CQ10" s="104"/>
      <c r="CR10" s="104"/>
      <c r="CS10" s="104"/>
      <c r="CT10" s="104"/>
      <c r="CU10" s="91"/>
      <c r="CV10" s="104"/>
      <c r="CW10" s="104"/>
      <c r="CX10" s="104"/>
      <c r="CY10" s="104"/>
      <c r="CZ10" s="91"/>
      <c r="DA10" s="104"/>
      <c r="DB10" s="104"/>
      <c r="DC10" s="104"/>
      <c r="DD10" s="104"/>
      <c r="DE10" s="91"/>
      <c r="DF10" s="104"/>
      <c r="DG10" s="104"/>
      <c r="DH10" s="104"/>
      <c r="DI10" s="104"/>
      <c r="DJ10" s="91"/>
      <c r="DK10" s="104"/>
      <c r="DL10" s="104"/>
      <c r="DM10" s="104"/>
      <c r="DN10" s="104"/>
      <c r="DO10" s="91"/>
      <c r="DP10" s="104"/>
      <c r="DQ10" s="104"/>
      <c r="DR10" s="104"/>
      <c r="DS10" s="104"/>
      <c r="DT10" s="91"/>
      <c r="DU10" s="104"/>
      <c r="DV10" s="104"/>
      <c r="DW10" s="104"/>
      <c r="DX10" s="104"/>
      <c r="DY10" s="91"/>
      <c r="DZ10" s="104"/>
      <c r="EA10" s="104"/>
      <c r="EB10" s="104"/>
      <c r="EC10" s="104"/>
      <c r="ED10" s="91"/>
      <c r="EE10" s="104"/>
      <c r="EF10" s="104"/>
      <c r="EG10" s="104"/>
      <c r="EH10" s="104"/>
      <c r="EI10" s="91"/>
      <c r="EJ10" s="104"/>
      <c r="EK10" s="104"/>
      <c r="EL10" s="104"/>
      <c r="EM10" s="104"/>
      <c r="EN10" s="91"/>
      <c r="EO10" s="104"/>
      <c r="EP10" s="104"/>
      <c r="EQ10" s="104"/>
      <c r="ER10" s="104"/>
      <c r="ES10" s="91"/>
      <c r="ET10" s="104"/>
      <c r="EU10" s="104"/>
      <c r="EV10" s="104"/>
      <c r="EW10" s="104"/>
      <c r="EX10" s="91"/>
      <c r="EY10" s="104"/>
      <c r="EZ10" s="104"/>
      <c r="FA10" s="104"/>
      <c r="FB10" s="104"/>
      <c r="FC10" s="91"/>
      <c r="FD10" s="104"/>
      <c r="FE10" s="104"/>
      <c r="FF10" s="104"/>
      <c r="FG10" s="104"/>
      <c r="FH10" s="91"/>
      <c r="FI10" s="104"/>
      <c r="FJ10" s="104"/>
      <c r="FK10" s="104"/>
      <c r="FL10" s="104"/>
      <c r="FM10" s="104"/>
      <c r="FN10" s="104"/>
      <c r="FO10" s="104"/>
      <c r="FP10" s="104"/>
      <c r="FQ10" s="104"/>
      <c r="FR10" s="104"/>
      <c r="FS10" s="104"/>
      <c r="FT10" s="104"/>
      <c r="FU10" s="104"/>
      <c r="FV10" s="104"/>
      <c r="FW10" s="104"/>
      <c r="FX10" s="104"/>
      <c r="FY10" s="104"/>
      <c r="FZ10" s="104"/>
      <c r="GA10" s="104"/>
      <c r="GB10" s="104"/>
      <c r="GC10" s="104"/>
      <c r="GD10" s="104"/>
      <c r="GE10" s="104"/>
      <c r="GF10" s="104"/>
      <c r="GG10" s="104"/>
      <c r="GH10" s="104"/>
      <c r="GI10" s="104"/>
      <c r="GJ10" s="104"/>
      <c r="GK10" s="104"/>
      <c r="GL10" s="104"/>
      <c r="GM10" s="104"/>
      <c r="GN10" s="104"/>
      <c r="GO10" s="104"/>
      <c r="GP10" s="91"/>
      <c r="GQ10" s="104"/>
      <c r="GR10" s="104"/>
      <c r="GS10" s="104"/>
      <c r="GT10" s="104"/>
      <c r="GU10" s="91"/>
      <c r="GV10" s="104"/>
      <c r="GW10" s="104"/>
      <c r="GX10" s="104"/>
      <c r="GY10" s="104"/>
      <c r="GZ10" s="91"/>
      <c r="HA10" s="104"/>
      <c r="HB10" s="104"/>
      <c r="HC10" s="104"/>
      <c r="HD10" s="104"/>
      <c r="HE10" s="91"/>
      <c r="HF10" s="104"/>
      <c r="HG10" s="104"/>
      <c r="HH10" s="104"/>
      <c r="HI10" s="104"/>
      <c r="HJ10" s="91"/>
      <c r="HK10" s="104"/>
      <c r="HL10" s="104"/>
      <c r="HM10" s="104"/>
      <c r="HN10" s="104"/>
      <c r="HO10" s="91"/>
      <c r="HP10" s="104"/>
      <c r="HQ10" s="104"/>
      <c r="HR10" s="104"/>
      <c r="HS10" s="104"/>
      <c r="HT10" s="91"/>
      <c r="HU10" s="104"/>
      <c r="HV10" s="104"/>
      <c r="HW10" s="104"/>
      <c r="HX10" s="104"/>
      <c r="HY10" s="91"/>
      <c r="HZ10" s="104"/>
      <c r="IA10" s="104"/>
      <c r="IB10" s="104"/>
      <c r="IC10" s="104"/>
      <c r="ID10" s="91"/>
      <c r="IE10" s="104"/>
      <c r="IF10" s="104"/>
      <c r="IG10" s="104"/>
      <c r="IH10" s="104"/>
      <c r="II10" s="91"/>
      <c r="IJ10" s="104"/>
      <c r="IK10" s="104"/>
      <c r="IL10" s="104"/>
      <c r="IM10" s="104"/>
      <c r="IN10" s="91"/>
      <c r="IO10" s="104"/>
      <c r="IP10" s="104"/>
      <c r="IQ10" s="104"/>
      <c r="IR10" s="104"/>
      <c r="IS10" s="91"/>
      <c r="IT10" s="104"/>
      <c r="IU10" s="104"/>
      <c r="IV10" s="104"/>
      <c r="IW10" s="104"/>
      <c r="IX10" s="91"/>
      <c r="IY10" s="104"/>
      <c r="IZ10" s="104"/>
      <c r="JA10" s="104"/>
      <c r="JB10" s="104"/>
      <c r="JC10" s="91"/>
      <c r="JD10" s="104"/>
      <c r="JE10" s="104"/>
      <c r="JF10" s="104"/>
      <c r="JG10" s="105"/>
      <c r="JH10" s="91"/>
      <c r="JI10" s="106"/>
      <c r="JJ10" s="104"/>
      <c r="JK10" s="104"/>
      <c r="JL10" s="105"/>
      <c r="JM10" s="95"/>
      <c r="JN10" s="107"/>
      <c r="JO10" s="79"/>
      <c r="JP10" s="106"/>
      <c r="JQ10" s="104"/>
      <c r="JR10" s="104"/>
      <c r="JS10" s="104"/>
      <c r="JT10" s="104"/>
      <c r="JU10" s="104"/>
      <c r="JV10" s="104"/>
      <c r="JW10" s="104"/>
      <c r="JX10" s="104"/>
      <c r="JY10" s="104"/>
      <c r="JZ10" s="104"/>
      <c r="KA10" s="104"/>
      <c r="KB10" s="104"/>
      <c r="KC10" s="104"/>
      <c r="KD10" s="104"/>
      <c r="KE10" s="104"/>
      <c r="KF10" s="104"/>
      <c r="KG10" s="104"/>
      <c r="KH10" s="104"/>
      <c r="KI10" s="104"/>
      <c r="KJ10" s="104"/>
      <c r="KK10" s="104"/>
      <c r="KL10" s="104"/>
      <c r="KM10" s="104"/>
      <c r="KN10" s="104"/>
      <c r="KO10" s="104"/>
      <c r="KP10" s="104"/>
      <c r="KQ10" s="104"/>
      <c r="KR10" s="104"/>
      <c r="KS10" s="104"/>
      <c r="KT10" s="104"/>
      <c r="KU10" s="104"/>
      <c r="KV10" s="104"/>
      <c r="KW10" s="104"/>
      <c r="KX10" s="104"/>
      <c r="KY10" s="104"/>
      <c r="KZ10" s="104"/>
      <c r="LA10" s="104"/>
      <c r="LB10" s="104"/>
      <c r="LC10" s="104"/>
      <c r="LD10" s="104"/>
      <c r="LE10" s="104"/>
      <c r="LF10" s="104"/>
      <c r="LG10" s="104"/>
      <c r="LH10" s="104"/>
      <c r="LI10" s="104"/>
      <c r="LJ10" s="104"/>
      <c r="LK10" s="104"/>
      <c r="LL10" s="104"/>
      <c r="LM10" s="104"/>
      <c r="LN10" s="104"/>
      <c r="LO10" s="104"/>
      <c r="LP10" s="104"/>
      <c r="LQ10" s="104"/>
      <c r="LR10" s="104"/>
      <c r="LS10" s="104"/>
      <c r="LT10" s="104"/>
      <c r="LU10" s="104"/>
      <c r="LV10" s="104"/>
      <c r="LW10" s="104"/>
      <c r="LX10" s="104"/>
      <c r="LY10" s="104"/>
      <c r="LZ10" s="104"/>
      <c r="MA10" s="104"/>
      <c r="MB10" s="104"/>
      <c r="MC10" s="104"/>
      <c r="MD10" s="103"/>
      <c r="ME10" s="103"/>
      <c r="MF10" s="103"/>
      <c r="MG10" s="103"/>
      <c r="MH10" s="103"/>
      <c r="MI10" s="103"/>
      <c r="MJ10" s="103"/>
      <c r="MK10" s="103"/>
      <c r="ML10" s="103"/>
      <c r="MM10" s="103"/>
      <c r="MN10" s="103"/>
      <c r="MO10" s="103"/>
      <c r="MP10" s="103"/>
      <c r="MQ10" s="103"/>
      <c r="MR10" s="103"/>
      <c r="MS10" s="103"/>
      <c r="MT10" s="103"/>
      <c r="MU10" s="103"/>
      <c r="MV10" s="103"/>
      <c r="MW10" s="103"/>
      <c r="MX10" s="103"/>
      <c r="MY10" s="103"/>
      <c r="MZ10" s="103"/>
      <c r="NA10" s="103"/>
      <c r="NB10" s="103"/>
      <c r="NC10" s="103"/>
      <c r="ND10" s="103"/>
      <c r="NE10" s="103"/>
      <c r="NF10" s="103"/>
      <c r="NG10" s="103"/>
      <c r="NH10" s="103"/>
      <c r="NI10" s="103"/>
      <c r="NJ10" s="103"/>
      <c r="NK10" s="103"/>
      <c r="NL10" s="103"/>
      <c r="NM10" s="103"/>
      <c r="NN10" s="103"/>
      <c r="NO10" s="103"/>
      <c r="NP10" s="103"/>
      <c r="NQ10" s="103"/>
      <c r="NR10" s="103"/>
      <c r="NS10" s="103"/>
      <c r="NT10" s="103"/>
      <c r="NU10" s="103"/>
      <c r="NV10" s="103"/>
      <c r="NW10" s="103"/>
      <c r="NX10" s="103"/>
      <c r="NY10" s="104"/>
      <c r="NZ10" s="104"/>
    </row>
    <row r="11" spans="1:390" ht="15.75" customHeight="1" x14ac:dyDescent="0.3">
      <c r="A11" s="125">
        <v>4581564212</v>
      </c>
      <c r="B11" s="159"/>
      <c r="C11" s="126"/>
      <c r="D11" s="213" t="s">
        <v>391</v>
      </c>
      <c r="E11" s="135" t="s">
        <v>436</v>
      </c>
      <c r="F11" s="125" t="s">
        <v>417</v>
      </c>
      <c r="G11" s="125" t="s">
        <v>437</v>
      </c>
      <c r="H11" s="111">
        <v>42809</v>
      </c>
      <c r="I11" s="135" t="s">
        <v>396</v>
      </c>
      <c r="J11" s="135" t="s">
        <v>397</v>
      </c>
      <c r="K11" s="128" t="s">
        <v>398</v>
      </c>
      <c r="L11" s="128" t="s">
        <v>398</v>
      </c>
      <c r="M11" s="128" t="s">
        <v>398</v>
      </c>
      <c r="N11" s="128" t="s">
        <v>398</v>
      </c>
      <c r="O11" s="128" t="s">
        <v>398</v>
      </c>
      <c r="P11" s="128" t="s">
        <v>398</v>
      </c>
      <c r="Q11" s="128" t="s">
        <v>398</v>
      </c>
      <c r="R11" s="128" t="s">
        <v>398</v>
      </c>
      <c r="S11" s="128" t="s">
        <v>398</v>
      </c>
      <c r="T11" s="128" t="s">
        <v>398</v>
      </c>
      <c r="U11" s="128" t="s">
        <v>398</v>
      </c>
      <c r="V11" s="128" t="s">
        <v>398</v>
      </c>
      <c r="W11" s="136" t="s">
        <v>398</v>
      </c>
      <c r="X11" s="135" t="s">
        <v>398</v>
      </c>
      <c r="Y11" s="113" t="s">
        <v>398</v>
      </c>
      <c r="Z11" s="113" t="s">
        <v>398</v>
      </c>
      <c r="AA11" s="126"/>
      <c r="AB11" s="113" t="s">
        <v>399</v>
      </c>
      <c r="AC11" s="111">
        <v>19418</v>
      </c>
      <c r="AD11" s="139"/>
      <c r="AE11" s="108" t="e">
        <f t="shared" si="0"/>
        <v>#NUM!</v>
      </c>
      <c r="AF11" s="138" t="s">
        <v>438</v>
      </c>
      <c r="AG11" s="126" t="s">
        <v>401</v>
      </c>
      <c r="AH11" s="131" t="s">
        <v>402</v>
      </c>
      <c r="AI11" s="125">
        <v>2</v>
      </c>
      <c r="AJ11" s="125">
        <v>0</v>
      </c>
      <c r="AK11" s="125">
        <v>0</v>
      </c>
      <c r="AL11" s="125">
        <v>0</v>
      </c>
      <c r="AM11" s="139" t="s">
        <v>424</v>
      </c>
      <c r="AN11" s="134">
        <v>3</v>
      </c>
      <c r="AO11" s="136" t="s">
        <v>398</v>
      </c>
      <c r="AP11" s="126"/>
      <c r="AQ11" s="106"/>
      <c r="AR11" s="91"/>
      <c r="AS11" s="104"/>
      <c r="AT11" s="104"/>
      <c r="AU11" s="104"/>
      <c r="AV11" s="104"/>
      <c r="AW11" s="91"/>
      <c r="AX11" s="104"/>
      <c r="AY11" s="104"/>
      <c r="AZ11" s="104"/>
      <c r="BA11" s="104"/>
      <c r="BB11" s="91"/>
      <c r="BC11" s="104"/>
      <c r="BD11" s="104"/>
      <c r="BE11" s="104"/>
      <c r="BF11" s="104"/>
      <c r="BG11" s="91"/>
      <c r="BH11" s="104"/>
      <c r="BI11" s="104"/>
      <c r="BJ11" s="104"/>
      <c r="BK11" s="104"/>
      <c r="BL11" s="91"/>
      <c r="BM11" s="104"/>
      <c r="BN11" s="104"/>
      <c r="BO11" s="104"/>
      <c r="BP11" s="104"/>
      <c r="BQ11" s="91"/>
      <c r="BR11" s="104"/>
      <c r="BS11" s="104"/>
      <c r="BT11" s="104"/>
      <c r="BU11" s="104"/>
      <c r="BV11" s="91"/>
      <c r="BW11" s="104"/>
      <c r="BX11" s="104"/>
      <c r="BY11" s="104"/>
      <c r="BZ11" s="104"/>
      <c r="CA11" s="91"/>
      <c r="CB11" s="104"/>
      <c r="CC11" s="104"/>
      <c r="CD11" s="104"/>
      <c r="CE11" s="104"/>
      <c r="CF11" s="91"/>
      <c r="CG11" s="104"/>
      <c r="CH11" s="104"/>
      <c r="CI11" s="104"/>
      <c r="CJ11" s="104"/>
      <c r="CK11" s="91"/>
      <c r="CL11" s="104"/>
      <c r="CM11" s="104"/>
      <c r="CN11" s="104"/>
      <c r="CO11" s="104"/>
      <c r="CP11" s="91"/>
      <c r="CQ11" s="104"/>
      <c r="CR11" s="104"/>
      <c r="CS11" s="104"/>
      <c r="CT11" s="104"/>
      <c r="CU11" s="91"/>
      <c r="CV11" s="104"/>
      <c r="CW11" s="104"/>
      <c r="CX11" s="104"/>
      <c r="CY11" s="104"/>
      <c r="CZ11" s="91"/>
      <c r="DA11" s="104"/>
      <c r="DB11" s="104"/>
      <c r="DC11" s="104"/>
      <c r="DD11" s="104"/>
      <c r="DE11" s="91"/>
      <c r="DF11" s="104"/>
      <c r="DG11" s="104"/>
      <c r="DH11" s="104"/>
      <c r="DI11" s="104"/>
      <c r="DJ11" s="91"/>
      <c r="DK11" s="104"/>
      <c r="DL11" s="104"/>
      <c r="DM11" s="104"/>
      <c r="DN11" s="104"/>
      <c r="DO11" s="91"/>
      <c r="DP11" s="104"/>
      <c r="DQ11" s="104"/>
      <c r="DR11" s="104"/>
      <c r="DS11" s="104"/>
      <c r="DT11" s="91"/>
      <c r="DU11" s="104"/>
      <c r="DV11" s="104"/>
      <c r="DW11" s="104"/>
      <c r="DX11" s="104"/>
      <c r="DY11" s="91"/>
      <c r="DZ11" s="104"/>
      <c r="EA11" s="104"/>
      <c r="EB11" s="104"/>
      <c r="EC11" s="104"/>
      <c r="ED11" s="91"/>
      <c r="EE11" s="104"/>
      <c r="EF11" s="104"/>
      <c r="EG11" s="104"/>
      <c r="EH11" s="104"/>
      <c r="EI11" s="91"/>
      <c r="EJ11" s="104"/>
      <c r="EK11" s="104"/>
      <c r="EL11" s="104"/>
      <c r="EM11" s="104"/>
      <c r="EN11" s="91"/>
      <c r="EO11" s="104"/>
      <c r="EP11" s="104"/>
      <c r="EQ11" s="104"/>
      <c r="ER11" s="104"/>
      <c r="ES11" s="91"/>
      <c r="ET11" s="104"/>
      <c r="EU11" s="104"/>
      <c r="EV11" s="104"/>
      <c r="EW11" s="104"/>
      <c r="EX11" s="91"/>
      <c r="EY11" s="104"/>
      <c r="EZ11" s="104"/>
      <c r="FA11" s="104"/>
      <c r="FB11" s="104"/>
      <c r="FC11" s="91"/>
      <c r="FD11" s="104"/>
      <c r="FE11" s="104"/>
      <c r="FF11" s="104"/>
      <c r="FG11" s="104"/>
      <c r="FH11" s="91"/>
      <c r="FI11" s="104"/>
      <c r="FJ11" s="104"/>
      <c r="FK11" s="104"/>
      <c r="FL11" s="104"/>
      <c r="FM11" s="104"/>
      <c r="FN11" s="104"/>
      <c r="FO11" s="104"/>
      <c r="FP11" s="104"/>
      <c r="FQ11" s="104"/>
      <c r="FR11" s="104"/>
      <c r="FS11" s="104"/>
      <c r="FT11" s="104"/>
      <c r="FU11" s="104"/>
      <c r="FV11" s="104"/>
      <c r="FW11" s="104"/>
      <c r="FX11" s="104"/>
      <c r="FY11" s="104"/>
      <c r="FZ11" s="104"/>
      <c r="GA11" s="104"/>
      <c r="GB11" s="104"/>
      <c r="GC11" s="104"/>
      <c r="GD11" s="104"/>
      <c r="GE11" s="104"/>
      <c r="GF11" s="104"/>
      <c r="GG11" s="104"/>
      <c r="GH11" s="104"/>
      <c r="GI11" s="104"/>
      <c r="GJ11" s="104"/>
      <c r="GK11" s="104"/>
      <c r="GL11" s="104"/>
      <c r="GM11" s="104"/>
      <c r="GN11" s="104"/>
      <c r="GO11" s="104"/>
      <c r="GP11" s="91"/>
      <c r="GQ11" s="104"/>
      <c r="GR11" s="104"/>
      <c r="GS11" s="104"/>
      <c r="GT11" s="104"/>
      <c r="GU11" s="91"/>
      <c r="GV11" s="104"/>
      <c r="GW11" s="104"/>
      <c r="GX11" s="104"/>
      <c r="GY11" s="104"/>
      <c r="GZ11" s="91"/>
      <c r="HA11" s="104"/>
      <c r="HB11" s="104"/>
      <c r="HC11" s="104"/>
      <c r="HD11" s="104"/>
      <c r="HE11" s="91"/>
      <c r="HF11" s="104"/>
      <c r="HG11" s="104"/>
      <c r="HH11" s="104"/>
      <c r="HI11" s="104"/>
      <c r="HJ11" s="91"/>
      <c r="HK11" s="104"/>
      <c r="HL11" s="104"/>
      <c r="HM11" s="104"/>
      <c r="HN11" s="104"/>
      <c r="HO11" s="91"/>
      <c r="HP11" s="104"/>
      <c r="HQ11" s="104"/>
      <c r="HR11" s="104"/>
      <c r="HS11" s="104"/>
      <c r="HT11" s="91"/>
      <c r="HU11" s="104"/>
      <c r="HV11" s="104"/>
      <c r="HW11" s="104"/>
      <c r="HX11" s="104"/>
      <c r="HY11" s="91"/>
      <c r="HZ11" s="104"/>
      <c r="IA11" s="104"/>
      <c r="IB11" s="104"/>
      <c r="IC11" s="104"/>
      <c r="ID11" s="91"/>
      <c r="IE11" s="104"/>
      <c r="IF11" s="104"/>
      <c r="IG11" s="104"/>
      <c r="IH11" s="104"/>
      <c r="II11" s="91"/>
      <c r="IJ11" s="104"/>
      <c r="IK11" s="104"/>
      <c r="IL11" s="104"/>
      <c r="IM11" s="104"/>
      <c r="IN11" s="91"/>
      <c r="IO11" s="104"/>
      <c r="IP11" s="104"/>
      <c r="IQ11" s="104"/>
      <c r="IR11" s="104"/>
      <c r="IS11" s="91"/>
      <c r="IT11" s="104"/>
      <c r="IU11" s="104"/>
      <c r="IV11" s="104"/>
      <c r="IW11" s="104"/>
      <c r="IX11" s="91"/>
      <c r="IY11" s="104"/>
      <c r="IZ11" s="104"/>
      <c r="JA11" s="104"/>
      <c r="JB11" s="104"/>
      <c r="JC11" s="91"/>
      <c r="JD11" s="104"/>
      <c r="JE11" s="104"/>
      <c r="JF11" s="104"/>
      <c r="JG11" s="105"/>
      <c r="JH11" s="91"/>
      <c r="JI11" s="106"/>
      <c r="JJ11" s="104"/>
      <c r="JK11" s="104"/>
      <c r="JL11" s="105"/>
      <c r="JM11" s="95"/>
      <c r="JN11" s="107"/>
      <c r="JO11" s="79"/>
      <c r="JP11" s="106"/>
      <c r="JQ11" s="104"/>
      <c r="JR11" s="104"/>
      <c r="JS11" s="104"/>
      <c r="JT11" s="104"/>
      <c r="JU11" s="104"/>
      <c r="JV11" s="104"/>
      <c r="JW11" s="104"/>
      <c r="JX11" s="104"/>
      <c r="JY11" s="104"/>
      <c r="JZ11" s="104"/>
      <c r="KA11" s="104"/>
      <c r="KB11" s="104"/>
      <c r="KC11" s="104"/>
      <c r="KD11" s="104"/>
      <c r="KE11" s="104"/>
      <c r="KF11" s="104"/>
      <c r="KG11" s="104"/>
      <c r="KH11" s="104"/>
      <c r="KI11" s="104"/>
      <c r="KJ11" s="104"/>
      <c r="KK11" s="104"/>
      <c r="KL11" s="104"/>
      <c r="KM11" s="104"/>
      <c r="KN11" s="104"/>
      <c r="KO11" s="104"/>
      <c r="KP11" s="104"/>
      <c r="KQ11" s="104"/>
      <c r="KR11" s="104"/>
      <c r="KS11" s="104"/>
      <c r="KT11" s="104"/>
      <c r="KU11" s="104"/>
      <c r="KV11" s="104"/>
      <c r="KW11" s="104"/>
      <c r="KX11" s="104"/>
      <c r="KY11" s="104"/>
      <c r="KZ11" s="104"/>
      <c r="LA11" s="104"/>
      <c r="LB11" s="104"/>
      <c r="LC11" s="104"/>
      <c r="LD11" s="104"/>
      <c r="LE11" s="104"/>
      <c r="LF11" s="104"/>
      <c r="LG11" s="104"/>
      <c r="LH11" s="104"/>
      <c r="LI11" s="104"/>
      <c r="LJ11" s="104"/>
      <c r="LK11" s="104"/>
      <c r="LL11" s="104"/>
      <c r="LM11" s="104"/>
      <c r="LN11" s="104"/>
      <c r="LO11" s="104"/>
      <c r="LP11" s="104"/>
      <c r="LQ11" s="104"/>
      <c r="LR11" s="104"/>
      <c r="LS11" s="104"/>
      <c r="LT11" s="104"/>
      <c r="LU11" s="104"/>
      <c r="LV11" s="104"/>
      <c r="LW11" s="104"/>
      <c r="LX11" s="104"/>
      <c r="LY11" s="104"/>
      <c r="LZ11" s="104"/>
      <c r="MA11" s="104"/>
      <c r="MB11" s="104"/>
      <c r="MC11" s="104"/>
      <c r="MD11" s="103"/>
      <c r="ME11" s="103"/>
      <c r="MF11" s="103"/>
      <c r="MG11" s="103"/>
      <c r="MH11" s="103"/>
      <c r="MI11" s="103"/>
      <c r="MJ11" s="103"/>
      <c r="MK11" s="103"/>
      <c r="ML11" s="103"/>
      <c r="MM11" s="103"/>
      <c r="MN11" s="103"/>
      <c r="MO11" s="103"/>
      <c r="MP11" s="103"/>
      <c r="MQ11" s="103"/>
      <c r="MR11" s="103"/>
      <c r="MS11" s="103"/>
      <c r="MT11" s="103"/>
      <c r="MU11" s="103"/>
      <c r="MV11" s="103"/>
      <c r="MW11" s="103"/>
      <c r="MX11" s="103"/>
      <c r="MY11" s="103"/>
      <c r="MZ11" s="103"/>
      <c r="NA11" s="103"/>
      <c r="NB11" s="103"/>
      <c r="NC11" s="103"/>
      <c r="ND11" s="103"/>
      <c r="NE11" s="103"/>
      <c r="NF11" s="103"/>
      <c r="NG11" s="103"/>
      <c r="NH11" s="103"/>
      <c r="NI11" s="103"/>
      <c r="NJ11" s="103"/>
      <c r="NK11" s="103"/>
      <c r="NL11" s="103"/>
      <c r="NM11" s="103"/>
      <c r="NN11" s="103"/>
      <c r="NO11" s="103"/>
      <c r="NP11" s="103"/>
      <c r="NQ11" s="103"/>
      <c r="NR11" s="103"/>
      <c r="NS11" s="103"/>
      <c r="NT11" s="103"/>
      <c r="NU11" s="103"/>
      <c r="NV11" s="103"/>
      <c r="NW11" s="103"/>
      <c r="NX11" s="103"/>
      <c r="NY11" s="104"/>
      <c r="NZ11" s="104"/>
    </row>
    <row r="12" spans="1:390" ht="15.75" customHeight="1" x14ac:dyDescent="0.3">
      <c r="A12" s="125">
        <v>4706490731</v>
      </c>
      <c r="B12" s="159"/>
      <c r="C12" s="126"/>
      <c r="D12" s="213" t="s">
        <v>391</v>
      </c>
      <c r="E12" s="135" t="s">
        <v>439</v>
      </c>
      <c r="F12" s="125" t="s">
        <v>426</v>
      </c>
      <c r="G12" s="125" t="s">
        <v>421</v>
      </c>
      <c r="H12" s="111">
        <v>42817</v>
      </c>
      <c r="I12" s="135" t="s">
        <v>396</v>
      </c>
      <c r="J12" s="135" t="s">
        <v>397</v>
      </c>
      <c r="K12" s="128" t="s">
        <v>398</v>
      </c>
      <c r="L12" s="128" t="s">
        <v>398</v>
      </c>
      <c r="M12" s="128" t="s">
        <v>398</v>
      </c>
      <c r="N12" s="128" t="s">
        <v>398</v>
      </c>
      <c r="O12" s="128" t="s">
        <v>398</v>
      </c>
      <c r="P12" s="128" t="s">
        <v>398</v>
      </c>
      <c r="Q12" s="128" t="s">
        <v>398</v>
      </c>
      <c r="R12" s="128" t="s">
        <v>398</v>
      </c>
      <c r="S12" s="128" t="s">
        <v>398</v>
      </c>
      <c r="T12" s="128" t="s">
        <v>398</v>
      </c>
      <c r="U12" s="128" t="s">
        <v>398</v>
      </c>
      <c r="V12" s="128" t="s">
        <v>398</v>
      </c>
      <c r="W12" s="136" t="s">
        <v>439</v>
      </c>
      <c r="X12" s="135" t="s">
        <v>418</v>
      </c>
      <c r="Y12" s="113" t="s">
        <v>432</v>
      </c>
      <c r="Z12" s="111">
        <v>42817</v>
      </c>
      <c r="AA12" s="126"/>
      <c r="AB12" s="113" t="s">
        <v>399</v>
      </c>
      <c r="AC12" s="111">
        <v>17832</v>
      </c>
      <c r="AD12" s="139"/>
      <c r="AE12" s="108" t="e">
        <f t="shared" si="0"/>
        <v>#NUM!</v>
      </c>
      <c r="AF12" s="138" t="s">
        <v>411</v>
      </c>
      <c r="AG12" s="126" t="s">
        <v>401</v>
      </c>
      <c r="AH12" s="131" t="s">
        <v>402</v>
      </c>
      <c r="AI12" s="125">
        <v>2</v>
      </c>
      <c r="AJ12" s="125">
        <v>0</v>
      </c>
      <c r="AK12" s="125">
        <v>0</v>
      </c>
      <c r="AL12" s="125">
        <v>0</v>
      </c>
      <c r="AM12" s="139" t="s">
        <v>424</v>
      </c>
      <c r="AN12" s="134">
        <v>1</v>
      </c>
      <c r="AO12" s="136" t="s">
        <v>398</v>
      </c>
      <c r="AP12" s="126"/>
      <c r="AQ12" s="106"/>
      <c r="AR12" s="91"/>
      <c r="AS12" s="104"/>
      <c r="AT12" s="104"/>
      <c r="AU12" s="104"/>
      <c r="AV12" s="104"/>
      <c r="AW12" s="91"/>
      <c r="AX12" s="104"/>
      <c r="AY12" s="104"/>
      <c r="AZ12" s="104"/>
      <c r="BA12" s="104"/>
      <c r="BB12" s="91"/>
      <c r="BC12" s="104"/>
      <c r="BD12" s="104"/>
      <c r="BE12" s="104"/>
      <c r="BF12" s="104"/>
      <c r="BG12" s="91"/>
      <c r="BH12" s="104"/>
      <c r="BI12" s="104"/>
      <c r="BJ12" s="104"/>
      <c r="BK12" s="104"/>
      <c r="BL12" s="91"/>
      <c r="BM12" s="104"/>
      <c r="BN12" s="104"/>
      <c r="BO12" s="104"/>
      <c r="BP12" s="104"/>
      <c r="BQ12" s="91"/>
      <c r="BR12" s="104"/>
      <c r="BS12" s="104"/>
      <c r="BT12" s="104"/>
      <c r="BU12" s="104"/>
      <c r="BV12" s="91"/>
      <c r="BW12" s="104"/>
      <c r="BX12" s="104"/>
      <c r="BY12" s="104"/>
      <c r="BZ12" s="104"/>
      <c r="CA12" s="91"/>
      <c r="CB12" s="104"/>
      <c r="CC12" s="104"/>
      <c r="CD12" s="104"/>
      <c r="CE12" s="104"/>
      <c r="CF12" s="91"/>
      <c r="CG12" s="104"/>
      <c r="CH12" s="104"/>
      <c r="CI12" s="104"/>
      <c r="CJ12" s="104"/>
      <c r="CK12" s="91"/>
      <c r="CL12" s="104"/>
      <c r="CM12" s="104"/>
      <c r="CN12" s="104"/>
      <c r="CO12" s="104"/>
      <c r="CP12" s="91"/>
      <c r="CQ12" s="104"/>
      <c r="CR12" s="104"/>
      <c r="CS12" s="104"/>
      <c r="CT12" s="104"/>
      <c r="CU12" s="91"/>
      <c r="CV12" s="104"/>
      <c r="CW12" s="104"/>
      <c r="CX12" s="104"/>
      <c r="CY12" s="104"/>
      <c r="CZ12" s="91"/>
      <c r="DA12" s="104"/>
      <c r="DB12" s="104"/>
      <c r="DC12" s="104"/>
      <c r="DD12" s="104"/>
      <c r="DE12" s="91"/>
      <c r="DF12" s="104"/>
      <c r="DG12" s="104"/>
      <c r="DH12" s="104"/>
      <c r="DI12" s="104"/>
      <c r="DJ12" s="91"/>
      <c r="DK12" s="104"/>
      <c r="DL12" s="104"/>
      <c r="DM12" s="104"/>
      <c r="DN12" s="104"/>
      <c r="DO12" s="91"/>
      <c r="DP12" s="104"/>
      <c r="DQ12" s="104"/>
      <c r="DR12" s="104"/>
      <c r="DS12" s="104"/>
      <c r="DT12" s="91"/>
      <c r="DU12" s="104"/>
      <c r="DV12" s="104"/>
      <c r="DW12" s="104"/>
      <c r="DX12" s="104"/>
      <c r="DY12" s="91"/>
      <c r="DZ12" s="104"/>
      <c r="EA12" s="104"/>
      <c r="EB12" s="104"/>
      <c r="EC12" s="104"/>
      <c r="ED12" s="91"/>
      <c r="EE12" s="104"/>
      <c r="EF12" s="104"/>
      <c r="EG12" s="104"/>
      <c r="EH12" s="104"/>
      <c r="EI12" s="91"/>
      <c r="EJ12" s="104"/>
      <c r="EK12" s="104"/>
      <c r="EL12" s="104"/>
      <c r="EM12" s="104"/>
      <c r="EN12" s="91"/>
      <c r="EO12" s="104"/>
      <c r="EP12" s="104"/>
      <c r="EQ12" s="104"/>
      <c r="ER12" s="104"/>
      <c r="ES12" s="91"/>
      <c r="ET12" s="104"/>
      <c r="EU12" s="104"/>
      <c r="EV12" s="104"/>
      <c r="EW12" s="104"/>
      <c r="EX12" s="91"/>
      <c r="EY12" s="104"/>
      <c r="EZ12" s="104"/>
      <c r="FA12" s="104"/>
      <c r="FB12" s="104"/>
      <c r="FC12" s="91"/>
      <c r="FD12" s="104"/>
      <c r="FE12" s="104"/>
      <c r="FF12" s="104"/>
      <c r="FG12" s="104"/>
      <c r="FH12" s="91"/>
      <c r="FI12" s="104"/>
      <c r="FJ12" s="104"/>
      <c r="FK12" s="104"/>
      <c r="FL12" s="104"/>
      <c r="FM12" s="104"/>
      <c r="FN12" s="104"/>
      <c r="FO12" s="104"/>
      <c r="FP12" s="104"/>
      <c r="FQ12" s="104"/>
      <c r="FR12" s="104"/>
      <c r="FS12" s="104"/>
      <c r="FT12" s="104"/>
      <c r="FU12" s="104"/>
      <c r="FV12" s="104"/>
      <c r="FW12" s="104"/>
      <c r="FX12" s="104"/>
      <c r="FY12" s="104"/>
      <c r="FZ12" s="104"/>
      <c r="GA12" s="104"/>
      <c r="GB12" s="104"/>
      <c r="GC12" s="104"/>
      <c r="GD12" s="104"/>
      <c r="GE12" s="104"/>
      <c r="GF12" s="104"/>
      <c r="GG12" s="104"/>
      <c r="GH12" s="104"/>
      <c r="GI12" s="104"/>
      <c r="GJ12" s="104"/>
      <c r="GK12" s="104"/>
      <c r="GL12" s="104"/>
      <c r="GM12" s="104"/>
      <c r="GN12" s="104"/>
      <c r="GO12" s="104"/>
      <c r="GP12" s="91"/>
      <c r="GQ12" s="104"/>
      <c r="GR12" s="104"/>
      <c r="GS12" s="104"/>
      <c r="GT12" s="104"/>
      <c r="GU12" s="91"/>
      <c r="GV12" s="104"/>
      <c r="GW12" s="104"/>
      <c r="GX12" s="104"/>
      <c r="GY12" s="104"/>
      <c r="GZ12" s="91"/>
      <c r="HA12" s="104"/>
      <c r="HB12" s="104"/>
      <c r="HC12" s="104"/>
      <c r="HD12" s="104"/>
      <c r="HE12" s="91"/>
      <c r="HF12" s="104"/>
      <c r="HG12" s="104"/>
      <c r="HH12" s="104"/>
      <c r="HI12" s="104"/>
      <c r="HJ12" s="91"/>
      <c r="HK12" s="104"/>
      <c r="HL12" s="104"/>
      <c r="HM12" s="104"/>
      <c r="HN12" s="104"/>
      <c r="HO12" s="91"/>
      <c r="HP12" s="104"/>
      <c r="HQ12" s="104"/>
      <c r="HR12" s="104"/>
      <c r="HS12" s="104"/>
      <c r="HT12" s="91"/>
      <c r="HU12" s="104"/>
      <c r="HV12" s="104"/>
      <c r="HW12" s="104"/>
      <c r="HX12" s="104"/>
      <c r="HY12" s="91"/>
      <c r="HZ12" s="104"/>
      <c r="IA12" s="104"/>
      <c r="IB12" s="104"/>
      <c r="IC12" s="104"/>
      <c r="ID12" s="91"/>
      <c r="IE12" s="104"/>
      <c r="IF12" s="104"/>
      <c r="IG12" s="104"/>
      <c r="IH12" s="104"/>
      <c r="II12" s="91"/>
      <c r="IJ12" s="104"/>
      <c r="IK12" s="104"/>
      <c r="IL12" s="104"/>
      <c r="IM12" s="104"/>
      <c r="IN12" s="91"/>
      <c r="IO12" s="104"/>
      <c r="IP12" s="104"/>
      <c r="IQ12" s="104"/>
      <c r="IR12" s="104"/>
      <c r="IS12" s="91"/>
      <c r="IT12" s="104"/>
      <c r="IU12" s="104"/>
      <c r="IV12" s="104"/>
      <c r="IW12" s="104"/>
      <c r="IX12" s="91"/>
      <c r="IY12" s="104"/>
      <c r="IZ12" s="104"/>
      <c r="JA12" s="104"/>
      <c r="JB12" s="104"/>
      <c r="JC12" s="91"/>
      <c r="JD12" s="104"/>
      <c r="JE12" s="104"/>
      <c r="JF12" s="104"/>
      <c r="JG12" s="105"/>
      <c r="JH12" s="91"/>
      <c r="JI12" s="106"/>
      <c r="JJ12" s="104"/>
      <c r="JK12" s="104"/>
      <c r="JL12" s="105"/>
      <c r="JM12" s="95"/>
      <c r="JN12" s="107"/>
      <c r="JO12" s="79"/>
      <c r="JP12" s="106"/>
      <c r="JQ12" s="104"/>
      <c r="JR12" s="104"/>
      <c r="JS12" s="104"/>
      <c r="JT12" s="104"/>
      <c r="JU12" s="104"/>
      <c r="JV12" s="104"/>
      <c r="JW12" s="104"/>
      <c r="JX12" s="104"/>
      <c r="JY12" s="104"/>
      <c r="JZ12" s="104"/>
      <c r="KA12" s="104"/>
      <c r="KB12" s="104"/>
      <c r="KC12" s="104"/>
      <c r="KD12" s="104"/>
      <c r="KE12" s="104"/>
      <c r="KF12" s="104"/>
      <c r="KG12" s="104"/>
      <c r="KH12" s="104"/>
      <c r="KI12" s="104"/>
      <c r="KJ12" s="104"/>
      <c r="KK12" s="104"/>
      <c r="KL12" s="104"/>
      <c r="KM12" s="104"/>
      <c r="KN12" s="104"/>
      <c r="KO12" s="104"/>
      <c r="KP12" s="104"/>
      <c r="KQ12" s="104"/>
      <c r="KR12" s="104"/>
      <c r="KS12" s="104"/>
      <c r="KT12" s="104"/>
      <c r="KU12" s="104"/>
      <c r="KV12" s="104"/>
      <c r="KW12" s="104"/>
      <c r="KX12" s="104"/>
      <c r="KY12" s="104"/>
      <c r="KZ12" s="104"/>
      <c r="LA12" s="104"/>
      <c r="LB12" s="104"/>
      <c r="LC12" s="104"/>
      <c r="LD12" s="104"/>
      <c r="LE12" s="104"/>
      <c r="LF12" s="104"/>
      <c r="LG12" s="104"/>
      <c r="LH12" s="104"/>
      <c r="LI12" s="104"/>
      <c r="LJ12" s="104"/>
      <c r="LK12" s="104"/>
      <c r="LL12" s="104"/>
      <c r="LM12" s="104"/>
      <c r="LN12" s="104"/>
      <c r="LO12" s="104"/>
      <c r="LP12" s="104"/>
      <c r="LQ12" s="104"/>
      <c r="LR12" s="104"/>
      <c r="LS12" s="104"/>
      <c r="LT12" s="104"/>
      <c r="LU12" s="104"/>
      <c r="LV12" s="104"/>
      <c r="LW12" s="104"/>
      <c r="LX12" s="104"/>
      <c r="LY12" s="104"/>
      <c r="LZ12" s="104"/>
      <c r="MA12" s="104"/>
      <c r="MB12" s="104"/>
      <c r="MC12" s="104"/>
      <c r="MD12" s="103"/>
      <c r="ME12" s="103"/>
      <c r="MF12" s="103"/>
      <c r="MG12" s="103"/>
      <c r="MH12" s="103"/>
      <c r="MI12" s="103"/>
      <c r="MJ12" s="103"/>
      <c r="MK12" s="103"/>
      <c r="ML12" s="103"/>
      <c r="MM12" s="103"/>
      <c r="MN12" s="103"/>
      <c r="MO12" s="103"/>
      <c r="MP12" s="103"/>
      <c r="MQ12" s="103"/>
      <c r="MR12" s="103"/>
      <c r="MS12" s="103"/>
      <c r="MT12" s="103"/>
      <c r="MU12" s="103"/>
      <c r="MV12" s="103"/>
      <c r="MW12" s="103"/>
      <c r="MX12" s="103"/>
      <c r="MY12" s="103"/>
      <c r="MZ12" s="103"/>
      <c r="NA12" s="103"/>
      <c r="NB12" s="103"/>
      <c r="NC12" s="103"/>
      <c r="ND12" s="103"/>
      <c r="NE12" s="103"/>
      <c r="NF12" s="103"/>
      <c r="NG12" s="103"/>
      <c r="NH12" s="103"/>
      <c r="NI12" s="103"/>
      <c r="NJ12" s="103"/>
      <c r="NK12" s="103"/>
      <c r="NL12" s="103"/>
      <c r="NM12" s="103"/>
      <c r="NN12" s="103"/>
      <c r="NO12" s="103"/>
      <c r="NP12" s="103"/>
      <c r="NQ12" s="103"/>
      <c r="NR12" s="103"/>
      <c r="NS12" s="103"/>
      <c r="NT12" s="103"/>
      <c r="NU12" s="103"/>
      <c r="NV12" s="103"/>
      <c r="NW12" s="103"/>
      <c r="NX12" s="103"/>
      <c r="NY12" s="104"/>
      <c r="NZ12" s="104"/>
    </row>
    <row r="13" spans="1:390" ht="15.75" customHeight="1" x14ac:dyDescent="0.3">
      <c r="A13" s="125">
        <v>4366490994</v>
      </c>
      <c r="B13" s="159"/>
      <c r="C13" s="126"/>
      <c r="D13" s="213" t="s">
        <v>391</v>
      </c>
      <c r="E13" s="135" t="s">
        <v>440</v>
      </c>
      <c r="F13" s="125" t="s">
        <v>441</v>
      </c>
      <c r="G13" s="125" t="s">
        <v>442</v>
      </c>
      <c r="H13" s="111">
        <v>42824</v>
      </c>
      <c r="I13" s="135" t="s">
        <v>396</v>
      </c>
      <c r="J13" s="135" t="s">
        <v>397</v>
      </c>
      <c r="K13" s="128" t="s">
        <v>398</v>
      </c>
      <c r="L13" s="128" t="s">
        <v>398</v>
      </c>
      <c r="M13" s="128" t="s">
        <v>398</v>
      </c>
      <c r="N13" s="128" t="s">
        <v>398</v>
      </c>
      <c r="O13" s="128" t="s">
        <v>398</v>
      </c>
      <c r="P13" s="128" t="s">
        <v>398</v>
      </c>
      <c r="Q13" s="128" t="s">
        <v>398</v>
      </c>
      <c r="R13" s="128" t="s">
        <v>398</v>
      </c>
      <c r="S13" s="128" t="s">
        <v>398</v>
      </c>
      <c r="T13" s="128" t="s">
        <v>398</v>
      </c>
      <c r="U13" s="128" t="s">
        <v>398</v>
      </c>
      <c r="V13" s="128" t="s">
        <v>398</v>
      </c>
      <c r="W13" s="136" t="s">
        <v>398</v>
      </c>
      <c r="X13" s="135" t="s">
        <v>398</v>
      </c>
      <c r="Y13" s="113" t="s">
        <v>398</v>
      </c>
      <c r="Z13" s="113" t="s">
        <v>398</v>
      </c>
      <c r="AA13" s="126"/>
      <c r="AB13" s="113" t="s">
        <v>399</v>
      </c>
      <c r="AC13" s="111">
        <v>11938</v>
      </c>
      <c r="AD13" s="139"/>
      <c r="AE13" s="108" t="e">
        <f t="shared" si="0"/>
        <v>#NUM!</v>
      </c>
      <c r="AF13" s="138" t="s">
        <v>443</v>
      </c>
      <c r="AG13" s="126" t="s">
        <v>401</v>
      </c>
      <c r="AH13" s="131" t="s">
        <v>398</v>
      </c>
      <c r="AI13" s="125" t="s">
        <v>444</v>
      </c>
      <c r="AJ13" s="125" t="s">
        <v>444</v>
      </c>
      <c r="AK13" s="125" t="s">
        <v>445</v>
      </c>
      <c r="AL13" s="125" t="s">
        <v>446</v>
      </c>
      <c r="AM13" s="139" t="s">
        <v>398</v>
      </c>
      <c r="AN13" s="134">
        <v>3</v>
      </c>
      <c r="AO13" s="136" t="s">
        <v>398</v>
      </c>
      <c r="AP13" s="126"/>
      <c r="AQ13" s="106"/>
      <c r="AR13" s="91"/>
      <c r="AS13" s="104"/>
      <c r="AT13" s="104"/>
      <c r="AU13" s="104"/>
      <c r="AV13" s="104"/>
      <c r="AW13" s="91"/>
      <c r="AX13" s="104"/>
      <c r="AY13" s="104"/>
      <c r="AZ13" s="104"/>
      <c r="BA13" s="104"/>
      <c r="BB13" s="91"/>
      <c r="BC13" s="104"/>
      <c r="BD13" s="104"/>
      <c r="BE13" s="104"/>
      <c r="BF13" s="104"/>
      <c r="BG13" s="91"/>
      <c r="BH13" s="104"/>
      <c r="BI13" s="104"/>
      <c r="BJ13" s="104"/>
      <c r="BK13" s="104"/>
      <c r="BL13" s="91"/>
      <c r="BM13" s="104"/>
      <c r="BN13" s="104"/>
      <c r="BO13" s="104"/>
      <c r="BP13" s="104"/>
      <c r="BQ13" s="91"/>
      <c r="BR13" s="104"/>
      <c r="BS13" s="104"/>
      <c r="BT13" s="104"/>
      <c r="BU13" s="104"/>
      <c r="BV13" s="91"/>
      <c r="BW13" s="104"/>
      <c r="BX13" s="104"/>
      <c r="BY13" s="104"/>
      <c r="BZ13" s="104"/>
      <c r="CA13" s="91"/>
      <c r="CB13" s="104"/>
      <c r="CC13" s="104"/>
      <c r="CD13" s="104"/>
      <c r="CE13" s="104"/>
      <c r="CF13" s="91"/>
      <c r="CG13" s="104"/>
      <c r="CH13" s="104"/>
      <c r="CI13" s="104"/>
      <c r="CJ13" s="104"/>
      <c r="CK13" s="91"/>
      <c r="CL13" s="104"/>
      <c r="CM13" s="104"/>
      <c r="CN13" s="104"/>
      <c r="CO13" s="104"/>
      <c r="CP13" s="91"/>
      <c r="CQ13" s="104"/>
      <c r="CR13" s="104"/>
      <c r="CS13" s="104"/>
      <c r="CT13" s="104"/>
      <c r="CU13" s="91"/>
      <c r="CV13" s="104"/>
      <c r="CW13" s="104"/>
      <c r="CX13" s="104"/>
      <c r="CY13" s="104"/>
      <c r="CZ13" s="91"/>
      <c r="DA13" s="104"/>
      <c r="DB13" s="104"/>
      <c r="DC13" s="104"/>
      <c r="DD13" s="104"/>
      <c r="DE13" s="91"/>
      <c r="DF13" s="104"/>
      <c r="DG13" s="104"/>
      <c r="DH13" s="104"/>
      <c r="DI13" s="104"/>
      <c r="DJ13" s="91"/>
      <c r="DK13" s="104"/>
      <c r="DL13" s="104"/>
      <c r="DM13" s="104"/>
      <c r="DN13" s="104"/>
      <c r="DO13" s="91"/>
      <c r="DP13" s="104"/>
      <c r="DQ13" s="104"/>
      <c r="DR13" s="104"/>
      <c r="DS13" s="104"/>
      <c r="DT13" s="91"/>
      <c r="DU13" s="104"/>
      <c r="DV13" s="104"/>
      <c r="DW13" s="104"/>
      <c r="DX13" s="104"/>
      <c r="DY13" s="91"/>
      <c r="DZ13" s="104"/>
      <c r="EA13" s="104"/>
      <c r="EB13" s="104"/>
      <c r="EC13" s="104"/>
      <c r="ED13" s="91"/>
      <c r="EE13" s="104"/>
      <c r="EF13" s="104"/>
      <c r="EG13" s="104"/>
      <c r="EH13" s="104"/>
      <c r="EI13" s="91"/>
      <c r="EJ13" s="104"/>
      <c r="EK13" s="104"/>
      <c r="EL13" s="104"/>
      <c r="EM13" s="104"/>
      <c r="EN13" s="91"/>
      <c r="EO13" s="104"/>
      <c r="EP13" s="104"/>
      <c r="EQ13" s="104"/>
      <c r="ER13" s="104"/>
      <c r="ES13" s="91"/>
      <c r="ET13" s="104"/>
      <c r="EU13" s="104"/>
      <c r="EV13" s="104"/>
      <c r="EW13" s="104"/>
      <c r="EX13" s="91"/>
      <c r="EY13" s="104"/>
      <c r="EZ13" s="104"/>
      <c r="FA13" s="104"/>
      <c r="FB13" s="104"/>
      <c r="FC13" s="91"/>
      <c r="FD13" s="104"/>
      <c r="FE13" s="104"/>
      <c r="FF13" s="104"/>
      <c r="FG13" s="104"/>
      <c r="FH13" s="91"/>
      <c r="FI13" s="104"/>
      <c r="FJ13" s="104"/>
      <c r="FK13" s="104"/>
      <c r="FL13" s="104"/>
      <c r="FM13" s="104"/>
      <c r="FN13" s="104"/>
      <c r="FO13" s="104"/>
      <c r="FP13" s="104"/>
      <c r="FQ13" s="104"/>
      <c r="FR13" s="104"/>
      <c r="FS13" s="104"/>
      <c r="FT13" s="104"/>
      <c r="FU13" s="104"/>
      <c r="FV13" s="104"/>
      <c r="FW13" s="104"/>
      <c r="FX13" s="104"/>
      <c r="FY13" s="104"/>
      <c r="FZ13" s="104"/>
      <c r="GA13" s="104"/>
      <c r="GB13" s="104"/>
      <c r="GC13" s="104"/>
      <c r="GD13" s="104"/>
      <c r="GE13" s="104"/>
      <c r="GF13" s="104"/>
      <c r="GG13" s="104"/>
      <c r="GH13" s="104"/>
      <c r="GI13" s="104"/>
      <c r="GJ13" s="104"/>
      <c r="GK13" s="104"/>
      <c r="GL13" s="104"/>
      <c r="GM13" s="104"/>
      <c r="GN13" s="104"/>
      <c r="GO13" s="104"/>
      <c r="GP13" s="91"/>
      <c r="GQ13" s="104"/>
      <c r="GR13" s="104"/>
      <c r="GS13" s="104"/>
      <c r="GT13" s="104"/>
      <c r="GU13" s="91"/>
      <c r="GV13" s="104"/>
      <c r="GW13" s="104"/>
      <c r="GX13" s="104"/>
      <c r="GY13" s="104"/>
      <c r="GZ13" s="91"/>
      <c r="HA13" s="104"/>
      <c r="HB13" s="104"/>
      <c r="HC13" s="104"/>
      <c r="HD13" s="104"/>
      <c r="HE13" s="91"/>
      <c r="HF13" s="104"/>
      <c r="HG13" s="104"/>
      <c r="HH13" s="104"/>
      <c r="HI13" s="104"/>
      <c r="HJ13" s="91"/>
      <c r="HK13" s="104"/>
      <c r="HL13" s="104"/>
      <c r="HM13" s="104"/>
      <c r="HN13" s="104"/>
      <c r="HO13" s="91"/>
      <c r="HP13" s="104"/>
      <c r="HQ13" s="104"/>
      <c r="HR13" s="104"/>
      <c r="HS13" s="104"/>
      <c r="HT13" s="91"/>
      <c r="HU13" s="104"/>
      <c r="HV13" s="104"/>
      <c r="HW13" s="104"/>
      <c r="HX13" s="104"/>
      <c r="HY13" s="91"/>
      <c r="HZ13" s="104"/>
      <c r="IA13" s="104"/>
      <c r="IB13" s="104"/>
      <c r="IC13" s="104"/>
      <c r="ID13" s="91"/>
      <c r="IE13" s="104"/>
      <c r="IF13" s="104"/>
      <c r="IG13" s="104"/>
      <c r="IH13" s="104"/>
      <c r="II13" s="91"/>
      <c r="IJ13" s="104"/>
      <c r="IK13" s="104"/>
      <c r="IL13" s="104"/>
      <c r="IM13" s="104"/>
      <c r="IN13" s="91"/>
      <c r="IO13" s="104"/>
      <c r="IP13" s="104"/>
      <c r="IQ13" s="104"/>
      <c r="IR13" s="104"/>
      <c r="IS13" s="91"/>
      <c r="IT13" s="104"/>
      <c r="IU13" s="104"/>
      <c r="IV13" s="104"/>
      <c r="IW13" s="104"/>
      <c r="IX13" s="91"/>
      <c r="IY13" s="104"/>
      <c r="IZ13" s="104"/>
      <c r="JA13" s="104"/>
      <c r="JB13" s="104"/>
      <c r="JC13" s="91"/>
      <c r="JD13" s="104"/>
      <c r="JE13" s="104"/>
      <c r="JF13" s="104"/>
      <c r="JG13" s="105"/>
      <c r="JH13" s="91"/>
      <c r="JI13" s="106"/>
      <c r="JJ13" s="104"/>
      <c r="JK13" s="104"/>
      <c r="JL13" s="105"/>
      <c r="JM13" s="95"/>
      <c r="JN13" s="107"/>
      <c r="JO13" s="79"/>
      <c r="JP13" s="106"/>
      <c r="JQ13" s="104"/>
      <c r="JR13" s="104"/>
      <c r="JS13" s="104"/>
      <c r="JT13" s="104"/>
      <c r="JU13" s="104"/>
      <c r="JV13" s="104"/>
      <c r="JW13" s="104"/>
      <c r="JX13" s="104"/>
      <c r="JY13" s="104"/>
      <c r="JZ13" s="104"/>
      <c r="KA13" s="104"/>
      <c r="KB13" s="104"/>
      <c r="KC13" s="104"/>
      <c r="KD13" s="104"/>
      <c r="KE13" s="104"/>
      <c r="KF13" s="104"/>
      <c r="KG13" s="104"/>
      <c r="KH13" s="104"/>
      <c r="KI13" s="104"/>
      <c r="KJ13" s="104"/>
      <c r="KK13" s="104"/>
      <c r="KL13" s="104"/>
      <c r="KM13" s="104"/>
      <c r="KN13" s="104"/>
      <c r="KO13" s="104"/>
      <c r="KP13" s="104"/>
      <c r="KQ13" s="104"/>
      <c r="KR13" s="104"/>
      <c r="KS13" s="104"/>
      <c r="KT13" s="104"/>
      <c r="KU13" s="104"/>
      <c r="KV13" s="104"/>
      <c r="KW13" s="104"/>
      <c r="KX13" s="104"/>
      <c r="KY13" s="104"/>
      <c r="KZ13" s="104"/>
      <c r="LA13" s="104"/>
      <c r="LB13" s="104"/>
      <c r="LC13" s="104"/>
      <c r="LD13" s="104"/>
      <c r="LE13" s="104"/>
      <c r="LF13" s="104"/>
      <c r="LG13" s="104"/>
      <c r="LH13" s="104"/>
      <c r="LI13" s="104"/>
      <c r="LJ13" s="104"/>
      <c r="LK13" s="104"/>
      <c r="LL13" s="104"/>
      <c r="LM13" s="104"/>
      <c r="LN13" s="104"/>
      <c r="LO13" s="104"/>
      <c r="LP13" s="104"/>
      <c r="LQ13" s="104"/>
      <c r="LR13" s="104"/>
      <c r="LS13" s="104"/>
      <c r="LT13" s="104"/>
      <c r="LU13" s="104"/>
      <c r="LV13" s="104"/>
      <c r="LW13" s="104"/>
      <c r="LX13" s="104"/>
      <c r="LY13" s="104"/>
      <c r="LZ13" s="104"/>
      <c r="MA13" s="104"/>
      <c r="MB13" s="104"/>
      <c r="MC13" s="104"/>
      <c r="MD13" s="103"/>
      <c r="ME13" s="103"/>
      <c r="MF13" s="103"/>
      <c r="MG13" s="103"/>
      <c r="MH13" s="103"/>
      <c r="MI13" s="103"/>
      <c r="MJ13" s="103"/>
      <c r="MK13" s="103"/>
      <c r="ML13" s="103"/>
      <c r="MM13" s="103"/>
      <c r="MN13" s="103"/>
      <c r="MO13" s="103"/>
      <c r="MP13" s="103"/>
      <c r="MQ13" s="103"/>
      <c r="MR13" s="103"/>
      <c r="MS13" s="103"/>
      <c r="MT13" s="103"/>
      <c r="MU13" s="103"/>
      <c r="MV13" s="103"/>
      <c r="MW13" s="103"/>
      <c r="MX13" s="103"/>
      <c r="MY13" s="103"/>
      <c r="MZ13" s="103"/>
      <c r="NA13" s="103"/>
      <c r="NB13" s="103"/>
      <c r="NC13" s="103"/>
      <c r="ND13" s="103"/>
      <c r="NE13" s="103"/>
      <c r="NF13" s="103"/>
      <c r="NG13" s="103"/>
      <c r="NH13" s="103"/>
      <c r="NI13" s="103"/>
      <c r="NJ13" s="103"/>
      <c r="NK13" s="103"/>
      <c r="NL13" s="103"/>
      <c r="NM13" s="103"/>
      <c r="NN13" s="103"/>
      <c r="NO13" s="103"/>
      <c r="NP13" s="103"/>
      <c r="NQ13" s="103"/>
      <c r="NR13" s="103"/>
      <c r="NS13" s="103"/>
      <c r="NT13" s="103"/>
      <c r="NU13" s="103"/>
      <c r="NV13" s="103"/>
      <c r="NW13" s="103"/>
      <c r="NX13" s="103"/>
      <c r="NY13" s="104"/>
      <c r="NZ13" s="104"/>
    </row>
    <row r="14" spans="1:390" ht="15.75" customHeight="1" x14ac:dyDescent="0.3">
      <c r="A14" s="125">
        <v>4508221386</v>
      </c>
      <c r="B14" s="159"/>
      <c r="C14" s="126"/>
      <c r="D14" s="213" t="s">
        <v>391</v>
      </c>
      <c r="E14" s="135" t="s">
        <v>447</v>
      </c>
      <c r="F14" s="125" t="s">
        <v>448</v>
      </c>
      <c r="G14" s="125" t="s">
        <v>395</v>
      </c>
      <c r="H14" s="111">
        <v>42835</v>
      </c>
      <c r="I14" s="135" t="s">
        <v>396</v>
      </c>
      <c r="J14" s="135" t="s">
        <v>397</v>
      </c>
      <c r="K14" s="128" t="s">
        <v>398</v>
      </c>
      <c r="L14" s="128" t="s">
        <v>398</v>
      </c>
      <c r="M14" s="128" t="s">
        <v>398</v>
      </c>
      <c r="N14" s="128" t="s">
        <v>398</v>
      </c>
      <c r="O14" s="128" t="s">
        <v>398</v>
      </c>
      <c r="P14" s="128" t="s">
        <v>398</v>
      </c>
      <c r="Q14" s="128" t="s">
        <v>398</v>
      </c>
      <c r="R14" s="128" t="s">
        <v>398</v>
      </c>
      <c r="S14" s="128" t="s">
        <v>398</v>
      </c>
      <c r="T14" s="128" t="s">
        <v>398</v>
      </c>
      <c r="U14" s="128" t="s">
        <v>398</v>
      </c>
      <c r="V14" s="128" t="s">
        <v>398</v>
      </c>
      <c r="W14" s="136" t="s">
        <v>447</v>
      </c>
      <c r="X14" s="135" t="s">
        <v>449</v>
      </c>
      <c r="Y14" s="113" t="s">
        <v>410</v>
      </c>
      <c r="Z14" s="111">
        <v>42835</v>
      </c>
      <c r="AA14" s="126"/>
      <c r="AB14" s="113" t="s">
        <v>399</v>
      </c>
      <c r="AC14" s="111">
        <v>17315</v>
      </c>
      <c r="AD14" s="139"/>
      <c r="AE14" s="108" t="e">
        <f t="shared" si="0"/>
        <v>#NUM!</v>
      </c>
      <c r="AF14" s="138" t="s">
        <v>450</v>
      </c>
      <c r="AG14" s="126" t="s">
        <v>401</v>
      </c>
      <c r="AH14" s="131" t="s">
        <v>402</v>
      </c>
      <c r="AI14" s="125" t="s">
        <v>412</v>
      </c>
      <c r="AJ14" s="125">
        <v>0</v>
      </c>
      <c r="AK14" s="125">
        <v>0</v>
      </c>
      <c r="AL14" s="125">
        <v>0</v>
      </c>
      <c r="AM14" s="139" t="s">
        <v>414</v>
      </c>
      <c r="AN14" s="134">
        <v>3</v>
      </c>
      <c r="AO14" s="136" t="s">
        <v>398</v>
      </c>
      <c r="AP14" s="126"/>
      <c r="AQ14" s="106"/>
      <c r="AR14" s="91"/>
      <c r="AS14" s="104"/>
      <c r="AT14" s="104"/>
      <c r="AU14" s="104"/>
      <c r="AV14" s="104"/>
      <c r="AW14" s="91"/>
      <c r="AX14" s="104"/>
      <c r="AY14" s="104"/>
      <c r="AZ14" s="104"/>
      <c r="BA14" s="104"/>
      <c r="BB14" s="91"/>
      <c r="BC14" s="104"/>
      <c r="BD14" s="104"/>
      <c r="BE14" s="104"/>
      <c r="BF14" s="104"/>
      <c r="BG14" s="91"/>
      <c r="BH14" s="104"/>
      <c r="BI14" s="104"/>
      <c r="BJ14" s="104"/>
      <c r="BK14" s="104"/>
      <c r="BL14" s="91"/>
      <c r="BM14" s="104"/>
      <c r="BN14" s="104"/>
      <c r="BO14" s="104"/>
      <c r="BP14" s="104"/>
      <c r="BQ14" s="91"/>
      <c r="BR14" s="104"/>
      <c r="BS14" s="104"/>
      <c r="BT14" s="104"/>
      <c r="BU14" s="104"/>
      <c r="BV14" s="91"/>
      <c r="BW14" s="104"/>
      <c r="BX14" s="104"/>
      <c r="BY14" s="104"/>
      <c r="BZ14" s="104"/>
      <c r="CA14" s="91"/>
      <c r="CB14" s="104"/>
      <c r="CC14" s="104"/>
      <c r="CD14" s="104"/>
      <c r="CE14" s="104"/>
      <c r="CF14" s="91"/>
      <c r="CG14" s="104"/>
      <c r="CH14" s="104"/>
      <c r="CI14" s="104"/>
      <c r="CJ14" s="104"/>
      <c r="CK14" s="91"/>
      <c r="CL14" s="104"/>
      <c r="CM14" s="104"/>
      <c r="CN14" s="104"/>
      <c r="CO14" s="104"/>
      <c r="CP14" s="91"/>
      <c r="CQ14" s="104"/>
      <c r="CR14" s="104"/>
      <c r="CS14" s="104"/>
      <c r="CT14" s="104"/>
      <c r="CU14" s="91"/>
      <c r="CV14" s="104"/>
      <c r="CW14" s="104"/>
      <c r="CX14" s="104"/>
      <c r="CY14" s="104"/>
      <c r="CZ14" s="91"/>
      <c r="DA14" s="104"/>
      <c r="DB14" s="104"/>
      <c r="DC14" s="104"/>
      <c r="DD14" s="104"/>
      <c r="DE14" s="91"/>
      <c r="DF14" s="104"/>
      <c r="DG14" s="104"/>
      <c r="DH14" s="104"/>
      <c r="DI14" s="104"/>
      <c r="DJ14" s="91"/>
      <c r="DK14" s="104"/>
      <c r="DL14" s="104"/>
      <c r="DM14" s="104"/>
      <c r="DN14" s="104"/>
      <c r="DO14" s="91"/>
      <c r="DP14" s="104"/>
      <c r="DQ14" s="104"/>
      <c r="DR14" s="104"/>
      <c r="DS14" s="104"/>
      <c r="DT14" s="91"/>
      <c r="DU14" s="104"/>
      <c r="DV14" s="104"/>
      <c r="DW14" s="104"/>
      <c r="DX14" s="104"/>
      <c r="DY14" s="91"/>
      <c r="DZ14" s="104"/>
      <c r="EA14" s="104"/>
      <c r="EB14" s="104"/>
      <c r="EC14" s="104"/>
      <c r="ED14" s="91"/>
      <c r="EE14" s="104"/>
      <c r="EF14" s="104"/>
      <c r="EG14" s="104"/>
      <c r="EH14" s="104"/>
      <c r="EI14" s="91"/>
      <c r="EJ14" s="104"/>
      <c r="EK14" s="104"/>
      <c r="EL14" s="104"/>
      <c r="EM14" s="104"/>
      <c r="EN14" s="91"/>
      <c r="EO14" s="104"/>
      <c r="EP14" s="104"/>
      <c r="EQ14" s="104"/>
      <c r="ER14" s="104"/>
      <c r="ES14" s="91"/>
      <c r="ET14" s="104"/>
      <c r="EU14" s="104"/>
      <c r="EV14" s="104"/>
      <c r="EW14" s="104"/>
      <c r="EX14" s="91"/>
      <c r="EY14" s="104"/>
      <c r="EZ14" s="104"/>
      <c r="FA14" s="104"/>
      <c r="FB14" s="104"/>
      <c r="FC14" s="91"/>
      <c r="FD14" s="104"/>
      <c r="FE14" s="104"/>
      <c r="FF14" s="104"/>
      <c r="FG14" s="104"/>
      <c r="FH14" s="91"/>
      <c r="FI14" s="104"/>
      <c r="FJ14" s="104"/>
      <c r="FK14" s="104"/>
      <c r="FL14" s="104"/>
      <c r="FM14" s="104"/>
      <c r="FN14" s="104"/>
      <c r="FO14" s="104"/>
      <c r="FP14" s="104"/>
      <c r="FQ14" s="104"/>
      <c r="FR14" s="104"/>
      <c r="FS14" s="104"/>
      <c r="FT14" s="104"/>
      <c r="FU14" s="104"/>
      <c r="FV14" s="104"/>
      <c r="FW14" s="104"/>
      <c r="FX14" s="104"/>
      <c r="FY14" s="104"/>
      <c r="FZ14" s="104"/>
      <c r="GA14" s="104"/>
      <c r="GB14" s="104"/>
      <c r="GC14" s="104"/>
      <c r="GD14" s="104"/>
      <c r="GE14" s="104"/>
      <c r="GF14" s="104"/>
      <c r="GG14" s="104"/>
      <c r="GH14" s="104"/>
      <c r="GI14" s="104"/>
      <c r="GJ14" s="104"/>
      <c r="GK14" s="104"/>
      <c r="GL14" s="104"/>
      <c r="GM14" s="104"/>
      <c r="GN14" s="104"/>
      <c r="GO14" s="104"/>
      <c r="GP14" s="91"/>
      <c r="GQ14" s="104"/>
      <c r="GR14" s="104"/>
      <c r="GS14" s="104"/>
      <c r="GT14" s="104"/>
      <c r="GU14" s="91"/>
      <c r="GV14" s="104"/>
      <c r="GW14" s="104"/>
      <c r="GX14" s="104"/>
      <c r="GY14" s="104"/>
      <c r="GZ14" s="91"/>
      <c r="HA14" s="104"/>
      <c r="HB14" s="104"/>
      <c r="HC14" s="104"/>
      <c r="HD14" s="104"/>
      <c r="HE14" s="91"/>
      <c r="HF14" s="104"/>
      <c r="HG14" s="104"/>
      <c r="HH14" s="104"/>
      <c r="HI14" s="104"/>
      <c r="HJ14" s="91"/>
      <c r="HK14" s="104"/>
      <c r="HL14" s="104"/>
      <c r="HM14" s="104"/>
      <c r="HN14" s="104"/>
      <c r="HO14" s="91"/>
      <c r="HP14" s="104"/>
      <c r="HQ14" s="104"/>
      <c r="HR14" s="104"/>
      <c r="HS14" s="104"/>
      <c r="HT14" s="91"/>
      <c r="HU14" s="104"/>
      <c r="HV14" s="104"/>
      <c r="HW14" s="104"/>
      <c r="HX14" s="104"/>
      <c r="HY14" s="91"/>
      <c r="HZ14" s="104"/>
      <c r="IA14" s="104"/>
      <c r="IB14" s="104"/>
      <c r="IC14" s="104"/>
      <c r="ID14" s="91"/>
      <c r="IE14" s="104"/>
      <c r="IF14" s="104"/>
      <c r="IG14" s="104"/>
      <c r="IH14" s="104"/>
      <c r="II14" s="91"/>
      <c r="IJ14" s="104"/>
      <c r="IK14" s="104"/>
      <c r="IL14" s="104"/>
      <c r="IM14" s="104"/>
      <c r="IN14" s="91"/>
      <c r="IO14" s="104"/>
      <c r="IP14" s="104"/>
      <c r="IQ14" s="104"/>
      <c r="IR14" s="104"/>
      <c r="IS14" s="91"/>
      <c r="IT14" s="104"/>
      <c r="IU14" s="104"/>
      <c r="IV14" s="104"/>
      <c r="IW14" s="104"/>
      <c r="IX14" s="91"/>
      <c r="IY14" s="104"/>
      <c r="IZ14" s="104"/>
      <c r="JA14" s="104"/>
      <c r="JB14" s="104"/>
      <c r="JC14" s="91"/>
      <c r="JD14" s="104"/>
      <c r="JE14" s="104"/>
      <c r="JF14" s="104"/>
      <c r="JG14" s="105"/>
      <c r="JH14" s="91"/>
      <c r="JI14" s="106"/>
      <c r="JJ14" s="104"/>
      <c r="JK14" s="104"/>
      <c r="JL14" s="105"/>
      <c r="JM14" s="95"/>
      <c r="JN14" s="107"/>
      <c r="JO14" s="79"/>
      <c r="JP14" s="106"/>
      <c r="JQ14" s="104"/>
      <c r="JR14" s="104"/>
      <c r="JS14" s="104"/>
      <c r="JT14" s="104"/>
      <c r="JU14" s="104"/>
      <c r="JV14" s="104"/>
      <c r="JW14" s="104"/>
      <c r="JX14" s="104"/>
      <c r="JY14" s="104"/>
      <c r="JZ14" s="104"/>
      <c r="KA14" s="104"/>
      <c r="KB14" s="104"/>
      <c r="KC14" s="104"/>
      <c r="KD14" s="104"/>
      <c r="KE14" s="104"/>
      <c r="KF14" s="104"/>
      <c r="KG14" s="104"/>
      <c r="KH14" s="104"/>
      <c r="KI14" s="104"/>
      <c r="KJ14" s="104"/>
      <c r="KK14" s="104"/>
      <c r="KL14" s="104"/>
      <c r="KM14" s="104"/>
      <c r="KN14" s="104"/>
      <c r="KO14" s="104"/>
      <c r="KP14" s="104"/>
      <c r="KQ14" s="104"/>
      <c r="KR14" s="104"/>
      <c r="KS14" s="104"/>
      <c r="KT14" s="104"/>
      <c r="KU14" s="104"/>
      <c r="KV14" s="104"/>
      <c r="KW14" s="104"/>
      <c r="KX14" s="104"/>
      <c r="KY14" s="104"/>
      <c r="KZ14" s="104"/>
      <c r="LA14" s="104"/>
      <c r="LB14" s="104"/>
      <c r="LC14" s="104"/>
      <c r="LD14" s="104"/>
      <c r="LE14" s="104"/>
      <c r="LF14" s="104"/>
      <c r="LG14" s="104"/>
      <c r="LH14" s="104"/>
      <c r="LI14" s="104"/>
      <c r="LJ14" s="104"/>
      <c r="LK14" s="104"/>
      <c r="LL14" s="104"/>
      <c r="LM14" s="104"/>
      <c r="LN14" s="104"/>
      <c r="LO14" s="104"/>
      <c r="LP14" s="104"/>
      <c r="LQ14" s="104"/>
      <c r="LR14" s="104"/>
      <c r="LS14" s="104"/>
      <c r="LT14" s="104"/>
      <c r="LU14" s="104"/>
      <c r="LV14" s="104"/>
      <c r="LW14" s="104"/>
      <c r="LX14" s="104"/>
      <c r="LY14" s="104"/>
      <c r="LZ14" s="104"/>
      <c r="MA14" s="104"/>
      <c r="MB14" s="104"/>
      <c r="MC14" s="104"/>
      <c r="MD14" s="104"/>
      <c r="ME14" s="104"/>
      <c r="MF14" s="104"/>
      <c r="MG14" s="104"/>
      <c r="MH14" s="104"/>
      <c r="MI14" s="104"/>
      <c r="MJ14" s="104"/>
      <c r="MK14" s="104"/>
      <c r="ML14" s="104"/>
      <c r="MM14" s="104"/>
      <c r="MN14" s="104"/>
      <c r="MO14" s="104"/>
      <c r="MP14" s="104"/>
      <c r="MQ14" s="104"/>
      <c r="MR14" s="104"/>
      <c r="MS14" s="104"/>
      <c r="MT14" s="104"/>
      <c r="MU14" s="104"/>
      <c r="MV14" s="104"/>
      <c r="MW14" s="104"/>
      <c r="MX14" s="104"/>
      <c r="MY14" s="104"/>
      <c r="MZ14" s="104"/>
      <c r="NA14" s="104"/>
      <c r="NB14" s="104"/>
      <c r="NC14" s="104"/>
      <c r="ND14" s="104"/>
      <c r="NE14" s="104"/>
      <c r="NF14" s="104"/>
      <c r="NG14" s="104"/>
      <c r="NH14" s="104"/>
      <c r="NI14" s="104"/>
      <c r="NJ14" s="104"/>
      <c r="NK14" s="104"/>
      <c r="NL14" s="104"/>
      <c r="NM14" s="104"/>
      <c r="NN14" s="104"/>
      <c r="NO14" s="104"/>
      <c r="NP14" s="104"/>
      <c r="NQ14" s="104"/>
      <c r="NR14" s="104"/>
      <c r="NS14" s="104"/>
      <c r="NT14" s="104"/>
      <c r="NU14" s="104"/>
      <c r="NV14" s="104"/>
      <c r="NW14" s="104"/>
      <c r="NX14" s="104"/>
      <c r="NY14" s="104"/>
      <c r="NZ14" s="104"/>
    </row>
    <row r="15" spans="1:390" ht="15.75" customHeight="1" x14ac:dyDescent="0.3">
      <c r="A15" s="125">
        <v>4905526434</v>
      </c>
      <c r="B15" s="159"/>
      <c r="C15" s="126"/>
      <c r="D15" s="213" t="s">
        <v>391</v>
      </c>
      <c r="E15" s="135" t="s">
        <v>451</v>
      </c>
      <c r="F15" s="125" t="s">
        <v>416</v>
      </c>
      <c r="G15" s="125" t="s">
        <v>448</v>
      </c>
      <c r="H15" s="111">
        <v>42843</v>
      </c>
      <c r="I15" s="135" t="s">
        <v>396</v>
      </c>
      <c r="J15" s="135" t="s">
        <v>397</v>
      </c>
      <c r="K15" s="128" t="s">
        <v>398</v>
      </c>
      <c r="L15" s="128" t="s">
        <v>398</v>
      </c>
      <c r="M15" s="128" t="s">
        <v>398</v>
      </c>
      <c r="N15" s="128" t="s">
        <v>398</v>
      </c>
      <c r="O15" s="128" t="s">
        <v>398</v>
      </c>
      <c r="P15" s="128" t="s">
        <v>398</v>
      </c>
      <c r="Q15" s="128" t="s">
        <v>398</v>
      </c>
      <c r="R15" s="128" t="s">
        <v>398</v>
      </c>
      <c r="S15" s="128" t="s">
        <v>398</v>
      </c>
      <c r="T15" s="128" t="s">
        <v>398</v>
      </c>
      <c r="U15" s="128" t="s">
        <v>398</v>
      </c>
      <c r="V15" s="128" t="s">
        <v>398</v>
      </c>
      <c r="W15" s="136" t="s">
        <v>398</v>
      </c>
      <c r="X15" s="135" t="s">
        <v>398</v>
      </c>
      <c r="Y15" s="113" t="s">
        <v>398</v>
      </c>
      <c r="Z15" s="113" t="s">
        <v>398</v>
      </c>
      <c r="AA15" s="126"/>
      <c r="AB15" s="113" t="s">
        <v>399</v>
      </c>
      <c r="AC15" s="111">
        <v>17188</v>
      </c>
      <c r="AD15" s="139"/>
      <c r="AE15" s="108" t="e">
        <f t="shared" si="0"/>
        <v>#NUM!</v>
      </c>
      <c r="AF15" s="138" t="s">
        <v>452</v>
      </c>
      <c r="AG15" s="126" t="s">
        <v>401</v>
      </c>
      <c r="AH15" s="131" t="s">
        <v>402</v>
      </c>
      <c r="AI15" s="125" t="s">
        <v>412</v>
      </c>
      <c r="AJ15" s="125">
        <v>0</v>
      </c>
      <c r="AK15" s="125">
        <v>0</v>
      </c>
      <c r="AL15" s="125">
        <v>0</v>
      </c>
      <c r="AM15" s="139" t="s">
        <v>414</v>
      </c>
      <c r="AN15" s="134">
        <v>3</v>
      </c>
      <c r="AO15" s="136" t="s">
        <v>398</v>
      </c>
      <c r="AP15" s="126"/>
      <c r="AQ15" s="106"/>
      <c r="AR15" s="91"/>
      <c r="AS15" s="104"/>
      <c r="AT15" s="104"/>
      <c r="AU15" s="104"/>
      <c r="AV15" s="104"/>
      <c r="AW15" s="91"/>
      <c r="AX15" s="104"/>
      <c r="AY15" s="104"/>
      <c r="AZ15" s="104"/>
      <c r="BA15" s="104"/>
      <c r="BB15" s="91"/>
      <c r="BC15" s="104"/>
      <c r="BD15" s="104"/>
      <c r="BE15" s="104"/>
      <c r="BF15" s="104"/>
      <c r="BG15" s="91"/>
      <c r="BH15" s="104"/>
      <c r="BI15" s="104"/>
      <c r="BJ15" s="104"/>
      <c r="BK15" s="104"/>
      <c r="BL15" s="91"/>
      <c r="BM15" s="104"/>
      <c r="BN15" s="104"/>
      <c r="BO15" s="104"/>
      <c r="BP15" s="104"/>
      <c r="BQ15" s="91"/>
      <c r="BR15" s="104"/>
      <c r="BS15" s="104"/>
      <c r="BT15" s="104"/>
      <c r="BU15" s="104"/>
      <c r="BV15" s="91"/>
      <c r="BW15" s="104"/>
      <c r="BX15" s="104"/>
      <c r="BY15" s="104"/>
      <c r="BZ15" s="104"/>
      <c r="CA15" s="91"/>
      <c r="CB15" s="104"/>
      <c r="CC15" s="104"/>
      <c r="CD15" s="104"/>
      <c r="CE15" s="104"/>
      <c r="CF15" s="91"/>
      <c r="CG15" s="104"/>
      <c r="CH15" s="104"/>
      <c r="CI15" s="104"/>
      <c r="CJ15" s="104"/>
      <c r="CK15" s="91"/>
      <c r="CL15" s="104"/>
      <c r="CM15" s="104"/>
      <c r="CN15" s="104"/>
      <c r="CO15" s="104"/>
      <c r="CP15" s="91"/>
      <c r="CQ15" s="104"/>
      <c r="CR15" s="104"/>
      <c r="CS15" s="104"/>
      <c r="CT15" s="104"/>
      <c r="CU15" s="91"/>
      <c r="CV15" s="104"/>
      <c r="CW15" s="104"/>
      <c r="CX15" s="104"/>
      <c r="CY15" s="104"/>
      <c r="CZ15" s="91"/>
      <c r="DA15" s="104"/>
      <c r="DB15" s="104"/>
      <c r="DC15" s="104"/>
      <c r="DD15" s="104"/>
      <c r="DE15" s="91"/>
      <c r="DF15" s="104"/>
      <c r="DG15" s="104"/>
      <c r="DH15" s="104"/>
      <c r="DI15" s="104"/>
      <c r="DJ15" s="91"/>
      <c r="DK15" s="104"/>
      <c r="DL15" s="104"/>
      <c r="DM15" s="104"/>
      <c r="DN15" s="104"/>
      <c r="DO15" s="91"/>
      <c r="DP15" s="104"/>
      <c r="DQ15" s="104"/>
      <c r="DR15" s="104"/>
      <c r="DS15" s="104"/>
      <c r="DT15" s="91"/>
      <c r="DU15" s="104"/>
      <c r="DV15" s="104"/>
      <c r="DW15" s="104"/>
      <c r="DX15" s="104"/>
      <c r="DY15" s="91"/>
      <c r="DZ15" s="104"/>
      <c r="EA15" s="104"/>
      <c r="EB15" s="104"/>
      <c r="EC15" s="104"/>
      <c r="ED15" s="91"/>
      <c r="EE15" s="104"/>
      <c r="EF15" s="104"/>
      <c r="EG15" s="104"/>
      <c r="EH15" s="104"/>
      <c r="EI15" s="91"/>
      <c r="EJ15" s="104"/>
      <c r="EK15" s="104"/>
      <c r="EL15" s="104"/>
      <c r="EM15" s="104"/>
      <c r="EN15" s="91"/>
      <c r="EO15" s="104"/>
      <c r="EP15" s="104"/>
      <c r="EQ15" s="104"/>
      <c r="ER15" s="104"/>
      <c r="ES15" s="91"/>
      <c r="ET15" s="104"/>
      <c r="EU15" s="104"/>
      <c r="EV15" s="104"/>
      <c r="EW15" s="104"/>
      <c r="EX15" s="91"/>
      <c r="EY15" s="104"/>
      <c r="EZ15" s="104"/>
      <c r="FA15" s="104"/>
      <c r="FB15" s="104"/>
      <c r="FC15" s="91"/>
      <c r="FD15" s="104"/>
      <c r="FE15" s="104"/>
      <c r="FF15" s="104"/>
      <c r="FG15" s="104"/>
      <c r="FH15" s="91"/>
      <c r="FI15" s="104"/>
      <c r="FJ15" s="104"/>
      <c r="FK15" s="104"/>
      <c r="FL15" s="104"/>
      <c r="FM15" s="104"/>
      <c r="FN15" s="104"/>
      <c r="FO15" s="104"/>
      <c r="FP15" s="104"/>
      <c r="FQ15" s="104"/>
      <c r="FR15" s="104"/>
      <c r="FS15" s="104"/>
      <c r="FT15" s="104"/>
      <c r="FU15" s="104"/>
      <c r="FV15" s="104"/>
      <c r="FW15" s="104"/>
      <c r="FX15" s="104"/>
      <c r="FY15" s="104"/>
      <c r="FZ15" s="104"/>
      <c r="GA15" s="104"/>
      <c r="GB15" s="104"/>
      <c r="GC15" s="104"/>
      <c r="GD15" s="104"/>
      <c r="GE15" s="104"/>
      <c r="GF15" s="104"/>
      <c r="GG15" s="104"/>
      <c r="GH15" s="104"/>
      <c r="GI15" s="104"/>
      <c r="GJ15" s="104"/>
      <c r="GK15" s="104"/>
      <c r="GL15" s="104"/>
      <c r="GM15" s="104"/>
      <c r="GN15" s="104"/>
      <c r="GO15" s="104"/>
      <c r="GP15" s="91"/>
      <c r="GQ15" s="104"/>
      <c r="GR15" s="104"/>
      <c r="GS15" s="104"/>
      <c r="GT15" s="104"/>
      <c r="GU15" s="91"/>
      <c r="GV15" s="104"/>
      <c r="GW15" s="104"/>
      <c r="GX15" s="104"/>
      <c r="GY15" s="104"/>
      <c r="GZ15" s="91"/>
      <c r="HA15" s="104"/>
      <c r="HB15" s="104"/>
      <c r="HC15" s="104"/>
      <c r="HD15" s="104"/>
      <c r="HE15" s="91"/>
      <c r="HF15" s="104"/>
      <c r="HG15" s="104"/>
      <c r="HH15" s="104"/>
      <c r="HI15" s="104"/>
      <c r="HJ15" s="91"/>
      <c r="HK15" s="104"/>
      <c r="HL15" s="104"/>
      <c r="HM15" s="104"/>
      <c r="HN15" s="104"/>
      <c r="HO15" s="91"/>
      <c r="HP15" s="104"/>
      <c r="HQ15" s="104"/>
      <c r="HR15" s="104"/>
      <c r="HS15" s="104"/>
      <c r="HT15" s="91"/>
      <c r="HU15" s="104"/>
      <c r="HV15" s="104"/>
      <c r="HW15" s="104"/>
      <c r="HX15" s="104"/>
      <c r="HY15" s="91"/>
      <c r="HZ15" s="104"/>
      <c r="IA15" s="104"/>
      <c r="IB15" s="104"/>
      <c r="IC15" s="104"/>
      <c r="ID15" s="91"/>
      <c r="IE15" s="104"/>
      <c r="IF15" s="104"/>
      <c r="IG15" s="104"/>
      <c r="IH15" s="104"/>
      <c r="II15" s="91"/>
      <c r="IJ15" s="104"/>
      <c r="IK15" s="104"/>
      <c r="IL15" s="104"/>
      <c r="IM15" s="104"/>
      <c r="IN15" s="91"/>
      <c r="IO15" s="104"/>
      <c r="IP15" s="104"/>
      <c r="IQ15" s="104"/>
      <c r="IR15" s="104"/>
      <c r="IS15" s="91"/>
      <c r="IT15" s="104"/>
      <c r="IU15" s="104"/>
      <c r="IV15" s="104"/>
      <c r="IW15" s="104"/>
      <c r="IX15" s="91"/>
      <c r="IY15" s="104"/>
      <c r="IZ15" s="104"/>
      <c r="JA15" s="104"/>
      <c r="JB15" s="104"/>
      <c r="JC15" s="91"/>
      <c r="JD15" s="104"/>
      <c r="JE15" s="104"/>
      <c r="JF15" s="104"/>
      <c r="JG15" s="105"/>
      <c r="JH15" s="91"/>
      <c r="JI15" s="106"/>
      <c r="JJ15" s="104"/>
      <c r="JK15" s="104"/>
      <c r="JL15" s="105"/>
      <c r="JM15" s="95"/>
      <c r="JN15" s="107"/>
      <c r="JO15" s="79"/>
      <c r="JP15" s="106"/>
      <c r="JQ15" s="104"/>
      <c r="JR15" s="104"/>
      <c r="JS15" s="104"/>
      <c r="JT15" s="104"/>
      <c r="JU15" s="104"/>
      <c r="JV15" s="104"/>
      <c r="JW15" s="104"/>
      <c r="JX15" s="104"/>
      <c r="JY15" s="104"/>
      <c r="JZ15" s="104"/>
      <c r="KA15" s="104"/>
      <c r="KB15" s="104"/>
      <c r="KC15" s="104"/>
      <c r="KD15" s="104"/>
      <c r="KE15" s="104"/>
      <c r="KF15" s="104"/>
      <c r="KG15" s="104"/>
      <c r="KH15" s="104"/>
      <c r="KI15" s="104"/>
      <c r="KJ15" s="104"/>
      <c r="KK15" s="104"/>
      <c r="KL15" s="104"/>
      <c r="KM15" s="104"/>
      <c r="KN15" s="104"/>
      <c r="KO15" s="104"/>
      <c r="KP15" s="104"/>
      <c r="KQ15" s="104"/>
      <c r="KR15" s="104"/>
      <c r="KS15" s="104"/>
      <c r="KT15" s="104"/>
      <c r="KU15" s="104"/>
      <c r="KV15" s="104"/>
      <c r="KW15" s="104"/>
      <c r="KX15" s="104"/>
      <c r="KY15" s="104"/>
      <c r="KZ15" s="104"/>
      <c r="LA15" s="104"/>
      <c r="LB15" s="104"/>
      <c r="LC15" s="104"/>
      <c r="LD15" s="104"/>
      <c r="LE15" s="104"/>
      <c r="LF15" s="104"/>
      <c r="LG15" s="104"/>
      <c r="LH15" s="104"/>
      <c r="LI15" s="104"/>
      <c r="LJ15" s="104"/>
      <c r="LK15" s="104"/>
      <c r="LL15" s="104"/>
      <c r="LM15" s="104"/>
      <c r="LN15" s="104"/>
      <c r="LO15" s="104"/>
      <c r="LP15" s="104"/>
      <c r="LQ15" s="104"/>
      <c r="LR15" s="104"/>
      <c r="LS15" s="104"/>
      <c r="LT15" s="104"/>
      <c r="LU15" s="104"/>
      <c r="LV15" s="104"/>
      <c r="LW15" s="104"/>
      <c r="LX15" s="104"/>
      <c r="LY15" s="104"/>
      <c r="LZ15" s="104"/>
      <c r="MA15" s="104"/>
      <c r="MB15" s="104"/>
      <c r="MC15" s="104"/>
      <c r="MD15" s="104"/>
      <c r="ME15" s="104"/>
      <c r="MF15" s="104"/>
      <c r="MG15" s="104"/>
      <c r="MH15" s="104"/>
      <c r="MI15" s="104"/>
      <c r="MJ15" s="104"/>
      <c r="MK15" s="104"/>
      <c r="ML15" s="104"/>
      <c r="MM15" s="104"/>
      <c r="MN15" s="104"/>
      <c r="MO15" s="104"/>
      <c r="MP15" s="104"/>
      <c r="MQ15" s="104"/>
      <c r="MR15" s="104"/>
      <c r="MS15" s="104"/>
      <c r="MT15" s="104"/>
      <c r="MU15" s="104"/>
      <c r="MV15" s="104"/>
      <c r="MW15" s="104"/>
      <c r="MX15" s="104"/>
      <c r="MY15" s="104"/>
      <c r="MZ15" s="104"/>
      <c r="NA15" s="104"/>
      <c r="NB15" s="104"/>
      <c r="NC15" s="104"/>
      <c r="ND15" s="104"/>
      <c r="NE15" s="104"/>
      <c r="NF15" s="104"/>
      <c r="NG15" s="104"/>
      <c r="NH15" s="104"/>
      <c r="NI15" s="104"/>
      <c r="NJ15" s="104"/>
      <c r="NK15" s="104"/>
      <c r="NL15" s="104"/>
      <c r="NM15" s="104"/>
      <c r="NN15" s="104"/>
      <c r="NO15" s="104"/>
      <c r="NP15" s="104"/>
      <c r="NQ15" s="104"/>
      <c r="NR15" s="104"/>
      <c r="NS15" s="104"/>
      <c r="NT15" s="104"/>
      <c r="NU15" s="104"/>
      <c r="NV15" s="104"/>
      <c r="NW15" s="104"/>
      <c r="NX15" s="104"/>
      <c r="NY15" s="104"/>
      <c r="NZ15" s="104"/>
    </row>
    <row r="16" spans="1:390" ht="15.75" customHeight="1" x14ac:dyDescent="0.3">
      <c r="A16" s="125">
        <v>4663105459</v>
      </c>
      <c r="B16" s="159"/>
      <c r="C16" s="126"/>
      <c r="D16" s="213" t="s">
        <v>391</v>
      </c>
      <c r="E16" s="135" t="s">
        <v>453</v>
      </c>
      <c r="F16" s="125" t="s">
        <v>422</v>
      </c>
      <c r="G16" s="125" t="s">
        <v>448</v>
      </c>
      <c r="H16" s="111">
        <v>42844</v>
      </c>
      <c r="I16" s="135" t="s">
        <v>396</v>
      </c>
      <c r="J16" s="135" t="s">
        <v>397</v>
      </c>
      <c r="K16" s="128" t="s">
        <v>398</v>
      </c>
      <c r="L16" s="128" t="s">
        <v>398</v>
      </c>
      <c r="M16" s="128" t="s">
        <v>398</v>
      </c>
      <c r="N16" s="128" t="s">
        <v>398</v>
      </c>
      <c r="O16" s="128" t="s">
        <v>398</v>
      </c>
      <c r="P16" s="128" t="s">
        <v>398</v>
      </c>
      <c r="Q16" s="128" t="s">
        <v>398</v>
      </c>
      <c r="R16" s="128" t="s">
        <v>398</v>
      </c>
      <c r="S16" s="128" t="s">
        <v>398</v>
      </c>
      <c r="T16" s="128" t="s">
        <v>398</v>
      </c>
      <c r="U16" s="128" t="s">
        <v>398</v>
      </c>
      <c r="V16" s="128" t="s">
        <v>398</v>
      </c>
      <c r="W16" s="136" t="s">
        <v>398</v>
      </c>
      <c r="X16" s="135" t="s">
        <v>398</v>
      </c>
      <c r="Y16" s="113" t="s">
        <v>398</v>
      </c>
      <c r="Z16" s="113" t="s">
        <v>398</v>
      </c>
      <c r="AA16" s="126"/>
      <c r="AB16" s="113" t="s">
        <v>399</v>
      </c>
      <c r="AC16" s="111">
        <v>14460</v>
      </c>
      <c r="AD16" s="139"/>
      <c r="AE16" s="108" t="e">
        <f t="shared" si="0"/>
        <v>#NUM!</v>
      </c>
      <c r="AF16" s="138" t="s">
        <v>454</v>
      </c>
      <c r="AG16" s="126" t="s">
        <v>401</v>
      </c>
      <c r="AH16" s="131" t="s">
        <v>402</v>
      </c>
      <c r="AI16" s="125" t="s">
        <v>455</v>
      </c>
      <c r="AJ16" s="125">
        <v>0</v>
      </c>
      <c r="AK16" s="125">
        <v>0</v>
      </c>
      <c r="AL16" s="125">
        <v>0</v>
      </c>
      <c r="AM16" s="139" t="s">
        <v>456</v>
      </c>
      <c r="AN16" s="134" t="s">
        <v>444</v>
      </c>
      <c r="AO16" s="136" t="s">
        <v>398</v>
      </c>
      <c r="AP16" s="126"/>
      <c r="AQ16" s="106"/>
      <c r="AR16" s="91"/>
      <c r="AS16" s="104"/>
      <c r="AT16" s="104"/>
      <c r="AU16" s="104"/>
      <c r="AV16" s="104"/>
      <c r="AW16" s="91"/>
      <c r="AX16" s="104"/>
      <c r="AY16" s="104"/>
      <c r="AZ16" s="104"/>
      <c r="BA16" s="104"/>
      <c r="BB16" s="91"/>
      <c r="BC16" s="104"/>
      <c r="BD16" s="104"/>
      <c r="BE16" s="104"/>
      <c r="BF16" s="104"/>
      <c r="BG16" s="91"/>
      <c r="BH16" s="104"/>
      <c r="BI16" s="104"/>
      <c r="BJ16" s="104"/>
      <c r="BK16" s="104"/>
      <c r="BL16" s="91"/>
      <c r="BM16" s="104"/>
      <c r="BN16" s="104"/>
      <c r="BO16" s="104"/>
      <c r="BP16" s="104"/>
      <c r="BQ16" s="91"/>
      <c r="BR16" s="104"/>
      <c r="BS16" s="104"/>
      <c r="BT16" s="104"/>
      <c r="BU16" s="104"/>
      <c r="BV16" s="91"/>
      <c r="BW16" s="104"/>
      <c r="BX16" s="104"/>
      <c r="BY16" s="104"/>
      <c r="BZ16" s="104"/>
      <c r="CA16" s="91"/>
      <c r="CB16" s="104"/>
      <c r="CC16" s="104"/>
      <c r="CD16" s="104"/>
      <c r="CE16" s="104"/>
      <c r="CF16" s="91"/>
      <c r="CG16" s="104"/>
      <c r="CH16" s="104"/>
      <c r="CI16" s="104"/>
      <c r="CJ16" s="104"/>
      <c r="CK16" s="91"/>
      <c r="CL16" s="104"/>
      <c r="CM16" s="104"/>
      <c r="CN16" s="104"/>
      <c r="CO16" s="104"/>
      <c r="CP16" s="91"/>
      <c r="CQ16" s="104"/>
      <c r="CR16" s="104"/>
      <c r="CS16" s="104"/>
      <c r="CT16" s="104"/>
      <c r="CU16" s="91"/>
      <c r="CV16" s="104"/>
      <c r="CW16" s="104"/>
      <c r="CX16" s="104"/>
      <c r="CY16" s="104"/>
      <c r="CZ16" s="91"/>
      <c r="DA16" s="104"/>
      <c r="DB16" s="104"/>
      <c r="DC16" s="104"/>
      <c r="DD16" s="104"/>
      <c r="DE16" s="91"/>
      <c r="DF16" s="104"/>
      <c r="DG16" s="104"/>
      <c r="DH16" s="104"/>
      <c r="DI16" s="104"/>
      <c r="DJ16" s="91"/>
      <c r="DK16" s="104"/>
      <c r="DL16" s="104"/>
      <c r="DM16" s="104"/>
      <c r="DN16" s="104"/>
      <c r="DO16" s="91"/>
      <c r="DP16" s="104"/>
      <c r="DQ16" s="104"/>
      <c r="DR16" s="104"/>
      <c r="DS16" s="104"/>
      <c r="DT16" s="91"/>
      <c r="DU16" s="104"/>
      <c r="DV16" s="104"/>
      <c r="DW16" s="104"/>
      <c r="DX16" s="104"/>
      <c r="DY16" s="91"/>
      <c r="DZ16" s="104"/>
      <c r="EA16" s="104"/>
      <c r="EB16" s="104"/>
      <c r="EC16" s="104"/>
      <c r="ED16" s="91"/>
      <c r="EE16" s="104"/>
      <c r="EF16" s="104"/>
      <c r="EG16" s="104"/>
      <c r="EH16" s="104"/>
      <c r="EI16" s="91"/>
      <c r="EJ16" s="104"/>
      <c r="EK16" s="104"/>
      <c r="EL16" s="104"/>
      <c r="EM16" s="104"/>
      <c r="EN16" s="91"/>
      <c r="EO16" s="104"/>
      <c r="EP16" s="104"/>
      <c r="EQ16" s="104"/>
      <c r="ER16" s="104"/>
      <c r="ES16" s="91"/>
      <c r="ET16" s="104"/>
      <c r="EU16" s="104"/>
      <c r="EV16" s="104"/>
      <c r="EW16" s="104"/>
      <c r="EX16" s="91"/>
      <c r="EY16" s="104"/>
      <c r="EZ16" s="104"/>
      <c r="FA16" s="104"/>
      <c r="FB16" s="104"/>
      <c r="FC16" s="91"/>
      <c r="FD16" s="104"/>
      <c r="FE16" s="104"/>
      <c r="FF16" s="104"/>
      <c r="FG16" s="104"/>
      <c r="FH16" s="91"/>
      <c r="FI16" s="104"/>
      <c r="FJ16" s="104"/>
      <c r="FK16" s="104"/>
      <c r="FL16" s="104"/>
      <c r="FM16" s="104"/>
      <c r="FN16" s="104"/>
      <c r="FO16" s="104"/>
      <c r="FP16" s="104"/>
      <c r="FQ16" s="104"/>
      <c r="FR16" s="104"/>
      <c r="FS16" s="104"/>
      <c r="FT16" s="104"/>
      <c r="FU16" s="104"/>
      <c r="FV16" s="104"/>
      <c r="FW16" s="104"/>
      <c r="FX16" s="104"/>
      <c r="FY16" s="104"/>
      <c r="FZ16" s="104"/>
      <c r="GA16" s="104"/>
      <c r="GB16" s="104"/>
      <c r="GC16" s="104"/>
      <c r="GD16" s="104"/>
      <c r="GE16" s="104"/>
      <c r="GF16" s="104"/>
      <c r="GG16" s="104"/>
      <c r="GH16" s="104"/>
      <c r="GI16" s="104"/>
      <c r="GJ16" s="104"/>
      <c r="GK16" s="104"/>
      <c r="GL16" s="104"/>
      <c r="GM16" s="104"/>
      <c r="GN16" s="104"/>
      <c r="GO16" s="104"/>
      <c r="GP16" s="91"/>
      <c r="GQ16" s="104"/>
      <c r="GR16" s="104"/>
      <c r="GS16" s="104"/>
      <c r="GT16" s="104"/>
      <c r="GU16" s="91"/>
      <c r="GV16" s="104"/>
      <c r="GW16" s="104"/>
      <c r="GX16" s="104"/>
      <c r="GY16" s="104"/>
      <c r="GZ16" s="91"/>
      <c r="HA16" s="104"/>
      <c r="HB16" s="104"/>
      <c r="HC16" s="104"/>
      <c r="HD16" s="104"/>
      <c r="HE16" s="91"/>
      <c r="HF16" s="104"/>
      <c r="HG16" s="104"/>
      <c r="HH16" s="104"/>
      <c r="HI16" s="104"/>
      <c r="HJ16" s="91"/>
      <c r="HK16" s="104"/>
      <c r="HL16" s="104"/>
      <c r="HM16" s="104"/>
      <c r="HN16" s="104"/>
      <c r="HO16" s="91"/>
      <c r="HP16" s="104"/>
      <c r="HQ16" s="104"/>
      <c r="HR16" s="104"/>
      <c r="HS16" s="104"/>
      <c r="HT16" s="91"/>
      <c r="HU16" s="104"/>
      <c r="HV16" s="104"/>
      <c r="HW16" s="104"/>
      <c r="HX16" s="104"/>
      <c r="HY16" s="91"/>
      <c r="HZ16" s="104"/>
      <c r="IA16" s="104"/>
      <c r="IB16" s="104"/>
      <c r="IC16" s="104"/>
      <c r="ID16" s="91"/>
      <c r="IE16" s="104"/>
      <c r="IF16" s="104"/>
      <c r="IG16" s="104"/>
      <c r="IH16" s="104"/>
      <c r="II16" s="91"/>
      <c r="IJ16" s="104"/>
      <c r="IK16" s="104"/>
      <c r="IL16" s="104"/>
      <c r="IM16" s="104"/>
      <c r="IN16" s="91"/>
      <c r="IO16" s="104"/>
      <c r="IP16" s="104"/>
      <c r="IQ16" s="104"/>
      <c r="IR16" s="104"/>
      <c r="IS16" s="91"/>
      <c r="IT16" s="104"/>
      <c r="IU16" s="104"/>
      <c r="IV16" s="104"/>
      <c r="IW16" s="104"/>
      <c r="IX16" s="91"/>
      <c r="IY16" s="104"/>
      <c r="IZ16" s="104"/>
      <c r="JA16" s="104"/>
      <c r="JB16" s="104"/>
      <c r="JC16" s="91"/>
      <c r="JD16" s="104"/>
      <c r="JE16" s="104"/>
      <c r="JF16" s="104"/>
      <c r="JG16" s="105"/>
      <c r="JH16" s="91"/>
      <c r="JI16" s="106"/>
      <c r="JJ16" s="104"/>
      <c r="JK16" s="104"/>
      <c r="JL16" s="105"/>
      <c r="JM16" s="95"/>
      <c r="JN16" s="107"/>
      <c r="JO16" s="79"/>
      <c r="JP16" s="106"/>
      <c r="JQ16" s="104"/>
      <c r="JR16" s="104"/>
      <c r="JS16" s="104"/>
      <c r="JT16" s="104"/>
      <c r="JU16" s="104"/>
      <c r="JV16" s="104"/>
      <c r="JW16" s="104"/>
      <c r="JX16" s="104"/>
      <c r="JY16" s="104"/>
      <c r="JZ16" s="104"/>
      <c r="KA16" s="104"/>
      <c r="KB16" s="104"/>
      <c r="KC16" s="104"/>
      <c r="KD16" s="104"/>
      <c r="KE16" s="104"/>
      <c r="KF16" s="104"/>
      <c r="KG16" s="104"/>
      <c r="KH16" s="104"/>
      <c r="KI16" s="104"/>
      <c r="KJ16" s="104"/>
      <c r="KK16" s="104"/>
      <c r="KL16" s="104"/>
      <c r="KM16" s="104"/>
      <c r="KN16" s="104"/>
      <c r="KO16" s="104"/>
      <c r="KP16" s="104"/>
      <c r="KQ16" s="104"/>
      <c r="KR16" s="104"/>
      <c r="KS16" s="104"/>
      <c r="KT16" s="104"/>
      <c r="KU16" s="104"/>
      <c r="KV16" s="104"/>
      <c r="KW16" s="104"/>
      <c r="KX16" s="104"/>
      <c r="KY16" s="104"/>
      <c r="KZ16" s="104"/>
      <c r="LA16" s="104"/>
      <c r="LB16" s="104"/>
      <c r="LC16" s="104"/>
      <c r="LD16" s="104"/>
      <c r="LE16" s="104"/>
      <c r="LF16" s="104"/>
      <c r="LG16" s="104"/>
      <c r="LH16" s="104"/>
      <c r="LI16" s="104"/>
      <c r="LJ16" s="104"/>
      <c r="LK16" s="104"/>
      <c r="LL16" s="104"/>
      <c r="LM16" s="104"/>
      <c r="LN16" s="104"/>
      <c r="LO16" s="104"/>
      <c r="LP16" s="104"/>
      <c r="LQ16" s="104"/>
      <c r="LR16" s="104"/>
      <c r="LS16" s="104"/>
      <c r="LT16" s="104"/>
      <c r="LU16" s="104"/>
      <c r="LV16" s="104"/>
      <c r="LW16" s="104"/>
      <c r="LX16" s="104"/>
      <c r="LY16" s="104"/>
      <c r="LZ16" s="104"/>
      <c r="MA16" s="104"/>
      <c r="MB16" s="104"/>
      <c r="MC16" s="104"/>
      <c r="MD16" s="104"/>
      <c r="ME16" s="104"/>
      <c r="MF16" s="104"/>
      <c r="MG16" s="104"/>
      <c r="MH16" s="104"/>
      <c r="MI16" s="104"/>
      <c r="MJ16" s="104"/>
      <c r="MK16" s="104"/>
      <c r="ML16" s="104"/>
      <c r="MM16" s="104"/>
      <c r="MN16" s="104"/>
      <c r="MO16" s="104"/>
      <c r="MP16" s="104"/>
      <c r="MQ16" s="104"/>
      <c r="MR16" s="104"/>
      <c r="MS16" s="104"/>
      <c r="MT16" s="104"/>
      <c r="MU16" s="104"/>
      <c r="MV16" s="104"/>
      <c r="MW16" s="104"/>
      <c r="MX16" s="104"/>
      <c r="MY16" s="104"/>
      <c r="MZ16" s="104"/>
      <c r="NA16" s="104"/>
      <c r="NB16" s="104"/>
      <c r="NC16" s="104"/>
      <c r="ND16" s="104"/>
      <c r="NE16" s="104"/>
      <c r="NF16" s="104"/>
      <c r="NG16" s="104"/>
      <c r="NH16" s="104"/>
      <c r="NI16" s="104"/>
      <c r="NJ16" s="104"/>
      <c r="NK16" s="104"/>
      <c r="NL16" s="104"/>
      <c r="NM16" s="104"/>
      <c r="NN16" s="104"/>
      <c r="NO16" s="104"/>
      <c r="NP16" s="104"/>
      <c r="NQ16" s="104"/>
      <c r="NR16" s="104"/>
      <c r="NS16" s="104"/>
      <c r="NT16" s="104"/>
      <c r="NU16" s="104"/>
      <c r="NV16" s="104"/>
      <c r="NW16" s="104"/>
      <c r="NX16" s="104"/>
      <c r="NY16" s="104"/>
      <c r="NZ16" s="104"/>
    </row>
    <row r="17" spans="1:390" ht="15.75" customHeight="1" x14ac:dyDescent="0.3">
      <c r="A17" s="125">
        <v>4389042653</v>
      </c>
      <c r="B17" s="159"/>
      <c r="C17" s="126"/>
      <c r="D17" s="213" t="s">
        <v>391</v>
      </c>
      <c r="E17" s="135" t="s">
        <v>457</v>
      </c>
      <c r="F17" s="125">
        <v>8</v>
      </c>
      <c r="G17" s="125">
        <v>10</v>
      </c>
      <c r="H17" s="111">
        <v>42870</v>
      </c>
      <c r="I17" s="135" t="s">
        <v>458</v>
      </c>
      <c r="J17" s="135" t="s">
        <v>397</v>
      </c>
      <c r="K17" s="128" t="s">
        <v>398</v>
      </c>
      <c r="L17" s="128" t="s">
        <v>398</v>
      </c>
      <c r="M17" s="128" t="s">
        <v>398</v>
      </c>
      <c r="N17" s="128" t="s">
        <v>398</v>
      </c>
      <c r="O17" s="128" t="s">
        <v>398</v>
      </c>
      <c r="P17" s="128" t="s">
        <v>398</v>
      </c>
      <c r="Q17" s="128" t="s">
        <v>398</v>
      </c>
      <c r="R17" s="128" t="s">
        <v>398</v>
      </c>
      <c r="S17" s="128" t="s">
        <v>398</v>
      </c>
      <c r="T17" s="128" t="s">
        <v>398</v>
      </c>
      <c r="U17" s="128" t="s">
        <v>398</v>
      </c>
      <c r="V17" s="128" t="s">
        <v>398</v>
      </c>
      <c r="W17" s="136" t="s">
        <v>398</v>
      </c>
      <c r="X17" s="135" t="s">
        <v>398</v>
      </c>
      <c r="Y17" s="113" t="s">
        <v>398</v>
      </c>
      <c r="Z17" s="113" t="s">
        <v>398</v>
      </c>
      <c r="AA17" s="126"/>
      <c r="AB17" s="113" t="s">
        <v>399</v>
      </c>
      <c r="AC17" s="111">
        <v>13661</v>
      </c>
      <c r="AD17" s="139"/>
      <c r="AE17" s="108" t="e">
        <f t="shared" si="0"/>
        <v>#NUM!</v>
      </c>
      <c r="AF17" s="138" t="s">
        <v>411</v>
      </c>
      <c r="AG17" s="126" t="s">
        <v>401</v>
      </c>
      <c r="AH17" s="131" t="s">
        <v>402</v>
      </c>
      <c r="AI17" s="125" t="s">
        <v>412</v>
      </c>
      <c r="AJ17" s="125">
        <v>0</v>
      </c>
      <c r="AK17" s="125">
        <v>0</v>
      </c>
      <c r="AL17" s="125">
        <v>0</v>
      </c>
      <c r="AM17" s="139" t="s">
        <v>414</v>
      </c>
      <c r="AN17" s="134">
        <v>1</v>
      </c>
      <c r="AO17" s="136" t="s">
        <v>398</v>
      </c>
      <c r="AP17" s="126"/>
      <c r="AQ17" s="106"/>
      <c r="AR17" s="91"/>
      <c r="AS17" s="104"/>
      <c r="AT17" s="104"/>
      <c r="AU17" s="104"/>
      <c r="AV17" s="104"/>
      <c r="AW17" s="91"/>
      <c r="AX17" s="104"/>
      <c r="AY17" s="104"/>
      <c r="AZ17" s="104"/>
      <c r="BA17" s="104"/>
      <c r="BB17" s="91"/>
      <c r="BC17" s="104"/>
      <c r="BD17" s="104"/>
      <c r="BE17" s="104"/>
      <c r="BF17" s="104"/>
      <c r="BG17" s="91"/>
      <c r="BH17" s="104"/>
      <c r="BI17" s="104"/>
      <c r="BJ17" s="104"/>
      <c r="BK17" s="104"/>
      <c r="BL17" s="91"/>
      <c r="BM17" s="104"/>
      <c r="BN17" s="104"/>
      <c r="BO17" s="104"/>
      <c r="BP17" s="104"/>
      <c r="BQ17" s="91"/>
      <c r="BR17" s="104"/>
      <c r="BS17" s="104"/>
      <c r="BT17" s="104"/>
      <c r="BU17" s="104"/>
      <c r="BV17" s="91"/>
      <c r="BW17" s="104"/>
      <c r="BX17" s="104"/>
      <c r="BY17" s="104"/>
      <c r="BZ17" s="104"/>
      <c r="CA17" s="91"/>
      <c r="CB17" s="104"/>
      <c r="CC17" s="104"/>
      <c r="CD17" s="104"/>
      <c r="CE17" s="104"/>
      <c r="CF17" s="91"/>
      <c r="CG17" s="104"/>
      <c r="CH17" s="104"/>
      <c r="CI17" s="104"/>
      <c r="CJ17" s="104"/>
      <c r="CK17" s="91"/>
      <c r="CL17" s="104"/>
      <c r="CM17" s="104"/>
      <c r="CN17" s="104"/>
      <c r="CO17" s="104"/>
      <c r="CP17" s="91"/>
      <c r="CQ17" s="104"/>
      <c r="CR17" s="104"/>
      <c r="CS17" s="104"/>
      <c r="CT17" s="104"/>
      <c r="CU17" s="91"/>
      <c r="CV17" s="104"/>
      <c r="CW17" s="104"/>
      <c r="CX17" s="104"/>
      <c r="CY17" s="104"/>
      <c r="CZ17" s="91"/>
      <c r="DA17" s="104"/>
      <c r="DB17" s="104"/>
      <c r="DC17" s="104"/>
      <c r="DD17" s="104"/>
      <c r="DE17" s="91"/>
      <c r="DF17" s="104"/>
      <c r="DG17" s="104"/>
      <c r="DH17" s="104"/>
      <c r="DI17" s="104"/>
      <c r="DJ17" s="91"/>
      <c r="DK17" s="104"/>
      <c r="DL17" s="104"/>
      <c r="DM17" s="104"/>
      <c r="DN17" s="104"/>
      <c r="DO17" s="91"/>
      <c r="DP17" s="104"/>
      <c r="DQ17" s="104"/>
      <c r="DR17" s="104"/>
      <c r="DS17" s="104"/>
      <c r="DT17" s="91"/>
      <c r="DU17" s="104"/>
      <c r="DV17" s="104"/>
      <c r="DW17" s="104"/>
      <c r="DX17" s="104"/>
      <c r="DY17" s="91"/>
      <c r="DZ17" s="104"/>
      <c r="EA17" s="104"/>
      <c r="EB17" s="104"/>
      <c r="EC17" s="104"/>
      <c r="ED17" s="91"/>
      <c r="EE17" s="104"/>
      <c r="EF17" s="104"/>
      <c r="EG17" s="104"/>
      <c r="EH17" s="104"/>
      <c r="EI17" s="91"/>
      <c r="EJ17" s="104"/>
      <c r="EK17" s="104"/>
      <c r="EL17" s="104"/>
      <c r="EM17" s="104"/>
      <c r="EN17" s="91"/>
      <c r="EO17" s="104"/>
      <c r="EP17" s="104"/>
      <c r="EQ17" s="104"/>
      <c r="ER17" s="104"/>
      <c r="ES17" s="91"/>
      <c r="ET17" s="104"/>
      <c r="EU17" s="104"/>
      <c r="EV17" s="104"/>
      <c r="EW17" s="104"/>
      <c r="EX17" s="91"/>
      <c r="EY17" s="104"/>
      <c r="EZ17" s="104"/>
      <c r="FA17" s="104"/>
      <c r="FB17" s="104"/>
      <c r="FC17" s="91"/>
      <c r="FD17" s="104"/>
      <c r="FE17" s="104"/>
      <c r="FF17" s="104"/>
      <c r="FG17" s="104"/>
      <c r="FH17" s="91"/>
      <c r="FI17" s="104"/>
      <c r="FJ17" s="104"/>
      <c r="FK17" s="104"/>
      <c r="FL17" s="104"/>
      <c r="FM17" s="104"/>
      <c r="FN17" s="104"/>
      <c r="FO17" s="104"/>
      <c r="FP17" s="104"/>
      <c r="FQ17" s="104"/>
      <c r="FR17" s="104"/>
      <c r="FS17" s="104"/>
      <c r="FT17" s="104"/>
      <c r="FU17" s="104"/>
      <c r="FV17" s="104"/>
      <c r="FW17" s="104"/>
      <c r="FX17" s="104"/>
      <c r="FY17" s="104"/>
      <c r="FZ17" s="104"/>
      <c r="GA17" s="104"/>
      <c r="GB17" s="104"/>
      <c r="GC17" s="104"/>
      <c r="GD17" s="104"/>
      <c r="GE17" s="104"/>
      <c r="GF17" s="104"/>
      <c r="GG17" s="104"/>
      <c r="GH17" s="104"/>
      <c r="GI17" s="104"/>
      <c r="GJ17" s="104"/>
      <c r="GK17" s="104"/>
      <c r="GL17" s="104"/>
      <c r="GM17" s="104"/>
      <c r="GN17" s="104"/>
      <c r="GO17" s="104"/>
      <c r="GP17" s="91"/>
      <c r="GQ17" s="104"/>
      <c r="GR17" s="104"/>
      <c r="GS17" s="104"/>
      <c r="GT17" s="104"/>
      <c r="GU17" s="91"/>
      <c r="GV17" s="104"/>
      <c r="GW17" s="104"/>
      <c r="GX17" s="104"/>
      <c r="GY17" s="104"/>
      <c r="GZ17" s="91"/>
      <c r="HA17" s="104"/>
      <c r="HB17" s="104"/>
      <c r="HC17" s="104"/>
      <c r="HD17" s="104"/>
      <c r="HE17" s="91"/>
      <c r="HF17" s="104"/>
      <c r="HG17" s="104"/>
      <c r="HH17" s="104"/>
      <c r="HI17" s="104"/>
      <c r="HJ17" s="91"/>
      <c r="HK17" s="104"/>
      <c r="HL17" s="104"/>
      <c r="HM17" s="104"/>
      <c r="HN17" s="104"/>
      <c r="HO17" s="91"/>
      <c r="HP17" s="104"/>
      <c r="HQ17" s="104"/>
      <c r="HR17" s="104"/>
      <c r="HS17" s="104"/>
      <c r="HT17" s="91"/>
      <c r="HU17" s="104"/>
      <c r="HV17" s="104"/>
      <c r="HW17" s="104"/>
      <c r="HX17" s="104"/>
      <c r="HY17" s="91"/>
      <c r="HZ17" s="104"/>
      <c r="IA17" s="104"/>
      <c r="IB17" s="104"/>
      <c r="IC17" s="104"/>
      <c r="ID17" s="91"/>
      <c r="IE17" s="104"/>
      <c r="IF17" s="104"/>
      <c r="IG17" s="104"/>
      <c r="IH17" s="104"/>
      <c r="II17" s="91"/>
      <c r="IJ17" s="104"/>
      <c r="IK17" s="104"/>
      <c r="IL17" s="104"/>
      <c r="IM17" s="104"/>
      <c r="IN17" s="91"/>
      <c r="IO17" s="104"/>
      <c r="IP17" s="104"/>
      <c r="IQ17" s="104"/>
      <c r="IR17" s="104"/>
      <c r="IS17" s="91"/>
      <c r="IT17" s="104"/>
      <c r="IU17" s="104"/>
      <c r="IV17" s="104"/>
      <c r="IW17" s="104"/>
      <c r="IX17" s="91"/>
      <c r="IY17" s="104"/>
      <c r="IZ17" s="104"/>
      <c r="JA17" s="104"/>
      <c r="JB17" s="104"/>
      <c r="JC17" s="91"/>
      <c r="JD17" s="104"/>
      <c r="JE17" s="104"/>
      <c r="JF17" s="104"/>
      <c r="JG17" s="105"/>
      <c r="JH17" s="91"/>
      <c r="JI17" s="106"/>
      <c r="JJ17" s="104"/>
      <c r="JK17" s="104"/>
      <c r="JL17" s="105"/>
      <c r="JM17" s="95"/>
      <c r="JN17" s="107"/>
      <c r="JO17" s="79"/>
      <c r="JP17" s="106"/>
      <c r="JQ17" s="104"/>
      <c r="JR17" s="104"/>
      <c r="JS17" s="104"/>
      <c r="JT17" s="104"/>
      <c r="JU17" s="104"/>
      <c r="JV17" s="104"/>
      <c r="JW17" s="104"/>
      <c r="JX17" s="104"/>
      <c r="JY17" s="104"/>
      <c r="JZ17" s="104"/>
      <c r="KA17" s="104"/>
      <c r="KB17" s="104"/>
      <c r="KC17" s="104"/>
      <c r="KD17" s="104"/>
      <c r="KE17" s="104"/>
      <c r="KF17" s="104"/>
      <c r="KG17" s="104"/>
      <c r="KH17" s="104"/>
      <c r="KI17" s="104"/>
      <c r="KJ17" s="104"/>
      <c r="KK17" s="104"/>
      <c r="KL17" s="104"/>
      <c r="KM17" s="104"/>
      <c r="KN17" s="104"/>
      <c r="KO17" s="104"/>
      <c r="KP17" s="104"/>
      <c r="KQ17" s="104"/>
      <c r="KR17" s="104"/>
      <c r="KS17" s="104"/>
      <c r="KT17" s="104"/>
      <c r="KU17" s="104"/>
      <c r="KV17" s="104"/>
      <c r="KW17" s="104"/>
      <c r="KX17" s="104"/>
      <c r="KY17" s="104"/>
      <c r="KZ17" s="104"/>
      <c r="LA17" s="104"/>
      <c r="LB17" s="104"/>
      <c r="LC17" s="104"/>
      <c r="LD17" s="104"/>
      <c r="LE17" s="104"/>
      <c r="LF17" s="104"/>
      <c r="LG17" s="104"/>
      <c r="LH17" s="104"/>
      <c r="LI17" s="104"/>
      <c r="LJ17" s="104"/>
      <c r="LK17" s="104"/>
      <c r="LL17" s="104"/>
      <c r="LM17" s="104"/>
      <c r="LN17" s="104"/>
      <c r="LO17" s="104"/>
      <c r="LP17" s="104"/>
      <c r="LQ17" s="104"/>
      <c r="LR17" s="104"/>
      <c r="LS17" s="104"/>
      <c r="LT17" s="104"/>
      <c r="LU17" s="104"/>
      <c r="LV17" s="104"/>
      <c r="LW17" s="104"/>
      <c r="LX17" s="104"/>
      <c r="LY17" s="104"/>
      <c r="LZ17" s="104"/>
      <c r="MA17" s="104"/>
      <c r="MB17" s="104"/>
      <c r="MC17" s="104"/>
      <c r="MD17" s="104"/>
      <c r="ME17" s="104"/>
      <c r="MF17" s="104"/>
      <c r="MG17" s="104"/>
      <c r="MH17" s="104"/>
      <c r="MI17" s="104"/>
      <c r="MJ17" s="104"/>
      <c r="MK17" s="104"/>
      <c r="ML17" s="104"/>
      <c r="MM17" s="104"/>
      <c r="MN17" s="104"/>
      <c r="MO17" s="104"/>
      <c r="MP17" s="104"/>
      <c r="MQ17" s="104"/>
      <c r="MR17" s="104"/>
      <c r="MS17" s="104"/>
      <c r="MT17" s="104"/>
      <c r="MU17" s="104"/>
      <c r="MV17" s="104"/>
      <c r="MW17" s="104"/>
      <c r="MX17" s="104"/>
      <c r="MY17" s="104"/>
      <c r="MZ17" s="104"/>
      <c r="NA17" s="104"/>
      <c r="NB17" s="104"/>
      <c r="NC17" s="104"/>
      <c r="ND17" s="104"/>
      <c r="NE17" s="104"/>
      <c r="NF17" s="104"/>
      <c r="NG17" s="104"/>
      <c r="NH17" s="104"/>
      <c r="NI17" s="104"/>
      <c r="NJ17" s="104"/>
      <c r="NK17" s="104"/>
      <c r="NL17" s="104"/>
      <c r="NM17" s="104"/>
      <c r="NN17" s="104"/>
      <c r="NO17" s="104"/>
      <c r="NP17" s="104"/>
      <c r="NQ17" s="104"/>
      <c r="NR17" s="104"/>
      <c r="NS17" s="104"/>
      <c r="NT17" s="104"/>
      <c r="NU17" s="104"/>
      <c r="NV17" s="104"/>
      <c r="NW17" s="104"/>
      <c r="NX17" s="104"/>
      <c r="NY17" s="104"/>
      <c r="NZ17" s="104"/>
    </row>
    <row r="18" spans="1:390" ht="15.75" customHeight="1" x14ac:dyDescent="0.3">
      <c r="A18" s="125">
        <v>6100474530</v>
      </c>
      <c r="B18" s="159"/>
      <c r="C18" s="126"/>
      <c r="D18" s="213" t="s">
        <v>391</v>
      </c>
      <c r="E18" s="135" t="s">
        <v>459</v>
      </c>
      <c r="F18" s="125">
        <v>3</v>
      </c>
      <c r="G18" s="125">
        <v>5</v>
      </c>
      <c r="H18" s="111">
        <v>42886</v>
      </c>
      <c r="I18" s="135" t="s">
        <v>458</v>
      </c>
      <c r="J18" s="135" t="s">
        <v>397</v>
      </c>
      <c r="K18" s="128" t="s">
        <v>398</v>
      </c>
      <c r="L18" s="128" t="s">
        <v>398</v>
      </c>
      <c r="M18" s="128" t="s">
        <v>398</v>
      </c>
      <c r="N18" s="128" t="s">
        <v>398</v>
      </c>
      <c r="O18" s="128" t="s">
        <v>398</v>
      </c>
      <c r="P18" s="128" t="s">
        <v>398</v>
      </c>
      <c r="Q18" s="128" t="s">
        <v>398</v>
      </c>
      <c r="R18" s="128" t="s">
        <v>398</v>
      </c>
      <c r="S18" s="128" t="s">
        <v>398</v>
      </c>
      <c r="T18" s="128" t="s">
        <v>398</v>
      </c>
      <c r="U18" s="128" t="s">
        <v>398</v>
      </c>
      <c r="V18" s="128" t="s">
        <v>398</v>
      </c>
      <c r="W18" s="136" t="s">
        <v>398</v>
      </c>
      <c r="X18" s="135" t="s">
        <v>398</v>
      </c>
      <c r="Y18" s="113" t="s">
        <v>398</v>
      </c>
      <c r="Z18" s="113" t="s">
        <v>398</v>
      </c>
      <c r="AA18" s="126"/>
      <c r="AB18" s="113" t="s">
        <v>399</v>
      </c>
      <c r="AC18" s="111">
        <v>13548</v>
      </c>
      <c r="AD18" s="139"/>
      <c r="AE18" s="108" t="e">
        <f t="shared" si="0"/>
        <v>#NUM!</v>
      </c>
      <c r="AF18" s="138" t="s">
        <v>411</v>
      </c>
      <c r="AG18" s="126" t="s">
        <v>401</v>
      </c>
      <c r="AH18" s="131" t="s">
        <v>402</v>
      </c>
      <c r="AI18" s="125" t="s">
        <v>412</v>
      </c>
      <c r="AJ18" s="125">
        <v>0</v>
      </c>
      <c r="AK18" s="125">
        <v>0</v>
      </c>
      <c r="AL18" s="125">
        <v>0</v>
      </c>
      <c r="AM18" s="139" t="s">
        <v>414</v>
      </c>
      <c r="AN18" s="134">
        <v>1</v>
      </c>
      <c r="AO18" s="136" t="s">
        <v>398</v>
      </c>
      <c r="AP18" s="126"/>
      <c r="AQ18" s="106"/>
      <c r="AR18" s="91"/>
      <c r="AS18" s="104"/>
      <c r="AT18" s="104"/>
      <c r="AU18" s="104"/>
      <c r="AV18" s="104"/>
      <c r="AW18" s="91"/>
      <c r="AX18" s="104"/>
      <c r="AY18" s="104"/>
      <c r="AZ18" s="104"/>
      <c r="BA18" s="104"/>
      <c r="BB18" s="91"/>
      <c r="BC18" s="104"/>
      <c r="BD18" s="104"/>
      <c r="BE18" s="104"/>
      <c r="BF18" s="104"/>
      <c r="BG18" s="91"/>
      <c r="BH18" s="104"/>
      <c r="BI18" s="104"/>
      <c r="BJ18" s="104"/>
      <c r="BK18" s="104"/>
      <c r="BL18" s="91"/>
      <c r="BM18" s="104"/>
      <c r="BN18" s="104"/>
      <c r="BO18" s="104"/>
      <c r="BP18" s="104"/>
      <c r="BQ18" s="91"/>
      <c r="BR18" s="104"/>
      <c r="BS18" s="104"/>
      <c r="BT18" s="104"/>
      <c r="BU18" s="104"/>
      <c r="BV18" s="91"/>
      <c r="BW18" s="104"/>
      <c r="BX18" s="104"/>
      <c r="BY18" s="104"/>
      <c r="BZ18" s="104"/>
      <c r="CA18" s="91"/>
      <c r="CB18" s="104"/>
      <c r="CC18" s="104"/>
      <c r="CD18" s="104"/>
      <c r="CE18" s="104"/>
      <c r="CF18" s="91"/>
      <c r="CG18" s="104"/>
      <c r="CH18" s="104"/>
      <c r="CI18" s="104"/>
      <c r="CJ18" s="104"/>
      <c r="CK18" s="91"/>
      <c r="CL18" s="104"/>
      <c r="CM18" s="104"/>
      <c r="CN18" s="104"/>
      <c r="CO18" s="104"/>
      <c r="CP18" s="91"/>
      <c r="CQ18" s="104"/>
      <c r="CR18" s="104"/>
      <c r="CS18" s="104"/>
      <c r="CT18" s="104"/>
      <c r="CU18" s="91"/>
      <c r="CV18" s="104"/>
      <c r="CW18" s="104"/>
      <c r="CX18" s="104"/>
      <c r="CY18" s="104"/>
      <c r="CZ18" s="91"/>
      <c r="DA18" s="104"/>
      <c r="DB18" s="104"/>
      <c r="DC18" s="104"/>
      <c r="DD18" s="104"/>
      <c r="DE18" s="91"/>
      <c r="DF18" s="104"/>
      <c r="DG18" s="104"/>
      <c r="DH18" s="104"/>
      <c r="DI18" s="104"/>
      <c r="DJ18" s="91"/>
      <c r="DK18" s="104"/>
      <c r="DL18" s="104"/>
      <c r="DM18" s="104"/>
      <c r="DN18" s="104"/>
      <c r="DO18" s="91"/>
      <c r="DP18" s="104"/>
      <c r="DQ18" s="104"/>
      <c r="DR18" s="104"/>
      <c r="DS18" s="104"/>
      <c r="DT18" s="91"/>
      <c r="DU18" s="104"/>
      <c r="DV18" s="104"/>
      <c r="DW18" s="104"/>
      <c r="DX18" s="104"/>
      <c r="DY18" s="91"/>
      <c r="DZ18" s="104"/>
      <c r="EA18" s="104"/>
      <c r="EB18" s="104"/>
      <c r="EC18" s="104"/>
      <c r="ED18" s="91"/>
      <c r="EE18" s="104"/>
      <c r="EF18" s="104"/>
      <c r="EG18" s="104"/>
      <c r="EH18" s="104"/>
      <c r="EI18" s="91"/>
      <c r="EJ18" s="104"/>
      <c r="EK18" s="104"/>
      <c r="EL18" s="104"/>
      <c r="EM18" s="104"/>
      <c r="EN18" s="91"/>
      <c r="EO18" s="104"/>
      <c r="EP18" s="104"/>
      <c r="EQ18" s="104"/>
      <c r="ER18" s="104"/>
      <c r="ES18" s="91"/>
      <c r="ET18" s="104"/>
      <c r="EU18" s="104"/>
      <c r="EV18" s="104"/>
      <c r="EW18" s="104"/>
      <c r="EX18" s="91"/>
      <c r="EY18" s="104"/>
      <c r="EZ18" s="104"/>
      <c r="FA18" s="104"/>
      <c r="FB18" s="104"/>
      <c r="FC18" s="91"/>
      <c r="FD18" s="104"/>
      <c r="FE18" s="104"/>
      <c r="FF18" s="104"/>
      <c r="FG18" s="104"/>
      <c r="FH18" s="91"/>
      <c r="FI18" s="104"/>
      <c r="FJ18" s="104"/>
      <c r="FK18" s="104"/>
      <c r="FL18" s="104"/>
      <c r="FM18" s="104"/>
      <c r="FN18" s="104"/>
      <c r="FO18" s="104"/>
      <c r="FP18" s="104"/>
      <c r="FQ18" s="104"/>
      <c r="FR18" s="104"/>
      <c r="FS18" s="104"/>
      <c r="FT18" s="104"/>
      <c r="FU18" s="104"/>
      <c r="FV18" s="104"/>
      <c r="FW18" s="104"/>
      <c r="FX18" s="104"/>
      <c r="FY18" s="104"/>
      <c r="FZ18" s="104"/>
      <c r="GA18" s="104"/>
      <c r="GB18" s="104"/>
      <c r="GC18" s="104"/>
      <c r="GD18" s="104"/>
      <c r="GE18" s="104"/>
      <c r="GF18" s="104"/>
      <c r="GG18" s="104"/>
      <c r="GH18" s="104"/>
      <c r="GI18" s="104"/>
      <c r="GJ18" s="104"/>
      <c r="GK18" s="104"/>
      <c r="GL18" s="104"/>
      <c r="GM18" s="104"/>
      <c r="GN18" s="104"/>
      <c r="GO18" s="104"/>
      <c r="GP18" s="91"/>
      <c r="GQ18" s="104"/>
      <c r="GR18" s="104"/>
      <c r="GS18" s="104"/>
      <c r="GT18" s="104"/>
      <c r="GU18" s="91"/>
      <c r="GV18" s="104"/>
      <c r="GW18" s="104"/>
      <c r="GX18" s="104"/>
      <c r="GY18" s="104"/>
      <c r="GZ18" s="91"/>
      <c r="HA18" s="104"/>
      <c r="HB18" s="104"/>
      <c r="HC18" s="104"/>
      <c r="HD18" s="104"/>
      <c r="HE18" s="91"/>
      <c r="HF18" s="104"/>
      <c r="HG18" s="104"/>
      <c r="HH18" s="104"/>
      <c r="HI18" s="104"/>
      <c r="HJ18" s="91"/>
      <c r="HK18" s="104"/>
      <c r="HL18" s="104"/>
      <c r="HM18" s="104"/>
      <c r="HN18" s="104"/>
      <c r="HO18" s="91"/>
      <c r="HP18" s="104"/>
      <c r="HQ18" s="104"/>
      <c r="HR18" s="104"/>
      <c r="HS18" s="104"/>
      <c r="HT18" s="91"/>
      <c r="HU18" s="104"/>
      <c r="HV18" s="104"/>
      <c r="HW18" s="104"/>
      <c r="HX18" s="104"/>
      <c r="HY18" s="91"/>
      <c r="HZ18" s="104"/>
      <c r="IA18" s="104"/>
      <c r="IB18" s="104"/>
      <c r="IC18" s="104"/>
      <c r="ID18" s="91"/>
      <c r="IE18" s="104"/>
      <c r="IF18" s="104"/>
      <c r="IG18" s="104"/>
      <c r="IH18" s="104"/>
      <c r="II18" s="91"/>
      <c r="IJ18" s="104"/>
      <c r="IK18" s="104"/>
      <c r="IL18" s="104"/>
      <c r="IM18" s="104"/>
      <c r="IN18" s="91"/>
      <c r="IO18" s="104"/>
      <c r="IP18" s="104"/>
      <c r="IQ18" s="104"/>
      <c r="IR18" s="104"/>
      <c r="IS18" s="91"/>
      <c r="IT18" s="104"/>
      <c r="IU18" s="104"/>
      <c r="IV18" s="104"/>
      <c r="IW18" s="104"/>
      <c r="IX18" s="91"/>
      <c r="IY18" s="104"/>
      <c r="IZ18" s="104"/>
      <c r="JA18" s="104"/>
      <c r="JB18" s="104"/>
      <c r="JC18" s="91"/>
      <c r="JD18" s="104"/>
      <c r="JE18" s="104"/>
      <c r="JF18" s="104"/>
      <c r="JG18" s="105"/>
      <c r="JH18" s="91"/>
      <c r="JI18" s="106"/>
      <c r="JJ18" s="104"/>
      <c r="JK18" s="104"/>
      <c r="JL18" s="105"/>
      <c r="JM18" s="95"/>
      <c r="JN18" s="107"/>
      <c r="JO18" s="79"/>
      <c r="JP18" s="106"/>
      <c r="JQ18" s="104"/>
      <c r="JR18" s="104"/>
      <c r="JS18" s="104"/>
      <c r="JT18" s="104"/>
      <c r="JU18" s="104"/>
      <c r="JV18" s="104"/>
      <c r="JW18" s="104"/>
      <c r="JX18" s="104"/>
      <c r="JY18" s="104"/>
      <c r="JZ18" s="104"/>
      <c r="KA18" s="104"/>
      <c r="KB18" s="104"/>
      <c r="KC18" s="104"/>
      <c r="KD18" s="104"/>
      <c r="KE18" s="104"/>
      <c r="KF18" s="104"/>
      <c r="KG18" s="104"/>
      <c r="KH18" s="104"/>
      <c r="KI18" s="104"/>
      <c r="KJ18" s="104"/>
      <c r="KK18" s="104"/>
      <c r="KL18" s="104"/>
      <c r="KM18" s="104"/>
      <c r="KN18" s="104"/>
      <c r="KO18" s="104"/>
      <c r="KP18" s="104"/>
      <c r="KQ18" s="104"/>
      <c r="KR18" s="104"/>
      <c r="KS18" s="104"/>
      <c r="KT18" s="104"/>
      <c r="KU18" s="104"/>
      <c r="KV18" s="104"/>
      <c r="KW18" s="104"/>
      <c r="KX18" s="104"/>
      <c r="KY18" s="104"/>
      <c r="KZ18" s="104"/>
      <c r="LA18" s="104"/>
      <c r="LB18" s="104"/>
      <c r="LC18" s="104"/>
      <c r="LD18" s="104"/>
      <c r="LE18" s="104"/>
      <c r="LF18" s="104"/>
      <c r="LG18" s="104"/>
      <c r="LH18" s="104"/>
      <c r="LI18" s="104"/>
      <c r="LJ18" s="104"/>
      <c r="LK18" s="104"/>
      <c r="LL18" s="104"/>
      <c r="LM18" s="104"/>
      <c r="LN18" s="104"/>
      <c r="LO18" s="104"/>
      <c r="LP18" s="104"/>
      <c r="LQ18" s="104"/>
      <c r="LR18" s="104"/>
      <c r="LS18" s="104"/>
      <c r="LT18" s="104"/>
      <c r="LU18" s="104"/>
      <c r="LV18" s="104"/>
      <c r="LW18" s="104"/>
      <c r="LX18" s="104"/>
      <c r="LY18" s="104"/>
      <c r="LZ18" s="104"/>
      <c r="MA18" s="104"/>
      <c r="MB18" s="104"/>
      <c r="MC18" s="104"/>
      <c r="MD18" s="104"/>
      <c r="ME18" s="104"/>
      <c r="MF18" s="104"/>
      <c r="MG18" s="104"/>
      <c r="MH18" s="104"/>
      <c r="MI18" s="104"/>
      <c r="MJ18" s="104"/>
      <c r="MK18" s="104"/>
      <c r="ML18" s="104"/>
      <c r="MM18" s="104"/>
      <c r="MN18" s="104"/>
      <c r="MO18" s="104"/>
      <c r="MP18" s="104"/>
      <c r="MQ18" s="104"/>
      <c r="MR18" s="104"/>
      <c r="MS18" s="104"/>
      <c r="MT18" s="104"/>
      <c r="MU18" s="104"/>
      <c r="MV18" s="104"/>
      <c r="MW18" s="104"/>
      <c r="MX18" s="104"/>
      <c r="MY18" s="104"/>
      <c r="MZ18" s="104"/>
      <c r="NA18" s="104"/>
      <c r="NB18" s="104"/>
      <c r="NC18" s="104"/>
      <c r="ND18" s="104"/>
      <c r="NE18" s="104"/>
      <c r="NF18" s="104"/>
      <c r="NG18" s="104"/>
      <c r="NH18" s="104"/>
      <c r="NI18" s="104"/>
      <c r="NJ18" s="104"/>
      <c r="NK18" s="104"/>
      <c r="NL18" s="104"/>
      <c r="NM18" s="104"/>
      <c r="NN18" s="104"/>
      <c r="NO18" s="104"/>
      <c r="NP18" s="104"/>
      <c r="NQ18" s="104"/>
      <c r="NR18" s="104"/>
      <c r="NS18" s="104"/>
      <c r="NT18" s="104"/>
      <c r="NU18" s="104"/>
      <c r="NV18" s="104"/>
      <c r="NW18" s="104"/>
      <c r="NX18" s="104"/>
      <c r="NY18" s="104"/>
      <c r="NZ18" s="104"/>
    </row>
    <row r="19" spans="1:390" ht="15.75" customHeight="1" x14ac:dyDescent="0.3">
      <c r="A19" s="125">
        <v>4426025737</v>
      </c>
      <c r="B19" s="159"/>
      <c r="C19" s="126"/>
      <c r="D19" s="213" t="s">
        <v>391</v>
      </c>
      <c r="E19" s="135" t="s">
        <v>460</v>
      </c>
      <c r="F19" s="125" t="s">
        <v>461</v>
      </c>
      <c r="G19" s="125" t="s">
        <v>462</v>
      </c>
      <c r="H19" s="111">
        <v>42905</v>
      </c>
      <c r="I19" s="135" t="s">
        <v>396</v>
      </c>
      <c r="J19" s="135" t="s">
        <v>397</v>
      </c>
      <c r="K19" s="128" t="s">
        <v>398</v>
      </c>
      <c r="L19" s="128" t="s">
        <v>398</v>
      </c>
      <c r="M19" s="128" t="s">
        <v>398</v>
      </c>
      <c r="N19" s="128" t="s">
        <v>398</v>
      </c>
      <c r="O19" s="128" t="s">
        <v>398</v>
      </c>
      <c r="P19" s="128" t="s">
        <v>398</v>
      </c>
      <c r="Q19" s="128" t="s">
        <v>398</v>
      </c>
      <c r="R19" s="128" t="s">
        <v>398</v>
      </c>
      <c r="S19" s="128" t="s">
        <v>398</v>
      </c>
      <c r="T19" s="128" t="s">
        <v>398</v>
      </c>
      <c r="U19" s="128" t="s">
        <v>398</v>
      </c>
      <c r="V19" s="128" t="s">
        <v>398</v>
      </c>
      <c r="W19" s="136" t="s">
        <v>460</v>
      </c>
      <c r="X19" s="135" t="s">
        <v>463</v>
      </c>
      <c r="Y19" s="113" t="s">
        <v>432</v>
      </c>
      <c r="Z19" s="111">
        <v>42905</v>
      </c>
      <c r="AA19" s="126"/>
      <c r="AB19" s="113" t="s">
        <v>399</v>
      </c>
      <c r="AC19" s="111">
        <v>16269</v>
      </c>
      <c r="AD19" s="139"/>
      <c r="AE19" s="108" t="e">
        <f t="shared" si="0"/>
        <v>#NUM!</v>
      </c>
      <c r="AF19" s="138" t="s">
        <v>411</v>
      </c>
      <c r="AG19" s="126" t="s">
        <v>401</v>
      </c>
      <c r="AH19" s="131" t="s">
        <v>402</v>
      </c>
      <c r="AI19" s="125" t="s">
        <v>455</v>
      </c>
      <c r="AJ19" s="125">
        <v>0</v>
      </c>
      <c r="AK19" s="125">
        <v>0</v>
      </c>
      <c r="AL19" s="125">
        <v>0</v>
      </c>
      <c r="AM19" s="139" t="s">
        <v>456</v>
      </c>
      <c r="AN19" s="134">
        <v>2</v>
      </c>
      <c r="AO19" s="136" t="s">
        <v>398</v>
      </c>
      <c r="AP19" s="126"/>
      <c r="AQ19" s="106"/>
      <c r="AR19" s="91"/>
      <c r="AS19" s="104"/>
      <c r="AT19" s="104"/>
      <c r="AU19" s="104"/>
      <c r="AV19" s="104"/>
      <c r="AW19" s="91"/>
      <c r="AX19" s="104"/>
      <c r="AY19" s="104"/>
      <c r="AZ19" s="104"/>
      <c r="BA19" s="104"/>
      <c r="BB19" s="91"/>
      <c r="BC19" s="104"/>
      <c r="BD19" s="104"/>
      <c r="BE19" s="104"/>
      <c r="BF19" s="104"/>
      <c r="BG19" s="91"/>
      <c r="BH19" s="104"/>
      <c r="BI19" s="104"/>
      <c r="BJ19" s="104"/>
      <c r="BK19" s="104"/>
      <c r="BL19" s="91"/>
      <c r="BM19" s="104"/>
      <c r="BN19" s="104"/>
      <c r="BO19" s="104"/>
      <c r="BP19" s="104"/>
      <c r="BQ19" s="91"/>
      <c r="BR19" s="104"/>
      <c r="BS19" s="104"/>
      <c r="BT19" s="104"/>
      <c r="BU19" s="104"/>
      <c r="BV19" s="91"/>
      <c r="BW19" s="104"/>
      <c r="BX19" s="104"/>
      <c r="BY19" s="104"/>
      <c r="BZ19" s="104"/>
      <c r="CA19" s="91"/>
      <c r="CB19" s="104"/>
      <c r="CC19" s="104"/>
      <c r="CD19" s="104"/>
      <c r="CE19" s="104"/>
      <c r="CF19" s="91"/>
      <c r="CG19" s="104"/>
      <c r="CH19" s="104"/>
      <c r="CI19" s="104"/>
      <c r="CJ19" s="104"/>
      <c r="CK19" s="91"/>
      <c r="CL19" s="104"/>
      <c r="CM19" s="104"/>
      <c r="CN19" s="104"/>
      <c r="CO19" s="104"/>
      <c r="CP19" s="91"/>
      <c r="CQ19" s="104"/>
      <c r="CR19" s="104"/>
      <c r="CS19" s="104"/>
      <c r="CT19" s="104"/>
      <c r="CU19" s="91"/>
      <c r="CV19" s="104"/>
      <c r="CW19" s="104"/>
      <c r="CX19" s="104"/>
      <c r="CY19" s="104"/>
      <c r="CZ19" s="91"/>
      <c r="DA19" s="104"/>
      <c r="DB19" s="104"/>
      <c r="DC19" s="104"/>
      <c r="DD19" s="104"/>
      <c r="DE19" s="91"/>
      <c r="DF19" s="104"/>
      <c r="DG19" s="104"/>
      <c r="DH19" s="104"/>
      <c r="DI19" s="104"/>
      <c r="DJ19" s="91"/>
      <c r="DK19" s="104"/>
      <c r="DL19" s="104"/>
      <c r="DM19" s="104"/>
      <c r="DN19" s="104"/>
      <c r="DO19" s="91"/>
      <c r="DP19" s="104"/>
      <c r="DQ19" s="104"/>
      <c r="DR19" s="104"/>
      <c r="DS19" s="104"/>
      <c r="DT19" s="91"/>
      <c r="DU19" s="104"/>
      <c r="DV19" s="104"/>
      <c r="DW19" s="104"/>
      <c r="DX19" s="104"/>
      <c r="DY19" s="91"/>
      <c r="DZ19" s="104"/>
      <c r="EA19" s="104"/>
      <c r="EB19" s="104"/>
      <c r="EC19" s="104"/>
      <c r="ED19" s="91"/>
      <c r="EE19" s="104"/>
      <c r="EF19" s="104"/>
      <c r="EG19" s="104"/>
      <c r="EH19" s="104"/>
      <c r="EI19" s="91"/>
      <c r="EJ19" s="104"/>
      <c r="EK19" s="104"/>
      <c r="EL19" s="104"/>
      <c r="EM19" s="104"/>
      <c r="EN19" s="91"/>
      <c r="EO19" s="104"/>
      <c r="EP19" s="104"/>
      <c r="EQ19" s="104"/>
      <c r="ER19" s="104"/>
      <c r="ES19" s="91"/>
      <c r="ET19" s="104"/>
      <c r="EU19" s="104"/>
      <c r="EV19" s="104"/>
      <c r="EW19" s="104"/>
      <c r="EX19" s="91"/>
      <c r="EY19" s="104"/>
      <c r="EZ19" s="104"/>
      <c r="FA19" s="104"/>
      <c r="FB19" s="104"/>
      <c r="FC19" s="91"/>
      <c r="FD19" s="104"/>
      <c r="FE19" s="104"/>
      <c r="FF19" s="104"/>
      <c r="FG19" s="104"/>
      <c r="FH19" s="91"/>
      <c r="FI19" s="104"/>
      <c r="FJ19" s="104"/>
      <c r="FK19" s="104"/>
      <c r="FL19" s="104"/>
      <c r="FM19" s="104"/>
      <c r="FN19" s="104"/>
      <c r="FO19" s="104"/>
      <c r="FP19" s="104"/>
      <c r="FQ19" s="104"/>
      <c r="FR19" s="104"/>
      <c r="FS19" s="104"/>
      <c r="FT19" s="104"/>
      <c r="FU19" s="104"/>
      <c r="FV19" s="104"/>
      <c r="FW19" s="104"/>
      <c r="FX19" s="104"/>
      <c r="FY19" s="104"/>
      <c r="FZ19" s="104"/>
      <c r="GA19" s="104"/>
      <c r="GB19" s="104"/>
      <c r="GC19" s="104"/>
      <c r="GD19" s="104"/>
      <c r="GE19" s="104"/>
      <c r="GF19" s="104"/>
      <c r="GG19" s="104"/>
      <c r="GH19" s="104"/>
      <c r="GI19" s="104"/>
      <c r="GJ19" s="104"/>
      <c r="GK19" s="104"/>
      <c r="GL19" s="104"/>
      <c r="GM19" s="104"/>
      <c r="GN19" s="104"/>
      <c r="GO19" s="104"/>
      <c r="GP19" s="91"/>
      <c r="GQ19" s="104"/>
      <c r="GR19" s="104"/>
      <c r="GS19" s="104"/>
      <c r="GT19" s="104"/>
      <c r="GU19" s="91"/>
      <c r="GV19" s="104"/>
      <c r="GW19" s="104"/>
      <c r="GX19" s="104"/>
      <c r="GY19" s="104"/>
      <c r="GZ19" s="91"/>
      <c r="HA19" s="104"/>
      <c r="HB19" s="104"/>
      <c r="HC19" s="104"/>
      <c r="HD19" s="104"/>
      <c r="HE19" s="91"/>
      <c r="HF19" s="104"/>
      <c r="HG19" s="104"/>
      <c r="HH19" s="104"/>
      <c r="HI19" s="104"/>
      <c r="HJ19" s="91"/>
      <c r="HK19" s="104"/>
      <c r="HL19" s="104"/>
      <c r="HM19" s="104"/>
      <c r="HN19" s="104"/>
      <c r="HO19" s="91"/>
      <c r="HP19" s="104"/>
      <c r="HQ19" s="104"/>
      <c r="HR19" s="104"/>
      <c r="HS19" s="104"/>
      <c r="HT19" s="91"/>
      <c r="HU19" s="104"/>
      <c r="HV19" s="104"/>
      <c r="HW19" s="104"/>
      <c r="HX19" s="104"/>
      <c r="HY19" s="91"/>
      <c r="HZ19" s="104"/>
      <c r="IA19" s="104"/>
      <c r="IB19" s="104"/>
      <c r="IC19" s="104"/>
      <c r="ID19" s="91"/>
      <c r="IE19" s="104"/>
      <c r="IF19" s="104"/>
      <c r="IG19" s="104"/>
      <c r="IH19" s="104"/>
      <c r="II19" s="91"/>
      <c r="IJ19" s="104"/>
      <c r="IK19" s="104"/>
      <c r="IL19" s="104"/>
      <c r="IM19" s="104"/>
      <c r="IN19" s="91"/>
      <c r="IO19" s="104"/>
      <c r="IP19" s="104"/>
      <c r="IQ19" s="104"/>
      <c r="IR19" s="104"/>
      <c r="IS19" s="91"/>
      <c r="IT19" s="104"/>
      <c r="IU19" s="104"/>
      <c r="IV19" s="104"/>
      <c r="IW19" s="104"/>
      <c r="IX19" s="91"/>
      <c r="IY19" s="104"/>
      <c r="IZ19" s="104"/>
      <c r="JA19" s="104"/>
      <c r="JB19" s="104"/>
      <c r="JC19" s="91"/>
      <c r="JD19" s="104"/>
      <c r="JE19" s="104"/>
      <c r="JF19" s="104"/>
      <c r="JG19" s="105"/>
      <c r="JH19" s="91"/>
      <c r="JI19" s="106"/>
      <c r="JJ19" s="104"/>
      <c r="JK19" s="104"/>
      <c r="JL19" s="105"/>
      <c r="JM19" s="95"/>
      <c r="JN19" s="107"/>
      <c r="JO19" s="79"/>
      <c r="JP19" s="106"/>
      <c r="JQ19" s="104"/>
      <c r="JR19" s="104"/>
      <c r="JS19" s="104"/>
      <c r="JT19" s="104"/>
      <c r="JU19" s="104"/>
      <c r="JV19" s="104"/>
      <c r="JW19" s="104"/>
      <c r="JX19" s="104"/>
      <c r="JY19" s="104"/>
      <c r="JZ19" s="104"/>
      <c r="KA19" s="104"/>
      <c r="KB19" s="104"/>
      <c r="KC19" s="104"/>
      <c r="KD19" s="104"/>
      <c r="KE19" s="104"/>
      <c r="KF19" s="104"/>
      <c r="KG19" s="104"/>
      <c r="KH19" s="104"/>
      <c r="KI19" s="104"/>
      <c r="KJ19" s="104"/>
      <c r="KK19" s="104"/>
      <c r="KL19" s="104"/>
      <c r="KM19" s="104"/>
      <c r="KN19" s="104"/>
      <c r="KO19" s="104"/>
      <c r="KP19" s="104"/>
      <c r="KQ19" s="104"/>
      <c r="KR19" s="104"/>
      <c r="KS19" s="104"/>
      <c r="KT19" s="104"/>
      <c r="KU19" s="104"/>
      <c r="KV19" s="104"/>
      <c r="KW19" s="104"/>
      <c r="KX19" s="104"/>
      <c r="KY19" s="104"/>
      <c r="KZ19" s="104"/>
      <c r="LA19" s="104"/>
      <c r="LB19" s="104"/>
      <c r="LC19" s="104"/>
      <c r="LD19" s="104"/>
      <c r="LE19" s="104"/>
      <c r="LF19" s="104"/>
      <c r="LG19" s="104"/>
      <c r="LH19" s="104"/>
      <c r="LI19" s="104"/>
      <c r="LJ19" s="104"/>
      <c r="LK19" s="104"/>
      <c r="LL19" s="104"/>
      <c r="LM19" s="104"/>
      <c r="LN19" s="104"/>
      <c r="LO19" s="104"/>
      <c r="LP19" s="104"/>
      <c r="LQ19" s="104"/>
      <c r="LR19" s="104"/>
      <c r="LS19" s="104"/>
      <c r="LT19" s="104"/>
      <c r="LU19" s="104"/>
      <c r="LV19" s="104"/>
      <c r="LW19" s="104"/>
      <c r="LX19" s="104"/>
      <c r="LY19" s="104"/>
      <c r="LZ19" s="104"/>
      <c r="MA19" s="104"/>
      <c r="MB19" s="104"/>
      <c r="MC19" s="104"/>
      <c r="MD19" s="104"/>
      <c r="ME19" s="104"/>
      <c r="MF19" s="104"/>
      <c r="MG19" s="104"/>
      <c r="MH19" s="104"/>
      <c r="MI19" s="104"/>
      <c r="MJ19" s="104"/>
      <c r="MK19" s="104"/>
      <c r="ML19" s="104"/>
      <c r="MM19" s="104"/>
      <c r="MN19" s="104"/>
      <c r="MO19" s="104"/>
      <c r="MP19" s="104"/>
      <c r="MQ19" s="104"/>
      <c r="MR19" s="104"/>
      <c r="MS19" s="104"/>
      <c r="MT19" s="104"/>
      <c r="MU19" s="104"/>
      <c r="MV19" s="104"/>
      <c r="MW19" s="104"/>
      <c r="MX19" s="104"/>
      <c r="MY19" s="104"/>
      <c r="MZ19" s="104"/>
      <c r="NA19" s="104"/>
      <c r="NB19" s="104"/>
      <c r="NC19" s="104"/>
      <c r="ND19" s="104"/>
      <c r="NE19" s="104"/>
      <c r="NF19" s="104"/>
      <c r="NG19" s="104"/>
      <c r="NH19" s="104"/>
      <c r="NI19" s="104"/>
      <c r="NJ19" s="104"/>
      <c r="NK19" s="104"/>
      <c r="NL19" s="104"/>
      <c r="NM19" s="104"/>
      <c r="NN19" s="104"/>
      <c r="NO19" s="104"/>
      <c r="NP19" s="104"/>
      <c r="NQ19" s="104"/>
      <c r="NR19" s="104"/>
      <c r="NS19" s="104"/>
      <c r="NT19" s="104"/>
      <c r="NU19" s="104"/>
      <c r="NV19" s="104"/>
      <c r="NW19" s="104"/>
      <c r="NX19" s="104"/>
      <c r="NY19" s="104"/>
      <c r="NZ19" s="104"/>
    </row>
    <row r="20" spans="1:390" ht="15.75" customHeight="1" x14ac:dyDescent="0.3">
      <c r="A20" s="125">
        <v>6189690610</v>
      </c>
      <c r="B20" s="159"/>
      <c r="C20" s="126"/>
      <c r="D20" s="213" t="s">
        <v>391</v>
      </c>
      <c r="E20" s="135" t="s">
        <v>464</v>
      </c>
      <c r="F20" s="125" t="s">
        <v>408</v>
      </c>
      <c r="G20" s="125" t="s">
        <v>465</v>
      </c>
      <c r="H20" s="111">
        <v>42919</v>
      </c>
      <c r="I20" s="135" t="s">
        <v>466</v>
      </c>
      <c r="J20" s="135" t="s">
        <v>397</v>
      </c>
      <c r="K20" s="128" t="s">
        <v>398</v>
      </c>
      <c r="L20" s="128" t="s">
        <v>398</v>
      </c>
      <c r="M20" s="128" t="s">
        <v>398</v>
      </c>
      <c r="N20" s="128" t="s">
        <v>398</v>
      </c>
      <c r="O20" s="128" t="s">
        <v>398</v>
      </c>
      <c r="P20" s="128" t="s">
        <v>398</v>
      </c>
      <c r="Q20" s="128" t="s">
        <v>398</v>
      </c>
      <c r="R20" s="128" t="s">
        <v>398</v>
      </c>
      <c r="S20" s="128" t="s">
        <v>398</v>
      </c>
      <c r="T20" s="128" t="s">
        <v>398</v>
      </c>
      <c r="U20" s="128" t="s">
        <v>398</v>
      </c>
      <c r="V20" s="128" t="s">
        <v>398</v>
      </c>
      <c r="W20" s="136" t="s">
        <v>398</v>
      </c>
      <c r="X20" s="135" t="s">
        <v>398</v>
      </c>
      <c r="Y20" s="113" t="s">
        <v>398</v>
      </c>
      <c r="Z20" s="113" t="s">
        <v>398</v>
      </c>
      <c r="AA20" s="126"/>
      <c r="AB20" s="113" t="s">
        <v>399</v>
      </c>
      <c r="AC20" s="111">
        <v>10969</v>
      </c>
      <c r="AD20" s="139"/>
      <c r="AE20" s="108" t="e">
        <f t="shared" si="0"/>
        <v>#NUM!</v>
      </c>
      <c r="AF20" s="138" t="s">
        <v>467</v>
      </c>
      <c r="AG20" s="126" t="s">
        <v>401</v>
      </c>
      <c r="AH20" s="131" t="s">
        <v>402</v>
      </c>
      <c r="AI20" s="125" t="s">
        <v>412</v>
      </c>
      <c r="AJ20" s="125">
        <v>0</v>
      </c>
      <c r="AK20" s="125">
        <v>0</v>
      </c>
      <c r="AL20" s="125">
        <v>0</v>
      </c>
      <c r="AM20" s="139" t="s">
        <v>414</v>
      </c>
      <c r="AN20" s="134">
        <v>3</v>
      </c>
      <c r="AO20" s="136" t="s">
        <v>398</v>
      </c>
      <c r="AP20" s="126"/>
      <c r="AQ20" s="106"/>
      <c r="AR20" s="91"/>
      <c r="AS20" s="104"/>
      <c r="AT20" s="104"/>
      <c r="AU20" s="104"/>
      <c r="AV20" s="104"/>
      <c r="AW20" s="91"/>
      <c r="AX20" s="104"/>
      <c r="AY20" s="104"/>
      <c r="AZ20" s="104"/>
      <c r="BA20" s="104"/>
      <c r="BB20" s="91"/>
      <c r="BC20" s="104"/>
      <c r="BD20" s="104"/>
      <c r="BE20" s="104"/>
      <c r="BF20" s="104"/>
      <c r="BG20" s="91"/>
      <c r="BH20" s="104"/>
      <c r="BI20" s="104"/>
      <c r="BJ20" s="104"/>
      <c r="BK20" s="104"/>
      <c r="BL20" s="91"/>
      <c r="BM20" s="104"/>
      <c r="BN20" s="104"/>
      <c r="BO20" s="104"/>
      <c r="BP20" s="104"/>
      <c r="BQ20" s="91"/>
      <c r="BR20" s="104"/>
      <c r="BS20" s="104"/>
      <c r="BT20" s="104"/>
      <c r="BU20" s="104"/>
      <c r="BV20" s="91"/>
      <c r="BW20" s="104"/>
      <c r="BX20" s="104"/>
      <c r="BY20" s="104"/>
      <c r="BZ20" s="104"/>
      <c r="CA20" s="91"/>
      <c r="CB20" s="104"/>
      <c r="CC20" s="104"/>
      <c r="CD20" s="104"/>
      <c r="CE20" s="104"/>
      <c r="CF20" s="91"/>
      <c r="CG20" s="104"/>
      <c r="CH20" s="104"/>
      <c r="CI20" s="104"/>
      <c r="CJ20" s="104"/>
      <c r="CK20" s="91"/>
      <c r="CL20" s="104"/>
      <c r="CM20" s="104"/>
      <c r="CN20" s="104"/>
      <c r="CO20" s="104"/>
      <c r="CP20" s="91"/>
      <c r="CQ20" s="104"/>
      <c r="CR20" s="104"/>
      <c r="CS20" s="104"/>
      <c r="CT20" s="104"/>
      <c r="CU20" s="91"/>
      <c r="CV20" s="104"/>
      <c r="CW20" s="104"/>
      <c r="CX20" s="104"/>
      <c r="CY20" s="104"/>
      <c r="CZ20" s="91"/>
      <c r="DA20" s="104"/>
      <c r="DB20" s="104"/>
      <c r="DC20" s="104"/>
      <c r="DD20" s="104"/>
      <c r="DE20" s="91"/>
      <c r="DF20" s="104"/>
      <c r="DG20" s="104"/>
      <c r="DH20" s="104"/>
      <c r="DI20" s="104"/>
      <c r="DJ20" s="91"/>
      <c r="DK20" s="104"/>
      <c r="DL20" s="104"/>
      <c r="DM20" s="104"/>
      <c r="DN20" s="104"/>
      <c r="DO20" s="91"/>
      <c r="DP20" s="104"/>
      <c r="DQ20" s="104"/>
      <c r="DR20" s="104"/>
      <c r="DS20" s="104"/>
      <c r="DT20" s="91"/>
      <c r="DU20" s="104"/>
      <c r="DV20" s="104"/>
      <c r="DW20" s="104"/>
      <c r="DX20" s="104"/>
      <c r="DY20" s="91"/>
      <c r="DZ20" s="104"/>
      <c r="EA20" s="104"/>
      <c r="EB20" s="104"/>
      <c r="EC20" s="104"/>
      <c r="ED20" s="91"/>
      <c r="EE20" s="104"/>
      <c r="EF20" s="104"/>
      <c r="EG20" s="104"/>
      <c r="EH20" s="104"/>
      <c r="EI20" s="91"/>
      <c r="EJ20" s="104"/>
      <c r="EK20" s="104"/>
      <c r="EL20" s="104"/>
      <c r="EM20" s="104"/>
      <c r="EN20" s="91"/>
      <c r="EO20" s="104"/>
      <c r="EP20" s="104"/>
      <c r="EQ20" s="104"/>
      <c r="ER20" s="104"/>
      <c r="ES20" s="91"/>
      <c r="ET20" s="104"/>
      <c r="EU20" s="104"/>
      <c r="EV20" s="104"/>
      <c r="EW20" s="104"/>
      <c r="EX20" s="91"/>
      <c r="EY20" s="104"/>
      <c r="EZ20" s="104"/>
      <c r="FA20" s="104"/>
      <c r="FB20" s="104"/>
      <c r="FC20" s="91"/>
      <c r="FD20" s="104"/>
      <c r="FE20" s="104"/>
      <c r="FF20" s="104"/>
      <c r="FG20" s="104"/>
      <c r="FH20" s="91"/>
      <c r="FI20" s="104"/>
      <c r="FJ20" s="104"/>
      <c r="FK20" s="104"/>
      <c r="FL20" s="104"/>
      <c r="FM20" s="104"/>
      <c r="FN20" s="104"/>
      <c r="FO20" s="104"/>
      <c r="FP20" s="104"/>
      <c r="FQ20" s="104"/>
      <c r="FR20" s="104"/>
      <c r="FS20" s="104"/>
      <c r="FT20" s="104"/>
      <c r="FU20" s="104"/>
      <c r="FV20" s="104"/>
      <c r="FW20" s="104"/>
      <c r="FX20" s="104"/>
      <c r="FY20" s="104"/>
      <c r="FZ20" s="104"/>
      <c r="GA20" s="104"/>
      <c r="GB20" s="104"/>
      <c r="GC20" s="104"/>
      <c r="GD20" s="104"/>
      <c r="GE20" s="104"/>
      <c r="GF20" s="104"/>
      <c r="GG20" s="104"/>
      <c r="GH20" s="104"/>
      <c r="GI20" s="104"/>
      <c r="GJ20" s="104"/>
      <c r="GK20" s="104"/>
      <c r="GL20" s="104"/>
      <c r="GM20" s="104"/>
      <c r="GN20" s="104"/>
      <c r="GO20" s="104"/>
      <c r="GP20" s="91"/>
      <c r="GQ20" s="104"/>
      <c r="GR20" s="104"/>
      <c r="GS20" s="104"/>
      <c r="GT20" s="104"/>
      <c r="GU20" s="91"/>
      <c r="GV20" s="104"/>
      <c r="GW20" s="104"/>
      <c r="GX20" s="104"/>
      <c r="GY20" s="104"/>
      <c r="GZ20" s="91"/>
      <c r="HA20" s="104"/>
      <c r="HB20" s="104"/>
      <c r="HC20" s="104"/>
      <c r="HD20" s="104"/>
      <c r="HE20" s="91"/>
      <c r="HF20" s="104"/>
      <c r="HG20" s="104"/>
      <c r="HH20" s="104"/>
      <c r="HI20" s="104"/>
      <c r="HJ20" s="91"/>
      <c r="HK20" s="104"/>
      <c r="HL20" s="104"/>
      <c r="HM20" s="104"/>
      <c r="HN20" s="104"/>
      <c r="HO20" s="91"/>
      <c r="HP20" s="104"/>
      <c r="HQ20" s="104"/>
      <c r="HR20" s="104"/>
      <c r="HS20" s="104"/>
      <c r="HT20" s="91"/>
      <c r="HU20" s="104"/>
      <c r="HV20" s="104"/>
      <c r="HW20" s="104"/>
      <c r="HX20" s="104"/>
      <c r="HY20" s="91"/>
      <c r="HZ20" s="104"/>
      <c r="IA20" s="104"/>
      <c r="IB20" s="104"/>
      <c r="IC20" s="104"/>
      <c r="ID20" s="91"/>
      <c r="IE20" s="104"/>
      <c r="IF20" s="104"/>
      <c r="IG20" s="104"/>
      <c r="IH20" s="104"/>
      <c r="II20" s="91"/>
      <c r="IJ20" s="104"/>
      <c r="IK20" s="104"/>
      <c r="IL20" s="104"/>
      <c r="IM20" s="104"/>
      <c r="IN20" s="91"/>
      <c r="IO20" s="104"/>
      <c r="IP20" s="104"/>
      <c r="IQ20" s="104"/>
      <c r="IR20" s="104"/>
      <c r="IS20" s="91"/>
      <c r="IT20" s="104"/>
      <c r="IU20" s="104"/>
      <c r="IV20" s="104"/>
      <c r="IW20" s="104"/>
      <c r="IX20" s="91"/>
      <c r="IY20" s="104"/>
      <c r="IZ20" s="104"/>
      <c r="JA20" s="104"/>
      <c r="JB20" s="104"/>
      <c r="JC20" s="91"/>
      <c r="JD20" s="104"/>
      <c r="JE20" s="104"/>
      <c r="JF20" s="104"/>
      <c r="JG20" s="105"/>
      <c r="JH20" s="91"/>
      <c r="JI20" s="106"/>
      <c r="JJ20" s="104"/>
      <c r="JK20" s="104"/>
      <c r="JL20" s="105"/>
      <c r="JM20" s="95"/>
      <c r="JN20" s="107"/>
      <c r="JO20" s="79"/>
      <c r="JP20" s="106"/>
      <c r="JQ20" s="104"/>
      <c r="JR20" s="104"/>
      <c r="JS20" s="104"/>
      <c r="JT20" s="104"/>
      <c r="JU20" s="104"/>
      <c r="JV20" s="104"/>
      <c r="JW20" s="104"/>
      <c r="JX20" s="104"/>
      <c r="JY20" s="104"/>
      <c r="JZ20" s="104"/>
      <c r="KA20" s="104"/>
      <c r="KB20" s="104"/>
      <c r="KC20" s="104"/>
      <c r="KD20" s="104"/>
      <c r="KE20" s="104"/>
      <c r="KF20" s="104"/>
      <c r="KG20" s="104"/>
      <c r="KH20" s="104"/>
      <c r="KI20" s="104"/>
      <c r="KJ20" s="104"/>
      <c r="KK20" s="104"/>
      <c r="KL20" s="104"/>
      <c r="KM20" s="104"/>
      <c r="KN20" s="104"/>
      <c r="KO20" s="104"/>
      <c r="KP20" s="104"/>
      <c r="KQ20" s="104"/>
      <c r="KR20" s="104"/>
      <c r="KS20" s="104"/>
      <c r="KT20" s="104"/>
      <c r="KU20" s="104"/>
      <c r="KV20" s="104"/>
      <c r="KW20" s="104"/>
      <c r="KX20" s="104"/>
      <c r="KY20" s="104"/>
      <c r="KZ20" s="104"/>
      <c r="LA20" s="104"/>
      <c r="LB20" s="104"/>
      <c r="LC20" s="104"/>
      <c r="LD20" s="104"/>
      <c r="LE20" s="104"/>
      <c r="LF20" s="104"/>
      <c r="LG20" s="104"/>
      <c r="LH20" s="104"/>
      <c r="LI20" s="104"/>
      <c r="LJ20" s="104"/>
      <c r="LK20" s="104"/>
      <c r="LL20" s="104"/>
      <c r="LM20" s="104"/>
      <c r="LN20" s="104"/>
      <c r="LO20" s="104"/>
      <c r="LP20" s="104"/>
      <c r="LQ20" s="104"/>
      <c r="LR20" s="104"/>
      <c r="LS20" s="104"/>
      <c r="LT20" s="104"/>
      <c r="LU20" s="104"/>
      <c r="LV20" s="104"/>
      <c r="LW20" s="104"/>
      <c r="LX20" s="104"/>
      <c r="LY20" s="104"/>
      <c r="LZ20" s="104"/>
      <c r="MA20" s="104"/>
      <c r="MB20" s="104"/>
      <c r="MC20" s="104"/>
      <c r="MD20" s="104"/>
      <c r="ME20" s="104"/>
      <c r="MF20" s="104"/>
      <c r="MG20" s="104"/>
      <c r="MH20" s="104"/>
      <c r="MI20" s="104"/>
      <c r="MJ20" s="104"/>
      <c r="MK20" s="104"/>
      <c r="ML20" s="104"/>
      <c r="MM20" s="104"/>
      <c r="MN20" s="104"/>
      <c r="MO20" s="104"/>
      <c r="MP20" s="104"/>
      <c r="MQ20" s="104"/>
      <c r="MR20" s="104"/>
      <c r="MS20" s="104"/>
      <c r="MT20" s="104"/>
      <c r="MU20" s="104"/>
      <c r="MV20" s="104"/>
      <c r="MW20" s="104"/>
      <c r="MX20" s="104"/>
      <c r="MY20" s="104"/>
      <c r="MZ20" s="104"/>
      <c r="NA20" s="104"/>
      <c r="NB20" s="104"/>
      <c r="NC20" s="104"/>
      <c r="ND20" s="104"/>
      <c r="NE20" s="104"/>
      <c r="NF20" s="104"/>
      <c r="NG20" s="104"/>
      <c r="NH20" s="104"/>
      <c r="NI20" s="104"/>
      <c r="NJ20" s="104"/>
      <c r="NK20" s="104"/>
      <c r="NL20" s="104"/>
      <c r="NM20" s="104"/>
      <c r="NN20" s="104"/>
      <c r="NO20" s="104"/>
      <c r="NP20" s="104"/>
      <c r="NQ20" s="104"/>
      <c r="NR20" s="104"/>
      <c r="NS20" s="104"/>
      <c r="NT20" s="104"/>
      <c r="NU20" s="104"/>
      <c r="NV20" s="104"/>
      <c r="NW20" s="104"/>
      <c r="NX20" s="104"/>
      <c r="NY20" s="104"/>
      <c r="NZ20" s="104"/>
    </row>
    <row r="21" spans="1:390" ht="15.75" customHeight="1" x14ac:dyDescent="0.3">
      <c r="A21" s="125">
        <v>4740277069</v>
      </c>
      <c r="B21" s="159"/>
      <c r="C21" s="126"/>
      <c r="D21" s="213" t="s">
        <v>391</v>
      </c>
      <c r="E21" s="135" t="s">
        <v>468</v>
      </c>
      <c r="F21" s="125" t="s">
        <v>422</v>
      </c>
      <c r="G21" s="125" t="s">
        <v>408</v>
      </c>
      <c r="H21" s="111">
        <v>42922</v>
      </c>
      <c r="I21" s="135" t="s">
        <v>466</v>
      </c>
      <c r="J21" s="135" t="s">
        <v>397</v>
      </c>
      <c r="K21" s="128" t="s">
        <v>398</v>
      </c>
      <c r="L21" s="128" t="s">
        <v>398</v>
      </c>
      <c r="M21" s="128" t="s">
        <v>398</v>
      </c>
      <c r="N21" s="128" t="s">
        <v>398</v>
      </c>
      <c r="O21" s="128" t="s">
        <v>398</v>
      </c>
      <c r="P21" s="128" t="s">
        <v>398</v>
      </c>
      <c r="Q21" s="128" t="s">
        <v>398</v>
      </c>
      <c r="R21" s="128" t="s">
        <v>398</v>
      </c>
      <c r="S21" s="128" t="s">
        <v>398</v>
      </c>
      <c r="T21" s="128" t="s">
        <v>398</v>
      </c>
      <c r="U21" s="128" t="s">
        <v>398</v>
      </c>
      <c r="V21" s="128" t="s">
        <v>398</v>
      </c>
      <c r="W21" s="136" t="s">
        <v>398</v>
      </c>
      <c r="X21" s="135" t="s">
        <v>398</v>
      </c>
      <c r="Y21" s="113" t="s">
        <v>398</v>
      </c>
      <c r="Z21" s="113" t="s">
        <v>398</v>
      </c>
      <c r="AA21" s="126"/>
      <c r="AB21" s="113" t="s">
        <v>399</v>
      </c>
      <c r="AC21" s="111">
        <v>16888</v>
      </c>
      <c r="AD21" s="139"/>
      <c r="AE21" s="108" t="e">
        <f t="shared" si="0"/>
        <v>#NUM!</v>
      </c>
      <c r="AF21" s="138" t="s">
        <v>411</v>
      </c>
      <c r="AG21" s="126" t="s">
        <v>401</v>
      </c>
      <c r="AH21" s="131" t="s">
        <v>444</v>
      </c>
      <c r="AI21" s="125" t="s">
        <v>412</v>
      </c>
      <c r="AJ21" s="125">
        <v>0</v>
      </c>
      <c r="AK21" s="125">
        <v>0</v>
      </c>
      <c r="AL21" s="125">
        <v>0</v>
      </c>
      <c r="AM21" s="139" t="s">
        <v>414</v>
      </c>
      <c r="AN21" s="134">
        <v>1</v>
      </c>
      <c r="AO21" s="136" t="s">
        <v>398</v>
      </c>
      <c r="AP21" s="126"/>
      <c r="AQ21" s="106"/>
      <c r="AR21" s="91"/>
      <c r="AS21" s="104"/>
      <c r="AT21" s="104"/>
      <c r="AU21" s="104"/>
      <c r="AV21" s="104"/>
      <c r="AW21" s="91"/>
      <c r="AX21" s="104"/>
      <c r="AY21" s="104"/>
      <c r="AZ21" s="104"/>
      <c r="BA21" s="104"/>
      <c r="BB21" s="91"/>
      <c r="BC21" s="104"/>
      <c r="BD21" s="104"/>
      <c r="BE21" s="104"/>
      <c r="BF21" s="104"/>
      <c r="BG21" s="91"/>
      <c r="BH21" s="104"/>
      <c r="BI21" s="104"/>
      <c r="BJ21" s="104"/>
      <c r="BK21" s="104"/>
      <c r="BL21" s="91"/>
      <c r="BM21" s="104"/>
      <c r="BN21" s="104"/>
      <c r="BO21" s="104"/>
      <c r="BP21" s="104"/>
      <c r="BQ21" s="91"/>
      <c r="BR21" s="104"/>
      <c r="BS21" s="104"/>
      <c r="BT21" s="104"/>
      <c r="BU21" s="104"/>
      <c r="BV21" s="91"/>
      <c r="BW21" s="104"/>
      <c r="BX21" s="104"/>
      <c r="BY21" s="104"/>
      <c r="BZ21" s="104"/>
      <c r="CA21" s="91"/>
      <c r="CB21" s="104"/>
      <c r="CC21" s="104"/>
      <c r="CD21" s="104"/>
      <c r="CE21" s="104"/>
      <c r="CF21" s="91"/>
      <c r="CG21" s="104"/>
      <c r="CH21" s="104"/>
      <c r="CI21" s="104"/>
      <c r="CJ21" s="104"/>
      <c r="CK21" s="91"/>
      <c r="CL21" s="104"/>
      <c r="CM21" s="104"/>
      <c r="CN21" s="104"/>
      <c r="CO21" s="104"/>
      <c r="CP21" s="91"/>
      <c r="CQ21" s="104"/>
      <c r="CR21" s="104"/>
      <c r="CS21" s="104"/>
      <c r="CT21" s="104"/>
      <c r="CU21" s="91"/>
      <c r="CV21" s="104"/>
      <c r="CW21" s="104"/>
      <c r="CX21" s="104"/>
      <c r="CY21" s="104"/>
      <c r="CZ21" s="91"/>
      <c r="DA21" s="104"/>
      <c r="DB21" s="104"/>
      <c r="DC21" s="104"/>
      <c r="DD21" s="104"/>
      <c r="DE21" s="91"/>
      <c r="DF21" s="104"/>
      <c r="DG21" s="104"/>
      <c r="DH21" s="104"/>
      <c r="DI21" s="104"/>
      <c r="DJ21" s="91"/>
      <c r="DK21" s="104"/>
      <c r="DL21" s="104"/>
      <c r="DM21" s="104"/>
      <c r="DN21" s="104"/>
      <c r="DO21" s="91"/>
      <c r="DP21" s="104"/>
      <c r="DQ21" s="104"/>
      <c r="DR21" s="104"/>
      <c r="DS21" s="104"/>
      <c r="DT21" s="91"/>
      <c r="DU21" s="104"/>
      <c r="DV21" s="104"/>
      <c r="DW21" s="104"/>
      <c r="DX21" s="104"/>
      <c r="DY21" s="91"/>
      <c r="DZ21" s="104"/>
      <c r="EA21" s="104"/>
      <c r="EB21" s="104"/>
      <c r="EC21" s="104"/>
      <c r="ED21" s="91"/>
      <c r="EE21" s="104"/>
      <c r="EF21" s="104"/>
      <c r="EG21" s="104"/>
      <c r="EH21" s="104"/>
      <c r="EI21" s="91"/>
      <c r="EJ21" s="104"/>
      <c r="EK21" s="104"/>
      <c r="EL21" s="104"/>
      <c r="EM21" s="104"/>
      <c r="EN21" s="91"/>
      <c r="EO21" s="104"/>
      <c r="EP21" s="104"/>
      <c r="EQ21" s="104"/>
      <c r="ER21" s="104"/>
      <c r="ES21" s="91"/>
      <c r="ET21" s="104"/>
      <c r="EU21" s="104"/>
      <c r="EV21" s="104"/>
      <c r="EW21" s="104"/>
      <c r="EX21" s="91"/>
      <c r="EY21" s="104"/>
      <c r="EZ21" s="104"/>
      <c r="FA21" s="104"/>
      <c r="FB21" s="104"/>
      <c r="FC21" s="91"/>
      <c r="FD21" s="104"/>
      <c r="FE21" s="104"/>
      <c r="FF21" s="104"/>
      <c r="FG21" s="104"/>
      <c r="FH21" s="91"/>
      <c r="FI21" s="104"/>
      <c r="FJ21" s="104"/>
      <c r="FK21" s="104"/>
      <c r="FL21" s="104"/>
      <c r="FM21" s="104"/>
      <c r="FN21" s="104"/>
      <c r="FO21" s="104"/>
      <c r="FP21" s="104"/>
      <c r="FQ21" s="104"/>
      <c r="FR21" s="104"/>
      <c r="FS21" s="104"/>
      <c r="FT21" s="104"/>
      <c r="FU21" s="104"/>
      <c r="FV21" s="104"/>
      <c r="FW21" s="104"/>
      <c r="FX21" s="104"/>
      <c r="FY21" s="104"/>
      <c r="FZ21" s="104"/>
      <c r="GA21" s="104"/>
      <c r="GB21" s="104"/>
      <c r="GC21" s="104"/>
      <c r="GD21" s="104"/>
      <c r="GE21" s="104"/>
      <c r="GF21" s="104"/>
      <c r="GG21" s="104"/>
      <c r="GH21" s="104"/>
      <c r="GI21" s="104"/>
      <c r="GJ21" s="104"/>
      <c r="GK21" s="104"/>
      <c r="GL21" s="104"/>
      <c r="GM21" s="104"/>
      <c r="GN21" s="104"/>
      <c r="GO21" s="104"/>
      <c r="GP21" s="91"/>
      <c r="GQ21" s="104"/>
      <c r="GR21" s="104"/>
      <c r="GS21" s="104"/>
      <c r="GT21" s="104"/>
      <c r="GU21" s="91"/>
      <c r="GV21" s="104"/>
      <c r="GW21" s="104"/>
      <c r="GX21" s="104"/>
      <c r="GY21" s="104"/>
      <c r="GZ21" s="91"/>
      <c r="HA21" s="104"/>
      <c r="HB21" s="104"/>
      <c r="HC21" s="104"/>
      <c r="HD21" s="104"/>
      <c r="HE21" s="91"/>
      <c r="HF21" s="104"/>
      <c r="HG21" s="104"/>
      <c r="HH21" s="104"/>
      <c r="HI21" s="104"/>
      <c r="HJ21" s="91"/>
      <c r="HK21" s="104"/>
      <c r="HL21" s="104"/>
      <c r="HM21" s="104"/>
      <c r="HN21" s="104"/>
      <c r="HO21" s="91"/>
      <c r="HP21" s="104"/>
      <c r="HQ21" s="104"/>
      <c r="HR21" s="104"/>
      <c r="HS21" s="104"/>
      <c r="HT21" s="91"/>
      <c r="HU21" s="104"/>
      <c r="HV21" s="104"/>
      <c r="HW21" s="104"/>
      <c r="HX21" s="104"/>
      <c r="HY21" s="91"/>
      <c r="HZ21" s="104"/>
      <c r="IA21" s="104"/>
      <c r="IB21" s="104"/>
      <c r="IC21" s="104"/>
      <c r="ID21" s="91"/>
      <c r="IE21" s="104"/>
      <c r="IF21" s="104"/>
      <c r="IG21" s="104"/>
      <c r="IH21" s="104"/>
      <c r="II21" s="91"/>
      <c r="IJ21" s="104"/>
      <c r="IK21" s="104"/>
      <c r="IL21" s="104"/>
      <c r="IM21" s="104"/>
      <c r="IN21" s="91"/>
      <c r="IO21" s="104"/>
      <c r="IP21" s="104"/>
      <c r="IQ21" s="104"/>
      <c r="IR21" s="104"/>
      <c r="IS21" s="91"/>
      <c r="IT21" s="104"/>
      <c r="IU21" s="104"/>
      <c r="IV21" s="104"/>
      <c r="IW21" s="104"/>
      <c r="IX21" s="91"/>
      <c r="IY21" s="104"/>
      <c r="IZ21" s="104"/>
      <c r="JA21" s="104"/>
      <c r="JB21" s="104"/>
      <c r="JC21" s="91"/>
      <c r="JD21" s="104"/>
      <c r="JE21" s="104"/>
      <c r="JF21" s="104"/>
      <c r="JG21" s="105"/>
      <c r="JH21" s="91"/>
      <c r="JI21" s="106"/>
      <c r="JJ21" s="104"/>
      <c r="JK21" s="104"/>
      <c r="JL21" s="105"/>
      <c r="JM21" s="95"/>
      <c r="JN21" s="107"/>
      <c r="JO21" s="79"/>
      <c r="JP21" s="106"/>
      <c r="JQ21" s="104"/>
      <c r="JR21" s="104"/>
      <c r="JS21" s="104"/>
      <c r="JT21" s="104"/>
      <c r="JU21" s="104"/>
      <c r="JV21" s="104"/>
      <c r="JW21" s="104"/>
      <c r="JX21" s="104"/>
      <c r="JY21" s="104"/>
      <c r="JZ21" s="104"/>
      <c r="KA21" s="104"/>
      <c r="KB21" s="104"/>
      <c r="KC21" s="104"/>
      <c r="KD21" s="104"/>
      <c r="KE21" s="104"/>
      <c r="KF21" s="104"/>
      <c r="KG21" s="104"/>
      <c r="KH21" s="104"/>
      <c r="KI21" s="104"/>
      <c r="KJ21" s="104"/>
      <c r="KK21" s="104"/>
      <c r="KL21" s="104"/>
      <c r="KM21" s="104"/>
      <c r="KN21" s="104"/>
      <c r="KO21" s="104"/>
      <c r="KP21" s="104"/>
      <c r="KQ21" s="104"/>
      <c r="KR21" s="104"/>
      <c r="KS21" s="104"/>
      <c r="KT21" s="104"/>
      <c r="KU21" s="104"/>
      <c r="KV21" s="104"/>
      <c r="KW21" s="104"/>
      <c r="KX21" s="104"/>
      <c r="KY21" s="104"/>
      <c r="KZ21" s="104"/>
      <c r="LA21" s="104"/>
      <c r="LB21" s="104"/>
      <c r="LC21" s="104"/>
      <c r="LD21" s="104"/>
      <c r="LE21" s="104"/>
      <c r="LF21" s="104"/>
      <c r="LG21" s="104"/>
      <c r="LH21" s="104"/>
      <c r="LI21" s="104"/>
      <c r="LJ21" s="104"/>
      <c r="LK21" s="104"/>
      <c r="LL21" s="104"/>
      <c r="LM21" s="104"/>
      <c r="LN21" s="104"/>
      <c r="LO21" s="104"/>
      <c r="LP21" s="104"/>
      <c r="LQ21" s="104"/>
      <c r="LR21" s="104"/>
      <c r="LS21" s="104"/>
      <c r="LT21" s="104"/>
      <c r="LU21" s="104"/>
      <c r="LV21" s="104"/>
      <c r="LW21" s="104"/>
      <c r="LX21" s="104"/>
      <c r="LY21" s="104"/>
      <c r="LZ21" s="104"/>
      <c r="MA21" s="104"/>
      <c r="MB21" s="104"/>
      <c r="MC21" s="104"/>
      <c r="MD21" s="104"/>
      <c r="ME21" s="104"/>
      <c r="MF21" s="104"/>
      <c r="MG21" s="104"/>
      <c r="MH21" s="104"/>
      <c r="MI21" s="104"/>
      <c r="MJ21" s="104"/>
      <c r="MK21" s="104"/>
      <c r="ML21" s="104"/>
      <c r="MM21" s="104"/>
      <c r="MN21" s="104"/>
      <c r="MO21" s="104"/>
      <c r="MP21" s="104"/>
      <c r="MQ21" s="104"/>
      <c r="MR21" s="104"/>
      <c r="MS21" s="104"/>
      <c r="MT21" s="104"/>
      <c r="MU21" s="104"/>
      <c r="MV21" s="104"/>
      <c r="MW21" s="104"/>
      <c r="MX21" s="104"/>
      <c r="MY21" s="104"/>
      <c r="MZ21" s="104"/>
      <c r="NA21" s="104"/>
      <c r="NB21" s="104"/>
      <c r="NC21" s="104"/>
      <c r="ND21" s="104"/>
      <c r="NE21" s="104"/>
      <c r="NF21" s="104"/>
      <c r="NG21" s="104"/>
      <c r="NH21" s="104"/>
      <c r="NI21" s="104"/>
      <c r="NJ21" s="104"/>
      <c r="NK21" s="104"/>
      <c r="NL21" s="104"/>
      <c r="NM21" s="104"/>
      <c r="NN21" s="104"/>
      <c r="NO21" s="104"/>
      <c r="NP21" s="104"/>
      <c r="NQ21" s="104"/>
      <c r="NR21" s="104"/>
      <c r="NS21" s="104"/>
      <c r="NT21" s="104"/>
      <c r="NU21" s="104"/>
      <c r="NV21" s="104"/>
      <c r="NW21" s="104"/>
      <c r="NX21" s="104"/>
      <c r="NY21" s="104"/>
      <c r="NZ21" s="104"/>
    </row>
    <row r="22" spans="1:390" ht="15.75" customHeight="1" x14ac:dyDescent="0.3">
      <c r="A22" s="125">
        <v>4100098251</v>
      </c>
      <c r="B22" s="159"/>
      <c r="C22" s="126"/>
      <c r="D22" s="213" t="s">
        <v>391</v>
      </c>
      <c r="E22" s="135" t="s">
        <v>469</v>
      </c>
      <c r="F22" s="125">
        <v>15</v>
      </c>
      <c r="G22" s="125">
        <v>6</v>
      </c>
      <c r="H22" s="111">
        <v>42929</v>
      </c>
      <c r="I22" s="135" t="s">
        <v>466</v>
      </c>
      <c r="J22" s="135" t="s">
        <v>397</v>
      </c>
      <c r="K22" s="128" t="s">
        <v>398</v>
      </c>
      <c r="L22" s="128" t="s">
        <v>398</v>
      </c>
      <c r="M22" s="128" t="s">
        <v>398</v>
      </c>
      <c r="N22" s="128" t="s">
        <v>398</v>
      </c>
      <c r="O22" s="128" t="s">
        <v>398</v>
      </c>
      <c r="P22" s="128" t="s">
        <v>398</v>
      </c>
      <c r="Q22" s="128" t="s">
        <v>398</v>
      </c>
      <c r="R22" s="128" t="s">
        <v>398</v>
      </c>
      <c r="S22" s="128" t="s">
        <v>398</v>
      </c>
      <c r="T22" s="128" t="s">
        <v>398</v>
      </c>
      <c r="U22" s="128" t="s">
        <v>398</v>
      </c>
      <c r="V22" s="128" t="s">
        <v>398</v>
      </c>
      <c r="W22" s="136" t="s">
        <v>398</v>
      </c>
      <c r="X22" s="135" t="s">
        <v>398</v>
      </c>
      <c r="Y22" s="113" t="s">
        <v>398</v>
      </c>
      <c r="Z22" s="113" t="s">
        <v>398</v>
      </c>
      <c r="AA22" s="126"/>
      <c r="AB22" s="113" t="s">
        <v>399</v>
      </c>
      <c r="AC22" s="111">
        <v>15527</v>
      </c>
      <c r="AD22" s="139"/>
      <c r="AE22" s="108" t="e">
        <f t="shared" si="0"/>
        <v>#NUM!</v>
      </c>
      <c r="AF22" s="138" t="s">
        <v>411</v>
      </c>
      <c r="AG22" s="126" t="s">
        <v>401</v>
      </c>
      <c r="AH22" s="131" t="s">
        <v>444</v>
      </c>
      <c r="AI22" s="125" t="s">
        <v>455</v>
      </c>
      <c r="AJ22" s="125">
        <v>0</v>
      </c>
      <c r="AK22" s="125">
        <v>0</v>
      </c>
      <c r="AL22" s="125">
        <v>0</v>
      </c>
      <c r="AM22" s="139" t="s">
        <v>456</v>
      </c>
      <c r="AN22" s="134">
        <v>1</v>
      </c>
      <c r="AO22" s="136" t="s">
        <v>398</v>
      </c>
      <c r="AP22" s="126"/>
      <c r="AQ22" s="106"/>
      <c r="AR22" s="91"/>
      <c r="AS22" s="104"/>
      <c r="AT22" s="104"/>
      <c r="AU22" s="104"/>
      <c r="AV22" s="104"/>
      <c r="AW22" s="91"/>
      <c r="AX22" s="104"/>
      <c r="AY22" s="104"/>
      <c r="AZ22" s="104"/>
      <c r="BA22" s="104"/>
      <c r="BB22" s="91"/>
      <c r="BC22" s="104"/>
      <c r="BD22" s="104"/>
      <c r="BE22" s="104"/>
      <c r="BF22" s="104"/>
      <c r="BG22" s="91"/>
      <c r="BH22" s="104"/>
      <c r="BI22" s="104"/>
      <c r="BJ22" s="104"/>
      <c r="BK22" s="104"/>
      <c r="BL22" s="91"/>
      <c r="BM22" s="104"/>
      <c r="BN22" s="104"/>
      <c r="BO22" s="104"/>
      <c r="BP22" s="104"/>
      <c r="BQ22" s="91"/>
      <c r="BR22" s="104"/>
      <c r="BS22" s="104"/>
      <c r="BT22" s="104"/>
      <c r="BU22" s="104"/>
      <c r="BV22" s="91"/>
      <c r="BW22" s="104"/>
      <c r="BX22" s="104"/>
      <c r="BY22" s="104"/>
      <c r="BZ22" s="104"/>
      <c r="CA22" s="91"/>
      <c r="CB22" s="104"/>
      <c r="CC22" s="104"/>
      <c r="CD22" s="104"/>
      <c r="CE22" s="104"/>
      <c r="CF22" s="91"/>
      <c r="CG22" s="104"/>
      <c r="CH22" s="104"/>
      <c r="CI22" s="104"/>
      <c r="CJ22" s="104"/>
      <c r="CK22" s="91"/>
      <c r="CL22" s="104"/>
      <c r="CM22" s="104"/>
      <c r="CN22" s="104"/>
      <c r="CO22" s="104"/>
      <c r="CP22" s="91"/>
      <c r="CQ22" s="104"/>
      <c r="CR22" s="104"/>
      <c r="CS22" s="104"/>
      <c r="CT22" s="104"/>
      <c r="CU22" s="91"/>
      <c r="CV22" s="104"/>
      <c r="CW22" s="104"/>
      <c r="CX22" s="104"/>
      <c r="CY22" s="104"/>
      <c r="CZ22" s="91"/>
      <c r="DA22" s="104"/>
      <c r="DB22" s="104"/>
      <c r="DC22" s="104"/>
      <c r="DD22" s="104"/>
      <c r="DE22" s="91"/>
      <c r="DF22" s="104"/>
      <c r="DG22" s="104"/>
      <c r="DH22" s="104"/>
      <c r="DI22" s="104"/>
      <c r="DJ22" s="91"/>
      <c r="DK22" s="104"/>
      <c r="DL22" s="104"/>
      <c r="DM22" s="104"/>
      <c r="DN22" s="104"/>
      <c r="DO22" s="91"/>
      <c r="DP22" s="104"/>
      <c r="DQ22" s="104"/>
      <c r="DR22" s="104"/>
      <c r="DS22" s="104"/>
      <c r="DT22" s="91"/>
      <c r="DU22" s="104"/>
      <c r="DV22" s="104"/>
      <c r="DW22" s="104"/>
      <c r="DX22" s="104"/>
      <c r="DY22" s="91"/>
      <c r="DZ22" s="104"/>
      <c r="EA22" s="104"/>
      <c r="EB22" s="104"/>
      <c r="EC22" s="104"/>
      <c r="ED22" s="91"/>
      <c r="EE22" s="104"/>
      <c r="EF22" s="104"/>
      <c r="EG22" s="104"/>
      <c r="EH22" s="104"/>
      <c r="EI22" s="91"/>
      <c r="EJ22" s="104"/>
      <c r="EK22" s="104"/>
      <c r="EL22" s="104"/>
      <c r="EM22" s="104"/>
      <c r="EN22" s="91"/>
      <c r="EO22" s="104"/>
      <c r="EP22" s="104"/>
      <c r="EQ22" s="104"/>
      <c r="ER22" s="104"/>
      <c r="ES22" s="91"/>
      <c r="ET22" s="104"/>
      <c r="EU22" s="104"/>
      <c r="EV22" s="104"/>
      <c r="EW22" s="104"/>
      <c r="EX22" s="91"/>
      <c r="EY22" s="104"/>
      <c r="EZ22" s="104"/>
      <c r="FA22" s="104"/>
      <c r="FB22" s="104"/>
      <c r="FC22" s="91"/>
      <c r="FD22" s="104"/>
      <c r="FE22" s="104"/>
      <c r="FF22" s="104"/>
      <c r="FG22" s="104"/>
      <c r="FH22" s="91"/>
      <c r="FI22" s="104"/>
      <c r="FJ22" s="104"/>
      <c r="FK22" s="104"/>
      <c r="FL22" s="104"/>
      <c r="FM22" s="104"/>
      <c r="FN22" s="104"/>
      <c r="FO22" s="104"/>
      <c r="FP22" s="104"/>
      <c r="FQ22" s="104"/>
      <c r="FR22" s="104"/>
      <c r="FS22" s="104"/>
      <c r="FT22" s="104"/>
      <c r="FU22" s="104"/>
      <c r="FV22" s="104"/>
      <c r="FW22" s="104"/>
      <c r="FX22" s="104"/>
      <c r="FY22" s="104"/>
      <c r="FZ22" s="104"/>
      <c r="GA22" s="104"/>
      <c r="GB22" s="104"/>
      <c r="GC22" s="104"/>
      <c r="GD22" s="104"/>
      <c r="GE22" s="104"/>
      <c r="GF22" s="104"/>
      <c r="GG22" s="104"/>
      <c r="GH22" s="104"/>
      <c r="GI22" s="104"/>
      <c r="GJ22" s="104"/>
      <c r="GK22" s="104"/>
      <c r="GL22" s="104"/>
      <c r="GM22" s="104"/>
      <c r="GN22" s="104"/>
      <c r="GO22" s="104"/>
      <c r="GP22" s="91"/>
      <c r="GQ22" s="104"/>
      <c r="GR22" s="104"/>
      <c r="GS22" s="104"/>
      <c r="GT22" s="104"/>
      <c r="GU22" s="91"/>
      <c r="GV22" s="104"/>
      <c r="GW22" s="104"/>
      <c r="GX22" s="104"/>
      <c r="GY22" s="104"/>
      <c r="GZ22" s="91"/>
      <c r="HA22" s="104"/>
      <c r="HB22" s="104"/>
      <c r="HC22" s="104"/>
      <c r="HD22" s="104"/>
      <c r="HE22" s="91"/>
      <c r="HF22" s="104"/>
      <c r="HG22" s="104"/>
      <c r="HH22" s="104"/>
      <c r="HI22" s="104"/>
      <c r="HJ22" s="91"/>
      <c r="HK22" s="104"/>
      <c r="HL22" s="104"/>
      <c r="HM22" s="104"/>
      <c r="HN22" s="104"/>
      <c r="HO22" s="91"/>
      <c r="HP22" s="104"/>
      <c r="HQ22" s="104"/>
      <c r="HR22" s="104"/>
      <c r="HS22" s="104"/>
      <c r="HT22" s="91"/>
      <c r="HU22" s="104"/>
      <c r="HV22" s="104"/>
      <c r="HW22" s="104"/>
      <c r="HX22" s="104"/>
      <c r="HY22" s="91"/>
      <c r="HZ22" s="104"/>
      <c r="IA22" s="104"/>
      <c r="IB22" s="104"/>
      <c r="IC22" s="104"/>
      <c r="ID22" s="91"/>
      <c r="IE22" s="104"/>
      <c r="IF22" s="104"/>
      <c r="IG22" s="104"/>
      <c r="IH22" s="104"/>
      <c r="II22" s="91"/>
      <c r="IJ22" s="104"/>
      <c r="IK22" s="104"/>
      <c r="IL22" s="104"/>
      <c r="IM22" s="104"/>
      <c r="IN22" s="91"/>
      <c r="IO22" s="104"/>
      <c r="IP22" s="104"/>
      <c r="IQ22" s="104"/>
      <c r="IR22" s="104"/>
      <c r="IS22" s="91"/>
      <c r="IT22" s="104"/>
      <c r="IU22" s="104"/>
      <c r="IV22" s="104"/>
      <c r="IW22" s="104"/>
      <c r="IX22" s="91"/>
      <c r="IY22" s="104"/>
      <c r="IZ22" s="104"/>
      <c r="JA22" s="104"/>
      <c r="JB22" s="104"/>
      <c r="JC22" s="91"/>
      <c r="JD22" s="104"/>
      <c r="JE22" s="104"/>
      <c r="JF22" s="104"/>
      <c r="JG22" s="105"/>
      <c r="JH22" s="91"/>
      <c r="JI22" s="106"/>
      <c r="JJ22" s="104"/>
      <c r="JK22" s="104"/>
      <c r="JL22" s="105"/>
      <c r="JM22" s="95"/>
      <c r="JN22" s="107"/>
      <c r="JO22" s="79"/>
      <c r="JP22" s="106"/>
      <c r="JQ22" s="104"/>
      <c r="JR22" s="104"/>
      <c r="JS22" s="104"/>
      <c r="JT22" s="104"/>
      <c r="JU22" s="104"/>
      <c r="JV22" s="104"/>
      <c r="JW22" s="104"/>
      <c r="JX22" s="104"/>
      <c r="JY22" s="104"/>
      <c r="JZ22" s="104"/>
      <c r="KA22" s="104"/>
      <c r="KB22" s="104"/>
      <c r="KC22" s="104"/>
      <c r="KD22" s="104"/>
      <c r="KE22" s="104"/>
      <c r="KF22" s="104"/>
      <c r="KG22" s="104"/>
      <c r="KH22" s="104"/>
      <c r="KI22" s="104"/>
      <c r="KJ22" s="104"/>
      <c r="KK22" s="104"/>
      <c r="KL22" s="104"/>
      <c r="KM22" s="104"/>
      <c r="KN22" s="104"/>
      <c r="KO22" s="104"/>
      <c r="KP22" s="104"/>
      <c r="KQ22" s="104"/>
      <c r="KR22" s="104"/>
      <c r="KS22" s="104"/>
      <c r="KT22" s="104"/>
      <c r="KU22" s="104"/>
      <c r="KV22" s="104"/>
      <c r="KW22" s="104"/>
      <c r="KX22" s="104"/>
      <c r="KY22" s="104"/>
      <c r="KZ22" s="104"/>
      <c r="LA22" s="104"/>
      <c r="LB22" s="104"/>
      <c r="LC22" s="104"/>
      <c r="LD22" s="104"/>
      <c r="LE22" s="104"/>
      <c r="LF22" s="104"/>
      <c r="LG22" s="104"/>
      <c r="LH22" s="104"/>
      <c r="LI22" s="104"/>
      <c r="LJ22" s="104"/>
      <c r="LK22" s="104"/>
      <c r="LL22" s="104"/>
      <c r="LM22" s="104"/>
      <c r="LN22" s="104"/>
      <c r="LO22" s="104"/>
      <c r="LP22" s="104"/>
      <c r="LQ22" s="104"/>
      <c r="LR22" s="104"/>
      <c r="LS22" s="104"/>
      <c r="LT22" s="104"/>
      <c r="LU22" s="104"/>
      <c r="LV22" s="104"/>
      <c r="LW22" s="104"/>
      <c r="LX22" s="104"/>
      <c r="LY22" s="104"/>
      <c r="LZ22" s="104"/>
      <c r="MA22" s="104"/>
      <c r="MB22" s="104"/>
      <c r="MC22" s="104"/>
      <c r="MD22" s="104"/>
      <c r="ME22" s="104"/>
      <c r="MF22" s="104"/>
      <c r="MG22" s="104"/>
      <c r="MH22" s="104"/>
      <c r="MI22" s="104"/>
      <c r="MJ22" s="104"/>
      <c r="MK22" s="104"/>
      <c r="ML22" s="104"/>
      <c r="MM22" s="104"/>
      <c r="MN22" s="104"/>
      <c r="MO22" s="104"/>
      <c r="MP22" s="104"/>
      <c r="MQ22" s="104"/>
      <c r="MR22" s="104"/>
      <c r="MS22" s="104"/>
      <c r="MT22" s="104"/>
      <c r="MU22" s="104"/>
      <c r="MV22" s="104"/>
      <c r="MW22" s="104"/>
      <c r="MX22" s="104"/>
      <c r="MY22" s="104"/>
      <c r="MZ22" s="104"/>
      <c r="NA22" s="104"/>
      <c r="NB22" s="104"/>
      <c r="NC22" s="104"/>
      <c r="ND22" s="104"/>
      <c r="NE22" s="104"/>
      <c r="NF22" s="104"/>
      <c r="NG22" s="104"/>
      <c r="NH22" s="104"/>
      <c r="NI22" s="104"/>
      <c r="NJ22" s="104"/>
      <c r="NK22" s="104"/>
      <c r="NL22" s="104"/>
      <c r="NM22" s="104"/>
      <c r="NN22" s="104"/>
      <c r="NO22" s="104"/>
      <c r="NP22" s="104"/>
      <c r="NQ22" s="104"/>
      <c r="NR22" s="104"/>
      <c r="NS22" s="104"/>
      <c r="NT22" s="104"/>
      <c r="NU22" s="104"/>
      <c r="NV22" s="104"/>
      <c r="NW22" s="104"/>
      <c r="NX22" s="104"/>
      <c r="NY22" s="104"/>
      <c r="NZ22" s="104"/>
    </row>
    <row r="23" spans="1:390" ht="15.75" customHeight="1" x14ac:dyDescent="0.3">
      <c r="A23" s="125">
        <v>4860460391</v>
      </c>
      <c r="B23" s="159"/>
      <c r="C23" s="126"/>
      <c r="D23" s="213" t="s">
        <v>391</v>
      </c>
      <c r="E23" s="135" t="s">
        <v>470</v>
      </c>
      <c r="F23" s="125" t="s">
        <v>465</v>
      </c>
      <c r="G23" s="125" t="s">
        <v>471</v>
      </c>
      <c r="H23" s="111">
        <v>42935</v>
      </c>
      <c r="I23" s="135" t="s">
        <v>458</v>
      </c>
      <c r="J23" s="135" t="s">
        <v>397</v>
      </c>
      <c r="K23" s="128" t="s">
        <v>398</v>
      </c>
      <c r="L23" s="128" t="s">
        <v>398</v>
      </c>
      <c r="M23" s="128" t="s">
        <v>398</v>
      </c>
      <c r="N23" s="128" t="s">
        <v>398</v>
      </c>
      <c r="O23" s="128" t="s">
        <v>398</v>
      </c>
      <c r="P23" s="128" t="s">
        <v>398</v>
      </c>
      <c r="Q23" s="128" t="s">
        <v>398</v>
      </c>
      <c r="R23" s="128" t="s">
        <v>398</v>
      </c>
      <c r="S23" s="128" t="s">
        <v>398</v>
      </c>
      <c r="T23" s="128" t="s">
        <v>398</v>
      </c>
      <c r="U23" s="128" t="s">
        <v>398</v>
      </c>
      <c r="V23" s="128" t="s">
        <v>398</v>
      </c>
      <c r="W23" s="136" t="s">
        <v>470</v>
      </c>
      <c r="X23" s="135" t="s">
        <v>472</v>
      </c>
      <c r="Y23" s="113" t="s">
        <v>432</v>
      </c>
      <c r="Z23" s="111">
        <v>42935</v>
      </c>
      <c r="AA23" s="126"/>
      <c r="AB23" s="113" t="s">
        <v>399</v>
      </c>
      <c r="AC23" s="111">
        <v>21181</v>
      </c>
      <c r="AD23" s="139"/>
      <c r="AE23" s="108" t="e">
        <f t="shared" si="0"/>
        <v>#NUM!</v>
      </c>
      <c r="AF23" s="138" t="s">
        <v>411</v>
      </c>
      <c r="AG23" s="126" t="s">
        <v>401</v>
      </c>
      <c r="AH23" s="131" t="s">
        <v>402</v>
      </c>
      <c r="AI23" s="125" t="s">
        <v>412</v>
      </c>
      <c r="AJ23" s="125">
        <v>0</v>
      </c>
      <c r="AK23" s="125">
        <v>0</v>
      </c>
      <c r="AL23" s="125">
        <v>0</v>
      </c>
      <c r="AM23" s="139" t="s">
        <v>414</v>
      </c>
      <c r="AN23" s="134">
        <v>3</v>
      </c>
      <c r="AO23" s="136" t="s">
        <v>398</v>
      </c>
      <c r="AP23" s="126"/>
      <c r="AQ23" s="106"/>
      <c r="AR23" s="91"/>
      <c r="AS23" s="104"/>
      <c r="AT23" s="104"/>
      <c r="AU23" s="104"/>
      <c r="AV23" s="104"/>
      <c r="AW23" s="91"/>
      <c r="AX23" s="104"/>
      <c r="AY23" s="104"/>
      <c r="AZ23" s="104"/>
      <c r="BA23" s="104"/>
      <c r="BB23" s="91"/>
      <c r="BC23" s="104"/>
      <c r="BD23" s="104"/>
      <c r="BE23" s="104"/>
      <c r="BF23" s="104"/>
      <c r="BG23" s="91"/>
      <c r="BH23" s="104"/>
      <c r="BI23" s="104"/>
      <c r="BJ23" s="104"/>
      <c r="BK23" s="104"/>
      <c r="BL23" s="91"/>
      <c r="BM23" s="104"/>
      <c r="BN23" s="104"/>
      <c r="BO23" s="104"/>
      <c r="BP23" s="104"/>
      <c r="BQ23" s="91"/>
      <c r="BR23" s="104"/>
      <c r="BS23" s="104"/>
      <c r="BT23" s="104"/>
      <c r="BU23" s="104"/>
      <c r="BV23" s="91"/>
      <c r="BW23" s="104"/>
      <c r="BX23" s="104"/>
      <c r="BY23" s="104"/>
      <c r="BZ23" s="104"/>
      <c r="CA23" s="91"/>
      <c r="CB23" s="104"/>
      <c r="CC23" s="104"/>
      <c r="CD23" s="104"/>
      <c r="CE23" s="104"/>
      <c r="CF23" s="91"/>
      <c r="CG23" s="104"/>
      <c r="CH23" s="104"/>
      <c r="CI23" s="104"/>
      <c r="CJ23" s="104"/>
      <c r="CK23" s="91"/>
      <c r="CL23" s="104"/>
      <c r="CM23" s="104"/>
      <c r="CN23" s="104"/>
      <c r="CO23" s="104"/>
      <c r="CP23" s="91"/>
      <c r="CQ23" s="104"/>
      <c r="CR23" s="104"/>
      <c r="CS23" s="104"/>
      <c r="CT23" s="104"/>
      <c r="CU23" s="91"/>
      <c r="CV23" s="104"/>
      <c r="CW23" s="104"/>
      <c r="CX23" s="104"/>
      <c r="CY23" s="104"/>
      <c r="CZ23" s="91"/>
      <c r="DA23" s="104"/>
      <c r="DB23" s="104"/>
      <c r="DC23" s="104"/>
      <c r="DD23" s="104"/>
      <c r="DE23" s="91"/>
      <c r="DF23" s="104"/>
      <c r="DG23" s="104"/>
      <c r="DH23" s="104"/>
      <c r="DI23" s="104"/>
      <c r="DJ23" s="91"/>
      <c r="DK23" s="104"/>
      <c r="DL23" s="104"/>
      <c r="DM23" s="104"/>
      <c r="DN23" s="104"/>
      <c r="DO23" s="91"/>
      <c r="DP23" s="104"/>
      <c r="DQ23" s="104"/>
      <c r="DR23" s="104"/>
      <c r="DS23" s="104"/>
      <c r="DT23" s="91"/>
      <c r="DU23" s="104"/>
      <c r="DV23" s="104"/>
      <c r="DW23" s="104"/>
      <c r="DX23" s="104"/>
      <c r="DY23" s="91"/>
      <c r="DZ23" s="104"/>
      <c r="EA23" s="104"/>
      <c r="EB23" s="104"/>
      <c r="EC23" s="104"/>
      <c r="ED23" s="91"/>
      <c r="EE23" s="104"/>
      <c r="EF23" s="104"/>
      <c r="EG23" s="104"/>
      <c r="EH23" s="104"/>
      <c r="EI23" s="91"/>
      <c r="EJ23" s="104"/>
      <c r="EK23" s="104"/>
      <c r="EL23" s="104"/>
      <c r="EM23" s="104"/>
      <c r="EN23" s="91"/>
      <c r="EO23" s="104"/>
      <c r="EP23" s="104"/>
      <c r="EQ23" s="104"/>
      <c r="ER23" s="104"/>
      <c r="ES23" s="91"/>
      <c r="ET23" s="104"/>
      <c r="EU23" s="104"/>
      <c r="EV23" s="104"/>
      <c r="EW23" s="104"/>
      <c r="EX23" s="91"/>
      <c r="EY23" s="104"/>
      <c r="EZ23" s="104"/>
      <c r="FA23" s="104"/>
      <c r="FB23" s="104"/>
      <c r="FC23" s="91"/>
      <c r="FD23" s="104"/>
      <c r="FE23" s="104"/>
      <c r="FF23" s="104"/>
      <c r="FG23" s="104"/>
      <c r="FH23" s="91"/>
      <c r="FI23" s="104"/>
      <c r="FJ23" s="104"/>
      <c r="FK23" s="104"/>
      <c r="FL23" s="104"/>
      <c r="FM23" s="104"/>
      <c r="FN23" s="104"/>
      <c r="FO23" s="104"/>
      <c r="FP23" s="104"/>
      <c r="FQ23" s="104"/>
      <c r="FR23" s="104"/>
      <c r="FS23" s="104"/>
      <c r="FT23" s="104"/>
      <c r="FU23" s="104"/>
      <c r="FV23" s="104"/>
      <c r="FW23" s="104"/>
      <c r="FX23" s="104"/>
      <c r="FY23" s="104"/>
      <c r="FZ23" s="104"/>
      <c r="GA23" s="104"/>
      <c r="GB23" s="104"/>
      <c r="GC23" s="104"/>
      <c r="GD23" s="104"/>
      <c r="GE23" s="104"/>
      <c r="GF23" s="104"/>
      <c r="GG23" s="104"/>
      <c r="GH23" s="104"/>
      <c r="GI23" s="104"/>
      <c r="GJ23" s="104"/>
      <c r="GK23" s="104"/>
      <c r="GL23" s="104"/>
      <c r="GM23" s="104"/>
      <c r="GN23" s="104"/>
      <c r="GO23" s="104"/>
      <c r="GP23" s="91"/>
      <c r="GQ23" s="104"/>
      <c r="GR23" s="104"/>
      <c r="GS23" s="104"/>
      <c r="GT23" s="104"/>
      <c r="GU23" s="91"/>
      <c r="GV23" s="104"/>
      <c r="GW23" s="104"/>
      <c r="GX23" s="104"/>
      <c r="GY23" s="104"/>
      <c r="GZ23" s="91"/>
      <c r="HA23" s="104"/>
      <c r="HB23" s="104"/>
      <c r="HC23" s="104"/>
      <c r="HD23" s="104"/>
      <c r="HE23" s="91"/>
      <c r="HF23" s="104"/>
      <c r="HG23" s="104"/>
      <c r="HH23" s="104"/>
      <c r="HI23" s="104"/>
      <c r="HJ23" s="91"/>
      <c r="HK23" s="104"/>
      <c r="HL23" s="104"/>
      <c r="HM23" s="104"/>
      <c r="HN23" s="104"/>
      <c r="HO23" s="91"/>
      <c r="HP23" s="104"/>
      <c r="HQ23" s="104"/>
      <c r="HR23" s="104"/>
      <c r="HS23" s="104"/>
      <c r="HT23" s="91"/>
      <c r="HU23" s="104"/>
      <c r="HV23" s="104"/>
      <c r="HW23" s="104"/>
      <c r="HX23" s="104"/>
      <c r="HY23" s="91"/>
      <c r="HZ23" s="104"/>
      <c r="IA23" s="104"/>
      <c r="IB23" s="104"/>
      <c r="IC23" s="104"/>
      <c r="ID23" s="91"/>
      <c r="IE23" s="104"/>
      <c r="IF23" s="104"/>
      <c r="IG23" s="104"/>
      <c r="IH23" s="104"/>
      <c r="II23" s="91"/>
      <c r="IJ23" s="104"/>
      <c r="IK23" s="104"/>
      <c r="IL23" s="104"/>
      <c r="IM23" s="104"/>
      <c r="IN23" s="91"/>
      <c r="IO23" s="104"/>
      <c r="IP23" s="104"/>
      <c r="IQ23" s="104"/>
      <c r="IR23" s="104"/>
      <c r="IS23" s="91"/>
      <c r="IT23" s="104"/>
      <c r="IU23" s="104"/>
      <c r="IV23" s="104"/>
      <c r="IW23" s="104"/>
      <c r="IX23" s="91"/>
      <c r="IY23" s="104"/>
      <c r="IZ23" s="104"/>
      <c r="JA23" s="104"/>
      <c r="JB23" s="104"/>
      <c r="JC23" s="91"/>
      <c r="JD23" s="104"/>
      <c r="JE23" s="104"/>
      <c r="JF23" s="104"/>
      <c r="JG23" s="105"/>
      <c r="JH23" s="91"/>
      <c r="JI23" s="106"/>
      <c r="JJ23" s="104"/>
      <c r="JK23" s="104"/>
      <c r="JL23" s="105"/>
      <c r="JM23" s="95"/>
      <c r="JN23" s="107"/>
      <c r="JO23" s="79"/>
      <c r="JP23" s="106"/>
      <c r="JQ23" s="104"/>
      <c r="JR23" s="104"/>
      <c r="JS23" s="104"/>
      <c r="JT23" s="104"/>
      <c r="JU23" s="104"/>
      <c r="JV23" s="104"/>
      <c r="JW23" s="104"/>
      <c r="JX23" s="104"/>
      <c r="JY23" s="104"/>
      <c r="JZ23" s="104"/>
      <c r="KA23" s="104"/>
      <c r="KB23" s="104"/>
      <c r="KC23" s="104"/>
      <c r="KD23" s="104"/>
      <c r="KE23" s="104"/>
      <c r="KF23" s="104"/>
      <c r="KG23" s="104"/>
      <c r="KH23" s="104"/>
      <c r="KI23" s="104"/>
      <c r="KJ23" s="104"/>
      <c r="KK23" s="104"/>
      <c r="KL23" s="104"/>
      <c r="KM23" s="104"/>
      <c r="KN23" s="104"/>
      <c r="KO23" s="104"/>
      <c r="KP23" s="104"/>
      <c r="KQ23" s="104"/>
      <c r="KR23" s="104"/>
      <c r="KS23" s="104"/>
      <c r="KT23" s="104"/>
      <c r="KU23" s="104"/>
      <c r="KV23" s="104"/>
      <c r="KW23" s="104"/>
      <c r="KX23" s="104"/>
      <c r="KY23" s="104"/>
      <c r="KZ23" s="104"/>
      <c r="LA23" s="104"/>
      <c r="LB23" s="104"/>
      <c r="LC23" s="104"/>
      <c r="LD23" s="104"/>
      <c r="LE23" s="104"/>
      <c r="LF23" s="104"/>
      <c r="LG23" s="104"/>
      <c r="LH23" s="104"/>
      <c r="LI23" s="104"/>
      <c r="LJ23" s="104"/>
      <c r="LK23" s="104"/>
      <c r="LL23" s="104"/>
      <c r="LM23" s="104"/>
      <c r="LN23" s="104"/>
      <c r="LO23" s="104"/>
      <c r="LP23" s="104"/>
      <c r="LQ23" s="104"/>
      <c r="LR23" s="104"/>
      <c r="LS23" s="104"/>
      <c r="LT23" s="104"/>
      <c r="LU23" s="104"/>
      <c r="LV23" s="104"/>
      <c r="LW23" s="104"/>
      <c r="LX23" s="104"/>
      <c r="LY23" s="104"/>
      <c r="LZ23" s="104"/>
      <c r="MA23" s="104"/>
      <c r="MB23" s="104"/>
      <c r="MC23" s="104"/>
      <c r="MD23" s="104"/>
      <c r="ME23" s="104"/>
      <c r="MF23" s="104"/>
      <c r="MG23" s="104"/>
      <c r="MH23" s="104"/>
      <c r="MI23" s="104"/>
      <c r="MJ23" s="104"/>
      <c r="MK23" s="104"/>
      <c r="ML23" s="104"/>
      <c r="MM23" s="104"/>
      <c r="MN23" s="104"/>
      <c r="MO23" s="104"/>
      <c r="MP23" s="104"/>
      <c r="MQ23" s="104"/>
      <c r="MR23" s="104"/>
      <c r="MS23" s="104"/>
      <c r="MT23" s="104"/>
      <c r="MU23" s="104"/>
      <c r="MV23" s="104"/>
      <c r="MW23" s="104"/>
      <c r="MX23" s="104"/>
      <c r="MY23" s="104"/>
      <c r="MZ23" s="104"/>
      <c r="NA23" s="104"/>
      <c r="NB23" s="104"/>
      <c r="NC23" s="104"/>
      <c r="ND23" s="104"/>
      <c r="NE23" s="104"/>
      <c r="NF23" s="104"/>
      <c r="NG23" s="104"/>
      <c r="NH23" s="104"/>
      <c r="NI23" s="104"/>
      <c r="NJ23" s="104"/>
      <c r="NK23" s="104"/>
      <c r="NL23" s="104"/>
      <c r="NM23" s="104"/>
      <c r="NN23" s="104"/>
      <c r="NO23" s="104"/>
      <c r="NP23" s="104"/>
      <c r="NQ23" s="104"/>
      <c r="NR23" s="104"/>
      <c r="NS23" s="104"/>
      <c r="NT23" s="104"/>
      <c r="NU23" s="104"/>
      <c r="NV23" s="104"/>
      <c r="NW23" s="104"/>
      <c r="NX23" s="104"/>
      <c r="NY23" s="104"/>
      <c r="NZ23" s="104"/>
    </row>
    <row r="24" spans="1:390" ht="15.75" customHeight="1" x14ac:dyDescent="0.3">
      <c r="A24" s="125">
        <v>4424137554</v>
      </c>
      <c r="B24" s="135" t="s">
        <v>398</v>
      </c>
      <c r="C24" s="135" t="s">
        <v>398</v>
      </c>
      <c r="D24" s="213" t="s">
        <v>398</v>
      </c>
      <c r="E24" s="135" t="s">
        <v>398</v>
      </c>
      <c r="F24" s="125" t="s">
        <v>398</v>
      </c>
      <c r="G24" s="135" t="s">
        <v>398</v>
      </c>
      <c r="H24" s="111" t="s">
        <v>398</v>
      </c>
      <c r="I24" s="135" t="s">
        <v>398</v>
      </c>
      <c r="J24" s="135" t="s">
        <v>398</v>
      </c>
      <c r="K24" s="128" t="s">
        <v>398</v>
      </c>
      <c r="L24" s="128" t="s">
        <v>398</v>
      </c>
      <c r="M24" s="128" t="s">
        <v>398</v>
      </c>
      <c r="N24" s="128" t="s">
        <v>398</v>
      </c>
      <c r="O24" s="128" t="s">
        <v>398</v>
      </c>
      <c r="P24" s="128" t="s">
        <v>398</v>
      </c>
      <c r="Q24" s="128" t="s">
        <v>398</v>
      </c>
      <c r="R24" s="128" t="s">
        <v>398</v>
      </c>
      <c r="S24" s="128" t="s">
        <v>398</v>
      </c>
      <c r="T24" s="128" t="s">
        <v>398</v>
      </c>
      <c r="U24" s="128" t="s">
        <v>398</v>
      </c>
      <c r="V24" s="128" t="s">
        <v>398</v>
      </c>
      <c r="W24" s="136" t="s">
        <v>473</v>
      </c>
      <c r="X24" s="135" t="s">
        <v>474</v>
      </c>
      <c r="Y24" s="113" t="s">
        <v>432</v>
      </c>
      <c r="Z24" s="111">
        <v>42936</v>
      </c>
      <c r="AA24" s="126"/>
      <c r="AB24" s="113" t="s">
        <v>399</v>
      </c>
      <c r="AC24" s="111">
        <v>15088</v>
      </c>
      <c r="AD24" s="139"/>
      <c r="AE24" s="108" t="e">
        <f t="shared" si="0"/>
        <v>#NUM!</v>
      </c>
      <c r="AF24" s="138" t="s">
        <v>398</v>
      </c>
      <c r="AG24" s="126" t="s">
        <v>398</v>
      </c>
      <c r="AH24" s="131" t="s">
        <v>398</v>
      </c>
      <c r="AI24" s="125" t="s">
        <v>398</v>
      </c>
      <c r="AJ24" s="125" t="s">
        <v>398</v>
      </c>
      <c r="AK24" s="125" t="s">
        <v>398</v>
      </c>
      <c r="AL24" s="125" t="s">
        <v>398</v>
      </c>
      <c r="AM24" s="139" t="s">
        <v>398</v>
      </c>
      <c r="AN24" s="134" t="s">
        <v>398</v>
      </c>
      <c r="AO24" s="136" t="s">
        <v>398</v>
      </c>
      <c r="AP24" s="138" t="s">
        <v>398</v>
      </c>
      <c r="AQ24" s="138" t="s">
        <v>398</v>
      </c>
      <c r="AR24" s="138" t="s">
        <v>398</v>
      </c>
      <c r="AS24" s="138" t="s">
        <v>398</v>
      </c>
      <c r="AT24" s="138" t="s">
        <v>398</v>
      </c>
      <c r="AU24" s="138" t="s">
        <v>398</v>
      </c>
      <c r="AV24" s="138" t="s">
        <v>398</v>
      </c>
      <c r="AW24" s="138" t="s">
        <v>398</v>
      </c>
      <c r="AX24" s="138" t="s">
        <v>398</v>
      </c>
      <c r="AY24" s="138" t="s">
        <v>398</v>
      </c>
      <c r="AZ24" s="138" t="s">
        <v>398</v>
      </c>
      <c r="BA24" s="138" t="s">
        <v>398</v>
      </c>
      <c r="BB24" s="138" t="s">
        <v>398</v>
      </c>
      <c r="BC24" s="138" t="s">
        <v>398</v>
      </c>
      <c r="BD24" s="138" t="s">
        <v>398</v>
      </c>
      <c r="BE24" s="138" t="s">
        <v>398</v>
      </c>
      <c r="BF24" s="138" t="s">
        <v>398</v>
      </c>
      <c r="BG24" s="138" t="s">
        <v>398</v>
      </c>
      <c r="BH24" s="138" t="s">
        <v>398</v>
      </c>
      <c r="BI24" s="138" t="s">
        <v>398</v>
      </c>
      <c r="BJ24" s="138" t="s">
        <v>398</v>
      </c>
      <c r="BK24" s="138" t="s">
        <v>398</v>
      </c>
      <c r="BL24" s="138" t="s">
        <v>398</v>
      </c>
      <c r="BM24" s="138" t="s">
        <v>398</v>
      </c>
      <c r="BN24" s="138" t="s">
        <v>398</v>
      </c>
      <c r="BO24" s="138" t="s">
        <v>398</v>
      </c>
      <c r="BP24" s="138" t="s">
        <v>398</v>
      </c>
      <c r="BQ24" s="138" t="s">
        <v>398</v>
      </c>
      <c r="BR24" s="138" t="s">
        <v>398</v>
      </c>
      <c r="BS24" s="138" t="s">
        <v>398</v>
      </c>
      <c r="BT24" s="138" t="s">
        <v>398</v>
      </c>
      <c r="BU24" s="138" t="s">
        <v>398</v>
      </c>
      <c r="BV24" s="138" t="s">
        <v>398</v>
      </c>
      <c r="BW24" s="138" t="s">
        <v>398</v>
      </c>
      <c r="BX24" s="138" t="s">
        <v>398</v>
      </c>
      <c r="BY24" s="138" t="s">
        <v>398</v>
      </c>
      <c r="BZ24" s="138" t="s">
        <v>398</v>
      </c>
      <c r="CA24" s="138" t="s">
        <v>398</v>
      </c>
      <c r="CB24" s="138" t="s">
        <v>398</v>
      </c>
      <c r="CC24" s="138" t="s">
        <v>398</v>
      </c>
      <c r="CD24" s="138" t="s">
        <v>398</v>
      </c>
      <c r="CE24" s="138" t="s">
        <v>398</v>
      </c>
      <c r="CF24" s="138" t="s">
        <v>398</v>
      </c>
      <c r="CG24" s="138" t="s">
        <v>398</v>
      </c>
      <c r="CH24" s="138" t="s">
        <v>398</v>
      </c>
      <c r="CI24" s="138" t="s">
        <v>398</v>
      </c>
      <c r="CJ24" s="138" t="s">
        <v>398</v>
      </c>
      <c r="CK24" s="138" t="s">
        <v>398</v>
      </c>
      <c r="CL24" s="138" t="s">
        <v>398</v>
      </c>
      <c r="CM24" s="138" t="s">
        <v>398</v>
      </c>
      <c r="CN24" s="138" t="s">
        <v>398</v>
      </c>
      <c r="CO24" s="138" t="s">
        <v>398</v>
      </c>
      <c r="CP24" s="138" t="s">
        <v>398</v>
      </c>
      <c r="CQ24" s="138" t="s">
        <v>398</v>
      </c>
      <c r="CR24" s="138" t="s">
        <v>398</v>
      </c>
      <c r="CS24" s="138" t="s">
        <v>398</v>
      </c>
      <c r="CT24" s="138" t="s">
        <v>398</v>
      </c>
      <c r="CU24" s="138" t="s">
        <v>398</v>
      </c>
      <c r="CV24" s="138" t="s">
        <v>398</v>
      </c>
      <c r="CW24" s="138" t="s">
        <v>398</v>
      </c>
      <c r="CX24" s="138" t="s">
        <v>398</v>
      </c>
      <c r="CY24" s="138" t="s">
        <v>398</v>
      </c>
      <c r="CZ24" s="138" t="s">
        <v>398</v>
      </c>
      <c r="DA24" s="138" t="s">
        <v>398</v>
      </c>
      <c r="DB24" s="138" t="s">
        <v>398</v>
      </c>
      <c r="DC24" s="138" t="s">
        <v>398</v>
      </c>
      <c r="DD24" s="138" t="s">
        <v>398</v>
      </c>
      <c r="DE24" s="138" t="s">
        <v>398</v>
      </c>
      <c r="DF24" s="138" t="s">
        <v>398</v>
      </c>
      <c r="DG24" s="138" t="s">
        <v>398</v>
      </c>
      <c r="DH24" s="138" t="s">
        <v>398</v>
      </c>
      <c r="DI24" s="138" t="s">
        <v>398</v>
      </c>
      <c r="DJ24" s="138" t="s">
        <v>398</v>
      </c>
      <c r="DK24" s="138" t="s">
        <v>398</v>
      </c>
      <c r="DL24" s="138" t="s">
        <v>398</v>
      </c>
      <c r="DM24" s="138" t="s">
        <v>398</v>
      </c>
      <c r="DN24" s="138" t="s">
        <v>398</v>
      </c>
      <c r="DO24" s="138" t="s">
        <v>398</v>
      </c>
      <c r="DP24" s="138" t="s">
        <v>398</v>
      </c>
      <c r="DQ24" s="138" t="s">
        <v>398</v>
      </c>
      <c r="DR24" s="138" t="s">
        <v>398</v>
      </c>
      <c r="DS24" s="138" t="s">
        <v>398</v>
      </c>
      <c r="DT24" s="138" t="s">
        <v>398</v>
      </c>
      <c r="DU24" s="138" t="s">
        <v>398</v>
      </c>
      <c r="DV24" s="138" t="s">
        <v>398</v>
      </c>
      <c r="DW24" s="138" t="s">
        <v>398</v>
      </c>
      <c r="DX24" s="138" t="s">
        <v>398</v>
      </c>
      <c r="DY24" s="138" t="s">
        <v>398</v>
      </c>
      <c r="DZ24" s="138" t="s">
        <v>398</v>
      </c>
      <c r="EA24" s="138" t="s">
        <v>398</v>
      </c>
      <c r="EB24" s="138" t="s">
        <v>398</v>
      </c>
      <c r="EC24" s="138" t="s">
        <v>398</v>
      </c>
      <c r="ED24" s="138" t="s">
        <v>398</v>
      </c>
      <c r="EE24" s="138" t="s">
        <v>398</v>
      </c>
      <c r="EF24" s="138" t="s">
        <v>398</v>
      </c>
      <c r="EG24" s="138" t="s">
        <v>398</v>
      </c>
      <c r="EH24" s="138" t="s">
        <v>398</v>
      </c>
      <c r="EI24" s="138" t="s">
        <v>398</v>
      </c>
      <c r="EJ24" s="138" t="s">
        <v>398</v>
      </c>
      <c r="EK24" s="138" t="s">
        <v>398</v>
      </c>
      <c r="EL24" s="138" t="s">
        <v>398</v>
      </c>
      <c r="EM24" s="138" t="s">
        <v>398</v>
      </c>
      <c r="EN24" s="138" t="s">
        <v>398</v>
      </c>
      <c r="EO24" s="138" t="s">
        <v>398</v>
      </c>
      <c r="EP24" s="138" t="s">
        <v>398</v>
      </c>
      <c r="EQ24" s="138" t="s">
        <v>398</v>
      </c>
      <c r="ER24" s="138" t="s">
        <v>398</v>
      </c>
      <c r="ES24" s="138" t="s">
        <v>398</v>
      </c>
      <c r="ET24" s="138" t="s">
        <v>398</v>
      </c>
      <c r="EU24" s="138" t="s">
        <v>398</v>
      </c>
      <c r="EV24" s="138" t="s">
        <v>398</v>
      </c>
      <c r="EW24" s="138" t="s">
        <v>398</v>
      </c>
      <c r="EX24" s="138" t="s">
        <v>398</v>
      </c>
      <c r="EY24" s="138" t="s">
        <v>398</v>
      </c>
      <c r="EZ24" s="138" t="s">
        <v>398</v>
      </c>
      <c r="FA24" s="138" t="s">
        <v>398</v>
      </c>
      <c r="FB24" s="138" t="s">
        <v>398</v>
      </c>
      <c r="FC24" s="138" t="s">
        <v>398</v>
      </c>
      <c r="FD24" s="138" t="s">
        <v>398</v>
      </c>
      <c r="FE24" s="138" t="s">
        <v>398</v>
      </c>
      <c r="FF24" s="138" t="s">
        <v>398</v>
      </c>
      <c r="FG24" s="138" t="s">
        <v>398</v>
      </c>
      <c r="FH24" s="138" t="s">
        <v>398</v>
      </c>
      <c r="FI24" s="138" t="s">
        <v>398</v>
      </c>
      <c r="FJ24" s="138" t="s">
        <v>398</v>
      </c>
      <c r="FK24" s="138" t="s">
        <v>398</v>
      </c>
      <c r="FL24" s="138" t="s">
        <v>398</v>
      </c>
      <c r="FM24" s="138" t="s">
        <v>398</v>
      </c>
      <c r="FN24" s="138" t="s">
        <v>398</v>
      </c>
      <c r="FO24" s="138" t="s">
        <v>398</v>
      </c>
      <c r="FP24" s="138" t="s">
        <v>398</v>
      </c>
      <c r="FQ24" s="138" t="s">
        <v>398</v>
      </c>
      <c r="FR24" s="138" t="s">
        <v>398</v>
      </c>
      <c r="FS24" s="138" t="s">
        <v>398</v>
      </c>
      <c r="FT24" s="138" t="s">
        <v>398</v>
      </c>
      <c r="FU24" s="138" t="s">
        <v>398</v>
      </c>
      <c r="FV24" s="138" t="s">
        <v>398</v>
      </c>
      <c r="FW24" s="138" t="s">
        <v>398</v>
      </c>
      <c r="FX24" s="138" t="s">
        <v>398</v>
      </c>
      <c r="FY24" s="138" t="s">
        <v>398</v>
      </c>
      <c r="FZ24" s="138" t="s">
        <v>398</v>
      </c>
      <c r="GA24" s="138" t="s">
        <v>398</v>
      </c>
      <c r="GB24" s="138" t="s">
        <v>398</v>
      </c>
      <c r="GC24" s="138" t="s">
        <v>398</v>
      </c>
      <c r="GD24" s="138" t="s">
        <v>398</v>
      </c>
      <c r="GE24" s="138" t="s">
        <v>398</v>
      </c>
      <c r="GF24" s="138" t="s">
        <v>398</v>
      </c>
      <c r="GG24" s="138" t="s">
        <v>398</v>
      </c>
      <c r="GH24" s="138" t="s">
        <v>398</v>
      </c>
      <c r="GI24" s="138" t="s">
        <v>398</v>
      </c>
      <c r="GJ24" s="138" t="s">
        <v>398</v>
      </c>
      <c r="GK24" s="138" t="s">
        <v>398</v>
      </c>
      <c r="GL24" s="138" t="s">
        <v>398</v>
      </c>
      <c r="GM24" s="138" t="s">
        <v>398</v>
      </c>
      <c r="GN24" s="138" t="s">
        <v>398</v>
      </c>
      <c r="GO24" s="138" t="s">
        <v>398</v>
      </c>
      <c r="GP24" s="138" t="s">
        <v>398</v>
      </c>
      <c r="GQ24" s="138" t="s">
        <v>398</v>
      </c>
      <c r="GR24" s="138" t="s">
        <v>398</v>
      </c>
      <c r="GS24" s="138" t="s">
        <v>398</v>
      </c>
      <c r="GT24" s="138" t="s">
        <v>398</v>
      </c>
      <c r="GU24" s="138" t="s">
        <v>398</v>
      </c>
      <c r="GV24" s="138" t="s">
        <v>398</v>
      </c>
      <c r="GW24" s="138" t="s">
        <v>398</v>
      </c>
      <c r="GX24" s="138" t="s">
        <v>398</v>
      </c>
      <c r="GY24" s="138" t="s">
        <v>398</v>
      </c>
      <c r="GZ24" s="138" t="s">
        <v>398</v>
      </c>
      <c r="HA24" s="138" t="s">
        <v>398</v>
      </c>
      <c r="HB24" s="138" t="s">
        <v>398</v>
      </c>
      <c r="HC24" s="138" t="s">
        <v>398</v>
      </c>
      <c r="HD24" s="138" t="s">
        <v>398</v>
      </c>
      <c r="HE24" s="138" t="s">
        <v>398</v>
      </c>
      <c r="HF24" s="138" t="s">
        <v>398</v>
      </c>
      <c r="HG24" s="138" t="s">
        <v>398</v>
      </c>
      <c r="HH24" s="138" t="s">
        <v>398</v>
      </c>
      <c r="HI24" s="138" t="s">
        <v>398</v>
      </c>
      <c r="HJ24" s="138" t="s">
        <v>398</v>
      </c>
      <c r="HK24" s="138" t="s">
        <v>398</v>
      </c>
      <c r="HL24" s="138" t="s">
        <v>398</v>
      </c>
      <c r="HM24" s="138" t="s">
        <v>398</v>
      </c>
      <c r="HN24" s="138" t="s">
        <v>398</v>
      </c>
      <c r="HO24" s="138" t="s">
        <v>398</v>
      </c>
      <c r="HP24" s="138" t="s">
        <v>398</v>
      </c>
      <c r="HQ24" s="138" t="s">
        <v>398</v>
      </c>
      <c r="HR24" s="138" t="s">
        <v>398</v>
      </c>
      <c r="HS24" s="138" t="s">
        <v>398</v>
      </c>
      <c r="HT24" s="138" t="s">
        <v>398</v>
      </c>
      <c r="HU24" s="138" t="s">
        <v>398</v>
      </c>
      <c r="HV24" s="138" t="s">
        <v>398</v>
      </c>
      <c r="HW24" s="138" t="s">
        <v>398</v>
      </c>
      <c r="HX24" s="138" t="s">
        <v>398</v>
      </c>
      <c r="HY24" s="138" t="s">
        <v>398</v>
      </c>
      <c r="HZ24" s="138" t="s">
        <v>398</v>
      </c>
      <c r="IA24" s="138" t="s">
        <v>398</v>
      </c>
      <c r="IB24" s="138" t="s">
        <v>398</v>
      </c>
      <c r="IC24" s="138" t="s">
        <v>398</v>
      </c>
      <c r="ID24" s="138" t="s">
        <v>398</v>
      </c>
      <c r="IE24" s="138" t="s">
        <v>398</v>
      </c>
      <c r="IF24" s="138" t="s">
        <v>398</v>
      </c>
      <c r="IG24" s="138" t="s">
        <v>398</v>
      </c>
      <c r="IH24" s="138" t="s">
        <v>398</v>
      </c>
      <c r="II24" s="138" t="s">
        <v>398</v>
      </c>
      <c r="IJ24" s="138" t="s">
        <v>398</v>
      </c>
      <c r="IK24" s="138" t="s">
        <v>398</v>
      </c>
      <c r="IL24" s="138" t="s">
        <v>398</v>
      </c>
      <c r="IM24" s="138" t="s">
        <v>398</v>
      </c>
      <c r="IN24" s="138" t="s">
        <v>398</v>
      </c>
      <c r="IO24" s="138" t="s">
        <v>398</v>
      </c>
      <c r="IP24" s="138" t="s">
        <v>398</v>
      </c>
      <c r="IQ24" s="138" t="s">
        <v>398</v>
      </c>
      <c r="IR24" s="138" t="s">
        <v>398</v>
      </c>
      <c r="IS24" s="138" t="s">
        <v>398</v>
      </c>
      <c r="IT24" s="138" t="s">
        <v>398</v>
      </c>
      <c r="IU24" s="138" t="s">
        <v>398</v>
      </c>
      <c r="IV24" s="138" t="s">
        <v>398</v>
      </c>
      <c r="IW24" s="138" t="s">
        <v>398</v>
      </c>
      <c r="IX24" s="138" t="s">
        <v>398</v>
      </c>
      <c r="IY24" s="138" t="s">
        <v>398</v>
      </c>
      <c r="IZ24" s="138" t="s">
        <v>398</v>
      </c>
      <c r="JA24" s="138" t="s">
        <v>398</v>
      </c>
      <c r="JB24" s="138" t="s">
        <v>398</v>
      </c>
      <c r="JC24" s="138" t="s">
        <v>398</v>
      </c>
      <c r="JD24" s="138" t="s">
        <v>398</v>
      </c>
      <c r="JE24" s="138" t="s">
        <v>398</v>
      </c>
      <c r="JF24" s="138" t="s">
        <v>398</v>
      </c>
      <c r="JG24" s="138" t="s">
        <v>398</v>
      </c>
      <c r="JH24" s="138" t="s">
        <v>398</v>
      </c>
      <c r="JI24" s="138" t="s">
        <v>398</v>
      </c>
      <c r="JJ24" s="138" t="s">
        <v>398</v>
      </c>
      <c r="JK24" s="138" t="s">
        <v>398</v>
      </c>
      <c r="JL24" s="138" t="s">
        <v>398</v>
      </c>
      <c r="JM24" s="138" t="s">
        <v>398</v>
      </c>
      <c r="JN24" s="138" t="s">
        <v>398</v>
      </c>
      <c r="JO24" s="138" t="s">
        <v>398</v>
      </c>
      <c r="JP24" s="138" t="s">
        <v>398</v>
      </c>
      <c r="JQ24" s="138" t="s">
        <v>398</v>
      </c>
      <c r="JR24" s="138" t="s">
        <v>398</v>
      </c>
      <c r="JS24" s="138" t="s">
        <v>398</v>
      </c>
      <c r="JT24" s="138" t="s">
        <v>398</v>
      </c>
      <c r="JU24" s="138" t="s">
        <v>398</v>
      </c>
      <c r="JV24" s="138" t="s">
        <v>398</v>
      </c>
      <c r="JW24" s="138" t="s">
        <v>398</v>
      </c>
      <c r="JX24" s="138" t="s">
        <v>398</v>
      </c>
      <c r="JY24" s="138" t="s">
        <v>398</v>
      </c>
      <c r="JZ24" s="138" t="s">
        <v>398</v>
      </c>
      <c r="KA24" s="138" t="s">
        <v>398</v>
      </c>
      <c r="KB24" s="138" t="s">
        <v>398</v>
      </c>
      <c r="KC24" s="138" t="s">
        <v>398</v>
      </c>
      <c r="KD24" s="138" t="s">
        <v>398</v>
      </c>
      <c r="KE24" s="138" t="s">
        <v>398</v>
      </c>
      <c r="KF24" s="138" t="s">
        <v>398</v>
      </c>
      <c r="KG24" s="138" t="s">
        <v>398</v>
      </c>
      <c r="KH24" s="138" t="s">
        <v>398</v>
      </c>
      <c r="KI24" s="138" t="s">
        <v>398</v>
      </c>
      <c r="KJ24" s="138" t="s">
        <v>398</v>
      </c>
      <c r="KK24" s="138" t="s">
        <v>398</v>
      </c>
      <c r="KL24" s="138" t="s">
        <v>398</v>
      </c>
      <c r="KM24" s="138" t="s">
        <v>398</v>
      </c>
      <c r="KN24" s="138" t="s">
        <v>398</v>
      </c>
      <c r="KO24" s="138" t="s">
        <v>398</v>
      </c>
      <c r="KP24" s="138" t="s">
        <v>398</v>
      </c>
      <c r="KQ24" s="138" t="s">
        <v>398</v>
      </c>
      <c r="KR24" s="138" t="s">
        <v>398</v>
      </c>
      <c r="KS24" s="138" t="s">
        <v>398</v>
      </c>
      <c r="KT24" s="138" t="s">
        <v>398</v>
      </c>
      <c r="KU24" s="138" t="s">
        <v>398</v>
      </c>
      <c r="KV24" s="138" t="s">
        <v>398</v>
      </c>
      <c r="KW24" s="138" t="s">
        <v>398</v>
      </c>
      <c r="KX24" s="138" t="s">
        <v>398</v>
      </c>
      <c r="KY24" s="138" t="s">
        <v>398</v>
      </c>
      <c r="KZ24" s="138" t="s">
        <v>398</v>
      </c>
      <c r="LA24" s="138" t="s">
        <v>398</v>
      </c>
      <c r="LB24" s="138" t="s">
        <v>398</v>
      </c>
      <c r="LC24" s="138" t="s">
        <v>398</v>
      </c>
      <c r="LD24" s="138" t="s">
        <v>398</v>
      </c>
      <c r="LE24" s="138" t="s">
        <v>398</v>
      </c>
      <c r="LF24" s="138" t="s">
        <v>398</v>
      </c>
      <c r="LG24" s="138" t="s">
        <v>398</v>
      </c>
      <c r="LH24" s="138" t="s">
        <v>398</v>
      </c>
      <c r="LI24" s="138" t="s">
        <v>398</v>
      </c>
      <c r="LJ24" s="138" t="s">
        <v>398</v>
      </c>
      <c r="LK24" s="138" t="s">
        <v>398</v>
      </c>
      <c r="LL24" s="138" t="s">
        <v>398</v>
      </c>
      <c r="LM24" s="138" t="s">
        <v>398</v>
      </c>
      <c r="LN24" s="138" t="s">
        <v>398</v>
      </c>
      <c r="LO24" s="138" t="s">
        <v>398</v>
      </c>
      <c r="LP24" s="138" t="s">
        <v>398</v>
      </c>
      <c r="LQ24" s="138" t="s">
        <v>398</v>
      </c>
      <c r="LR24" s="138" t="s">
        <v>398</v>
      </c>
      <c r="LS24" s="138" t="s">
        <v>398</v>
      </c>
      <c r="LT24" s="138" t="s">
        <v>398</v>
      </c>
      <c r="LU24" s="138" t="s">
        <v>398</v>
      </c>
      <c r="LV24" s="138" t="s">
        <v>398</v>
      </c>
      <c r="LW24" s="138" t="s">
        <v>398</v>
      </c>
      <c r="LX24" s="138" t="s">
        <v>398</v>
      </c>
      <c r="LY24" s="138" t="s">
        <v>398</v>
      </c>
      <c r="LZ24" s="138" t="s">
        <v>398</v>
      </c>
      <c r="MA24" s="138" t="s">
        <v>398</v>
      </c>
      <c r="MB24" s="138" t="s">
        <v>398</v>
      </c>
      <c r="MC24" s="138" t="s">
        <v>398</v>
      </c>
      <c r="MD24" s="138" t="s">
        <v>398</v>
      </c>
      <c r="ME24" s="138" t="s">
        <v>398</v>
      </c>
      <c r="MF24" s="138" t="s">
        <v>398</v>
      </c>
      <c r="MG24" s="138" t="s">
        <v>398</v>
      </c>
      <c r="MH24" s="138" t="s">
        <v>398</v>
      </c>
      <c r="MI24" s="138" t="s">
        <v>398</v>
      </c>
      <c r="MJ24" s="138" t="s">
        <v>398</v>
      </c>
      <c r="MK24" s="138" t="s">
        <v>398</v>
      </c>
      <c r="ML24" s="138" t="s">
        <v>398</v>
      </c>
      <c r="MM24" s="138" t="s">
        <v>398</v>
      </c>
      <c r="MN24" s="138" t="s">
        <v>398</v>
      </c>
      <c r="MO24" s="138" t="s">
        <v>398</v>
      </c>
      <c r="MP24" s="138" t="s">
        <v>398</v>
      </c>
      <c r="MQ24" s="138" t="s">
        <v>398</v>
      </c>
      <c r="MR24" s="138" t="s">
        <v>398</v>
      </c>
      <c r="MS24" s="138" t="s">
        <v>398</v>
      </c>
      <c r="MT24" s="138" t="s">
        <v>398</v>
      </c>
      <c r="MU24" s="138" t="s">
        <v>398</v>
      </c>
      <c r="MV24" s="138" t="s">
        <v>398</v>
      </c>
      <c r="MW24" s="138" t="s">
        <v>398</v>
      </c>
      <c r="MX24" s="138" t="s">
        <v>398</v>
      </c>
      <c r="MY24" s="138" t="s">
        <v>398</v>
      </c>
      <c r="MZ24" s="138" t="s">
        <v>398</v>
      </c>
      <c r="NA24" s="138" t="s">
        <v>398</v>
      </c>
      <c r="NB24" s="138" t="s">
        <v>398</v>
      </c>
      <c r="NC24" s="138" t="s">
        <v>398</v>
      </c>
      <c r="ND24" s="138" t="s">
        <v>398</v>
      </c>
      <c r="NE24" s="138" t="s">
        <v>398</v>
      </c>
      <c r="NF24" s="138" t="s">
        <v>398</v>
      </c>
      <c r="NG24" s="138" t="s">
        <v>398</v>
      </c>
      <c r="NH24" s="138" t="s">
        <v>398</v>
      </c>
      <c r="NI24" s="138" t="s">
        <v>398</v>
      </c>
      <c r="NJ24" s="138" t="s">
        <v>398</v>
      </c>
      <c r="NK24" s="138" t="s">
        <v>398</v>
      </c>
      <c r="NL24" s="138" t="s">
        <v>398</v>
      </c>
      <c r="NM24" s="138" t="s">
        <v>398</v>
      </c>
      <c r="NN24" s="138" t="s">
        <v>398</v>
      </c>
      <c r="NO24" s="138" t="s">
        <v>398</v>
      </c>
      <c r="NP24" s="138" t="s">
        <v>398</v>
      </c>
      <c r="NQ24" s="138" t="s">
        <v>398</v>
      </c>
      <c r="NR24" s="138" t="s">
        <v>398</v>
      </c>
      <c r="NS24" s="138" t="s">
        <v>398</v>
      </c>
      <c r="NT24" s="138" t="s">
        <v>398</v>
      </c>
      <c r="NU24" s="138" t="s">
        <v>398</v>
      </c>
      <c r="NV24" s="138" t="s">
        <v>398</v>
      </c>
      <c r="NW24" s="138" t="s">
        <v>398</v>
      </c>
      <c r="NX24" s="138" t="s">
        <v>398</v>
      </c>
      <c r="NY24" s="138" t="s">
        <v>398</v>
      </c>
      <c r="NZ24" s="138" t="s">
        <v>398</v>
      </c>
    </row>
    <row r="25" spans="1:390" ht="15.75" customHeight="1" x14ac:dyDescent="0.3">
      <c r="A25" s="125">
        <v>4308926637</v>
      </c>
      <c r="B25" s="159"/>
      <c r="C25" s="126"/>
      <c r="D25" s="213" t="s">
        <v>391</v>
      </c>
      <c r="E25" s="135" t="s">
        <v>475</v>
      </c>
      <c r="F25" s="125" t="s">
        <v>448</v>
      </c>
      <c r="G25" s="135" t="s">
        <v>398</v>
      </c>
      <c r="H25" s="111">
        <v>42936</v>
      </c>
      <c r="I25" s="135" t="s">
        <v>476</v>
      </c>
      <c r="J25" s="135" t="s">
        <v>397</v>
      </c>
      <c r="K25" s="128" t="s">
        <v>398</v>
      </c>
      <c r="L25" s="128" t="s">
        <v>398</v>
      </c>
      <c r="M25" s="128" t="s">
        <v>398</v>
      </c>
      <c r="N25" s="128" t="s">
        <v>398</v>
      </c>
      <c r="O25" s="128" t="s">
        <v>398</v>
      </c>
      <c r="P25" s="128" t="s">
        <v>398</v>
      </c>
      <c r="Q25" s="128" t="s">
        <v>398</v>
      </c>
      <c r="R25" s="128" t="s">
        <v>398</v>
      </c>
      <c r="S25" s="128" t="s">
        <v>398</v>
      </c>
      <c r="T25" s="128" t="s">
        <v>398</v>
      </c>
      <c r="U25" s="128" t="s">
        <v>398</v>
      </c>
      <c r="V25" s="128" t="s">
        <v>398</v>
      </c>
      <c r="W25" s="136" t="s">
        <v>398</v>
      </c>
      <c r="X25" s="135" t="s">
        <v>398</v>
      </c>
      <c r="Y25" s="113" t="s">
        <v>398</v>
      </c>
      <c r="Z25" s="113" t="s">
        <v>398</v>
      </c>
      <c r="AA25" s="126"/>
      <c r="AB25" s="113" t="s">
        <v>399</v>
      </c>
      <c r="AC25" s="111">
        <v>14734</v>
      </c>
      <c r="AD25" s="139"/>
      <c r="AE25" s="108" t="e">
        <f t="shared" si="0"/>
        <v>#NUM!</v>
      </c>
      <c r="AF25" s="138" t="s">
        <v>477</v>
      </c>
      <c r="AG25" s="126" t="s">
        <v>401</v>
      </c>
      <c r="AH25" s="131" t="s">
        <v>402</v>
      </c>
      <c r="AI25" s="125" t="s">
        <v>455</v>
      </c>
      <c r="AJ25" s="125">
        <v>0</v>
      </c>
      <c r="AK25" s="125">
        <v>0</v>
      </c>
      <c r="AL25" s="125">
        <v>0</v>
      </c>
      <c r="AM25" s="139" t="s">
        <v>456</v>
      </c>
      <c r="AN25" s="134">
        <v>1</v>
      </c>
      <c r="AO25" s="136" t="s">
        <v>398</v>
      </c>
      <c r="AP25" s="126"/>
      <c r="AQ25" s="106"/>
      <c r="AR25" s="91"/>
      <c r="AS25" s="104"/>
      <c r="AT25" s="104"/>
      <c r="AU25" s="104"/>
      <c r="AV25" s="104"/>
      <c r="AW25" s="91"/>
      <c r="AX25" s="104"/>
      <c r="AY25" s="104"/>
      <c r="AZ25" s="104"/>
      <c r="BA25" s="104"/>
      <c r="BB25" s="91"/>
      <c r="BC25" s="104"/>
      <c r="BD25" s="104"/>
      <c r="BE25" s="104"/>
      <c r="BF25" s="104"/>
      <c r="BG25" s="91"/>
      <c r="BH25" s="104"/>
      <c r="BI25" s="104"/>
      <c r="BJ25" s="104"/>
      <c r="BK25" s="104"/>
      <c r="BL25" s="91"/>
      <c r="BM25" s="104"/>
      <c r="BN25" s="104"/>
      <c r="BO25" s="104"/>
      <c r="BP25" s="104"/>
      <c r="BQ25" s="91"/>
      <c r="BR25" s="104"/>
      <c r="BS25" s="104"/>
      <c r="BT25" s="104"/>
      <c r="BU25" s="104"/>
      <c r="BV25" s="91"/>
      <c r="BW25" s="104"/>
      <c r="BX25" s="104"/>
      <c r="BY25" s="104"/>
      <c r="BZ25" s="104"/>
      <c r="CA25" s="91"/>
      <c r="CB25" s="104"/>
      <c r="CC25" s="104"/>
      <c r="CD25" s="104"/>
      <c r="CE25" s="104"/>
      <c r="CF25" s="91"/>
      <c r="CG25" s="104"/>
      <c r="CH25" s="104"/>
      <c r="CI25" s="104"/>
      <c r="CJ25" s="104"/>
      <c r="CK25" s="91"/>
      <c r="CL25" s="104"/>
      <c r="CM25" s="104"/>
      <c r="CN25" s="104"/>
      <c r="CO25" s="104"/>
      <c r="CP25" s="91"/>
      <c r="CQ25" s="104"/>
      <c r="CR25" s="104"/>
      <c r="CS25" s="104"/>
      <c r="CT25" s="104"/>
      <c r="CU25" s="91"/>
      <c r="CV25" s="104"/>
      <c r="CW25" s="104"/>
      <c r="CX25" s="104"/>
      <c r="CY25" s="104"/>
      <c r="CZ25" s="91"/>
      <c r="DA25" s="104"/>
      <c r="DB25" s="104"/>
      <c r="DC25" s="104"/>
      <c r="DD25" s="104"/>
      <c r="DE25" s="91"/>
      <c r="DF25" s="104"/>
      <c r="DG25" s="104"/>
      <c r="DH25" s="104"/>
      <c r="DI25" s="104"/>
      <c r="DJ25" s="91"/>
      <c r="DK25" s="104"/>
      <c r="DL25" s="104"/>
      <c r="DM25" s="104"/>
      <c r="DN25" s="104"/>
      <c r="DO25" s="91"/>
      <c r="DP25" s="104"/>
      <c r="DQ25" s="104"/>
      <c r="DR25" s="104"/>
      <c r="DS25" s="104"/>
      <c r="DT25" s="91"/>
      <c r="DU25" s="104"/>
      <c r="DV25" s="104"/>
      <c r="DW25" s="104"/>
      <c r="DX25" s="104"/>
      <c r="DY25" s="91"/>
      <c r="DZ25" s="104"/>
      <c r="EA25" s="104"/>
      <c r="EB25" s="104"/>
      <c r="EC25" s="104"/>
      <c r="ED25" s="91"/>
      <c r="EE25" s="104"/>
      <c r="EF25" s="104"/>
      <c r="EG25" s="104"/>
      <c r="EH25" s="104"/>
      <c r="EI25" s="91"/>
      <c r="EJ25" s="104"/>
      <c r="EK25" s="104"/>
      <c r="EL25" s="104"/>
      <c r="EM25" s="104"/>
      <c r="EN25" s="91"/>
      <c r="EO25" s="104"/>
      <c r="EP25" s="104"/>
      <c r="EQ25" s="104"/>
      <c r="ER25" s="104"/>
      <c r="ES25" s="91"/>
      <c r="ET25" s="104"/>
      <c r="EU25" s="104"/>
      <c r="EV25" s="104"/>
      <c r="EW25" s="104"/>
      <c r="EX25" s="91"/>
      <c r="EY25" s="104"/>
      <c r="EZ25" s="104"/>
      <c r="FA25" s="104"/>
      <c r="FB25" s="104"/>
      <c r="FC25" s="91"/>
      <c r="FD25" s="104"/>
      <c r="FE25" s="104"/>
      <c r="FF25" s="104"/>
      <c r="FG25" s="104"/>
      <c r="FH25" s="91"/>
      <c r="FI25" s="104"/>
      <c r="FJ25" s="104"/>
      <c r="FK25" s="104"/>
      <c r="FL25" s="104"/>
      <c r="FM25" s="104"/>
      <c r="FN25" s="104"/>
      <c r="FO25" s="104"/>
      <c r="FP25" s="104"/>
      <c r="FQ25" s="104"/>
      <c r="FR25" s="104"/>
      <c r="FS25" s="104"/>
      <c r="FT25" s="104"/>
      <c r="FU25" s="104"/>
      <c r="FV25" s="104"/>
      <c r="FW25" s="104"/>
      <c r="FX25" s="104"/>
      <c r="FY25" s="104"/>
      <c r="FZ25" s="104"/>
      <c r="GA25" s="104"/>
      <c r="GB25" s="104"/>
      <c r="GC25" s="104"/>
      <c r="GD25" s="104"/>
      <c r="GE25" s="104"/>
      <c r="GF25" s="104"/>
      <c r="GG25" s="104"/>
      <c r="GH25" s="104"/>
      <c r="GI25" s="104"/>
      <c r="GJ25" s="104"/>
      <c r="GK25" s="104"/>
      <c r="GL25" s="104"/>
      <c r="GM25" s="104"/>
      <c r="GN25" s="104"/>
      <c r="GO25" s="104"/>
      <c r="GP25" s="91"/>
      <c r="GQ25" s="104"/>
      <c r="GR25" s="104"/>
      <c r="GS25" s="104"/>
      <c r="GT25" s="104"/>
      <c r="GU25" s="91"/>
      <c r="GV25" s="104"/>
      <c r="GW25" s="104"/>
      <c r="GX25" s="104"/>
      <c r="GY25" s="104"/>
      <c r="GZ25" s="91"/>
      <c r="HA25" s="104"/>
      <c r="HB25" s="104"/>
      <c r="HC25" s="104"/>
      <c r="HD25" s="104"/>
      <c r="HE25" s="91"/>
      <c r="HF25" s="104"/>
      <c r="HG25" s="104"/>
      <c r="HH25" s="104"/>
      <c r="HI25" s="104"/>
      <c r="HJ25" s="91"/>
      <c r="HK25" s="104"/>
      <c r="HL25" s="104"/>
      <c r="HM25" s="104"/>
      <c r="HN25" s="104"/>
      <c r="HO25" s="91"/>
      <c r="HP25" s="104"/>
      <c r="HQ25" s="104"/>
      <c r="HR25" s="104"/>
      <c r="HS25" s="104"/>
      <c r="HT25" s="91"/>
      <c r="HU25" s="104"/>
      <c r="HV25" s="104"/>
      <c r="HW25" s="104"/>
      <c r="HX25" s="104"/>
      <c r="HY25" s="91"/>
      <c r="HZ25" s="104"/>
      <c r="IA25" s="104"/>
      <c r="IB25" s="104"/>
      <c r="IC25" s="104"/>
      <c r="ID25" s="91"/>
      <c r="IE25" s="104"/>
      <c r="IF25" s="104"/>
      <c r="IG25" s="104"/>
      <c r="IH25" s="104"/>
      <c r="II25" s="91"/>
      <c r="IJ25" s="104"/>
      <c r="IK25" s="104"/>
      <c r="IL25" s="104"/>
      <c r="IM25" s="104"/>
      <c r="IN25" s="91"/>
      <c r="IO25" s="104"/>
      <c r="IP25" s="104"/>
      <c r="IQ25" s="104"/>
      <c r="IR25" s="104"/>
      <c r="IS25" s="91"/>
      <c r="IT25" s="104"/>
      <c r="IU25" s="104"/>
      <c r="IV25" s="104"/>
      <c r="IW25" s="104"/>
      <c r="IX25" s="91"/>
      <c r="IY25" s="104"/>
      <c r="IZ25" s="104"/>
      <c r="JA25" s="104"/>
      <c r="JB25" s="104"/>
      <c r="JC25" s="91"/>
      <c r="JD25" s="104"/>
      <c r="JE25" s="104"/>
      <c r="JF25" s="104"/>
      <c r="JG25" s="105"/>
      <c r="JH25" s="91"/>
      <c r="JI25" s="106"/>
      <c r="JJ25" s="104"/>
      <c r="JK25" s="104"/>
      <c r="JL25" s="105"/>
      <c r="JM25" s="95"/>
      <c r="JN25" s="107"/>
      <c r="JO25" s="79"/>
      <c r="JP25" s="106"/>
      <c r="JQ25" s="104"/>
      <c r="JR25" s="104"/>
      <c r="JS25" s="104"/>
      <c r="JT25" s="104"/>
      <c r="JU25" s="104"/>
      <c r="JV25" s="104"/>
      <c r="JW25" s="104"/>
      <c r="JX25" s="104"/>
      <c r="JY25" s="104"/>
      <c r="JZ25" s="104"/>
      <c r="KA25" s="104"/>
      <c r="KB25" s="104"/>
      <c r="KC25" s="104"/>
      <c r="KD25" s="104"/>
      <c r="KE25" s="104"/>
      <c r="KF25" s="104"/>
      <c r="KG25" s="104"/>
      <c r="KH25" s="104"/>
      <c r="KI25" s="104"/>
      <c r="KJ25" s="104"/>
      <c r="KK25" s="104"/>
      <c r="KL25" s="104"/>
      <c r="KM25" s="104"/>
      <c r="KN25" s="104"/>
      <c r="KO25" s="104"/>
      <c r="KP25" s="104"/>
      <c r="KQ25" s="104"/>
      <c r="KR25" s="104"/>
      <c r="KS25" s="104"/>
      <c r="KT25" s="104"/>
      <c r="KU25" s="104"/>
      <c r="KV25" s="104"/>
      <c r="KW25" s="104"/>
      <c r="KX25" s="104"/>
      <c r="KY25" s="104"/>
      <c r="KZ25" s="104"/>
      <c r="LA25" s="104"/>
      <c r="LB25" s="104"/>
      <c r="LC25" s="104"/>
      <c r="LD25" s="104"/>
      <c r="LE25" s="104"/>
      <c r="LF25" s="104"/>
      <c r="LG25" s="104"/>
      <c r="LH25" s="104"/>
      <c r="LI25" s="104"/>
      <c r="LJ25" s="104"/>
      <c r="LK25" s="104"/>
      <c r="LL25" s="104"/>
      <c r="LM25" s="104"/>
      <c r="LN25" s="104"/>
      <c r="LO25" s="104"/>
      <c r="LP25" s="104"/>
      <c r="LQ25" s="104"/>
      <c r="LR25" s="104"/>
      <c r="LS25" s="104"/>
      <c r="LT25" s="104"/>
      <c r="LU25" s="104"/>
      <c r="LV25" s="104"/>
      <c r="LW25" s="104"/>
      <c r="LX25" s="104"/>
      <c r="LY25" s="104"/>
      <c r="LZ25" s="104"/>
      <c r="MA25" s="104"/>
      <c r="MB25" s="104"/>
      <c r="MC25" s="104"/>
      <c r="MD25" s="104"/>
      <c r="ME25" s="104"/>
      <c r="MF25" s="104"/>
      <c r="MG25" s="104"/>
      <c r="MH25" s="104"/>
      <c r="MI25" s="104"/>
      <c r="MJ25" s="104"/>
      <c r="MK25" s="104"/>
      <c r="ML25" s="104"/>
      <c r="MM25" s="104"/>
      <c r="MN25" s="104"/>
      <c r="MO25" s="104"/>
      <c r="MP25" s="104"/>
      <c r="MQ25" s="104"/>
      <c r="MR25" s="104"/>
      <c r="MS25" s="104"/>
      <c r="MT25" s="104"/>
      <c r="MU25" s="104"/>
      <c r="MV25" s="104"/>
      <c r="MW25" s="104"/>
      <c r="MX25" s="104"/>
      <c r="MY25" s="104"/>
      <c r="MZ25" s="104"/>
      <c r="NA25" s="104"/>
      <c r="NB25" s="104"/>
      <c r="NC25" s="104"/>
      <c r="ND25" s="104"/>
      <c r="NE25" s="104"/>
      <c r="NF25" s="104"/>
      <c r="NG25" s="104"/>
      <c r="NH25" s="104"/>
      <c r="NI25" s="104"/>
      <c r="NJ25" s="104"/>
      <c r="NK25" s="104"/>
      <c r="NL25" s="104"/>
      <c r="NM25" s="104"/>
      <c r="NN25" s="104"/>
      <c r="NO25" s="104"/>
      <c r="NP25" s="104"/>
      <c r="NQ25" s="104"/>
      <c r="NR25" s="104"/>
      <c r="NS25" s="104"/>
      <c r="NT25" s="104"/>
      <c r="NU25" s="104"/>
      <c r="NV25" s="104"/>
      <c r="NW25" s="104"/>
      <c r="NX25" s="104"/>
      <c r="NY25" s="104"/>
      <c r="NZ25" s="104"/>
    </row>
    <row r="26" spans="1:390" ht="15.75" customHeight="1" x14ac:dyDescent="0.3">
      <c r="A26" s="125">
        <v>4861789125</v>
      </c>
      <c r="B26" s="159"/>
      <c r="C26" s="126"/>
      <c r="D26" s="213" t="s">
        <v>391</v>
      </c>
      <c r="E26" s="135" t="s">
        <v>478</v>
      </c>
      <c r="F26" s="125" t="s">
        <v>395</v>
      </c>
      <c r="G26" s="125" t="s">
        <v>479</v>
      </c>
      <c r="H26" s="111">
        <v>42937</v>
      </c>
      <c r="I26" s="135" t="s">
        <v>396</v>
      </c>
      <c r="J26" s="135" t="s">
        <v>397</v>
      </c>
      <c r="K26" s="128" t="s">
        <v>398</v>
      </c>
      <c r="L26" s="128" t="s">
        <v>398</v>
      </c>
      <c r="M26" s="128" t="s">
        <v>398</v>
      </c>
      <c r="N26" s="128" t="s">
        <v>398</v>
      </c>
      <c r="O26" s="128" t="s">
        <v>398</v>
      </c>
      <c r="P26" s="128" t="s">
        <v>398</v>
      </c>
      <c r="Q26" s="128" t="s">
        <v>398</v>
      </c>
      <c r="R26" s="128" t="s">
        <v>398</v>
      </c>
      <c r="S26" s="128" t="s">
        <v>398</v>
      </c>
      <c r="T26" s="128" t="s">
        <v>398</v>
      </c>
      <c r="U26" s="128" t="s">
        <v>398</v>
      </c>
      <c r="V26" s="128" t="s">
        <v>398</v>
      </c>
      <c r="W26" s="136" t="s">
        <v>398</v>
      </c>
      <c r="X26" s="135" t="s">
        <v>398</v>
      </c>
      <c r="Y26" s="113" t="s">
        <v>398</v>
      </c>
      <c r="Z26" s="113" t="s">
        <v>398</v>
      </c>
      <c r="AA26" s="126"/>
      <c r="AB26" s="113" t="s">
        <v>399</v>
      </c>
      <c r="AC26" s="111">
        <v>22500</v>
      </c>
      <c r="AD26" s="139"/>
      <c r="AE26" s="108" t="e">
        <f t="shared" si="0"/>
        <v>#NUM!</v>
      </c>
      <c r="AF26" s="138" t="s">
        <v>411</v>
      </c>
      <c r="AG26" s="126" t="s">
        <v>401</v>
      </c>
      <c r="AH26" s="131" t="s">
        <v>402</v>
      </c>
      <c r="AI26" s="125" t="s">
        <v>455</v>
      </c>
      <c r="AJ26" s="125">
        <v>0</v>
      </c>
      <c r="AK26" s="125">
        <v>0</v>
      </c>
      <c r="AL26" s="125">
        <v>0</v>
      </c>
      <c r="AM26" s="139" t="s">
        <v>456</v>
      </c>
      <c r="AN26" s="134">
        <v>1</v>
      </c>
      <c r="AO26" s="136" t="s">
        <v>398</v>
      </c>
      <c r="AP26" s="126"/>
      <c r="AQ26" s="106"/>
      <c r="AR26" s="91"/>
      <c r="AS26" s="104"/>
      <c r="AT26" s="104"/>
      <c r="AU26" s="104"/>
      <c r="AV26" s="104"/>
      <c r="AW26" s="91"/>
      <c r="AX26" s="104"/>
      <c r="AY26" s="104"/>
      <c r="AZ26" s="104"/>
      <c r="BA26" s="104"/>
      <c r="BB26" s="91"/>
      <c r="BC26" s="104"/>
      <c r="BD26" s="104"/>
      <c r="BE26" s="104"/>
      <c r="BF26" s="104"/>
      <c r="BG26" s="91"/>
      <c r="BH26" s="104"/>
      <c r="BI26" s="104"/>
      <c r="BJ26" s="104"/>
      <c r="BK26" s="104"/>
      <c r="BL26" s="91"/>
      <c r="BM26" s="104"/>
      <c r="BN26" s="104"/>
      <c r="BO26" s="104"/>
      <c r="BP26" s="104"/>
      <c r="BQ26" s="91"/>
      <c r="BR26" s="104"/>
      <c r="BS26" s="104"/>
      <c r="BT26" s="104"/>
      <c r="BU26" s="104"/>
      <c r="BV26" s="91"/>
      <c r="BW26" s="104"/>
      <c r="BX26" s="104"/>
      <c r="BY26" s="104"/>
      <c r="BZ26" s="104"/>
      <c r="CA26" s="91"/>
      <c r="CB26" s="104"/>
      <c r="CC26" s="104"/>
      <c r="CD26" s="104"/>
      <c r="CE26" s="104"/>
      <c r="CF26" s="91"/>
      <c r="CG26" s="104"/>
      <c r="CH26" s="104"/>
      <c r="CI26" s="104"/>
      <c r="CJ26" s="104"/>
      <c r="CK26" s="91"/>
      <c r="CL26" s="104"/>
      <c r="CM26" s="104"/>
      <c r="CN26" s="104"/>
      <c r="CO26" s="104"/>
      <c r="CP26" s="91"/>
      <c r="CQ26" s="104"/>
      <c r="CR26" s="104"/>
      <c r="CS26" s="104"/>
      <c r="CT26" s="104"/>
      <c r="CU26" s="91"/>
      <c r="CV26" s="104"/>
      <c r="CW26" s="104"/>
      <c r="CX26" s="104"/>
      <c r="CY26" s="104"/>
      <c r="CZ26" s="91"/>
      <c r="DA26" s="104"/>
      <c r="DB26" s="104"/>
      <c r="DC26" s="104"/>
      <c r="DD26" s="104"/>
      <c r="DE26" s="91"/>
      <c r="DF26" s="104"/>
      <c r="DG26" s="104"/>
      <c r="DH26" s="104"/>
      <c r="DI26" s="104"/>
      <c r="DJ26" s="91"/>
      <c r="DK26" s="104"/>
      <c r="DL26" s="104"/>
      <c r="DM26" s="104"/>
      <c r="DN26" s="104"/>
      <c r="DO26" s="91"/>
      <c r="DP26" s="104"/>
      <c r="DQ26" s="104"/>
      <c r="DR26" s="104"/>
      <c r="DS26" s="104"/>
      <c r="DT26" s="91"/>
      <c r="DU26" s="104"/>
      <c r="DV26" s="104"/>
      <c r="DW26" s="104"/>
      <c r="DX26" s="104"/>
      <c r="DY26" s="91"/>
      <c r="DZ26" s="104"/>
      <c r="EA26" s="104"/>
      <c r="EB26" s="104"/>
      <c r="EC26" s="104"/>
      <c r="ED26" s="91"/>
      <c r="EE26" s="104"/>
      <c r="EF26" s="104"/>
      <c r="EG26" s="104"/>
      <c r="EH26" s="104"/>
      <c r="EI26" s="91"/>
      <c r="EJ26" s="104"/>
      <c r="EK26" s="104"/>
      <c r="EL26" s="104"/>
      <c r="EM26" s="104"/>
      <c r="EN26" s="91"/>
      <c r="EO26" s="104"/>
      <c r="EP26" s="104"/>
      <c r="EQ26" s="104"/>
      <c r="ER26" s="104"/>
      <c r="ES26" s="91"/>
      <c r="ET26" s="104"/>
      <c r="EU26" s="104"/>
      <c r="EV26" s="104"/>
      <c r="EW26" s="104"/>
      <c r="EX26" s="91"/>
      <c r="EY26" s="104"/>
      <c r="EZ26" s="104"/>
      <c r="FA26" s="104"/>
      <c r="FB26" s="104"/>
      <c r="FC26" s="91"/>
      <c r="FD26" s="104"/>
      <c r="FE26" s="104"/>
      <c r="FF26" s="104"/>
      <c r="FG26" s="104"/>
      <c r="FH26" s="91"/>
      <c r="FI26" s="104"/>
      <c r="FJ26" s="104"/>
      <c r="FK26" s="104"/>
      <c r="FL26" s="104"/>
      <c r="FM26" s="104"/>
      <c r="FN26" s="104"/>
      <c r="FO26" s="104"/>
      <c r="FP26" s="104"/>
      <c r="FQ26" s="104"/>
      <c r="FR26" s="104"/>
      <c r="FS26" s="104"/>
      <c r="FT26" s="104"/>
      <c r="FU26" s="104"/>
      <c r="FV26" s="104"/>
      <c r="FW26" s="104"/>
      <c r="FX26" s="104"/>
      <c r="FY26" s="104"/>
      <c r="FZ26" s="104"/>
      <c r="GA26" s="104"/>
      <c r="GB26" s="104"/>
      <c r="GC26" s="104"/>
      <c r="GD26" s="104"/>
      <c r="GE26" s="104"/>
      <c r="GF26" s="104"/>
      <c r="GG26" s="104"/>
      <c r="GH26" s="104"/>
      <c r="GI26" s="104"/>
      <c r="GJ26" s="104"/>
      <c r="GK26" s="104"/>
      <c r="GL26" s="104"/>
      <c r="GM26" s="104"/>
      <c r="GN26" s="104"/>
      <c r="GO26" s="104"/>
      <c r="GP26" s="91"/>
      <c r="GQ26" s="104"/>
      <c r="GR26" s="104"/>
      <c r="GS26" s="104"/>
      <c r="GT26" s="104"/>
      <c r="GU26" s="91"/>
      <c r="GV26" s="104"/>
      <c r="GW26" s="104"/>
      <c r="GX26" s="104"/>
      <c r="GY26" s="104"/>
      <c r="GZ26" s="91"/>
      <c r="HA26" s="104"/>
      <c r="HB26" s="104"/>
      <c r="HC26" s="104"/>
      <c r="HD26" s="104"/>
      <c r="HE26" s="91"/>
      <c r="HF26" s="104"/>
      <c r="HG26" s="104"/>
      <c r="HH26" s="104"/>
      <c r="HI26" s="104"/>
      <c r="HJ26" s="91"/>
      <c r="HK26" s="104"/>
      <c r="HL26" s="104"/>
      <c r="HM26" s="104"/>
      <c r="HN26" s="104"/>
      <c r="HO26" s="91"/>
      <c r="HP26" s="104"/>
      <c r="HQ26" s="104"/>
      <c r="HR26" s="104"/>
      <c r="HS26" s="104"/>
      <c r="HT26" s="91"/>
      <c r="HU26" s="104"/>
      <c r="HV26" s="104"/>
      <c r="HW26" s="104"/>
      <c r="HX26" s="104"/>
      <c r="HY26" s="91"/>
      <c r="HZ26" s="104"/>
      <c r="IA26" s="104"/>
      <c r="IB26" s="104"/>
      <c r="IC26" s="104"/>
      <c r="ID26" s="91"/>
      <c r="IE26" s="104"/>
      <c r="IF26" s="104"/>
      <c r="IG26" s="104"/>
      <c r="IH26" s="104"/>
      <c r="II26" s="91"/>
      <c r="IJ26" s="104"/>
      <c r="IK26" s="104"/>
      <c r="IL26" s="104"/>
      <c r="IM26" s="104"/>
      <c r="IN26" s="91"/>
      <c r="IO26" s="104"/>
      <c r="IP26" s="104"/>
      <c r="IQ26" s="104"/>
      <c r="IR26" s="104"/>
      <c r="IS26" s="91"/>
      <c r="IT26" s="104"/>
      <c r="IU26" s="104"/>
      <c r="IV26" s="104"/>
      <c r="IW26" s="104"/>
      <c r="IX26" s="91"/>
      <c r="IY26" s="104"/>
      <c r="IZ26" s="104"/>
      <c r="JA26" s="104"/>
      <c r="JB26" s="104"/>
      <c r="JC26" s="91"/>
      <c r="JD26" s="104"/>
      <c r="JE26" s="104"/>
      <c r="JF26" s="104"/>
      <c r="JG26" s="105"/>
      <c r="JH26" s="91"/>
      <c r="JI26" s="106"/>
      <c r="JJ26" s="104"/>
      <c r="JK26" s="104"/>
      <c r="JL26" s="105"/>
      <c r="JM26" s="95"/>
      <c r="JN26" s="107"/>
      <c r="JO26" s="79"/>
      <c r="JP26" s="106"/>
      <c r="JQ26" s="104"/>
      <c r="JR26" s="104"/>
      <c r="JS26" s="104"/>
      <c r="JT26" s="104"/>
      <c r="JU26" s="104"/>
      <c r="JV26" s="104"/>
      <c r="JW26" s="104"/>
      <c r="JX26" s="104"/>
      <c r="JY26" s="104"/>
      <c r="JZ26" s="104"/>
      <c r="KA26" s="104"/>
      <c r="KB26" s="104"/>
      <c r="KC26" s="104"/>
      <c r="KD26" s="104"/>
      <c r="KE26" s="104"/>
      <c r="KF26" s="104"/>
      <c r="KG26" s="104"/>
      <c r="KH26" s="104"/>
      <c r="KI26" s="104"/>
      <c r="KJ26" s="104"/>
      <c r="KK26" s="104"/>
      <c r="KL26" s="104"/>
      <c r="KM26" s="104"/>
      <c r="KN26" s="104"/>
      <c r="KO26" s="104"/>
      <c r="KP26" s="104"/>
      <c r="KQ26" s="104"/>
      <c r="KR26" s="104"/>
      <c r="KS26" s="104"/>
      <c r="KT26" s="104"/>
      <c r="KU26" s="104"/>
      <c r="KV26" s="104"/>
      <c r="KW26" s="104"/>
      <c r="KX26" s="104"/>
      <c r="KY26" s="104"/>
      <c r="KZ26" s="104"/>
      <c r="LA26" s="104"/>
      <c r="LB26" s="104"/>
      <c r="LC26" s="104"/>
      <c r="LD26" s="104"/>
      <c r="LE26" s="104"/>
      <c r="LF26" s="104"/>
      <c r="LG26" s="104"/>
      <c r="LH26" s="104"/>
      <c r="LI26" s="104"/>
      <c r="LJ26" s="104"/>
      <c r="LK26" s="104"/>
      <c r="LL26" s="104"/>
      <c r="LM26" s="104"/>
      <c r="LN26" s="104"/>
      <c r="LO26" s="104"/>
      <c r="LP26" s="104"/>
      <c r="LQ26" s="104"/>
      <c r="LR26" s="104"/>
      <c r="LS26" s="104"/>
      <c r="LT26" s="104"/>
      <c r="LU26" s="104"/>
      <c r="LV26" s="104"/>
      <c r="LW26" s="104"/>
      <c r="LX26" s="104"/>
      <c r="LY26" s="104"/>
      <c r="LZ26" s="104"/>
      <c r="MA26" s="104"/>
      <c r="MB26" s="104"/>
      <c r="MC26" s="104"/>
      <c r="MD26" s="104"/>
      <c r="ME26" s="104"/>
      <c r="MF26" s="104"/>
      <c r="MG26" s="104"/>
      <c r="MH26" s="104"/>
      <c r="MI26" s="104"/>
      <c r="MJ26" s="104"/>
      <c r="MK26" s="104"/>
      <c r="ML26" s="104"/>
      <c r="MM26" s="104"/>
      <c r="MN26" s="104"/>
      <c r="MO26" s="104"/>
      <c r="MP26" s="104"/>
      <c r="MQ26" s="104"/>
      <c r="MR26" s="104"/>
      <c r="MS26" s="104"/>
      <c r="MT26" s="104"/>
      <c r="MU26" s="104"/>
      <c r="MV26" s="104"/>
      <c r="MW26" s="104"/>
      <c r="MX26" s="104"/>
      <c r="MY26" s="104"/>
      <c r="MZ26" s="104"/>
      <c r="NA26" s="104"/>
      <c r="NB26" s="104"/>
      <c r="NC26" s="104"/>
      <c r="ND26" s="104"/>
      <c r="NE26" s="104"/>
      <c r="NF26" s="104"/>
      <c r="NG26" s="104"/>
      <c r="NH26" s="104"/>
      <c r="NI26" s="104"/>
      <c r="NJ26" s="104"/>
      <c r="NK26" s="104"/>
      <c r="NL26" s="104"/>
      <c r="NM26" s="104"/>
      <c r="NN26" s="104"/>
      <c r="NO26" s="104"/>
      <c r="NP26" s="104"/>
      <c r="NQ26" s="104"/>
      <c r="NR26" s="104"/>
      <c r="NS26" s="104"/>
      <c r="NT26" s="104"/>
      <c r="NU26" s="104"/>
      <c r="NV26" s="104"/>
      <c r="NW26" s="104"/>
      <c r="NX26" s="104"/>
      <c r="NY26" s="104"/>
      <c r="NZ26" s="104"/>
    </row>
    <row r="27" spans="1:390" ht="15.75" customHeight="1" x14ac:dyDescent="0.3">
      <c r="A27" s="125">
        <v>4520776414</v>
      </c>
      <c r="B27" s="159"/>
      <c r="C27" s="126"/>
      <c r="D27" s="213" t="s">
        <v>391</v>
      </c>
      <c r="E27" s="135" t="s">
        <v>480</v>
      </c>
      <c r="F27" s="125" t="s">
        <v>422</v>
      </c>
      <c r="G27" s="135" t="s">
        <v>398</v>
      </c>
      <c r="H27" s="111">
        <v>42948</v>
      </c>
      <c r="I27" s="135" t="s">
        <v>458</v>
      </c>
      <c r="J27" s="135" t="s">
        <v>397</v>
      </c>
      <c r="K27" s="128" t="s">
        <v>398</v>
      </c>
      <c r="L27" s="128" t="s">
        <v>398</v>
      </c>
      <c r="M27" s="128" t="s">
        <v>398</v>
      </c>
      <c r="N27" s="128" t="s">
        <v>398</v>
      </c>
      <c r="O27" s="128" t="s">
        <v>398</v>
      </c>
      <c r="P27" s="128" t="s">
        <v>398</v>
      </c>
      <c r="Q27" s="128" t="s">
        <v>398</v>
      </c>
      <c r="R27" s="128" t="s">
        <v>398</v>
      </c>
      <c r="S27" s="128" t="s">
        <v>398</v>
      </c>
      <c r="T27" s="128" t="s">
        <v>398</v>
      </c>
      <c r="U27" s="128" t="s">
        <v>398</v>
      </c>
      <c r="V27" s="128" t="s">
        <v>398</v>
      </c>
      <c r="W27" s="136" t="s">
        <v>398</v>
      </c>
      <c r="X27" s="135" t="s">
        <v>398</v>
      </c>
      <c r="Y27" s="113" t="s">
        <v>398</v>
      </c>
      <c r="Z27" s="113" t="s">
        <v>398</v>
      </c>
      <c r="AA27" s="126"/>
      <c r="AB27" s="113" t="s">
        <v>399</v>
      </c>
      <c r="AC27" s="111">
        <v>19253</v>
      </c>
      <c r="AD27" s="139"/>
      <c r="AE27" s="108" t="e">
        <f t="shared" si="0"/>
        <v>#NUM!</v>
      </c>
      <c r="AF27" s="138" t="s">
        <v>411</v>
      </c>
      <c r="AG27" s="126" t="s">
        <v>401</v>
      </c>
      <c r="AH27" s="131" t="s">
        <v>402</v>
      </c>
      <c r="AI27" s="125" t="s">
        <v>412</v>
      </c>
      <c r="AJ27" s="125">
        <v>0</v>
      </c>
      <c r="AK27" s="125">
        <v>0</v>
      </c>
      <c r="AL27" s="125">
        <v>0</v>
      </c>
      <c r="AM27" s="139" t="s">
        <v>414</v>
      </c>
      <c r="AN27" s="134">
        <v>1</v>
      </c>
      <c r="AO27" s="136" t="s">
        <v>398</v>
      </c>
      <c r="AP27" s="126"/>
      <c r="AQ27" s="106"/>
      <c r="AR27" s="91"/>
      <c r="AS27" s="104"/>
      <c r="AT27" s="104"/>
      <c r="AU27" s="104"/>
      <c r="AV27" s="104"/>
      <c r="AW27" s="91"/>
      <c r="AX27" s="104"/>
      <c r="AY27" s="104"/>
      <c r="AZ27" s="104"/>
      <c r="BA27" s="104"/>
      <c r="BB27" s="91"/>
      <c r="BC27" s="104"/>
      <c r="BD27" s="104"/>
      <c r="BE27" s="104"/>
      <c r="BF27" s="104"/>
      <c r="BG27" s="91"/>
      <c r="BH27" s="104"/>
      <c r="BI27" s="104"/>
      <c r="BJ27" s="104"/>
      <c r="BK27" s="104"/>
      <c r="BL27" s="91"/>
      <c r="BM27" s="104"/>
      <c r="BN27" s="104"/>
      <c r="BO27" s="104"/>
      <c r="BP27" s="104"/>
      <c r="BQ27" s="91"/>
      <c r="BR27" s="104"/>
      <c r="BS27" s="104"/>
      <c r="BT27" s="104"/>
      <c r="BU27" s="104"/>
      <c r="BV27" s="91"/>
      <c r="BW27" s="104"/>
      <c r="BX27" s="104"/>
      <c r="BY27" s="104"/>
      <c r="BZ27" s="104"/>
      <c r="CA27" s="91"/>
      <c r="CB27" s="104"/>
      <c r="CC27" s="104"/>
      <c r="CD27" s="104"/>
      <c r="CE27" s="104"/>
      <c r="CF27" s="91"/>
      <c r="CG27" s="104"/>
      <c r="CH27" s="104"/>
      <c r="CI27" s="104"/>
      <c r="CJ27" s="104"/>
      <c r="CK27" s="91"/>
      <c r="CL27" s="104"/>
      <c r="CM27" s="104"/>
      <c r="CN27" s="104"/>
      <c r="CO27" s="104"/>
      <c r="CP27" s="91"/>
      <c r="CQ27" s="104"/>
      <c r="CR27" s="104"/>
      <c r="CS27" s="104"/>
      <c r="CT27" s="104"/>
      <c r="CU27" s="91"/>
      <c r="CV27" s="104"/>
      <c r="CW27" s="104"/>
      <c r="CX27" s="104"/>
      <c r="CY27" s="104"/>
      <c r="CZ27" s="91"/>
      <c r="DA27" s="104"/>
      <c r="DB27" s="104"/>
      <c r="DC27" s="104"/>
      <c r="DD27" s="104"/>
      <c r="DE27" s="91"/>
      <c r="DF27" s="104"/>
      <c r="DG27" s="104"/>
      <c r="DH27" s="104"/>
      <c r="DI27" s="104"/>
      <c r="DJ27" s="91"/>
      <c r="DK27" s="104"/>
      <c r="DL27" s="104"/>
      <c r="DM27" s="104"/>
      <c r="DN27" s="104"/>
      <c r="DO27" s="91"/>
      <c r="DP27" s="104"/>
      <c r="DQ27" s="104"/>
      <c r="DR27" s="104"/>
      <c r="DS27" s="104"/>
      <c r="DT27" s="91"/>
      <c r="DU27" s="104"/>
      <c r="DV27" s="104"/>
      <c r="DW27" s="104"/>
      <c r="DX27" s="104"/>
      <c r="DY27" s="91"/>
      <c r="DZ27" s="104"/>
      <c r="EA27" s="104"/>
      <c r="EB27" s="104"/>
      <c r="EC27" s="104"/>
      <c r="ED27" s="91"/>
      <c r="EE27" s="104"/>
      <c r="EF27" s="104"/>
      <c r="EG27" s="104"/>
      <c r="EH27" s="104"/>
      <c r="EI27" s="91"/>
      <c r="EJ27" s="104"/>
      <c r="EK27" s="104"/>
      <c r="EL27" s="104"/>
      <c r="EM27" s="104"/>
      <c r="EN27" s="91"/>
      <c r="EO27" s="104"/>
      <c r="EP27" s="104"/>
      <c r="EQ27" s="104"/>
      <c r="ER27" s="104"/>
      <c r="ES27" s="91"/>
      <c r="ET27" s="104"/>
      <c r="EU27" s="104"/>
      <c r="EV27" s="104"/>
      <c r="EW27" s="104"/>
      <c r="EX27" s="91"/>
      <c r="EY27" s="104"/>
      <c r="EZ27" s="104"/>
      <c r="FA27" s="104"/>
      <c r="FB27" s="104"/>
      <c r="FC27" s="91"/>
      <c r="FD27" s="104"/>
      <c r="FE27" s="104"/>
      <c r="FF27" s="104"/>
      <c r="FG27" s="104"/>
      <c r="FH27" s="91"/>
      <c r="FI27" s="104"/>
      <c r="FJ27" s="104"/>
      <c r="FK27" s="104"/>
      <c r="FL27" s="104"/>
      <c r="FM27" s="104"/>
      <c r="FN27" s="104"/>
      <c r="FO27" s="104"/>
      <c r="FP27" s="104"/>
      <c r="FQ27" s="104"/>
      <c r="FR27" s="104"/>
      <c r="FS27" s="104"/>
      <c r="FT27" s="104"/>
      <c r="FU27" s="104"/>
      <c r="FV27" s="104"/>
      <c r="FW27" s="104"/>
      <c r="FX27" s="104"/>
      <c r="FY27" s="104"/>
      <c r="FZ27" s="104"/>
      <c r="GA27" s="104"/>
      <c r="GB27" s="104"/>
      <c r="GC27" s="104"/>
      <c r="GD27" s="104"/>
      <c r="GE27" s="104"/>
      <c r="GF27" s="104"/>
      <c r="GG27" s="104"/>
      <c r="GH27" s="104"/>
      <c r="GI27" s="104"/>
      <c r="GJ27" s="104"/>
      <c r="GK27" s="104"/>
      <c r="GL27" s="104"/>
      <c r="GM27" s="104"/>
      <c r="GN27" s="104"/>
      <c r="GO27" s="104"/>
      <c r="GP27" s="91"/>
      <c r="GQ27" s="104"/>
      <c r="GR27" s="104"/>
      <c r="GS27" s="104"/>
      <c r="GT27" s="104"/>
      <c r="GU27" s="91"/>
      <c r="GV27" s="104"/>
      <c r="GW27" s="104"/>
      <c r="GX27" s="104"/>
      <c r="GY27" s="104"/>
      <c r="GZ27" s="91"/>
      <c r="HA27" s="104"/>
      <c r="HB27" s="104"/>
      <c r="HC27" s="104"/>
      <c r="HD27" s="104"/>
      <c r="HE27" s="91"/>
      <c r="HF27" s="104"/>
      <c r="HG27" s="104"/>
      <c r="HH27" s="104"/>
      <c r="HI27" s="104"/>
      <c r="HJ27" s="91"/>
      <c r="HK27" s="104"/>
      <c r="HL27" s="104"/>
      <c r="HM27" s="104"/>
      <c r="HN27" s="104"/>
      <c r="HO27" s="91"/>
      <c r="HP27" s="104"/>
      <c r="HQ27" s="104"/>
      <c r="HR27" s="104"/>
      <c r="HS27" s="104"/>
      <c r="HT27" s="91"/>
      <c r="HU27" s="104"/>
      <c r="HV27" s="104"/>
      <c r="HW27" s="104"/>
      <c r="HX27" s="104"/>
      <c r="HY27" s="91"/>
      <c r="HZ27" s="104"/>
      <c r="IA27" s="104"/>
      <c r="IB27" s="104"/>
      <c r="IC27" s="104"/>
      <c r="ID27" s="91"/>
      <c r="IE27" s="104"/>
      <c r="IF27" s="104"/>
      <c r="IG27" s="104"/>
      <c r="IH27" s="104"/>
      <c r="II27" s="91"/>
      <c r="IJ27" s="104"/>
      <c r="IK27" s="104"/>
      <c r="IL27" s="104"/>
      <c r="IM27" s="104"/>
      <c r="IN27" s="91"/>
      <c r="IO27" s="104"/>
      <c r="IP27" s="104"/>
      <c r="IQ27" s="104"/>
      <c r="IR27" s="104"/>
      <c r="IS27" s="91"/>
      <c r="IT27" s="104"/>
      <c r="IU27" s="104"/>
      <c r="IV27" s="104"/>
      <c r="IW27" s="104"/>
      <c r="IX27" s="91"/>
      <c r="IY27" s="104"/>
      <c r="IZ27" s="104"/>
      <c r="JA27" s="104"/>
      <c r="JB27" s="104"/>
      <c r="JC27" s="91"/>
      <c r="JD27" s="104"/>
      <c r="JE27" s="104"/>
      <c r="JF27" s="104"/>
      <c r="JG27" s="105"/>
      <c r="JH27" s="91"/>
      <c r="JI27" s="106"/>
      <c r="JJ27" s="104"/>
      <c r="JK27" s="104"/>
      <c r="JL27" s="105"/>
      <c r="JM27" s="95"/>
      <c r="JN27" s="107"/>
      <c r="JO27" s="79"/>
      <c r="JP27" s="106"/>
      <c r="JQ27" s="104"/>
      <c r="JR27" s="104"/>
      <c r="JS27" s="104"/>
      <c r="JT27" s="104"/>
      <c r="JU27" s="104"/>
      <c r="JV27" s="104"/>
      <c r="JW27" s="104"/>
      <c r="JX27" s="104"/>
      <c r="JY27" s="104"/>
      <c r="JZ27" s="104"/>
      <c r="KA27" s="104"/>
      <c r="KB27" s="104"/>
      <c r="KC27" s="104"/>
      <c r="KD27" s="104"/>
      <c r="KE27" s="104"/>
      <c r="KF27" s="104"/>
      <c r="KG27" s="104"/>
      <c r="KH27" s="104"/>
      <c r="KI27" s="104"/>
      <c r="KJ27" s="104"/>
      <c r="KK27" s="104"/>
      <c r="KL27" s="104"/>
      <c r="KM27" s="104"/>
      <c r="KN27" s="104"/>
      <c r="KO27" s="104"/>
      <c r="KP27" s="104"/>
      <c r="KQ27" s="104"/>
      <c r="KR27" s="104"/>
      <c r="KS27" s="104"/>
      <c r="KT27" s="104"/>
      <c r="KU27" s="104"/>
      <c r="KV27" s="104"/>
      <c r="KW27" s="104"/>
      <c r="KX27" s="104"/>
      <c r="KY27" s="104"/>
      <c r="KZ27" s="104"/>
      <c r="LA27" s="104"/>
      <c r="LB27" s="104"/>
      <c r="LC27" s="104"/>
      <c r="LD27" s="104"/>
      <c r="LE27" s="104"/>
      <c r="LF27" s="104"/>
      <c r="LG27" s="104"/>
      <c r="LH27" s="104"/>
      <c r="LI27" s="104"/>
      <c r="LJ27" s="104"/>
      <c r="LK27" s="104"/>
      <c r="LL27" s="104"/>
      <c r="LM27" s="104"/>
      <c r="LN27" s="104"/>
      <c r="LO27" s="104"/>
      <c r="LP27" s="104"/>
      <c r="LQ27" s="104"/>
      <c r="LR27" s="104"/>
      <c r="LS27" s="104"/>
      <c r="LT27" s="104"/>
      <c r="LU27" s="104"/>
      <c r="LV27" s="104"/>
      <c r="LW27" s="104"/>
      <c r="LX27" s="104"/>
      <c r="LY27" s="104"/>
      <c r="LZ27" s="104"/>
      <c r="MA27" s="104"/>
      <c r="MB27" s="104"/>
      <c r="MC27" s="104"/>
      <c r="MD27" s="104"/>
      <c r="ME27" s="104"/>
      <c r="MF27" s="104"/>
      <c r="MG27" s="104"/>
      <c r="MH27" s="104"/>
      <c r="MI27" s="104"/>
      <c r="MJ27" s="104"/>
      <c r="MK27" s="104"/>
      <c r="ML27" s="104"/>
      <c r="MM27" s="104"/>
      <c r="MN27" s="104"/>
      <c r="MO27" s="104"/>
      <c r="MP27" s="104"/>
      <c r="MQ27" s="104"/>
      <c r="MR27" s="104"/>
      <c r="MS27" s="104"/>
      <c r="MT27" s="104"/>
      <c r="MU27" s="104"/>
      <c r="MV27" s="104"/>
      <c r="MW27" s="104"/>
      <c r="MX27" s="104"/>
      <c r="MY27" s="104"/>
      <c r="MZ27" s="104"/>
      <c r="NA27" s="104"/>
      <c r="NB27" s="104"/>
      <c r="NC27" s="104"/>
      <c r="ND27" s="104"/>
      <c r="NE27" s="104"/>
      <c r="NF27" s="104"/>
      <c r="NG27" s="104"/>
      <c r="NH27" s="104"/>
      <c r="NI27" s="104"/>
      <c r="NJ27" s="104"/>
      <c r="NK27" s="104"/>
      <c r="NL27" s="104"/>
      <c r="NM27" s="104"/>
      <c r="NN27" s="104"/>
      <c r="NO27" s="104"/>
      <c r="NP27" s="104"/>
      <c r="NQ27" s="104"/>
      <c r="NR27" s="104"/>
      <c r="NS27" s="104"/>
      <c r="NT27" s="104"/>
      <c r="NU27" s="104"/>
      <c r="NV27" s="104"/>
      <c r="NW27" s="104"/>
      <c r="NX27" s="104"/>
      <c r="NY27" s="104"/>
      <c r="NZ27" s="104"/>
    </row>
    <row r="28" spans="1:390" ht="15.75" customHeight="1" x14ac:dyDescent="0.3">
      <c r="A28" s="125">
        <v>4582803245</v>
      </c>
      <c r="B28" s="159"/>
      <c r="C28" s="126"/>
      <c r="D28" s="213" t="s">
        <v>391</v>
      </c>
      <c r="E28" s="135" t="s">
        <v>481</v>
      </c>
      <c r="F28" s="125">
        <v>6</v>
      </c>
      <c r="G28" s="125">
        <v>7</v>
      </c>
      <c r="H28" s="111">
        <v>42950</v>
      </c>
      <c r="I28" s="135" t="s">
        <v>466</v>
      </c>
      <c r="J28" s="135" t="s">
        <v>397</v>
      </c>
      <c r="K28" s="128" t="s">
        <v>398</v>
      </c>
      <c r="L28" s="128" t="s">
        <v>398</v>
      </c>
      <c r="M28" s="128" t="s">
        <v>398</v>
      </c>
      <c r="N28" s="128" t="s">
        <v>398</v>
      </c>
      <c r="O28" s="128" t="s">
        <v>398</v>
      </c>
      <c r="P28" s="128" t="s">
        <v>398</v>
      </c>
      <c r="Q28" s="128" t="s">
        <v>398</v>
      </c>
      <c r="R28" s="128" t="s">
        <v>398</v>
      </c>
      <c r="S28" s="128" t="s">
        <v>398</v>
      </c>
      <c r="T28" s="128" t="s">
        <v>398</v>
      </c>
      <c r="U28" s="128" t="s">
        <v>398</v>
      </c>
      <c r="V28" s="128" t="s">
        <v>398</v>
      </c>
      <c r="W28" s="136" t="s">
        <v>398</v>
      </c>
      <c r="X28" s="135" t="s">
        <v>398</v>
      </c>
      <c r="Y28" s="113" t="s">
        <v>398</v>
      </c>
      <c r="Z28" s="113" t="s">
        <v>398</v>
      </c>
      <c r="AA28" s="126"/>
      <c r="AB28" s="113" t="s">
        <v>399</v>
      </c>
      <c r="AC28" s="111">
        <v>20209</v>
      </c>
      <c r="AD28" s="139"/>
      <c r="AE28" s="108" t="e">
        <f t="shared" si="0"/>
        <v>#NUM!</v>
      </c>
      <c r="AF28" s="138" t="s">
        <v>477</v>
      </c>
      <c r="AG28" s="126" t="s">
        <v>401</v>
      </c>
      <c r="AH28" s="131" t="s">
        <v>444</v>
      </c>
      <c r="AI28" s="125">
        <v>2</v>
      </c>
      <c r="AJ28" s="125">
        <v>0</v>
      </c>
      <c r="AK28" s="125">
        <v>0</v>
      </c>
      <c r="AL28" s="125">
        <v>0</v>
      </c>
      <c r="AM28" s="139" t="s">
        <v>424</v>
      </c>
      <c r="AN28" s="134">
        <v>2</v>
      </c>
      <c r="AO28" s="136" t="s">
        <v>398</v>
      </c>
      <c r="AP28" s="126"/>
      <c r="AQ28" s="106"/>
      <c r="AR28" s="91"/>
      <c r="AS28" s="104"/>
      <c r="AT28" s="104"/>
      <c r="AU28" s="104"/>
      <c r="AV28" s="104"/>
      <c r="AW28" s="91"/>
      <c r="AX28" s="104"/>
      <c r="AY28" s="104"/>
      <c r="AZ28" s="104"/>
      <c r="BA28" s="104"/>
      <c r="BB28" s="91"/>
      <c r="BC28" s="104"/>
      <c r="BD28" s="104"/>
      <c r="BE28" s="104"/>
      <c r="BF28" s="104"/>
      <c r="BG28" s="91"/>
      <c r="BH28" s="104"/>
      <c r="BI28" s="104"/>
      <c r="BJ28" s="104"/>
      <c r="BK28" s="104"/>
      <c r="BL28" s="91"/>
      <c r="BM28" s="104"/>
      <c r="BN28" s="104"/>
      <c r="BO28" s="104"/>
      <c r="BP28" s="104"/>
      <c r="BQ28" s="91"/>
      <c r="BR28" s="104"/>
      <c r="BS28" s="104"/>
      <c r="BT28" s="104"/>
      <c r="BU28" s="104"/>
      <c r="BV28" s="91"/>
      <c r="BW28" s="104"/>
      <c r="BX28" s="104"/>
      <c r="BY28" s="104"/>
      <c r="BZ28" s="104"/>
      <c r="CA28" s="91"/>
      <c r="CB28" s="104"/>
      <c r="CC28" s="104"/>
      <c r="CD28" s="104"/>
      <c r="CE28" s="104"/>
      <c r="CF28" s="91"/>
      <c r="CG28" s="104"/>
      <c r="CH28" s="104"/>
      <c r="CI28" s="104"/>
      <c r="CJ28" s="104"/>
      <c r="CK28" s="91"/>
      <c r="CL28" s="104"/>
      <c r="CM28" s="104"/>
      <c r="CN28" s="104"/>
      <c r="CO28" s="104"/>
      <c r="CP28" s="91"/>
      <c r="CQ28" s="104"/>
      <c r="CR28" s="104"/>
      <c r="CS28" s="104"/>
      <c r="CT28" s="104"/>
      <c r="CU28" s="91"/>
      <c r="CV28" s="104"/>
      <c r="CW28" s="104"/>
      <c r="CX28" s="104"/>
      <c r="CY28" s="104"/>
      <c r="CZ28" s="91"/>
      <c r="DA28" s="104"/>
      <c r="DB28" s="104"/>
      <c r="DC28" s="104"/>
      <c r="DD28" s="104"/>
      <c r="DE28" s="91"/>
      <c r="DF28" s="104"/>
      <c r="DG28" s="104"/>
      <c r="DH28" s="104"/>
      <c r="DI28" s="104"/>
      <c r="DJ28" s="91"/>
      <c r="DK28" s="104"/>
      <c r="DL28" s="104"/>
      <c r="DM28" s="104"/>
      <c r="DN28" s="104"/>
      <c r="DO28" s="91"/>
      <c r="DP28" s="104"/>
      <c r="DQ28" s="104"/>
      <c r="DR28" s="104"/>
      <c r="DS28" s="104"/>
      <c r="DT28" s="91"/>
      <c r="DU28" s="104"/>
      <c r="DV28" s="104"/>
      <c r="DW28" s="104"/>
      <c r="DX28" s="104"/>
      <c r="DY28" s="91"/>
      <c r="DZ28" s="104"/>
      <c r="EA28" s="104"/>
      <c r="EB28" s="104"/>
      <c r="EC28" s="104"/>
      <c r="ED28" s="91"/>
      <c r="EE28" s="104"/>
      <c r="EF28" s="104"/>
      <c r="EG28" s="104"/>
      <c r="EH28" s="104"/>
      <c r="EI28" s="91"/>
      <c r="EJ28" s="104"/>
      <c r="EK28" s="104"/>
      <c r="EL28" s="104"/>
      <c r="EM28" s="104"/>
      <c r="EN28" s="91"/>
      <c r="EO28" s="104"/>
      <c r="EP28" s="104"/>
      <c r="EQ28" s="104"/>
      <c r="ER28" s="104"/>
      <c r="ES28" s="91"/>
      <c r="ET28" s="104"/>
      <c r="EU28" s="104"/>
      <c r="EV28" s="104"/>
      <c r="EW28" s="104"/>
      <c r="EX28" s="91"/>
      <c r="EY28" s="104"/>
      <c r="EZ28" s="104"/>
      <c r="FA28" s="104"/>
      <c r="FB28" s="104"/>
      <c r="FC28" s="91"/>
      <c r="FD28" s="104"/>
      <c r="FE28" s="104"/>
      <c r="FF28" s="104"/>
      <c r="FG28" s="104"/>
      <c r="FH28" s="91"/>
      <c r="FI28" s="104"/>
      <c r="FJ28" s="104"/>
      <c r="FK28" s="104"/>
      <c r="FL28" s="104"/>
      <c r="FM28" s="104"/>
      <c r="FN28" s="104"/>
      <c r="FO28" s="104"/>
      <c r="FP28" s="104"/>
      <c r="FQ28" s="104"/>
      <c r="FR28" s="104"/>
      <c r="FS28" s="104"/>
      <c r="FT28" s="104"/>
      <c r="FU28" s="104"/>
      <c r="FV28" s="104"/>
      <c r="FW28" s="104"/>
      <c r="FX28" s="104"/>
      <c r="FY28" s="104"/>
      <c r="FZ28" s="104"/>
      <c r="GA28" s="104"/>
      <c r="GB28" s="104"/>
      <c r="GC28" s="104"/>
      <c r="GD28" s="104"/>
      <c r="GE28" s="104"/>
      <c r="GF28" s="104"/>
      <c r="GG28" s="104"/>
      <c r="GH28" s="104"/>
      <c r="GI28" s="104"/>
      <c r="GJ28" s="104"/>
      <c r="GK28" s="104"/>
      <c r="GL28" s="104"/>
      <c r="GM28" s="104"/>
      <c r="GN28" s="104"/>
      <c r="GO28" s="104"/>
      <c r="GP28" s="91"/>
      <c r="GQ28" s="104"/>
      <c r="GR28" s="104"/>
      <c r="GS28" s="104"/>
      <c r="GT28" s="104"/>
      <c r="GU28" s="91"/>
      <c r="GV28" s="104"/>
      <c r="GW28" s="104"/>
      <c r="GX28" s="104"/>
      <c r="GY28" s="104"/>
      <c r="GZ28" s="91"/>
      <c r="HA28" s="104"/>
      <c r="HB28" s="104"/>
      <c r="HC28" s="104"/>
      <c r="HD28" s="104"/>
      <c r="HE28" s="91"/>
      <c r="HF28" s="104"/>
      <c r="HG28" s="104"/>
      <c r="HH28" s="104"/>
      <c r="HI28" s="104"/>
      <c r="HJ28" s="91"/>
      <c r="HK28" s="104"/>
      <c r="HL28" s="104"/>
      <c r="HM28" s="104"/>
      <c r="HN28" s="104"/>
      <c r="HO28" s="91"/>
      <c r="HP28" s="104"/>
      <c r="HQ28" s="104"/>
      <c r="HR28" s="104"/>
      <c r="HS28" s="104"/>
      <c r="HT28" s="91"/>
      <c r="HU28" s="104"/>
      <c r="HV28" s="104"/>
      <c r="HW28" s="104"/>
      <c r="HX28" s="104"/>
      <c r="HY28" s="91"/>
      <c r="HZ28" s="104"/>
      <c r="IA28" s="104"/>
      <c r="IB28" s="104"/>
      <c r="IC28" s="104"/>
      <c r="ID28" s="91"/>
      <c r="IE28" s="104"/>
      <c r="IF28" s="104"/>
      <c r="IG28" s="104"/>
      <c r="IH28" s="104"/>
      <c r="II28" s="91"/>
      <c r="IJ28" s="104"/>
      <c r="IK28" s="104"/>
      <c r="IL28" s="104"/>
      <c r="IM28" s="104"/>
      <c r="IN28" s="91"/>
      <c r="IO28" s="104"/>
      <c r="IP28" s="104"/>
      <c r="IQ28" s="104"/>
      <c r="IR28" s="104"/>
      <c r="IS28" s="91"/>
      <c r="IT28" s="104"/>
      <c r="IU28" s="104"/>
      <c r="IV28" s="104"/>
      <c r="IW28" s="104"/>
      <c r="IX28" s="91"/>
      <c r="IY28" s="104"/>
      <c r="IZ28" s="104"/>
      <c r="JA28" s="104"/>
      <c r="JB28" s="104"/>
      <c r="JC28" s="91"/>
      <c r="JD28" s="104"/>
      <c r="JE28" s="104"/>
      <c r="JF28" s="104"/>
      <c r="JG28" s="105"/>
      <c r="JH28" s="91"/>
      <c r="JI28" s="106"/>
      <c r="JJ28" s="104"/>
      <c r="JK28" s="104"/>
      <c r="JL28" s="105"/>
      <c r="JM28" s="95"/>
      <c r="JN28" s="107"/>
      <c r="JO28" s="79"/>
      <c r="JP28" s="106"/>
      <c r="JQ28" s="104"/>
      <c r="JR28" s="104"/>
      <c r="JS28" s="104"/>
      <c r="JT28" s="104"/>
      <c r="JU28" s="104"/>
      <c r="JV28" s="104"/>
      <c r="JW28" s="104"/>
      <c r="JX28" s="104"/>
      <c r="JY28" s="104"/>
      <c r="JZ28" s="104"/>
      <c r="KA28" s="104"/>
      <c r="KB28" s="104"/>
      <c r="KC28" s="104"/>
      <c r="KD28" s="104"/>
      <c r="KE28" s="104"/>
      <c r="KF28" s="104"/>
      <c r="KG28" s="104"/>
      <c r="KH28" s="104"/>
      <c r="KI28" s="104"/>
      <c r="KJ28" s="104"/>
      <c r="KK28" s="104"/>
      <c r="KL28" s="104"/>
      <c r="KM28" s="104"/>
      <c r="KN28" s="104"/>
      <c r="KO28" s="104"/>
      <c r="KP28" s="104"/>
      <c r="KQ28" s="104"/>
      <c r="KR28" s="104"/>
      <c r="KS28" s="104"/>
      <c r="KT28" s="104"/>
      <c r="KU28" s="104"/>
      <c r="KV28" s="104"/>
      <c r="KW28" s="104"/>
      <c r="KX28" s="104"/>
      <c r="KY28" s="104"/>
      <c r="KZ28" s="104"/>
      <c r="LA28" s="104"/>
      <c r="LB28" s="104"/>
      <c r="LC28" s="104"/>
      <c r="LD28" s="104"/>
      <c r="LE28" s="104"/>
      <c r="LF28" s="104"/>
      <c r="LG28" s="104"/>
      <c r="LH28" s="104"/>
      <c r="LI28" s="104"/>
      <c r="LJ28" s="104"/>
      <c r="LK28" s="104"/>
      <c r="LL28" s="104"/>
      <c r="LM28" s="104"/>
      <c r="LN28" s="104"/>
      <c r="LO28" s="104"/>
      <c r="LP28" s="104"/>
      <c r="LQ28" s="104"/>
      <c r="LR28" s="104"/>
      <c r="LS28" s="104"/>
      <c r="LT28" s="104"/>
      <c r="LU28" s="104"/>
      <c r="LV28" s="104"/>
      <c r="LW28" s="104"/>
      <c r="LX28" s="104"/>
      <c r="LY28" s="104"/>
      <c r="LZ28" s="104"/>
      <c r="MA28" s="104"/>
      <c r="MB28" s="104"/>
      <c r="MC28" s="104"/>
      <c r="MD28" s="104"/>
      <c r="ME28" s="104"/>
      <c r="MF28" s="104"/>
      <c r="MG28" s="104"/>
      <c r="MH28" s="104"/>
      <c r="MI28" s="104"/>
      <c r="MJ28" s="104"/>
      <c r="MK28" s="104"/>
      <c r="ML28" s="104"/>
      <c r="MM28" s="104"/>
      <c r="MN28" s="104"/>
      <c r="MO28" s="104"/>
      <c r="MP28" s="104"/>
      <c r="MQ28" s="104"/>
      <c r="MR28" s="104"/>
      <c r="MS28" s="104"/>
      <c r="MT28" s="104"/>
      <c r="MU28" s="104"/>
      <c r="MV28" s="104"/>
      <c r="MW28" s="104"/>
      <c r="MX28" s="104"/>
      <c r="MY28" s="104"/>
      <c r="MZ28" s="104"/>
      <c r="NA28" s="104"/>
      <c r="NB28" s="104"/>
      <c r="NC28" s="104"/>
      <c r="ND28" s="104"/>
      <c r="NE28" s="104"/>
      <c r="NF28" s="104"/>
      <c r="NG28" s="104"/>
      <c r="NH28" s="104"/>
      <c r="NI28" s="104"/>
      <c r="NJ28" s="104"/>
      <c r="NK28" s="104"/>
      <c r="NL28" s="104"/>
      <c r="NM28" s="104"/>
      <c r="NN28" s="104"/>
      <c r="NO28" s="104"/>
      <c r="NP28" s="104"/>
      <c r="NQ28" s="104"/>
      <c r="NR28" s="104"/>
      <c r="NS28" s="104"/>
      <c r="NT28" s="104"/>
      <c r="NU28" s="104"/>
      <c r="NV28" s="104"/>
      <c r="NW28" s="104"/>
      <c r="NX28" s="104"/>
      <c r="NY28" s="104"/>
      <c r="NZ28" s="104"/>
    </row>
    <row r="29" spans="1:390" ht="15.75" customHeight="1" x14ac:dyDescent="0.3">
      <c r="A29" s="125">
        <v>4948238384</v>
      </c>
      <c r="B29" s="159"/>
      <c r="C29" s="126"/>
      <c r="D29" s="213" t="s">
        <v>391</v>
      </c>
      <c r="E29" s="135" t="s">
        <v>482</v>
      </c>
      <c r="F29" s="125" t="s">
        <v>408</v>
      </c>
      <c r="G29" s="125" t="s">
        <v>395</v>
      </c>
      <c r="H29" s="111">
        <v>42956</v>
      </c>
      <c r="I29" s="135" t="s">
        <v>483</v>
      </c>
      <c r="J29" s="135" t="s">
        <v>397</v>
      </c>
      <c r="K29" s="128" t="s">
        <v>398</v>
      </c>
      <c r="L29" s="128" t="s">
        <v>398</v>
      </c>
      <c r="M29" s="128" t="s">
        <v>398</v>
      </c>
      <c r="N29" s="128" t="s">
        <v>398</v>
      </c>
      <c r="O29" s="128" t="s">
        <v>398</v>
      </c>
      <c r="P29" s="128" t="s">
        <v>398</v>
      </c>
      <c r="Q29" s="128" t="s">
        <v>398</v>
      </c>
      <c r="R29" s="128" t="s">
        <v>398</v>
      </c>
      <c r="S29" s="128" t="s">
        <v>398</v>
      </c>
      <c r="T29" s="128" t="s">
        <v>398</v>
      </c>
      <c r="U29" s="128" t="s">
        <v>398</v>
      </c>
      <c r="V29" s="128" t="s">
        <v>398</v>
      </c>
      <c r="W29" s="136" t="s">
        <v>482</v>
      </c>
      <c r="X29" s="135" t="s">
        <v>463</v>
      </c>
      <c r="Y29" s="113" t="s">
        <v>432</v>
      </c>
      <c r="Z29" s="111">
        <v>42956</v>
      </c>
      <c r="AA29" s="126"/>
      <c r="AB29" s="113" t="s">
        <v>399</v>
      </c>
      <c r="AC29" s="111">
        <v>12619</v>
      </c>
      <c r="AD29" s="139"/>
      <c r="AE29" s="108" t="e">
        <f t="shared" si="0"/>
        <v>#NUM!</v>
      </c>
      <c r="AF29" s="138" t="s">
        <v>411</v>
      </c>
      <c r="AG29" s="126" t="s">
        <v>401</v>
      </c>
      <c r="AH29" s="131" t="s">
        <v>402</v>
      </c>
      <c r="AI29" s="125" t="s">
        <v>484</v>
      </c>
      <c r="AJ29" s="125">
        <v>0</v>
      </c>
      <c r="AK29" s="125">
        <v>0</v>
      </c>
      <c r="AL29" s="125">
        <v>0</v>
      </c>
      <c r="AM29" s="139" t="s">
        <v>485</v>
      </c>
      <c r="AN29" s="134">
        <v>3</v>
      </c>
      <c r="AO29" s="136" t="s">
        <v>398</v>
      </c>
      <c r="AP29" s="126"/>
      <c r="AQ29" s="106"/>
      <c r="AR29" s="91"/>
      <c r="AS29" s="104"/>
      <c r="AT29" s="104"/>
      <c r="AU29" s="104"/>
      <c r="AV29" s="104"/>
      <c r="AW29" s="91"/>
      <c r="AX29" s="104"/>
      <c r="AY29" s="104"/>
      <c r="AZ29" s="104"/>
      <c r="BA29" s="104"/>
      <c r="BB29" s="91"/>
      <c r="BC29" s="104"/>
      <c r="BD29" s="104"/>
      <c r="BE29" s="104"/>
      <c r="BF29" s="104"/>
      <c r="BG29" s="91"/>
      <c r="BH29" s="104"/>
      <c r="BI29" s="104"/>
      <c r="BJ29" s="104"/>
      <c r="BK29" s="104"/>
      <c r="BL29" s="91"/>
      <c r="BM29" s="104"/>
      <c r="BN29" s="104"/>
      <c r="BO29" s="104"/>
      <c r="BP29" s="104"/>
      <c r="BQ29" s="91"/>
      <c r="BR29" s="104"/>
      <c r="BS29" s="104"/>
      <c r="BT29" s="104"/>
      <c r="BU29" s="104"/>
      <c r="BV29" s="91"/>
      <c r="BW29" s="104"/>
      <c r="BX29" s="104"/>
      <c r="BY29" s="104"/>
      <c r="BZ29" s="104"/>
      <c r="CA29" s="91"/>
      <c r="CB29" s="104"/>
      <c r="CC29" s="104"/>
      <c r="CD29" s="104"/>
      <c r="CE29" s="104"/>
      <c r="CF29" s="91"/>
      <c r="CG29" s="104"/>
      <c r="CH29" s="104"/>
      <c r="CI29" s="104"/>
      <c r="CJ29" s="104"/>
      <c r="CK29" s="91"/>
      <c r="CL29" s="104"/>
      <c r="CM29" s="104"/>
      <c r="CN29" s="104"/>
      <c r="CO29" s="104"/>
      <c r="CP29" s="91"/>
      <c r="CQ29" s="104"/>
      <c r="CR29" s="104"/>
      <c r="CS29" s="104"/>
      <c r="CT29" s="104"/>
      <c r="CU29" s="91"/>
      <c r="CV29" s="104"/>
      <c r="CW29" s="104"/>
      <c r="CX29" s="104"/>
      <c r="CY29" s="104"/>
      <c r="CZ29" s="91"/>
      <c r="DA29" s="104"/>
      <c r="DB29" s="104"/>
      <c r="DC29" s="104"/>
      <c r="DD29" s="104"/>
      <c r="DE29" s="91"/>
      <c r="DF29" s="104"/>
      <c r="DG29" s="104"/>
      <c r="DH29" s="104"/>
      <c r="DI29" s="104"/>
      <c r="DJ29" s="91"/>
      <c r="DK29" s="104"/>
      <c r="DL29" s="104"/>
      <c r="DM29" s="104"/>
      <c r="DN29" s="104"/>
      <c r="DO29" s="91"/>
      <c r="DP29" s="104"/>
      <c r="DQ29" s="104"/>
      <c r="DR29" s="104"/>
      <c r="DS29" s="104"/>
      <c r="DT29" s="91"/>
      <c r="DU29" s="104"/>
      <c r="DV29" s="104"/>
      <c r="DW29" s="104"/>
      <c r="DX29" s="104"/>
      <c r="DY29" s="91"/>
      <c r="DZ29" s="104"/>
      <c r="EA29" s="104"/>
      <c r="EB29" s="104"/>
      <c r="EC29" s="104"/>
      <c r="ED29" s="91"/>
      <c r="EE29" s="104"/>
      <c r="EF29" s="104"/>
      <c r="EG29" s="104"/>
      <c r="EH29" s="104"/>
      <c r="EI29" s="91"/>
      <c r="EJ29" s="104"/>
      <c r="EK29" s="104"/>
      <c r="EL29" s="104"/>
      <c r="EM29" s="104"/>
      <c r="EN29" s="91"/>
      <c r="EO29" s="104"/>
      <c r="EP29" s="104"/>
      <c r="EQ29" s="104"/>
      <c r="ER29" s="104"/>
      <c r="ES29" s="91"/>
      <c r="ET29" s="104"/>
      <c r="EU29" s="104"/>
      <c r="EV29" s="104"/>
      <c r="EW29" s="104"/>
      <c r="EX29" s="91"/>
      <c r="EY29" s="104"/>
      <c r="EZ29" s="104"/>
      <c r="FA29" s="104"/>
      <c r="FB29" s="104"/>
      <c r="FC29" s="91"/>
      <c r="FD29" s="104"/>
      <c r="FE29" s="104"/>
      <c r="FF29" s="104"/>
      <c r="FG29" s="104"/>
      <c r="FH29" s="91"/>
      <c r="FI29" s="104"/>
      <c r="FJ29" s="104"/>
      <c r="FK29" s="104"/>
      <c r="FL29" s="104"/>
      <c r="FM29" s="104"/>
      <c r="FN29" s="104"/>
      <c r="FO29" s="104"/>
      <c r="FP29" s="104"/>
      <c r="FQ29" s="104"/>
      <c r="FR29" s="104"/>
      <c r="FS29" s="104"/>
      <c r="FT29" s="104"/>
      <c r="FU29" s="104"/>
      <c r="FV29" s="104"/>
      <c r="FW29" s="104"/>
      <c r="FX29" s="104"/>
      <c r="FY29" s="104"/>
      <c r="FZ29" s="104"/>
      <c r="GA29" s="104"/>
      <c r="GB29" s="104"/>
      <c r="GC29" s="104"/>
      <c r="GD29" s="104"/>
      <c r="GE29" s="104"/>
      <c r="GF29" s="104"/>
      <c r="GG29" s="104"/>
      <c r="GH29" s="104"/>
      <c r="GI29" s="104"/>
      <c r="GJ29" s="104"/>
      <c r="GK29" s="104"/>
      <c r="GL29" s="104"/>
      <c r="GM29" s="104"/>
      <c r="GN29" s="104"/>
      <c r="GO29" s="104"/>
      <c r="GP29" s="91"/>
      <c r="GQ29" s="104"/>
      <c r="GR29" s="104"/>
      <c r="GS29" s="104"/>
      <c r="GT29" s="104"/>
      <c r="GU29" s="91"/>
      <c r="GV29" s="104"/>
      <c r="GW29" s="104"/>
      <c r="GX29" s="104"/>
      <c r="GY29" s="104"/>
      <c r="GZ29" s="91"/>
      <c r="HA29" s="104"/>
      <c r="HB29" s="104"/>
      <c r="HC29" s="104"/>
      <c r="HD29" s="104"/>
      <c r="HE29" s="91"/>
      <c r="HF29" s="104"/>
      <c r="HG29" s="104"/>
      <c r="HH29" s="104"/>
      <c r="HI29" s="104"/>
      <c r="HJ29" s="91"/>
      <c r="HK29" s="104"/>
      <c r="HL29" s="104"/>
      <c r="HM29" s="104"/>
      <c r="HN29" s="104"/>
      <c r="HO29" s="91"/>
      <c r="HP29" s="104"/>
      <c r="HQ29" s="104"/>
      <c r="HR29" s="104"/>
      <c r="HS29" s="104"/>
      <c r="HT29" s="91"/>
      <c r="HU29" s="104"/>
      <c r="HV29" s="104"/>
      <c r="HW29" s="104"/>
      <c r="HX29" s="104"/>
      <c r="HY29" s="91"/>
      <c r="HZ29" s="104"/>
      <c r="IA29" s="104"/>
      <c r="IB29" s="104"/>
      <c r="IC29" s="104"/>
      <c r="ID29" s="91"/>
      <c r="IE29" s="104"/>
      <c r="IF29" s="104"/>
      <c r="IG29" s="104"/>
      <c r="IH29" s="104"/>
      <c r="II29" s="91"/>
      <c r="IJ29" s="104"/>
      <c r="IK29" s="104"/>
      <c r="IL29" s="104"/>
      <c r="IM29" s="104"/>
      <c r="IN29" s="91"/>
      <c r="IO29" s="104"/>
      <c r="IP29" s="104"/>
      <c r="IQ29" s="104"/>
      <c r="IR29" s="104"/>
      <c r="IS29" s="91"/>
      <c r="IT29" s="104"/>
      <c r="IU29" s="104"/>
      <c r="IV29" s="104"/>
      <c r="IW29" s="104"/>
      <c r="IX29" s="91"/>
      <c r="IY29" s="104"/>
      <c r="IZ29" s="104"/>
      <c r="JA29" s="104"/>
      <c r="JB29" s="104"/>
      <c r="JC29" s="91"/>
      <c r="JD29" s="104"/>
      <c r="JE29" s="104"/>
      <c r="JF29" s="104"/>
      <c r="JG29" s="105"/>
      <c r="JH29" s="91"/>
      <c r="JI29" s="106"/>
      <c r="JJ29" s="104"/>
      <c r="JK29" s="104"/>
      <c r="JL29" s="105"/>
      <c r="JM29" s="95"/>
      <c r="JN29" s="107"/>
      <c r="JO29" s="79"/>
      <c r="JP29" s="106"/>
      <c r="JQ29" s="104"/>
      <c r="JR29" s="104"/>
      <c r="JS29" s="104"/>
      <c r="JT29" s="104"/>
      <c r="JU29" s="104"/>
      <c r="JV29" s="104"/>
      <c r="JW29" s="104"/>
      <c r="JX29" s="104"/>
      <c r="JY29" s="104"/>
      <c r="JZ29" s="104"/>
      <c r="KA29" s="104"/>
      <c r="KB29" s="104"/>
      <c r="KC29" s="104"/>
      <c r="KD29" s="104"/>
      <c r="KE29" s="104"/>
      <c r="KF29" s="104"/>
      <c r="KG29" s="104"/>
      <c r="KH29" s="104"/>
      <c r="KI29" s="104"/>
      <c r="KJ29" s="104"/>
      <c r="KK29" s="104"/>
      <c r="KL29" s="104"/>
      <c r="KM29" s="104"/>
      <c r="KN29" s="104"/>
      <c r="KO29" s="104"/>
      <c r="KP29" s="104"/>
      <c r="KQ29" s="104"/>
      <c r="KR29" s="104"/>
      <c r="KS29" s="104"/>
      <c r="KT29" s="104"/>
      <c r="KU29" s="104"/>
      <c r="KV29" s="104"/>
      <c r="KW29" s="104"/>
      <c r="KX29" s="104"/>
      <c r="KY29" s="104"/>
      <c r="KZ29" s="104"/>
      <c r="LA29" s="104"/>
      <c r="LB29" s="104"/>
      <c r="LC29" s="104"/>
      <c r="LD29" s="104"/>
      <c r="LE29" s="104"/>
      <c r="LF29" s="104"/>
      <c r="LG29" s="104"/>
      <c r="LH29" s="104"/>
      <c r="LI29" s="104"/>
      <c r="LJ29" s="104"/>
      <c r="LK29" s="104"/>
      <c r="LL29" s="104"/>
      <c r="LM29" s="104"/>
      <c r="LN29" s="104"/>
      <c r="LO29" s="104"/>
      <c r="LP29" s="104"/>
      <c r="LQ29" s="104"/>
      <c r="LR29" s="104"/>
      <c r="LS29" s="104"/>
      <c r="LT29" s="104"/>
      <c r="LU29" s="104"/>
      <c r="LV29" s="104"/>
      <c r="LW29" s="104"/>
      <c r="LX29" s="104"/>
      <c r="LY29" s="104"/>
      <c r="LZ29" s="104"/>
      <c r="MA29" s="104"/>
      <c r="MB29" s="104"/>
      <c r="MC29" s="104"/>
      <c r="MD29" s="104"/>
      <c r="ME29" s="104"/>
      <c r="MF29" s="104"/>
      <c r="MG29" s="104"/>
      <c r="MH29" s="104"/>
      <c r="MI29" s="104"/>
      <c r="MJ29" s="104"/>
      <c r="MK29" s="104"/>
      <c r="ML29" s="104"/>
      <c r="MM29" s="104"/>
      <c r="MN29" s="104"/>
      <c r="MO29" s="104"/>
      <c r="MP29" s="104"/>
      <c r="MQ29" s="104"/>
      <c r="MR29" s="104"/>
      <c r="MS29" s="104"/>
      <c r="MT29" s="104"/>
      <c r="MU29" s="104"/>
      <c r="MV29" s="104"/>
      <c r="MW29" s="104"/>
      <c r="MX29" s="104"/>
      <c r="MY29" s="104"/>
      <c r="MZ29" s="104"/>
      <c r="NA29" s="104"/>
      <c r="NB29" s="104"/>
      <c r="NC29" s="104"/>
      <c r="ND29" s="104"/>
      <c r="NE29" s="104"/>
      <c r="NF29" s="104"/>
      <c r="NG29" s="104"/>
      <c r="NH29" s="104"/>
      <c r="NI29" s="104"/>
      <c r="NJ29" s="104"/>
      <c r="NK29" s="104"/>
      <c r="NL29" s="104"/>
      <c r="NM29" s="104"/>
      <c r="NN29" s="104"/>
      <c r="NO29" s="104"/>
      <c r="NP29" s="104"/>
      <c r="NQ29" s="104"/>
      <c r="NR29" s="104"/>
      <c r="NS29" s="104"/>
      <c r="NT29" s="104"/>
      <c r="NU29" s="104"/>
      <c r="NV29" s="104"/>
      <c r="NW29" s="104"/>
      <c r="NX29" s="104"/>
      <c r="NY29" s="104"/>
      <c r="NZ29" s="104"/>
    </row>
    <row r="30" spans="1:390" ht="15.75" customHeight="1" x14ac:dyDescent="0.3">
      <c r="A30" s="125">
        <v>4583815352</v>
      </c>
      <c r="B30" s="159"/>
      <c r="C30" s="126"/>
      <c r="D30" s="213" t="s">
        <v>391</v>
      </c>
      <c r="E30" s="135" t="s">
        <v>486</v>
      </c>
      <c r="F30" s="125">
        <v>4</v>
      </c>
      <c r="G30" s="135" t="s">
        <v>398</v>
      </c>
      <c r="H30" s="111">
        <v>42957</v>
      </c>
      <c r="I30" s="135" t="s">
        <v>458</v>
      </c>
      <c r="J30" s="135" t="s">
        <v>397</v>
      </c>
      <c r="K30" s="128" t="s">
        <v>398</v>
      </c>
      <c r="L30" s="128" t="s">
        <v>398</v>
      </c>
      <c r="M30" s="128" t="s">
        <v>398</v>
      </c>
      <c r="N30" s="128" t="s">
        <v>398</v>
      </c>
      <c r="O30" s="128" t="s">
        <v>398</v>
      </c>
      <c r="P30" s="128" t="s">
        <v>398</v>
      </c>
      <c r="Q30" s="128" t="s">
        <v>398</v>
      </c>
      <c r="R30" s="128" t="s">
        <v>398</v>
      </c>
      <c r="S30" s="128" t="s">
        <v>398</v>
      </c>
      <c r="T30" s="128" t="s">
        <v>398</v>
      </c>
      <c r="U30" s="128" t="s">
        <v>398</v>
      </c>
      <c r="V30" s="128" t="s">
        <v>398</v>
      </c>
      <c r="W30" s="136" t="s">
        <v>398</v>
      </c>
      <c r="X30" s="135" t="s">
        <v>398</v>
      </c>
      <c r="Y30" s="113" t="s">
        <v>398</v>
      </c>
      <c r="Z30" s="113" t="s">
        <v>398</v>
      </c>
      <c r="AA30" s="126"/>
      <c r="AB30" s="113" t="s">
        <v>399</v>
      </c>
      <c r="AC30" s="111">
        <v>20935</v>
      </c>
      <c r="AD30" s="139"/>
      <c r="AE30" s="108" t="e">
        <f t="shared" si="0"/>
        <v>#NUM!</v>
      </c>
      <c r="AF30" s="138" t="s">
        <v>411</v>
      </c>
      <c r="AG30" s="126" t="s">
        <v>401</v>
      </c>
      <c r="AH30" s="131" t="s">
        <v>444</v>
      </c>
      <c r="AI30" s="125" t="s">
        <v>455</v>
      </c>
      <c r="AJ30" s="125">
        <v>0</v>
      </c>
      <c r="AK30" s="125">
        <v>0</v>
      </c>
      <c r="AL30" s="125">
        <v>0</v>
      </c>
      <c r="AM30" s="139" t="s">
        <v>456</v>
      </c>
      <c r="AN30" s="134">
        <v>1</v>
      </c>
      <c r="AO30" s="136" t="s">
        <v>398</v>
      </c>
      <c r="AP30" s="126"/>
      <c r="AQ30" s="106"/>
      <c r="AR30" s="91"/>
      <c r="AS30" s="104"/>
      <c r="AT30" s="104"/>
      <c r="AU30" s="104"/>
      <c r="AV30" s="104"/>
      <c r="AW30" s="91"/>
      <c r="AX30" s="104"/>
      <c r="AY30" s="104"/>
      <c r="AZ30" s="104"/>
      <c r="BA30" s="104"/>
      <c r="BB30" s="91"/>
      <c r="BC30" s="104"/>
      <c r="BD30" s="104"/>
      <c r="BE30" s="104"/>
      <c r="BF30" s="104"/>
      <c r="BG30" s="91"/>
      <c r="BH30" s="104"/>
      <c r="BI30" s="104"/>
      <c r="BJ30" s="104"/>
      <c r="BK30" s="104"/>
      <c r="BL30" s="91"/>
      <c r="BM30" s="104"/>
      <c r="BN30" s="104"/>
      <c r="BO30" s="104"/>
      <c r="BP30" s="104"/>
      <c r="BQ30" s="91"/>
      <c r="BR30" s="104"/>
      <c r="BS30" s="104"/>
      <c r="BT30" s="104"/>
      <c r="BU30" s="104"/>
      <c r="BV30" s="91"/>
      <c r="BW30" s="104"/>
      <c r="BX30" s="104"/>
      <c r="BY30" s="104"/>
      <c r="BZ30" s="104"/>
      <c r="CA30" s="91"/>
      <c r="CB30" s="104"/>
      <c r="CC30" s="104"/>
      <c r="CD30" s="104"/>
      <c r="CE30" s="104"/>
      <c r="CF30" s="91"/>
      <c r="CG30" s="104"/>
      <c r="CH30" s="104"/>
      <c r="CI30" s="104"/>
      <c r="CJ30" s="104"/>
      <c r="CK30" s="91"/>
      <c r="CL30" s="104"/>
      <c r="CM30" s="104"/>
      <c r="CN30" s="104"/>
      <c r="CO30" s="104"/>
      <c r="CP30" s="91"/>
      <c r="CQ30" s="104"/>
      <c r="CR30" s="104"/>
      <c r="CS30" s="104"/>
      <c r="CT30" s="104"/>
      <c r="CU30" s="91"/>
      <c r="CV30" s="104"/>
      <c r="CW30" s="104"/>
      <c r="CX30" s="104"/>
      <c r="CY30" s="104"/>
      <c r="CZ30" s="91"/>
      <c r="DA30" s="104"/>
      <c r="DB30" s="104"/>
      <c r="DC30" s="104"/>
      <c r="DD30" s="104"/>
      <c r="DE30" s="91"/>
      <c r="DF30" s="104"/>
      <c r="DG30" s="104"/>
      <c r="DH30" s="104"/>
      <c r="DI30" s="104"/>
      <c r="DJ30" s="91"/>
      <c r="DK30" s="104"/>
      <c r="DL30" s="104"/>
      <c r="DM30" s="104"/>
      <c r="DN30" s="104"/>
      <c r="DO30" s="91"/>
      <c r="DP30" s="104"/>
      <c r="DQ30" s="104"/>
      <c r="DR30" s="104"/>
      <c r="DS30" s="104"/>
      <c r="DT30" s="91"/>
      <c r="DU30" s="104"/>
      <c r="DV30" s="104"/>
      <c r="DW30" s="104"/>
      <c r="DX30" s="104"/>
      <c r="DY30" s="91"/>
      <c r="DZ30" s="104"/>
      <c r="EA30" s="104"/>
      <c r="EB30" s="104"/>
      <c r="EC30" s="104"/>
      <c r="ED30" s="91"/>
      <c r="EE30" s="104"/>
      <c r="EF30" s="104"/>
      <c r="EG30" s="104"/>
      <c r="EH30" s="104"/>
      <c r="EI30" s="91"/>
      <c r="EJ30" s="104"/>
      <c r="EK30" s="104"/>
      <c r="EL30" s="104"/>
      <c r="EM30" s="104"/>
      <c r="EN30" s="91"/>
      <c r="EO30" s="104"/>
      <c r="EP30" s="104"/>
      <c r="EQ30" s="104"/>
      <c r="ER30" s="104"/>
      <c r="ES30" s="91"/>
      <c r="ET30" s="104"/>
      <c r="EU30" s="104"/>
      <c r="EV30" s="104"/>
      <c r="EW30" s="104"/>
      <c r="EX30" s="91"/>
      <c r="EY30" s="104"/>
      <c r="EZ30" s="104"/>
      <c r="FA30" s="104"/>
      <c r="FB30" s="104"/>
      <c r="FC30" s="91"/>
      <c r="FD30" s="104"/>
      <c r="FE30" s="104"/>
      <c r="FF30" s="104"/>
      <c r="FG30" s="104"/>
      <c r="FH30" s="91"/>
      <c r="FI30" s="104"/>
      <c r="FJ30" s="104"/>
      <c r="FK30" s="104"/>
      <c r="FL30" s="104"/>
      <c r="FM30" s="104"/>
      <c r="FN30" s="104"/>
      <c r="FO30" s="104"/>
      <c r="FP30" s="104"/>
      <c r="FQ30" s="104"/>
      <c r="FR30" s="104"/>
      <c r="FS30" s="104"/>
      <c r="FT30" s="104"/>
      <c r="FU30" s="104"/>
      <c r="FV30" s="104"/>
      <c r="FW30" s="104"/>
      <c r="FX30" s="104"/>
      <c r="FY30" s="104"/>
      <c r="FZ30" s="104"/>
      <c r="GA30" s="104"/>
      <c r="GB30" s="104"/>
      <c r="GC30" s="104"/>
      <c r="GD30" s="104"/>
      <c r="GE30" s="104"/>
      <c r="GF30" s="104"/>
      <c r="GG30" s="104"/>
      <c r="GH30" s="104"/>
      <c r="GI30" s="104"/>
      <c r="GJ30" s="104"/>
      <c r="GK30" s="104"/>
      <c r="GL30" s="104"/>
      <c r="GM30" s="104"/>
      <c r="GN30" s="104"/>
      <c r="GO30" s="104"/>
      <c r="GP30" s="91"/>
      <c r="GQ30" s="104"/>
      <c r="GR30" s="104"/>
      <c r="GS30" s="104"/>
      <c r="GT30" s="104"/>
      <c r="GU30" s="91"/>
      <c r="GV30" s="104"/>
      <c r="GW30" s="104"/>
      <c r="GX30" s="104"/>
      <c r="GY30" s="104"/>
      <c r="GZ30" s="91"/>
      <c r="HA30" s="104"/>
      <c r="HB30" s="104"/>
      <c r="HC30" s="104"/>
      <c r="HD30" s="104"/>
      <c r="HE30" s="91"/>
      <c r="HF30" s="104"/>
      <c r="HG30" s="104"/>
      <c r="HH30" s="104"/>
      <c r="HI30" s="104"/>
      <c r="HJ30" s="91"/>
      <c r="HK30" s="104"/>
      <c r="HL30" s="104"/>
      <c r="HM30" s="104"/>
      <c r="HN30" s="104"/>
      <c r="HO30" s="91"/>
      <c r="HP30" s="104"/>
      <c r="HQ30" s="104"/>
      <c r="HR30" s="104"/>
      <c r="HS30" s="104"/>
      <c r="HT30" s="91"/>
      <c r="HU30" s="104"/>
      <c r="HV30" s="104"/>
      <c r="HW30" s="104"/>
      <c r="HX30" s="104"/>
      <c r="HY30" s="91"/>
      <c r="HZ30" s="104"/>
      <c r="IA30" s="104"/>
      <c r="IB30" s="104"/>
      <c r="IC30" s="104"/>
      <c r="ID30" s="91"/>
      <c r="IE30" s="104"/>
      <c r="IF30" s="104"/>
      <c r="IG30" s="104"/>
      <c r="IH30" s="104"/>
      <c r="II30" s="91"/>
      <c r="IJ30" s="104"/>
      <c r="IK30" s="104"/>
      <c r="IL30" s="104"/>
      <c r="IM30" s="104"/>
      <c r="IN30" s="91"/>
      <c r="IO30" s="104"/>
      <c r="IP30" s="104"/>
      <c r="IQ30" s="104"/>
      <c r="IR30" s="104"/>
      <c r="IS30" s="91"/>
      <c r="IT30" s="104"/>
      <c r="IU30" s="104"/>
      <c r="IV30" s="104"/>
      <c r="IW30" s="104"/>
      <c r="IX30" s="91"/>
      <c r="IY30" s="104"/>
      <c r="IZ30" s="104"/>
      <c r="JA30" s="104"/>
      <c r="JB30" s="104"/>
      <c r="JC30" s="91"/>
      <c r="JD30" s="104"/>
      <c r="JE30" s="104"/>
      <c r="JF30" s="104"/>
      <c r="JG30" s="105"/>
      <c r="JH30" s="91"/>
      <c r="JI30" s="106"/>
      <c r="JJ30" s="104"/>
      <c r="JK30" s="104"/>
      <c r="JL30" s="105"/>
      <c r="JM30" s="95"/>
      <c r="JN30" s="107"/>
      <c r="JO30" s="79"/>
      <c r="JP30" s="106"/>
      <c r="JQ30" s="104"/>
      <c r="JR30" s="104"/>
      <c r="JS30" s="104"/>
      <c r="JT30" s="104"/>
      <c r="JU30" s="104"/>
      <c r="JV30" s="104"/>
      <c r="JW30" s="104"/>
      <c r="JX30" s="104"/>
      <c r="JY30" s="104"/>
      <c r="JZ30" s="104"/>
      <c r="KA30" s="104"/>
      <c r="KB30" s="104"/>
      <c r="KC30" s="104"/>
      <c r="KD30" s="104"/>
      <c r="KE30" s="104"/>
      <c r="KF30" s="104"/>
      <c r="KG30" s="104"/>
      <c r="KH30" s="104"/>
      <c r="KI30" s="104"/>
      <c r="KJ30" s="104"/>
      <c r="KK30" s="104"/>
      <c r="KL30" s="104"/>
      <c r="KM30" s="104"/>
      <c r="KN30" s="104"/>
      <c r="KO30" s="104"/>
      <c r="KP30" s="104"/>
      <c r="KQ30" s="104"/>
      <c r="KR30" s="104"/>
      <c r="KS30" s="104"/>
      <c r="KT30" s="104"/>
      <c r="KU30" s="104"/>
      <c r="KV30" s="104"/>
      <c r="KW30" s="104"/>
      <c r="KX30" s="104"/>
      <c r="KY30" s="104"/>
      <c r="KZ30" s="104"/>
      <c r="LA30" s="104"/>
      <c r="LB30" s="104"/>
      <c r="LC30" s="104"/>
      <c r="LD30" s="104"/>
      <c r="LE30" s="104"/>
      <c r="LF30" s="104"/>
      <c r="LG30" s="104"/>
      <c r="LH30" s="104"/>
      <c r="LI30" s="104"/>
      <c r="LJ30" s="104"/>
      <c r="LK30" s="104"/>
      <c r="LL30" s="104"/>
      <c r="LM30" s="104"/>
      <c r="LN30" s="104"/>
      <c r="LO30" s="104"/>
      <c r="LP30" s="104"/>
      <c r="LQ30" s="104"/>
      <c r="LR30" s="104"/>
      <c r="LS30" s="104"/>
      <c r="LT30" s="104"/>
      <c r="LU30" s="104"/>
      <c r="LV30" s="104"/>
      <c r="LW30" s="104"/>
      <c r="LX30" s="104"/>
      <c r="LY30" s="104"/>
      <c r="LZ30" s="104"/>
      <c r="MA30" s="104"/>
      <c r="MB30" s="104"/>
      <c r="MC30" s="104"/>
      <c r="MD30" s="104"/>
      <c r="ME30" s="104"/>
      <c r="MF30" s="104"/>
      <c r="MG30" s="104"/>
      <c r="MH30" s="104"/>
      <c r="MI30" s="104"/>
      <c r="MJ30" s="104"/>
      <c r="MK30" s="104"/>
      <c r="ML30" s="104"/>
      <c r="MM30" s="104"/>
      <c r="MN30" s="104"/>
      <c r="MO30" s="104"/>
      <c r="MP30" s="104"/>
      <c r="MQ30" s="104"/>
      <c r="MR30" s="104"/>
      <c r="MS30" s="104"/>
      <c r="MT30" s="104"/>
      <c r="MU30" s="104"/>
      <c r="MV30" s="104"/>
      <c r="MW30" s="104"/>
      <c r="MX30" s="104"/>
      <c r="MY30" s="104"/>
      <c r="MZ30" s="104"/>
      <c r="NA30" s="104"/>
      <c r="NB30" s="104"/>
      <c r="NC30" s="104"/>
      <c r="ND30" s="104"/>
      <c r="NE30" s="104"/>
      <c r="NF30" s="104"/>
      <c r="NG30" s="104"/>
      <c r="NH30" s="104"/>
      <c r="NI30" s="104"/>
      <c r="NJ30" s="104"/>
      <c r="NK30" s="104"/>
      <c r="NL30" s="104"/>
      <c r="NM30" s="104"/>
      <c r="NN30" s="104"/>
      <c r="NO30" s="104"/>
      <c r="NP30" s="104"/>
      <c r="NQ30" s="104"/>
      <c r="NR30" s="104"/>
      <c r="NS30" s="104"/>
      <c r="NT30" s="104"/>
      <c r="NU30" s="104"/>
      <c r="NV30" s="104"/>
      <c r="NW30" s="104"/>
      <c r="NX30" s="104"/>
      <c r="NY30" s="104"/>
      <c r="NZ30" s="104"/>
    </row>
    <row r="31" spans="1:390" ht="15.75" customHeight="1" x14ac:dyDescent="0.3">
      <c r="A31" s="125">
        <v>4109016088</v>
      </c>
      <c r="B31" s="159"/>
      <c r="C31" s="126"/>
      <c r="D31" s="213" t="s">
        <v>391</v>
      </c>
      <c r="E31" s="135" t="s">
        <v>487</v>
      </c>
      <c r="F31" s="125" t="s">
        <v>488</v>
      </c>
      <c r="G31" s="125" t="s">
        <v>422</v>
      </c>
      <c r="H31" s="111">
        <v>42961</v>
      </c>
      <c r="I31" s="135" t="s">
        <v>396</v>
      </c>
      <c r="J31" s="135" t="s">
        <v>397</v>
      </c>
      <c r="K31" s="128" t="s">
        <v>398</v>
      </c>
      <c r="L31" s="128" t="s">
        <v>398</v>
      </c>
      <c r="M31" s="128" t="s">
        <v>398</v>
      </c>
      <c r="N31" s="128" t="s">
        <v>398</v>
      </c>
      <c r="O31" s="128" t="s">
        <v>398</v>
      </c>
      <c r="P31" s="128" t="s">
        <v>398</v>
      </c>
      <c r="Q31" s="128" t="s">
        <v>398</v>
      </c>
      <c r="R31" s="128" t="s">
        <v>398</v>
      </c>
      <c r="S31" s="128" t="s">
        <v>398</v>
      </c>
      <c r="T31" s="128" t="s">
        <v>398</v>
      </c>
      <c r="U31" s="128" t="s">
        <v>398</v>
      </c>
      <c r="V31" s="128" t="s">
        <v>398</v>
      </c>
      <c r="W31" s="136" t="s">
        <v>398</v>
      </c>
      <c r="X31" s="135" t="s">
        <v>398</v>
      </c>
      <c r="Y31" s="113" t="s">
        <v>398</v>
      </c>
      <c r="Z31" s="113" t="s">
        <v>398</v>
      </c>
      <c r="AA31" s="126"/>
      <c r="AB31" s="113" t="s">
        <v>399</v>
      </c>
      <c r="AC31" s="111">
        <v>16954</v>
      </c>
      <c r="AD31" s="139"/>
      <c r="AE31" s="108" t="e">
        <f t="shared" si="0"/>
        <v>#NUM!</v>
      </c>
      <c r="AF31" s="138" t="s">
        <v>489</v>
      </c>
      <c r="AG31" s="126" t="s">
        <v>401</v>
      </c>
      <c r="AH31" s="131" t="s">
        <v>402</v>
      </c>
      <c r="AI31" s="125">
        <v>3</v>
      </c>
      <c r="AJ31" s="125">
        <v>2</v>
      </c>
      <c r="AK31" s="125">
        <v>0</v>
      </c>
      <c r="AL31" s="125">
        <v>0</v>
      </c>
      <c r="AM31" s="139" t="s">
        <v>490</v>
      </c>
      <c r="AN31" s="134" t="s">
        <v>444</v>
      </c>
      <c r="AO31" s="136" t="s">
        <v>398</v>
      </c>
      <c r="AP31" s="126"/>
      <c r="AQ31" s="106"/>
      <c r="AR31" s="91"/>
      <c r="AS31" s="104"/>
      <c r="AT31" s="104"/>
      <c r="AU31" s="104"/>
      <c r="AV31" s="104"/>
      <c r="AW31" s="91"/>
      <c r="AX31" s="104"/>
      <c r="AY31" s="104"/>
      <c r="AZ31" s="104"/>
      <c r="BA31" s="104"/>
      <c r="BB31" s="91"/>
      <c r="BC31" s="104"/>
      <c r="BD31" s="104"/>
      <c r="BE31" s="104"/>
      <c r="BF31" s="104"/>
      <c r="BG31" s="91"/>
      <c r="BH31" s="104"/>
      <c r="BI31" s="104"/>
      <c r="BJ31" s="104"/>
      <c r="BK31" s="104"/>
      <c r="BL31" s="91"/>
      <c r="BM31" s="104"/>
      <c r="BN31" s="104"/>
      <c r="BO31" s="104"/>
      <c r="BP31" s="104"/>
      <c r="BQ31" s="91"/>
      <c r="BR31" s="104"/>
      <c r="BS31" s="104"/>
      <c r="BT31" s="104"/>
      <c r="BU31" s="104"/>
      <c r="BV31" s="91"/>
      <c r="BW31" s="104"/>
      <c r="BX31" s="104"/>
      <c r="BY31" s="104"/>
      <c r="BZ31" s="104"/>
      <c r="CA31" s="91"/>
      <c r="CB31" s="104"/>
      <c r="CC31" s="104"/>
      <c r="CD31" s="104"/>
      <c r="CE31" s="104"/>
      <c r="CF31" s="91"/>
      <c r="CG31" s="104"/>
      <c r="CH31" s="104"/>
      <c r="CI31" s="104"/>
      <c r="CJ31" s="104"/>
      <c r="CK31" s="91"/>
      <c r="CL31" s="104"/>
      <c r="CM31" s="104"/>
      <c r="CN31" s="104"/>
      <c r="CO31" s="104"/>
      <c r="CP31" s="91"/>
      <c r="CQ31" s="104"/>
      <c r="CR31" s="104"/>
      <c r="CS31" s="104"/>
      <c r="CT31" s="104"/>
      <c r="CU31" s="91"/>
      <c r="CV31" s="104"/>
      <c r="CW31" s="104"/>
      <c r="CX31" s="104"/>
      <c r="CY31" s="104"/>
      <c r="CZ31" s="91"/>
      <c r="DA31" s="104"/>
      <c r="DB31" s="104"/>
      <c r="DC31" s="104"/>
      <c r="DD31" s="104"/>
      <c r="DE31" s="91"/>
      <c r="DF31" s="104"/>
      <c r="DG31" s="104"/>
      <c r="DH31" s="104"/>
      <c r="DI31" s="104"/>
      <c r="DJ31" s="91"/>
      <c r="DK31" s="104"/>
      <c r="DL31" s="104"/>
      <c r="DM31" s="104"/>
      <c r="DN31" s="104"/>
      <c r="DO31" s="91"/>
      <c r="DP31" s="104"/>
      <c r="DQ31" s="104"/>
      <c r="DR31" s="104"/>
      <c r="DS31" s="104"/>
      <c r="DT31" s="91"/>
      <c r="DU31" s="104"/>
      <c r="DV31" s="104"/>
      <c r="DW31" s="104"/>
      <c r="DX31" s="104"/>
      <c r="DY31" s="91"/>
      <c r="DZ31" s="104"/>
      <c r="EA31" s="104"/>
      <c r="EB31" s="104"/>
      <c r="EC31" s="104"/>
      <c r="ED31" s="91"/>
      <c r="EE31" s="104"/>
      <c r="EF31" s="104"/>
      <c r="EG31" s="104"/>
      <c r="EH31" s="104"/>
      <c r="EI31" s="91"/>
      <c r="EJ31" s="104"/>
      <c r="EK31" s="104"/>
      <c r="EL31" s="104"/>
      <c r="EM31" s="104"/>
      <c r="EN31" s="91"/>
      <c r="EO31" s="104"/>
      <c r="EP31" s="104"/>
      <c r="EQ31" s="104"/>
      <c r="ER31" s="104"/>
      <c r="ES31" s="91"/>
      <c r="ET31" s="104"/>
      <c r="EU31" s="104"/>
      <c r="EV31" s="104"/>
      <c r="EW31" s="104"/>
      <c r="EX31" s="91"/>
      <c r="EY31" s="104"/>
      <c r="EZ31" s="104"/>
      <c r="FA31" s="104"/>
      <c r="FB31" s="104"/>
      <c r="FC31" s="91"/>
      <c r="FD31" s="104"/>
      <c r="FE31" s="104"/>
      <c r="FF31" s="104"/>
      <c r="FG31" s="104"/>
      <c r="FH31" s="91"/>
      <c r="FI31" s="104"/>
      <c r="FJ31" s="104"/>
      <c r="FK31" s="104"/>
      <c r="FL31" s="104"/>
      <c r="FM31" s="104"/>
      <c r="FN31" s="104"/>
      <c r="FO31" s="104"/>
      <c r="FP31" s="104"/>
      <c r="FQ31" s="104"/>
      <c r="FR31" s="104"/>
      <c r="FS31" s="104"/>
      <c r="FT31" s="104"/>
      <c r="FU31" s="104"/>
      <c r="FV31" s="104"/>
      <c r="FW31" s="104"/>
      <c r="FX31" s="104"/>
      <c r="FY31" s="104"/>
      <c r="FZ31" s="104"/>
      <c r="GA31" s="104"/>
      <c r="GB31" s="104"/>
      <c r="GC31" s="104"/>
      <c r="GD31" s="104"/>
      <c r="GE31" s="104"/>
      <c r="GF31" s="104"/>
      <c r="GG31" s="104"/>
      <c r="GH31" s="104"/>
      <c r="GI31" s="104"/>
      <c r="GJ31" s="104"/>
      <c r="GK31" s="104"/>
      <c r="GL31" s="104"/>
      <c r="GM31" s="104"/>
      <c r="GN31" s="104"/>
      <c r="GO31" s="104"/>
      <c r="GP31" s="91"/>
      <c r="GQ31" s="104"/>
      <c r="GR31" s="104"/>
      <c r="GS31" s="104"/>
      <c r="GT31" s="104"/>
      <c r="GU31" s="91"/>
      <c r="GV31" s="104"/>
      <c r="GW31" s="104"/>
      <c r="GX31" s="104"/>
      <c r="GY31" s="104"/>
      <c r="GZ31" s="91"/>
      <c r="HA31" s="104"/>
      <c r="HB31" s="104"/>
      <c r="HC31" s="104"/>
      <c r="HD31" s="104"/>
      <c r="HE31" s="91"/>
      <c r="HF31" s="104"/>
      <c r="HG31" s="104"/>
      <c r="HH31" s="104"/>
      <c r="HI31" s="104"/>
      <c r="HJ31" s="91"/>
      <c r="HK31" s="104"/>
      <c r="HL31" s="104"/>
      <c r="HM31" s="104"/>
      <c r="HN31" s="104"/>
      <c r="HO31" s="91"/>
      <c r="HP31" s="104"/>
      <c r="HQ31" s="104"/>
      <c r="HR31" s="104"/>
      <c r="HS31" s="104"/>
      <c r="HT31" s="91"/>
      <c r="HU31" s="104"/>
      <c r="HV31" s="104"/>
      <c r="HW31" s="104"/>
      <c r="HX31" s="104"/>
      <c r="HY31" s="91"/>
      <c r="HZ31" s="104"/>
      <c r="IA31" s="104"/>
      <c r="IB31" s="104"/>
      <c r="IC31" s="104"/>
      <c r="ID31" s="91"/>
      <c r="IE31" s="104"/>
      <c r="IF31" s="104"/>
      <c r="IG31" s="104"/>
      <c r="IH31" s="104"/>
      <c r="II31" s="91"/>
      <c r="IJ31" s="104"/>
      <c r="IK31" s="104"/>
      <c r="IL31" s="104"/>
      <c r="IM31" s="104"/>
      <c r="IN31" s="91"/>
      <c r="IO31" s="104"/>
      <c r="IP31" s="104"/>
      <c r="IQ31" s="104"/>
      <c r="IR31" s="104"/>
      <c r="IS31" s="91"/>
      <c r="IT31" s="104"/>
      <c r="IU31" s="104"/>
      <c r="IV31" s="104"/>
      <c r="IW31" s="104"/>
      <c r="IX31" s="91"/>
      <c r="IY31" s="104"/>
      <c r="IZ31" s="104"/>
      <c r="JA31" s="104"/>
      <c r="JB31" s="104"/>
      <c r="JC31" s="91"/>
      <c r="JD31" s="104"/>
      <c r="JE31" s="104"/>
      <c r="JF31" s="104"/>
      <c r="JG31" s="105"/>
      <c r="JH31" s="91"/>
      <c r="JI31" s="106"/>
      <c r="JJ31" s="104"/>
      <c r="JK31" s="104"/>
      <c r="JL31" s="105"/>
      <c r="JM31" s="95"/>
      <c r="JN31" s="107"/>
      <c r="JO31" s="79"/>
      <c r="JP31" s="106"/>
      <c r="JQ31" s="104"/>
      <c r="JR31" s="104"/>
      <c r="JS31" s="104"/>
      <c r="JT31" s="104"/>
      <c r="JU31" s="104"/>
      <c r="JV31" s="104"/>
      <c r="JW31" s="104"/>
      <c r="JX31" s="104"/>
      <c r="JY31" s="104"/>
      <c r="JZ31" s="104"/>
      <c r="KA31" s="104"/>
      <c r="KB31" s="104"/>
      <c r="KC31" s="104"/>
      <c r="KD31" s="104"/>
      <c r="KE31" s="104"/>
      <c r="KF31" s="104"/>
      <c r="KG31" s="104"/>
      <c r="KH31" s="104"/>
      <c r="KI31" s="104"/>
      <c r="KJ31" s="104"/>
      <c r="KK31" s="104"/>
      <c r="KL31" s="104"/>
      <c r="KM31" s="104"/>
      <c r="KN31" s="104"/>
      <c r="KO31" s="104"/>
      <c r="KP31" s="104"/>
      <c r="KQ31" s="104"/>
      <c r="KR31" s="104"/>
      <c r="KS31" s="104"/>
      <c r="KT31" s="104"/>
      <c r="KU31" s="104"/>
      <c r="KV31" s="104"/>
      <c r="KW31" s="104"/>
      <c r="KX31" s="104"/>
      <c r="KY31" s="104"/>
      <c r="KZ31" s="104"/>
      <c r="LA31" s="104"/>
      <c r="LB31" s="104"/>
      <c r="LC31" s="104"/>
      <c r="LD31" s="104"/>
      <c r="LE31" s="104"/>
      <c r="LF31" s="104"/>
      <c r="LG31" s="104"/>
      <c r="LH31" s="104"/>
      <c r="LI31" s="104"/>
      <c r="LJ31" s="104"/>
      <c r="LK31" s="104"/>
      <c r="LL31" s="104"/>
      <c r="LM31" s="104"/>
      <c r="LN31" s="104"/>
      <c r="LO31" s="104"/>
      <c r="LP31" s="104"/>
      <c r="LQ31" s="104"/>
      <c r="LR31" s="104"/>
      <c r="LS31" s="104"/>
      <c r="LT31" s="104"/>
      <c r="LU31" s="104"/>
      <c r="LV31" s="104"/>
      <c r="LW31" s="104"/>
      <c r="LX31" s="104"/>
      <c r="LY31" s="104"/>
      <c r="LZ31" s="104"/>
      <c r="MA31" s="104"/>
      <c r="MB31" s="104"/>
      <c r="MC31" s="104"/>
      <c r="MD31" s="104"/>
      <c r="ME31" s="104"/>
      <c r="MF31" s="104"/>
      <c r="MG31" s="104"/>
      <c r="MH31" s="104"/>
      <c r="MI31" s="104"/>
      <c r="MJ31" s="104"/>
      <c r="MK31" s="104"/>
      <c r="ML31" s="104"/>
      <c r="MM31" s="104"/>
      <c r="MN31" s="104"/>
      <c r="MO31" s="104"/>
      <c r="MP31" s="104"/>
      <c r="MQ31" s="104"/>
      <c r="MR31" s="104"/>
      <c r="MS31" s="104"/>
      <c r="MT31" s="104"/>
      <c r="MU31" s="104"/>
      <c r="MV31" s="104"/>
      <c r="MW31" s="104"/>
      <c r="MX31" s="104"/>
      <c r="MY31" s="104"/>
      <c r="MZ31" s="104"/>
      <c r="NA31" s="104"/>
      <c r="NB31" s="104"/>
      <c r="NC31" s="104"/>
      <c r="ND31" s="104"/>
      <c r="NE31" s="104"/>
      <c r="NF31" s="104"/>
      <c r="NG31" s="104"/>
      <c r="NH31" s="104"/>
      <c r="NI31" s="104"/>
      <c r="NJ31" s="104"/>
      <c r="NK31" s="104"/>
      <c r="NL31" s="104"/>
      <c r="NM31" s="104"/>
      <c r="NN31" s="104"/>
      <c r="NO31" s="104"/>
      <c r="NP31" s="104"/>
      <c r="NQ31" s="104"/>
      <c r="NR31" s="104"/>
      <c r="NS31" s="104"/>
      <c r="NT31" s="104"/>
      <c r="NU31" s="104"/>
      <c r="NV31" s="104"/>
      <c r="NW31" s="104"/>
      <c r="NX31" s="104"/>
      <c r="NY31" s="104"/>
      <c r="NZ31" s="104"/>
    </row>
    <row r="32" spans="1:390" ht="15.75" customHeight="1" x14ac:dyDescent="0.3">
      <c r="A32" s="125">
        <v>4343616568</v>
      </c>
      <c r="B32" s="159"/>
      <c r="C32" s="126"/>
      <c r="D32" s="213" t="s">
        <v>391</v>
      </c>
      <c r="E32" s="135" t="s">
        <v>491</v>
      </c>
      <c r="F32" s="125" t="s">
        <v>492</v>
      </c>
      <c r="G32" s="135" t="s">
        <v>398</v>
      </c>
      <c r="H32" s="111">
        <v>42968</v>
      </c>
      <c r="I32" s="135" t="s">
        <v>458</v>
      </c>
      <c r="J32" s="135" t="s">
        <v>397</v>
      </c>
      <c r="K32" s="128" t="s">
        <v>398</v>
      </c>
      <c r="L32" s="128" t="s">
        <v>398</v>
      </c>
      <c r="M32" s="128" t="s">
        <v>398</v>
      </c>
      <c r="N32" s="128" t="s">
        <v>398</v>
      </c>
      <c r="O32" s="128" t="s">
        <v>398</v>
      </c>
      <c r="P32" s="128" t="s">
        <v>398</v>
      </c>
      <c r="Q32" s="128" t="s">
        <v>398</v>
      </c>
      <c r="R32" s="128" t="s">
        <v>398</v>
      </c>
      <c r="S32" s="128" t="s">
        <v>398</v>
      </c>
      <c r="T32" s="128" t="s">
        <v>398</v>
      </c>
      <c r="U32" s="128" t="s">
        <v>398</v>
      </c>
      <c r="V32" s="128" t="s">
        <v>398</v>
      </c>
      <c r="W32" s="136" t="s">
        <v>398</v>
      </c>
      <c r="X32" s="135" t="s">
        <v>398</v>
      </c>
      <c r="Y32" s="113" t="s">
        <v>398</v>
      </c>
      <c r="Z32" s="113" t="s">
        <v>398</v>
      </c>
      <c r="AA32" s="126"/>
      <c r="AB32" s="113" t="s">
        <v>399</v>
      </c>
      <c r="AC32" s="111">
        <v>12808</v>
      </c>
      <c r="AD32" s="139"/>
      <c r="AE32" s="108" t="e">
        <f t="shared" si="0"/>
        <v>#NUM!</v>
      </c>
      <c r="AF32" s="138" t="s">
        <v>477</v>
      </c>
      <c r="AG32" s="126" t="s">
        <v>401</v>
      </c>
      <c r="AH32" s="131" t="s">
        <v>402</v>
      </c>
      <c r="AI32" s="125" t="s">
        <v>455</v>
      </c>
      <c r="AJ32" s="125">
        <v>0</v>
      </c>
      <c r="AK32" s="125">
        <v>0</v>
      </c>
      <c r="AL32" s="125">
        <v>0</v>
      </c>
      <c r="AM32" s="139" t="s">
        <v>456</v>
      </c>
      <c r="AN32" s="134">
        <v>1</v>
      </c>
      <c r="AO32" s="136" t="s">
        <v>398</v>
      </c>
      <c r="AP32" s="126"/>
      <c r="AQ32" s="106"/>
      <c r="AR32" s="91"/>
      <c r="AS32" s="104"/>
      <c r="AT32" s="104"/>
      <c r="AU32" s="104"/>
      <c r="AV32" s="104"/>
      <c r="AW32" s="91"/>
      <c r="AX32" s="104"/>
      <c r="AY32" s="104"/>
      <c r="AZ32" s="104"/>
      <c r="BA32" s="104"/>
      <c r="BB32" s="91"/>
      <c r="BC32" s="104"/>
      <c r="BD32" s="104"/>
      <c r="BE32" s="104"/>
      <c r="BF32" s="104"/>
      <c r="BG32" s="91"/>
      <c r="BH32" s="104"/>
      <c r="BI32" s="104"/>
      <c r="BJ32" s="104"/>
      <c r="BK32" s="104"/>
      <c r="BL32" s="91"/>
      <c r="BM32" s="104"/>
      <c r="BN32" s="104"/>
      <c r="BO32" s="104"/>
      <c r="BP32" s="104"/>
      <c r="BQ32" s="91"/>
      <c r="BR32" s="104"/>
      <c r="BS32" s="104"/>
      <c r="BT32" s="104"/>
      <c r="BU32" s="104"/>
      <c r="BV32" s="91"/>
      <c r="BW32" s="104"/>
      <c r="BX32" s="104"/>
      <c r="BY32" s="104"/>
      <c r="BZ32" s="104"/>
      <c r="CA32" s="91"/>
      <c r="CB32" s="104"/>
      <c r="CC32" s="104"/>
      <c r="CD32" s="104"/>
      <c r="CE32" s="104"/>
      <c r="CF32" s="91"/>
      <c r="CG32" s="104"/>
      <c r="CH32" s="104"/>
      <c r="CI32" s="104"/>
      <c r="CJ32" s="104"/>
      <c r="CK32" s="91"/>
      <c r="CL32" s="104"/>
      <c r="CM32" s="104"/>
      <c r="CN32" s="104"/>
      <c r="CO32" s="104"/>
      <c r="CP32" s="91"/>
      <c r="CQ32" s="104"/>
      <c r="CR32" s="104"/>
      <c r="CS32" s="104"/>
      <c r="CT32" s="104"/>
      <c r="CU32" s="91"/>
      <c r="CV32" s="104"/>
      <c r="CW32" s="104"/>
      <c r="CX32" s="104"/>
      <c r="CY32" s="104"/>
      <c r="CZ32" s="91"/>
      <c r="DA32" s="104"/>
      <c r="DB32" s="104"/>
      <c r="DC32" s="104"/>
      <c r="DD32" s="104"/>
      <c r="DE32" s="91"/>
      <c r="DF32" s="104"/>
      <c r="DG32" s="104"/>
      <c r="DH32" s="104"/>
      <c r="DI32" s="104"/>
      <c r="DJ32" s="91"/>
      <c r="DK32" s="104"/>
      <c r="DL32" s="104"/>
      <c r="DM32" s="104"/>
      <c r="DN32" s="104"/>
      <c r="DO32" s="91"/>
      <c r="DP32" s="104"/>
      <c r="DQ32" s="104"/>
      <c r="DR32" s="104"/>
      <c r="DS32" s="104"/>
      <c r="DT32" s="91"/>
      <c r="DU32" s="104"/>
      <c r="DV32" s="104"/>
      <c r="DW32" s="104"/>
      <c r="DX32" s="104"/>
      <c r="DY32" s="91"/>
      <c r="DZ32" s="104"/>
      <c r="EA32" s="104"/>
      <c r="EB32" s="104"/>
      <c r="EC32" s="104"/>
      <c r="ED32" s="91"/>
      <c r="EE32" s="104"/>
      <c r="EF32" s="104"/>
      <c r="EG32" s="104"/>
      <c r="EH32" s="104"/>
      <c r="EI32" s="91"/>
      <c r="EJ32" s="104"/>
      <c r="EK32" s="104"/>
      <c r="EL32" s="104"/>
      <c r="EM32" s="104"/>
      <c r="EN32" s="91"/>
      <c r="EO32" s="104"/>
      <c r="EP32" s="104"/>
      <c r="EQ32" s="104"/>
      <c r="ER32" s="104"/>
      <c r="ES32" s="91"/>
      <c r="ET32" s="104"/>
      <c r="EU32" s="104"/>
      <c r="EV32" s="104"/>
      <c r="EW32" s="104"/>
      <c r="EX32" s="91"/>
      <c r="EY32" s="104"/>
      <c r="EZ32" s="104"/>
      <c r="FA32" s="104"/>
      <c r="FB32" s="104"/>
      <c r="FC32" s="91"/>
      <c r="FD32" s="104"/>
      <c r="FE32" s="104"/>
      <c r="FF32" s="104"/>
      <c r="FG32" s="104"/>
      <c r="FH32" s="91"/>
      <c r="FI32" s="104"/>
      <c r="FJ32" s="104"/>
      <c r="FK32" s="104"/>
      <c r="FL32" s="104"/>
      <c r="FM32" s="104"/>
      <c r="FN32" s="104"/>
      <c r="FO32" s="104"/>
      <c r="FP32" s="104"/>
      <c r="FQ32" s="104"/>
      <c r="FR32" s="104"/>
      <c r="FS32" s="104"/>
      <c r="FT32" s="104"/>
      <c r="FU32" s="104"/>
      <c r="FV32" s="104"/>
      <c r="FW32" s="104"/>
      <c r="FX32" s="104"/>
      <c r="FY32" s="104"/>
      <c r="FZ32" s="104"/>
      <c r="GA32" s="104"/>
      <c r="GB32" s="104"/>
      <c r="GC32" s="104"/>
      <c r="GD32" s="104"/>
      <c r="GE32" s="104"/>
      <c r="GF32" s="104"/>
      <c r="GG32" s="104"/>
      <c r="GH32" s="104"/>
      <c r="GI32" s="104"/>
      <c r="GJ32" s="104"/>
      <c r="GK32" s="104"/>
      <c r="GL32" s="104"/>
      <c r="GM32" s="104"/>
      <c r="GN32" s="104"/>
      <c r="GO32" s="104"/>
      <c r="GP32" s="91"/>
      <c r="GQ32" s="104"/>
      <c r="GR32" s="104"/>
      <c r="GS32" s="104"/>
      <c r="GT32" s="104"/>
      <c r="GU32" s="91"/>
      <c r="GV32" s="104"/>
      <c r="GW32" s="104"/>
      <c r="GX32" s="104"/>
      <c r="GY32" s="104"/>
      <c r="GZ32" s="91"/>
      <c r="HA32" s="104"/>
      <c r="HB32" s="104"/>
      <c r="HC32" s="104"/>
      <c r="HD32" s="104"/>
      <c r="HE32" s="91"/>
      <c r="HF32" s="104"/>
      <c r="HG32" s="104"/>
      <c r="HH32" s="104"/>
      <c r="HI32" s="104"/>
      <c r="HJ32" s="91"/>
      <c r="HK32" s="104"/>
      <c r="HL32" s="104"/>
      <c r="HM32" s="104"/>
      <c r="HN32" s="104"/>
      <c r="HO32" s="91"/>
      <c r="HP32" s="104"/>
      <c r="HQ32" s="104"/>
      <c r="HR32" s="104"/>
      <c r="HS32" s="104"/>
      <c r="HT32" s="91"/>
      <c r="HU32" s="104"/>
      <c r="HV32" s="104"/>
      <c r="HW32" s="104"/>
      <c r="HX32" s="104"/>
      <c r="HY32" s="91"/>
      <c r="HZ32" s="104"/>
      <c r="IA32" s="104"/>
      <c r="IB32" s="104"/>
      <c r="IC32" s="104"/>
      <c r="ID32" s="91"/>
      <c r="IE32" s="104"/>
      <c r="IF32" s="104"/>
      <c r="IG32" s="104"/>
      <c r="IH32" s="104"/>
      <c r="II32" s="91"/>
      <c r="IJ32" s="104"/>
      <c r="IK32" s="104"/>
      <c r="IL32" s="104"/>
      <c r="IM32" s="104"/>
      <c r="IN32" s="91"/>
      <c r="IO32" s="104"/>
      <c r="IP32" s="104"/>
      <c r="IQ32" s="104"/>
      <c r="IR32" s="104"/>
      <c r="IS32" s="91"/>
      <c r="IT32" s="104"/>
      <c r="IU32" s="104"/>
      <c r="IV32" s="104"/>
      <c r="IW32" s="104"/>
      <c r="IX32" s="91"/>
      <c r="IY32" s="104"/>
      <c r="IZ32" s="104"/>
      <c r="JA32" s="104"/>
      <c r="JB32" s="104"/>
      <c r="JC32" s="91"/>
      <c r="JD32" s="104"/>
      <c r="JE32" s="104"/>
      <c r="JF32" s="104"/>
      <c r="JG32" s="105"/>
      <c r="JH32" s="91"/>
      <c r="JI32" s="106"/>
      <c r="JJ32" s="104"/>
      <c r="JK32" s="104"/>
      <c r="JL32" s="105"/>
      <c r="JM32" s="95"/>
      <c r="JN32" s="107"/>
      <c r="JO32" s="79"/>
      <c r="JP32" s="106"/>
      <c r="JQ32" s="104"/>
      <c r="JR32" s="104"/>
      <c r="JS32" s="104"/>
      <c r="JT32" s="104"/>
      <c r="JU32" s="104"/>
      <c r="JV32" s="104"/>
      <c r="JW32" s="104"/>
      <c r="JX32" s="104"/>
      <c r="JY32" s="104"/>
      <c r="JZ32" s="104"/>
      <c r="KA32" s="104"/>
      <c r="KB32" s="104"/>
      <c r="KC32" s="104"/>
      <c r="KD32" s="104"/>
      <c r="KE32" s="104"/>
      <c r="KF32" s="104"/>
      <c r="KG32" s="104"/>
      <c r="KH32" s="104"/>
      <c r="KI32" s="104"/>
      <c r="KJ32" s="104"/>
      <c r="KK32" s="104"/>
      <c r="KL32" s="104"/>
      <c r="KM32" s="104"/>
      <c r="KN32" s="104"/>
      <c r="KO32" s="104"/>
      <c r="KP32" s="104"/>
      <c r="KQ32" s="104"/>
      <c r="KR32" s="104"/>
      <c r="KS32" s="104"/>
      <c r="KT32" s="104"/>
      <c r="KU32" s="104"/>
      <c r="KV32" s="104"/>
      <c r="KW32" s="104"/>
      <c r="KX32" s="104"/>
      <c r="KY32" s="104"/>
      <c r="KZ32" s="104"/>
      <c r="LA32" s="104"/>
      <c r="LB32" s="104"/>
      <c r="LC32" s="104"/>
      <c r="LD32" s="104"/>
      <c r="LE32" s="104"/>
      <c r="LF32" s="104"/>
      <c r="LG32" s="104"/>
      <c r="LH32" s="104"/>
      <c r="LI32" s="104"/>
      <c r="LJ32" s="104"/>
      <c r="LK32" s="104"/>
      <c r="LL32" s="104"/>
      <c r="LM32" s="104"/>
      <c r="LN32" s="104"/>
      <c r="LO32" s="104"/>
      <c r="LP32" s="104"/>
      <c r="LQ32" s="104"/>
      <c r="LR32" s="104"/>
      <c r="LS32" s="104"/>
      <c r="LT32" s="104"/>
      <c r="LU32" s="104"/>
      <c r="LV32" s="104"/>
      <c r="LW32" s="104"/>
      <c r="LX32" s="104"/>
      <c r="LY32" s="104"/>
      <c r="LZ32" s="104"/>
      <c r="MA32" s="104"/>
      <c r="MB32" s="104"/>
      <c r="MC32" s="104"/>
      <c r="MD32" s="104"/>
      <c r="ME32" s="104"/>
      <c r="MF32" s="104"/>
      <c r="MG32" s="104"/>
      <c r="MH32" s="104"/>
      <c r="MI32" s="104"/>
      <c r="MJ32" s="104"/>
      <c r="MK32" s="104"/>
      <c r="ML32" s="104"/>
      <c r="MM32" s="104"/>
      <c r="MN32" s="104"/>
      <c r="MO32" s="104"/>
      <c r="MP32" s="104"/>
      <c r="MQ32" s="104"/>
      <c r="MR32" s="104"/>
      <c r="MS32" s="104"/>
      <c r="MT32" s="104"/>
      <c r="MU32" s="104"/>
      <c r="MV32" s="104"/>
      <c r="MW32" s="104"/>
      <c r="MX32" s="104"/>
      <c r="MY32" s="104"/>
      <c r="MZ32" s="104"/>
      <c r="NA32" s="104"/>
      <c r="NB32" s="104"/>
      <c r="NC32" s="104"/>
      <c r="ND32" s="104"/>
      <c r="NE32" s="104"/>
      <c r="NF32" s="104"/>
      <c r="NG32" s="104"/>
      <c r="NH32" s="104"/>
      <c r="NI32" s="104"/>
      <c r="NJ32" s="104"/>
      <c r="NK32" s="104"/>
      <c r="NL32" s="104"/>
      <c r="NM32" s="104"/>
      <c r="NN32" s="104"/>
      <c r="NO32" s="104"/>
      <c r="NP32" s="104"/>
      <c r="NQ32" s="104"/>
      <c r="NR32" s="104"/>
      <c r="NS32" s="104"/>
      <c r="NT32" s="104"/>
      <c r="NU32" s="104"/>
      <c r="NV32" s="104"/>
      <c r="NW32" s="104"/>
      <c r="NX32" s="104"/>
      <c r="NY32" s="104"/>
      <c r="NZ32" s="104"/>
    </row>
    <row r="33" spans="1:390" ht="15.75" customHeight="1" x14ac:dyDescent="0.3">
      <c r="A33" s="125">
        <v>4483680641</v>
      </c>
      <c r="B33" s="159"/>
      <c r="C33" s="126"/>
      <c r="D33" s="213" t="s">
        <v>391</v>
      </c>
      <c r="E33" s="135" t="s">
        <v>493</v>
      </c>
      <c r="F33" s="125" t="s">
        <v>416</v>
      </c>
      <c r="G33" s="125" t="s">
        <v>426</v>
      </c>
      <c r="H33" s="111">
        <v>42970</v>
      </c>
      <c r="I33" s="135" t="s">
        <v>494</v>
      </c>
      <c r="J33" s="135" t="s">
        <v>397</v>
      </c>
      <c r="K33" s="128" t="s">
        <v>398</v>
      </c>
      <c r="L33" s="128" t="s">
        <v>398</v>
      </c>
      <c r="M33" s="128" t="s">
        <v>398</v>
      </c>
      <c r="N33" s="128" t="s">
        <v>398</v>
      </c>
      <c r="O33" s="128" t="s">
        <v>398</v>
      </c>
      <c r="P33" s="128" t="s">
        <v>398</v>
      </c>
      <c r="Q33" s="128" t="s">
        <v>398</v>
      </c>
      <c r="R33" s="128" t="s">
        <v>398</v>
      </c>
      <c r="S33" s="128" t="s">
        <v>398</v>
      </c>
      <c r="T33" s="128" t="s">
        <v>398</v>
      </c>
      <c r="U33" s="128" t="s">
        <v>398</v>
      </c>
      <c r="V33" s="128" t="s">
        <v>398</v>
      </c>
      <c r="W33" s="136" t="s">
        <v>493</v>
      </c>
      <c r="X33" s="135" t="s">
        <v>495</v>
      </c>
      <c r="Y33" s="113" t="s">
        <v>410</v>
      </c>
      <c r="Z33" s="111">
        <v>42970</v>
      </c>
      <c r="AA33" s="126"/>
      <c r="AB33" s="113" t="s">
        <v>399</v>
      </c>
      <c r="AC33" s="111">
        <v>20760</v>
      </c>
      <c r="AD33" s="139"/>
      <c r="AE33" s="108" t="e">
        <f t="shared" si="0"/>
        <v>#NUM!</v>
      </c>
      <c r="AF33" s="138" t="s">
        <v>496</v>
      </c>
      <c r="AG33" s="126" t="s">
        <v>401</v>
      </c>
      <c r="AH33" s="131" t="s">
        <v>402</v>
      </c>
      <c r="AI33" s="125">
        <v>2</v>
      </c>
      <c r="AJ33" s="125">
        <v>0</v>
      </c>
      <c r="AK33" s="125">
        <v>0</v>
      </c>
      <c r="AL33" s="125">
        <v>0</v>
      </c>
      <c r="AM33" s="139" t="s">
        <v>424</v>
      </c>
      <c r="AN33" s="134">
        <v>3</v>
      </c>
      <c r="AO33" s="136" t="s">
        <v>398</v>
      </c>
      <c r="AP33" s="126"/>
      <c r="AQ33" s="106"/>
      <c r="AR33" s="91"/>
      <c r="AS33" s="104"/>
      <c r="AT33" s="104"/>
      <c r="AU33" s="104"/>
      <c r="AV33" s="104"/>
      <c r="AW33" s="91"/>
      <c r="AX33" s="104"/>
      <c r="AY33" s="104"/>
      <c r="AZ33" s="104"/>
      <c r="BA33" s="104"/>
      <c r="BB33" s="91"/>
      <c r="BC33" s="104"/>
      <c r="BD33" s="104"/>
      <c r="BE33" s="104"/>
      <c r="BF33" s="104"/>
      <c r="BG33" s="91"/>
      <c r="BH33" s="104"/>
      <c r="BI33" s="104"/>
      <c r="BJ33" s="104"/>
      <c r="BK33" s="104"/>
      <c r="BL33" s="91"/>
      <c r="BM33" s="104"/>
      <c r="BN33" s="104"/>
      <c r="BO33" s="104"/>
      <c r="BP33" s="104"/>
      <c r="BQ33" s="91"/>
      <c r="BR33" s="104"/>
      <c r="BS33" s="104"/>
      <c r="BT33" s="104"/>
      <c r="BU33" s="104"/>
      <c r="BV33" s="91"/>
      <c r="BW33" s="104"/>
      <c r="BX33" s="104"/>
      <c r="BY33" s="104"/>
      <c r="BZ33" s="104"/>
      <c r="CA33" s="91"/>
      <c r="CB33" s="104"/>
      <c r="CC33" s="104"/>
      <c r="CD33" s="104"/>
      <c r="CE33" s="104"/>
      <c r="CF33" s="91"/>
      <c r="CG33" s="104"/>
      <c r="CH33" s="104"/>
      <c r="CI33" s="104"/>
      <c r="CJ33" s="104"/>
      <c r="CK33" s="91"/>
      <c r="CL33" s="104"/>
      <c r="CM33" s="104"/>
      <c r="CN33" s="104"/>
      <c r="CO33" s="104"/>
      <c r="CP33" s="91"/>
      <c r="CQ33" s="104"/>
      <c r="CR33" s="104"/>
      <c r="CS33" s="104"/>
      <c r="CT33" s="104"/>
      <c r="CU33" s="91"/>
      <c r="CV33" s="104"/>
      <c r="CW33" s="104"/>
      <c r="CX33" s="104"/>
      <c r="CY33" s="104"/>
      <c r="CZ33" s="91"/>
      <c r="DA33" s="104"/>
      <c r="DB33" s="104"/>
      <c r="DC33" s="104"/>
      <c r="DD33" s="104"/>
      <c r="DE33" s="91"/>
      <c r="DF33" s="104"/>
      <c r="DG33" s="104"/>
      <c r="DH33" s="104"/>
      <c r="DI33" s="104"/>
      <c r="DJ33" s="91"/>
      <c r="DK33" s="104"/>
      <c r="DL33" s="104"/>
      <c r="DM33" s="104"/>
      <c r="DN33" s="104"/>
      <c r="DO33" s="91"/>
      <c r="DP33" s="104"/>
      <c r="DQ33" s="104"/>
      <c r="DR33" s="104"/>
      <c r="DS33" s="104"/>
      <c r="DT33" s="91"/>
      <c r="DU33" s="104"/>
      <c r="DV33" s="104"/>
      <c r="DW33" s="104"/>
      <c r="DX33" s="104"/>
      <c r="DY33" s="91"/>
      <c r="DZ33" s="104"/>
      <c r="EA33" s="104"/>
      <c r="EB33" s="104"/>
      <c r="EC33" s="104"/>
      <c r="ED33" s="91"/>
      <c r="EE33" s="104"/>
      <c r="EF33" s="104"/>
      <c r="EG33" s="104"/>
      <c r="EH33" s="104"/>
      <c r="EI33" s="91"/>
      <c r="EJ33" s="104"/>
      <c r="EK33" s="104"/>
      <c r="EL33" s="104"/>
      <c r="EM33" s="104"/>
      <c r="EN33" s="91"/>
      <c r="EO33" s="104"/>
      <c r="EP33" s="104"/>
      <c r="EQ33" s="104"/>
      <c r="ER33" s="104"/>
      <c r="ES33" s="91"/>
      <c r="ET33" s="104"/>
      <c r="EU33" s="104"/>
      <c r="EV33" s="104"/>
      <c r="EW33" s="104"/>
      <c r="EX33" s="91"/>
      <c r="EY33" s="104"/>
      <c r="EZ33" s="104"/>
      <c r="FA33" s="104"/>
      <c r="FB33" s="104"/>
      <c r="FC33" s="91"/>
      <c r="FD33" s="104"/>
      <c r="FE33" s="104"/>
      <c r="FF33" s="104"/>
      <c r="FG33" s="104"/>
      <c r="FH33" s="91"/>
      <c r="FI33" s="104"/>
      <c r="FJ33" s="104"/>
      <c r="FK33" s="104"/>
      <c r="FL33" s="104"/>
      <c r="FM33" s="104"/>
      <c r="FN33" s="104"/>
      <c r="FO33" s="104"/>
      <c r="FP33" s="104"/>
      <c r="FQ33" s="104"/>
      <c r="FR33" s="104"/>
      <c r="FS33" s="104"/>
      <c r="FT33" s="104"/>
      <c r="FU33" s="104"/>
      <c r="FV33" s="104"/>
      <c r="FW33" s="104"/>
      <c r="FX33" s="104"/>
      <c r="FY33" s="104"/>
      <c r="FZ33" s="104"/>
      <c r="GA33" s="104"/>
      <c r="GB33" s="104"/>
      <c r="GC33" s="104"/>
      <c r="GD33" s="104"/>
      <c r="GE33" s="104"/>
      <c r="GF33" s="104"/>
      <c r="GG33" s="104"/>
      <c r="GH33" s="104"/>
      <c r="GI33" s="104"/>
      <c r="GJ33" s="104"/>
      <c r="GK33" s="104"/>
      <c r="GL33" s="104"/>
      <c r="GM33" s="104"/>
      <c r="GN33" s="104"/>
      <c r="GO33" s="104"/>
      <c r="GP33" s="91"/>
      <c r="GQ33" s="104"/>
      <c r="GR33" s="104"/>
      <c r="GS33" s="104"/>
      <c r="GT33" s="104"/>
      <c r="GU33" s="91"/>
      <c r="GV33" s="104"/>
      <c r="GW33" s="104"/>
      <c r="GX33" s="104"/>
      <c r="GY33" s="104"/>
      <c r="GZ33" s="91"/>
      <c r="HA33" s="104"/>
      <c r="HB33" s="104"/>
      <c r="HC33" s="104"/>
      <c r="HD33" s="104"/>
      <c r="HE33" s="91"/>
      <c r="HF33" s="104"/>
      <c r="HG33" s="104"/>
      <c r="HH33" s="104"/>
      <c r="HI33" s="104"/>
      <c r="HJ33" s="91"/>
      <c r="HK33" s="104"/>
      <c r="HL33" s="104"/>
      <c r="HM33" s="104"/>
      <c r="HN33" s="104"/>
      <c r="HO33" s="91"/>
      <c r="HP33" s="104"/>
      <c r="HQ33" s="104"/>
      <c r="HR33" s="104"/>
      <c r="HS33" s="104"/>
      <c r="HT33" s="91"/>
      <c r="HU33" s="104"/>
      <c r="HV33" s="104"/>
      <c r="HW33" s="104"/>
      <c r="HX33" s="104"/>
      <c r="HY33" s="91"/>
      <c r="HZ33" s="104"/>
      <c r="IA33" s="104"/>
      <c r="IB33" s="104"/>
      <c r="IC33" s="104"/>
      <c r="ID33" s="91"/>
      <c r="IE33" s="104"/>
      <c r="IF33" s="104"/>
      <c r="IG33" s="104"/>
      <c r="IH33" s="104"/>
      <c r="II33" s="91"/>
      <c r="IJ33" s="104"/>
      <c r="IK33" s="104"/>
      <c r="IL33" s="104"/>
      <c r="IM33" s="104"/>
      <c r="IN33" s="91"/>
      <c r="IO33" s="104"/>
      <c r="IP33" s="104"/>
      <c r="IQ33" s="104"/>
      <c r="IR33" s="104"/>
      <c r="IS33" s="91"/>
      <c r="IT33" s="104"/>
      <c r="IU33" s="104"/>
      <c r="IV33" s="104"/>
      <c r="IW33" s="104"/>
      <c r="IX33" s="91"/>
      <c r="IY33" s="104"/>
      <c r="IZ33" s="104"/>
      <c r="JA33" s="104"/>
      <c r="JB33" s="104"/>
      <c r="JC33" s="91"/>
      <c r="JD33" s="104"/>
      <c r="JE33" s="104"/>
      <c r="JF33" s="104"/>
      <c r="JG33" s="105"/>
      <c r="JH33" s="91"/>
      <c r="JI33" s="106"/>
      <c r="JJ33" s="104"/>
      <c r="JK33" s="104"/>
      <c r="JL33" s="105"/>
      <c r="JM33" s="95"/>
      <c r="JN33" s="107"/>
      <c r="JO33" s="79"/>
      <c r="JP33" s="106"/>
      <c r="JQ33" s="104"/>
      <c r="JR33" s="104"/>
      <c r="JS33" s="104"/>
      <c r="JT33" s="104"/>
      <c r="JU33" s="104"/>
      <c r="JV33" s="104"/>
      <c r="JW33" s="104"/>
      <c r="JX33" s="104"/>
      <c r="JY33" s="104"/>
      <c r="JZ33" s="104"/>
      <c r="KA33" s="104"/>
      <c r="KB33" s="104"/>
      <c r="KC33" s="104"/>
      <c r="KD33" s="104"/>
      <c r="KE33" s="104"/>
      <c r="KF33" s="104"/>
      <c r="KG33" s="104"/>
      <c r="KH33" s="104"/>
      <c r="KI33" s="104"/>
      <c r="KJ33" s="104"/>
      <c r="KK33" s="104"/>
      <c r="KL33" s="104"/>
      <c r="KM33" s="104"/>
      <c r="KN33" s="104"/>
      <c r="KO33" s="104"/>
      <c r="KP33" s="104"/>
      <c r="KQ33" s="104"/>
      <c r="KR33" s="104"/>
      <c r="KS33" s="104"/>
      <c r="KT33" s="104"/>
      <c r="KU33" s="104"/>
      <c r="KV33" s="104"/>
      <c r="KW33" s="104"/>
      <c r="KX33" s="104"/>
      <c r="KY33" s="104"/>
      <c r="KZ33" s="104"/>
      <c r="LA33" s="104"/>
      <c r="LB33" s="104"/>
      <c r="LC33" s="104"/>
      <c r="LD33" s="104"/>
      <c r="LE33" s="104"/>
      <c r="LF33" s="104"/>
      <c r="LG33" s="104"/>
      <c r="LH33" s="104"/>
      <c r="LI33" s="104"/>
      <c r="LJ33" s="104"/>
      <c r="LK33" s="104"/>
      <c r="LL33" s="104"/>
      <c r="LM33" s="104"/>
      <c r="LN33" s="104"/>
      <c r="LO33" s="104"/>
      <c r="LP33" s="104"/>
      <c r="LQ33" s="104"/>
      <c r="LR33" s="104"/>
      <c r="LS33" s="104"/>
      <c r="LT33" s="104"/>
      <c r="LU33" s="104"/>
      <c r="LV33" s="104"/>
      <c r="LW33" s="104"/>
      <c r="LX33" s="104"/>
      <c r="LY33" s="104"/>
      <c r="LZ33" s="104"/>
      <c r="MA33" s="104"/>
      <c r="MB33" s="104"/>
      <c r="MC33" s="104"/>
      <c r="MD33" s="104"/>
      <c r="ME33" s="104"/>
      <c r="MF33" s="104"/>
      <c r="MG33" s="104"/>
      <c r="MH33" s="104"/>
      <c r="MI33" s="104"/>
      <c r="MJ33" s="104"/>
      <c r="MK33" s="104"/>
      <c r="ML33" s="104"/>
      <c r="MM33" s="104"/>
      <c r="MN33" s="104"/>
      <c r="MO33" s="104"/>
      <c r="MP33" s="104"/>
      <c r="MQ33" s="104"/>
      <c r="MR33" s="104"/>
      <c r="MS33" s="104"/>
      <c r="MT33" s="104"/>
      <c r="MU33" s="104"/>
      <c r="MV33" s="104"/>
      <c r="MW33" s="104"/>
      <c r="MX33" s="104"/>
      <c r="MY33" s="104"/>
      <c r="MZ33" s="104"/>
      <c r="NA33" s="104"/>
      <c r="NB33" s="104"/>
      <c r="NC33" s="104"/>
      <c r="ND33" s="104"/>
      <c r="NE33" s="104"/>
      <c r="NF33" s="104"/>
      <c r="NG33" s="104"/>
      <c r="NH33" s="104"/>
      <c r="NI33" s="104"/>
      <c r="NJ33" s="104"/>
      <c r="NK33" s="104"/>
      <c r="NL33" s="104"/>
      <c r="NM33" s="104"/>
      <c r="NN33" s="104"/>
      <c r="NO33" s="104"/>
      <c r="NP33" s="104"/>
      <c r="NQ33" s="104"/>
      <c r="NR33" s="104"/>
      <c r="NS33" s="104"/>
      <c r="NT33" s="104"/>
      <c r="NU33" s="104"/>
      <c r="NV33" s="104"/>
      <c r="NW33" s="104"/>
      <c r="NX33" s="104"/>
      <c r="NY33" s="104"/>
      <c r="NZ33" s="104"/>
    </row>
    <row r="34" spans="1:390" ht="15.75" customHeight="1" x14ac:dyDescent="0.3">
      <c r="A34" s="125">
        <v>4347092857</v>
      </c>
      <c r="B34" s="159"/>
      <c r="C34" s="126"/>
      <c r="D34" s="213" t="s">
        <v>391</v>
      </c>
      <c r="E34" s="135" t="s">
        <v>497</v>
      </c>
      <c r="F34" s="125" t="s">
        <v>488</v>
      </c>
      <c r="G34" s="125" t="s">
        <v>422</v>
      </c>
      <c r="H34" s="111">
        <v>42976</v>
      </c>
      <c r="I34" s="135" t="s">
        <v>458</v>
      </c>
      <c r="J34" s="135" t="s">
        <v>397</v>
      </c>
      <c r="K34" s="128" t="s">
        <v>398</v>
      </c>
      <c r="L34" s="128" t="s">
        <v>398</v>
      </c>
      <c r="M34" s="128" t="s">
        <v>398</v>
      </c>
      <c r="N34" s="128" t="s">
        <v>398</v>
      </c>
      <c r="O34" s="128" t="s">
        <v>398</v>
      </c>
      <c r="P34" s="128" t="s">
        <v>398</v>
      </c>
      <c r="Q34" s="128" t="s">
        <v>398</v>
      </c>
      <c r="R34" s="128" t="s">
        <v>398</v>
      </c>
      <c r="S34" s="128" t="s">
        <v>398</v>
      </c>
      <c r="T34" s="128" t="s">
        <v>398</v>
      </c>
      <c r="U34" s="128" t="s">
        <v>398</v>
      </c>
      <c r="V34" s="128" t="s">
        <v>398</v>
      </c>
      <c r="W34" s="136" t="s">
        <v>398</v>
      </c>
      <c r="X34" s="135" t="s">
        <v>398</v>
      </c>
      <c r="Y34" s="113" t="s">
        <v>398</v>
      </c>
      <c r="Z34" s="113" t="s">
        <v>398</v>
      </c>
      <c r="AA34" s="126"/>
      <c r="AB34" s="113" t="s">
        <v>399</v>
      </c>
      <c r="AC34" s="111">
        <v>12091</v>
      </c>
      <c r="AD34" s="139"/>
      <c r="AE34" s="108" t="e">
        <f t="shared" si="0"/>
        <v>#NUM!</v>
      </c>
      <c r="AF34" s="138" t="s">
        <v>477</v>
      </c>
      <c r="AG34" s="126" t="s">
        <v>401</v>
      </c>
      <c r="AH34" s="131" t="s">
        <v>402</v>
      </c>
      <c r="AI34" s="125">
        <v>3</v>
      </c>
      <c r="AJ34" s="125">
        <v>1</v>
      </c>
      <c r="AK34" s="125">
        <v>0</v>
      </c>
      <c r="AL34" s="125">
        <v>0</v>
      </c>
      <c r="AM34" s="139" t="s">
        <v>498</v>
      </c>
      <c r="AN34" s="134">
        <v>2</v>
      </c>
      <c r="AO34" s="136" t="s">
        <v>398</v>
      </c>
      <c r="AP34" s="126"/>
      <c r="AQ34" s="106"/>
      <c r="AR34" s="91"/>
      <c r="AS34" s="104"/>
      <c r="AT34" s="104"/>
      <c r="AU34" s="104"/>
      <c r="AV34" s="104"/>
      <c r="AW34" s="91"/>
      <c r="AX34" s="104"/>
      <c r="AY34" s="104"/>
      <c r="AZ34" s="104"/>
      <c r="BA34" s="104"/>
      <c r="BB34" s="91"/>
      <c r="BC34" s="104"/>
      <c r="BD34" s="104"/>
      <c r="BE34" s="104"/>
      <c r="BF34" s="104"/>
      <c r="BG34" s="91"/>
      <c r="BH34" s="104"/>
      <c r="BI34" s="104"/>
      <c r="BJ34" s="104"/>
      <c r="BK34" s="104"/>
      <c r="BL34" s="91"/>
      <c r="BM34" s="104"/>
      <c r="BN34" s="104"/>
      <c r="BO34" s="104"/>
      <c r="BP34" s="104"/>
      <c r="BQ34" s="91"/>
      <c r="BR34" s="104"/>
      <c r="BS34" s="104"/>
      <c r="BT34" s="104"/>
      <c r="BU34" s="104"/>
      <c r="BV34" s="91"/>
      <c r="BW34" s="104"/>
      <c r="BX34" s="104"/>
      <c r="BY34" s="104"/>
      <c r="BZ34" s="104"/>
      <c r="CA34" s="91"/>
      <c r="CB34" s="104"/>
      <c r="CC34" s="104"/>
      <c r="CD34" s="104"/>
      <c r="CE34" s="104"/>
      <c r="CF34" s="91"/>
      <c r="CG34" s="104"/>
      <c r="CH34" s="104"/>
      <c r="CI34" s="104"/>
      <c r="CJ34" s="104"/>
      <c r="CK34" s="91"/>
      <c r="CL34" s="104"/>
      <c r="CM34" s="104"/>
      <c r="CN34" s="104"/>
      <c r="CO34" s="104"/>
      <c r="CP34" s="91"/>
      <c r="CQ34" s="104"/>
      <c r="CR34" s="104"/>
      <c r="CS34" s="104"/>
      <c r="CT34" s="104"/>
      <c r="CU34" s="91"/>
      <c r="CV34" s="104"/>
      <c r="CW34" s="104"/>
      <c r="CX34" s="104"/>
      <c r="CY34" s="104"/>
      <c r="CZ34" s="91"/>
      <c r="DA34" s="104"/>
      <c r="DB34" s="104"/>
      <c r="DC34" s="104"/>
      <c r="DD34" s="104"/>
      <c r="DE34" s="91"/>
      <c r="DF34" s="104"/>
      <c r="DG34" s="104"/>
      <c r="DH34" s="104"/>
      <c r="DI34" s="104"/>
      <c r="DJ34" s="91"/>
      <c r="DK34" s="104"/>
      <c r="DL34" s="104"/>
      <c r="DM34" s="104"/>
      <c r="DN34" s="104"/>
      <c r="DO34" s="91"/>
      <c r="DP34" s="104"/>
      <c r="DQ34" s="104"/>
      <c r="DR34" s="104"/>
      <c r="DS34" s="104"/>
      <c r="DT34" s="91"/>
      <c r="DU34" s="104"/>
      <c r="DV34" s="104"/>
      <c r="DW34" s="104"/>
      <c r="DX34" s="104"/>
      <c r="DY34" s="91"/>
      <c r="DZ34" s="104"/>
      <c r="EA34" s="104"/>
      <c r="EB34" s="104"/>
      <c r="EC34" s="104"/>
      <c r="ED34" s="91"/>
      <c r="EE34" s="104"/>
      <c r="EF34" s="104"/>
      <c r="EG34" s="104"/>
      <c r="EH34" s="104"/>
      <c r="EI34" s="91"/>
      <c r="EJ34" s="104"/>
      <c r="EK34" s="104"/>
      <c r="EL34" s="104"/>
      <c r="EM34" s="104"/>
      <c r="EN34" s="91"/>
      <c r="EO34" s="104"/>
      <c r="EP34" s="104"/>
      <c r="EQ34" s="104"/>
      <c r="ER34" s="104"/>
      <c r="ES34" s="91"/>
      <c r="ET34" s="104"/>
      <c r="EU34" s="104"/>
      <c r="EV34" s="104"/>
      <c r="EW34" s="104"/>
      <c r="EX34" s="91"/>
      <c r="EY34" s="104"/>
      <c r="EZ34" s="104"/>
      <c r="FA34" s="104"/>
      <c r="FB34" s="104"/>
      <c r="FC34" s="91"/>
      <c r="FD34" s="104"/>
      <c r="FE34" s="104"/>
      <c r="FF34" s="104"/>
      <c r="FG34" s="104"/>
      <c r="FH34" s="91"/>
      <c r="FI34" s="104"/>
      <c r="FJ34" s="104"/>
      <c r="FK34" s="104"/>
      <c r="FL34" s="104"/>
      <c r="FM34" s="104"/>
      <c r="FN34" s="104"/>
      <c r="FO34" s="104"/>
      <c r="FP34" s="104"/>
      <c r="FQ34" s="104"/>
      <c r="FR34" s="104"/>
      <c r="FS34" s="104"/>
      <c r="FT34" s="104"/>
      <c r="FU34" s="104"/>
      <c r="FV34" s="104"/>
      <c r="FW34" s="104"/>
      <c r="FX34" s="104"/>
      <c r="FY34" s="104"/>
      <c r="FZ34" s="104"/>
      <c r="GA34" s="104"/>
      <c r="GB34" s="104"/>
      <c r="GC34" s="104"/>
      <c r="GD34" s="104"/>
      <c r="GE34" s="104"/>
      <c r="GF34" s="104"/>
      <c r="GG34" s="104"/>
      <c r="GH34" s="104"/>
      <c r="GI34" s="104"/>
      <c r="GJ34" s="104"/>
      <c r="GK34" s="104"/>
      <c r="GL34" s="104"/>
      <c r="GM34" s="104"/>
      <c r="GN34" s="104"/>
      <c r="GO34" s="104"/>
      <c r="GP34" s="91"/>
      <c r="GQ34" s="104"/>
      <c r="GR34" s="104"/>
      <c r="GS34" s="104"/>
      <c r="GT34" s="104"/>
      <c r="GU34" s="91"/>
      <c r="GV34" s="104"/>
      <c r="GW34" s="104"/>
      <c r="GX34" s="104"/>
      <c r="GY34" s="104"/>
      <c r="GZ34" s="91"/>
      <c r="HA34" s="104"/>
      <c r="HB34" s="104"/>
      <c r="HC34" s="104"/>
      <c r="HD34" s="104"/>
      <c r="HE34" s="91"/>
      <c r="HF34" s="104"/>
      <c r="HG34" s="104"/>
      <c r="HH34" s="104"/>
      <c r="HI34" s="104"/>
      <c r="HJ34" s="91"/>
      <c r="HK34" s="104"/>
      <c r="HL34" s="104"/>
      <c r="HM34" s="104"/>
      <c r="HN34" s="104"/>
      <c r="HO34" s="91"/>
      <c r="HP34" s="104"/>
      <c r="HQ34" s="104"/>
      <c r="HR34" s="104"/>
      <c r="HS34" s="104"/>
      <c r="HT34" s="91"/>
      <c r="HU34" s="104"/>
      <c r="HV34" s="104"/>
      <c r="HW34" s="104"/>
      <c r="HX34" s="104"/>
      <c r="HY34" s="91"/>
      <c r="HZ34" s="104"/>
      <c r="IA34" s="104"/>
      <c r="IB34" s="104"/>
      <c r="IC34" s="104"/>
      <c r="ID34" s="91"/>
      <c r="IE34" s="104"/>
      <c r="IF34" s="104"/>
      <c r="IG34" s="104"/>
      <c r="IH34" s="104"/>
      <c r="II34" s="91"/>
      <c r="IJ34" s="104"/>
      <c r="IK34" s="104"/>
      <c r="IL34" s="104"/>
      <c r="IM34" s="104"/>
      <c r="IN34" s="91"/>
      <c r="IO34" s="104"/>
      <c r="IP34" s="104"/>
      <c r="IQ34" s="104"/>
      <c r="IR34" s="104"/>
      <c r="IS34" s="91"/>
      <c r="IT34" s="104"/>
      <c r="IU34" s="104"/>
      <c r="IV34" s="104"/>
      <c r="IW34" s="104"/>
      <c r="IX34" s="91"/>
      <c r="IY34" s="104"/>
      <c r="IZ34" s="104"/>
      <c r="JA34" s="104"/>
      <c r="JB34" s="104"/>
      <c r="JC34" s="91"/>
      <c r="JD34" s="104"/>
      <c r="JE34" s="104"/>
      <c r="JF34" s="104"/>
      <c r="JG34" s="105"/>
      <c r="JH34" s="91"/>
      <c r="JI34" s="106"/>
      <c r="JJ34" s="104"/>
      <c r="JK34" s="104"/>
      <c r="JL34" s="105"/>
      <c r="JM34" s="95"/>
      <c r="JN34" s="107"/>
      <c r="JO34" s="79"/>
      <c r="JP34" s="106"/>
      <c r="JQ34" s="104"/>
      <c r="JR34" s="104"/>
      <c r="JS34" s="104"/>
      <c r="JT34" s="104"/>
      <c r="JU34" s="104"/>
      <c r="JV34" s="104"/>
      <c r="JW34" s="104"/>
      <c r="JX34" s="104"/>
      <c r="JY34" s="104"/>
      <c r="JZ34" s="104"/>
      <c r="KA34" s="104"/>
      <c r="KB34" s="104"/>
      <c r="KC34" s="104"/>
      <c r="KD34" s="104"/>
      <c r="KE34" s="104"/>
      <c r="KF34" s="104"/>
      <c r="KG34" s="104"/>
      <c r="KH34" s="104"/>
      <c r="KI34" s="104"/>
      <c r="KJ34" s="104"/>
      <c r="KK34" s="104"/>
      <c r="KL34" s="104"/>
      <c r="KM34" s="104"/>
      <c r="KN34" s="104"/>
      <c r="KO34" s="104"/>
      <c r="KP34" s="104"/>
      <c r="KQ34" s="104"/>
      <c r="KR34" s="104"/>
      <c r="KS34" s="104"/>
      <c r="KT34" s="104"/>
      <c r="KU34" s="104"/>
      <c r="KV34" s="104"/>
      <c r="KW34" s="104"/>
      <c r="KX34" s="104"/>
      <c r="KY34" s="104"/>
      <c r="KZ34" s="104"/>
      <c r="LA34" s="104"/>
      <c r="LB34" s="104"/>
      <c r="LC34" s="104"/>
      <c r="LD34" s="104"/>
      <c r="LE34" s="104"/>
      <c r="LF34" s="104"/>
      <c r="LG34" s="104"/>
      <c r="LH34" s="104"/>
      <c r="LI34" s="104"/>
      <c r="LJ34" s="104"/>
      <c r="LK34" s="104"/>
      <c r="LL34" s="104"/>
      <c r="LM34" s="104"/>
      <c r="LN34" s="104"/>
      <c r="LO34" s="104"/>
      <c r="LP34" s="104"/>
      <c r="LQ34" s="104"/>
      <c r="LR34" s="104"/>
      <c r="LS34" s="104"/>
      <c r="LT34" s="104"/>
      <c r="LU34" s="104"/>
      <c r="LV34" s="104"/>
      <c r="LW34" s="104"/>
      <c r="LX34" s="104"/>
      <c r="LY34" s="104"/>
      <c r="LZ34" s="104"/>
      <c r="MA34" s="104"/>
      <c r="MB34" s="104"/>
      <c r="MC34" s="104"/>
      <c r="MD34" s="104"/>
      <c r="ME34" s="104"/>
      <c r="MF34" s="104"/>
      <c r="MG34" s="104"/>
      <c r="MH34" s="104"/>
      <c r="MI34" s="104"/>
      <c r="MJ34" s="104"/>
      <c r="MK34" s="104"/>
      <c r="ML34" s="104"/>
      <c r="MM34" s="104"/>
      <c r="MN34" s="104"/>
      <c r="MO34" s="104"/>
      <c r="MP34" s="104"/>
      <c r="MQ34" s="104"/>
      <c r="MR34" s="104"/>
      <c r="MS34" s="104"/>
      <c r="MT34" s="104"/>
      <c r="MU34" s="104"/>
      <c r="MV34" s="104"/>
      <c r="MW34" s="104"/>
      <c r="MX34" s="104"/>
      <c r="MY34" s="104"/>
      <c r="MZ34" s="104"/>
      <c r="NA34" s="104"/>
      <c r="NB34" s="104"/>
      <c r="NC34" s="104"/>
      <c r="ND34" s="104"/>
      <c r="NE34" s="104"/>
      <c r="NF34" s="104"/>
      <c r="NG34" s="104"/>
      <c r="NH34" s="104"/>
      <c r="NI34" s="104"/>
      <c r="NJ34" s="104"/>
      <c r="NK34" s="104"/>
      <c r="NL34" s="104"/>
      <c r="NM34" s="104"/>
      <c r="NN34" s="104"/>
      <c r="NO34" s="104"/>
      <c r="NP34" s="104"/>
      <c r="NQ34" s="104"/>
      <c r="NR34" s="104"/>
      <c r="NS34" s="104"/>
      <c r="NT34" s="104"/>
      <c r="NU34" s="104"/>
      <c r="NV34" s="104"/>
      <c r="NW34" s="104"/>
      <c r="NX34" s="104"/>
      <c r="NY34" s="104"/>
      <c r="NZ34" s="104"/>
    </row>
    <row r="35" spans="1:390" ht="15.75" customHeight="1" x14ac:dyDescent="0.3">
      <c r="A35" s="125">
        <v>4583119461</v>
      </c>
      <c r="B35" s="159"/>
      <c r="C35" s="126"/>
      <c r="D35" s="213" t="s">
        <v>391</v>
      </c>
      <c r="E35" s="135" t="s">
        <v>499</v>
      </c>
      <c r="F35" s="125" t="s">
        <v>416</v>
      </c>
      <c r="G35" s="125" t="s">
        <v>417</v>
      </c>
      <c r="H35" s="111">
        <v>42976</v>
      </c>
      <c r="I35" s="135" t="s">
        <v>396</v>
      </c>
      <c r="J35" s="135" t="s">
        <v>397</v>
      </c>
      <c r="K35" s="128" t="s">
        <v>398</v>
      </c>
      <c r="L35" s="128" t="s">
        <v>398</v>
      </c>
      <c r="M35" s="128" t="s">
        <v>398</v>
      </c>
      <c r="N35" s="128" t="s">
        <v>398</v>
      </c>
      <c r="O35" s="128" t="s">
        <v>398</v>
      </c>
      <c r="P35" s="128" t="s">
        <v>398</v>
      </c>
      <c r="Q35" s="128" t="s">
        <v>398</v>
      </c>
      <c r="R35" s="128" t="s">
        <v>398</v>
      </c>
      <c r="S35" s="128" t="s">
        <v>398</v>
      </c>
      <c r="T35" s="128" t="s">
        <v>398</v>
      </c>
      <c r="U35" s="128" t="s">
        <v>398</v>
      </c>
      <c r="V35" s="128" t="s">
        <v>398</v>
      </c>
      <c r="W35" s="136" t="s">
        <v>398</v>
      </c>
      <c r="X35" s="135" t="s">
        <v>398</v>
      </c>
      <c r="Y35" s="113" t="s">
        <v>398</v>
      </c>
      <c r="Z35" s="113" t="s">
        <v>398</v>
      </c>
      <c r="AA35" s="126"/>
      <c r="AB35" s="113" t="s">
        <v>399</v>
      </c>
      <c r="AC35" s="111">
        <v>20795</v>
      </c>
      <c r="AD35" s="139"/>
      <c r="AE35" s="108" t="e">
        <f t="shared" si="0"/>
        <v>#NUM!</v>
      </c>
      <c r="AF35" s="138" t="s">
        <v>477</v>
      </c>
      <c r="AG35" s="126" t="s">
        <v>401</v>
      </c>
      <c r="AH35" s="131" t="s">
        <v>402</v>
      </c>
      <c r="AI35" s="125">
        <v>3</v>
      </c>
      <c r="AJ35" s="125">
        <v>2</v>
      </c>
      <c r="AK35" s="125">
        <v>0</v>
      </c>
      <c r="AL35" s="125">
        <v>0</v>
      </c>
      <c r="AM35" s="139" t="s">
        <v>490</v>
      </c>
      <c r="AN35" s="134">
        <v>2</v>
      </c>
      <c r="AO35" s="136" t="s">
        <v>398</v>
      </c>
      <c r="AP35" s="126"/>
      <c r="AQ35" s="106"/>
      <c r="AR35" s="91"/>
      <c r="AS35" s="104"/>
      <c r="AT35" s="104"/>
      <c r="AU35" s="104"/>
      <c r="AV35" s="104"/>
      <c r="AW35" s="91"/>
      <c r="AX35" s="104"/>
      <c r="AY35" s="104"/>
      <c r="AZ35" s="104"/>
      <c r="BA35" s="104"/>
      <c r="BB35" s="91"/>
      <c r="BC35" s="104"/>
      <c r="BD35" s="104"/>
      <c r="BE35" s="104"/>
      <c r="BF35" s="104"/>
      <c r="BG35" s="91"/>
      <c r="BH35" s="104"/>
      <c r="BI35" s="104"/>
      <c r="BJ35" s="104"/>
      <c r="BK35" s="104"/>
      <c r="BL35" s="91"/>
      <c r="BM35" s="104"/>
      <c r="BN35" s="104"/>
      <c r="BO35" s="104"/>
      <c r="BP35" s="104"/>
      <c r="BQ35" s="91"/>
      <c r="BR35" s="104"/>
      <c r="BS35" s="104"/>
      <c r="BT35" s="104"/>
      <c r="BU35" s="104"/>
      <c r="BV35" s="91"/>
      <c r="BW35" s="104"/>
      <c r="BX35" s="104"/>
      <c r="BY35" s="104"/>
      <c r="BZ35" s="104"/>
      <c r="CA35" s="91"/>
      <c r="CB35" s="104"/>
      <c r="CC35" s="104"/>
      <c r="CD35" s="104"/>
      <c r="CE35" s="104"/>
      <c r="CF35" s="91"/>
      <c r="CG35" s="104"/>
      <c r="CH35" s="104"/>
      <c r="CI35" s="104"/>
      <c r="CJ35" s="104"/>
      <c r="CK35" s="91"/>
      <c r="CL35" s="104"/>
      <c r="CM35" s="104"/>
      <c r="CN35" s="104"/>
      <c r="CO35" s="104"/>
      <c r="CP35" s="91"/>
      <c r="CQ35" s="104"/>
      <c r="CR35" s="104"/>
      <c r="CS35" s="104"/>
      <c r="CT35" s="104"/>
      <c r="CU35" s="91"/>
      <c r="CV35" s="104"/>
      <c r="CW35" s="104"/>
      <c r="CX35" s="104"/>
      <c r="CY35" s="104"/>
      <c r="CZ35" s="91"/>
      <c r="DA35" s="104"/>
      <c r="DB35" s="104"/>
      <c r="DC35" s="104"/>
      <c r="DD35" s="104"/>
      <c r="DE35" s="91"/>
      <c r="DF35" s="104"/>
      <c r="DG35" s="104"/>
      <c r="DH35" s="104"/>
      <c r="DI35" s="104"/>
      <c r="DJ35" s="91"/>
      <c r="DK35" s="104"/>
      <c r="DL35" s="104"/>
      <c r="DM35" s="104"/>
      <c r="DN35" s="104"/>
      <c r="DO35" s="91"/>
      <c r="DP35" s="104"/>
      <c r="DQ35" s="104"/>
      <c r="DR35" s="104"/>
      <c r="DS35" s="104"/>
      <c r="DT35" s="91"/>
      <c r="DU35" s="104"/>
      <c r="DV35" s="104"/>
      <c r="DW35" s="104"/>
      <c r="DX35" s="104"/>
      <c r="DY35" s="91"/>
      <c r="DZ35" s="104"/>
      <c r="EA35" s="104"/>
      <c r="EB35" s="104"/>
      <c r="EC35" s="104"/>
      <c r="ED35" s="91"/>
      <c r="EE35" s="104"/>
      <c r="EF35" s="104"/>
      <c r="EG35" s="104"/>
      <c r="EH35" s="104"/>
      <c r="EI35" s="91"/>
      <c r="EJ35" s="104"/>
      <c r="EK35" s="104"/>
      <c r="EL35" s="104"/>
      <c r="EM35" s="104"/>
      <c r="EN35" s="91"/>
      <c r="EO35" s="104"/>
      <c r="EP35" s="104"/>
      <c r="EQ35" s="104"/>
      <c r="ER35" s="104"/>
      <c r="ES35" s="91"/>
      <c r="ET35" s="104"/>
      <c r="EU35" s="104"/>
      <c r="EV35" s="104"/>
      <c r="EW35" s="104"/>
      <c r="EX35" s="91"/>
      <c r="EY35" s="104"/>
      <c r="EZ35" s="104"/>
      <c r="FA35" s="104"/>
      <c r="FB35" s="104"/>
      <c r="FC35" s="91"/>
      <c r="FD35" s="104"/>
      <c r="FE35" s="104"/>
      <c r="FF35" s="104"/>
      <c r="FG35" s="104"/>
      <c r="FH35" s="91"/>
      <c r="FI35" s="104"/>
      <c r="FJ35" s="104"/>
      <c r="FK35" s="104"/>
      <c r="FL35" s="104"/>
      <c r="FM35" s="104"/>
      <c r="FN35" s="104"/>
      <c r="FO35" s="104"/>
      <c r="FP35" s="104"/>
      <c r="FQ35" s="104"/>
      <c r="FR35" s="104"/>
      <c r="FS35" s="104"/>
      <c r="FT35" s="104"/>
      <c r="FU35" s="104"/>
      <c r="FV35" s="104"/>
      <c r="FW35" s="104"/>
      <c r="FX35" s="104"/>
      <c r="FY35" s="104"/>
      <c r="FZ35" s="104"/>
      <c r="GA35" s="104"/>
      <c r="GB35" s="104"/>
      <c r="GC35" s="104"/>
      <c r="GD35" s="104"/>
      <c r="GE35" s="104"/>
      <c r="GF35" s="104"/>
      <c r="GG35" s="104"/>
      <c r="GH35" s="104"/>
      <c r="GI35" s="104"/>
      <c r="GJ35" s="104"/>
      <c r="GK35" s="104"/>
      <c r="GL35" s="104"/>
      <c r="GM35" s="104"/>
      <c r="GN35" s="104"/>
      <c r="GO35" s="104"/>
      <c r="GP35" s="91"/>
      <c r="GQ35" s="104"/>
      <c r="GR35" s="104"/>
      <c r="GS35" s="104"/>
      <c r="GT35" s="104"/>
      <c r="GU35" s="91"/>
      <c r="GV35" s="104"/>
      <c r="GW35" s="104"/>
      <c r="GX35" s="104"/>
      <c r="GY35" s="104"/>
      <c r="GZ35" s="91"/>
      <c r="HA35" s="104"/>
      <c r="HB35" s="104"/>
      <c r="HC35" s="104"/>
      <c r="HD35" s="104"/>
      <c r="HE35" s="91"/>
      <c r="HF35" s="104"/>
      <c r="HG35" s="104"/>
      <c r="HH35" s="104"/>
      <c r="HI35" s="104"/>
      <c r="HJ35" s="91"/>
      <c r="HK35" s="104"/>
      <c r="HL35" s="104"/>
      <c r="HM35" s="104"/>
      <c r="HN35" s="104"/>
      <c r="HO35" s="91"/>
      <c r="HP35" s="104"/>
      <c r="HQ35" s="104"/>
      <c r="HR35" s="104"/>
      <c r="HS35" s="104"/>
      <c r="HT35" s="91"/>
      <c r="HU35" s="104"/>
      <c r="HV35" s="104"/>
      <c r="HW35" s="104"/>
      <c r="HX35" s="104"/>
      <c r="HY35" s="91"/>
      <c r="HZ35" s="104"/>
      <c r="IA35" s="104"/>
      <c r="IB35" s="104"/>
      <c r="IC35" s="104"/>
      <c r="ID35" s="91"/>
      <c r="IE35" s="104"/>
      <c r="IF35" s="104"/>
      <c r="IG35" s="104"/>
      <c r="IH35" s="104"/>
      <c r="II35" s="91"/>
      <c r="IJ35" s="104"/>
      <c r="IK35" s="104"/>
      <c r="IL35" s="104"/>
      <c r="IM35" s="104"/>
      <c r="IN35" s="91"/>
      <c r="IO35" s="104"/>
      <c r="IP35" s="104"/>
      <c r="IQ35" s="104"/>
      <c r="IR35" s="104"/>
      <c r="IS35" s="91"/>
      <c r="IT35" s="104"/>
      <c r="IU35" s="104"/>
      <c r="IV35" s="104"/>
      <c r="IW35" s="104"/>
      <c r="IX35" s="91"/>
      <c r="IY35" s="104"/>
      <c r="IZ35" s="104"/>
      <c r="JA35" s="104"/>
      <c r="JB35" s="104"/>
      <c r="JC35" s="91"/>
      <c r="JD35" s="104"/>
      <c r="JE35" s="104"/>
      <c r="JF35" s="104"/>
      <c r="JG35" s="105"/>
      <c r="JH35" s="91"/>
      <c r="JI35" s="106"/>
      <c r="JJ35" s="104"/>
      <c r="JK35" s="104"/>
      <c r="JL35" s="105"/>
      <c r="JM35" s="95"/>
      <c r="JN35" s="107"/>
      <c r="JO35" s="79"/>
      <c r="JP35" s="106"/>
      <c r="JQ35" s="104"/>
      <c r="JR35" s="104"/>
      <c r="JS35" s="104"/>
      <c r="JT35" s="104"/>
      <c r="JU35" s="104"/>
      <c r="JV35" s="104"/>
      <c r="JW35" s="104"/>
      <c r="JX35" s="104"/>
      <c r="JY35" s="104"/>
      <c r="JZ35" s="104"/>
      <c r="KA35" s="104"/>
      <c r="KB35" s="104"/>
      <c r="KC35" s="104"/>
      <c r="KD35" s="104"/>
      <c r="KE35" s="104"/>
      <c r="KF35" s="104"/>
      <c r="KG35" s="104"/>
      <c r="KH35" s="104"/>
      <c r="KI35" s="104"/>
      <c r="KJ35" s="104"/>
      <c r="KK35" s="104"/>
      <c r="KL35" s="104"/>
      <c r="KM35" s="104"/>
      <c r="KN35" s="104"/>
      <c r="KO35" s="104"/>
      <c r="KP35" s="104"/>
      <c r="KQ35" s="104"/>
      <c r="KR35" s="104"/>
      <c r="KS35" s="104"/>
      <c r="KT35" s="104"/>
      <c r="KU35" s="104"/>
      <c r="KV35" s="104"/>
      <c r="KW35" s="104"/>
      <c r="KX35" s="104"/>
      <c r="KY35" s="104"/>
      <c r="KZ35" s="104"/>
      <c r="LA35" s="104"/>
      <c r="LB35" s="104"/>
      <c r="LC35" s="104"/>
      <c r="LD35" s="104"/>
      <c r="LE35" s="104"/>
      <c r="LF35" s="104"/>
      <c r="LG35" s="104"/>
      <c r="LH35" s="104"/>
      <c r="LI35" s="104"/>
      <c r="LJ35" s="104"/>
      <c r="LK35" s="104"/>
      <c r="LL35" s="104"/>
      <c r="LM35" s="104"/>
      <c r="LN35" s="104"/>
      <c r="LO35" s="104"/>
      <c r="LP35" s="104"/>
      <c r="LQ35" s="104"/>
      <c r="LR35" s="104"/>
      <c r="LS35" s="104"/>
      <c r="LT35" s="104"/>
      <c r="LU35" s="104"/>
      <c r="LV35" s="104"/>
      <c r="LW35" s="104"/>
      <c r="LX35" s="104"/>
      <c r="LY35" s="104"/>
      <c r="LZ35" s="104"/>
      <c r="MA35" s="104"/>
      <c r="MB35" s="104"/>
      <c r="MC35" s="104"/>
      <c r="MD35" s="104"/>
      <c r="ME35" s="104"/>
      <c r="MF35" s="104"/>
      <c r="MG35" s="104"/>
      <c r="MH35" s="104"/>
      <c r="MI35" s="104"/>
      <c r="MJ35" s="104"/>
      <c r="MK35" s="104"/>
      <c r="ML35" s="104"/>
      <c r="MM35" s="104"/>
      <c r="MN35" s="104"/>
      <c r="MO35" s="104"/>
      <c r="MP35" s="104"/>
      <c r="MQ35" s="104"/>
      <c r="MR35" s="104"/>
      <c r="MS35" s="104"/>
      <c r="MT35" s="104"/>
      <c r="MU35" s="104"/>
      <c r="MV35" s="104"/>
      <c r="MW35" s="104"/>
      <c r="MX35" s="104"/>
      <c r="MY35" s="104"/>
      <c r="MZ35" s="104"/>
      <c r="NA35" s="104"/>
      <c r="NB35" s="104"/>
      <c r="NC35" s="104"/>
      <c r="ND35" s="104"/>
      <c r="NE35" s="104"/>
      <c r="NF35" s="104"/>
      <c r="NG35" s="104"/>
      <c r="NH35" s="104"/>
      <c r="NI35" s="104"/>
      <c r="NJ35" s="104"/>
      <c r="NK35" s="104"/>
      <c r="NL35" s="104"/>
      <c r="NM35" s="104"/>
      <c r="NN35" s="104"/>
      <c r="NO35" s="104"/>
      <c r="NP35" s="104"/>
      <c r="NQ35" s="104"/>
      <c r="NR35" s="104"/>
      <c r="NS35" s="104"/>
      <c r="NT35" s="104"/>
      <c r="NU35" s="104"/>
      <c r="NV35" s="104"/>
      <c r="NW35" s="104"/>
      <c r="NX35" s="104"/>
      <c r="NY35" s="104"/>
      <c r="NZ35" s="104"/>
    </row>
    <row r="36" spans="1:390" ht="15.75" customHeight="1" x14ac:dyDescent="0.3">
      <c r="A36" s="125">
        <v>4425422260</v>
      </c>
      <c r="B36" s="159"/>
      <c r="C36" s="126"/>
      <c r="D36" s="213" t="s">
        <v>391</v>
      </c>
      <c r="E36" s="135" t="s">
        <v>500</v>
      </c>
      <c r="F36" s="125" t="s">
        <v>501</v>
      </c>
      <c r="G36" s="125" t="s">
        <v>422</v>
      </c>
      <c r="H36" s="111">
        <v>42979</v>
      </c>
      <c r="I36" s="135" t="s">
        <v>396</v>
      </c>
      <c r="J36" s="135" t="s">
        <v>397</v>
      </c>
      <c r="K36" s="128" t="s">
        <v>398</v>
      </c>
      <c r="L36" s="128" t="s">
        <v>398</v>
      </c>
      <c r="M36" s="128" t="s">
        <v>398</v>
      </c>
      <c r="N36" s="128" t="s">
        <v>398</v>
      </c>
      <c r="O36" s="128" t="s">
        <v>398</v>
      </c>
      <c r="P36" s="128" t="s">
        <v>398</v>
      </c>
      <c r="Q36" s="128" t="s">
        <v>398</v>
      </c>
      <c r="R36" s="128" t="s">
        <v>398</v>
      </c>
      <c r="S36" s="128" t="s">
        <v>398</v>
      </c>
      <c r="T36" s="128" t="s">
        <v>398</v>
      </c>
      <c r="U36" s="128" t="s">
        <v>398</v>
      </c>
      <c r="V36" s="128" t="s">
        <v>398</v>
      </c>
      <c r="W36" s="136" t="s">
        <v>398</v>
      </c>
      <c r="X36" s="135" t="s">
        <v>398</v>
      </c>
      <c r="Y36" s="113" t="s">
        <v>398</v>
      </c>
      <c r="Z36" s="113" t="s">
        <v>398</v>
      </c>
      <c r="AA36" s="126"/>
      <c r="AB36" s="113" t="s">
        <v>399</v>
      </c>
      <c r="AC36" s="111">
        <v>15300</v>
      </c>
      <c r="AD36" s="139"/>
      <c r="AE36" s="108" t="e">
        <f t="shared" si="0"/>
        <v>#NUM!</v>
      </c>
      <c r="AF36" s="138" t="s">
        <v>489</v>
      </c>
      <c r="AG36" s="126" t="s">
        <v>401</v>
      </c>
      <c r="AH36" s="131" t="s">
        <v>402</v>
      </c>
      <c r="AI36" s="125" t="s">
        <v>412</v>
      </c>
      <c r="AJ36" s="125">
        <v>0</v>
      </c>
      <c r="AK36" s="125">
        <v>0</v>
      </c>
      <c r="AL36" s="125">
        <v>0</v>
      </c>
      <c r="AM36" s="139" t="s">
        <v>414</v>
      </c>
      <c r="AN36" s="134">
        <v>3</v>
      </c>
      <c r="AO36" s="136" t="s">
        <v>398</v>
      </c>
      <c r="AP36" s="126"/>
      <c r="AQ36" s="106"/>
      <c r="AR36" s="91"/>
      <c r="AS36" s="104"/>
      <c r="AT36" s="104"/>
      <c r="AU36" s="104"/>
      <c r="AV36" s="104"/>
      <c r="AW36" s="91"/>
      <c r="AX36" s="104"/>
      <c r="AY36" s="104"/>
      <c r="AZ36" s="104"/>
      <c r="BA36" s="104"/>
      <c r="BB36" s="91"/>
      <c r="BC36" s="104"/>
      <c r="BD36" s="104"/>
      <c r="BE36" s="104"/>
      <c r="BF36" s="104"/>
      <c r="BG36" s="91"/>
      <c r="BH36" s="104"/>
      <c r="BI36" s="104"/>
      <c r="BJ36" s="104"/>
      <c r="BK36" s="104"/>
      <c r="BL36" s="91"/>
      <c r="BM36" s="104"/>
      <c r="BN36" s="104"/>
      <c r="BO36" s="104"/>
      <c r="BP36" s="104"/>
      <c r="BQ36" s="91"/>
      <c r="BR36" s="104"/>
      <c r="BS36" s="104"/>
      <c r="BT36" s="104"/>
      <c r="BU36" s="104"/>
      <c r="BV36" s="91"/>
      <c r="BW36" s="104"/>
      <c r="BX36" s="104"/>
      <c r="BY36" s="104"/>
      <c r="BZ36" s="104"/>
      <c r="CA36" s="91"/>
      <c r="CB36" s="104"/>
      <c r="CC36" s="104"/>
      <c r="CD36" s="104"/>
      <c r="CE36" s="104"/>
      <c r="CF36" s="91"/>
      <c r="CG36" s="104"/>
      <c r="CH36" s="104"/>
      <c r="CI36" s="104"/>
      <c r="CJ36" s="104"/>
      <c r="CK36" s="91"/>
      <c r="CL36" s="104"/>
      <c r="CM36" s="104"/>
      <c r="CN36" s="104"/>
      <c r="CO36" s="104"/>
      <c r="CP36" s="91"/>
      <c r="CQ36" s="104"/>
      <c r="CR36" s="104"/>
      <c r="CS36" s="104"/>
      <c r="CT36" s="104"/>
      <c r="CU36" s="91"/>
      <c r="CV36" s="104"/>
      <c r="CW36" s="104"/>
      <c r="CX36" s="104"/>
      <c r="CY36" s="104"/>
      <c r="CZ36" s="91"/>
      <c r="DA36" s="104"/>
      <c r="DB36" s="104"/>
      <c r="DC36" s="104"/>
      <c r="DD36" s="104"/>
      <c r="DE36" s="91"/>
      <c r="DF36" s="104"/>
      <c r="DG36" s="104"/>
      <c r="DH36" s="104"/>
      <c r="DI36" s="104"/>
      <c r="DJ36" s="91"/>
      <c r="DK36" s="104"/>
      <c r="DL36" s="104"/>
      <c r="DM36" s="104"/>
      <c r="DN36" s="104"/>
      <c r="DO36" s="91"/>
      <c r="DP36" s="104"/>
      <c r="DQ36" s="104"/>
      <c r="DR36" s="104"/>
      <c r="DS36" s="104"/>
      <c r="DT36" s="91"/>
      <c r="DU36" s="104"/>
      <c r="DV36" s="104"/>
      <c r="DW36" s="104"/>
      <c r="DX36" s="104"/>
      <c r="DY36" s="91"/>
      <c r="DZ36" s="104"/>
      <c r="EA36" s="104"/>
      <c r="EB36" s="104"/>
      <c r="EC36" s="104"/>
      <c r="ED36" s="91"/>
      <c r="EE36" s="104"/>
      <c r="EF36" s="104"/>
      <c r="EG36" s="104"/>
      <c r="EH36" s="104"/>
      <c r="EI36" s="91"/>
      <c r="EJ36" s="104"/>
      <c r="EK36" s="104"/>
      <c r="EL36" s="104"/>
      <c r="EM36" s="104"/>
      <c r="EN36" s="91"/>
      <c r="EO36" s="104"/>
      <c r="EP36" s="104"/>
      <c r="EQ36" s="104"/>
      <c r="ER36" s="104"/>
      <c r="ES36" s="91"/>
      <c r="ET36" s="104"/>
      <c r="EU36" s="104"/>
      <c r="EV36" s="104"/>
      <c r="EW36" s="104"/>
      <c r="EX36" s="91"/>
      <c r="EY36" s="104"/>
      <c r="EZ36" s="104"/>
      <c r="FA36" s="104"/>
      <c r="FB36" s="104"/>
      <c r="FC36" s="91"/>
      <c r="FD36" s="104"/>
      <c r="FE36" s="104"/>
      <c r="FF36" s="104"/>
      <c r="FG36" s="104"/>
      <c r="FH36" s="91"/>
      <c r="FI36" s="104"/>
      <c r="FJ36" s="104"/>
      <c r="FK36" s="104"/>
      <c r="FL36" s="104"/>
      <c r="FM36" s="104"/>
      <c r="FN36" s="104"/>
      <c r="FO36" s="104"/>
      <c r="FP36" s="104"/>
      <c r="FQ36" s="104"/>
      <c r="FR36" s="104"/>
      <c r="FS36" s="104"/>
      <c r="FT36" s="104"/>
      <c r="FU36" s="104"/>
      <c r="FV36" s="104"/>
      <c r="FW36" s="104"/>
      <c r="FX36" s="104"/>
      <c r="FY36" s="104"/>
      <c r="FZ36" s="104"/>
      <c r="GA36" s="104"/>
      <c r="GB36" s="104"/>
      <c r="GC36" s="104"/>
      <c r="GD36" s="104"/>
      <c r="GE36" s="104"/>
      <c r="GF36" s="104"/>
      <c r="GG36" s="104"/>
      <c r="GH36" s="104"/>
      <c r="GI36" s="104"/>
      <c r="GJ36" s="104"/>
      <c r="GK36" s="104"/>
      <c r="GL36" s="104"/>
      <c r="GM36" s="104"/>
      <c r="GN36" s="104"/>
      <c r="GO36" s="104"/>
      <c r="GP36" s="91"/>
      <c r="GQ36" s="104"/>
      <c r="GR36" s="104"/>
      <c r="GS36" s="104"/>
      <c r="GT36" s="104"/>
      <c r="GU36" s="91"/>
      <c r="GV36" s="104"/>
      <c r="GW36" s="104"/>
      <c r="GX36" s="104"/>
      <c r="GY36" s="104"/>
      <c r="GZ36" s="91"/>
      <c r="HA36" s="104"/>
      <c r="HB36" s="104"/>
      <c r="HC36" s="104"/>
      <c r="HD36" s="104"/>
      <c r="HE36" s="91"/>
      <c r="HF36" s="104"/>
      <c r="HG36" s="104"/>
      <c r="HH36" s="104"/>
      <c r="HI36" s="104"/>
      <c r="HJ36" s="91"/>
      <c r="HK36" s="104"/>
      <c r="HL36" s="104"/>
      <c r="HM36" s="104"/>
      <c r="HN36" s="104"/>
      <c r="HO36" s="91"/>
      <c r="HP36" s="104"/>
      <c r="HQ36" s="104"/>
      <c r="HR36" s="104"/>
      <c r="HS36" s="104"/>
      <c r="HT36" s="91"/>
      <c r="HU36" s="104"/>
      <c r="HV36" s="104"/>
      <c r="HW36" s="104"/>
      <c r="HX36" s="104"/>
      <c r="HY36" s="91"/>
      <c r="HZ36" s="104"/>
      <c r="IA36" s="104"/>
      <c r="IB36" s="104"/>
      <c r="IC36" s="104"/>
      <c r="ID36" s="91"/>
      <c r="IE36" s="104"/>
      <c r="IF36" s="104"/>
      <c r="IG36" s="104"/>
      <c r="IH36" s="104"/>
      <c r="II36" s="91"/>
      <c r="IJ36" s="104"/>
      <c r="IK36" s="104"/>
      <c r="IL36" s="104"/>
      <c r="IM36" s="104"/>
      <c r="IN36" s="91"/>
      <c r="IO36" s="104"/>
      <c r="IP36" s="104"/>
      <c r="IQ36" s="104"/>
      <c r="IR36" s="104"/>
      <c r="IS36" s="91"/>
      <c r="IT36" s="104"/>
      <c r="IU36" s="104"/>
      <c r="IV36" s="104"/>
      <c r="IW36" s="104"/>
      <c r="IX36" s="91"/>
      <c r="IY36" s="104"/>
      <c r="IZ36" s="104"/>
      <c r="JA36" s="104"/>
      <c r="JB36" s="104"/>
      <c r="JC36" s="91"/>
      <c r="JD36" s="104"/>
      <c r="JE36" s="104"/>
      <c r="JF36" s="104"/>
      <c r="JG36" s="105"/>
      <c r="JH36" s="91"/>
      <c r="JI36" s="106"/>
      <c r="JJ36" s="104"/>
      <c r="JK36" s="104"/>
      <c r="JL36" s="105"/>
      <c r="JM36" s="95"/>
      <c r="JN36" s="107"/>
      <c r="JO36" s="79"/>
      <c r="JP36" s="106"/>
      <c r="JQ36" s="104"/>
      <c r="JR36" s="104"/>
      <c r="JS36" s="104"/>
      <c r="JT36" s="104"/>
      <c r="JU36" s="104"/>
      <c r="JV36" s="104"/>
      <c r="JW36" s="104"/>
      <c r="JX36" s="104"/>
      <c r="JY36" s="104"/>
      <c r="JZ36" s="104"/>
      <c r="KA36" s="104"/>
      <c r="KB36" s="104"/>
      <c r="KC36" s="104"/>
      <c r="KD36" s="104"/>
      <c r="KE36" s="104"/>
      <c r="KF36" s="104"/>
      <c r="KG36" s="104"/>
      <c r="KH36" s="104"/>
      <c r="KI36" s="104"/>
      <c r="KJ36" s="104"/>
      <c r="KK36" s="104"/>
      <c r="KL36" s="104"/>
      <c r="KM36" s="104"/>
      <c r="KN36" s="104"/>
      <c r="KO36" s="104"/>
      <c r="KP36" s="104"/>
      <c r="KQ36" s="104"/>
      <c r="KR36" s="104"/>
      <c r="KS36" s="104"/>
      <c r="KT36" s="104"/>
      <c r="KU36" s="104"/>
      <c r="KV36" s="104"/>
      <c r="KW36" s="104"/>
      <c r="KX36" s="104"/>
      <c r="KY36" s="104"/>
      <c r="KZ36" s="104"/>
      <c r="LA36" s="104"/>
      <c r="LB36" s="104"/>
      <c r="LC36" s="104"/>
      <c r="LD36" s="104"/>
      <c r="LE36" s="104"/>
      <c r="LF36" s="104"/>
      <c r="LG36" s="104"/>
      <c r="LH36" s="104"/>
      <c r="LI36" s="104"/>
      <c r="LJ36" s="104"/>
      <c r="LK36" s="104"/>
      <c r="LL36" s="104"/>
      <c r="LM36" s="104"/>
      <c r="LN36" s="104"/>
      <c r="LO36" s="104"/>
      <c r="LP36" s="104"/>
      <c r="LQ36" s="104"/>
      <c r="LR36" s="104"/>
      <c r="LS36" s="104"/>
      <c r="LT36" s="104"/>
      <c r="LU36" s="104"/>
      <c r="LV36" s="104"/>
      <c r="LW36" s="104"/>
      <c r="LX36" s="104"/>
      <c r="LY36" s="104"/>
      <c r="LZ36" s="104"/>
      <c r="MA36" s="104"/>
      <c r="MB36" s="104"/>
      <c r="MC36" s="104"/>
      <c r="MD36" s="104"/>
      <c r="ME36" s="104"/>
      <c r="MF36" s="104"/>
      <c r="MG36" s="104"/>
      <c r="MH36" s="104"/>
      <c r="MI36" s="104"/>
      <c r="MJ36" s="104"/>
      <c r="MK36" s="104"/>
      <c r="ML36" s="104"/>
      <c r="MM36" s="104"/>
      <c r="MN36" s="104"/>
      <c r="MO36" s="104"/>
      <c r="MP36" s="104"/>
      <c r="MQ36" s="104"/>
      <c r="MR36" s="104"/>
      <c r="MS36" s="104"/>
      <c r="MT36" s="104"/>
      <c r="MU36" s="104"/>
      <c r="MV36" s="104"/>
      <c r="MW36" s="104"/>
      <c r="MX36" s="104"/>
      <c r="MY36" s="104"/>
      <c r="MZ36" s="104"/>
      <c r="NA36" s="104"/>
      <c r="NB36" s="104"/>
      <c r="NC36" s="104"/>
      <c r="ND36" s="104"/>
      <c r="NE36" s="104"/>
      <c r="NF36" s="104"/>
      <c r="NG36" s="104"/>
      <c r="NH36" s="104"/>
      <c r="NI36" s="104"/>
      <c r="NJ36" s="104"/>
      <c r="NK36" s="104"/>
      <c r="NL36" s="104"/>
      <c r="NM36" s="104"/>
      <c r="NN36" s="104"/>
      <c r="NO36" s="104"/>
      <c r="NP36" s="104"/>
      <c r="NQ36" s="104"/>
      <c r="NR36" s="104"/>
      <c r="NS36" s="104"/>
      <c r="NT36" s="104"/>
      <c r="NU36" s="104"/>
      <c r="NV36" s="104"/>
      <c r="NW36" s="104"/>
      <c r="NX36" s="104"/>
      <c r="NY36" s="104"/>
      <c r="NZ36" s="104"/>
    </row>
    <row r="37" spans="1:390" ht="15.75" customHeight="1" x14ac:dyDescent="0.3">
      <c r="A37" s="125">
        <v>4382637317</v>
      </c>
      <c r="B37" s="159"/>
      <c r="C37" s="126"/>
      <c r="D37" s="213" t="s">
        <v>391</v>
      </c>
      <c r="E37" s="135" t="s">
        <v>502</v>
      </c>
      <c r="F37" s="125" t="s">
        <v>421</v>
      </c>
      <c r="G37" s="125" t="s">
        <v>501</v>
      </c>
      <c r="H37" s="111">
        <v>42984</v>
      </c>
      <c r="I37" s="135" t="s">
        <v>396</v>
      </c>
      <c r="J37" s="135" t="s">
        <v>397</v>
      </c>
      <c r="K37" s="128" t="s">
        <v>398</v>
      </c>
      <c r="L37" s="128" t="s">
        <v>398</v>
      </c>
      <c r="M37" s="128" t="s">
        <v>398</v>
      </c>
      <c r="N37" s="128" t="s">
        <v>398</v>
      </c>
      <c r="O37" s="128" t="s">
        <v>398</v>
      </c>
      <c r="P37" s="128" t="s">
        <v>398</v>
      </c>
      <c r="Q37" s="128" t="s">
        <v>398</v>
      </c>
      <c r="R37" s="128" t="s">
        <v>398</v>
      </c>
      <c r="S37" s="128" t="s">
        <v>398</v>
      </c>
      <c r="T37" s="128" t="s">
        <v>398</v>
      </c>
      <c r="U37" s="128" t="s">
        <v>398</v>
      </c>
      <c r="V37" s="128" t="s">
        <v>398</v>
      </c>
      <c r="W37" s="136" t="s">
        <v>398</v>
      </c>
      <c r="X37" s="135" t="s">
        <v>398</v>
      </c>
      <c r="Y37" s="113" t="s">
        <v>398</v>
      </c>
      <c r="Z37" s="113" t="s">
        <v>398</v>
      </c>
      <c r="AA37" s="126"/>
      <c r="AB37" s="113" t="s">
        <v>399</v>
      </c>
      <c r="AC37" s="111">
        <v>19707</v>
      </c>
      <c r="AD37" s="139"/>
      <c r="AE37" s="108" t="e">
        <f t="shared" si="0"/>
        <v>#NUM!</v>
      </c>
      <c r="AF37" s="138" t="s">
        <v>503</v>
      </c>
      <c r="AG37" s="126" t="s">
        <v>401</v>
      </c>
      <c r="AH37" s="131" t="s">
        <v>402</v>
      </c>
      <c r="AI37" s="125" t="s">
        <v>412</v>
      </c>
      <c r="AJ37" s="125">
        <v>0</v>
      </c>
      <c r="AK37" s="125">
        <v>0</v>
      </c>
      <c r="AL37" s="125">
        <v>0</v>
      </c>
      <c r="AM37" s="139" t="s">
        <v>414</v>
      </c>
      <c r="AN37" s="134">
        <v>2</v>
      </c>
      <c r="AO37" s="136" t="s">
        <v>398</v>
      </c>
      <c r="AP37" s="126"/>
      <c r="AQ37" s="106"/>
      <c r="AR37" s="91"/>
      <c r="AS37" s="104"/>
      <c r="AT37" s="104"/>
      <c r="AU37" s="104"/>
      <c r="AV37" s="104"/>
      <c r="AW37" s="91"/>
      <c r="AX37" s="104"/>
      <c r="AY37" s="104"/>
      <c r="AZ37" s="104"/>
      <c r="BA37" s="104"/>
      <c r="BB37" s="91"/>
      <c r="BC37" s="104"/>
      <c r="BD37" s="104"/>
      <c r="BE37" s="104"/>
      <c r="BF37" s="104"/>
      <c r="BG37" s="91"/>
      <c r="BH37" s="104"/>
      <c r="BI37" s="104"/>
      <c r="BJ37" s="104"/>
      <c r="BK37" s="104"/>
      <c r="BL37" s="91"/>
      <c r="BM37" s="104"/>
      <c r="BN37" s="104"/>
      <c r="BO37" s="104"/>
      <c r="BP37" s="104"/>
      <c r="BQ37" s="91"/>
      <c r="BR37" s="104"/>
      <c r="BS37" s="104"/>
      <c r="BT37" s="104"/>
      <c r="BU37" s="104"/>
      <c r="BV37" s="91"/>
      <c r="BW37" s="104"/>
      <c r="BX37" s="104"/>
      <c r="BY37" s="104"/>
      <c r="BZ37" s="104"/>
      <c r="CA37" s="91"/>
      <c r="CB37" s="104"/>
      <c r="CC37" s="104"/>
      <c r="CD37" s="104"/>
      <c r="CE37" s="104"/>
      <c r="CF37" s="91"/>
      <c r="CG37" s="104"/>
      <c r="CH37" s="104"/>
      <c r="CI37" s="104"/>
      <c r="CJ37" s="104"/>
      <c r="CK37" s="91"/>
      <c r="CL37" s="104"/>
      <c r="CM37" s="104"/>
      <c r="CN37" s="104"/>
      <c r="CO37" s="104"/>
      <c r="CP37" s="91"/>
      <c r="CQ37" s="104"/>
      <c r="CR37" s="104"/>
      <c r="CS37" s="104"/>
      <c r="CT37" s="104"/>
      <c r="CU37" s="91"/>
      <c r="CV37" s="104"/>
      <c r="CW37" s="104"/>
      <c r="CX37" s="104"/>
      <c r="CY37" s="104"/>
      <c r="CZ37" s="91"/>
      <c r="DA37" s="104"/>
      <c r="DB37" s="104"/>
      <c r="DC37" s="104"/>
      <c r="DD37" s="104"/>
      <c r="DE37" s="91"/>
      <c r="DF37" s="104"/>
      <c r="DG37" s="104"/>
      <c r="DH37" s="104"/>
      <c r="DI37" s="104"/>
      <c r="DJ37" s="91"/>
      <c r="DK37" s="104"/>
      <c r="DL37" s="104"/>
      <c r="DM37" s="104"/>
      <c r="DN37" s="104"/>
      <c r="DO37" s="91"/>
      <c r="DP37" s="104"/>
      <c r="DQ37" s="104"/>
      <c r="DR37" s="104"/>
      <c r="DS37" s="104"/>
      <c r="DT37" s="91"/>
      <c r="DU37" s="104"/>
      <c r="DV37" s="104"/>
      <c r="DW37" s="104"/>
      <c r="DX37" s="104"/>
      <c r="DY37" s="91"/>
      <c r="DZ37" s="104"/>
      <c r="EA37" s="104"/>
      <c r="EB37" s="104"/>
      <c r="EC37" s="104"/>
      <c r="ED37" s="91"/>
      <c r="EE37" s="104"/>
      <c r="EF37" s="104"/>
      <c r="EG37" s="104"/>
      <c r="EH37" s="104"/>
      <c r="EI37" s="91"/>
      <c r="EJ37" s="104"/>
      <c r="EK37" s="104"/>
      <c r="EL37" s="104"/>
      <c r="EM37" s="104"/>
      <c r="EN37" s="91"/>
      <c r="EO37" s="104"/>
      <c r="EP37" s="104"/>
      <c r="EQ37" s="104"/>
      <c r="ER37" s="104"/>
      <c r="ES37" s="91"/>
      <c r="ET37" s="104"/>
      <c r="EU37" s="104"/>
      <c r="EV37" s="104"/>
      <c r="EW37" s="104"/>
      <c r="EX37" s="91"/>
      <c r="EY37" s="104"/>
      <c r="EZ37" s="104"/>
      <c r="FA37" s="104"/>
      <c r="FB37" s="104"/>
      <c r="FC37" s="91"/>
      <c r="FD37" s="104"/>
      <c r="FE37" s="104"/>
      <c r="FF37" s="104"/>
      <c r="FG37" s="104"/>
      <c r="FH37" s="91"/>
      <c r="FI37" s="104"/>
      <c r="FJ37" s="104"/>
      <c r="FK37" s="104"/>
      <c r="FL37" s="104"/>
      <c r="FM37" s="104"/>
      <c r="FN37" s="104"/>
      <c r="FO37" s="104"/>
      <c r="FP37" s="104"/>
      <c r="FQ37" s="104"/>
      <c r="FR37" s="104"/>
      <c r="FS37" s="104"/>
      <c r="FT37" s="104"/>
      <c r="FU37" s="104"/>
      <c r="FV37" s="104"/>
      <c r="FW37" s="104"/>
      <c r="FX37" s="104"/>
      <c r="FY37" s="104"/>
      <c r="FZ37" s="104"/>
      <c r="GA37" s="104"/>
      <c r="GB37" s="104"/>
      <c r="GC37" s="104"/>
      <c r="GD37" s="104"/>
      <c r="GE37" s="104"/>
      <c r="GF37" s="104"/>
      <c r="GG37" s="104"/>
      <c r="GH37" s="104"/>
      <c r="GI37" s="104"/>
      <c r="GJ37" s="104"/>
      <c r="GK37" s="104"/>
      <c r="GL37" s="104"/>
      <c r="GM37" s="104"/>
      <c r="GN37" s="104"/>
      <c r="GO37" s="104"/>
      <c r="GP37" s="91"/>
      <c r="GQ37" s="104"/>
      <c r="GR37" s="104"/>
      <c r="GS37" s="104"/>
      <c r="GT37" s="104"/>
      <c r="GU37" s="91"/>
      <c r="GV37" s="104"/>
      <c r="GW37" s="104"/>
      <c r="GX37" s="104"/>
      <c r="GY37" s="104"/>
      <c r="GZ37" s="91"/>
      <c r="HA37" s="104"/>
      <c r="HB37" s="104"/>
      <c r="HC37" s="104"/>
      <c r="HD37" s="104"/>
      <c r="HE37" s="91"/>
      <c r="HF37" s="104"/>
      <c r="HG37" s="104"/>
      <c r="HH37" s="104"/>
      <c r="HI37" s="104"/>
      <c r="HJ37" s="91"/>
      <c r="HK37" s="104"/>
      <c r="HL37" s="104"/>
      <c r="HM37" s="104"/>
      <c r="HN37" s="104"/>
      <c r="HO37" s="91"/>
      <c r="HP37" s="104"/>
      <c r="HQ37" s="104"/>
      <c r="HR37" s="104"/>
      <c r="HS37" s="104"/>
      <c r="HT37" s="91"/>
      <c r="HU37" s="104"/>
      <c r="HV37" s="104"/>
      <c r="HW37" s="104"/>
      <c r="HX37" s="104"/>
      <c r="HY37" s="91"/>
      <c r="HZ37" s="104"/>
      <c r="IA37" s="104"/>
      <c r="IB37" s="104"/>
      <c r="IC37" s="104"/>
      <c r="ID37" s="91"/>
      <c r="IE37" s="104"/>
      <c r="IF37" s="104"/>
      <c r="IG37" s="104"/>
      <c r="IH37" s="104"/>
      <c r="II37" s="91"/>
      <c r="IJ37" s="104"/>
      <c r="IK37" s="104"/>
      <c r="IL37" s="104"/>
      <c r="IM37" s="104"/>
      <c r="IN37" s="91"/>
      <c r="IO37" s="104"/>
      <c r="IP37" s="104"/>
      <c r="IQ37" s="104"/>
      <c r="IR37" s="104"/>
      <c r="IS37" s="91"/>
      <c r="IT37" s="104"/>
      <c r="IU37" s="104"/>
      <c r="IV37" s="104"/>
      <c r="IW37" s="104"/>
      <c r="IX37" s="91"/>
      <c r="IY37" s="104"/>
      <c r="IZ37" s="104"/>
      <c r="JA37" s="104"/>
      <c r="JB37" s="104"/>
      <c r="JC37" s="91"/>
      <c r="JD37" s="104"/>
      <c r="JE37" s="104"/>
      <c r="JF37" s="104"/>
      <c r="JG37" s="105"/>
      <c r="JH37" s="91"/>
      <c r="JI37" s="106"/>
      <c r="JJ37" s="104"/>
      <c r="JK37" s="104"/>
      <c r="JL37" s="105"/>
      <c r="JM37" s="95"/>
      <c r="JN37" s="107"/>
      <c r="JO37" s="79"/>
      <c r="JP37" s="106"/>
      <c r="JQ37" s="104"/>
      <c r="JR37" s="104"/>
      <c r="JS37" s="104"/>
      <c r="JT37" s="104"/>
      <c r="JU37" s="104"/>
      <c r="JV37" s="104"/>
      <c r="JW37" s="104"/>
      <c r="JX37" s="104"/>
      <c r="JY37" s="104"/>
      <c r="JZ37" s="104"/>
      <c r="KA37" s="104"/>
      <c r="KB37" s="104"/>
      <c r="KC37" s="104"/>
      <c r="KD37" s="104"/>
      <c r="KE37" s="104"/>
      <c r="KF37" s="104"/>
      <c r="KG37" s="104"/>
      <c r="KH37" s="104"/>
      <c r="KI37" s="104"/>
      <c r="KJ37" s="104"/>
      <c r="KK37" s="104"/>
      <c r="KL37" s="104"/>
      <c r="KM37" s="104"/>
      <c r="KN37" s="104"/>
      <c r="KO37" s="104"/>
      <c r="KP37" s="104"/>
      <c r="KQ37" s="104"/>
      <c r="KR37" s="104"/>
      <c r="KS37" s="104"/>
      <c r="KT37" s="104"/>
      <c r="KU37" s="104"/>
      <c r="KV37" s="104"/>
      <c r="KW37" s="104"/>
      <c r="KX37" s="104"/>
      <c r="KY37" s="104"/>
      <c r="KZ37" s="104"/>
      <c r="LA37" s="104"/>
      <c r="LB37" s="104"/>
      <c r="LC37" s="104"/>
      <c r="LD37" s="104"/>
      <c r="LE37" s="104"/>
      <c r="LF37" s="104"/>
      <c r="LG37" s="104"/>
      <c r="LH37" s="104"/>
      <c r="LI37" s="104"/>
      <c r="LJ37" s="104"/>
      <c r="LK37" s="104"/>
      <c r="LL37" s="104"/>
      <c r="LM37" s="104"/>
      <c r="LN37" s="104"/>
      <c r="LO37" s="104"/>
      <c r="LP37" s="104"/>
      <c r="LQ37" s="104"/>
      <c r="LR37" s="104"/>
      <c r="LS37" s="104"/>
      <c r="LT37" s="104"/>
      <c r="LU37" s="104"/>
      <c r="LV37" s="104"/>
      <c r="LW37" s="104"/>
      <c r="LX37" s="104"/>
      <c r="LY37" s="104"/>
      <c r="LZ37" s="104"/>
      <c r="MA37" s="104"/>
      <c r="MB37" s="104"/>
      <c r="MC37" s="104"/>
      <c r="MD37" s="104"/>
      <c r="ME37" s="104"/>
      <c r="MF37" s="104"/>
      <c r="MG37" s="104"/>
      <c r="MH37" s="104"/>
      <c r="MI37" s="104"/>
      <c r="MJ37" s="104"/>
      <c r="MK37" s="104"/>
      <c r="ML37" s="104"/>
      <c r="MM37" s="104"/>
      <c r="MN37" s="104"/>
      <c r="MO37" s="104"/>
      <c r="MP37" s="104"/>
      <c r="MQ37" s="104"/>
      <c r="MR37" s="104"/>
      <c r="MS37" s="104"/>
      <c r="MT37" s="104"/>
      <c r="MU37" s="104"/>
      <c r="MV37" s="104"/>
      <c r="MW37" s="104"/>
      <c r="MX37" s="104"/>
      <c r="MY37" s="104"/>
      <c r="MZ37" s="104"/>
      <c r="NA37" s="104"/>
      <c r="NB37" s="104"/>
      <c r="NC37" s="104"/>
      <c r="ND37" s="104"/>
      <c r="NE37" s="104"/>
      <c r="NF37" s="104"/>
      <c r="NG37" s="104"/>
      <c r="NH37" s="104"/>
      <c r="NI37" s="104"/>
      <c r="NJ37" s="104"/>
      <c r="NK37" s="104"/>
      <c r="NL37" s="104"/>
      <c r="NM37" s="104"/>
      <c r="NN37" s="104"/>
      <c r="NO37" s="104"/>
      <c r="NP37" s="104"/>
      <c r="NQ37" s="104"/>
      <c r="NR37" s="104"/>
      <c r="NS37" s="104"/>
      <c r="NT37" s="104"/>
      <c r="NU37" s="104"/>
      <c r="NV37" s="104"/>
      <c r="NW37" s="104"/>
      <c r="NX37" s="104"/>
      <c r="NY37" s="104"/>
      <c r="NZ37" s="104"/>
    </row>
    <row r="38" spans="1:390" ht="15.75" customHeight="1" x14ac:dyDescent="0.3">
      <c r="A38" s="125">
        <v>6263484020</v>
      </c>
      <c r="B38" s="159"/>
      <c r="C38" s="126"/>
      <c r="D38" s="213" t="s">
        <v>391</v>
      </c>
      <c r="E38" s="135" t="s">
        <v>504</v>
      </c>
      <c r="F38" s="125" t="s">
        <v>488</v>
      </c>
      <c r="G38" s="125" t="s">
        <v>422</v>
      </c>
      <c r="H38" s="111">
        <v>42989</v>
      </c>
      <c r="I38" s="135" t="s">
        <v>396</v>
      </c>
      <c r="J38" s="135" t="s">
        <v>397</v>
      </c>
      <c r="K38" s="128" t="s">
        <v>398</v>
      </c>
      <c r="L38" s="128" t="s">
        <v>398</v>
      </c>
      <c r="M38" s="128" t="s">
        <v>398</v>
      </c>
      <c r="N38" s="128" t="s">
        <v>398</v>
      </c>
      <c r="O38" s="128" t="s">
        <v>398</v>
      </c>
      <c r="P38" s="128" t="s">
        <v>398</v>
      </c>
      <c r="Q38" s="128" t="s">
        <v>398</v>
      </c>
      <c r="R38" s="128" t="s">
        <v>398</v>
      </c>
      <c r="S38" s="128" t="s">
        <v>398</v>
      </c>
      <c r="T38" s="128" t="s">
        <v>398</v>
      </c>
      <c r="U38" s="128" t="s">
        <v>398</v>
      </c>
      <c r="V38" s="128" t="s">
        <v>398</v>
      </c>
      <c r="W38" s="136" t="s">
        <v>398</v>
      </c>
      <c r="X38" s="135" t="s">
        <v>398</v>
      </c>
      <c r="Y38" s="113" t="s">
        <v>398</v>
      </c>
      <c r="Z38" s="113" t="s">
        <v>398</v>
      </c>
      <c r="AA38" s="126"/>
      <c r="AB38" s="113" t="s">
        <v>399</v>
      </c>
      <c r="AC38" s="111">
        <v>19352</v>
      </c>
      <c r="AD38" s="139"/>
      <c r="AE38" s="108" t="e">
        <f t="shared" si="0"/>
        <v>#NUM!</v>
      </c>
      <c r="AF38" s="138" t="s">
        <v>477</v>
      </c>
      <c r="AG38" s="126" t="s">
        <v>401</v>
      </c>
      <c r="AH38" s="131" t="s">
        <v>402</v>
      </c>
      <c r="AI38" s="125">
        <v>3</v>
      </c>
      <c r="AJ38" s="125">
        <v>1</v>
      </c>
      <c r="AK38" s="125">
        <v>0</v>
      </c>
      <c r="AL38" s="125">
        <v>0</v>
      </c>
      <c r="AM38" s="139" t="s">
        <v>498</v>
      </c>
      <c r="AN38" s="134">
        <v>2</v>
      </c>
      <c r="AO38" s="136" t="s">
        <v>398</v>
      </c>
      <c r="AP38" s="126"/>
      <c r="AQ38" s="106"/>
      <c r="AR38" s="91"/>
      <c r="AS38" s="104"/>
      <c r="AT38" s="104"/>
      <c r="AU38" s="104"/>
      <c r="AV38" s="104"/>
      <c r="AW38" s="91"/>
      <c r="AX38" s="104"/>
      <c r="AY38" s="104"/>
      <c r="AZ38" s="104"/>
      <c r="BA38" s="104"/>
      <c r="BB38" s="91"/>
      <c r="BC38" s="104"/>
      <c r="BD38" s="104"/>
      <c r="BE38" s="104"/>
      <c r="BF38" s="104"/>
      <c r="BG38" s="91"/>
      <c r="BH38" s="104"/>
      <c r="BI38" s="104"/>
      <c r="BJ38" s="104"/>
      <c r="BK38" s="104"/>
      <c r="BL38" s="91"/>
      <c r="BM38" s="104"/>
      <c r="BN38" s="104"/>
      <c r="BO38" s="104"/>
      <c r="BP38" s="104"/>
      <c r="BQ38" s="91"/>
      <c r="BR38" s="104"/>
      <c r="BS38" s="104"/>
      <c r="BT38" s="104"/>
      <c r="BU38" s="104"/>
      <c r="BV38" s="91"/>
      <c r="BW38" s="104"/>
      <c r="BX38" s="104"/>
      <c r="BY38" s="104"/>
      <c r="BZ38" s="104"/>
      <c r="CA38" s="91"/>
      <c r="CB38" s="104"/>
      <c r="CC38" s="104"/>
      <c r="CD38" s="104"/>
      <c r="CE38" s="104"/>
      <c r="CF38" s="91"/>
      <c r="CG38" s="104"/>
      <c r="CH38" s="104"/>
      <c r="CI38" s="104"/>
      <c r="CJ38" s="104"/>
      <c r="CK38" s="91"/>
      <c r="CL38" s="104"/>
      <c r="CM38" s="104"/>
      <c r="CN38" s="104"/>
      <c r="CO38" s="104"/>
      <c r="CP38" s="91"/>
      <c r="CQ38" s="104"/>
      <c r="CR38" s="104"/>
      <c r="CS38" s="104"/>
      <c r="CT38" s="104"/>
      <c r="CU38" s="91"/>
      <c r="CV38" s="104"/>
      <c r="CW38" s="104"/>
      <c r="CX38" s="104"/>
      <c r="CY38" s="104"/>
      <c r="CZ38" s="91"/>
      <c r="DA38" s="104"/>
      <c r="DB38" s="104"/>
      <c r="DC38" s="104"/>
      <c r="DD38" s="104"/>
      <c r="DE38" s="91"/>
      <c r="DF38" s="104"/>
      <c r="DG38" s="104"/>
      <c r="DH38" s="104"/>
      <c r="DI38" s="104"/>
      <c r="DJ38" s="91"/>
      <c r="DK38" s="104"/>
      <c r="DL38" s="104"/>
      <c r="DM38" s="104"/>
      <c r="DN38" s="104"/>
      <c r="DO38" s="91"/>
      <c r="DP38" s="104"/>
      <c r="DQ38" s="104"/>
      <c r="DR38" s="104"/>
      <c r="DS38" s="104"/>
      <c r="DT38" s="91"/>
      <c r="DU38" s="104"/>
      <c r="DV38" s="104"/>
      <c r="DW38" s="104"/>
      <c r="DX38" s="104"/>
      <c r="DY38" s="91"/>
      <c r="DZ38" s="104"/>
      <c r="EA38" s="104"/>
      <c r="EB38" s="104"/>
      <c r="EC38" s="104"/>
      <c r="ED38" s="91"/>
      <c r="EE38" s="104"/>
      <c r="EF38" s="104"/>
      <c r="EG38" s="104"/>
      <c r="EH38" s="104"/>
      <c r="EI38" s="91"/>
      <c r="EJ38" s="104"/>
      <c r="EK38" s="104"/>
      <c r="EL38" s="104"/>
      <c r="EM38" s="104"/>
      <c r="EN38" s="91"/>
      <c r="EO38" s="104"/>
      <c r="EP38" s="104"/>
      <c r="EQ38" s="104"/>
      <c r="ER38" s="104"/>
      <c r="ES38" s="91"/>
      <c r="ET38" s="104"/>
      <c r="EU38" s="104"/>
      <c r="EV38" s="104"/>
      <c r="EW38" s="104"/>
      <c r="EX38" s="91"/>
      <c r="EY38" s="104"/>
      <c r="EZ38" s="104"/>
      <c r="FA38" s="104"/>
      <c r="FB38" s="104"/>
      <c r="FC38" s="91"/>
      <c r="FD38" s="104"/>
      <c r="FE38" s="104"/>
      <c r="FF38" s="104"/>
      <c r="FG38" s="104"/>
      <c r="FH38" s="91"/>
      <c r="FI38" s="104"/>
      <c r="FJ38" s="104"/>
      <c r="FK38" s="104"/>
      <c r="FL38" s="104"/>
      <c r="FM38" s="104"/>
      <c r="FN38" s="104"/>
      <c r="FO38" s="104"/>
      <c r="FP38" s="104"/>
      <c r="FQ38" s="104"/>
      <c r="FR38" s="104"/>
      <c r="FS38" s="104"/>
      <c r="FT38" s="104"/>
      <c r="FU38" s="104"/>
      <c r="FV38" s="104"/>
      <c r="FW38" s="104"/>
      <c r="FX38" s="104"/>
      <c r="FY38" s="104"/>
      <c r="FZ38" s="104"/>
      <c r="GA38" s="104"/>
      <c r="GB38" s="104"/>
      <c r="GC38" s="104"/>
      <c r="GD38" s="104"/>
      <c r="GE38" s="104"/>
      <c r="GF38" s="104"/>
      <c r="GG38" s="104"/>
      <c r="GH38" s="104"/>
      <c r="GI38" s="104"/>
      <c r="GJ38" s="104"/>
      <c r="GK38" s="104"/>
      <c r="GL38" s="104"/>
      <c r="GM38" s="104"/>
      <c r="GN38" s="104"/>
      <c r="GO38" s="104"/>
      <c r="GP38" s="91"/>
      <c r="GQ38" s="104"/>
      <c r="GR38" s="104"/>
      <c r="GS38" s="104"/>
      <c r="GT38" s="104"/>
      <c r="GU38" s="91"/>
      <c r="GV38" s="104"/>
      <c r="GW38" s="104"/>
      <c r="GX38" s="104"/>
      <c r="GY38" s="104"/>
      <c r="GZ38" s="91"/>
      <c r="HA38" s="104"/>
      <c r="HB38" s="104"/>
      <c r="HC38" s="104"/>
      <c r="HD38" s="104"/>
      <c r="HE38" s="91"/>
      <c r="HF38" s="104"/>
      <c r="HG38" s="104"/>
      <c r="HH38" s="104"/>
      <c r="HI38" s="104"/>
      <c r="HJ38" s="91"/>
      <c r="HK38" s="104"/>
      <c r="HL38" s="104"/>
      <c r="HM38" s="104"/>
      <c r="HN38" s="104"/>
      <c r="HO38" s="91"/>
      <c r="HP38" s="104"/>
      <c r="HQ38" s="104"/>
      <c r="HR38" s="104"/>
      <c r="HS38" s="104"/>
      <c r="HT38" s="91"/>
      <c r="HU38" s="104"/>
      <c r="HV38" s="104"/>
      <c r="HW38" s="104"/>
      <c r="HX38" s="104"/>
      <c r="HY38" s="91"/>
      <c r="HZ38" s="104"/>
      <c r="IA38" s="104"/>
      <c r="IB38" s="104"/>
      <c r="IC38" s="104"/>
      <c r="ID38" s="91"/>
      <c r="IE38" s="104"/>
      <c r="IF38" s="104"/>
      <c r="IG38" s="104"/>
      <c r="IH38" s="104"/>
      <c r="II38" s="91"/>
      <c r="IJ38" s="104"/>
      <c r="IK38" s="104"/>
      <c r="IL38" s="104"/>
      <c r="IM38" s="104"/>
      <c r="IN38" s="91"/>
      <c r="IO38" s="104"/>
      <c r="IP38" s="104"/>
      <c r="IQ38" s="104"/>
      <c r="IR38" s="104"/>
      <c r="IS38" s="91"/>
      <c r="IT38" s="104"/>
      <c r="IU38" s="104"/>
      <c r="IV38" s="104"/>
      <c r="IW38" s="104"/>
      <c r="IX38" s="91"/>
      <c r="IY38" s="104"/>
      <c r="IZ38" s="104"/>
      <c r="JA38" s="104"/>
      <c r="JB38" s="104"/>
      <c r="JC38" s="91"/>
      <c r="JD38" s="104"/>
      <c r="JE38" s="104"/>
      <c r="JF38" s="104"/>
      <c r="JG38" s="105"/>
      <c r="JH38" s="91"/>
      <c r="JI38" s="106"/>
      <c r="JJ38" s="104"/>
      <c r="JK38" s="104"/>
      <c r="JL38" s="105"/>
      <c r="JM38" s="95"/>
      <c r="JN38" s="107"/>
      <c r="JO38" s="79"/>
      <c r="JP38" s="106"/>
      <c r="JQ38" s="104"/>
      <c r="JR38" s="104"/>
      <c r="JS38" s="104"/>
      <c r="JT38" s="104"/>
      <c r="JU38" s="104"/>
      <c r="JV38" s="104"/>
      <c r="JW38" s="104"/>
      <c r="JX38" s="104"/>
      <c r="JY38" s="104"/>
      <c r="JZ38" s="104"/>
      <c r="KA38" s="104"/>
      <c r="KB38" s="104"/>
      <c r="KC38" s="104"/>
      <c r="KD38" s="104"/>
      <c r="KE38" s="104"/>
      <c r="KF38" s="104"/>
      <c r="KG38" s="104"/>
      <c r="KH38" s="104"/>
      <c r="KI38" s="104"/>
      <c r="KJ38" s="104"/>
      <c r="KK38" s="104"/>
      <c r="KL38" s="104"/>
      <c r="KM38" s="104"/>
      <c r="KN38" s="104"/>
      <c r="KO38" s="104"/>
      <c r="KP38" s="104"/>
      <c r="KQ38" s="104"/>
      <c r="KR38" s="104"/>
      <c r="KS38" s="104"/>
      <c r="KT38" s="104"/>
      <c r="KU38" s="104"/>
      <c r="KV38" s="104"/>
      <c r="KW38" s="104"/>
      <c r="KX38" s="104"/>
      <c r="KY38" s="104"/>
      <c r="KZ38" s="104"/>
      <c r="LA38" s="104"/>
      <c r="LB38" s="104"/>
      <c r="LC38" s="104"/>
      <c r="LD38" s="104"/>
      <c r="LE38" s="104"/>
      <c r="LF38" s="104"/>
      <c r="LG38" s="104"/>
      <c r="LH38" s="104"/>
      <c r="LI38" s="104"/>
      <c r="LJ38" s="104"/>
      <c r="LK38" s="104"/>
      <c r="LL38" s="104"/>
      <c r="LM38" s="104"/>
      <c r="LN38" s="104"/>
      <c r="LO38" s="104"/>
      <c r="LP38" s="104"/>
      <c r="LQ38" s="104"/>
      <c r="LR38" s="104"/>
      <c r="LS38" s="104"/>
      <c r="LT38" s="104"/>
      <c r="LU38" s="104"/>
      <c r="LV38" s="104"/>
      <c r="LW38" s="104"/>
      <c r="LX38" s="104"/>
      <c r="LY38" s="104"/>
      <c r="LZ38" s="104"/>
      <c r="MA38" s="104"/>
      <c r="MB38" s="104"/>
      <c r="MC38" s="104"/>
      <c r="MD38" s="104"/>
      <c r="ME38" s="104"/>
      <c r="MF38" s="104"/>
      <c r="MG38" s="104"/>
      <c r="MH38" s="104"/>
      <c r="MI38" s="104"/>
      <c r="MJ38" s="104"/>
      <c r="MK38" s="104"/>
      <c r="ML38" s="104"/>
      <c r="MM38" s="104"/>
      <c r="MN38" s="104"/>
      <c r="MO38" s="104"/>
      <c r="MP38" s="104"/>
      <c r="MQ38" s="104"/>
      <c r="MR38" s="104"/>
      <c r="MS38" s="104"/>
      <c r="MT38" s="104"/>
      <c r="MU38" s="104"/>
      <c r="MV38" s="104"/>
      <c r="MW38" s="104"/>
      <c r="MX38" s="104"/>
      <c r="MY38" s="104"/>
      <c r="MZ38" s="104"/>
      <c r="NA38" s="104"/>
      <c r="NB38" s="104"/>
      <c r="NC38" s="104"/>
      <c r="ND38" s="104"/>
      <c r="NE38" s="104"/>
      <c r="NF38" s="104"/>
      <c r="NG38" s="104"/>
      <c r="NH38" s="104"/>
      <c r="NI38" s="104"/>
      <c r="NJ38" s="104"/>
      <c r="NK38" s="104"/>
      <c r="NL38" s="104"/>
      <c r="NM38" s="104"/>
      <c r="NN38" s="104"/>
      <c r="NO38" s="104"/>
      <c r="NP38" s="104"/>
      <c r="NQ38" s="104"/>
      <c r="NR38" s="104"/>
      <c r="NS38" s="104"/>
      <c r="NT38" s="104"/>
      <c r="NU38" s="104"/>
      <c r="NV38" s="104"/>
      <c r="NW38" s="104"/>
      <c r="NX38" s="104"/>
      <c r="NY38" s="104"/>
      <c r="NZ38" s="104"/>
    </row>
    <row r="39" spans="1:390" ht="15.75" customHeight="1" x14ac:dyDescent="0.3">
      <c r="A39" s="125">
        <v>4508116930</v>
      </c>
      <c r="B39" s="159"/>
      <c r="C39" s="126"/>
      <c r="D39" s="213" t="s">
        <v>391</v>
      </c>
      <c r="E39" s="135" t="s">
        <v>505</v>
      </c>
      <c r="F39" s="125" t="s">
        <v>422</v>
      </c>
      <c r="G39" s="125" t="s">
        <v>488</v>
      </c>
      <c r="H39" s="111">
        <v>43000</v>
      </c>
      <c r="I39" s="135" t="s">
        <v>506</v>
      </c>
      <c r="J39" s="135" t="s">
        <v>397</v>
      </c>
      <c r="K39" s="128" t="s">
        <v>398</v>
      </c>
      <c r="L39" s="128" t="s">
        <v>398</v>
      </c>
      <c r="M39" s="128" t="s">
        <v>398</v>
      </c>
      <c r="N39" s="128" t="s">
        <v>398</v>
      </c>
      <c r="O39" s="128" t="s">
        <v>398</v>
      </c>
      <c r="P39" s="128" t="s">
        <v>398</v>
      </c>
      <c r="Q39" s="128" t="s">
        <v>398</v>
      </c>
      <c r="R39" s="128" t="s">
        <v>398</v>
      </c>
      <c r="S39" s="128" t="s">
        <v>398</v>
      </c>
      <c r="T39" s="128" t="s">
        <v>398</v>
      </c>
      <c r="U39" s="128" t="s">
        <v>398</v>
      </c>
      <c r="V39" s="128" t="s">
        <v>398</v>
      </c>
      <c r="W39" s="136" t="s">
        <v>505</v>
      </c>
      <c r="X39" s="135" t="s">
        <v>507</v>
      </c>
      <c r="Y39" s="113" t="s">
        <v>432</v>
      </c>
      <c r="Z39" s="111">
        <v>43000</v>
      </c>
      <c r="AA39" s="126"/>
      <c r="AB39" s="113" t="s">
        <v>399</v>
      </c>
      <c r="AC39" s="111">
        <v>17624</v>
      </c>
      <c r="AD39" s="139"/>
      <c r="AE39" s="108" t="e">
        <f t="shared" si="0"/>
        <v>#NUM!</v>
      </c>
      <c r="AF39" s="138" t="s">
        <v>508</v>
      </c>
      <c r="AG39" s="126" t="s">
        <v>401</v>
      </c>
      <c r="AH39" s="131" t="s">
        <v>402</v>
      </c>
      <c r="AI39" s="125" t="s">
        <v>412</v>
      </c>
      <c r="AJ39" s="125">
        <v>0</v>
      </c>
      <c r="AK39" s="125">
        <v>0</v>
      </c>
      <c r="AL39" s="125">
        <v>0</v>
      </c>
      <c r="AM39" s="139" t="s">
        <v>414</v>
      </c>
      <c r="AN39" s="134">
        <v>3</v>
      </c>
      <c r="AO39" s="136" t="s">
        <v>398</v>
      </c>
      <c r="AP39" s="126"/>
      <c r="AQ39" s="106"/>
      <c r="AR39" s="91"/>
      <c r="AS39" s="104"/>
      <c r="AT39" s="104"/>
      <c r="AU39" s="104"/>
      <c r="AV39" s="104"/>
      <c r="AW39" s="91"/>
      <c r="AX39" s="104"/>
      <c r="AY39" s="104"/>
      <c r="AZ39" s="104"/>
      <c r="BA39" s="104"/>
      <c r="BB39" s="91"/>
      <c r="BC39" s="104"/>
      <c r="BD39" s="104"/>
      <c r="BE39" s="104"/>
      <c r="BF39" s="104"/>
      <c r="BG39" s="91"/>
      <c r="BH39" s="104"/>
      <c r="BI39" s="104"/>
      <c r="BJ39" s="104"/>
      <c r="BK39" s="104"/>
      <c r="BL39" s="91"/>
      <c r="BM39" s="104"/>
      <c r="BN39" s="104"/>
      <c r="BO39" s="104"/>
      <c r="BP39" s="104"/>
      <c r="BQ39" s="91"/>
      <c r="BR39" s="104"/>
      <c r="BS39" s="104"/>
      <c r="BT39" s="104"/>
      <c r="BU39" s="104"/>
      <c r="BV39" s="91"/>
      <c r="BW39" s="104"/>
      <c r="BX39" s="104"/>
      <c r="BY39" s="104"/>
      <c r="BZ39" s="104"/>
      <c r="CA39" s="91"/>
      <c r="CB39" s="104"/>
      <c r="CC39" s="104"/>
      <c r="CD39" s="104"/>
      <c r="CE39" s="104"/>
      <c r="CF39" s="91"/>
      <c r="CG39" s="104"/>
      <c r="CH39" s="104"/>
      <c r="CI39" s="104"/>
      <c r="CJ39" s="104"/>
      <c r="CK39" s="91"/>
      <c r="CL39" s="104"/>
      <c r="CM39" s="104"/>
      <c r="CN39" s="104"/>
      <c r="CO39" s="104"/>
      <c r="CP39" s="91"/>
      <c r="CQ39" s="104"/>
      <c r="CR39" s="104"/>
      <c r="CS39" s="104"/>
      <c r="CT39" s="104"/>
      <c r="CU39" s="91"/>
      <c r="CV39" s="104"/>
      <c r="CW39" s="104"/>
      <c r="CX39" s="104"/>
      <c r="CY39" s="104"/>
      <c r="CZ39" s="91"/>
      <c r="DA39" s="104"/>
      <c r="DB39" s="104"/>
      <c r="DC39" s="104"/>
      <c r="DD39" s="104"/>
      <c r="DE39" s="91"/>
      <c r="DF39" s="104"/>
      <c r="DG39" s="104"/>
      <c r="DH39" s="104"/>
      <c r="DI39" s="104"/>
      <c r="DJ39" s="91"/>
      <c r="DK39" s="104"/>
      <c r="DL39" s="104"/>
      <c r="DM39" s="104"/>
      <c r="DN39" s="104"/>
      <c r="DO39" s="91"/>
      <c r="DP39" s="104"/>
      <c r="DQ39" s="104"/>
      <c r="DR39" s="104"/>
      <c r="DS39" s="104"/>
      <c r="DT39" s="91"/>
      <c r="DU39" s="104"/>
      <c r="DV39" s="104"/>
      <c r="DW39" s="104"/>
      <c r="DX39" s="104"/>
      <c r="DY39" s="91"/>
      <c r="DZ39" s="104"/>
      <c r="EA39" s="104"/>
      <c r="EB39" s="104"/>
      <c r="EC39" s="104"/>
      <c r="ED39" s="91"/>
      <c r="EE39" s="104"/>
      <c r="EF39" s="104"/>
      <c r="EG39" s="104"/>
      <c r="EH39" s="104"/>
      <c r="EI39" s="91"/>
      <c r="EJ39" s="104"/>
      <c r="EK39" s="104"/>
      <c r="EL39" s="104"/>
      <c r="EM39" s="104"/>
      <c r="EN39" s="91"/>
      <c r="EO39" s="104"/>
      <c r="EP39" s="104"/>
      <c r="EQ39" s="104"/>
      <c r="ER39" s="104"/>
      <c r="ES39" s="91"/>
      <c r="ET39" s="104"/>
      <c r="EU39" s="104"/>
      <c r="EV39" s="104"/>
      <c r="EW39" s="104"/>
      <c r="EX39" s="91"/>
      <c r="EY39" s="104"/>
      <c r="EZ39" s="104"/>
      <c r="FA39" s="104"/>
      <c r="FB39" s="104"/>
      <c r="FC39" s="91"/>
      <c r="FD39" s="104"/>
      <c r="FE39" s="104"/>
      <c r="FF39" s="104"/>
      <c r="FG39" s="104"/>
      <c r="FH39" s="91"/>
      <c r="FI39" s="104"/>
      <c r="FJ39" s="104"/>
      <c r="FK39" s="104"/>
      <c r="FL39" s="104"/>
      <c r="FM39" s="104"/>
      <c r="FN39" s="104"/>
      <c r="FO39" s="104"/>
      <c r="FP39" s="104"/>
      <c r="FQ39" s="104"/>
      <c r="FR39" s="104"/>
      <c r="FS39" s="104"/>
      <c r="FT39" s="104"/>
      <c r="FU39" s="104"/>
      <c r="FV39" s="104"/>
      <c r="FW39" s="104"/>
      <c r="FX39" s="104"/>
      <c r="FY39" s="104"/>
      <c r="FZ39" s="104"/>
      <c r="GA39" s="104"/>
      <c r="GB39" s="104"/>
      <c r="GC39" s="104"/>
      <c r="GD39" s="104"/>
      <c r="GE39" s="104"/>
      <c r="GF39" s="104"/>
      <c r="GG39" s="104"/>
      <c r="GH39" s="104"/>
      <c r="GI39" s="104"/>
      <c r="GJ39" s="104"/>
      <c r="GK39" s="104"/>
      <c r="GL39" s="104"/>
      <c r="GM39" s="104"/>
      <c r="GN39" s="104"/>
      <c r="GO39" s="104"/>
      <c r="GP39" s="91"/>
      <c r="GQ39" s="104"/>
      <c r="GR39" s="104"/>
      <c r="GS39" s="104"/>
      <c r="GT39" s="104"/>
      <c r="GU39" s="91"/>
      <c r="GV39" s="104"/>
      <c r="GW39" s="104"/>
      <c r="GX39" s="104"/>
      <c r="GY39" s="104"/>
      <c r="GZ39" s="91"/>
      <c r="HA39" s="104"/>
      <c r="HB39" s="104"/>
      <c r="HC39" s="104"/>
      <c r="HD39" s="104"/>
      <c r="HE39" s="91"/>
      <c r="HF39" s="104"/>
      <c r="HG39" s="104"/>
      <c r="HH39" s="104"/>
      <c r="HI39" s="104"/>
      <c r="HJ39" s="91"/>
      <c r="HK39" s="104"/>
      <c r="HL39" s="104"/>
      <c r="HM39" s="104"/>
      <c r="HN39" s="104"/>
      <c r="HO39" s="91"/>
      <c r="HP39" s="104"/>
      <c r="HQ39" s="104"/>
      <c r="HR39" s="104"/>
      <c r="HS39" s="104"/>
      <c r="HT39" s="91"/>
      <c r="HU39" s="104"/>
      <c r="HV39" s="104"/>
      <c r="HW39" s="104"/>
      <c r="HX39" s="104"/>
      <c r="HY39" s="91"/>
      <c r="HZ39" s="104"/>
      <c r="IA39" s="104"/>
      <c r="IB39" s="104"/>
      <c r="IC39" s="104"/>
      <c r="ID39" s="91"/>
      <c r="IE39" s="104"/>
      <c r="IF39" s="104"/>
      <c r="IG39" s="104"/>
      <c r="IH39" s="104"/>
      <c r="II39" s="91"/>
      <c r="IJ39" s="104"/>
      <c r="IK39" s="104"/>
      <c r="IL39" s="104"/>
      <c r="IM39" s="104"/>
      <c r="IN39" s="91"/>
      <c r="IO39" s="104"/>
      <c r="IP39" s="104"/>
      <c r="IQ39" s="104"/>
      <c r="IR39" s="104"/>
      <c r="IS39" s="91"/>
      <c r="IT39" s="104"/>
      <c r="IU39" s="104"/>
      <c r="IV39" s="104"/>
      <c r="IW39" s="104"/>
      <c r="IX39" s="91"/>
      <c r="IY39" s="104"/>
      <c r="IZ39" s="104"/>
      <c r="JA39" s="104"/>
      <c r="JB39" s="104"/>
      <c r="JC39" s="91"/>
      <c r="JD39" s="104"/>
      <c r="JE39" s="104"/>
      <c r="JF39" s="104"/>
      <c r="JG39" s="105"/>
      <c r="JH39" s="91"/>
      <c r="JI39" s="106"/>
      <c r="JJ39" s="104"/>
      <c r="JK39" s="104"/>
      <c r="JL39" s="105"/>
      <c r="JM39" s="95"/>
      <c r="JN39" s="107"/>
      <c r="JO39" s="79"/>
      <c r="JP39" s="106"/>
      <c r="JQ39" s="104"/>
      <c r="JR39" s="104"/>
      <c r="JS39" s="104"/>
      <c r="JT39" s="104"/>
      <c r="JU39" s="104"/>
      <c r="JV39" s="104"/>
      <c r="JW39" s="104"/>
      <c r="JX39" s="104"/>
      <c r="JY39" s="104"/>
      <c r="JZ39" s="104"/>
      <c r="KA39" s="104"/>
      <c r="KB39" s="104"/>
      <c r="KC39" s="104"/>
      <c r="KD39" s="104"/>
      <c r="KE39" s="104"/>
      <c r="KF39" s="104"/>
      <c r="KG39" s="104"/>
      <c r="KH39" s="104"/>
      <c r="KI39" s="104"/>
      <c r="KJ39" s="104"/>
      <c r="KK39" s="104"/>
      <c r="KL39" s="104"/>
      <c r="KM39" s="104"/>
      <c r="KN39" s="104"/>
      <c r="KO39" s="104"/>
      <c r="KP39" s="104"/>
      <c r="KQ39" s="104"/>
      <c r="KR39" s="104"/>
      <c r="KS39" s="104"/>
      <c r="KT39" s="104"/>
      <c r="KU39" s="104"/>
      <c r="KV39" s="104"/>
      <c r="KW39" s="104"/>
      <c r="KX39" s="104"/>
      <c r="KY39" s="104"/>
      <c r="KZ39" s="104"/>
      <c r="LA39" s="104"/>
      <c r="LB39" s="104"/>
      <c r="LC39" s="104"/>
      <c r="LD39" s="104"/>
      <c r="LE39" s="104"/>
      <c r="LF39" s="104"/>
      <c r="LG39" s="104"/>
      <c r="LH39" s="104"/>
      <c r="LI39" s="104"/>
      <c r="LJ39" s="104"/>
      <c r="LK39" s="104"/>
      <c r="LL39" s="104"/>
      <c r="LM39" s="104"/>
      <c r="LN39" s="104"/>
      <c r="LO39" s="104"/>
      <c r="LP39" s="104"/>
      <c r="LQ39" s="104"/>
      <c r="LR39" s="104"/>
      <c r="LS39" s="104"/>
      <c r="LT39" s="104"/>
      <c r="LU39" s="104"/>
      <c r="LV39" s="104"/>
      <c r="LW39" s="104"/>
      <c r="LX39" s="104"/>
      <c r="LY39" s="104"/>
      <c r="LZ39" s="104"/>
      <c r="MA39" s="104"/>
      <c r="MB39" s="104"/>
      <c r="MC39" s="104"/>
      <c r="MD39" s="104"/>
      <c r="ME39" s="104"/>
      <c r="MF39" s="104"/>
      <c r="MG39" s="104"/>
      <c r="MH39" s="104"/>
      <c r="MI39" s="104"/>
      <c r="MJ39" s="104"/>
      <c r="MK39" s="104"/>
      <c r="ML39" s="104"/>
      <c r="MM39" s="104"/>
      <c r="MN39" s="104"/>
      <c r="MO39" s="104"/>
      <c r="MP39" s="104"/>
      <c r="MQ39" s="104"/>
      <c r="MR39" s="104"/>
      <c r="MS39" s="104"/>
      <c r="MT39" s="104"/>
      <c r="MU39" s="104"/>
      <c r="MV39" s="104"/>
      <c r="MW39" s="104"/>
      <c r="MX39" s="104"/>
      <c r="MY39" s="104"/>
      <c r="MZ39" s="104"/>
      <c r="NA39" s="104"/>
      <c r="NB39" s="104"/>
      <c r="NC39" s="104"/>
      <c r="ND39" s="104"/>
      <c r="NE39" s="104"/>
      <c r="NF39" s="104"/>
      <c r="NG39" s="104"/>
      <c r="NH39" s="104"/>
      <c r="NI39" s="104"/>
      <c r="NJ39" s="104"/>
      <c r="NK39" s="104"/>
      <c r="NL39" s="104"/>
      <c r="NM39" s="104"/>
      <c r="NN39" s="104"/>
      <c r="NO39" s="104"/>
      <c r="NP39" s="104"/>
      <c r="NQ39" s="104"/>
      <c r="NR39" s="104"/>
      <c r="NS39" s="104"/>
      <c r="NT39" s="104"/>
      <c r="NU39" s="104"/>
      <c r="NV39" s="104"/>
      <c r="NW39" s="104"/>
      <c r="NX39" s="104"/>
      <c r="NY39" s="104"/>
      <c r="NZ39" s="104"/>
    </row>
    <row r="40" spans="1:390" ht="15.75" customHeight="1" x14ac:dyDescent="0.3">
      <c r="A40" s="125">
        <v>6164754372</v>
      </c>
      <c r="B40" s="159"/>
      <c r="C40" s="126"/>
      <c r="D40" s="213" t="s">
        <v>391</v>
      </c>
      <c r="E40" s="135" t="s">
        <v>509</v>
      </c>
      <c r="F40" s="125" t="s">
        <v>465</v>
      </c>
      <c r="G40" s="125" t="s">
        <v>479</v>
      </c>
      <c r="H40" s="111">
        <v>43005</v>
      </c>
      <c r="I40" s="135" t="s">
        <v>510</v>
      </c>
      <c r="J40" s="135" t="s">
        <v>397</v>
      </c>
      <c r="K40" s="128" t="s">
        <v>398</v>
      </c>
      <c r="L40" s="128" t="s">
        <v>398</v>
      </c>
      <c r="M40" s="128" t="s">
        <v>398</v>
      </c>
      <c r="N40" s="128" t="s">
        <v>398</v>
      </c>
      <c r="O40" s="128" t="s">
        <v>398</v>
      </c>
      <c r="P40" s="128" t="s">
        <v>398</v>
      </c>
      <c r="Q40" s="128" t="s">
        <v>398</v>
      </c>
      <c r="R40" s="128" t="s">
        <v>398</v>
      </c>
      <c r="S40" s="128" t="s">
        <v>398</v>
      </c>
      <c r="T40" s="128" t="s">
        <v>398</v>
      </c>
      <c r="U40" s="128" t="s">
        <v>398</v>
      </c>
      <c r="V40" s="128" t="s">
        <v>398</v>
      </c>
      <c r="W40" s="136" t="s">
        <v>398</v>
      </c>
      <c r="X40" s="135" t="s">
        <v>398</v>
      </c>
      <c r="Y40" s="113" t="s">
        <v>398</v>
      </c>
      <c r="Z40" s="113" t="s">
        <v>398</v>
      </c>
      <c r="AA40" s="126"/>
      <c r="AB40" s="113" t="s">
        <v>399</v>
      </c>
      <c r="AC40" s="111">
        <v>15130</v>
      </c>
      <c r="AD40" s="139"/>
      <c r="AE40" s="108" t="e">
        <f t="shared" si="0"/>
        <v>#NUM!</v>
      </c>
      <c r="AF40" s="138" t="s">
        <v>511</v>
      </c>
      <c r="AG40" s="126" t="s">
        <v>401</v>
      </c>
      <c r="AH40" s="131" t="s">
        <v>402</v>
      </c>
      <c r="AI40" s="125">
        <v>3</v>
      </c>
      <c r="AJ40" s="125">
        <v>2</v>
      </c>
      <c r="AK40" s="125">
        <v>0</v>
      </c>
      <c r="AL40" s="125">
        <v>0</v>
      </c>
      <c r="AM40" s="139" t="s">
        <v>490</v>
      </c>
      <c r="AN40" s="134">
        <v>3</v>
      </c>
      <c r="AO40" s="136" t="s">
        <v>398</v>
      </c>
      <c r="AP40" s="126"/>
      <c r="AQ40" s="106"/>
      <c r="AR40" s="91"/>
      <c r="AS40" s="104"/>
      <c r="AT40" s="104"/>
      <c r="AU40" s="104"/>
      <c r="AV40" s="104"/>
      <c r="AW40" s="91"/>
      <c r="AX40" s="104"/>
      <c r="AY40" s="104"/>
      <c r="AZ40" s="104"/>
      <c r="BA40" s="104"/>
      <c r="BB40" s="91"/>
      <c r="BC40" s="104"/>
      <c r="BD40" s="104"/>
      <c r="BE40" s="104"/>
      <c r="BF40" s="104"/>
      <c r="BG40" s="91"/>
      <c r="BH40" s="104"/>
      <c r="BI40" s="104"/>
      <c r="BJ40" s="104"/>
      <c r="BK40" s="104"/>
      <c r="BL40" s="91"/>
      <c r="BM40" s="104"/>
      <c r="BN40" s="104"/>
      <c r="BO40" s="104"/>
      <c r="BP40" s="104"/>
      <c r="BQ40" s="91"/>
      <c r="BR40" s="104"/>
      <c r="BS40" s="104"/>
      <c r="BT40" s="104"/>
      <c r="BU40" s="104"/>
      <c r="BV40" s="91"/>
      <c r="BW40" s="104"/>
      <c r="BX40" s="104"/>
      <c r="BY40" s="104"/>
      <c r="BZ40" s="104"/>
      <c r="CA40" s="91"/>
      <c r="CB40" s="104"/>
      <c r="CC40" s="104"/>
      <c r="CD40" s="104"/>
      <c r="CE40" s="104"/>
      <c r="CF40" s="91"/>
      <c r="CG40" s="104"/>
      <c r="CH40" s="104"/>
      <c r="CI40" s="104"/>
      <c r="CJ40" s="104"/>
      <c r="CK40" s="91"/>
      <c r="CL40" s="104"/>
      <c r="CM40" s="104"/>
      <c r="CN40" s="104"/>
      <c r="CO40" s="104"/>
      <c r="CP40" s="91"/>
      <c r="CQ40" s="104"/>
      <c r="CR40" s="104"/>
      <c r="CS40" s="104"/>
      <c r="CT40" s="104"/>
      <c r="CU40" s="91"/>
      <c r="CV40" s="104"/>
      <c r="CW40" s="104"/>
      <c r="CX40" s="104"/>
      <c r="CY40" s="104"/>
      <c r="CZ40" s="91"/>
      <c r="DA40" s="104"/>
      <c r="DB40" s="104"/>
      <c r="DC40" s="104"/>
      <c r="DD40" s="104"/>
      <c r="DE40" s="91"/>
      <c r="DF40" s="104"/>
      <c r="DG40" s="104"/>
      <c r="DH40" s="104"/>
      <c r="DI40" s="104"/>
      <c r="DJ40" s="91"/>
      <c r="DK40" s="104"/>
      <c r="DL40" s="104"/>
      <c r="DM40" s="104"/>
      <c r="DN40" s="104"/>
      <c r="DO40" s="91"/>
      <c r="DP40" s="104"/>
      <c r="DQ40" s="104"/>
      <c r="DR40" s="104"/>
      <c r="DS40" s="104"/>
      <c r="DT40" s="91"/>
      <c r="DU40" s="104"/>
      <c r="DV40" s="104"/>
      <c r="DW40" s="104"/>
      <c r="DX40" s="104"/>
      <c r="DY40" s="91"/>
      <c r="DZ40" s="104"/>
      <c r="EA40" s="104"/>
      <c r="EB40" s="104"/>
      <c r="EC40" s="104"/>
      <c r="ED40" s="91"/>
      <c r="EE40" s="104"/>
      <c r="EF40" s="104"/>
      <c r="EG40" s="104"/>
      <c r="EH40" s="104"/>
      <c r="EI40" s="91"/>
      <c r="EJ40" s="104"/>
      <c r="EK40" s="104"/>
      <c r="EL40" s="104"/>
      <c r="EM40" s="104"/>
      <c r="EN40" s="91"/>
      <c r="EO40" s="104"/>
      <c r="EP40" s="104"/>
      <c r="EQ40" s="104"/>
      <c r="ER40" s="104"/>
      <c r="ES40" s="91"/>
      <c r="ET40" s="104"/>
      <c r="EU40" s="104"/>
      <c r="EV40" s="104"/>
      <c r="EW40" s="104"/>
      <c r="EX40" s="91"/>
      <c r="EY40" s="104"/>
      <c r="EZ40" s="104"/>
      <c r="FA40" s="104"/>
      <c r="FB40" s="104"/>
      <c r="FC40" s="91"/>
      <c r="FD40" s="104"/>
      <c r="FE40" s="104"/>
      <c r="FF40" s="104"/>
      <c r="FG40" s="104"/>
      <c r="FH40" s="91"/>
      <c r="FI40" s="104"/>
      <c r="FJ40" s="104"/>
      <c r="FK40" s="104"/>
      <c r="FL40" s="104"/>
      <c r="FM40" s="104"/>
      <c r="FN40" s="104"/>
      <c r="FO40" s="104"/>
      <c r="FP40" s="104"/>
      <c r="FQ40" s="104"/>
      <c r="FR40" s="104"/>
      <c r="FS40" s="104"/>
      <c r="FT40" s="104"/>
      <c r="FU40" s="104"/>
      <c r="FV40" s="104"/>
      <c r="FW40" s="104"/>
      <c r="FX40" s="104"/>
      <c r="FY40" s="104"/>
      <c r="FZ40" s="104"/>
      <c r="GA40" s="104"/>
      <c r="GB40" s="104"/>
      <c r="GC40" s="104"/>
      <c r="GD40" s="104"/>
      <c r="GE40" s="104"/>
      <c r="GF40" s="104"/>
      <c r="GG40" s="104"/>
      <c r="GH40" s="104"/>
      <c r="GI40" s="104"/>
      <c r="GJ40" s="104"/>
      <c r="GK40" s="104"/>
      <c r="GL40" s="104"/>
      <c r="GM40" s="104"/>
      <c r="GN40" s="104"/>
      <c r="GO40" s="104"/>
      <c r="GP40" s="91"/>
      <c r="GQ40" s="104"/>
      <c r="GR40" s="104"/>
      <c r="GS40" s="104"/>
      <c r="GT40" s="104"/>
      <c r="GU40" s="91"/>
      <c r="GV40" s="104"/>
      <c r="GW40" s="104"/>
      <c r="GX40" s="104"/>
      <c r="GY40" s="104"/>
      <c r="GZ40" s="91"/>
      <c r="HA40" s="104"/>
      <c r="HB40" s="104"/>
      <c r="HC40" s="104"/>
      <c r="HD40" s="104"/>
      <c r="HE40" s="91"/>
      <c r="HF40" s="104"/>
      <c r="HG40" s="104"/>
      <c r="HH40" s="104"/>
      <c r="HI40" s="104"/>
      <c r="HJ40" s="91"/>
      <c r="HK40" s="104"/>
      <c r="HL40" s="104"/>
      <c r="HM40" s="104"/>
      <c r="HN40" s="104"/>
      <c r="HO40" s="91"/>
      <c r="HP40" s="104"/>
      <c r="HQ40" s="104"/>
      <c r="HR40" s="104"/>
      <c r="HS40" s="104"/>
      <c r="HT40" s="91"/>
      <c r="HU40" s="104"/>
      <c r="HV40" s="104"/>
      <c r="HW40" s="104"/>
      <c r="HX40" s="104"/>
      <c r="HY40" s="91"/>
      <c r="HZ40" s="104"/>
      <c r="IA40" s="104"/>
      <c r="IB40" s="104"/>
      <c r="IC40" s="104"/>
      <c r="ID40" s="91"/>
      <c r="IE40" s="104"/>
      <c r="IF40" s="104"/>
      <c r="IG40" s="104"/>
      <c r="IH40" s="104"/>
      <c r="II40" s="91"/>
      <c r="IJ40" s="104"/>
      <c r="IK40" s="104"/>
      <c r="IL40" s="104"/>
      <c r="IM40" s="104"/>
      <c r="IN40" s="91"/>
      <c r="IO40" s="104"/>
      <c r="IP40" s="104"/>
      <c r="IQ40" s="104"/>
      <c r="IR40" s="104"/>
      <c r="IS40" s="91"/>
      <c r="IT40" s="104"/>
      <c r="IU40" s="104"/>
      <c r="IV40" s="104"/>
      <c r="IW40" s="104"/>
      <c r="IX40" s="91"/>
      <c r="IY40" s="104"/>
      <c r="IZ40" s="104"/>
      <c r="JA40" s="104"/>
      <c r="JB40" s="104"/>
      <c r="JC40" s="91"/>
      <c r="JD40" s="104"/>
      <c r="JE40" s="104"/>
      <c r="JF40" s="104"/>
      <c r="JG40" s="105"/>
      <c r="JH40" s="91"/>
      <c r="JI40" s="106"/>
      <c r="JJ40" s="104"/>
      <c r="JK40" s="104"/>
      <c r="JL40" s="105"/>
      <c r="JM40" s="95"/>
      <c r="JN40" s="107"/>
      <c r="JO40" s="79"/>
      <c r="JP40" s="106"/>
      <c r="JQ40" s="104"/>
      <c r="JR40" s="104"/>
      <c r="JS40" s="104"/>
      <c r="JT40" s="104"/>
      <c r="JU40" s="104"/>
      <c r="JV40" s="104"/>
      <c r="JW40" s="104"/>
      <c r="JX40" s="104"/>
      <c r="JY40" s="104"/>
      <c r="JZ40" s="104"/>
      <c r="KA40" s="104"/>
      <c r="KB40" s="104"/>
      <c r="KC40" s="104"/>
      <c r="KD40" s="104"/>
      <c r="KE40" s="104"/>
      <c r="KF40" s="104"/>
      <c r="KG40" s="104"/>
      <c r="KH40" s="104"/>
      <c r="KI40" s="104"/>
      <c r="KJ40" s="104"/>
      <c r="KK40" s="104"/>
      <c r="KL40" s="104"/>
      <c r="KM40" s="104"/>
      <c r="KN40" s="104"/>
      <c r="KO40" s="104"/>
      <c r="KP40" s="104"/>
      <c r="KQ40" s="104"/>
      <c r="KR40" s="104"/>
      <c r="KS40" s="104"/>
      <c r="KT40" s="104"/>
      <c r="KU40" s="104"/>
      <c r="KV40" s="104"/>
      <c r="KW40" s="104"/>
      <c r="KX40" s="104"/>
      <c r="KY40" s="104"/>
      <c r="KZ40" s="104"/>
      <c r="LA40" s="104"/>
      <c r="LB40" s="104"/>
      <c r="LC40" s="104"/>
      <c r="LD40" s="104"/>
      <c r="LE40" s="104"/>
      <c r="LF40" s="104"/>
      <c r="LG40" s="104"/>
      <c r="LH40" s="104"/>
      <c r="LI40" s="104"/>
      <c r="LJ40" s="104"/>
      <c r="LK40" s="104"/>
      <c r="LL40" s="104"/>
      <c r="LM40" s="104"/>
      <c r="LN40" s="104"/>
      <c r="LO40" s="104"/>
      <c r="LP40" s="104"/>
      <c r="LQ40" s="104"/>
      <c r="LR40" s="104"/>
      <c r="LS40" s="104"/>
      <c r="LT40" s="104"/>
      <c r="LU40" s="104"/>
      <c r="LV40" s="104"/>
      <c r="LW40" s="104"/>
      <c r="LX40" s="104"/>
      <c r="LY40" s="104"/>
      <c r="LZ40" s="104"/>
      <c r="MA40" s="104"/>
      <c r="MB40" s="104"/>
      <c r="MC40" s="104"/>
      <c r="MD40" s="104"/>
      <c r="ME40" s="104"/>
      <c r="MF40" s="104"/>
      <c r="MG40" s="104"/>
      <c r="MH40" s="104"/>
      <c r="MI40" s="104"/>
      <c r="MJ40" s="104"/>
      <c r="MK40" s="104"/>
      <c r="ML40" s="104"/>
      <c r="MM40" s="104"/>
      <c r="MN40" s="104"/>
      <c r="MO40" s="104"/>
      <c r="MP40" s="104"/>
      <c r="MQ40" s="104"/>
      <c r="MR40" s="104"/>
      <c r="MS40" s="104"/>
      <c r="MT40" s="104"/>
      <c r="MU40" s="104"/>
      <c r="MV40" s="104"/>
      <c r="MW40" s="104"/>
      <c r="MX40" s="104"/>
      <c r="MY40" s="104"/>
      <c r="MZ40" s="104"/>
      <c r="NA40" s="104"/>
      <c r="NB40" s="104"/>
      <c r="NC40" s="104"/>
      <c r="ND40" s="104"/>
      <c r="NE40" s="104"/>
      <c r="NF40" s="104"/>
      <c r="NG40" s="104"/>
      <c r="NH40" s="104"/>
      <c r="NI40" s="104"/>
      <c r="NJ40" s="104"/>
      <c r="NK40" s="104"/>
      <c r="NL40" s="104"/>
      <c r="NM40" s="104"/>
      <c r="NN40" s="104"/>
      <c r="NO40" s="104"/>
      <c r="NP40" s="104"/>
      <c r="NQ40" s="104"/>
      <c r="NR40" s="104"/>
      <c r="NS40" s="104"/>
      <c r="NT40" s="104"/>
      <c r="NU40" s="104"/>
      <c r="NV40" s="104"/>
      <c r="NW40" s="104"/>
      <c r="NX40" s="104"/>
      <c r="NY40" s="104"/>
      <c r="NZ40" s="104"/>
    </row>
    <row r="41" spans="1:390" ht="15.75" customHeight="1" x14ac:dyDescent="0.3">
      <c r="A41" s="125">
        <v>4041363497</v>
      </c>
      <c r="B41" s="159"/>
      <c r="C41" s="126"/>
      <c r="D41" s="213" t="s">
        <v>391</v>
      </c>
      <c r="E41" s="135" t="s">
        <v>512</v>
      </c>
      <c r="F41" s="125" t="s">
        <v>421</v>
      </c>
      <c r="G41" s="125" t="s">
        <v>501</v>
      </c>
      <c r="H41" s="111">
        <v>43006</v>
      </c>
      <c r="I41" s="135" t="s">
        <v>513</v>
      </c>
      <c r="J41" s="135" t="s">
        <v>397</v>
      </c>
      <c r="K41" s="128" t="s">
        <v>398</v>
      </c>
      <c r="L41" s="128" t="s">
        <v>398</v>
      </c>
      <c r="M41" s="128" t="s">
        <v>398</v>
      </c>
      <c r="N41" s="128" t="s">
        <v>398</v>
      </c>
      <c r="O41" s="128" t="s">
        <v>398</v>
      </c>
      <c r="P41" s="128" t="s">
        <v>398</v>
      </c>
      <c r="Q41" s="128" t="s">
        <v>398</v>
      </c>
      <c r="R41" s="128" t="s">
        <v>398</v>
      </c>
      <c r="S41" s="128" t="s">
        <v>398</v>
      </c>
      <c r="T41" s="128" t="s">
        <v>398</v>
      </c>
      <c r="U41" s="128" t="s">
        <v>398</v>
      </c>
      <c r="V41" s="128" t="s">
        <v>398</v>
      </c>
      <c r="W41" s="136" t="s">
        <v>398</v>
      </c>
      <c r="X41" s="135" t="s">
        <v>398</v>
      </c>
      <c r="Y41" s="113" t="s">
        <v>398</v>
      </c>
      <c r="Z41" s="113" t="s">
        <v>398</v>
      </c>
      <c r="AA41" s="126"/>
      <c r="AB41" s="113" t="s">
        <v>399</v>
      </c>
      <c r="AC41" s="111">
        <v>15879</v>
      </c>
      <c r="AD41" s="139"/>
      <c r="AE41" s="108" t="e">
        <f t="shared" si="0"/>
        <v>#NUM!</v>
      </c>
      <c r="AF41" s="138" t="s">
        <v>411</v>
      </c>
      <c r="AG41" s="126" t="s">
        <v>401</v>
      </c>
      <c r="AH41" s="131" t="s">
        <v>402</v>
      </c>
      <c r="AI41" s="125">
        <v>3</v>
      </c>
      <c r="AJ41" s="125">
        <v>1</v>
      </c>
      <c r="AK41" s="125">
        <v>0</v>
      </c>
      <c r="AL41" s="125">
        <v>0</v>
      </c>
      <c r="AM41" s="139" t="s">
        <v>498</v>
      </c>
      <c r="AN41" s="134">
        <v>3</v>
      </c>
      <c r="AO41" s="136" t="s">
        <v>398</v>
      </c>
      <c r="AP41" s="126"/>
      <c r="AQ41" s="106"/>
      <c r="AR41" s="91"/>
      <c r="AS41" s="104"/>
      <c r="AT41" s="104"/>
      <c r="AU41" s="104"/>
      <c r="AV41" s="104"/>
      <c r="AW41" s="91"/>
      <c r="AX41" s="104"/>
      <c r="AY41" s="104"/>
      <c r="AZ41" s="104"/>
      <c r="BA41" s="104"/>
      <c r="BB41" s="91"/>
      <c r="BC41" s="104"/>
      <c r="BD41" s="104"/>
      <c r="BE41" s="104"/>
      <c r="BF41" s="104"/>
      <c r="BG41" s="91"/>
      <c r="BH41" s="104"/>
      <c r="BI41" s="104"/>
      <c r="BJ41" s="104"/>
      <c r="BK41" s="104"/>
      <c r="BL41" s="91"/>
      <c r="BM41" s="104"/>
      <c r="BN41" s="104"/>
      <c r="BO41" s="104"/>
      <c r="BP41" s="104"/>
      <c r="BQ41" s="91"/>
      <c r="BR41" s="104"/>
      <c r="BS41" s="104"/>
      <c r="BT41" s="104"/>
      <c r="BU41" s="104"/>
      <c r="BV41" s="91"/>
      <c r="BW41" s="104"/>
      <c r="BX41" s="104"/>
      <c r="BY41" s="104"/>
      <c r="BZ41" s="104"/>
      <c r="CA41" s="91"/>
      <c r="CB41" s="104"/>
      <c r="CC41" s="104"/>
      <c r="CD41" s="104"/>
      <c r="CE41" s="104"/>
      <c r="CF41" s="91"/>
      <c r="CG41" s="104"/>
      <c r="CH41" s="104"/>
      <c r="CI41" s="104"/>
      <c r="CJ41" s="104"/>
      <c r="CK41" s="91"/>
      <c r="CL41" s="104"/>
      <c r="CM41" s="104"/>
      <c r="CN41" s="104"/>
      <c r="CO41" s="104"/>
      <c r="CP41" s="91"/>
      <c r="CQ41" s="104"/>
      <c r="CR41" s="104"/>
      <c r="CS41" s="104"/>
      <c r="CT41" s="104"/>
      <c r="CU41" s="91"/>
      <c r="CV41" s="104"/>
      <c r="CW41" s="104"/>
      <c r="CX41" s="104"/>
      <c r="CY41" s="104"/>
      <c r="CZ41" s="91"/>
      <c r="DA41" s="104"/>
      <c r="DB41" s="104"/>
      <c r="DC41" s="104"/>
      <c r="DD41" s="104"/>
      <c r="DE41" s="91"/>
      <c r="DF41" s="104"/>
      <c r="DG41" s="104"/>
      <c r="DH41" s="104"/>
      <c r="DI41" s="104"/>
      <c r="DJ41" s="91"/>
      <c r="DK41" s="104"/>
      <c r="DL41" s="104"/>
      <c r="DM41" s="104"/>
      <c r="DN41" s="104"/>
      <c r="DO41" s="91"/>
      <c r="DP41" s="104"/>
      <c r="DQ41" s="104"/>
      <c r="DR41" s="104"/>
      <c r="DS41" s="104"/>
      <c r="DT41" s="91"/>
      <c r="DU41" s="104"/>
      <c r="DV41" s="104"/>
      <c r="DW41" s="104"/>
      <c r="DX41" s="104"/>
      <c r="DY41" s="91"/>
      <c r="DZ41" s="104"/>
      <c r="EA41" s="104"/>
      <c r="EB41" s="104"/>
      <c r="EC41" s="104"/>
      <c r="ED41" s="91"/>
      <c r="EE41" s="104"/>
      <c r="EF41" s="104"/>
      <c r="EG41" s="104"/>
      <c r="EH41" s="104"/>
      <c r="EI41" s="91"/>
      <c r="EJ41" s="104"/>
      <c r="EK41" s="104"/>
      <c r="EL41" s="104"/>
      <c r="EM41" s="104"/>
      <c r="EN41" s="91"/>
      <c r="EO41" s="104"/>
      <c r="EP41" s="104"/>
      <c r="EQ41" s="104"/>
      <c r="ER41" s="104"/>
      <c r="ES41" s="91"/>
      <c r="ET41" s="104"/>
      <c r="EU41" s="104"/>
      <c r="EV41" s="104"/>
      <c r="EW41" s="104"/>
      <c r="EX41" s="91"/>
      <c r="EY41" s="104"/>
      <c r="EZ41" s="104"/>
      <c r="FA41" s="104"/>
      <c r="FB41" s="104"/>
      <c r="FC41" s="91"/>
      <c r="FD41" s="104"/>
      <c r="FE41" s="104"/>
      <c r="FF41" s="104"/>
      <c r="FG41" s="104"/>
      <c r="FH41" s="91"/>
      <c r="FI41" s="104"/>
      <c r="FJ41" s="104"/>
      <c r="FK41" s="104"/>
      <c r="FL41" s="104"/>
      <c r="FM41" s="104"/>
      <c r="FN41" s="104"/>
      <c r="FO41" s="104"/>
      <c r="FP41" s="104"/>
      <c r="FQ41" s="104"/>
      <c r="FR41" s="104"/>
      <c r="FS41" s="104"/>
      <c r="FT41" s="104"/>
      <c r="FU41" s="104"/>
      <c r="FV41" s="104"/>
      <c r="FW41" s="104"/>
      <c r="FX41" s="104"/>
      <c r="FY41" s="104"/>
      <c r="FZ41" s="104"/>
      <c r="GA41" s="104"/>
      <c r="GB41" s="104"/>
      <c r="GC41" s="104"/>
      <c r="GD41" s="104"/>
      <c r="GE41" s="104"/>
      <c r="GF41" s="104"/>
      <c r="GG41" s="104"/>
      <c r="GH41" s="104"/>
      <c r="GI41" s="104"/>
      <c r="GJ41" s="104"/>
      <c r="GK41" s="104"/>
      <c r="GL41" s="104"/>
      <c r="GM41" s="104"/>
      <c r="GN41" s="104"/>
      <c r="GO41" s="104"/>
      <c r="GP41" s="91"/>
      <c r="GQ41" s="104"/>
      <c r="GR41" s="104"/>
      <c r="GS41" s="104"/>
      <c r="GT41" s="104"/>
      <c r="GU41" s="91"/>
      <c r="GV41" s="104"/>
      <c r="GW41" s="104"/>
      <c r="GX41" s="104"/>
      <c r="GY41" s="104"/>
      <c r="GZ41" s="91"/>
      <c r="HA41" s="104"/>
      <c r="HB41" s="104"/>
      <c r="HC41" s="104"/>
      <c r="HD41" s="104"/>
      <c r="HE41" s="91"/>
      <c r="HF41" s="104"/>
      <c r="HG41" s="104"/>
      <c r="HH41" s="104"/>
      <c r="HI41" s="104"/>
      <c r="HJ41" s="91"/>
      <c r="HK41" s="104"/>
      <c r="HL41" s="104"/>
      <c r="HM41" s="104"/>
      <c r="HN41" s="104"/>
      <c r="HO41" s="91"/>
      <c r="HP41" s="104"/>
      <c r="HQ41" s="104"/>
      <c r="HR41" s="104"/>
      <c r="HS41" s="104"/>
      <c r="HT41" s="91"/>
      <c r="HU41" s="104"/>
      <c r="HV41" s="104"/>
      <c r="HW41" s="104"/>
      <c r="HX41" s="104"/>
      <c r="HY41" s="91"/>
      <c r="HZ41" s="104"/>
      <c r="IA41" s="104"/>
      <c r="IB41" s="104"/>
      <c r="IC41" s="104"/>
      <c r="ID41" s="91"/>
      <c r="IE41" s="104"/>
      <c r="IF41" s="104"/>
      <c r="IG41" s="104"/>
      <c r="IH41" s="104"/>
      <c r="II41" s="91"/>
      <c r="IJ41" s="104"/>
      <c r="IK41" s="104"/>
      <c r="IL41" s="104"/>
      <c r="IM41" s="104"/>
      <c r="IN41" s="91"/>
      <c r="IO41" s="104"/>
      <c r="IP41" s="104"/>
      <c r="IQ41" s="104"/>
      <c r="IR41" s="104"/>
      <c r="IS41" s="91"/>
      <c r="IT41" s="104"/>
      <c r="IU41" s="104"/>
      <c r="IV41" s="104"/>
      <c r="IW41" s="104"/>
      <c r="IX41" s="91"/>
      <c r="IY41" s="104"/>
      <c r="IZ41" s="104"/>
      <c r="JA41" s="104"/>
      <c r="JB41" s="104"/>
      <c r="JC41" s="91"/>
      <c r="JD41" s="104"/>
      <c r="JE41" s="104"/>
      <c r="JF41" s="104"/>
      <c r="JG41" s="105"/>
      <c r="JH41" s="91"/>
      <c r="JI41" s="106"/>
      <c r="JJ41" s="104"/>
      <c r="JK41" s="104"/>
      <c r="JL41" s="105"/>
      <c r="JM41" s="95"/>
      <c r="JN41" s="107"/>
      <c r="JO41" s="79"/>
      <c r="JP41" s="106"/>
      <c r="JQ41" s="104"/>
      <c r="JR41" s="104"/>
      <c r="JS41" s="104"/>
      <c r="JT41" s="104"/>
      <c r="JU41" s="104"/>
      <c r="JV41" s="104"/>
      <c r="JW41" s="104"/>
      <c r="JX41" s="104"/>
      <c r="JY41" s="104"/>
      <c r="JZ41" s="104"/>
      <c r="KA41" s="104"/>
      <c r="KB41" s="104"/>
      <c r="KC41" s="104"/>
      <c r="KD41" s="104"/>
      <c r="KE41" s="104"/>
      <c r="KF41" s="104"/>
      <c r="KG41" s="104"/>
      <c r="KH41" s="104"/>
      <c r="KI41" s="104"/>
      <c r="KJ41" s="104"/>
      <c r="KK41" s="104"/>
      <c r="KL41" s="104"/>
      <c r="KM41" s="104"/>
      <c r="KN41" s="104"/>
      <c r="KO41" s="104"/>
      <c r="KP41" s="104"/>
      <c r="KQ41" s="104"/>
      <c r="KR41" s="104"/>
      <c r="KS41" s="104"/>
      <c r="KT41" s="104"/>
      <c r="KU41" s="104"/>
      <c r="KV41" s="104"/>
      <c r="KW41" s="104"/>
      <c r="KX41" s="104"/>
      <c r="KY41" s="104"/>
      <c r="KZ41" s="104"/>
      <c r="LA41" s="104"/>
      <c r="LB41" s="104"/>
      <c r="LC41" s="104"/>
      <c r="LD41" s="104"/>
      <c r="LE41" s="104"/>
      <c r="LF41" s="104"/>
      <c r="LG41" s="104"/>
      <c r="LH41" s="104"/>
      <c r="LI41" s="104"/>
      <c r="LJ41" s="104"/>
      <c r="LK41" s="104"/>
      <c r="LL41" s="104"/>
      <c r="LM41" s="104"/>
      <c r="LN41" s="104"/>
      <c r="LO41" s="104"/>
      <c r="LP41" s="104"/>
      <c r="LQ41" s="104"/>
      <c r="LR41" s="104"/>
      <c r="LS41" s="104"/>
      <c r="LT41" s="104"/>
      <c r="LU41" s="104"/>
      <c r="LV41" s="104"/>
      <c r="LW41" s="104"/>
      <c r="LX41" s="104"/>
      <c r="LY41" s="104"/>
      <c r="LZ41" s="104"/>
      <c r="MA41" s="104"/>
      <c r="MB41" s="104"/>
      <c r="MC41" s="104"/>
      <c r="MD41" s="104"/>
      <c r="ME41" s="104"/>
      <c r="MF41" s="104"/>
      <c r="MG41" s="104"/>
      <c r="MH41" s="104"/>
      <c r="MI41" s="104"/>
      <c r="MJ41" s="104"/>
      <c r="MK41" s="104"/>
      <c r="ML41" s="104"/>
      <c r="MM41" s="104"/>
      <c r="MN41" s="104"/>
      <c r="MO41" s="104"/>
      <c r="MP41" s="104"/>
      <c r="MQ41" s="104"/>
      <c r="MR41" s="104"/>
      <c r="MS41" s="104"/>
      <c r="MT41" s="104"/>
      <c r="MU41" s="104"/>
      <c r="MV41" s="104"/>
      <c r="MW41" s="104"/>
      <c r="MX41" s="104"/>
      <c r="MY41" s="104"/>
      <c r="MZ41" s="104"/>
      <c r="NA41" s="104"/>
      <c r="NB41" s="104"/>
      <c r="NC41" s="104"/>
      <c r="ND41" s="104"/>
      <c r="NE41" s="104"/>
      <c r="NF41" s="104"/>
      <c r="NG41" s="104"/>
      <c r="NH41" s="104"/>
      <c r="NI41" s="104"/>
      <c r="NJ41" s="104"/>
      <c r="NK41" s="104"/>
      <c r="NL41" s="104"/>
      <c r="NM41" s="104"/>
      <c r="NN41" s="104"/>
      <c r="NO41" s="104"/>
      <c r="NP41" s="104"/>
      <c r="NQ41" s="104"/>
      <c r="NR41" s="104"/>
      <c r="NS41" s="104"/>
      <c r="NT41" s="104"/>
      <c r="NU41" s="104"/>
      <c r="NV41" s="104"/>
      <c r="NW41" s="104"/>
      <c r="NX41" s="104"/>
      <c r="NY41" s="104"/>
      <c r="NZ41" s="104"/>
    </row>
    <row r="42" spans="1:390" ht="15.75" customHeight="1" x14ac:dyDescent="0.3">
      <c r="A42" s="125">
        <v>4581977029</v>
      </c>
      <c r="B42" s="159"/>
      <c r="C42" s="126"/>
      <c r="D42" s="213" t="s">
        <v>391</v>
      </c>
      <c r="E42" s="135" t="s">
        <v>514</v>
      </c>
      <c r="F42" s="125" t="s">
        <v>417</v>
      </c>
      <c r="G42" s="125" t="s">
        <v>461</v>
      </c>
      <c r="H42" s="111">
        <v>43007</v>
      </c>
      <c r="I42" s="135" t="s">
        <v>515</v>
      </c>
      <c r="J42" s="135" t="s">
        <v>397</v>
      </c>
      <c r="K42" s="128" t="s">
        <v>398</v>
      </c>
      <c r="L42" s="128" t="s">
        <v>398</v>
      </c>
      <c r="M42" s="128" t="s">
        <v>398</v>
      </c>
      <c r="N42" s="128" t="s">
        <v>398</v>
      </c>
      <c r="O42" s="128" t="s">
        <v>398</v>
      </c>
      <c r="P42" s="128" t="s">
        <v>398</v>
      </c>
      <c r="Q42" s="128" t="s">
        <v>398</v>
      </c>
      <c r="R42" s="128" t="s">
        <v>398</v>
      </c>
      <c r="S42" s="128" t="s">
        <v>398</v>
      </c>
      <c r="T42" s="128" t="s">
        <v>398</v>
      </c>
      <c r="U42" s="128" t="s">
        <v>398</v>
      </c>
      <c r="V42" s="128" t="s">
        <v>398</v>
      </c>
      <c r="W42" s="136" t="s">
        <v>398</v>
      </c>
      <c r="X42" s="135" t="s">
        <v>398</v>
      </c>
      <c r="Y42" s="113" t="s">
        <v>398</v>
      </c>
      <c r="Z42" s="113" t="s">
        <v>398</v>
      </c>
      <c r="AA42" s="126"/>
      <c r="AB42" s="113" t="s">
        <v>399</v>
      </c>
      <c r="AC42" s="111">
        <v>19463</v>
      </c>
      <c r="AD42" s="139"/>
      <c r="AE42" s="108" t="e">
        <f t="shared" si="0"/>
        <v>#NUM!</v>
      </c>
      <c r="AF42" s="138" t="s">
        <v>411</v>
      </c>
      <c r="AG42" s="126" t="s">
        <v>401</v>
      </c>
      <c r="AH42" s="131" t="s">
        <v>402</v>
      </c>
      <c r="AI42" s="125" t="s">
        <v>455</v>
      </c>
      <c r="AJ42" s="125">
        <v>0</v>
      </c>
      <c r="AK42" s="125">
        <v>0</v>
      </c>
      <c r="AL42" s="125">
        <v>0</v>
      </c>
      <c r="AM42" s="139" t="s">
        <v>456</v>
      </c>
      <c r="AN42" s="134">
        <v>1</v>
      </c>
      <c r="AO42" s="136" t="s">
        <v>398</v>
      </c>
      <c r="AP42" s="126"/>
      <c r="AQ42" s="106"/>
      <c r="AR42" s="91"/>
      <c r="AS42" s="104"/>
      <c r="AT42" s="104"/>
      <c r="AU42" s="104"/>
      <c r="AV42" s="104"/>
      <c r="AW42" s="91"/>
      <c r="AX42" s="104"/>
      <c r="AY42" s="104"/>
      <c r="AZ42" s="104"/>
      <c r="BA42" s="104"/>
      <c r="BB42" s="91"/>
      <c r="BC42" s="104"/>
      <c r="BD42" s="104"/>
      <c r="BE42" s="104"/>
      <c r="BF42" s="104"/>
      <c r="BG42" s="91"/>
      <c r="BH42" s="104"/>
      <c r="BI42" s="104"/>
      <c r="BJ42" s="104"/>
      <c r="BK42" s="104"/>
      <c r="BL42" s="91"/>
      <c r="BM42" s="104"/>
      <c r="BN42" s="104"/>
      <c r="BO42" s="104"/>
      <c r="BP42" s="104"/>
      <c r="BQ42" s="91"/>
      <c r="BR42" s="104"/>
      <c r="BS42" s="104"/>
      <c r="BT42" s="104"/>
      <c r="BU42" s="104"/>
      <c r="BV42" s="91"/>
      <c r="BW42" s="104"/>
      <c r="BX42" s="104"/>
      <c r="BY42" s="104"/>
      <c r="BZ42" s="104"/>
      <c r="CA42" s="91"/>
      <c r="CB42" s="104"/>
      <c r="CC42" s="104"/>
      <c r="CD42" s="104"/>
      <c r="CE42" s="104"/>
      <c r="CF42" s="91"/>
      <c r="CG42" s="104"/>
      <c r="CH42" s="104"/>
      <c r="CI42" s="104"/>
      <c r="CJ42" s="104"/>
      <c r="CK42" s="91"/>
      <c r="CL42" s="104"/>
      <c r="CM42" s="104"/>
      <c r="CN42" s="104"/>
      <c r="CO42" s="104"/>
      <c r="CP42" s="91"/>
      <c r="CQ42" s="104"/>
      <c r="CR42" s="104"/>
      <c r="CS42" s="104"/>
      <c r="CT42" s="104"/>
      <c r="CU42" s="91"/>
      <c r="CV42" s="104"/>
      <c r="CW42" s="104"/>
      <c r="CX42" s="104"/>
      <c r="CY42" s="104"/>
      <c r="CZ42" s="91"/>
      <c r="DA42" s="104"/>
      <c r="DB42" s="104"/>
      <c r="DC42" s="104"/>
      <c r="DD42" s="104"/>
      <c r="DE42" s="91"/>
      <c r="DF42" s="104"/>
      <c r="DG42" s="104"/>
      <c r="DH42" s="104"/>
      <c r="DI42" s="104"/>
      <c r="DJ42" s="91"/>
      <c r="DK42" s="104"/>
      <c r="DL42" s="104"/>
      <c r="DM42" s="104"/>
      <c r="DN42" s="104"/>
      <c r="DO42" s="91"/>
      <c r="DP42" s="104"/>
      <c r="DQ42" s="104"/>
      <c r="DR42" s="104"/>
      <c r="DS42" s="104"/>
      <c r="DT42" s="91"/>
      <c r="DU42" s="104"/>
      <c r="DV42" s="104"/>
      <c r="DW42" s="104"/>
      <c r="DX42" s="104"/>
      <c r="DY42" s="91"/>
      <c r="DZ42" s="104"/>
      <c r="EA42" s="104"/>
      <c r="EB42" s="104"/>
      <c r="EC42" s="104"/>
      <c r="ED42" s="91"/>
      <c r="EE42" s="104"/>
      <c r="EF42" s="104"/>
      <c r="EG42" s="104"/>
      <c r="EH42" s="104"/>
      <c r="EI42" s="91"/>
      <c r="EJ42" s="104"/>
      <c r="EK42" s="104"/>
      <c r="EL42" s="104"/>
      <c r="EM42" s="104"/>
      <c r="EN42" s="91"/>
      <c r="EO42" s="104"/>
      <c r="EP42" s="104"/>
      <c r="EQ42" s="104"/>
      <c r="ER42" s="104"/>
      <c r="ES42" s="91"/>
      <c r="ET42" s="104"/>
      <c r="EU42" s="104"/>
      <c r="EV42" s="104"/>
      <c r="EW42" s="104"/>
      <c r="EX42" s="91"/>
      <c r="EY42" s="104"/>
      <c r="EZ42" s="104"/>
      <c r="FA42" s="104"/>
      <c r="FB42" s="104"/>
      <c r="FC42" s="91"/>
      <c r="FD42" s="104"/>
      <c r="FE42" s="104"/>
      <c r="FF42" s="104"/>
      <c r="FG42" s="104"/>
      <c r="FH42" s="91"/>
      <c r="FI42" s="104"/>
      <c r="FJ42" s="104"/>
      <c r="FK42" s="104"/>
      <c r="FL42" s="104"/>
      <c r="FM42" s="104"/>
      <c r="FN42" s="104"/>
      <c r="FO42" s="104"/>
      <c r="FP42" s="104"/>
      <c r="FQ42" s="104"/>
      <c r="FR42" s="104"/>
      <c r="FS42" s="104"/>
      <c r="FT42" s="104"/>
      <c r="FU42" s="104"/>
      <c r="FV42" s="104"/>
      <c r="FW42" s="104"/>
      <c r="FX42" s="104"/>
      <c r="FY42" s="104"/>
      <c r="FZ42" s="104"/>
      <c r="GA42" s="104"/>
      <c r="GB42" s="104"/>
      <c r="GC42" s="104"/>
      <c r="GD42" s="104"/>
      <c r="GE42" s="104"/>
      <c r="GF42" s="104"/>
      <c r="GG42" s="104"/>
      <c r="GH42" s="104"/>
      <c r="GI42" s="104"/>
      <c r="GJ42" s="104"/>
      <c r="GK42" s="104"/>
      <c r="GL42" s="104"/>
      <c r="GM42" s="104"/>
      <c r="GN42" s="104"/>
      <c r="GO42" s="104"/>
      <c r="GP42" s="91"/>
      <c r="GQ42" s="104"/>
      <c r="GR42" s="104"/>
      <c r="GS42" s="104"/>
      <c r="GT42" s="104"/>
      <c r="GU42" s="91"/>
      <c r="GV42" s="104"/>
      <c r="GW42" s="104"/>
      <c r="GX42" s="104"/>
      <c r="GY42" s="104"/>
      <c r="GZ42" s="91"/>
      <c r="HA42" s="104"/>
      <c r="HB42" s="104"/>
      <c r="HC42" s="104"/>
      <c r="HD42" s="104"/>
      <c r="HE42" s="91"/>
      <c r="HF42" s="104"/>
      <c r="HG42" s="104"/>
      <c r="HH42" s="104"/>
      <c r="HI42" s="104"/>
      <c r="HJ42" s="91"/>
      <c r="HK42" s="104"/>
      <c r="HL42" s="104"/>
      <c r="HM42" s="104"/>
      <c r="HN42" s="104"/>
      <c r="HO42" s="91"/>
      <c r="HP42" s="104"/>
      <c r="HQ42" s="104"/>
      <c r="HR42" s="104"/>
      <c r="HS42" s="104"/>
      <c r="HT42" s="91"/>
      <c r="HU42" s="104"/>
      <c r="HV42" s="104"/>
      <c r="HW42" s="104"/>
      <c r="HX42" s="104"/>
      <c r="HY42" s="91"/>
      <c r="HZ42" s="104"/>
      <c r="IA42" s="104"/>
      <c r="IB42" s="104"/>
      <c r="IC42" s="104"/>
      <c r="ID42" s="91"/>
      <c r="IE42" s="104"/>
      <c r="IF42" s="104"/>
      <c r="IG42" s="104"/>
      <c r="IH42" s="104"/>
      <c r="II42" s="91"/>
      <c r="IJ42" s="104"/>
      <c r="IK42" s="104"/>
      <c r="IL42" s="104"/>
      <c r="IM42" s="104"/>
      <c r="IN42" s="91"/>
      <c r="IO42" s="104"/>
      <c r="IP42" s="104"/>
      <c r="IQ42" s="104"/>
      <c r="IR42" s="104"/>
      <c r="IS42" s="91"/>
      <c r="IT42" s="104"/>
      <c r="IU42" s="104"/>
      <c r="IV42" s="104"/>
      <c r="IW42" s="104"/>
      <c r="IX42" s="91"/>
      <c r="IY42" s="104"/>
      <c r="IZ42" s="104"/>
      <c r="JA42" s="104"/>
      <c r="JB42" s="104"/>
      <c r="JC42" s="91"/>
      <c r="JD42" s="104"/>
      <c r="JE42" s="104"/>
      <c r="JF42" s="104"/>
      <c r="JG42" s="105"/>
      <c r="JH42" s="91"/>
      <c r="JI42" s="106"/>
      <c r="JJ42" s="104"/>
      <c r="JK42" s="104"/>
      <c r="JL42" s="105"/>
      <c r="JM42" s="95"/>
      <c r="JN42" s="107"/>
      <c r="JO42" s="79"/>
      <c r="JP42" s="106"/>
      <c r="JQ42" s="104"/>
      <c r="JR42" s="104"/>
      <c r="JS42" s="104"/>
      <c r="JT42" s="104"/>
      <c r="JU42" s="104"/>
      <c r="JV42" s="104"/>
      <c r="JW42" s="104"/>
      <c r="JX42" s="104"/>
      <c r="JY42" s="104"/>
      <c r="JZ42" s="104"/>
      <c r="KA42" s="104"/>
      <c r="KB42" s="104"/>
      <c r="KC42" s="104"/>
      <c r="KD42" s="104"/>
      <c r="KE42" s="104"/>
      <c r="KF42" s="104"/>
      <c r="KG42" s="104"/>
      <c r="KH42" s="104"/>
      <c r="KI42" s="104"/>
      <c r="KJ42" s="104"/>
      <c r="KK42" s="104"/>
      <c r="KL42" s="104"/>
      <c r="KM42" s="104"/>
      <c r="KN42" s="104"/>
      <c r="KO42" s="104"/>
      <c r="KP42" s="104"/>
      <c r="KQ42" s="104"/>
      <c r="KR42" s="104"/>
      <c r="KS42" s="104"/>
      <c r="KT42" s="104"/>
      <c r="KU42" s="104"/>
      <c r="KV42" s="104"/>
      <c r="KW42" s="104"/>
      <c r="KX42" s="104"/>
      <c r="KY42" s="104"/>
      <c r="KZ42" s="104"/>
      <c r="LA42" s="104"/>
      <c r="LB42" s="104"/>
      <c r="LC42" s="104"/>
      <c r="LD42" s="104"/>
      <c r="LE42" s="104"/>
      <c r="LF42" s="104"/>
      <c r="LG42" s="104"/>
      <c r="LH42" s="104"/>
      <c r="LI42" s="104"/>
      <c r="LJ42" s="104"/>
      <c r="LK42" s="104"/>
      <c r="LL42" s="104"/>
      <c r="LM42" s="104"/>
      <c r="LN42" s="104"/>
      <c r="LO42" s="104"/>
      <c r="LP42" s="104"/>
      <c r="LQ42" s="104"/>
      <c r="LR42" s="104"/>
      <c r="LS42" s="104"/>
      <c r="LT42" s="104"/>
      <c r="LU42" s="104"/>
      <c r="LV42" s="104"/>
      <c r="LW42" s="104"/>
      <c r="LX42" s="104"/>
      <c r="LY42" s="104"/>
      <c r="LZ42" s="104"/>
      <c r="MA42" s="104"/>
      <c r="MB42" s="104"/>
      <c r="MC42" s="104"/>
      <c r="MD42" s="104"/>
      <c r="ME42" s="104"/>
      <c r="MF42" s="104"/>
      <c r="MG42" s="104"/>
      <c r="MH42" s="104"/>
      <c r="MI42" s="104"/>
      <c r="MJ42" s="104"/>
      <c r="MK42" s="104"/>
      <c r="ML42" s="104"/>
      <c r="MM42" s="104"/>
      <c r="MN42" s="104"/>
      <c r="MO42" s="104"/>
      <c r="MP42" s="104"/>
      <c r="MQ42" s="104"/>
      <c r="MR42" s="104"/>
      <c r="MS42" s="104"/>
      <c r="MT42" s="104"/>
      <c r="MU42" s="104"/>
      <c r="MV42" s="104"/>
      <c r="MW42" s="104"/>
      <c r="MX42" s="104"/>
      <c r="MY42" s="104"/>
      <c r="MZ42" s="104"/>
      <c r="NA42" s="104"/>
      <c r="NB42" s="104"/>
      <c r="NC42" s="104"/>
      <c r="ND42" s="104"/>
      <c r="NE42" s="104"/>
      <c r="NF42" s="104"/>
      <c r="NG42" s="104"/>
      <c r="NH42" s="104"/>
      <c r="NI42" s="104"/>
      <c r="NJ42" s="104"/>
      <c r="NK42" s="104"/>
      <c r="NL42" s="104"/>
      <c r="NM42" s="104"/>
      <c r="NN42" s="104"/>
      <c r="NO42" s="104"/>
      <c r="NP42" s="104"/>
      <c r="NQ42" s="104"/>
      <c r="NR42" s="104"/>
      <c r="NS42" s="104"/>
      <c r="NT42" s="104"/>
      <c r="NU42" s="104"/>
      <c r="NV42" s="104"/>
      <c r="NW42" s="104"/>
      <c r="NX42" s="104"/>
      <c r="NY42" s="104"/>
      <c r="NZ42" s="104"/>
    </row>
    <row r="43" spans="1:390" ht="15.75" customHeight="1" x14ac:dyDescent="0.3">
      <c r="A43" s="125">
        <v>4381180755</v>
      </c>
      <c r="B43" s="159"/>
      <c r="C43" s="126"/>
      <c r="D43" s="213" t="s">
        <v>391</v>
      </c>
      <c r="E43" s="135" t="s">
        <v>516</v>
      </c>
      <c r="F43" s="125" t="s">
        <v>422</v>
      </c>
      <c r="G43" s="135" t="s">
        <v>398</v>
      </c>
      <c r="H43" s="111">
        <v>43010</v>
      </c>
      <c r="I43" s="135" t="s">
        <v>458</v>
      </c>
      <c r="J43" s="135" t="s">
        <v>397</v>
      </c>
      <c r="K43" s="128" t="s">
        <v>398</v>
      </c>
      <c r="L43" s="128" t="s">
        <v>398</v>
      </c>
      <c r="M43" s="128" t="s">
        <v>398</v>
      </c>
      <c r="N43" s="128" t="s">
        <v>398</v>
      </c>
      <c r="O43" s="128" t="s">
        <v>398</v>
      </c>
      <c r="P43" s="128" t="s">
        <v>398</v>
      </c>
      <c r="Q43" s="128" t="s">
        <v>398</v>
      </c>
      <c r="R43" s="128" t="s">
        <v>398</v>
      </c>
      <c r="S43" s="128" t="s">
        <v>398</v>
      </c>
      <c r="T43" s="128" t="s">
        <v>398</v>
      </c>
      <c r="U43" s="128" t="s">
        <v>398</v>
      </c>
      <c r="V43" s="128" t="s">
        <v>398</v>
      </c>
      <c r="W43" s="136" t="s">
        <v>398</v>
      </c>
      <c r="X43" s="135" t="s">
        <v>398</v>
      </c>
      <c r="Y43" s="113" t="s">
        <v>398</v>
      </c>
      <c r="Z43" s="113" t="s">
        <v>398</v>
      </c>
      <c r="AA43" s="126"/>
      <c r="AB43" s="113" t="s">
        <v>399</v>
      </c>
      <c r="AC43" s="111">
        <v>15743</v>
      </c>
      <c r="AD43" s="139"/>
      <c r="AE43" s="108" t="e">
        <f t="shared" si="0"/>
        <v>#NUM!</v>
      </c>
      <c r="AF43" s="138" t="s">
        <v>477</v>
      </c>
      <c r="AG43" s="126" t="s">
        <v>401</v>
      </c>
      <c r="AH43" s="131" t="s">
        <v>402</v>
      </c>
      <c r="AI43" s="125" t="s">
        <v>412</v>
      </c>
      <c r="AJ43" s="125">
        <v>0</v>
      </c>
      <c r="AK43" s="125">
        <v>0</v>
      </c>
      <c r="AL43" s="125">
        <v>0</v>
      </c>
      <c r="AM43" s="139" t="s">
        <v>414</v>
      </c>
      <c r="AN43" s="134">
        <v>2</v>
      </c>
      <c r="AO43" s="136" t="s">
        <v>398</v>
      </c>
      <c r="AP43" s="126"/>
      <c r="AQ43" s="106"/>
      <c r="AR43" s="91"/>
      <c r="AS43" s="104"/>
      <c r="AT43" s="104"/>
      <c r="AU43" s="104"/>
      <c r="AV43" s="104"/>
      <c r="AW43" s="91"/>
      <c r="AX43" s="104"/>
      <c r="AY43" s="104"/>
      <c r="AZ43" s="104"/>
      <c r="BA43" s="104"/>
      <c r="BB43" s="91"/>
      <c r="BC43" s="104"/>
      <c r="BD43" s="104"/>
      <c r="BE43" s="104"/>
      <c r="BF43" s="104"/>
      <c r="BG43" s="91"/>
      <c r="BH43" s="104"/>
      <c r="BI43" s="104"/>
      <c r="BJ43" s="104"/>
      <c r="BK43" s="104"/>
      <c r="BL43" s="91"/>
      <c r="BM43" s="104"/>
      <c r="BN43" s="104"/>
      <c r="BO43" s="104"/>
      <c r="BP43" s="104"/>
      <c r="BQ43" s="91"/>
      <c r="BR43" s="104"/>
      <c r="BS43" s="104"/>
      <c r="BT43" s="104"/>
      <c r="BU43" s="104"/>
      <c r="BV43" s="91"/>
      <c r="BW43" s="104"/>
      <c r="BX43" s="104"/>
      <c r="BY43" s="104"/>
      <c r="BZ43" s="104"/>
      <c r="CA43" s="91"/>
      <c r="CB43" s="104"/>
      <c r="CC43" s="104"/>
      <c r="CD43" s="104"/>
      <c r="CE43" s="104"/>
      <c r="CF43" s="91"/>
      <c r="CG43" s="104"/>
      <c r="CH43" s="104"/>
      <c r="CI43" s="104"/>
      <c r="CJ43" s="104"/>
      <c r="CK43" s="91"/>
      <c r="CL43" s="104"/>
      <c r="CM43" s="104"/>
      <c r="CN43" s="104"/>
      <c r="CO43" s="104"/>
      <c r="CP43" s="91"/>
      <c r="CQ43" s="104"/>
      <c r="CR43" s="104"/>
      <c r="CS43" s="104"/>
      <c r="CT43" s="104"/>
      <c r="CU43" s="91"/>
      <c r="CV43" s="104"/>
      <c r="CW43" s="104"/>
      <c r="CX43" s="104"/>
      <c r="CY43" s="104"/>
      <c r="CZ43" s="91"/>
      <c r="DA43" s="104"/>
      <c r="DB43" s="104"/>
      <c r="DC43" s="104"/>
      <c r="DD43" s="104"/>
      <c r="DE43" s="91"/>
      <c r="DF43" s="104"/>
      <c r="DG43" s="104"/>
      <c r="DH43" s="104"/>
      <c r="DI43" s="104"/>
      <c r="DJ43" s="91"/>
      <c r="DK43" s="104"/>
      <c r="DL43" s="104"/>
      <c r="DM43" s="104"/>
      <c r="DN43" s="104"/>
      <c r="DO43" s="91"/>
      <c r="DP43" s="104"/>
      <c r="DQ43" s="104"/>
      <c r="DR43" s="104"/>
      <c r="DS43" s="104"/>
      <c r="DT43" s="91"/>
      <c r="DU43" s="104"/>
      <c r="DV43" s="104"/>
      <c r="DW43" s="104"/>
      <c r="DX43" s="104"/>
      <c r="DY43" s="91"/>
      <c r="DZ43" s="104"/>
      <c r="EA43" s="104"/>
      <c r="EB43" s="104"/>
      <c r="EC43" s="104"/>
      <c r="ED43" s="91"/>
      <c r="EE43" s="104"/>
      <c r="EF43" s="104"/>
      <c r="EG43" s="104"/>
      <c r="EH43" s="104"/>
      <c r="EI43" s="91"/>
      <c r="EJ43" s="104"/>
      <c r="EK43" s="104"/>
      <c r="EL43" s="104"/>
      <c r="EM43" s="104"/>
      <c r="EN43" s="91"/>
      <c r="EO43" s="104"/>
      <c r="EP43" s="104"/>
      <c r="EQ43" s="104"/>
      <c r="ER43" s="104"/>
      <c r="ES43" s="91"/>
      <c r="ET43" s="104"/>
      <c r="EU43" s="104"/>
      <c r="EV43" s="104"/>
      <c r="EW43" s="104"/>
      <c r="EX43" s="91"/>
      <c r="EY43" s="104"/>
      <c r="EZ43" s="104"/>
      <c r="FA43" s="104"/>
      <c r="FB43" s="104"/>
      <c r="FC43" s="91"/>
      <c r="FD43" s="104"/>
      <c r="FE43" s="104"/>
      <c r="FF43" s="104"/>
      <c r="FG43" s="104"/>
      <c r="FH43" s="91"/>
      <c r="FI43" s="104"/>
      <c r="FJ43" s="104"/>
      <c r="FK43" s="104"/>
      <c r="FL43" s="104"/>
      <c r="FM43" s="104"/>
      <c r="FN43" s="104"/>
      <c r="FO43" s="104"/>
      <c r="FP43" s="104"/>
      <c r="FQ43" s="104"/>
      <c r="FR43" s="104"/>
      <c r="FS43" s="104"/>
      <c r="FT43" s="104"/>
      <c r="FU43" s="104"/>
      <c r="FV43" s="104"/>
      <c r="FW43" s="104"/>
      <c r="FX43" s="104"/>
      <c r="FY43" s="104"/>
      <c r="FZ43" s="104"/>
      <c r="GA43" s="104"/>
      <c r="GB43" s="104"/>
      <c r="GC43" s="104"/>
      <c r="GD43" s="104"/>
      <c r="GE43" s="104"/>
      <c r="GF43" s="104"/>
      <c r="GG43" s="104"/>
      <c r="GH43" s="104"/>
      <c r="GI43" s="104"/>
      <c r="GJ43" s="104"/>
      <c r="GK43" s="104"/>
      <c r="GL43" s="104"/>
      <c r="GM43" s="104"/>
      <c r="GN43" s="104"/>
      <c r="GO43" s="104"/>
      <c r="GP43" s="91"/>
      <c r="GQ43" s="104"/>
      <c r="GR43" s="104"/>
      <c r="GS43" s="104"/>
      <c r="GT43" s="104"/>
      <c r="GU43" s="91"/>
      <c r="GV43" s="104"/>
      <c r="GW43" s="104"/>
      <c r="GX43" s="104"/>
      <c r="GY43" s="104"/>
      <c r="GZ43" s="91"/>
      <c r="HA43" s="104"/>
      <c r="HB43" s="104"/>
      <c r="HC43" s="104"/>
      <c r="HD43" s="104"/>
      <c r="HE43" s="91"/>
      <c r="HF43" s="104"/>
      <c r="HG43" s="104"/>
      <c r="HH43" s="104"/>
      <c r="HI43" s="104"/>
      <c r="HJ43" s="91"/>
      <c r="HK43" s="104"/>
      <c r="HL43" s="104"/>
      <c r="HM43" s="104"/>
      <c r="HN43" s="104"/>
      <c r="HO43" s="91"/>
      <c r="HP43" s="104"/>
      <c r="HQ43" s="104"/>
      <c r="HR43" s="104"/>
      <c r="HS43" s="104"/>
      <c r="HT43" s="91"/>
      <c r="HU43" s="104"/>
      <c r="HV43" s="104"/>
      <c r="HW43" s="104"/>
      <c r="HX43" s="104"/>
      <c r="HY43" s="91"/>
      <c r="HZ43" s="104"/>
      <c r="IA43" s="104"/>
      <c r="IB43" s="104"/>
      <c r="IC43" s="104"/>
      <c r="ID43" s="91"/>
      <c r="IE43" s="104"/>
      <c r="IF43" s="104"/>
      <c r="IG43" s="104"/>
      <c r="IH43" s="104"/>
      <c r="II43" s="91"/>
      <c r="IJ43" s="104"/>
      <c r="IK43" s="104"/>
      <c r="IL43" s="104"/>
      <c r="IM43" s="104"/>
      <c r="IN43" s="91"/>
      <c r="IO43" s="104"/>
      <c r="IP43" s="104"/>
      <c r="IQ43" s="104"/>
      <c r="IR43" s="104"/>
      <c r="IS43" s="91"/>
      <c r="IT43" s="104"/>
      <c r="IU43" s="104"/>
      <c r="IV43" s="104"/>
      <c r="IW43" s="104"/>
      <c r="IX43" s="91"/>
      <c r="IY43" s="104"/>
      <c r="IZ43" s="104"/>
      <c r="JA43" s="104"/>
      <c r="JB43" s="104"/>
      <c r="JC43" s="91"/>
      <c r="JD43" s="104"/>
      <c r="JE43" s="104"/>
      <c r="JF43" s="104"/>
      <c r="JG43" s="105"/>
      <c r="JH43" s="91"/>
      <c r="JI43" s="106"/>
      <c r="JJ43" s="104"/>
      <c r="JK43" s="104"/>
      <c r="JL43" s="105"/>
      <c r="JM43" s="95"/>
      <c r="JN43" s="107"/>
      <c r="JO43" s="79"/>
      <c r="JP43" s="106"/>
      <c r="JQ43" s="104"/>
      <c r="JR43" s="104"/>
      <c r="JS43" s="104"/>
      <c r="JT43" s="104"/>
      <c r="JU43" s="104"/>
      <c r="JV43" s="104"/>
      <c r="JW43" s="104"/>
      <c r="JX43" s="104"/>
      <c r="JY43" s="104"/>
      <c r="JZ43" s="104"/>
      <c r="KA43" s="104"/>
      <c r="KB43" s="104"/>
      <c r="KC43" s="104"/>
      <c r="KD43" s="104"/>
      <c r="KE43" s="104"/>
      <c r="KF43" s="104"/>
      <c r="KG43" s="104"/>
      <c r="KH43" s="104"/>
      <c r="KI43" s="104"/>
      <c r="KJ43" s="104"/>
      <c r="KK43" s="104"/>
      <c r="KL43" s="104"/>
      <c r="KM43" s="104"/>
      <c r="KN43" s="104"/>
      <c r="KO43" s="104"/>
      <c r="KP43" s="104"/>
      <c r="KQ43" s="104"/>
      <c r="KR43" s="104"/>
      <c r="KS43" s="104"/>
      <c r="KT43" s="104"/>
      <c r="KU43" s="104"/>
      <c r="KV43" s="104"/>
      <c r="KW43" s="104"/>
      <c r="KX43" s="104"/>
      <c r="KY43" s="104"/>
      <c r="KZ43" s="104"/>
      <c r="LA43" s="104"/>
      <c r="LB43" s="104"/>
      <c r="LC43" s="104"/>
      <c r="LD43" s="104"/>
      <c r="LE43" s="104"/>
      <c r="LF43" s="104"/>
      <c r="LG43" s="104"/>
      <c r="LH43" s="104"/>
      <c r="LI43" s="104"/>
      <c r="LJ43" s="104"/>
      <c r="LK43" s="104"/>
      <c r="LL43" s="104"/>
      <c r="LM43" s="104"/>
      <c r="LN43" s="104"/>
      <c r="LO43" s="104"/>
      <c r="LP43" s="104"/>
      <c r="LQ43" s="104"/>
      <c r="LR43" s="104"/>
      <c r="LS43" s="104"/>
      <c r="LT43" s="104"/>
      <c r="LU43" s="104"/>
      <c r="LV43" s="104"/>
      <c r="LW43" s="104"/>
      <c r="LX43" s="104"/>
      <c r="LY43" s="104"/>
      <c r="LZ43" s="104"/>
      <c r="MA43" s="104"/>
      <c r="MB43" s="104"/>
      <c r="MC43" s="104"/>
      <c r="MD43" s="104"/>
      <c r="ME43" s="104"/>
      <c r="MF43" s="104"/>
      <c r="MG43" s="104"/>
      <c r="MH43" s="104"/>
      <c r="MI43" s="104"/>
      <c r="MJ43" s="104"/>
      <c r="MK43" s="104"/>
      <c r="ML43" s="104"/>
      <c r="MM43" s="104"/>
      <c r="MN43" s="104"/>
      <c r="MO43" s="104"/>
      <c r="MP43" s="104"/>
      <c r="MQ43" s="104"/>
      <c r="MR43" s="104"/>
      <c r="MS43" s="104"/>
      <c r="MT43" s="104"/>
      <c r="MU43" s="104"/>
      <c r="MV43" s="104"/>
      <c r="MW43" s="104"/>
      <c r="MX43" s="104"/>
      <c r="MY43" s="104"/>
      <c r="MZ43" s="104"/>
      <c r="NA43" s="104"/>
      <c r="NB43" s="104"/>
      <c r="NC43" s="104"/>
      <c r="ND43" s="104"/>
      <c r="NE43" s="104"/>
      <c r="NF43" s="104"/>
      <c r="NG43" s="104"/>
      <c r="NH43" s="104"/>
      <c r="NI43" s="104"/>
      <c r="NJ43" s="104"/>
      <c r="NK43" s="104"/>
      <c r="NL43" s="104"/>
      <c r="NM43" s="104"/>
      <c r="NN43" s="104"/>
      <c r="NO43" s="104"/>
      <c r="NP43" s="104"/>
      <c r="NQ43" s="104"/>
      <c r="NR43" s="104"/>
      <c r="NS43" s="104"/>
      <c r="NT43" s="104"/>
      <c r="NU43" s="104"/>
      <c r="NV43" s="104"/>
      <c r="NW43" s="104"/>
      <c r="NX43" s="104"/>
      <c r="NY43" s="104"/>
      <c r="NZ43" s="104"/>
    </row>
    <row r="44" spans="1:390" ht="15.75" customHeight="1" x14ac:dyDescent="0.3">
      <c r="A44" s="125">
        <v>6307569778</v>
      </c>
      <c r="B44" s="159"/>
      <c r="C44" s="126"/>
      <c r="D44" s="213" t="s">
        <v>391</v>
      </c>
      <c r="E44" s="135" t="s">
        <v>517</v>
      </c>
      <c r="F44" s="125" t="s">
        <v>518</v>
      </c>
      <c r="G44" s="125" t="s">
        <v>519</v>
      </c>
      <c r="H44" s="111">
        <v>43013</v>
      </c>
      <c r="I44" s="135" t="s">
        <v>396</v>
      </c>
      <c r="J44" s="135" t="s">
        <v>397</v>
      </c>
      <c r="K44" s="128" t="s">
        <v>398</v>
      </c>
      <c r="L44" s="128" t="s">
        <v>398</v>
      </c>
      <c r="M44" s="128" t="s">
        <v>398</v>
      </c>
      <c r="N44" s="128" t="s">
        <v>398</v>
      </c>
      <c r="O44" s="128" t="s">
        <v>398</v>
      </c>
      <c r="P44" s="128" t="s">
        <v>398</v>
      </c>
      <c r="Q44" s="128" t="s">
        <v>398</v>
      </c>
      <c r="R44" s="128" t="s">
        <v>398</v>
      </c>
      <c r="S44" s="128" t="s">
        <v>398</v>
      </c>
      <c r="T44" s="128" t="s">
        <v>398</v>
      </c>
      <c r="U44" s="128" t="s">
        <v>398</v>
      </c>
      <c r="V44" s="128" t="s">
        <v>398</v>
      </c>
      <c r="W44" s="136" t="s">
        <v>517</v>
      </c>
      <c r="X44" s="135" t="s">
        <v>520</v>
      </c>
      <c r="Y44" s="113" t="s">
        <v>432</v>
      </c>
      <c r="Z44" s="111">
        <v>43013</v>
      </c>
      <c r="AA44" s="126"/>
      <c r="AB44" s="113" t="s">
        <v>399</v>
      </c>
      <c r="AC44" s="111">
        <v>19034</v>
      </c>
      <c r="AD44" s="139"/>
      <c r="AE44" s="108" t="e">
        <f t="shared" si="0"/>
        <v>#NUM!</v>
      </c>
      <c r="AF44" s="138" t="s">
        <v>521</v>
      </c>
      <c r="AG44" s="126" t="s">
        <v>401</v>
      </c>
      <c r="AH44" s="131" t="s">
        <v>402</v>
      </c>
      <c r="AI44" s="125">
        <v>2</v>
      </c>
      <c r="AJ44" s="125">
        <v>0</v>
      </c>
      <c r="AK44" s="125">
        <v>0</v>
      </c>
      <c r="AL44" s="125">
        <v>0</v>
      </c>
      <c r="AM44" s="139" t="s">
        <v>424</v>
      </c>
      <c r="AN44" s="134">
        <v>3</v>
      </c>
      <c r="AO44" s="136" t="s">
        <v>398</v>
      </c>
      <c r="AP44" s="126"/>
      <c r="AQ44" s="106"/>
      <c r="AR44" s="91"/>
      <c r="AS44" s="104"/>
      <c r="AT44" s="104"/>
      <c r="AU44" s="104"/>
      <c r="AV44" s="104"/>
      <c r="AW44" s="91"/>
      <c r="AX44" s="104"/>
      <c r="AY44" s="104"/>
      <c r="AZ44" s="104"/>
      <c r="BA44" s="104"/>
      <c r="BB44" s="91"/>
      <c r="BC44" s="104"/>
      <c r="BD44" s="104"/>
      <c r="BE44" s="104"/>
      <c r="BF44" s="104"/>
      <c r="BG44" s="91"/>
      <c r="BH44" s="104"/>
      <c r="BI44" s="104"/>
      <c r="BJ44" s="104"/>
      <c r="BK44" s="104"/>
      <c r="BL44" s="91"/>
      <c r="BM44" s="104"/>
      <c r="BN44" s="104"/>
      <c r="BO44" s="104"/>
      <c r="BP44" s="104"/>
      <c r="BQ44" s="91"/>
      <c r="BR44" s="104"/>
      <c r="BS44" s="104"/>
      <c r="BT44" s="104"/>
      <c r="BU44" s="104"/>
      <c r="BV44" s="91"/>
      <c r="BW44" s="104"/>
      <c r="BX44" s="104"/>
      <c r="BY44" s="104"/>
      <c r="BZ44" s="104"/>
      <c r="CA44" s="91"/>
      <c r="CB44" s="104"/>
      <c r="CC44" s="104"/>
      <c r="CD44" s="104"/>
      <c r="CE44" s="104"/>
      <c r="CF44" s="91"/>
      <c r="CG44" s="104"/>
      <c r="CH44" s="104"/>
      <c r="CI44" s="104"/>
      <c r="CJ44" s="104"/>
      <c r="CK44" s="91"/>
      <c r="CL44" s="104"/>
      <c r="CM44" s="104"/>
      <c r="CN44" s="104"/>
      <c r="CO44" s="104"/>
      <c r="CP44" s="91"/>
      <c r="CQ44" s="104"/>
      <c r="CR44" s="104"/>
      <c r="CS44" s="104"/>
      <c r="CT44" s="104"/>
      <c r="CU44" s="91"/>
      <c r="CV44" s="104"/>
      <c r="CW44" s="104"/>
      <c r="CX44" s="104"/>
      <c r="CY44" s="104"/>
      <c r="CZ44" s="91"/>
      <c r="DA44" s="104"/>
      <c r="DB44" s="104"/>
      <c r="DC44" s="104"/>
      <c r="DD44" s="104"/>
      <c r="DE44" s="91"/>
      <c r="DF44" s="104"/>
      <c r="DG44" s="104"/>
      <c r="DH44" s="104"/>
      <c r="DI44" s="104"/>
      <c r="DJ44" s="91"/>
      <c r="DK44" s="104"/>
      <c r="DL44" s="104"/>
      <c r="DM44" s="104"/>
      <c r="DN44" s="104"/>
      <c r="DO44" s="91"/>
      <c r="DP44" s="104"/>
      <c r="DQ44" s="104"/>
      <c r="DR44" s="104"/>
      <c r="DS44" s="104"/>
      <c r="DT44" s="91"/>
      <c r="DU44" s="104"/>
      <c r="DV44" s="104"/>
      <c r="DW44" s="104"/>
      <c r="DX44" s="104"/>
      <c r="DY44" s="91"/>
      <c r="DZ44" s="104"/>
      <c r="EA44" s="104"/>
      <c r="EB44" s="104"/>
      <c r="EC44" s="104"/>
      <c r="ED44" s="91"/>
      <c r="EE44" s="104"/>
      <c r="EF44" s="104"/>
      <c r="EG44" s="104"/>
      <c r="EH44" s="104"/>
      <c r="EI44" s="91"/>
      <c r="EJ44" s="104"/>
      <c r="EK44" s="104"/>
      <c r="EL44" s="104"/>
      <c r="EM44" s="104"/>
      <c r="EN44" s="91"/>
      <c r="EO44" s="104"/>
      <c r="EP44" s="104"/>
      <c r="EQ44" s="104"/>
      <c r="ER44" s="104"/>
      <c r="ES44" s="91"/>
      <c r="ET44" s="104"/>
      <c r="EU44" s="104"/>
      <c r="EV44" s="104"/>
      <c r="EW44" s="104"/>
      <c r="EX44" s="91"/>
      <c r="EY44" s="104"/>
      <c r="EZ44" s="104"/>
      <c r="FA44" s="104"/>
      <c r="FB44" s="104"/>
      <c r="FC44" s="91"/>
      <c r="FD44" s="104"/>
      <c r="FE44" s="104"/>
      <c r="FF44" s="104"/>
      <c r="FG44" s="104"/>
      <c r="FH44" s="91"/>
      <c r="FI44" s="104"/>
      <c r="FJ44" s="104"/>
      <c r="FK44" s="104"/>
      <c r="FL44" s="104"/>
      <c r="FM44" s="104"/>
      <c r="FN44" s="104"/>
      <c r="FO44" s="104"/>
      <c r="FP44" s="104"/>
      <c r="FQ44" s="104"/>
      <c r="FR44" s="104"/>
      <c r="FS44" s="104"/>
      <c r="FT44" s="104"/>
      <c r="FU44" s="104"/>
      <c r="FV44" s="104"/>
      <c r="FW44" s="104"/>
      <c r="FX44" s="104"/>
      <c r="FY44" s="104"/>
      <c r="FZ44" s="104"/>
      <c r="GA44" s="104"/>
      <c r="GB44" s="104"/>
      <c r="GC44" s="104"/>
      <c r="GD44" s="104"/>
      <c r="GE44" s="104"/>
      <c r="GF44" s="104"/>
      <c r="GG44" s="104"/>
      <c r="GH44" s="104"/>
      <c r="GI44" s="104"/>
      <c r="GJ44" s="104"/>
      <c r="GK44" s="104"/>
      <c r="GL44" s="104"/>
      <c r="GM44" s="104"/>
      <c r="GN44" s="104"/>
      <c r="GO44" s="104"/>
      <c r="GP44" s="91"/>
      <c r="GQ44" s="104"/>
      <c r="GR44" s="104"/>
      <c r="GS44" s="104"/>
      <c r="GT44" s="104"/>
      <c r="GU44" s="91"/>
      <c r="GV44" s="104"/>
      <c r="GW44" s="104"/>
      <c r="GX44" s="104"/>
      <c r="GY44" s="104"/>
      <c r="GZ44" s="91"/>
      <c r="HA44" s="104"/>
      <c r="HB44" s="104"/>
      <c r="HC44" s="104"/>
      <c r="HD44" s="104"/>
      <c r="HE44" s="91"/>
      <c r="HF44" s="104"/>
      <c r="HG44" s="104"/>
      <c r="HH44" s="104"/>
      <c r="HI44" s="104"/>
      <c r="HJ44" s="91"/>
      <c r="HK44" s="104"/>
      <c r="HL44" s="104"/>
      <c r="HM44" s="104"/>
      <c r="HN44" s="104"/>
      <c r="HO44" s="91"/>
      <c r="HP44" s="104"/>
      <c r="HQ44" s="104"/>
      <c r="HR44" s="104"/>
      <c r="HS44" s="104"/>
      <c r="HT44" s="91"/>
      <c r="HU44" s="104"/>
      <c r="HV44" s="104"/>
      <c r="HW44" s="104"/>
      <c r="HX44" s="104"/>
      <c r="HY44" s="91"/>
      <c r="HZ44" s="104"/>
      <c r="IA44" s="104"/>
      <c r="IB44" s="104"/>
      <c r="IC44" s="104"/>
      <c r="ID44" s="91"/>
      <c r="IE44" s="104"/>
      <c r="IF44" s="104"/>
      <c r="IG44" s="104"/>
      <c r="IH44" s="104"/>
      <c r="II44" s="91"/>
      <c r="IJ44" s="104"/>
      <c r="IK44" s="104"/>
      <c r="IL44" s="104"/>
      <c r="IM44" s="104"/>
      <c r="IN44" s="91"/>
      <c r="IO44" s="104"/>
      <c r="IP44" s="104"/>
      <c r="IQ44" s="104"/>
      <c r="IR44" s="104"/>
      <c r="IS44" s="91"/>
      <c r="IT44" s="104"/>
      <c r="IU44" s="104"/>
      <c r="IV44" s="104"/>
      <c r="IW44" s="104"/>
      <c r="IX44" s="91"/>
      <c r="IY44" s="104"/>
      <c r="IZ44" s="104"/>
      <c r="JA44" s="104"/>
      <c r="JB44" s="104"/>
      <c r="JC44" s="91"/>
      <c r="JD44" s="104"/>
      <c r="JE44" s="104"/>
      <c r="JF44" s="104"/>
      <c r="JG44" s="105"/>
      <c r="JH44" s="91"/>
      <c r="JI44" s="106"/>
      <c r="JJ44" s="104"/>
      <c r="JK44" s="104"/>
      <c r="JL44" s="105"/>
      <c r="JM44" s="95"/>
      <c r="JN44" s="107"/>
      <c r="JO44" s="79"/>
      <c r="JP44" s="106"/>
      <c r="JQ44" s="104"/>
      <c r="JR44" s="104"/>
      <c r="JS44" s="104"/>
      <c r="JT44" s="104"/>
      <c r="JU44" s="104"/>
      <c r="JV44" s="104"/>
      <c r="JW44" s="104"/>
      <c r="JX44" s="104"/>
      <c r="JY44" s="104"/>
      <c r="JZ44" s="104"/>
      <c r="KA44" s="104"/>
      <c r="KB44" s="104"/>
      <c r="KC44" s="104"/>
      <c r="KD44" s="104"/>
      <c r="KE44" s="104"/>
      <c r="KF44" s="104"/>
      <c r="KG44" s="104"/>
      <c r="KH44" s="104"/>
      <c r="KI44" s="104"/>
      <c r="KJ44" s="104"/>
      <c r="KK44" s="104"/>
      <c r="KL44" s="104"/>
      <c r="KM44" s="104"/>
      <c r="KN44" s="104"/>
      <c r="KO44" s="104"/>
      <c r="KP44" s="104"/>
      <c r="KQ44" s="104"/>
      <c r="KR44" s="104"/>
      <c r="KS44" s="104"/>
      <c r="KT44" s="104"/>
      <c r="KU44" s="104"/>
      <c r="KV44" s="104"/>
      <c r="KW44" s="104"/>
      <c r="KX44" s="104"/>
      <c r="KY44" s="104"/>
      <c r="KZ44" s="104"/>
      <c r="LA44" s="104"/>
      <c r="LB44" s="104"/>
      <c r="LC44" s="104"/>
      <c r="LD44" s="104"/>
      <c r="LE44" s="104"/>
      <c r="LF44" s="104"/>
      <c r="LG44" s="104"/>
      <c r="LH44" s="104"/>
      <c r="LI44" s="104"/>
      <c r="LJ44" s="104"/>
      <c r="LK44" s="104"/>
      <c r="LL44" s="104"/>
      <c r="LM44" s="104"/>
      <c r="LN44" s="104"/>
      <c r="LO44" s="104"/>
      <c r="LP44" s="104"/>
      <c r="LQ44" s="104"/>
      <c r="LR44" s="104"/>
      <c r="LS44" s="104"/>
      <c r="LT44" s="104"/>
      <c r="LU44" s="104"/>
      <c r="LV44" s="104"/>
      <c r="LW44" s="104"/>
      <c r="LX44" s="104"/>
      <c r="LY44" s="104"/>
      <c r="LZ44" s="104"/>
      <c r="MA44" s="104"/>
      <c r="MB44" s="104"/>
      <c r="MC44" s="104"/>
      <c r="MD44" s="104"/>
      <c r="ME44" s="104"/>
      <c r="MF44" s="104"/>
      <c r="MG44" s="104"/>
      <c r="MH44" s="104"/>
      <c r="MI44" s="104"/>
      <c r="MJ44" s="104"/>
      <c r="MK44" s="104"/>
      <c r="ML44" s="104"/>
      <c r="MM44" s="104"/>
      <c r="MN44" s="104"/>
      <c r="MO44" s="104"/>
      <c r="MP44" s="104"/>
      <c r="MQ44" s="104"/>
      <c r="MR44" s="104"/>
      <c r="MS44" s="104"/>
      <c r="MT44" s="104"/>
      <c r="MU44" s="104"/>
      <c r="MV44" s="104"/>
      <c r="MW44" s="104"/>
      <c r="MX44" s="104"/>
      <c r="MY44" s="104"/>
      <c r="MZ44" s="104"/>
      <c r="NA44" s="104"/>
      <c r="NB44" s="104"/>
      <c r="NC44" s="104"/>
      <c r="ND44" s="104"/>
      <c r="NE44" s="104"/>
      <c r="NF44" s="104"/>
      <c r="NG44" s="104"/>
      <c r="NH44" s="104"/>
      <c r="NI44" s="104"/>
      <c r="NJ44" s="104"/>
      <c r="NK44" s="104"/>
      <c r="NL44" s="104"/>
      <c r="NM44" s="104"/>
      <c r="NN44" s="104"/>
      <c r="NO44" s="104"/>
      <c r="NP44" s="104"/>
      <c r="NQ44" s="104"/>
      <c r="NR44" s="104"/>
      <c r="NS44" s="104"/>
      <c r="NT44" s="104"/>
      <c r="NU44" s="104"/>
      <c r="NV44" s="104"/>
      <c r="NW44" s="104"/>
      <c r="NX44" s="104"/>
      <c r="NY44" s="104"/>
      <c r="NZ44" s="104"/>
    </row>
    <row r="45" spans="1:390" ht="15.75" customHeight="1" x14ac:dyDescent="0.3">
      <c r="A45" s="125">
        <v>4122056497</v>
      </c>
      <c r="B45" s="159"/>
      <c r="C45" s="126"/>
      <c r="D45" s="213" t="s">
        <v>391</v>
      </c>
      <c r="E45" s="135" t="s">
        <v>522</v>
      </c>
      <c r="F45" s="125" t="s">
        <v>488</v>
      </c>
      <c r="G45" s="125" t="s">
        <v>448</v>
      </c>
      <c r="H45" s="111">
        <v>43018</v>
      </c>
      <c r="I45" s="135" t="s">
        <v>396</v>
      </c>
      <c r="J45" s="135" t="s">
        <v>397</v>
      </c>
      <c r="K45" s="128" t="s">
        <v>398</v>
      </c>
      <c r="L45" s="128" t="s">
        <v>398</v>
      </c>
      <c r="M45" s="128" t="s">
        <v>398</v>
      </c>
      <c r="N45" s="128" t="s">
        <v>398</v>
      </c>
      <c r="O45" s="128" t="s">
        <v>398</v>
      </c>
      <c r="P45" s="128" t="s">
        <v>398</v>
      </c>
      <c r="Q45" s="128" t="s">
        <v>398</v>
      </c>
      <c r="R45" s="128" t="s">
        <v>398</v>
      </c>
      <c r="S45" s="128" t="s">
        <v>398</v>
      </c>
      <c r="T45" s="128" t="s">
        <v>398</v>
      </c>
      <c r="U45" s="128" t="s">
        <v>398</v>
      </c>
      <c r="V45" s="128" t="s">
        <v>398</v>
      </c>
      <c r="W45" s="136" t="s">
        <v>398</v>
      </c>
      <c r="X45" s="135" t="s">
        <v>398</v>
      </c>
      <c r="Y45" s="113" t="s">
        <v>398</v>
      </c>
      <c r="Z45" s="113" t="s">
        <v>398</v>
      </c>
      <c r="AA45" s="126"/>
      <c r="AB45" s="113" t="s">
        <v>399</v>
      </c>
      <c r="AC45" s="111">
        <v>26259</v>
      </c>
      <c r="AD45" s="139"/>
      <c r="AE45" s="108" t="e">
        <f t="shared" si="0"/>
        <v>#NUM!</v>
      </c>
      <c r="AF45" s="138" t="s">
        <v>477</v>
      </c>
      <c r="AG45" s="126" t="s">
        <v>401</v>
      </c>
      <c r="AH45" s="131" t="s">
        <v>402</v>
      </c>
      <c r="AI45" s="125">
        <v>3</v>
      </c>
      <c r="AJ45" s="125">
        <v>2</v>
      </c>
      <c r="AK45" s="125">
        <v>0</v>
      </c>
      <c r="AL45" s="125">
        <v>0</v>
      </c>
      <c r="AM45" s="139" t="s">
        <v>490</v>
      </c>
      <c r="AN45" s="134">
        <v>2</v>
      </c>
      <c r="AO45" s="136" t="s">
        <v>398</v>
      </c>
      <c r="AP45" s="126"/>
      <c r="AQ45" s="106"/>
      <c r="AR45" s="91"/>
      <c r="AS45" s="104"/>
      <c r="AT45" s="104"/>
      <c r="AU45" s="104"/>
      <c r="AV45" s="104"/>
      <c r="AW45" s="91"/>
      <c r="AX45" s="104"/>
      <c r="AY45" s="104"/>
      <c r="AZ45" s="104"/>
      <c r="BA45" s="104"/>
      <c r="BB45" s="91"/>
      <c r="BC45" s="104"/>
      <c r="BD45" s="104"/>
      <c r="BE45" s="104"/>
      <c r="BF45" s="104"/>
      <c r="BG45" s="91"/>
      <c r="BH45" s="104"/>
      <c r="BI45" s="104"/>
      <c r="BJ45" s="104"/>
      <c r="BK45" s="104"/>
      <c r="BL45" s="91"/>
      <c r="BM45" s="104"/>
      <c r="BN45" s="104"/>
      <c r="BO45" s="104"/>
      <c r="BP45" s="104"/>
      <c r="BQ45" s="91"/>
      <c r="BR45" s="104"/>
      <c r="BS45" s="104"/>
      <c r="BT45" s="104"/>
      <c r="BU45" s="104"/>
      <c r="BV45" s="91"/>
      <c r="BW45" s="104"/>
      <c r="BX45" s="104"/>
      <c r="BY45" s="104"/>
      <c r="BZ45" s="104"/>
      <c r="CA45" s="91"/>
      <c r="CB45" s="104"/>
      <c r="CC45" s="104"/>
      <c r="CD45" s="104"/>
      <c r="CE45" s="104"/>
      <c r="CF45" s="91"/>
      <c r="CG45" s="104"/>
      <c r="CH45" s="104"/>
      <c r="CI45" s="104"/>
      <c r="CJ45" s="104"/>
      <c r="CK45" s="91"/>
      <c r="CL45" s="104"/>
      <c r="CM45" s="104"/>
      <c r="CN45" s="104"/>
      <c r="CO45" s="104"/>
      <c r="CP45" s="91"/>
      <c r="CQ45" s="104"/>
      <c r="CR45" s="104"/>
      <c r="CS45" s="104"/>
      <c r="CT45" s="104"/>
      <c r="CU45" s="91"/>
      <c r="CV45" s="104"/>
      <c r="CW45" s="104"/>
      <c r="CX45" s="104"/>
      <c r="CY45" s="104"/>
      <c r="CZ45" s="91"/>
      <c r="DA45" s="104"/>
      <c r="DB45" s="104"/>
      <c r="DC45" s="104"/>
      <c r="DD45" s="104"/>
      <c r="DE45" s="91"/>
      <c r="DF45" s="104"/>
      <c r="DG45" s="104"/>
      <c r="DH45" s="104"/>
      <c r="DI45" s="104"/>
      <c r="DJ45" s="91"/>
      <c r="DK45" s="104"/>
      <c r="DL45" s="104"/>
      <c r="DM45" s="104"/>
      <c r="DN45" s="104"/>
      <c r="DO45" s="91"/>
      <c r="DP45" s="104"/>
      <c r="DQ45" s="104"/>
      <c r="DR45" s="104"/>
      <c r="DS45" s="104"/>
      <c r="DT45" s="91"/>
      <c r="DU45" s="104"/>
      <c r="DV45" s="104"/>
      <c r="DW45" s="104"/>
      <c r="DX45" s="104"/>
      <c r="DY45" s="91"/>
      <c r="DZ45" s="104"/>
      <c r="EA45" s="104"/>
      <c r="EB45" s="104"/>
      <c r="EC45" s="104"/>
      <c r="ED45" s="91"/>
      <c r="EE45" s="104"/>
      <c r="EF45" s="104"/>
      <c r="EG45" s="104"/>
      <c r="EH45" s="104"/>
      <c r="EI45" s="91"/>
      <c r="EJ45" s="104"/>
      <c r="EK45" s="104"/>
      <c r="EL45" s="104"/>
      <c r="EM45" s="104"/>
      <c r="EN45" s="91"/>
      <c r="EO45" s="104"/>
      <c r="EP45" s="104"/>
      <c r="EQ45" s="104"/>
      <c r="ER45" s="104"/>
      <c r="ES45" s="91"/>
      <c r="ET45" s="104"/>
      <c r="EU45" s="104"/>
      <c r="EV45" s="104"/>
      <c r="EW45" s="104"/>
      <c r="EX45" s="91"/>
      <c r="EY45" s="104"/>
      <c r="EZ45" s="104"/>
      <c r="FA45" s="104"/>
      <c r="FB45" s="104"/>
      <c r="FC45" s="91"/>
      <c r="FD45" s="104"/>
      <c r="FE45" s="104"/>
      <c r="FF45" s="104"/>
      <c r="FG45" s="104"/>
      <c r="FH45" s="91"/>
      <c r="FI45" s="104"/>
      <c r="FJ45" s="104"/>
      <c r="FK45" s="104"/>
      <c r="FL45" s="104"/>
      <c r="FM45" s="104"/>
      <c r="FN45" s="104"/>
      <c r="FO45" s="104"/>
      <c r="FP45" s="104"/>
      <c r="FQ45" s="104"/>
      <c r="FR45" s="104"/>
      <c r="FS45" s="104"/>
      <c r="FT45" s="104"/>
      <c r="FU45" s="104"/>
      <c r="FV45" s="104"/>
      <c r="FW45" s="104"/>
      <c r="FX45" s="104"/>
      <c r="FY45" s="104"/>
      <c r="FZ45" s="104"/>
      <c r="GA45" s="104"/>
      <c r="GB45" s="104"/>
      <c r="GC45" s="104"/>
      <c r="GD45" s="104"/>
      <c r="GE45" s="104"/>
      <c r="GF45" s="104"/>
      <c r="GG45" s="104"/>
      <c r="GH45" s="104"/>
      <c r="GI45" s="104"/>
      <c r="GJ45" s="104"/>
      <c r="GK45" s="104"/>
      <c r="GL45" s="104"/>
      <c r="GM45" s="104"/>
      <c r="GN45" s="104"/>
      <c r="GO45" s="104"/>
      <c r="GP45" s="91"/>
      <c r="GQ45" s="104"/>
      <c r="GR45" s="104"/>
      <c r="GS45" s="104"/>
      <c r="GT45" s="104"/>
      <c r="GU45" s="91"/>
      <c r="GV45" s="104"/>
      <c r="GW45" s="104"/>
      <c r="GX45" s="104"/>
      <c r="GY45" s="104"/>
      <c r="GZ45" s="91"/>
      <c r="HA45" s="104"/>
      <c r="HB45" s="104"/>
      <c r="HC45" s="104"/>
      <c r="HD45" s="104"/>
      <c r="HE45" s="91"/>
      <c r="HF45" s="104"/>
      <c r="HG45" s="104"/>
      <c r="HH45" s="104"/>
      <c r="HI45" s="104"/>
      <c r="HJ45" s="91"/>
      <c r="HK45" s="104"/>
      <c r="HL45" s="104"/>
      <c r="HM45" s="104"/>
      <c r="HN45" s="104"/>
      <c r="HO45" s="91"/>
      <c r="HP45" s="104"/>
      <c r="HQ45" s="104"/>
      <c r="HR45" s="104"/>
      <c r="HS45" s="104"/>
      <c r="HT45" s="91"/>
      <c r="HU45" s="104"/>
      <c r="HV45" s="104"/>
      <c r="HW45" s="104"/>
      <c r="HX45" s="104"/>
      <c r="HY45" s="91"/>
      <c r="HZ45" s="104"/>
      <c r="IA45" s="104"/>
      <c r="IB45" s="104"/>
      <c r="IC45" s="104"/>
      <c r="ID45" s="91"/>
      <c r="IE45" s="104"/>
      <c r="IF45" s="104"/>
      <c r="IG45" s="104"/>
      <c r="IH45" s="104"/>
      <c r="II45" s="91"/>
      <c r="IJ45" s="104"/>
      <c r="IK45" s="104"/>
      <c r="IL45" s="104"/>
      <c r="IM45" s="104"/>
      <c r="IN45" s="91"/>
      <c r="IO45" s="104"/>
      <c r="IP45" s="104"/>
      <c r="IQ45" s="104"/>
      <c r="IR45" s="104"/>
      <c r="IS45" s="91"/>
      <c r="IT45" s="104"/>
      <c r="IU45" s="104"/>
      <c r="IV45" s="104"/>
      <c r="IW45" s="104"/>
      <c r="IX45" s="91"/>
      <c r="IY45" s="104"/>
      <c r="IZ45" s="104"/>
      <c r="JA45" s="104"/>
      <c r="JB45" s="104"/>
      <c r="JC45" s="91"/>
      <c r="JD45" s="104"/>
      <c r="JE45" s="104"/>
      <c r="JF45" s="104"/>
      <c r="JG45" s="105"/>
      <c r="JH45" s="91"/>
      <c r="JI45" s="106"/>
      <c r="JJ45" s="104"/>
      <c r="JK45" s="104"/>
      <c r="JL45" s="105"/>
      <c r="JM45" s="95"/>
      <c r="JN45" s="107"/>
      <c r="JO45" s="79"/>
      <c r="JP45" s="106"/>
      <c r="JQ45" s="104"/>
      <c r="JR45" s="104"/>
      <c r="JS45" s="104"/>
      <c r="JT45" s="104"/>
      <c r="JU45" s="104"/>
      <c r="JV45" s="104"/>
      <c r="JW45" s="104"/>
      <c r="JX45" s="104"/>
      <c r="JY45" s="104"/>
      <c r="JZ45" s="104"/>
      <c r="KA45" s="104"/>
      <c r="KB45" s="104"/>
      <c r="KC45" s="104"/>
      <c r="KD45" s="104"/>
      <c r="KE45" s="104"/>
      <c r="KF45" s="104"/>
      <c r="KG45" s="104"/>
      <c r="KH45" s="104"/>
      <c r="KI45" s="104"/>
      <c r="KJ45" s="104"/>
      <c r="KK45" s="104"/>
      <c r="KL45" s="104"/>
      <c r="KM45" s="104"/>
      <c r="KN45" s="104"/>
      <c r="KO45" s="104"/>
      <c r="KP45" s="104"/>
      <c r="KQ45" s="104"/>
      <c r="KR45" s="104"/>
      <c r="KS45" s="104"/>
      <c r="KT45" s="104"/>
      <c r="KU45" s="104"/>
      <c r="KV45" s="104"/>
      <c r="KW45" s="104"/>
      <c r="KX45" s="104"/>
      <c r="KY45" s="104"/>
      <c r="KZ45" s="104"/>
      <c r="LA45" s="104"/>
      <c r="LB45" s="104"/>
      <c r="LC45" s="104"/>
      <c r="LD45" s="104"/>
      <c r="LE45" s="104"/>
      <c r="LF45" s="104"/>
      <c r="LG45" s="104"/>
      <c r="LH45" s="104"/>
      <c r="LI45" s="104"/>
      <c r="LJ45" s="104"/>
      <c r="LK45" s="104"/>
      <c r="LL45" s="104"/>
      <c r="LM45" s="104"/>
      <c r="LN45" s="104"/>
      <c r="LO45" s="104"/>
      <c r="LP45" s="104"/>
      <c r="LQ45" s="104"/>
      <c r="LR45" s="104"/>
      <c r="LS45" s="104"/>
      <c r="LT45" s="104"/>
      <c r="LU45" s="104"/>
      <c r="LV45" s="104"/>
      <c r="LW45" s="104"/>
      <c r="LX45" s="104"/>
      <c r="LY45" s="104"/>
      <c r="LZ45" s="104"/>
      <c r="MA45" s="104"/>
      <c r="MB45" s="104"/>
      <c r="MC45" s="104"/>
      <c r="MD45" s="104"/>
      <c r="ME45" s="104"/>
      <c r="MF45" s="104"/>
      <c r="MG45" s="104"/>
      <c r="MH45" s="104"/>
      <c r="MI45" s="104"/>
      <c r="MJ45" s="104"/>
      <c r="MK45" s="104"/>
      <c r="ML45" s="104"/>
      <c r="MM45" s="104"/>
      <c r="MN45" s="104"/>
      <c r="MO45" s="104"/>
      <c r="MP45" s="104"/>
      <c r="MQ45" s="104"/>
      <c r="MR45" s="104"/>
      <c r="MS45" s="104"/>
      <c r="MT45" s="104"/>
      <c r="MU45" s="104"/>
      <c r="MV45" s="104"/>
      <c r="MW45" s="104"/>
      <c r="MX45" s="104"/>
      <c r="MY45" s="104"/>
      <c r="MZ45" s="104"/>
      <c r="NA45" s="104"/>
      <c r="NB45" s="104"/>
      <c r="NC45" s="104"/>
      <c r="ND45" s="104"/>
      <c r="NE45" s="104"/>
      <c r="NF45" s="104"/>
      <c r="NG45" s="104"/>
      <c r="NH45" s="104"/>
      <c r="NI45" s="104"/>
      <c r="NJ45" s="104"/>
      <c r="NK45" s="104"/>
      <c r="NL45" s="104"/>
      <c r="NM45" s="104"/>
      <c r="NN45" s="104"/>
      <c r="NO45" s="104"/>
      <c r="NP45" s="104"/>
      <c r="NQ45" s="104"/>
      <c r="NR45" s="104"/>
      <c r="NS45" s="104"/>
      <c r="NT45" s="104"/>
      <c r="NU45" s="104"/>
      <c r="NV45" s="104"/>
      <c r="NW45" s="104"/>
      <c r="NX45" s="104"/>
      <c r="NY45" s="104"/>
      <c r="NZ45" s="104"/>
    </row>
    <row r="46" spans="1:390" ht="15" customHeight="1" x14ac:dyDescent="0.3">
      <c r="A46" s="125">
        <v>4462765699</v>
      </c>
      <c r="B46" s="159"/>
      <c r="C46" s="126"/>
      <c r="D46" s="213" t="s">
        <v>391</v>
      </c>
      <c r="E46" s="135" t="s">
        <v>523</v>
      </c>
      <c r="F46" s="125" t="s">
        <v>421</v>
      </c>
      <c r="G46" s="125" t="s">
        <v>488</v>
      </c>
      <c r="H46" s="111">
        <v>43018</v>
      </c>
      <c r="I46" s="135" t="s">
        <v>396</v>
      </c>
      <c r="J46" s="135" t="s">
        <v>397</v>
      </c>
      <c r="K46" s="128" t="s">
        <v>398</v>
      </c>
      <c r="L46" s="128" t="s">
        <v>398</v>
      </c>
      <c r="M46" s="128" t="s">
        <v>398</v>
      </c>
      <c r="N46" s="128" t="s">
        <v>398</v>
      </c>
      <c r="O46" s="128" t="s">
        <v>398</v>
      </c>
      <c r="P46" s="128" t="s">
        <v>398</v>
      </c>
      <c r="Q46" s="128" t="s">
        <v>398</v>
      </c>
      <c r="R46" s="128" t="s">
        <v>398</v>
      </c>
      <c r="S46" s="128" t="s">
        <v>398</v>
      </c>
      <c r="T46" s="128" t="s">
        <v>398</v>
      </c>
      <c r="U46" s="128" t="s">
        <v>398</v>
      </c>
      <c r="V46" s="128" t="s">
        <v>398</v>
      </c>
      <c r="W46" s="136" t="s">
        <v>398</v>
      </c>
      <c r="X46" s="135" t="s">
        <v>398</v>
      </c>
      <c r="Y46" s="113" t="s">
        <v>398</v>
      </c>
      <c r="Z46" s="113" t="s">
        <v>398</v>
      </c>
      <c r="AA46" s="126"/>
      <c r="AB46" s="113" t="s">
        <v>399</v>
      </c>
      <c r="AC46" s="111">
        <v>21157</v>
      </c>
      <c r="AD46" s="139"/>
      <c r="AE46" s="108" t="e">
        <f t="shared" ref="AE46:AE81" si="1">DATEDIF(AC46, AD46,"Y")</f>
        <v>#NUM!</v>
      </c>
      <c r="AF46" s="138" t="s">
        <v>524</v>
      </c>
      <c r="AG46" s="126" t="s">
        <v>401</v>
      </c>
      <c r="AH46" s="131" t="s">
        <v>402</v>
      </c>
      <c r="AI46" s="125" t="s">
        <v>484</v>
      </c>
      <c r="AJ46" s="125">
        <v>0</v>
      </c>
      <c r="AK46" s="125">
        <v>0</v>
      </c>
      <c r="AL46" s="125">
        <v>0</v>
      </c>
      <c r="AM46" s="139" t="s">
        <v>485</v>
      </c>
      <c r="AN46" s="134">
        <v>3</v>
      </c>
      <c r="AO46" s="136" t="s">
        <v>398</v>
      </c>
      <c r="AP46" s="126"/>
      <c r="AQ46" s="106"/>
      <c r="AR46" s="91"/>
      <c r="AS46" s="104"/>
      <c r="AT46" s="104"/>
      <c r="AU46" s="104"/>
      <c r="AV46" s="104"/>
      <c r="AW46" s="91"/>
      <c r="AX46" s="104"/>
      <c r="AY46" s="104"/>
      <c r="AZ46" s="104"/>
      <c r="BA46" s="104"/>
      <c r="BB46" s="91"/>
      <c r="BC46" s="104"/>
      <c r="BD46" s="104"/>
      <c r="BE46" s="104"/>
      <c r="BF46" s="104"/>
      <c r="BG46" s="91"/>
      <c r="BH46" s="104"/>
      <c r="BI46" s="104"/>
      <c r="BJ46" s="104"/>
      <c r="BK46" s="104"/>
      <c r="BL46" s="91"/>
      <c r="BM46" s="104"/>
      <c r="BN46" s="104"/>
      <c r="BO46" s="104"/>
      <c r="BP46" s="104"/>
      <c r="BQ46" s="91"/>
      <c r="BR46" s="104"/>
      <c r="BS46" s="104"/>
      <c r="BT46" s="104"/>
      <c r="BU46" s="104"/>
      <c r="BV46" s="91"/>
      <c r="BW46" s="104"/>
      <c r="BX46" s="104"/>
      <c r="BY46" s="104"/>
      <c r="BZ46" s="104"/>
      <c r="CA46" s="91"/>
      <c r="CB46" s="104"/>
      <c r="CC46" s="104"/>
      <c r="CD46" s="104"/>
      <c r="CE46" s="104"/>
      <c r="CF46" s="91"/>
      <c r="CG46" s="104"/>
      <c r="CH46" s="104"/>
      <c r="CI46" s="104"/>
      <c r="CJ46" s="104"/>
      <c r="CK46" s="91"/>
      <c r="CL46" s="104"/>
      <c r="CM46" s="104"/>
      <c r="CN46" s="104"/>
      <c r="CO46" s="104"/>
      <c r="CP46" s="91"/>
      <c r="CQ46" s="104"/>
      <c r="CR46" s="104"/>
      <c r="CS46" s="104"/>
      <c r="CT46" s="104"/>
      <c r="CU46" s="91"/>
      <c r="CV46" s="104"/>
      <c r="CW46" s="104"/>
      <c r="CX46" s="104"/>
      <c r="CY46" s="104"/>
      <c r="CZ46" s="91"/>
      <c r="DA46" s="104"/>
      <c r="DB46" s="104"/>
      <c r="DC46" s="104"/>
      <c r="DD46" s="104"/>
      <c r="DE46" s="91"/>
      <c r="DF46" s="104"/>
      <c r="DG46" s="104"/>
      <c r="DH46" s="104"/>
      <c r="DI46" s="104"/>
      <c r="DJ46" s="91"/>
      <c r="DK46" s="104"/>
      <c r="DL46" s="104"/>
      <c r="DM46" s="104"/>
      <c r="DN46" s="104"/>
      <c r="DO46" s="91"/>
      <c r="DP46" s="104"/>
      <c r="DQ46" s="104"/>
      <c r="DR46" s="104"/>
      <c r="DS46" s="104"/>
      <c r="DT46" s="91"/>
      <c r="DU46" s="104"/>
      <c r="DV46" s="104"/>
      <c r="DW46" s="104"/>
      <c r="DX46" s="104"/>
      <c r="DY46" s="91"/>
      <c r="DZ46" s="104"/>
      <c r="EA46" s="104"/>
      <c r="EB46" s="104"/>
      <c r="EC46" s="104"/>
      <c r="ED46" s="91"/>
      <c r="EE46" s="104"/>
      <c r="EF46" s="104"/>
      <c r="EG46" s="104"/>
      <c r="EH46" s="104"/>
      <c r="EI46" s="91"/>
      <c r="EJ46" s="104"/>
      <c r="EK46" s="104"/>
      <c r="EL46" s="104"/>
      <c r="EM46" s="104"/>
      <c r="EN46" s="91"/>
      <c r="EO46" s="104"/>
      <c r="EP46" s="104"/>
      <c r="EQ46" s="104"/>
      <c r="ER46" s="104"/>
      <c r="ES46" s="91"/>
      <c r="ET46" s="104"/>
      <c r="EU46" s="104"/>
      <c r="EV46" s="104"/>
      <c r="EW46" s="104"/>
      <c r="EX46" s="91"/>
      <c r="EY46" s="104"/>
      <c r="EZ46" s="104"/>
      <c r="FA46" s="104"/>
      <c r="FB46" s="104"/>
      <c r="FC46" s="91"/>
      <c r="FD46" s="104"/>
      <c r="FE46" s="104"/>
      <c r="FF46" s="104"/>
      <c r="FG46" s="104"/>
      <c r="FH46" s="91"/>
      <c r="FI46" s="104"/>
      <c r="FJ46" s="104"/>
      <c r="FK46" s="104"/>
      <c r="FL46" s="104"/>
      <c r="FM46" s="104"/>
      <c r="FN46" s="104"/>
      <c r="FO46" s="104"/>
      <c r="FP46" s="104"/>
      <c r="FQ46" s="104"/>
      <c r="FR46" s="104"/>
      <c r="FS46" s="104"/>
      <c r="FT46" s="104"/>
      <c r="FU46" s="104"/>
      <c r="FV46" s="104"/>
      <c r="FW46" s="104"/>
      <c r="FX46" s="104"/>
      <c r="FY46" s="104"/>
      <c r="FZ46" s="104"/>
      <c r="GA46" s="104"/>
      <c r="GB46" s="104"/>
      <c r="GC46" s="104"/>
      <c r="GD46" s="104"/>
      <c r="GE46" s="104"/>
      <c r="GF46" s="104"/>
      <c r="GG46" s="104"/>
      <c r="GH46" s="104"/>
      <c r="GI46" s="104"/>
      <c r="GJ46" s="104"/>
      <c r="GK46" s="104"/>
      <c r="GL46" s="104"/>
      <c r="GM46" s="104"/>
      <c r="GN46" s="104"/>
      <c r="GO46" s="104"/>
      <c r="GP46" s="91"/>
      <c r="GQ46" s="104"/>
      <c r="GR46" s="104"/>
      <c r="GS46" s="104"/>
      <c r="GT46" s="104"/>
      <c r="GU46" s="91"/>
      <c r="GV46" s="104"/>
      <c r="GW46" s="104"/>
      <c r="GX46" s="104"/>
      <c r="GY46" s="104"/>
      <c r="GZ46" s="91"/>
      <c r="HA46" s="104"/>
      <c r="HB46" s="104"/>
      <c r="HC46" s="104"/>
      <c r="HD46" s="104"/>
      <c r="HE46" s="91"/>
      <c r="HF46" s="104"/>
      <c r="HG46" s="104"/>
      <c r="HH46" s="104"/>
      <c r="HI46" s="104"/>
      <c r="HJ46" s="91"/>
      <c r="HK46" s="104"/>
      <c r="HL46" s="104"/>
      <c r="HM46" s="104"/>
      <c r="HN46" s="104"/>
      <c r="HO46" s="91"/>
      <c r="HP46" s="104"/>
      <c r="HQ46" s="104"/>
      <c r="HR46" s="104"/>
      <c r="HS46" s="104"/>
      <c r="HT46" s="91"/>
      <c r="HU46" s="104"/>
      <c r="HV46" s="104"/>
      <c r="HW46" s="104"/>
      <c r="HX46" s="104"/>
      <c r="HY46" s="91"/>
      <c r="HZ46" s="104"/>
      <c r="IA46" s="104"/>
      <c r="IB46" s="104"/>
      <c r="IC46" s="104"/>
      <c r="ID46" s="91"/>
      <c r="IE46" s="104"/>
      <c r="IF46" s="104"/>
      <c r="IG46" s="104"/>
      <c r="IH46" s="104"/>
      <c r="II46" s="91"/>
      <c r="IJ46" s="104"/>
      <c r="IK46" s="104"/>
      <c r="IL46" s="104"/>
      <c r="IM46" s="104"/>
      <c r="IN46" s="91"/>
      <c r="IO46" s="104"/>
      <c r="IP46" s="104"/>
      <c r="IQ46" s="104"/>
      <c r="IR46" s="104"/>
      <c r="IS46" s="91"/>
      <c r="IT46" s="104"/>
      <c r="IU46" s="104"/>
      <c r="IV46" s="104"/>
      <c r="IW46" s="104"/>
      <c r="IX46" s="91"/>
      <c r="IY46" s="104"/>
      <c r="IZ46" s="104"/>
      <c r="JA46" s="104"/>
      <c r="JB46" s="104"/>
      <c r="JC46" s="91"/>
      <c r="JD46" s="104"/>
      <c r="JE46" s="104"/>
      <c r="JF46" s="104"/>
      <c r="JG46" s="105"/>
      <c r="JH46" s="91"/>
      <c r="JI46" s="106"/>
      <c r="JJ46" s="104"/>
      <c r="JK46" s="104"/>
      <c r="JL46" s="105"/>
      <c r="JM46" s="95"/>
      <c r="JN46" s="107"/>
      <c r="JO46" s="79"/>
      <c r="JP46" s="106"/>
      <c r="JQ46" s="104"/>
      <c r="JR46" s="104"/>
      <c r="JS46" s="104"/>
      <c r="JT46" s="104"/>
      <c r="JU46" s="104"/>
      <c r="JV46" s="104"/>
      <c r="JW46" s="104"/>
      <c r="JX46" s="104"/>
      <c r="JY46" s="104"/>
      <c r="JZ46" s="104"/>
      <c r="KA46" s="104"/>
      <c r="KB46" s="104"/>
      <c r="KC46" s="104"/>
      <c r="KD46" s="104"/>
      <c r="KE46" s="104"/>
      <c r="KF46" s="104"/>
      <c r="KG46" s="104"/>
      <c r="KH46" s="104"/>
      <c r="KI46" s="104"/>
      <c r="KJ46" s="104"/>
      <c r="KK46" s="104"/>
      <c r="KL46" s="104"/>
      <c r="KM46" s="104"/>
      <c r="KN46" s="104"/>
      <c r="KO46" s="104"/>
      <c r="KP46" s="104"/>
      <c r="KQ46" s="104"/>
      <c r="KR46" s="104"/>
      <c r="KS46" s="104"/>
      <c r="KT46" s="104"/>
      <c r="KU46" s="104"/>
      <c r="KV46" s="104"/>
      <c r="KW46" s="104"/>
      <c r="KX46" s="104"/>
      <c r="KY46" s="104"/>
      <c r="KZ46" s="104"/>
      <c r="LA46" s="104"/>
      <c r="LB46" s="104"/>
      <c r="LC46" s="104"/>
      <c r="LD46" s="104"/>
      <c r="LE46" s="104"/>
      <c r="LF46" s="104"/>
      <c r="LG46" s="104"/>
      <c r="LH46" s="104"/>
      <c r="LI46" s="104"/>
      <c r="LJ46" s="104"/>
      <c r="LK46" s="104"/>
      <c r="LL46" s="104"/>
      <c r="LM46" s="104"/>
      <c r="LN46" s="104"/>
      <c r="LO46" s="104"/>
      <c r="LP46" s="104"/>
      <c r="LQ46" s="104"/>
      <c r="LR46" s="104"/>
      <c r="LS46" s="104"/>
      <c r="LT46" s="104"/>
      <c r="LU46" s="104"/>
      <c r="LV46" s="104"/>
      <c r="LW46" s="104"/>
      <c r="LX46" s="104"/>
      <c r="LY46" s="104"/>
      <c r="LZ46" s="104"/>
      <c r="MA46" s="104"/>
      <c r="MB46" s="104"/>
      <c r="MC46" s="104"/>
      <c r="MD46" s="104"/>
      <c r="ME46" s="104"/>
      <c r="MF46" s="104"/>
      <c r="MG46" s="104"/>
      <c r="MH46" s="104"/>
      <c r="MI46" s="104"/>
      <c r="MJ46" s="104"/>
      <c r="MK46" s="104"/>
      <c r="ML46" s="104"/>
      <c r="MM46" s="104"/>
      <c r="MN46" s="104"/>
      <c r="MO46" s="104"/>
      <c r="MP46" s="104"/>
      <c r="MQ46" s="104"/>
      <c r="MR46" s="104"/>
      <c r="MS46" s="104"/>
      <c r="MT46" s="104"/>
      <c r="MU46" s="104"/>
      <c r="MV46" s="104"/>
      <c r="MW46" s="104"/>
      <c r="MX46" s="104"/>
      <c r="MY46" s="104"/>
      <c r="MZ46" s="104"/>
      <c r="NA46" s="104"/>
      <c r="NB46" s="104"/>
      <c r="NC46" s="104"/>
      <c r="ND46" s="104"/>
      <c r="NE46" s="104"/>
      <c r="NF46" s="104"/>
      <c r="NG46" s="104"/>
      <c r="NH46" s="104"/>
      <c r="NI46" s="104"/>
      <c r="NJ46" s="104"/>
      <c r="NK46" s="104"/>
      <c r="NL46" s="104"/>
      <c r="NM46" s="104"/>
      <c r="NN46" s="104"/>
      <c r="NO46" s="104"/>
      <c r="NP46" s="104"/>
      <c r="NQ46" s="104"/>
      <c r="NR46" s="104"/>
      <c r="NS46" s="104"/>
      <c r="NT46" s="104"/>
      <c r="NU46" s="104"/>
      <c r="NV46" s="104"/>
      <c r="NW46" s="104"/>
      <c r="NX46" s="104"/>
      <c r="NY46" s="104"/>
      <c r="NZ46" s="104"/>
    </row>
    <row r="47" spans="1:390" ht="15" customHeight="1" x14ac:dyDescent="0.3">
      <c r="A47" s="125">
        <v>4520183251</v>
      </c>
      <c r="B47" s="159"/>
      <c r="C47" s="126"/>
      <c r="D47" s="213" t="s">
        <v>391</v>
      </c>
      <c r="E47" s="135" t="s">
        <v>525</v>
      </c>
      <c r="F47" s="125" t="s">
        <v>465</v>
      </c>
      <c r="G47" s="125" t="s">
        <v>441</v>
      </c>
      <c r="H47" s="111">
        <v>43024</v>
      </c>
      <c r="I47" s="135" t="s">
        <v>396</v>
      </c>
      <c r="J47" s="135" t="s">
        <v>397</v>
      </c>
      <c r="K47" s="128" t="s">
        <v>398</v>
      </c>
      <c r="L47" s="128" t="s">
        <v>398</v>
      </c>
      <c r="M47" s="128" t="s">
        <v>398</v>
      </c>
      <c r="N47" s="128" t="s">
        <v>398</v>
      </c>
      <c r="O47" s="128" t="s">
        <v>398</v>
      </c>
      <c r="P47" s="128" t="s">
        <v>398</v>
      </c>
      <c r="Q47" s="128" t="s">
        <v>398</v>
      </c>
      <c r="R47" s="128" t="s">
        <v>398</v>
      </c>
      <c r="S47" s="128" t="s">
        <v>398</v>
      </c>
      <c r="T47" s="128" t="s">
        <v>398</v>
      </c>
      <c r="U47" s="128" t="s">
        <v>398</v>
      </c>
      <c r="V47" s="128" t="s">
        <v>398</v>
      </c>
      <c r="W47" s="136" t="s">
        <v>525</v>
      </c>
      <c r="X47" s="135" t="s">
        <v>526</v>
      </c>
      <c r="Y47" s="113" t="s">
        <v>432</v>
      </c>
      <c r="Z47" s="111">
        <v>43024</v>
      </c>
      <c r="AA47" s="126"/>
      <c r="AB47" s="113" t="s">
        <v>399</v>
      </c>
      <c r="AC47" s="111">
        <v>18198</v>
      </c>
      <c r="AD47" s="139"/>
      <c r="AE47" s="108" t="e">
        <f t="shared" si="1"/>
        <v>#NUM!</v>
      </c>
      <c r="AF47" s="138" t="s">
        <v>527</v>
      </c>
      <c r="AG47" s="126" t="s">
        <v>401</v>
      </c>
      <c r="AH47" s="131" t="s">
        <v>402</v>
      </c>
      <c r="AI47" s="125" t="s">
        <v>404</v>
      </c>
      <c r="AJ47" s="125" t="s">
        <v>404</v>
      </c>
      <c r="AK47" s="125" t="s">
        <v>528</v>
      </c>
      <c r="AL47" s="125">
        <v>0</v>
      </c>
      <c r="AM47" s="139" t="s">
        <v>398</v>
      </c>
      <c r="AN47" s="134">
        <v>3</v>
      </c>
      <c r="AO47" s="136" t="s">
        <v>398</v>
      </c>
      <c r="AP47" s="126"/>
      <c r="AQ47" s="106"/>
      <c r="AR47" s="91"/>
      <c r="AS47" s="104"/>
      <c r="AT47" s="104"/>
      <c r="AU47" s="104"/>
      <c r="AV47" s="104"/>
      <c r="AW47" s="91"/>
      <c r="AX47" s="104"/>
      <c r="AY47" s="104"/>
      <c r="AZ47" s="104"/>
      <c r="BA47" s="104"/>
      <c r="BB47" s="91"/>
      <c r="BC47" s="104"/>
      <c r="BD47" s="104"/>
      <c r="BE47" s="104"/>
      <c r="BF47" s="104"/>
      <c r="BG47" s="91"/>
      <c r="BH47" s="104"/>
      <c r="BI47" s="104"/>
      <c r="BJ47" s="104"/>
      <c r="BK47" s="104"/>
      <c r="BL47" s="91"/>
      <c r="BM47" s="104"/>
      <c r="BN47" s="104"/>
      <c r="BO47" s="104"/>
      <c r="BP47" s="104"/>
      <c r="BQ47" s="91"/>
      <c r="BR47" s="104"/>
      <c r="BS47" s="104"/>
      <c r="BT47" s="104"/>
      <c r="BU47" s="104"/>
      <c r="BV47" s="91"/>
      <c r="BW47" s="104"/>
      <c r="BX47" s="104"/>
      <c r="BY47" s="104"/>
      <c r="BZ47" s="104"/>
      <c r="CA47" s="91"/>
      <c r="CB47" s="104"/>
      <c r="CC47" s="104"/>
      <c r="CD47" s="104"/>
      <c r="CE47" s="104"/>
      <c r="CF47" s="91"/>
      <c r="CG47" s="104"/>
      <c r="CH47" s="104"/>
      <c r="CI47" s="104"/>
      <c r="CJ47" s="104"/>
      <c r="CK47" s="91"/>
      <c r="CL47" s="104"/>
      <c r="CM47" s="104"/>
      <c r="CN47" s="104"/>
      <c r="CO47" s="104"/>
      <c r="CP47" s="91"/>
      <c r="CQ47" s="104"/>
      <c r="CR47" s="104"/>
      <c r="CS47" s="104"/>
      <c r="CT47" s="104"/>
      <c r="CU47" s="91"/>
      <c r="CV47" s="104"/>
      <c r="CW47" s="104"/>
      <c r="CX47" s="104"/>
      <c r="CY47" s="104"/>
      <c r="CZ47" s="91"/>
      <c r="DA47" s="104"/>
      <c r="DB47" s="104"/>
      <c r="DC47" s="104"/>
      <c r="DD47" s="104"/>
      <c r="DE47" s="91"/>
      <c r="DF47" s="104"/>
      <c r="DG47" s="104"/>
      <c r="DH47" s="104"/>
      <c r="DI47" s="104"/>
      <c r="DJ47" s="91"/>
      <c r="DK47" s="104"/>
      <c r="DL47" s="104"/>
      <c r="DM47" s="104"/>
      <c r="DN47" s="104"/>
      <c r="DO47" s="91"/>
      <c r="DP47" s="104"/>
      <c r="DQ47" s="104"/>
      <c r="DR47" s="104"/>
      <c r="DS47" s="104"/>
      <c r="DT47" s="91"/>
      <c r="DU47" s="104"/>
      <c r="DV47" s="104"/>
      <c r="DW47" s="104"/>
      <c r="DX47" s="104"/>
      <c r="DY47" s="91"/>
      <c r="DZ47" s="104"/>
      <c r="EA47" s="104"/>
      <c r="EB47" s="104"/>
      <c r="EC47" s="104"/>
      <c r="ED47" s="91"/>
      <c r="EE47" s="104"/>
      <c r="EF47" s="104"/>
      <c r="EG47" s="104"/>
      <c r="EH47" s="104"/>
      <c r="EI47" s="91"/>
      <c r="EJ47" s="104"/>
      <c r="EK47" s="104"/>
      <c r="EL47" s="104"/>
      <c r="EM47" s="104"/>
      <c r="EN47" s="91"/>
      <c r="EO47" s="104"/>
      <c r="EP47" s="104"/>
      <c r="EQ47" s="104"/>
      <c r="ER47" s="104"/>
      <c r="ES47" s="91"/>
      <c r="ET47" s="104"/>
      <c r="EU47" s="104"/>
      <c r="EV47" s="104"/>
      <c r="EW47" s="104"/>
      <c r="EX47" s="91"/>
      <c r="EY47" s="104"/>
      <c r="EZ47" s="104"/>
      <c r="FA47" s="104"/>
      <c r="FB47" s="104"/>
      <c r="FC47" s="91"/>
      <c r="FD47" s="104"/>
      <c r="FE47" s="104"/>
      <c r="FF47" s="104"/>
      <c r="FG47" s="104"/>
      <c r="FH47" s="91"/>
      <c r="FI47" s="104"/>
      <c r="FJ47" s="104"/>
      <c r="FK47" s="104"/>
      <c r="FL47" s="104"/>
      <c r="FM47" s="104"/>
      <c r="FN47" s="104"/>
      <c r="FO47" s="104"/>
      <c r="FP47" s="104"/>
      <c r="FQ47" s="104"/>
      <c r="FR47" s="104"/>
      <c r="FS47" s="104"/>
      <c r="FT47" s="104"/>
      <c r="FU47" s="104"/>
      <c r="FV47" s="104"/>
      <c r="FW47" s="104"/>
      <c r="FX47" s="104"/>
      <c r="FY47" s="104"/>
      <c r="FZ47" s="104"/>
      <c r="GA47" s="104"/>
      <c r="GB47" s="104"/>
      <c r="GC47" s="104"/>
      <c r="GD47" s="104"/>
      <c r="GE47" s="104"/>
      <c r="GF47" s="104"/>
      <c r="GG47" s="104"/>
      <c r="GH47" s="104"/>
      <c r="GI47" s="104"/>
      <c r="GJ47" s="104"/>
      <c r="GK47" s="104"/>
      <c r="GL47" s="104"/>
      <c r="GM47" s="104"/>
      <c r="GN47" s="104"/>
      <c r="GO47" s="104"/>
      <c r="GP47" s="91"/>
      <c r="GQ47" s="104"/>
      <c r="GR47" s="104"/>
      <c r="GS47" s="104"/>
      <c r="GT47" s="104"/>
      <c r="GU47" s="91"/>
      <c r="GV47" s="104"/>
      <c r="GW47" s="104"/>
      <c r="GX47" s="104"/>
      <c r="GY47" s="104"/>
      <c r="GZ47" s="91"/>
      <c r="HA47" s="104"/>
      <c r="HB47" s="104"/>
      <c r="HC47" s="104"/>
      <c r="HD47" s="104"/>
      <c r="HE47" s="91"/>
      <c r="HF47" s="104"/>
      <c r="HG47" s="104"/>
      <c r="HH47" s="104"/>
      <c r="HI47" s="104"/>
      <c r="HJ47" s="91"/>
      <c r="HK47" s="104"/>
      <c r="HL47" s="104"/>
      <c r="HM47" s="104"/>
      <c r="HN47" s="104"/>
      <c r="HO47" s="91"/>
      <c r="HP47" s="104"/>
      <c r="HQ47" s="104"/>
      <c r="HR47" s="104"/>
      <c r="HS47" s="104"/>
      <c r="HT47" s="91"/>
      <c r="HU47" s="104"/>
      <c r="HV47" s="104"/>
      <c r="HW47" s="104"/>
      <c r="HX47" s="104"/>
      <c r="HY47" s="91"/>
      <c r="HZ47" s="104"/>
      <c r="IA47" s="104"/>
      <c r="IB47" s="104"/>
      <c r="IC47" s="104"/>
      <c r="ID47" s="91"/>
      <c r="IE47" s="104"/>
      <c r="IF47" s="104"/>
      <c r="IG47" s="104"/>
      <c r="IH47" s="104"/>
      <c r="II47" s="91"/>
      <c r="IJ47" s="104"/>
      <c r="IK47" s="104"/>
      <c r="IL47" s="104"/>
      <c r="IM47" s="104"/>
      <c r="IN47" s="91"/>
      <c r="IO47" s="104"/>
      <c r="IP47" s="104"/>
      <c r="IQ47" s="104"/>
      <c r="IR47" s="104"/>
      <c r="IS47" s="91"/>
      <c r="IT47" s="104"/>
      <c r="IU47" s="104"/>
      <c r="IV47" s="104"/>
      <c r="IW47" s="104"/>
      <c r="IX47" s="91"/>
      <c r="IY47" s="104"/>
      <c r="IZ47" s="104"/>
      <c r="JA47" s="104"/>
      <c r="JB47" s="104"/>
      <c r="JC47" s="91"/>
      <c r="JD47" s="104"/>
      <c r="JE47" s="104"/>
      <c r="JF47" s="104"/>
      <c r="JG47" s="105"/>
      <c r="JH47" s="91"/>
      <c r="JI47" s="106"/>
      <c r="JJ47" s="104"/>
      <c r="JK47" s="104"/>
      <c r="JL47" s="105"/>
      <c r="JM47" s="95"/>
      <c r="JN47" s="107"/>
      <c r="JO47" s="79"/>
      <c r="JP47" s="106"/>
      <c r="JQ47" s="104"/>
      <c r="JR47" s="104"/>
      <c r="JS47" s="104"/>
      <c r="JT47" s="104"/>
      <c r="JU47" s="104"/>
      <c r="JV47" s="104"/>
      <c r="JW47" s="104"/>
      <c r="JX47" s="104"/>
      <c r="JY47" s="104"/>
      <c r="JZ47" s="104"/>
      <c r="KA47" s="104"/>
      <c r="KB47" s="104"/>
      <c r="KC47" s="104"/>
      <c r="KD47" s="104"/>
      <c r="KE47" s="104"/>
      <c r="KF47" s="104"/>
      <c r="KG47" s="104"/>
      <c r="KH47" s="104"/>
      <c r="KI47" s="104"/>
      <c r="KJ47" s="104"/>
      <c r="KK47" s="104"/>
      <c r="KL47" s="104"/>
      <c r="KM47" s="104"/>
      <c r="KN47" s="104"/>
      <c r="KO47" s="104"/>
      <c r="KP47" s="104"/>
      <c r="KQ47" s="104"/>
      <c r="KR47" s="104"/>
      <c r="KS47" s="104"/>
      <c r="KT47" s="104"/>
      <c r="KU47" s="104"/>
      <c r="KV47" s="104"/>
      <c r="KW47" s="104"/>
      <c r="KX47" s="104"/>
      <c r="KY47" s="104"/>
      <c r="KZ47" s="104"/>
      <c r="LA47" s="104"/>
      <c r="LB47" s="104"/>
      <c r="LC47" s="104"/>
      <c r="LD47" s="104"/>
      <c r="LE47" s="104"/>
      <c r="LF47" s="104"/>
      <c r="LG47" s="104"/>
      <c r="LH47" s="104"/>
      <c r="LI47" s="104"/>
      <c r="LJ47" s="104"/>
      <c r="LK47" s="104"/>
      <c r="LL47" s="104"/>
      <c r="LM47" s="104"/>
      <c r="LN47" s="104"/>
      <c r="LO47" s="104"/>
      <c r="LP47" s="104"/>
      <c r="LQ47" s="104"/>
      <c r="LR47" s="104"/>
      <c r="LS47" s="104"/>
      <c r="LT47" s="104"/>
      <c r="LU47" s="104"/>
      <c r="LV47" s="104"/>
      <c r="LW47" s="104"/>
      <c r="LX47" s="104"/>
      <c r="LY47" s="104"/>
      <c r="LZ47" s="104"/>
      <c r="MA47" s="104"/>
      <c r="MB47" s="104"/>
      <c r="MC47" s="104"/>
      <c r="MD47" s="104"/>
      <c r="ME47" s="104"/>
      <c r="MF47" s="104"/>
      <c r="MG47" s="104"/>
      <c r="MH47" s="104"/>
      <c r="MI47" s="104"/>
      <c r="MJ47" s="104"/>
      <c r="MK47" s="104"/>
      <c r="ML47" s="104"/>
      <c r="MM47" s="104"/>
      <c r="MN47" s="104"/>
      <c r="MO47" s="104"/>
      <c r="MP47" s="104"/>
      <c r="MQ47" s="104"/>
      <c r="MR47" s="104"/>
      <c r="MS47" s="104"/>
      <c r="MT47" s="104"/>
      <c r="MU47" s="104"/>
      <c r="MV47" s="104"/>
      <c r="MW47" s="104"/>
      <c r="MX47" s="104"/>
      <c r="MY47" s="104"/>
      <c r="MZ47" s="104"/>
      <c r="NA47" s="104"/>
      <c r="NB47" s="104"/>
      <c r="NC47" s="104"/>
      <c r="ND47" s="104"/>
      <c r="NE47" s="104"/>
      <c r="NF47" s="104"/>
      <c r="NG47" s="104"/>
      <c r="NH47" s="104"/>
      <c r="NI47" s="104"/>
      <c r="NJ47" s="104"/>
      <c r="NK47" s="104"/>
      <c r="NL47" s="104"/>
      <c r="NM47" s="104"/>
      <c r="NN47" s="104"/>
      <c r="NO47" s="104"/>
      <c r="NP47" s="104"/>
      <c r="NQ47" s="104"/>
      <c r="NR47" s="104"/>
      <c r="NS47" s="104"/>
      <c r="NT47" s="104"/>
      <c r="NU47" s="104"/>
      <c r="NV47" s="104"/>
      <c r="NW47" s="104"/>
      <c r="NX47" s="104"/>
      <c r="NY47" s="104"/>
      <c r="NZ47" s="104"/>
    </row>
    <row r="48" spans="1:390" ht="15" customHeight="1" x14ac:dyDescent="0.3">
      <c r="A48" s="125">
        <v>4382520843</v>
      </c>
      <c r="B48" s="159"/>
      <c r="C48" s="126"/>
      <c r="D48" s="213" t="s">
        <v>391</v>
      </c>
      <c r="E48" s="135" t="s">
        <v>529</v>
      </c>
      <c r="F48" s="125" t="s">
        <v>492</v>
      </c>
      <c r="G48" s="125" t="s">
        <v>437</v>
      </c>
      <c r="H48" s="111">
        <v>43027</v>
      </c>
      <c r="I48" s="135" t="s">
        <v>396</v>
      </c>
      <c r="J48" s="135" t="s">
        <v>397</v>
      </c>
      <c r="K48" s="128" t="s">
        <v>398</v>
      </c>
      <c r="L48" s="128" t="s">
        <v>398</v>
      </c>
      <c r="M48" s="128" t="s">
        <v>398</v>
      </c>
      <c r="N48" s="128" t="s">
        <v>398</v>
      </c>
      <c r="O48" s="128" t="s">
        <v>398</v>
      </c>
      <c r="P48" s="128" t="s">
        <v>398</v>
      </c>
      <c r="Q48" s="128" t="s">
        <v>398</v>
      </c>
      <c r="R48" s="128" t="s">
        <v>398</v>
      </c>
      <c r="S48" s="128" t="s">
        <v>398</v>
      </c>
      <c r="T48" s="128" t="s">
        <v>398</v>
      </c>
      <c r="U48" s="128" t="s">
        <v>398</v>
      </c>
      <c r="V48" s="128" t="s">
        <v>398</v>
      </c>
      <c r="W48" s="136" t="s">
        <v>398</v>
      </c>
      <c r="X48" s="135" t="s">
        <v>398</v>
      </c>
      <c r="Y48" s="113" t="s">
        <v>398</v>
      </c>
      <c r="Z48" s="113" t="s">
        <v>398</v>
      </c>
      <c r="AA48" s="126"/>
      <c r="AB48" s="113" t="s">
        <v>399</v>
      </c>
      <c r="AC48" s="111">
        <v>16412</v>
      </c>
      <c r="AD48" s="139"/>
      <c r="AE48" s="108" t="e">
        <f t="shared" si="1"/>
        <v>#NUM!</v>
      </c>
      <c r="AF48" s="138" t="s">
        <v>530</v>
      </c>
      <c r="AG48" s="126" t="s">
        <v>401</v>
      </c>
      <c r="AH48" s="131" t="s">
        <v>391</v>
      </c>
      <c r="AI48" s="125" t="s">
        <v>428</v>
      </c>
      <c r="AJ48" s="125">
        <v>0</v>
      </c>
      <c r="AK48" s="125">
        <v>0</v>
      </c>
      <c r="AL48" s="125">
        <v>0</v>
      </c>
      <c r="AM48" s="139" t="s">
        <v>531</v>
      </c>
      <c r="AN48" s="134">
        <v>2</v>
      </c>
      <c r="AO48" s="136" t="s">
        <v>398</v>
      </c>
      <c r="AP48" s="126"/>
      <c r="AQ48" s="106"/>
      <c r="AR48" s="91"/>
      <c r="AS48" s="104"/>
      <c r="AT48" s="104"/>
      <c r="AU48" s="104"/>
      <c r="AV48" s="104"/>
      <c r="AW48" s="91"/>
      <c r="AX48" s="104"/>
      <c r="AY48" s="104"/>
      <c r="AZ48" s="104"/>
      <c r="BA48" s="104"/>
      <c r="BB48" s="91"/>
      <c r="BC48" s="104"/>
      <c r="BD48" s="104"/>
      <c r="BE48" s="104"/>
      <c r="BF48" s="104"/>
      <c r="BG48" s="91"/>
      <c r="BH48" s="104"/>
      <c r="BI48" s="104"/>
      <c r="BJ48" s="104"/>
      <c r="BK48" s="104"/>
      <c r="BL48" s="91"/>
      <c r="BM48" s="104"/>
      <c r="BN48" s="104"/>
      <c r="BO48" s="104"/>
      <c r="BP48" s="104"/>
      <c r="BQ48" s="91"/>
      <c r="BR48" s="104"/>
      <c r="BS48" s="104"/>
      <c r="BT48" s="104"/>
      <c r="BU48" s="104"/>
      <c r="BV48" s="91"/>
      <c r="BW48" s="104"/>
      <c r="BX48" s="104"/>
      <c r="BY48" s="104"/>
      <c r="BZ48" s="104"/>
      <c r="CA48" s="91"/>
      <c r="CB48" s="104"/>
      <c r="CC48" s="104"/>
      <c r="CD48" s="104"/>
      <c r="CE48" s="104"/>
      <c r="CF48" s="91"/>
      <c r="CG48" s="104"/>
      <c r="CH48" s="104"/>
      <c r="CI48" s="104"/>
      <c r="CJ48" s="104"/>
      <c r="CK48" s="91"/>
      <c r="CL48" s="104"/>
      <c r="CM48" s="104"/>
      <c r="CN48" s="104"/>
      <c r="CO48" s="104"/>
      <c r="CP48" s="91"/>
      <c r="CQ48" s="104"/>
      <c r="CR48" s="104"/>
      <c r="CS48" s="104"/>
      <c r="CT48" s="104"/>
      <c r="CU48" s="91"/>
      <c r="CV48" s="104"/>
      <c r="CW48" s="104"/>
      <c r="CX48" s="104"/>
      <c r="CY48" s="104"/>
      <c r="CZ48" s="91"/>
      <c r="DA48" s="104"/>
      <c r="DB48" s="104"/>
      <c r="DC48" s="104"/>
      <c r="DD48" s="104"/>
      <c r="DE48" s="91"/>
      <c r="DF48" s="104"/>
      <c r="DG48" s="104"/>
      <c r="DH48" s="104"/>
      <c r="DI48" s="104"/>
      <c r="DJ48" s="91"/>
      <c r="DK48" s="104"/>
      <c r="DL48" s="104"/>
      <c r="DM48" s="104"/>
      <c r="DN48" s="104"/>
      <c r="DO48" s="91"/>
      <c r="DP48" s="104"/>
      <c r="DQ48" s="104"/>
      <c r="DR48" s="104"/>
      <c r="DS48" s="104"/>
      <c r="DT48" s="91"/>
      <c r="DU48" s="104"/>
      <c r="DV48" s="104"/>
      <c r="DW48" s="104"/>
      <c r="DX48" s="104"/>
      <c r="DY48" s="91"/>
      <c r="DZ48" s="104"/>
      <c r="EA48" s="104"/>
      <c r="EB48" s="104"/>
      <c r="EC48" s="104"/>
      <c r="ED48" s="91"/>
      <c r="EE48" s="104"/>
      <c r="EF48" s="104"/>
      <c r="EG48" s="104"/>
      <c r="EH48" s="104"/>
      <c r="EI48" s="91"/>
      <c r="EJ48" s="104"/>
      <c r="EK48" s="104"/>
      <c r="EL48" s="104"/>
      <c r="EM48" s="104"/>
      <c r="EN48" s="91"/>
      <c r="EO48" s="104"/>
      <c r="EP48" s="104"/>
      <c r="EQ48" s="104"/>
      <c r="ER48" s="104"/>
      <c r="ES48" s="91"/>
      <c r="ET48" s="104"/>
      <c r="EU48" s="104"/>
      <c r="EV48" s="104"/>
      <c r="EW48" s="104"/>
      <c r="EX48" s="91"/>
      <c r="EY48" s="104"/>
      <c r="EZ48" s="104"/>
      <c r="FA48" s="104"/>
      <c r="FB48" s="104"/>
      <c r="FC48" s="91"/>
      <c r="FD48" s="104"/>
      <c r="FE48" s="104"/>
      <c r="FF48" s="104"/>
      <c r="FG48" s="104"/>
      <c r="FH48" s="91"/>
      <c r="FI48" s="104"/>
      <c r="FJ48" s="104"/>
      <c r="FK48" s="104"/>
      <c r="FL48" s="104"/>
      <c r="FM48" s="104"/>
      <c r="FN48" s="104"/>
      <c r="FO48" s="104"/>
      <c r="FP48" s="104"/>
      <c r="FQ48" s="104"/>
      <c r="FR48" s="104"/>
      <c r="FS48" s="104"/>
      <c r="FT48" s="104"/>
      <c r="FU48" s="104"/>
      <c r="FV48" s="104"/>
      <c r="FW48" s="104"/>
      <c r="FX48" s="104"/>
      <c r="FY48" s="104"/>
      <c r="FZ48" s="104"/>
      <c r="GA48" s="104"/>
      <c r="GB48" s="104"/>
      <c r="GC48" s="104"/>
      <c r="GD48" s="104"/>
      <c r="GE48" s="104"/>
      <c r="GF48" s="104"/>
      <c r="GG48" s="104"/>
      <c r="GH48" s="104"/>
      <c r="GI48" s="104"/>
      <c r="GJ48" s="104"/>
      <c r="GK48" s="104"/>
      <c r="GL48" s="104"/>
      <c r="GM48" s="104"/>
      <c r="GN48" s="104"/>
      <c r="GO48" s="104"/>
      <c r="GP48" s="91"/>
      <c r="GQ48" s="104"/>
      <c r="GR48" s="104"/>
      <c r="GS48" s="104"/>
      <c r="GT48" s="104"/>
      <c r="GU48" s="91"/>
      <c r="GV48" s="104"/>
      <c r="GW48" s="104"/>
      <c r="GX48" s="104"/>
      <c r="GY48" s="104"/>
      <c r="GZ48" s="91"/>
      <c r="HA48" s="104"/>
      <c r="HB48" s="104"/>
      <c r="HC48" s="104"/>
      <c r="HD48" s="104"/>
      <c r="HE48" s="91"/>
      <c r="HF48" s="104"/>
      <c r="HG48" s="104"/>
      <c r="HH48" s="104"/>
      <c r="HI48" s="104"/>
      <c r="HJ48" s="91"/>
      <c r="HK48" s="104"/>
      <c r="HL48" s="104"/>
      <c r="HM48" s="104"/>
      <c r="HN48" s="104"/>
      <c r="HO48" s="91"/>
      <c r="HP48" s="104"/>
      <c r="HQ48" s="104"/>
      <c r="HR48" s="104"/>
      <c r="HS48" s="104"/>
      <c r="HT48" s="91"/>
      <c r="HU48" s="104"/>
      <c r="HV48" s="104"/>
      <c r="HW48" s="104"/>
      <c r="HX48" s="104"/>
      <c r="HY48" s="91"/>
      <c r="HZ48" s="104"/>
      <c r="IA48" s="104"/>
      <c r="IB48" s="104"/>
      <c r="IC48" s="104"/>
      <c r="ID48" s="91"/>
      <c r="IE48" s="104"/>
      <c r="IF48" s="104"/>
      <c r="IG48" s="104"/>
      <c r="IH48" s="104"/>
      <c r="II48" s="91"/>
      <c r="IJ48" s="104"/>
      <c r="IK48" s="104"/>
      <c r="IL48" s="104"/>
      <c r="IM48" s="104"/>
      <c r="IN48" s="91"/>
      <c r="IO48" s="104"/>
      <c r="IP48" s="104"/>
      <c r="IQ48" s="104"/>
      <c r="IR48" s="104"/>
      <c r="IS48" s="91"/>
      <c r="IT48" s="104"/>
      <c r="IU48" s="104"/>
      <c r="IV48" s="104"/>
      <c r="IW48" s="104"/>
      <c r="IX48" s="91"/>
      <c r="IY48" s="104"/>
      <c r="IZ48" s="104"/>
      <c r="JA48" s="104"/>
      <c r="JB48" s="104"/>
      <c r="JC48" s="91"/>
      <c r="JD48" s="104"/>
      <c r="JE48" s="104"/>
      <c r="JF48" s="104"/>
      <c r="JG48" s="105"/>
      <c r="JH48" s="91"/>
      <c r="JI48" s="106"/>
      <c r="JJ48" s="104"/>
      <c r="JK48" s="104"/>
      <c r="JL48" s="105"/>
      <c r="JM48" s="95"/>
      <c r="JN48" s="107"/>
      <c r="JO48" s="79"/>
      <c r="JP48" s="106"/>
      <c r="JQ48" s="104"/>
      <c r="JR48" s="104"/>
      <c r="JS48" s="104"/>
      <c r="JT48" s="104"/>
      <c r="JU48" s="104"/>
      <c r="JV48" s="104"/>
      <c r="JW48" s="104"/>
      <c r="JX48" s="104"/>
      <c r="JY48" s="104"/>
      <c r="JZ48" s="104"/>
      <c r="KA48" s="104"/>
      <c r="KB48" s="104"/>
      <c r="KC48" s="104"/>
      <c r="KD48" s="104"/>
      <c r="KE48" s="104"/>
      <c r="KF48" s="104"/>
      <c r="KG48" s="104"/>
      <c r="KH48" s="104"/>
      <c r="KI48" s="104"/>
      <c r="KJ48" s="104"/>
      <c r="KK48" s="104"/>
      <c r="KL48" s="104"/>
      <c r="KM48" s="104"/>
      <c r="KN48" s="104"/>
      <c r="KO48" s="104"/>
      <c r="KP48" s="104"/>
      <c r="KQ48" s="104"/>
      <c r="KR48" s="104"/>
      <c r="KS48" s="104"/>
      <c r="KT48" s="104"/>
      <c r="KU48" s="104"/>
      <c r="KV48" s="104"/>
      <c r="KW48" s="104"/>
      <c r="KX48" s="104"/>
      <c r="KY48" s="104"/>
      <c r="KZ48" s="104"/>
      <c r="LA48" s="104"/>
      <c r="LB48" s="104"/>
      <c r="LC48" s="104"/>
      <c r="LD48" s="104"/>
      <c r="LE48" s="104"/>
      <c r="LF48" s="104"/>
      <c r="LG48" s="104"/>
      <c r="LH48" s="104"/>
      <c r="LI48" s="104"/>
      <c r="LJ48" s="104"/>
      <c r="LK48" s="104"/>
      <c r="LL48" s="104"/>
      <c r="LM48" s="104"/>
      <c r="LN48" s="104"/>
      <c r="LO48" s="104"/>
      <c r="LP48" s="104"/>
      <c r="LQ48" s="104"/>
      <c r="LR48" s="104"/>
      <c r="LS48" s="104"/>
      <c r="LT48" s="104"/>
      <c r="LU48" s="104"/>
      <c r="LV48" s="104"/>
      <c r="LW48" s="104"/>
      <c r="LX48" s="104"/>
      <c r="LY48" s="104"/>
      <c r="LZ48" s="104"/>
      <c r="MA48" s="104"/>
      <c r="MB48" s="104"/>
      <c r="MC48" s="104"/>
      <c r="MD48" s="104"/>
      <c r="ME48" s="104"/>
      <c r="MF48" s="104"/>
      <c r="MG48" s="104"/>
      <c r="MH48" s="104"/>
      <c r="MI48" s="104"/>
      <c r="MJ48" s="104"/>
      <c r="MK48" s="104"/>
      <c r="ML48" s="104"/>
      <c r="MM48" s="104"/>
      <c r="MN48" s="104"/>
      <c r="MO48" s="104"/>
      <c r="MP48" s="104"/>
      <c r="MQ48" s="104"/>
      <c r="MR48" s="104"/>
      <c r="MS48" s="104"/>
      <c r="MT48" s="104"/>
      <c r="MU48" s="104"/>
      <c r="MV48" s="104"/>
      <c r="MW48" s="104"/>
      <c r="MX48" s="104"/>
      <c r="MY48" s="104"/>
      <c r="MZ48" s="104"/>
      <c r="NA48" s="104"/>
      <c r="NB48" s="104"/>
      <c r="NC48" s="104"/>
      <c r="ND48" s="104"/>
      <c r="NE48" s="104"/>
      <c r="NF48" s="104"/>
      <c r="NG48" s="104"/>
      <c r="NH48" s="104"/>
      <c r="NI48" s="104"/>
      <c r="NJ48" s="104"/>
      <c r="NK48" s="104"/>
      <c r="NL48" s="104"/>
      <c r="NM48" s="104"/>
      <c r="NN48" s="104"/>
      <c r="NO48" s="104"/>
      <c r="NP48" s="104"/>
      <c r="NQ48" s="104"/>
      <c r="NR48" s="104"/>
      <c r="NS48" s="104"/>
      <c r="NT48" s="104"/>
      <c r="NU48" s="104"/>
      <c r="NV48" s="104"/>
      <c r="NW48" s="104"/>
      <c r="NX48" s="104"/>
      <c r="NY48" s="104"/>
      <c r="NZ48" s="104"/>
    </row>
    <row r="49" spans="1:390" ht="15" customHeight="1" x14ac:dyDescent="0.3">
      <c r="A49" s="125">
        <v>6187579429</v>
      </c>
      <c r="B49" s="159"/>
      <c r="C49" s="126"/>
      <c r="D49" s="213" t="s">
        <v>391</v>
      </c>
      <c r="E49" s="135" t="s">
        <v>532</v>
      </c>
      <c r="F49" s="125" t="s">
        <v>416</v>
      </c>
      <c r="G49" s="125" t="s">
        <v>417</v>
      </c>
      <c r="H49" s="111">
        <v>43032</v>
      </c>
      <c r="I49" s="135" t="s">
        <v>458</v>
      </c>
      <c r="J49" s="135" t="s">
        <v>397</v>
      </c>
      <c r="K49" s="128" t="s">
        <v>398</v>
      </c>
      <c r="L49" s="128" t="s">
        <v>398</v>
      </c>
      <c r="M49" s="128" t="s">
        <v>398</v>
      </c>
      <c r="N49" s="128" t="s">
        <v>398</v>
      </c>
      <c r="O49" s="128" t="s">
        <v>398</v>
      </c>
      <c r="P49" s="128" t="s">
        <v>398</v>
      </c>
      <c r="Q49" s="128" t="s">
        <v>398</v>
      </c>
      <c r="R49" s="128" t="s">
        <v>398</v>
      </c>
      <c r="S49" s="128" t="s">
        <v>398</v>
      </c>
      <c r="T49" s="128" t="s">
        <v>398</v>
      </c>
      <c r="U49" s="128" t="s">
        <v>398</v>
      </c>
      <c r="V49" s="128" t="s">
        <v>398</v>
      </c>
      <c r="W49" s="136" t="s">
        <v>398</v>
      </c>
      <c r="X49" s="135" t="s">
        <v>398</v>
      </c>
      <c r="Y49" s="113" t="s">
        <v>398</v>
      </c>
      <c r="Z49" s="113" t="s">
        <v>398</v>
      </c>
      <c r="AA49" s="126"/>
      <c r="AB49" s="113" t="s">
        <v>399</v>
      </c>
      <c r="AC49" s="111">
        <v>11629</v>
      </c>
      <c r="AD49" s="139"/>
      <c r="AE49" s="108" t="e">
        <f t="shared" si="1"/>
        <v>#NUM!</v>
      </c>
      <c r="AF49" s="138" t="s">
        <v>477</v>
      </c>
      <c r="AG49" s="126" t="s">
        <v>401</v>
      </c>
      <c r="AH49" s="131" t="s">
        <v>402</v>
      </c>
      <c r="AI49" s="125" t="s">
        <v>412</v>
      </c>
      <c r="AJ49" s="125">
        <v>0</v>
      </c>
      <c r="AK49" s="125">
        <v>0</v>
      </c>
      <c r="AL49" s="125">
        <v>0</v>
      </c>
      <c r="AM49" s="139" t="s">
        <v>414</v>
      </c>
      <c r="AN49" s="134">
        <v>1</v>
      </c>
      <c r="AO49" s="136" t="s">
        <v>398</v>
      </c>
      <c r="AP49" s="126"/>
      <c r="AQ49" s="106"/>
      <c r="AR49" s="91"/>
      <c r="AS49" s="104"/>
      <c r="AT49" s="104"/>
      <c r="AU49" s="104"/>
      <c r="AV49" s="104"/>
      <c r="AW49" s="91"/>
      <c r="AX49" s="104"/>
      <c r="AY49" s="104"/>
      <c r="AZ49" s="104"/>
      <c r="BA49" s="104"/>
      <c r="BB49" s="91"/>
      <c r="BC49" s="104"/>
      <c r="BD49" s="104"/>
      <c r="BE49" s="104"/>
      <c r="BF49" s="104"/>
      <c r="BG49" s="91"/>
      <c r="BH49" s="104"/>
      <c r="BI49" s="104"/>
      <c r="BJ49" s="104"/>
      <c r="BK49" s="104"/>
      <c r="BL49" s="91"/>
      <c r="BM49" s="104"/>
      <c r="BN49" s="104"/>
      <c r="BO49" s="104"/>
      <c r="BP49" s="104"/>
      <c r="BQ49" s="91"/>
      <c r="BR49" s="104"/>
      <c r="BS49" s="104"/>
      <c r="BT49" s="104"/>
      <c r="BU49" s="104"/>
      <c r="BV49" s="91"/>
      <c r="BW49" s="104"/>
      <c r="BX49" s="104"/>
      <c r="BY49" s="104"/>
      <c r="BZ49" s="104"/>
      <c r="CA49" s="91"/>
      <c r="CB49" s="104"/>
      <c r="CC49" s="104"/>
      <c r="CD49" s="104"/>
      <c r="CE49" s="104"/>
      <c r="CF49" s="91"/>
      <c r="CG49" s="104"/>
      <c r="CH49" s="104"/>
      <c r="CI49" s="104"/>
      <c r="CJ49" s="104"/>
      <c r="CK49" s="91"/>
      <c r="CL49" s="104"/>
      <c r="CM49" s="104"/>
      <c r="CN49" s="104"/>
      <c r="CO49" s="104"/>
      <c r="CP49" s="91"/>
      <c r="CQ49" s="104"/>
      <c r="CR49" s="104"/>
      <c r="CS49" s="104"/>
      <c r="CT49" s="104"/>
      <c r="CU49" s="91"/>
      <c r="CV49" s="104"/>
      <c r="CW49" s="104"/>
      <c r="CX49" s="104"/>
      <c r="CY49" s="104"/>
      <c r="CZ49" s="91"/>
      <c r="DA49" s="104"/>
      <c r="DB49" s="104"/>
      <c r="DC49" s="104"/>
      <c r="DD49" s="104"/>
      <c r="DE49" s="91"/>
      <c r="DF49" s="104"/>
      <c r="DG49" s="104"/>
      <c r="DH49" s="104"/>
      <c r="DI49" s="104"/>
      <c r="DJ49" s="91"/>
      <c r="DK49" s="104"/>
      <c r="DL49" s="104"/>
      <c r="DM49" s="104"/>
      <c r="DN49" s="104"/>
      <c r="DO49" s="91"/>
      <c r="DP49" s="104"/>
      <c r="DQ49" s="104"/>
      <c r="DR49" s="104"/>
      <c r="DS49" s="104"/>
      <c r="DT49" s="91"/>
      <c r="DU49" s="104"/>
      <c r="DV49" s="104"/>
      <c r="DW49" s="104"/>
      <c r="DX49" s="104"/>
      <c r="DY49" s="91"/>
      <c r="DZ49" s="104"/>
      <c r="EA49" s="104"/>
      <c r="EB49" s="104"/>
      <c r="EC49" s="104"/>
      <c r="ED49" s="91"/>
      <c r="EE49" s="104"/>
      <c r="EF49" s="104"/>
      <c r="EG49" s="104"/>
      <c r="EH49" s="104"/>
      <c r="EI49" s="91"/>
      <c r="EJ49" s="104"/>
      <c r="EK49" s="104"/>
      <c r="EL49" s="104"/>
      <c r="EM49" s="104"/>
      <c r="EN49" s="91"/>
      <c r="EO49" s="104"/>
      <c r="EP49" s="104"/>
      <c r="EQ49" s="104"/>
      <c r="ER49" s="104"/>
      <c r="ES49" s="91"/>
      <c r="ET49" s="104"/>
      <c r="EU49" s="104"/>
      <c r="EV49" s="104"/>
      <c r="EW49" s="104"/>
      <c r="EX49" s="91"/>
      <c r="EY49" s="104"/>
      <c r="EZ49" s="104"/>
      <c r="FA49" s="104"/>
      <c r="FB49" s="104"/>
      <c r="FC49" s="91"/>
      <c r="FD49" s="104"/>
      <c r="FE49" s="104"/>
      <c r="FF49" s="104"/>
      <c r="FG49" s="104"/>
      <c r="FH49" s="91"/>
      <c r="FI49" s="104"/>
      <c r="FJ49" s="104"/>
      <c r="FK49" s="104"/>
      <c r="FL49" s="104"/>
      <c r="FM49" s="104"/>
      <c r="FN49" s="104"/>
      <c r="FO49" s="104"/>
      <c r="FP49" s="104"/>
      <c r="FQ49" s="104"/>
      <c r="FR49" s="104"/>
      <c r="FS49" s="104"/>
      <c r="FT49" s="104"/>
      <c r="FU49" s="104"/>
      <c r="FV49" s="104"/>
      <c r="FW49" s="104"/>
      <c r="FX49" s="104"/>
      <c r="FY49" s="104"/>
      <c r="FZ49" s="104"/>
      <c r="GA49" s="104"/>
      <c r="GB49" s="104"/>
      <c r="GC49" s="104"/>
      <c r="GD49" s="104"/>
      <c r="GE49" s="104"/>
      <c r="GF49" s="104"/>
      <c r="GG49" s="104"/>
      <c r="GH49" s="104"/>
      <c r="GI49" s="104"/>
      <c r="GJ49" s="104"/>
      <c r="GK49" s="104"/>
      <c r="GL49" s="104"/>
      <c r="GM49" s="104"/>
      <c r="GN49" s="104"/>
      <c r="GO49" s="104"/>
      <c r="GP49" s="91"/>
      <c r="GQ49" s="104"/>
      <c r="GR49" s="104"/>
      <c r="GS49" s="104"/>
      <c r="GT49" s="104"/>
      <c r="GU49" s="91"/>
      <c r="GV49" s="104"/>
      <c r="GW49" s="104"/>
      <c r="GX49" s="104"/>
      <c r="GY49" s="104"/>
      <c r="GZ49" s="91"/>
      <c r="HA49" s="104"/>
      <c r="HB49" s="104"/>
      <c r="HC49" s="104"/>
      <c r="HD49" s="104"/>
      <c r="HE49" s="91"/>
      <c r="HF49" s="104"/>
      <c r="HG49" s="104"/>
      <c r="HH49" s="104"/>
      <c r="HI49" s="104"/>
      <c r="HJ49" s="91"/>
      <c r="HK49" s="104"/>
      <c r="HL49" s="104"/>
      <c r="HM49" s="104"/>
      <c r="HN49" s="104"/>
      <c r="HO49" s="91"/>
      <c r="HP49" s="104"/>
      <c r="HQ49" s="104"/>
      <c r="HR49" s="104"/>
      <c r="HS49" s="104"/>
      <c r="HT49" s="91"/>
      <c r="HU49" s="104"/>
      <c r="HV49" s="104"/>
      <c r="HW49" s="104"/>
      <c r="HX49" s="104"/>
      <c r="HY49" s="91"/>
      <c r="HZ49" s="104"/>
      <c r="IA49" s="104"/>
      <c r="IB49" s="104"/>
      <c r="IC49" s="104"/>
      <c r="ID49" s="91"/>
      <c r="IE49" s="104"/>
      <c r="IF49" s="104"/>
      <c r="IG49" s="104"/>
      <c r="IH49" s="104"/>
      <c r="II49" s="91"/>
      <c r="IJ49" s="104"/>
      <c r="IK49" s="104"/>
      <c r="IL49" s="104"/>
      <c r="IM49" s="104"/>
      <c r="IN49" s="91"/>
      <c r="IO49" s="104"/>
      <c r="IP49" s="104"/>
      <c r="IQ49" s="104"/>
      <c r="IR49" s="104"/>
      <c r="IS49" s="91"/>
      <c r="IT49" s="104"/>
      <c r="IU49" s="104"/>
      <c r="IV49" s="104"/>
      <c r="IW49" s="104"/>
      <c r="IX49" s="91"/>
      <c r="IY49" s="104"/>
      <c r="IZ49" s="104"/>
      <c r="JA49" s="104"/>
      <c r="JB49" s="104"/>
      <c r="JC49" s="91"/>
      <c r="JD49" s="104"/>
      <c r="JE49" s="104"/>
      <c r="JF49" s="104"/>
      <c r="JG49" s="105"/>
      <c r="JH49" s="91"/>
      <c r="JI49" s="106"/>
      <c r="JJ49" s="104"/>
      <c r="JK49" s="104"/>
      <c r="JL49" s="105"/>
      <c r="JM49" s="95"/>
      <c r="JN49" s="107"/>
      <c r="JO49" s="79"/>
      <c r="JP49" s="106"/>
      <c r="JQ49" s="104"/>
      <c r="JR49" s="104"/>
      <c r="JS49" s="104"/>
      <c r="JT49" s="104"/>
      <c r="JU49" s="104"/>
      <c r="JV49" s="104"/>
      <c r="JW49" s="104"/>
      <c r="JX49" s="104"/>
      <c r="JY49" s="104"/>
      <c r="JZ49" s="104"/>
      <c r="KA49" s="104"/>
      <c r="KB49" s="104"/>
      <c r="KC49" s="104"/>
      <c r="KD49" s="104"/>
      <c r="KE49" s="104"/>
      <c r="KF49" s="104"/>
      <c r="KG49" s="104"/>
      <c r="KH49" s="104"/>
      <c r="KI49" s="104"/>
      <c r="KJ49" s="104"/>
      <c r="KK49" s="104"/>
      <c r="KL49" s="104"/>
      <c r="KM49" s="104"/>
      <c r="KN49" s="104"/>
      <c r="KO49" s="104"/>
      <c r="KP49" s="104"/>
      <c r="KQ49" s="104"/>
      <c r="KR49" s="104"/>
      <c r="KS49" s="104"/>
      <c r="KT49" s="104"/>
      <c r="KU49" s="104"/>
      <c r="KV49" s="104"/>
      <c r="KW49" s="104"/>
      <c r="KX49" s="104"/>
      <c r="KY49" s="104"/>
      <c r="KZ49" s="104"/>
      <c r="LA49" s="104"/>
      <c r="LB49" s="104"/>
      <c r="LC49" s="104"/>
      <c r="LD49" s="104"/>
      <c r="LE49" s="104"/>
      <c r="LF49" s="104"/>
      <c r="LG49" s="104"/>
      <c r="LH49" s="104"/>
      <c r="LI49" s="104"/>
      <c r="LJ49" s="104"/>
      <c r="LK49" s="104"/>
      <c r="LL49" s="104"/>
      <c r="LM49" s="104"/>
      <c r="LN49" s="104"/>
      <c r="LO49" s="104"/>
      <c r="LP49" s="104"/>
      <c r="LQ49" s="104"/>
      <c r="LR49" s="104"/>
      <c r="LS49" s="104"/>
      <c r="LT49" s="104"/>
      <c r="LU49" s="104"/>
      <c r="LV49" s="104"/>
      <c r="LW49" s="104"/>
      <c r="LX49" s="104"/>
      <c r="LY49" s="104"/>
      <c r="LZ49" s="104"/>
      <c r="MA49" s="104"/>
      <c r="MB49" s="104"/>
      <c r="MC49" s="104"/>
      <c r="MD49" s="104"/>
      <c r="ME49" s="104"/>
      <c r="MF49" s="104"/>
      <c r="MG49" s="104"/>
      <c r="MH49" s="104"/>
      <c r="MI49" s="104"/>
      <c r="MJ49" s="104"/>
      <c r="MK49" s="104"/>
      <c r="ML49" s="104"/>
      <c r="MM49" s="104"/>
      <c r="MN49" s="104"/>
      <c r="MO49" s="104"/>
      <c r="MP49" s="104"/>
      <c r="MQ49" s="104"/>
      <c r="MR49" s="104"/>
      <c r="MS49" s="104"/>
      <c r="MT49" s="104"/>
      <c r="MU49" s="104"/>
      <c r="MV49" s="104"/>
      <c r="MW49" s="104"/>
      <c r="MX49" s="104"/>
      <c r="MY49" s="104"/>
      <c r="MZ49" s="104"/>
      <c r="NA49" s="104"/>
      <c r="NB49" s="104"/>
      <c r="NC49" s="104"/>
      <c r="ND49" s="104"/>
      <c r="NE49" s="104"/>
      <c r="NF49" s="104"/>
      <c r="NG49" s="104"/>
      <c r="NH49" s="104"/>
      <c r="NI49" s="104"/>
      <c r="NJ49" s="104"/>
      <c r="NK49" s="104"/>
      <c r="NL49" s="104"/>
      <c r="NM49" s="104"/>
      <c r="NN49" s="104"/>
      <c r="NO49" s="104"/>
      <c r="NP49" s="104"/>
      <c r="NQ49" s="104"/>
      <c r="NR49" s="104"/>
      <c r="NS49" s="104"/>
      <c r="NT49" s="104"/>
      <c r="NU49" s="104"/>
      <c r="NV49" s="104"/>
      <c r="NW49" s="104"/>
      <c r="NX49" s="104"/>
      <c r="NY49" s="104"/>
      <c r="NZ49" s="104"/>
    </row>
    <row r="50" spans="1:390" ht="15" customHeight="1" x14ac:dyDescent="0.3">
      <c r="A50" s="125">
        <v>4985797839</v>
      </c>
      <c r="B50" s="159"/>
      <c r="C50" s="126"/>
      <c r="D50" s="213" t="s">
        <v>391</v>
      </c>
      <c r="E50" s="135" t="s">
        <v>533</v>
      </c>
      <c r="F50" s="125" t="s">
        <v>422</v>
      </c>
      <c r="G50" s="125" t="s">
        <v>501</v>
      </c>
      <c r="H50" s="111">
        <v>43035</v>
      </c>
      <c r="I50" s="135" t="s">
        <v>396</v>
      </c>
      <c r="J50" s="135" t="s">
        <v>397</v>
      </c>
      <c r="K50" s="128" t="s">
        <v>398</v>
      </c>
      <c r="L50" s="128" t="s">
        <v>398</v>
      </c>
      <c r="M50" s="128" t="s">
        <v>398</v>
      </c>
      <c r="N50" s="128" t="s">
        <v>398</v>
      </c>
      <c r="O50" s="128" t="s">
        <v>398</v>
      </c>
      <c r="P50" s="128" t="s">
        <v>398</v>
      </c>
      <c r="Q50" s="128" t="s">
        <v>398</v>
      </c>
      <c r="R50" s="128" t="s">
        <v>398</v>
      </c>
      <c r="S50" s="128" t="s">
        <v>398</v>
      </c>
      <c r="T50" s="128" t="s">
        <v>398</v>
      </c>
      <c r="U50" s="128" t="s">
        <v>398</v>
      </c>
      <c r="V50" s="128" t="s">
        <v>398</v>
      </c>
      <c r="W50" s="136" t="s">
        <v>398</v>
      </c>
      <c r="X50" s="135" t="s">
        <v>398</v>
      </c>
      <c r="Y50" s="113" t="s">
        <v>398</v>
      </c>
      <c r="Z50" s="113" t="s">
        <v>398</v>
      </c>
      <c r="AA50" s="126"/>
      <c r="AB50" s="113" t="s">
        <v>399</v>
      </c>
      <c r="AC50" s="111">
        <v>10699</v>
      </c>
      <c r="AD50" s="139"/>
      <c r="AE50" s="108" t="e">
        <f t="shared" si="1"/>
        <v>#NUM!</v>
      </c>
      <c r="AF50" s="138" t="s">
        <v>477</v>
      </c>
      <c r="AG50" s="126" t="s">
        <v>401</v>
      </c>
      <c r="AH50" s="131" t="s">
        <v>391</v>
      </c>
      <c r="AI50" s="125">
        <v>3</v>
      </c>
      <c r="AJ50" s="125">
        <v>1</v>
      </c>
      <c r="AK50" s="125">
        <v>0</v>
      </c>
      <c r="AL50" s="125">
        <v>0</v>
      </c>
      <c r="AM50" s="139" t="s">
        <v>498</v>
      </c>
      <c r="AN50" s="134">
        <v>2</v>
      </c>
      <c r="AO50" s="136" t="s">
        <v>398</v>
      </c>
      <c r="AP50" s="126"/>
      <c r="AQ50" s="106"/>
      <c r="AR50" s="91"/>
      <c r="AS50" s="104"/>
      <c r="AT50" s="104"/>
      <c r="AU50" s="104"/>
      <c r="AV50" s="104"/>
      <c r="AW50" s="91"/>
      <c r="AX50" s="104"/>
      <c r="AY50" s="104"/>
      <c r="AZ50" s="104"/>
      <c r="BA50" s="104"/>
      <c r="BB50" s="91"/>
      <c r="BC50" s="104"/>
      <c r="BD50" s="104"/>
      <c r="BE50" s="104"/>
      <c r="BF50" s="104"/>
      <c r="BG50" s="91"/>
      <c r="BH50" s="104"/>
      <c r="BI50" s="104"/>
      <c r="BJ50" s="104"/>
      <c r="BK50" s="104"/>
      <c r="BL50" s="91"/>
      <c r="BM50" s="104"/>
      <c r="BN50" s="104"/>
      <c r="BO50" s="104"/>
      <c r="BP50" s="104"/>
      <c r="BQ50" s="91"/>
      <c r="BR50" s="104"/>
      <c r="BS50" s="104"/>
      <c r="BT50" s="104"/>
      <c r="BU50" s="104"/>
      <c r="BV50" s="91"/>
      <c r="BW50" s="104"/>
      <c r="BX50" s="104"/>
      <c r="BY50" s="104"/>
      <c r="BZ50" s="104"/>
      <c r="CA50" s="91"/>
      <c r="CB50" s="104"/>
      <c r="CC50" s="104"/>
      <c r="CD50" s="104"/>
      <c r="CE50" s="104"/>
      <c r="CF50" s="91"/>
      <c r="CG50" s="104"/>
      <c r="CH50" s="104"/>
      <c r="CI50" s="104"/>
      <c r="CJ50" s="104"/>
      <c r="CK50" s="91"/>
      <c r="CL50" s="104"/>
      <c r="CM50" s="104"/>
      <c r="CN50" s="104"/>
      <c r="CO50" s="104"/>
      <c r="CP50" s="91"/>
      <c r="CQ50" s="104"/>
      <c r="CR50" s="104"/>
      <c r="CS50" s="104"/>
      <c r="CT50" s="104"/>
      <c r="CU50" s="91"/>
      <c r="CV50" s="104"/>
      <c r="CW50" s="104"/>
      <c r="CX50" s="104"/>
      <c r="CY50" s="104"/>
      <c r="CZ50" s="91"/>
      <c r="DA50" s="104"/>
      <c r="DB50" s="104"/>
      <c r="DC50" s="104"/>
      <c r="DD50" s="104"/>
      <c r="DE50" s="91"/>
      <c r="DF50" s="104"/>
      <c r="DG50" s="104"/>
      <c r="DH50" s="104"/>
      <c r="DI50" s="104"/>
      <c r="DJ50" s="91"/>
      <c r="DK50" s="104"/>
      <c r="DL50" s="104"/>
      <c r="DM50" s="104"/>
      <c r="DN50" s="104"/>
      <c r="DO50" s="91"/>
      <c r="DP50" s="104"/>
      <c r="DQ50" s="104"/>
      <c r="DR50" s="104"/>
      <c r="DS50" s="104"/>
      <c r="DT50" s="91"/>
      <c r="DU50" s="104"/>
      <c r="DV50" s="104"/>
      <c r="DW50" s="104"/>
      <c r="DX50" s="104"/>
      <c r="DY50" s="91"/>
      <c r="DZ50" s="104"/>
      <c r="EA50" s="104"/>
      <c r="EB50" s="104"/>
      <c r="EC50" s="104"/>
      <c r="ED50" s="91"/>
      <c r="EE50" s="104"/>
      <c r="EF50" s="104"/>
      <c r="EG50" s="104"/>
      <c r="EH50" s="104"/>
      <c r="EI50" s="91"/>
      <c r="EJ50" s="104"/>
      <c r="EK50" s="104"/>
      <c r="EL50" s="104"/>
      <c r="EM50" s="104"/>
      <c r="EN50" s="91"/>
      <c r="EO50" s="104"/>
      <c r="EP50" s="104"/>
      <c r="EQ50" s="104"/>
      <c r="ER50" s="104"/>
      <c r="ES50" s="91"/>
      <c r="ET50" s="104"/>
      <c r="EU50" s="104"/>
      <c r="EV50" s="104"/>
      <c r="EW50" s="104"/>
      <c r="EX50" s="91"/>
      <c r="EY50" s="104"/>
      <c r="EZ50" s="104"/>
      <c r="FA50" s="104"/>
      <c r="FB50" s="104"/>
      <c r="FC50" s="91"/>
      <c r="FD50" s="104"/>
      <c r="FE50" s="104"/>
      <c r="FF50" s="104"/>
      <c r="FG50" s="104"/>
      <c r="FH50" s="91"/>
      <c r="FI50" s="104"/>
      <c r="FJ50" s="104"/>
      <c r="FK50" s="104"/>
      <c r="FL50" s="104"/>
      <c r="FM50" s="104"/>
      <c r="FN50" s="104"/>
      <c r="FO50" s="104"/>
      <c r="FP50" s="104"/>
      <c r="FQ50" s="104"/>
      <c r="FR50" s="104"/>
      <c r="FS50" s="104"/>
      <c r="FT50" s="104"/>
      <c r="FU50" s="104"/>
      <c r="FV50" s="104"/>
      <c r="FW50" s="104"/>
      <c r="FX50" s="104"/>
      <c r="FY50" s="104"/>
      <c r="FZ50" s="104"/>
      <c r="GA50" s="104"/>
      <c r="GB50" s="104"/>
      <c r="GC50" s="104"/>
      <c r="GD50" s="104"/>
      <c r="GE50" s="104"/>
      <c r="GF50" s="104"/>
      <c r="GG50" s="104"/>
      <c r="GH50" s="104"/>
      <c r="GI50" s="104"/>
      <c r="GJ50" s="104"/>
      <c r="GK50" s="104"/>
      <c r="GL50" s="104"/>
      <c r="GM50" s="104"/>
      <c r="GN50" s="104"/>
      <c r="GO50" s="104"/>
      <c r="GP50" s="91"/>
      <c r="GQ50" s="104"/>
      <c r="GR50" s="104"/>
      <c r="GS50" s="104"/>
      <c r="GT50" s="104"/>
      <c r="GU50" s="91"/>
      <c r="GV50" s="104"/>
      <c r="GW50" s="104"/>
      <c r="GX50" s="104"/>
      <c r="GY50" s="104"/>
      <c r="GZ50" s="91"/>
      <c r="HA50" s="104"/>
      <c r="HB50" s="104"/>
      <c r="HC50" s="104"/>
      <c r="HD50" s="104"/>
      <c r="HE50" s="91"/>
      <c r="HF50" s="104"/>
      <c r="HG50" s="104"/>
      <c r="HH50" s="104"/>
      <c r="HI50" s="104"/>
      <c r="HJ50" s="91"/>
      <c r="HK50" s="104"/>
      <c r="HL50" s="104"/>
      <c r="HM50" s="104"/>
      <c r="HN50" s="104"/>
      <c r="HO50" s="91"/>
      <c r="HP50" s="104"/>
      <c r="HQ50" s="104"/>
      <c r="HR50" s="104"/>
      <c r="HS50" s="104"/>
      <c r="HT50" s="91"/>
      <c r="HU50" s="104"/>
      <c r="HV50" s="104"/>
      <c r="HW50" s="104"/>
      <c r="HX50" s="104"/>
      <c r="HY50" s="91"/>
      <c r="HZ50" s="104"/>
      <c r="IA50" s="104"/>
      <c r="IB50" s="104"/>
      <c r="IC50" s="104"/>
      <c r="ID50" s="91"/>
      <c r="IE50" s="104"/>
      <c r="IF50" s="104"/>
      <c r="IG50" s="104"/>
      <c r="IH50" s="104"/>
      <c r="II50" s="91"/>
      <c r="IJ50" s="104"/>
      <c r="IK50" s="104"/>
      <c r="IL50" s="104"/>
      <c r="IM50" s="104"/>
      <c r="IN50" s="91"/>
      <c r="IO50" s="104"/>
      <c r="IP50" s="104"/>
      <c r="IQ50" s="104"/>
      <c r="IR50" s="104"/>
      <c r="IS50" s="91"/>
      <c r="IT50" s="104"/>
      <c r="IU50" s="104"/>
      <c r="IV50" s="104"/>
      <c r="IW50" s="104"/>
      <c r="IX50" s="91"/>
      <c r="IY50" s="104"/>
      <c r="IZ50" s="104"/>
      <c r="JA50" s="104"/>
      <c r="JB50" s="104"/>
      <c r="JC50" s="91"/>
      <c r="JD50" s="104"/>
      <c r="JE50" s="104"/>
      <c r="JF50" s="104"/>
      <c r="JG50" s="105"/>
      <c r="JH50" s="91"/>
      <c r="JI50" s="106"/>
      <c r="JJ50" s="104"/>
      <c r="JK50" s="104"/>
      <c r="JL50" s="105"/>
      <c r="JM50" s="95"/>
      <c r="JN50" s="107"/>
      <c r="JO50" s="79"/>
      <c r="JP50" s="106"/>
      <c r="JQ50" s="104"/>
      <c r="JR50" s="104"/>
      <c r="JS50" s="104"/>
      <c r="JT50" s="104"/>
      <c r="JU50" s="104"/>
      <c r="JV50" s="104"/>
      <c r="JW50" s="104"/>
      <c r="JX50" s="104"/>
      <c r="JY50" s="104"/>
      <c r="JZ50" s="104"/>
      <c r="KA50" s="104"/>
      <c r="KB50" s="104"/>
      <c r="KC50" s="104"/>
      <c r="KD50" s="104"/>
      <c r="KE50" s="104"/>
      <c r="KF50" s="104"/>
      <c r="KG50" s="104"/>
      <c r="KH50" s="104"/>
      <c r="KI50" s="104"/>
      <c r="KJ50" s="104"/>
      <c r="KK50" s="104"/>
      <c r="KL50" s="104"/>
      <c r="KM50" s="104"/>
      <c r="KN50" s="104"/>
      <c r="KO50" s="104"/>
      <c r="KP50" s="104"/>
      <c r="KQ50" s="104"/>
      <c r="KR50" s="104"/>
      <c r="KS50" s="104"/>
      <c r="KT50" s="104"/>
      <c r="KU50" s="104"/>
      <c r="KV50" s="104"/>
      <c r="KW50" s="104"/>
      <c r="KX50" s="104"/>
      <c r="KY50" s="104"/>
      <c r="KZ50" s="104"/>
      <c r="LA50" s="104"/>
      <c r="LB50" s="104"/>
      <c r="LC50" s="104"/>
      <c r="LD50" s="104"/>
      <c r="LE50" s="104"/>
      <c r="LF50" s="104"/>
      <c r="LG50" s="104"/>
      <c r="LH50" s="104"/>
      <c r="LI50" s="104"/>
      <c r="LJ50" s="104"/>
      <c r="LK50" s="104"/>
      <c r="LL50" s="104"/>
      <c r="LM50" s="104"/>
      <c r="LN50" s="104"/>
      <c r="LO50" s="104"/>
      <c r="LP50" s="104"/>
      <c r="LQ50" s="104"/>
      <c r="LR50" s="104"/>
      <c r="LS50" s="104"/>
      <c r="LT50" s="104"/>
      <c r="LU50" s="104"/>
      <c r="LV50" s="104"/>
      <c r="LW50" s="104"/>
      <c r="LX50" s="104"/>
      <c r="LY50" s="104"/>
      <c r="LZ50" s="104"/>
      <c r="MA50" s="104"/>
      <c r="MB50" s="104"/>
      <c r="MC50" s="104"/>
      <c r="MD50" s="104"/>
      <c r="ME50" s="104"/>
      <c r="MF50" s="104"/>
      <c r="MG50" s="104"/>
      <c r="MH50" s="104"/>
      <c r="MI50" s="104"/>
      <c r="MJ50" s="104"/>
      <c r="MK50" s="104"/>
      <c r="ML50" s="104"/>
      <c r="MM50" s="104"/>
      <c r="MN50" s="104"/>
      <c r="MO50" s="104"/>
      <c r="MP50" s="104"/>
      <c r="MQ50" s="104"/>
      <c r="MR50" s="104"/>
      <c r="MS50" s="104"/>
      <c r="MT50" s="104"/>
      <c r="MU50" s="104"/>
      <c r="MV50" s="104"/>
      <c r="MW50" s="104"/>
      <c r="MX50" s="104"/>
      <c r="MY50" s="104"/>
      <c r="MZ50" s="104"/>
      <c r="NA50" s="104"/>
      <c r="NB50" s="104"/>
      <c r="NC50" s="104"/>
      <c r="ND50" s="104"/>
      <c r="NE50" s="104"/>
      <c r="NF50" s="104"/>
      <c r="NG50" s="104"/>
      <c r="NH50" s="104"/>
      <c r="NI50" s="104"/>
      <c r="NJ50" s="104"/>
      <c r="NK50" s="104"/>
      <c r="NL50" s="104"/>
      <c r="NM50" s="104"/>
      <c r="NN50" s="104"/>
      <c r="NO50" s="104"/>
      <c r="NP50" s="104"/>
      <c r="NQ50" s="104"/>
      <c r="NR50" s="104"/>
      <c r="NS50" s="104"/>
      <c r="NT50" s="104"/>
      <c r="NU50" s="104"/>
      <c r="NV50" s="104"/>
      <c r="NW50" s="104"/>
      <c r="NX50" s="104"/>
      <c r="NY50" s="104"/>
      <c r="NZ50" s="104"/>
    </row>
    <row r="51" spans="1:390" ht="15" customHeight="1" x14ac:dyDescent="0.3">
      <c r="A51" s="125">
        <v>4487137144</v>
      </c>
      <c r="B51" s="159"/>
      <c r="C51" s="126"/>
      <c r="D51" s="213" t="s">
        <v>391</v>
      </c>
      <c r="E51" s="135" t="s">
        <v>534</v>
      </c>
      <c r="F51" s="125" t="s">
        <v>408</v>
      </c>
      <c r="G51" s="125" t="s">
        <v>417</v>
      </c>
      <c r="H51" s="111">
        <v>43049</v>
      </c>
      <c r="I51" s="135" t="s">
        <v>458</v>
      </c>
      <c r="J51" s="135" t="s">
        <v>397</v>
      </c>
      <c r="K51" s="128" t="s">
        <v>398</v>
      </c>
      <c r="L51" s="128" t="s">
        <v>398</v>
      </c>
      <c r="M51" s="128" t="s">
        <v>398</v>
      </c>
      <c r="N51" s="128" t="s">
        <v>398</v>
      </c>
      <c r="O51" s="128" t="s">
        <v>398</v>
      </c>
      <c r="P51" s="128" t="s">
        <v>398</v>
      </c>
      <c r="Q51" s="128" t="s">
        <v>398</v>
      </c>
      <c r="R51" s="128" t="s">
        <v>398</v>
      </c>
      <c r="S51" s="128" t="s">
        <v>398</v>
      </c>
      <c r="T51" s="128" t="s">
        <v>398</v>
      </c>
      <c r="U51" s="128" t="s">
        <v>398</v>
      </c>
      <c r="V51" s="128" t="s">
        <v>398</v>
      </c>
      <c r="W51" s="136" t="s">
        <v>398</v>
      </c>
      <c r="X51" s="135" t="s">
        <v>398</v>
      </c>
      <c r="Y51" s="113" t="s">
        <v>398</v>
      </c>
      <c r="Z51" s="113" t="s">
        <v>398</v>
      </c>
      <c r="AA51" s="126"/>
      <c r="AB51" s="113" t="s">
        <v>399</v>
      </c>
      <c r="AC51" s="111">
        <v>21530</v>
      </c>
      <c r="AD51" s="139"/>
      <c r="AE51" s="108" t="e">
        <f t="shared" si="1"/>
        <v>#NUM!</v>
      </c>
      <c r="AF51" s="138" t="s">
        <v>411</v>
      </c>
      <c r="AG51" s="126" t="s">
        <v>401</v>
      </c>
      <c r="AH51" s="131" t="s">
        <v>402</v>
      </c>
      <c r="AI51" s="125" t="s">
        <v>455</v>
      </c>
      <c r="AJ51" s="125">
        <v>0</v>
      </c>
      <c r="AK51" s="125">
        <v>0</v>
      </c>
      <c r="AL51" s="125">
        <v>0</v>
      </c>
      <c r="AM51" s="139" t="s">
        <v>456</v>
      </c>
      <c r="AN51" s="134">
        <v>1</v>
      </c>
      <c r="AO51" s="136" t="s">
        <v>398</v>
      </c>
      <c r="AP51" s="126"/>
      <c r="AQ51" s="106"/>
      <c r="AR51" s="91"/>
      <c r="AS51" s="104"/>
      <c r="AT51" s="104"/>
      <c r="AU51" s="104"/>
      <c r="AV51" s="104"/>
      <c r="AW51" s="91"/>
      <c r="AX51" s="104"/>
      <c r="AY51" s="104"/>
      <c r="AZ51" s="104"/>
      <c r="BA51" s="104"/>
      <c r="BB51" s="91"/>
      <c r="BC51" s="104"/>
      <c r="BD51" s="104"/>
      <c r="BE51" s="104"/>
      <c r="BF51" s="104"/>
      <c r="BG51" s="91"/>
      <c r="BH51" s="104"/>
      <c r="BI51" s="104"/>
      <c r="BJ51" s="104"/>
      <c r="BK51" s="104"/>
      <c r="BL51" s="91"/>
      <c r="BM51" s="104"/>
      <c r="BN51" s="104"/>
      <c r="BO51" s="104"/>
      <c r="BP51" s="104"/>
      <c r="BQ51" s="91"/>
      <c r="BR51" s="104"/>
      <c r="BS51" s="104"/>
      <c r="BT51" s="104"/>
      <c r="BU51" s="104"/>
      <c r="BV51" s="91"/>
      <c r="BW51" s="104"/>
      <c r="BX51" s="104"/>
      <c r="BY51" s="104"/>
      <c r="BZ51" s="104"/>
      <c r="CA51" s="91"/>
      <c r="CB51" s="104"/>
      <c r="CC51" s="104"/>
      <c r="CD51" s="104"/>
      <c r="CE51" s="104"/>
      <c r="CF51" s="91"/>
      <c r="CG51" s="104"/>
      <c r="CH51" s="104"/>
      <c r="CI51" s="104"/>
      <c r="CJ51" s="104"/>
      <c r="CK51" s="91"/>
      <c r="CL51" s="104"/>
      <c r="CM51" s="104"/>
      <c r="CN51" s="104"/>
      <c r="CO51" s="104"/>
      <c r="CP51" s="91"/>
      <c r="CQ51" s="104"/>
      <c r="CR51" s="104"/>
      <c r="CS51" s="104"/>
      <c r="CT51" s="104"/>
      <c r="CU51" s="91"/>
      <c r="CV51" s="104"/>
      <c r="CW51" s="104"/>
      <c r="CX51" s="104"/>
      <c r="CY51" s="104"/>
      <c r="CZ51" s="91"/>
      <c r="DA51" s="104"/>
      <c r="DB51" s="104"/>
      <c r="DC51" s="104"/>
      <c r="DD51" s="104"/>
      <c r="DE51" s="91"/>
      <c r="DF51" s="104"/>
      <c r="DG51" s="104"/>
      <c r="DH51" s="104"/>
      <c r="DI51" s="104"/>
      <c r="DJ51" s="91"/>
      <c r="DK51" s="104"/>
      <c r="DL51" s="104"/>
      <c r="DM51" s="104"/>
      <c r="DN51" s="104"/>
      <c r="DO51" s="91"/>
      <c r="DP51" s="104"/>
      <c r="DQ51" s="104"/>
      <c r="DR51" s="104"/>
      <c r="DS51" s="104"/>
      <c r="DT51" s="91"/>
      <c r="DU51" s="104"/>
      <c r="DV51" s="104"/>
      <c r="DW51" s="104"/>
      <c r="DX51" s="104"/>
      <c r="DY51" s="91"/>
      <c r="DZ51" s="104"/>
      <c r="EA51" s="104"/>
      <c r="EB51" s="104"/>
      <c r="EC51" s="104"/>
      <c r="ED51" s="91"/>
      <c r="EE51" s="104"/>
      <c r="EF51" s="104"/>
      <c r="EG51" s="104"/>
      <c r="EH51" s="104"/>
      <c r="EI51" s="91"/>
      <c r="EJ51" s="104"/>
      <c r="EK51" s="104"/>
      <c r="EL51" s="104"/>
      <c r="EM51" s="104"/>
      <c r="EN51" s="91"/>
      <c r="EO51" s="104"/>
      <c r="EP51" s="104"/>
      <c r="EQ51" s="104"/>
      <c r="ER51" s="104"/>
      <c r="ES51" s="91"/>
      <c r="ET51" s="104"/>
      <c r="EU51" s="104"/>
      <c r="EV51" s="104"/>
      <c r="EW51" s="104"/>
      <c r="EX51" s="91"/>
      <c r="EY51" s="104"/>
      <c r="EZ51" s="104"/>
      <c r="FA51" s="104"/>
      <c r="FB51" s="104"/>
      <c r="FC51" s="91"/>
      <c r="FD51" s="104"/>
      <c r="FE51" s="104"/>
      <c r="FF51" s="104"/>
      <c r="FG51" s="104"/>
      <c r="FH51" s="91"/>
      <c r="FI51" s="104"/>
      <c r="FJ51" s="104"/>
      <c r="FK51" s="104"/>
      <c r="FL51" s="104"/>
      <c r="FM51" s="104"/>
      <c r="FN51" s="104"/>
      <c r="FO51" s="104"/>
      <c r="FP51" s="104"/>
      <c r="FQ51" s="104"/>
      <c r="FR51" s="104"/>
      <c r="FS51" s="104"/>
      <c r="FT51" s="104"/>
      <c r="FU51" s="104"/>
      <c r="FV51" s="104"/>
      <c r="FW51" s="104"/>
      <c r="FX51" s="104"/>
      <c r="FY51" s="104"/>
      <c r="FZ51" s="104"/>
      <c r="GA51" s="104"/>
      <c r="GB51" s="104"/>
      <c r="GC51" s="104"/>
      <c r="GD51" s="104"/>
      <c r="GE51" s="104"/>
      <c r="GF51" s="104"/>
      <c r="GG51" s="104"/>
      <c r="GH51" s="104"/>
      <c r="GI51" s="104"/>
      <c r="GJ51" s="104"/>
      <c r="GK51" s="104"/>
      <c r="GL51" s="104"/>
      <c r="GM51" s="104"/>
      <c r="GN51" s="104"/>
      <c r="GO51" s="104"/>
      <c r="GP51" s="91"/>
      <c r="GQ51" s="104"/>
      <c r="GR51" s="104"/>
      <c r="GS51" s="104"/>
      <c r="GT51" s="104"/>
      <c r="GU51" s="91"/>
      <c r="GV51" s="104"/>
      <c r="GW51" s="104"/>
      <c r="GX51" s="104"/>
      <c r="GY51" s="104"/>
      <c r="GZ51" s="91"/>
      <c r="HA51" s="104"/>
      <c r="HB51" s="104"/>
      <c r="HC51" s="104"/>
      <c r="HD51" s="104"/>
      <c r="HE51" s="91"/>
      <c r="HF51" s="104"/>
      <c r="HG51" s="104"/>
      <c r="HH51" s="104"/>
      <c r="HI51" s="104"/>
      <c r="HJ51" s="91"/>
      <c r="HK51" s="104"/>
      <c r="HL51" s="104"/>
      <c r="HM51" s="104"/>
      <c r="HN51" s="104"/>
      <c r="HO51" s="91"/>
      <c r="HP51" s="104"/>
      <c r="HQ51" s="104"/>
      <c r="HR51" s="104"/>
      <c r="HS51" s="104"/>
      <c r="HT51" s="91"/>
      <c r="HU51" s="104"/>
      <c r="HV51" s="104"/>
      <c r="HW51" s="104"/>
      <c r="HX51" s="104"/>
      <c r="HY51" s="91"/>
      <c r="HZ51" s="104"/>
      <c r="IA51" s="104"/>
      <c r="IB51" s="104"/>
      <c r="IC51" s="104"/>
      <c r="ID51" s="91"/>
      <c r="IE51" s="104"/>
      <c r="IF51" s="104"/>
      <c r="IG51" s="104"/>
      <c r="IH51" s="104"/>
      <c r="II51" s="91"/>
      <c r="IJ51" s="104"/>
      <c r="IK51" s="104"/>
      <c r="IL51" s="104"/>
      <c r="IM51" s="104"/>
      <c r="IN51" s="91"/>
      <c r="IO51" s="104"/>
      <c r="IP51" s="104"/>
      <c r="IQ51" s="104"/>
      <c r="IR51" s="104"/>
      <c r="IS51" s="91"/>
      <c r="IT51" s="104"/>
      <c r="IU51" s="104"/>
      <c r="IV51" s="104"/>
      <c r="IW51" s="104"/>
      <c r="IX51" s="91"/>
      <c r="IY51" s="104"/>
      <c r="IZ51" s="104"/>
      <c r="JA51" s="104"/>
      <c r="JB51" s="104"/>
      <c r="JC51" s="91"/>
      <c r="JD51" s="104"/>
      <c r="JE51" s="104"/>
      <c r="JF51" s="104"/>
      <c r="JG51" s="105"/>
      <c r="JH51" s="91"/>
      <c r="JI51" s="106"/>
      <c r="JJ51" s="104"/>
      <c r="JK51" s="104"/>
      <c r="JL51" s="105"/>
      <c r="JM51" s="95"/>
      <c r="JN51" s="107"/>
      <c r="JO51" s="79"/>
      <c r="JP51" s="106"/>
      <c r="JQ51" s="104"/>
      <c r="JR51" s="104"/>
      <c r="JS51" s="104"/>
      <c r="JT51" s="104"/>
      <c r="JU51" s="104"/>
      <c r="JV51" s="104"/>
      <c r="JW51" s="104"/>
      <c r="JX51" s="104"/>
      <c r="JY51" s="104"/>
      <c r="JZ51" s="104"/>
      <c r="KA51" s="104"/>
      <c r="KB51" s="104"/>
      <c r="KC51" s="104"/>
      <c r="KD51" s="104"/>
      <c r="KE51" s="104"/>
      <c r="KF51" s="104"/>
      <c r="KG51" s="104"/>
      <c r="KH51" s="104"/>
      <c r="KI51" s="104"/>
      <c r="KJ51" s="104"/>
      <c r="KK51" s="104"/>
      <c r="KL51" s="104"/>
      <c r="KM51" s="104"/>
      <c r="KN51" s="104"/>
      <c r="KO51" s="104"/>
      <c r="KP51" s="104"/>
      <c r="KQ51" s="104"/>
      <c r="KR51" s="104"/>
      <c r="KS51" s="104"/>
      <c r="KT51" s="104"/>
      <c r="KU51" s="104"/>
      <c r="KV51" s="104"/>
      <c r="KW51" s="104"/>
      <c r="KX51" s="104"/>
      <c r="KY51" s="104"/>
      <c r="KZ51" s="104"/>
      <c r="LA51" s="104"/>
      <c r="LB51" s="104"/>
      <c r="LC51" s="104"/>
      <c r="LD51" s="104"/>
      <c r="LE51" s="104"/>
      <c r="LF51" s="104"/>
      <c r="LG51" s="104"/>
      <c r="LH51" s="104"/>
      <c r="LI51" s="104"/>
      <c r="LJ51" s="104"/>
      <c r="LK51" s="104"/>
      <c r="LL51" s="104"/>
      <c r="LM51" s="104"/>
      <c r="LN51" s="104"/>
      <c r="LO51" s="104"/>
      <c r="LP51" s="104"/>
      <c r="LQ51" s="104"/>
      <c r="LR51" s="104"/>
      <c r="LS51" s="104"/>
      <c r="LT51" s="104"/>
      <c r="LU51" s="104"/>
      <c r="LV51" s="104"/>
      <c r="LW51" s="104"/>
      <c r="LX51" s="104"/>
      <c r="LY51" s="104"/>
      <c r="LZ51" s="104"/>
      <c r="MA51" s="104"/>
      <c r="MB51" s="104"/>
      <c r="MC51" s="104"/>
      <c r="MD51" s="104"/>
      <c r="ME51" s="104"/>
      <c r="MF51" s="104"/>
      <c r="MG51" s="104"/>
      <c r="MH51" s="104"/>
      <c r="MI51" s="104"/>
      <c r="MJ51" s="104"/>
      <c r="MK51" s="104"/>
      <c r="ML51" s="104"/>
      <c r="MM51" s="104"/>
      <c r="MN51" s="104"/>
      <c r="MO51" s="104"/>
      <c r="MP51" s="104"/>
      <c r="MQ51" s="104"/>
      <c r="MR51" s="104"/>
      <c r="MS51" s="104"/>
      <c r="MT51" s="104"/>
      <c r="MU51" s="104"/>
      <c r="MV51" s="104"/>
      <c r="MW51" s="104"/>
      <c r="MX51" s="104"/>
      <c r="MY51" s="104"/>
      <c r="MZ51" s="104"/>
      <c r="NA51" s="104"/>
      <c r="NB51" s="104"/>
      <c r="NC51" s="104"/>
      <c r="ND51" s="104"/>
      <c r="NE51" s="104"/>
      <c r="NF51" s="104"/>
      <c r="NG51" s="104"/>
      <c r="NH51" s="104"/>
      <c r="NI51" s="104"/>
      <c r="NJ51" s="104"/>
      <c r="NK51" s="104"/>
      <c r="NL51" s="104"/>
      <c r="NM51" s="104"/>
      <c r="NN51" s="104"/>
      <c r="NO51" s="104"/>
      <c r="NP51" s="104"/>
      <c r="NQ51" s="104"/>
      <c r="NR51" s="104"/>
      <c r="NS51" s="104"/>
      <c r="NT51" s="104"/>
      <c r="NU51" s="104"/>
      <c r="NV51" s="104"/>
      <c r="NW51" s="104"/>
      <c r="NX51" s="104"/>
      <c r="NY51" s="104"/>
      <c r="NZ51" s="104"/>
    </row>
    <row r="52" spans="1:390" ht="15" customHeight="1" x14ac:dyDescent="0.3">
      <c r="A52" s="125">
        <v>4360677073</v>
      </c>
      <c r="B52" s="159"/>
      <c r="C52" s="126"/>
      <c r="D52" s="213" t="s">
        <v>391</v>
      </c>
      <c r="E52" s="135" t="s">
        <v>535</v>
      </c>
      <c r="F52" s="125" t="s">
        <v>426</v>
      </c>
      <c r="G52" s="125" t="s">
        <v>461</v>
      </c>
      <c r="H52" s="111">
        <v>43045</v>
      </c>
      <c r="I52" s="135" t="s">
        <v>396</v>
      </c>
      <c r="J52" s="135" t="s">
        <v>397</v>
      </c>
      <c r="K52" s="128" t="s">
        <v>398</v>
      </c>
      <c r="L52" s="128" t="s">
        <v>398</v>
      </c>
      <c r="M52" s="128" t="s">
        <v>398</v>
      </c>
      <c r="N52" s="128" t="s">
        <v>398</v>
      </c>
      <c r="O52" s="128" t="s">
        <v>398</v>
      </c>
      <c r="P52" s="128" t="s">
        <v>398</v>
      </c>
      <c r="Q52" s="128" t="s">
        <v>398</v>
      </c>
      <c r="R52" s="128" t="s">
        <v>398</v>
      </c>
      <c r="S52" s="128" t="s">
        <v>398</v>
      </c>
      <c r="T52" s="128" t="s">
        <v>398</v>
      </c>
      <c r="U52" s="128" t="s">
        <v>398</v>
      </c>
      <c r="V52" s="128" t="s">
        <v>398</v>
      </c>
      <c r="W52" s="136" t="s">
        <v>535</v>
      </c>
      <c r="X52" s="135" t="s">
        <v>536</v>
      </c>
      <c r="Y52" s="113" t="s">
        <v>432</v>
      </c>
      <c r="Z52" s="111">
        <v>43045</v>
      </c>
      <c r="AA52" s="126"/>
      <c r="AB52" s="113" t="s">
        <v>399</v>
      </c>
      <c r="AC52" s="111">
        <v>14313</v>
      </c>
      <c r="AD52" s="139"/>
      <c r="AE52" s="108" t="e">
        <f t="shared" si="1"/>
        <v>#NUM!</v>
      </c>
      <c r="AF52" s="138" t="s">
        <v>537</v>
      </c>
      <c r="AG52" s="126" t="s">
        <v>401</v>
      </c>
      <c r="AH52" s="131" t="s">
        <v>402</v>
      </c>
      <c r="AI52" s="125" t="s">
        <v>404</v>
      </c>
      <c r="AJ52" s="125" t="s">
        <v>404</v>
      </c>
      <c r="AK52" s="125" t="s">
        <v>538</v>
      </c>
      <c r="AL52" s="125" t="s">
        <v>528</v>
      </c>
      <c r="AM52" s="139" t="s">
        <v>398</v>
      </c>
      <c r="AN52" s="134">
        <v>3</v>
      </c>
      <c r="AO52" s="136" t="s">
        <v>398</v>
      </c>
      <c r="AP52" s="126"/>
      <c r="AQ52" s="106"/>
      <c r="AR52" s="91"/>
      <c r="AS52" s="104"/>
      <c r="AT52" s="104"/>
      <c r="AU52" s="104"/>
      <c r="AV52" s="104"/>
      <c r="AW52" s="91"/>
      <c r="AX52" s="104"/>
      <c r="AY52" s="104"/>
      <c r="AZ52" s="104"/>
      <c r="BA52" s="104"/>
      <c r="BB52" s="91"/>
      <c r="BC52" s="104"/>
      <c r="BD52" s="104"/>
      <c r="BE52" s="104"/>
      <c r="BF52" s="104"/>
      <c r="BG52" s="91"/>
      <c r="BH52" s="104"/>
      <c r="BI52" s="104"/>
      <c r="BJ52" s="104"/>
      <c r="BK52" s="104"/>
      <c r="BL52" s="91"/>
      <c r="BM52" s="104"/>
      <c r="BN52" s="104"/>
      <c r="BO52" s="104"/>
      <c r="BP52" s="104"/>
      <c r="BQ52" s="91"/>
      <c r="BR52" s="104"/>
      <c r="BS52" s="104"/>
      <c r="BT52" s="104"/>
      <c r="BU52" s="104"/>
      <c r="BV52" s="91"/>
      <c r="BW52" s="104"/>
      <c r="BX52" s="104"/>
      <c r="BY52" s="104"/>
      <c r="BZ52" s="104"/>
      <c r="CA52" s="91"/>
      <c r="CB52" s="104"/>
      <c r="CC52" s="104"/>
      <c r="CD52" s="104"/>
      <c r="CE52" s="104"/>
      <c r="CF52" s="91"/>
      <c r="CG52" s="104"/>
      <c r="CH52" s="104"/>
      <c r="CI52" s="104"/>
      <c r="CJ52" s="104"/>
      <c r="CK52" s="91"/>
      <c r="CL52" s="104"/>
      <c r="CM52" s="104"/>
      <c r="CN52" s="104"/>
      <c r="CO52" s="104"/>
      <c r="CP52" s="91"/>
      <c r="CQ52" s="104"/>
      <c r="CR52" s="104"/>
      <c r="CS52" s="104"/>
      <c r="CT52" s="104"/>
      <c r="CU52" s="91"/>
      <c r="CV52" s="104"/>
      <c r="CW52" s="104"/>
      <c r="CX52" s="104"/>
      <c r="CY52" s="104"/>
      <c r="CZ52" s="91"/>
      <c r="DA52" s="104"/>
      <c r="DB52" s="104"/>
      <c r="DC52" s="104"/>
      <c r="DD52" s="104"/>
      <c r="DE52" s="91"/>
      <c r="DF52" s="104"/>
      <c r="DG52" s="104"/>
      <c r="DH52" s="104"/>
      <c r="DI52" s="104"/>
      <c r="DJ52" s="91"/>
      <c r="DK52" s="104"/>
      <c r="DL52" s="104"/>
      <c r="DM52" s="104"/>
      <c r="DN52" s="104"/>
      <c r="DO52" s="91"/>
      <c r="DP52" s="104"/>
      <c r="DQ52" s="104"/>
      <c r="DR52" s="104"/>
      <c r="DS52" s="104"/>
      <c r="DT52" s="91"/>
      <c r="DU52" s="104"/>
      <c r="DV52" s="104"/>
      <c r="DW52" s="104"/>
      <c r="DX52" s="104"/>
      <c r="DY52" s="91"/>
      <c r="DZ52" s="104"/>
      <c r="EA52" s="104"/>
      <c r="EB52" s="104"/>
      <c r="EC52" s="104"/>
      <c r="ED52" s="91"/>
      <c r="EE52" s="104"/>
      <c r="EF52" s="104"/>
      <c r="EG52" s="104"/>
      <c r="EH52" s="104"/>
      <c r="EI52" s="91"/>
      <c r="EJ52" s="104"/>
      <c r="EK52" s="104"/>
      <c r="EL52" s="104"/>
      <c r="EM52" s="104"/>
      <c r="EN52" s="91"/>
      <c r="EO52" s="104"/>
      <c r="EP52" s="104"/>
      <c r="EQ52" s="104"/>
      <c r="ER52" s="104"/>
      <c r="ES52" s="91"/>
      <c r="ET52" s="104"/>
      <c r="EU52" s="104"/>
      <c r="EV52" s="104"/>
      <c r="EW52" s="104"/>
      <c r="EX52" s="91"/>
      <c r="EY52" s="104"/>
      <c r="EZ52" s="104"/>
      <c r="FA52" s="104"/>
      <c r="FB52" s="104"/>
      <c r="FC52" s="91"/>
      <c r="FD52" s="104"/>
      <c r="FE52" s="104"/>
      <c r="FF52" s="104"/>
      <c r="FG52" s="104"/>
      <c r="FH52" s="91"/>
      <c r="FI52" s="104"/>
      <c r="FJ52" s="104"/>
      <c r="FK52" s="104"/>
      <c r="FL52" s="104"/>
      <c r="FM52" s="104"/>
      <c r="FN52" s="104"/>
      <c r="FO52" s="104"/>
      <c r="FP52" s="104"/>
      <c r="FQ52" s="104"/>
      <c r="FR52" s="104"/>
      <c r="FS52" s="104"/>
      <c r="FT52" s="104"/>
      <c r="FU52" s="104"/>
      <c r="FV52" s="104"/>
      <c r="FW52" s="104"/>
      <c r="FX52" s="104"/>
      <c r="FY52" s="104"/>
      <c r="FZ52" s="104"/>
      <c r="GA52" s="104"/>
      <c r="GB52" s="104"/>
      <c r="GC52" s="104"/>
      <c r="GD52" s="104"/>
      <c r="GE52" s="104"/>
      <c r="GF52" s="104"/>
      <c r="GG52" s="104"/>
      <c r="GH52" s="104"/>
      <c r="GI52" s="104"/>
      <c r="GJ52" s="104"/>
      <c r="GK52" s="104"/>
      <c r="GL52" s="104"/>
      <c r="GM52" s="104"/>
      <c r="GN52" s="104"/>
      <c r="GO52" s="104"/>
      <c r="GP52" s="91"/>
      <c r="GQ52" s="104"/>
      <c r="GR52" s="104"/>
      <c r="GS52" s="104"/>
      <c r="GT52" s="104"/>
      <c r="GU52" s="91"/>
      <c r="GV52" s="104"/>
      <c r="GW52" s="104"/>
      <c r="GX52" s="104"/>
      <c r="GY52" s="104"/>
      <c r="GZ52" s="91"/>
      <c r="HA52" s="104"/>
      <c r="HB52" s="104"/>
      <c r="HC52" s="104"/>
      <c r="HD52" s="104"/>
      <c r="HE52" s="91"/>
      <c r="HF52" s="104"/>
      <c r="HG52" s="104"/>
      <c r="HH52" s="104"/>
      <c r="HI52" s="104"/>
      <c r="HJ52" s="91"/>
      <c r="HK52" s="104"/>
      <c r="HL52" s="104"/>
      <c r="HM52" s="104"/>
      <c r="HN52" s="104"/>
      <c r="HO52" s="91"/>
      <c r="HP52" s="104"/>
      <c r="HQ52" s="104"/>
      <c r="HR52" s="104"/>
      <c r="HS52" s="104"/>
      <c r="HT52" s="91"/>
      <c r="HU52" s="104"/>
      <c r="HV52" s="104"/>
      <c r="HW52" s="104"/>
      <c r="HX52" s="104"/>
      <c r="HY52" s="91"/>
      <c r="HZ52" s="104"/>
      <c r="IA52" s="104"/>
      <c r="IB52" s="104"/>
      <c r="IC52" s="104"/>
      <c r="ID52" s="91"/>
      <c r="IE52" s="104"/>
      <c r="IF52" s="104"/>
      <c r="IG52" s="104"/>
      <c r="IH52" s="104"/>
      <c r="II52" s="91"/>
      <c r="IJ52" s="104"/>
      <c r="IK52" s="104"/>
      <c r="IL52" s="104"/>
      <c r="IM52" s="104"/>
      <c r="IN52" s="91"/>
      <c r="IO52" s="104"/>
      <c r="IP52" s="104"/>
      <c r="IQ52" s="104"/>
      <c r="IR52" s="104"/>
      <c r="IS52" s="91"/>
      <c r="IT52" s="104"/>
      <c r="IU52" s="104"/>
      <c r="IV52" s="104"/>
      <c r="IW52" s="104"/>
      <c r="IX52" s="91"/>
      <c r="IY52" s="104"/>
      <c r="IZ52" s="104"/>
      <c r="JA52" s="104"/>
      <c r="JB52" s="104"/>
      <c r="JC52" s="91"/>
      <c r="JD52" s="104"/>
      <c r="JE52" s="104"/>
      <c r="JF52" s="104"/>
      <c r="JG52" s="105"/>
      <c r="JH52" s="91"/>
      <c r="JI52" s="106"/>
      <c r="JJ52" s="104"/>
      <c r="JK52" s="104"/>
      <c r="JL52" s="105"/>
      <c r="JM52" s="95"/>
      <c r="JN52" s="107"/>
      <c r="JO52" s="79"/>
      <c r="JP52" s="106"/>
      <c r="JQ52" s="104"/>
      <c r="JR52" s="104"/>
      <c r="JS52" s="104"/>
      <c r="JT52" s="104"/>
      <c r="JU52" s="104"/>
      <c r="JV52" s="104"/>
      <c r="JW52" s="104"/>
      <c r="JX52" s="104"/>
      <c r="JY52" s="104"/>
      <c r="JZ52" s="104"/>
      <c r="KA52" s="104"/>
      <c r="KB52" s="104"/>
      <c r="KC52" s="104"/>
      <c r="KD52" s="104"/>
      <c r="KE52" s="104"/>
      <c r="KF52" s="104"/>
      <c r="KG52" s="104"/>
      <c r="KH52" s="104"/>
      <c r="KI52" s="104"/>
      <c r="KJ52" s="104"/>
      <c r="KK52" s="104"/>
      <c r="KL52" s="104"/>
      <c r="KM52" s="104"/>
      <c r="KN52" s="104"/>
      <c r="KO52" s="104"/>
      <c r="KP52" s="104"/>
      <c r="KQ52" s="104"/>
      <c r="KR52" s="104"/>
      <c r="KS52" s="104"/>
      <c r="KT52" s="104"/>
      <c r="KU52" s="104"/>
      <c r="KV52" s="104"/>
      <c r="KW52" s="104"/>
      <c r="KX52" s="104"/>
      <c r="KY52" s="104"/>
      <c r="KZ52" s="104"/>
      <c r="LA52" s="104"/>
      <c r="LB52" s="104"/>
      <c r="LC52" s="104"/>
      <c r="LD52" s="104"/>
      <c r="LE52" s="104"/>
      <c r="LF52" s="104"/>
      <c r="LG52" s="104"/>
      <c r="LH52" s="104"/>
      <c r="LI52" s="104"/>
      <c r="LJ52" s="104"/>
      <c r="LK52" s="104"/>
      <c r="LL52" s="104"/>
      <c r="LM52" s="104"/>
      <c r="LN52" s="104"/>
      <c r="LO52" s="104"/>
      <c r="LP52" s="104"/>
      <c r="LQ52" s="104"/>
      <c r="LR52" s="104"/>
      <c r="LS52" s="104"/>
      <c r="LT52" s="104"/>
      <c r="LU52" s="104"/>
      <c r="LV52" s="104"/>
      <c r="LW52" s="104"/>
      <c r="LX52" s="104"/>
      <c r="LY52" s="104"/>
      <c r="LZ52" s="104"/>
      <c r="MA52" s="104"/>
      <c r="MB52" s="104"/>
      <c r="MC52" s="104"/>
      <c r="MD52" s="104"/>
      <c r="ME52" s="104"/>
      <c r="MF52" s="104"/>
      <c r="MG52" s="104"/>
      <c r="MH52" s="104"/>
      <c r="MI52" s="104"/>
      <c r="MJ52" s="104"/>
      <c r="MK52" s="104"/>
      <c r="ML52" s="104"/>
      <c r="MM52" s="104"/>
      <c r="MN52" s="104"/>
      <c r="MO52" s="104"/>
      <c r="MP52" s="104"/>
      <c r="MQ52" s="104"/>
      <c r="MR52" s="104"/>
      <c r="MS52" s="104"/>
      <c r="MT52" s="104"/>
      <c r="MU52" s="104"/>
      <c r="MV52" s="104"/>
      <c r="MW52" s="104"/>
      <c r="MX52" s="104"/>
      <c r="MY52" s="104"/>
      <c r="MZ52" s="104"/>
      <c r="NA52" s="104"/>
      <c r="NB52" s="104"/>
      <c r="NC52" s="104"/>
      <c r="ND52" s="104"/>
      <c r="NE52" s="104"/>
      <c r="NF52" s="104"/>
      <c r="NG52" s="104"/>
      <c r="NH52" s="104"/>
      <c r="NI52" s="104"/>
      <c r="NJ52" s="104"/>
      <c r="NK52" s="104"/>
      <c r="NL52" s="104"/>
      <c r="NM52" s="104"/>
      <c r="NN52" s="104"/>
      <c r="NO52" s="104"/>
      <c r="NP52" s="104"/>
      <c r="NQ52" s="104"/>
      <c r="NR52" s="104"/>
      <c r="NS52" s="104"/>
      <c r="NT52" s="104"/>
      <c r="NU52" s="104"/>
      <c r="NV52" s="104"/>
      <c r="NW52" s="104"/>
      <c r="NX52" s="104"/>
      <c r="NY52" s="104"/>
      <c r="NZ52" s="104"/>
    </row>
    <row r="53" spans="1:390" ht="15" customHeight="1" x14ac:dyDescent="0.3">
      <c r="A53" s="140">
        <v>6229912589</v>
      </c>
      <c r="B53" s="154"/>
      <c r="C53" s="128"/>
      <c r="D53" s="213" t="s">
        <v>391</v>
      </c>
      <c r="E53" s="161" t="s">
        <v>539</v>
      </c>
      <c r="F53" s="140" t="s">
        <v>461</v>
      </c>
      <c r="G53" s="140" t="s">
        <v>488</v>
      </c>
      <c r="H53" s="162">
        <v>43056</v>
      </c>
      <c r="I53" s="161" t="s">
        <v>458</v>
      </c>
      <c r="J53" s="161" t="s">
        <v>397</v>
      </c>
      <c r="K53" s="128" t="s">
        <v>398</v>
      </c>
      <c r="L53" s="128" t="s">
        <v>398</v>
      </c>
      <c r="M53" s="128" t="s">
        <v>398</v>
      </c>
      <c r="N53" s="128" t="s">
        <v>398</v>
      </c>
      <c r="O53" s="128" t="s">
        <v>398</v>
      </c>
      <c r="P53" s="128" t="s">
        <v>398</v>
      </c>
      <c r="Q53" s="128" t="s">
        <v>398</v>
      </c>
      <c r="R53" s="128" t="s">
        <v>398</v>
      </c>
      <c r="S53" s="128" t="s">
        <v>398</v>
      </c>
      <c r="T53" s="128" t="s">
        <v>398</v>
      </c>
      <c r="U53" s="128" t="s">
        <v>398</v>
      </c>
      <c r="V53" s="128" t="s">
        <v>398</v>
      </c>
      <c r="W53" s="163" t="s">
        <v>398</v>
      </c>
      <c r="X53" s="161" t="s">
        <v>398</v>
      </c>
      <c r="Y53" s="113" t="s">
        <v>398</v>
      </c>
      <c r="Z53" s="113" t="s">
        <v>398</v>
      </c>
      <c r="AA53" s="128"/>
      <c r="AB53" s="113" t="s">
        <v>399</v>
      </c>
      <c r="AC53" s="111">
        <v>15313</v>
      </c>
      <c r="AD53" s="141"/>
      <c r="AE53" s="142" t="e">
        <f t="shared" si="1"/>
        <v>#NUM!</v>
      </c>
      <c r="AF53" s="143" t="s">
        <v>411</v>
      </c>
      <c r="AG53" s="126" t="s">
        <v>401</v>
      </c>
      <c r="AH53" s="127" t="s">
        <v>402</v>
      </c>
      <c r="AI53" s="140" t="s">
        <v>412</v>
      </c>
      <c r="AJ53" s="140">
        <v>0</v>
      </c>
      <c r="AK53" s="140">
        <v>0</v>
      </c>
      <c r="AL53" s="140">
        <v>0</v>
      </c>
      <c r="AM53" s="141" t="s">
        <v>414</v>
      </c>
      <c r="AN53" s="134">
        <v>1</v>
      </c>
      <c r="AO53" s="136" t="s">
        <v>398</v>
      </c>
      <c r="AP53" s="128"/>
      <c r="AQ53" s="117"/>
      <c r="AR53" s="119"/>
      <c r="AS53" s="115"/>
      <c r="AT53" s="115"/>
      <c r="AU53" s="115"/>
      <c r="AV53" s="115"/>
      <c r="AW53" s="119"/>
      <c r="AX53" s="115"/>
      <c r="AY53" s="115"/>
      <c r="AZ53" s="115"/>
      <c r="BA53" s="115"/>
      <c r="BB53" s="119"/>
      <c r="BC53" s="115"/>
      <c r="BD53" s="115"/>
      <c r="BE53" s="115"/>
      <c r="BF53" s="115"/>
      <c r="BG53" s="119"/>
      <c r="BH53" s="115"/>
      <c r="BI53" s="115"/>
      <c r="BJ53" s="115"/>
      <c r="BK53" s="115"/>
      <c r="BL53" s="119"/>
      <c r="BM53" s="115"/>
      <c r="BN53" s="115"/>
      <c r="BO53" s="115"/>
      <c r="BP53" s="115"/>
      <c r="BQ53" s="119"/>
      <c r="BR53" s="115"/>
      <c r="BS53" s="115"/>
      <c r="BT53" s="115"/>
      <c r="BU53" s="115"/>
      <c r="BV53" s="119"/>
      <c r="BW53" s="115"/>
      <c r="BX53" s="115"/>
      <c r="BY53" s="115"/>
      <c r="BZ53" s="115"/>
      <c r="CA53" s="119"/>
      <c r="CB53" s="115"/>
      <c r="CC53" s="115"/>
      <c r="CD53" s="115"/>
      <c r="CE53" s="115"/>
      <c r="CF53" s="119"/>
      <c r="CG53" s="115"/>
      <c r="CH53" s="115"/>
      <c r="CI53" s="115"/>
      <c r="CJ53" s="115"/>
      <c r="CK53" s="119"/>
      <c r="CL53" s="115"/>
      <c r="CM53" s="115"/>
      <c r="CN53" s="115"/>
      <c r="CO53" s="115"/>
      <c r="CP53" s="119"/>
      <c r="CQ53" s="115"/>
      <c r="CR53" s="115"/>
      <c r="CS53" s="115"/>
      <c r="CT53" s="115"/>
      <c r="CU53" s="119"/>
      <c r="CV53" s="115"/>
      <c r="CW53" s="115"/>
      <c r="CX53" s="115"/>
      <c r="CY53" s="115"/>
      <c r="CZ53" s="119"/>
      <c r="DA53" s="115"/>
      <c r="DB53" s="115"/>
      <c r="DC53" s="115"/>
      <c r="DD53" s="115"/>
      <c r="DE53" s="119"/>
      <c r="DF53" s="115"/>
      <c r="DG53" s="115"/>
      <c r="DH53" s="115"/>
      <c r="DI53" s="115"/>
      <c r="DJ53" s="119"/>
      <c r="DK53" s="115"/>
      <c r="DL53" s="115"/>
      <c r="DM53" s="115"/>
      <c r="DN53" s="115"/>
      <c r="DO53" s="119"/>
      <c r="DP53" s="115"/>
      <c r="DQ53" s="115"/>
      <c r="DR53" s="115"/>
      <c r="DS53" s="115"/>
      <c r="DT53" s="119"/>
      <c r="DU53" s="115"/>
      <c r="DV53" s="115"/>
      <c r="DW53" s="115"/>
      <c r="DX53" s="115"/>
      <c r="DY53" s="119"/>
      <c r="DZ53" s="115"/>
      <c r="EA53" s="115"/>
      <c r="EB53" s="115"/>
      <c r="EC53" s="115"/>
      <c r="ED53" s="119"/>
      <c r="EE53" s="115"/>
      <c r="EF53" s="115"/>
      <c r="EG53" s="115"/>
      <c r="EH53" s="115"/>
      <c r="EI53" s="119"/>
      <c r="EJ53" s="115"/>
      <c r="EK53" s="115"/>
      <c r="EL53" s="115"/>
      <c r="EM53" s="115"/>
      <c r="EN53" s="119"/>
      <c r="EO53" s="115"/>
      <c r="EP53" s="115"/>
      <c r="EQ53" s="115"/>
      <c r="ER53" s="115"/>
      <c r="ES53" s="119"/>
      <c r="ET53" s="115"/>
      <c r="EU53" s="115"/>
      <c r="EV53" s="115"/>
      <c r="EW53" s="115"/>
      <c r="EX53" s="119"/>
      <c r="EY53" s="115"/>
      <c r="EZ53" s="115"/>
      <c r="FA53" s="115"/>
      <c r="FB53" s="115"/>
      <c r="FC53" s="119"/>
      <c r="FD53" s="115"/>
      <c r="FE53" s="115"/>
      <c r="FF53" s="115"/>
      <c r="FG53" s="115"/>
      <c r="FH53" s="119"/>
      <c r="FI53" s="115"/>
      <c r="FJ53" s="115"/>
      <c r="FK53" s="115"/>
      <c r="FL53" s="115"/>
      <c r="FM53" s="115"/>
      <c r="FN53" s="115"/>
      <c r="FO53" s="115"/>
      <c r="FP53" s="115"/>
      <c r="FQ53" s="115"/>
      <c r="FR53" s="115"/>
      <c r="FS53" s="115"/>
      <c r="FT53" s="115"/>
      <c r="FU53" s="115"/>
      <c r="FV53" s="115"/>
      <c r="FW53" s="115"/>
      <c r="FX53" s="115"/>
      <c r="FY53" s="115"/>
      <c r="FZ53" s="115"/>
      <c r="GA53" s="115"/>
      <c r="GB53" s="115"/>
      <c r="GC53" s="115"/>
      <c r="GD53" s="115"/>
      <c r="GE53" s="115"/>
      <c r="GF53" s="115"/>
      <c r="GG53" s="115"/>
      <c r="GH53" s="115"/>
      <c r="GI53" s="115"/>
      <c r="GJ53" s="115"/>
      <c r="GK53" s="115"/>
      <c r="GL53" s="115"/>
      <c r="GM53" s="115"/>
      <c r="GN53" s="115"/>
      <c r="GO53" s="115"/>
      <c r="GP53" s="119"/>
      <c r="GQ53" s="115"/>
      <c r="GR53" s="115"/>
      <c r="GS53" s="115"/>
      <c r="GT53" s="115"/>
      <c r="GU53" s="119"/>
      <c r="GV53" s="115"/>
      <c r="GW53" s="115"/>
      <c r="GX53" s="115"/>
      <c r="GY53" s="115"/>
      <c r="GZ53" s="119"/>
      <c r="HA53" s="115"/>
      <c r="HB53" s="115"/>
      <c r="HC53" s="115"/>
      <c r="HD53" s="115"/>
      <c r="HE53" s="119"/>
      <c r="HF53" s="115"/>
      <c r="HG53" s="115"/>
      <c r="HH53" s="115"/>
      <c r="HI53" s="115"/>
      <c r="HJ53" s="119"/>
      <c r="HK53" s="115"/>
      <c r="HL53" s="115"/>
      <c r="HM53" s="115"/>
      <c r="HN53" s="115"/>
      <c r="HO53" s="119"/>
      <c r="HP53" s="115"/>
      <c r="HQ53" s="115"/>
      <c r="HR53" s="115"/>
      <c r="HS53" s="115"/>
      <c r="HT53" s="119"/>
      <c r="HU53" s="115"/>
      <c r="HV53" s="115"/>
      <c r="HW53" s="115"/>
      <c r="HX53" s="115"/>
      <c r="HY53" s="119"/>
      <c r="HZ53" s="115"/>
      <c r="IA53" s="115"/>
      <c r="IB53" s="115"/>
      <c r="IC53" s="115"/>
      <c r="ID53" s="119"/>
      <c r="IE53" s="115"/>
      <c r="IF53" s="115"/>
      <c r="IG53" s="115"/>
      <c r="IH53" s="115"/>
      <c r="II53" s="119"/>
      <c r="IJ53" s="115"/>
      <c r="IK53" s="115"/>
      <c r="IL53" s="115"/>
      <c r="IM53" s="115"/>
      <c r="IN53" s="119"/>
      <c r="IO53" s="115"/>
      <c r="IP53" s="115"/>
      <c r="IQ53" s="115"/>
      <c r="IR53" s="115"/>
      <c r="IS53" s="119"/>
      <c r="IT53" s="115"/>
      <c r="IU53" s="115"/>
      <c r="IV53" s="115"/>
      <c r="IW53" s="115"/>
      <c r="IX53" s="119"/>
      <c r="IY53" s="115"/>
      <c r="IZ53" s="115"/>
      <c r="JA53" s="115"/>
      <c r="JB53" s="115"/>
      <c r="JC53" s="119"/>
      <c r="JD53" s="115"/>
      <c r="JE53" s="115"/>
      <c r="JF53" s="115"/>
      <c r="JG53" s="116"/>
      <c r="JH53" s="119"/>
      <c r="JI53" s="117"/>
      <c r="JJ53" s="115"/>
      <c r="JK53" s="115"/>
      <c r="JL53" s="116"/>
      <c r="JM53" s="81"/>
      <c r="JN53" s="118"/>
      <c r="JO53" s="83"/>
      <c r="JP53" s="117"/>
      <c r="JQ53" s="115"/>
      <c r="JR53" s="115"/>
      <c r="JS53" s="115"/>
      <c r="JT53" s="115"/>
      <c r="JU53" s="115"/>
      <c r="JV53" s="115"/>
      <c r="JW53" s="115"/>
      <c r="JX53" s="115"/>
      <c r="JY53" s="115"/>
      <c r="JZ53" s="115"/>
      <c r="KA53" s="115"/>
      <c r="KB53" s="115"/>
      <c r="KC53" s="115"/>
      <c r="KD53" s="115"/>
      <c r="KE53" s="115"/>
      <c r="KF53" s="115"/>
      <c r="KG53" s="115"/>
      <c r="KH53" s="115"/>
      <c r="KI53" s="115"/>
      <c r="KJ53" s="115"/>
      <c r="KK53" s="115"/>
      <c r="KL53" s="115"/>
      <c r="KM53" s="115"/>
      <c r="KN53" s="115"/>
      <c r="KO53" s="115"/>
      <c r="KP53" s="115"/>
      <c r="KQ53" s="115"/>
      <c r="KR53" s="115"/>
      <c r="KS53" s="115"/>
      <c r="KT53" s="115"/>
      <c r="KU53" s="115"/>
      <c r="KV53" s="115"/>
      <c r="KW53" s="115"/>
      <c r="KX53" s="115"/>
      <c r="KY53" s="115"/>
      <c r="KZ53" s="115"/>
      <c r="LA53" s="115"/>
      <c r="LB53" s="115"/>
      <c r="LC53" s="115"/>
      <c r="LD53" s="115"/>
      <c r="LE53" s="115"/>
      <c r="LF53" s="115"/>
      <c r="LG53" s="115"/>
      <c r="LH53" s="115"/>
      <c r="LI53" s="115"/>
      <c r="LJ53" s="115"/>
      <c r="LK53" s="115"/>
      <c r="LL53" s="115"/>
      <c r="LM53" s="115"/>
      <c r="LN53" s="115"/>
      <c r="LO53" s="115"/>
      <c r="LP53" s="115"/>
      <c r="LQ53" s="115"/>
      <c r="LR53" s="115"/>
      <c r="LS53" s="115"/>
      <c r="LT53" s="115"/>
      <c r="LU53" s="115"/>
      <c r="LV53" s="115"/>
      <c r="LW53" s="115"/>
      <c r="LX53" s="115"/>
      <c r="LY53" s="115"/>
      <c r="LZ53" s="115"/>
      <c r="MA53" s="115"/>
      <c r="MB53" s="115"/>
      <c r="MC53" s="115"/>
      <c r="MD53" s="115"/>
      <c r="ME53" s="115"/>
      <c r="MF53" s="115"/>
      <c r="MG53" s="115"/>
      <c r="MH53" s="115"/>
      <c r="MI53" s="115"/>
      <c r="MJ53" s="115"/>
      <c r="MK53" s="115"/>
      <c r="ML53" s="115"/>
      <c r="MM53" s="115"/>
      <c r="MN53" s="115"/>
      <c r="MO53" s="115"/>
      <c r="MP53" s="115"/>
      <c r="MQ53" s="115"/>
      <c r="MR53" s="115"/>
      <c r="MS53" s="115"/>
      <c r="MT53" s="115"/>
      <c r="MU53" s="115"/>
      <c r="MV53" s="115"/>
      <c r="MW53" s="115"/>
      <c r="MX53" s="115"/>
      <c r="MY53" s="115"/>
      <c r="MZ53" s="115"/>
      <c r="NA53" s="115"/>
      <c r="NB53" s="115"/>
      <c r="NC53" s="115"/>
      <c r="ND53" s="115"/>
      <c r="NE53" s="115"/>
      <c r="NF53" s="115"/>
      <c r="NG53" s="115"/>
      <c r="NH53" s="115"/>
      <c r="NI53" s="115"/>
      <c r="NJ53" s="115"/>
      <c r="NK53" s="115"/>
      <c r="NL53" s="115"/>
      <c r="NM53" s="115"/>
      <c r="NN53" s="115"/>
      <c r="NO53" s="115"/>
      <c r="NP53" s="115"/>
      <c r="NQ53" s="115"/>
      <c r="NR53" s="115"/>
      <c r="NS53" s="115"/>
      <c r="NT53" s="115"/>
      <c r="NU53" s="115"/>
      <c r="NV53" s="115"/>
      <c r="NW53" s="115"/>
      <c r="NX53" s="115"/>
      <c r="NY53" s="115"/>
      <c r="NZ53" s="115"/>
    </row>
    <row r="54" spans="1:390" ht="15.75" customHeight="1" x14ac:dyDescent="0.3">
      <c r="A54" s="125">
        <v>4861611415</v>
      </c>
      <c r="B54" s="135"/>
      <c r="C54" s="135"/>
      <c r="D54" s="213" t="s">
        <v>391</v>
      </c>
      <c r="E54" s="135" t="s">
        <v>540</v>
      </c>
      <c r="F54" s="125" t="s">
        <v>408</v>
      </c>
      <c r="G54" s="125" t="s">
        <v>465</v>
      </c>
      <c r="H54" s="111">
        <v>43056</v>
      </c>
      <c r="I54" s="135" t="s">
        <v>458</v>
      </c>
      <c r="J54" s="135" t="s">
        <v>397</v>
      </c>
      <c r="K54" s="128" t="s">
        <v>398</v>
      </c>
      <c r="L54" s="128" t="s">
        <v>398</v>
      </c>
      <c r="M54" s="128" t="s">
        <v>398</v>
      </c>
      <c r="N54" s="128" t="s">
        <v>398</v>
      </c>
      <c r="O54" s="128" t="s">
        <v>398</v>
      </c>
      <c r="P54" s="128" t="s">
        <v>398</v>
      </c>
      <c r="Q54" s="128" t="s">
        <v>398</v>
      </c>
      <c r="R54" s="128" t="s">
        <v>398</v>
      </c>
      <c r="S54" s="128" t="s">
        <v>398</v>
      </c>
      <c r="T54" s="128" t="s">
        <v>398</v>
      </c>
      <c r="U54" s="128" t="s">
        <v>398</v>
      </c>
      <c r="V54" s="128" t="s">
        <v>398</v>
      </c>
      <c r="W54" s="135" t="s">
        <v>398</v>
      </c>
      <c r="X54" s="135" t="s">
        <v>398</v>
      </c>
      <c r="Y54" s="113" t="s">
        <v>398</v>
      </c>
      <c r="Z54" s="113" t="s">
        <v>398</v>
      </c>
      <c r="AA54" s="135"/>
      <c r="AB54" s="113" t="s">
        <v>399</v>
      </c>
      <c r="AC54" s="111">
        <v>21568</v>
      </c>
      <c r="AD54" s="135"/>
      <c r="AE54" s="142" t="e">
        <f t="shared" si="1"/>
        <v>#NUM!</v>
      </c>
      <c r="AF54" s="135" t="s">
        <v>411</v>
      </c>
      <c r="AG54" s="126" t="s">
        <v>401</v>
      </c>
      <c r="AH54" s="135"/>
      <c r="AI54" s="125" t="s">
        <v>455</v>
      </c>
      <c r="AJ54" s="125">
        <v>0</v>
      </c>
      <c r="AK54" s="125">
        <v>0</v>
      </c>
      <c r="AL54" s="125">
        <v>0</v>
      </c>
      <c r="AM54" s="139" t="s">
        <v>456</v>
      </c>
      <c r="AN54" s="134">
        <v>1</v>
      </c>
      <c r="AO54" s="136" t="s">
        <v>398</v>
      </c>
      <c r="AP54" s="135"/>
      <c r="AQ54" s="104"/>
      <c r="AR54" s="104"/>
      <c r="AS54" s="104"/>
      <c r="AT54" s="104"/>
      <c r="AU54" s="104"/>
      <c r="AV54" s="104"/>
      <c r="AW54" s="104"/>
      <c r="AX54" s="104"/>
      <c r="AY54" s="104"/>
      <c r="AZ54" s="104"/>
      <c r="BA54" s="104"/>
      <c r="BB54" s="104"/>
      <c r="BC54" s="104"/>
      <c r="BD54" s="104"/>
      <c r="BE54" s="104"/>
      <c r="BF54" s="104"/>
      <c r="BG54" s="104"/>
      <c r="BH54" s="104"/>
      <c r="BI54" s="104"/>
      <c r="BJ54" s="104"/>
      <c r="BK54" s="104"/>
      <c r="BL54" s="104"/>
      <c r="BM54" s="104"/>
      <c r="BN54" s="104"/>
      <c r="BO54" s="104"/>
      <c r="BP54" s="104"/>
      <c r="BQ54" s="104"/>
      <c r="BR54" s="104"/>
      <c r="BS54" s="104"/>
      <c r="BT54" s="104"/>
      <c r="BU54" s="104"/>
      <c r="BV54" s="104"/>
      <c r="BW54" s="104"/>
      <c r="BX54" s="104"/>
      <c r="BY54" s="104"/>
      <c r="BZ54" s="104"/>
      <c r="CA54" s="104"/>
      <c r="CB54" s="104"/>
      <c r="CC54" s="104"/>
      <c r="CD54" s="104"/>
      <c r="CE54" s="104"/>
      <c r="CF54" s="104"/>
      <c r="CG54" s="104"/>
      <c r="CH54" s="104"/>
      <c r="CI54" s="104"/>
      <c r="CJ54" s="104"/>
      <c r="CK54" s="104"/>
      <c r="CL54" s="104"/>
      <c r="CM54" s="104"/>
      <c r="CN54" s="104"/>
      <c r="CO54" s="104"/>
      <c r="CP54" s="104"/>
      <c r="CQ54" s="104"/>
      <c r="CR54" s="104"/>
      <c r="CS54" s="104"/>
      <c r="CT54" s="104"/>
      <c r="CU54" s="104"/>
      <c r="CV54" s="104"/>
      <c r="CW54" s="104"/>
      <c r="CX54" s="104"/>
      <c r="CY54" s="104"/>
      <c r="CZ54" s="104"/>
      <c r="DA54" s="104"/>
      <c r="DB54" s="104"/>
      <c r="DC54" s="104"/>
      <c r="DD54" s="104"/>
      <c r="DE54" s="104"/>
      <c r="DF54" s="104"/>
      <c r="DG54" s="104"/>
      <c r="DH54" s="104"/>
      <c r="DI54" s="104"/>
      <c r="DJ54" s="104"/>
      <c r="DK54" s="104"/>
      <c r="DL54" s="104"/>
      <c r="DM54" s="104"/>
      <c r="DN54" s="104"/>
      <c r="DO54" s="104"/>
      <c r="DP54" s="104"/>
      <c r="DQ54" s="104"/>
      <c r="DR54" s="104"/>
      <c r="DS54" s="104"/>
      <c r="DT54" s="104"/>
      <c r="DU54" s="104"/>
      <c r="DV54" s="104"/>
      <c r="DW54" s="104"/>
      <c r="DX54" s="104"/>
      <c r="DY54" s="104"/>
      <c r="DZ54" s="104"/>
      <c r="EA54" s="104"/>
      <c r="EB54" s="104"/>
      <c r="EC54" s="104"/>
      <c r="ED54" s="104"/>
      <c r="EE54" s="104"/>
      <c r="EF54" s="104"/>
      <c r="EG54" s="104"/>
      <c r="EH54" s="104"/>
      <c r="EI54" s="104"/>
      <c r="EJ54" s="104"/>
      <c r="EK54" s="104"/>
      <c r="EL54" s="104"/>
      <c r="EM54" s="104"/>
      <c r="EN54" s="104"/>
      <c r="EO54" s="104"/>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4"/>
      <c r="FO54" s="104"/>
      <c r="FP54" s="104"/>
      <c r="FQ54" s="104"/>
      <c r="FR54" s="104"/>
      <c r="FS54" s="104"/>
      <c r="FT54" s="104"/>
      <c r="FU54" s="104"/>
      <c r="FV54" s="104"/>
      <c r="FW54" s="104"/>
      <c r="FX54" s="104"/>
      <c r="FY54" s="104"/>
      <c r="FZ54" s="104"/>
      <c r="GA54" s="104"/>
      <c r="GB54" s="104"/>
      <c r="GC54" s="104"/>
      <c r="GD54" s="104"/>
      <c r="GE54" s="104"/>
      <c r="GF54" s="104"/>
      <c r="GG54" s="104"/>
      <c r="GH54" s="104"/>
      <c r="GI54" s="104"/>
      <c r="GJ54" s="104"/>
      <c r="GK54" s="104"/>
      <c r="GL54" s="104"/>
      <c r="GM54" s="104"/>
      <c r="GN54" s="104"/>
      <c r="GO54" s="104"/>
      <c r="GP54" s="104"/>
      <c r="GQ54" s="104"/>
      <c r="GR54" s="104"/>
      <c r="GS54" s="104"/>
      <c r="GT54" s="104"/>
      <c r="GU54" s="104"/>
      <c r="GV54" s="104"/>
      <c r="GW54" s="104"/>
      <c r="GX54" s="104"/>
      <c r="GY54" s="104"/>
      <c r="GZ54" s="104"/>
      <c r="HA54" s="104"/>
      <c r="HB54" s="104"/>
      <c r="HC54" s="104"/>
      <c r="HD54" s="104"/>
      <c r="HE54" s="104"/>
      <c r="HF54" s="104"/>
      <c r="HG54" s="104"/>
      <c r="HH54" s="104"/>
      <c r="HI54" s="104"/>
      <c r="HJ54" s="104"/>
      <c r="HK54" s="104"/>
      <c r="HL54" s="104"/>
      <c r="HM54" s="104"/>
      <c r="HN54" s="104"/>
      <c r="HO54" s="104"/>
      <c r="HP54" s="104"/>
      <c r="HQ54" s="104"/>
      <c r="HR54" s="104"/>
      <c r="HS54" s="104"/>
      <c r="HT54" s="104"/>
      <c r="HU54" s="104"/>
      <c r="HV54" s="104"/>
      <c r="HW54" s="104"/>
      <c r="HX54" s="104"/>
      <c r="HY54" s="104"/>
      <c r="HZ54" s="104"/>
      <c r="IA54" s="104"/>
      <c r="IB54" s="104"/>
      <c r="IC54" s="104"/>
      <c r="ID54" s="104"/>
      <c r="IE54" s="104"/>
      <c r="IF54" s="104"/>
      <c r="IG54" s="104"/>
      <c r="IH54" s="104"/>
      <c r="II54" s="104"/>
      <c r="IJ54" s="104"/>
      <c r="IK54" s="104"/>
      <c r="IL54" s="104"/>
      <c r="IM54" s="104"/>
      <c r="IN54" s="104"/>
      <c r="IO54" s="104"/>
      <c r="IP54" s="104"/>
      <c r="IQ54" s="104"/>
      <c r="IR54" s="104"/>
      <c r="IS54" s="104"/>
      <c r="IT54" s="104"/>
      <c r="IU54" s="104"/>
      <c r="IV54" s="104"/>
      <c r="IW54" s="104"/>
      <c r="IX54" s="104"/>
      <c r="IY54" s="104"/>
      <c r="IZ54" s="104"/>
      <c r="JA54" s="104"/>
      <c r="JB54" s="104"/>
      <c r="JC54" s="104"/>
      <c r="JD54" s="104"/>
      <c r="JE54" s="104"/>
      <c r="JF54" s="104"/>
      <c r="JG54" s="104"/>
      <c r="JH54" s="104"/>
      <c r="JI54" s="104"/>
      <c r="JJ54" s="104"/>
      <c r="JK54" s="104"/>
      <c r="JL54" s="104"/>
      <c r="JM54" s="104"/>
      <c r="JN54" s="104"/>
      <c r="JO54" s="104"/>
      <c r="JP54" s="104"/>
      <c r="JQ54" s="104"/>
      <c r="JR54" s="104"/>
      <c r="JS54" s="104"/>
      <c r="JT54" s="104"/>
      <c r="JU54" s="104"/>
      <c r="JV54" s="104"/>
      <c r="JW54" s="104"/>
      <c r="JX54" s="104"/>
      <c r="JY54" s="104"/>
      <c r="JZ54" s="104"/>
      <c r="KA54" s="104"/>
      <c r="KB54" s="104"/>
      <c r="KC54" s="104"/>
      <c r="KD54" s="104"/>
      <c r="KE54" s="104"/>
      <c r="KF54" s="104"/>
      <c r="KG54" s="104"/>
      <c r="KH54" s="104"/>
      <c r="KI54" s="104"/>
      <c r="KJ54" s="104"/>
      <c r="KK54" s="104"/>
      <c r="KL54" s="104"/>
      <c r="KM54" s="104"/>
      <c r="KN54" s="104"/>
      <c r="KO54" s="104"/>
      <c r="KP54" s="104"/>
      <c r="KQ54" s="104"/>
      <c r="KR54" s="104"/>
      <c r="KS54" s="104"/>
      <c r="KT54" s="104"/>
      <c r="KU54" s="104"/>
      <c r="KV54" s="104"/>
      <c r="KW54" s="104"/>
      <c r="KX54" s="104"/>
      <c r="KY54" s="104"/>
      <c r="KZ54" s="104"/>
      <c r="LA54" s="104"/>
      <c r="LB54" s="104"/>
      <c r="LC54" s="104"/>
      <c r="LD54" s="104"/>
      <c r="LE54" s="104"/>
      <c r="LF54" s="104"/>
      <c r="LG54" s="104"/>
      <c r="LH54" s="104"/>
      <c r="LI54" s="104"/>
      <c r="LJ54" s="104"/>
      <c r="LK54" s="104"/>
      <c r="LL54" s="104"/>
      <c r="LM54" s="104"/>
      <c r="LN54" s="104"/>
      <c r="LO54" s="104"/>
      <c r="LP54" s="104"/>
      <c r="LQ54" s="104"/>
      <c r="LR54" s="104"/>
      <c r="LS54" s="104"/>
      <c r="LT54" s="104"/>
      <c r="LU54" s="104"/>
      <c r="LV54" s="104"/>
      <c r="LW54" s="104"/>
      <c r="LX54" s="104"/>
      <c r="LY54" s="104"/>
      <c r="LZ54" s="104"/>
      <c r="MA54" s="104"/>
      <c r="MB54" s="104"/>
      <c r="MC54" s="104"/>
      <c r="MD54" s="104"/>
      <c r="ME54" s="104"/>
      <c r="MF54" s="104"/>
      <c r="MG54" s="104"/>
      <c r="MH54" s="104"/>
      <c r="MI54" s="104"/>
      <c r="MJ54" s="104"/>
      <c r="MK54" s="104"/>
      <c r="ML54" s="104"/>
      <c r="MM54" s="104"/>
      <c r="MN54" s="104"/>
      <c r="MO54" s="104"/>
      <c r="MP54" s="104"/>
      <c r="MQ54" s="104"/>
      <c r="MR54" s="104"/>
      <c r="MS54" s="104"/>
      <c r="MT54" s="104"/>
      <c r="MU54" s="104"/>
      <c r="MV54" s="104"/>
      <c r="MW54" s="104"/>
      <c r="MX54" s="104"/>
      <c r="MY54" s="104"/>
      <c r="MZ54" s="104"/>
      <c r="NA54" s="104"/>
      <c r="NB54" s="104"/>
      <c r="NC54" s="104"/>
      <c r="ND54" s="104"/>
      <c r="NE54" s="104"/>
      <c r="NF54" s="104"/>
      <c r="NG54" s="104"/>
      <c r="NH54" s="104"/>
      <c r="NI54" s="104"/>
      <c r="NJ54" s="104"/>
      <c r="NK54" s="104"/>
      <c r="NL54" s="104"/>
      <c r="NM54" s="104"/>
      <c r="NN54" s="104"/>
      <c r="NO54" s="104"/>
      <c r="NP54" s="104"/>
      <c r="NQ54" s="104"/>
      <c r="NR54" s="104"/>
      <c r="NS54" s="104"/>
      <c r="NT54" s="104"/>
      <c r="NU54" s="104"/>
      <c r="NV54" s="104"/>
      <c r="NW54" s="104"/>
      <c r="NX54" s="104"/>
      <c r="NY54" s="104"/>
      <c r="NZ54" s="104"/>
    </row>
    <row r="55" spans="1:390" ht="15.75" customHeight="1" x14ac:dyDescent="0.3">
      <c r="A55" s="125">
        <v>4489146531</v>
      </c>
      <c r="B55" s="135"/>
      <c r="C55" s="135"/>
      <c r="D55" s="213" t="s">
        <v>391</v>
      </c>
      <c r="E55" s="135" t="s">
        <v>541</v>
      </c>
      <c r="F55" s="125" t="s">
        <v>394</v>
      </c>
      <c r="G55" s="125" t="s">
        <v>492</v>
      </c>
      <c r="H55" s="111">
        <v>43056</v>
      </c>
      <c r="I55" s="135" t="s">
        <v>458</v>
      </c>
      <c r="J55" s="135" t="s">
        <v>397</v>
      </c>
      <c r="K55" s="128" t="s">
        <v>398</v>
      </c>
      <c r="L55" s="128" t="s">
        <v>398</v>
      </c>
      <c r="M55" s="128" t="s">
        <v>398</v>
      </c>
      <c r="N55" s="128" t="s">
        <v>398</v>
      </c>
      <c r="O55" s="128" t="s">
        <v>398</v>
      </c>
      <c r="P55" s="128" t="s">
        <v>398</v>
      </c>
      <c r="Q55" s="128" t="s">
        <v>398</v>
      </c>
      <c r="R55" s="128" t="s">
        <v>398</v>
      </c>
      <c r="S55" s="128" t="s">
        <v>398</v>
      </c>
      <c r="T55" s="128" t="s">
        <v>398</v>
      </c>
      <c r="U55" s="128" t="s">
        <v>398</v>
      </c>
      <c r="V55" s="128" t="s">
        <v>398</v>
      </c>
      <c r="W55" s="135" t="s">
        <v>541</v>
      </c>
      <c r="X55" s="135" t="s">
        <v>542</v>
      </c>
      <c r="Y55" s="113" t="s">
        <v>543</v>
      </c>
      <c r="Z55" s="111">
        <v>43056</v>
      </c>
      <c r="AA55" s="135"/>
      <c r="AB55" s="113" t="s">
        <v>399</v>
      </c>
      <c r="AC55" s="111">
        <v>21139</v>
      </c>
      <c r="AD55" s="135"/>
      <c r="AE55" s="142" t="e">
        <f t="shared" si="1"/>
        <v>#NUM!</v>
      </c>
      <c r="AF55" s="135" t="s">
        <v>544</v>
      </c>
      <c r="AG55" s="126" t="s">
        <v>401</v>
      </c>
      <c r="AH55" s="135" t="s">
        <v>402</v>
      </c>
      <c r="AI55" s="125">
        <v>2</v>
      </c>
      <c r="AJ55" s="125">
        <v>0</v>
      </c>
      <c r="AK55" s="125">
        <v>0</v>
      </c>
      <c r="AL55" s="125">
        <v>0</v>
      </c>
      <c r="AM55" s="139" t="s">
        <v>424</v>
      </c>
      <c r="AN55" s="134">
        <v>3</v>
      </c>
      <c r="AO55" s="136" t="s">
        <v>398</v>
      </c>
      <c r="AP55" s="135"/>
      <c r="AQ55" s="104"/>
      <c r="AR55" s="104"/>
      <c r="AS55" s="104"/>
      <c r="AT55" s="104"/>
      <c r="AU55" s="104"/>
      <c r="AV55" s="104"/>
      <c r="AW55" s="104"/>
      <c r="AX55" s="104"/>
      <c r="AY55" s="104"/>
      <c r="AZ55" s="104"/>
      <c r="BA55" s="104"/>
      <c r="BB55" s="104"/>
      <c r="BC55" s="104"/>
      <c r="BD55" s="104"/>
      <c r="BE55" s="104"/>
      <c r="BF55" s="104"/>
      <c r="BG55" s="104"/>
      <c r="BH55" s="104"/>
      <c r="BI55" s="104"/>
      <c r="BJ55" s="104"/>
      <c r="BK55" s="104"/>
      <c r="BL55" s="104"/>
      <c r="BM55" s="104"/>
      <c r="BN55" s="104"/>
      <c r="BO55" s="104"/>
      <c r="BP55" s="104"/>
      <c r="BQ55" s="104"/>
      <c r="BR55" s="104"/>
      <c r="BS55" s="104"/>
      <c r="BT55" s="104"/>
      <c r="BU55" s="104"/>
      <c r="BV55" s="104"/>
      <c r="BW55" s="104"/>
      <c r="BX55" s="104"/>
      <c r="BY55" s="104"/>
      <c r="BZ55" s="104"/>
      <c r="CA55" s="104"/>
      <c r="CB55" s="104"/>
      <c r="CC55" s="104"/>
      <c r="CD55" s="104"/>
      <c r="CE55" s="104"/>
      <c r="CF55" s="104"/>
      <c r="CG55" s="104"/>
      <c r="CH55" s="104"/>
      <c r="CI55" s="104"/>
      <c r="CJ55" s="104"/>
      <c r="CK55" s="104"/>
      <c r="CL55" s="104"/>
      <c r="CM55" s="104"/>
      <c r="CN55" s="104"/>
      <c r="CO55" s="104"/>
      <c r="CP55" s="104"/>
      <c r="CQ55" s="104"/>
      <c r="CR55" s="104"/>
      <c r="CS55" s="104"/>
      <c r="CT55" s="104"/>
      <c r="CU55" s="104"/>
      <c r="CV55" s="104"/>
      <c r="CW55" s="104"/>
      <c r="CX55" s="104"/>
      <c r="CY55" s="104"/>
      <c r="CZ55" s="104"/>
      <c r="DA55" s="104"/>
      <c r="DB55" s="104"/>
      <c r="DC55" s="104"/>
      <c r="DD55" s="104"/>
      <c r="DE55" s="104"/>
      <c r="DF55" s="104"/>
      <c r="DG55" s="104"/>
      <c r="DH55" s="104"/>
      <c r="DI55" s="104"/>
      <c r="DJ55" s="104"/>
      <c r="DK55" s="104"/>
      <c r="DL55" s="104"/>
      <c r="DM55" s="104"/>
      <c r="DN55" s="104"/>
      <c r="DO55" s="104"/>
      <c r="DP55" s="104"/>
      <c r="DQ55" s="104"/>
      <c r="DR55" s="104"/>
      <c r="DS55" s="104"/>
      <c r="DT55" s="104"/>
      <c r="DU55" s="104"/>
      <c r="DV55" s="104"/>
      <c r="DW55" s="104"/>
      <c r="DX55" s="104"/>
      <c r="DY55" s="104"/>
      <c r="DZ55" s="104"/>
      <c r="EA55" s="104"/>
      <c r="EB55" s="104"/>
      <c r="EC55" s="104"/>
      <c r="ED55" s="104"/>
      <c r="EE55" s="104"/>
      <c r="EF55" s="104"/>
      <c r="EG55" s="104"/>
      <c r="EH55" s="104"/>
      <c r="EI55" s="104"/>
      <c r="EJ55" s="104"/>
      <c r="EK55" s="104"/>
      <c r="EL55" s="104"/>
      <c r="EM55" s="104"/>
      <c r="EN55" s="104"/>
      <c r="EO55" s="104"/>
      <c r="EP55" s="104"/>
      <c r="EQ55" s="104"/>
      <c r="ER55" s="104"/>
      <c r="ES55" s="104"/>
      <c r="ET55" s="104"/>
      <c r="EU55" s="104"/>
      <c r="EV55" s="104"/>
      <c r="EW55" s="104"/>
      <c r="EX55" s="104"/>
      <c r="EY55" s="104"/>
      <c r="EZ55" s="104"/>
      <c r="FA55" s="104"/>
      <c r="FB55" s="104"/>
      <c r="FC55" s="104"/>
      <c r="FD55" s="104"/>
      <c r="FE55" s="104"/>
      <c r="FF55" s="104"/>
      <c r="FG55" s="104"/>
      <c r="FH55" s="104"/>
      <c r="FI55" s="104"/>
      <c r="FJ55" s="104"/>
      <c r="FK55" s="104"/>
      <c r="FL55" s="104"/>
      <c r="FM55" s="104"/>
      <c r="FN55" s="104"/>
      <c r="FO55" s="104"/>
      <c r="FP55" s="104"/>
      <c r="FQ55" s="104"/>
      <c r="FR55" s="104"/>
      <c r="FS55" s="104"/>
      <c r="FT55" s="104"/>
      <c r="FU55" s="104"/>
      <c r="FV55" s="104"/>
      <c r="FW55" s="104"/>
      <c r="FX55" s="104"/>
      <c r="FY55" s="104"/>
      <c r="FZ55" s="104"/>
      <c r="GA55" s="104"/>
      <c r="GB55" s="104"/>
      <c r="GC55" s="104"/>
      <c r="GD55" s="104"/>
      <c r="GE55" s="104"/>
      <c r="GF55" s="104"/>
      <c r="GG55" s="104"/>
      <c r="GH55" s="104"/>
      <c r="GI55" s="104"/>
      <c r="GJ55" s="104"/>
      <c r="GK55" s="104"/>
      <c r="GL55" s="104"/>
      <c r="GM55" s="104"/>
      <c r="GN55" s="104"/>
      <c r="GO55" s="104"/>
      <c r="GP55" s="104"/>
      <c r="GQ55" s="104"/>
      <c r="GR55" s="104"/>
      <c r="GS55" s="104"/>
      <c r="GT55" s="104"/>
      <c r="GU55" s="104"/>
      <c r="GV55" s="104"/>
      <c r="GW55" s="104"/>
      <c r="GX55" s="104"/>
      <c r="GY55" s="104"/>
      <c r="GZ55" s="104"/>
      <c r="HA55" s="104"/>
      <c r="HB55" s="104"/>
      <c r="HC55" s="104"/>
      <c r="HD55" s="104"/>
      <c r="HE55" s="104"/>
      <c r="HF55" s="104"/>
      <c r="HG55" s="104"/>
      <c r="HH55" s="104"/>
      <c r="HI55" s="104"/>
      <c r="HJ55" s="104"/>
      <c r="HK55" s="104"/>
      <c r="HL55" s="104"/>
      <c r="HM55" s="104"/>
      <c r="HN55" s="104"/>
      <c r="HO55" s="104"/>
      <c r="HP55" s="104"/>
      <c r="HQ55" s="104"/>
      <c r="HR55" s="104"/>
      <c r="HS55" s="104"/>
      <c r="HT55" s="104"/>
      <c r="HU55" s="104"/>
      <c r="HV55" s="104"/>
      <c r="HW55" s="104"/>
      <c r="HX55" s="104"/>
      <c r="HY55" s="104"/>
      <c r="HZ55" s="104"/>
      <c r="IA55" s="104"/>
      <c r="IB55" s="104"/>
      <c r="IC55" s="104"/>
      <c r="ID55" s="104"/>
      <c r="IE55" s="104"/>
      <c r="IF55" s="104"/>
      <c r="IG55" s="104"/>
      <c r="IH55" s="104"/>
      <c r="II55" s="104"/>
      <c r="IJ55" s="104"/>
      <c r="IK55" s="104"/>
      <c r="IL55" s="104"/>
      <c r="IM55" s="104"/>
      <c r="IN55" s="104"/>
      <c r="IO55" s="104"/>
      <c r="IP55" s="104"/>
      <c r="IQ55" s="104"/>
      <c r="IR55" s="104"/>
      <c r="IS55" s="104"/>
      <c r="IT55" s="104"/>
      <c r="IU55" s="104"/>
      <c r="IV55" s="104"/>
      <c r="IW55" s="104"/>
      <c r="IX55" s="104"/>
      <c r="IY55" s="104"/>
      <c r="IZ55" s="104"/>
      <c r="JA55" s="104"/>
      <c r="JB55" s="104"/>
      <c r="JC55" s="104"/>
      <c r="JD55" s="104"/>
      <c r="JE55" s="104"/>
      <c r="JF55" s="104"/>
      <c r="JG55" s="104"/>
      <c r="JH55" s="104"/>
      <c r="JI55" s="104"/>
      <c r="JJ55" s="104"/>
      <c r="JK55" s="104"/>
      <c r="JL55" s="104"/>
      <c r="JM55" s="104"/>
      <c r="JN55" s="104"/>
      <c r="JO55" s="104"/>
      <c r="JP55" s="104"/>
      <c r="JQ55" s="104"/>
      <c r="JR55" s="104"/>
      <c r="JS55" s="104"/>
      <c r="JT55" s="104"/>
      <c r="JU55" s="104"/>
      <c r="JV55" s="104"/>
      <c r="JW55" s="104"/>
      <c r="JX55" s="104"/>
      <c r="JY55" s="104"/>
      <c r="JZ55" s="104"/>
      <c r="KA55" s="104"/>
      <c r="KB55" s="104"/>
      <c r="KC55" s="104"/>
      <c r="KD55" s="104"/>
      <c r="KE55" s="104"/>
      <c r="KF55" s="104"/>
      <c r="KG55" s="104"/>
      <c r="KH55" s="104"/>
      <c r="KI55" s="104"/>
      <c r="KJ55" s="104"/>
      <c r="KK55" s="104"/>
      <c r="KL55" s="104"/>
      <c r="KM55" s="104"/>
      <c r="KN55" s="104"/>
      <c r="KO55" s="104"/>
      <c r="KP55" s="104"/>
      <c r="KQ55" s="104"/>
      <c r="KR55" s="104"/>
      <c r="KS55" s="104"/>
      <c r="KT55" s="104"/>
      <c r="KU55" s="104"/>
      <c r="KV55" s="104"/>
      <c r="KW55" s="104"/>
      <c r="KX55" s="104"/>
      <c r="KY55" s="104"/>
      <c r="KZ55" s="104"/>
      <c r="LA55" s="104"/>
      <c r="LB55" s="104"/>
      <c r="LC55" s="104"/>
      <c r="LD55" s="104"/>
      <c r="LE55" s="104"/>
      <c r="LF55" s="104"/>
      <c r="LG55" s="104"/>
      <c r="LH55" s="104"/>
      <c r="LI55" s="104"/>
      <c r="LJ55" s="104"/>
      <c r="LK55" s="104"/>
      <c r="LL55" s="104"/>
      <c r="LM55" s="104"/>
      <c r="LN55" s="104"/>
      <c r="LO55" s="104"/>
      <c r="LP55" s="104"/>
      <c r="LQ55" s="104"/>
      <c r="LR55" s="104"/>
      <c r="LS55" s="104"/>
      <c r="LT55" s="104"/>
      <c r="LU55" s="104"/>
      <c r="LV55" s="104"/>
      <c r="LW55" s="104"/>
      <c r="LX55" s="104"/>
      <c r="LY55" s="104"/>
      <c r="LZ55" s="104"/>
      <c r="MA55" s="104"/>
      <c r="MB55" s="104"/>
      <c r="MC55" s="104"/>
      <c r="MD55" s="104"/>
      <c r="ME55" s="104"/>
      <c r="MF55" s="104"/>
      <c r="MG55" s="104"/>
      <c r="MH55" s="104"/>
      <c r="MI55" s="104"/>
      <c r="MJ55" s="104"/>
      <c r="MK55" s="104"/>
      <c r="ML55" s="104"/>
      <c r="MM55" s="104"/>
      <c r="MN55" s="104"/>
      <c r="MO55" s="104"/>
      <c r="MP55" s="104"/>
      <c r="MQ55" s="104"/>
      <c r="MR55" s="104"/>
      <c r="MS55" s="104"/>
      <c r="MT55" s="104"/>
      <c r="MU55" s="104"/>
      <c r="MV55" s="104"/>
      <c r="MW55" s="104"/>
      <c r="MX55" s="104"/>
      <c r="MY55" s="104"/>
      <c r="MZ55" s="104"/>
      <c r="NA55" s="104"/>
      <c r="NB55" s="104"/>
      <c r="NC55" s="104"/>
      <c r="ND55" s="104"/>
      <c r="NE55" s="104"/>
      <c r="NF55" s="104"/>
      <c r="NG55" s="104"/>
      <c r="NH55" s="104"/>
      <c r="NI55" s="104"/>
      <c r="NJ55" s="104"/>
      <c r="NK55" s="104"/>
      <c r="NL55" s="104"/>
      <c r="NM55" s="104"/>
      <c r="NN55" s="104"/>
      <c r="NO55" s="104"/>
      <c r="NP55" s="104"/>
      <c r="NQ55" s="104"/>
      <c r="NR55" s="104"/>
      <c r="NS55" s="104"/>
      <c r="NT55" s="104"/>
      <c r="NU55" s="104"/>
      <c r="NV55" s="104"/>
      <c r="NW55" s="104"/>
      <c r="NX55" s="104"/>
      <c r="NY55" s="104"/>
      <c r="NZ55" s="104"/>
    </row>
    <row r="56" spans="1:390" ht="15.75" customHeight="1" x14ac:dyDescent="0.3">
      <c r="A56" s="125">
        <v>4861418305</v>
      </c>
      <c r="B56" s="135"/>
      <c r="C56" s="135"/>
      <c r="D56" s="213" t="s">
        <v>391</v>
      </c>
      <c r="E56" s="135" t="s">
        <v>545</v>
      </c>
      <c r="F56" s="125" t="s">
        <v>501</v>
      </c>
      <c r="G56" s="125" t="s">
        <v>422</v>
      </c>
      <c r="H56" s="111">
        <v>43059</v>
      </c>
      <c r="I56" s="135" t="s">
        <v>396</v>
      </c>
      <c r="J56" s="135" t="s">
        <v>397</v>
      </c>
      <c r="K56" s="128" t="s">
        <v>398</v>
      </c>
      <c r="L56" s="128" t="s">
        <v>398</v>
      </c>
      <c r="M56" s="128" t="s">
        <v>398</v>
      </c>
      <c r="N56" s="128" t="s">
        <v>398</v>
      </c>
      <c r="O56" s="128" t="s">
        <v>398</v>
      </c>
      <c r="P56" s="128" t="s">
        <v>398</v>
      </c>
      <c r="Q56" s="128" t="s">
        <v>398</v>
      </c>
      <c r="R56" s="128" t="s">
        <v>398</v>
      </c>
      <c r="S56" s="128" t="s">
        <v>398</v>
      </c>
      <c r="T56" s="128" t="s">
        <v>398</v>
      </c>
      <c r="U56" s="128" t="s">
        <v>398</v>
      </c>
      <c r="V56" s="128" t="s">
        <v>398</v>
      </c>
      <c r="W56" s="135" t="s">
        <v>545</v>
      </c>
      <c r="X56" s="135" t="s">
        <v>472</v>
      </c>
      <c r="Y56" s="113" t="s">
        <v>432</v>
      </c>
      <c r="Z56" s="111">
        <v>43059</v>
      </c>
      <c r="AA56" s="135"/>
      <c r="AB56" s="113" t="s">
        <v>399</v>
      </c>
      <c r="AC56" s="111">
        <v>22169</v>
      </c>
      <c r="AD56" s="135"/>
      <c r="AE56" s="142" t="e">
        <f t="shared" si="1"/>
        <v>#NUM!</v>
      </c>
      <c r="AF56" s="135" t="s">
        <v>546</v>
      </c>
      <c r="AG56" s="126" t="s">
        <v>401</v>
      </c>
      <c r="AH56" s="135" t="s">
        <v>402</v>
      </c>
      <c r="AI56" s="125" t="s">
        <v>455</v>
      </c>
      <c r="AJ56" s="125">
        <v>0</v>
      </c>
      <c r="AK56" s="125">
        <v>0</v>
      </c>
      <c r="AL56" s="125">
        <v>0</v>
      </c>
      <c r="AM56" s="139" t="s">
        <v>456</v>
      </c>
      <c r="AN56" s="134">
        <v>3</v>
      </c>
      <c r="AO56" s="136" t="s">
        <v>398</v>
      </c>
      <c r="AP56" s="135"/>
      <c r="AQ56" s="104"/>
      <c r="AR56" s="104"/>
      <c r="AS56" s="104"/>
      <c r="AT56" s="104"/>
      <c r="AU56" s="104"/>
      <c r="AV56" s="104"/>
      <c r="AW56" s="104"/>
      <c r="AX56" s="104"/>
      <c r="AY56" s="104"/>
      <c r="AZ56" s="104"/>
      <c r="BA56" s="104"/>
      <c r="BB56" s="104"/>
      <c r="BC56" s="104"/>
      <c r="BD56" s="104"/>
      <c r="BE56" s="104"/>
      <c r="BF56" s="104"/>
      <c r="BG56" s="104"/>
      <c r="BH56" s="104"/>
      <c r="BI56" s="104"/>
      <c r="BJ56" s="104"/>
      <c r="BK56" s="104"/>
      <c r="BL56" s="104"/>
      <c r="BM56" s="104"/>
      <c r="BN56" s="104"/>
      <c r="BO56" s="104"/>
      <c r="BP56" s="104"/>
      <c r="BQ56" s="104"/>
      <c r="BR56" s="104"/>
      <c r="BS56" s="104"/>
      <c r="BT56" s="104"/>
      <c r="BU56" s="104"/>
      <c r="BV56" s="104"/>
      <c r="BW56" s="104"/>
      <c r="BX56" s="104"/>
      <c r="BY56" s="104"/>
      <c r="BZ56" s="104"/>
      <c r="CA56" s="104"/>
      <c r="CB56" s="104"/>
      <c r="CC56" s="104"/>
      <c r="CD56" s="104"/>
      <c r="CE56" s="104"/>
      <c r="CF56" s="104"/>
      <c r="CG56" s="104"/>
      <c r="CH56" s="104"/>
      <c r="CI56" s="104"/>
      <c r="CJ56" s="104"/>
      <c r="CK56" s="104"/>
      <c r="CL56" s="104"/>
      <c r="CM56" s="104"/>
      <c r="CN56" s="104"/>
      <c r="CO56" s="104"/>
      <c r="CP56" s="104"/>
      <c r="CQ56" s="104"/>
      <c r="CR56" s="104"/>
      <c r="CS56" s="104"/>
      <c r="CT56" s="104"/>
      <c r="CU56" s="104"/>
      <c r="CV56" s="104"/>
      <c r="CW56" s="104"/>
      <c r="CX56" s="104"/>
      <c r="CY56" s="104"/>
      <c r="CZ56" s="104"/>
      <c r="DA56" s="104"/>
      <c r="DB56" s="104"/>
      <c r="DC56" s="104"/>
      <c r="DD56" s="104"/>
      <c r="DE56" s="104"/>
      <c r="DF56" s="104"/>
      <c r="DG56" s="104"/>
      <c r="DH56" s="104"/>
      <c r="DI56" s="104"/>
      <c r="DJ56" s="104"/>
      <c r="DK56" s="104"/>
      <c r="DL56" s="104"/>
      <c r="DM56" s="104"/>
      <c r="DN56" s="104"/>
      <c r="DO56" s="104"/>
      <c r="DP56" s="104"/>
      <c r="DQ56" s="104"/>
      <c r="DR56" s="104"/>
      <c r="DS56" s="104"/>
      <c r="DT56" s="104"/>
      <c r="DU56" s="104"/>
      <c r="DV56" s="104"/>
      <c r="DW56" s="104"/>
      <c r="DX56" s="104"/>
      <c r="DY56" s="104"/>
      <c r="DZ56" s="104"/>
      <c r="EA56" s="104"/>
      <c r="EB56" s="104"/>
      <c r="EC56" s="104"/>
      <c r="ED56" s="104"/>
      <c r="EE56" s="104"/>
      <c r="EF56" s="104"/>
      <c r="EG56" s="104"/>
      <c r="EH56" s="104"/>
      <c r="EI56" s="104"/>
      <c r="EJ56" s="104"/>
      <c r="EK56" s="104"/>
      <c r="EL56" s="104"/>
      <c r="EM56" s="104"/>
      <c r="EN56" s="104"/>
      <c r="EO56" s="104"/>
      <c r="EP56" s="104"/>
      <c r="EQ56" s="104"/>
      <c r="ER56" s="104"/>
      <c r="ES56" s="104"/>
      <c r="ET56" s="104"/>
      <c r="EU56" s="104"/>
      <c r="EV56" s="104"/>
      <c r="EW56" s="104"/>
      <c r="EX56" s="104"/>
      <c r="EY56" s="104"/>
      <c r="EZ56" s="104"/>
      <c r="FA56" s="104"/>
      <c r="FB56" s="104"/>
      <c r="FC56" s="104"/>
      <c r="FD56" s="104"/>
      <c r="FE56" s="104"/>
      <c r="FF56" s="104"/>
      <c r="FG56" s="104"/>
      <c r="FH56" s="104"/>
      <c r="FI56" s="104"/>
      <c r="FJ56" s="104"/>
      <c r="FK56" s="104"/>
      <c r="FL56" s="104"/>
      <c r="FM56" s="104"/>
      <c r="FN56" s="104"/>
      <c r="FO56" s="104"/>
      <c r="FP56" s="104"/>
      <c r="FQ56" s="104"/>
      <c r="FR56" s="104"/>
      <c r="FS56" s="104"/>
      <c r="FT56" s="104"/>
      <c r="FU56" s="104"/>
      <c r="FV56" s="104"/>
      <c r="FW56" s="104"/>
      <c r="FX56" s="104"/>
      <c r="FY56" s="104"/>
      <c r="FZ56" s="104"/>
      <c r="GA56" s="104"/>
      <c r="GB56" s="104"/>
      <c r="GC56" s="104"/>
      <c r="GD56" s="104"/>
      <c r="GE56" s="104"/>
      <c r="GF56" s="104"/>
      <c r="GG56" s="104"/>
      <c r="GH56" s="104"/>
      <c r="GI56" s="104"/>
      <c r="GJ56" s="104"/>
      <c r="GK56" s="104"/>
      <c r="GL56" s="104"/>
      <c r="GM56" s="104"/>
      <c r="GN56" s="104"/>
      <c r="GO56" s="104"/>
      <c r="GP56" s="104"/>
      <c r="GQ56" s="104"/>
      <c r="GR56" s="104"/>
      <c r="GS56" s="104"/>
      <c r="GT56" s="104"/>
      <c r="GU56" s="104"/>
      <c r="GV56" s="104"/>
      <c r="GW56" s="104"/>
      <c r="GX56" s="104"/>
      <c r="GY56" s="104"/>
      <c r="GZ56" s="104"/>
      <c r="HA56" s="104"/>
      <c r="HB56" s="104"/>
      <c r="HC56" s="104"/>
      <c r="HD56" s="104"/>
      <c r="HE56" s="104"/>
      <c r="HF56" s="104"/>
      <c r="HG56" s="104"/>
      <c r="HH56" s="104"/>
      <c r="HI56" s="104"/>
      <c r="HJ56" s="104"/>
      <c r="HK56" s="104"/>
      <c r="HL56" s="104"/>
      <c r="HM56" s="104"/>
      <c r="HN56" s="104"/>
      <c r="HO56" s="104"/>
      <c r="HP56" s="104"/>
      <c r="HQ56" s="104"/>
      <c r="HR56" s="104"/>
      <c r="HS56" s="104"/>
      <c r="HT56" s="104"/>
      <c r="HU56" s="104"/>
      <c r="HV56" s="104"/>
      <c r="HW56" s="104"/>
      <c r="HX56" s="104"/>
      <c r="HY56" s="104"/>
      <c r="HZ56" s="104"/>
      <c r="IA56" s="104"/>
      <c r="IB56" s="104"/>
      <c r="IC56" s="104"/>
      <c r="ID56" s="104"/>
      <c r="IE56" s="104"/>
      <c r="IF56" s="104"/>
      <c r="IG56" s="104"/>
      <c r="IH56" s="104"/>
      <c r="II56" s="104"/>
      <c r="IJ56" s="104"/>
      <c r="IK56" s="104"/>
      <c r="IL56" s="104"/>
      <c r="IM56" s="104"/>
      <c r="IN56" s="104"/>
      <c r="IO56" s="104"/>
      <c r="IP56" s="104"/>
      <c r="IQ56" s="104"/>
      <c r="IR56" s="104"/>
      <c r="IS56" s="104"/>
      <c r="IT56" s="104"/>
      <c r="IU56" s="104"/>
      <c r="IV56" s="104"/>
      <c r="IW56" s="104"/>
      <c r="IX56" s="104"/>
      <c r="IY56" s="104"/>
      <c r="IZ56" s="104"/>
      <c r="JA56" s="104"/>
      <c r="JB56" s="104"/>
      <c r="JC56" s="104"/>
      <c r="JD56" s="104"/>
      <c r="JE56" s="104"/>
      <c r="JF56" s="104"/>
      <c r="JG56" s="104"/>
      <c r="JH56" s="104"/>
      <c r="JI56" s="104"/>
      <c r="JJ56" s="104"/>
      <c r="JK56" s="104"/>
      <c r="JL56" s="104"/>
      <c r="JM56" s="104"/>
      <c r="JN56" s="104"/>
      <c r="JO56" s="104"/>
      <c r="JP56" s="104"/>
      <c r="JQ56" s="104"/>
      <c r="JR56" s="104"/>
      <c r="JS56" s="104"/>
      <c r="JT56" s="104"/>
      <c r="JU56" s="104"/>
      <c r="JV56" s="104"/>
      <c r="JW56" s="104"/>
      <c r="JX56" s="104"/>
      <c r="JY56" s="104"/>
      <c r="JZ56" s="104"/>
      <c r="KA56" s="104"/>
      <c r="KB56" s="104"/>
      <c r="KC56" s="104"/>
      <c r="KD56" s="104"/>
      <c r="KE56" s="104"/>
      <c r="KF56" s="104"/>
      <c r="KG56" s="104"/>
      <c r="KH56" s="104"/>
      <c r="KI56" s="104"/>
      <c r="KJ56" s="104"/>
      <c r="KK56" s="104"/>
      <c r="KL56" s="104"/>
      <c r="KM56" s="104"/>
      <c r="KN56" s="104"/>
      <c r="KO56" s="104"/>
      <c r="KP56" s="104"/>
      <c r="KQ56" s="104"/>
      <c r="KR56" s="104"/>
      <c r="KS56" s="104"/>
      <c r="KT56" s="104"/>
      <c r="KU56" s="104"/>
      <c r="KV56" s="104"/>
      <c r="KW56" s="104"/>
      <c r="KX56" s="104"/>
      <c r="KY56" s="104"/>
      <c r="KZ56" s="104"/>
      <c r="LA56" s="104"/>
      <c r="LB56" s="104"/>
      <c r="LC56" s="104"/>
      <c r="LD56" s="104"/>
      <c r="LE56" s="104"/>
      <c r="LF56" s="104"/>
      <c r="LG56" s="104"/>
      <c r="LH56" s="104"/>
      <c r="LI56" s="104"/>
      <c r="LJ56" s="104"/>
      <c r="LK56" s="104"/>
      <c r="LL56" s="104"/>
      <c r="LM56" s="104"/>
      <c r="LN56" s="104"/>
      <c r="LO56" s="104"/>
      <c r="LP56" s="104"/>
      <c r="LQ56" s="104"/>
      <c r="LR56" s="104"/>
      <c r="LS56" s="104"/>
      <c r="LT56" s="104"/>
      <c r="LU56" s="104"/>
      <c r="LV56" s="104"/>
      <c r="LW56" s="104"/>
      <c r="LX56" s="104"/>
      <c r="LY56" s="104"/>
      <c r="LZ56" s="104"/>
      <c r="MA56" s="104"/>
      <c r="MB56" s="104"/>
      <c r="MC56" s="104"/>
      <c r="MD56" s="104"/>
      <c r="ME56" s="104"/>
      <c r="MF56" s="104"/>
      <c r="MG56" s="104"/>
      <c r="MH56" s="104"/>
      <c r="MI56" s="104"/>
      <c r="MJ56" s="104"/>
      <c r="MK56" s="104"/>
      <c r="ML56" s="104"/>
      <c r="MM56" s="104"/>
      <c r="MN56" s="104"/>
      <c r="MO56" s="104"/>
      <c r="MP56" s="104"/>
      <c r="MQ56" s="104"/>
      <c r="MR56" s="104"/>
      <c r="MS56" s="104"/>
      <c r="MT56" s="104"/>
      <c r="MU56" s="104"/>
      <c r="MV56" s="104"/>
      <c r="MW56" s="104"/>
      <c r="MX56" s="104"/>
      <c r="MY56" s="104"/>
      <c r="MZ56" s="104"/>
      <c r="NA56" s="104"/>
      <c r="NB56" s="104"/>
      <c r="NC56" s="104"/>
      <c r="ND56" s="104"/>
      <c r="NE56" s="104"/>
      <c r="NF56" s="104"/>
      <c r="NG56" s="104"/>
      <c r="NH56" s="104"/>
      <c r="NI56" s="104"/>
      <c r="NJ56" s="104"/>
      <c r="NK56" s="104"/>
      <c r="NL56" s="104"/>
      <c r="NM56" s="104"/>
      <c r="NN56" s="104"/>
      <c r="NO56" s="104"/>
      <c r="NP56" s="104"/>
      <c r="NQ56" s="104"/>
      <c r="NR56" s="104"/>
      <c r="NS56" s="104"/>
      <c r="NT56" s="104"/>
      <c r="NU56" s="104"/>
      <c r="NV56" s="104"/>
      <c r="NW56" s="104"/>
      <c r="NX56" s="104"/>
      <c r="NY56" s="104"/>
      <c r="NZ56" s="104"/>
    </row>
    <row r="57" spans="1:390" ht="15.75" customHeight="1" x14ac:dyDescent="0.3">
      <c r="A57" s="125">
        <v>4982509905</v>
      </c>
      <c r="B57" s="135" t="s">
        <v>398</v>
      </c>
      <c r="C57" s="135" t="s">
        <v>398</v>
      </c>
      <c r="D57" s="213" t="s">
        <v>398</v>
      </c>
      <c r="E57" s="135" t="s">
        <v>398</v>
      </c>
      <c r="F57" s="125" t="s">
        <v>398</v>
      </c>
      <c r="G57" s="135" t="s">
        <v>398</v>
      </c>
      <c r="H57" s="113" t="s">
        <v>398</v>
      </c>
      <c r="I57" s="135" t="s">
        <v>398</v>
      </c>
      <c r="J57" s="135" t="s">
        <v>398</v>
      </c>
      <c r="K57" s="128" t="s">
        <v>398</v>
      </c>
      <c r="L57" s="128" t="s">
        <v>398</v>
      </c>
      <c r="M57" s="128" t="s">
        <v>398</v>
      </c>
      <c r="N57" s="128" t="s">
        <v>398</v>
      </c>
      <c r="O57" s="128" t="s">
        <v>398</v>
      </c>
      <c r="P57" s="128" t="s">
        <v>398</v>
      </c>
      <c r="Q57" s="128" t="s">
        <v>398</v>
      </c>
      <c r="R57" s="128" t="s">
        <v>398</v>
      </c>
      <c r="S57" s="128" t="s">
        <v>398</v>
      </c>
      <c r="T57" s="128" t="s">
        <v>398</v>
      </c>
      <c r="U57" s="128" t="s">
        <v>398</v>
      </c>
      <c r="V57" s="128" t="s">
        <v>398</v>
      </c>
      <c r="W57" s="135" t="s">
        <v>547</v>
      </c>
      <c r="X57" s="135" t="s">
        <v>463</v>
      </c>
      <c r="Y57" s="113" t="s">
        <v>432</v>
      </c>
      <c r="Z57" s="111">
        <v>43062</v>
      </c>
      <c r="AA57" s="135"/>
      <c r="AB57" s="113" t="s">
        <v>399</v>
      </c>
      <c r="AC57" s="111">
        <v>19838</v>
      </c>
      <c r="AD57" s="135"/>
      <c r="AE57" s="142" t="e">
        <f t="shared" si="1"/>
        <v>#NUM!</v>
      </c>
      <c r="AF57" s="135" t="s">
        <v>398</v>
      </c>
      <c r="AG57" s="126" t="s">
        <v>398</v>
      </c>
      <c r="AH57" s="135" t="s">
        <v>398</v>
      </c>
      <c r="AI57" s="125" t="s">
        <v>398</v>
      </c>
      <c r="AJ57" s="125" t="s">
        <v>398</v>
      </c>
      <c r="AK57" s="125" t="s">
        <v>398</v>
      </c>
      <c r="AL57" s="125" t="s">
        <v>398</v>
      </c>
      <c r="AM57" s="139" t="s">
        <v>398</v>
      </c>
      <c r="AN57" s="134" t="s">
        <v>398</v>
      </c>
      <c r="AO57" s="136" t="s">
        <v>398</v>
      </c>
      <c r="AP57" s="136" t="s">
        <v>398</v>
      </c>
      <c r="AQ57" s="136" t="s">
        <v>398</v>
      </c>
      <c r="AR57" s="136" t="s">
        <v>398</v>
      </c>
      <c r="AS57" s="136" t="s">
        <v>398</v>
      </c>
      <c r="AT57" s="136" t="s">
        <v>398</v>
      </c>
      <c r="AU57" s="136" t="s">
        <v>398</v>
      </c>
      <c r="AV57" s="136" t="s">
        <v>398</v>
      </c>
      <c r="AW57" s="136" t="s">
        <v>398</v>
      </c>
      <c r="AX57" s="136" t="s">
        <v>398</v>
      </c>
      <c r="AY57" s="136" t="s">
        <v>398</v>
      </c>
      <c r="AZ57" s="136" t="s">
        <v>398</v>
      </c>
      <c r="BA57" s="136" t="s">
        <v>398</v>
      </c>
      <c r="BB57" s="136" t="s">
        <v>398</v>
      </c>
      <c r="BC57" s="136" t="s">
        <v>398</v>
      </c>
      <c r="BD57" s="136" t="s">
        <v>398</v>
      </c>
      <c r="BE57" s="136" t="s">
        <v>398</v>
      </c>
      <c r="BF57" s="136" t="s">
        <v>398</v>
      </c>
      <c r="BG57" s="136" t="s">
        <v>398</v>
      </c>
      <c r="BH57" s="136" t="s">
        <v>398</v>
      </c>
      <c r="BI57" s="136" t="s">
        <v>398</v>
      </c>
      <c r="BJ57" s="136" t="s">
        <v>398</v>
      </c>
      <c r="BK57" s="136" t="s">
        <v>398</v>
      </c>
      <c r="BL57" s="136" t="s">
        <v>398</v>
      </c>
      <c r="BM57" s="136" t="s">
        <v>398</v>
      </c>
      <c r="BN57" s="136" t="s">
        <v>398</v>
      </c>
      <c r="BO57" s="136" t="s">
        <v>398</v>
      </c>
      <c r="BP57" s="136" t="s">
        <v>398</v>
      </c>
      <c r="BQ57" s="136" t="s">
        <v>398</v>
      </c>
      <c r="BR57" s="136" t="s">
        <v>398</v>
      </c>
      <c r="BS57" s="136" t="s">
        <v>398</v>
      </c>
      <c r="BT57" s="136" t="s">
        <v>398</v>
      </c>
      <c r="BU57" s="136" t="s">
        <v>398</v>
      </c>
      <c r="BV57" s="136" t="s">
        <v>398</v>
      </c>
      <c r="BW57" s="136" t="s">
        <v>398</v>
      </c>
      <c r="BX57" s="136" t="s">
        <v>398</v>
      </c>
      <c r="BY57" s="136" t="s">
        <v>398</v>
      </c>
      <c r="BZ57" s="136" t="s">
        <v>398</v>
      </c>
      <c r="CA57" s="136" t="s">
        <v>398</v>
      </c>
      <c r="CB57" s="136" t="s">
        <v>398</v>
      </c>
      <c r="CC57" s="136" t="s">
        <v>398</v>
      </c>
      <c r="CD57" s="136" t="s">
        <v>398</v>
      </c>
      <c r="CE57" s="136" t="s">
        <v>398</v>
      </c>
      <c r="CF57" s="136" t="s">
        <v>398</v>
      </c>
      <c r="CG57" s="136" t="s">
        <v>398</v>
      </c>
      <c r="CH57" s="136" t="s">
        <v>398</v>
      </c>
      <c r="CI57" s="136" t="s">
        <v>398</v>
      </c>
      <c r="CJ57" s="136" t="s">
        <v>398</v>
      </c>
      <c r="CK57" s="136" t="s">
        <v>398</v>
      </c>
      <c r="CL57" s="136" t="s">
        <v>398</v>
      </c>
      <c r="CM57" s="136" t="s">
        <v>398</v>
      </c>
      <c r="CN57" s="136" t="s">
        <v>398</v>
      </c>
      <c r="CO57" s="136" t="s">
        <v>398</v>
      </c>
      <c r="CP57" s="136" t="s">
        <v>398</v>
      </c>
      <c r="CQ57" s="136" t="s">
        <v>398</v>
      </c>
      <c r="CR57" s="136" t="s">
        <v>398</v>
      </c>
      <c r="CS57" s="136" t="s">
        <v>398</v>
      </c>
      <c r="CT57" s="136" t="s">
        <v>398</v>
      </c>
      <c r="CU57" s="136" t="s">
        <v>398</v>
      </c>
      <c r="CV57" s="136" t="s">
        <v>398</v>
      </c>
      <c r="CW57" s="136" t="s">
        <v>398</v>
      </c>
      <c r="CX57" s="136" t="s">
        <v>398</v>
      </c>
      <c r="CY57" s="136" t="s">
        <v>398</v>
      </c>
      <c r="CZ57" s="136" t="s">
        <v>398</v>
      </c>
      <c r="DA57" s="136" t="s">
        <v>398</v>
      </c>
      <c r="DB57" s="136" t="s">
        <v>398</v>
      </c>
      <c r="DC57" s="136" t="s">
        <v>398</v>
      </c>
      <c r="DD57" s="136" t="s">
        <v>398</v>
      </c>
      <c r="DE57" s="136" t="s">
        <v>398</v>
      </c>
      <c r="DF57" s="136" t="s">
        <v>398</v>
      </c>
      <c r="DG57" s="136" t="s">
        <v>398</v>
      </c>
      <c r="DH57" s="136" t="s">
        <v>398</v>
      </c>
      <c r="DI57" s="136" t="s">
        <v>398</v>
      </c>
      <c r="DJ57" s="136" t="s">
        <v>398</v>
      </c>
      <c r="DK57" s="136" t="s">
        <v>398</v>
      </c>
      <c r="DL57" s="136" t="s">
        <v>398</v>
      </c>
      <c r="DM57" s="136" t="s">
        <v>398</v>
      </c>
      <c r="DN57" s="136" t="s">
        <v>398</v>
      </c>
      <c r="DO57" s="136" t="s">
        <v>398</v>
      </c>
      <c r="DP57" s="136" t="s">
        <v>398</v>
      </c>
      <c r="DQ57" s="136" t="s">
        <v>398</v>
      </c>
      <c r="DR57" s="136" t="s">
        <v>398</v>
      </c>
      <c r="DS57" s="136" t="s">
        <v>398</v>
      </c>
      <c r="DT57" s="136" t="s">
        <v>398</v>
      </c>
      <c r="DU57" s="136" t="s">
        <v>398</v>
      </c>
      <c r="DV57" s="136" t="s">
        <v>398</v>
      </c>
      <c r="DW57" s="136" t="s">
        <v>398</v>
      </c>
      <c r="DX57" s="136" t="s">
        <v>398</v>
      </c>
      <c r="DY57" s="136" t="s">
        <v>398</v>
      </c>
      <c r="DZ57" s="136" t="s">
        <v>398</v>
      </c>
      <c r="EA57" s="136" t="s">
        <v>398</v>
      </c>
      <c r="EB57" s="136" t="s">
        <v>398</v>
      </c>
      <c r="EC57" s="136" t="s">
        <v>398</v>
      </c>
      <c r="ED57" s="136" t="s">
        <v>398</v>
      </c>
      <c r="EE57" s="136" t="s">
        <v>398</v>
      </c>
      <c r="EF57" s="136" t="s">
        <v>398</v>
      </c>
      <c r="EG57" s="136" t="s">
        <v>398</v>
      </c>
      <c r="EH57" s="136" t="s">
        <v>398</v>
      </c>
      <c r="EI57" s="136" t="s">
        <v>398</v>
      </c>
      <c r="EJ57" s="136" t="s">
        <v>398</v>
      </c>
      <c r="EK57" s="136" t="s">
        <v>398</v>
      </c>
      <c r="EL57" s="136" t="s">
        <v>398</v>
      </c>
      <c r="EM57" s="136" t="s">
        <v>398</v>
      </c>
      <c r="EN57" s="136" t="s">
        <v>398</v>
      </c>
      <c r="EO57" s="136" t="s">
        <v>398</v>
      </c>
      <c r="EP57" s="136" t="s">
        <v>398</v>
      </c>
      <c r="EQ57" s="136" t="s">
        <v>398</v>
      </c>
      <c r="ER57" s="136" t="s">
        <v>398</v>
      </c>
      <c r="ES57" s="136" t="s">
        <v>398</v>
      </c>
      <c r="ET57" s="136" t="s">
        <v>398</v>
      </c>
      <c r="EU57" s="136" t="s">
        <v>398</v>
      </c>
      <c r="EV57" s="136" t="s">
        <v>398</v>
      </c>
      <c r="EW57" s="136" t="s">
        <v>398</v>
      </c>
      <c r="EX57" s="136" t="s">
        <v>398</v>
      </c>
      <c r="EY57" s="136" t="s">
        <v>398</v>
      </c>
      <c r="EZ57" s="136" t="s">
        <v>398</v>
      </c>
      <c r="FA57" s="136" t="s">
        <v>398</v>
      </c>
      <c r="FB57" s="136" t="s">
        <v>398</v>
      </c>
      <c r="FC57" s="136" t="s">
        <v>398</v>
      </c>
      <c r="FD57" s="136" t="s">
        <v>398</v>
      </c>
      <c r="FE57" s="136" t="s">
        <v>398</v>
      </c>
      <c r="FF57" s="136" t="s">
        <v>398</v>
      </c>
      <c r="FG57" s="136" t="s">
        <v>398</v>
      </c>
      <c r="FH57" s="136" t="s">
        <v>398</v>
      </c>
      <c r="FI57" s="136" t="s">
        <v>398</v>
      </c>
      <c r="FJ57" s="136" t="s">
        <v>398</v>
      </c>
      <c r="FK57" s="136" t="s">
        <v>398</v>
      </c>
      <c r="FL57" s="136" t="s">
        <v>398</v>
      </c>
      <c r="FM57" s="136" t="s">
        <v>398</v>
      </c>
      <c r="FN57" s="136" t="s">
        <v>398</v>
      </c>
      <c r="FO57" s="136" t="s">
        <v>398</v>
      </c>
      <c r="FP57" s="136" t="s">
        <v>398</v>
      </c>
      <c r="FQ57" s="136" t="s">
        <v>398</v>
      </c>
      <c r="FR57" s="136" t="s">
        <v>398</v>
      </c>
      <c r="FS57" s="136" t="s">
        <v>398</v>
      </c>
      <c r="FT57" s="136" t="s">
        <v>398</v>
      </c>
      <c r="FU57" s="136" t="s">
        <v>398</v>
      </c>
      <c r="FV57" s="136" t="s">
        <v>398</v>
      </c>
      <c r="FW57" s="136" t="s">
        <v>398</v>
      </c>
      <c r="FX57" s="136" t="s">
        <v>398</v>
      </c>
      <c r="FY57" s="136" t="s">
        <v>398</v>
      </c>
      <c r="FZ57" s="136" t="s">
        <v>398</v>
      </c>
      <c r="GA57" s="136" t="s">
        <v>398</v>
      </c>
      <c r="GB57" s="136" t="s">
        <v>398</v>
      </c>
      <c r="GC57" s="136" t="s">
        <v>398</v>
      </c>
      <c r="GD57" s="136" t="s">
        <v>398</v>
      </c>
      <c r="GE57" s="136" t="s">
        <v>398</v>
      </c>
      <c r="GF57" s="136" t="s">
        <v>398</v>
      </c>
      <c r="GG57" s="136" t="s">
        <v>398</v>
      </c>
      <c r="GH57" s="136" t="s">
        <v>398</v>
      </c>
      <c r="GI57" s="136" t="s">
        <v>398</v>
      </c>
      <c r="GJ57" s="136" t="s">
        <v>398</v>
      </c>
      <c r="GK57" s="136" t="s">
        <v>398</v>
      </c>
      <c r="GL57" s="136" t="s">
        <v>398</v>
      </c>
      <c r="GM57" s="136" t="s">
        <v>398</v>
      </c>
      <c r="GN57" s="136" t="s">
        <v>398</v>
      </c>
      <c r="GO57" s="136" t="s">
        <v>398</v>
      </c>
      <c r="GP57" s="136" t="s">
        <v>398</v>
      </c>
      <c r="GQ57" s="136" t="s">
        <v>398</v>
      </c>
      <c r="GR57" s="136" t="s">
        <v>398</v>
      </c>
      <c r="GS57" s="136" t="s">
        <v>398</v>
      </c>
      <c r="GT57" s="136" t="s">
        <v>398</v>
      </c>
      <c r="GU57" s="136" t="s">
        <v>398</v>
      </c>
      <c r="GV57" s="136" t="s">
        <v>398</v>
      </c>
      <c r="GW57" s="136" t="s">
        <v>398</v>
      </c>
      <c r="GX57" s="136" t="s">
        <v>398</v>
      </c>
      <c r="GY57" s="136" t="s">
        <v>398</v>
      </c>
      <c r="GZ57" s="136" t="s">
        <v>398</v>
      </c>
      <c r="HA57" s="136" t="s">
        <v>398</v>
      </c>
      <c r="HB57" s="136" t="s">
        <v>398</v>
      </c>
      <c r="HC57" s="136" t="s">
        <v>398</v>
      </c>
      <c r="HD57" s="136" t="s">
        <v>398</v>
      </c>
      <c r="HE57" s="136" t="s">
        <v>398</v>
      </c>
      <c r="HF57" s="136" t="s">
        <v>398</v>
      </c>
      <c r="HG57" s="136" t="s">
        <v>398</v>
      </c>
      <c r="HH57" s="136" t="s">
        <v>398</v>
      </c>
      <c r="HI57" s="136" t="s">
        <v>398</v>
      </c>
      <c r="HJ57" s="136" t="s">
        <v>398</v>
      </c>
      <c r="HK57" s="136" t="s">
        <v>398</v>
      </c>
      <c r="HL57" s="136" t="s">
        <v>398</v>
      </c>
      <c r="HM57" s="136" t="s">
        <v>398</v>
      </c>
      <c r="HN57" s="136" t="s">
        <v>398</v>
      </c>
      <c r="HO57" s="136" t="s">
        <v>398</v>
      </c>
      <c r="HP57" s="136" t="s">
        <v>398</v>
      </c>
      <c r="HQ57" s="136" t="s">
        <v>398</v>
      </c>
      <c r="HR57" s="136" t="s">
        <v>398</v>
      </c>
      <c r="HS57" s="136" t="s">
        <v>398</v>
      </c>
      <c r="HT57" s="136" t="s">
        <v>398</v>
      </c>
      <c r="HU57" s="136" t="s">
        <v>398</v>
      </c>
      <c r="HV57" s="136" t="s">
        <v>398</v>
      </c>
      <c r="HW57" s="136" t="s">
        <v>398</v>
      </c>
      <c r="HX57" s="136" t="s">
        <v>398</v>
      </c>
      <c r="HY57" s="136" t="s">
        <v>398</v>
      </c>
      <c r="HZ57" s="136" t="s">
        <v>398</v>
      </c>
      <c r="IA57" s="136" t="s">
        <v>398</v>
      </c>
      <c r="IB57" s="136" t="s">
        <v>398</v>
      </c>
      <c r="IC57" s="136" t="s">
        <v>398</v>
      </c>
      <c r="ID57" s="136" t="s">
        <v>398</v>
      </c>
      <c r="IE57" s="136" t="s">
        <v>398</v>
      </c>
      <c r="IF57" s="136" t="s">
        <v>398</v>
      </c>
      <c r="IG57" s="136" t="s">
        <v>398</v>
      </c>
      <c r="IH57" s="136" t="s">
        <v>398</v>
      </c>
      <c r="II57" s="136" t="s">
        <v>398</v>
      </c>
      <c r="IJ57" s="136" t="s">
        <v>398</v>
      </c>
      <c r="IK57" s="136" t="s">
        <v>398</v>
      </c>
      <c r="IL57" s="136" t="s">
        <v>398</v>
      </c>
      <c r="IM57" s="136" t="s">
        <v>398</v>
      </c>
      <c r="IN57" s="136" t="s">
        <v>398</v>
      </c>
      <c r="IO57" s="136" t="s">
        <v>398</v>
      </c>
      <c r="IP57" s="136" t="s">
        <v>398</v>
      </c>
      <c r="IQ57" s="136" t="s">
        <v>398</v>
      </c>
      <c r="IR57" s="136" t="s">
        <v>398</v>
      </c>
      <c r="IS57" s="136" t="s">
        <v>398</v>
      </c>
      <c r="IT57" s="136" t="s">
        <v>398</v>
      </c>
      <c r="IU57" s="136" t="s">
        <v>398</v>
      </c>
      <c r="IV57" s="136" t="s">
        <v>398</v>
      </c>
      <c r="IW57" s="136" t="s">
        <v>398</v>
      </c>
      <c r="IX57" s="136" t="s">
        <v>398</v>
      </c>
      <c r="IY57" s="136" t="s">
        <v>398</v>
      </c>
      <c r="IZ57" s="136" t="s">
        <v>398</v>
      </c>
      <c r="JA57" s="136" t="s">
        <v>398</v>
      </c>
      <c r="JB57" s="136" t="s">
        <v>398</v>
      </c>
      <c r="JC57" s="136" t="s">
        <v>398</v>
      </c>
      <c r="JD57" s="136" t="s">
        <v>398</v>
      </c>
      <c r="JE57" s="136" t="s">
        <v>398</v>
      </c>
      <c r="JF57" s="136" t="s">
        <v>398</v>
      </c>
      <c r="JG57" s="136" t="s">
        <v>398</v>
      </c>
      <c r="JH57" s="136" t="s">
        <v>398</v>
      </c>
      <c r="JI57" s="136" t="s">
        <v>398</v>
      </c>
      <c r="JJ57" s="136" t="s">
        <v>398</v>
      </c>
      <c r="JK57" s="136" t="s">
        <v>398</v>
      </c>
      <c r="JL57" s="136" t="s">
        <v>398</v>
      </c>
      <c r="JM57" s="136" t="s">
        <v>398</v>
      </c>
      <c r="JN57" s="136" t="s">
        <v>398</v>
      </c>
      <c r="JO57" s="136" t="s">
        <v>398</v>
      </c>
      <c r="JP57" s="136" t="s">
        <v>398</v>
      </c>
      <c r="JQ57" s="136" t="s">
        <v>398</v>
      </c>
      <c r="JR57" s="136" t="s">
        <v>398</v>
      </c>
      <c r="JS57" s="136" t="s">
        <v>398</v>
      </c>
      <c r="JT57" s="136" t="s">
        <v>398</v>
      </c>
      <c r="JU57" s="136" t="s">
        <v>398</v>
      </c>
      <c r="JV57" s="136" t="s">
        <v>398</v>
      </c>
      <c r="JW57" s="136" t="s">
        <v>398</v>
      </c>
      <c r="JX57" s="136" t="s">
        <v>398</v>
      </c>
      <c r="JY57" s="136" t="s">
        <v>398</v>
      </c>
      <c r="JZ57" s="136" t="s">
        <v>398</v>
      </c>
      <c r="KA57" s="136" t="s">
        <v>398</v>
      </c>
      <c r="KB57" s="136" t="s">
        <v>398</v>
      </c>
      <c r="KC57" s="136" t="s">
        <v>398</v>
      </c>
      <c r="KD57" s="136" t="s">
        <v>398</v>
      </c>
      <c r="KE57" s="136" t="s">
        <v>398</v>
      </c>
      <c r="KF57" s="136" t="s">
        <v>398</v>
      </c>
      <c r="KG57" s="136" t="s">
        <v>398</v>
      </c>
      <c r="KH57" s="136" t="s">
        <v>398</v>
      </c>
      <c r="KI57" s="136" t="s">
        <v>398</v>
      </c>
      <c r="KJ57" s="136" t="s">
        <v>398</v>
      </c>
      <c r="KK57" s="136" t="s">
        <v>398</v>
      </c>
      <c r="KL57" s="136" t="s">
        <v>398</v>
      </c>
      <c r="KM57" s="136" t="s">
        <v>398</v>
      </c>
      <c r="KN57" s="136" t="s">
        <v>398</v>
      </c>
      <c r="KO57" s="136" t="s">
        <v>398</v>
      </c>
      <c r="KP57" s="136" t="s">
        <v>398</v>
      </c>
      <c r="KQ57" s="136" t="s">
        <v>398</v>
      </c>
      <c r="KR57" s="136" t="s">
        <v>398</v>
      </c>
      <c r="KS57" s="136" t="s">
        <v>398</v>
      </c>
      <c r="KT57" s="136" t="s">
        <v>398</v>
      </c>
      <c r="KU57" s="136" t="s">
        <v>398</v>
      </c>
      <c r="KV57" s="136" t="s">
        <v>398</v>
      </c>
      <c r="KW57" s="136" t="s">
        <v>398</v>
      </c>
      <c r="KX57" s="136" t="s">
        <v>398</v>
      </c>
      <c r="KY57" s="136" t="s">
        <v>398</v>
      </c>
      <c r="KZ57" s="136" t="s">
        <v>398</v>
      </c>
      <c r="LA57" s="136" t="s">
        <v>398</v>
      </c>
      <c r="LB57" s="136" t="s">
        <v>398</v>
      </c>
      <c r="LC57" s="136" t="s">
        <v>398</v>
      </c>
      <c r="LD57" s="136" t="s">
        <v>398</v>
      </c>
      <c r="LE57" s="136" t="s">
        <v>398</v>
      </c>
      <c r="LF57" s="136" t="s">
        <v>398</v>
      </c>
      <c r="LG57" s="136" t="s">
        <v>398</v>
      </c>
      <c r="LH57" s="136" t="s">
        <v>398</v>
      </c>
      <c r="LI57" s="136" t="s">
        <v>398</v>
      </c>
      <c r="LJ57" s="136" t="s">
        <v>398</v>
      </c>
      <c r="LK57" s="136" t="s">
        <v>398</v>
      </c>
      <c r="LL57" s="136" t="s">
        <v>398</v>
      </c>
      <c r="LM57" s="136" t="s">
        <v>398</v>
      </c>
      <c r="LN57" s="136" t="s">
        <v>398</v>
      </c>
      <c r="LO57" s="136" t="s">
        <v>398</v>
      </c>
      <c r="LP57" s="136" t="s">
        <v>398</v>
      </c>
      <c r="LQ57" s="136" t="s">
        <v>398</v>
      </c>
      <c r="LR57" s="136" t="s">
        <v>398</v>
      </c>
      <c r="LS57" s="136" t="s">
        <v>398</v>
      </c>
      <c r="LT57" s="136" t="s">
        <v>398</v>
      </c>
      <c r="LU57" s="136" t="s">
        <v>398</v>
      </c>
      <c r="LV57" s="136" t="s">
        <v>398</v>
      </c>
      <c r="LW57" s="136" t="s">
        <v>398</v>
      </c>
      <c r="LX57" s="136" t="s">
        <v>398</v>
      </c>
      <c r="LY57" s="136" t="s">
        <v>398</v>
      </c>
      <c r="LZ57" s="136" t="s">
        <v>398</v>
      </c>
      <c r="MA57" s="136" t="s">
        <v>398</v>
      </c>
      <c r="MB57" s="136" t="s">
        <v>398</v>
      </c>
      <c r="MC57" s="136" t="s">
        <v>398</v>
      </c>
      <c r="MD57" s="136" t="s">
        <v>398</v>
      </c>
      <c r="ME57" s="136" t="s">
        <v>398</v>
      </c>
      <c r="MF57" s="136" t="s">
        <v>398</v>
      </c>
      <c r="MG57" s="136" t="s">
        <v>398</v>
      </c>
      <c r="MH57" s="136" t="s">
        <v>398</v>
      </c>
      <c r="MI57" s="136" t="s">
        <v>398</v>
      </c>
      <c r="MJ57" s="136" t="s">
        <v>398</v>
      </c>
      <c r="MK57" s="136" t="s">
        <v>398</v>
      </c>
      <c r="ML57" s="136" t="s">
        <v>398</v>
      </c>
      <c r="MM57" s="136" t="s">
        <v>398</v>
      </c>
      <c r="MN57" s="136" t="s">
        <v>398</v>
      </c>
      <c r="MO57" s="136" t="s">
        <v>398</v>
      </c>
      <c r="MP57" s="136" t="s">
        <v>398</v>
      </c>
      <c r="MQ57" s="136" t="s">
        <v>398</v>
      </c>
      <c r="MR57" s="136" t="s">
        <v>398</v>
      </c>
      <c r="MS57" s="136" t="s">
        <v>398</v>
      </c>
      <c r="MT57" s="136" t="s">
        <v>398</v>
      </c>
      <c r="MU57" s="136" t="s">
        <v>398</v>
      </c>
      <c r="MV57" s="136" t="s">
        <v>398</v>
      </c>
      <c r="MW57" s="136" t="s">
        <v>398</v>
      </c>
      <c r="MX57" s="136" t="s">
        <v>398</v>
      </c>
      <c r="MY57" s="136" t="s">
        <v>398</v>
      </c>
      <c r="MZ57" s="136" t="s">
        <v>398</v>
      </c>
      <c r="NA57" s="136" t="s">
        <v>398</v>
      </c>
      <c r="NB57" s="136" t="s">
        <v>398</v>
      </c>
      <c r="NC57" s="136" t="s">
        <v>398</v>
      </c>
      <c r="ND57" s="136" t="s">
        <v>398</v>
      </c>
      <c r="NE57" s="136" t="s">
        <v>398</v>
      </c>
      <c r="NF57" s="136" t="s">
        <v>398</v>
      </c>
      <c r="NG57" s="136" t="s">
        <v>398</v>
      </c>
      <c r="NH57" s="136" t="s">
        <v>398</v>
      </c>
      <c r="NI57" s="136" t="s">
        <v>398</v>
      </c>
      <c r="NJ57" s="136" t="s">
        <v>398</v>
      </c>
      <c r="NK57" s="136" t="s">
        <v>398</v>
      </c>
      <c r="NL57" s="136" t="s">
        <v>398</v>
      </c>
      <c r="NM57" s="136" t="s">
        <v>398</v>
      </c>
      <c r="NN57" s="136" t="s">
        <v>398</v>
      </c>
      <c r="NO57" s="136" t="s">
        <v>398</v>
      </c>
      <c r="NP57" s="136" t="s">
        <v>398</v>
      </c>
      <c r="NQ57" s="136" t="s">
        <v>398</v>
      </c>
      <c r="NR57" s="136" t="s">
        <v>398</v>
      </c>
      <c r="NS57" s="136" t="s">
        <v>398</v>
      </c>
      <c r="NT57" s="136" t="s">
        <v>398</v>
      </c>
      <c r="NU57" s="136" t="s">
        <v>398</v>
      </c>
      <c r="NV57" s="136" t="s">
        <v>398</v>
      </c>
      <c r="NW57" s="136" t="s">
        <v>398</v>
      </c>
      <c r="NX57" s="136" t="s">
        <v>398</v>
      </c>
      <c r="NY57" s="136" t="s">
        <v>398</v>
      </c>
      <c r="NZ57" s="136" t="s">
        <v>398</v>
      </c>
    </row>
    <row r="58" spans="1:390" ht="15.75" customHeight="1" x14ac:dyDescent="0.3">
      <c r="A58" s="125">
        <v>4960912111</v>
      </c>
      <c r="B58" s="135"/>
      <c r="C58" s="135"/>
      <c r="D58" s="213" t="s">
        <v>391</v>
      </c>
      <c r="E58" s="135" t="s">
        <v>548</v>
      </c>
      <c r="F58" s="125" t="s">
        <v>501</v>
      </c>
      <c r="G58" s="125" t="s">
        <v>422</v>
      </c>
      <c r="H58" s="111">
        <v>43068</v>
      </c>
      <c r="I58" s="135" t="s">
        <v>396</v>
      </c>
      <c r="J58" s="135" t="s">
        <v>397</v>
      </c>
      <c r="K58" s="128" t="s">
        <v>398</v>
      </c>
      <c r="L58" s="128" t="s">
        <v>398</v>
      </c>
      <c r="M58" s="128" t="s">
        <v>398</v>
      </c>
      <c r="N58" s="128" t="s">
        <v>398</v>
      </c>
      <c r="O58" s="128" t="s">
        <v>398</v>
      </c>
      <c r="P58" s="128" t="s">
        <v>398</v>
      </c>
      <c r="Q58" s="128" t="s">
        <v>398</v>
      </c>
      <c r="R58" s="128" t="s">
        <v>398</v>
      </c>
      <c r="S58" s="128" t="s">
        <v>398</v>
      </c>
      <c r="T58" s="128" t="s">
        <v>398</v>
      </c>
      <c r="U58" s="128" t="s">
        <v>398</v>
      </c>
      <c r="V58" s="128" t="s">
        <v>398</v>
      </c>
      <c r="W58" s="135" t="s">
        <v>548</v>
      </c>
      <c r="X58" s="135" t="s">
        <v>549</v>
      </c>
      <c r="Y58" s="113" t="s">
        <v>432</v>
      </c>
      <c r="Z58" s="111">
        <v>43068</v>
      </c>
      <c r="AA58" s="135"/>
      <c r="AB58" s="113" t="s">
        <v>399</v>
      </c>
      <c r="AC58" s="111">
        <v>14195</v>
      </c>
      <c r="AD58" s="135"/>
      <c r="AE58" s="142" t="e">
        <f t="shared" si="1"/>
        <v>#NUM!</v>
      </c>
      <c r="AF58" s="135" t="s">
        <v>411</v>
      </c>
      <c r="AG58" s="126" t="s">
        <v>401</v>
      </c>
      <c r="AH58" s="135" t="s">
        <v>402</v>
      </c>
      <c r="AI58" s="125" t="s">
        <v>428</v>
      </c>
      <c r="AJ58" s="125">
        <v>0</v>
      </c>
      <c r="AK58" s="125">
        <v>0</v>
      </c>
      <c r="AL58" s="125">
        <v>0</v>
      </c>
      <c r="AM58" s="139" t="s">
        <v>531</v>
      </c>
      <c r="AN58" s="134">
        <v>2</v>
      </c>
      <c r="AO58" s="136" t="s">
        <v>398</v>
      </c>
      <c r="AP58" s="135"/>
      <c r="AQ58" s="104"/>
      <c r="AR58" s="104"/>
      <c r="AS58" s="104"/>
      <c r="AT58" s="104"/>
      <c r="AU58" s="104"/>
      <c r="AV58" s="104"/>
      <c r="AW58" s="104"/>
      <c r="AX58" s="104"/>
      <c r="AY58" s="104"/>
      <c r="AZ58" s="104"/>
      <c r="BA58" s="104"/>
      <c r="BB58" s="104"/>
      <c r="BC58" s="104"/>
      <c r="BD58" s="104"/>
      <c r="BE58" s="104"/>
      <c r="BF58" s="104"/>
      <c r="BG58" s="104"/>
      <c r="BH58" s="104"/>
      <c r="BI58" s="104"/>
      <c r="BJ58" s="104"/>
      <c r="BK58" s="104"/>
      <c r="BL58" s="104"/>
      <c r="BM58" s="104"/>
      <c r="BN58" s="104"/>
      <c r="BO58" s="104"/>
      <c r="BP58" s="104"/>
      <c r="BQ58" s="104"/>
      <c r="BR58" s="104"/>
      <c r="BS58" s="104"/>
      <c r="BT58" s="104"/>
      <c r="BU58" s="104"/>
      <c r="BV58" s="104"/>
      <c r="BW58" s="104"/>
      <c r="BX58" s="104"/>
      <c r="BY58" s="104"/>
      <c r="BZ58" s="104"/>
      <c r="CA58" s="104"/>
      <c r="CB58" s="104"/>
      <c r="CC58" s="104"/>
      <c r="CD58" s="104"/>
      <c r="CE58" s="104"/>
      <c r="CF58" s="104"/>
      <c r="CG58" s="104"/>
      <c r="CH58" s="104"/>
      <c r="CI58" s="104"/>
      <c r="CJ58" s="104"/>
      <c r="CK58" s="104"/>
      <c r="CL58" s="104"/>
      <c r="CM58" s="104"/>
      <c r="CN58" s="104"/>
      <c r="CO58" s="104"/>
      <c r="CP58" s="104"/>
      <c r="CQ58" s="104"/>
      <c r="CR58" s="104"/>
      <c r="CS58" s="104"/>
      <c r="CT58" s="104"/>
      <c r="CU58" s="104"/>
      <c r="CV58" s="104"/>
      <c r="CW58" s="104"/>
      <c r="CX58" s="104"/>
      <c r="CY58" s="104"/>
      <c r="CZ58" s="104"/>
      <c r="DA58" s="104"/>
      <c r="DB58" s="104"/>
      <c r="DC58" s="104"/>
      <c r="DD58" s="104"/>
      <c r="DE58" s="104"/>
      <c r="DF58" s="104"/>
      <c r="DG58" s="104"/>
      <c r="DH58" s="104"/>
      <c r="DI58" s="104"/>
      <c r="DJ58" s="104"/>
      <c r="DK58" s="104"/>
      <c r="DL58" s="104"/>
      <c r="DM58" s="104"/>
      <c r="DN58" s="104"/>
      <c r="DO58" s="104"/>
      <c r="DP58" s="104"/>
      <c r="DQ58" s="104"/>
      <c r="DR58" s="104"/>
      <c r="DS58" s="104"/>
      <c r="DT58" s="104"/>
      <c r="DU58" s="104"/>
      <c r="DV58" s="104"/>
      <c r="DW58" s="104"/>
      <c r="DX58" s="104"/>
      <c r="DY58" s="104"/>
      <c r="DZ58" s="104"/>
      <c r="EA58" s="104"/>
      <c r="EB58" s="104"/>
      <c r="EC58" s="104"/>
      <c r="ED58" s="104"/>
      <c r="EE58" s="104"/>
      <c r="EF58" s="104"/>
      <c r="EG58" s="104"/>
      <c r="EH58" s="104"/>
      <c r="EI58" s="104"/>
      <c r="EJ58" s="104"/>
      <c r="EK58" s="104"/>
      <c r="EL58" s="104"/>
      <c r="EM58" s="104"/>
      <c r="EN58" s="104"/>
      <c r="EO58" s="104"/>
      <c r="EP58" s="104"/>
      <c r="EQ58" s="104"/>
      <c r="ER58" s="104"/>
      <c r="ES58" s="104"/>
      <c r="ET58" s="104"/>
      <c r="EU58" s="104"/>
      <c r="EV58" s="104"/>
      <c r="EW58" s="104"/>
      <c r="EX58" s="104"/>
      <c r="EY58" s="104"/>
      <c r="EZ58" s="104"/>
      <c r="FA58" s="104"/>
      <c r="FB58" s="104"/>
      <c r="FC58" s="104"/>
      <c r="FD58" s="104"/>
      <c r="FE58" s="104"/>
      <c r="FF58" s="104"/>
      <c r="FG58" s="104"/>
      <c r="FH58" s="104"/>
      <c r="FI58" s="104"/>
      <c r="FJ58" s="104"/>
      <c r="FK58" s="104"/>
      <c r="FL58" s="104"/>
      <c r="FM58" s="104"/>
      <c r="FN58" s="104"/>
      <c r="FO58" s="104"/>
      <c r="FP58" s="104"/>
      <c r="FQ58" s="104"/>
      <c r="FR58" s="104"/>
      <c r="FS58" s="104"/>
      <c r="FT58" s="104"/>
      <c r="FU58" s="104"/>
      <c r="FV58" s="104"/>
      <c r="FW58" s="104"/>
      <c r="FX58" s="104"/>
      <c r="FY58" s="104"/>
      <c r="FZ58" s="104"/>
      <c r="GA58" s="104"/>
      <c r="GB58" s="104"/>
      <c r="GC58" s="104"/>
      <c r="GD58" s="104"/>
      <c r="GE58" s="104"/>
      <c r="GF58" s="104"/>
      <c r="GG58" s="104"/>
      <c r="GH58" s="104"/>
      <c r="GI58" s="104"/>
      <c r="GJ58" s="104"/>
      <c r="GK58" s="104"/>
      <c r="GL58" s="104"/>
      <c r="GM58" s="104"/>
      <c r="GN58" s="104"/>
      <c r="GO58" s="104"/>
      <c r="GP58" s="104"/>
      <c r="GQ58" s="104"/>
      <c r="GR58" s="104"/>
      <c r="GS58" s="104"/>
      <c r="GT58" s="104"/>
      <c r="GU58" s="104"/>
      <c r="GV58" s="104"/>
      <c r="GW58" s="104"/>
      <c r="GX58" s="104"/>
      <c r="GY58" s="104"/>
      <c r="GZ58" s="104"/>
      <c r="HA58" s="104"/>
      <c r="HB58" s="104"/>
      <c r="HC58" s="104"/>
      <c r="HD58" s="104"/>
      <c r="HE58" s="104"/>
      <c r="HF58" s="104"/>
      <c r="HG58" s="104"/>
      <c r="HH58" s="104"/>
      <c r="HI58" s="104"/>
      <c r="HJ58" s="104"/>
      <c r="HK58" s="104"/>
      <c r="HL58" s="104"/>
      <c r="HM58" s="104"/>
      <c r="HN58" s="104"/>
      <c r="HO58" s="104"/>
      <c r="HP58" s="104"/>
      <c r="HQ58" s="104"/>
      <c r="HR58" s="104"/>
      <c r="HS58" s="104"/>
      <c r="HT58" s="104"/>
      <c r="HU58" s="104"/>
      <c r="HV58" s="104"/>
      <c r="HW58" s="104"/>
      <c r="HX58" s="104"/>
      <c r="HY58" s="104"/>
      <c r="HZ58" s="104"/>
      <c r="IA58" s="104"/>
      <c r="IB58" s="104"/>
      <c r="IC58" s="104"/>
      <c r="ID58" s="104"/>
      <c r="IE58" s="104"/>
      <c r="IF58" s="104"/>
      <c r="IG58" s="104"/>
      <c r="IH58" s="104"/>
      <c r="II58" s="104"/>
      <c r="IJ58" s="104"/>
      <c r="IK58" s="104"/>
      <c r="IL58" s="104"/>
      <c r="IM58" s="104"/>
      <c r="IN58" s="104"/>
      <c r="IO58" s="104"/>
      <c r="IP58" s="104"/>
      <c r="IQ58" s="104"/>
      <c r="IR58" s="104"/>
      <c r="IS58" s="104"/>
      <c r="IT58" s="104"/>
      <c r="IU58" s="104"/>
      <c r="IV58" s="104"/>
      <c r="IW58" s="104"/>
      <c r="IX58" s="104"/>
      <c r="IY58" s="104"/>
      <c r="IZ58" s="104"/>
      <c r="JA58" s="104"/>
      <c r="JB58" s="104"/>
      <c r="JC58" s="104"/>
      <c r="JD58" s="104"/>
      <c r="JE58" s="104"/>
      <c r="JF58" s="104"/>
      <c r="JG58" s="104"/>
      <c r="JH58" s="104"/>
      <c r="JI58" s="104"/>
      <c r="JJ58" s="104"/>
      <c r="JK58" s="104"/>
      <c r="JL58" s="104"/>
      <c r="JM58" s="104"/>
      <c r="JN58" s="104"/>
      <c r="JO58" s="104"/>
      <c r="JP58" s="104"/>
      <c r="JQ58" s="104"/>
      <c r="JR58" s="104"/>
      <c r="JS58" s="104"/>
      <c r="JT58" s="104"/>
      <c r="JU58" s="104"/>
      <c r="JV58" s="104"/>
      <c r="JW58" s="104"/>
      <c r="JX58" s="104"/>
      <c r="JY58" s="104"/>
      <c r="JZ58" s="104"/>
      <c r="KA58" s="104"/>
      <c r="KB58" s="104"/>
      <c r="KC58" s="104"/>
      <c r="KD58" s="104"/>
      <c r="KE58" s="104"/>
      <c r="KF58" s="104"/>
      <c r="KG58" s="104"/>
      <c r="KH58" s="104"/>
      <c r="KI58" s="104"/>
      <c r="KJ58" s="104"/>
      <c r="KK58" s="104"/>
      <c r="KL58" s="104"/>
      <c r="KM58" s="104"/>
      <c r="KN58" s="104"/>
      <c r="KO58" s="104"/>
      <c r="KP58" s="104"/>
      <c r="KQ58" s="104"/>
      <c r="KR58" s="104"/>
      <c r="KS58" s="104"/>
      <c r="KT58" s="104"/>
      <c r="KU58" s="104"/>
      <c r="KV58" s="104"/>
      <c r="KW58" s="104"/>
      <c r="KX58" s="104"/>
      <c r="KY58" s="104"/>
      <c r="KZ58" s="104"/>
      <c r="LA58" s="104"/>
      <c r="LB58" s="104"/>
      <c r="LC58" s="104"/>
      <c r="LD58" s="104"/>
      <c r="LE58" s="104"/>
      <c r="LF58" s="104"/>
      <c r="LG58" s="104"/>
      <c r="LH58" s="104"/>
      <c r="LI58" s="104"/>
      <c r="LJ58" s="104"/>
      <c r="LK58" s="104"/>
      <c r="LL58" s="104"/>
      <c r="LM58" s="104"/>
      <c r="LN58" s="104"/>
      <c r="LO58" s="104"/>
      <c r="LP58" s="104"/>
      <c r="LQ58" s="104"/>
      <c r="LR58" s="104"/>
      <c r="LS58" s="104"/>
      <c r="LT58" s="104"/>
      <c r="LU58" s="104"/>
      <c r="LV58" s="104"/>
      <c r="LW58" s="104"/>
      <c r="LX58" s="104"/>
      <c r="LY58" s="104"/>
      <c r="LZ58" s="104"/>
      <c r="MA58" s="104"/>
      <c r="MB58" s="104"/>
      <c r="MC58" s="104"/>
      <c r="MD58" s="104"/>
      <c r="ME58" s="104"/>
      <c r="MF58" s="104"/>
      <c r="MG58" s="104"/>
      <c r="MH58" s="104"/>
      <c r="MI58" s="104"/>
      <c r="MJ58" s="104"/>
      <c r="MK58" s="104"/>
      <c r="ML58" s="104"/>
      <c r="MM58" s="104"/>
      <c r="MN58" s="104"/>
      <c r="MO58" s="104"/>
      <c r="MP58" s="104"/>
      <c r="MQ58" s="104"/>
      <c r="MR58" s="104"/>
      <c r="MS58" s="104"/>
      <c r="MT58" s="104"/>
      <c r="MU58" s="104"/>
      <c r="MV58" s="104"/>
      <c r="MW58" s="104"/>
      <c r="MX58" s="104"/>
      <c r="MY58" s="104"/>
      <c r="MZ58" s="104"/>
      <c r="NA58" s="104"/>
      <c r="NB58" s="104"/>
      <c r="NC58" s="104"/>
      <c r="ND58" s="104"/>
      <c r="NE58" s="104"/>
      <c r="NF58" s="104"/>
      <c r="NG58" s="104"/>
      <c r="NH58" s="104"/>
      <c r="NI58" s="104"/>
      <c r="NJ58" s="104"/>
      <c r="NK58" s="104"/>
      <c r="NL58" s="104"/>
      <c r="NM58" s="104"/>
      <c r="NN58" s="104"/>
      <c r="NO58" s="104"/>
      <c r="NP58" s="104"/>
      <c r="NQ58" s="104"/>
      <c r="NR58" s="104"/>
      <c r="NS58" s="104"/>
      <c r="NT58" s="104"/>
      <c r="NU58" s="104"/>
      <c r="NV58" s="104"/>
      <c r="NW58" s="104"/>
      <c r="NX58" s="104"/>
      <c r="NY58" s="104"/>
      <c r="NZ58" s="104"/>
    </row>
    <row r="59" spans="1:390" ht="15.75" customHeight="1" x14ac:dyDescent="0.3">
      <c r="A59" s="125">
        <v>4989469372</v>
      </c>
      <c r="B59" s="135"/>
      <c r="C59" s="135"/>
      <c r="D59" s="213" t="s">
        <v>391</v>
      </c>
      <c r="E59" s="135" t="s">
        <v>550</v>
      </c>
      <c r="F59" s="125" t="s">
        <v>501</v>
      </c>
      <c r="G59" s="125" t="s">
        <v>488</v>
      </c>
      <c r="H59" s="111">
        <v>43073</v>
      </c>
      <c r="I59" s="135" t="s">
        <v>458</v>
      </c>
      <c r="J59" s="135" t="s">
        <v>397</v>
      </c>
      <c r="K59" s="128" t="s">
        <v>398</v>
      </c>
      <c r="L59" s="128" t="s">
        <v>398</v>
      </c>
      <c r="M59" s="128" t="s">
        <v>398</v>
      </c>
      <c r="N59" s="128" t="s">
        <v>398</v>
      </c>
      <c r="O59" s="128" t="s">
        <v>398</v>
      </c>
      <c r="P59" s="128" t="s">
        <v>398</v>
      </c>
      <c r="Q59" s="128" t="s">
        <v>398</v>
      </c>
      <c r="R59" s="128" t="s">
        <v>398</v>
      </c>
      <c r="S59" s="128" t="s">
        <v>398</v>
      </c>
      <c r="T59" s="128" t="s">
        <v>398</v>
      </c>
      <c r="U59" s="128" t="s">
        <v>398</v>
      </c>
      <c r="V59" s="128" t="s">
        <v>398</v>
      </c>
      <c r="W59" s="135" t="s">
        <v>398</v>
      </c>
      <c r="X59" s="135" t="s">
        <v>398</v>
      </c>
      <c r="Y59" s="113" t="s">
        <v>398</v>
      </c>
      <c r="Z59" s="113" t="s">
        <v>398</v>
      </c>
      <c r="AA59" s="135"/>
      <c r="AB59" s="113" t="s">
        <v>399</v>
      </c>
      <c r="AC59" s="111">
        <v>14706</v>
      </c>
      <c r="AD59" s="135"/>
      <c r="AE59" s="142" t="e">
        <f t="shared" si="1"/>
        <v>#NUM!</v>
      </c>
      <c r="AF59" s="135" t="s">
        <v>551</v>
      </c>
      <c r="AG59" s="126" t="s">
        <v>401</v>
      </c>
      <c r="AH59" s="135" t="s">
        <v>402</v>
      </c>
      <c r="AI59" s="125" t="s">
        <v>412</v>
      </c>
      <c r="AJ59" s="125">
        <v>0</v>
      </c>
      <c r="AK59" s="125">
        <v>0</v>
      </c>
      <c r="AL59" s="125">
        <v>0</v>
      </c>
      <c r="AM59" s="139" t="s">
        <v>414</v>
      </c>
      <c r="AN59" s="134">
        <v>1</v>
      </c>
      <c r="AO59" s="136" t="s">
        <v>398</v>
      </c>
      <c r="AP59" s="135"/>
      <c r="AQ59" s="104"/>
      <c r="AR59" s="104"/>
      <c r="AS59" s="104"/>
      <c r="AT59" s="104"/>
      <c r="AU59" s="104"/>
      <c r="AV59" s="104"/>
      <c r="AW59" s="104"/>
      <c r="AX59" s="104"/>
      <c r="AY59" s="104"/>
      <c r="AZ59" s="104"/>
      <c r="BA59" s="104"/>
      <c r="BB59" s="104"/>
      <c r="BC59" s="104"/>
      <c r="BD59" s="104"/>
      <c r="BE59" s="104"/>
      <c r="BF59" s="104"/>
      <c r="BG59" s="104"/>
      <c r="BH59" s="104"/>
      <c r="BI59" s="104"/>
      <c r="BJ59" s="104"/>
      <c r="BK59" s="104"/>
      <c r="BL59" s="104"/>
      <c r="BM59" s="104"/>
      <c r="BN59" s="104"/>
      <c r="BO59" s="104"/>
      <c r="BP59" s="104"/>
      <c r="BQ59" s="104"/>
      <c r="BR59" s="104"/>
      <c r="BS59" s="104"/>
      <c r="BT59" s="104"/>
      <c r="BU59" s="104"/>
      <c r="BV59" s="104"/>
      <c r="BW59" s="104"/>
      <c r="BX59" s="104"/>
      <c r="BY59" s="104"/>
      <c r="BZ59" s="104"/>
      <c r="CA59" s="104"/>
      <c r="CB59" s="104"/>
      <c r="CC59" s="104"/>
      <c r="CD59" s="104"/>
      <c r="CE59" s="104"/>
      <c r="CF59" s="104"/>
      <c r="CG59" s="104"/>
      <c r="CH59" s="104"/>
      <c r="CI59" s="104"/>
      <c r="CJ59" s="104"/>
      <c r="CK59" s="104"/>
      <c r="CL59" s="104"/>
      <c r="CM59" s="104"/>
      <c r="CN59" s="104"/>
      <c r="CO59" s="104"/>
      <c r="CP59" s="104"/>
      <c r="CQ59" s="104"/>
      <c r="CR59" s="104"/>
      <c r="CS59" s="104"/>
      <c r="CT59" s="104"/>
      <c r="CU59" s="104"/>
      <c r="CV59" s="104"/>
      <c r="CW59" s="104"/>
      <c r="CX59" s="104"/>
      <c r="CY59" s="104"/>
      <c r="CZ59" s="104"/>
      <c r="DA59" s="104"/>
      <c r="DB59" s="104"/>
      <c r="DC59" s="104"/>
      <c r="DD59" s="104"/>
      <c r="DE59" s="104"/>
      <c r="DF59" s="104"/>
      <c r="DG59" s="104"/>
      <c r="DH59" s="104"/>
      <c r="DI59" s="104"/>
      <c r="DJ59" s="104"/>
      <c r="DK59" s="104"/>
      <c r="DL59" s="104"/>
      <c r="DM59" s="104"/>
      <c r="DN59" s="104"/>
      <c r="DO59" s="104"/>
      <c r="DP59" s="104"/>
      <c r="DQ59" s="104"/>
      <c r="DR59" s="104"/>
      <c r="DS59" s="104"/>
      <c r="DT59" s="104"/>
      <c r="DU59" s="104"/>
      <c r="DV59" s="104"/>
      <c r="DW59" s="104"/>
      <c r="DX59" s="104"/>
      <c r="DY59" s="104"/>
      <c r="DZ59" s="104"/>
      <c r="EA59" s="104"/>
      <c r="EB59" s="104"/>
      <c r="EC59" s="104"/>
      <c r="ED59" s="104"/>
      <c r="EE59" s="104"/>
      <c r="EF59" s="104"/>
      <c r="EG59" s="104"/>
      <c r="EH59" s="104"/>
      <c r="EI59" s="104"/>
      <c r="EJ59" s="104"/>
      <c r="EK59" s="104"/>
      <c r="EL59" s="104"/>
      <c r="EM59" s="104"/>
      <c r="EN59" s="104"/>
      <c r="EO59" s="104"/>
      <c r="EP59" s="104"/>
      <c r="EQ59" s="104"/>
      <c r="ER59" s="104"/>
      <c r="ES59" s="104"/>
      <c r="ET59" s="104"/>
      <c r="EU59" s="104"/>
      <c r="EV59" s="104"/>
      <c r="EW59" s="104"/>
      <c r="EX59" s="104"/>
      <c r="EY59" s="104"/>
      <c r="EZ59" s="104"/>
      <c r="FA59" s="104"/>
      <c r="FB59" s="104"/>
      <c r="FC59" s="104"/>
      <c r="FD59" s="104"/>
      <c r="FE59" s="104"/>
      <c r="FF59" s="104"/>
      <c r="FG59" s="104"/>
      <c r="FH59" s="104"/>
      <c r="FI59" s="104"/>
      <c r="FJ59" s="104"/>
      <c r="FK59" s="104"/>
      <c r="FL59" s="104"/>
      <c r="FM59" s="104"/>
      <c r="FN59" s="104"/>
      <c r="FO59" s="104"/>
      <c r="FP59" s="104"/>
      <c r="FQ59" s="104"/>
      <c r="FR59" s="104"/>
      <c r="FS59" s="104"/>
      <c r="FT59" s="104"/>
      <c r="FU59" s="104"/>
      <c r="FV59" s="104"/>
      <c r="FW59" s="104"/>
      <c r="FX59" s="104"/>
      <c r="FY59" s="104"/>
      <c r="FZ59" s="104"/>
      <c r="GA59" s="104"/>
      <c r="GB59" s="104"/>
      <c r="GC59" s="104"/>
      <c r="GD59" s="104"/>
      <c r="GE59" s="104"/>
      <c r="GF59" s="104"/>
      <c r="GG59" s="104"/>
      <c r="GH59" s="104"/>
      <c r="GI59" s="104"/>
      <c r="GJ59" s="104"/>
      <c r="GK59" s="104"/>
      <c r="GL59" s="104"/>
      <c r="GM59" s="104"/>
      <c r="GN59" s="104"/>
      <c r="GO59" s="104"/>
      <c r="GP59" s="104"/>
      <c r="GQ59" s="104"/>
      <c r="GR59" s="104"/>
      <c r="GS59" s="104"/>
      <c r="GT59" s="104"/>
      <c r="GU59" s="104"/>
      <c r="GV59" s="104"/>
      <c r="GW59" s="104"/>
      <c r="GX59" s="104"/>
      <c r="GY59" s="104"/>
      <c r="GZ59" s="104"/>
      <c r="HA59" s="104"/>
      <c r="HB59" s="104"/>
      <c r="HC59" s="104"/>
      <c r="HD59" s="104"/>
      <c r="HE59" s="104"/>
      <c r="HF59" s="104"/>
      <c r="HG59" s="104"/>
      <c r="HH59" s="104"/>
      <c r="HI59" s="104"/>
      <c r="HJ59" s="104"/>
      <c r="HK59" s="104"/>
      <c r="HL59" s="104"/>
      <c r="HM59" s="104"/>
      <c r="HN59" s="104"/>
      <c r="HO59" s="104"/>
      <c r="HP59" s="104"/>
      <c r="HQ59" s="104"/>
      <c r="HR59" s="104"/>
      <c r="HS59" s="104"/>
      <c r="HT59" s="104"/>
      <c r="HU59" s="104"/>
      <c r="HV59" s="104"/>
      <c r="HW59" s="104"/>
      <c r="HX59" s="104"/>
      <c r="HY59" s="104"/>
      <c r="HZ59" s="104"/>
      <c r="IA59" s="104"/>
      <c r="IB59" s="104"/>
      <c r="IC59" s="104"/>
      <c r="ID59" s="104"/>
      <c r="IE59" s="104"/>
      <c r="IF59" s="104"/>
      <c r="IG59" s="104"/>
      <c r="IH59" s="104"/>
      <c r="II59" s="104"/>
      <c r="IJ59" s="104"/>
      <c r="IK59" s="104"/>
      <c r="IL59" s="104"/>
      <c r="IM59" s="104"/>
      <c r="IN59" s="104"/>
      <c r="IO59" s="104"/>
      <c r="IP59" s="104"/>
      <c r="IQ59" s="104"/>
      <c r="IR59" s="104"/>
      <c r="IS59" s="104"/>
      <c r="IT59" s="104"/>
      <c r="IU59" s="104"/>
      <c r="IV59" s="104"/>
      <c r="IW59" s="104"/>
      <c r="IX59" s="104"/>
      <c r="IY59" s="104"/>
      <c r="IZ59" s="104"/>
      <c r="JA59" s="104"/>
      <c r="JB59" s="104"/>
      <c r="JC59" s="104"/>
      <c r="JD59" s="104"/>
      <c r="JE59" s="104"/>
      <c r="JF59" s="104"/>
      <c r="JG59" s="104"/>
      <c r="JH59" s="104"/>
      <c r="JI59" s="104"/>
      <c r="JJ59" s="104"/>
      <c r="JK59" s="104"/>
      <c r="JL59" s="104"/>
      <c r="JM59" s="104"/>
      <c r="JN59" s="104"/>
      <c r="JO59" s="104"/>
      <c r="JP59" s="104"/>
      <c r="JQ59" s="104"/>
      <c r="JR59" s="104"/>
      <c r="JS59" s="104"/>
      <c r="JT59" s="104"/>
      <c r="JU59" s="104"/>
      <c r="JV59" s="104"/>
      <c r="JW59" s="104"/>
      <c r="JX59" s="104"/>
      <c r="JY59" s="104"/>
      <c r="JZ59" s="104"/>
      <c r="KA59" s="104"/>
      <c r="KB59" s="104"/>
      <c r="KC59" s="104"/>
      <c r="KD59" s="104"/>
      <c r="KE59" s="104"/>
      <c r="KF59" s="104"/>
      <c r="KG59" s="104"/>
      <c r="KH59" s="104"/>
      <c r="KI59" s="104"/>
      <c r="KJ59" s="104"/>
      <c r="KK59" s="104"/>
      <c r="KL59" s="104"/>
      <c r="KM59" s="104"/>
      <c r="KN59" s="104"/>
      <c r="KO59" s="104"/>
      <c r="KP59" s="104"/>
      <c r="KQ59" s="104"/>
      <c r="KR59" s="104"/>
      <c r="KS59" s="104"/>
      <c r="KT59" s="104"/>
      <c r="KU59" s="104"/>
      <c r="KV59" s="104"/>
      <c r="KW59" s="104"/>
      <c r="KX59" s="104"/>
      <c r="KY59" s="104"/>
      <c r="KZ59" s="104"/>
      <c r="LA59" s="104"/>
      <c r="LB59" s="104"/>
      <c r="LC59" s="104"/>
      <c r="LD59" s="104"/>
      <c r="LE59" s="104"/>
      <c r="LF59" s="104"/>
      <c r="LG59" s="104"/>
      <c r="LH59" s="104"/>
      <c r="LI59" s="104"/>
      <c r="LJ59" s="104"/>
      <c r="LK59" s="104"/>
      <c r="LL59" s="104"/>
      <c r="LM59" s="104"/>
      <c r="LN59" s="104"/>
      <c r="LO59" s="104"/>
      <c r="LP59" s="104"/>
      <c r="LQ59" s="104"/>
      <c r="LR59" s="104"/>
      <c r="LS59" s="104"/>
      <c r="LT59" s="104"/>
      <c r="LU59" s="104"/>
      <c r="LV59" s="104"/>
      <c r="LW59" s="104"/>
      <c r="LX59" s="104"/>
      <c r="LY59" s="104"/>
      <c r="LZ59" s="104"/>
      <c r="MA59" s="104"/>
      <c r="MB59" s="104"/>
      <c r="MC59" s="104"/>
      <c r="MD59" s="104"/>
      <c r="ME59" s="104"/>
      <c r="MF59" s="104"/>
      <c r="MG59" s="104"/>
      <c r="MH59" s="104"/>
      <c r="MI59" s="104"/>
      <c r="MJ59" s="104"/>
      <c r="MK59" s="104"/>
      <c r="ML59" s="104"/>
      <c r="MM59" s="104"/>
      <c r="MN59" s="104"/>
      <c r="MO59" s="104"/>
      <c r="MP59" s="104"/>
      <c r="MQ59" s="104"/>
      <c r="MR59" s="104"/>
      <c r="MS59" s="104"/>
      <c r="MT59" s="104"/>
      <c r="MU59" s="104"/>
      <c r="MV59" s="104"/>
      <c r="MW59" s="104"/>
      <c r="MX59" s="104"/>
      <c r="MY59" s="104"/>
      <c r="MZ59" s="104"/>
      <c r="NA59" s="104"/>
      <c r="NB59" s="104"/>
      <c r="NC59" s="104"/>
      <c r="ND59" s="104"/>
      <c r="NE59" s="104"/>
      <c r="NF59" s="104"/>
      <c r="NG59" s="104"/>
      <c r="NH59" s="104"/>
      <c r="NI59" s="104"/>
      <c r="NJ59" s="104"/>
      <c r="NK59" s="104"/>
      <c r="NL59" s="104"/>
      <c r="NM59" s="104"/>
      <c r="NN59" s="104"/>
      <c r="NO59" s="104"/>
      <c r="NP59" s="104"/>
      <c r="NQ59" s="104"/>
      <c r="NR59" s="104"/>
      <c r="NS59" s="104"/>
      <c r="NT59" s="104"/>
      <c r="NU59" s="104"/>
      <c r="NV59" s="104"/>
      <c r="NW59" s="104"/>
      <c r="NX59" s="104"/>
      <c r="NY59" s="104"/>
      <c r="NZ59" s="104"/>
    </row>
    <row r="60" spans="1:390" ht="15.75" customHeight="1" x14ac:dyDescent="0.3">
      <c r="A60" s="125">
        <v>4582002722</v>
      </c>
      <c r="B60" s="135" t="s">
        <v>398</v>
      </c>
      <c r="C60" s="135" t="s">
        <v>398</v>
      </c>
      <c r="D60" s="213" t="s">
        <v>398</v>
      </c>
      <c r="E60" s="135" t="s">
        <v>398</v>
      </c>
      <c r="F60" s="125" t="s">
        <v>398</v>
      </c>
      <c r="G60" s="135" t="s">
        <v>398</v>
      </c>
      <c r="H60" s="113" t="s">
        <v>398</v>
      </c>
      <c r="I60" s="135" t="s">
        <v>398</v>
      </c>
      <c r="J60" s="135" t="s">
        <v>398</v>
      </c>
      <c r="K60" s="128" t="s">
        <v>398</v>
      </c>
      <c r="L60" s="128" t="s">
        <v>398</v>
      </c>
      <c r="M60" s="128" t="s">
        <v>398</v>
      </c>
      <c r="N60" s="128" t="s">
        <v>398</v>
      </c>
      <c r="O60" s="128" t="s">
        <v>398</v>
      </c>
      <c r="P60" s="128" t="s">
        <v>398</v>
      </c>
      <c r="Q60" s="128" t="s">
        <v>398</v>
      </c>
      <c r="R60" s="128" t="s">
        <v>398</v>
      </c>
      <c r="S60" s="128" t="s">
        <v>398</v>
      </c>
      <c r="T60" s="128" t="s">
        <v>398</v>
      </c>
      <c r="U60" s="128" t="s">
        <v>398</v>
      </c>
      <c r="V60" s="128" t="s">
        <v>398</v>
      </c>
      <c r="W60" s="135" t="s">
        <v>552</v>
      </c>
      <c r="X60" s="135" t="s">
        <v>472</v>
      </c>
      <c r="Y60" s="113" t="s">
        <v>432</v>
      </c>
      <c r="Z60" s="111">
        <v>43075</v>
      </c>
      <c r="AA60" s="135"/>
      <c r="AB60" s="113" t="s">
        <v>399</v>
      </c>
      <c r="AC60" s="111">
        <v>19492</v>
      </c>
      <c r="AD60" s="135"/>
      <c r="AE60" s="142" t="e">
        <f t="shared" si="1"/>
        <v>#NUM!</v>
      </c>
      <c r="AF60" s="135" t="s">
        <v>398</v>
      </c>
      <c r="AG60" s="126" t="s">
        <v>398</v>
      </c>
      <c r="AH60" s="135" t="s">
        <v>398</v>
      </c>
      <c r="AI60" s="125" t="s">
        <v>398</v>
      </c>
      <c r="AJ60" s="125" t="s">
        <v>398</v>
      </c>
      <c r="AK60" s="125" t="s">
        <v>398</v>
      </c>
      <c r="AL60" s="125" t="s">
        <v>398</v>
      </c>
      <c r="AM60" s="139" t="s">
        <v>398</v>
      </c>
      <c r="AN60" s="134" t="s">
        <v>398</v>
      </c>
      <c r="AO60" s="136" t="s">
        <v>398</v>
      </c>
      <c r="AP60" s="136" t="s">
        <v>398</v>
      </c>
      <c r="AQ60" s="136" t="s">
        <v>398</v>
      </c>
      <c r="AR60" s="136" t="s">
        <v>398</v>
      </c>
      <c r="AS60" s="136" t="s">
        <v>398</v>
      </c>
      <c r="AT60" s="136" t="s">
        <v>398</v>
      </c>
      <c r="AU60" s="136" t="s">
        <v>398</v>
      </c>
      <c r="AV60" s="136" t="s">
        <v>398</v>
      </c>
      <c r="AW60" s="136" t="s">
        <v>398</v>
      </c>
      <c r="AX60" s="136" t="s">
        <v>398</v>
      </c>
      <c r="AY60" s="136" t="s">
        <v>398</v>
      </c>
      <c r="AZ60" s="136" t="s">
        <v>398</v>
      </c>
      <c r="BA60" s="136" t="s">
        <v>398</v>
      </c>
      <c r="BB60" s="136" t="s">
        <v>398</v>
      </c>
      <c r="BC60" s="136" t="s">
        <v>398</v>
      </c>
      <c r="BD60" s="136" t="s">
        <v>398</v>
      </c>
      <c r="BE60" s="136" t="s">
        <v>398</v>
      </c>
      <c r="BF60" s="136" t="s">
        <v>398</v>
      </c>
      <c r="BG60" s="136" t="s">
        <v>398</v>
      </c>
      <c r="BH60" s="136" t="s">
        <v>398</v>
      </c>
      <c r="BI60" s="136" t="s">
        <v>398</v>
      </c>
      <c r="BJ60" s="136" t="s">
        <v>398</v>
      </c>
      <c r="BK60" s="136" t="s">
        <v>398</v>
      </c>
      <c r="BL60" s="136" t="s">
        <v>398</v>
      </c>
      <c r="BM60" s="136" t="s">
        <v>398</v>
      </c>
      <c r="BN60" s="136" t="s">
        <v>398</v>
      </c>
      <c r="BO60" s="136" t="s">
        <v>398</v>
      </c>
      <c r="BP60" s="136" t="s">
        <v>398</v>
      </c>
      <c r="BQ60" s="136" t="s">
        <v>398</v>
      </c>
      <c r="BR60" s="136" t="s">
        <v>398</v>
      </c>
      <c r="BS60" s="136" t="s">
        <v>398</v>
      </c>
      <c r="BT60" s="136" t="s">
        <v>398</v>
      </c>
      <c r="BU60" s="136" t="s">
        <v>398</v>
      </c>
      <c r="BV60" s="136" t="s">
        <v>398</v>
      </c>
      <c r="BW60" s="136" t="s">
        <v>398</v>
      </c>
      <c r="BX60" s="136" t="s">
        <v>398</v>
      </c>
      <c r="BY60" s="136" t="s">
        <v>398</v>
      </c>
      <c r="BZ60" s="136" t="s">
        <v>398</v>
      </c>
      <c r="CA60" s="136" t="s">
        <v>398</v>
      </c>
      <c r="CB60" s="136" t="s">
        <v>398</v>
      </c>
      <c r="CC60" s="136" t="s">
        <v>398</v>
      </c>
      <c r="CD60" s="136" t="s">
        <v>398</v>
      </c>
      <c r="CE60" s="136" t="s">
        <v>398</v>
      </c>
      <c r="CF60" s="136" t="s">
        <v>398</v>
      </c>
      <c r="CG60" s="136" t="s">
        <v>398</v>
      </c>
      <c r="CH60" s="136" t="s">
        <v>398</v>
      </c>
      <c r="CI60" s="136" t="s">
        <v>398</v>
      </c>
      <c r="CJ60" s="136" t="s">
        <v>398</v>
      </c>
      <c r="CK60" s="136" t="s">
        <v>398</v>
      </c>
      <c r="CL60" s="136" t="s">
        <v>398</v>
      </c>
      <c r="CM60" s="136" t="s">
        <v>398</v>
      </c>
      <c r="CN60" s="136" t="s">
        <v>398</v>
      </c>
      <c r="CO60" s="136" t="s">
        <v>398</v>
      </c>
      <c r="CP60" s="136" t="s">
        <v>398</v>
      </c>
      <c r="CQ60" s="136" t="s">
        <v>398</v>
      </c>
      <c r="CR60" s="136" t="s">
        <v>398</v>
      </c>
      <c r="CS60" s="136" t="s">
        <v>398</v>
      </c>
      <c r="CT60" s="136" t="s">
        <v>398</v>
      </c>
      <c r="CU60" s="136" t="s">
        <v>398</v>
      </c>
      <c r="CV60" s="136" t="s">
        <v>398</v>
      </c>
      <c r="CW60" s="136" t="s">
        <v>398</v>
      </c>
      <c r="CX60" s="136" t="s">
        <v>398</v>
      </c>
      <c r="CY60" s="136" t="s">
        <v>398</v>
      </c>
      <c r="CZ60" s="136" t="s">
        <v>398</v>
      </c>
      <c r="DA60" s="136" t="s">
        <v>398</v>
      </c>
      <c r="DB60" s="136" t="s">
        <v>398</v>
      </c>
      <c r="DC60" s="136" t="s">
        <v>398</v>
      </c>
      <c r="DD60" s="136" t="s">
        <v>398</v>
      </c>
      <c r="DE60" s="136" t="s">
        <v>398</v>
      </c>
      <c r="DF60" s="136" t="s">
        <v>398</v>
      </c>
      <c r="DG60" s="136" t="s">
        <v>398</v>
      </c>
      <c r="DH60" s="136" t="s">
        <v>398</v>
      </c>
      <c r="DI60" s="136" t="s">
        <v>398</v>
      </c>
      <c r="DJ60" s="136" t="s">
        <v>398</v>
      </c>
      <c r="DK60" s="136" t="s">
        <v>398</v>
      </c>
      <c r="DL60" s="136" t="s">
        <v>398</v>
      </c>
      <c r="DM60" s="136" t="s">
        <v>398</v>
      </c>
      <c r="DN60" s="136" t="s">
        <v>398</v>
      </c>
      <c r="DO60" s="136" t="s">
        <v>398</v>
      </c>
      <c r="DP60" s="136" t="s">
        <v>398</v>
      </c>
      <c r="DQ60" s="136" t="s">
        <v>398</v>
      </c>
      <c r="DR60" s="136" t="s">
        <v>398</v>
      </c>
      <c r="DS60" s="136" t="s">
        <v>398</v>
      </c>
      <c r="DT60" s="136" t="s">
        <v>398</v>
      </c>
      <c r="DU60" s="136" t="s">
        <v>398</v>
      </c>
      <c r="DV60" s="136" t="s">
        <v>398</v>
      </c>
      <c r="DW60" s="136" t="s">
        <v>398</v>
      </c>
      <c r="DX60" s="136" t="s">
        <v>398</v>
      </c>
      <c r="DY60" s="136" t="s">
        <v>398</v>
      </c>
      <c r="DZ60" s="136" t="s">
        <v>398</v>
      </c>
      <c r="EA60" s="136" t="s">
        <v>398</v>
      </c>
      <c r="EB60" s="136" t="s">
        <v>398</v>
      </c>
      <c r="EC60" s="136" t="s">
        <v>398</v>
      </c>
      <c r="ED60" s="136" t="s">
        <v>398</v>
      </c>
      <c r="EE60" s="136" t="s">
        <v>398</v>
      </c>
      <c r="EF60" s="136" t="s">
        <v>398</v>
      </c>
      <c r="EG60" s="136" t="s">
        <v>398</v>
      </c>
      <c r="EH60" s="136" t="s">
        <v>398</v>
      </c>
      <c r="EI60" s="136" t="s">
        <v>398</v>
      </c>
      <c r="EJ60" s="136" t="s">
        <v>398</v>
      </c>
      <c r="EK60" s="136" t="s">
        <v>398</v>
      </c>
      <c r="EL60" s="136" t="s">
        <v>398</v>
      </c>
      <c r="EM60" s="136" t="s">
        <v>398</v>
      </c>
      <c r="EN60" s="136" t="s">
        <v>398</v>
      </c>
      <c r="EO60" s="136" t="s">
        <v>398</v>
      </c>
      <c r="EP60" s="136" t="s">
        <v>398</v>
      </c>
      <c r="EQ60" s="136" t="s">
        <v>398</v>
      </c>
      <c r="ER60" s="136" t="s">
        <v>398</v>
      </c>
      <c r="ES60" s="136" t="s">
        <v>398</v>
      </c>
      <c r="ET60" s="136" t="s">
        <v>398</v>
      </c>
      <c r="EU60" s="136" t="s">
        <v>398</v>
      </c>
      <c r="EV60" s="136" t="s">
        <v>398</v>
      </c>
      <c r="EW60" s="136" t="s">
        <v>398</v>
      </c>
      <c r="EX60" s="136" t="s">
        <v>398</v>
      </c>
      <c r="EY60" s="136" t="s">
        <v>398</v>
      </c>
      <c r="EZ60" s="136" t="s">
        <v>398</v>
      </c>
      <c r="FA60" s="136" t="s">
        <v>398</v>
      </c>
      <c r="FB60" s="136" t="s">
        <v>398</v>
      </c>
      <c r="FC60" s="136" t="s">
        <v>398</v>
      </c>
      <c r="FD60" s="136" t="s">
        <v>398</v>
      </c>
      <c r="FE60" s="136" t="s">
        <v>398</v>
      </c>
      <c r="FF60" s="136" t="s">
        <v>398</v>
      </c>
      <c r="FG60" s="136" t="s">
        <v>398</v>
      </c>
      <c r="FH60" s="136" t="s">
        <v>398</v>
      </c>
      <c r="FI60" s="136" t="s">
        <v>398</v>
      </c>
      <c r="FJ60" s="136" t="s">
        <v>398</v>
      </c>
      <c r="FK60" s="136" t="s">
        <v>398</v>
      </c>
      <c r="FL60" s="136" t="s">
        <v>398</v>
      </c>
      <c r="FM60" s="136" t="s">
        <v>398</v>
      </c>
      <c r="FN60" s="136" t="s">
        <v>398</v>
      </c>
      <c r="FO60" s="136" t="s">
        <v>398</v>
      </c>
      <c r="FP60" s="136" t="s">
        <v>398</v>
      </c>
      <c r="FQ60" s="136" t="s">
        <v>398</v>
      </c>
      <c r="FR60" s="136" t="s">
        <v>398</v>
      </c>
      <c r="FS60" s="136" t="s">
        <v>398</v>
      </c>
      <c r="FT60" s="136" t="s">
        <v>398</v>
      </c>
      <c r="FU60" s="136" t="s">
        <v>398</v>
      </c>
      <c r="FV60" s="136" t="s">
        <v>398</v>
      </c>
      <c r="FW60" s="136" t="s">
        <v>398</v>
      </c>
      <c r="FX60" s="136" t="s">
        <v>398</v>
      </c>
      <c r="FY60" s="136" t="s">
        <v>398</v>
      </c>
      <c r="FZ60" s="136" t="s">
        <v>398</v>
      </c>
      <c r="GA60" s="136" t="s">
        <v>398</v>
      </c>
      <c r="GB60" s="136" t="s">
        <v>398</v>
      </c>
      <c r="GC60" s="136" t="s">
        <v>398</v>
      </c>
      <c r="GD60" s="136" t="s">
        <v>398</v>
      </c>
      <c r="GE60" s="136" t="s">
        <v>398</v>
      </c>
      <c r="GF60" s="136" t="s">
        <v>398</v>
      </c>
      <c r="GG60" s="136" t="s">
        <v>398</v>
      </c>
      <c r="GH60" s="136" t="s">
        <v>398</v>
      </c>
      <c r="GI60" s="136" t="s">
        <v>398</v>
      </c>
      <c r="GJ60" s="136" t="s">
        <v>398</v>
      </c>
      <c r="GK60" s="136" t="s">
        <v>398</v>
      </c>
      <c r="GL60" s="136" t="s">
        <v>398</v>
      </c>
      <c r="GM60" s="136" t="s">
        <v>398</v>
      </c>
      <c r="GN60" s="136" t="s">
        <v>398</v>
      </c>
      <c r="GO60" s="136" t="s">
        <v>398</v>
      </c>
      <c r="GP60" s="136" t="s">
        <v>398</v>
      </c>
      <c r="GQ60" s="136" t="s">
        <v>398</v>
      </c>
      <c r="GR60" s="136" t="s">
        <v>398</v>
      </c>
      <c r="GS60" s="136" t="s">
        <v>398</v>
      </c>
      <c r="GT60" s="136" t="s">
        <v>398</v>
      </c>
      <c r="GU60" s="136" t="s">
        <v>398</v>
      </c>
      <c r="GV60" s="136" t="s">
        <v>398</v>
      </c>
      <c r="GW60" s="136" t="s">
        <v>398</v>
      </c>
      <c r="GX60" s="136" t="s">
        <v>398</v>
      </c>
      <c r="GY60" s="136" t="s">
        <v>398</v>
      </c>
      <c r="GZ60" s="136" t="s">
        <v>398</v>
      </c>
      <c r="HA60" s="136" t="s">
        <v>398</v>
      </c>
      <c r="HB60" s="136" t="s">
        <v>398</v>
      </c>
      <c r="HC60" s="136" t="s">
        <v>398</v>
      </c>
      <c r="HD60" s="136" t="s">
        <v>398</v>
      </c>
      <c r="HE60" s="136" t="s">
        <v>398</v>
      </c>
      <c r="HF60" s="136" t="s">
        <v>398</v>
      </c>
      <c r="HG60" s="136" t="s">
        <v>398</v>
      </c>
      <c r="HH60" s="136" t="s">
        <v>398</v>
      </c>
      <c r="HI60" s="136" t="s">
        <v>398</v>
      </c>
      <c r="HJ60" s="136" t="s">
        <v>398</v>
      </c>
      <c r="HK60" s="136" t="s">
        <v>398</v>
      </c>
      <c r="HL60" s="136" t="s">
        <v>398</v>
      </c>
      <c r="HM60" s="136" t="s">
        <v>398</v>
      </c>
      <c r="HN60" s="136" t="s">
        <v>398</v>
      </c>
      <c r="HO60" s="136" t="s">
        <v>398</v>
      </c>
      <c r="HP60" s="136" t="s">
        <v>398</v>
      </c>
      <c r="HQ60" s="136" t="s">
        <v>398</v>
      </c>
      <c r="HR60" s="136" t="s">
        <v>398</v>
      </c>
      <c r="HS60" s="136" t="s">
        <v>398</v>
      </c>
      <c r="HT60" s="136" t="s">
        <v>398</v>
      </c>
      <c r="HU60" s="136" t="s">
        <v>398</v>
      </c>
      <c r="HV60" s="136" t="s">
        <v>398</v>
      </c>
      <c r="HW60" s="136" t="s">
        <v>398</v>
      </c>
      <c r="HX60" s="136" t="s">
        <v>398</v>
      </c>
      <c r="HY60" s="136" t="s">
        <v>398</v>
      </c>
      <c r="HZ60" s="136" t="s">
        <v>398</v>
      </c>
      <c r="IA60" s="136" t="s">
        <v>398</v>
      </c>
      <c r="IB60" s="136" t="s">
        <v>398</v>
      </c>
      <c r="IC60" s="136" t="s">
        <v>398</v>
      </c>
      <c r="ID60" s="136" t="s">
        <v>398</v>
      </c>
      <c r="IE60" s="136" t="s">
        <v>398</v>
      </c>
      <c r="IF60" s="136" t="s">
        <v>398</v>
      </c>
      <c r="IG60" s="136" t="s">
        <v>398</v>
      </c>
      <c r="IH60" s="136" t="s">
        <v>398</v>
      </c>
      <c r="II60" s="136" t="s">
        <v>398</v>
      </c>
      <c r="IJ60" s="136" t="s">
        <v>398</v>
      </c>
      <c r="IK60" s="136" t="s">
        <v>398</v>
      </c>
      <c r="IL60" s="136" t="s">
        <v>398</v>
      </c>
      <c r="IM60" s="136" t="s">
        <v>398</v>
      </c>
      <c r="IN60" s="136" t="s">
        <v>398</v>
      </c>
      <c r="IO60" s="136" t="s">
        <v>398</v>
      </c>
      <c r="IP60" s="136" t="s">
        <v>398</v>
      </c>
      <c r="IQ60" s="136" t="s">
        <v>398</v>
      </c>
      <c r="IR60" s="136" t="s">
        <v>398</v>
      </c>
      <c r="IS60" s="136" t="s">
        <v>398</v>
      </c>
      <c r="IT60" s="136" t="s">
        <v>398</v>
      </c>
      <c r="IU60" s="136" t="s">
        <v>398</v>
      </c>
      <c r="IV60" s="136" t="s">
        <v>398</v>
      </c>
      <c r="IW60" s="136" t="s">
        <v>398</v>
      </c>
      <c r="IX60" s="136" t="s">
        <v>398</v>
      </c>
      <c r="IY60" s="136" t="s">
        <v>398</v>
      </c>
      <c r="IZ60" s="136" t="s">
        <v>398</v>
      </c>
      <c r="JA60" s="136" t="s">
        <v>398</v>
      </c>
      <c r="JB60" s="136" t="s">
        <v>398</v>
      </c>
      <c r="JC60" s="136" t="s">
        <v>398</v>
      </c>
      <c r="JD60" s="136" t="s">
        <v>398</v>
      </c>
      <c r="JE60" s="136" t="s">
        <v>398</v>
      </c>
      <c r="JF60" s="136" t="s">
        <v>398</v>
      </c>
      <c r="JG60" s="136" t="s">
        <v>398</v>
      </c>
      <c r="JH60" s="136" t="s">
        <v>398</v>
      </c>
      <c r="JI60" s="136" t="s">
        <v>398</v>
      </c>
      <c r="JJ60" s="136" t="s">
        <v>398</v>
      </c>
      <c r="JK60" s="136" t="s">
        <v>398</v>
      </c>
      <c r="JL60" s="136" t="s">
        <v>398</v>
      </c>
      <c r="JM60" s="136" t="s">
        <v>398</v>
      </c>
      <c r="JN60" s="136" t="s">
        <v>398</v>
      </c>
      <c r="JO60" s="136" t="s">
        <v>398</v>
      </c>
      <c r="JP60" s="136" t="s">
        <v>398</v>
      </c>
      <c r="JQ60" s="136" t="s">
        <v>398</v>
      </c>
      <c r="JR60" s="136" t="s">
        <v>398</v>
      </c>
      <c r="JS60" s="136" t="s">
        <v>398</v>
      </c>
      <c r="JT60" s="136" t="s">
        <v>398</v>
      </c>
      <c r="JU60" s="136" t="s">
        <v>398</v>
      </c>
      <c r="JV60" s="136" t="s">
        <v>398</v>
      </c>
      <c r="JW60" s="136" t="s">
        <v>398</v>
      </c>
      <c r="JX60" s="136" t="s">
        <v>398</v>
      </c>
      <c r="JY60" s="136" t="s">
        <v>398</v>
      </c>
      <c r="JZ60" s="136" t="s">
        <v>398</v>
      </c>
      <c r="KA60" s="136" t="s">
        <v>398</v>
      </c>
      <c r="KB60" s="136" t="s">
        <v>398</v>
      </c>
      <c r="KC60" s="136" t="s">
        <v>398</v>
      </c>
      <c r="KD60" s="136" t="s">
        <v>398</v>
      </c>
      <c r="KE60" s="136" t="s">
        <v>398</v>
      </c>
      <c r="KF60" s="136" t="s">
        <v>398</v>
      </c>
      <c r="KG60" s="136" t="s">
        <v>398</v>
      </c>
      <c r="KH60" s="136" t="s">
        <v>398</v>
      </c>
      <c r="KI60" s="136" t="s">
        <v>398</v>
      </c>
      <c r="KJ60" s="136" t="s">
        <v>398</v>
      </c>
      <c r="KK60" s="136" t="s">
        <v>398</v>
      </c>
      <c r="KL60" s="136" t="s">
        <v>398</v>
      </c>
      <c r="KM60" s="136" t="s">
        <v>398</v>
      </c>
      <c r="KN60" s="136" t="s">
        <v>398</v>
      </c>
      <c r="KO60" s="136" t="s">
        <v>398</v>
      </c>
      <c r="KP60" s="136" t="s">
        <v>398</v>
      </c>
      <c r="KQ60" s="136" t="s">
        <v>398</v>
      </c>
      <c r="KR60" s="136" t="s">
        <v>398</v>
      </c>
      <c r="KS60" s="136" t="s">
        <v>398</v>
      </c>
      <c r="KT60" s="136" t="s">
        <v>398</v>
      </c>
      <c r="KU60" s="136" t="s">
        <v>398</v>
      </c>
      <c r="KV60" s="136" t="s">
        <v>398</v>
      </c>
      <c r="KW60" s="136" t="s">
        <v>398</v>
      </c>
      <c r="KX60" s="136" t="s">
        <v>398</v>
      </c>
      <c r="KY60" s="136" t="s">
        <v>398</v>
      </c>
      <c r="KZ60" s="136" t="s">
        <v>398</v>
      </c>
      <c r="LA60" s="136" t="s">
        <v>398</v>
      </c>
      <c r="LB60" s="136" t="s">
        <v>398</v>
      </c>
      <c r="LC60" s="136" t="s">
        <v>398</v>
      </c>
      <c r="LD60" s="136" t="s">
        <v>398</v>
      </c>
      <c r="LE60" s="136" t="s">
        <v>398</v>
      </c>
      <c r="LF60" s="136" t="s">
        <v>398</v>
      </c>
      <c r="LG60" s="136" t="s">
        <v>398</v>
      </c>
      <c r="LH60" s="136" t="s">
        <v>398</v>
      </c>
      <c r="LI60" s="136" t="s">
        <v>398</v>
      </c>
      <c r="LJ60" s="136" t="s">
        <v>398</v>
      </c>
      <c r="LK60" s="136" t="s">
        <v>398</v>
      </c>
      <c r="LL60" s="136" t="s">
        <v>398</v>
      </c>
      <c r="LM60" s="136" t="s">
        <v>398</v>
      </c>
      <c r="LN60" s="136" t="s">
        <v>398</v>
      </c>
      <c r="LO60" s="136" t="s">
        <v>398</v>
      </c>
      <c r="LP60" s="136" t="s">
        <v>398</v>
      </c>
      <c r="LQ60" s="136" t="s">
        <v>398</v>
      </c>
      <c r="LR60" s="136" t="s">
        <v>398</v>
      </c>
      <c r="LS60" s="136" t="s">
        <v>398</v>
      </c>
      <c r="LT60" s="136" t="s">
        <v>398</v>
      </c>
      <c r="LU60" s="136" t="s">
        <v>398</v>
      </c>
      <c r="LV60" s="136" t="s">
        <v>398</v>
      </c>
      <c r="LW60" s="136" t="s">
        <v>398</v>
      </c>
      <c r="LX60" s="136" t="s">
        <v>398</v>
      </c>
      <c r="LY60" s="136" t="s">
        <v>398</v>
      </c>
      <c r="LZ60" s="136" t="s">
        <v>398</v>
      </c>
      <c r="MA60" s="136" t="s">
        <v>398</v>
      </c>
      <c r="MB60" s="136" t="s">
        <v>398</v>
      </c>
      <c r="MC60" s="136" t="s">
        <v>398</v>
      </c>
      <c r="MD60" s="136" t="s">
        <v>398</v>
      </c>
      <c r="ME60" s="136" t="s">
        <v>398</v>
      </c>
      <c r="MF60" s="136" t="s">
        <v>398</v>
      </c>
      <c r="MG60" s="136" t="s">
        <v>398</v>
      </c>
      <c r="MH60" s="136" t="s">
        <v>398</v>
      </c>
      <c r="MI60" s="136" t="s">
        <v>398</v>
      </c>
      <c r="MJ60" s="136" t="s">
        <v>398</v>
      </c>
      <c r="MK60" s="136" t="s">
        <v>398</v>
      </c>
      <c r="ML60" s="136" t="s">
        <v>398</v>
      </c>
      <c r="MM60" s="136" t="s">
        <v>398</v>
      </c>
      <c r="MN60" s="136" t="s">
        <v>398</v>
      </c>
      <c r="MO60" s="136" t="s">
        <v>398</v>
      </c>
      <c r="MP60" s="136" t="s">
        <v>398</v>
      </c>
      <c r="MQ60" s="136" t="s">
        <v>398</v>
      </c>
      <c r="MR60" s="136" t="s">
        <v>398</v>
      </c>
      <c r="MS60" s="136" t="s">
        <v>398</v>
      </c>
      <c r="MT60" s="136" t="s">
        <v>398</v>
      </c>
      <c r="MU60" s="136" t="s">
        <v>398</v>
      </c>
      <c r="MV60" s="136" t="s">
        <v>398</v>
      </c>
      <c r="MW60" s="136" t="s">
        <v>398</v>
      </c>
      <c r="MX60" s="136" t="s">
        <v>398</v>
      </c>
      <c r="MY60" s="136" t="s">
        <v>398</v>
      </c>
      <c r="MZ60" s="136" t="s">
        <v>398</v>
      </c>
      <c r="NA60" s="136" t="s">
        <v>398</v>
      </c>
      <c r="NB60" s="136" t="s">
        <v>398</v>
      </c>
      <c r="NC60" s="136" t="s">
        <v>398</v>
      </c>
      <c r="ND60" s="136" t="s">
        <v>398</v>
      </c>
      <c r="NE60" s="136" t="s">
        <v>398</v>
      </c>
      <c r="NF60" s="136" t="s">
        <v>398</v>
      </c>
      <c r="NG60" s="136" t="s">
        <v>398</v>
      </c>
      <c r="NH60" s="136" t="s">
        <v>398</v>
      </c>
      <c r="NI60" s="136" t="s">
        <v>398</v>
      </c>
      <c r="NJ60" s="136" t="s">
        <v>398</v>
      </c>
      <c r="NK60" s="136" t="s">
        <v>398</v>
      </c>
      <c r="NL60" s="136" t="s">
        <v>398</v>
      </c>
      <c r="NM60" s="136" t="s">
        <v>398</v>
      </c>
      <c r="NN60" s="136" t="s">
        <v>398</v>
      </c>
      <c r="NO60" s="136" t="s">
        <v>398</v>
      </c>
      <c r="NP60" s="136" t="s">
        <v>398</v>
      </c>
      <c r="NQ60" s="136" t="s">
        <v>398</v>
      </c>
      <c r="NR60" s="136" t="s">
        <v>398</v>
      </c>
      <c r="NS60" s="136" t="s">
        <v>398</v>
      </c>
      <c r="NT60" s="136" t="s">
        <v>398</v>
      </c>
      <c r="NU60" s="136" t="s">
        <v>398</v>
      </c>
      <c r="NV60" s="136" t="s">
        <v>398</v>
      </c>
      <c r="NW60" s="136" t="s">
        <v>398</v>
      </c>
      <c r="NX60" s="136" t="s">
        <v>398</v>
      </c>
      <c r="NY60" s="136" t="s">
        <v>398</v>
      </c>
      <c r="NZ60" s="136" t="s">
        <v>398</v>
      </c>
    </row>
    <row r="61" spans="1:390" ht="15.75" customHeight="1" x14ac:dyDescent="0.3">
      <c r="A61" s="125">
        <v>6286806113</v>
      </c>
      <c r="B61" s="135"/>
      <c r="C61" s="135"/>
      <c r="D61" s="213" t="s">
        <v>391</v>
      </c>
      <c r="E61" s="135" t="s">
        <v>553</v>
      </c>
      <c r="F61" s="125" t="s">
        <v>395</v>
      </c>
      <c r="G61" s="125" t="s">
        <v>465</v>
      </c>
      <c r="H61" s="111">
        <v>43077</v>
      </c>
      <c r="I61" s="135" t="s">
        <v>483</v>
      </c>
      <c r="J61" s="135" t="s">
        <v>397</v>
      </c>
      <c r="K61" s="128" t="s">
        <v>398</v>
      </c>
      <c r="L61" s="128" t="s">
        <v>398</v>
      </c>
      <c r="M61" s="128" t="s">
        <v>398</v>
      </c>
      <c r="N61" s="128" t="s">
        <v>398</v>
      </c>
      <c r="O61" s="128" t="s">
        <v>398</v>
      </c>
      <c r="P61" s="128" t="s">
        <v>398</v>
      </c>
      <c r="Q61" s="128" t="s">
        <v>398</v>
      </c>
      <c r="R61" s="128" t="s">
        <v>398</v>
      </c>
      <c r="S61" s="128" t="s">
        <v>398</v>
      </c>
      <c r="T61" s="128" t="s">
        <v>398</v>
      </c>
      <c r="U61" s="128" t="s">
        <v>398</v>
      </c>
      <c r="V61" s="128" t="s">
        <v>398</v>
      </c>
      <c r="W61" s="135" t="s">
        <v>398</v>
      </c>
      <c r="X61" s="135" t="s">
        <v>398</v>
      </c>
      <c r="Y61" s="113" t="s">
        <v>398</v>
      </c>
      <c r="Z61" s="113" t="s">
        <v>398</v>
      </c>
      <c r="AA61" s="135"/>
      <c r="AB61" s="113" t="s">
        <v>399</v>
      </c>
      <c r="AC61" s="111">
        <v>16104</v>
      </c>
      <c r="AD61" s="135"/>
      <c r="AE61" s="142" t="e">
        <f t="shared" si="1"/>
        <v>#NUM!</v>
      </c>
      <c r="AF61" s="135" t="s">
        <v>554</v>
      </c>
      <c r="AG61" s="126" t="s">
        <v>401</v>
      </c>
      <c r="AH61" s="135" t="s">
        <v>402</v>
      </c>
      <c r="AI61" s="125" t="s">
        <v>455</v>
      </c>
      <c r="AJ61" s="125">
        <v>0</v>
      </c>
      <c r="AK61" s="125">
        <v>0</v>
      </c>
      <c r="AL61" s="125">
        <v>0</v>
      </c>
      <c r="AM61" s="139" t="s">
        <v>456</v>
      </c>
      <c r="AN61" s="134">
        <v>3</v>
      </c>
      <c r="AO61" s="136" t="s">
        <v>398</v>
      </c>
      <c r="AP61" s="135"/>
      <c r="AQ61" s="104"/>
      <c r="AR61" s="104"/>
      <c r="AS61" s="104"/>
      <c r="AT61" s="104"/>
      <c r="AU61" s="104"/>
      <c r="AV61" s="104"/>
      <c r="AW61" s="104"/>
      <c r="AX61" s="104"/>
      <c r="AY61" s="104"/>
      <c r="AZ61" s="104"/>
      <c r="BA61" s="104"/>
      <c r="BB61" s="104"/>
      <c r="BC61" s="104"/>
      <c r="BD61" s="104"/>
      <c r="BE61" s="104"/>
      <c r="BF61" s="104"/>
      <c r="BG61" s="104"/>
      <c r="BH61" s="104"/>
      <c r="BI61" s="104"/>
      <c r="BJ61" s="104"/>
      <c r="BK61" s="104"/>
      <c r="BL61" s="104"/>
      <c r="BM61" s="104"/>
      <c r="BN61" s="104"/>
      <c r="BO61" s="104"/>
      <c r="BP61" s="104"/>
      <c r="BQ61" s="104"/>
      <c r="BR61" s="104"/>
      <c r="BS61" s="104"/>
      <c r="BT61" s="104"/>
      <c r="BU61" s="104"/>
      <c r="BV61" s="104"/>
      <c r="BW61" s="104"/>
      <c r="BX61" s="104"/>
      <c r="BY61" s="104"/>
      <c r="BZ61" s="104"/>
      <c r="CA61" s="104"/>
      <c r="CB61" s="104"/>
      <c r="CC61" s="104"/>
      <c r="CD61" s="104"/>
      <c r="CE61" s="104"/>
      <c r="CF61" s="104"/>
      <c r="CG61" s="104"/>
      <c r="CH61" s="104"/>
      <c r="CI61" s="104"/>
      <c r="CJ61" s="104"/>
      <c r="CK61" s="104"/>
      <c r="CL61" s="104"/>
      <c r="CM61" s="104"/>
      <c r="CN61" s="104"/>
      <c r="CO61" s="104"/>
      <c r="CP61" s="104"/>
      <c r="CQ61" s="104"/>
      <c r="CR61" s="104"/>
      <c r="CS61" s="104"/>
      <c r="CT61" s="104"/>
      <c r="CU61" s="104"/>
      <c r="CV61" s="104"/>
      <c r="CW61" s="104"/>
      <c r="CX61" s="104"/>
      <c r="CY61" s="104"/>
      <c r="CZ61" s="104"/>
      <c r="DA61" s="104"/>
      <c r="DB61" s="104"/>
      <c r="DC61" s="104"/>
      <c r="DD61" s="104"/>
      <c r="DE61" s="104"/>
      <c r="DF61" s="104"/>
      <c r="DG61" s="104"/>
      <c r="DH61" s="104"/>
      <c r="DI61" s="104"/>
      <c r="DJ61" s="104"/>
      <c r="DK61" s="104"/>
      <c r="DL61" s="104"/>
      <c r="DM61" s="104"/>
      <c r="DN61" s="104"/>
      <c r="DO61" s="104"/>
      <c r="DP61" s="104"/>
      <c r="DQ61" s="104"/>
      <c r="DR61" s="104"/>
      <c r="DS61" s="104"/>
      <c r="DT61" s="104"/>
      <c r="DU61" s="104"/>
      <c r="DV61" s="104"/>
      <c r="DW61" s="104"/>
      <c r="DX61" s="104"/>
      <c r="DY61" s="104"/>
      <c r="DZ61" s="104"/>
      <c r="EA61" s="104"/>
      <c r="EB61" s="104"/>
      <c r="EC61" s="104"/>
      <c r="ED61" s="104"/>
      <c r="EE61" s="104"/>
      <c r="EF61" s="104"/>
      <c r="EG61" s="104"/>
      <c r="EH61" s="104"/>
      <c r="EI61" s="104"/>
      <c r="EJ61" s="104"/>
      <c r="EK61" s="104"/>
      <c r="EL61" s="104"/>
      <c r="EM61" s="104"/>
      <c r="EN61" s="104"/>
      <c r="EO61" s="104"/>
      <c r="EP61" s="104"/>
      <c r="EQ61" s="104"/>
      <c r="ER61" s="104"/>
      <c r="ES61" s="104"/>
      <c r="ET61" s="104"/>
      <c r="EU61" s="104"/>
      <c r="EV61" s="104"/>
      <c r="EW61" s="104"/>
      <c r="EX61" s="104"/>
      <c r="EY61" s="104"/>
      <c r="EZ61" s="104"/>
      <c r="FA61" s="104"/>
      <c r="FB61" s="104"/>
      <c r="FC61" s="104"/>
      <c r="FD61" s="104"/>
      <c r="FE61" s="104"/>
      <c r="FF61" s="104"/>
      <c r="FG61" s="104"/>
      <c r="FH61" s="104"/>
      <c r="FI61" s="104"/>
      <c r="FJ61" s="104"/>
      <c r="FK61" s="104"/>
      <c r="FL61" s="104"/>
      <c r="FM61" s="104"/>
      <c r="FN61" s="104"/>
      <c r="FO61" s="104"/>
      <c r="FP61" s="104"/>
      <c r="FQ61" s="104"/>
      <c r="FR61" s="104"/>
      <c r="FS61" s="104"/>
      <c r="FT61" s="104"/>
      <c r="FU61" s="104"/>
      <c r="FV61" s="104"/>
      <c r="FW61" s="104"/>
      <c r="FX61" s="104"/>
      <c r="FY61" s="104"/>
      <c r="FZ61" s="104"/>
      <c r="GA61" s="104"/>
      <c r="GB61" s="104"/>
      <c r="GC61" s="104"/>
      <c r="GD61" s="104"/>
      <c r="GE61" s="104"/>
      <c r="GF61" s="104"/>
      <c r="GG61" s="104"/>
      <c r="GH61" s="104"/>
      <c r="GI61" s="104"/>
      <c r="GJ61" s="104"/>
      <c r="GK61" s="104"/>
      <c r="GL61" s="104"/>
      <c r="GM61" s="104"/>
      <c r="GN61" s="104"/>
      <c r="GO61" s="104"/>
      <c r="GP61" s="104"/>
      <c r="GQ61" s="104"/>
      <c r="GR61" s="104"/>
      <c r="GS61" s="104"/>
      <c r="GT61" s="104"/>
      <c r="GU61" s="104"/>
      <c r="GV61" s="104"/>
      <c r="GW61" s="104"/>
      <c r="GX61" s="104"/>
      <c r="GY61" s="104"/>
      <c r="GZ61" s="104"/>
      <c r="HA61" s="104"/>
      <c r="HB61" s="104"/>
      <c r="HC61" s="104"/>
      <c r="HD61" s="104"/>
      <c r="HE61" s="104"/>
      <c r="HF61" s="104"/>
      <c r="HG61" s="104"/>
      <c r="HH61" s="104"/>
      <c r="HI61" s="104"/>
      <c r="HJ61" s="104"/>
      <c r="HK61" s="104"/>
      <c r="HL61" s="104"/>
      <c r="HM61" s="104"/>
      <c r="HN61" s="104"/>
      <c r="HO61" s="104"/>
      <c r="HP61" s="104"/>
      <c r="HQ61" s="104"/>
      <c r="HR61" s="104"/>
      <c r="HS61" s="104"/>
      <c r="HT61" s="104"/>
      <c r="HU61" s="104"/>
      <c r="HV61" s="104"/>
      <c r="HW61" s="104"/>
      <c r="HX61" s="104"/>
      <c r="HY61" s="104"/>
      <c r="HZ61" s="104"/>
      <c r="IA61" s="104"/>
      <c r="IB61" s="104"/>
      <c r="IC61" s="104"/>
      <c r="ID61" s="104"/>
      <c r="IE61" s="104"/>
      <c r="IF61" s="104"/>
      <c r="IG61" s="104"/>
      <c r="IH61" s="104"/>
      <c r="II61" s="104"/>
      <c r="IJ61" s="104"/>
      <c r="IK61" s="104"/>
      <c r="IL61" s="104"/>
      <c r="IM61" s="104"/>
      <c r="IN61" s="104"/>
      <c r="IO61" s="104"/>
      <c r="IP61" s="104"/>
      <c r="IQ61" s="104"/>
      <c r="IR61" s="104"/>
      <c r="IS61" s="104"/>
      <c r="IT61" s="104"/>
      <c r="IU61" s="104"/>
      <c r="IV61" s="104"/>
      <c r="IW61" s="104"/>
      <c r="IX61" s="104"/>
      <c r="IY61" s="104"/>
      <c r="IZ61" s="104"/>
      <c r="JA61" s="104"/>
      <c r="JB61" s="104"/>
      <c r="JC61" s="104"/>
      <c r="JD61" s="104"/>
      <c r="JE61" s="104"/>
      <c r="JF61" s="104"/>
      <c r="JG61" s="104"/>
      <c r="JH61" s="104"/>
      <c r="JI61" s="104"/>
      <c r="JJ61" s="104"/>
      <c r="JK61" s="104"/>
      <c r="JL61" s="104"/>
      <c r="JM61" s="104"/>
      <c r="JN61" s="104"/>
      <c r="JO61" s="104"/>
      <c r="JP61" s="104"/>
      <c r="JQ61" s="104"/>
      <c r="JR61" s="104"/>
      <c r="JS61" s="104"/>
      <c r="JT61" s="104"/>
      <c r="JU61" s="104"/>
      <c r="JV61" s="104"/>
      <c r="JW61" s="104"/>
      <c r="JX61" s="104"/>
      <c r="JY61" s="104"/>
      <c r="JZ61" s="104"/>
      <c r="KA61" s="104"/>
      <c r="KB61" s="104"/>
      <c r="KC61" s="104"/>
      <c r="KD61" s="104"/>
      <c r="KE61" s="104"/>
      <c r="KF61" s="104"/>
      <c r="KG61" s="104"/>
      <c r="KH61" s="104"/>
      <c r="KI61" s="104"/>
      <c r="KJ61" s="104"/>
      <c r="KK61" s="104"/>
      <c r="KL61" s="104"/>
      <c r="KM61" s="104"/>
      <c r="KN61" s="104"/>
      <c r="KO61" s="104"/>
      <c r="KP61" s="104"/>
      <c r="KQ61" s="104"/>
      <c r="KR61" s="104"/>
      <c r="KS61" s="104"/>
      <c r="KT61" s="104"/>
      <c r="KU61" s="104"/>
      <c r="KV61" s="104"/>
      <c r="KW61" s="104"/>
      <c r="KX61" s="104"/>
      <c r="KY61" s="104"/>
      <c r="KZ61" s="104"/>
      <c r="LA61" s="104"/>
      <c r="LB61" s="104"/>
      <c r="LC61" s="104"/>
      <c r="LD61" s="104"/>
      <c r="LE61" s="104"/>
      <c r="LF61" s="104"/>
      <c r="LG61" s="104"/>
      <c r="LH61" s="104"/>
      <c r="LI61" s="104"/>
      <c r="LJ61" s="104"/>
      <c r="LK61" s="104"/>
      <c r="LL61" s="104"/>
      <c r="LM61" s="104"/>
      <c r="LN61" s="104"/>
      <c r="LO61" s="104"/>
      <c r="LP61" s="104"/>
      <c r="LQ61" s="104"/>
      <c r="LR61" s="104"/>
      <c r="LS61" s="104"/>
      <c r="LT61" s="104"/>
      <c r="LU61" s="104"/>
      <c r="LV61" s="104"/>
      <c r="LW61" s="104"/>
      <c r="LX61" s="104"/>
      <c r="LY61" s="104"/>
      <c r="LZ61" s="104"/>
      <c r="MA61" s="104"/>
      <c r="MB61" s="104"/>
      <c r="MC61" s="104"/>
      <c r="MD61" s="104"/>
      <c r="ME61" s="104"/>
      <c r="MF61" s="104"/>
      <c r="MG61" s="104"/>
      <c r="MH61" s="104"/>
      <c r="MI61" s="104"/>
      <c r="MJ61" s="104"/>
      <c r="MK61" s="104"/>
      <c r="ML61" s="104"/>
      <c r="MM61" s="104"/>
      <c r="MN61" s="104"/>
      <c r="MO61" s="104"/>
      <c r="MP61" s="104"/>
      <c r="MQ61" s="104"/>
      <c r="MR61" s="104"/>
      <c r="MS61" s="104"/>
      <c r="MT61" s="104"/>
      <c r="MU61" s="104"/>
      <c r="MV61" s="104"/>
      <c r="MW61" s="104"/>
      <c r="MX61" s="104"/>
      <c r="MY61" s="104"/>
      <c r="MZ61" s="104"/>
      <c r="NA61" s="104"/>
      <c r="NB61" s="104"/>
      <c r="NC61" s="104"/>
      <c r="ND61" s="104"/>
      <c r="NE61" s="104"/>
      <c r="NF61" s="104"/>
      <c r="NG61" s="104"/>
      <c r="NH61" s="104"/>
      <c r="NI61" s="104"/>
      <c r="NJ61" s="104"/>
      <c r="NK61" s="104"/>
      <c r="NL61" s="104"/>
      <c r="NM61" s="104"/>
      <c r="NN61" s="104"/>
      <c r="NO61" s="104"/>
      <c r="NP61" s="104"/>
      <c r="NQ61" s="104"/>
      <c r="NR61" s="104"/>
      <c r="NS61" s="104"/>
      <c r="NT61" s="104"/>
      <c r="NU61" s="104"/>
      <c r="NV61" s="104"/>
      <c r="NW61" s="104"/>
      <c r="NX61" s="104"/>
      <c r="NY61" s="104"/>
      <c r="NZ61" s="104"/>
    </row>
    <row r="62" spans="1:390" ht="15.75" customHeight="1" x14ac:dyDescent="0.3">
      <c r="A62" s="125">
        <v>4509149697</v>
      </c>
      <c r="B62" s="135"/>
      <c r="C62" s="135"/>
      <c r="D62" s="213" t="s">
        <v>391</v>
      </c>
      <c r="E62" s="135" t="s">
        <v>555</v>
      </c>
      <c r="F62" s="125" t="s">
        <v>556</v>
      </c>
      <c r="G62" s="135" t="s">
        <v>398</v>
      </c>
      <c r="H62" s="111">
        <v>43082</v>
      </c>
      <c r="I62" s="135" t="s">
        <v>458</v>
      </c>
      <c r="J62" s="135" t="s">
        <v>397</v>
      </c>
      <c r="K62" s="128" t="s">
        <v>398</v>
      </c>
      <c r="L62" s="128" t="s">
        <v>398</v>
      </c>
      <c r="M62" s="128" t="s">
        <v>398</v>
      </c>
      <c r="N62" s="128" t="s">
        <v>398</v>
      </c>
      <c r="O62" s="128" t="s">
        <v>398</v>
      </c>
      <c r="P62" s="128" t="s">
        <v>398</v>
      </c>
      <c r="Q62" s="128" t="s">
        <v>398</v>
      </c>
      <c r="R62" s="128" t="s">
        <v>398</v>
      </c>
      <c r="S62" s="128" t="s">
        <v>398</v>
      </c>
      <c r="T62" s="128" t="s">
        <v>398</v>
      </c>
      <c r="U62" s="128" t="s">
        <v>398</v>
      </c>
      <c r="V62" s="128" t="s">
        <v>398</v>
      </c>
      <c r="W62" s="135" t="s">
        <v>398</v>
      </c>
      <c r="X62" s="135" t="s">
        <v>398</v>
      </c>
      <c r="Y62" s="113" t="s">
        <v>398</v>
      </c>
      <c r="Z62" s="113" t="s">
        <v>398</v>
      </c>
      <c r="AA62" s="135"/>
      <c r="AB62" s="113" t="s">
        <v>399</v>
      </c>
      <c r="AC62" s="111">
        <v>18238</v>
      </c>
      <c r="AD62" s="135"/>
      <c r="AE62" s="142" t="e">
        <f t="shared" si="1"/>
        <v>#NUM!</v>
      </c>
      <c r="AF62" s="135" t="s">
        <v>489</v>
      </c>
      <c r="AG62" s="126" t="s">
        <v>401</v>
      </c>
      <c r="AH62" s="135" t="s">
        <v>402</v>
      </c>
      <c r="AI62" s="125">
        <v>2</v>
      </c>
      <c r="AJ62" s="125">
        <v>0</v>
      </c>
      <c r="AK62" s="125">
        <v>0</v>
      </c>
      <c r="AL62" s="125">
        <v>0</v>
      </c>
      <c r="AM62" s="139" t="s">
        <v>424</v>
      </c>
      <c r="AN62" s="134" t="s">
        <v>404</v>
      </c>
      <c r="AO62" s="136" t="s">
        <v>398</v>
      </c>
      <c r="AP62" s="135"/>
      <c r="AQ62" s="104"/>
      <c r="AR62" s="104"/>
      <c r="AS62" s="104"/>
      <c r="AT62" s="104"/>
      <c r="AU62" s="104"/>
      <c r="AV62" s="104"/>
      <c r="AW62" s="104"/>
      <c r="AX62" s="104"/>
      <c r="AY62" s="104"/>
      <c r="AZ62" s="104"/>
      <c r="BA62" s="104"/>
      <c r="BB62" s="104"/>
      <c r="BC62" s="104"/>
      <c r="BD62" s="104"/>
      <c r="BE62" s="104"/>
      <c r="BF62" s="104"/>
      <c r="BG62" s="104"/>
      <c r="BH62" s="104"/>
      <c r="BI62" s="104"/>
      <c r="BJ62" s="104"/>
      <c r="BK62" s="104"/>
      <c r="BL62" s="104"/>
      <c r="BM62" s="104"/>
      <c r="BN62" s="104"/>
      <c r="BO62" s="104"/>
      <c r="BP62" s="104"/>
      <c r="BQ62" s="104"/>
      <c r="BR62" s="104"/>
      <c r="BS62" s="104"/>
      <c r="BT62" s="104"/>
      <c r="BU62" s="104"/>
      <c r="BV62" s="104"/>
      <c r="BW62" s="104"/>
      <c r="BX62" s="104"/>
      <c r="BY62" s="104"/>
      <c r="BZ62" s="104"/>
      <c r="CA62" s="104"/>
      <c r="CB62" s="104"/>
      <c r="CC62" s="104"/>
      <c r="CD62" s="104"/>
      <c r="CE62" s="104"/>
      <c r="CF62" s="104"/>
      <c r="CG62" s="104"/>
      <c r="CH62" s="104"/>
      <c r="CI62" s="104"/>
      <c r="CJ62" s="104"/>
      <c r="CK62" s="104"/>
      <c r="CL62" s="104"/>
      <c r="CM62" s="104"/>
      <c r="CN62" s="104"/>
      <c r="CO62" s="104"/>
      <c r="CP62" s="104"/>
      <c r="CQ62" s="104"/>
      <c r="CR62" s="104"/>
      <c r="CS62" s="104"/>
      <c r="CT62" s="104"/>
      <c r="CU62" s="104"/>
      <c r="CV62" s="104"/>
      <c r="CW62" s="104"/>
      <c r="CX62" s="104"/>
      <c r="CY62" s="104"/>
      <c r="CZ62" s="104"/>
      <c r="DA62" s="104"/>
      <c r="DB62" s="104"/>
      <c r="DC62" s="104"/>
      <c r="DD62" s="104"/>
      <c r="DE62" s="104"/>
      <c r="DF62" s="104"/>
      <c r="DG62" s="104"/>
      <c r="DH62" s="104"/>
      <c r="DI62" s="104"/>
      <c r="DJ62" s="104"/>
      <c r="DK62" s="104"/>
      <c r="DL62" s="104"/>
      <c r="DM62" s="104"/>
      <c r="DN62" s="104"/>
      <c r="DO62" s="104"/>
      <c r="DP62" s="104"/>
      <c r="DQ62" s="104"/>
      <c r="DR62" s="104"/>
      <c r="DS62" s="104"/>
      <c r="DT62" s="104"/>
      <c r="DU62" s="104"/>
      <c r="DV62" s="104"/>
      <c r="DW62" s="104"/>
      <c r="DX62" s="104"/>
      <c r="DY62" s="104"/>
      <c r="DZ62" s="104"/>
      <c r="EA62" s="104"/>
      <c r="EB62" s="104"/>
      <c r="EC62" s="104"/>
      <c r="ED62" s="104"/>
      <c r="EE62" s="104"/>
      <c r="EF62" s="104"/>
      <c r="EG62" s="104"/>
      <c r="EH62" s="104"/>
      <c r="EI62" s="104"/>
      <c r="EJ62" s="104"/>
      <c r="EK62" s="104"/>
      <c r="EL62" s="104"/>
      <c r="EM62" s="104"/>
      <c r="EN62" s="104"/>
      <c r="EO62" s="104"/>
      <c r="EP62" s="104"/>
      <c r="EQ62" s="104"/>
      <c r="ER62" s="104"/>
      <c r="ES62" s="104"/>
      <c r="ET62" s="104"/>
      <c r="EU62" s="104"/>
      <c r="EV62" s="104"/>
      <c r="EW62" s="104"/>
      <c r="EX62" s="104"/>
      <c r="EY62" s="104"/>
      <c r="EZ62" s="104"/>
      <c r="FA62" s="104"/>
      <c r="FB62" s="104"/>
      <c r="FC62" s="104"/>
      <c r="FD62" s="104"/>
      <c r="FE62" s="104"/>
      <c r="FF62" s="104"/>
      <c r="FG62" s="104"/>
      <c r="FH62" s="104"/>
      <c r="FI62" s="104"/>
      <c r="FJ62" s="104"/>
      <c r="FK62" s="104"/>
      <c r="FL62" s="104"/>
      <c r="FM62" s="104"/>
      <c r="FN62" s="104"/>
      <c r="FO62" s="104"/>
      <c r="FP62" s="104"/>
      <c r="FQ62" s="104"/>
      <c r="FR62" s="104"/>
      <c r="FS62" s="104"/>
      <c r="FT62" s="104"/>
      <c r="FU62" s="104"/>
      <c r="FV62" s="104"/>
      <c r="FW62" s="104"/>
      <c r="FX62" s="104"/>
      <c r="FY62" s="104"/>
      <c r="FZ62" s="104"/>
      <c r="GA62" s="104"/>
      <c r="GB62" s="104"/>
      <c r="GC62" s="104"/>
      <c r="GD62" s="104"/>
      <c r="GE62" s="104"/>
      <c r="GF62" s="104"/>
      <c r="GG62" s="104"/>
      <c r="GH62" s="104"/>
      <c r="GI62" s="104"/>
      <c r="GJ62" s="104"/>
      <c r="GK62" s="104"/>
      <c r="GL62" s="104"/>
      <c r="GM62" s="104"/>
      <c r="GN62" s="104"/>
      <c r="GO62" s="104"/>
      <c r="GP62" s="104"/>
      <c r="GQ62" s="104"/>
      <c r="GR62" s="104"/>
      <c r="GS62" s="104"/>
      <c r="GT62" s="104"/>
      <c r="GU62" s="104"/>
      <c r="GV62" s="104"/>
      <c r="GW62" s="104"/>
      <c r="GX62" s="104"/>
      <c r="GY62" s="104"/>
      <c r="GZ62" s="104"/>
      <c r="HA62" s="104"/>
      <c r="HB62" s="104"/>
      <c r="HC62" s="104"/>
      <c r="HD62" s="104"/>
      <c r="HE62" s="104"/>
      <c r="HF62" s="104"/>
      <c r="HG62" s="104"/>
      <c r="HH62" s="104"/>
      <c r="HI62" s="104"/>
      <c r="HJ62" s="104"/>
      <c r="HK62" s="104"/>
      <c r="HL62" s="104"/>
      <c r="HM62" s="104"/>
      <c r="HN62" s="104"/>
      <c r="HO62" s="104"/>
      <c r="HP62" s="104"/>
      <c r="HQ62" s="104"/>
      <c r="HR62" s="104"/>
      <c r="HS62" s="104"/>
      <c r="HT62" s="104"/>
      <c r="HU62" s="104"/>
      <c r="HV62" s="104"/>
      <c r="HW62" s="104"/>
      <c r="HX62" s="104"/>
      <c r="HY62" s="104"/>
      <c r="HZ62" s="104"/>
      <c r="IA62" s="104"/>
      <c r="IB62" s="104"/>
      <c r="IC62" s="104"/>
      <c r="ID62" s="104"/>
      <c r="IE62" s="104"/>
      <c r="IF62" s="104"/>
      <c r="IG62" s="104"/>
      <c r="IH62" s="104"/>
      <c r="II62" s="104"/>
      <c r="IJ62" s="104"/>
      <c r="IK62" s="104"/>
      <c r="IL62" s="104"/>
      <c r="IM62" s="104"/>
      <c r="IN62" s="104"/>
      <c r="IO62" s="104"/>
      <c r="IP62" s="104"/>
      <c r="IQ62" s="104"/>
      <c r="IR62" s="104"/>
      <c r="IS62" s="104"/>
      <c r="IT62" s="104"/>
      <c r="IU62" s="104"/>
      <c r="IV62" s="104"/>
      <c r="IW62" s="104"/>
      <c r="IX62" s="104"/>
      <c r="IY62" s="104"/>
      <c r="IZ62" s="104"/>
      <c r="JA62" s="104"/>
      <c r="JB62" s="104"/>
      <c r="JC62" s="104"/>
      <c r="JD62" s="104"/>
      <c r="JE62" s="104"/>
      <c r="JF62" s="104"/>
      <c r="JG62" s="104"/>
      <c r="JH62" s="104"/>
      <c r="JI62" s="104"/>
      <c r="JJ62" s="104"/>
      <c r="JK62" s="104"/>
      <c r="JL62" s="104"/>
      <c r="JM62" s="104"/>
      <c r="JN62" s="104"/>
      <c r="JO62" s="104"/>
      <c r="JP62" s="104"/>
      <c r="JQ62" s="104"/>
      <c r="JR62" s="104"/>
      <c r="JS62" s="104"/>
      <c r="JT62" s="104"/>
      <c r="JU62" s="104"/>
      <c r="JV62" s="104"/>
      <c r="JW62" s="104"/>
      <c r="JX62" s="104"/>
      <c r="JY62" s="104"/>
      <c r="JZ62" s="104"/>
      <c r="KA62" s="104"/>
      <c r="KB62" s="104"/>
      <c r="KC62" s="104"/>
      <c r="KD62" s="104"/>
      <c r="KE62" s="104"/>
      <c r="KF62" s="104"/>
      <c r="KG62" s="104"/>
      <c r="KH62" s="104"/>
      <c r="KI62" s="104"/>
      <c r="KJ62" s="104"/>
      <c r="KK62" s="104"/>
      <c r="KL62" s="104"/>
      <c r="KM62" s="104"/>
      <c r="KN62" s="104"/>
      <c r="KO62" s="104"/>
      <c r="KP62" s="104"/>
      <c r="KQ62" s="104"/>
      <c r="KR62" s="104"/>
      <c r="KS62" s="104"/>
      <c r="KT62" s="104"/>
      <c r="KU62" s="104"/>
      <c r="KV62" s="104"/>
      <c r="KW62" s="104"/>
      <c r="KX62" s="104"/>
      <c r="KY62" s="104"/>
      <c r="KZ62" s="104"/>
      <c r="LA62" s="104"/>
      <c r="LB62" s="104"/>
      <c r="LC62" s="104"/>
      <c r="LD62" s="104"/>
      <c r="LE62" s="104"/>
      <c r="LF62" s="104"/>
      <c r="LG62" s="104"/>
      <c r="LH62" s="104"/>
      <c r="LI62" s="104"/>
      <c r="LJ62" s="104"/>
      <c r="LK62" s="104"/>
      <c r="LL62" s="104"/>
      <c r="LM62" s="104"/>
      <c r="LN62" s="104"/>
      <c r="LO62" s="104"/>
      <c r="LP62" s="104"/>
      <c r="LQ62" s="104"/>
      <c r="LR62" s="104"/>
      <c r="LS62" s="104"/>
      <c r="LT62" s="104"/>
      <c r="LU62" s="104"/>
      <c r="LV62" s="104"/>
      <c r="LW62" s="104"/>
      <c r="LX62" s="104"/>
      <c r="LY62" s="104"/>
      <c r="LZ62" s="104"/>
      <c r="MA62" s="104"/>
      <c r="MB62" s="104"/>
      <c r="MC62" s="104"/>
      <c r="MD62" s="104"/>
      <c r="ME62" s="104"/>
      <c r="MF62" s="104"/>
      <c r="MG62" s="104"/>
      <c r="MH62" s="104"/>
      <c r="MI62" s="104"/>
      <c r="MJ62" s="104"/>
      <c r="MK62" s="104"/>
      <c r="ML62" s="104"/>
      <c r="MM62" s="104"/>
      <c r="MN62" s="104"/>
      <c r="MO62" s="104"/>
      <c r="MP62" s="104"/>
      <c r="MQ62" s="104"/>
      <c r="MR62" s="104"/>
      <c r="MS62" s="104"/>
      <c r="MT62" s="104"/>
      <c r="MU62" s="104"/>
      <c r="MV62" s="104"/>
      <c r="MW62" s="104"/>
      <c r="MX62" s="104"/>
      <c r="MY62" s="104"/>
      <c r="MZ62" s="104"/>
      <c r="NA62" s="104"/>
      <c r="NB62" s="104"/>
      <c r="NC62" s="104"/>
      <c r="ND62" s="104"/>
      <c r="NE62" s="104"/>
      <c r="NF62" s="104"/>
      <c r="NG62" s="104"/>
      <c r="NH62" s="104"/>
      <c r="NI62" s="104"/>
      <c r="NJ62" s="104"/>
      <c r="NK62" s="104"/>
      <c r="NL62" s="104"/>
      <c r="NM62" s="104"/>
      <c r="NN62" s="104"/>
      <c r="NO62" s="104"/>
      <c r="NP62" s="104"/>
      <c r="NQ62" s="104"/>
      <c r="NR62" s="104"/>
      <c r="NS62" s="104"/>
      <c r="NT62" s="104"/>
      <c r="NU62" s="104"/>
      <c r="NV62" s="104"/>
      <c r="NW62" s="104"/>
      <c r="NX62" s="104"/>
      <c r="NY62" s="104"/>
      <c r="NZ62" s="104"/>
    </row>
    <row r="63" spans="1:390" ht="15.75" customHeight="1" x14ac:dyDescent="0.3">
      <c r="A63" s="125">
        <v>4343549844</v>
      </c>
      <c r="B63" s="135"/>
      <c r="C63" s="135"/>
      <c r="D63" s="213" t="s">
        <v>391</v>
      </c>
      <c r="E63" s="135" t="s">
        <v>557</v>
      </c>
      <c r="F63" s="125" t="s">
        <v>422</v>
      </c>
      <c r="G63" s="125" t="s">
        <v>417</v>
      </c>
      <c r="H63" s="111">
        <v>43089</v>
      </c>
      <c r="I63" s="135" t="s">
        <v>458</v>
      </c>
      <c r="J63" s="135" t="s">
        <v>397</v>
      </c>
      <c r="K63" s="128" t="s">
        <v>398</v>
      </c>
      <c r="L63" s="128" t="s">
        <v>398</v>
      </c>
      <c r="M63" s="128" t="s">
        <v>398</v>
      </c>
      <c r="N63" s="128" t="s">
        <v>398</v>
      </c>
      <c r="O63" s="128" t="s">
        <v>398</v>
      </c>
      <c r="P63" s="128" t="s">
        <v>398</v>
      </c>
      <c r="Q63" s="128" t="s">
        <v>398</v>
      </c>
      <c r="R63" s="128" t="s">
        <v>398</v>
      </c>
      <c r="S63" s="128" t="s">
        <v>398</v>
      </c>
      <c r="T63" s="128" t="s">
        <v>398</v>
      </c>
      <c r="U63" s="128" t="s">
        <v>398</v>
      </c>
      <c r="V63" s="128" t="s">
        <v>398</v>
      </c>
      <c r="W63" s="135" t="s">
        <v>398</v>
      </c>
      <c r="X63" s="135" t="s">
        <v>398</v>
      </c>
      <c r="Y63" s="113" t="s">
        <v>398</v>
      </c>
      <c r="Z63" s="113" t="s">
        <v>398</v>
      </c>
      <c r="AA63" s="135"/>
      <c r="AB63" s="113" t="s">
        <v>399</v>
      </c>
      <c r="AC63" s="111">
        <v>13918</v>
      </c>
      <c r="AD63" s="135"/>
      <c r="AE63" s="142" t="e">
        <f t="shared" si="1"/>
        <v>#NUM!</v>
      </c>
      <c r="AF63" s="135" t="s">
        <v>477</v>
      </c>
      <c r="AG63" s="126" t="s">
        <v>401</v>
      </c>
      <c r="AH63" s="135" t="s">
        <v>402</v>
      </c>
      <c r="AI63" s="125" t="s">
        <v>455</v>
      </c>
      <c r="AJ63" s="125">
        <v>0</v>
      </c>
      <c r="AK63" s="125">
        <v>0</v>
      </c>
      <c r="AL63" s="125">
        <v>0</v>
      </c>
      <c r="AM63" s="139" t="s">
        <v>456</v>
      </c>
      <c r="AN63" s="134">
        <v>2</v>
      </c>
      <c r="AO63" s="136" t="s">
        <v>398</v>
      </c>
      <c r="AP63" s="135"/>
      <c r="AQ63" s="104"/>
      <c r="AR63" s="104"/>
      <c r="AS63" s="104"/>
      <c r="AT63" s="104"/>
      <c r="AU63" s="104"/>
      <c r="AV63" s="104"/>
      <c r="AW63" s="104"/>
      <c r="AX63" s="104"/>
      <c r="AY63" s="104"/>
      <c r="AZ63" s="104"/>
      <c r="BA63" s="104"/>
      <c r="BB63" s="104"/>
      <c r="BC63" s="104"/>
      <c r="BD63" s="104"/>
      <c r="BE63" s="104"/>
      <c r="BF63" s="104"/>
      <c r="BG63" s="104"/>
      <c r="BH63" s="104"/>
      <c r="BI63" s="104"/>
      <c r="BJ63" s="104"/>
      <c r="BK63" s="104"/>
      <c r="BL63" s="104"/>
      <c r="BM63" s="104"/>
      <c r="BN63" s="104"/>
      <c r="BO63" s="104"/>
      <c r="BP63" s="104"/>
      <c r="BQ63" s="104"/>
      <c r="BR63" s="104"/>
      <c r="BS63" s="104"/>
      <c r="BT63" s="104"/>
      <c r="BU63" s="104"/>
      <c r="BV63" s="104"/>
      <c r="BW63" s="104"/>
      <c r="BX63" s="104"/>
      <c r="BY63" s="104"/>
      <c r="BZ63" s="104"/>
      <c r="CA63" s="104"/>
      <c r="CB63" s="104"/>
      <c r="CC63" s="104"/>
      <c r="CD63" s="104"/>
      <c r="CE63" s="104"/>
      <c r="CF63" s="104"/>
      <c r="CG63" s="104"/>
      <c r="CH63" s="104"/>
      <c r="CI63" s="104"/>
      <c r="CJ63" s="104"/>
      <c r="CK63" s="104"/>
      <c r="CL63" s="104"/>
      <c r="CM63" s="104"/>
      <c r="CN63" s="104"/>
      <c r="CO63" s="104"/>
      <c r="CP63" s="104"/>
      <c r="CQ63" s="104"/>
      <c r="CR63" s="104"/>
      <c r="CS63" s="104"/>
      <c r="CT63" s="104"/>
      <c r="CU63" s="104"/>
      <c r="CV63" s="104"/>
      <c r="CW63" s="104"/>
      <c r="CX63" s="104"/>
      <c r="CY63" s="104"/>
      <c r="CZ63" s="104"/>
      <c r="DA63" s="104"/>
      <c r="DB63" s="104"/>
      <c r="DC63" s="104"/>
      <c r="DD63" s="104"/>
      <c r="DE63" s="104"/>
      <c r="DF63" s="104"/>
      <c r="DG63" s="104"/>
      <c r="DH63" s="104"/>
      <c r="DI63" s="104"/>
      <c r="DJ63" s="104"/>
      <c r="DK63" s="104"/>
      <c r="DL63" s="104"/>
      <c r="DM63" s="104"/>
      <c r="DN63" s="104"/>
      <c r="DO63" s="104"/>
      <c r="DP63" s="104"/>
      <c r="DQ63" s="104"/>
      <c r="DR63" s="104"/>
      <c r="DS63" s="104"/>
      <c r="DT63" s="104"/>
      <c r="DU63" s="104"/>
      <c r="DV63" s="104"/>
      <c r="DW63" s="104"/>
      <c r="DX63" s="104"/>
      <c r="DY63" s="104"/>
      <c r="DZ63" s="104"/>
      <c r="EA63" s="104"/>
      <c r="EB63" s="104"/>
      <c r="EC63" s="104"/>
      <c r="ED63" s="104"/>
      <c r="EE63" s="104"/>
      <c r="EF63" s="104"/>
      <c r="EG63" s="104"/>
      <c r="EH63" s="104"/>
      <c r="EI63" s="104"/>
      <c r="EJ63" s="104"/>
      <c r="EK63" s="104"/>
      <c r="EL63" s="104"/>
      <c r="EM63" s="104"/>
      <c r="EN63" s="104"/>
      <c r="EO63" s="104"/>
      <c r="EP63" s="104"/>
      <c r="EQ63" s="104"/>
      <c r="ER63" s="104"/>
      <c r="ES63" s="104"/>
      <c r="ET63" s="104"/>
      <c r="EU63" s="104"/>
      <c r="EV63" s="104"/>
      <c r="EW63" s="104"/>
      <c r="EX63" s="104"/>
      <c r="EY63" s="104"/>
      <c r="EZ63" s="104"/>
      <c r="FA63" s="104"/>
      <c r="FB63" s="104"/>
      <c r="FC63" s="104"/>
      <c r="FD63" s="104"/>
      <c r="FE63" s="104"/>
      <c r="FF63" s="104"/>
      <c r="FG63" s="104"/>
      <c r="FH63" s="104"/>
      <c r="FI63" s="104"/>
      <c r="FJ63" s="104"/>
      <c r="FK63" s="104"/>
      <c r="FL63" s="104"/>
      <c r="FM63" s="104"/>
      <c r="FN63" s="104"/>
      <c r="FO63" s="104"/>
      <c r="FP63" s="104"/>
      <c r="FQ63" s="104"/>
      <c r="FR63" s="104"/>
      <c r="FS63" s="104"/>
      <c r="FT63" s="104"/>
      <c r="FU63" s="104"/>
      <c r="FV63" s="104"/>
      <c r="FW63" s="104"/>
      <c r="FX63" s="104"/>
      <c r="FY63" s="104"/>
      <c r="FZ63" s="104"/>
      <c r="GA63" s="104"/>
      <c r="GB63" s="104"/>
      <c r="GC63" s="104"/>
      <c r="GD63" s="104"/>
      <c r="GE63" s="104"/>
      <c r="GF63" s="104"/>
      <c r="GG63" s="104"/>
      <c r="GH63" s="104"/>
      <c r="GI63" s="104"/>
      <c r="GJ63" s="104"/>
      <c r="GK63" s="104"/>
      <c r="GL63" s="104"/>
      <c r="GM63" s="104"/>
      <c r="GN63" s="104"/>
      <c r="GO63" s="104"/>
      <c r="GP63" s="104"/>
      <c r="GQ63" s="104"/>
      <c r="GR63" s="104"/>
      <c r="GS63" s="104"/>
      <c r="GT63" s="104"/>
      <c r="GU63" s="104"/>
      <c r="GV63" s="104"/>
      <c r="GW63" s="104"/>
      <c r="GX63" s="104"/>
      <c r="GY63" s="104"/>
      <c r="GZ63" s="104"/>
      <c r="HA63" s="104"/>
      <c r="HB63" s="104"/>
      <c r="HC63" s="104"/>
      <c r="HD63" s="104"/>
      <c r="HE63" s="104"/>
      <c r="HF63" s="104"/>
      <c r="HG63" s="104"/>
      <c r="HH63" s="104"/>
      <c r="HI63" s="104"/>
      <c r="HJ63" s="104"/>
      <c r="HK63" s="104"/>
      <c r="HL63" s="104"/>
      <c r="HM63" s="104"/>
      <c r="HN63" s="104"/>
      <c r="HO63" s="104"/>
      <c r="HP63" s="104"/>
      <c r="HQ63" s="104"/>
      <c r="HR63" s="104"/>
      <c r="HS63" s="104"/>
      <c r="HT63" s="104"/>
      <c r="HU63" s="104"/>
      <c r="HV63" s="104"/>
      <c r="HW63" s="104"/>
      <c r="HX63" s="104"/>
      <c r="HY63" s="104"/>
      <c r="HZ63" s="104"/>
      <c r="IA63" s="104"/>
      <c r="IB63" s="104"/>
      <c r="IC63" s="104"/>
      <c r="ID63" s="104"/>
      <c r="IE63" s="104"/>
      <c r="IF63" s="104"/>
      <c r="IG63" s="104"/>
      <c r="IH63" s="104"/>
      <c r="II63" s="104"/>
      <c r="IJ63" s="104"/>
      <c r="IK63" s="104"/>
      <c r="IL63" s="104"/>
      <c r="IM63" s="104"/>
      <c r="IN63" s="104"/>
      <c r="IO63" s="104"/>
      <c r="IP63" s="104"/>
      <c r="IQ63" s="104"/>
      <c r="IR63" s="104"/>
      <c r="IS63" s="104"/>
      <c r="IT63" s="104"/>
      <c r="IU63" s="104"/>
      <c r="IV63" s="104"/>
      <c r="IW63" s="104"/>
      <c r="IX63" s="104"/>
      <c r="IY63" s="104"/>
      <c r="IZ63" s="104"/>
      <c r="JA63" s="104"/>
      <c r="JB63" s="104"/>
      <c r="JC63" s="104"/>
      <c r="JD63" s="104"/>
      <c r="JE63" s="104"/>
      <c r="JF63" s="104"/>
      <c r="JG63" s="104"/>
      <c r="JH63" s="104"/>
      <c r="JI63" s="104"/>
      <c r="JJ63" s="104"/>
      <c r="JK63" s="104"/>
      <c r="JL63" s="104"/>
      <c r="JM63" s="104"/>
      <c r="JN63" s="104"/>
      <c r="JO63" s="104"/>
      <c r="JP63" s="104"/>
      <c r="JQ63" s="104"/>
      <c r="JR63" s="104"/>
      <c r="JS63" s="104"/>
      <c r="JT63" s="104"/>
      <c r="JU63" s="104"/>
      <c r="JV63" s="104"/>
      <c r="JW63" s="104"/>
      <c r="JX63" s="104"/>
      <c r="JY63" s="104"/>
      <c r="JZ63" s="104"/>
      <c r="KA63" s="104"/>
      <c r="KB63" s="104"/>
      <c r="KC63" s="104"/>
      <c r="KD63" s="104"/>
      <c r="KE63" s="104"/>
      <c r="KF63" s="104"/>
      <c r="KG63" s="104"/>
      <c r="KH63" s="104"/>
      <c r="KI63" s="104"/>
      <c r="KJ63" s="104"/>
      <c r="KK63" s="104"/>
      <c r="KL63" s="104"/>
      <c r="KM63" s="104"/>
      <c r="KN63" s="104"/>
      <c r="KO63" s="104"/>
      <c r="KP63" s="104"/>
      <c r="KQ63" s="104"/>
      <c r="KR63" s="104"/>
      <c r="KS63" s="104"/>
      <c r="KT63" s="104"/>
      <c r="KU63" s="104"/>
      <c r="KV63" s="104"/>
      <c r="KW63" s="104"/>
      <c r="KX63" s="104"/>
      <c r="KY63" s="104"/>
      <c r="KZ63" s="104"/>
      <c r="LA63" s="104"/>
      <c r="LB63" s="104"/>
      <c r="LC63" s="104"/>
      <c r="LD63" s="104"/>
      <c r="LE63" s="104"/>
      <c r="LF63" s="104"/>
      <c r="LG63" s="104"/>
      <c r="LH63" s="104"/>
      <c r="LI63" s="104"/>
      <c r="LJ63" s="104"/>
      <c r="LK63" s="104"/>
      <c r="LL63" s="104"/>
      <c r="LM63" s="104"/>
      <c r="LN63" s="104"/>
      <c r="LO63" s="104"/>
      <c r="LP63" s="104"/>
      <c r="LQ63" s="104"/>
      <c r="LR63" s="104"/>
      <c r="LS63" s="104"/>
      <c r="LT63" s="104"/>
      <c r="LU63" s="104"/>
      <c r="LV63" s="104"/>
      <c r="LW63" s="104"/>
      <c r="LX63" s="104"/>
      <c r="LY63" s="104"/>
      <c r="LZ63" s="104"/>
      <c r="MA63" s="104"/>
      <c r="MB63" s="104"/>
      <c r="MC63" s="104"/>
      <c r="MD63" s="104"/>
      <c r="ME63" s="104"/>
      <c r="MF63" s="104"/>
      <c r="MG63" s="104"/>
      <c r="MH63" s="104"/>
      <c r="MI63" s="104"/>
      <c r="MJ63" s="104"/>
      <c r="MK63" s="104"/>
      <c r="ML63" s="104"/>
      <c r="MM63" s="104"/>
      <c r="MN63" s="104"/>
      <c r="MO63" s="104"/>
      <c r="MP63" s="104"/>
      <c r="MQ63" s="104"/>
      <c r="MR63" s="104"/>
      <c r="MS63" s="104"/>
      <c r="MT63" s="104"/>
      <c r="MU63" s="104"/>
      <c r="MV63" s="104"/>
      <c r="MW63" s="104"/>
      <c r="MX63" s="104"/>
      <c r="MY63" s="104"/>
      <c r="MZ63" s="104"/>
      <c r="NA63" s="104"/>
      <c r="NB63" s="104"/>
      <c r="NC63" s="104"/>
      <c r="ND63" s="104"/>
      <c r="NE63" s="104"/>
      <c r="NF63" s="104"/>
      <c r="NG63" s="104"/>
      <c r="NH63" s="104"/>
      <c r="NI63" s="104"/>
      <c r="NJ63" s="104"/>
      <c r="NK63" s="104"/>
      <c r="NL63" s="104"/>
      <c r="NM63" s="104"/>
      <c r="NN63" s="104"/>
      <c r="NO63" s="104"/>
      <c r="NP63" s="104"/>
      <c r="NQ63" s="104"/>
      <c r="NR63" s="104"/>
      <c r="NS63" s="104"/>
      <c r="NT63" s="104"/>
      <c r="NU63" s="104"/>
      <c r="NV63" s="104"/>
      <c r="NW63" s="104"/>
      <c r="NX63" s="104"/>
      <c r="NY63" s="104"/>
      <c r="NZ63" s="104"/>
    </row>
    <row r="64" spans="1:390" ht="15.75" customHeight="1" x14ac:dyDescent="0.3">
      <c r="A64" s="125">
        <v>4884142810</v>
      </c>
      <c r="B64" s="135"/>
      <c r="C64" s="135"/>
      <c r="D64" s="213" t="s">
        <v>391</v>
      </c>
      <c r="E64" s="135" t="s">
        <v>558</v>
      </c>
      <c r="F64" s="125" t="s">
        <v>556</v>
      </c>
      <c r="G64" s="125" t="s">
        <v>448</v>
      </c>
      <c r="H64" s="111">
        <v>43096</v>
      </c>
      <c r="I64" s="135" t="s">
        <v>396</v>
      </c>
      <c r="J64" s="135" t="s">
        <v>397</v>
      </c>
      <c r="K64" s="128" t="s">
        <v>398</v>
      </c>
      <c r="L64" s="128" t="s">
        <v>398</v>
      </c>
      <c r="M64" s="128" t="s">
        <v>398</v>
      </c>
      <c r="N64" s="128" t="s">
        <v>398</v>
      </c>
      <c r="O64" s="128" t="s">
        <v>398</v>
      </c>
      <c r="P64" s="128" t="s">
        <v>398</v>
      </c>
      <c r="Q64" s="128" t="s">
        <v>398</v>
      </c>
      <c r="R64" s="128" t="s">
        <v>398</v>
      </c>
      <c r="S64" s="128" t="s">
        <v>398</v>
      </c>
      <c r="T64" s="128" t="s">
        <v>398</v>
      </c>
      <c r="U64" s="128" t="s">
        <v>398</v>
      </c>
      <c r="V64" s="128" t="s">
        <v>398</v>
      </c>
      <c r="W64" s="135" t="s">
        <v>558</v>
      </c>
      <c r="X64" s="135" t="s">
        <v>559</v>
      </c>
      <c r="Y64" s="113" t="s">
        <v>432</v>
      </c>
      <c r="Z64" s="111">
        <v>43096</v>
      </c>
      <c r="AA64" s="135"/>
      <c r="AB64" s="113" t="s">
        <v>399</v>
      </c>
      <c r="AC64" s="111">
        <v>15728</v>
      </c>
      <c r="AD64" s="135"/>
      <c r="AE64" s="142" t="e">
        <f t="shared" si="1"/>
        <v>#NUM!</v>
      </c>
      <c r="AF64" s="135" t="s">
        <v>489</v>
      </c>
      <c r="AG64" s="126" t="s">
        <v>401</v>
      </c>
      <c r="AH64" s="135" t="s">
        <v>402</v>
      </c>
      <c r="AI64" s="125" t="s">
        <v>428</v>
      </c>
      <c r="AJ64" s="125">
        <v>0</v>
      </c>
      <c r="AK64" s="125">
        <v>0</v>
      </c>
      <c r="AL64" s="125">
        <v>0</v>
      </c>
      <c r="AM64" s="139" t="s">
        <v>531</v>
      </c>
      <c r="AN64" s="134" t="s">
        <v>404</v>
      </c>
      <c r="AO64" s="136" t="s">
        <v>398</v>
      </c>
      <c r="AP64" s="135"/>
      <c r="AQ64" s="104"/>
      <c r="AR64" s="104"/>
      <c r="AS64" s="104"/>
      <c r="AT64" s="104"/>
      <c r="AU64" s="104"/>
      <c r="AV64" s="104"/>
      <c r="AW64" s="104"/>
      <c r="AX64" s="104"/>
      <c r="AY64" s="104"/>
      <c r="AZ64" s="104"/>
      <c r="BA64" s="104"/>
      <c r="BB64" s="104"/>
      <c r="BC64" s="104"/>
      <c r="BD64" s="104"/>
      <c r="BE64" s="104"/>
      <c r="BF64" s="104"/>
      <c r="BG64" s="104"/>
      <c r="BH64" s="104"/>
      <c r="BI64" s="104"/>
      <c r="BJ64" s="104"/>
      <c r="BK64" s="104"/>
      <c r="BL64" s="104"/>
      <c r="BM64" s="104"/>
      <c r="BN64" s="104"/>
      <c r="BO64" s="104"/>
      <c r="BP64" s="104"/>
      <c r="BQ64" s="104"/>
      <c r="BR64" s="104"/>
      <c r="BS64" s="104"/>
      <c r="BT64" s="104"/>
      <c r="BU64" s="104"/>
      <c r="BV64" s="104"/>
      <c r="BW64" s="104"/>
      <c r="BX64" s="104"/>
      <c r="BY64" s="104"/>
      <c r="BZ64" s="104"/>
      <c r="CA64" s="104"/>
      <c r="CB64" s="104"/>
      <c r="CC64" s="104"/>
      <c r="CD64" s="104"/>
      <c r="CE64" s="104"/>
      <c r="CF64" s="104"/>
      <c r="CG64" s="104"/>
      <c r="CH64" s="104"/>
      <c r="CI64" s="104"/>
      <c r="CJ64" s="104"/>
      <c r="CK64" s="104"/>
      <c r="CL64" s="104"/>
      <c r="CM64" s="104"/>
      <c r="CN64" s="104"/>
      <c r="CO64" s="104"/>
      <c r="CP64" s="104"/>
      <c r="CQ64" s="104"/>
      <c r="CR64" s="104"/>
      <c r="CS64" s="104"/>
      <c r="CT64" s="104"/>
      <c r="CU64" s="104"/>
      <c r="CV64" s="104"/>
      <c r="CW64" s="104"/>
      <c r="CX64" s="104"/>
      <c r="CY64" s="104"/>
      <c r="CZ64" s="104"/>
      <c r="DA64" s="104"/>
      <c r="DB64" s="104"/>
      <c r="DC64" s="104"/>
      <c r="DD64" s="104"/>
      <c r="DE64" s="104"/>
      <c r="DF64" s="104"/>
      <c r="DG64" s="104"/>
      <c r="DH64" s="104"/>
      <c r="DI64" s="104"/>
      <c r="DJ64" s="104"/>
      <c r="DK64" s="104"/>
      <c r="DL64" s="104"/>
      <c r="DM64" s="104"/>
      <c r="DN64" s="104"/>
      <c r="DO64" s="104"/>
      <c r="DP64" s="104"/>
      <c r="DQ64" s="104"/>
      <c r="DR64" s="104"/>
      <c r="DS64" s="104"/>
      <c r="DT64" s="104"/>
      <c r="DU64" s="104"/>
      <c r="DV64" s="104"/>
      <c r="DW64" s="104"/>
      <c r="DX64" s="104"/>
      <c r="DY64" s="104"/>
      <c r="DZ64" s="104"/>
      <c r="EA64" s="104"/>
      <c r="EB64" s="104"/>
      <c r="EC64" s="104"/>
      <c r="ED64" s="104"/>
      <c r="EE64" s="104"/>
      <c r="EF64" s="104"/>
      <c r="EG64" s="104"/>
      <c r="EH64" s="104"/>
      <c r="EI64" s="104"/>
      <c r="EJ64" s="104"/>
      <c r="EK64" s="104"/>
      <c r="EL64" s="104"/>
      <c r="EM64" s="104"/>
      <c r="EN64" s="104"/>
      <c r="EO64" s="104"/>
      <c r="EP64" s="104"/>
      <c r="EQ64" s="104"/>
      <c r="ER64" s="104"/>
      <c r="ES64" s="104"/>
      <c r="ET64" s="104"/>
      <c r="EU64" s="104"/>
      <c r="EV64" s="104"/>
      <c r="EW64" s="104"/>
      <c r="EX64" s="104"/>
      <c r="EY64" s="104"/>
      <c r="EZ64" s="104"/>
      <c r="FA64" s="104"/>
      <c r="FB64" s="104"/>
      <c r="FC64" s="104"/>
      <c r="FD64" s="104"/>
      <c r="FE64" s="104"/>
      <c r="FF64" s="104"/>
      <c r="FG64" s="104"/>
      <c r="FH64" s="104"/>
      <c r="FI64" s="104"/>
      <c r="FJ64" s="104"/>
      <c r="FK64" s="104"/>
      <c r="FL64" s="104"/>
      <c r="FM64" s="104"/>
      <c r="FN64" s="104"/>
      <c r="FO64" s="104"/>
      <c r="FP64" s="104"/>
      <c r="FQ64" s="104"/>
      <c r="FR64" s="104"/>
      <c r="FS64" s="104"/>
      <c r="FT64" s="104"/>
      <c r="FU64" s="104"/>
      <c r="FV64" s="104"/>
      <c r="FW64" s="104"/>
      <c r="FX64" s="104"/>
      <c r="FY64" s="104"/>
      <c r="FZ64" s="104"/>
      <c r="GA64" s="104"/>
      <c r="GB64" s="104"/>
      <c r="GC64" s="104"/>
      <c r="GD64" s="104"/>
      <c r="GE64" s="104"/>
      <c r="GF64" s="104"/>
      <c r="GG64" s="104"/>
      <c r="GH64" s="104"/>
      <c r="GI64" s="104"/>
      <c r="GJ64" s="104"/>
      <c r="GK64" s="104"/>
      <c r="GL64" s="104"/>
      <c r="GM64" s="104"/>
      <c r="GN64" s="104"/>
      <c r="GO64" s="104"/>
      <c r="GP64" s="104"/>
      <c r="GQ64" s="104"/>
      <c r="GR64" s="104"/>
      <c r="GS64" s="104"/>
      <c r="GT64" s="104"/>
      <c r="GU64" s="104"/>
      <c r="GV64" s="104"/>
      <c r="GW64" s="104"/>
      <c r="GX64" s="104"/>
      <c r="GY64" s="104"/>
      <c r="GZ64" s="104"/>
      <c r="HA64" s="104"/>
      <c r="HB64" s="104"/>
      <c r="HC64" s="104"/>
      <c r="HD64" s="104"/>
      <c r="HE64" s="104"/>
      <c r="HF64" s="104"/>
      <c r="HG64" s="104"/>
      <c r="HH64" s="104"/>
      <c r="HI64" s="104"/>
      <c r="HJ64" s="104"/>
      <c r="HK64" s="104"/>
      <c r="HL64" s="104"/>
      <c r="HM64" s="104"/>
      <c r="HN64" s="104"/>
      <c r="HO64" s="104"/>
      <c r="HP64" s="104"/>
      <c r="HQ64" s="104"/>
      <c r="HR64" s="104"/>
      <c r="HS64" s="104"/>
      <c r="HT64" s="104"/>
      <c r="HU64" s="104"/>
      <c r="HV64" s="104"/>
      <c r="HW64" s="104"/>
      <c r="HX64" s="104"/>
      <c r="HY64" s="104"/>
      <c r="HZ64" s="104"/>
      <c r="IA64" s="104"/>
      <c r="IB64" s="104"/>
      <c r="IC64" s="104"/>
      <c r="ID64" s="104"/>
      <c r="IE64" s="104"/>
      <c r="IF64" s="104"/>
      <c r="IG64" s="104"/>
      <c r="IH64" s="104"/>
      <c r="II64" s="104"/>
      <c r="IJ64" s="104"/>
      <c r="IK64" s="104"/>
      <c r="IL64" s="104"/>
      <c r="IM64" s="104"/>
      <c r="IN64" s="104"/>
      <c r="IO64" s="104"/>
      <c r="IP64" s="104"/>
      <c r="IQ64" s="104"/>
      <c r="IR64" s="104"/>
      <c r="IS64" s="104"/>
      <c r="IT64" s="104"/>
      <c r="IU64" s="104"/>
      <c r="IV64" s="104"/>
      <c r="IW64" s="104"/>
      <c r="IX64" s="104"/>
      <c r="IY64" s="104"/>
      <c r="IZ64" s="104"/>
      <c r="JA64" s="104"/>
      <c r="JB64" s="104"/>
      <c r="JC64" s="104"/>
      <c r="JD64" s="104"/>
      <c r="JE64" s="104"/>
      <c r="JF64" s="104"/>
      <c r="JG64" s="104"/>
      <c r="JH64" s="104"/>
      <c r="JI64" s="104"/>
      <c r="JJ64" s="104"/>
      <c r="JK64" s="104"/>
      <c r="JL64" s="104"/>
      <c r="JM64" s="104"/>
      <c r="JN64" s="104"/>
      <c r="JO64" s="104"/>
      <c r="JP64" s="104"/>
      <c r="JQ64" s="104"/>
      <c r="JR64" s="104"/>
      <c r="JS64" s="104"/>
      <c r="JT64" s="104"/>
      <c r="JU64" s="104"/>
      <c r="JV64" s="104"/>
      <c r="JW64" s="104"/>
      <c r="JX64" s="104"/>
      <c r="JY64" s="104"/>
      <c r="JZ64" s="104"/>
      <c r="KA64" s="104"/>
      <c r="KB64" s="104"/>
      <c r="KC64" s="104"/>
      <c r="KD64" s="104"/>
      <c r="KE64" s="104"/>
      <c r="KF64" s="104"/>
      <c r="KG64" s="104"/>
      <c r="KH64" s="104"/>
      <c r="KI64" s="104"/>
      <c r="KJ64" s="104"/>
      <c r="KK64" s="104"/>
      <c r="KL64" s="104"/>
      <c r="KM64" s="104"/>
      <c r="KN64" s="104"/>
      <c r="KO64" s="104"/>
      <c r="KP64" s="104"/>
      <c r="KQ64" s="104"/>
      <c r="KR64" s="104"/>
      <c r="KS64" s="104"/>
      <c r="KT64" s="104"/>
      <c r="KU64" s="104"/>
      <c r="KV64" s="104"/>
      <c r="KW64" s="104"/>
      <c r="KX64" s="104"/>
      <c r="KY64" s="104"/>
      <c r="KZ64" s="104"/>
      <c r="LA64" s="104"/>
      <c r="LB64" s="104"/>
      <c r="LC64" s="104"/>
      <c r="LD64" s="104"/>
      <c r="LE64" s="104"/>
      <c r="LF64" s="104"/>
      <c r="LG64" s="104"/>
      <c r="LH64" s="104"/>
      <c r="LI64" s="104"/>
      <c r="LJ64" s="104"/>
      <c r="LK64" s="104"/>
      <c r="LL64" s="104"/>
      <c r="LM64" s="104"/>
      <c r="LN64" s="104"/>
      <c r="LO64" s="104"/>
      <c r="LP64" s="104"/>
      <c r="LQ64" s="104"/>
      <c r="LR64" s="104"/>
      <c r="LS64" s="104"/>
      <c r="LT64" s="104"/>
      <c r="LU64" s="104"/>
      <c r="LV64" s="104"/>
      <c r="LW64" s="104"/>
      <c r="LX64" s="104"/>
      <c r="LY64" s="104"/>
      <c r="LZ64" s="104"/>
      <c r="MA64" s="104"/>
      <c r="MB64" s="104"/>
      <c r="MC64" s="104"/>
      <c r="MD64" s="104"/>
      <c r="ME64" s="104"/>
      <c r="MF64" s="104"/>
      <c r="MG64" s="104"/>
      <c r="MH64" s="104"/>
      <c r="MI64" s="104"/>
      <c r="MJ64" s="104"/>
      <c r="MK64" s="104"/>
      <c r="ML64" s="104"/>
      <c r="MM64" s="104"/>
      <c r="MN64" s="104"/>
      <c r="MO64" s="104"/>
      <c r="MP64" s="104"/>
      <c r="MQ64" s="104"/>
      <c r="MR64" s="104"/>
      <c r="MS64" s="104"/>
      <c r="MT64" s="104"/>
      <c r="MU64" s="104"/>
      <c r="MV64" s="104"/>
      <c r="MW64" s="104"/>
      <c r="MX64" s="104"/>
      <c r="MY64" s="104"/>
      <c r="MZ64" s="104"/>
      <c r="NA64" s="104"/>
      <c r="NB64" s="104"/>
      <c r="NC64" s="104"/>
      <c r="ND64" s="104"/>
      <c r="NE64" s="104"/>
      <c r="NF64" s="104"/>
      <c r="NG64" s="104"/>
      <c r="NH64" s="104"/>
      <c r="NI64" s="104"/>
      <c r="NJ64" s="104"/>
      <c r="NK64" s="104"/>
      <c r="NL64" s="104"/>
      <c r="NM64" s="104"/>
      <c r="NN64" s="104"/>
      <c r="NO64" s="104"/>
      <c r="NP64" s="104"/>
      <c r="NQ64" s="104"/>
      <c r="NR64" s="104"/>
      <c r="NS64" s="104"/>
      <c r="NT64" s="104"/>
      <c r="NU64" s="104"/>
      <c r="NV64" s="104"/>
      <c r="NW64" s="104"/>
      <c r="NX64" s="104"/>
      <c r="NY64" s="104"/>
      <c r="NZ64" s="104"/>
    </row>
    <row r="65" spans="1:390" ht="15.75" customHeight="1" x14ac:dyDescent="0.3">
      <c r="A65" s="125">
        <v>4520918901</v>
      </c>
      <c r="B65" s="135"/>
      <c r="C65" s="135"/>
      <c r="D65" s="213" t="s">
        <v>391</v>
      </c>
      <c r="E65" s="135" t="s">
        <v>560</v>
      </c>
      <c r="F65" s="125" t="s">
        <v>437</v>
      </c>
      <c r="G65" s="125" t="s">
        <v>501</v>
      </c>
      <c r="H65" s="111">
        <v>43104</v>
      </c>
      <c r="I65" s="135" t="s">
        <v>458</v>
      </c>
      <c r="J65" s="135" t="s">
        <v>397</v>
      </c>
      <c r="K65" s="128" t="s">
        <v>398</v>
      </c>
      <c r="L65" s="128" t="s">
        <v>398</v>
      </c>
      <c r="M65" s="128" t="s">
        <v>398</v>
      </c>
      <c r="N65" s="128" t="s">
        <v>398</v>
      </c>
      <c r="O65" s="128" t="s">
        <v>398</v>
      </c>
      <c r="P65" s="128" t="s">
        <v>398</v>
      </c>
      <c r="Q65" s="128" t="s">
        <v>398</v>
      </c>
      <c r="R65" s="128" t="s">
        <v>398</v>
      </c>
      <c r="S65" s="128" t="s">
        <v>398</v>
      </c>
      <c r="T65" s="128" t="s">
        <v>398</v>
      </c>
      <c r="U65" s="128" t="s">
        <v>398</v>
      </c>
      <c r="V65" s="128" t="s">
        <v>398</v>
      </c>
      <c r="W65" s="135" t="s">
        <v>398</v>
      </c>
      <c r="X65" s="135" t="s">
        <v>398</v>
      </c>
      <c r="Y65" s="113" t="s">
        <v>398</v>
      </c>
      <c r="Z65" s="113" t="s">
        <v>398</v>
      </c>
      <c r="AA65" s="135"/>
      <c r="AB65" s="113" t="s">
        <v>399</v>
      </c>
      <c r="AC65" s="111">
        <v>18755</v>
      </c>
      <c r="AD65" s="135"/>
      <c r="AE65" s="142" t="e">
        <f t="shared" si="1"/>
        <v>#NUM!</v>
      </c>
      <c r="AF65" s="135" t="s">
        <v>561</v>
      </c>
      <c r="AG65" s="126" t="s">
        <v>401</v>
      </c>
      <c r="AH65" s="135" t="s">
        <v>402</v>
      </c>
      <c r="AI65" s="125">
        <v>3</v>
      </c>
      <c r="AJ65" s="125">
        <v>2</v>
      </c>
      <c r="AK65" s="125">
        <v>0</v>
      </c>
      <c r="AL65" s="125">
        <v>0</v>
      </c>
      <c r="AM65" s="139" t="s">
        <v>490</v>
      </c>
      <c r="AN65" s="134">
        <v>3</v>
      </c>
      <c r="AO65" s="136" t="s">
        <v>398</v>
      </c>
      <c r="AP65" s="135"/>
      <c r="AQ65" s="104"/>
      <c r="AR65" s="104"/>
      <c r="AS65" s="104"/>
      <c r="AT65" s="104"/>
      <c r="AU65" s="104"/>
      <c r="AV65" s="104"/>
      <c r="AW65" s="104"/>
      <c r="AX65" s="104"/>
      <c r="AY65" s="104"/>
      <c r="AZ65" s="104"/>
      <c r="BA65" s="104"/>
      <c r="BB65" s="104"/>
      <c r="BC65" s="104"/>
      <c r="BD65" s="104"/>
      <c r="BE65" s="104"/>
      <c r="BF65" s="104"/>
      <c r="BG65" s="104"/>
      <c r="BH65" s="104"/>
      <c r="BI65" s="104"/>
      <c r="BJ65" s="104"/>
      <c r="BK65" s="104"/>
      <c r="BL65" s="104"/>
      <c r="BM65" s="104"/>
      <c r="BN65" s="104"/>
      <c r="BO65" s="104"/>
      <c r="BP65" s="104"/>
      <c r="BQ65" s="104"/>
      <c r="BR65" s="104"/>
      <c r="BS65" s="104"/>
      <c r="BT65" s="104"/>
      <c r="BU65" s="104"/>
      <c r="BV65" s="104"/>
      <c r="BW65" s="104"/>
      <c r="BX65" s="104"/>
      <c r="BY65" s="104"/>
      <c r="BZ65" s="104"/>
      <c r="CA65" s="104"/>
      <c r="CB65" s="104"/>
      <c r="CC65" s="104"/>
      <c r="CD65" s="104"/>
      <c r="CE65" s="104"/>
      <c r="CF65" s="104"/>
      <c r="CG65" s="104"/>
      <c r="CH65" s="104"/>
      <c r="CI65" s="104"/>
      <c r="CJ65" s="104"/>
      <c r="CK65" s="104"/>
      <c r="CL65" s="104"/>
      <c r="CM65" s="104"/>
      <c r="CN65" s="104"/>
      <c r="CO65" s="104"/>
      <c r="CP65" s="104"/>
      <c r="CQ65" s="104"/>
      <c r="CR65" s="104"/>
      <c r="CS65" s="104"/>
      <c r="CT65" s="104"/>
      <c r="CU65" s="104"/>
      <c r="CV65" s="104"/>
      <c r="CW65" s="104"/>
      <c r="CX65" s="104"/>
      <c r="CY65" s="104"/>
      <c r="CZ65" s="104"/>
      <c r="DA65" s="104"/>
      <c r="DB65" s="104"/>
      <c r="DC65" s="104"/>
      <c r="DD65" s="104"/>
      <c r="DE65" s="104"/>
      <c r="DF65" s="104"/>
      <c r="DG65" s="104"/>
      <c r="DH65" s="104"/>
      <c r="DI65" s="104"/>
      <c r="DJ65" s="104"/>
      <c r="DK65" s="104"/>
      <c r="DL65" s="104"/>
      <c r="DM65" s="104"/>
      <c r="DN65" s="104"/>
      <c r="DO65" s="104"/>
      <c r="DP65" s="104"/>
      <c r="DQ65" s="104"/>
      <c r="DR65" s="104"/>
      <c r="DS65" s="104"/>
      <c r="DT65" s="104"/>
      <c r="DU65" s="104"/>
      <c r="DV65" s="104"/>
      <c r="DW65" s="104"/>
      <c r="DX65" s="104"/>
      <c r="DY65" s="104"/>
      <c r="DZ65" s="104"/>
      <c r="EA65" s="104"/>
      <c r="EB65" s="104"/>
      <c r="EC65" s="104"/>
      <c r="ED65" s="104"/>
      <c r="EE65" s="104"/>
      <c r="EF65" s="104"/>
      <c r="EG65" s="104"/>
      <c r="EH65" s="104"/>
      <c r="EI65" s="104"/>
      <c r="EJ65" s="104"/>
      <c r="EK65" s="104"/>
      <c r="EL65" s="104"/>
      <c r="EM65" s="104"/>
      <c r="EN65" s="104"/>
      <c r="EO65" s="104"/>
      <c r="EP65" s="104"/>
      <c r="EQ65" s="104"/>
      <c r="ER65" s="104"/>
      <c r="ES65" s="104"/>
      <c r="ET65" s="104"/>
      <c r="EU65" s="104"/>
      <c r="EV65" s="104"/>
      <c r="EW65" s="104"/>
      <c r="EX65" s="104"/>
      <c r="EY65" s="104"/>
      <c r="EZ65" s="104"/>
      <c r="FA65" s="104"/>
      <c r="FB65" s="104"/>
      <c r="FC65" s="104"/>
      <c r="FD65" s="104"/>
      <c r="FE65" s="104"/>
      <c r="FF65" s="104"/>
      <c r="FG65" s="104"/>
      <c r="FH65" s="104"/>
      <c r="FI65" s="104"/>
      <c r="FJ65" s="104"/>
      <c r="FK65" s="104"/>
      <c r="FL65" s="104"/>
      <c r="FM65" s="104"/>
      <c r="FN65" s="104"/>
      <c r="FO65" s="104"/>
      <c r="FP65" s="104"/>
      <c r="FQ65" s="104"/>
      <c r="FR65" s="104"/>
      <c r="FS65" s="104"/>
      <c r="FT65" s="104"/>
      <c r="FU65" s="104"/>
      <c r="FV65" s="104"/>
      <c r="FW65" s="104"/>
      <c r="FX65" s="104"/>
      <c r="FY65" s="104"/>
      <c r="FZ65" s="104"/>
      <c r="GA65" s="104"/>
      <c r="GB65" s="104"/>
      <c r="GC65" s="104"/>
      <c r="GD65" s="104"/>
      <c r="GE65" s="104"/>
      <c r="GF65" s="104"/>
      <c r="GG65" s="104"/>
      <c r="GH65" s="104"/>
      <c r="GI65" s="104"/>
      <c r="GJ65" s="104"/>
      <c r="GK65" s="104"/>
      <c r="GL65" s="104"/>
      <c r="GM65" s="104"/>
      <c r="GN65" s="104"/>
      <c r="GO65" s="104"/>
      <c r="GP65" s="104"/>
      <c r="GQ65" s="104"/>
      <c r="GR65" s="104"/>
      <c r="GS65" s="104"/>
      <c r="GT65" s="104"/>
      <c r="GU65" s="104"/>
      <c r="GV65" s="104"/>
      <c r="GW65" s="104"/>
      <c r="GX65" s="104"/>
      <c r="GY65" s="104"/>
      <c r="GZ65" s="104"/>
      <c r="HA65" s="104"/>
      <c r="HB65" s="104"/>
      <c r="HC65" s="104"/>
      <c r="HD65" s="104"/>
      <c r="HE65" s="104"/>
      <c r="HF65" s="104"/>
      <c r="HG65" s="104"/>
      <c r="HH65" s="104"/>
      <c r="HI65" s="104"/>
      <c r="HJ65" s="104"/>
      <c r="HK65" s="104"/>
      <c r="HL65" s="104"/>
      <c r="HM65" s="104"/>
      <c r="HN65" s="104"/>
      <c r="HO65" s="104"/>
      <c r="HP65" s="104"/>
      <c r="HQ65" s="104"/>
      <c r="HR65" s="104"/>
      <c r="HS65" s="104"/>
      <c r="HT65" s="104"/>
      <c r="HU65" s="104"/>
      <c r="HV65" s="104"/>
      <c r="HW65" s="104"/>
      <c r="HX65" s="104"/>
      <c r="HY65" s="104"/>
      <c r="HZ65" s="104"/>
      <c r="IA65" s="104"/>
      <c r="IB65" s="104"/>
      <c r="IC65" s="104"/>
      <c r="ID65" s="104"/>
      <c r="IE65" s="104"/>
      <c r="IF65" s="104"/>
      <c r="IG65" s="104"/>
      <c r="IH65" s="104"/>
      <c r="II65" s="104"/>
      <c r="IJ65" s="104"/>
      <c r="IK65" s="104"/>
      <c r="IL65" s="104"/>
      <c r="IM65" s="104"/>
      <c r="IN65" s="104"/>
      <c r="IO65" s="104"/>
      <c r="IP65" s="104"/>
      <c r="IQ65" s="104"/>
      <c r="IR65" s="104"/>
      <c r="IS65" s="104"/>
      <c r="IT65" s="104"/>
      <c r="IU65" s="104"/>
      <c r="IV65" s="104"/>
      <c r="IW65" s="104"/>
      <c r="IX65" s="104"/>
      <c r="IY65" s="104"/>
      <c r="IZ65" s="104"/>
      <c r="JA65" s="104"/>
      <c r="JB65" s="104"/>
      <c r="JC65" s="104"/>
      <c r="JD65" s="104"/>
      <c r="JE65" s="104"/>
      <c r="JF65" s="104"/>
      <c r="JG65" s="104"/>
      <c r="JH65" s="104"/>
      <c r="JI65" s="104"/>
      <c r="JJ65" s="104"/>
      <c r="JK65" s="104"/>
      <c r="JL65" s="104"/>
      <c r="JM65" s="104"/>
      <c r="JN65" s="104"/>
      <c r="JO65" s="104"/>
      <c r="JP65" s="104"/>
      <c r="JQ65" s="104"/>
      <c r="JR65" s="104"/>
      <c r="JS65" s="104"/>
      <c r="JT65" s="104"/>
      <c r="JU65" s="104"/>
      <c r="JV65" s="104"/>
      <c r="JW65" s="104"/>
      <c r="JX65" s="104"/>
      <c r="JY65" s="104"/>
      <c r="JZ65" s="104"/>
      <c r="KA65" s="104"/>
      <c r="KB65" s="104"/>
      <c r="KC65" s="104"/>
      <c r="KD65" s="104"/>
      <c r="KE65" s="104"/>
      <c r="KF65" s="104"/>
      <c r="KG65" s="104"/>
      <c r="KH65" s="104"/>
      <c r="KI65" s="104"/>
      <c r="KJ65" s="104"/>
      <c r="KK65" s="104"/>
      <c r="KL65" s="104"/>
      <c r="KM65" s="104"/>
      <c r="KN65" s="104"/>
      <c r="KO65" s="104"/>
      <c r="KP65" s="104"/>
      <c r="KQ65" s="104"/>
      <c r="KR65" s="104"/>
      <c r="KS65" s="104"/>
      <c r="KT65" s="104"/>
      <c r="KU65" s="104"/>
      <c r="KV65" s="104"/>
      <c r="KW65" s="104"/>
      <c r="KX65" s="104"/>
      <c r="KY65" s="104"/>
      <c r="KZ65" s="104"/>
      <c r="LA65" s="104"/>
      <c r="LB65" s="104"/>
      <c r="LC65" s="104"/>
      <c r="LD65" s="104"/>
      <c r="LE65" s="104"/>
      <c r="LF65" s="104"/>
      <c r="LG65" s="104"/>
      <c r="LH65" s="104"/>
      <c r="LI65" s="104"/>
      <c r="LJ65" s="104"/>
      <c r="LK65" s="104"/>
      <c r="LL65" s="104"/>
      <c r="LM65" s="104"/>
      <c r="LN65" s="104"/>
      <c r="LO65" s="104"/>
      <c r="LP65" s="104"/>
      <c r="LQ65" s="104"/>
      <c r="LR65" s="104"/>
      <c r="LS65" s="104"/>
      <c r="LT65" s="104"/>
      <c r="LU65" s="104"/>
      <c r="LV65" s="104"/>
      <c r="LW65" s="104"/>
      <c r="LX65" s="104"/>
      <c r="LY65" s="104"/>
      <c r="LZ65" s="104"/>
      <c r="MA65" s="104"/>
      <c r="MB65" s="104"/>
      <c r="MC65" s="104"/>
      <c r="MD65" s="104"/>
      <c r="ME65" s="104"/>
      <c r="MF65" s="104"/>
      <c r="MG65" s="104"/>
      <c r="MH65" s="104"/>
      <c r="MI65" s="104"/>
      <c r="MJ65" s="104"/>
      <c r="MK65" s="104"/>
      <c r="ML65" s="104"/>
      <c r="MM65" s="104"/>
      <c r="MN65" s="104"/>
      <c r="MO65" s="104"/>
      <c r="MP65" s="104"/>
      <c r="MQ65" s="104"/>
      <c r="MR65" s="104"/>
      <c r="MS65" s="104"/>
      <c r="MT65" s="104"/>
      <c r="MU65" s="104"/>
      <c r="MV65" s="104"/>
      <c r="MW65" s="104"/>
      <c r="MX65" s="104"/>
      <c r="MY65" s="104"/>
      <c r="MZ65" s="104"/>
      <c r="NA65" s="104"/>
      <c r="NB65" s="104"/>
      <c r="NC65" s="104"/>
      <c r="ND65" s="104"/>
      <c r="NE65" s="104"/>
      <c r="NF65" s="104"/>
      <c r="NG65" s="104"/>
      <c r="NH65" s="104"/>
      <c r="NI65" s="104"/>
      <c r="NJ65" s="104"/>
      <c r="NK65" s="104"/>
      <c r="NL65" s="104"/>
      <c r="NM65" s="104"/>
      <c r="NN65" s="104"/>
      <c r="NO65" s="104"/>
      <c r="NP65" s="104"/>
      <c r="NQ65" s="104"/>
      <c r="NR65" s="104"/>
      <c r="NS65" s="104"/>
      <c r="NT65" s="104"/>
      <c r="NU65" s="104"/>
      <c r="NV65" s="104"/>
      <c r="NW65" s="104"/>
      <c r="NX65" s="104"/>
      <c r="NY65" s="104"/>
      <c r="NZ65" s="104"/>
    </row>
    <row r="66" spans="1:390" ht="15.75" customHeight="1" x14ac:dyDescent="0.3">
      <c r="A66" s="125">
        <v>4681263087</v>
      </c>
      <c r="B66" s="135"/>
      <c r="C66" s="135"/>
      <c r="D66" s="213" t="s">
        <v>391</v>
      </c>
      <c r="E66" s="135" t="s">
        <v>562</v>
      </c>
      <c r="F66" s="125" t="s">
        <v>437</v>
      </c>
      <c r="G66" s="135" t="s">
        <v>398</v>
      </c>
      <c r="H66" s="111">
        <v>43111</v>
      </c>
      <c r="I66" s="135" t="s">
        <v>396</v>
      </c>
      <c r="J66" s="135" t="s">
        <v>397</v>
      </c>
      <c r="K66" s="128" t="s">
        <v>398</v>
      </c>
      <c r="L66" s="128" t="s">
        <v>398</v>
      </c>
      <c r="M66" s="128" t="s">
        <v>398</v>
      </c>
      <c r="N66" s="128" t="s">
        <v>398</v>
      </c>
      <c r="O66" s="128" t="s">
        <v>398</v>
      </c>
      <c r="P66" s="128" t="s">
        <v>398</v>
      </c>
      <c r="Q66" s="128" t="s">
        <v>398</v>
      </c>
      <c r="R66" s="128" t="s">
        <v>398</v>
      </c>
      <c r="S66" s="128" t="s">
        <v>398</v>
      </c>
      <c r="T66" s="128" t="s">
        <v>398</v>
      </c>
      <c r="U66" s="128" t="s">
        <v>398</v>
      </c>
      <c r="V66" s="128" t="s">
        <v>398</v>
      </c>
      <c r="W66" s="135" t="s">
        <v>562</v>
      </c>
      <c r="X66" s="135" t="s">
        <v>563</v>
      </c>
      <c r="Y66" s="113" t="s">
        <v>410</v>
      </c>
      <c r="Z66" s="111">
        <v>43111</v>
      </c>
      <c r="AA66" s="135"/>
      <c r="AB66" s="113" t="s">
        <v>399</v>
      </c>
      <c r="AC66" s="111">
        <v>12652</v>
      </c>
      <c r="AD66" s="135"/>
      <c r="AE66" s="142" t="e">
        <f t="shared" si="1"/>
        <v>#NUM!</v>
      </c>
      <c r="AF66" s="135" t="s">
        <v>477</v>
      </c>
      <c r="AG66" s="126" t="s">
        <v>401</v>
      </c>
      <c r="AH66" s="135" t="s">
        <v>402</v>
      </c>
      <c r="AI66" s="125" t="s">
        <v>412</v>
      </c>
      <c r="AJ66" s="125">
        <v>0</v>
      </c>
      <c r="AK66" s="125">
        <v>0</v>
      </c>
      <c r="AL66" s="125">
        <v>0</v>
      </c>
      <c r="AM66" s="139" t="s">
        <v>414</v>
      </c>
      <c r="AN66" s="134">
        <v>3</v>
      </c>
      <c r="AO66" s="136" t="s">
        <v>398</v>
      </c>
      <c r="AP66" s="135"/>
      <c r="AQ66" s="104"/>
      <c r="AR66" s="104"/>
      <c r="AS66" s="104"/>
      <c r="AT66" s="104"/>
      <c r="AU66" s="104"/>
      <c r="AV66" s="104"/>
      <c r="AW66" s="104"/>
      <c r="AX66" s="104"/>
      <c r="AY66" s="104"/>
      <c r="AZ66" s="104"/>
      <c r="BA66" s="104"/>
      <c r="BB66" s="104"/>
      <c r="BC66" s="104"/>
      <c r="BD66" s="104"/>
      <c r="BE66" s="104"/>
      <c r="BF66" s="104"/>
      <c r="BG66" s="104"/>
      <c r="BH66" s="104"/>
      <c r="BI66" s="104"/>
      <c r="BJ66" s="104"/>
      <c r="BK66" s="104"/>
      <c r="BL66" s="104"/>
      <c r="BM66" s="104"/>
      <c r="BN66" s="104"/>
      <c r="BO66" s="104"/>
      <c r="BP66" s="104"/>
      <c r="BQ66" s="104"/>
      <c r="BR66" s="104"/>
      <c r="BS66" s="104"/>
      <c r="BT66" s="104"/>
      <c r="BU66" s="104"/>
      <c r="BV66" s="104"/>
      <c r="BW66" s="104"/>
      <c r="BX66" s="104"/>
      <c r="BY66" s="104"/>
      <c r="BZ66" s="104"/>
      <c r="CA66" s="104"/>
      <c r="CB66" s="104"/>
      <c r="CC66" s="104"/>
      <c r="CD66" s="104"/>
      <c r="CE66" s="104"/>
      <c r="CF66" s="104"/>
      <c r="CG66" s="104"/>
      <c r="CH66" s="104"/>
      <c r="CI66" s="104"/>
      <c r="CJ66" s="104"/>
      <c r="CK66" s="104"/>
      <c r="CL66" s="104"/>
      <c r="CM66" s="104"/>
      <c r="CN66" s="104"/>
      <c r="CO66" s="104"/>
      <c r="CP66" s="104"/>
      <c r="CQ66" s="104"/>
      <c r="CR66" s="104"/>
      <c r="CS66" s="104"/>
      <c r="CT66" s="104"/>
      <c r="CU66" s="104"/>
      <c r="CV66" s="104"/>
      <c r="CW66" s="104"/>
      <c r="CX66" s="104"/>
      <c r="CY66" s="104"/>
      <c r="CZ66" s="104"/>
      <c r="DA66" s="104"/>
      <c r="DB66" s="104"/>
      <c r="DC66" s="104"/>
      <c r="DD66" s="104"/>
      <c r="DE66" s="104"/>
      <c r="DF66" s="104"/>
      <c r="DG66" s="104"/>
      <c r="DH66" s="104"/>
      <c r="DI66" s="104"/>
      <c r="DJ66" s="104"/>
      <c r="DK66" s="104"/>
      <c r="DL66" s="104"/>
      <c r="DM66" s="104"/>
      <c r="DN66" s="104"/>
      <c r="DO66" s="104"/>
      <c r="DP66" s="104"/>
      <c r="DQ66" s="104"/>
      <c r="DR66" s="104"/>
      <c r="DS66" s="104"/>
      <c r="DT66" s="104"/>
      <c r="DU66" s="104"/>
      <c r="DV66" s="104"/>
      <c r="DW66" s="104"/>
      <c r="DX66" s="104"/>
      <c r="DY66" s="104"/>
      <c r="DZ66" s="104"/>
      <c r="EA66" s="104"/>
      <c r="EB66" s="104"/>
      <c r="EC66" s="104"/>
      <c r="ED66" s="104"/>
      <c r="EE66" s="104"/>
      <c r="EF66" s="104"/>
      <c r="EG66" s="104"/>
      <c r="EH66" s="104"/>
      <c r="EI66" s="104"/>
      <c r="EJ66" s="104"/>
      <c r="EK66" s="104"/>
      <c r="EL66" s="104"/>
      <c r="EM66" s="104"/>
      <c r="EN66" s="104"/>
      <c r="EO66" s="104"/>
      <c r="EP66" s="104"/>
      <c r="EQ66" s="104"/>
      <c r="ER66" s="104"/>
      <c r="ES66" s="104"/>
      <c r="ET66" s="104"/>
      <c r="EU66" s="104"/>
      <c r="EV66" s="104"/>
      <c r="EW66" s="104"/>
      <c r="EX66" s="104"/>
      <c r="EY66" s="104"/>
      <c r="EZ66" s="104"/>
      <c r="FA66" s="104"/>
      <c r="FB66" s="104"/>
      <c r="FC66" s="104"/>
      <c r="FD66" s="104"/>
      <c r="FE66" s="104"/>
      <c r="FF66" s="104"/>
      <c r="FG66" s="104"/>
      <c r="FH66" s="104"/>
      <c r="FI66" s="104"/>
      <c r="FJ66" s="104"/>
      <c r="FK66" s="104"/>
      <c r="FL66" s="104"/>
      <c r="FM66" s="104"/>
      <c r="FN66" s="104"/>
      <c r="FO66" s="104"/>
      <c r="FP66" s="104"/>
      <c r="FQ66" s="104"/>
      <c r="FR66" s="104"/>
      <c r="FS66" s="104"/>
      <c r="FT66" s="104"/>
      <c r="FU66" s="104"/>
      <c r="FV66" s="104"/>
      <c r="FW66" s="104"/>
      <c r="FX66" s="104"/>
      <c r="FY66" s="104"/>
      <c r="FZ66" s="104"/>
      <c r="GA66" s="104"/>
      <c r="GB66" s="104"/>
      <c r="GC66" s="104"/>
      <c r="GD66" s="104"/>
      <c r="GE66" s="104"/>
      <c r="GF66" s="104"/>
      <c r="GG66" s="104"/>
      <c r="GH66" s="104"/>
      <c r="GI66" s="104"/>
      <c r="GJ66" s="104"/>
      <c r="GK66" s="104"/>
      <c r="GL66" s="104"/>
      <c r="GM66" s="104"/>
      <c r="GN66" s="104"/>
      <c r="GO66" s="104"/>
      <c r="GP66" s="104"/>
      <c r="GQ66" s="104"/>
      <c r="GR66" s="104"/>
      <c r="GS66" s="104"/>
      <c r="GT66" s="104"/>
      <c r="GU66" s="104"/>
      <c r="GV66" s="104"/>
      <c r="GW66" s="104"/>
      <c r="GX66" s="104"/>
      <c r="GY66" s="104"/>
      <c r="GZ66" s="104"/>
      <c r="HA66" s="104"/>
      <c r="HB66" s="104"/>
      <c r="HC66" s="104"/>
      <c r="HD66" s="104"/>
      <c r="HE66" s="104"/>
      <c r="HF66" s="104"/>
      <c r="HG66" s="104"/>
      <c r="HH66" s="104"/>
      <c r="HI66" s="104"/>
      <c r="HJ66" s="104"/>
      <c r="HK66" s="104"/>
      <c r="HL66" s="104"/>
      <c r="HM66" s="104"/>
      <c r="HN66" s="104"/>
      <c r="HO66" s="104"/>
      <c r="HP66" s="104"/>
      <c r="HQ66" s="104"/>
      <c r="HR66" s="104"/>
      <c r="HS66" s="104"/>
      <c r="HT66" s="104"/>
      <c r="HU66" s="104"/>
      <c r="HV66" s="104"/>
      <c r="HW66" s="104"/>
      <c r="HX66" s="104"/>
      <c r="HY66" s="104"/>
      <c r="HZ66" s="104"/>
      <c r="IA66" s="104"/>
      <c r="IB66" s="104"/>
      <c r="IC66" s="104"/>
      <c r="ID66" s="104"/>
      <c r="IE66" s="104"/>
      <c r="IF66" s="104"/>
      <c r="IG66" s="104"/>
      <c r="IH66" s="104"/>
      <c r="II66" s="104"/>
      <c r="IJ66" s="104"/>
      <c r="IK66" s="104"/>
      <c r="IL66" s="104"/>
      <c r="IM66" s="104"/>
      <c r="IN66" s="104"/>
      <c r="IO66" s="104"/>
      <c r="IP66" s="104"/>
      <c r="IQ66" s="104"/>
      <c r="IR66" s="104"/>
      <c r="IS66" s="104"/>
      <c r="IT66" s="104"/>
      <c r="IU66" s="104"/>
      <c r="IV66" s="104"/>
      <c r="IW66" s="104"/>
      <c r="IX66" s="104"/>
      <c r="IY66" s="104"/>
      <c r="IZ66" s="104"/>
      <c r="JA66" s="104"/>
      <c r="JB66" s="104"/>
      <c r="JC66" s="104"/>
      <c r="JD66" s="104"/>
      <c r="JE66" s="104"/>
      <c r="JF66" s="104"/>
      <c r="JG66" s="104"/>
      <c r="JH66" s="104"/>
      <c r="JI66" s="104"/>
      <c r="JJ66" s="104"/>
      <c r="JK66" s="104"/>
      <c r="JL66" s="104"/>
      <c r="JM66" s="104"/>
      <c r="JN66" s="104"/>
      <c r="JO66" s="104"/>
      <c r="JP66" s="104"/>
      <c r="JQ66" s="104"/>
      <c r="JR66" s="104"/>
      <c r="JS66" s="104"/>
      <c r="JT66" s="104"/>
      <c r="JU66" s="104"/>
      <c r="JV66" s="104"/>
      <c r="JW66" s="104"/>
      <c r="JX66" s="104"/>
      <c r="JY66" s="104"/>
      <c r="JZ66" s="104"/>
      <c r="KA66" s="104"/>
      <c r="KB66" s="104"/>
      <c r="KC66" s="104"/>
      <c r="KD66" s="104"/>
      <c r="KE66" s="104"/>
      <c r="KF66" s="104"/>
      <c r="KG66" s="104"/>
      <c r="KH66" s="104"/>
      <c r="KI66" s="104"/>
      <c r="KJ66" s="104"/>
      <c r="KK66" s="104"/>
      <c r="KL66" s="104"/>
      <c r="KM66" s="104"/>
      <c r="KN66" s="104"/>
      <c r="KO66" s="104"/>
      <c r="KP66" s="104"/>
      <c r="KQ66" s="104"/>
      <c r="KR66" s="104"/>
      <c r="KS66" s="104"/>
      <c r="KT66" s="104"/>
      <c r="KU66" s="104"/>
      <c r="KV66" s="104"/>
      <c r="KW66" s="104"/>
      <c r="KX66" s="104"/>
      <c r="KY66" s="104"/>
      <c r="KZ66" s="104"/>
      <c r="LA66" s="104"/>
      <c r="LB66" s="104"/>
      <c r="LC66" s="104"/>
      <c r="LD66" s="104"/>
      <c r="LE66" s="104"/>
      <c r="LF66" s="104"/>
      <c r="LG66" s="104"/>
      <c r="LH66" s="104"/>
      <c r="LI66" s="104"/>
      <c r="LJ66" s="104"/>
      <c r="LK66" s="104"/>
      <c r="LL66" s="104"/>
      <c r="LM66" s="104"/>
      <c r="LN66" s="104"/>
      <c r="LO66" s="104"/>
      <c r="LP66" s="104"/>
      <c r="LQ66" s="104"/>
      <c r="LR66" s="104"/>
      <c r="LS66" s="104"/>
      <c r="LT66" s="104"/>
      <c r="LU66" s="104"/>
      <c r="LV66" s="104"/>
      <c r="LW66" s="104"/>
      <c r="LX66" s="104"/>
      <c r="LY66" s="104"/>
      <c r="LZ66" s="104"/>
      <c r="MA66" s="104"/>
      <c r="MB66" s="104"/>
      <c r="MC66" s="104"/>
      <c r="MD66" s="104"/>
      <c r="ME66" s="104"/>
      <c r="MF66" s="104"/>
      <c r="MG66" s="104"/>
      <c r="MH66" s="104"/>
      <c r="MI66" s="104"/>
      <c r="MJ66" s="104"/>
      <c r="MK66" s="104"/>
      <c r="ML66" s="104"/>
      <c r="MM66" s="104"/>
      <c r="MN66" s="104"/>
      <c r="MO66" s="104"/>
      <c r="MP66" s="104"/>
      <c r="MQ66" s="104"/>
      <c r="MR66" s="104"/>
      <c r="MS66" s="104"/>
      <c r="MT66" s="104"/>
      <c r="MU66" s="104"/>
      <c r="MV66" s="104"/>
      <c r="MW66" s="104"/>
      <c r="MX66" s="104"/>
      <c r="MY66" s="104"/>
      <c r="MZ66" s="104"/>
      <c r="NA66" s="104"/>
      <c r="NB66" s="104"/>
      <c r="NC66" s="104"/>
      <c r="ND66" s="104"/>
      <c r="NE66" s="104"/>
      <c r="NF66" s="104"/>
      <c r="NG66" s="104"/>
      <c r="NH66" s="104"/>
      <c r="NI66" s="104"/>
      <c r="NJ66" s="104"/>
      <c r="NK66" s="104"/>
      <c r="NL66" s="104"/>
      <c r="NM66" s="104"/>
      <c r="NN66" s="104"/>
      <c r="NO66" s="104"/>
      <c r="NP66" s="104"/>
      <c r="NQ66" s="104"/>
      <c r="NR66" s="104"/>
      <c r="NS66" s="104"/>
      <c r="NT66" s="104"/>
      <c r="NU66" s="104"/>
      <c r="NV66" s="104"/>
      <c r="NW66" s="104"/>
      <c r="NX66" s="104"/>
      <c r="NY66" s="104"/>
      <c r="NZ66" s="104"/>
    </row>
    <row r="67" spans="1:390" ht="15.75" customHeight="1" x14ac:dyDescent="0.3">
      <c r="A67" s="125">
        <v>4509320175</v>
      </c>
      <c r="B67" s="135"/>
      <c r="C67" s="135"/>
      <c r="D67" s="213" t="s">
        <v>391</v>
      </c>
      <c r="E67" s="135" t="s">
        <v>564</v>
      </c>
      <c r="F67" s="125" t="s">
        <v>421</v>
      </c>
      <c r="G67" s="135" t="s">
        <v>398</v>
      </c>
      <c r="H67" s="111">
        <v>43125</v>
      </c>
      <c r="I67" s="135" t="s">
        <v>458</v>
      </c>
      <c r="J67" s="135" t="s">
        <v>397</v>
      </c>
      <c r="K67" s="128" t="s">
        <v>398</v>
      </c>
      <c r="L67" s="128" t="s">
        <v>398</v>
      </c>
      <c r="M67" s="128" t="s">
        <v>398</v>
      </c>
      <c r="N67" s="128" t="s">
        <v>398</v>
      </c>
      <c r="O67" s="128" t="s">
        <v>398</v>
      </c>
      <c r="P67" s="128" t="s">
        <v>398</v>
      </c>
      <c r="Q67" s="128" t="s">
        <v>398</v>
      </c>
      <c r="R67" s="128" t="s">
        <v>398</v>
      </c>
      <c r="S67" s="128" t="s">
        <v>398</v>
      </c>
      <c r="T67" s="128" t="s">
        <v>398</v>
      </c>
      <c r="U67" s="128" t="s">
        <v>398</v>
      </c>
      <c r="V67" s="128" t="s">
        <v>398</v>
      </c>
      <c r="W67" s="135" t="s">
        <v>398</v>
      </c>
      <c r="X67" s="135" t="s">
        <v>398</v>
      </c>
      <c r="Y67" s="113" t="s">
        <v>398</v>
      </c>
      <c r="Z67" s="113" t="s">
        <v>398</v>
      </c>
      <c r="AA67" s="135"/>
      <c r="AB67" s="113" t="s">
        <v>399</v>
      </c>
      <c r="AC67" s="111">
        <v>18082</v>
      </c>
      <c r="AD67" s="135"/>
      <c r="AE67" s="142" t="e">
        <f t="shared" si="1"/>
        <v>#NUM!</v>
      </c>
      <c r="AF67" s="135" t="s">
        <v>554</v>
      </c>
      <c r="AG67" s="126" t="s">
        <v>401</v>
      </c>
      <c r="AH67" s="135" t="s">
        <v>402</v>
      </c>
      <c r="AI67" s="125" t="s">
        <v>404</v>
      </c>
      <c r="AJ67" s="125">
        <v>0</v>
      </c>
      <c r="AK67" s="125">
        <v>0</v>
      </c>
      <c r="AL67" s="125" t="s">
        <v>445</v>
      </c>
      <c r="AM67" s="139" t="s">
        <v>398</v>
      </c>
      <c r="AN67" s="134">
        <v>2</v>
      </c>
      <c r="AO67" s="136" t="s">
        <v>398</v>
      </c>
      <c r="AP67" s="135"/>
      <c r="AQ67" s="104"/>
      <c r="AR67" s="104"/>
      <c r="AS67" s="104"/>
      <c r="AT67" s="104"/>
      <c r="AU67" s="104"/>
      <c r="AV67" s="104"/>
      <c r="AW67" s="104"/>
      <c r="AX67" s="104"/>
      <c r="AY67" s="104"/>
      <c r="AZ67" s="104"/>
      <c r="BA67" s="104"/>
      <c r="BB67" s="104"/>
      <c r="BC67" s="104"/>
      <c r="BD67" s="104"/>
      <c r="BE67" s="104"/>
      <c r="BF67" s="104"/>
      <c r="BG67" s="104"/>
      <c r="BH67" s="104"/>
      <c r="BI67" s="104"/>
      <c r="BJ67" s="104"/>
      <c r="BK67" s="104"/>
      <c r="BL67" s="104"/>
      <c r="BM67" s="104"/>
      <c r="BN67" s="104"/>
      <c r="BO67" s="104"/>
      <c r="BP67" s="104"/>
      <c r="BQ67" s="104"/>
      <c r="BR67" s="104"/>
      <c r="BS67" s="104"/>
      <c r="BT67" s="104"/>
      <c r="BU67" s="104"/>
      <c r="BV67" s="104"/>
      <c r="BW67" s="104"/>
      <c r="BX67" s="104"/>
      <c r="BY67" s="104"/>
      <c r="BZ67" s="104"/>
      <c r="CA67" s="104"/>
      <c r="CB67" s="104"/>
      <c r="CC67" s="104"/>
      <c r="CD67" s="104"/>
      <c r="CE67" s="104"/>
      <c r="CF67" s="104"/>
      <c r="CG67" s="104"/>
      <c r="CH67" s="104"/>
      <c r="CI67" s="104"/>
      <c r="CJ67" s="104"/>
      <c r="CK67" s="104"/>
      <c r="CL67" s="104"/>
      <c r="CM67" s="104"/>
      <c r="CN67" s="104"/>
      <c r="CO67" s="104"/>
      <c r="CP67" s="104"/>
      <c r="CQ67" s="104"/>
      <c r="CR67" s="104"/>
      <c r="CS67" s="104"/>
      <c r="CT67" s="104"/>
      <c r="CU67" s="104"/>
      <c r="CV67" s="104"/>
      <c r="CW67" s="104"/>
      <c r="CX67" s="104"/>
      <c r="CY67" s="104"/>
      <c r="CZ67" s="104"/>
      <c r="DA67" s="104"/>
      <c r="DB67" s="104"/>
      <c r="DC67" s="104"/>
      <c r="DD67" s="104"/>
      <c r="DE67" s="104"/>
      <c r="DF67" s="104"/>
      <c r="DG67" s="104"/>
      <c r="DH67" s="104"/>
      <c r="DI67" s="104"/>
      <c r="DJ67" s="104"/>
      <c r="DK67" s="104"/>
      <c r="DL67" s="104"/>
      <c r="DM67" s="104"/>
      <c r="DN67" s="104"/>
      <c r="DO67" s="104"/>
      <c r="DP67" s="104"/>
      <c r="DQ67" s="104"/>
      <c r="DR67" s="104"/>
      <c r="DS67" s="104"/>
      <c r="DT67" s="104"/>
      <c r="DU67" s="104"/>
      <c r="DV67" s="104"/>
      <c r="DW67" s="104"/>
      <c r="DX67" s="104"/>
      <c r="DY67" s="104"/>
      <c r="DZ67" s="104"/>
      <c r="EA67" s="104"/>
      <c r="EB67" s="104"/>
      <c r="EC67" s="104"/>
      <c r="ED67" s="104"/>
      <c r="EE67" s="104"/>
      <c r="EF67" s="104"/>
      <c r="EG67" s="104"/>
      <c r="EH67" s="104"/>
      <c r="EI67" s="104"/>
      <c r="EJ67" s="104"/>
      <c r="EK67" s="104"/>
      <c r="EL67" s="104"/>
      <c r="EM67" s="104"/>
      <c r="EN67" s="104"/>
      <c r="EO67" s="104"/>
      <c r="EP67" s="104"/>
      <c r="EQ67" s="104"/>
      <c r="ER67" s="104"/>
      <c r="ES67" s="104"/>
      <c r="ET67" s="104"/>
      <c r="EU67" s="104"/>
      <c r="EV67" s="104"/>
      <c r="EW67" s="104"/>
      <c r="EX67" s="104"/>
      <c r="EY67" s="104"/>
      <c r="EZ67" s="104"/>
      <c r="FA67" s="104"/>
      <c r="FB67" s="104"/>
      <c r="FC67" s="104"/>
      <c r="FD67" s="104"/>
      <c r="FE67" s="104"/>
      <c r="FF67" s="104"/>
      <c r="FG67" s="104"/>
      <c r="FH67" s="104"/>
      <c r="FI67" s="104"/>
      <c r="FJ67" s="104"/>
      <c r="FK67" s="104"/>
      <c r="FL67" s="104"/>
      <c r="FM67" s="104"/>
      <c r="FN67" s="104"/>
      <c r="FO67" s="104"/>
      <c r="FP67" s="104"/>
      <c r="FQ67" s="104"/>
      <c r="FR67" s="104"/>
      <c r="FS67" s="104"/>
      <c r="FT67" s="104"/>
      <c r="FU67" s="104"/>
      <c r="FV67" s="104"/>
      <c r="FW67" s="104"/>
      <c r="FX67" s="104"/>
      <c r="FY67" s="104"/>
      <c r="FZ67" s="104"/>
      <c r="GA67" s="104"/>
      <c r="GB67" s="104"/>
      <c r="GC67" s="104"/>
      <c r="GD67" s="104"/>
      <c r="GE67" s="104"/>
      <c r="GF67" s="104"/>
      <c r="GG67" s="104"/>
      <c r="GH67" s="104"/>
      <c r="GI67" s="104"/>
      <c r="GJ67" s="104"/>
      <c r="GK67" s="104"/>
      <c r="GL67" s="104"/>
      <c r="GM67" s="104"/>
      <c r="GN67" s="104"/>
      <c r="GO67" s="104"/>
      <c r="GP67" s="104"/>
      <c r="GQ67" s="104"/>
      <c r="GR67" s="104"/>
      <c r="GS67" s="104"/>
      <c r="GT67" s="104"/>
      <c r="GU67" s="104"/>
      <c r="GV67" s="104"/>
      <c r="GW67" s="104"/>
      <c r="GX67" s="104"/>
      <c r="GY67" s="104"/>
      <c r="GZ67" s="104"/>
      <c r="HA67" s="104"/>
      <c r="HB67" s="104"/>
      <c r="HC67" s="104"/>
      <c r="HD67" s="104"/>
      <c r="HE67" s="104"/>
      <c r="HF67" s="104"/>
      <c r="HG67" s="104"/>
      <c r="HH67" s="104"/>
      <c r="HI67" s="104"/>
      <c r="HJ67" s="104"/>
      <c r="HK67" s="104"/>
      <c r="HL67" s="104"/>
      <c r="HM67" s="104"/>
      <c r="HN67" s="104"/>
      <c r="HO67" s="104"/>
      <c r="HP67" s="104"/>
      <c r="HQ67" s="104"/>
      <c r="HR67" s="104"/>
      <c r="HS67" s="104"/>
      <c r="HT67" s="104"/>
      <c r="HU67" s="104"/>
      <c r="HV67" s="104"/>
      <c r="HW67" s="104"/>
      <c r="HX67" s="104"/>
      <c r="HY67" s="104"/>
      <c r="HZ67" s="104"/>
      <c r="IA67" s="104"/>
      <c r="IB67" s="104"/>
      <c r="IC67" s="104"/>
      <c r="ID67" s="104"/>
      <c r="IE67" s="104"/>
      <c r="IF67" s="104"/>
      <c r="IG67" s="104"/>
      <c r="IH67" s="104"/>
      <c r="II67" s="104"/>
      <c r="IJ67" s="104"/>
      <c r="IK67" s="104"/>
      <c r="IL67" s="104"/>
      <c r="IM67" s="104"/>
      <c r="IN67" s="104"/>
      <c r="IO67" s="104"/>
      <c r="IP67" s="104"/>
      <c r="IQ67" s="104"/>
      <c r="IR67" s="104"/>
      <c r="IS67" s="104"/>
      <c r="IT67" s="104"/>
      <c r="IU67" s="104"/>
      <c r="IV67" s="104"/>
      <c r="IW67" s="104"/>
      <c r="IX67" s="104"/>
      <c r="IY67" s="104"/>
      <c r="IZ67" s="104"/>
      <c r="JA67" s="104"/>
      <c r="JB67" s="104"/>
      <c r="JC67" s="104"/>
      <c r="JD67" s="104"/>
      <c r="JE67" s="104"/>
      <c r="JF67" s="104"/>
      <c r="JG67" s="104"/>
      <c r="JH67" s="104"/>
      <c r="JI67" s="104"/>
      <c r="JJ67" s="104"/>
      <c r="JK67" s="104"/>
      <c r="JL67" s="104"/>
      <c r="JM67" s="104"/>
      <c r="JN67" s="104"/>
      <c r="JO67" s="104"/>
      <c r="JP67" s="104"/>
      <c r="JQ67" s="104"/>
      <c r="JR67" s="104"/>
      <c r="JS67" s="104"/>
      <c r="JT67" s="104"/>
      <c r="JU67" s="104"/>
      <c r="JV67" s="104"/>
      <c r="JW67" s="104"/>
      <c r="JX67" s="104"/>
      <c r="JY67" s="104"/>
      <c r="JZ67" s="104"/>
      <c r="KA67" s="104"/>
      <c r="KB67" s="104"/>
      <c r="KC67" s="104"/>
      <c r="KD67" s="104"/>
      <c r="KE67" s="104"/>
      <c r="KF67" s="104"/>
      <c r="KG67" s="104"/>
      <c r="KH67" s="104"/>
      <c r="KI67" s="104"/>
      <c r="KJ67" s="104"/>
      <c r="KK67" s="104"/>
      <c r="KL67" s="104"/>
      <c r="KM67" s="104"/>
      <c r="KN67" s="104"/>
      <c r="KO67" s="104"/>
      <c r="KP67" s="104"/>
      <c r="KQ67" s="104"/>
      <c r="KR67" s="104"/>
      <c r="KS67" s="104"/>
      <c r="KT67" s="104"/>
      <c r="KU67" s="104"/>
      <c r="KV67" s="104"/>
      <c r="KW67" s="104"/>
      <c r="KX67" s="104"/>
      <c r="KY67" s="104"/>
      <c r="KZ67" s="104"/>
      <c r="LA67" s="104"/>
      <c r="LB67" s="104"/>
      <c r="LC67" s="104"/>
      <c r="LD67" s="104"/>
      <c r="LE67" s="104"/>
      <c r="LF67" s="104"/>
      <c r="LG67" s="104"/>
      <c r="LH67" s="104"/>
      <c r="LI67" s="104"/>
      <c r="LJ67" s="104"/>
      <c r="LK67" s="104"/>
      <c r="LL67" s="104"/>
      <c r="LM67" s="104"/>
      <c r="LN67" s="104"/>
      <c r="LO67" s="104"/>
      <c r="LP67" s="104"/>
      <c r="LQ67" s="104"/>
      <c r="LR67" s="104"/>
      <c r="LS67" s="104"/>
      <c r="LT67" s="104"/>
      <c r="LU67" s="104"/>
      <c r="LV67" s="104"/>
      <c r="LW67" s="104"/>
      <c r="LX67" s="104"/>
      <c r="LY67" s="104"/>
      <c r="LZ67" s="104"/>
      <c r="MA67" s="104"/>
      <c r="MB67" s="104"/>
      <c r="MC67" s="104"/>
      <c r="MD67" s="104"/>
      <c r="ME67" s="104"/>
      <c r="MF67" s="104"/>
      <c r="MG67" s="104"/>
      <c r="MH67" s="104"/>
      <c r="MI67" s="104"/>
      <c r="MJ67" s="104"/>
      <c r="MK67" s="104"/>
      <c r="ML67" s="104"/>
      <c r="MM67" s="104"/>
      <c r="MN67" s="104"/>
      <c r="MO67" s="104"/>
      <c r="MP67" s="104"/>
      <c r="MQ67" s="104"/>
      <c r="MR67" s="104"/>
      <c r="MS67" s="104"/>
      <c r="MT67" s="104"/>
      <c r="MU67" s="104"/>
      <c r="MV67" s="104"/>
      <c r="MW67" s="104"/>
      <c r="MX67" s="104"/>
      <c r="MY67" s="104"/>
      <c r="MZ67" s="104"/>
      <c r="NA67" s="104"/>
      <c r="NB67" s="104"/>
      <c r="NC67" s="104"/>
      <c r="ND67" s="104"/>
      <c r="NE67" s="104"/>
      <c r="NF67" s="104"/>
      <c r="NG67" s="104"/>
      <c r="NH67" s="104"/>
      <c r="NI67" s="104"/>
      <c r="NJ67" s="104"/>
      <c r="NK67" s="104"/>
      <c r="NL67" s="104"/>
      <c r="NM67" s="104"/>
      <c r="NN67" s="104"/>
      <c r="NO67" s="104"/>
      <c r="NP67" s="104"/>
      <c r="NQ67" s="104"/>
      <c r="NR67" s="104"/>
      <c r="NS67" s="104"/>
      <c r="NT67" s="104"/>
      <c r="NU67" s="104"/>
      <c r="NV67" s="104"/>
      <c r="NW67" s="104"/>
      <c r="NX67" s="104"/>
      <c r="NY67" s="104"/>
      <c r="NZ67" s="104"/>
    </row>
    <row r="68" spans="1:390" ht="15.75" customHeight="1" x14ac:dyDescent="0.3">
      <c r="A68" s="125">
        <v>4508605656</v>
      </c>
      <c r="B68" s="135"/>
      <c r="C68" s="135"/>
      <c r="D68" s="213" t="s">
        <v>391</v>
      </c>
      <c r="E68" s="135" t="s">
        <v>565</v>
      </c>
      <c r="F68" s="125" t="s">
        <v>395</v>
      </c>
      <c r="G68" s="125" t="s">
        <v>461</v>
      </c>
      <c r="H68" s="111">
        <v>43126</v>
      </c>
      <c r="I68" s="135" t="s">
        <v>396</v>
      </c>
      <c r="J68" s="135" t="s">
        <v>397</v>
      </c>
      <c r="K68" s="128" t="s">
        <v>398</v>
      </c>
      <c r="L68" s="128" t="s">
        <v>398</v>
      </c>
      <c r="M68" s="128" t="s">
        <v>398</v>
      </c>
      <c r="N68" s="128" t="s">
        <v>398</v>
      </c>
      <c r="O68" s="128" t="s">
        <v>398</v>
      </c>
      <c r="P68" s="128" t="s">
        <v>398</v>
      </c>
      <c r="Q68" s="128" t="s">
        <v>398</v>
      </c>
      <c r="R68" s="128" t="s">
        <v>398</v>
      </c>
      <c r="S68" s="128" t="s">
        <v>398</v>
      </c>
      <c r="T68" s="128" t="s">
        <v>398</v>
      </c>
      <c r="U68" s="128" t="s">
        <v>398</v>
      </c>
      <c r="V68" s="128" t="s">
        <v>398</v>
      </c>
      <c r="W68" s="135" t="s">
        <v>565</v>
      </c>
      <c r="X68" s="135" t="s">
        <v>566</v>
      </c>
      <c r="Y68" s="113" t="s">
        <v>432</v>
      </c>
      <c r="Z68" s="111">
        <v>43126</v>
      </c>
      <c r="AA68" s="135"/>
      <c r="AB68" s="113" t="s">
        <v>399</v>
      </c>
      <c r="AC68" s="111">
        <v>17822</v>
      </c>
      <c r="AD68" s="135"/>
      <c r="AE68" s="142" t="e">
        <f t="shared" si="1"/>
        <v>#NUM!</v>
      </c>
      <c r="AF68" s="135" t="s">
        <v>567</v>
      </c>
      <c r="AG68" s="126" t="s">
        <v>401</v>
      </c>
      <c r="AH68" s="135" t="s">
        <v>402</v>
      </c>
      <c r="AI68" s="125" t="s">
        <v>412</v>
      </c>
      <c r="AJ68" s="125">
        <v>0</v>
      </c>
      <c r="AK68" s="125">
        <v>0</v>
      </c>
      <c r="AL68" s="125">
        <v>0</v>
      </c>
      <c r="AM68" s="139" t="s">
        <v>414</v>
      </c>
      <c r="AN68" s="134">
        <v>3</v>
      </c>
      <c r="AO68" s="136" t="s">
        <v>398</v>
      </c>
      <c r="AP68" s="135"/>
      <c r="AQ68" s="104"/>
      <c r="AR68" s="104"/>
      <c r="AS68" s="104"/>
      <c r="AT68" s="104"/>
      <c r="AU68" s="104"/>
      <c r="AV68" s="104"/>
      <c r="AW68" s="104"/>
      <c r="AX68" s="104"/>
      <c r="AY68" s="104"/>
      <c r="AZ68" s="104"/>
      <c r="BA68" s="104"/>
      <c r="BB68" s="104"/>
      <c r="BC68" s="104"/>
      <c r="BD68" s="104"/>
      <c r="BE68" s="104"/>
      <c r="BF68" s="104"/>
      <c r="BG68" s="104"/>
      <c r="BH68" s="104"/>
      <c r="BI68" s="104"/>
      <c r="BJ68" s="104"/>
      <c r="BK68" s="104"/>
      <c r="BL68" s="104"/>
      <c r="BM68" s="104"/>
      <c r="BN68" s="104"/>
      <c r="BO68" s="104"/>
      <c r="BP68" s="104"/>
      <c r="BQ68" s="104"/>
      <c r="BR68" s="104"/>
      <c r="BS68" s="104"/>
      <c r="BT68" s="104"/>
      <c r="BU68" s="104"/>
      <c r="BV68" s="104"/>
      <c r="BW68" s="104"/>
      <c r="BX68" s="104"/>
      <c r="BY68" s="104"/>
      <c r="BZ68" s="104"/>
      <c r="CA68" s="104"/>
      <c r="CB68" s="104"/>
      <c r="CC68" s="104"/>
      <c r="CD68" s="104"/>
      <c r="CE68" s="104"/>
      <c r="CF68" s="104"/>
      <c r="CG68" s="104"/>
      <c r="CH68" s="104"/>
      <c r="CI68" s="104"/>
      <c r="CJ68" s="104"/>
      <c r="CK68" s="104"/>
      <c r="CL68" s="104"/>
      <c r="CM68" s="104"/>
      <c r="CN68" s="104"/>
      <c r="CO68" s="104"/>
      <c r="CP68" s="104"/>
      <c r="CQ68" s="104"/>
      <c r="CR68" s="104"/>
      <c r="CS68" s="104"/>
      <c r="CT68" s="104"/>
      <c r="CU68" s="104"/>
      <c r="CV68" s="104"/>
      <c r="CW68" s="104"/>
      <c r="CX68" s="104"/>
      <c r="CY68" s="104"/>
      <c r="CZ68" s="104"/>
      <c r="DA68" s="104"/>
      <c r="DB68" s="104"/>
      <c r="DC68" s="104"/>
      <c r="DD68" s="104"/>
      <c r="DE68" s="104"/>
      <c r="DF68" s="104"/>
      <c r="DG68" s="104"/>
      <c r="DH68" s="104"/>
      <c r="DI68" s="104"/>
      <c r="DJ68" s="104"/>
      <c r="DK68" s="104"/>
      <c r="DL68" s="104"/>
      <c r="DM68" s="104"/>
      <c r="DN68" s="104"/>
      <c r="DO68" s="104"/>
      <c r="DP68" s="104"/>
      <c r="DQ68" s="104"/>
      <c r="DR68" s="104"/>
      <c r="DS68" s="104"/>
      <c r="DT68" s="104"/>
      <c r="DU68" s="104"/>
      <c r="DV68" s="104"/>
      <c r="DW68" s="104"/>
      <c r="DX68" s="104"/>
      <c r="DY68" s="104"/>
      <c r="DZ68" s="104"/>
      <c r="EA68" s="104"/>
      <c r="EB68" s="104"/>
      <c r="EC68" s="104"/>
      <c r="ED68" s="104"/>
      <c r="EE68" s="104"/>
      <c r="EF68" s="104"/>
      <c r="EG68" s="104"/>
      <c r="EH68" s="104"/>
      <c r="EI68" s="104"/>
      <c r="EJ68" s="104"/>
      <c r="EK68" s="104"/>
      <c r="EL68" s="104"/>
      <c r="EM68" s="104"/>
      <c r="EN68" s="104"/>
      <c r="EO68" s="104"/>
      <c r="EP68" s="104"/>
      <c r="EQ68" s="104"/>
      <c r="ER68" s="104"/>
      <c r="ES68" s="104"/>
      <c r="ET68" s="104"/>
      <c r="EU68" s="104"/>
      <c r="EV68" s="104"/>
      <c r="EW68" s="104"/>
      <c r="EX68" s="104"/>
      <c r="EY68" s="104"/>
      <c r="EZ68" s="104"/>
      <c r="FA68" s="104"/>
      <c r="FB68" s="104"/>
      <c r="FC68" s="104"/>
      <c r="FD68" s="104"/>
      <c r="FE68" s="104"/>
      <c r="FF68" s="104"/>
      <c r="FG68" s="104"/>
      <c r="FH68" s="104"/>
      <c r="FI68" s="104"/>
      <c r="FJ68" s="104"/>
      <c r="FK68" s="104"/>
      <c r="FL68" s="104"/>
      <c r="FM68" s="104"/>
      <c r="FN68" s="104"/>
      <c r="FO68" s="104"/>
      <c r="FP68" s="104"/>
      <c r="FQ68" s="104"/>
      <c r="FR68" s="104"/>
      <c r="FS68" s="104"/>
      <c r="FT68" s="104"/>
      <c r="FU68" s="104"/>
      <c r="FV68" s="104"/>
      <c r="FW68" s="104"/>
      <c r="FX68" s="104"/>
      <c r="FY68" s="104"/>
      <c r="FZ68" s="104"/>
      <c r="GA68" s="104"/>
      <c r="GB68" s="104"/>
      <c r="GC68" s="104"/>
      <c r="GD68" s="104"/>
      <c r="GE68" s="104"/>
      <c r="GF68" s="104"/>
      <c r="GG68" s="104"/>
      <c r="GH68" s="104"/>
      <c r="GI68" s="104"/>
      <c r="GJ68" s="104"/>
      <c r="GK68" s="104"/>
      <c r="GL68" s="104"/>
      <c r="GM68" s="104"/>
      <c r="GN68" s="104"/>
      <c r="GO68" s="104"/>
      <c r="GP68" s="104"/>
      <c r="GQ68" s="104"/>
      <c r="GR68" s="104"/>
      <c r="GS68" s="104"/>
      <c r="GT68" s="104"/>
      <c r="GU68" s="104"/>
      <c r="GV68" s="104"/>
      <c r="GW68" s="104"/>
      <c r="GX68" s="104"/>
      <c r="GY68" s="104"/>
      <c r="GZ68" s="104"/>
      <c r="HA68" s="104"/>
      <c r="HB68" s="104"/>
      <c r="HC68" s="104"/>
      <c r="HD68" s="104"/>
      <c r="HE68" s="104"/>
      <c r="HF68" s="104"/>
      <c r="HG68" s="104"/>
      <c r="HH68" s="104"/>
      <c r="HI68" s="104"/>
      <c r="HJ68" s="104"/>
      <c r="HK68" s="104"/>
      <c r="HL68" s="104"/>
      <c r="HM68" s="104"/>
      <c r="HN68" s="104"/>
      <c r="HO68" s="104"/>
      <c r="HP68" s="104"/>
      <c r="HQ68" s="104"/>
      <c r="HR68" s="104"/>
      <c r="HS68" s="104"/>
      <c r="HT68" s="104"/>
      <c r="HU68" s="104"/>
      <c r="HV68" s="104"/>
      <c r="HW68" s="104"/>
      <c r="HX68" s="104"/>
      <c r="HY68" s="104"/>
      <c r="HZ68" s="104"/>
      <c r="IA68" s="104"/>
      <c r="IB68" s="104"/>
      <c r="IC68" s="104"/>
      <c r="ID68" s="104"/>
      <c r="IE68" s="104"/>
      <c r="IF68" s="104"/>
      <c r="IG68" s="104"/>
      <c r="IH68" s="104"/>
      <c r="II68" s="104"/>
      <c r="IJ68" s="104"/>
      <c r="IK68" s="104"/>
      <c r="IL68" s="104"/>
      <c r="IM68" s="104"/>
      <c r="IN68" s="104"/>
      <c r="IO68" s="104"/>
      <c r="IP68" s="104"/>
      <c r="IQ68" s="104"/>
      <c r="IR68" s="104"/>
      <c r="IS68" s="104"/>
      <c r="IT68" s="104"/>
      <c r="IU68" s="104"/>
      <c r="IV68" s="104"/>
      <c r="IW68" s="104"/>
      <c r="IX68" s="104"/>
      <c r="IY68" s="104"/>
      <c r="IZ68" s="104"/>
      <c r="JA68" s="104"/>
      <c r="JB68" s="104"/>
      <c r="JC68" s="104"/>
      <c r="JD68" s="104"/>
      <c r="JE68" s="104"/>
      <c r="JF68" s="104"/>
      <c r="JG68" s="104"/>
      <c r="JH68" s="104"/>
      <c r="JI68" s="104"/>
      <c r="JJ68" s="104"/>
      <c r="JK68" s="104"/>
      <c r="JL68" s="104"/>
      <c r="JM68" s="104"/>
      <c r="JN68" s="104"/>
      <c r="JO68" s="104"/>
      <c r="JP68" s="104"/>
      <c r="JQ68" s="104"/>
      <c r="JR68" s="104"/>
      <c r="JS68" s="104"/>
      <c r="JT68" s="104"/>
      <c r="JU68" s="104"/>
      <c r="JV68" s="104"/>
      <c r="JW68" s="104"/>
      <c r="JX68" s="104"/>
      <c r="JY68" s="104"/>
      <c r="JZ68" s="104"/>
      <c r="KA68" s="104"/>
      <c r="KB68" s="104"/>
      <c r="KC68" s="104"/>
      <c r="KD68" s="104"/>
      <c r="KE68" s="104"/>
      <c r="KF68" s="104"/>
      <c r="KG68" s="104"/>
      <c r="KH68" s="104"/>
      <c r="KI68" s="104"/>
      <c r="KJ68" s="104"/>
      <c r="KK68" s="104"/>
      <c r="KL68" s="104"/>
      <c r="KM68" s="104"/>
      <c r="KN68" s="104"/>
      <c r="KO68" s="104"/>
      <c r="KP68" s="104"/>
      <c r="KQ68" s="104"/>
      <c r="KR68" s="104"/>
      <c r="KS68" s="104"/>
      <c r="KT68" s="104"/>
      <c r="KU68" s="104"/>
      <c r="KV68" s="104"/>
      <c r="KW68" s="104"/>
      <c r="KX68" s="104"/>
      <c r="KY68" s="104"/>
      <c r="KZ68" s="104"/>
      <c r="LA68" s="104"/>
      <c r="LB68" s="104"/>
      <c r="LC68" s="104"/>
      <c r="LD68" s="104"/>
      <c r="LE68" s="104"/>
      <c r="LF68" s="104"/>
      <c r="LG68" s="104"/>
      <c r="LH68" s="104"/>
      <c r="LI68" s="104"/>
      <c r="LJ68" s="104"/>
      <c r="LK68" s="104"/>
      <c r="LL68" s="104"/>
      <c r="LM68" s="104"/>
      <c r="LN68" s="104"/>
      <c r="LO68" s="104"/>
      <c r="LP68" s="104"/>
      <c r="LQ68" s="104"/>
      <c r="LR68" s="104"/>
      <c r="LS68" s="104"/>
      <c r="LT68" s="104"/>
      <c r="LU68" s="104"/>
      <c r="LV68" s="104"/>
      <c r="LW68" s="104"/>
      <c r="LX68" s="104"/>
      <c r="LY68" s="104"/>
      <c r="LZ68" s="104"/>
      <c r="MA68" s="104"/>
      <c r="MB68" s="104"/>
      <c r="MC68" s="104"/>
      <c r="MD68" s="104"/>
      <c r="ME68" s="104"/>
      <c r="MF68" s="104"/>
      <c r="MG68" s="104"/>
      <c r="MH68" s="104"/>
      <c r="MI68" s="104"/>
      <c r="MJ68" s="104"/>
      <c r="MK68" s="104"/>
      <c r="ML68" s="104"/>
      <c r="MM68" s="104"/>
      <c r="MN68" s="104"/>
      <c r="MO68" s="104"/>
      <c r="MP68" s="104"/>
      <c r="MQ68" s="104"/>
      <c r="MR68" s="104"/>
      <c r="MS68" s="104"/>
      <c r="MT68" s="104"/>
      <c r="MU68" s="104"/>
      <c r="MV68" s="104"/>
      <c r="MW68" s="104"/>
      <c r="MX68" s="104"/>
      <c r="MY68" s="104"/>
      <c r="MZ68" s="104"/>
      <c r="NA68" s="104"/>
      <c r="NB68" s="104"/>
      <c r="NC68" s="104"/>
      <c r="ND68" s="104"/>
      <c r="NE68" s="104"/>
      <c r="NF68" s="104"/>
      <c r="NG68" s="104"/>
      <c r="NH68" s="104"/>
      <c r="NI68" s="104"/>
      <c r="NJ68" s="104"/>
      <c r="NK68" s="104"/>
      <c r="NL68" s="104"/>
      <c r="NM68" s="104"/>
      <c r="NN68" s="104"/>
      <c r="NO68" s="104"/>
      <c r="NP68" s="104"/>
      <c r="NQ68" s="104"/>
      <c r="NR68" s="104"/>
      <c r="NS68" s="104"/>
      <c r="NT68" s="104"/>
      <c r="NU68" s="104"/>
      <c r="NV68" s="104"/>
      <c r="NW68" s="104"/>
      <c r="NX68" s="104"/>
      <c r="NY68" s="104"/>
      <c r="NZ68" s="104"/>
    </row>
    <row r="69" spans="1:390" ht="15.75" customHeight="1" x14ac:dyDescent="0.3">
      <c r="A69" s="125">
        <v>4450205227</v>
      </c>
      <c r="B69" s="135"/>
      <c r="C69" s="135"/>
      <c r="D69" s="213" t="s">
        <v>391</v>
      </c>
      <c r="E69" s="135" t="s">
        <v>568</v>
      </c>
      <c r="F69" s="125" t="s">
        <v>426</v>
      </c>
      <c r="G69" s="125" t="s">
        <v>395</v>
      </c>
      <c r="H69" s="111">
        <v>43136</v>
      </c>
      <c r="I69" s="135" t="s">
        <v>396</v>
      </c>
      <c r="J69" s="135" t="s">
        <v>397</v>
      </c>
      <c r="K69" s="128" t="s">
        <v>398</v>
      </c>
      <c r="L69" s="128" t="s">
        <v>398</v>
      </c>
      <c r="M69" s="128" t="s">
        <v>398</v>
      </c>
      <c r="N69" s="128" t="s">
        <v>398</v>
      </c>
      <c r="O69" s="128" t="s">
        <v>398</v>
      </c>
      <c r="P69" s="128" t="s">
        <v>398</v>
      </c>
      <c r="Q69" s="128" t="s">
        <v>398</v>
      </c>
      <c r="R69" s="128" t="s">
        <v>398</v>
      </c>
      <c r="S69" s="128" t="s">
        <v>398</v>
      </c>
      <c r="T69" s="128" t="s">
        <v>398</v>
      </c>
      <c r="U69" s="128" t="s">
        <v>398</v>
      </c>
      <c r="V69" s="128" t="s">
        <v>398</v>
      </c>
      <c r="W69" s="135" t="s">
        <v>568</v>
      </c>
      <c r="X69" s="135" t="s">
        <v>418</v>
      </c>
      <c r="Y69" s="113" t="s">
        <v>432</v>
      </c>
      <c r="Z69" s="111">
        <v>43136</v>
      </c>
      <c r="AA69" s="135"/>
      <c r="AB69" s="113" t="s">
        <v>399</v>
      </c>
      <c r="AC69" s="111">
        <v>20407</v>
      </c>
      <c r="AD69" s="135"/>
      <c r="AE69" s="142" t="e">
        <f t="shared" si="1"/>
        <v>#NUM!</v>
      </c>
      <c r="AF69" s="135" t="s">
        <v>554</v>
      </c>
      <c r="AG69" s="126" t="s">
        <v>401</v>
      </c>
      <c r="AH69" s="135" t="s">
        <v>402</v>
      </c>
      <c r="AI69" s="125" t="s">
        <v>455</v>
      </c>
      <c r="AJ69" s="125">
        <v>0</v>
      </c>
      <c r="AK69" s="125">
        <v>0</v>
      </c>
      <c r="AL69" s="125">
        <v>0</v>
      </c>
      <c r="AM69" s="139" t="s">
        <v>456</v>
      </c>
      <c r="AN69" s="134">
        <v>3</v>
      </c>
      <c r="AO69" s="136" t="s">
        <v>398</v>
      </c>
      <c r="AP69" s="135"/>
      <c r="AQ69" s="104"/>
      <c r="AR69" s="104"/>
      <c r="AS69" s="104"/>
      <c r="AT69" s="104"/>
      <c r="AU69" s="104"/>
      <c r="AV69" s="104"/>
      <c r="AW69" s="104"/>
      <c r="AX69" s="104"/>
      <c r="AY69" s="104"/>
      <c r="AZ69" s="104"/>
      <c r="BA69" s="104"/>
      <c r="BB69" s="104"/>
      <c r="BC69" s="104"/>
      <c r="BD69" s="104"/>
      <c r="BE69" s="104"/>
      <c r="BF69" s="104"/>
      <c r="BG69" s="104"/>
      <c r="BH69" s="104"/>
      <c r="BI69" s="104"/>
      <c r="BJ69" s="104"/>
      <c r="BK69" s="104"/>
      <c r="BL69" s="104"/>
      <c r="BM69" s="104"/>
      <c r="BN69" s="104"/>
      <c r="BO69" s="104"/>
      <c r="BP69" s="104"/>
      <c r="BQ69" s="104"/>
      <c r="BR69" s="104"/>
      <c r="BS69" s="104"/>
      <c r="BT69" s="104"/>
      <c r="BU69" s="104"/>
      <c r="BV69" s="104"/>
      <c r="BW69" s="104"/>
      <c r="BX69" s="104"/>
      <c r="BY69" s="104"/>
      <c r="BZ69" s="104"/>
      <c r="CA69" s="104"/>
      <c r="CB69" s="104"/>
      <c r="CC69" s="104"/>
      <c r="CD69" s="104"/>
      <c r="CE69" s="104"/>
      <c r="CF69" s="104"/>
      <c r="CG69" s="104"/>
      <c r="CH69" s="104"/>
      <c r="CI69" s="104"/>
      <c r="CJ69" s="104"/>
      <c r="CK69" s="104"/>
      <c r="CL69" s="104"/>
      <c r="CM69" s="104"/>
      <c r="CN69" s="104"/>
      <c r="CO69" s="104"/>
      <c r="CP69" s="104"/>
      <c r="CQ69" s="104"/>
      <c r="CR69" s="104"/>
      <c r="CS69" s="104"/>
      <c r="CT69" s="104"/>
      <c r="CU69" s="104"/>
      <c r="CV69" s="104"/>
      <c r="CW69" s="104"/>
      <c r="CX69" s="104"/>
      <c r="CY69" s="104"/>
      <c r="CZ69" s="104"/>
      <c r="DA69" s="104"/>
      <c r="DB69" s="104"/>
      <c r="DC69" s="104"/>
      <c r="DD69" s="104"/>
      <c r="DE69" s="104"/>
      <c r="DF69" s="104"/>
      <c r="DG69" s="104"/>
      <c r="DH69" s="104"/>
      <c r="DI69" s="104"/>
      <c r="DJ69" s="104"/>
      <c r="DK69" s="104"/>
      <c r="DL69" s="104"/>
      <c r="DM69" s="104"/>
      <c r="DN69" s="104"/>
      <c r="DO69" s="104"/>
      <c r="DP69" s="104"/>
      <c r="DQ69" s="104"/>
      <c r="DR69" s="104"/>
      <c r="DS69" s="104"/>
      <c r="DT69" s="104"/>
      <c r="DU69" s="104"/>
      <c r="DV69" s="104"/>
      <c r="DW69" s="104"/>
      <c r="DX69" s="104"/>
      <c r="DY69" s="104"/>
      <c r="DZ69" s="104"/>
      <c r="EA69" s="104"/>
      <c r="EB69" s="104"/>
      <c r="EC69" s="104"/>
      <c r="ED69" s="104"/>
      <c r="EE69" s="104"/>
      <c r="EF69" s="104"/>
      <c r="EG69" s="104"/>
      <c r="EH69" s="104"/>
      <c r="EI69" s="104"/>
      <c r="EJ69" s="104"/>
      <c r="EK69" s="104"/>
      <c r="EL69" s="104"/>
      <c r="EM69" s="104"/>
      <c r="EN69" s="104"/>
      <c r="EO69" s="104"/>
      <c r="EP69" s="104"/>
      <c r="EQ69" s="104"/>
      <c r="ER69" s="104"/>
      <c r="ES69" s="104"/>
      <c r="ET69" s="104"/>
      <c r="EU69" s="104"/>
      <c r="EV69" s="104"/>
      <c r="EW69" s="104"/>
      <c r="EX69" s="104"/>
      <c r="EY69" s="104"/>
      <c r="EZ69" s="104"/>
      <c r="FA69" s="104"/>
      <c r="FB69" s="104"/>
      <c r="FC69" s="104"/>
      <c r="FD69" s="104"/>
      <c r="FE69" s="104"/>
      <c r="FF69" s="104"/>
      <c r="FG69" s="104"/>
      <c r="FH69" s="104"/>
      <c r="FI69" s="104"/>
      <c r="FJ69" s="104"/>
      <c r="FK69" s="104"/>
      <c r="FL69" s="104"/>
      <c r="FM69" s="104"/>
      <c r="FN69" s="104"/>
      <c r="FO69" s="104"/>
      <c r="FP69" s="104"/>
      <c r="FQ69" s="104"/>
      <c r="FR69" s="104"/>
      <c r="FS69" s="104"/>
      <c r="FT69" s="104"/>
      <c r="FU69" s="104"/>
      <c r="FV69" s="104"/>
      <c r="FW69" s="104"/>
      <c r="FX69" s="104"/>
      <c r="FY69" s="104"/>
      <c r="FZ69" s="104"/>
      <c r="GA69" s="104"/>
      <c r="GB69" s="104"/>
      <c r="GC69" s="104"/>
      <c r="GD69" s="104"/>
      <c r="GE69" s="104"/>
      <c r="GF69" s="104"/>
      <c r="GG69" s="104"/>
      <c r="GH69" s="104"/>
      <c r="GI69" s="104"/>
      <c r="GJ69" s="104"/>
      <c r="GK69" s="104"/>
      <c r="GL69" s="104"/>
      <c r="GM69" s="104"/>
      <c r="GN69" s="104"/>
      <c r="GO69" s="104"/>
      <c r="GP69" s="104"/>
      <c r="GQ69" s="104"/>
      <c r="GR69" s="104"/>
      <c r="GS69" s="104"/>
      <c r="GT69" s="104"/>
      <c r="GU69" s="104"/>
      <c r="GV69" s="104"/>
      <c r="GW69" s="104"/>
      <c r="GX69" s="104"/>
      <c r="GY69" s="104"/>
      <c r="GZ69" s="104"/>
      <c r="HA69" s="104"/>
      <c r="HB69" s="104"/>
      <c r="HC69" s="104"/>
      <c r="HD69" s="104"/>
      <c r="HE69" s="104"/>
      <c r="HF69" s="104"/>
      <c r="HG69" s="104"/>
      <c r="HH69" s="104"/>
      <c r="HI69" s="104"/>
      <c r="HJ69" s="104"/>
      <c r="HK69" s="104"/>
      <c r="HL69" s="104"/>
      <c r="HM69" s="104"/>
      <c r="HN69" s="104"/>
      <c r="HO69" s="104"/>
      <c r="HP69" s="104"/>
      <c r="HQ69" s="104"/>
      <c r="HR69" s="104"/>
      <c r="HS69" s="104"/>
      <c r="HT69" s="104"/>
      <c r="HU69" s="104"/>
      <c r="HV69" s="104"/>
      <c r="HW69" s="104"/>
      <c r="HX69" s="104"/>
      <c r="HY69" s="104"/>
      <c r="HZ69" s="104"/>
      <c r="IA69" s="104"/>
      <c r="IB69" s="104"/>
      <c r="IC69" s="104"/>
      <c r="ID69" s="104"/>
      <c r="IE69" s="104"/>
      <c r="IF69" s="104"/>
      <c r="IG69" s="104"/>
      <c r="IH69" s="104"/>
      <c r="II69" s="104"/>
      <c r="IJ69" s="104"/>
      <c r="IK69" s="104"/>
      <c r="IL69" s="104"/>
      <c r="IM69" s="104"/>
      <c r="IN69" s="104"/>
      <c r="IO69" s="104"/>
      <c r="IP69" s="104"/>
      <c r="IQ69" s="104"/>
      <c r="IR69" s="104"/>
      <c r="IS69" s="104"/>
      <c r="IT69" s="104"/>
      <c r="IU69" s="104"/>
      <c r="IV69" s="104"/>
      <c r="IW69" s="104"/>
      <c r="IX69" s="104"/>
      <c r="IY69" s="104"/>
      <c r="IZ69" s="104"/>
      <c r="JA69" s="104"/>
      <c r="JB69" s="104"/>
      <c r="JC69" s="104"/>
      <c r="JD69" s="104"/>
      <c r="JE69" s="104"/>
      <c r="JF69" s="104"/>
      <c r="JG69" s="104"/>
      <c r="JH69" s="104"/>
      <c r="JI69" s="104"/>
      <c r="JJ69" s="104"/>
      <c r="JK69" s="104"/>
      <c r="JL69" s="104"/>
      <c r="JM69" s="104"/>
      <c r="JN69" s="104"/>
      <c r="JO69" s="104"/>
      <c r="JP69" s="104"/>
      <c r="JQ69" s="104"/>
      <c r="JR69" s="104"/>
      <c r="JS69" s="104"/>
      <c r="JT69" s="104"/>
      <c r="JU69" s="104"/>
      <c r="JV69" s="104"/>
      <c r="JW69" s="104"/>
      <c r="JX69" s="104"/>
      <c r="JY69" s="104"/>
      <c r="JZ69" s="104"/>
      <c r="KA69" s="104"/>
      <c r="KB69" s="104"/>
      <c r="KC69" s="104"/>
      <c r="KD69" s="104"/>
      <c r="KE69" s="104"/>
      <c r="KF69" s="104"/>
      <c r="KG69" s="104"/>
      <c r="KH69" s="104"/>
      <c r="KI69" s="104"/>
      <c r="KJ69" s="104"/>
      <c r="KK69" s="104"/>
      <c r="KL69" s="104"/>
      <c r="KM69" s="104"/>
      <c r="KN69" s="104"/>
      <c r="KO69" s="104"/>
      <c r="KP69" s="104"/>
      <c r="KQ69" s="104"/>
      <c r="KR69" s="104"/>
      <c r="KS69" s="104"/>
      <c r="KT69" s="104"/>
      <c r="KU69" s="104"/>
      <c r="KV69" s="104"/>
      <c r="KW69" s="104"/>
      <c r="KX69" s="104"/>
      <c r="KY69" s="104"/>
      <c r="KZ69" s="104"/>
      <c r="LA69" s="104"/>
      <c r="LB69" s="104"/>
      <c r="LC69" s="104"/>
      <c r="LD69" s="104"/>
      <c r="LE69" s="104"/>
      <c r="LF69" s="104"/>
      <c r="LG69" s="104"/>
      <c r="LH69" s="104"/>
      <c r="LI69" s="104"/>
      <c r="LJ69" s="104"/>
      <c r="LK69" s="104"/>
      <c r="LL69" s="104"/>
      <c r="LM69" s="104"/>
      <c r="LN69" s="104"/>
      <c r="LO69" s="104"/>
      <c r="LP69" s="104"/>
      <c r="LQ69" s="104"/>
      <c r="LR69" s="104"/>
      <c r="LS69" s="104"/>
      <c r="LT69" s="104"/>
      <c r="LU69" s="104"/>
      <c r="LV69" s="104"/>
      <c r="LW69" s="104"/>
      <c r="LX69" s="104"/>
      <c r="LY69" s="104"/>
      <c r="LZ69" s="104"/>
      <c r="MA69" s="104"/>
      <c r="MB69" s="104"/>
      <c r="MC69" s="104"/>
      <c r="MD69" s="104"/>
      <c r="ME69" s="104"/>
      <c r="MF69" s="104"/>
      <c r="MG69" s="104"/>
      <c r="MH69" s="104"/>
      <c r="MI69" s="104"/>
      <c r="MJ69" s="104"/>
      <c r="MK69" s="104"/>
      <c r="ML69" s="104"/>
      <c r="MM69" s="104"/>
      <c r="MN69" s="104"/>
      <c r="MO69" s="104"/>
      <c r="MP69" s="104"/>
      <c r="MQ69" s="104"/>
      <c r="MR69" s="104"/>
      <c r="MS69" s="104"/>
      <c r="MT69" s="104"/>
      <c r="MU69" s="104"/>
      <c r="MV69" s="104"/>
      <c r="MW69" s="104"/>
      <c r="MX69" s="104"/>
      <c r="MY69" s="104"/>
      <c r="MZ69" s="104"/>
      <c r="NA69" s="104"/>
      <c r="NB69" s="104"/>
      <c r="NC69" s="104"/>
      <c r="ND69" s="104"/>
      <c r="NE69" s="104"/>
      <c r="NF69" s="104"/>
      <c r="NG69" s="104"/>
      <c r="NH69" s="104"/>
      <c r="NI69" s="104"/>
      <c r="NJ69" s="104"/>
      <c r="NK69" s="104"/>
      <c r="NL69" s="104"/>
      <c r="NM69" s="104"/>
      <c r="NN69" s="104"/>
      <c r="NO69" s="104"/>
      <c r="NP69" s="104"/>
      <c r="NQ69" s="104"/>
      <c r="NR69" s="104"/>
      <c r="NS69" s="104"/>
      <c r="NT69" s="104"/>
      <c r="NU69" s="104"/>
      <c r="NV69" s="104"/>
      <c r="NW69" s="104"/>
      <c r="NX69" s="104"/>
      <c r="NY69" s="104"/>
      <c r="NZ69" s="104"/>
    </row>
    <row r="70" spans="1:390" ht="15.75" customHeight="1" x14ac:dyDescent="0.3">
      <c r="A70" s="125">
        <v>4860694163</v>
      </c>
      <c r="B70" s="135"/>
      <c r="C70" s="135"/>
      <c r="D70" s="213" t="s">
        <v>391</v>
      </c>
      <c r="E70" s="135" t="s">
        <v>569</v>
      </c>
      <c r="F70" s="125" t="s">
        <v>394</v>
      </c>
      <c r="G70" s="125" t="s">
        <v>437</v>
      </c>
      <c r="H70" s="111">
        <v>43145</v>
      </c>
      <c r="I70" s="135" t="s">
        <v>396</v>
      </c>
      <c r="J70" s="135" t="s">
        <v>397</v>
      </c>
      <c r="K70" s="128" t="s">
        <v>398</v>
      </c>
      <c r="L70" s="128" t="s">
        <v>398</v>
      </c>
      <c r="M70" s="128" t="s">
        <v>398</v>
      </c>
      <c r="N70" s="128" t="s">
        <v>398</v>
      </c>
      <c r="O70" s="128" t="s">
        <v>398</v>
      </c>
      <c r="P70" s="128" t="s">
        <v>398</v>
      </c>
      <c r="Q70" s="128" t="s">
        <v>398</v>
      </c>
      <c r="R70" s="128" t="s">
        <v>398</v>
      </c>
      <c r="S70" s="128" t="s">
        <v>398</v>
      </c>
      <c r="T70" s="128" t="s">
        <v>398</v>
      </c>
      <c r="U70" s="128" t="s">
        <v>398</v>
      </c>
      <c r="V70" s="128" t="s">
        <v>398</v>
      </c>
      <c r="W70" s="135" t="s">
        <v>398</v>
      </c>
      <c r="X70" s="135" t="s">
        <v>398</v>
      </c>
      <c r="Y70" s="113" t="s">
        <v>398</v>
      </c>
      <c r="Z70" s="113" t="s">
        <v>398</v>
      </c>
      <c r="AA70" s="135"/>
      <c r="AB70" s="113" t="s">
        <v>399</v>
      </c>
      <c r="AC70" s="111">
        <v>23255</v>
      </c>
      <c r="AD70" s="135"/>
      <c r="AE70" s="142" t="e">
        <f t="shared" si="1"/>
        <v>#NUM!</v>
      </c>
      <c r="AF70" s="135" t="s">
        <v>570</v>
      </c>
      <c r="AG70" s="126" t="s">
        <v>401</v>
      </c>
      <c r="AH70" s="135" t="s">
        <v>402</v>
      </c>
      <c r="AI70" s="125" t="s">
        <v>404</v>
      </c>
      <c r="AJ70" s="125" t="s">
        <v>404</v>
      </c>
      <c r="AK70" s="125" t="s">
        <v>404</v>
      </c>
      <c r="AL70" s="125" t="s">
        <v>571</v>
      </c>
      <c r="AM70" s="139" t="s">
        <v>398</v>
      </c>
      <c r="AN70" s="134">
        <v>2</v>
      </c>
      <c r="AO70" s="136" t="s">
        <v>398</v>
      </c>
      <c r="AP70" s="135"/>
      <c r="AQ70" s="104"/>
      <c r="AR70" s="104"/>
      <c r="AS70" s="104"/>
      <c r="AT70" s="104"/>
      <c r="AU70" s="104"/>
      <c r="AV70" s="104"/>
      <c r="AW70" s="104"/>
      <c r="AX70" s="104"/>
      <c r="AY70" s="104"/>
      <c r="AZ70" s="104"/>
      <c r="BA70" s="104"/>
      <c r="BB70" s="104"/>
      <c r="BC70" s="104"/>
      <c r="BD70" s="104"/>
      <c r="BE70" s="104"/>
      <c r="BF70" s="104"/>
      <c r="BG70" s="104"/>
      <c r="BH70" s="104"/>
      <c r="BI70" s="104"/>
      <c r="BJ70" s="104"/>
      <c r="BK70" s="104"/>
      <c r="BL70" s="104"/>
      <c r="BM70" s="104"/>
      <c r="BN70" s="104"/>
      <c r="BO70" s="104"/>
      <c r="BP70" s="104"/>
      <c r="BQ70" s="104"/>
      <c r="BR70" s="104"/>
      <c r="BS70" s="104"/>
      <c r="BT70" s="104"/>
      <c r="BU70" s="104"/>
      <c r="BV70" s="104"/>
      <c r="BW70" s="104"/>
      <c r="BX70" s="104"/>
      <c r="BY70" s="104"/>
      <c r="BZ70" s="104"/>
      <c r="CA70" s="104"/>
      <c r="CB70" s="104"/>
      <c r="CC70" s="104"/>
      <c r="CD70" s="104"/>
      <c r="CE70" s="104"/>
      <c r="CF70" s="104"/>
      <c r="CG70" s="104"/>
      <c r="CH70" s="104"/>
      <c r="CI70" s="104"/>
      <c r="CJ70" s="104"/>
      <c r="CK70" s="104"/>
      <c r="CL70" s="104"/>
      <c r="CM70" s="104"/>
      <c r="CN70" s="104"/>
      <c r="CO70" s="104"/>
      <c r="CP70" s="104"/>
      <c r="CQ70" s="104"/>
      <c r="CR70" s="104"/>
      <c r="CS70" s="104"/>
      <c r="CT70" s="104"/>
      <c r="CU70" s="104"/>
      <c r="CV70" s="104"/>
      <c r="CW70" s="104"/>
      <c r="CX70" s="104"/>
      <c r="CY70" s="104"/>
      <c r="CZ70" s="104"/>
      <c r="DA70" s="104"/>
      <c r="DB70" s="104"/>
      <c r="DC70" s="104"/>
      <c r="DD70" s="104"/>
      <c r="DE70" s="104"/>
      <c r="DF70" s="104"/>
      <c r="DG70" s="104"/>
      <c r="DH70" s="104"/>
      <c r="DI70" s="104"/>
      <c r="DJ70" s="104"/>
      <c r="DK70" s="104"/>
      <c r="DL70" s="104"/>
      <c r="DM70" s="104"/>
      <c r="DN70" s="104"/>
      <c r="DO70" s="104"/>
      <c r="DP70" s="104"/>
      <c r="DQ70" s="104"/>
      <c r="DR70" s="104"/>
      <c r="DS70" s="104"/>
      <c r="DT70" s="104"/>
      <c r="DU70" s="104"/>
      <c r="DV70" s="104"/>
      <c r="DW70" s="104"/>
      <c r="DX70" s="104"/>
      <c r="DY70" s="104"/>
      <c r="DZ70" s="104"/>
      <c r="EA70" s="104"/>
      <c r="EB70" s="104"/>
      <c r="EC70" s="104"/>
      <c r="ED70" s="104"/>
      <c r="EE70" s="104"/>
      <c r="EF70" s="104"/>
      <c r="EG70" s="104"/>
      <c r="EH70" s="104"/>
      <c r="EI70" s="104"/>
      <c r="EJ70" s="104"/>
      <c r="EK70" s="104"/>
      <c r="EL70" s="104"/>
      <c r="EM70" s="104"/>
      <c r="EN70" s="104"/>
      <c r="EO70" s="104"/>
      <c r="EP70" s="104"/>
      <c r="EQ70" s="104"/>
      <c r="ER70" s="104"/>
      <c r="ES70" s="104"/>
      <c r="ET70" s="104"/>
      <c r="EU70" s="104"/>
      <c r="EV70" s="104"/>
      <c r="EW70" s="104"/>
      <c r="EX70" s="104"/>
      <c r="EY70" s="104"/>
      <c r="EZ70" s="104"/>
      <c r="FA70" s="104"/>
      <c r="FB70" s="104"/>
      <c r="FC70" s="104"/>
      <c r="FD70" s="104"/>
      <c r="FE70" s="104"/>
      <c r="FF70" s="104"/>
      <c r="FG70" s="104"/>
      <c r="FH70" s="104"/>
      <c r="FI70" s="104"/>
      <c r="FJ70" s="104"/>
      <c r="FK70" s="104"/>
      <c r="FL70" s="104"/>
      <c r="FM70" s="104"/>
      <c r="FN70" s="104"/>
      <c r="FO70" s="104"/>
      <c r="FP70" s="104"/>
      <c r="FQ70" s="104"/>
      <c r="FR70" s="104"/>
      <c r="FS70" s="104"/>
      <c r="FT70" s="104"/>
      <c r="FU70" s="104"/>
      <c r="FV70" s="104"/>
      <c r="FW70" s="104"/>
      <c r="FX70" s="104"/>
      <c r="FY70" s="104"/>
      <c r="FZ70" s="104"/>
      <c r="GA70" s="104"/>
      <c r="GB70" s="104"/>
      <c r="GC70" s="104"/>
      <c r="GD70" s="104"/>
      <c r="GE70" s="104"/>
      <c r="GF70" s="104"/>
      <c r="GG70" s="104"/>
      <c r="GH70" s="104"/>
      <c r="GI70" s="104"/>
      <c r="GJ70" s="104"/>
      <c r="GK70" s="104"/>
      <c r="GL70" s="104"/>
      <c r="GM70" s="104"/>
      <c r="GN70" s="104"/>
      <c r="GO70" s="104"/>
      <c r="GP70" s="104"/>
      <c r="GQ70" s="104"/>
      <c r="GR70" s="104"/>
      <c r="GS70" s="104"/>
      <c r="GT70" s="104"/>
      <c r="GU70" s="104"/>
      <c r="GV70" s="104"/>
      <c r="GW70" s="104"/>
      <c r="GX70" s="104"/>
      <c r="GY70" s="104"/>
      <c r="GZ70" s="104"/>
      <c r="HA70" s="104"/>
      <c r="HB70" s="104"/>
      <c r="HC70" s="104"/>
      <c r="HD70" s="104"/>
      <c r="HE70" s="104"/>
      <c r="HF70" s="104"/>
      <c r="HG70" s="104"/>
      <c r="HH70" s="104"/>
      <c r="HI70" s="104"/>
      <c r="HJ70" s="104"/>
      <c r="HK70" s="104"/>
      <c r="HL70" s="104"/>
      <c r="HM70" s="104"/>
      <c r="HN70" s="104"/>
      <c r="HO70" s="104"/>
      <c r="HP70" s="104"/>
      <c r="HQ70" s="104"/>
      <c r="HR70" s="104"/>
      <c r="HS70" s="104"/>
      <c r="HT70" s="104"/>
      <c r="HU70" s="104"/>
      <c r="HV70" s="104"/>
      <c r="HW70" s="104"/>
      <c r="HX70" s="104"/>
      <c r="HY70" s="104"/>
      <c r="HZ70" s="104"/>
      <c r="IA70" s="104"/>
      <c r="IB70" s="104"/>
      <c r="IC70" s="104"/>
      <c r="ID70" s="104"/>
      <c r="IE70" s="104"/>
      <c r="IF70" s="104"/>
      <c r="IG70" s="104"/>
      <c r="IH70" s="104"/>
      <c r="II70" s="104"/>
      <c r="IJ70" s="104"/>
      <c r="IK70" s="104"/>
      <c r="IL70" s="104"/>
      <c r="IM70" s="104"/>
      <c r="IN70" s="104"/>
      <c r="IO70" s="104"/>
      <c r="IP70" s="104"/>
      <c r="IQ70" s="104"/>
      <c r="IR70" s="104"/>
      <c r="IS70" s="104"/>
      <c r="IT70" s="104"/>
      <c r="IU70" s="104"/>
      <c r="IV70" s="104"/>
      <c r="IW70" s="104"/>
      <c r="IX70" s="104"/>
      <c r="IY70" s="104"/>
      <c r="IZ70" s="104"/>
      <c r="JA70" s="104"/>
      <c r="JB70" s="104"/>
      <c r="JC70" s="104"/>
      <c r="JD70" s="104"/>
      <c r="JE70" s="104"/>
      <c r="JF70" s="104"/>
      <c r="JG70" s="104"/>
      <c r="JH70" s="104"/>
      <c r="JI70" s="104"/>
      <c r="JJ70" s="104"/>
      <c r="JK70" s="104"/>
      <c r="JL70" s="104"/>
      <c r="JM70" s="104"/>
      <c r="JN70" s="104"/>
      <c r="JO70" s="104"/>
      <c r="JP70" s="104"/>
      <c r="JQ70" s="104"/>
      <c r="JR70" s="104"/>
      <c r="JS70" s="104"/>
      <c r="JT70" s="104"/>
      <c r="JU70" s="104"/>
      <c r="JV70" s="104"/>
      <c r="JW70" s="104"/>
      <c r="JX70" s="104"/>
      <c r="JY70" s="104"/>
      <c r="JZ70" s="104"/>
      <c r="KA70" s="104"/>
      <c r="KB70" s="104"/>
      <c r="KC70" s="104"/>
      <c r="KD70" s="104"/>
      <c r="KE70" s="104"/>
      <c r="KF70" s="104"/>
      <c r="KG70" s="104"/>
      <c r="KH70" s="104"/>
      <c r="KI70" s="104"/>
      <c r="KJ70" s="104"/>
      <c r="KK70" s="104"/>
      <c r="KL70" s="104"/>
      <c r="KM70" s="104"/>
      <c r="KN70" s="104"/>
      <c r="KO70" s="104"/>
      <c r="KP70" s="104"/>
      <c r="KQ70" s="104"/>
      <c r="KR70" s="104"/>
      <c r="KS70" s="104"/>
      <c r="KT70" s="104"/>
      <c r="KU70" s="104"/>
      <c r="KV70" s="104"/>
      <c r="KW70" s="104"/>
      <c r="KX70" s="104"/>
      <c r="KY70" s="104"/>
      <c r="KZ70" s="104"/>
      <c r="LA70" s="104"/>
      <c r="LB70" s="104"/>
      <c r="LC70" s="104"/>
      <c r="LD70" s="104"/>
      <c r="LE70" s="104"/>
      <c r="LF70" s="104"/>
      <c r="LG70" s="104"/>
      <c r="LH70" s="104"/>
      <c r="LI70" s="104"/>
      <c r="LJ70" s="104"/>
      <c r="LK70" s="104"/>
      <c r="LL70" s="104"/>
      <c r="LM70" s="104"/>
      <c r="LN70" s="104"/>
      <c r="LO70" s="104"/>
      <c r="LP70" s="104"/>
      <c r="LQ70" s="104"/>
      <c r="LR70" s="104"/>
      <c r="LS70" s="104"/>
      <c r="LT70" s="104"/>
      <c r="LU70" s="104"/>
      <c r="LV70" s="104"/>
      <c r="LW70" s="104"/>
      <c r="LX70" s="104"/>
      <c r="LY70" s="104"/>
      <c r="LZ70" s="104"/>
      <c r="MA70" s="104"/>
      <c r="MB70" s="104"/>
      <c r="MC70" s="104"/>
      <c r="MD70" s="104"/>
      <c r="ME70" s="104"/>
      <c r="MF70" s="104"/>
      <c r="MG70" s="104"/>
      <c r="MH70" s="104"/>
      <c r="MI70" s="104"/>
      <c r="MJ70" s="104"/>
      <c r="MK70" s="104"/>
      <c r="ML70" s="104"/>
      <c r="MM70" s="104"/>
      <c r="MN70" s="104"/>
      <c r="MO70" s="104"/>
      <c r="MP70" s="104"/>
      <c r="MQ70" s="104"/>
      <c r="MR70" s="104"/>
      <c r="MS70" s="104"/>
      <c r="MT70" s="104"/>
      <c r="MU70" s="104"/>
      <c r="MV70" s="104"/>
      <c r="MW70" s="104"/>
      <c r="MX70" s="104"/>
      <c r="MY70" s="104"/>
      <c r="MZ70" s="104"/>
      <c r="NA70" s="104"/>
      <c r="NB70" s="104"/>
      <c r="NC70" s="104"/>
      <c r="ND70" s="104"/>
      <c r="NE70" s="104"/>
      <c r="NF70" s="104"/>
      <c r="NG70" s="104"/>
      <c r="NH70" s="104"/>
      <c r="NI70" s="104"/>
      <c r="NJ70" s="104"/>
      <c r="NK70" s="104"/>
      <c r="NL70" s="104"/>
      <c r="NM70" s="104"/>
      <c r="NN70" s="104"/>
      <c r="NO70" s="104"/>
      <c r="NP70" s="104"/>
      <c r="NQ70" s="104"/>
      <c r="NR70" s="104"/>
      <c r="NS70" s="104"/>
      <c r="NT70" s="104"/>
      <c r="NU70" s="104"/>
      <c r="NV70" s="104"/>
      <c r="NW70" s="104"/>
      <c r="NX70" s="104"/>
      <c r="NY70" s="104"/>
      <c r="NZ70" s="104"/>
    </row>
    <row r="71" spans="1:390" ht="15.75" customHeight="1" x14ac:dyDescent="0.3">
      <c r="A71" s="125">
        <v>6060078338</v>
      </c>
      <c r="B71" s="135"/>
      <c r="C71" s="135"/>
      <c r="D71" s="213" t="s">
        <v>391</v>
      </c>
      <c r="E71" s="135" t="s">
        <v>572</v>
      </c>
      <c r="F71" s="125" t="s">
        <v>426</v>
      </c>
      <c r="G71" s="125" t="s">
        <v>395</v>
      </c>
      <c r="H71" s="111">
        <v>43153</v>
      </c>
      <c r="I71" s="135" t="s">
        <v>458</v>
      </c>
      <c r="J71" s="135" t="s">
        <v>397</v>
      </c>
      <c r="K71" s="128" t="s">
        <v>398</v>
      </c>
      <c r="L71" s="128" t="s">
        <v>398</v>
      </c>
      <c r="M71" s="128" t="s">
        <v>398</v>
      </c>
      <c r="N71" s="128" t="s">
        <v>398</v>
      </c>
      <c r="O71" s="128" t="s">
        <v>398</v>
      </c>
      <c r="P71" s="128" t="s">
        <v>398</v>
      </c>
      <c r="Q71" s="128" t="s">
        <v>398</v>
      </c>
      <c r="R71" s="128" t="s">
        <v>398</v>
      </c>
      <c r="S71" s="128" t="s">
        <v>398</v>
      </c>
      <c r="T71" s="128" t="s">
        <v>398</v>
      </c>
      <c r="U71" s="128" t="s">
        <v>398</v>
      </c>
      <c r="V71" s="128" t="s">
        <v>398</v>
      </c>
      <c r="W71" s="135" t="s">
        <v>398</v>
      </c>
      <c r="X71" s="135" t="s">
        <v>398</v>
      </c>
      <c r="Y71" s="113" t="s">
        <v>398</v>
      </c>
      <c r="Z71" s="113" t="s">
        <v>398</v>
      </c>
      <c r="AA71" s="135"/>
      <c r="AB71" s="113" t="s">
        <v>399</v>
      </c>
      <c r="AC71" s="111">
        <v>20665</v>
      </c>
      <c r="AD71" s="135"/>
      <c r="AE71" s="142" t="e">
        <f t="shared" si="1"/>
        <v>#NUM!</v>
      </c>
      <c r="AF71" s="135" t="s">
        <v>411</v>
      </c>
      <c r="AG71" s="126" t="s">
        <v>401</v>
      </c>
      <c r="AH71" s="135" t="s">
        <v>402</v>
      </c>
      <c r="AI71" s="125" t="s">
        <v>412</v>
      </c>
      <c r="AJ71" s="125">
        <v>0</v>
      </c>
      <c r="AK71" s="125">
        <v>0</v>
      </c>
      <c r="AL71" s="125">
        <v>0</v>
      </c>
      <c r="AM71" s="139" t="s">
        <v>414</v>
      </c>
      <c r="AN71" s="134">
        <v>1</v>
      </c>
      <c r="AO71" s="136" t="s">
        <v>398</v>
      </c>
      <c r="AP71" s="135"/>
      <c r="AQ71" s="104"/>
      <c r="AR71" s="104"/>
      <c r="AS71" s="104"/>
      <c r="AT71" s="104"/>
      <c r="AU71" s="104"/>
      <c r="AV71" s="104"/>
      <c r="AW71" s="104"/>
      <c r="AX71" s="104"/>
      <c r="AY71" s="104"/>
      <c r="AZ71" s="104"/>
      <c r="BA71" s="104"/>
      <c r="BB71" s="104"/>
      <c r="BC71" s="104"/>
      <c r="BD71" s="104"/>
      <c r="BE71" s="104"/>
      <c r="BF71" s="104"/>
      <c r="BG71" s="104"/>
      <c r="BH71" s="104"/>
      <c r="BI71" s="104"/>
      <c r="BJ71" s="104"/>
      <c r="BK71" s="104"/>
      <c r="BL71" s="104"/>
      <c r="BM71" s="104"/>
      <c r="BN71" s="104"/>
      <c r="BO71" s="104"/>
      <c r="BP71" s="104"/>
      <c r="BQ71" s="104"/>
      <c r="BR71" s="104"/>
      <c r="BS71" s="104"/>
      <c r="BT71" s="104"/>
      <c r="BU71" s="104"/>
      <c r="BV71" s="104"/>
      <c r="BW71" s="104"/>
      <c r="BX71" s="104"/>
      <c r="BY71" s="104"/>
      <c r="BZ71" s="104"/>
      <c r="CA71" s="104"/>
      <c r="CB71" s="104"/>
      <c r="CC71" s="104"/>
      <c r="CD71" s="104"/>
      <c r="CE71" s="104"/>
      <c r="CF71" s="104"/>
      <c r="CG71" s="104"/>
      <c r="CH71" s="104"/>
      <c r="CI71" s="104"/>
      <c r="CJ71" s="104"/>
      <c r="CK71" s="104"/>
      <c r="CL71" s="104"/>
      <c r="CM71" s="104"/>
      <c r="CN71" s="104"/>
      <c r="CO71" s="104"/>
      <c r="CP71" s="104"/>
      <c r="CQ71" s="104"/>
      <c r="CR71" s="104"/>
      <c r="CS71" s="104"/>
      <c r="CT71" s="104"/>
      <c r="CU71" s="104"/>
      <c r="CV71" s="104"/>
      <c r="CW71" s="104"/>
      <c r="CX71" s="104"/>
      <c r="CY71" s="104"/>
      <c r="CZ71" s="104"/>
      <c r="DA71" s="104"/>
      <c r="DB71" s="104"/>
      <c r="DC71" s="104"/>
      <c r="DD71" s="104"/>
      <c r="DE71" s="104"/>
      <c r="DF71" s="104"/>
      <c r="DG71" s="104"/>
      <c r="DH71" s="104"/>
      <c r="DI71" s="104"/>
      <c r="DJ71" s="104"/>
      <c r="DK71" s="104"/>
      <c r="DL71" s="104"/>
      <c r="DM71" s="104"/>
      <c r="DN71" s="104"/>
      <c r="DO71" s="104"/>
      <c r="DP71" s="104"/>
      <c r="DQ71" s="104"/>
      <c r="DR71" s="104"/>
      <c r="DS71" s="104"/>
      <c r="DT71" s="104"/>
      <c r="DU71" s="104"/>
      <c r="DV71" s="104"/>
      <c r="DW71" s="104"/>
      <c r="DX71" s="104"/>
      <c r="DY71" s="104"/>
      <c r="DZ71" s="104"/>
      <c r="EA71" s="104"/>
      <c r="EB71" s="104"/>
      <c r="EC71" s="104"/>
      <c r="ED71" s="104"/>
      <c r="EE71" s="104"/>
      <c r="EF71" s="104"/>
      <c r="EG71" s="104"/>
      <c r="EH71" s="104"/>
      <c r="EI71" s="104"/>
      <c r="EJ71" s="104"/>
      <c r="EK71" s="104"/>
      <c r="EL71" s="104"/>
      <c r="EM71" s="104"/>
      <c r="EN71" s="104"/>
      <c r="EO71" s="104"/>
      <c r="EP71" s="104"/>
      <c r="EQ71" s="104"/>
      <c r="ER71" s="104"/>
      <c r="ES71" s="104"/>
      <c r="ET71" s="104"/>
      <c r="EU71" s="104"/>
      <c r="EV71" s="104"/>
      <c r="EW71" s="104"/>
      <c r="EX71" s="104"/>
      <c r="EY71" s="104"/>
      <c r="EZ71" s="104"/>
      <c r="FA71" s="104"/>
      <c r="FB71" s="104"/>
      <c r="FC71" s="104"/>
      <c r="FD71" s="104"/>
      <c r="FE71" s="104"/>
      <c r="FF71" s="104"/>
      <c r="FG71" s="104"/>
      <c r="FH71" s="104"/>
      <c r="FI71" s="104"/>
      <c r="FJ71" s="104"/>
      <c r="FK71" s="104"/>
      <c r="FL71" s="104"/>
      <c r="FM71" s="104"/>
      <c r="FN71" s="104"/>
      <c r="FO71" s="104"/>
      <c r="FP71" s="104"/>
      <c r="FQ71" s="104"/>
      <c r="FR71" s="104"/>
      <c r="FS71" s="104"/>
      <c r="FT71" s="104"/>
      <c r="FU71" s="104"/>
      <c r="FV71" s="104"/>
      <c r="FW71" s="104"/>
      <c r="FX71" s="104"/>
      <c r="FY71" s="104"/>
      <c r="FZ71" s="104"/>
      <c r="GA71" s="104"/>
      <c r="GB71" s="104"/>
      <c r="GC71" s="104"/>
      <c r="GD71" s="104"/>
      <c r="GE71" s="104"/>
      <c r="GF71" s="104"/>
      <c r="GG71" s="104"/>
      <c r="GH71" s="104"/>
      <c r="GI71" s="104"/>
      <c r="GJ71" s="104"/>
      <c r="GK71" s="104"/>
      <c r="GL71" s="104"/>
      <c r="GM71" s="104"/>
      <c r="GN71" s="104"/>
      <c r="GO71" s="104"/>
      <c r="GP71" s="104"/>
      <c r="GQ71" s="104"/>
      <c r="GR71" s="104"/>
      <c r="GS71" s="104"/>
      <c r="GT71" s="104"/>
      <c r="GU71" s="104"/>
      <c r="GV71" s="104"/>
      <c r="GW71" s="104"/>
      <c r="GX71" s="104"/>
      <c r="GY71" s="104"/>
      <c r="GZ71" s="104"/>
      <c r="HA71" s="104"/>
      <c r="HB71" s="104"/>
      <c r="HC71" s="104"/>
      <c r="HD71" s="104"/>
      <c r="HE71" s="104"/>
      <c r="HF71" s="104"/>
      <c r="HG71" s="104"/>
      <c r="HH71" s="104"/>
      <c r="HI71" s="104"/>
      <c r="HJ71" s="104"/>
      <c r="HK71" s="104"/>
      <c r="HL71" s="104"/>
      <c r="HM71" s="104"/>
      <c r="HN71" s="104"/>
      <c r="HO71" s="104"/>
      <c r="HP71" s="104"/>
      <c r="HQ71" s="104"/>
      <c r="HR71" s="104"/>
      <c r="HS71" s="104"/>
      <c r="HT71" s="104"/>
      <c r="HU71" s="104"/>
      <c r="HV71" s="104"/>
      <c r="HW71" s="104"/>
      <c r="HX71" s="104"/>
      <c r="HY71" s="104"/>
      <c r="HZ71" s="104"/>
      <c r="IA71" s="104"/>
      <c r="IB71" s="104"/>
      <c r="IC71" s="104"/>
      <c r="ID71" s="104"/>
      <c r="IE71" s="104"/>
      <c r="IF71" s="104"/>
      <c r="IG71" s="104"/>
      <c r="IH71" s="104"/>
      <c r="II71" s="104"/>
      <c r="IJ71" s="104"/>
      <c r="IK71" s="104"/>
      <c r="IL71" s="104"/>
      <c r="IM71" s="104"/>
      <c r="IN71" s="104"/>
      <c r="IO71" s="104"/>
      <c r="IP71" s="104"/>
      <c r="IQ71" s="104"/>
      <c r="IR71" s="104"/>
      <c r="IS71" s="104"/>
      <c r="IT71" s="104"/>
      <c r="IU71" s="104"/>
      <c r="IV71" s="104"/>
      <c r="IW71" s="104"/>
      <c r="IX71" s="104"/>
      <c r="IY71" s="104"/>
      <c r="IZ71" s="104"/>
      <c r="JA71" s="104"/>
      <c r="JB71" s="104"/>
      <c r="JC71" s="104"/>
      <c r="JD71" s="104"/>
      <c r="JE71" s="104"/>
      <c r="JF71" s="104"/>
      <c r="JG71" s="104"/>
      <c r="JH71" s="104"/>
      <c r="JI71" s="104"/>
      <c r="JJ71" s="104"/>
      <c r="JK71" s="104"/>
      <c r="JL71" s="104"/>
      <c r="JM71" s="104"/>
      <c r="JN71" s="104"/>
      <c r="JO71" s="104"/>
      <c r="JP71" s="104"/>
      <c r="JQ71" s="104"/>
      <c r="JR71" s="104"/>
      <c r="JS71" s="104"/>
      <c r="JT71" s="104"/>
      <c r="JU71" s="104"/>
      <c r="JV71" s="104"/>
      <c r="JW71" s="104"/>
      <c r="JX71" s="104"/>
      <c r="JY71" s="104"/>
      <c r="JZ71" s="104"/>
      <c r="KA71" s="104"/>
      <c r="KB71" s="104"/>
      <c r="KC71" s="104"/>
      <c r="KD71" s="104"/>
      <c r="KE71" s="104"/>
      <c r="KF71" s="104"/>
      <c r="KG71" s="104"/>
      <c r="KH71" s="104"/>
      <c r="KI71" s="104"/>
      <c r="KJ71" s="104"/>
      <c r="KK71" s="104"/>
      <c r="KL71" s="104"/>
      <c r="KM71" s="104"/>
      <c r="KN71" s="104"/>
      <c r="KO71" s="104"/>
      <c r="KP71" s="104"/>
      <c r="KQ71" s="104"/>
      <c r="KR71" s="104"/>
      <c r="KS71" s="104"/>
      <c r="KT71" s="104"/>
      <c r="KU71" s="104"/>
      <c r="KV71" s="104"/>
      <c r="KW71" s="104"/>
      <c r="KX71" s="104"/>
      <c r="KY71" s="104"/>
      <c r="KZ71" s="104"/>
      <c r="LA71" s="104"/>
      <c r="LB71" s="104"/>
      <c r="LC71" s="104"/>
      <c r="LD71" s="104"/>
      <c r="LE71" s="104"/>
      <c r="LF71" s="104"/>
      <c r="LG71" s="104"/>
      <c r="LH71" s="104"/>
      <c r="LI71" s="104"/>
      <c r="LJ71" s="104"/>
      <c r="LK71" s="104"/>
      <c r="LL71" s="104"/>
      <c r="LM71" s="104"/>
      <c r="LN71" s="104"/>
      <c r="LO71" s="104"/>
      <c r="LP71" s="104"/>
      <c r="LQ71" s="104"/>
      <c r="LR71" s="104"/>
      <c r="LS71" s="104"/>
      <c r="LT71" s="104"/>
      <c r="LU71" s="104"/>
      <c r="LV71" s="104"/>
      <c r="LW71" s="104"/>
      <c r="LX71" s="104"/>
      <c r="LY71" s="104"/>
      <c r="LZ71" s="104"/>
      <c r="MA71" s="104"/>
      <c r="MB71" s="104"/>
      <c r="MC71" s="104"/>
      <c r="MD71" s="104"/>
      <c r="ME71" s="104"/>
      <c r="MF71" s="104"/>
      <c r="MG71" s="104"/>
      <c r="MH71" s="104"/>
      <c r="MI71" s="104"/>
      <c r="MJ71" s="104"/>
      <c r="MK71" s="104"/>
      <c r="ML71" s="104"/>
      <c r="MM71" s="104"/>
      <c r="MN71" s="104"/>
      <c r="MO71" s="104"/>
      <c r="MP71" s="104"/>
      <c r="MQ71" s="104"/>
      <c r="MR71" s="104"/>
      <c r="MS71" s="104"/>
      <c r="MT71" s="104"/>
      <c r="MU71" s="104"/>
      <c r="MV71" s="104"/>
      <c r="MW71" s="104"/>
      <c r="MX71" s="104"/>
      <c r="MY71" s="104"/>
      <c r="MZ71" s="104"/>
      <c r="NA71" s="104"/>
      <c r="NB71" s="104"/>
      <c r="NC71" s="104"/>
      <c r="ND71" s="104"/>
      <c r="NE71" s="104"/>
      <c r="NF71" s="104"/>
      <c r="NG71" s="104"/>
      <c r="NH71" s="104"/>
      <c r="NI71" s="104"/>
      <c r="NJ71" s="104"/>
      <c r="NK71" s="104"/>
      <c r="NL71" s="104"/>
      <c r="NM71" s="104"/>
      <c r="NN71" s="104"/>
      <c r="NO71" s="104"/>
      <c r="NP71" s="104"/>
      <c r="NQ71" s="104"/>
      <c r="NR71" s="104"/>
      <c r="NS71" s="104"/>
      <c r="NT71" s="104"/>
      <c r="NU71" s="104"/>
      <c r="NV71" s="104"/>
      <c r="NW71" s="104"/>
      <c r="NX71" s="104"/>
      <c r="NY71" s="104"/>
      <c r="NZ71" s="104"/>
    </row>
    <row r="72" spans="1:390" ht="15.75" customHeight="1" x14ac:dyDescent="0.3">
      <c r="A72" s="125">
        <v>4382127971</v>
      </c>
      <c r="B72" s="135"/>
      <c r="C72" s="135"/>
      <c r="D72" s="213" t="s">
        <v>391</v>
      </c>
      <c r="E72" s="135" t="s">
        <v>573</v>
      </c>
      <c r="F72" s="125" t="s">
        <v>518</v>
      </c>
      <c r="G72" s="135" t="s">
        <v>398</v>
      </c>
      <c r="H72" s="111">
        <v>43157</v>
      </c>
      <c r="I72" s="135" t="s">
        <v>396</v>
      </c>
      <c r="J72" s="135" t="s">
        <v>397</v>
      </c>
      <c r="K72" s="128" t="s">
        <v>398</v>
      </c>
      <c r="L72" s="128" t="s">
        <v>398</v>
      </c>
      <c r="M72" s="128" t="s">
        <v>398</v>
      </c>
      <c r="N72" s="128" t="s">
        <v>398</v>
      </c>
      <c r="O72" s="128" t="s">
        <v>398</v>
      </c>
      <c r="P72" s="128" t="s">
        <v>398</v>
      </c>
      <c r="Q72" s="128" t="s">
        <v>398</v>
      </c>
      <c r="R72" s="128" t="s">
        <v>398</v>
      </c>
      <c r="S72" s="128" t="s">
        <v>398</v>
      </c>
      <c r="T72" s="128" t="s">
        <v>398</v>
      </c>
      <c r="U72" s="128" t="s">
        <v>398</v>
      </c>
      <c r="V72" s="128" t="s">
        <v>398</v>
      </c>
      <c r="W72" s="135" t="s">
        <v>398</v>
      </c>
      <c r="X72" s="135" t="s">
        <v>398</v>
      </c>
      <c r="Y72" s="113" t="s">
        <v>398</v>
      </c>
      <c r="Z72" s="113" t="s">
        <v>398</v>
      </c>
      <c r="AA72" s="135"/>
      <c r="AB72" s="113" t="s">
        <v>399</v>
      </c>
      <c r="AC72" s="111">
        <v>16344</v>
      </c>
      <c r="AD72" s="135"/>
      <c r="AE72" s="142" t="e">
        <f t="shared" si="1"/>
        <v>#NUM!</v>
      </c>
      <c r="AF72" s="135" t="s">
        <v>411</v>
      </c>
      <c r="AG72" s="126" t="s">
        <v>401</v>
      </c>
      <c r="AH72" s="135" t="s">
        <v>402</v>
      </c>
      <c r="AI72" s="125" t="s">
        <v>412</v>
      </c>
      <c r="AJ72" s="125">
        <v>0</v>
      </c>
      <c r="AK72" s="125">
        <v>0</v>
      </c>
      <c r="AL72" s="125">
        <v>0</v>
      </c>
      <c r="AM72" s="139" t="s">
        <v>414</v>
      </c>
      <c r="AN72" s="134">
        <v>3</v>
      </c>
      <c r="AO72" s="136" t="s">
        <v>398</v>
      </c>
      <c r="AP72" s="135"/>
      <c r="AQ72" s="104"/>
      <c r="AR72" s="104"/>
      <c r="AS72" s="104"/>
      <c r="AT72" s="104"/>
      <c r="AU72" s="104"/>
      <c r="AV72" s="104"/>
      <c r="AW72" s="104"/>
      <c r="AX72" s="104"/>
      <c r="AY72" s="104"/>
      <c r="AZ72" s="104"/>
      <c r="BA72" s="104"/>
      <c r="BB72" s="104"/>
      <c r="BC72" s="104"/>
      <c r="BD72" s="104"/>
      <c r="BE72" s="104"/>
      <c r="BF72" s="104"/>
      <c r="BG72" s="104"/>
      <c r="BH72" s="104"/>
      <c r="BI72" s="104"/>
      <c r="BJ72" s="104"/>
      <c r="BK72" s="104"/>
      <c r="BL72" s="104"/>
      <c r="BM72" s="104"/>
      <c r="BN72" s="104"/>
      <c r="BO72" s="104"/>
      <c r="BP72" s="104"/>
      <c r="BQ72" s="104"/>
      <c r="BR72" s="104"/>
      <c r="BS72" s="104"/>
      <c r="BT72" s="104"/>
      <c r="BU72" s="104"/>
      <c r="BV72" s="104"/>
      <c r="BW72" s="104"/>
      <c r="BX72" s="104"/>
      <c r="BY72" s="104"/>
      <c r="BZ72" s="104"/>
      <c r="CA72" s="104"/>
      <c r="CB72" s="104"/>
      <c r="CC72" s="104"/>
      <c r="CD72" s="104"/>
      <c r="CE72" s="104"/>
      <c r="CF72" s="104"/>
      <c r="CG72" s="104"/>
      <c r="CH72" s="104"/>
      <c r="CI72" s="104"/>
      <c r="CJ72" s="104"/>
      <c r="CK72" s="104"/>
      <c r="CL72" s="104"/>
      <c r="CM72" s="104"/>
      <c r="CN72" s="104"/>
      <c r="CO72" s="104"/>
      <c r="CP72" s="104"/>
      <c r="CQ72" s="104"/>
      <c r="CR72" s="104"/>
      <c r="CS72" s="104"/>
      <c r="CT72" s="104"/>
      <c r="CU72" s="104"/>
      <c r="CV72" s="104"/>
      <c r="CW72" s="104"/>
      <c r="CX72" s="104"/>
      <c r="CY72" s="104"/>
      <c r="CZ72" s="104"/>
      <c r="DA72" s="104"/>
      <c r="DB72" s="104"/>
      <c r="DC72" s="104"/>
      <c r="DD72" s="104"/>
      <c r="DE72" s="104"/>
      <c r="DF72" s="104"/>
      <c r="DG72" s="104"/>
      <c r="DH72" s="104"/>
      <c r="DI72" s="104"/>
      <c r="DJ72" s="104"/>
      <c r="DK72" s="104"/>
      <c r="DL72" s="104"/>
      <c r="DM72" s="104"/>
      <c r="DN72" s="104"/>
      <c r="DO72" s="104"/>
      <c r="DP72" s="104"/>
      <c r="DQ72" s="104"/>
      <c r="DR72" s="104"/>
      <c r="DS72" s="104"/>
      <c r="DT72" s="104"/>
      <c r="DU72" s="104"/>
      <c r="DV72" s="104"/>
      <c r="DW72" s="104"/>
      <c r="DX72" s="104"/>
      <c r="DY72" s="104"/>
      <c r="DZ72" s="104"/>
      <c r="EA72" s="104"/>
      <c r="EB72" s="104"/>
      <c r="EC72" s="104"/>
      <c r="ED72" s="104"/>
      <c r="EE72" s="104"/>
      <c r="EF72" s="104"/>
      <c r="EG72" s="104"/>
      <c r="EH72" s="104"/>
      <c r="EI72" s="104"/>
      <c r="EJ72" s="104"/>
      <c r="EK72" s="104"/>
      <c r="EL72" s="104"/>
      <c r="EM72" s="104"/>
      <c r="EN72" s="104"/>
      <c r="EO72" s="104"/>
      <c r="EP72" s="104"/>
      <c r="EQ72" s="104"/>
      <c r="ER72" s="104"/>
      <c r="ES72" s="104"/>
      <c r="ET72" s="104"/>
      <c r="EU72" s="104"/>
      <c r="EV72" s="104"/>
      <c r="EW72" s="104"/>
      <c r="EX72" s="104"/>
      <c r="EY72" s="104"/>
      <c r="EZ72" s="104"/>
      <c r="FA72" s="104"/>
      <c r="FB72" s="104"/>
      <c r="FC72" s="104"/>
      <c r="FD72" s="104"/>
      <c r="FE72" s="104"/>
      <c r="FF72" s="104"/>
      <c r="FG72" s="104"/>
      <c r="FH72" s="104"/>
      <c r="FI72" s="104"/>
      <c r="FJ72" s="104"/>
      <c r="FK72" s="104"/>
      <c r="FL72" s="104"/>
      <c r="FM72" s="104"/>
      <c r="FN72" s="104"/>
      <c r="FO72" s="104"/>
      <c r="FP72" s="104"/>
      <c r="FQ72" s="104"/>
      <c r="FR72" s="104"/>
      <c r="FS72" s="104"/>
      <c r="FT72" s="104"/>
      <c r="FU72" s="104"/>
      <c r="FV72" s="104"/>
      <c r="FW72" s="104"/>
      <c r="FX72" s="104"/>
      <c r="FY72" s="104"/>
      <c r="FZ72" s="104"/>
      <c r="GA72" s="104"/>
      <c r="GB72" s="104"/>
      <c r="GC72" s="104"/>
      <c r="GD72" s="104"/>
      <c r="GE72" s="104"/>
      <c r="GF72" s="104"/>
      <c r="GG72" s="104"/>
      <c r="GH72" s="104"/>
      <c r="GI72" s="104"/>
      <c r="GJ72" s="104"/>
      <c r="GK72" s="104"/>
      <c r="GL72" s="104"/>
      <c r="GM72" s="104"/>
      <c r="GN72" s="104"/>
      <c r="GO72" s="104"/>
      <c r="GP72" s="104"/>
      <c r="GQ72" s="104"/>
      <c r="GR72" s="104"/>
      <c r="GS72" s="104"/>
      <c r="GT72" s="104"/>
      <c r="GU72" s="104"/>
      <c r="GV72" s="104"/>
      <c r="GW72" s="104"/>
      <c r="GX72" s="104"/>
      <c r="GY72" s="104"/>
      <c r="GZ72" s="104"/>
      <c r="HA72" s="104"/>
      <c r="HB72" s="104"/>
      <c r="HC72" s="104"/>
      <c r="HD72" s="104"/>
      <c r="HE72" s="104"/>
      <c r="HF72" s="104"/>
      <c r="HG72" s="104"/>
      <c r="HH72" s="104"/>
      <c r="HI72" s="104"/>
      <c r="HJ72" s="104"/>
      <c r="HK72" s="104"/>
      <c r="HL72" s="104"/>
      <c r="HM72" s="104"/>
      <c r="HN72" s="104"/>
      <c r="HO72" s="104"/>
      <c r="HP72" s="104"/>
      <c r="HQ72" s="104"/>
      <c r="HR72" s="104"/>
      <c r="HS72" s="104"/>
      <c r="HT72" s="104"/>
      <c r="HU72" s="104"/>
      <c r="HV72" s="104"/>
      <c r="HW72" s="104"/>
      <c r="HX72" s="104"/>
      <c r="HY72" s="104"/>
      <c r="HZ72" s="104"/>
      <c r="IA72" s="104"/>
      <c r="IB72" s="104"/>
      <c r="IC72" s="104"/>
      <c r="ID72" s="104"/>
      <c r="IE72" s="104"/>
      <c r="IF72" s="104"/>
      <c r="IG72" s="104"/>
      <c r="IH72" s="104"/>
      <c r="II72" s="104"/>
      <c r="IJ72" s="104"/>
      <c r="IK72" s="104"/>
      <c r="IL72" s="104"/>
      <c r="IM72" s="104"/>
      <c r="IN72" s="104"/>
      <c r="IO72" s="104"/>
      <c r="IP72" s="104"/>
      <c r="IQ72" s="104"/>
      <c r="IR72" s="104"/>
      <c r="IS72" s="104"/>
      <c r="IT72" s="104"/>
      <c r="IU72" s="104"/>
      <c r="IV72" s="104"/>
      <c r="IW72" s="104"/>
      <c r="IX72" s="104"/>
      <c r="IY72" s="104"/>
      <c r="IZ72" s="104"/>
      <c r="JA72" s="104"/>
      <c r="JB72" s="104"/>
      <c r="JC72" s="104"/>
      <c r="JD72" s="104"/>
      <c r="JE72" s="104"/>
      <c r="JF72" s="104"/>
      <c r="JG72" s="104"/>
      <c r="JH72" s="104"/>
      <c r="JI72" s="104"/>
      <c r="JJ72" s="104"/>
      <c r="JK72" s="104"/>
      <c r="JL72" s="104"/>
      <c r="JM72" s="104"/>
      <c r="JN72" s="104"/>
      <c r="JO72" s="104"/>
      <c r="JP72" s="104"/>
      <c r="JQ72" s="104"/>
      <c r="JR72" s="104"/>
      <c r="JS72" s="104"/>
      <c r="JT72" s="104"/>
      <c r="JU72" s="104"/>
      <c r="JV72" s="104"/>
      <c r="JW72" s="104"/>
      <c r="JX72" s="104"/>
      <c r="JY72" s="104"/>
      <c r="JZ72" s="104"/>
      <c r="KA72" s="104"/>
      <c r="KB72" s="104"/>
      <c r="KC72" s="104"/>
      <c r="KD72" s="104"/>
      <c r="KE72" s="104"/>
      <c r="KF72" s="104"/>
      <c r="KG72" s="104"/>
      <c r="KH72" s="104"/>
      <c r="KI72" s="104"/>
      <c r="KJ72" s="104"/>
      <c r="KK72" s="104"/>
      <c r="KL72" s="104"/>
      <c r="KM72" s="104"/>
      <c r="KN72" s="104"/>
      <c r="KO72" s="104"/>
      <c r="KP72" s="104"/>
      <c r="KQ72" s="104"/>
      <c r="KR72" s="104"/>
      <c r="KS72" s="104"/>
      <c r="KT72" s="104"/>
      <c r="KU72" s="104"/>
      <c r="KV72" s="104"/>
      <c r="KW72" s="104"/>
      <c r="KX72" s="104"/>
      <c r="KY72" s="104"/>
      <c r="KZ72" s="104"/>
      <c r="LA72" s="104"/>
      <c r="LB72" s="104"/>
      <c r="LC72" s="104"/>
      <c r="LD72" s="104"/>
      <c r="LE72" s="104"/>
      <c r="LF72" s="104"/>
      <c r="LG72" s="104"/>
      <c r="LH72" s="104"/>
      <c r="LI72" s="104"/>
      <c r="LJ72" s="104"/>
      <c r="LK72" s="104"/>
      <c r="LL72" s="104"/>
      <c r="LM72" s="104"/>
      <c r="LN72" s="104"/>
      <c r="LO72" s="104"/>
      <c r="LP72" s="104"/>
      <c r="LQ72" s="104"/>
      <c r="LR72" s="104"/>
      <c r="LS72" s="104"/>
      <c r="LT72" s="104"/>
      <c r="LU72" s="104"/>
      <c r="LV72" s="104"/>
      <c r="LW72" s="104"/>
      <c r="LX72" s="104"/>
      <c r="LY72" s="104"/>
      <c r="LZ72" s="104"/>
      <c r="MA72" s="104"/>
      <c r="MB72" s="104"/>
      <c r="MC72" s="104"/>
      <c r="MD72" s="104"/>
      <c r="ME72" s="104"/>
      <c r="MF72" s="104"/>
      <c r="MG72" s="104"/>
      <c r="MH72" s="104"/>
      <c r="MI72" s="104"/>
      <c r="MJ72" s="104"/>
      <c r="MK72" s="104"/>
      <c r="ML72" s="104"/>
      <c r="MM72" s="104"/>
      <c r="MN72" s="104"/>
      <c r="MO72" s="104"/>
      <c r="MP72" s="104"/>
      <c r="MQ72" s="104"/>
      <c r="MR72" s="104"/>
      <c r="MS72" s="104"/>
      <c r="MT72" s="104"/>
      <c r="MU72" s="104"/>
      <c r="MV72" s="104"/>
      <c r="MW72" s="104"/>
      <c r="MX72" s="104"/>
      <c r="MY72" s="104"/>
      <c r="MZ72" s="104"/>
      <c r="NA72" s="104"/>
      <c r="NB72" s="104"/>
      <c r="NC72" s="104"/>
      <c r="ND72" s="104"/>
      <c r="NE72" s="104"/>
      <c r="NF72" s="104"/>
      <c r="NG72" s="104"/>
      <c r="NH72" s="104"/>
      <c r="NI72" s="104"/>
      <c r="NJ72" s="104"/>
      <c r="NK72" s="104"/>
      <c r="NL72" s="104"/>
      <c r="NM72" s="104"/>
      <c r="NN72" s="104"/>
      <c r="NO72" s="104"/>
      <c r="NP72" s="104"/>
      <c r="NQ72" s="104"/>
      <c r="NR72" s="104"/>
      <c r="NS72" s="104"/>
      <c r="NT72" s="104"/>
      <c r="NU72" s="104"/>
      <c r="NV72" s="104"/>
      <c r="NW72" s="104"/>
      <c r="NX72" s="104"/>
      <c r="NY72" s="104"/>
      <c r="NZ72" s="104"/>
    </row>
    <row r="73" spans="1:390" ht="15.75" customHeight="1" x14ac:dyDescent="0.3">
      <c r="A73" s="125">
        <v>4980896464</v>
      </c>
      <c r="B73" s="135"/>
      <c r="C73" s="135"/>
      <c r="D73" s="213" t="s">
        <v>391</v>
      </c>
      <c r="E73" s="135" t="s">
        <v>574</v>
      </c>
      <c r="F73" s="125" t="s">
        <v>465</v>
      </c>
      <c r="G73" s="125" t="s">
        <v>479</v>
      </c>
      <c r="H73" s="111">
        <v>43158</v>
      </c>
      <c r="I73" s="135" t="s">
        <v>396</v>
      </c>
      <c r="J73" s="135" t="s">
        <v>397</v>
      </c>
      <c r="K73" s="128" t="s">
        <v>398</v>
      </c>
      <c r="L73" s="128" t="s">
        <v>398</v>
      </c>
      <c r="M73" s="128" t="s">
        <v>398</v>
      </c>
      <c r="N73" s="128" t="s">
        <v>398</v>
      </c>
      <c r="O73" s="128" t="s">
        <v>398</v>
      </c>
      <c r="P73" s="128" t="s">
        <v>398</v>
      </c>
      <c r="Q73" s="128" t="s">
        <v>398</v>
      </c>
      <c r="R73" s="128" t="s">
        <v>398</v>
      </c>
      <c r="S73" s="128" t="s">
        <v>398</v>
      </c>
      <c r="T73" s="128" t="s">
        <v>398</v>
      </c>
      <c r="U73" s="128" t="s">
        <v>398</v>
      </c>
      <c r="V73" s="128" t="s">
        <v>398</v>
      </c>
      <c r="W73" s="135" t="s">
        <v>398</v>
      </c>
      <c r="X73" s="135" t="s">
        <v>398</v>
      </c>
      <c r="Y73" s="113" t="s">
        <v>398</v>
      </c>
      <c r="Z73" s="113" t="s">
        <v>398</v>
      </c>
      <c r="AA73" s="135"/>
      <c r="AB73" s="113" t="s">
        <v>399</v>
      </c>
      <c r="AC73" s="111">
        <v>17827</v>
      </c>
      <c r="AD73" s="135"/>
      <c r="AE73" s="142" t="e">
        <f t="shared" si="1"/>
        <v>#NUM!</v>
      </c>
      <c r="AF73" s="135" t="s">
        <v>575</v>
      </c>
      <c r="AG73" s="126" t="s">
        <v>401</v>
      </c>
      <c r="AH73" s="135" t="s">
        <v>402</v>
      </c>
      <c r="AI73" s="125">
        <v>3</v>
      </c>
      <c r="AJ73" s="125">
        <v>2</v>
      </c>
      <c r="AK73" s="125">
        <v>0</v>
      </c>
      <c r="AL73" s="125">
        <v>0</v>
      </c>
      <c r="AM73" s="139" t="s">
        <v>490</v>
      </c>
      <c r="AN73" s="134">
        <v>2</v>
      </c>
      <c r="AO73" s="136" t="s">
        <v>398</v>
      </c>
      <c r="AP73" s="135"/>
      <c r="AQ73" s="104"/>
      <c r="AR73" s="104"/>
      <c r="AS73" s="104"/>
      <c r="AT73" s="104"/>
      <c r="AU73" s="104"/>
      <c r="AV73" s="104"/>
      <c r="AW73" s="104"/>
      <c r="AX73" s="104"/>
      <c r="AY73" s="104"/>
      <c r="AZ73" s="104"/>
      <c r="BA73" s="104"/>
      <c r="BB73" s="104"/>
      <c r="BC73" s="104"/>
      <c r="BD73" s="104"/>
      <c r="BE73" s="104"/>
      <c r="BF73" s="104"/>
      <c r="BG73" s="104"/>
      <c r="BH73" s="104"/>
      <c r="BI73" s="104"/>
      <c r="BJ73" s="104"/>
      <c r="BK73" s="104"/>
      <c r="BL73" s="104"/>
      <c r="BM73" s="104"/>
      <c r="BN73" s="104"/>
      <c r="BO73" s="104"/>
      <c r="BP73" s="104"/>
      <c r="BQ73" s="104"/>
      <c r="BR73" s="104"/>
      <c r="BS73" s="104"/>
      <c r="BT73" s="104"/>
      <c r="BU73" s="104"/>
      <c r="BV73" s="104"/>
      <c r="BW73" s="104"/>
      <c r="BX73" s="104"/>
      <c r="BY73" s="104"/>
      <c r="BZ73" s="104"/>
      <c r="CA73" s="104"/>
      <c r="CB73" s="104"/>
      <c r="CC73" s="104"/>
      <c r="CD73" s="104"/>
      <c r="CE73" s="104"/>
      <c r="CF73" s="104"/>
      <c r="CG73" s="104"/>
      <c r="CH73" s="104"/>
      <c r="CI73" s="104"/>
      <c r="CJ73" s="104"/>
      <c r="CK73" s="104"/>
      <c r="CL73" s="104"/>
      <c r="CM73" s="104"/>
      <c r="CN73" s="104"/>
      <c r="CO73" s="104"/>
      <c r="CP73" s="104"/>
      <c r="CQ73" s="104"/>
      <c r="CR73" s="104"/>
      <c r="CS73" s="104"/>
      <c r="CT73" s="104"/>
      <c r="CU73" s="104"/>
      <c r="CV73" s="104"/>
      <c r="CW73" s="104"/>
      <c r="CX73" s="104"/>
      <c r="CY73" s="104"/>
      <c r="CZ73" s="104"/>
      <c r="DA73" s="104"/>
      <c r="DB73" s="104"/>
      <c r="DC73" s="104"/>
      <c r="DD73" s="104"/>
      <c r="DE73" s="104"/>
      <c r="DF73" s="104"/>
      <c r="DG73" s="104"/>
      <c r="DH73" s="104"/>
      <c r="DI73" s="104"/>
      <c r="DJ73" s="104"/>
      <c r="DK73" s="104"/>
      <c r="DL73" s="104"/>
      <c r="DM73" s="104"/>
      <c r="DN73" s="104"/>
      <c r="DO73" s="104"/>
      <c r="DP73" s="104"/>
      <c r="DQ73" s="104"/>
      <c r="DR73" s="104"/>
      <c r="DS73" s="104"/>
      <c r="DT73" s="104"/>
      <c r="DU73" s="104"/>
      <c r="DV73" s="104"/>
      <c r="DW73" s="104"/>
      <c r="DX73" s="104"/>
      <c r="DY73" s="104"/>
      <c r="DZ73" s="104"/>
      <c r="EA73" s="104"/>
      <c r="EB73" s="104"/>
      <c r="EC73" s="104"/>
      <c r="ED73" s="104"/>
      <c r="EE73" s="104"/>
      <c r="EF73" s="104"/>
      <c r="EG73" s="104"/>
      <c r="EH73" s="104"/>
      <c r="EI73" s="104"/>
      <c r="EJ73" s="104"/>
      <c r="EK73" s="104"/>
      <c r="EL73" s="104"/>
      <c r="EM73" s="104"/>
      <c r="EN73" s="104"/>
      <c r="EO73" s="104"/>
      <c r="EP73" s="104"/>
      <c r="EQ73" s="104"/>
      <c r="ER73" s="104"/>
      <c r="ES73" s="104"/>
      <c r="ET73" s="104"/>
      <c r="EU73" s="104"/>
      <c r="EV73" s="104"/>
      <c r="EW73" s="104"/>
      <c r="EX73" s="104"/>
      <c r="EY73" s="104"/>
      <c r="EZ73" s="104"/>
      <c r="FA73" s="104"/>
      <c r="FB73" s="104"/>
      <c r="FC73" s="104"/>
      <c r="FD73" s="104"/>
      <c r="FE73" s="104"/>
      <c r="FF73" s="104"/>
      <c r="FG73" s="104"/>
      <c r="FH73" s="104"/>
      <c r="FI73" s="104"/>
      <c r="FJ73" s="104"/>
      <c r="FK73" s="104"/>
      <c r="FL73" s="104"/>
      <c r="FM73" s="104"/>
      <c r="FN73" s="104"/>
      <c r="FO73" s="104"/>
      <c r="FP73" s="104"/>
      <c r="FQ73" s="104"/>
      <c r="FR73" s="104"/>
      <c r="FS73" s="104"/>
      <c r="FT73" s="104"/>
      <c r="FU73" s="104"/>
      <c r="FV73" s="104"/>
      <c r="FW73" s="104"/>
      <c r="FX73" s="104"/>
      <c r="FY73" s="104"/>
      <c r="FZ73" s="104"/>
      <c r="GA73" s="104"/>
      <c r="GB73" s="104"/>
      <c r="GC73" s="104"/>
      <c r="GD73" s="104"/>
      <c r="GE73" s="104"/>
      <c r="GF73" s="104"/>
      <c r="GG73" s="104"/>
      <c r="GH73" s="104"/>
      <c r="GI73" s="104"/>
      <c r="GJ73" s="104"/>
      <c r="GK73" s="104"/>
      <c r="GL73" s="104"/>
      <c r="GM73" s="104"/>
      <c r="GN73" s="104"/>
      <c r="GO73" s="104"/>
      <c r="GP73" s="104"/>
      <c r="GQ73" s="104"/>
      <c r="GR73" s="104"/>
      <c r="GS73" s="104"/>
      <c r="GT73" s="104"/>
      <c r="GU73" s="104"/>
      <c r="GV73" s="104"/>
      <c r="GW73" s="104"/>
      <c r="GX73" s="104"/>
      <c r="GY73" s="104"/>
      <c r="GZ73" s="104"/>
      <c r="HA73" s="104"/>
      <c r="HB73" s="104"/>
      <c r="HC73" s="104"/>
      <c r="HD73" s="104"/>
      <c r="HE73" s="104"/>
      <c r="HF73" s="104"/>
      <c r="HG73" s="104"/>
      <c r="HH73" s="104"/>
      <c r="HI73" s="104"/>
      <c r="HJ73" s="104"/>
      <c r="HK73" s="104"/>
      <c r="HL73" s="104"/>
      <c r="HM73" s="104"/>
      <c r="HN73" s="104"/>
      <c r="HO73" s="104"/>
      <c r="HP73" s="104"/>
      <c r="HQ73" s="104"/>
      <c r="HR73" s="104"/>
      <c r="HS73" s="104"/>
      <c r="HT73" s="104"/>
      <c r="HU73" s="104"/>
      <c r="HV73" s="104"/>
      <c r="HW73" s="104"/>
      <c r="HX73" s="104"/>
      <c r="HY73" s="104"/>
      <c r="HZ73" s="104"/>
      <c r="IA73" s="104"/>
      <c r="IB73" s="104"/>
      <c r="IC73" s="104"/>
      <c r="ID73" s="104"/>
      <c r="IE73" s="104"/>
      <c r="IF73" s="104"/>
      <c r="IG73" s="104"/>
      <c r="IH73" s="104"/>
      <c r="II73" s="104"/>
      <c r="IJ73" s="104"/>
      <c r="IK73" s="104"/>
      <c r="IL73" s="104"/>
      <c r="IM73" s="104"/>
      <c r="IN73" s="104"/>
      <c r="IO73" s="104"/>
      <c r="IP73" s="104"/>
      <c r="IQ73" s="104"/>
      <c r="IR73" s="104"/>
      <c r="IS73" s="104"/>
      <c r="IT73" s="104"/>
      <c r="IU73" s="104"/>
      <c r="IV73" s="104"/>
      <c r="IW73" s="104"/>
      <c r="IX73" s="104"/>
      <c r="IY73" s="104"/>
      <c r="IZ73" s="104"/>
      <c r="JA73" s="104"/>
      <c r="JB73" s="104"/>
      <c r="JC73" s="104"/>
      <c r="JD73" s="104"/>
      <c r="JE73" s="104"/>
      <c r="JF73" s="104"/>
      <c r="JG73" s="104"/>
      <c r="JH73" s="104"/>
      <c r="JI73" s="104"/>
      <c r="JJ73" s="104"/>
      <c r="JK73" s="104"/>
      <c r="JL73" s="104"/>
      <c r="JM73" s="104"/>
      <c r="JN73" s="104"/>
      <c r="JO73" s="104"/>
      <c r="JP73" s="104"/>
      <c r="JQ73" s="104"/>
      <c r="JR73" s="104"/>
      <c r="JS73" s="104"/>
      <c r="JT73" s="104"/>
      <c r="JU73" s="104"/>
      <c r="JV73" s="104"/>
      <c r="JW73" s="104"/>
      <c r="JX73" s="104"/>
      <c r="JY73" s="104"/>
      <c r="JZ73" s="104"/>
      <c r="KA73" s="104"/>
      <c r="KB73" s="104"/>
      <c r="KC73" s="104"/>
      <c r="KD73" s="104"/>
      <c r="KE73" s="104"/>
      <c r="KF73" s="104"/>
      <c r="KG73" s="104"/>
      <c r="KH73" s="104"/>
      <c r="KI73" s="104"/>
      <c r="KJ73" s="104"/>
      <c r="KK73" s="104"/>
      <c r="KL73" s="104"/>
      <c r="KM73" s="104"/>
      <c r="KN73" s="104"/>
      <c r="KO73" s="104"/>
      <c r="KP73" s="104"/>
      <c r="KQ73" s="104"/>
      <c r="KR73" s="104"/>
      <c r="KS73" s="104"/>
      <c r="KT73" s="104"/>
      <c r="KU73" s="104"/>
      <c r="KV73" s="104"/>
      <c r="KW73" s="104"/>
      <c r="KX73" s="104"/>
      <c r="KY73" s="104"/>
      <c r="KZ73" s="104"/>
      <c r="LA73" s="104"/>
      <c r="LB73" s="104"/>
      <c r="LC73" s="104"/>
      <c r="LD73" s="104"/>
      <c r="LE73" s="104"/>
      <c r="LF73" s="104"/>
      <c r="LG73" s="104"/>
      <c r="LH73" s="104"/>
      <c r="LI73" s="104"/>
      <c r="LJ73" s="104"/>
      <c r="LK73" s="104"/>
      <c r="LL73" s="104"/>
      <c r="LM73" s="104"/>
      <c r="LN73" s="104"/>
      <c r="LO73" s="104"/>
      <c r="LP73" s="104"/>
      <c r="LQ73" s="104"/>
      <c r="LR73" s="104"/>
      <c r="LS73" s="104"/>
      <c r="LT73" s="104"/>
      <c r="LU73" s="104"/>
      <c r="LV73" s="104"/>
      <c r="LW73" s="104"/>
      <c r="LX73" s="104"/>
      <c r="LY73" s="104"/>
      <c r="LZ73" s="104"/>
      <c r="MA73" s="104"/>
      <c r="MB73" s="104"/>
      <c r="MC73" s="104"/>
      <c r="MD73" s="104"/>
      <c r="ME73" s="104"/>
      <c r="MF73" s="104"/>
      <c r="MG73" s="104"/>
      <c r="MH73" s="104"/>
      <c r="MI73" s="104"/>
      <c r="MJ73" s="104"/>
      <c r="MK73" s="104"/>
      <c r="ML73" s="104"/>
      <c r="MM73" s="104"/>
      <c r="MN73" s="104"/>
      <c r="MO73" s="104"/>
      <c r="MP73" s="104"/>
      <c r="MQ73" s="104"/>
      <c r="MR73" s="104"/>
      <c r="MS73" s="104"/>
      <c r="MT73" s="104"/>
      <c r="MU73" s="104"/>
      <c r="MV73" s="104"/>
      <c r="MW73" s="104"/>
      <c r="MX73" s="104"/>
      <c r="MY73" s="104"/>
      <c r="MZ73" s="104"/>
      <c r="NA73" s="104"/>
      <c r="NB73" s="104"/>
      <c r="NC73" s="104"/>
      <c r="ND73" s="104"/>
      <c r="NE73" s="104"/>
      <c r="NF73" s="104"/>
      <c r="NG73" s="104"/>
      <c r="NH73" s="104"/>
      <c r="NI73" s="104"/>
      <c r="NJ73" s="104"/>
      <c r="NK73" s="104"/>
      <c r="NL73" s="104"/>
      <c r="NM73" s="104"/>
      <c r="NN73" s="104"/>
      <c r="NO73" s="104"/>
      <c r="NP73" s="104"/>
      <c r="NQ73" s="104"/>
      <c r="NR73" s="104"/>
      <c r="NS73" s="104"/>
      <c r="NT73" s="104"/>
      <c r="NU73" s="104"/>
      <c r="NV73" s="104"/>
      <c r="NW73" s="104"/>
      <c r="NX73" s="104"/>
      <c r="NY73" s="104"/>
      <c r="NZ73" s="104"/>
    </row>
    <row r="74" spans="1:390" ht="15.75" customHeight="1" x14ac:dyDescent="0.3">
      <c r="A74" s="125">
        <v>4607910880</v>
      </c>
      <c r="B74" s="135"/>
      <c r="C74" s="135"/>
      <c r="D74" s="213" t="s">
        <v>391</v>
      </c>
      <c r="E74" s="135" t="s">
        <v>576</v>
      </c>
      <c r="F74" s="125" t="s">
        <v>395</v>
      </c>
      <c r="G74" s="125" t="s">
        <v>488</v>
      </c>
      <c r="H74" s="111">
        <v>43164</v>
      </c>
      <c r="I74" s="135" t="s">
        <v>396</v>
      </c>
      <c r="J74" s="135" t="s">
        <v>397</v>
      </c>
      <c r="K74" s="128" t="s">
        <v>398</v>
      </c>
      <c r="L74" s="128" t="s">
        <v>398</v>
      </c>
      <c r="M74" s="128" t="s">
        <v>398</v>
      </c>
      <c r="N74" s="128" t="s">
        <v>398</v>
      </c>
      <c r="O74" s="128" t="s">
        <v>398</v>
      </c>
      <c r="P74" s="128" t="s">
        <v>398</v>
      </c>
      <c r="Q74" s="128" t="s">
        <v>398</v>
      </c>
      <c r="R74" s="128" t="s">
        <v>398</v>
      </c>
      <c r="S74" s="128" t="s">
        <v>398</v>
      </c>
      <c r="T74" s="128" t="s">
        <v>398</v>
      </c>
      <c r="U74" s="128" t="s">
        <v>398</v>
      </c>
      <c r="V74" s="128" t="s">
        <v>398</v>
      </c>
      <c r="W74" s="135" t="s">
        <v>398</v>
      </c>
      <c r="X74" s="135" t="s">
        <v>398</v>
      </c>
      <c r="Y74" s="113" t="s">
        <v>398</v>
      </c>
      <c r="Z74" s="113" t="s">
        <v>398</v>
      </c>
      <c r="AA74" s="135"/>
      <c r="AB74" s="113" t="s">
        <v>399</v>
      </c>
      <c r="AC74" s="111">
        <v>19821</v>
      </c>
      <c r="AD74" s="135"/>
      <c r="AE74" s="142" t="e">
        <f t="shared" si="1"/>
        <v>#NUM!</v>
      </c>
      <c r="AF74" s="135" t="s">
        <v>411</v>
      </c>
      <c r="AG74" s="126" t="s">
        <v>401</v>
      </c>
      <c r="AH74" s="135" t="s">
        <v>402</v>
      </c>
      <c r="AI74" s="125" t="s">
        <v>412</v>
      </c>
      <c r="AJ74" s="125">
        <v>0</v>
      </c>
      <c r="AK74" s="125">
        <v>0</v>
      </c>
      <c r="AL74" s="125">
        <v>0</v>
      </c>
      <c r="AM74" s="139" t="s">
        <v>414</v>
      </c>
      <c r="AN74" s="134">
        <v>1</v>
      </c>
      <c r="AO74" s="136" t="s">
        <v>398</v>
      </c>
      <c r="AP74" s="135"/>
      <c r="AQ74" s="104"/>
      <c r="AR74" s="104"/>
      <c r="AS74" s="104"/>
      <c r="AT74" s="104"/>
      <c r="AU74" s="104"/>
      <c r="AV74" s="104"/>
      <c r="AW74" s="104"/>
      <c r="AX74" s="104"/>
      <c r="AY74" s="104"/>
      <c r="AZ74" s="104"/>
      <c r="BA74" s="104"/>
      <c r="BB74" s="104"/>
      <c r="BC74" s="104"/>
      <c r="BD74" s="104"/>
      <c r="BE74" s="104"/>
      <c r="BF74" s="104"/>
      <c r="BG74" s="104"/>
      <c r="BH74" s="104"/>
      <c r="BI74" s="104"/>
      <c r="BJ74" s="104"/>
      <c r="BK74" s="104"/>
      <c r="BL74" s="104"/>
      <c r="BM74" s="104"/>
      <c r="BN74" s="104"/>
      <c r="BO74" s="104"/>
      <c r="BP74" s="104"/>
      <c r="BQ74" s="104"/>
      <c r="BR74" s="104"/>
      <c r="BS74" s="104"/>
      <c r="BT74" s="104"/>
      <c r="BU74" s="104"/>
      <c r="BV74" s="104"/>
      <c r="BW74" s="104"/>
      <c r="BX74" s="104"/>
      <c r="BY74" s="104"/>
      <c r="BZ74" s="104"/>
      <c r="CA74" s="104"/>
      <c r="CB74" s="104"/>
      <c r="CC74" s="104"/>
      <c r="CD74" s="104"/>
      <c r="CE74" s="104"/>
      <c r="CF74" s="104"/>
      <c r="CG74" s="104"/>
      <c r="CH74" s="104"/>
      <c r="CI74" s="104"/>
      <c r="CJ74" s="104"/>
      <c r="CK74" s="104"/>
      <c r="CL74" s="104"/>
      <c r="CM74" s="104"/>
      <c r="CN74" s="104"/>
      <c r="CO74" s="104"/>
      <c r="CP74" s="104"/>
      <c r="CQ74" s="104"/>
      <c r="CR74" s="104"/>
      <c r="CS74" s="104"/>
      <c r="CT74" s="104"/>
      <c r="CU74" s="104"/>
      <c r="CV74" s="104"/>
      <c r="CW74" s="104"/>
      <c r="CX74" s="104"/>
      <c r="CY74" s="104"/>
      <c r="CZ74" s="104"/>
      <c r="DA74" s="104"/>
      <c r="DB74" s="104"/>
      <c r="DC74" s="104"/>
      <c r="DD74" s="104"/>
      <c r="DE74" s="104"/>
      <c r="DF74" s="104"/>
      <c r="DG74" s="104"/>
      <c r="DH74" s="104"/>
      <c r="DI74" s="104"/>
      <c r="DJ74" s="104"/>
      <c r="DK74" s="104"/>
      <c r="DL74" s="104"/>
      <c r="DM74" s="104"/>
      <c r="DN74" s="104"/>
      <c r="DO74" s="104"/>
      <c r="DP74" s="104"/>
      <c r="DQ74" s="104"/>
      <c r="DR74" s="104"/>
      <c r="DS74" s="104"/>
      <c r="DT74" s="104"/>
      <c r="DU74" s="104"/>
      <c r="DV74" s="104"/>
      <c r="DW74" s="104"/>
      <c r="DX74" s="104"/>
      <c r="DY74" s="104"/>
      <c r="DZ74" s="104"/>
      <c r="EA74" s="104"/>
      <c r="EB74" s="104"/>
      <c r="EC74" s="104"/>
      <c r="ED74" s="104"/>
      <c r="EE74" s="104"/>
      <c r="EF74" s="104"/>
      <c r="EG74" s="104"/>
      <c r="EH74" s="104"/>
      <c r="EI74" s="104"/>
      <c r="EJ74" s="104"/>
      <c r="EK74" s="104"/>
      <c r="EL74" s="104"/>
      <c r="EM74" s="104"/>
      <c r="EN74" s="104"/>
      <c r="EO74" s="104"/>
      <c r="EP74" s="104"/>
      <c r="EQ74" s="104"/>
      <c r="ER74" s="104"/>
      <c r="ES74" s="104"/>
      <c r="ET74" s="104"/>
      <c r="EU74" s="104"/>
      <c r="EV74" s="104"/>
      <c r="EW74" s="104"/>
      <c r="EX74" s="104"/>
      <c r="EY74" s="104"/>
      <c r="EZ74" s="104"/>
      <c r="FA74" s="104"/>
      <c r="FB74" s="104"/>
      <c r="FC74" s="104"/>
      <c r="FD74" s="104"/>
      <c r="FE74" s="104"/>
      <c r="FF74" s="104"/>
      <c r="FG74" s="104"/>
      <c r="FH74" s="104"/>
      <c r="FI74" s="104"/>
      <c r="FJ74" s="104"/>
      <c r="FK74" s="104"/>
      <c r="FL74" s="104"/>
      <c r="FM74" s="104"/>
      <c r="FN74" s="104"/>
      <c r="FO74" s="104"/>
      <c r="FP74" s="104"/>
      <c r="FQ74" s="104"/>
      <c r="FR74" s="104"/>
      <c r="FS74" s="104"/>
      <c r="FT74" s="104"/>
      <c r="FU74" s="104"/>
      <c r="FV74" s="104"/>
      <c r="FW74" s="104"/>
      <c r="FX74" s="104"/>
      <c r="FY74" s="104"/>
      <c r="FZ74" s="104"/>
      <c r="GA74" s="104"/>
      <c r="GB74" s="104"/>
      <c r="GC74" s="104"/>
      <c r="GD74" s="104"/>
      <c r="GE74" s="104"/>
      <c r="GF74" s="104"/>
      <c r="GG74" s="104"/>
      <c r="GH74" s="104"/>
      <c r="GI74" s="104"/>
      <c r="GJ74" s="104"/>
      <c r="GK74" s="104"/>
      <c r="GL74" s="104"/>
      <c r="GM74" s="104"/>
      <c r="GN74" s="104"/>
      <c r="GO74" s="104"/>
      <c r="GP74" s="104"/>
      <c r="GQ74" s="104"/>
      <c r="GR74" s="104"/>
      <c r="GS74" s="104"/>
      <c r="GT74" s="104"/>
      <c r="GU74" s="104"/>
      <c r="GV74" s="104"/>
      <c r="GW74" s="104"/>
      <c r="GX74" s="104"/>
      <c r="GY74" s="104"/>
      <c r="GZ74" s="104"/>
      <c r="HA74" s="104"/>
      <c r="HB74" s="104"/>
      <c r="HC74" s="104"/>
      <c r="HD74" s="104"/>
      <c r="HE74" s="104"/>
      <c r="HF74" s="104"/>
      <c r="HG74" s="104"/>
      <c r="HH74" s="104"/>
      <c r="HI74" s="104"/>
      <c r="HJ74" s="104"/>
      <c r="HK74" s="104"/>
      <c r="HL74" s="104"/>
      <c r="HM74" s="104"/>
      <c r="HN74" s="104"/>
      <c r="HO74" s="104"/>
      <c r="HP74" s="104"/>
      <c r="HQ74" s="104"/>
      <c r="HR74" s="104"/>
      <c r="HS74" s="104"/>
      <c r="HT74" s="104"/>
      <c r="HU74" s="104"/>
      <c r="HV74" s="104"/>
      <c r="HW74" s="104"/>
      <c r="HX74" s="104"/>
      <c r="HY74" s="104"/>
      <c r="HZ74" s="104"/>
      <c r="IA74" s="104"/>
      <c r="IB74" s="104"/>
      <c r="IC74" s="104"/>
      <c r="ID74" s="104"/>
      <c r="IE74" s="104"/>
      <c r="IF74" s="104"/>
      <c r="IG74" s="104"/>
      <c r="IH74" s="104"/>
      <c r="II74" s="104"/>
      <c r="IJ74" s="104"/>
      <c r="IK74" s="104"/>
      <c r="IL74" s="104"/>
      <c r="IM74" s="104"/>
      <c r="IN74" s="104"/>
      <c r="IO74" s="104"/>
      <c r="IP74" s="104"/>
      <c r="IQ74" s="104"/>
      <c r="IR74" s="104"/>
      <c r="IS74" s="104"/>
      <c r="IT74" s="104"/>
      <c r="IU74" s="104"/>
      <c r="IV74" s="104"/>
      <c r="IW74" s="104"/>
      <c r="IX74" s="104"/>
      <c r="IY74" s="104"/>
      <c r="IZ74" s="104"/>
      <c r="JA74" s="104"/>
      <c r="JB74" s="104"/>
      <c r="JC74" s="104"/>
      <c r="JD74" s="104"/>
      <c r="JE74" s="104"/>
      <c r="JF74" s="104"/>
      <c r="JG74" s="104"/>
      <c r="JH74" s="104"/>
      <c r="JI74" s="104"/>
      <c r="JJ74" s="104"/>
      <c r="JK74" s="104"/>
      <c r="JL74" s="104"/>
      <c r="JM74" s="104"/>
      <c r="JN74" s="104"/>
      <c r="JO74" s="104"/>
      <c r="JP74" s="104"/>
      <c r="JQ74" s="104"/>
      <c r="JR74" s="104"/>
      <c r="JS74" s="104"/>
      <c r="JT74" s="104"/>
      <c r="JU74" s="104"/>
      <c r="JV74" s="104"/>
      <c r="JW74" s="104"/>
      <c r="JX74" s="104"/>
      <c r="JY74" s="104"/>
      <c r="JZ74" s="104"/>
      <c r="KA74" s="104"/>
      <c r="KB74" s="104"/>
      <c r="KC74" s="104"/>
      <c r="KD74" s="104"/>
      <c r="KE74" s="104"/>
      <c r="KF74" s="104"/>
      <c r="KG74" s="104"/>
      <c r="KH74" s="104"/>
      <c r="KI74" s="104"/>
      <c r="KJ74" s="104"/>
      <c r="KK74" s="104"/>
      <c r="KL74" s="104"/>
      <c r="KM74" s="104"/>
      <c r="KN74" s="104"/>
      <c r="KO74" s="104"/>
      <c r="KP74" s="104"/>
      <c r="KQ74" s="104"/>
      <c r="KR74" s="104"/>
      <c r="KS74" s="104"/>
      <c r="KT74" s="104"/>
      <c r="KU74" s="104"/>
      <c r="KV74" s="104"/>
      <c r="KW74" s="104"/>
      <c r="KX74" s="104"/>
      <c r="KY74" s="104"/>
      <c r="KZ74" s="104"/>
      <c r="LA74" s="104"/>
      <c r="LB74" s="104"/>
      <c r="LC74" s="104"/>
      <c r="LD74" s="104"/>
      <c r="LE74" s="104"/>
      <c r="LF74" s="104"/>
      <c r="LG74" s="104"/>
      <c r="LH74" s="104"/>
      <c r="LI74" s="104"/>
      <c r="LJ74" s="104"/>
      <c r="LK74" s="104"/>
      <c r="LL74" s="104"/>
      <c r="LM74" s="104"/>
      <c r="LN74" s="104"/>
      <c r="LO74" s="104"/>
      <c r="LP74" s="104"/>
      <c r="LQ74" s="104"/>
      <c r="LR74" s="104"/>
      <c r="LS74" s="104"/>
      <c r="LT74" s="104"/>
      <c r="LU74" s="104"/>
      <c r="LV74" s="104"/>
      <c r="LW74" s="104"/>
      <c r="LX74" s="104"/>
      <c r="LY74" s="104"/>
      <c r="LZ74" s="104"/>
      <c r="MA74" s="104"/>
      <c r="MB74" s="104"/>
      <c r="MC74" s="104"/>
      <c r="MD74" s="104"/>
      <c r="ME74" s="104"/>
      <c r="MF74" s="104"/>
      <c r="MG74" s="104"/>
      <c r="MH74" s="104"/>
      <c r="MI74" s="104"/>
      <c r="MJ74" s="104"/>
      <c r="MK74" s="104"/>
      <c r="ML74" s="104"/>
      <c r="MM74" s="104"/>
      <c r="MN74" s="104"/>
      <c r="MO74" s="104"/>
      <c r="MP74" s="104"/>
      <c r="MQ74" s="104"/>
      <c r="MR74" s="104"/>
      <c r="MS74" s="104"/>
      <c r="MT74" s="104"/>
      <c r="MU74" s="104"/>
      <c r="MV74" s="104"/>
      <c r="MW74" s="104"/>
      <c r="MX74" s="104"/>
      <c r="MY74" s="104"/>
      <c r="MZ74" s="104"/>
      <c r="NA74" s="104"/>
      <c r="NB74" s="104"/>
      <c r="NC74" s="104"/>
      <c r="ND74" s="104"/>
      <c r="NE74" s="104"/>
      <c r="NF74" s="104"/>
      <c r="NG74" s="104"/>
      <c r="NH74" s="104"/>
      <c r="NI74" s="104"/>
      <c r="NJ74" s="104"/>
      <c r="NK74" s="104"/>
      <c r="NL74" s="104"/>
      <c r="NM74" s="104"/>
      <c r="NN74" s="104"/>
      <c r="NO74" s="104"/>
      <c r="NP74" s="104"/>
      <c r="NQ74" s="104"/>
      <c r="NR74" s="104"/>
      <c r="NS74" s="104"/>
      <c r="NT74" s="104"/>
      <c r="NU74" s="104"/>
      <c r="NV74" s="104"/>
      <c r="NW74" s="104"/>
      <c r="NX74" s="104"/>
      <c r="NY74" s="104"/>
      <c r="NZ74" s="104"/>
    </row>
    <row r="75" spans="1:390" ht="15.75" customHeight="1" x14ac:dyDescent="0.3">
      <c r="A75" s="125">
        <v>4981932650</v>
      </c>
      <c r="B75" s="135"/>
      <c r="C75" s="135"/>
      <c r="D75" s="213" t="s">
        <v>391</v>
      </c>
      <c r="E75" s="135" t="s">
        <v>577</v>
      </c>
      <c r="F75" s="125" t="s">
        <v>426</v>
      </c>
      <c r="G75" s="125" t="s">
        <v>408</v>
      </c>
      <c r="H75" s="111">
        <v>43173</v>
      </c>
      <c r="I75" s="135" t="s">
        <v>396</v>
      </c>
      <c r="J75" s="135" t="s">
        <v>397</v>
      </c>
      <c r="K75" s="128" t="s">
        <v>398</v>
      </c>
      <c r="L75" s="128" t="s">
        <v>398</v>
      </c>
      <c r="M75" s="128" t="s">
        <v>398</v>
      </c>
      <c r="N75" s="128" t="s">
        <v>398</v>
      </c>
      <c r="O75" s="128" t="s">
        <v>398</v>
      </c>
      <c r="P75" s="128" t="s">
        <v>398</v>
      </c>
      <c r="Q75" s="128" t="s">
        <v>398</v>
      </c>
      <c r="R75" s="128" t="s">
        <v>398</v>
      </c>
      <c r="S75" s="128" t="s">
        <v>398</v>
      </c>
      <c r="T75" s="128" t="s">
        <v>398</v>
      </c>
      <c r="U75" s="128" t="s">
        <v>398</v>
      </c>
      <c r="V75" s="128" t="s">
        <v>398</v>
      </c>
      <c r="W75" s="135" t="s">
        <v>398</v>
      </c>
      <c r="X75" s="135" t="s">
        <v>398</v>
      </c>
      <c r="Y75" s="113" t="s">
        <v>398</v>
      </c>
      <c r="Z75" s="113" t="s">
        <v>398</v>
      </c>
      <c r="AA75" s="135"/>
      <c r="AB75" s="113" t="s">
        <v>399</v>
      </c>
      <c r="AC75" s="111">
        <v>20114</v>
      </c>
      <c r="AD75" s="135"/>
      <c r="AE75" s="142" t="e">
        <f t="shared" si="1"/>
        <v>#NUM!</v>
      </c>
      <c r="AF75" s="135" t="s">
        <v>411</v>
      </c>
      <c r="AG75" s="126" t="s">
        <v>401</v>
      </c>
      <c r="AH75" s="135" t="s">
        <v>402</v>
      </c>
      <c r="AI75" s="125" t="s">
        <v>412</v>
      </c>
      <c r="AJ75" s="125">
        <v>0</v>
      </c>
      <c r="AK75" s="125">
        <v>0</v>
      </c>
      <c r="AL75" s="125">
        <v>0</v>
      </c>
      <c r="AM75" s="139" t="s">
        <v>414</v>
      </c>
      <c r="AN75" s="134">
        <v>2</v>
      </c>
      <c r="AO75" s="136" t="s">
        <v>398</v>
      </c>
      <c r="AP75" s="135"/>
      <c r="AQ75" s="104"/>
      <c r="AR75" s="104"/>
      <c r="AS75" s="104"/>
      <c r="AT75" s="104"/>
      <c r="AU75" s="104"/>
      <c r="AV75" s="104"/>
      <c r="AW75" s="104"/>
      <c r="AX75" s="104"/>
      <c r="AY75" s="104"/>
      <c r="AZ75" s="104"/>
      <c r="BA75" s="104"/>
      <c r="BB75" s="104"/>
      <c r="BC75" s="104"/>
      <c r="BD75" s="104"/>
      <c r="BE75" s="104"/>
      <c r="BF75" s="104"/>
      <c r="BG75" s="104"/>
      <c r="BH75" s="104"/>
      <c r="BI75" s="104"/>
      <c r="BJ75" s="104"/>
      <c r="BK75" s="104"/>
      <c r="BL75" s="104"/>
      <c r="BM75" s="104"/>
      <c r="BN75" s="104"/>
      <c r="BO75" s="104"/>
      <c r="BP75" s="104"/>
      <c r="BQ75" s="104"/>
      <c r="BR75" s="104"/>
      <c r="BS75" s="104"/>
      <c r="BT75" s="104"/>
      <c r="BU75" s="104"/>
      <c r="BV75" s="104"/>
      <c r="BW75" s="104"/>
      <c r="BX75" s="104"/>
      <c r="BY75" s="104"/>
      <c r="BZ75" s="104"/>
      <c r="CA75" s="104"/>
      <c r="CB75" s="104"/>
      <c r="CC75" s="104"/>
      <c r="CD75" s="104"/>
      <c r="CE75" s="104"/>
      <c r="CF75" s="104"/>
      <c r="CG75" s="104"/>
      <c r="CH75" s="104"/>
      <c r="CI75" s="104"/>
      <c r="CJ75" s="104"/>
      <c r="CK75" s="104"/>
      <c r="CL75" s="104"/>
      <c r="CM75" s="104"/>
      <c r="CN75" s="104"/>
      <c r="CO75" s="104"/>
      <c r="CP75" s="104"/>
      <c r="CQ75" s="104"/>
      <c r="CR75" s="104"/>
      <c r="CS75" s="104"/>
      <c r="CT75" s="104"/>
      <c r="CU75" s="104"/>
      <c r="CV75" s="104"/>
      <c r="CW75" s="104"/>
      <c r="CX75" s="104"/>
      <c r="CY75" s="104"/>
      <c r="CZ75" s="104"/>
      <c r="DA75" s="104"/>
      <c r="DB75" s="104"/>
      <c r="DC75" s="104"/>
      <c r="DD75" s="104"/>
      <c r="DE75" s="104"/>
      <c r="DF75" s="104"/>
      <c r="DG75" s="104"/>
      <c r="DH75" s="104"/>
      <c r="DI75" s="104"/>
      <c r="DJ75" s="104"/>
      <c r="DK75" s="104"/>
      <c r="DL75" s="104"/>
      <c r="DM75" s="104"/>
      <c r="DN75" s="104"/>
      <c r="DO75" s="104"/>
      <c r="DP75" s="104"/>
      <c r="DQ75" s="104"/>
      <c r="DR75" s="104"/>
      <c r="DS75" s="104"/>
      <c r="DT75" s="104"/>
      <c r="DU75" s="104"/>
      <c r="DV75" s="104"/>
      <c r="DW75" s="104"/>
      <c r="DX75" s="104"/>
      <c r="DY75" s="104"/>
      <c r="DZ75" s="104"/>
      <c r="EA75" s="104"/>
      <c r="EB75" s="104"/>
      <c r="EC75" s="104"/>
      <c r="ED75" s="104"/>
      <c r="EE75" s="104"/>
      <c r="EF75" s="104"/>
      <c r="EG75" s="104"/>
      <c r="EH75" s="104"/>
      <c r="EI75" s="104"/>
      <c r="EJ75" s="104"/>
      <c r="EK75" s="104"/>
      <c r="EL75" s="104"/>
      <c r="EM75" s="104"/>
      <c r="EN75" s="104"/>
      <c r="EO75" s="104"/>
      <c r="EP75" s="104"/>
      <c r="EQ75" s="104"/>
      <c r="ER75" s="104"/>
      <c r="ES75" s="104"/>
      <c r="ET75" s="104"/>
      <c r="EU75" s="104"/>
      <c r="EV75" s="104"/>
      <c r="EW75" s="104"/>
      <c r="EX75" s="104"/>
      <c r="EY75" s="104"/>
      <c r="EZ75" s="104"/>
      <c r="FA75" s="104"/>
      <c r="FB75" s="104"/>
      <c r="FC75" s="104"/>
      <c r="FD75" s="104"/>
      <c r="FE75" s="104"/>
      <c r="FF75" s="104"/>
      <c r="FG75" s="104"/>
      <c r="FH75" s="104"/>
      <c r="FI75" s="104"/>
      <c r="FJ75" s="104"/>
      <c r="FK75" s="104"/>
      <c r="FL75" s="104"/>
      <c r="FM75" s="104"/>
      <c r="FN75" s="104"/>
      <c r="FO75" s="104"/>
      <c r="FP75" s="104"/>
      <c r="FQ75" s="104"/>
      <c r="FR75" s="104"/>
      <c r="FS75" s="104"/>
      <c r="FT75" s="104"/>
      <c r="FU75" s="104"/>
      <c r="FV75" s="104"/>
      <c r="FW75" s="104"/>
      <c r="FX75" s="104"/>
      <c r="FY75" s="104"/>
      <c r="FZ75" s="104"/>
      <c r="GA75" s="104"/>
      <c r="GB75" s="104"/>
      <c r="GC75" s="104"/>
      <c r="GD75" s="104"/>
      <c r="GE75" s="104"/>
      <c r="GF75" s="104"/>
      <c r="GG75" s="104"/>
      <c r="GH75" s="104"/>
      <c r="GI75" s="104"/>
      <c r="GJ75" s="104"/>
      <c r="GK75" s="104"/>
      <c r="GL75" s="104"/>
      <c r="GM75" s="104"/>
      <c r="GN75" s="104"/>
      <c r="GO75" s="104"/>
      <c r="GP75" s="104"/>
      <c r="GQ75" s="104"/>
      <c r="GR75" s="104"/>
      <c r="GS75" s="104"/>
      <c r="GT75" s="104"/>
      <c r="GU75" s="104"/>
      <c r="GV75" s="104"/>
      <c r="GW75" s="104"/>
      <c r="GX75" s="104"/>
      <c r="GY75" s="104"/>
      <c r="GZ75" s="104"/>
      <c r="HA75" s="104"/>
      <c r="HB75" s="104"/>
      <c r="HC75" s="104"/>
      <c r="HD75" s="104"/>
      <c r="HE75" s="104"/>
      <c r="HF75" s="104"/>
      <c r="HG75" s="104"/>
      <c r="HH75" s="104"/>
      <c r="HI75" s="104"/>
      <c r="HJ75" s="104"/>
      <c r="HK75" s="104"/>
      <c r="HL75" s="104"/>
      <c r="HM75" s="104"/>
      <c r="HN75" s="104"/>
      <c r="HO75" s="104"/>
      <c r="HP75" s="104"/>
      <c r="HQ75" s="104"/>
      <c r="HR75" s="104"/>
      <c r="HS75" s="104"/>
      <c r="HT75" s="104"/>
      <c r="HU75" s="104"/>
      <c r="HV75" s="104"/>
      <c r="HW75" s="104"/>
      <c r="HX75" s="104"/>
      <c r="HY75" s="104"/>
      <c r="HZ75" s="104"/>
      <c r="IA75" s="104"/>
      <c r="IB75" s="104"/>
      <c r="IC75" s="104"/>
      <c r="ID75" s="104"/>
      <c r="IE75" s="104"/>
      <c r="IF75" s="104"/>
      <c r="IG75" s="104"/>
      <c r="IH75" s="104"/>
      <c r="II75" s="104"/>
      <c r="IJ75" s="104"/>
      <c r="IK75" s="104"/>
      <c r="IL75" s="104"/>
      <c r="IM75" s="104"/>
      <c r="IN75" s="104"/>
      <c r="IO75" s="104"/>
      <c r="IP75" s="104"/>
      <c r="IQ75" s="104"/>
      <c r="IR75" s="104"/>
      <c r="IS75" s="104"/>
      <c r="IT75" s="104"/>
      <c r="IU75" s="104"/>
      <c r="IV75" s="104"/>
      <c r="IW75" s="104"/>
      <c r="IX75" s="104"/>
      <c r="IY75" s="104"/>
      <c r="IZ75" s="104"/>
      <c r="JA75" s="104"/>
      <c r="JB75" s="104"/>
      <c r="JC75" s="104"/>
      <c r="JD75" s="104"/>
      <c r="JE75" s="104"/>
      <c r="JF75" s="104"/>
      <c r="JG75" s="104"/>
      <c r="JH75" s="104"/>
      <c r="JI75" s="104"/>
      <c r="JJ75" s="104"/>
      <c r="JK75" s="104"/>
      <c r="JL75" s="104"/>
      <c r="JM75" s="104"/>
      <c r="JN75" s="104"/>
      <c r="JO75" s="104"/>
      <c r="JP75" s="104"/>
      <c r="JQ75" s="104"/>
      <c r="JR75" s="104"/>
      <c r="JS75" s="104"/>
      <c r="JT75" s="104"/>
      <c r="JU75" s="104"/>
      <c r="JV75" s="104"/>
      <c r="JW75" s="104"/>
      <c r="JX75" s="104"/>
      <c r="JY75" s="104"/>
      <c r="JZ75" s="104"/>
      <c r="KA75" s="104"/>
      <c r="KB75" s="104"/>
      <c r="KC75" s="104"/>
      <c r="KD75" s="104"/>
      <c r="KE75" s="104"/>
      <c r="KF75" s="104"/>
      <c r="KG75" s="104"/>
      <c r="KH75" s="104"/>
      <c r="KI75" s="104"/>
      <c r="KJ75" s="104"/>
      <c r="KK75" s="104"/>
      <c r="KL75" s="104"/>
      <c r="KM75" s="104"/>
      <c r="KN75" s="104"/>
      <c r="KO75" s="104"/>
      <c r="KP75" s="104"/>
      <c r="KQ75" s="104"/>
      <c r="KR75" s="104"/>
      <c r="KS75" s="104"/>
      <c r="KT75" s="104"/>
      <c r="KU75" s="104"/>
      <c r="KV75" s="104"/>
      <c r="KW75" s="104"/>
      <c r="KX75" s="104"/>
      <c r="KY75" s="104"/>
      <c r="KZ75" s="104"/>
      <c r="LA75" s="104"/>
      <c r="LB75" s="104"/>
      <c r="LC75" s="104"/>
      <c r="LD75" s="104"/>
      <c r="LE75" s="104"/>
      <c r="LF75" s="104"/>
      <c r="LG75" s="104"/>
      <c r="LH75" s="104"/>
      <c r="LI75" s="104"/>
      <c r="LJ75" s="104"/>
      <c r="LK75" s="104"/>
      <c r="LL75" s="104"/>
      <c r="LM75" s="104"/>
      <c r="LN75" s="104"/>
      <c r="LO75" s="104"/>
      <c r="LP75" s="104"/>
      <c r="LQ75" s="104"/>
      <c r="LR75" s="104"/>
      <c r="LS75" s="104"/>
      <c r="LT75" s="104"/>
      <c r="LU75" s="104"/>
      <c r="LV75" s="104"/>
      <c r="LW75" s="104"/>
      <c r="LX75" s="104"/>
      <c r="LY75" s="104"/>
      <c r="LZ75" s="104"/>
      <c r="MA75" s="104"/>
      <c r="MB75" s="104"/>
      <c r="MC75" s="104"/>
      <c r="MD75" s="104"/>
      <c r="ME75" s="104"/>
      <c r="MF75" s="104"/>
      <c r="MG75" s="104"/>
      <c r="MH75" s="104"/>
      <c r="MI75" s="104"/>
      <c r="MJ75" s="104"/>
      <c r="MK75" s="104"/>
      <c r="ML75" s="104"/>
      <c r="MM75" s="104"/>
      <c r="MN75" s="104"/>
      <c r="MO75" s="104"/>
      <c r="MP75" s="104"/>
      <c r="MQ75" s="104"/>
      <c r="MR75" s="104"/>
      <c r="MS75" s="104"/>
      <c r="MT75" s="104"/>
      <c r="MU75" s="104"/>
      <c r="MV75" s="104"/>
      <c r="MW75" s="104"/>
      <c r="MX75" s="104"/>
      <c r="MY75" s="104"/>
      <c r="MZ75" s="104"/>
      <c r="NA75" s="104"/>
      <c r="NB75" s="104"/>
      <c r="NC75" s="104"/>
      <c r="ND75" s="104"/>
      <c r="NE75" s="104"/>
      <c r="NF75" s="104"/>
      <c r="NG75" s="104"/>
      <c r="NH75" s="104"/>
      <c r="NI75" s="104"/>
      <c r="NJ75" s="104"/>
      <c r="NK75" s="104"/>
      <c r="NL75" s="104"/>
      <c r="NM75" s="104"/>
      <c r="NN75" s="104"/>
      <c r="NO75" s="104"/>
      <c r="NP75" s="104"/>
      <c r="NQ75" s="104"/>
      <c r="NR75" s="104"/>
      <c r="NS75" s="104"/>
      <c r="NT75" s="104"/>
      <c r="NU75" s="104"/>
      <c r="NV75" s="104"/>
      <c r="NW75" s="104"/>
      <c r="NX75" s="104"/>
      <c r="NY75" s="104"/>
      <c r="NZ75" s="104"/>
    </row>
    <row r="76" spans="1:390" ht="15.75" customHeight="1" x14ac:dyDescent="0.3">
      <c r="A76" s="125">
        <v>4148143605</v>
      </c>
      <c r="B76" s="135"/>
      <c r="C76" s="135"/>
      <c r="D76" s="213" t="s">
        <v>391</v>
      </c>
      <c r="E76" s="135" t="s">
        <v>578</v>
      </c>
      <c r="F76" s="125" t="s">
        <v>471</v>
      </c>
      <c r="G76" s="125" t="s">
        <v>395</v>
      </c>
      <c r="H76" s="111">
        <v>43174</v>
      </c>
      <c r="I76" s="135" t="s">
        <v>579</v>
      </c>
      <c r="J76" s="135" t="s">
        <v>397</v>
      </c>
      <c r="K76" s="128" t="s">
        <v>398</v>
      </c>
      <c r="L76" s="128" t="s">
        <v>398</v>
      </c>
      <c r="M76" s="128" t="s">
        <v>398</v>
      </c>
      <c r="N76" s="128" t="s">
        <v>398</v>
      </c>
      <c r="O76" s="128" t="s">
        <v>398</v>
      </c>
      <c r="P76" s="128" t="s">
        <v>398</v>
      </c>
      <c r="Q76" s="128" t="s">
        <v>398</v>
      </c>
      <c r="R76" s="128" t="s">
        <v>398</v>
      </c>
      <c r="S76" s="128" t="s">
        <v>398</v>
      </c>
      <c r="T76" s="128" t="s">
        <v>398</v>
      </c>
      <c r="U76" s="128" t="s">
        <v>398</v>
      </c>
      <c r="V76" s="128" t="s">
        <v>398</v>
      </c>
      <c r="W76" s="135" t="s">
        <v>398</v>
      </c>
      <c r="X76" s="135" t="s">
        <v>398</v>
      </c>
      <c r="Y76" s="113" t="s">
        <v>398</v>
      </c>
      <c r="Z76" s="113" t="s">
        <v>398</v>
      </c>
      <c r="AA76" s="135"/>
      <c r="AB76" s="113" t="s">
        <v>399</v>
      </c>
      <c r="AC76" s="111">
        <v>25020</v>
      </c>
      <c r="AD76" s="135"/>
      <c r="AE76" s="142" t="e">
        <f t="shared" si="1"/>
        <v>#NUM!</v>
      </c>
      <c r="AF76" s="135" t="s">
        <v>477</v>
      </c>
      <c r="AG76" s="126" t="s">
        <v>401</v>
      </c>
      <c r="AH76" s="135" t="s">
        <v>402</v>
      </c>
      <c r="AI76" s="125" t="s">
        <v>455</v>
      </c>
      <c r="AJ76" s="125">
        <v>0</v>
      </c>
      <c r="AK76" s="125">
        <v>0</v>
      </c>
      <c r="AL76" s="125">
        <v>0</v>
      </c>
      <c r="AM76" s="139" t="s">
        <v>456</v>
      </c>
      <c r="AN76" s="134">
        <v>1</v>
      </c>
      <c r="AO76" s="136" t="s">
        <v>398</v>
      </c>
      <c r="AP76" s="135"/>
      <c r="AQ76" s="104"/>
      <c r="AR76" s="104"/>
      <c r="AS76" s="104"/>
      <c r="AT76" s="104"/>
      <c r="AU76" s="104"/>
      <c r="AV76" s="104"/>
      <c r="AW76" s="104"/>
      <c r="AX76" s="104"/>
      <c r="AY76" s="104"/>
      <c r="AZ76" s="104"/>
      <c r="BA76" s="104"/>
      <c r="BB76" s="104"/>
      <c r="BC76" s="104"/>
      <c r="BD76" s="104"/>
      <c r="BE76" s="104"/>
      <c r="BF76" s="104"/>
      <c r="BG76" s="104"/>
      <c r="BH76" s="104"/>
      <c r="BI76" s="104"/>
      <c r="BJ76" s="104"/>
      <c r="BK76" s="104"/>
      <c r="BL76" s="104"/>
      <c r="BM76" s="104"/>
      <c r="BN76" s="104"/>
      <c r="BO76" s="104"/>
      <c r="BP76" s="104"/>
      <c r="BQ76" s="104"/>
      <c r="BR76" s="104"/>
      <c r="BS76" s="104"/>
      <c r="BT76" s="104"/>
      <c r="BU76" s="104"/>
      <c r="BV76" s="104"/>
      <c r="BW76" s="104"/>
      <c r="BX76" s="104"/>
      <c r="BY76" s="104"/>
      <c r="BZ76" s="104"/>
      <c r="CA76" s="104"/>
      <c r="CB76" s="104"/>
      <c r="CC76" s="104"/>
      <c r="CD76" s="104"/>
      <c r="CE76" s="104"/>
      <c r="CF76" s="104"/>
      <c r="CG76" s="104"/>
      <c r="CH76" s="104"/>
      <c r="CI76" s="104"/>
      <c r="CJ76" s="104"/>
      <c r="CK76" s="104"/>
      <c r="CL76" s="104"/>
      <c r="CM76" s="104"/>
      <c r="CN76" s="104"/>
      <c r="CO76" s="104"/>
      <c r="CP76" s="104"/>
      <c r="CQ76" s="104"/>
      <c r="CR76" s="104"/>
      <c r="CS76" s="104"/>
      <c r="CT76" s="104"/>
      <c r="CU76" s="104"/>
      <c r="CV76" s="104"/>
      <c r="CW76" s="104"/>
      <c r="CX76" s="104"/>
      <c r="CY76" s="104"/>
      <c r="CZ76" s="104"/>
      <c r="DA76" s="104"/>
      <c r="DB76" s="104"/>
      <c r="DC76" s="104"/>
      <c r="DD76" s="104"/>
      <c r="DE76" s="104"/>
      <c r="DF76" s="104"/>
      <c r="DG76" s="104"/>
      <c r="DH76" s="104"/>
      <c r="DI76" s="104"/>
      <c r="DJ76" s="104"/>
      <c r="DK76" s="104"/>
      <c r="DL76" s="104"/>
      <c r="DM76" s="104"/>
      <c r="DN76" s="104"/>
      <c r="DO76" s="104"/>
      <c r="DP76" s="104"/>
      <c r="DQ76" s="104"/>
      <c r="DR76" s="104"/>
      <c r="DS76" s="104"/>
      <c r="DT76" s="104"/>
      <c r="DU76" s="104"/>
      <c r="DV76" s="104"/>
      <c r="DW76" s="104"/>
      <c r="DX76" s="104"/>
      <c r="DY76" s="104"/>
      <c r="DZ76" s="104"/>
      <c r="EA76" s="104"/>
      <c r="EB76" s="104"/>
      <c r="EC76" s="104"/>
      <c r="ED76" s="104"/>
      <c r="EE76" s="104"/>
      <c r="EF76" s="104"/>
      <c r="EG76" s="104"/>
      <c r="EH76" s="104"/>
      <c r="EI76" s="104"/>
      <c r="EJ76" s="104"/>
      <c r="EK76" s="104"/>
      <c r="EL76" s="104"/>
      <c r="EM76" s="104"/>
      <c r="EN76" s="104"/>
      <c r="EO76" s="104"/>
      <c r="EP76" s="104"/>
      <c r="EQ76" s="104"/>
      <c r="ER76" s="104"/>
      <c r="ES76" s="104"/>
      <c r="ET76" s="104"/>
      <c r="EU76" s="104"/>
      <c r="EV76" s="104"/>
      <c r="EW76" s="104"/>
      <c r="EX76" s="104"/>
      <c r="EY76" s="104"/>
      <c r="EZ76" s="104"/>
      <c r="FA76" s="104"/>
      <c r="FB76" s="104"/>
      <c r="FC76" s="104"/>
      <c r="FD76" s="104"/>
      <c r="FE76" s="104"/>
      <c r="FF76" s="104"/>
      <c r="FG76" s="104"/>
      <c r="FH76" s="104"/>
      <c r="FI76" s="104"/>
      <c r="FJ76" s="104"/>
      <c r="FK76" s="104"/>
      <c r="FL76" s="104"/>
      <c r="FM76" s="104"/>
      <c r="FN76" s="104"/>
      <c r="FO76" s="104"/>
      <c r="FP76" s="104"/>
      <c r="FQ76" s="104"/>
      <c r="FR76" s="104"/>
      <c r="FS76" s="104"/>
      <c r="FT76" s="104"/>
      <c r="FU76" s="104"/>
      <c r="FV76" s="104"/>
      <c r="FW76" s="104"/>
      <c r="FX76" s="104"/>
      <c r="FY76" s="104"/>
      <c r="FZ76" s="104"/>
      <c r="GA76" s="104"/>
      <c r="GB76" s="104"/>
      <c r="GC76" s="104"/>
      <c r="GD76" s="104"/>
      <c r="GE76" s="104"/>
      <c r="GF76" s="104"/>
      <c r="GG76" s="104"/>
      <c r="GH76" s="104"/>
      <c r="GI76" s="104"/>
      <c r="GJ76" s="104"/>
      <c r="GK76" s="104"/>
      <c r="GL76" s="104"/>
      <c r="GM76" s="104"/>
      <c r="GN76" s="104"/>
      <c r="GO76" s="104"/>
      <c r="GP76" s="104"/>
      <c r="GQ76" s="104"/>
      <c r="GR76" s="104"/>
      <c r="GS76" s="104"/>
      <c r="GT76" s="104"/>
      <c r="GU76" s="104"/>
      <c r="GV76" s="104"/>
      <c r="GW76" s="104"/>
      <c r="GX76" s="104"/>
      <c r="GY76" s="104"/>
      <c r="GZ76" s="104"/>
      <c r="HA76" s="104"/>
      <c r="HB76" s="104"/>
      <c r="HC76" s="104"/>
      <c r="HD76" s="104"/>
      <c r="HE76" s="104"/>
      <c r="HF76" s="104"/>
      <c r="HG76" s="104"/>
      <c r="HH76" s="104"/>
      <c r="HI76" s="104"/>
      <c r="HJ76" s="104"/>
      <c r="HK76" s="104"/>
      <c r="HL76" s="104"/>
      <c r="HM76" s="104"/>
      <c r="HN76" s="104"/>
      <c r="HO76" s="104"/>
      <c r="HP76" s="104"/>
      <c r="HQ76" s="104"/>
      <c r="HR76" s="104"/>
      <c r="HS76" s="104"/>
      <c r="HT76" s="104"/>
      <c r="HU76" s="104"/>
      <c r="HV76" s="104"/>
      <c r="HW76" s="104"/>
      <c r="HX76" s="104"/>
      <c r="HY76" s="104"/>
      <c r="HZ76" s="104"/>
      <c r="IA76" s="104"/>
      <c r="IB76" s="104"/>
      <c r="IC76" s="104"/>
      <c r="ID76" s="104"/>
      <c r="IE76" s="104"/>
      <c r="IF76" s="104"/>
      <c r="IG76" s="104"/>
      <c r="IH76" s="104"/>
      <c r="II76" s="104"/>
      <c r="IJ76" s="104"/>
      <c r="IK76" s="104"/>
      <c r="IL76" s="104"/>
      <c r="IM76" s="104"/>
      <c r="IN76" s="104"/>
      <c r="IO76" s="104"/>
      <c r="IP76" s="104"/>
      <c r="IQ76" s="104"/>
      <c r="IR76" s="104"/>
      <c r="IS76" s="104"/>
      <c r="IT76" s="104"/>
      <c r="IU76" s="104"/>
      <c r="IV76" s="104"/>
      <c r="IW76" s="104"/>
      <c r="IX76" s="104"/>
      <c r="IY76" s="104"/>
      <c r="IZ76" s="104"/>
      <c r="JA76" s="104"/>
      <c r="JB76" s="104"/>
      <c r="JC76" s="104"/>
      <c r="JD76" s="104"/>
      <c r="JE76" s="104"/>
      <c r="JF76" s="104"/>
      <c r="JG76" s="104"/>
      <c r="JH76" s="104"/>
      <c r="JI76" s="104"/>
      <c r="JJ76" s="104"/>
      <c r="JK76" s="104"/>
      <c r="JL76" s="104"/>
      <c r="JM76" s="104"/>
      <c r="JN76" s="104"/>
      <c r="JO76" s="104"/>
      <c r="JP76" s="104"/>
      <c r="JQ76" s="104"/>
      <c r="JR76" s="104"/>
      <c r="JS76" s="104"/>
      <c r="JT76" s="104"/>
      <c r="JU76" s="104"/>
      <c r="JV76" s="104"/>
      <c r="JW76" s="104"/>
      <c r="JX76" s="104"/>
      <c r="JY76" s="104"/>
      <c r="JZ76" s="104"/>
      <c r="KA76" s="104"/>
      <c r="KB76" s="104"/>
      <c r="KC76" s="104"/>
      <c r="KD76" s="104"/>
      <c r="KE76" s="104"/>
      <c r="KF76" s="104"/>
      <c r="KG76" s="104"/>
      <c r="KH76" s="104"/>
      <c r="KI76" s="104"/>
      <c r="KJ76" s="104"/>
      <c r="KK76" s="104"/>
      <c r="KL76" s="104"/>
      <c r="KM76" s="104"/>
      <c r="KN76" s="104"/>
      <c r="KO76" s="104"/>
      <c r="KP76" s="104"/>
      <c r="KQ76" s="104"/>
      <c r="KR76" s="104"/>
      <c r="KS76" s="104"/>
      <c r="KT76" s="104"/>
      <c r="KU76" s="104"/>
      <c r="KV76" s="104"/>
      <c r="KW76" s="104"/>
      <c r="KX76" s="104"/>
      <c r="KY76" s="104"/>
      <c r="KZ76" s="104"/>
      <c r="LA76" s="104"/>
      <c r="LB76" s="104"/>
      <c r="LC76" s="104"/>
      <c r="LD76" s="104"/>
      <c r="LE76" s="104"/>
      <c r="LF76" s="104"/>
      <c r="LG76" s="104"/>
      <c r="LH76" s="104"/>
      <c r="LI76" s="104"/>
      <c r="LJ76" s="104"/>
      <c r="LK76" s="104"/>
      <c r="LL76" s="104"/>
      <c r="LM76" s="104"/>
      <c r="LN76" s="104"/>
      <c r="LO76" s="104"/>
      <c r="LP76" s="104"/>
      <c r="LQ76" s="104"/>
      <c r="LR76" s="104"/>
      <c r="LS76" s="104"/>
      <c r="LT76" s="104"/>
      <c r="LU76" s="104"/>
      <c r="LV76" s="104"/>
      <c r="LW76" s="104"/>
      <c r="LX76" s="104"/>
      <c r="LY76" s="104"/>
      <c r="LZ76" s="104"/>
      <c r="MA76" s="104"/>
      <c r="MB76" s="104"/>
      <c r="MC76" s="104"/>
      <c r="MD76" s="104"/>
      <c r="ME76" s="104"/>
      <c r="MF76" s="104"/>
      <c r="MG76" s="104"/>
      <c r="MH76" s="104"/>
      <c r="MI76" s="104"/>
      <c r="MJ76" s="104"/>
      <c r="MK76" s="104"/>
      <c r="ML76" s="104"/>
      <c r="MM76" s="104"/>
      <c r="MN76" s="104"/>
      <c r="MO76" s="104"/>
      <c r="MP76" s="104"/>
      <c r="MQ76" s="104"/>
      <c r="MR76" s="104"/>
      <c r="MS76" s="104"/>
      <c r="MT76" s="104"/>
      <c r="MU76" s="104"/>
      <c r="MV76" s="104"/>
      <c r="MW76" s="104"/>
      <c r="MX76" s="104"/>
      <c r="MY76" s="104"/>
      <c r="MZ76" s="104"/>
      <c r="NA76" s="104"/>
      <c r="NB76" s="104"/>
      <c r="NC76" s="104"/>
      <c r="ND76" s="104"/>
      <c r="NE76" s="104"/>
      <c r="NF76" s="104"/>
      <c r="NG76" s="104"/>
      <c r="NH76" s="104"/>
      <c r="NI76" s="104"/>
      <c r="NJ76" s="104"/>
      <c r="NK76" s="104"/>
      <c r="NL76" s="104"/>
      <c r="NM76" s="104"/>
      <c r="NN76" s="104"/>
      <c r="NO76" s="104"/>
      <c r="NP76" s="104"/>
      <c r="NQ76" s="104"/>
      <c r="NR76" s="104"/>
      <c r="NS76" s="104"/>
      <c r="NT76" s="104"/>
      <c r="NU76" s="104"/>
      <c r="NV76" s="104"/>
      <c r="NW76" s="104"/>
      <c r="NX76" s="104"/>
      <c r="NY76" s="104"/>
      <c r="NZ76" s="104"/>
    </row>
    <row r="77" spans="1:390" ht="15.75" customHeight="1" x14ac:dyDescent="0.3">
      <c r="A77" s="125">
        <v>4329476711</v>
      </c>
      <c r="B77" s="135" t="s">
        <v>398</v>
      </c>
      <c r="C77" s="135" t="s">
        <v>398</v>
      </c>
      <c r="D77" s="213" t="s">
        <v>398</v>
      </c>
      <c r="E77" s="135" t="s">
        <v>398</v>
      </c>
      <c r="F77" s="125" t="s">
        <v>398</v>
      </c>
      <c r="G77" s="135" t="s">
        <v>398</v>
      </c>
      <c r="H77" s="113" t="s">
        <v>398</v>
      </c>
      <c r="I77" s="135" t="s">
        <v>398</v>
      </c>
      <c r="J77" s="135" t="s">
        <v>398</v>
      </c>
      <c r="K77" s="128" t="s">
        <v>398</v>
      </c>
      <c r="L77" s="128" t="s">
        <v>398</v>
      </c>
      <c r="M77" s="128" t="s">
        <v>398</v>
      </c>
      <c r="N77" s="128" t="s">
        <v>398</v>
      </c>
      <c r="O77" s="128" t="s">
        <v>398</v>
      </c>
      <c r="P77" s="128" t="s">
        <v>398</v>
      </c>
      <c r="Q77" s="128" t="s">
        <v>398</v>
      </c>
      <c r="R77" s="128" t="s">
        <v>398</v>
      </c>
      <c r="S77" s="128" t="s">
        <v>398</v>
      </c>
      <c r="T77" s="128" t="s">
        <v>398</v>
      </c>
      <c r="U77" s="128" t="s">
        <v>398</v>
      </c>
      <c r="V77" s="128" t="s">
        <v>398</v>
      </c>
      <c r="W77" s="135" t="s">
        <v>580</v>
      </c>
      <c r="X77" s="135" t="s">
        <v>581</v>
      </c>
      <c r="Y77" s="113" t="s">
        <v>432</v>
      </c>
      <c r="Z77" s="111">
        <v>43180</v>
      </c>
      <c r="AA77" s="135"/>
      <c r="AB77" s="113" t="s">
        <v>399</v>
      </c>
      <c r="AC77" s="111">
        <v>12714</v>
      </c>
      <c r="AD77" s="135"/>
      <c r="AE77" s="142" t="e">
        <f t="shared" si="1"/>
        <v>#NUM!</v>
      </c>
      <c r="AF77" s="135" t="s">
        <v>398</v>
      </c>
      <c r="AG77" s="126" t="s">
        <v>398</v>
      </c>
      <c r="AH77" s="135" t="s">
        <v>398</v>
      </c>
      <c r="AI77" s="125" t="s">
        <v>398</v>
      </c>
      <c r="AJ77" s="125" t="s">
        <v>398</v>
      </c>
      <c r="AK77" s="125" t="s">
        <v>398</v>
      </c>
      <c r="AL77" s="125" t="s">
        <v>398</v>
      </c>
      <c r="AM77" s="139" t="s">
        <v>398</v>
      </c>
      <c r="AN77" s="134" t="s">
        <v>398</v>
      </c>
      <c r="AO77" s="136" t="s">
        <v>398</v>
      </c>
      <c r="AP77" s="136" t="s">
        <v>398</v>
      </c>
      <c r="AQ77" s="136" t="s">
        <v>398</v>
      </c>
      <c r="AR77" s="136" t="s">
        <v>398</v>
      </c>
      <c r="AS77" s="136" t="s">
        <v>398</v>
      </c>
      <c r="AT77" s="136" t="s">
        <v>398</v>
      </c>
      <c r="AU77" s="136" t="s">
        <v>398</v>
      </c>
      <c r="AV77" s="136" t="s">
        <v>398</v>
      </c>
      <c r="AW77" s="136" t="s">
        <v>398</v>
      </c>
      <c r="AX77" s="136" t="s">
        <v>398</v>
      </c>
      <c r="AY77" s="136" t="s">
        <v>398</v>
      </c>
      <c r="AZ77" s="136" t="s">
        <v>398</v>
      </c>
      <c r="BA77" s="136" t="s">
        <v>398</v>
      </c>
      <c r="BB77" s="136" t="s">
        <v>398</v>
      </c>
      <c r="BC77" s="136" t="s">
        <v>398</v>
      </c>
      <c r="BD77" s="136" t="s">
        <v>398</v>
      </c>
      <c r="BE77" s="136" t="s">
        <v>398</v>
      </c>
      <c r="BF77" s="136" t="s">
        <v>398</v>
      </c>
      <c r="BG77" s="136" t="s">
        <v>398</v>
      </c>
      <c r="BH77" s="136" t="s">
        <v>398</v>
      </c>
      <c r="BI77" s="136" t="s">
        <v>398</v>
      </c>
      <c r="BJ77" s="136" t="s">
        <v>398</v>
      </c>
      <c r="BK77" s="136" t="s">
        <v>398</v>
      </c>
      <c r="BL77" s="136" t="s">
        <v>398</v>
      </c>
      <c r="BM77" s="136" t="s">
        <v>398</v>
      </c>
      <c r="BN77" s="136" t="s">
        <v>398</v>
      </c>
      <c r="BO77" s="136" t="s">
        <v>398</v>
      </c>
      <c r="BP77" s="136" t="s">
        <v>398</v>
      </c>
      <c r="BQ77" s="136" t="s">
        <v>398</v>
      </c>
      <c r="BR77" s="136" t="s">
        <v>398</v>
      </c>
      <c r="BS77" s="136" t="s">
        <v>398</v>
      </c>
      <c r="BT77" s="136" t="s">
        <v>398</v>
      </c>
      <c r="BU77" s="136" t="s">
        <v>398</v>
      </c>
      <c r="BV77" s="136" t="s">
        <v>398</v>
      </c>
      <c r="BW77" s="136" t="s">
        <v>398</v>
      </c>
      <c r="BX77" s="136" t="s">
        <v>398</v>
      </c>
      <c r="BY77" s="136" t="s">
        <v>398</v>
      </c>
      <c r="BZ77" s="136" t="s">
        <v>398</v>
      </c>
      <c r="CA77" s="136" t="s">
        <v>398</v>
      </c>
      <c r="CB77" s="136" t="s">
        <v>398</v>
      </c>
      <c r="CC77" s="136" t="s">
        <v>398</v>
      </c>
      <c r="CD77" s="136" t="s">
        <v>398</v>
      </c>
      <c r="CE77" s="136" t="s">
        <v>398</v>
      </c>
      <c r="CF77" s="136" t="s">
        <v>398</v>
      </c>
      <c r="CG77" s="136" t="s">
        <v>398</v>
      </c>
      <c r="CH77" s="136" t="s">
        <v>398</v>
      </c>
      <c r="CI77" s="136" t="s">
        <v>398</v>
      </c>
      <c r="CJ77" s="136" t="s">
        <v>398</v>
      </c>
      <c r="CK77" s="136" t="s">
        <v>398</v>
      </c>
      <c r="CL77" s="136" t="s">
        <v>398</v>
      </c>
      <c r="CM77" s="136" t="s">
        <v>398</v>
      </c>
      <c r="CN77" s="136" t="s">
        <v>398</v>
      </c>
      <c r="CO77" s="136" t="s">
        <v>398</v>
      </c>
      <c r="CP77" s="136" t="s">
        <v>398</v>
      </c>
      <c r="CQ77" s="136" t="s">
        <v>398</v>
      </c>
      <c r="CR77" s="136" t="s">
        <v>398</v>
      </c>
      <c r="CS77" s="136" t="s">
        <v>398</v>
      </c>
      <c r="CT77" s="136" t="s">
        <v>398</v>
      </c>
      <c r="CU77" s="136" t="s">
        <v>398</v>
      </c>
      <c r="CV77" s="136" t="s">
        <v>398</v>
      </c>
      <c r="CW77" s="136" t="s">
        <v>398</v>
      </c>
      <c r="CX77" s="136" t="s">
        <v>398</v>
      </c>
      <c r="CY77" s="136" t="s">
        <v>398</v>
      </c>
      <c r="CZ77" s="136" t="s">
        <v>398</v>
      </c>
      <c r="DA77" s="136" t="s">
        <v>398</v>
      </c>
      <c r="DB77" s="136" t="s">
        <v>398</v>
      </c>
      <c r="DC77" s="136" t="s">
        <v>398</v>
      </c>
      <c r="DD77" s="136" t="s">
        <v>398</v>
      </c>
      <c r="DE77" s="136" t="s">
        <v>398</v>
      </c>
      <c r="DF77" s="136" t="s">
        <v>398</v>
      </c>
      <c r="DG77" s="136" t="s">
        <v>398</v>
      </c>
      <c r="DH77" s="136" t="s">
        <v>398</v>
      </c>
      <c r="DI77" s="136" t="s">
        <v>398</v>
      </c>
      <c r="DJ77" s="136" t="s">
        <v>398</v>
      </c>
      <c r="DK77" s="136" t="s">
        <v>398</v>
      </c>
      <c r="DL77" s="136" t="s">
        <v>398</v>
      </c>
      <c r="DM77" s="136" t="s">
        <v>398</v>
      </c>
      <c r="DN77" s="136" t="s">
        <v>398</v>
      </c>
      <c r="DO77" s="136" t="s">
        <v>398</v>
      </c>
      <c r="DP77" s="136" t="s">
        <v>398</v>
      </c>
      <c r="DQ77" s="136" t="s">
        <v>398</v>
      </c>
      <c r="DR77" s="136" t="s">
        <v>398</v>
      </c>
      <c r="DS77" s="136" t="s">
        <v>398</v>
      </c>
      <c r="DT77" s="136" t="s">
        <v>398</v>
      </c>
      <c r="DU77" s="136" t="s">
        <v>398</v>
      </c>
      <c r="DV77" s="136" t="s">
        <v>398</v>
      </c>
      <c r="DW77" s="136" t="s">
        <v>398</v>
      </c>
      <c r="DX77" s="136" t="s">
        <v>398</v>
      </c>
      <c r="DY77" s="136" t="s">
        <v>398</v>
      </c>
      <c r="DZ77" s="136" t="s">
        <v>398</v>
      </c>
      <c r="EA77" s="136" t="s">
        <v>398</v>
      </c>
      <c r="EB77" s="136" t="s">
        <v>398</v>
      </c>
      <c r="EC77" s="136" t="s">
        <v>398</v>
      </c>
      <c r="ED77" s="136" t="s">
        <v>398</v>
      </c>
      <c r="EE77" s="136" t="s">
        <v>398</v>
      </c>
      <c r="EF77" s="136" t="s">
        <v>398</v>
      </c>
      <c r="EG77" s="136" t="s">
        <v>398</v>
      </c>
      <c r="EH77" s="136" t="s">
        <v>398</v>
      </c>
      <c r="EI77" s="136" t="s">
        <v>398</v>
      </c>
      <c r="EJ77" s="136" t="s">
        <v>398</v>
      </c>
      <c r="EK77" s="136" t="s">
        <v>398</v>
      </c>
      <c r="EL77" s="136" t="s">
        <v>398</v>
      </c>
      <c r="EM77" s="136" t="s">
        <v>398</v>
      </c>
      <c r="EN77" s="136" t="s">
        <v>398</v>
      </c>
      <c r="EO77" s="136" t="s">
        <v>398</v>
      </c>
      <c r="EP77" s="136" t="s">
        <v>398</v>
      </c>
      <c r="EQ77" s="136" t="s">
        <v>398</v>
      </c>
      <c r="ER77" s="136" t="s">
        <v>398</v>
      </c>
      <c r="ES77" s="136" t="s">
        <v>398</v>
      </c>
      <c r="ET77" s="136" t="s">
        <v>398</v>
      </c>
      <c r="EU77" s="136" t="s">
        <v>398</v>
      </c>
      <c r="EV77" s="136" t="s">
        <v>398</v>
      </c>
      <c r="EW77" s="136" t="s">
        <v>398</v>
      </c>
      <c r="EX77" s="136" t="s">
        <v>398</v>
      </c>
      <c r="EY77" s="136" t="s">
        <v>398</v>
      </c>
      <c r="EZ77" s="136" t="s">
        <v>398</v>
      </c>
      <c r="FA77" s="136" t="s">
        <v>398</v>
      </c>
      <c r="FB77" s="136" t="s">
        <v>398</v>
      </c>
      <c r="FC77" s="136" t="s">
        <v>398</v>
      </c>
      <c r="FD77" s="136" t="s">
        <v>398</v>
      </c>
      <c r="FE77" s="136" t="s">
        <v>398</v>
      </c>
      <c r="FF77" s="136" t="s">
        <v>398</v>
      </c>
      <c r="FG77" s="136" t="s">
        <v>398</v>
      </c>
      <c r="FH77" s="136" t="s">
        <v>398</v>
      </c>
      <c r="FI77" s="136" t="s">
        <v>398</v>
      </c>
      <c r="FJ77" s="136" t="s">
        <v>398</v>
      </c>
      <c r="FK77" s="136" t="s">
        <v>398</v>
      </c>
      <c r="FL77" s="136" t="s">
        <v>398</v>
      </c>
      <c r="FM77" s="136" t="s">
        <v>398</v>
      </c>
      <c r="FN77" s="136" t="s">
        <v>398</v>
      </c>
      <c r="FO77" s="136" t="s">
        <v>398</v>
      </c>
      <c r="FP77" s="136" t="s">
        <v>398</v>
      </c>
      <c r="FQ77" s="136" t="s">
        <v>398</v>
      </c>
      <c r="FR77" s="136" t="s">
        <v>398</v>
      </c>
      <c r="FS77" s="136" t="s">
        <v>398</v>
      </c>
      <c r="FT77" s="136" t="s">
        <v>398</v>
      </c>
      <c r="FU77" s="136" t="s">
        <v>398</v>
      </c>
      <c r="FV77" s="136" t="s">
        <v>398</v>
      </c>
      <c r="FW77" s="136" t="s">
        <v>398</v>
      </c>
      <c r="FX77" s="136" t="s">
        <v>398</v>
      </c>
      <c r="FY77" s="136" t="s">
        <v>398</v>
      </c>
      <c r="FZ77" s="136" t="s">
        <v>398</v>
      </c>
      <c r="GA77" s="136" t="s">
        <v>398</v>
      </c>
      <c r="GB77" s="136" t="s">
        <v>398</v>
      </c>
      <c r="GC77" s="136" t="s">
        <v>398</v>
      </c>
      <c r="GD77" s="136" t="s">
        <v>398</v>
      </c>
      <c r="GE77" s="136" t="s">
        <v>398</v>
      </c>
      <c r="GF77" s="136" t="s">
        <v>398</v>
      </c>
      <c r="GG77" s="136" t="s">
        <v>398</v>
      </c>
      <c r="GH77" s="136" t="s">
        <v>398</v>
      </c>
      <c r="GI77" s="136" t="s">
        <v>398</v>
      </c>
      <c r="GJ77" s="136" t="s">
        <v>398</v>
      </c>
      <c r="GK77" s="136" t="s">
        <v>398</v>
      </c>
      <c r="GL77" s="136" t="s">
        <v>398</v>
      </c>
      <c r="GM77" s="136" t="s">
        <v>398</v>
      </c>
      <c r="GN77" s="136" t="s">
        <v>398</v>
      </c>
      <c r="GO77" s="136" t="s">
        <v>398</v>
      </c>
      <c r="GP77" s="136" t="s">
        <v>398</v>
      </c>
      <c r="GQ77" s="136" t="s">
        <v>398</v>
      </c>
      <c r="GR77" s="136" t="s">
        <v>398</v>
      </c>
      <c r="GS77" s="136" t="s">
        <v>398</v>
      </c>
      <c r="GT77" s="136" t="s">
        <v>398</v>
      </c>
      <c r="GU77" s="136" t="s">
        <v>398</v>
      </c>
      <c r="GV77" s="136" t="s">
        <v>398</v>
      </c>
      <c r="GW77" s="136" t="s">
        <v>398</v>
      </c>
      <c r="GX77" s="136" t="s">
        <v>398</v>
      </c>
      <c r="GY77" s="136" t="s">
        <v>398</v>
      </c>
      <c r="GZ77" s="136" t="s">
        <v>398</v>
      </c>
      <c r="HA77" s="136" t="s">
        <v>398</v>
      </c>
      <c r="HB77" s="136" t="s">
        <v>398</v>
      </c>
      <c r="HC77" s="136" t="s">
        <v>398</v>
      </c>
      <c r="HD77" s="136" t="s">
        <v>398</v>
      </c>
      <c r="HE77" s="136" t="s">
        <v>398</v>
      </c>
      <c r="HF77" s="136" t="s">
        <v>398</v>
      </c>
      <c r="HG77" s="136" t="s">
        <v>398</v>
      </c>
      <c r="HH77" s="136" t="s">
        <v>398</v>
      </c>
      <c r="HI77" s="136" t="s">
        <v>398</v>
      </c>
      <c r="HJ77" s="136" t="s">
        <v>398</v>
      </c>
      <c r="HK77" s="136" t="s">
        <v>398</v>
      </c>
      <c r="HL77" s="136" t="s">
        <v>398</v>
      </c>
      <c r="HM77" s="136" t="s">
        <v>398</v>
      </c>
      <c r="HN77" s="136" t="s">
        <v>398</v>
      </c>
      <c r="HO77" s="136" t="s">
        <v>398</v>
      </c>
      <c r="HP77" s="136" t="s">
        <v>398</v>
      </c>
      <c r="HQ77" s="136" t="s">
        <v>398</v>
      </c>
      <c r="HR77" s="136" t="s">
        <v>398</v>
      </c>
      <c r="HS77" s="136" t="s">
        <v>398</v>
      </c>
      <c r="HT77" s="136" t="s">
        <v>398</v>
      </c>
      <c r="HU77" s="136" t="s">
        <v>398</v>
      </c>
      <c r="HV77" s="136" t="s">
        <v>398</v>
      </c>
      <c r="HW77" s="136" t="s">
        <v>398</v>
      </c>
      <c r="HX77" s="136" t="s">
        <v>398</v>
      </c>
      <c r="HY77" s="136" t="s">
        <v>398</v>
      </c>
      <c r="HZ77" s="136" t="s">
        <v>398</v>
      </c>
      <c r="IA77" s="136" t="s">
        <v>398</v>
      </c>
      <c r="IB77" s="136" t="s">
        <v>398</v>
      </c>
      <c r="IC77" s="136" t="s">
        <v>398</v>
      </c>
      <c r="ID77" s="136" t="s">
        <v>398</v>
      </c>
      <c r="IE77" s="136" t="s">
        <v>398</v>
      </c>
      <c r="IF77" s="136" t="s">
        <v>398</v>
      </c>
      <c r="IG77" s="136" t="s">
        <v>398</v>
      </c>
      <c r="IH77" s="136" t="s">
        <v>398</v>
      </c>
      <c r="II77" s="136" t="s">
        <v>398</v>
      </c>
      <c r="IJ77" s="136" t="s">
        <v>398</v>
      </c>
      <c r="IK77" s="136" t="s">
        <v>398</v>
      </c>
      <c r="IL77" s="136" t="s">
        <v>398</v>
      </c>
      <c r="IM77" s="136" t="s">
        <v>398</v>
      </c>
      <c r="IN77" s="136" t="s">
        <v>398</v>
      </c>
      <c r="IO77" s="136" t="s">
        <v>398</v>
      </c>
      <c r="IP77" s="136" t="s">
        <v>398</v>
      </c>
      <c r="IQ77" s="136" t="s">
        <v>398</v>
      </c>
      <c r="IR77" s="136" t="s">
        <v>398</v>
      </c>
      <c r="IS77" s="136" t="s">
        <v>398</v>
      </c>
      <c r="IT77" s="136" t="s">
        <v>398</v>
      </c>
      <c r="IU77" s="136" t="s">
        <v>398</v>
      </c>
      <c r="IV77" s="136" t="s">
        <v>398</v>
      </c>
      <c r="IW77" s="136" t="s">
        <v>398</v>
      </c>
      <c r="IX77" s="136" t="s">
        <v>398</v>
      </c>
      <c r="IY77" s="136" t="s">
        <v>398</v>
      </c>
      <c r="IZ77" s="136" t="s">
        <v>398</v>
      </c>
      <c r="JA77" s="136" t="s">
        <v>398</v>
      </c>
      <c r="JB77" s="136" t="s">
        <v>398</v>
      </c>
      <c r="JC77" s="136" t="s">
        <v>398</v>
      </c>
      <c r="JD77" s="136" t="s">
        <v>398</v>
      </c>
      <c r="JE77" s="136" t="s">
        <v>398</v>
      </c>
      <c r="JF77" s="136" t="s">
        <v>398</v>
      </c>
      <c r="JG77" s="136" t="s">
        <v>398</v>
      </c>
      <c r="JH77" s="136" t="s">
        <v>398</v>
      </c>
      <c r="JI77" s="136" t="s">
        <v>398</v>
      </c>
      <c r="JJ77" s="136" t="s">
        <v>398</v>
      </c>
      <c r="JK77" s="136" t="s">
        <v>398</v>
      </c>
      <c r="JL77" s="136" t="s">
        <v>398</v>
      </c>
      <c r="JM77" s="136" t="s">
        <v>398</v>
      </c>
      <c r="JN77" s="136" t="s">
        <v>398</v>
      </c>
      <c r="JO77" s="136" t="s">
        <v>398</v>
      </c>
      <c r="JP77" s="136" t="s">
        <v>398</v>
      </c>
      <c r="JQ77" s="136" t="s">
        <v>398</v>
      </c>
      <c r="JR77" s="136" t="s">
        <v>398</v>
      </c>
      <c r="JS77" s="136" t="s">
        <v>398</v>
      </c>
      <c r="JT77" s="136" t="s">
        <v>398</v>
      </c>
      <c r="JU77" s="136" t="s">
        <v>398</v>
      </c>
      <c r="JV77" s="136" t="s">
        <v>398</v>
      </c>
      <c r="JW77" s="136" t="s">
        <v>398</v>
      </c>
      <c r="JX77" s="136" t="s">
        <v>398</v>
      </c>
      <c r="JY77" s="136" t="s">
        <v>398</v>
      </c>
      <c r="JZ77" s="136" t="s">
        <v>398</v>
      </c>
      <c r="KA77" s="136" t="s">
        <v>398</v>
      </c>
      <c r="KB77" s="136" t="s">
        <v>398</v>
      </c>
      <c r="KC77" s="136" t="s">
        <v>398</v>
      </c>
      <c r="KD77" s="136" t="s">
        <v>398</v>
      </c>
      <c r="KE77" s="136" t="s">
        <v>398</v>
      </c>
      <c r="KF77" s="136" t="s">
        <v>398</v>
      </c>
      <c r="KG77" s="136" t="s">
        <v>398</v>
      </c>
      <c r="KH77" s="136" t="s">
        <v>398</v>
      </c>
      <c r="KI77" s="136" t="s">
        <v>398</v>
      </c>
      <c r="KJ77" s="136" t="s">
        <v>398</v>
      </c>
      <c r="KK77" s="136" t="s">
        <v>398</v>
      </c>
      <c r="KL77" s="136" t="s">
        <v>398</v>
      </c>
      <c r="KM77" s="136" t="s">
        <v>398</v>
      </c>
      <c r="KN77" s="136" t="s">
        <v>398</v>
      </c>
      <c r="KO77" s="136" t="s">
        <v>398</v>
      </c>
      <c r="KP77" s="136" t="s">
        <v>398</v>
      </c>
      <c r="KQ77" s="136" t="s">
        <v>398</v>
      </c>
      <c r="KR77" s="136" t="s">
        <v>398</v>
      </c>
      <c r="KS77" s="136" t="s">
        <v>398</v>
      </c>
      <c r="KT77" s="136" t="s">
        <v>398</v>
      </c>
      <c r="KU77" s="136" t="s">
        <v>398</v>
      </c>
      <c r="KV77" s="136" t="s">
        <v>398</v>
      </c>
      <c r="KW77" s="136" t="s">
        <v>398</v>
      </c>
      <c r="KX77" s="136" t="s">
        <v>398</v>
      </c>
      <c r="KY77" s="136" t="s">
        <v>398</v>
      </c>
      <c r="KZ77" s="136" t="s">
        <v>398</v>
      </c>
      <c r="LA77" s="136" t="s">
        <v>398</v>
      </c>
      <c r="LB77" s="136" t="s">
        <v>398</v>
      </c>
      <c r="LC77" s="136" t="s">
        <v>398</v>
      </c>
      <c r="LD77" s="136" t="s">
        <v>398</v>
      </c>
      <c r="LE77" s="136" t="s">
        <v>398</v>
      </c>
      <c r="LF77" s="136" t="s">
        <v>398</v>
      </c>
      <c r="LG77" s="136" t="s">
        <v>398</v>
      </c>
      <c r="LH77" s="136" t="s">
        <v>398</v>
      </c>
      <c r="LI77" s="136" t="s">
        <v>398</v>
      </c>
      <c r="LJ77" s="136" t="s">
        <v>398</v>
      </c>
      <c r="LK77" s="136" t="s">
        <v>398</v>
      </c>
      <c r="LL77" s="136" t="s">
        <v>398</v>
      </c>
      <c r="LM77" s="136" t="s">
        <v>398</v>
      </c>
      <c r="LN77" s="136" t="s">
        <v>398</v>
      </c>
      <c r="LO77" s="136" t="s">
        <v>398</v>
      </c>
      <c r="LP77" s="136" t="s">
        <v>398</v>
      </c>
      <c r="LQ77" s="136" t="s">
        <v>398</v>
      </c>
      <c r="LR77" s="136" t="s">
        <v>398</v>
      </c>
      <c r="LS77" s="136" t="s">
        <v>398</v>
      </c>
      <c r="LT77" s="136" t="s">
        <v>398</v>
      </c>
      <c r="LU77" s="136" t="s">
        <v>398</v>
      </c>
      <c r="LV77" s="136" t="s">
        <v>398</v>
      </c>
      <c r="LW77" s="136" t="s">
        <v>398</v>
      </c>
      <c r="LX77" s="136" t="s">
        <v>398</v>
      </c>
      <c r="LY77" s="136" t="s">
        <v>398</v>
      </c>
      <c r="LZ77" s="136" t="s">
        <v>398</v>
      </c>
      <c r="MA77" s="136" t="s">
        <v>398</v>
      </c>
      <c r="MB77" s="136" t="s">
        <v>398</v>
      </c>
      <c r="MC77" s="136" t="s">
        <v>398</v>
      </c>
      <c r="MD77" s="136" t="s">
        <v>398</v>
      </c>
      <c r="ME77" s="136" t="s">
        <v>398</v>
      </c>
      <c r="MF77" s="136" t="s">
        <v>398</v>
      </c>
      <c r="MG77" s="136" t="s">
        <v>398</v>
      </c>
      <c r="MH77" s="136" t="s">
        <v>398</v>
      </c>
      <c r="MI77" s="136" t="s">
        <v>398</v>
      </c>
      <c r="MJ77" s="136" t="s">
        <v>398</v>
      </c>
      <c r="MK77" s="136" t="s">
        <v>398</v>
      </c>
      <c r="ML77" s="136" t="s">
        <v>398</v>
      </c>
      <c r="MM77" s="136" t="s">
        <v>398</v>
      </c>
      <c r="MN77" s="136" t="s">
        <v>398</v>
      </c>
      <c r="MO77" s="136" t="s">
        <v>398</v>
      </c>
      <c r="MP77" s="136" t="s">
        <v>398</v>
      </c>
      <c r="MQ77" s="136" t="s">
        <v>398</v>
      </c>
      <c r="MR77" s="136" t="s">
        <v>398</v>
      </c>
      <c r="MS77" s="136" t="s">
        <v>398</v>
      </c>
      <c r="MT77" s="136" t="s">
        <v>398</v>
      </c>
      <c r="MU77" s="136" t="s">
        <v>398</v>
      </c>
      <c r="MV77" s="136" t="s">
        <v>398</v>
      </c>
      <c r="MW77" s="136" t="s">
        <v>398</v>
      </c>
      <c r="MX77" s="136" t="s">
        <v>398</v>
      </c>
      <c r="MY77" s="136" t="s">
        <v>398</v>
      </c>
      <c r="MZ77" s="136" t="s">
        <v>398</v>
      </c>
      <c r="NA77" s="136" t="s">
        <v>398</v>
      </c>
      <c r="NB77" s="136" t="s">
        <v>398</v>
      </c>
      <c r="NC77" s="136" t="s">
        <v>398</v>
      </c>
      <c r="ND77" s="136" t="s">
        <v>398</v>
      </c>
      <c r="NE77" s="136" t="s">
        <v>398</v>
      </c>
      <c r="NF77" s="136" t="s">
        <v>398</v>
      </c>
      <c r="NG77" s="136" t="s">
        <v>398</v>
      </c>
      <c r="NH77" s="136" t="s">
        <v>398</v>
      </c>
      <c r="NI77" s="136" t="s">
        <v>398</v>
      </c>
      <c r="NJ77" s="136" t="s">
        <v>398</v>
      </c>
      <c r="NK77" s="136" t="s">
        <v>398</v>
      </c>
      <c r="NL77" s="136" t="s">
        <v>398</v>
      </c>
      <c r="NM77" s="136" t="s">
        <v>398</v>
      </c>
      <c r="NN77" s="136" t="s">
        <v>398</v>
      </c>
      <c r="NO77" s="136" t="s">
        <v>398</v>
      </c>
      <c r="NP77" s="136" t="s">
        <v>398</v>
      </c>
      <c r="NQ77" s="136" t="s">
        <v>398</v>
      </c>
      <c r="NR77" s="136" t="s">
        <v>398</v>
      </c>
      <c r="NS77" s="136" t="s">
        <v>398</v>
      </c>
      <c r="NT77" s="136" t="s">
        <v>398</v>
      </c>
      <c r="NU77" s="136" t="s">
        <v>398</v>
      </c>
      <c r="NV77" s="136" t="s">
        <v>398</v>
      </c>
      <c r="NW77" s="136" t="s">
        <v>398</v>
      </c>
      <c r="NX77" s="136" t="s">
        <v>398</v>
      </c>
      <c r="NY77" s="136" t="s">
        <v>398</v>
      </c>
      <c r="NZ77" s="136" t="s">
        <v>398</v>
      </c>
    </row>
    <row r="78" spans="1:390" ht="15.75" customHeight="1" x14ac:dyDescent="0.3">
      <c r="A78" s="125">
        <v>4382069122</v>
      </c>
      <c r="B78" s="135"/>
      <c r="C78" s="135"/>
      <c r="D78" s="213" t="s">
        <v>391</v>
      </c>
      <c r="E78" s="135" t="s">
        <v>582</v>
      </c>
      <c r="F78" s="125" t="s">
        <v>448</v>
      </c>
      <c r="G78" s="135" t="s">
        <v>398</v>
      </c>
      <c r="H78" s="111">
        <v>43182</v>
      </c>
      <c r="I78" s="135" t="s">
        <v>458</v>
      </c>
      <c r="J78" s="135" t="s">
        <v>397</v>
      </c>
      <c r="K78" s="128" t="s">
        <v>398</v>
      </c>
      <c r="L78" s="128" t="s">
        <v>398</v>
      </c>
      <c r="M78" s="128" t="s">
        <v>398</v>
      </c>
      <c r="N78" s="128" t="s">
        <v>398</v>
      </c>
      <c r="O78" s="128" t="s">
        <v>398</v>
      </c>
      <c r="P78" s="128" t="s">
        <v>398</v>
      </c>
      <c r="Q78" s="128" t="s">
        <v>398</v>
      </c>
      <c r="R78" s="128" t="s">
        <v>398</v>
      </c>
      <c r="S78" s="128" t="s">
        <v>398</v>
      </c>
      <c r="T78" s="128" t="s">
        <v>398</v>
      </c>
      <c r="U78" s="128" t="s">
        <v>398</v>
      </c>
      <c r="V78" s="128" t="s">
        <v>398</v>
      </c>
      <c r="W78" s="135" t="s">
        <v>582</v>
      </c>
      <c r="X78" s="135" t="s">
        <v>559</v>
      </c>
      <c r="Y78" s="113" t="s">
        <v>432</v>
      </c>
      <c r="Z78" s="111">
        <v>43182</v>
      </c>
      <c r="AA78" s="135"/>
      <c r="AB78" s="113" t="s">
        <v>399</v>
      </c>
      <c r="AC78" s="111">
        <v>16245</v>
      </c>
      <c r="AD78" s="135"/>
      <c r="AE78" s="142" t="e">
        <f t="shared" si="1"/>
        <v>#NUM!</v>
      </c>
      <c r="AF78" s="135" t="s">
        <v>477</v>
      </c>
      <c r="AG78" s="126" t="s">
        <v>401</v>
      </c>
      <c r="AH78" s="135" t="s">
        <v>402</v>
      </c>
      <c r="AI78" s="125" t="s">
        <v>412</v>
      </c>
      <c r="AJ78" s="125">
        <v>0</v>
      </c>
      <c r="AK78" s="125">
        <v>0</v>
      </c>
      <c r="AL78" s="125">
        <v>0</v>
      </c>
      <c r="AM78" s="139" t="s">
        <v>414</v>
      </c>
      <c r="AN78" s="134">
        <v>3</v>
      </c>
      <c r="AO78" s="136" t="s">
        <v>398</v>
      </c>
      <c r="AP78" s="135"/>
      <c r="AQ78" s="104"/>
      <c r="AR78" s="104"/>
      <c r="AS78" s="104"/>
      <c r="AT78" s="104"/>
      <c r="AU78" s="104"/>
      <c r="AV78" s="104"/>
      <c r="AW78" s="104"/>
      <c r="AX78" s="104"/>
      <c r="AY78" s="104"/>
      <c r="AZ78" s="104"/>
      <c r="BA78" s="104"/>
      <c r="BB78" s="104"/>
      <c r="BC78" s="104"/>
      <c r="BD78" s="104"/>
      <c r="BE78" s="104"/>
      <c r="BF78" s="104"/>
      <c r="BG78" s="104"/>
      <c r="BH78" s="104"/>
      <c r="BI78" s="104"/>
      <c r="BJ78" s="104"/>
      <c r="BK78" s="104"/>
      <c r="BL78" s="104"/>
      <c r="BM78" s="104"/>
      <c r="BN78" s="104"/>
      <c r="BO78" s="104"/>
      <c r="BP78" s="104"/>
      <c r="BQ78" s="104"/>
      <c r="BR78" s="104"/>
      <c r="BS78" s="104"/>
      <c r="BT78" s="104"/>
      <c r="BU78" s="104"/>
      <c r="BV78" s="104"/>
      <c r="BW78" s="104"/>
      <c r="BX78" s="104"/>
      <c r="BY78" s="104"/>
      <c r="BZ78" s="104"/>
      <c r="CA78" s="104"/>
      <c r="CB78" s="104"/>
      <c r="CC78" s="104"/>
      <c r="CD78" s="104"/>
      <c r="CE78" s="104"/>
      <c r="CF78" s="104"/>
      <c r="CG78" s="104"/>
      <c r="CH78" s="104"/>
      <c r="CI78" s="104"/>
      <c r="CJ78" s="104"/>
      <c r="CK78" s="104"/>
      <c r="CL78" s="104"/>
      <c r="CM78" s="104"/>
      <c r="CN78" s="104"/>
      <c r="CO78" s="104"/>
      <c r="CP78" s="104"/>
      <c r="CQ78" s="104"/>
      <c r="CR78" s="104"/>
      <c r="CS78" s="104"/>
      <c r="CT78" s="104"/>
      <c r="CU78" s="104"/>
      <c r="CV78" s="104"/>
      <c r="CW78" s="104"/>
      <c r="CX78" s="104"/>
      <c r="CY78" s="104"/>
      <c r="CZ78" s="104"/>
      <c r="DA78" s="104"/>
      <c r="DB78" s="104"/>
      <c r="DC78" s="104"/>
      <c r="DD78" s="104"/>
      <c r="DE78" s="104"/>
      <c r="DF78" s="104"/>
      <c r="DG78" s="104"/>
      <c r="DH78" s="104"/>
      <c r="DI78" s="104"/>
      <c r="DJ78" s="104"/>
      <c r="DK78" s="104"/>
      <c r="DL78" s="104"/>
      <c r="DM78" s="104"/>
      <c r="DN78" s="104"/>
      <c r="DO78" s="104"/>
      <c r="DP78" s="104"/>
      <c r="DQ78" s="104"/>
      <c r="DR78" s="104"/>
      <c r="DS78" s="104"/>
      <c r="DT78" s="104"/>
      <c r="DU78" s="104"/>
      <c r="DV78" s="104"/>
      <c r="DW78" s="104"/>
      <c r="DX78" s="104"/>
      <c r="DY78" s="104"/>
      <c r="DZ78" s="104"/>
      <c r="EA78" s="104"/>
      <c r="EB78" s="104"/>
      <c r="EC78" s="104"/>
      <c r="ED78" s="104"/>
      <c r="EE78" s="104"/>
      <c r="EF78" s="104"/>
      <c r="EG78" s="104"/>
      <c r="EH78" s="104"/>
      <c r="EI78" s="104"/>
      <c r="EJ78" s="104"/>
      <c r="EK78" s="104"/>
      <c r="EL78" s="104"/>
      <c r="EM78" s="104"/>
      <c r="EN78" s="104"/>
      <c r="EO78" s="104"/>
      <c r="EP78" s="104"/>
      <c r="EQ78" s="104"/>
      <c r="ER78" s="104"/>
      <c r="ES78" s="104"/>
      <c r="ET78" s="104"/>
      <c r="EU78" s="104"/>
      <c r="EV78" s="104"/>
      <c r="EW78" s="104"/>
      <c r="EX78" s="104"/>
      <c r="EY78" s="104"/>
      <c r="EZ78" s="104"/>
      <c r="FA78" s="104"/>
      <c r="FB78" s="104"/>
      <c r="FC78" s="104"/>
      <c r="FD78" s="104"/>
      <c r="FE78" s="104"/>
      <c r="FF78" s="104"/>
      <c r="FG78" s="104"/>
      <c r="FH78" s="104"/>
      <c r="FI78" s="104"/>
      <c r="FJ78" s="104"/>
      <c r="FK78" s="104"/>
      <c r="FL78" s="104"/>
      <c r="FM78" s="104"/>
      <c r="FN78" s="104"/>
      <c r="FO78" s="104"/>
      <c r="FP78" s="104"/>
      <c r="FQ78" s="104"/>
      <c r="FR78" s="104"/>
      <c r="FS78" s="104"/>
      <c r="FT78" s="104"/>
      <c r="FU78" s="104"/>
      <c r="FV78" s="104"/>
      <c r="FW78" s="104"/>
      <c r="FX78" s="104"/>
      <c r="FY78" s="104"/>
      <c r="FZ78" s="104"/>
      <c r="GA78" s="104"/>
      <c r="GB78" s="104"/>
      <c r="GC78" s="104"/>
      <c r="GD78" s="104"/>
      <c r="GE78" s="104"/>
      <c r="GF78" s="104"/>
      <c r="GG78" s="104"/>
      <c r="GH78" s="104"/>
      <c r="GI78" s="104"/>
      <c r="GJ78" s="104"/>
      <c r="GK78" s="104"/>
      <c r="GL78" s="104"/>
      <c r="GM78" s="104"/>
      <c r="GN78" s="104"/>
      <c r="GO78" s="104"/>
      <c r="GP78" s="104"/>
      <c r="GQ78" s="104"/>
      <c r="GR78" s="104"/>
      <c r="GS78" s="104"/>
      <c r="GT78" s="104"/>
      <c r="GU78" s="104"/>
      <c r="GV78" s="104"/>
      <c r="GW78" s="104"/>
      <c r="GX78" s="104"/>
      <c r="GY78" s="104"/>
      <c r="GZ78" s="104"/>
      <c r="HA78" s="104"/>
      <c r="HB78" s="104"/>
      <c r="HC78" s="104"/>
      <c r="HD78" s="104"/>
      <c r="HE78" s="104"/>
      <c r="HF78" s="104"/>
      <c r="HG78" s="104"/>
      <c r="HH78" s="104"/>
      <c r="HI78" s="104"/>
      <c r="HJ78" s="104"/>
      <c r="HK78" s="104"/>
      <c r="HL78" s="104"/>
      <c r="HM78" s="104"/>
      <c r="HN78" s="104"/>
      <c r="HO78" s="104"/>
      <c r="HP78" s="104"/>
      <c r="HQ78" s="104"/>
      <c r="HR78" s="104"/>
      <c r="HS78" s="104"/>
      <c r="HT78" s="104"/>
      <c r="HU78" s="104"/>
      <c r="HV78" s="104"/>
      <c r="HW78" s="104"/>
      <c r="HX78" s="104"/>
      <c r="HY78" s="104"/>
      <c r="HZ78" s="104"/>
      <c r="IA78" s="104"/>
      <c r="IB78" s="104"/>
      <c r="IC78" s="104"/>
      <c r="ID78" s="104"/>
      <c r="IE78" s="104"/>
      <c r="IF78" s="104"/>
      <c r="IG78" s="104"/>
      <c r="IH78" s="104"/>
      <c r="II78" s="104"/>
      <c r="IJ78" s="104"/>
      <c r="IK78" s="104"/>
      <c r="IL78" s="104"/>
      <c r="IM78" s="104"/>
      <c r="IN78" s="104"/>
      <c r="IO78" s="104"/>
      <c r="IP78" s="104"/>
      <c r="IQ78" s="104"/>
      <c r="IR78" s="104"/>
      <c r="IS78" s="104"/>
      <c r="IT78" s="104"/>
      <c r="IU78" s="104"/>
      <c r="IV78" s="104"/>
      <c r="IW78" s="104"/>
      <c r="IX78" s="104"/>
      <c r="IY78" s="104"/>
      <c r="IZ78" s="104"/>
      <c r="JA78" s="104"/>
      <c r="JB78" s="104"/>
      <c r="JC78" s="104"/>
      <c r="JD78" s="104"/>
      <c r="JE78" s="104"/>
      <c r="JF78" s="104"/>
      <c r="JG78" s="104"/>
      <c r="JH78" s="104"/>
      <c r="JI78" s="104"/>
      <c r="JJ78" s="104"/>
      <c r="JK78" s="104"/>
      <c r="JL78" s="104"/>
      <c r="JM78" s="104"/>
      <c r="JN78" s="104"/>
      <c r="JO78" s="104"/>
      <c r="JP78" s="104"/>
      <c r="JQ78" s="104"/>
      <c r="JR78" s="104"/>
      <c r="JS78" s="104"/>
      <c r="JT78" s="104"/>
      <c r="JU78" s="104"/>
      <c r="JV78" s="104"/>
      <c r="JW78" s="104"/>
      <c r="JX78" s="104"/>
      <c r="JY78" s="104"/>
      <c r="JZ78" s="104"/>
      <c r="KA78" s="104"/>
      <c r="KB78" s="104"/>
      <c r="KC78" s="104"/>
      <c r="KD78" s="104"/>
      <c r="KE78" s="104"/>
      <c r="KF78" s="104"/>
      <c r="KG78" s="104"/>
      <c r="KH78" s="104"/>
      <c r="KI78" s="104"/>
      <c r="KJ78" s="104"/>
      <c r="KK78" s="104"/>
      <c r="KL78" s="104"/>
      <c r="KM78" s="104"/>
      <c r="KN78" s="104"/>
      <c r="KO78" s="104"/>
      <c r="KP78" s="104"/>
      <c r="KQ78" s="104"/>
      <c r="KR78" s="104"/>
      <c r="KS78" s="104"/>
      <c r="KT78" s="104"/>
      <c r="KU78" s="104"/>
      <c r="KV78" s="104"/>
      <c r="KW78" s="104"/>
      <c r="KX78" s="104"/>
      <c r="KY78" s="104"/>
      <c r="KZ78" s="104"/>
      <c r="LA78" s="104"/>
      <c r="LB78" s="104"/>
      <c r="LC78" s="104"/>
      <c r="LD78" s="104"/>
      <c r="LE78" s="104"/>
      <c r="LF78" s="104"/>
      <c r="LG78" s="104"/>
      <c r="LH78" s="104"/>
      <c r="LI78" s="104"/>
      <c r="LJ78" s="104"/>
      <c r="LK78" s="104"/>
      <c r="LL78" s="104"/>
      <c r="LM78" s="104"/>
      <c r="LN78" s="104"/>
      <c r="LO78" s="104"/>
      <c r="LP78" s="104"/>
      <c r="LQ78" s="104"/>
      <c r="LR78" s="104"/>
      <c r="LS78" s="104"/>
      <c r="LT78" s="104"/>
      <c r="LU78" s="104"/>
      <c r="LV78" s="104"/>
      <c r="LW78" s="104"/>
      <c r="LX78" s="104"/>
      <c r="LY78" s="104"/>
      <c r="LZ78" s="104"/>
      <c r="MA78" s="104"/>
      <c r="MB78" s="104"/>
      <c r="MC78" s="104"/>
      <c r="MD78" s="104"/>
      <c r="ME78" s="104"/>
      <c r="MF78" s="104"/>
      <c r="MG78" s="104"/>
      <c r="MH78" s="104"/>
      <c r="MI78" s="104"/>
      <c r="MJ78" s="104"/>
      <c r="MK78" s="104"/>
      <c r="ML78" s="104"/>
      <c r="MM78" s="104"/>
      <c r="MN78" s="104"/>
      <c r="MO78" s="104"/>
      <c r="MP78" s="104"/>
      <c r="MQ78" s="104"/>
      <c r="MR78" s="104"/>
      <c r="MS78" s="104"/>
      <c r="MT78" s="104"/>
      <c r="MU78" s="104"/>
      <c r="MV78" s="104"/>
      <c r="MW78" s="104"/>
      <c r="MX78" s="104"/>
      <c r="MY78" s="104"/>
      <c r="MZ78" s="104"/>
      <c r="NA78" s="104"/>
      <c r="NB78" s="104"/>
      <c r="NC78" s="104"/>
      <c r="ND78" s="104"/>
      <c r="NE78" s="104"/>
      <c r="NF78" s="104"/>
      <c r="NG78" s="104"/>
      <c r="NH78" s="104"/>
      <c r="NI78" s="104"/>
      <c r="NJ78" s="104"/>
      <c r="NK78" s="104"/>
      <c r="NL78" s="104"/>
      <c r="NM78" s="104"/>
      <c r="NN78" s="104"/>
      <c r="NO78" s="104"/>
      <c r="NP78" s="104"/>
      <c r="NQ78" s="104"/>
      <c r="NR78" s="104"/>
      <c r="NS78" s="104"/>
      <c r="NT78" s="104"/>
      <c r="NU78" s="104"/>
      <c r="NV78" s="104"/>
      <c r="NW78" s="104"/>
      <c r="NX78" s="104"/>
      <c r="NY78" s="104"/>
      <c r="NZ78" s="104"/>
    </row>
    <row r="79" spans="1:390" ht="15.75" customHeight="1" x14ac:dyDescent="0.3">
      <c r="A79" s="125">
        <v>4862265421</v>
      </c>
      <c r="B79" s="135"/>
      <c r="C79" s="135"/>
      <c r="D79" s="213" t="s">
        <v>391</v>
      </c>
      <c r="E79" s="135" t="s">
        <v>583</v>
      </c>
      <c r="F79" s="125" t="s">
        <v>461</v>
      </c>
      <c r="G79" s="125" t="s">
        <v>518</v>
      </c>
      <c r="H79" s="111">
        <v>43185</v>
      </c>
      <c r="I79" s="135" t="s">
        <v>584</v>
      </c>
      <c r="J79" s="135" t="s">
        <v>397</v>
      </c>
      <c r="K79" s="128" t="s">
        <v>398</v>
      </c>
      <c r="L79" s="128" t="s">
        <v>398</v>
      </c>
      <c r="M79" s="128" t="s">
        <v>398</v>
      </c>
      <c r="N79" s="128" t="s">
        <v>398</v>
      </c>
      <c r="O79" s="128" t="s">
        <v>398</v>
      </c>
      <c r="P79" s="128" t="s">
        <v>398</v>
      </c>
      <c r="Q79" s="128" t="s">
        <v>398</v>
      </c>
      <c r="R79" s="128" t="s">
        <v>398</v>
      </c>
      <c r="S79" s="128" t="s">
        <v>398</v>
      </c>
      <c r="T79" s="128" t="s">
        <v>398</v>
      </c>
      <c r="U79" s="128" t="s">
        <v>398</v>
      </c>
      <c r="V79" s="128" t="s">
        <v>398</v>
      </c>
      <c r="W79" s="135" t="s">
        <v>398</v>
      </c>
      <c r="X79" s="135" t="s">
        <v>398</v>
      </c>
      <c r="Y79" s="113" t="s">
        <v>398</v>
      </c>
      <c r="Z79" s="113" t="s">
        <v>398</v>
      </c>
      <c r="AA79" s="135"/>
      <c r="AB79" s="113" t="s">
        <v>399</v>
      </c>
      <c r="AC79" s="111">
        <v>22666</v>
      </c>
      <c r="AD79" s="135"/>
      <c r="AE79" s="142" t="e">
        <f t="shared" si="1"/>
        <v>#NUM!</v>
      </c>
      <c r="AF79" s="135" t="s">
        <v>477</v>
      </c>
      <c r="AG79" s="126" t="s">
        <v>401</v>
      </c>
      <c r="AH79" s="135" t="s">
        <v>402</v>
      </c>
      <c r="AI79" s="125">
        <v>3</v>
      </c>
      <c r="AJ79" s="125">
        <v>2</v>
      </c>
      <c r="AK79" s="125">
        <v>0</v>
      </c>
      <c r="AL79" s="125">
        <v>0</v>
      </c>
      <c r="AM79" s="139" t="s">
        <v>490</v>
      </c>
      <c r="AN79" s="134">
        <v>3</v>
      </c>
      <c r="AO79" s="136" t="s">
        <v>398</v>
      </c>
      <c r="AP79" s="135"/>
      <c r="AQ79" s="104"/>
      <c r="AR79" s="104"/>
      <c r="AS79" s="104"/>
      <c r="AT79" s="104"/>
      <c r="AU79" s="104"/>
      <c r="AV79" s="104"/>
      <c r="AW79" s="104"/>
      <c r="AX79" s="104"/>
      <c r="AY79" s="104"/>
      <c r="AZ79" s="104"/>
      <c r="BA79" s="104"/>
      <c r="BB79" s="104"/>
      <c r="BC79" s="104"/>
      <c r="BD79" s="104"/>
      <c r="BE79" s="104"/>
      <c r="BF79" s="104"/>
      <c r="BG79" s="104"/>
      <c r="BH79" s="104"/>
      <c r="BI79" s="104"/>
      <c r="BJ79" s="104"/>
      <c r="BK79" s="104"/>
      <c r="BL79" s="104"/>
      <c r="BM79" s="104"/>
      <c r="BN79" s="104"/>
      <c r="BO79" s="104"/>
      <c r="BP79" s="104"/>
      <c r="BQ79" s="104"/>
      <c r="BR79" s="104"/>
      <c r="BS79" s="104"/>
      <c r="BT79" s="104"/>
      <c r="BU79" s="104"/>
      <c r="BV79" s="104"/>
      <c r="BW79" s="104"/>
      <c r="BX79" s="104"/>
      <c r="BY79" s="104"/>
      <c r="BZ79" s="104"/>
      <c r="CA79" s="104"/>
      <c r="CB79" s="104"/>
      <c r="CC79" s="104"/>
      <c r="CD79" s="104"/>
      <c r="CE79" s="104"/>
      <c r="CF79" s="104"/>
      <c r="CG79" s="104"/>
      <c r="CH79" s="104"/>
      <c r="CI79" s="104"/>
      <c r="CJ79" s="104"/>
      <c r="CK79" s="104"/>
      <c r="CL79" s="104"/>
      <c r="CM79" s="104"/>
      <c r="CN79" s="104"/>
      <c r="CO79" s="104"/>
      <c r="CP79" s="104"/>
      <c r="CQ79" s="104"/>
      <c r="CR79" s="104"/>
      <c r="CS79" s="104"/>
      <c r="CT79" s="104"/>
      <c r="CU79" s="104"/>
      <c r="CV79" s="104"/>
      <c r="CW79" s="104"/>
      <c r="CX79" s="104"/>
      <c r="CY79" s="104"/>
      <c r="CZ79" s="104"/>
      <c r="DA79" s="104"/>
      <c r="DB79" s="104"/>
      <c r="DC79" s="104"/>
      <c r="DD79" s="104"/>
      <c r="DE79" s="104"/>
      <c r="DF79" s="104"/>
      <c r="DG79" s="104"/>
      <c r="DH79" s="104"/>
      <c r="DI79" s="104"/>
      <c r="DJ79" s="104"/>
      <c r="DK79" s="104"/>
      <c r="DL79" s="104"/>
      <c r="DM79" s="104"/>
      <c r="DN79" s="104"/>
      <c r="DO79" s="104"/>
      <c r="DP79" s="104"/>
      <c r="DQ79" s="104"/>
      <c r="DR79" s="104"/>
      <c r="DS79" s="104"/>
      <c r="DT79" s="104"/>
      <c r="DU79" s="104"/>
      <c r="DV79" s="104"/>
      <c r="DW79" s="104"/>
      <c r="DX79" s="104"/>
      <c r="DY79" s="104"/>
      <c r="DZ79" s="104"/>
      <c r="EA79" s="104"/>
      <c r="EB79" s="104"/>
      <c r="EC79" s="104"/>
      <c r="ED79" s="104"/>
      <c r="EE79" s="104"/>
      <c r="EF79" s="104"/>
      <c r="EG79" s="104"/>
      <c r="EH79" s="104"/>
      <c r="EI79" s="104"/>
      <c r="EJ79" s="104"/>
      <c r="EK79" s="104"/>
      <c r="EL79" s="104"/>
      <c r="EM79" s="104"/>
      <c r="EN79" s="104"/>
      <c r="EO79" s="104"/>
      <c r="EP79" s="104"/>
      <c r="EQ79" s="104"/>
      <c r="ER79" s="104"/>
      <c r="ES79" s="104"/>
      <c r="ET79" s="104"/>
      <c r="EU79" s="104"/>
      <c r="EV79" s="104"/>
      <c r="EW79" s="104"/>
      <c r="EX79" s="104"/>
      <c r="EY79" s="104"/>
      <c r="EZ79" s="104"/>
      <c r="FA79" s="104"/>
      <c r="FB79" s="104"/>
      <c r="FC79" s="104"/>
      <c r="FD79" s="104"/>
      <c r="FE79" s="104"/>
      <c r="FF79" s="104"/>
      <c r="FG79" s="104"/>
      <c r="FH79" s="104"/>
      <c r="FI79" s="104"/>
      <c r="FJ79" s="104"/>
      <c r="FK79" s="104"/>
      <c r="FL79" s="104"/>
      <c r="FM79" s="104"/>
      <c r="FN79" s="104"/>
      <c r="FO79" s="104"/>
      <c r="FP79" s="104"/>
      <c r="FQ79" s="104"/>
      <c r="FR79" s="104"/>
      <c r="FS79" s="104"/>
      <c r="FT79" s="104"/>
      <c r="FU79" s="104"/>
      <c r="FV79" s="104"/>
      <c r="FW79" s="104"/>
      <c r="FX79" s="104"/>
      <c r="FY79" s="104"/>
      <c r="FZ79" s="104"/>
      <c r="GA79" s="104"/>
      <c r="GB79" s="104"/>
      <c r="GC79" s="104"/>
      <c r="GD79" s="104"/>
      <c r="GE79" s="104"/>
      <c r="GF79" s="104"/>
      <c r="GG79" s="104"/>
      <c r="GH79" s="104"/>
      <c r="GI79" s="104"/>
      <c r="GJ79" s="104"/>
      <c r="GK79" s="104"/>
      <c r="GL79" s="104"/>
      <c r="GM79" s="104"/>
      <c r="GN79" s="104"/>
      <c r="GO79" s="104"/>
      <c r="GP79" s="104"/>
      <c r="GQ79" s="104"/>
      <c r="GR79" s="104"/>
      <c r="GS79" s="104"/>
      <c r="GT79" s="104"/>
      <c r="GU79" s="104"/>
      <c r="GV79" s="104"/>
      <c r="GW79" s="104"/>
      <c r="GX79" s="104"/>
      <c r="GY79" s="104"/>
      <c r="GZ79" s="104"/>
      <c r="HA79" s="104"/>
      <c r="HB79" s="104"/>
      <c r="HC79" s="104"/>
      <c r="HD79" s="104"/>
      <c r="HE79" s="104"/>
      <c r="HF79" s="104"/>
      <c r="HG79" s="104"/>
      <c r="HH79" s="104"/>
      <c r="HI79" s="104"/>
      <c r="HJ79" s="104"/>
      <c r="HK79" s="104"/>
      <c r="HL79" s="104"/>
      <c r="HM79" s="104"/>
      <c r="HN79" s="104"/>
      <c r="HO79" s="104"/>
      <c r="HP79" s="104"/>
      <c r="HQ79" s="104"/>
      <c r="HR79" s="104"/>
      <c r="HS79" s="104"/>
      <c r="HT79" s="104"/>
      <c r="HU79" s="104"/>
      <c r="HV79" s="104"/>
      <c r="HW79" s="104"/>
      <c r="HX79" s="104"/>
      <c r="HY79" s="104"/>
      <c r="HZ79" s="104"/>
      <c r="IA79" s="104"/>
      <c r="IB79" s="104"/>
      <c r="IC79" s="104"/>
      <c r="ID79" s="104"/>
      <c r="IE79" s="104"/>
      <c r="IF79" s="104"/>
      <c r="IG79" s="104"/>
      <c r="IH79" s="104"/>
      <c r="II79" s="104"/>
      <c r="IJ79" s="104"/>
      <c r="IK79" s="104"/>
      <c r="IL79" s="104"/>
      <c r="IM79" s="104"/>
      <c r="IN79" s="104"/>
      <c r="IO79" s="104"/>
      <c r="IP79" s="104"/>
      <c r="IQ79" s="104"/>
      <c r="IR79" s="104"/>
      <c r="IS79" s="104"/>
      <c r="IT79" s="104"/>
      <c r="IU79" s="104"/>
      <c r="IV79" s="104"/>
      <c r="IW79" s="104"/>
      <c r="IX79" s="104"/>
      <c r="IY79" s="104"/>
      <c r="IZ79" s="104"/>
      <c r="JA79" s="104"/>
      <c r="JB79" s="104"/>
      <c r="JC79" s="104"/>
      <c r="JD79" s="104"/>
      <c r="JE79" s="104"/>
      <c r="JF79" s="104"/>
      <c r="JG79" s="104"/>
      <c r="JH79" s="104"/>
      <c r="JI79" s="104"/>
      <c r="JJ79" s="104"/>
      <c r="JK79" s="104"/>
      <c r="JL79" s="104"/>
      <c r="JM79" s="104"/>
      <c r="JN79" s="104"/>
      <c r="JO79" s="104"/>
      <c r="JP79" s="104"/>
      <c r="JQ79" s="104"/>
      <c r="JR79" s="104"/>
      <c r="JS79" s="104"/>
      <c r="JT79" s="104"/>
      <c r="JU79" s="104"/>
      <c r="JV79" s="104"/>
      <c r="JW79" s="104"/>
      <c r="JX79" s="104"/>
      <c r="JY79" s="104"/>
      <c r="JZ79" s="104"/>
      <c r="KA79" s="104"/>
      <c r="KB79" s="104"/>
      <c r="KC79" s="104"/>
      <c r="KD79" s="104"/>
      <c r="KE79" s="104"/>
      <c r="KF79" s="104"/>
      <c r="KG79" s="104"/>
      <c r="KH79" s="104"/>
      <c r="KI79" s="104"/>
      <c r="KJ79" s="104"/>
      <c r="KK79" s="104"/>
      <c r="KL79" s="104"/>
      <c r="KM79" s="104"/>
      <c r="KN79" s="104"/>
      <c r="KO79" s="104"/>
      <c r="KP79" s="104"/>
      <c r="KQ79" s="104"/>
      <c r="KR79" s="104"/>
      <c r="KS79" s="104"/>
      <c r="KT79" s="104"/>
      <c r="KU79" s="104"/>
      <c r="KV79" s="104"/>
      <c r="KW79" s="104"/>
      <c r="KX79" s="104"/>
      <c r="KY79" s="104"/>
      <c r="KZ79" s="104"/>
      <c r="LA79" s="104"/>
      <c r="LB79" s="104"/>
      <c r="LC79" s="104"/>
      <c r="LD79" s="104"/>
      <c r="LE79" s="104"/>
      <c r="LF79" s="104"/>
      <c r="LG79" s="104"/>
      <c r="LH79" s="104"/>
      <c r="LI79" s="104"/>
      <c r="LJ79" s="104"/>
      <c r="LK79" s="104"/>
      <c r="LL79" s="104"/>
      <c r="LM79" s="104"/>
      <c r="LN79" s="104"/>
      <c r="LO79" s="104"/>
      <c r="LP79" s="104"/>
      <c r="LQ79" s="104"/>
      <c r="LR79" s="104"/>
      <c r="LS79" s="104"/>
      <c r="LT79" s="104"/>
      <c r="LU79" s="104"/>
      <c r="LV79" s="104"/>
      <c r="LW79" s="104"/>
      <c r="LX79" s="104"/>
      <c r="LY79" s="104"/>
      <c r="LZ79" s="104"/>
      <c r="MA79" s="104"/>
      <c r="MB79" s="104"/>
      <c r="MC79" s="104"/>
      <c r="MD79" s="104"/>
      <c r="ME79" s="104"/>
      <c r="MF79" s="104"/>
      <c r="MG79" s="104"/>
      <c r="MH79" s="104"/>
      <c r="MI79" s="104"/>
      <c r="MJ79" s="104"/>
      <c r="MK79" s="104"/>
      <c r="ML79" s="104"/>
      <c r="MM79" s="104"/>
      <c r="MN79" s="104"/>
      <c r="MO79" s="104"/>
      <c r="MP79" s="104"/>
      <c r="MQ79" s="104"/>
      <c r="MR79" s="104"/>
      <c r="MS79" s="104"/>
      <c r="MT79" s="104"/>
      <c r="MU79" s="104"/>
      <c r="MV79" s="104"/>
      <c r="MW79" s="104"/>
      <c r="MX79" s="104"/>
      <c r="MY79" s="104"/>
      <c r="MZ79" s="104"/>
      <c r="NA79" s="104"/>
      <c r="NB79" s="104"/>
      <c r="NC79" s="104"/>
      <c r="ND79" s="104"/>
      <c r="NE79" s="104"/>
      <c r="NF79" s="104"/>
      <c r="NG79" s="104"/>
      <c r="NH79" s="104"/>
      <c r="NI79" s="104"/>
      <c r="NJ79" s="104"/>
      <c r="NK79" s="104"/>
      <c r="NL79" s="104"/>
      <c r="NM79" s="104"/>
      <c r="NN79" s="104"/>
      <c r="NO79" s="104"/>
      <c r="NP79" s="104"/>
      <c r="NQ79" s="104"/>
      <c r="NR79" s="104"/>
      <c r="NS79" s="104"/>
      <c r="NT79" s="104"/>
      <c r="NU79" s="104"/>
      <c r="NV79" s="104"/>
      <c r="NW79" s="104"/>
      <c r="NX79" s="104"/>
      <c r="NY79" s="104"/>
      <c r="NZ79" s="104"/>
    </row>
    <row r="80" spans="1:390" ht="15.75" customHeight="1" x14ac:dyDescent="0.3">
      <c r="A80" s="125">
        <v>4581417937</v>
      </c>
      <c r="B80" s="135"/>
      <c r="C80" s="135"/>
      <c r="D80" s="213" t="s">
        <v>391</v>
      </c>
      <c r="E80" s="135" t="s">
        <v>585</v>
      </c>
      <c r="F80" s="125" t="s">
        <v>426</v>
      </c>
      <c r="G80" s="135" t="s">
        <v>398</v>
      </c>
      <c r="H80" s="111">
        <v>43187</v>
      </c>
      <c r="I80" s="135" t="s">
        <v>458</v>
      </c>
      <c r="J80" s="135" t="s">
        <v>397</v>
      </c>
      <c r="K80" s="128" t="s">
        <v>398</v>
      </c>
      <c r="L80" s="128" t="s">
        <v>398</v>
      </c>
      <c r="M80" s="128" t="s">
        <v>398</v>
      </c>
      <c r="N80" s="128" t="s">
        <v>398</v>
      </c>
      <c r="O80" s="128" t="s">
        <v>398</v>
      </c>
      <c r="P80" s="128" t="s">
        <v>398</v>
      </c>
      <c r="Q80" s="128" t="s">
        <v>398</v>
      </c>
      <c r="R80" s="128" t="s">
        <v>398</v>
      </c>
      <c r="S80" s="128" t="s">
        <v>398</v>
      </c>
      <c r="T80" s="128" t="s">
        <v>398</v>
      </c>
      <c r="U80" s="128" t="s">
        <v>398</v>
      </c>
      <c r="V80" s="128" t="s">
        <v>398</v>
      </c>
      <c r="W80" s="135" t="s">
        <v>398</v>
      </c>
      <c r="X80" s="135" t="s">
        <v>398</v>
      </c>
      <c r="Y80" s="113" t="s">
        <v>398</v>
      </c>
      <c r="Z80" s="113" t="s">
        <v>398</v>
      </c>
      <c r="AA80" s="135"/>
      <c r="AB80" s="113" t="s">
        <v>399</v>
      </c>
      <c r="AC80" s="111">
        <v>19361</v>
      </c>
      <c r="AD80" s="135"/>
      <c r="AE80" s="142" t="e">
        <f t="shared" si="1"/>
        <v>#NUM!</v>
      </c>
      <c r="AF80" s="135" t="s">
        <v>477</v>
      </c>
      <c r="AG80" s="126" t="s">
        <v>401</v>
      </c>
      <c r="AH80" s="135" t="s">
        <v>402</v>
      </c>
      <c r="AI80" s="125" t="s">
        <v>455</v>
      </c>
      <c r="AJ80" s="125">
        <v>0</v>
      </c>
      <c r="AK80" s="125">
        <v>0</v>
      </c>
      <c r="AL80" s="125">
        <v>0</v>
      </c>
      <c r="AM80" s="139" t="s">
        <v>456</v>
      </c>
      <c r="AN80" s="134">
        <v>1</v>
      </c>
      <c r="AO80" s="136" t="s">
        <v>398</v>
      </c>
      <c r="AP80" s="135"/>
      <c r="AQ80" s="104"/>
      <c r="AR80" s="104"/>
      <c r="AS80" s="104"/>
      <c r="AT80" s="104"/>
      <c r="AU80" s="104"/>
      <c r="AV80" s="104"/>
      <c r="AW80" s="104"/>
      <c r="AX80" s="104"/>
      <c r="AY80" s="104"/>
      <c r="AZ80" s="104"/>
      <c r="BA80" s="104"/>
      <c r="BB80" s="104"/>
      <c r="BC80" s="104"/>
      <c r="BD80" s="104"/>
      <c r="BE80" s="104"/>
      <c r="BF80" s="104"/>
      <c r="BG80" s="104"/>
      <c r="BH80" s="104"/>
      <c r="BI80" s="104"/>
      <c r="BJ80" s="104"/>
      <c r="BK80" s="104"/>
      <c r="BL80" s="104"/>
      <c r="BM80" s="104"/>
      <c r="BN80" s="104"/>
      <c r="BO80" s="104"/>
      <c r="BP80" s="104"/>
      <c r="BQ80" s="104"/>
      <c r="BR80" s="104"/>
      <c r="BS80" s="104"/>
      <c r="BT80" s="104"/>
      <c r="BU80" s="104"/>
      <c r="BV80" s="104"/>
      <c r="BW80" s="104"/>
      <c r="BX80" s="104"/>
      <c r="BY80" s="104"/>
      <c r="BZ80" s="104"/>
      <c r="CA80" s="104"/>
      <c r="CB80" s="104"/>
      <c r="CC80" s="104"/>
      <c r="CD80" s="104"/>
      <c r="CE80" s="104"/>
      <c r="CF80" s="104"/>
      <c r="CG80" s="104"/>
      <c r="CH80" s="104"/>
      <c r="CI80" s="104"/>
      <c r="CJ80" s="104"/>
      <c r="CK80" s="104"/>
      <c r="CL80" s="104"/>
      <c r="CM80" s="104"/>
      <c r="CN80" s="104"/>
      <c r="CO80" s="104"/>
      <c r="CP80" s="104"/>
      <c r="CQ80" s="104"/>
      <c r="CR80" s="104"/>
      <c r="CS80" s="104"/>
      <c r="CT80" s="104"/>
      <c r="CU80" s="104"/>
      <c r="CV80" s="104"/>
      <c r="CW80" s="104"/>
      <c r="CX80" s="104"/>
      <c r="CY80" s="104"/>
      <c r="CZ80" s="104"/>
      <c r="DA80" s="104"/>
      <c r="DB80" s="104"/>
      <c r="DC80" s="104"/>
      <c r="DD80" s="104"/>
      <c r="DE80" s="104"/>
      <c r="DF80" s="104"/>
      <c r="DG80" s="104"/>
      <c r="DH80" s="104"/>
      <c r="DI80" s="104"/>
      <c r="DJ80" s="104"/>
      <c r="DK80" s="104"/>
      <c r="DL80" s="104"/>
      <c r="DM80" s="104"/>
      <c r="DN80" s="104"/>
      <c r="DO80" s="104"/>
      <c r="DP80" s="104"/>
      <c r="DQ80" s="104"/>
      <c r="DR80" s="104"/>
      <c r="DS80" s="104"/>
      <c r="DT80" s="104"/>
      <c r="DU80" s="104"/>
      <c r="DV80" s="104"/>
      <c r="DW80" s="104"/>
      <c r="DX80" s="104"/>
      <c r="DY80" s="104"/>
      <c r="DZ80" s="104"/>
      <c r="EA80" s="104"/>
      <c r="EB80" s="104"/>
      <c r="EC80" s="104"/>
      <c r="ED80" s="104"/>
      <c r="EE80" s="104"/>
      <c r="EF80" s="104"/>
      <c r="EG80" s="104"/>
      <c r="EH80" s="104"/>
      <c r="EI80" s="104"/>
      <c r="EJ80" s="104"/>
      <c r="EK80" s="104"/>
      <c r="EL80" s="104"/>
      <c r="EM80" s="104"/>
      <c r="EN80" s="104"/>
      <c r="EO80" s="104"/>
      <c r="EP80" s="104"/>
      <c r="EQ80" s="104"/>
      <c r="ER80" s="104"/>
      <c r="ES80" s="104"/>
      <c r="ET80" s="104"/>
      <c r="EU80" s="104"/>
      <c r="EV80" s="104"/>
      <c r="EW80" s="104"/>
      <c r="EX80" s="104"/>
      <c r="EY80" s="104"/>
      <c r="EZ80" s="104"/>
      <c r="FA80" s="104"/>
      <c r="FB80" s="104"/>
      <c r="FC80" s="104"/>
      <c r="FD80" s="104"/>
      <c r="FE80" s="104"/>
      <c r="FF80" s="104"/>
      <c r="FG80" s="104"/>
      <c r="FH80" s="104"/>
      <c r="FI80" s="104"/>
      <c r="FJ80" s="104"/>
      <c r="FK80" s="104"/>
      <c r="FL80" s="104"/>
      <c r="FM80" s="104"/>
      <c r="FN80" s="104"/>
      <c r="FO80" s="104"/>
      <c r="FP80" s="104"/>
      <c r="FQ80" s="104"/>
      <c r="FR80" s="104"/>
      <c r="FS80" s="104"/>
      <c r="FT80" s="104"/>
      <c r="FU80" s="104"/>
      <c r="FV80" s="104"/>
      <c r="FW80" s="104"/>
      <c r="FX80" s="104"/>
      <c r="FY80" s="104"/>
      <c r="FZ80" s="104"/>
      <c r="GA80" s="104"/>
      <c r="GB80" s="104"/>
      <c r="GC80" s="104"/>
      <c r="GD80" s="104"/>
      <c r="GE80" s="104"/>
      <c r="GF80" s="104"/>
      <c r="GG80" s="104"/>
      <c r="GH80" s="104"/>
      <c r="GI80" s="104"/>
      <c r="GJ80" s="104"/>
      <c r="GK80" s="104"/>
      <c r="GL80" s="104"/>
      <c r="GM80" s="104"/>
      <c r="GN80" s="104"/>
      <c r="GO80" s="104"/>
      <c r="GP80" s="104"/>
      <c r="GQ80" s="104"/>
      <c r="GR80" s="104"/>
      <c r="GS80" s="104"/>
      <c r="GT80" s="104"/>
      <c r="GU80" s="104"/>
      <c r="GV80" s="104"/>
      <c r="GW80" s="104"/>
      <c r="GX80" s="104"/>
      <c r="GY80" s="104"/>
      <c r="GZ80" s="104"/>
      <c r="HA80" s="104"/>
      <c r="HB80" s="104"/>
      <c r="HC80" s="104"/>
      <c r="HD80" s="104"/>
      <c r="HE80" s="104"/>
      <c r="HF80" s="104"/>
      <c r="HG80" s="104"/>
      <c r="HH80" s="104"/>
      <c r="HI80" s="104"/>
      <c r="HJ80" s="104"/>
      <c r="HK80" s="104"/>
      <c r="HL80" s="104"/>
      <c r="HM80" s="104"/>
      <c r="HN80" s="104"/>
      <c r="HO80" s="104"/>
      <c r="HP80" s="104"/>
      <c r="HQ80" s="104"/>
      <c r="HR80" s="104"/>
      <c r="HS80" s="104"/>
      <c r="HT80" s="104"/>
      <c r="HU80" s="104"/>
      <c r="HV80" s="104"/>
      <c r="HW80" s="104"/>
      <c r="HX80" s="104"/>
      <c r="HY80" s="104"/>
      <c r="HZ80" s="104"/>
      <c r="IA80" s="104"/>
      <c r="IB80" s="104"/>
      <c r="IC80" s="104"/>
      <c r="ID80" s="104"/>
      <c r="IE80" s="104"/>
      <c r="IF80" s="104"/>
      <c r="IG80" s="104"/>
      <c r="IH80" s="104"/>
      <c r="II80" s="104"/>
      <c r="IJ80" s="104"/>
      <c r="IK80" s="104"/>
      <c r="IL80" s="104"/>
      <c r="IM80" s="104"/>
      <c r="IN80" s="104"/>
      <c r="IO80" s="104"/>
      <c r="IP80" s="104"/>
      <c r="IQ80" s="104"/>
      <c r="IR80" s="104"/>
      <c r="IS80" s="104"/>
      <c r="IT80" s="104"/>
      <c r="IU80" s="104"/>
      <c r="IV80" s="104"/>
      <c r="IW80" s="104"/>
      <c r="IX80" s="104"/>
      <c r="IY80" s="104"/>
      <c r="IZ80" s="104"/>
      <c r="JA80" s="104"/>
      <c r="JB80" s="104"/>
      <c r="JC80" s="104"/>
      <c r="JD80" s="104"/>
      <c r="JE80" s="104"/>
      <c r="JF80" s="104"/>
      <c r="JG80" s="104"/>
      <c r="JH80" s="104"/>
      <c r="JI80" s="104"/>
      <c r="JJ80" s="104"/>
      <c r="JK80" s="104"/>
      <c r="JL80" s="104"/>
      <c r="JM80" s="104"/>
      <c r="JN80" s="104"/>
      <c r="JO80" s="104"/>
      <c r="JP80" s="104"/>
      <c r="JQ80" s="104"/>
      <c r="JR80" s="104"/>
      <c r="JS80" s="104"/>
      <c r="JT80" s="104"/>
      <c r="JU80" s="104"/>
      <c r="JV80" s="104"/>
      <c r="JW80" s="104"/>
      <c r="JX80" s="104"/>
      <c r="JY80" s="104"/>
      <c r="JZ80" s="104"/>
      <c r="KA80" s="104"/>
      <c r="KB80" s="104"/>
      <c r="KC80" s="104"/>
      <c r="KD80" s="104"/>
      <c r="KE80" s="104"/>
      <c r="KF80" s="104"/>
      <c r="KG80" s="104"/>
      <c r="KH80" s="104"/>
      <c r="KI80" s="104"/>
      <c r="KJ80" s="104"/>
      <c r="KK80" s="104"/>
      <c r="KL80" s="104"/>
      <c r="KM80" s="104"/>
      <c r="KN80" s="104"/>
      <c r="KO80" s="104"/>
      <c r="KP80" s="104"/>
      <c r="KQ80" s="104"/>
      <c r="KR80" s="104"/>
      <c r="KS80" s="104"/>
      <c r="KT80" s="104"/>
      <c r="KU80" s="104"/>
      <c r="KV80" s="104"/>
      <c r="KW80" s="104"/>
      <c r="KX80" s="104"/>
      <c r="KY80" s="104"/>
      <c r="KZ80" s="104"/>
      <c r="LA80" s="104"/>
      <c r="LB80" s="104"/>
      <c r="LC80" s="104"/>
      <c r="LD80" s="104"/>
      <c r="LE80" s="104"/>
      <c r="LF80" s="104"/>
      <c r="LG80" s="104"/>
      <c r="LH80" s="104"/>
      <c r="LI80" s="104"/>
      <c r="LJ80" s="104"/>
      <c r="LK80" s="104"/>
      <c r="LL80" s="104"/>
      <c r="LM80" s="104"/>
      <c r="LN80" s="104"/>
      <c r="LO80" s="104"/>
      <c r="LP80" s="104"/>
      <c r="LQ80" s="104"/>
      <c r="LR80" s="104"/>
      <c r="LS80" s="104"/>
      <c r="LT80" s="104"/>
      <c r="LU80" s="104"/>
      <c r="LV80" s="104"/>
      <c r="LW80" s="104"/>
      <c r="LX80" s="104"/>
      <c r="LY80" s="104"/>
      <c r="LZ80" s="104"/>
      <c r="MA80" s="104"/>
      <c r="MB80" s="104"/>
      <c r="MC80" s="104"/>
      <c r="MD80" s="104"/>
      <c r="ME80" s="104"/>
      <c r="MF80" s="104"/>
      <c r="MG80" s="104"/>
      <c r="MH80" s="104"/>
      <c r="MI80" s="104"/>
      <c r="MJ80" s="104"/>
      <c r="MK80" s="104"/>
      <c r="ML80" s="104"/>
      <c r="MM80" s="104"/>
      <c r="MN80" s="104"/>
      <c r="MO80" s="104"/>
      <c r="MP80" s="104"/>
      <c r="MQ80" s="104"/>
      <c r="MR80" s="104"/>
      <c r="MS80" s="104"/>
      <c r="MT80" s="104"/>
      <c r="MU80" s="104"/>
      <c r="MV80" s="104"/>
      <c r="MW80" s="104"/>
      <c r="MX80" s="104"/>
      <c r="MY80" s="104"/>
      <c r="MZ80" s="104"/>
      <c r="NA80" s="104"/>
      <c r="NB80" s="104"/>
      <c r="NC80" s="104"/>
      <c r="ND80" s="104"/>
      <c r="NE80" s="104"/>
      <c r="NF80" s="104"/>
      <c r="NG80" s="104"/>
      <c r="NH80" s="104"/>
      <c r="NI80" s="104"/>
      <c r="NJ80" s="104"/>
      <c r="NK80" s="104"/>
      <c r="NL80" s="104"/>
      <c r="NM80" s="104"/>
      <c r="NN80" s="104"/>
      <c r="NO80" s="104"/>
      <c r="NP80" s="104"/>
      <c r="NQ80" s="104"/>
      <c r="NR80" s="104"/>
      <c r="NS80" s="104"/>
      <c r="NT80" s="104"/>
      <c r="NU80" s="104"/>
      <c r="NV80" s="104"/>
      <c r="NW80" s="104"/>
      <c r="NX80" s="104"/>
      <c r="NY80" s="104"/>
      <c r="NZ80" s="104"/>
    </row>
    <row r="81" spans="1:390" ht="15.75" customHeight="1" x14ac:dyDescent="0.3">
      <c r="A81" s="125">
        <v>6302622166</v>
      </c>
      <c r="B81" s="135"/>
      <c r="C81" s="135"/>
      <c r="D81" s="213" t="s">
        <v>391</v>
      </c>
      <c r="E81" s="135" t="s">
        <v>586</v>
      </c>
      <c r="F81" s="125" t="s">
        <v>441</v>
      </c>
      <c r="G81" s="125" t="s">
        <v>461</v>
      </c>
      <c r="H81" s="111">
        <v>43195</v>
      </c>
      <c r="I81" s="135" t="s">
        <v>458</v>
      </c>
      <c r="J81" s="135" t="s">
        <v>397</v>
      </c>
      <c r="K81" s="126" t="s">
        <v>398</v>
      </c>
      <c r="L81" s="126" t="s">
        <v>398</v>
      </c>
      <c r="M81" s="128" t="s">
        <v>398</v>
      </c>
      <c r="N81" s="128" t="s">
        <v>398</v>
      </c>
      <c r="O81" s="128" t="s">
        <v>398</v>
      </c>
      <c r="P81" s="128" t="s">
        <v>398</v>
      </c>
      <c r="Q81" s="128" t="s">
        <v>398</v>
      </c>
      <c r="R81" s="128" t="s">
        <v>398</v>
      </c>
      <c r="S81" s="128" t="s">
        <v>398</v>
      </c>
      <c r="T81" s="128" t="s">
        <v>398</v>
      </c>
      <c r="U81" s="128" t="s">
        <v>398</v>
      </c>
      <c r="V81" s="128" t="s">
        <v>398</v>
      </c>
      <c r="W81" s="135" t="s">
        <v>586</v>
      </c>
      <c r="X81" s="135" t="s">
        <v>549</v>
      </c>
      <c r="Y81" s="113" t="s">
        <v>587</v>
      </c>
      <c r="Z81" s="111">
        <v>43195</v>
      </c>
      <c r="AA81" s="135"/>
      <c r="AB81" s="113" t="s">
        <v>399</v>
      </c>
      <c r="AC81" s="111">
        <v>20597</v>
      </c>
      <c r="AD81" s="139"/>
      <c r="AE81" s="108" t="e">
        <f t="shared" si="1"/>
        <v>#NUM!</v>
      </c>
      <c r="AF81" s="136" t="s">
        <v>477</v>
      </c>
      <c r="AG81" s="126" t="s">
        <v>401</v>
      </c>
      <c r="AH81" s="135" t="s">
        <v>402</v>
      </c>
      <c r="AI81" s="125" t="s">
        <v>455</v>
      </c>
      <c r="AJ81" s="125">
        <v>0</v>
      </c>
      <c r="AK81" s="125">
        <v>0</v>
      </c>
      <c r="AL81" s="125">
        <v>0</v>
      </c>
      <c r="AM81" s="139" t="s">
        <v>456</v>
      </c>
      <c r="AN81" s="134">
        <v>3</v>
      </c>
      <c r="AO81" s="136" t="s">
        <v>398</v>
      </c>
      <c r="AP81" s="135"/>
      <c r="AQ81" s="104"/>
      <c r="AR81" s="104"/>
      <c r="AS81" s="104"/>
      <c r="AT81" s="104"/>
      <c r="AU81" s="104"/>
      <c r="AV81" s="104"/>
      <c r="AW81" s="104"/>
      <c r="AX81" s="104"/>
      <c r="AY81" s="104"/>
      <c r="AZ81" s="104"/>
      <c r="BA81" s="104"/>
      <c r="BB81" s="104"/>
      <c r="BC81" s="104"/>
      <c r="BD81" s="104"/>
      <c r="BE81" s="104"/>
      <c r="BF81" s="104"/>
      <c r="BG81" s="104"/>
      <c r="BH81" s="104"/>
      <c r="BI81" s="104"/>
      <c r="BJ81" s="104"/>
      <c r="BK81" s="104"/>
      <c r="BL81" s="104"/>
      <c r="BM81" s="104"/>
      <c r="BN81" s="104"/>
      <c r="BO81" s="104"/>
      <c r="BP81" s="104"/>
      <c r="BQ81" s="104"/>
      <c r="BR81" s="104"/>
      <c r="BS81" s="104"/>
      <c r="BT81" s="104"/>
      <c r="BU81" s="104"/>
      <c r="BV81" s="104"/>
      <c r="BW81" s="104"/>
      <c r="BX81" s="104"/>
      <c r="BY81" s="104"/>
      <c r="BZ81" s="104"/>
      <c r="CA81" s="104"/>
      <c r="CB81" s="104"/>
      <c r="CC81" s="104"/>
      <c r="CD81" s="104"/>
      <c r="CE81" s="104"/>
      <c r="CF81" s="104"/>
      <c r="CG81" s="104"/>
      <c r="CH81" s="104"/>
      <c r="CI81" s="104"/>
      <c r="CJ81" s="104"/>
      <c r="CK81" s="104"/>
      <c r="CL81" s="104"/>
      <c r="CM81" s="104"/>
      <c r="CN81" s="104"/>
      <c r="CO81" s="104"/>
      <c r="CP81" s="104"/>
      <c r="CQ81" s="104"/>
      <c r="CR81" s="104"/>
      <c r="CS81" s="104"/>
      <c r="CT81" s="104"/>
      <c r="CU81" s="104"/>
      <c r="CV81" s="104"/>
      <c r="CW81" s="104"/>
      <c r="CX81" s="104"/>
      <c r="CY81" s="104"/>
      <c r="CZ81" s="104"/>
      <c r="DA81" s="104"/>
      <c r="DB81" s="104"/>
      <c r="DC81" s="104"/>
      <c r="DD81" s="104"/>
      <c r="DE81" s="104"/>
      <c r="DF81" s="104"/>
      <c r="DG81" s="104"/>
      <c r="DH81" s="104"/>
      <c r="DI81" s="104"/>
      <c r="DJ81" s="104"/>
      <c r="DK81" s="104"/>
      <c r="DL81" s="104"/>
      <c r="DM81" s="104"/>
      <c r="DN81" s="104"/>
      <c r="DO81" s="104"/>
      <c r="DP81" s="104"/>
      <c r="DQ81" s="104"/>
      <c r="DR81" s="104"/>
      <c r="DS81" s="104"/>
      <c r="DT81" s="104"/>
      <c r="DU81" s="104"/>
      <c r="DV81" s="104"/>
      <c r="DW81" s="104"/>
      <c r="DX81" s="104"/>
      <c r="DY81" s="104"/>
      <c r="DZ81" s="104"/>
      <c r="EA81" s="104"/>
      <c r="EB81" s="104"/>
      <c r="EC81" s="104"/>
      <c r="ED81" s="104"/>
      <c r="EE81" s="104"/>
      <c r="EF81" s="104"/>
      <c r="EG81" s="104"/>
      <c r="EH81" s="104"/>
      <c r="EI81" s="104"/>
      <c r="EJ81" s="104"/>
      <c r="EK81" s="104"/>
      <c r="EL81" s="104"/>
      <c r="EM81" s="104"/>
      <c r="EN81" s="104"/>
      <c r="EO81" s="104"/>
      <c r="EP81" s="104"/>
      <c r="EQ81" s="104"/>
      <c r="ER81" s="104"/>
      <c r="ES81" s="104"/>
      <c r="ET81" s="104"/>
      <c r="EU81" s="104"/>
      <c r="EV81" s="104"/>
      <c r="EW81" s="104"/>
      <c r="EX81" s="104"/>
      <c r="EY81" s="104"/>
      <c r="EZ81" s="104"/>
      <c r="FA81" s="104"/>
      <c r="FB81" s="104"/>
      <c r="FC81" s="104"/>
      <c r="FD81" s="104"/>
      <c r="FE81" s="104"/>
      <c r="FF81" s="104"/>
      <c r="FG81" s="104"/>
      <c r="FH81" s="104"/>
      <c r="FI81" s="104"/>
      <c r="FJ81" s="104"/>
      <c r="FK81" s="104"/>
      <c r="FL81" s="104"/>
      <c r="FM81" s="104"/>
      <c r="FN81" s="104"/>
      <c r="FO81" s="104"/>
      <c r="FP81" s="104"/>
      <c r="FQ81" s="104"/>
      <c r="FR81" s="104"/>
      <c r="FS81" s="104"/>
      <c r="FT81" s="104"/>
      <c r="FU81" s="104"/>
      <c r="FV81" s="104"/>
      <c r="FW81" s="104"/>
      <c r="FX81" s="104"/>
      <c r="FY81" s="104"/>
      <c r="FZ81" s="104"/>
      <c r="GA81" s="104"/>
      <c r="GB81" s="104"/>
      <c r="GC81" s="104"/>
      <c r="GD81" s="104"/>
      <c r="GE81" s="104"/>
      <c r="GF81" s="104"/>
      <c r="GG81" s="104"/>
      <c r="GH81" s="104"/>
      <c r="GI81" s="104"/>
      <c r="GJ81" s="104"/>
      <c r="GK81" s="104"/>
      <c r="GL81" s="104"/>
      <c r="GM81" s="104"/>
      <c r="GN81" s="104"/>
      <c r="GO81" s="104"/>
      <c r="GP81" s="104"/>
      <c r="GQ81" s="104"/>
      <c r="GR81" s="104"/>
      <c r="GS81" s="104"/>
      <c r="GT81" s="104"/>
      <c r="GU81" s="104"/>
      <c r="GV81" s="104"/>
      <c r="GW81" s="104"/>
      <c r="GX81" s="104"/>
      <c r="GY81" s="104"/>
      <c r="GZ81" s="104"/>
      <c r="HA81" s="104"/>
      <c r="HB81" s="104"/>
      <c r="HC81" s="104"/>
      <c r="HD81" s="104"/>
      <c r="HE81" s="104"/>
      <c r="HF81" s="104"/>
      <c r="HG81" s="104"/>
      <c r="HH81" s="104"/>
      <c r="HI81" s="104"/>
      <c r="HJ81" s="104"/>
      <c r="HK81" s="104"/>
      <c r="HL81" s="104"/>
      <c r="HM81" s="104"/>
      <c r="HN81" s="104"/>
      <c r="HO81" s="104"/>
      <c r="HP81" s="104"/>
      <c r="HQ81" s="104"/>
      <c r="HR81" s="104"/>
      <c r="HS81" s="104"/>
      <c r="HT81" s="104"/>
      <c r="HU81" s="104"/>
      <c r="HV81" s="104"/>
      <c r="HW81" s="104"/>
      <c r="HX81" s="104"/>
      <c r="HY81" s="104"/>
      <c r="HZ81" s="104"/>
      <c r="IA81" s="104"/>
      <c r="IB81" s="104"/>
      <c r="IC81" s="104"/>
      <c r="ID81" s="104"/>
      <c r="IE81" s="104"/>
      <c r="IF81" s="104"/>
      <c r="IG81" s="104"/>
      <c r="IH81" s="104"/>
      <c r="II81" s="104"/>
      <c r="IJ81" s="104"/>
      <c r="IK81" s="104"/>
      <c r="IL81" s="104"/>
      <c r="IM81" s="104"/>
      <c r="IN81" s="104"/>
      <c r="IO81" s="104"/>
      <c r="IP81" s="104"/>
      <c r="IQ81" s="104"/>
      <c r="IR81" s="104"/>
      <c r="IS81" s="104"/>
      <c r="IT81" s="104"/>
      <c r="IU81" s="104"/>
      <c r="IV81" s="104"/>
      <c r="IW81" s="104"/>
      <c r="IX81" s="104"/>
      <c r="IY81" s="104"/>
      <c r="IZ81" s="104"/>
      <c r="JA81" s="104"/>
      <c r="JB81" s="104"/>
      <c r="JC81" s="104"/>
      <c r="JD81" s="104"/>
      <c r="JE81" s="104"/>
      <c r="JF81" s="104"/>
      <c r="JG81" s="104"/>
      <c r="JH81" s="104"/>
      <c r="JI81" s="104"/>
      <c r="JJ81" s="104"/>
      <c r="JK81" s="104"/>
      <c r="JL81" s="104"/>
      <c r="JM81" s="104"/>
      <c r="JN81" s="104"/>
      <c r="JO81" s="104"/>
      <c r="JP81" s="104"/>
      <c r="JQ81" s="104"/>
      <c r="JR81" s="104"/>
      <c r="JS81" s="104"/>
      <c r="JT81" s="104"/>
      <c r="JU81" s="104"/>
      <c r="JV81" s="104"/>
      <c r="JW81" s="104"/>
      <c r="JX81" s="104"/>
      <c r="JY81" s="104"/>
      <c r="JZ81" s="104"/>
      <c r="KA81" s="104"/>
      <c r="KB81" s="104"/>
      <c r="KC81" s="104"/>
      <c r="KD81" s="104"/>
      <c r="KE81" s="104"/>
      <c r="KF81" s="104"/>
      <c r="KG81" s="104"/>
      <c r="KH81" s="104"/>
      <c r="KI81" s="104"/>
      <c r="KJ81" s="104"/>
      <c r="KK81" s="104"/>
      <c r="KL81" s="104"/>
      <c r="KM81" s="104"/>
      <c r="KN81" s="104"/>
      <c r="KO81" s="104"/>
      <c r="KP81" s="104"/>
      <c r="KQ81" s="104"/>
      <c r="KR81" s="104"/>
      <c r="KS81" s="104"/>
      <c r="KT81" s="104"/>
      <c r="KU81" s="104"/>
      <c r="KV81" s="104"/>
      <c r="KW81" s="104"/>
      <c r="KX81" s="104"/>
      <c r="KY81" s="104"/>
      <c r="KZ81" s="104"/>
      <c r="LA81" s="104"/>
      <c r="LB81" s="104"/>
      <c r="LC81" s="104"/>
      <c r="LD81" s="104"/>
      <c r="LE81" s="104"/>
      <c r="LF81" s="104"/>
      <c r="LG81" s="104"/>
      <c r="LH81" s="104"/>
      <c r="LI81" s="104"/>
      <c r="LJ81" s="104"/>
      <c r="LK81" s="104"/>
      <c r="LL81" s="104"/>
      <c r="LM81" s="104"/>
      <c r="LN81" s="104"/>
      <c r="LO81" s="104"/>
      <c r="LP81" s="104"/>
      <c r="LQ81" s="104"/>
      <c r="LR81" s="104"/>
      <c r="LS81" s="104"/>
      <c r="LT81" s="104"/>
      <c r="LU81" s="104"/>
      <c r="LV81" s="104"/>
      <c r="LW81" s="104"/>
      <c r="LX81" s="104"/>
      <c r="LY81" s="104"/>
      <c r="LZ81" s="104"/>
      <c r="MA81" s="104"/>
      <c r="MB81" s="104"/>
      <c r="MC81" s="104"/>
      <c r="MD81" s="104"/>
      <c r="ME81" s="104"/>
      <c r="MF81" s="104"/>
      <c r="MG81" s="104"/>
      <c r="MH81" s="104"/>
      <c r="MI81" s="104"/>
      <c r="MJ81" s="104"/>
      <c r="MK81" s="104"/>
      <c r="ML81" s="104"/>
      <c r="MM81" s="104"/>
      <c r="MN81" s="104"/>
      <c r="MO81" s="104"/>
      <c r="MP81" s="104"/>
      <c r="MQ81" s="104"/>
      <c r="MR81" s="104"/>
      <c r="MS81" s="104"/>
      <c r="MT81" s="104"/>
      <c r="MU81" s="104"/>
      <c r="MV81" s="104"/>
      <c r="MW81" s="104"/>
      <c r="MX81" s="104"/>
      <c r="MY81" s="104"/>
      <c r="MZ81" s="104"/>
      <c r="NA81" s="104"/>
      <c r="NB81" s="104"/>
      <c r="NC81" s="104"/>
      <c r="ND81" s="104"/>
      <c r="NE81" s="104"/>
      <c r="NF81" s="104"/>
      <c r="NG81" s="104"/>
      <c r="NH81" s="104"/>
      <c r="NI81" s="104"/>
      <c r="NJ81" s="104"/>
      <c r="NK81" s="104"/>
      <c r="NL81" s="104"/>
      <c r="NM81" s="104"/>
      <c r="NN81" s="104"/>
      <c r="NO81" s="104"/>
      <c r="NP81" s="104"/>
      <c r="NQ81" s="104"/>
      <c r="NR81" s="104"/>
      <c r="NS81" s="104"/>
      <c r="NT81" s="104"/>
      <c r="NU81" s="104"/>
      <c r="NV81" s="104"/>
      <c r="NW81" s="104"/>
      <c r="NX81" s="104"/>
      <c r="NY81" s="104"/>
      <c r="NZ81" s="104"/>
    </row>
  </sheetData>
  <conditionalFormatting sqref="A4">
    <cfRule type="duplicateValues" dxfId="1201" priority="11"/>
  </conditionalFormatting>
  <dataValidations count="2">
    <dataValidation type="list" allowBlank="1" showInputMessage="1" showErrorMessage="1" sqref="EJ4" xr:uid="{5D724B1E-AA51-4247-AD54-0CDB596B54F4}">
      <formula1>"Radiotherapy, Chemotherapy, Immunotherapy, Other"</formula1>
    </dataValidation>
    <dataValidation type="list" allowBlank="1" showInputMessage="1" showErrorMessage="1" sqref="JM25:JM53 JM4:JM8 JM10:JM23" xr:uid="{66257367-C725-43AF-996E-B752A2E1118E}">
      <formula1>"Alive, Deceased"</formula1>
    </dataValidation>
  </dataValidations>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093CD397-5176-4DF9-B49A-C26FAAA98932}">
          <x14:formula1>
            <xm:f>'Calculations &amp; Lists'!$H$2:$H$5</xm:f>
          </x14:formula1>
          <xm:sqref>AG4:AG81</xm:sqref>
        </x14:dataValidation>
        <x14:dataValidation type="list" allowBlank="1" showInputMessage="1" showErrorMessage="1" xr:uid="{FC1FA70A-B770-4674-821E-833C79035C90}">
          <x14:formula1>
            <xm:f>'Calculations &amp; Lists'!$G$2:$G$7</xm:f>
          </x14:formula1>
          <xm:sqref>AA4 AA6:AA53 C25:C53 C4:C8 C10:C23</xm:sqref>
        </x14:dataValidation>
        <x14:dataValidation type="list" allowBlank="1" showInputMessage="1" showErrorMessage="1" xr:uid="{10CE9489-21B9-4AF7-8AD5-582F61E8EFA0}">
          <x14:formula1>
            <xm:f>'Calculations &amp; Lists'!$F$2:$F$5</xm:f>
          </x14:formula1>
          <xm:sqref>AP25:AP53 JO4:JO8 AP4:AP8 AH4:AH53 B10:B23 B25:B53 B4:B8 AP10:AP23 JO10:JO23 JO25:JO53</xm:sqref>
        </x14:dataValidation>
        <x14:dataValidation type="list" allowBlank="1" showInputMessage="1" showErrorMessage="1" xr:uid="{9873B8BB-C2ED-451F-8F20-133049F4F09A}">
          <x14:formula1>
            <xm:f>'Calculations &amp; Lists'!$E$2:$E$8</xm:f>
          </x14:formula1>
          <xm:sqref>AR25:AR53 JH25:JH53 JC25:JC53 IX25:IX53 IS25:IS53 IN25:IN53 II25:II53 ID25:ID53 HY25:HY53 HT25:HT53 HO25:HO53 HJ25:HJ53 HE25:HE53 GZ25:GZ53 GU25:GU53 GP25:GP53 FH25:FH53 FC25:FC53 EX25:EX53 ES25:ES53 EN25:EN53 ED25:ED53 EI25:EI53 DY25:DY53 DT25:DT53 DO25:DO53 DJ25:DJ53 DE25:DE53 CZ25:CZ53 CU25:CU53 CP25:CP53 CK25:CK53 CF25:CF53 CA25:CA53 BV25:BV53 BQ25:BQ53 BL25:BL53 BG25:BG53 BB25:BB53 BG10:BG23 BL10:BL23 BQ10:BQ23 BV10:BV23 CA10:CA23 CF10:CF23 CK10:CK23 CP10:CP23 CU10:CU23 CZ10:CZ23 DE10:DE23 DJ10:DJ23 DO10:DO23 DT10:DT23 DY10:DY23 EI10:EI23 ED10:ED23 EN10:EN23 ES10:ES23 EX10:EX23 FC10:FC23 FH10:FH23 GP10:GP23 GU10:GU23 GZ10:GZ23 HE10:HE23 HJ10:HJ23 HO10:HO23 HT10:HT23 HY10:HY23 ID10:ID23 II10:II23 IN10:IN23 IS10:IS23 IX10:IX23 JC10:JC23 JH10:JH23 AR10:AR23 AW10:AW23 AW25:AW53 AW4:AW8 AR4:AR8 JH4:JH8 JC4:JC8 IX4:IX8 IS4:IS8 IN4:IN8 II4:II8 ID4:ID8 HY4:HY8 HT4:HT8 HO4:HO8 HJ4:HJ8 HE4:HE8 GZ4:GZ8 GU4:GU8 GP4:GP8 FH4:FH8 FC4:FC8 EX4:EX8 ES4:ES8 EN4:EN8 ED4:ED8 EI4:EI8 DY4:DY8 DT4:DT8 DO4:DO8 DJ4:DJ8 DE4:DE8 CZ4:CZ8 CU4:CU8 CP4:CP8 CK4:CK8 CF4:CF8 CA4:CA8 BV4:BV8 BQ4:BQ8 BL4:BL8 BG4:BG8 BB4:BB8 BB10:BB23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979D5-F612-4D47-9E71-E0EBF2E16976}">
  <sheetPr codeName="Sheet2"/>
  <dimension ref="A1:D74"/>
  <sheetViews>
    <sheetView topLeftCell="A48" workbookViewId="0">
      <selection activeCell="F1" sqref="F1:G1048576"/>
    </sheetView>
  </sheetViews>
  <sheetFormatPr defaultRowHeight="12.5" x14ac:dyDescent="0.25"/>
  <cols>
    <col min="1" max="1" width="14" customWidth="1"/>
    <col min="2" max="2" width="16.26953125" customWidth="1"/>
    <col min="3" max="3" width="17.453125" customWidth="1"/>
    <col min="4" max="4" width="13.26953125" customWidth="1"/>
    <col min="5" max="5" width="9.1796875" bestFit="1" customWidth="1"/>
  </cols>
  <sheetData>
    <row r="1" spans="1:4" ht="45" customHeight="1" x14ac:dyDescent="0.25">
      <c r="A1" s="246" t="s">
        <v>1</v>
      </c>
      <c r="B1" s="246" t="s">
        <v>588</v>
      </c>
      <c r="C1" s="264" t="s">
        <v>589</v>
      </c>
      <c r="D1" s="247" t="s">
        <v>590</v>
      </c>
    </row>
    <row r="2" spans="1:4" ht="13" x14ac:dyDescent="0.3">
      <c r="A2" s="37">
        <v>4520256615</v>
      </c>
      <c r="B2" s="121"/>
      <c r="C2" s="149" t="s">
        <v>393</v>
      </c>
      <c r="D2" s="245" t="s">
        <v>591</v>
      </c>
    </row>
    <row r="3" spans="1:4" ht="13" x14ac:dyDescent="0.3">
      <c r="A3" s="102">
        <v>4250445798</v>
      </c>
      <c r="B3" s="121"/>
      <c r="C3" s="150" t="s">
        <v>407</v>
      </c>
      <c r="D3" s="238" t="s">
        <v>592</v>
      </c>
    </row>
    <row r="4" spans="1:4" ht="13" x14ac:dyDescent="0.3">
      <c r="A4" s="110">
        <v>4946723307</v>
      </c>
      <c r="B4" s="121"/>
      <c r="C4" s="105" t="s">
        <v>415</v>
      </c>
      <c r="D4" s="238" t="s">
        <v>592</v>
      </c>
    </row>
    <row r="5" spans="1:4" ht="13" x14ac:dyDescent="0.3">
      <c r="A5" s="110">
        <v>4362503161</v>
      </c>
      <c r="B5" s="121"/>
      <c r="C5" s="105" t="s">
        <v>420</v>
      </c>
      <c r="D5" s="238" t="s">
        <v>593</v>
      </c>
    </row>
    <row r="6" spans="1:4" ht="13" x14ac:dyDescent="0.3">
      <c r="A6" s="110">
        <v>4363753323</v>
      </c>
      <c r="B6" s="121"/>
      <c r="C6" s="105" t="s">
        <v>425</v>
      </c>
      <c r="D6" s="238" t="s">
        <v>591</v>
      </c>
    </row>
    <row r="7" spans="1:4" ht="13" x14ac:dyDescent="0.3">
      <c r="A7" s="110">
        <v>4367569659</v>
      </c>
      <c r="B7" s="121"/>
      <c r="C7" s="105" t="s">
        <v>433</v>
      </c>
      <c r="D7" s="238" t="s">
        <v>592</v>
      </c>
    </row>
    <row r="8" spans="1:4" ht="13" x14ac:dyDescent="0.3">
      <c r="A8" s="110">
        <v>4581564212</v>
      </c>
      <c r="B8" s="121"/>
      <c r="C8" s="105" t="s">
        <v>436</v>
      </c>
      <c r="D8" s="238" t="s">
        <v>593</v>
      </c>
    </row>
    <row r="9" spans="1:4" ht="13" x14ac:dyDescent="0.3">
      <c r="A9" s="110">
        <v>4706490731</v>
      </c>
      <c r="B9" s="121"/>
      <c r="C9" s="105" t="s">
        <v>439</v>
      </c>
      <c r="D9" s="238" t="s">
        <v>593</v>
      </c>
    </row>
    <row r="10" spans="1:4" ht="13" x14ac:dyDescent="0.3">
      <c r="A10" s="110">
        <v>4366490994</v>
      </c>
      <c r="B10" s="121"/>
      <c r="C10" s="105" t="s">
        <v>440</v>
      </c>
      <c r="D10" s="238" t="s">
        <v>594</v>
      </c>
    </row>
    <row r="11" spans="1:4" ht="13" x14ac:dyDescent="0.3">
      <c r="A11" s="110">
        <v>4508221386</v>
      </c>
      <c r="B11" s="121"/>
      <c r="C11" s="105" t="s">
        <v>447</v>
      </c>
      <c r="D11" s="238" t="s">
        <v>592</v>
      </c>
    </row>
    <row r="12" spans="1:4" ht="13" x14ac:dyDescent="0.3">
      <c r="A12" s="110">
        <v>4905526434</v>
      </c>
      <c r="B12" s="121"/>
      <c r="C12" s="105" t="s">
        <v>451</v>
      </c>
      <c r="D12" s="238" t="s">
        <v>592</v>
      </c>
    </row>
    <row r="13" spans="1:4" ht="13" x14ac:dyDescent="0.3">
      <c r="A13" s="110">
        <v>4663105459</v>
      </c>
      <c r="B13" s="121"/>
      <c r="C13" s="105" t="s">
        <v>453</v>
      </c>
      <c r="D13" s="238" t="s">
        <v>595</v>
      </c>
    </row>
    <row r="14" spans="1:4" ht="13" x14ac:dyDescent="0.3">
      <c r="A14" s="110">
        <v>4389042653</v>
      </c>
      <c r="B14" s="121"/>
      <c r="C14" s="105" t="s">
        <v>457</v>
      </c>
      <c r="D14" s="238" t="s">
        <v>592</v>
      </c>
    </row>
    <row r="15" spans="1:4" ht="13" x14ac:dyDescent="0.3">
      <c r="A15" s="110">
        <v>6100474530</v>
      </c>
      <c r="B15" s="121"/>
      <c r="C15" s="105" t="s">
        <v>459</v>
      </c>
      <c r="D15" s="238" t="s">
        <v>592</v>
      </c>
    </row>
    <row r="16" spans="1:4" ht="13" x14ac:dyDescent="0.3">
      <c r="A16" s="110">
        <v>4426025737</v>
      </c>
      <c r="B16" s="121"/>
      <c r="C16" s="105" t="s">
        <v>460</v>
      </c>
      <c r="D16" s="238" t="s">
        <v>595</v>
      </c>
    </row>
    <row r="17" spans="1:4" ht="13" x14ac:dyDescent="0.3">
      <c r="A17" s="110">
        <v>6189690610</v>
      </c>
      <c r="B17" s="121"/>
      <c r="C17" s="105" t="s">
        <v>464</v>
      </c>
      <c r="D17" s="238" t="s">
        <v>592</v>
      </c>
    </row>
    <row r="18" spans="1:4" ht="13" x14ac:dyDescent="0.3">
      <c r="A18" s="110">
        <v>4740277069</v>
      </c>
      <c r="B18" s="121"/>
      <c r="C18" s="105" t="s">
        <v>468</v>
      </c>
      <c r="D18" s="238" t="s">
        <v>592</v>
      </c>
    </row>
    <row r="19" spans="1:4" ht="13" x14ac:dyDescent="0.3">
      <c r="A19" s="110">
        <v>4100098251</v>
      </c>
      <c r="B19" s="121"/>
      <c r="C19" s="105" t="s">
        <v>469</v>
      </c>
      <c r="D19" s="238" t="s">
        <v>595</v>
      </c>
    </row>
    <row r="20" spans="1:4" ht="13" x14ac:dyDescent="0.3">
      <c r="A20" s="110">
        <v>4860460391</v>
      </c>
      <c r="B20" s="121"/>
      <c r="C20" s="105" t="s">
        <v>470</v>
      </c>
      <c r="D20" s="238" t="s">
        <v>592</v>
      </c>
    </row>
    <row r="21" spans="1:4" ht="13" x14ac:dyDescent="0.3">
      <c r="A21" s="110">
        <v>4308926637</v>
      </c>
      <c r="B21" s="121"/>
      <c r="C21" s="105" t="s">
        <v>475</v>
      </c>
      <c r="D21" s="238" t="s">
        <v>595</v>
      </c>
    </row>
    <row r="22" spans="1:4" ht="13" x14ac:dyDescent="0.3">
      <c r="A22" s="110">
        <v>4861789125</v>
      </c>
      <c r="B22" s="121"/>
      <c r="C22" s="105" t="s">
        <v>478</v>
      </c>
      <c r="D22" s="238" t="s">
        <v>595</v>
      </c>
    </row>
    <row r="23" spans="1:4" ht="13" x14ac:dyDescent="0.3">
      <c r="A23" s="110">
        <v>4520776414</v>
      </c>
      <c r="B23" s="121"/>
      <c r="C23" s="105" t="s">
        <v>480</v>
      </c>
      <c r="D23" s="238" t="s">
        <v>592</v>
      </c>
    </row>
    <row r="24" spans="1:4" ht="13" x14ac:dyDescent="0.3">
      <c r="A24" s="110">
        <v>4582803245</v>
      </c>
      <c r="B24" s="121"/>
      <c r="C24" s="105" t="s">
        <v>481</v>
      </c>
      <c r="D24" s="238" t="s">
        <v>593</v>
      </c>
    </row>
    <row r="25" spans="1:4" ht="13" x14ac:dyDescent="0.3">
      <c r="A25" s="110">
        <v>4948238384</v>
      </c>
      <c r="B25" s="121"/>
      <c r="C25" s="105" t="s">
        <v>482</v>
      </c>
      <c r="D25" s="238" t="s">
        <v>596</v>
      </c>
    </row>
    <row r="26" spans="1:4" ht="13" x14ac:dyDescent="0.3">
      <c r="A26" s="110">
        <v>4583815352</v>
      </c>
      <c r="B26" s="121"/>
      <c r="C26" s="105" t="s">
        <v>486</v>
      </c>
      <c r="D26" s="238" t="s">
        <v>595</v>
      </c>
    </row>
    <row r="27" spans="1:4" ht="13" x14ac:dyDescent="0.3">
      <c r="A27" s="110">
        <v>4109016088</v>
      </c>
      <c r="B27" s="121"/>
      <c r="C27" s="105" t="s">
        <v>487</v>
      </c>
      <c r="D27" s="238" t="s">
        <v>597</v>
      </c>
    </row>
    <row r="28" spans="1:4" ht="13" x14ac:dyDescent="0.3">
      <c r="A28" s="110">
        <v>4343616568</v>
      </c>
      <c r="B28" s="121"/>
      <c r="C28" s="105" t="s">
        <v>491</v>
      </c>
      <c r="D28" s="238" t="s">
        <v>595</v>
      </c>
    </row>
    <row r="29" spans="1:4" ht="13" x14ac:dyDescent="0.3">
      <c r="A29" s="110">
        <v>4483680641</v>
      </c>
      <c r="B29" s="121"/>
      <c r="C29" s="105" t="s">
        <v>493</v>
      </c>
      <c r="D29" s="238" t="s">
        <v>593</v>
      </c>
    </row>
    <row r="30" spans="1:4" ht="13" x14ac:dyDescent="0.3">
      <c r="A30" s="110">
        <v>4347092857</v>
      </c>
      <c r="B30" s="121"/>
      <c r="C30" s="105" t="s">
        <v>497</v>
      </c>
      <c r="D30" s="238" t="s">
        <v>591</v>
      </c>
    </row>
    <row r="31" spans="1:4" ht="13" x14ac:dyDescent="0.3">
      <c r="A31" s="110">
        <v>4583119461</v>
      </c>
      <c r="B31" s="121"/>
      <c r="C31" s="105" t="s">
        <v>499</v>
      </c>
      <c r="D31" s="238" t="s">
        <v>597</v>
      </c>
    </row>
    <row r="32" spans="1:4" ht="13" x14ac:dyDescent="0.3">
      <c r="A32" s="110">
        <v>4425422260</v>
      </c>
      <c r="B32" s="121"/>
      <c r="C32" s="105" t="s">
        <v>500</v>
      </c>
      <c r="D32" s="238" t="s">
        <v>592</v>
      </c>
    </row>
    <row r="33" spans="1:4" ht="13" x14ac:dyDescent="0.3">
      <c r="A33" s="110">
        <v>4382637317</v>
      </c>
      <c r="B33" s="121"/>
      <c r="C33" s="105" t="s">
        <v>502</v>
      </c>
      <c r="D33" s="238" t="s">
        <v>592</v>
      </c>
    </row>
    <row r="34" spans="1:4" ht="13" x14ac:dyDescent="0.3">
      <c r="A34" s="110">
        <v>6263484020</v>
      </c>
      <c r="B34" s="121"/>
      <c r="C34" s="105" t="s">
        <v>504</v>
      </c>
      <c r="D34" s="238" t="s">
        <v>591</v>
      </c>
    </row>
    <row r="35" spans="1:4" ht="13" x14ac:dyDescent="0.3">
      <c r="A35" s="110">
        <v>4508116930</v>
      </c>
      <c r="B35" s="121"/>
      <c r="C35" s="105" t="s">
        <v>505</v>
      </c>
      <c r="D35" s="238" t="s">
        <v>592</v>
      </c>
    </row>
    <row r="36" spans="1:4" ht="13" x14ac:dyDescent="0.3">
      <c r="A36" s="110">
        <v>6164754372</v>
      </c>
      <c r="B36" s="121"/>
      <c r="C36" s="105" t="s">
        <v>509</v>
      </c>
      <c r="D36" s="238" t="s">
        <v>597</v>
      </c>
    </row>
    <row r="37" spans="1:4" ht="13" x14ac:dyDescent="0.3">
      <c r="A37" s="110">
        <v>4041363497</v>
      </c>
      <c r="B37" s="121"/>
      <c r="C37" s="105" t="s">
        <v>512</v>
      </c>
      <c r="D37" s="238" t="s">
        <v>591</v>
      </c>
    </row>
    <row r="38" spans="1:4" ht="13" x14ac:dyDescent="0.3">
      <c r="A38" s="110">
        <v>4581977029</v>
      </c>
      <c r="B38" s="121"/>
      <c r="C38" s="105" t="s">
        <v>514</v>
      </c>
      <c r="D38" s="238" t="s">
        <v>595</v>
      </c>
    </row>
    <row r="39" spans="1:4" ht="13" x14ac:dyDescent="0.3">
      <c r="A39" s="110">
        <v>4381180755</v>
      </c>
      <c r="B39" s="121"/>
      <c r="C39" s="105" t="s">
        <v>516</v>
      </c>
      <c r="D39" s="238" t="s">
        <v>592</v>
      </c>
    </row>
    <row r="40" spans="1:4" ht="13" x14ac:dyDescent="0.3">
      <c r="A40" s="110">
        <v>6307569778</v>
      </c>
      <c r="B40" s="121"/>
      <c r="C40" s="105" t="s">
        <v>517</v>
      </c>
      <c r="D40" s="238" t="s">
        <v>593</v>
      </c>
    </row>
    <row r="41" spans="1:4" ht="13" x14ac:dyDescent="0.3">
      <c r="A41" s="110">
        <v>4122056497</v>
      </c>
      <c r="B41" s="121"/>
      <c r="C41" s="105" t="s">
        <v>522</v>
      </c>
      <c r="D41" s="238" t="s">
        <v>597</v>
      </c>
    </row>
    <row r="42" spans="1:4" ht="13" x14ac:dyDescent="0.3">
      <c r="A42" s="110">
        <v>4462765699</v>
      </c>
      <c r="B42" s="121"/>
      <c r="C42" s="105" t="s">
        <v>523</v>
      </c>
      <c r="D42" s="238" t="s">
        <v>596</v>
      </c>
    </row>
    <row r="43" spans="1:4" ht="13" x14ac:dyDescent="0.3">
      <c r="A43" s="110">
        <v>4520183251</v>
      </c>
      <c r="B43" s="121"/>
      <c r="C43" s="105" t="s">
        <v>525</v>
      </c>
      <c r="D43" s="238" t="s">
        <v>594</v>
      </c>
    </row>
    <row r="44" spans="1:4" ht="13" x14ac:dyDescent="0.3">
      <c r="A44" s="110">
        <v>4382520843</v>
      </c>
      <c r="B44" s="121"/>
      <c r="C44" s="105" t="s">
        <v>529</v>
      </c>
      <c r="D44" s="238" t="s">
        <v>598</v>
      </c>
    </row>
    <row r="45" spans="1:4" ht="13" x14ac:dyDescent="0.3">
      <c r="A45" s="110">
        <v>6187579429</v>
      </c>
      <c r="B45" s="121"/>
      <c r="C45" s="105" t="s">
        <v>532</v>
      </c>
      <c r="D45" s="238" t="s">
        <v>592</v>
      </c>
    </row>
    <row r="46" spans="1:4" ht="13" x14ac:dyDescent="0.3">
      <c r="A46" s="110">
        <v>4985797839</v>
      </c>
      <c r="B46" s="121"/>
      <c r="C46" s="105" t="s">
        <v>533</v>
      </c>
      <c r="D46" s="238" t="s">
        <v>591</v>
      </c>
    </row>
    <row r="47" spans="1:4" ht="13" x14ac:dyDescent="0.3">
      <c r="A47" s="110">
        <v>4487137144</v>
      </c>
      <c r="B47" s="121"/>
      <c r="C47" s="105" t="s">
        <v>534</v>
      </c>
      <c r="D47" s="238" t="s">
        <v>595</v>
      </c>
    </row>
    <row r="48" spans="1:4" ht="13" x14ac:dyDescent="0.3">
      <c r="A48" s="110">
        <v>4360677073</v>
      </c>
      <c r="B48" s="121"/>
      <c r="C48" s="105" t="s">
        <v>535</v>
      </c>
      <c r="D48" s="238" t="s">
        <v>594</v>
      </c>
    </row>
    <row r="49" spans="1:4" ht="13" x14ac:dyDescent="0.3">
      <c r="A49" s="114">
        <v>6229912589</v>
      </c>
      <c r="B49" s="121"/>
      <c r="C49" s="116" t="s">
        <v>539</v>
      </c>
      <c r="D49" s="238" t="s">
        <v>592</v>
      </c>
    </row>
    <row r="50" spans="1:4" ht="13" x14ac:dyDescent="0.3">
      <c r="A50" s="110">
        <v>4861611415</v>
      </c>
      <c r="B50" s="121"/>
      <c r="C50" s="105" t="s">
        <v>540</v>
      </c>
      <c r="D50" s="238" t="s">
        <v>595</v>
      </c>
    </row>
    <row r="51" spans="1:4" ht="13" x14ac:dyDescent="0.3">
      <c r="A51" s="110">
        <v>4489146531</v>
      </c>
      <c r="B51" s="121"/>
      <c r="C51" s="105" t="s">
        <v>541</v>
      </c>
      <c r="D51" s="238" t="s">
        <v>593</v>
      </c>
    </row>
    <row r="52" spans="1:4" ht="13" x14ac:dyDescent="0.3">
      <c r="A52" s="110">
        <v>4861418305</v>
      </c>
      <c r="B52" s="121"/>
      <c r="C52" s="105" t="s">
        <v>545</v>
      </c>
      <c r="D52" s="238" t="s">
        <v>595</v>
      </c>
    </row>
    <row r="53" spans="1:4" ht="13" x14ac:dyDescent="0.3">
      <c r="A53" s="110">
        <v>4960912111</v>
      </c>
      <c r="B53" s="121"/>
      <c r="C53" s="105" t="s">
        <v>548</v>
      </c>
      <c r="D53" s="238" t="s">
        <v>599</v>
      </c>
    </row>
    <row r="54" spans="1:4" ht="13" x14ac:dyDescent="0.3">
      <c r="A54" s="110">
        <v>4989469372</v>
      </c>
      <c r="B54" s="121"/>
      <c r="C54" s="105" t="s">
        <v>550</v>
      </c>
      <c r="D54" s="238" t="s">
        <v>592</v>
      </c>
    </row>
    <row r="55" spans="1:4" ht="13" x14ac:dyDescent="0.3">
      <c r="A55" s="110">
        <v>6286806113</v>
      </c>
      <c r="B55" s="121"/>
      <c r="C55" s="105" t="s">
        <v>553</v>
      </c>
      <c r="D55" s="238" t="s">
        <v>595</v>
      </c>
    </row>
    <row r="56" spans="1:4" ht="13" x14ac:dyDescent="0.3">
      <c r="A56" s="110">
        <v>4509149697</v>
      </c>
      <c r="B56" s="121"/>
      <c r="C56" s="105" t="s">
        <v>555</v>
      </c>
      <c r="D56" s="238" t="s">
        <v>593</v>
      </c>
    </row>
    <row r="57" spans="1:4" ht="13" x14ac:dyDescent="0.3">
      <c r="A57" s="110">
        <v>4343549844</v>
      </c>
      <c r="B57" s="121"/>
      <c r="C57" s="105" t="s">
        <v>557</v>
      </c>
      <c r="D57" s="238" t="s">
        <v>595</v>
      </c>
    </row>
    <row r="58" spans="1:4" ht="13" x14ac:dyDescent="0.3">
      <c r="A58" s="110">
        <v>4884142810</v>
      </c>
      <c r="B58" s="121"/>
      <c r="C58" s="105" t="s">
        <v>558</v>
      </c>
      <c r="D58" s="238" t="s">
        <v>598</v>
      </c>
    </row>
    <row r="59" spans="1:4" ht="13" x14ac:dyDescent="0.3">
      <c r="A59" s="110">
        <v>4520918901</v>
      </c>
      <c r="B59" s="121"/>
      <c r="C59" s="105" t="s">
        <v>560</v>
      </c>
      <c r="D59" s="238" t="s">
        <v>597</v>
      </c>
    </row>
    <row r="60" spans="1:4" ht="13" x14ac:dyDescent="0.3">
      <c r="A60" s="110">
        <v>4681263087</v>
      </c>
      <c r="B60" s="121"/>
      <c r="C60" s="105" t="s">
        <v>562</v>
      </c>
      <c r="D60" s="238" t="s">
        <v>592</v>
      </c>
    </row>
    <row r="61" spans="1:4" ht="13" x14ac:dyDescent="0.3">
      <c r="A61" s="110">
        <v>4509320175</v>
      </c>
      <c r="B61" s="121"/>
      <c r="C61" s="105" t="s">
        <v>564</v>
      </c>
      <c r="D61" s="238" t="s">
        <v>594</v>
      </c>
    </row>
    <row r="62" spans="1:4" ht="13" x14ac:dyDescent="0.3">
      <c r="A62" s="110">
        <v>4508605656</v>
      </c>
      <c r="B62" s="121"/>
      <c r="C62" s="105" t="s">
        <v>565</v>
      </c>
      <c r="D62" s="238" t="s">
        <v>592</v>
      </c>
    </row>
    <row r="63" spans="1:4" ht="13" x14ac:dyDescent="0.3">
      <c r="A63" s="110">
        <v>4450205227</v>
      </c>
      <c r="B63" s="121"/>
      <c r="C63" s="105" t="s">
        <v>568</v>
      </c>
      <c r="D63" s="238" t="s">
        <v>595</v>
      </c>
    </row>
    <row r="64" spans="1:4" ht="13" x14ac:dyDescent="0.3">
      <c r="A64" s="110">
        <v>4860694163</v>
      </c>
      <c r="B64" s="121"/>
      <c r="C64" s="105" t="s">
        <v>569</v>
      </c>
      <c r="D64" s="238" t="s">
        <v>594</v>
      </c>
    </row>
    <row r="65" spans="1:4" ht="13" x14ac:dyDescent="0.3">
      <c r="A65" s="110">
        <v>6060078338</v>
      </c>
      <c r="B65" s="121"/>
      <c r="C65" s="105" t="s">
        <v>572</v>
      </c>
      <c r="D65" s="238" t="s">
        <v>592</v>
      </c>
    </row>
    <row r="66" spans="1:4" ht="13" x14ac:dyDescent="0.3">
      <c r="A66" s="110">
        <v>4382127971</v>
      </c>
      <c r="B66" s="121"/>
      <c r="C66" s="105" t="s">
        <v>573</v>
      </c>
      <c r="D66" s="238" t="s">
        <v>592</v>
      </c>
    </row>
    <row r="67" spans="1:4" ht="13" x14ac:dyDescent="0.3">
      <c r="A67" s="110">
        <v>4980896464</v>
      </c>
      <c r="B67" s="121"/>
      <c r="C67" s="105" t="s">
        <v>574</v>
      </c>
      <c r="D67" s="238" t="s">
        <v>597</v>
      </c>
    </row>
    <row r="68" spans="1:4" ht="13" x14ac:dyDescent="0.3">
      <c r="A68" s="110">
        <v>4607910880</v>
      </c>
      <c r="B68" s="121"/>
      <c r="C68" s="105" t="s">
        <v>576</v>
      </c>
      <c r="D68" s="238" t="s">
        <v>592</v>
      </c>
    </row>
    <row r="69" spans="1:4" ht="13" x14ac:dyDescent="0.3">
      <c r="A69" s="114">
        <v>4981932650</v>
      </c>
      <c r="B69" s="145"/>
      <c r="C69" s="116" t="s">
        <v>577</v>
      </c>
      <c r="D69" s="238" t="s">
        <v>592</v>
      </c>
    </row>
    <row r="70" spans="1:4" ht="13" x14ac:dyDescent="0.3">
      <c r="A70" s="146">
        <v>4148143605</v>
      </c>
      <c r="B70" s="147"/>
      <c r="C70" s="151" t="s">
        <v>578</v>
      </c>
      <c r="D70" s="238" t="s">
        <v>595</v>
      </c>
    </row>
    <row r="71" spans="1:4" ht="13" x14ac:dyDescent="0.3">
      <c r="A71" s="146">
        <v>4382069122</v>
      </c>
      <c r="B71" s="7"/>
      <c r="C71" s="151" t="s">
        <v>582</v>
      </c>
      <c r="D71" s="238" t="s">
        <v>592</v>
      </c>
    </row>
    <row r="72" spans="1:4" ht="13" x14ac:dyDescent="0.3">
      <c r="A72" s="146">
        <v>4862265421</v>
      </c>
      <c r="B72" s="7"/>
      <c r="C72" s="151" t="s">
        <v>583</v>
      </c>
      <c r="D72" s="238" t="s">
        <v>597</v>
      </c>
    </row>
    <row r="73" spans="1:4" ht="13" x14ac:dyDescent="0.3">
      <c r="A73" s="146">
        <v>4581417937</v>
      </c>
      <c r="B73" s="7"/>
      <c r="C73" s="151" t="s">
        <v>585</v>
      </c>
      <c r="D73" s="238" t="s">
        <v>595</v>
      </c>
    </row>
    <row r="74" spans="1:4" ht="13" x14ac:dyDescent="0.3">
      <c r="A74" s="248">
        <v>6302622166</v>
      </c>
      <c r="B74" s="31"/>
      <c r="C74" s="249" t="s">
        <v>586</v>
      </c>
      <c r="D74" s="250" t="s">
        <v>595</v>
      </c>
    </row>
  </sheetData>
  <conditionalFormatting sqref="A2">
    <cfRule type="duplicateValues" dxfId="1200" priority="3"/>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9C3F7-3A48-493F-A92C-F18A1903AB8E}">
  <sheetPr codeName="Sheet3"/>
  <dimension ref="A1:NZ92"/>
  <sheetViews>
    <sheetView topLeftCell="AB1" workbookViewId="0">
      <selection activeCell="AB4" sqref="AB4:AN92"/>
    </sheetView>
  </sheetViews>
  <sheetFormatPr defaultColWidth="9.1796875" defaultRowHeight="13" outlineLevelCol="1" x14ac:dyDescent="0.3"/>
  <cols>
    <col min="1" max="1" width="12.453125" style="40" customWidth="1" outlineLevel="1"/>
    <col min="2" max="2" width="18.90625" style="40" customWidth="1" outlineLevel="1"/>
    <col min="3" max="3" width="28.1796875" style="40" customWidth="1" outlineLevel="1"/>
    <col min="4" max="4" width="22.08984375" style="40" customWidth="1" outlineLevel="1"/>
    <col min="5" max="5" width="28.81640625" style="40" customWidth="1" outlineLevel="1"/>
    <col min="6" max="7" width="22.453125" style="40" customWidth="1" outlineLevel="1"/>
    <col min="8" max="8" width="20" style="40" customWidth="1" outlineLevel="1"/>
    <col min="9" max="9" width="16.08984375" style="40" customWidth="1" outlineLevel="1"/>
    <col min="10" max="10" width="19.453125" style="40" customWidth="1" outlineLevel="1"/>
    <col min="11" max="11" width="19.1796875" style="40" customWidth="1" outlineLevel="1"/>
    <col min="12" max="12" width="18.08984375" style="40" customWidth="1" outlineLevel="1"/>
    <col min="13" max="13" width="26.36328125" style="40" customWidth="1" outlineLevel="1"/>
    <col min="14" max="14" width="25.54296875" style="40" customWidth="1" outlineLevel="1"/>
    <col min="15" max="15" width="17.6328125" style="40" customWidth="1" outlineLevel="1"/>
    <col min="16" max="16" width="25" style="40" customWidth="1" outlineLevel="1"/>
    <col min="17" max="17" width="32.453125" style="40" customWidth="1" outlineLevel="1"/>
    <col min="18" max="18" width="26.36328125" style="40" customWidth="1" outlineLevel="1"/>
    <col min="19" max="19" width="25.54296875" style="40" customWidth="1" outlineLevel="1"/>
    <col min="20" max="20" width="17.6328125" style="40" customWidth="1" outlineLevel="1"/>
    <col min="21" max="21" width="25" style="40" customWidth="1" outlineLevel="1"/>
    <col min="22" max="22" width="32.453125" style="40" customWidth="1" outlineLevel="1"/>
    <col min="23" max="23" width="25.36328125" style="40" customWidth="1" outlineLevel="1"/>
    <col min="24" max="24" width="31.7265625" style="40" customWidth="1" outlineLevel="1"/>
    <col min="25" max="25" width="23.81640625" style="40" customWidth="1" outlineLevel="1"/>
    <col min="26" max="26" width="31.1796875" style="40" customWidth="1" outlineLevel="1"/>
    <col min="27" max="27" width="33.7265625" style="40" customWidth="1" outlineLevel="1"/>
    <col min="28" max="29" width="16" style="40" customWidth="1" outlineLevel="1"/>
    <col min="30" max="30" width="23.453125" style="40" customWidth="1" outlineLevel="1"/>
    <col min="31" max="31" width="16" style="40" customWidth="1" outlineLevel="1"/>
    <col min="32" max="32" width="27.08984375" style="40" customWidth="1" outlineLevel="1"/>
    <col min="33" max="33" width="28.6328125" style="40" customWidth="1" outlineLevel="1"/>
    <col min="34" max="34" width="21.1796875" style="40" customWidth="1" outlineLevel="1"/>
    <col min="35" max="38" width="9.1796875" style="40" customWidth="1" outlineLevel="1"/>
    <col min="39" max="40" width="16" style="40" customWidth="1" outlineLevel="1"/>
    <col min="41" max="41" width="16.81640625" style="40" customWidth="1" outlineLevel="1"/>
    <col min="42" max="42" width="22.36328125" style="40" customWidth="1"/>
    <col min="43" max="43" width="37.36328125" style="40" customWidth="1"/>
    <col min="44" max="44" width="16" style="40" customWidth="1"/>
    <col min="45" max="45" width="20.6328125" style="40" customWidth="1"/>
    <col min="46" max="46" width="23.90625" style="40" customWidth="1"/>
    <col min="47" max="47" width="23.1796875" style="40" customWidth="1"/>
    <col min="48" max="48" width="29.54296875" style="40" customWidth="1" outlineLevel="1"/>
    <col min="49" max="49" width="16" style="40" customWidth="1" outlineLevel="1"/>
    <col min="50" max="50" width="20.6328125" style="40" customWidth="1" outlineLevel="1"/>
    <col min="51" max="51" width="23.90625" style="40" customWidth="1" outlineLevel="1"/>
    <col min="52" max="52" width="23.1796875" style="40" customWidth="1" outlineLevel="1"/>
    <col min="53" max="53" width="30" style="40" customWidth="1" outlineLevel="1"/>
    <col min="54" max="54" width="16" style="40" customWidth="1" outlineLevel="1"/>
    <col min="55" max="55" width="20.6328125" style="40" customWidth="1" outlineLevel="1"/>
    <col min="56" max="56" width="23.90625" style="40" customWidth="1" outlineLevel="1"/>
    <col min="57" max="57" width="23.1796875" style="40" customWidth="1" outlineLevel="1"/>
    <col min="58" max="58" width="30" style="40" customWidth="1" outlineLevel="1"/>
    <col min="59" max="59" width="16" style="40" customWidth="1" outlineLevel="1"/>
    <col min="60" max="60" width="20.6328125" style="40" customWidth="1" outlineLevel="1"/>
    <col min="61" max="61" width="23.90625" style="40" customWidth="1" outlineLevel="1"/>
    <col min="62" max="62" width="23.1796875" style="40" customWidth="1" outlineLevel="1"/>
    <col min="63" max="63" width="30" style="40" customWidth="1" outlineLevel="1"/>
    <col min="64" max="64" width="16" style="40" customWidth="1" outlineLevel="1"/>
    <col min="65" max="65" width="20.6328125" style="40" customWidth="1" outlineLevel="1"/>
    <col min="66" max="66" width="23.90625" style="40" customWidth="1" outlineLevel="1"/>
    <col min="67" max="67" width="23.1796875" style="40" customWidth="1" outlineLevel="1"/>
    <col min="68" max="68" width="30" style="40" customWidth="1" outlineLevel="1"/>
    <col min="69" max="69" width="16" style="40" customWidth="1" outlineLevel="1"/>
    <col min="70" max="70" width="20.6328125" style="40" customWidth="1" outlineLevel="1"/>
    <col min="71" max="71" width="23.90625" style="40" customWidth="1" outlineLevel="1"/>
    <col min="72" max="72" width="23.1796875" style="40" customWidth="1" outlineLevel="1"/>
    <col min="73" max="73" width="30" style="40" customWidth="1" outlineLevel="1"/>
    <col min="74" max="74" width="16" style="40" customWidth="1" outlineLevel="1"/>
    <col min="75" max="75" width="20.6328125" style="40" customWidth="1" outlineLevel="1"/>
    <col min="76" max="76" width="23.90625" style="40" customWidth="1" outlineLevel="1"/>
    <col min="77" max="77" width="23.1796875" style="40" customWidth="1" outlineLevel="1"/>
    <col min="78" max="78" width="30" style="40" customWidth="1" outlineLevel="1"/>
    <col min="79" max="79" width="16" style="40" customWidth="1" outlineLevel="1"/>
    <col min="80" max="80" width="20.6328125" style="40" customWidth="1" outlineLevel="1"/>
    <col min="81" max="81" width="23.90625" style="40" customWidth="1" outlineLevel="1"/>
    <col min="82" max="82" width="23.1796875" style="40" customWidth="1" outlineLevel="1"/>
    <col min="83" max="83" width="30" style="40" customWidth="1" outlineLevel="1"/>
    <col min="84" max="84" width="16" style="40" customWidth="1" outlineLevel="1"/>
    <col min="85" max="85" width="20.6328125" style="40" customWidth="1" outlineLevel="1"/>
    <col min="86" max="86" width="23.90625" style="40" customWidth="1" outlineLevel="1"/>
    <col min="87" max="87" width="23.1796875" style="40" customWidth="1" outlineLevel="1"/>
    <col min="88" max="88" width="30" style="40" customWidth="1" outlineLevel="1"/>
    <col min="89" max="89" width="16.6328125" style="40" customWidth="1" outlineLevel="1"/>
    <col min="90" max="90" width="21.54296875" style="40" customWidth="1" outlineLevel="1"/>
    <col min="91" max="91" width="24.81640625" style="40" customWidth="1" outlineLevel="1"/>
    <col min="92" max="92" width="24.08984375" style="40" customWidth="1" outlineLevel="1"/>
    <col min="93" max="93" width="30.453125" style="40" customWidth="1" outlineLevel="1"/>
    <col min="94" max="94" width="15.81640625" style="40" customWidth="1"/>
    <col min="95" max="95" width="17.7265625" style="40" customWidth="1"/>
    <col min="96" max="96" width="21" style="40" customWidth="1"/>
    <col min="97" max="97" width="20.26953125" style="40" customWidth="1"/>
    <col min="98" max="98" width="26.6328125" style="40" customWidth="1"/>
    <col min="99" max="99" width="15.81640625" style="40" customWidth="1" outlineLevel="1"/>
    <col min="100" max="100" width="17.7265625" style="40" customWidth="1" outlineLevel="1"/>
    <col min="101" max="101" width="21" style="40" customWidth="1" outlineLevel="1"/>
    <col min="102" max="102" width="20.26953125" style="40" customWidth="1" outlineLevel="1"/>
    <col min="103" max="103" width="27.08984375" style="40" customWidth="1" outlineLevel="1"/>
    <col min="104" max="104" width="15.81640625" style="40" customWidth="1" outlineLevel="1"/>
    <col min="105" max="105" width="17.7265625" style="40" customWidth="1" outlineLevel="1"/>
    <col min="106" max="106" width="21" style="40" customWidth="1" outlineLevel="1"/>
    <col min="107" max="107" width="20.26953125" style="40" customWidth="1" outlineLevel="1"/>
    <col min="108" max="108" width="27.08984375" style="40" customWidth="1" outlineLevel="1"/>
    <col min="109" max="109" width="15.81640625" style="40" customWidth="1" outlineLevel="1"/>
    <col min="110" max="110" width="17.7265625" style="40" customWidth="1" outlineLevel="1"/>
    <col min="111" max="111" width="21" style="40" customWidth="1" outlineLevel="1"/>
    <col min="112" max="112" width="20.26953125" style="40" customWidth="1" outlineLevel="1"/>
    <col min="113" max="113" width="27.08984375" style="40" customWidth="1" outlineLevel="1"/>
    <col min="114" max="114" width="15.81640625" style="40" customWidth="1" outlineLevel="1"/>
    <col min="115" max="115" width="17.7265625" style="40" customWidth="1" outlineLevel="1"/>
    <col min="116" max="116" width="21" style="40" customWidth="1" outlineLevel="1"/>
    <col min="117" max="117" width="20.26953125" style="40" customWidth="1" outlineLevel="1"/>
    <col min="118" max="118" width="27.08984375" style="40" customWidth="1" outlineLevel="1"/>
    <col min="119" max="119" width="15.81640625" style="40" customWidth="1" outlineLevel="1"/>
    <col min="120" max="120" width="17.7265625" style="40" customWidth="1" outlineLevel="1"/>
    <col min="121" max="121" width="21" style="40" customWidth="1" outlineLevel="1"/>
    <col min="122" max="122" width="20.26953125" style="40" customWidth="1" outlineLevel="1"/>
    <col min="123" max="123" width="27.08984375" style="40" customWidth="1" outlineLevel="1"/>
    <col min="124" max="124" width="15.81640625" style="40" customWidth="1" outlineLevel="1"/>
    <col min="125" max="125" width="17.7265625" style="40" customWidth="1" outlineLevel="1"/>
    <col min="126" max="126" width="21" style="40" customWidth="1" outlineLevel="1"/>
    <col min="127" max="127" width="20.26953125" style="40" customWidth="1" outlineLevel="1"/>
    <col min="128" max="128" width="27.08984375" style="40" customWidth="1" outlineLevel="1"/>
    <col min="129" max="129" width="15.81640625" style="40" customWidth="1" outlineLevel="1"/>
    <col min="130" max="130" width="17.7265625" style="40" customWidth="1" outlineLevel="1"/>
    <col min="131" max="131" width="21" style="40" customWidth="1" outlineLevel="1"/>
    <col min="132" max="132" width="20.26953125" style="40" customWidth="1" outlineLevel="1"/>
    <col min="133" max="133" width="27.08984375" style="40" customWidth="1" outlineLevel="1"/>
    <col min="134" max="134" width="15.81640625" style="40" customWidth="1" outlineLevel="1"/>
    <col min="135" max="135" width="17.7265625" style="40" customWidth="1" outlineLevel="1"/>
    <col min="136" max="136" width="21" style="40" customWidth="1" outlineLevel="1"/>
    <col min="137" max="137" width="20.26953125" style="40" customWidth="1" outlineLevel="1"/>
    <col min="138" max="138" width="27.08984375" style="40" customWidth="1" outlineLevel="1"/>
    <col min="139" max="139" width="15.81640625" style="40" customWidth="1" outlineLevel="1"/>
    <col min="140" max="140" width="18.6328125" style="40" customWidth="1" outlineLevel="1"/>
    <col min="141" max="141" width="21.90625" style="40" customWidth="1" outlineLevel="1"/>
    <col min="142" max="142" width="21.1796875" style="40" customWidth="1" outlineLevel="1"/>
    <col min="143" max="143" width="27.54296875" style="40" customWidth="1" outlineLevel="1"/>
    <col min="144" max="144" width="15.81640625" style="40" customWidth="1" outlineLevel="1"/>
    <col min="145" max="145" width="18.6328125" style="40" customWidth="1" outlineLevel="1"/>
    <col min="146" max="146" width="21.90625" style="40" customWidth="1" outlineLevel="1"/>
    <col min="147" max="147" width="21.1796875" style="40" customWidth="1" outlineLevel="1"/>
    <col min="148" max="148" width="27.54296875" style="40" customWidth="1" outlineLevel="1"/>
    <col min="149" max="149" width="15.81640625" style="40" customWidth="1" outlineLevel="1"/>
    <col min="150" max="150" width="18.6328125" style="40" customWidth="1" outlineLevel="1"/>
    <col min="151" max="151" width="21.90625" style="40" customWidth="1" outlineLevel="1"/>
    <col min="152" max="152" width="21.1796875" style="40" customWidth="1" outlineLevel="1"/>
    <col min="153" max="153" width="27.54296875" style="40" customWidth="1" outlineLevel="1"/>
    <col min="154" max="154" width="15.81640625" style="40" customWidth="1" outlineLevel="1"/>
    <col min="155" max="155" width="18.6328125" style="40" customWidth="1" outlineLevel="1"/>
    <col min="156" max="156" width="21.90625" style="40" customWidth="1" outlineLevel="1"/>
    <col min="157" max="157" width="21.1796875" style="40" customWidth="1" outlineLevel="1"/>
    <col min="158" max="158" width="27.54296875" style="40" customWidth="1" outlineLevel="1"/>
    <col min="159" max="159" width="15.81640625" style="40" customWidth="1" outlineLevel="1"/>
    <col min="160" max="160" width="18.6328125" style="40" customWidth="1" outlineLevel="1"/>
    <col min="161" max="161" width="21.90625" style="40" customWidth="1" outlineLevel="1"/>
    <col min="162" max="162" width="21.1796875" style="40" customWidth="1" outlineLevel="1"/>
    <col min="163" max="163" width="27.54296875" style="40" customWidth="1" outlineLevel="1"/>
    <col min="164" max="164" width="15.81640625" style="40" customWidth="1" outlineLevel="1"/>
    <col min="165" max="165" width="18.6328125" style="40" customWidth="1" outlineLevel="1"/>
    <col min="166" max="166" width="21.90625" style="40" customWidth="1" outlineLevel="1"/>
    <col min="167" max="167" width="21.1796875" style="40" customWidth="1" outlineLevel="1"/>
    <col min="168" max="168" width="26.54296875" style="40" customWidth="1"/>
    <col min="169" max="169" width="26.453125" style="40" customWidth="1"/>
    <col min="170" max="170" width="26.54296875" style="40" customWidth="1" outlineLevel="1"/>
    <col min="171" max="171" width="26.453125" style="40" customWidth="1" outlineLevel="1"/>
    <col min="172" max="172" width="26.54296875" style="40" customWidth="1" outlineLevel="1"/>
    <col min="173" max="173" width="26.453125" style="40" customWidth="1" outlineLevel="1"/>
    <col min="174" max="174" width="26.54296875" style="40" customWidth="1" outlineLevel="1"/>
    <col min="175" max="175" width="26.453125" style="40" customWidth="1" outlineLevel="1"/>
    <col min="176" max="176" width="26.54296875" style="40" customWidth="1" outlineLevel="1"/>
    <col min="177" max="177" width="26.453125" style="40" customWidth="1" outlineLevel="1"/>
    <col min="178" max="178" width="26.54296875" style="40" customWidth="1" outlineLevel="1"/>
    <col min="179" max="179" width="26.453125" style="40" customWidth="1" outlineLevel="1"/>
    <col min="180" max="180" width="26.54296875" style="40" customWidth="1" outlineLevel="1"/>
    <col min="181" max="181" width="26.453125" style="40" customWidth="1" outlineLevel="1"/>
    <col min="182" max="182" width="26.54296875" style="40" customWidth="1" outlineLevel="1"/>
    <col min="183" max="183" width="26.453125" style="40" customWidth="1" outlineLevel="1"/>
    <col min="184" max="184" width="26.54296875" style="40" customWidth="1" outlineLevel="1"/>
    <col min="185" max="185" width="26.453125" style="40" customWidth="1" outlineLevel="1"/>
    <col min="186" max="186" width="27.453125" style="40" customWidth="1" outlineLevel="1"/>
    <col min="187" max="187" width="27.36328125" style="40" customWidth="1" outlineLevel="1"/>
    <col min="188" max="188" width="27.453125" style="40" customWidth="1" outlineLevel="1"/>
    <col min="189" max="189" width="27.36328125" style="40" customWidth="1" outlineLevel="1"/>
    <col min="190" max="190" width="27.453125" style="40" customWidth="1" outlineLevel="1"/>
    <col min="191" max="191" width="27.36328125" style="40" customWidth="1" outlineLevel="1"/>
    <col min="192" max="192" width="27.453125" style="40" customWidth="1" outlineLevel="1"/>
    <col min="193" max="193" width="27.36328125" style="40" customWidth="1" outlineLevel="1"/>
    <col min="194" max="194" width="27.453125" style="40" customWidth="1" outlineLevel="1"/>
    <col min="195" max="195" width="27.36328125" style="40" customWidth="1" outlineLevel="1"/>
    <col min="196" max="196" width="27.453125" style="40" customWidth="1" outlineLevel="1"/>
    <col min="197" max="197" width="27.36328125" style="40" customWidth="1" outlineLevel="1"/>
    <col min="198" max="198" width="16" style="40" customWidth="1"/>
    <col min="199" max="199" width="19.81640625" style="40" customWidth="1"/>
    <col min="200" max="200" width="23.08984375" style="40" customWidth="1"/>
    <col min="201" max="201" width="23.90625" style="40" customWidth="1"/>
    <col min="202" max="202" width="30.81640625" style="40" customWidth="1" outlineLevel="1"/>
    <col min="203" max="203" width="16" style="40" customWidth="1" outlineLevel="1"/>
    <col min="204" max="204" width="19.81640625" style="40" customWidth="1" outlineLevel="1"/>
    <col min="205" max="205" width="23.08984375" style="40" customWidth="1" outlineLevel="1"/>
    <col min="206" max="206" width="23.90625" style="40" customWidth="1" outlineLevel="1"/>
    <col min="207" max="207" width="30.81640625" style="40" customWidth="1" outlineLevel="1"/>
    <col min="208" max="208" width="16" style="40" customWidth="1" outlineLevel="1"/>
    <col min="209" max="209" width="19.81640625" style="40" customWidth="1" outlineLevel="1"/>
    <col min="210" max="210" width="23.08984375" style="40" customWidth="1" outlineLevel="1"/>
    <col min="211" max="211" width="23.90625" style="40" customWidth="1" outlineLevel="1"/>
    <col min="212" max="212" width="30.81640625" style="40" customWidth="1" outlineLevel="1"/>
    <col min="213" max="213" width="16" style="40" customWidth="1" outlineLevel="1"/>
    <col min="214" max="214" width="19.81640625" style="40" customWidth="1" outlineLevel="1"/>
    <col min="215" max="215" width="23.08984375" style="40" customWidth="1" outlineLevel="1"/>
    <col min="216" max="216" width="23.90625" style="40" customWidth="1" outlineLevel="1"/>
    <col min="217" max="217" width="30.81640625" style="40" customWidth="1" outlineLevel="1"/>
    <col min="218" max="218" width="16" style="40" customWidth="1" outlineLevel="1"/>
    <col min="219" max="219" width="19.81640625" style="40" customWidth="1" outlineLevel="1"/>
    <col min="220" max="220" width="23.08984375" style="40" customWidth="1" outlineLevel="1"/>
    <col min="221" max="221" width="23.90625" style="40" customWidth="1" outlineLevel="1"/>
    <col min="222" max="222" width="30.81640625" style="40" customWidth="1" outlineLevel="1"/>
    <col min="223" max="223" width="16" style="40" customWidth="1" outlineLevel="1"/>
    <col min="224" max="224" width="19.81640625" style="40" customWidth="1" outlineLevel="1"/>
    <col min="225" max="225" width="23.08984375" style="40" customWidth="1" outlineLevel="1"/>
    <col min="226" max="226" width="23.90625" style="40" customWidth="1" outlineLevel="1"/>
    <col min="227" max="227" width="30.81640625" style="40" customWidth="1" outlineLevel="1"/>
    <col min="228" max="228" width="16" style="40" customWidth="1" outlineLevel="1"/>
    <col min="229" max="229" width="19.81640625" style="40" customWidth="1" outlineLevel="1"/>
    <col min="230" max="230" width="23.08984375" style="40" customWidth="1" outlineLevel="1"/>
    <col min="231" max="231" width="23.90625" style="40" customWidth="1" outlineLevel="1"/>
    <col min="232" max="232" width="30.81640625" style="40" customWidth="1" outlineLevel="1"/>
    <col min="233" max="233" width="16" style="40" customWidth="1" outlineLevel="1"/>
    <col min="234" max="234" width="19.81640625" style="40" customWidth="1" outlineLevel="1"/>
    <col min="235" max="235" width="23.08984375" style="40" customWidth="1" outlineLevel="1"/>
    <col min="236" max="236" width="23.90625" style="40" customWidth="1" outlineLevel="1"/>
    <col min="237" max="237" width="30.81640625" style="40" customWidth="1" outlineLevel="1"/>
    <col min="238" max="238" width="16" style="40" customWidth="1" outlineLevel="1"/>
    <col min="239" max="239" width="19.81640625" style="40" customWidth="1" outlineLevel="1"/>
    <col min="240" max="240" width="23.08984375" style="40" customWidth="1" outlineLevel="1"/>
    <col min="241" max="241" width="23.90625" style="40" customWidth="1" outlineLevel="1"/>
    <col min="242" max="242" width="30.81640625" style="40" customWidth="1" outlineLevel="1"/>
    <col min="243" max="243" width="16" style="40" customWidth="1" outlineLevel="1"/>
    <col min="244" max="244" width="20.7265625" style="40" customWidth="1" outlineLevel="1"/>
    <col min="245" max="245" width="24" style="40" customWidth="1" outlineLevel="1"/>
    <col min="246" max="246" width="24.81640625" style="40" customWidth="1" outlineLevel="1"/>
    <col min="247" max="247" width="31.7265625" style="40" customWidth="1" outlineLevel="1"/>
    <col min="248" max="248" width="16" style="40" customWidth="1" outlineLevel="1"/>
    <col min="249" max="249" width="20.7265625" style="40" customWidth="1" outlineLevel="1"/>
    <col min="250" max="250" width="24" style="40" customWidth="1" outlineLevel="1"/>
    <col min="251" max="251" width="24.81640625" style="40" customWidth="1" outlineLevel="1"/>
    <col min="252" max="252" width="31.7265625" style="40" customWidth="1" outlineLevel="1"/>
    <col min="253" max="253" width="16" style="40" customWidth="1" outlineLevel="1"/>
    <col min="254" max="254" width="20.7265625" style="40" customWidth="1" outlineLevel="1"/>
    <col min="255" max="255" width="24" style="40" customWidth="1" outlineLevel="1"/>
    <col min="256" max="256" width="24.81640625" style="40" customWidth="1" outlineLevel="1"/>
    <col min="257" max="257" width="31.7265625" style="40" customWidth="1" outlineLevel="1"/>
    <col min="258" max="258" width="16" style="40" customWidth="1" outlineLevel="1"/>
    <col min="259" max="259" width="20.7265625" style="40" customWidth="1" outlineLevel="1"/>
    <col min="260" max="260" width="24" style="40" customWidth="1" outlineLevel="1"/>
    <col min="261" max="261" width="24.81640625" style="40" customWidth="1" outlineLevel="1"/>
    <col min="262" max="262" width="31.7265625" style="40" customWidth="1" outlineLevel="1"/>
    <col min="263" max="263" width="16" style="40" customWidth="1" outlineLevel="1"/>
    <col min="264" max="264" width="20.7265625" style="40" customWidth="1" outlineLevel="1"/>
    <col min="265" max="265" width="24" style="40" customWidth="1" outlineLevel="1"/>
    <col min="266" max="266" width="24.81640625" style="40" customWidth="1" outlineLevel="1"/>
    <col min="267" max="267" width="31.7265625" style="40" customWidth="1" outlineLevel="1"/>
    <col min="268" max="268" width="16" style="40" customWidth="1" outlineLevel="1"/>
    <col min="269" max="269" width="20.7265625" style="40" customWidth="1" outlineLevel="1"/>
    <col min="270" max="270" width="24" style="40" customWidth="1" outlineLevel="1"/>
    <col min="271" max="271" width="24.81640625" style="40" customWidth="1" outlineLevel="1"/>
    <col min="272" max="272" width="31.7265625" style="40" customWidth="1" outlineLevel="1"/>
    <col min="273" max="273" width="13.81640625" style="40" customWidth="1"/>
    <col min="274" max="274" width="11.36328125" style="40" customWidth="1"/>
    <col min="275" max="275" width="19.54296875" style="40" customWidth="1"/>
    <col min="276" max="276" width="14.26953125" style="40" customWidth="1"/>
    <col min="277" max="277" width="17.453125" style="40" customWidth="1"/>
    <col min="278" max="278" width="14" style="40" customWidth="1"/>
    <col min="279" max="279" width="26.54296875" style="40" customWidth="1"/>
    <col min="280" max="280" width="25.08984375" style="40" customWidth="1"/>
    <col min="281" max="281" width="27.08984375" style="40" customWidth="1"/>
    <col min="282" max="282" width="26.36328125" style="40" customWidth="1" outlineLevel="1"/>
    <col min="283" max="283" width="27.08984375" style="40" customWidth="1" outlineLevel="1"/>
    <col min="284" max="284" width="26.36328125" style="40" customWidth="1" outlineLevel="1"/>
    <col min="285" max="285" width="27.08984375" style="40" customWidth="1" outlineLevel="1"/>
    <col min="286" max="286" width="26.36328125" style="40" customWidth="1" outlineLevel="1"/>
    <col min="287" max="287" width="27.08984375" style="40" customWidth="1" outlineLevel="1"/>
    <col min="288" max="288" width="26.36328125" style="40" customWidth="1" outlineLevel="1"/>
    <col min="289" max="289" width="27.08984375" style="40" customWidth="1" outlineLevel="1"/>
    <col min="290" max="290" width="26.36328125" style="40" customWidth="1" outlineLevel="1"/>
    <col min="291" max="291" width="27.08984375" style="40" customWidth="1" outlineLevel="1"/>
    <col min="292" max="292" width="26.36328125" style="40" customWidth="1" outlineLevel="1"/>
    <col min="293" max="293" width="27.08984375" style="40" customWidth="1" outlineLevel="1"/>
    <col min="294" max="294" width="26.36328125" style="40" customWidth="1" outlineLevel="1"/>
    <col min="295" max="295" width="27.08984375" style="40" customWidth="1" outlineLevel="1"/>
    <col min="296" max="296" width="26.36328125" style="40" customWidth="1" outlineLevel="1"/>
    <col min="297" max="297" width="27.08984375" style="40" customWidth="1" outlineLevel="1"/>
    <col min="298" max="298" width="26.36328125" style="40" customWidth="1" outlineLevel="1"/>
    <col min="299" max="299" width="28" style="40" customWidth="1" outlineLevel="1"/>
    <col min="300" max="300" width="27.26953125" style="40" customWidth="1" outlineLevel="1"/>
    <col min="301" max="301" width="23.1796875" style="40" customWidth="1" outlineLevel="1"/>
    <col min="302" max="302" width="22.36328125" style="40" customWidth="1" outlineLevel="1"/>
    <col min="303" max="304" width="28.1796875" style="40" customWidth="1" outlineLevel="1"/>
    <col min="305" max="305" width="34.36328125" style="40" customWidth="1" outlineLevel="1"/>
    <col min="306" max="306" width="24.1796875" style="40" customWidth="1" outlineLevel="1"/>
    <col min="307" max="307" width="23.453125" style="40" customWidth="1" outlineLevel="1"/>
    <col min="308" max="308" width="24.1796875" style="40" customWidth="1" outlineLevel="1"/>
    <col min="309" max="309" width="23.453125" style="40" customWidth="1" outlineLevel="1"/>
    <col min="310" max="310" width="24.1796875" style="40" customWidth="1" outlineLevel="1"/>
    <col min="311" max="311" width="23.453125" style="40" customWidth="1" outlineLevel="1"/>
    <col min="312" max="312" width="24.1796875" style="40" customWidth="1" outlineLevel="1"/>
    <col min="313" max="313" width="23.453125" style="40" customWidth="1" outlineLevel="1"/>
    <col min="314" max="314" width="24.1796875" style="40" customWidth="1" outlineLevel="1"/>
    <col min="315" max="315" width="23.453125" style="40" customWidth="1" outlineLevel="1"/>
    <col min="316" max="316" width="24.1796875" style="40" customWidth="1" outlineLevel="1"/>
    <col min="317" max="317" width="23.453125" style="40" customWidth="1" outlineLevel="1"/>
    <col min="318" max="318" width="24.1796875" style="40" customWidth="1" outlineLevel="1"/>
    <col min="319" max="319" width="23.453125" style="40" customWidth="1" outlineLevel="1"/>
    <col min="320" max="320" width="24.1796875" style="40" customWidth="1" outlineLevel="1"/>
    <col min="321" max="321" width="23.453125" style="40" customWidth="1" outlineLevel="1"/>
    <col min="322" max="322" width="24.1796875" style="40" customWidth="1" outlineLevel="1"/>
    <col min="323" max="323" width="23.453125" style="40" customWidth="1" outlineLevel="1"/>
    <col min="324" max="324" width="25.08984375" style="40" customWidth="1" outlineLevel="1"/>
    <col min="325" max="325" width="24.36328125" style="40" customWidth="1" outlineLevel="1"/>
    <col min="326" max="326" width="25.08984375" style="40" customWidth="1" outlineLevel="1"/>
    <col min="327" max="327" width="24.36328125" style="40" customWidth="1" outlineLevel="1"/>
    <col min="328" max="328" width="25.08984375" style="40" customWidth="1" outlineLevel="1"/>
    <col min="329" max="329" width="24.36328125" style="40" customWidth="1" outlineLevel="1"/>
    <col min="330" max="330" width="25.08984375" style="40" customWidth="1" outlineLevel="1"/>
    <col min="331" max="331" width="24.36328125" style="40" customWidth="1" outlineLevel="1"/>
    <col min="332" max="332" width="25.08984375" style="40" customWidth="1" outlineLevel="1"/>
    <col min="333" max="333" width="24.36328125" style="40" customWidth="1" outlineLevel="1"/>
    <col min="334" max="334" width="25.08984375" style="40" customWidth="1" outlineLevel="1"/>
    <col min="335" max="335" width="24.36328125" style="40" customWidth="1" outlineLevel="1"/>
    <col min="336" max="344" width="29.7265625" style="40" customWidth="1" outlineLevel="1"/>
    <col min="345" max="350" width="30.6328125" style="40" customWidth="1" outlineLevel="1"/>
    <col min="351" max="351" width="26.26953125" style="40" customWidth="1" outlineLevel="1"/>
    <col min="352" max="352" width="27.08984375" style="40" customWidth="1" outlineLevel="1"/>
    <col min="353" max="353" width="26.26953125" style="40" customWidth="1" outlineLevel="1"/>
    <col min="354" max="354" width="27.08984375" style="40" customWidth="1" outlineLevel="1"/>
    <col min="355" max="355" width="26.26953125" style="40" customWidth="1" outlineLevel="1"/>
    <col min="356" max="356" width="27.08984375" style="40" customWidth="1" outlineLevel="1"/>
    <col min="357" max="357" width="26.26953125" style="40" customWidth="1" outlineLevel="1"/>
    <col min="358" max="358" width="27.08984375" style="40" customWidth="1" outlineLevel="1"/>
    <col min="359" max="359" width="26.26953125" style="40" customWidth="1" outlineLevel="1"/>
    <col min="360" max="360" width="27.08984375" style="40" customWidth="1" outlineLevel="1"/>
    <col min="361" max="361" width="26.26953125" style="40" customWidth="1" outlineLevel="1"/>
    <col min="362" max="362" width="27.08984375" style="40" customWidth="1" outlineLevel="1"/>
    <col min="363" max="363" width="26.26953125" style="40" customWidth="1" outlineLevel="1"/>
    <col min="364" max="364" width="27.08984375" style="40" customWidth="1" outlineLevel="1"/>
    <col min="365" max="365" width="26.26953125" style="40" customWidth="1" outlineLevel="1"/>
    <col min="366" max="366" width="27.08984375" style="40" customWidth="1" outlineLevel="1"/>
    <col min="367" max="367" width="26.26953125" style="40" customWidth="1" outlineLevel="1"/>
    <col min="368" max="368" width="27.08984375" style="40" customWidth="1" outlineLevel="1"/>
    <col min="369" max="369" width="27.1796875" style="40" customWidth="1" outlineLevel="1"/>
    <col min="370" max="370" width="28" style="40" customWidth="1" outlineLevel="1"/>
    <col min="371" max="371" width="27.1796875" style="40" customWidth="1" outlineLevel="1"/>
    <col min="372" max="372" width="28" style="40" customWidth="1" outlineLevel="1"/>
    <col min="373" max="373" width="27.1796875" style="40" customWidth="1" outlineLevel="1"/>
    <col min="374" max="374" width="28" style="40" customWidth="1" outlineLevel="1"/>
    <col min="375" max="375" width="27.1796875" style="40" customWidth="1" outlineLevel="1"/>
    <col min="376" max="376" width="28" style="40" customWidth="1" outlineLevel="1"/>
    <col min="377" max="377" width="27.1796875" style="40" customWidth="1" outlineLevel="1"/>
    <col min="378" max="378" width="28" style="40" customWidth="1" outlineLevel="1"/>
    <col min="379" max="379" width="27.1796875" style="40" customWidth="1" outlineLevel="1"/>
    <col min="380" max="380" width="28" style="40" customWidth="1" outlineLevel="1"/>
    <col min="381" max="381" width="18.6328125" style="40" customWidth="1" outlineLevel="1"/>
    <col min="382" max="382" width="20.7265625" style="40" customWidth="1" outlineLevel="1"/>
    <col min="383" max="383" width="24.81640625" style="40" customWidth="1" outlineLevel="1"/>
    <col min="384" max="384" width="20.453125" style="40" customWidth="1" outlineLevel="1"/>
    <col min="385" max="385" width="29.54296875" style="40" customWidth="1" outlineLevel="1"/>
    <col min="386" max="386" width="37" style="40" customWidth="1" outlineLevel="1"/>
    <col min="387" max="387" width="26.453125" style="40" customWidth="1" outlineLevel="1"/>
    <col min="388" max="388" width="18.453125" style="40" customWidth="1" outlineLevel="1"/>
    <col min="389" max="389" width="21.36328125" style="40" customWidth="1" outlineLevel="1"/>
    <col min="390" max="390" width="29.08984375" style="40" customWidth="1" outlineLevel="1"/>
    <col min="391" max="16384" width="9.1796875" style="40"/>
  </cols>
  <sheetData>
    <row r="1" spans="1:390" ht="18" x14ac:dyDescent="0.4">
      <c r="A1" s="24" t="s">
        <v>0</v>
      </c>
    </row>
    <row r="2" spans="1:390" ht="18.5" x14ac:dyDescent="0.45">
      <c r="A2" s="39"/>
    </row>
    <row r="3" spans="1:390" ht="58.5" customHeight="1" x14ac:dyDescent="0.3">
      <c r="A3" s="41" t="s">
        <v>1</v>
      </c>
      <c r="B3" s="41" t="s">
        <v>2</v>
      </c>
      <c r="C3" s="41" t="s">
        <v>3</v>
      </c>
      <c r="D3" s="42" t="s">
        <v>4</v>
      </c>
      <c r="E3" s="42" t="s">
        <v>5</v>
      </c>
      <c r="F3" s="42" t="s">
        <v>6</v>
      </c>
      <c r="G3" s="42" t="s">
        <v>7</v>
      </c>
      <c r="H3" s="43" t="s">
        <v>8</v>
      </c>
      <c r="I3" s="44" t="s">
        <v>9</v>
      </c>
      <c r="J3" s="44" t="s">
        <v>10</v>
      </c>
      <c r="K3" s="42" t="s">
        <v>11</v>
      </c>
      <c r="L3" s="41" t="s">
        <v>12</v>
      </c>
      <c r="M3" s="45" t="s">
        <v>13</v>
      </c>
      <c r="N3" s="45" t="s">
        <v>14</v>
      </c>
      <c r="O3" s="45" t="s">
        <v>15</v>
      </c>
      <c r="P3" s="46" t="s">
        <v>16</v>
      </c>
      <c r="Q3" s="41" t="s">
        <v>17</v>
      </c>
      <c r="R3" s="45" t="s">
        <v>18</v>
      </c>
      <c r="S3" s="45" t="s">
        <v>19</v>
      </c>
      <c r="T3" s="45" t="s">
        <v>20</v>
      </c>
      <c r="U3" s="46" t="s">
        <v>21</v>
      </c>
      <c r="V3" s="41" t="s">
        <v>22</v>
      </c>
      <c r="W3" s="45" t="s">
        <v>23</v>
      </c>
      <c r="X3" s="45" t="s">
        <v>24</v>
      </c>
      <c r="Y3" s="45" t="s">
        <v>25</v>
      </c>
      <c r="Z3" s="46" t="s">
        <v>26</v>
      </c>
      <c r="AA3" s="41" t="s">
        <v>27</v>
      </c>
      <c r="AB3" s="42" t="s">
        <v>28</v>
      </c>
      <c r="AC3" s="47" t="s">
        <v>29</v>
      </c>
      <c r="AD3" s="48" t="s">
        <v>30</v>
      </c>
      <c r="AE3" s="49" t="s">
        <v>31</v>
      </c>
      <c r="AF3" s="50" t="s">
        <v>32</v>
      </c>
      <c r="AG3" s="51" t="s">
        <v>33</v>
      </c>
      <c r="AH3" s="52" t="s">
        <v>34</v>
      </c>
      <c r="AI3" s="52" t="s">
        <v>35</v>
      </c>
      <c r="AJ3" s="52" t="s">
        <v>36</v>
      </c>
      <c r="AK3" s="52" t="s">
        <v>37</v>
      </c>
      <c r="AL3" s="52" t="s">
        <v>38</v>
      </c>
      <c r="AM3" s="122" t="s">
        <v>39</v>
      </c>
      <c r="AN3" s="50" t="s">
        <v>40</v>
      </c>
      <c r="AO3" s="53" t="s">
        <v>41</v>
      </c>
      <c r="AP3" s="54" t="s">
        <v>42</v>
      </c>
      <c r="AQ3" s="55" t="s">
        <v>43</v>
      </c>
      <c r="AR3" s="55" t="s">
        <v>44</v>
      </c>
      <c r="AS3" s="55" t="s">
        <v>45</v>
      </c>
      <c r="AT3" s="56" t="s">
        <v>46</v>
      </c>
      <c r="AU3" s="56" t="s">
        <v>47</v>
      </c>
      <c r="AV3" s="55" t="s">
        <v>48</v>
      </c>
      <c r="AW3" s="55" t="s">
        <v>49</v>
      </c>
      <c r="AX3" s="55" t="s">
        <v>50</v>
      </c>
      <c r="AY3" s="56" t="s">
        <v>51</v>
      </c>
      <c r="AZ3" s="56" t="s">
        <v>52</v>
      </c>
      <c r="BA3" s="55" t="s">
        <v>53</v>
      </c>
      <c r="BB3" s="55" t="s">
        <v>54</v>
      </c>
      <c r="BC3" s="55" t="s">
        <v>55</v>
      </c>
      <c r="BD3" s="56" t="s">
        <v>56</v>
      </c>
      <c r="BE3" s="56" t="s">
        <v>57</v>
      </c>
      <c r="BF3" s="55" t="s">
        <v>58</v>
      </c>
      <c r="BG3" s="55" t="s">
        <v>59</v>
      </c>
      <c r="BH3" s="55" t="s">
        <v>60</v>
      </c>
      <c r="BI3" s="56" t="s">
        <v>61</v>
      </c>
      <c r="BJ3" s="56" t="s">
        <v>62</v>
      </c>
      <c r="BK3" s="55" t="s">
        <v>63</v>
      </c>
      <c r="BL3" s="55" t="s">
        <v>64</v>
      </c>
      <c r="BM3" s="55" t="s">
        <v>65</v>
      </c>
      <c r="BN3" s="56" t="s">
        <v>66</v>
      </c>
      <c r="BO3" s="56" t="s">
        <v>67</v>
      </c>
      <c r="BP3" s="55" t="s">
        <v>68</v>
      </c>
      <c r="BQ3" s="55" t="s">
        <v>69</v>
      </c>
      <c r="BR3" s="55" t="s">
        <v>70</v>
      </c>
      <c r="BS3" s="56" t="s">
        <v>71</v>
      </c>
      <c r="BT3" s="56" t="s">
        <v>72</v>
      </c>
      <c r="BU3" s="55" t="s">
        <v>73</v>
      </c>
      <c r="BV3" s="55" t="s">
        <v>74</v>
      </c>
      <c r="BW3" s="55" t="s">
        <v>75</v>
      </c>
      <c r="BX3" s="56" t="s">
        <v>76</v>
      </c>
      <c r="BY3" s="56" t="s">
        <v>77</v>
      </c>
      <c r="BZ3" s="55" t="s">
        <v>78</v>
      </c>
      <c r="CA3" s="55" t="s">
        <v>79</v>
      </c>
      <c r="CB3" s="55" t="s">
        <v>80</v>
      </c>
      <c r="CC3" s="56" t="s">
        <v>81</v>
      </c>
      <c r="CD3" s="56" t="s">
        <v>82</v>
      </c>
      <c r="CE3" s="55" t="s">
        <v>83</v>
      </c>
      <c r="CF3" s="55" t="s">
        <v>84</v>
      </c>
      <c r="CG3" s="55" t="s">
        <v>85</v>
      </c>
      <c r="CH3" s="56" t="s">
        <v>86</v>
      </c>
      <c r="CI3" s="56" t="s">
        <v>87</v>
      </c>
      <c r="CJ3" s="55" t="s">
        <v>88</v>
      </c>
      <c r="CK3" s="55" t="s">
        <v>89</v>
      </c>
      <c r="CL3" s="55" t="s">
        <v>90</v>
      </c>
      <c r="CM3" s="56" t="s">
        <v>91</v>
      </c>
      <c r="CN3" s="56" t="s">
        <v>92</v>
      </c>
      <c r="CO3" s="55" t="s">
        <v>93</v>
      </c>
      <c r="CP3" s="57" t="s">
        <v>94</v>
      </c>
      <c r="CQ3" s="57" t="s">
        <v>95</v>
      </c>
      <c r="CR3" s="58" t="s">
        <v>96</v>
      </c>
      <c r="CS3" s="58" t="s">
        <v>97</v>
      </c>
      <c r="CT3" s="57" t="s">
        <v>98</v>
      </c>
      <c r="CU3" s="57" t="s">
        <v>99</v>
      </c>
      <c r="CV3" s="57" t="s">
        <v>100</v>
      </c>
      <c r="CW3" s="58" t="s">
        <v>101</v>
      </c>
      <c r="CX3" s="58" t="s">
        <v>102</v>
      </c>
      <c r="CY3" s="57" t="s">
        <v>103</v>
      </c>
      <c r="CZ3" s="57" t="s">
        <v>104</v>
      </c>
      <c r="DA3" s="57" t="s">
        <v>105</v>
      </c>
      <c r="DB3" s="58" t="s">
        <v>106</v>
      </c>
      <c r="DC3" s="58" t="s">
        <v>107</v>
      </c>
      <c r="DD3" s="57" t="s">
        <v>108</v>
      </c>
      <c r="DE3" s="57" t="s">
        <v>109</v>
      </c>
      <c r="DF3" s="57" t="s">
        <v>110</v>
      </c>
      <c r="DG3" s="58" t="s">
        <v>111</v>
      </c>
      <c r="DH3" s="58" t="s">
        <v>112</v>
      </c>
      <c r="DI3" s="57" t="s">
        <v>113</v>
      </c>
      <c r="DJ3" s="57" t="s">
        <v>114</v>
      </c>
      <c r="DK3" s="57" t="s">
        <v>115</v>
      </c>
      <c r="DL3" s="58" t="s">
        <v>116</v>
      </c>
      <c r="DM3" s="58" t="s">
        <v>117</v>
      </c>
      <c r="DN3" s="57" t="s">
        <v>118</v>
      </c>
      <c r="DO3" s="57" t="s">
        <v>119</v>
      </c>
      <c r="DP3" s="57" t="s">
        <v>120</v>
      </c>
      <c r="DQ3" s="58" t="s">
        <v>121</v>
      </c>
      <c r="DR3" s="58" t="s">
        <v>122</v>
      </c>
      <c r="DS3" s="57" t="s">
        <v>123</v>
      </c>
      <c r="DT3" s="57" t="s">
        <v>124</v>
      </c>
      <c r="DU3" s="57" t="s">
        <v>125</v>
      </c>
      <c r="DV3" s="58" t="s">
        <v>126</v>
      </c>
      <c r="DW3" s="58" t="s">
        <v>127</v>
      </c>
      <c r="DX3" s="57" t="s">
        <v>128</v>
      </c>
      <c r="DY3" s="57" t="s">
        <v>129</v>
      </c>
      <c r="DZ3" s="57" t="s">
        <v>130</v>
      </c>
      <c r="EA3" s="58" t="s">
        <v>131</v>
      </c>
      <c r="EB3" s="58" t="s">
        <v>132</v>
      </c>
      <c r="EC3" s="57" t="s">
        <v>133</v>
      </c>
      <c r="ED3" s="57" t="s">
        <v>134</v>
      </c>
      <c r="EE3" s="57" t="s">
        <v>135</v>
      </c>
      <c r="EF3" s="58" t="s">
        <v>136</v>
      </c>
      <c r="EG3" s="58" t="s">
        <v>137</v>
      </c>
      <c r="EH3" s="57" t="s">
        <v>138</v>
      </c>
      <c r="EI3" s="57" t="s">
        <v>139</v>
      </c>
      <c r="EJ3" s="57" t="s">
        <v>140</v>
      </c>
      <c r="EK3" s="58" t="s">
        <v>141</v>
      </c>
      <c r="EL3" s="58" t="s">
        <v>142</v>
      </c>
      <c r="EM3" s="57" t="s">
        <v>143</v>
      </c>
      <c r="EN3" s="57" t="s">
        <v>144</v>
      </c>
      <c r="EO3" s="57" t="s">
        <v>145</v>
      </c>
      <c r="EP3" s="58" t="s">
        <v>146</v>
      </c>
      <c r="EQ3" s="58" t="s">
        <v>147</v>
      </c>
      <c r="ER3" s="57" t="s">
        <v>148</v>
      </c>
      <c r="ES3" s="57" t="s">
        <v>149</v>
      </c>
      <c r="ET3" s="57" t="s">
        <v>150</v>
      </c>
      <c r="EU3" s="58" t="s">
        <v>151</v>
      </c>
      <c r="EV3" s="58" t="s">
        <v>152</v>
      </c>
      <c r="EW3" s="57" t="s">
        <v>153</v>
      </c>
      <c r="EX3" s="57" t="s">
        <v>154</v>
      </c>
      <c r="EY3" s="57" t="s">
        <v>155</v>
      </c>
      <c r="EZ3" s="58" t="s">
        <v>156</v>
      </c>
      <c r="FA3" s="58" t="s">
        <v>157</v>
      </c>
      <c r="FB3" s="57" t="s">
        <v>158</v>
      </c>
      <c r="FC3" s="57" t="s">
        <v>159</v>
      </c>
      <c r="FD3" s="59" t="s">
        <v>160</v>
      </c>
      <c r="FE3" s="58" t="s">
        <v>161</v>
      </c>
      <c r="FF3" s="58" t="s">
        <v>162</v>
      </c>
      <c r="FG3" s="57" t="s">
        <v>163</v>
      </c>
      <c r="FH3" s="57" t="s">
        <v>164</v>
      </c>
      <c r="FI3" s="57" t="s">
        <v>165</v>
      </c>
      <c r="FJ3" s="58" t="s">
        <v>166</v>
      </c>
      <c r="FK3" s="58" t="s">
        <v>167</v>
      </c>
      <c r="FL3" s="60" t="s">
        <v>168</v>
      </c>
      <c r="FM3" s="61" t="s">
        <v>169</v>
      </c>
      <c r="FN3" s="60" t="s">
        <v>170</v>
      </c>
      <c r="FO3" s="61" t="s">
        <v>171</v>
      </c>
      <c r="FP3" s="60" t="s">
        <v>172</v>
      </c>
      <c r="FQ3" s="61" t="s">
        <v>173</v>
      </c>
      <c r="FR3" s="60" t="s">
        <v>174</v>
      </c>
      <c r="FS3" s="61" t="s">
        <v>175</v>
      </c>
      <c r="FT3" s="60" t="s">
        <v>176</v>
      </c>
      <c r="FU3" s="61" t="s">
        <v>177</v>
      </c>
      <c r="FV3" s="60" t="s">
        <v>178</v>
      </c>
      <c r="FW3" s="61" t="s">
        <v>179</v>
      </c>
      <c r="FX3" s="60" t="s">
        <v>180</v>
      </c>
      <c r="FY3" s="61" t="s">
        <v>181</v>
      </c>
      <c r="FZ3" s="60" t="s">
        <v>182</v>
      </c>
      <c r="GA3" s="61" t="s">
        <v>183</v>
      </c>
      <c r="GB3" s="60" t="s">
        <v>184</v>
      </c>
      <c r="GC3" s="61" t="s">
        <v>185</v>
      </c>
      <c r="GD3" s="60" t="s">
        <v>186</v>
      </c>
      <c r="GE3" s="61" t="s">
        <v>187</v>
      </c>
      <c r="GF3" s="60" t="s">
        <v>188</v>
      </c>
      <c r="GG3" s="61" t="s">
        <v>189</v>
      </c>
      <c r="GH3" s="60" t="s">
        <v>190</v>
      </c>
      <c r="GI3" s="61" t="s">
        <v>191</v>
      </c>
      <c r="GJ3" s="60" t="s">
        <v>192</v>
      </c>
      <c r="GK3" s="61" t="s">
        <v>193</v>
      </c>
      <c r="GL3" s="60" t="s">
        <v>194</v>
      </c>
      <c r="GM3" s="61" t="s">
        <v>195</v>
      </c>
      <c r="GN3" s="60" t="s">
        <v>196</v>
      </c>
      <c r="GO3" s="61" t="s">
        <v>197</v>
      </c>
      <c r="GP3" s="62" t="s">
        <v>198</v>
      </c>
      <c r="GQ3" s="62" t="s">
        <v>199</v>
      </c>
      <c r="GR3" s="63" t="s">
        <v>200</v>
      </c>
      <c r="GS3" s="64" t="s">
        <v>201</v>
      </c>
      <c r="GT3" s="65" t="s">
        <v>202</v>
      </c>
      <c r="GU3" s="62" t="s">
        <v>203</v>
      </c>
      <c r="GV3" s="62" t="s">
        <v>204</v>
      </c>
      <c r="GW3" s="63" t="s">
        <v>205</v>
      </c>
      <c r="GX3" s="64" t="s">
        <v>206</v>
      </c>
      <c r="GY3" s="65" t="s">
        <v>207</v>
      </c>
      <c r="GZ3" s="62" t="s">
        <v>208</v>
      </c>
      <c r="HA3" s="62" t="s">
        <v>209</v>
      </c>
      <c r="HB3" s="63" t="s">
        <v>210</v>
      </c>
      <c r="HC3" s="64" t="s">
        <v>211</v>
      </c>
      <c r="HD3" s="65" t="s">
        <v>212</v>
      </c>
      <c r="HE3" s="62" t="s">
        <v>213</v>
      </c>
      <c r="HF3" s="62" t="s">
        <v>214</v>
      </c>
      <c r="HG3" s="63" t="s">
        <v>215</v>
      </c>
      <c r="HH3" s="64" t="s">
        <v>216</v>
      </c>
      <c r="HI3" s="65" t="s">
        <v>217</v>
      </c>
      <c r="HJ3" s="62" t="s">
        <v>218</v>
      </c>
      <c r="HK3" s="62" t="s">
        <v>219</v>
      </c>
      <c r="HL3" s="63" t="s">
        <v>220</v>
      </c>
      <c r="HM3" s="64" t="s">
        <v>221</v>
      </c>
      <c r="HN3" s="65" t="s">
        <v>222</v>
      </c>
      <c r="HO3" s="62" t="s">
        <v>223</v>
      </c>
      <c r="HP3" s="62" t="s">
        <v>224</v>
      </c>
      <c r="HQ3" s="63" t="s">
        <v>225</v>
      </c>
      <c r="HR3" s="64" t="s">
        <v>226</v>
      </c>
      <c r="HS3" s="65" t="s">
        <v>227</v>
      </c>
      <c r="HT3" s="62" t="s">
        <v>228</v>
      </c>
      <c r="HU3" s="62" t="s">
        <v>229</v>
      </c>
      <c r="HV3" s="63" t="s">
        <v>230</v>
      </c>
      <c r="HW3" s="64" t="s">
        <v>231</v>
      </c>
      <c r="HX3" s="65" t="s">
        <v>232</v>
      </c>
      <c r="HY3" s="62" t="s">
        <v>233</v>
      </c>
      <c r="HZ3" s="62" t="s">
        <v>234</v>
      </c>
      <c r="IA3" s="63" t="s">
        <v>235</v>
      </c>
      <c r="IB3" s="64" t="s">
        <v>236</v>
      </c>
      <c r="IC3" s="65" t="s">
        <v>237</v>
      </c>
      <c r="ID3" s="62" t="s">
        <v>238</v>
      </c>
      <c r="IE3" s="62" t="s">
        <v>239</v>
      </c>
      <c r="IF3" s="63" t="s">
        <v>240</v>
      </c>
      <c r="IG3" s="64" t="s">
        <v>241</v>
      </c>
      <c r="IH3" s="65" t="s">
        <v>242</v>
      </c>
      <c r="II3" s="62" t="s">
        <v>243</v>
      </c>
      <c r="IJ3" s="62" t="s">
        <v>244</v>
      </c>
      <c r="IK3" s="63" t="s">
        <v>245</v>
      </c>
      <c r="IL3" s="64" t="s">
        <v>246</v>
      </c>
      <c r="IM3" s="65" t="s">
        <v>247</v>
      </c>
      <c r="IN3" s="62" t="s">
        <v>248</v>
      </c>
      <c r="IO3" s="62" t="s">
        <v>249</v>
      </c>
      <c r="IP3" s="63" t="s">
        <v>250</v>
      </c>
      <c r="IQ3" s="64" t="s">
        <v>251</v>
      </c>
      <c r="IR3" s="65" t="s">
        <v>252</v>
      </c>
      <c r="IS3" s="62" t="s">
        <v>253</v>
      </c>
      <c r="IT3" s="62" t="s">
        <v>254</v>
      </c>
      <c r="IU3" s="63" t="s">
        <v>255</v>
      </c>
      <c r="IV3" s="64" t="s">
        <v>256</v>
      </c>
      <c r="IW3" s="65" t="s">
        <v>257</v>
      </c>
      <c r="IX3" s="62" t="s">
        <v>258</v>
      </c>
      <c r="IY3" s="62" t="s">
        <v>259</v>
      </c>
      <c r="IZ3" s="63" t="s">
        <v>260</v>
      </c>
      <c r="JA3" s="64" t="s">
        <v>261</v>
      </c>
      <c r="JB3" s="65" t="s">
        <v>262</v>
      </c>
      <c r="JC3" s="62" t="s">
        <v>263</v>
      </c>
      <c r="JD3" s="62" t="s">
        <v>264</v>
      </c>
      <c r="JE3" s="63" t="s">
        <v>265</v>
      </c>
      <c r="JF3" s="64" t="s">
        <v>266</v>
      </c>
      <c r="JG3" s="65" t="s">
        <v>267</v>
      </c>
      <c r="JH3" s="66" t="s">
        <v>268</v>
      </c>
      <c r="JI3" s="62" t="s">
        <v>269</v>
      </c>
      <c r="JJ3" s="63" t="s">
        <v>270</v>
      </c>
      <c r="JK3" s="64" t="s">
        <v>271</v>
      </c>
      <c r="JL3" s="65" t="s">
        <v>272</v>
      </c>
      <c r="JM3" s="67" t="s">
        <v>273</v>
      </c>
      <c r="JN3" s="68" t="s">
        <v>274</v>
      </c>
      <c r="JO3" s="69" t="s">
        <v>275</v>
      </c>
      <c r="JP3" s="70" t="s">
        <v>276</v>
      </c>
      <c r="JQ3" s="68" t="s">
        <v>277</v>
      </c>
      <c r="JR3" s="68" t="s">
        <v>278</v>
      </c>
      <c r="JS3" s="71" t="s">
        <v>279</v>
      </c>
      <c r="JT3" s="72" t="s">
        <v>280</v>
      </c>
      <c r="JU3" s="73" t="s">
        <v>281</v>
      </c>
      <c r="JV3" s="74" t="s">
        <v>282</v>
      </c>
      <c r="JW3" s="74" t="s">
        <v>283</v>
      </c>
      <c r="JX3" s="74" t="s">
        <v>284</v>
      </c>
      <c r="JY3" s="74" t="s">
        <v>285</v>
      </c>
      <c r="JZ3" s="74" t="s">
        <v>286</v>
      </c>
      <c r="KA3" s="74" t="s">
        <v>287</v>
      </c>
      <c r="KB3" s="74" t="s">
        <v>288</v>
      </c>
      <c r="KC3" s="74" t="s">
        <v>289</v>
      </c>
      <c r="KD3" s="74" t="s">
        <v>290</v>
      </c>
      <c r="KE3" s="74" t="s">
        <v>291</v>
      </c>
      <c r="KF3" s="74" t="s">
        <v>292</v>
      </c>
      <c r="KG3" s="74" t="s">
        <v>293</v>
      </c>
      <c r="KH3" s="74" t="s">
        <v>294</v>
      </c>
      <c r="KI3" s="74" t="s">
        <v>295</v>
      </c>
      <c r="KJ3" s="74" t="s">
        <v>296</v>
      </c>
      <c r="KK3" s="74" t="s">
        <v>297</v>
      </c>
      <c r="KL3" s="74" t="s">
        <v>298</v>
      </c>
      <c r="KM3" s="74" t="s">
        <v>299</v>
      </c>
      <c r="KN3" s="74" t="s">
        <v>300</v>
      </c>
      <c r="KO3" s="74" t="s">
        <v>301</v>
      </c>
      <c r="KP3" s="74" t="s">
        <v>302</v>
      </c>
      <c r="KQ3" s="74" t="s">
        <v>303</v>
      </c>
      <c r="KR3" s="74" t="s">
        <v>304</v>
      </c>
      <c r="KS3" s="74" t="s">
        <v>305</v>
      </c>
      <c r="KT3" s="74" t="s">
        <v>306</v>
      </c>
      <c r="KU3" s="74" t="s">
        <v>307</v>
      </c>
      <c r="KV3" s="74" t="s">
        <v>308</v>
      </c>
      <c r="KW3" s="74" t="s">
        <v>309</v>
      </c>
      <c r="KX3" s="74" t="s">
        <v>310</v>
      </c>
      <c r="KY3" s="74" t="s">
        <v>311</v>
      </c>
      <c r="KZ3" s="74" t="s">
        <v>312</v>
      </c>
      <c r="LA3" s="74" t="s">
        <v>313</v>
      </c>
      <c r="LB3" s="74" t="s">
        <v>314</v>
      </c>
      <c r="LC3" s="74" t="s">
        <v>315</v>
      </c>
      <c r="LD3" s="74" t="s">
        <v>316</v>
      </c>
      <c r="LE3" s="74" t="s">
        <v>317</v>
      </c>
      <c r="LF3" s="74" t="s">
        <v>318</v>
      </c>
      <c r="LG3" s="74" t="s">
        <v>319</v>
      </c>
      <c r="LH3" s="74" t="s">
        <v>320</v>
      </c>
      <c r="LI3" s="74" t="s">
        <v>321</v>
      </c>
      <c r="LJ3" s="74" t="s">
        <v>322</v>
      </c>
      <c r="LK3" s="74" t="s">
        <v>323</v>
      </c>
      <c r="LL3" s="74" t="s">
        <v>324</v>
      </c>
      <c r="LM3" s="74" t="s">
        <v>325</v>
      </c>
      <c r="LN3" s="74" t="s">
        <v>326</v>
      </c>
      <c r="LO3" s="74" t="s">
        <v>327</v>
      </c>
      <c r="LP3" s="74" t="s">
        <v>328</v>
      </c>
      <c r="LQ3" s="74" t="s">
        <v>329</v>
      </c>
      <c r="LR3" s="74" t="s">
        <v>330</v>
      </c>
      <c r="LS3" s="74" t="s">
        <v>331</v>
      </c>
      <c r="LT3" s="74" t="s">
        <v>332</v>
      </c>
      <c r="LU3" s="74" t="s">
        <v>333</v>
      </c>
      <c r="LV3" s="74" t="s">
        <v>334</v>
      </c>
      <c r="LW3" s="74" t="s">
        <v>335</v>
      </c>
      <c r="LX3" s="74" t="s">
        <v>336</v>
      </c>
      <c r="LY3" s="74" t="s">
        <v>337</v>
      </c>
      <c r="LZ3" s="74" t="s">
        <v>338</v>
      </c>
      <c r="MA3" s="74" t="s">
        <v>339</v>
      </c>
      <c r="MB3" s="74" t="s">
        <v>340</v>
      </c>
      <c r="MC3" s="74" t="s">
        <v>341</v>
      </c>
      <c r="MD3" s="74" t="s">
        <v>342</v>
      </c>
      <c r="ME3" s="74" t="s">
        <v>343</v>
      </c>
      <c r="MF3" s="74" t="s">
        <v>344</v>
      </c>
      <c r="MG3" s="74" t="s">
        <v>345</v>
      </c>
      <c r="MH3" s="74" t="s">
        <v>346</v>
      </c>
      <c r="MI3" s="74" t="s">
        <v>347</v>
      </c>
      <c r="MJ3" s="74" t="s">
        <v>348</v>
      </c>
      <c r="MK3" s="74" t="s">
        <v>349</v>
      </c>
      <c r="ML3" s="74" t="s">
        <v>350</v>
      </c>
      <c r="MM3" s="74" t="s">
        <v>351</v>
      </c>
      <c r="MN3" s="74" t="s">
        <v>352</v>
      </c>
      <c r="MO3" s="74" t="s">
        <v>353</v>
      </c>
      <c r="MP3" s="74" t="s">
        <v>354</v>
      </c>
      <c r="MQ3" s="74" t="s">
        <v>355</v>
      </c>
      <c r="MR3" s="74" t="s">
        <v>356</v>
      </c>
      <c r="MS3" s="74" t="s">
        <v>357</v>
      </c>
      <c r="MT3" s="74" t="s">
        <v>358</v>
      </c>
      <c r="MU3" s="74" t="s">
        <v>359</v>
      </c>
      <c r="MV3" s="74" t="s">
        <v>360</v>
      </c>
      <c r="MW3" s="74" t="s">
        <v>361</v>
      </c>
      <c r="MX3" s="74" t="s">
        <v>362</v>
      </c>
      <c r="MY3" s="74" t="s">
        <v>363</v>
      </c>
      <c r="MZ3" s="74" t="s">
        <v>364</v>
      </c>
      <c r="NA3" s="74" t="s">
        <v>365</v>
      </c>
      <c r="NB3" s="74" t="s">
        <v>366</v>
      </c>
      <c r="NC3" s="74" t="s">
        <v>367</v>
      </c>
      <c r="ND3" s="74" t="s">
        <v>368</v>
      </c>
      <c r="NE3" s="74" t="s">
        <v>369</v>
      </c>
      <c r="NF3" s="74" t="s">
        <v>370</v>
      </c>
      <c r="NG3" s="74" t="s">
        <v>371</v>
      </c>
      <c r="NH3" s="74" t="s">
        <v>372</v>
      </c>
      <c r="NI3" s="74" t="s">
        <v>373</v>
      </c>
      <c r="NJ3" s="74" t="s">
        <v>374</v>
      </c>
      <c r="NK3" s="74" t="s">
        <v>375</v>
      </c>
      <c r="NL3" s="74" t="s">
        <v>376</v>
      </c>
      <c r="NM3" s="74" t="s">
        <v>377</v>
      </c>
      <c r="NN3" s="74" t="s">
        <v>378</v>
      </c>
      <c r="NO3" s="74" t="s">
        <v>379</v>
      </c>
      <c r="NP3" s="74" t="s">
        <v>380</v>
      </c>
      <c r="NQ3" s="74" t="s">
        <v>381</v>
      </c>
      <c r="NR3" s="74" t="s">
        <v>382</v>
      </c>
      <c r="NS3" s="74" t="s">
        <v>383</v>
      </c>
      <c r="NT3" s="74" t="s">
        <v>384</v>
      </c>
      <c r="NU3" s="75" t="s">
        <v>385</v>
      </c>
      <c r="NV3" s="76" t="s">
        <v>386</v>
      </c>
      <c r="NW3" s="77" t="s">
        <v>387</v>
      </c>
      <c r="NX3" s="78" t="s">
        <v>388</v>
      </c>
      <c r="NY3" s="75" t="s">
        <v>389</v>
      </c>
      <c r="NZ3" s="76" t="s">
        <v>390</v>
      </c>
    </row>
    <row r="4" spans="1:390" s="86" customFormat="1" ht="15.75" customHeight="1" x14ac:dyDescent="0.3">
      <c r="A4" s="214">
        <v>4329209322</v>
      </c>
      <c r="B4" s="165" t="s">
        <v>391</v>
      </c>
      <c r="C4" s="215"/>
      <c r="D4" s="216" t="s">
        <v>391</v>
      </c>
      <c r="E4" s="217" t="s">
        <v>600</v>
      </c>
      <c r="F4" s="156" t="s">
        <v>488</v>
      </c>
      <c r="G4" s="218" t="s">
        <v>422</v>
      </c>
      <c r="H4" s="219">
        <v>43201</v>
      </c>
      <c r="I4" s="216" t="s">
        <v>601</v>
      </c>
      <c r="J4" s="152" t="s">
        <v>397</v>
      </c>
      <c r="K4" s="152" t="s">
        <v>398</v>
      </c>
      <c r="L4" s="152" t="s">
        <v>398</v>
      </c>
      <c r="M4" s="164" t="s">
        <v>398</v>
      </c>
      <c r="N4" s="164" t="s">
        <v>398</v>
      </c>
      <c r="O4" s="164" t="s">
        <v>398</v>
      </c>
      <c r="P4" s="164" t="s">
        <v>398</v>
      </c>
      <c r="Q4" s="164" t="s">
        <v>398</v>
      </c>
      <c r="R4" s="164" t="s">
        <v>398</v>
      </c>
      <c r="S4" s="164" t="s">
        <v>398</v>
      </c>
      <c r="T4" s="164" t="s">
        <v>398</v>
      </c>
      <c r="U4" s="164" t="s">
        <v>398</v>
      </c>
      <c r="V4" s="164" t="s">
        <v>398</v>
      </c>
      <c r="W4" s="164" t="s">
        <v>398</v>
      </c>
      <c r="X4" s="164" t="s">
        <v>398</v>
      </c>
      <c r="Y4" s="164" t="s">
        <v>398</v>
      </c>
      <c r="Z4" s="164" t="s">
        <v>398</v>
      </c>
      <c r="AA4" s="164" t="s">
        <v>398</v>
      </c>
      <c r="AB4" s="166" t="s">
        <v>399</v>
      </c>
      <c r="AC4" s="219">
        <v>13592</v>
      </c>
      <c r="AD4" s="168"/>
      <c r="AE4" s="108" t="e">
        <f>DATEDIF(AC4, AD4,"Y")</f>
        <v>#NUM!</v>
      </c>
      <c r="AF4" s="86" t="s">
        <v>602</v>
      </c>
      <c r="AG4" s="79" t="s">
        <v>401</v>
      </c>
      <c r="AH4" s="87" t="s">
        <v>402</v>
      </c>
      <c r="AI4" s="88"/>
      <c r="AJ4" s="88"/>
      <c r="AK4" s="88"/>
      <c r="AL4" s="88"/>
      <c r="AM4" s="123"/>
      <c r="AN4" s="95">
        <v>3</v>
      </c>
      <c r="AO4" s="173" t="s">
        <v>398</v>
      </c>
      <c r="AP4" s="79"/>
      <c r="AQ4" s="90"/>
      <c r="AR4" s="91"/>
      <c r="AS4" s="92"/>
      <c r="AT4" s="93"/>
      <c r="AU4" s="93"/>
      <c r="AV4" s="92"/>
      <c r="AW4" s="91"/>
      <c r="AX4" s="93"/>
      <c r="AY4" s="92"/>
      <c r="AZ4" s="93"/>
      <c r="BA4" s="93"/>
      <c r="BB4" s="91"/>
      <c r="BC4" s="93"/>
      <c r="BD4" s="93"/>
      <c r="BE4" s="92"/>
      <c r="BF4" s="93"/>
      <c r="BG4" s="91"/>
      <c r="BH4" s="92"/>
      <c r="BI4" s="93"/>
      <c r="BJ4" s="93"/>
      <c r="BK4" s="92"/>
      <c r="BL4" s="91"/>
      <c r="BM4" s="93"/>
      <c r="BN4" s="93"/>
      <c r="BO4" s="92"/>
      <c r="BP4" s="92"/>
      <c r="BQ4" s="91"/>
      <c r="BR4" s="93"/>
      <c r="BS4" s="92"/>
      <c r="BT4" s="92"/>
      <c r="BU4" s="92"/>
      <c r="BV4" s="91"/>
      <c r="BW4" s="92"/>
      <c r="BX4" s="92"/>
      <c r="BY4" s="92" t="s">
        <v>405</v>
      </c>
      <c r="BZ4" s="92"/>
      <c r="CA4" s="91"/>
      <c r="CB4" s="92"/>
      <c r="CC4" s="92"/>
      <c r="CD4" s="92"/>
      <c r="CE4" s="92"/>
      <c r="CF4" s="91"/>
      <c r="CG4" s="92"/>
      <c r="CH4" s="92"/>
      <c r="CI4" s="92"/>
      <c r="CJ4" s="92"/>
      <c r="CK4" s="91"/>
      <c r="CL4" s="92"/>
      <c r="CM4" s="92"/>
      <c r="CN4" s="92"/>
      <c r="CO4" s="92"/>
      <c r="CP4" s="91"/>
      <c r="CQ4" s="92"/>
      <c r="CR4" s="93"/>
      <c r="CS4" s="93"/>
      <c r="CT4" s="92"/>
      <c r="CU4" s="91"/>
      <c r="CV4" s="93"/>
      <c r="CW4" s="92"/>
      <c r="CX4" s="93"/>
      <c r="CY4" s="93"/>
      <c r="CZ4" s="91"/>
      <c r="DA4" s="93"/>
      <c r="DB4" s="93"/>
      <c r="DC4" s="92"/>
      <c r="DD4" s="93"/>
      <c r="DE4" s="91"/>
      <c r="DF4" s="92"/>
      <c r="DG4" s="93"/>
      <c r="DH4" s="93"/>
      <c r="DI4" s="92"/>
      <c r="DJ4" s="91"/>
      <c r="DK4" s="93"/>
      <c r="DL4" s="93"/>
      <c r="DM4" s="92"/>
      <c r="DN4" s="92"/>
      <c r="DO4" s="91"/>
      <c r="DP4" s="93"/>
      <c r="DQ4" s="92"/>
      <c r="DR4" s="92"/>
      <c r="DS4" s="92"/>
      <c r="DT4" s="91"/>
      <c r="DU4" s="92"/>
      <c r="DV4" s="92"/>
      <c r="DW4" s="92"/>
      <c r="DX4" s="92"/>
      <c r="DY4" s="91"/>
      <c r="DZ4" s="92"/>
      <c r="EA4" s="92"/>
      <c r="EB4" s="92"/>
      <c r="EC4" s="92"/>
      <c r="ED4" s="91"/>
      <c r="EE4" s="92"/>
      <c r="EF4" s="92"/>
      <c r="EG4" s="92"/>
      <c r="EH4" s="92"/>
      <c r="EI4" s="91"/>
      <c r="EJ4" s="92"/>
      <c r="EK4" s="92"/>
      <c r="EL4" s="92"/>
      <c r="EM4" s="92"/>
      <c r="EN4" s="91"/>
      <c r="EO4" s="92"/>
      <c r="EP4" s="92"/>
      <c r="EQ4" s="92"/>
      <c r="ER4" s="92"/>
      <c r="ES4" s="91"/>
      <c r="ET4" s="92"/>
      <c r="EU4" s="92"/>
      <c r="EV4" s="92"/>
      <c r="EW4" s="92"/>
      <c r="EX4" s="91"/>
      <c r="EY4" s="92"/>
      <c r="EZ4" s="92"/>
      <c r="FA4" s="92"/>
      <c r="FB4" s="92"/>
      <c r="FC4" s="91"/>
      <c r="FD4" s="84"/>
      <c r="FE4" s="90"/>
      <c r="FF4" s="92"/>
      <c r="FG4" s="92"/>
      <c r="FH4" s="91"/>
      <c r="FI4" s="92"/>
      <c r="FJ4" s="92"/>
      <c r="FK4" s="92"/>
      <c r="FL4" s="93"/>
      <c r="FM4" s="89"/>
      <c r="FN4" s="89"/>
      <c r="FO4" s="89"/>
      <c r="FP4" s="89"/>
      <c r="FQ4" s="89"/>
      <c r="FR4" s="89"/>
      <c r="FS4" s="89"/>
      <c r="FT4" s="89"/>
      <c r="FU4" s="89"/>
      <c r="FV4" s="89"/>
      <c r="FW4" s="89"/>
      <c r="FX4" s="89"/>
      <c r="FY4" s="89"/>
      <c r="FZ4" s="89"/>
      <c r="GA4" s="89"/>
      <c r="GB4" s="89"/>
      <c r="GC4" s="89"/>
      <c r="GD4" s="89"/>
      <c r="GE4" s="89"/>
      <c r="GF4" s="89"/>
      <c r="GG4" s="89"/>
      <c r="GH4" s="89"/>
      <c r="GI4" s="89"/>
      <c r="GJ4" s="89"/>
      <c r="GK4" s="89"/>
      <c r="GL4" s="89"/>
      <c r="GM4" s="89"/>
      <c r="GN4" s="89"/>
      <c r="GO4" s="89"/>
      <c r="GP4" s="91"/>
      <c r="GQ4" s="92"/>
      <c r="GR4" s="93"/>
      <c r="GS4" s="93"/>
      <c r="GT4" s="92"/>
      <c r="GU4" s="91"/>
      <c r="GV4" s="92"/>
      <c r="GW4" s="93"/>
      <c r="GX4" s="92"/>
      <c r="GY4" s="92"/>
      <c r="GZ4" s="91"/>
      <c r="HA4" s="92"/>
      <c r="HB4" s="93"/>
      <c r="HC4" s="92"/>
      <c r="HD4" s="92"/>
      <c r="HE4" s="91"/>
      <c r="HF4" s="92"/>
      <c r="HG4" s="93"/>
      <c r="HH4" s="92"/>
      <c r="HI4" s="92"/>
      <c r="HJ4" s="91"/>
      <c r="HK4" s="92"/>
      <c r="HL4" s="93"/>
      <c r="HM4" s="92"/>
      <c r="HN4" s="92"/>
      <c r="HO4" s="91"/>
      <c r="HP4" s="92"/>
      <c r="HQ4" s="93"/>
      <c r="HR4" s="92"/>
      <c r="HS4" s="92"/>
      <c r="HT4" s="91"/>
      <c r="HU4" s="92"/>
      <c r="HV4" s="93"/>
      <c r="HW4" s="92"/>
      <c r="HX4" s="92"/>
      <c r="HY4" s="91"/>
      <c r="HZ4" s="92"/>
      <c r="IA4" s="93"/>
      <c r="IB4" s="92"/>
      <c r="IC4" s="92"/>
      <c r="ID4" s="91"/>
      <c r="IE4" s="92"/>
      <c r="IF4" s="93"/>
      <c r="IG4" s="92"/>
      <c r="IH4" s="92"/>
      <c r="II4" s="91"/>
      <c r="IJ4" s="92"/>
      <c r="IK4" s="93"/>
      <c r="IL4" s="92"/>
      <c r="IM4" s="92"/>
      <c r="IN4" s="91"/>
      <c r="IO4" s="92"/>
      <c r="IP4" s="92"/>
      <c r="IQ4" s="92"/>
      <c r="IR4" s="92"/>
      <c r="IS4" s="91"/>
      <c r="IT4" s="92"/>
      <c r="IU4" s="92"/>
      <c r="IV4" s="92"/>
      <c r="IW4" s="92"/>
      <c r="IX4" s="91"/>
      <c r="IY4" s="92"/>
      <c r="IZ4" s="92"/>
      <c r="JA4" s="92"/>
      <c r="JB4" s="92"/>
      <c r="JC4" s="91"/>
      <c r="JD4" s="92"/>
      <c r="JE4" s="92"/>
      <c r="JF4" s="92"/>
      <c r="JG4" s="94"/>
      <c r="JH4" s="91"/>
      <c r="JI4" s="90"/>
      <c r="JJ4" s="92"/>
      <c r="JK4" s="92"/>
      <c r="JL4" s="94"/>
      <c r="JM4" s="95"/>
      <c r="JN4" s="85"/>
      <c r="JO4" s="79"/>
      <c r="JP4" s="96"/>
      <c r="JQ4" s="82"/>
      <c r="JR4" s="82"/>
      <c r="JS4" s="81" t="s">
        <v>406</v>
      </c>
      <c r="JT4" s="97"/>
      <c r="JU4" s="98">
        <f>IFERROR((YEARFRAC($AD4,$AT4)*12),"N/A")</f>
        <v>0</v>
      </c>
      <c r="JV4" s="98">
        <f>IFERROR((YEARFRAC($AD4,$AU4)*12),"N/A")</f>
        <v>0</v>
      </c>
      <c r="JW4" s="98">
        <f>IFERROR((YEARFRAC($AD4,$AY4)*12),"N/A")</f>
        <v>0</v>
      </c>
      <c r="JX4" s="98">
        <f>IFERROR((YEARFRAC($AD4,$AZ4)*12),"N/A")</f>
        <v>0</v>
      </c>
      <c r="JY4" s="98">
        <f>IFERROR((YEARFRAC($AD4,$BD4)*12),"N/A")</f>
        <v>0</v>
      </c>
      <c r="JZ4" s="98">
        <f>IFERROR((YEARFRAC($AD4,$BE4)*12),"N/A")</f>
        <v>0</v>
      </c>
      <c r="KA4" s="98">
        <f>IFERROR((YEARFRAC($AD4,$BI4)*12),"N/A")</f>
        <v>0</v>
      </c>
      <c r="KB4" s="98">
        <f>IFERROR((YEARFRAC($AD4,$BJ4)*12),"N/A")</f>
        <v>0</v>
      </c>
      <c r="KC4" s="98">
        <f>IFERROR((YEARFRAC($AD4,$BN4)*12),"N/A")</f>
        <v>0</v>
      </c>
      <c r="KD4" s="98">
        <f>IFERROR((YEARFRAC($AD4,$BO4)*12),"N/A")</f>
        <v>0</v>
      </c>
      <c r="KE4" s="98">
        <f>IFERROR((YEARFRAC($AD4,$BS4)*12),"N/A")</f>
        <v>0</v>
      </c>
      <c r="KF4" s="98">
        <f>IFERROR((YEARFRAC($AD4,$BT4)*12),"N/A")</f>
        <v>0</v>
      </c>
      <c r="KG4" s="98">
        <f>IFERROR((YEARFRAC($AD4,$BX4)*12),"N/A")</f>
        <v>0</v>
      </c>
      <c r="KH4" s="98" t="str">
        <f>IFERROR((YEARFRAC($AD4,$BY4)*12),"N/A")</f>
        <v>N/A</v>
      </c>
      <c r="KI4" s="98">
        <f>IFERROR((YEARFRAC($AD4,$CC4)*12),"N/A")</f>
        <v>0</v>
      </c>
      <c r="KJ4" s="98">
        <f>IFERROR((YEARFRAC($AD4,$CD4)*12),"N/A")</f>
        <v>0</v>
      </c>
      <c r="KK4" s="98">
        <f>IFERROR((YEARFRAC($AD4,$CH4)*12),"N/A")</f>
        <v>0</v>
      </c>
      <c r="KL4" s="98">
        <f>IFERROR((YEARFRAC($AD4,$CI4)*12),"N/A")</f>
        <v>0</v>
      </c>
      <c r="KM4" s="98">
        <f>IFERROR((YEARFRAC($AD4,$CM4)*12),"N/A")</f>
        <v>0</v>
      </c>
      <c r="KN4" s="98">
        <f>IFERROR((YEARFRAC($AD4,$CN4)*12),"N/A")</f>
        <v>0</v>
      </c>
      <c r="KO4" s="98">
        <f>IFERROR((YEARFRAC($AD4,$H4)*12),"N/A")</f>
        <v>1419.3666666666666</v>
      </c>
      <c r="KP4" s="98" t="str">
        <f>IFERROR((YEARFRAC($AD4,$K4)*12),"N/A")</f>
        <v>N/A</v>
      </c>
      <c r="KQ4" s="98" t="str">
        <f>IFERROR((YEARFRAC($AD4,$P4)*12),"N/A")</f>
        <v>N/A</v>
      </c>
      <c r="KR4" s="98" t="str">
        <f>IFERROR((YEARFRAC($AD4,$U4)*12),"N/A")</f>
        <v>N/A</v>
      </c>
      <c r="KS4" s="98" t="str">
        <f>IFERROR((YEARFRAC($AD4,$Z4)*12),"N/A")</f>
        <v>N/A</v>
      </c>
      <c r="KT4" s="98">
        <f>IFERROR((YEARFRAC($AD4,$CR4)*12),"N/A")</f>
        <v>0</v>
      </c>
      <c r="KU4" s="98">
        <f>IFERROR((YEARFRAC($AD4,$CS4)*12),"N/A")</f>
        <v>0</v>
      </c>
      <c r="KV4" s="98">
        <f>IFERROR((YEARFRAC($AD4,$CW4)*12),"N/A")</f>
        <v>0</v>
      </c>
      <c r="KW4" s="98">
        <f>IFERROR((YEARFRAC($AD4,$CX4)*12),"N/A")</f>
        <v>0</v>
      </c>
      <c r="KX4" s="98">
        <f>IFERROR((YEARFRAC($AD4,$DB4)*12),"N/A")</f>
        <v>0</v>
      </c>
      <c r="KY4" s="98">
        <f>IFERROR((YEARFRAC($AD4,$DC4)*12),"N/A")</f>
        <v>0</v>
      </c>
      <c r="KZ4" s="98">
        <f>IFERROR((YEARFRAC($AD4,$DG4)*12),"N/A")</f>
        <v>0</v>
      </c>
      <c r="LA4" s="98">
        <f>IFERROR((YEARFRAC($AD4,$DH4)*12),"N/A")</f>
        <v>0</v>
      </c>
      <c r="LB4" s="98">
        <f>IFERROR((YEARFRAC($AD4,$DL4)*12),"N/A")</f>
        <v>0</v>
      </c>
      <c r="LC4" s="98">
        <f>IFERROR((YEARFRAC($AD4,$DM4)*12),"N/A")</f>
        <v>0</v>
      </c>
      <c r="LD4" s="98">
        <f>IFERROR((YEARFRAC($AD4,$DQ4)*12),"N/A")</f>
        <v>0</v>
      </c>
      <c r="LE4" s="98">
        <f>IFERROR((YEARFRAC($AD4,$DR4)*12),"N/A")</f>
        <v>0</v>
      </c>
      <c r="LF4" s="98">
        <f>IFERROR((YEARFRAC($AD4,$DV4)*12),"N/A")</f>
        <v>0</v>
      </c>
      <c r="LG4" s="98">
        <f>IFERROR((YEARFRAC($AD4,$DW4)*12),"N/A")</f>
        <v>0</v>
      </c>
      <c r="LH4" s="98">
        <f>IFERROR((YEARFRAC($AD4,$EA4)*12),"N/A")</f>
        <v>0</v>
      </c>
      <c r="LI4" s="98">
        <f>IFERROR((YEARFRAC($AD4,$EB4)*12),"N/A")</f>
        <v>0</v>
      </c>
      <c r="LJ4" s="98">
        <f>IFERROR((YEARFRAC($AD4,$EF4)*12),"N/A")</f>
        <v>0</v>
      </c>
      <c r="LK4" s="98">
        <f>IFERROR((YEARFRAC($AD4,$EG4)*12),"N/A")</f>
        <v>0</v>
      </c>
      <c r="LL4" s="98">
        <f>IFERROR((YEARFRAC($AD4,$EK4)*12),"N/A")</f>
        <v>0</v>
      </c>
      <c r="LM4" s="98">
        <f>IFERROR((YEARFRAC($AD4,$EL4)*12),"N/A")</f>
        <v>0</v>
      </c>
      <c r="LN4" s="98">
        <f>IFERROR((YEARFRAC($AD4,$EP4)*12),"N/A")</f>
        <v>0</v>
      </c>
      <c r="LO4" s="98">
        <f>IFERROR((YEARFRAC($AD4,$EQ4)*12),"N/A")</f>
        <v>0</v>
      </c>
      <c r="LP4" s="98">
        <f>IFERROR((YEARFRAC($AD4,$EU4)*12),"N/A")</f>
        <v>0</v>
      </c>
      <c r="LQ4" s="98">
        <f>IFERROR((YEARFRAC($AD4,$EV4)*12),"N/A")</f>
        <v>0</v>
      </c>
      <c r="LR4" s="98">
        <f>IFERROR((YEARFRAC($AD4,$EZ4)*12),"N/A")</f>
        <v>0</v>
      </c>
      <c r="LS4" s="98">
        <f>IFERROR((YEARFRAC($AD4,$FA4)*12),"N/A")</f>
        <v>0</v>
      </c>
      <c r="LT4" s="98">
        <f>IFERROR((YEARFRAC($AD4,$EE4)*12),"N/A")</f>
        <v>0</v>
      </c>
      <c r="LU4" s="98">
        <f>IFERROR((YEARFRAC($AD4,$EF4)*12),"N/A")</f>
        <v>0</v>
      </c>
      <c r="LV4" s="98">
        <f>IFERROR((YEARFRAC($AD4,$FJ4)*12),"N/A")</f>
        <v>0</v>
      </c>
      <c r="LW4" s="98">
        <f>IFERROR((YEARFRAC($AD4,$FK4)*12),"N/A")</f>
        <v>0</v>
      </c>
      <c r="LX4" s="98">
        <f>IFERROR((YEARFRAC($AD4,$FL4)*12),"N/A")</f>
        <v>0</v>
      </c>
      <c r="LY4" s="98">
        <f>IFERROR((YEARFRAC($AD4,$FN4)*12),"N/A")</f>
        <v>0</v>
      </c>
      <c r="LZ4" s="98">
        <f>IFERROR((YEARFRAC($AD4,$FP4)*12),"N/A")</f>
        <v>0</v>
      </c>
      <c r="MA4" s="98">
        <f>IFERROR((YEARFRAC($AD4,$FR4)*12),"N/A")</f>
        <v>0</v>
      </c>
      <c r="MB4" s="98">
        <f>IFERROR((YEARFRAC($AD4,$FT4)*12),"N/A")</f>
        <v>0</v>
      </c>
      <c r="MC4" s="98">
        <f>IFERROR((YEARFRAC($AD4,$FV4)*12),"N/A")</f>
        <v>0</v>
      </c>
      <c r="MD4" s="98">
        <f>IFERROR((YEARFRAC($AD4,$FX4)*12),"N/A")</f>
        <v>0</v>
      </c>
      <c r="ME4" s="98">
        <f>IFERROR((YEARFRAC($AD4,$FZ4)*12),"N/A")</f>
        <v>0</v>
      </c>
      <c r="MF4" s="98">
        <f>IFERROR((YEARFRAC($AD4,$GB4)*12),"N/A")</f>
        <v>0</v>
      </c>
      <c r="MG4" s="98">
        <f>IFERROR((YEARFRAC($AD4,$GD4)*12),"N/A")</f>
        <v>0</v>
      </c>
      <c r="MH4" s="98">
        <f>IFERROR((YEARFRAC($AD4,$GF4)*12),"N/A")</f>
        <v>0</v>
      </c>
      <c r="MI4" s="98">
        <f>IFERROR((YEARFRAC($AD4,$GH4)*12),"N/A")</f>
        <v>0</v>
      </c>
      <c r="MJ4" s="98">
        <f>IFERROR((YEARFRAC($AD4,$GJ4)*12),"N/A")</f>
        <v>0</v>
      </c>
      <c r="MK4" s="98">
        <f>IFERROR((YEARFRAC($AD4,$GL4)*12),"N/A")</f>
        <v>0</v>
      </c>
      <c r="ML4" s="98">
        <f>IFERROR((YEARFRAC($AD4,$GN4)*12),"N/A")</f>
        <v>0</v>
      </c>
      <c r="MM4" s="98">
        <f>IFERROR((YEARFRAC($AD4,$GR4)*12),"N/A")</f>
        <v>0</v>
      </c>
      <c r="MN4" s="98">
        <f>IFERROR((YEARFRAC($AD4,$GS4)*12),"N/A")</f>
        <v>0</v>
      </c>
      <c r="MO4" s="98">
        <f>IFERROR((YEARFRAC($AD4,$GW4)*12),"N/A")</f>
        <v>0</v>
      </c>
      <c r="MP4" s="98">
        <f>IFERROR((YEARFRAC($AD4,$GX4)*12),"N/A")</f>
        <v>0</v>
      </c>
      <c r="MQ4" s="98">
        <f>IFERROR((YEARFRAC($AD4,$HB4)*12),"N/A")</f>
        <v>0</v>
      </c>
      <c r="MR4" s="98">
        <f>IFERROR((YEARFRAC($AD4,$HC4)*12),"N/A")</f>
        <v>0</v>
      </c>
      <c r="MS4" s="98">
        <f>IFERROR((YEARFRAC($AD4,$HG4)*12),"N/A")</f>
        <v>0</v>
      </c>
      <c r="MT4" s="98">
        <f>IFERROR((YEARFRAC($AD4,$HH4)*12),"N/A")</f>
        <v>0</v>
      </c>
      <c r="MU4" s="98">
        <f>IFERROR((YEARFRAC($AD4,$HL4)*12),"N/A")</f>
        <v>0</v>
      </c>
      <c r="MV4" s="98">
        <f>IFERROR((YEARFRAC($AD4,$HM4)*12),"N/A")</f>
        <v>0</v>
      </c>
      <c r="MW4" s="98">
        <f>IFERROR((YEARFRAC($AD4,$HQ4)*12),"N/A")</f>
        <v>0</v>
      </c>
      <c r="MX4" s="98">
        <f>IFERROR((YEARFRAC($AD4,$HR4)*12),"N/A")</f>
        <v>0</v>
      </c>
      <c r="MY4" s="98">
        <f>IFERROR((YEARFRAC($AD4,$HV4)*12),"N/A")</f>
        <v>0</v>
      </c>
      <c r="MZ4" s="98">
        <f>IFERROR((YEARFRAC($AD4,$HW4)*12),"N/A")</f>
        <v>0</v>
      </c>
      <c r="NA4" s="98">
        <f>IFERROR((YEARFRAC($AD4,$IA4)*12),"N/A")</f>
        <v>0</v>
      </c>
      <c r="NB4" s="98">
        <f>IFERROR((YEARFRAC($AD4,$IB4)*12),"N/A")</f>
        <v>0</v>
      </c>
      <c r="NC4" s="98">
        <f>IFERROR((YEARFRAC($AD4,$IF4)*12),"N/A")</f>
        <v>0</v>
      </c>
      <c r="ND4" s="98">
        <f>IFERROR((YEARFRAC($AD4,$IG4)*12),"N/A")</f>
        <v>0</v>
      </c>
      <c r="NE4" s="98">
        <f>IFERROR((YEARFRAC($AD4,$IK4)*12),"N/A")</f>
        <v>0</v>
      </c>
      <c r="NF4" s="98">
        <f>IFERROR((YEARFRAC($AD4,$IL4)*12),"N/A")</f>
        <v>0</v>
      </c>
      <c r="NG4" s="98">
        <f>IFERROR((YEARFRAC($AD4,$IP4)*12),"N/A")</f>
        <v>0</v>
      </c>
      <c r="NH4" s="98">
        <f>IFERROR((YEARFRAC($AD4,$IQ4)*12),"N/A")</f>
        <v>0</v>
      </c>
      <c r="NI4" s="98">
        <f>IFERROR((YEARFRAC($AD4,$IU4)*12),"N/A")</f>
        <v>0</v>
      </c>
      <c r="NJ4" s="98">
        <f>IFERROR((YEARFRAC($AD4,$IV4)*12),"N/A")</f>
        <v>0</v>
      </c>
      <c r="NK4" s="98">
        <f>IFERROR((YEARFRAC($AD4,$IZ4)*12),"N/A")</f>
        <v>0</v>
      </c>
      <c r="NL4" s="98">
        <f>IFERROR((YEARFRAC($AD4,$JA4)*12),"N/A")</f>
        <v>0</v>
      </c>
      <c r="NM4" s="98">
        <f>IFERROR((YEARFRAC($AD4,$JE4)*12),"N/A")</f>
        <v>0</v>
      </c>
      <c r="NN4" s="98">
        <f>IFERROR((YEARFRAC($AD4,$JF4)*12),"N/A")</f>
        <v>0</v>
      </c>
      <c r="NO4" s="98">
        <f>IFERROR((YEARFRAC($AD4,$JJ4)*12),"N/A")</f>
        <v>0</v>
      </c>
      <c r="NP4" s="98">
        <f>IFERROR((YEARFRAC($AD4,$JK4)*12),"N/A")</f>
        <v>0</v>
      </c>
      <c r="NQ4" s="99">
        <f>$LX4</f>
        <v>0</v>
      </c>
      <c r="NR4" s="99">
        <f>IFERROR((YEARFRAC($AD4,$JN4)*12),"N/A")</f>
        <v>0</v>
      </c>
      <c r="NS4" s="99">
        <f>IFERROR((YEARFRAC($AD4,$JQ4)*12),"N/A")</f>
        <v>0</v>
      </c>
      <c r="NT4" s="99">
        <f>IFERROR((YEARFRAC($AD4,$JR4)*12),"N/A")</f>
        <v>0</v>
      </c>
      <c r="NU4" s="100">
        <f>SUM($NR4,$NT4)</f>
        <v>0</v>
      </c>
      <c r="NV4" s="100" cm="1">
        <f t="array" ref="NV4">INDEX($NQ4:$NS4,MATCH(TRUE,INDEX(ISNUMBER($NQ4:$NS4),0),0))</f>
        <v>0</v>
      </c>
      <c r="NW4" s="101">
        <f>IF($NQ4="N/A",0,1)</f>
        <v>1</v>
      </c>
      <c r="NX4" s="101">
        <f>IF($JO4="Yes",1,0)</f>
        <v>0</v>
      </c>
      <c r="NY4" s="101">
        <f>IF($NR4="N/A",0,1)</f>
        <v>1</v>
      </c>
      <c r="NZ4" s="101" t="str">
        <f>IF(OR($NW4=1,$NX4=1),"1","0")</f>
        <v>1</v>
      </c>
    </row>
    <row r="5" spans="1:390" ht="15.75" customHeight="1" x14ac:dyDescent="0.3">
      <c r="A5" s="214">
        <v>4860738853</v>
      </c>
      <c r="B5" s="165" t="s">
        <v>391</v>
      </c>
      <c r="C5" s="215"/>
      <c r="D5" s="216" t="s">
        <v>391</v>
      </c>
      <c r="E5" s="220" t="s">
        <v>603</v>
      </c>
      <c r="F5" s="113" t="s">
        <v>471</v>
      </c>
      <c r="G5" s="221" t="s">
        <v>448</v>
      </c>
      <c r="H5" s="219">
        <v>43201</v>
      </c>
      <c r="I5" s="216" t="s">
        <v>513</v>
      </c>
      <c r="J5" s="153" t="s">
        <v>397</v>
      </c>
      <c r="K5" s="152" t="s">
        <v>398</v>
      </c>
      <c r="L5" s="152" t="s">
        <v>398</v>
      </c>
      <c r="M5" s="164" t="s">
        <v>398</v>
      </c>
      <c r="N5" s="164" t="s">
        <v>398</v>
      </c>
      <c r="O5" s="164" t="s">
        <v>398</v>
      </c>
      <c r="P5" s="164" t="s">
        <v>398</v>
      </c>
      <c r="Q5" s="164" t="s">
        <v>398</v>
      </c>
      <c r="R5" s="164" t="s">
        <v>398</v>
      </c>
      <c r="S5" s="164" t="s">
        <v>398</v>
      </c>
      <c r="T5" s="164" t="s">
        <v>398</v>
      </c>
      <c r="U5" s="164" t="s">
        <v>398</v>
      </c>
      <c r="V5" s="164" t="s">
        <v>398</v>
      </c>
      <c r="W5" s="164" t="s">
        <v>398</v>
      </c>
      <c r="X5" s="164" t="s">
        <v>398</v>
      </c>
      <c r="Y5" s="164" t="s">
        <v>398</v>
      </c>
      <c r="Z5" s="164" t="s">
        <v>398</v>
      </c>
      <c r="AA5" s="164" t="s">
        <v>398</v>
      </c>
      <c r="AB5" s="166" t="s">
        <v>399</v>
      </c>
      <c r="AC5" s="219">
        <v>23226</v>
      </c>
      <c r="AD5" s="169"/>
      <c r="AE5" s="108" t="e">
        <f t="shared" ref="AE5:AE68" si="0">DATEDIF(AC5, AD5,"Y")</f>
        <v>#NUM!</v>
      </c>
      <c r="AF5" s="107" t="s">
        <v>602</v>
      </c>
      <c r="AG5" s="79" t="s">
        <v>401</v>
      </c>
      <c r="AH5" s="87" t="s">
        <v>402</v>
      </c>
      <c r="AI5" s="110"/>
      <c r="AJ5" s="110"/>
      <c r="AK5" s="110"/>
      <c r="AL5" s="110"/>
      <c r="AM5" s="105"/>
      <c r="AN5" s="95">
        <v>3</v>
      </c>
      <c r="AO5" s="173" t="s">
        <v>398</v>
      </c>
      <c r="AP5" s="79"/>
      <c r="AQ5" s="106"/>
      <c r="AR5" s="91"/>
      <c r="AS5" s="104"/>
      <c r="AT5" s="104"/>
      <c r="AU5" s="104"/>
      <c r="AV5" s="104"/>
      <c r="AW5" s="91"/>
      <c r="AX5" s="104"/>
      <c r="AY5" s="104"/>
      <c r="AZ5" s="104"/>
      <c r="BA5" s="104"/>
      <c r="BB5" s="91"/>
      <c r="BC5" s="104"/>
      <c r="BD5" s="104"/>
      <c r="BE5" s="104"/>
      <c r="BF5" s="104"/>
      <c r="BG5" s="91"/>
      <c r="BH5" s="104"/>
      <c r="BI5" s="104"/>
      <c r="BJ5" s="104"/>
      <c r="BK5" s="104"/>
      <c r="BL5" s="91"/>
      <c r="BM5" s="104"/>
      <c r="BN5" s="104"/>
      <c r="BO5" s="104"/>
      <c r="BP5" s="104"/>
      <c r="BQ5" s="91"/>
      <c r="BR5" s="104"/>
      <c r="BS5" s="104"/>
      <c r="BT5" s="104"/>
      <c r="BU5" s="104"/>
      <c r="BV5" s="91"/>
      <c r="BW5" s="104"/>
      <c r="BX5" s="104"/>
      <c r="BY5" s="104"/>
      <c r="BZ5" s="104"/>
      <c r="CA5" s="91"/>
      <c r="CB5" s="104"/>
      <c r="CC5" s="104"/>
      <c r="CD5" s="104"/>
      <c r="CE5" s="104"/>
      <c r="CF5" s="91"/>
      <c r="CG5" s="104"/>
      <c r="CH5" s="104"/>
      <c r="CI5" s="104"/>
      <c r="CJ5" s="104"/>
      <c r="CK5" s="91"/>
      <c r="CL5" s="104"/>
      <c r="CM5" s="104"/>
      <c r="CN5" s="104"/>
      <c r="CO5" s="104"/>
      <c r="CP5" s="91"/>
      <c r="CQ5" s="104"/>
      <c r="CR5" s="104"/>
      <c r="CS5" s="104"/>
      <c r="CT5" s="104"/>
      <c r="CU5" s="91"/>
      <c r="CV5" s="104"/>
      <c r="CW5" s="104"/>
      <c r="CX5" s="104"/>
      <c r="CY5" s="104"/>
      <c r="CZ5" s="91"/>
      <c r="DA5" s="104"/>
      <c r="DB5" s="104"/>
      <c r="DC5" s="104"/>
      <c r="DD5" s="104"/>
      <c r="DE5" s="91"/>
      <c r="DF5" s="104"/>
      <c r="DG5" s="104"/>
      <c r="DH5" s="104"/>
      <c r="DI5" s="104"/>
      <c r="DJ5" s="91"/>
      <c r="DK5" s="104"/>
      <c r="DL5" s="104"/>
      <c r="DM5" s="104"/>
      <c r="DN5" s="104"/>
      <c r="DO5" s="91"/>
      <c r="DP5" s="104"/>
      <c r="DQ5" s="104"/>
      <c r="DR5" s="104"/>
      <c r="DS5" s="104"/>
      <c r="DT5" s="91"/>
      <c r="DU5" s="104"/>
      <c r="DV5" s="104"/>
      <c r="DW5" s="104"/>
      <c r="DX5" s="104"/>
      <c r="DY5" s="91"/>
      <c r="DZ5" s="104"/>
      <c r="EA5" s="104"/>
      <c r="EB5" s="104"/>
      <c r="EC5" s="104"/>
      <c r="ED5" s="91"/>
      <c r="EE5" s="104"/>
      <c r="EF5" s="104"/>
      <c r="EG5" s="104"/>
      <c r="EH5" s="104"/>
      <c r="EI5" s="91"/>
      <c r="EJ5" s="104"/>
      <c r="EK5" s="104"/>
      <c r="EL5" s="104"/>
      <c r="EM5" s="104"/>
      <c r="EN5" s="91"/>
      <c r="EO5" s="104"/>
      <c r="EP5" s="104"/>
      <c r="EQ5" s="104"/>
      <c r="ER5" s="104"/>
      <c r="ES5" s="91"/>
      <c r="ET5" s="104"/>
      <c r="EU5" s="104"/>
      <c r="EV5" s="104"/>
      <c r="EW5" s="104"/>
      <c r="EX5" s="91"/>
      <c r="EY5" s="104"/>
      <c r="EZ5" s="104"/>
      <c r="FA5" s="104"/>
      <c r="FB5" s="104"/>
      <c r="FC5" s="91"/>
      <c r="FD5" s="104"/>
      <c r="FE5" s="104"/>
      <c r="FF5" s="104"/>
      <c r="FG5" s="104"/>
      <c r="FH5" s="91"/>
      <c r="FI5" s="104"/>
      <c r="FJ5" s="104"/>
      <c r="FK5" s="104"/>
      <c r="FL5" s="104"/>
      <c r="FM5" s="104"/>
      <c r="FN5" s="104"/>
      <c r="FO5" s="104"/>
      <c r="FP5" s="104"/>
      <c r="FQ5" s="104"/>
      <c r="FR5" s="104"/>
      <c r="FS5" s="104"/>
      <c r="FT5" s="104"/>
      <c r="FU5" s="104"/>
      <c r="FV5" s="104"/>
      <c r="FW5" s="104"/>
      <c r="FX5" s="104"/>
      <c r="FY5" s="104"/>
      <c r="FZ5" s="104"/>
      <c r="GA5" s="104"/>
      <c r="GB5" s="104"/>
      <c r="GC5" s="104"/>
      <c r="GD5" s="104"/>
      <c r="GE5" s="104"/>
      <c r="GF5" s="104"/>
      <c r="GG5" s="104"/>
      <c r="GH5" s="104"/>
      <c r="GI5" s="104"/>
      <c r="GJ5" s="104"/>
      <c r="GK5" s="104"/>
      <c r="GL5" s="104"/>
      <c r="GM5" s="104"/>
      <c r="GN5" s="104"/>
      <c r="GO5" s="104"/>
      <c r="GP5" s="91"/>
      <c r="GQ5" s="104"/>
      <c r="GR5" s="104"/>
      <c r="GS5" s="104"/>
      <c r="GT5" s="104"/>
      <c r="GU5" s="91"/>
      <c r="GV5" s="104"/>
      <c r="GW5" s="104"/>
      <c r="GX5" s="104"/>
      <c r="GY5" s="104"/>
      <c r="GZ5" s="91"/>
      <c r="HA5" s="104"/>
      <c r="HB5" s="104"/>
      <c r="HC5" s="104"/>
      <c r="HD5" s="104"/>
      <c r="HE5" s="91"/>
      <c r="HF5" s="104"/>
      <c r="HG5" s="104"/>
      <c r="HH5" s="104"/>
      <c r="HI5" s="104"/>
      <c r="HJ5" s="91"/>
      <c r="HK5" s="104"/>
      <c r="HL5" s="104"/>
      <c r="HM5" s="104"/>
      <c r="HN5" s="104"/>
      <c r="HO5" s="91"/>
      <c r="HP5" s="104"/>
      <c r="HQ5" s="104"/>
      <c r="HR5" s="104"/>
      <c r="HS5" s="104"/>
      <c r="HT5" s="91"/>
      <c r="HU5" s="104"/>
      <c r="HV5" s="104"/>
      <c r="HW5" s="104"/>
      <c r="HX5" s="104"/>
      <c r="HY5" s="91"/>
      <c r="HZ5" s="104"/>
      <c r="IA5" s="104"/>
      <c r="IB5" s="104"/>
      <c r="IC5" s="104"/>
      <c r="ID5" s="91"/>
      <c r="IE5" s="104"/>
      <c r="IF5" s="104"/>
      <c r="IG5" s="104"/>
      <c r="IH5" s="104"/>
      <c r="II5" s="91"/>
      <c r="IJ5" s="104"/>
      <c r="IK5" s="104"/>
      <c r="IL5" s="104"/>
      <c r="IM5" s="104"/>
      <c r="IN5" s="91"/>
      <c r="IO5" s="104"/>
      <c r="IP5" s="104"/>
      <c r="IQ5" s="104"/>
      <c r="IR5" s="104"/>
      <c r="IS5" s="91"/>
      <c r="IT5" s="104"/>
      <c r="IU5" s="104"/>
      <c r="IV5" s="104"/>
      <c r="IW5" s="104"/>
      <c r="IX5" s="91"/>
      <c r="IY5" s="104"/>
      <c r="IZ5" s="104"/>
      <c r="JA5" s="104"/>
      <c r="JB5" s="104"/>
      <c r="JC5" s="91"/>
      <c r="JD5" s="104"/>
      <c r="JE5" s="104"/>
      <c r="JF5" s="104"/>
      <c r="JG5" s="105"/>
      <c r="JH5" s="91"/>
      <c r="JI5" s="106"/>
      <c r="JJ5" s="104"/>
      <c r="JK5" s="104"/>
      <c r="JL5" s="105"/>
      <c r="JM5" s="95"/>
      <c r="JN5" s="107"/>
      <c r="JO5" s="79"/>
      <c r="JP5" s="106"/>
      <c r="JQ5" s="104"/>
      <c r="JR5" s="104"/>
      <c r="JS5" s="104"/>
      <c r="JT5" s="104"/>
      <c r="JU5" s="104"/>
      <c r="JV5" s="104"/>
      <c r="JW5" s="104"/>
      <c r="JX5" s="104"/>
      <c r="JY5" s="104"/>
      <c r="JZ5" s="104"/>
      <c r="KA5" s="104"/>
      <c r="KB5" s="104"/>
      <c r="KC5" s="104"/>
      <c r="KD5" s="104"/>
      <c r="KE5" s="104"/>
      <c r="KF5" s="104"/>
      <c r="KG5" s="104"/>
      <c r="KH5" s="104"/>
      <c r="KI5" s="104"/>
      <c r="KJ5" s="104"/>
      <c r="KK5" s="104"/>
      <c r="KL5" s="104"/>
      <c r="KM5" s="104"/>
      <c r="KN5" s="104"/>
      <c r="KO5" s="104"/>
      <c r="KP5" s="104"/>
      <c r="KQ5" s="104"/>
      <c r="KR5" s="104"/>
      <c r="KS5" s="104"/>
      <c r="KT5" s="104"/>
      <c r="KU5" s="104"/>
      <c r="KV5" s="104"/>
      <c r="KW5" s="104"/>
      <c r="KX5" s="104"/>
      <c r="KY5" s="104"/>
      <c r="KZ5" s="104"/>
      <c r="LA5" s="104"/>
      <c r="LB5" s="104"/>
      <c r="LC5" s="104"/>
      <c r="LD5" s="104"/>
      <c r="LE5" s="104"/>
      <c r="LF5" s="104"/>
      <c r="LG5" s="104"/>
      <c r="LH5" s="104"/>
      <c r="LI5" s="104"/>
      <c r="LJ5" s="104"/>
      <c r="LK5" s="104"/>
      <c r="LL5" s="104"/>
      <c r="LM5" s="104"/>
      <c r="LN5" s="104"/>
      <c r="LO5" s="104"/>
      <c r="LP5" s="104"/>
      <c r="LQ5" s="104"/>
      <c r="LR5" s="104"/>
      <c r="LS5" s="104"/>
      <c r="LT5" s="104"/>
      <c r="LU5" s="104"/>
      <c r="LV5" s="104"/>
      <c r="LW5" s="104"/>
      <c r="LX5" s="104"/>
      <c r="LY5" s="104"/>
      <c r="LZ5" s="104"/>
      <c r="MA5" s="104"/>
      <c r="MB5" s="104"/>
      <c r="MC5" s="104"/>
      <c r="MD5" s="103"/>
      <c r="ME5" s="103"/>
      <c r="MF5" s="103"/>
      <c r="MG5" s="103"/>
      <c r="MH5" s="103"/>
      <c r="MI5" s="103"/>
      <c r="MJ5" s="103"/>
      <c r="MK5" s="103"/>
      <c r="ML5" s="103"/>
      <c r="MM5" s="103"/>
      <c r="MN5" s="103"/>
      <c r="MO5" s="103"/>
      <c r="MP5" s="103"/>
      <c r="MQ5" s="103"/>
      <c r="MR5" s="103"/>
      <c r="MS5" s="103"/>
      <c r="MT5" s="103"/>
      <c r="MU5" s="103"/>
      <c r="MV5" s="103"/>
      <c r="MW5" s="103"/>
      <c r="MX5" s="103"/>
      <c r="MY5" s="103"/>
      <c r="MZ5" s="103"/>
      <c r="NA5" s="103"/>
      <c r="NB5" s="103"/>
      <c r="NC5" s="103"/>
      <c r="ND5" s="103"/>
      <c r="NE5" s="103"/>
      <c r="NF5" s="103"/>
      <c r="NG5" s="103"/>
      <c r="NH5" s="103"/>
      <c r="NI5" s="103"/>
      <c r="NJ5" s="103"/>
      <c r="NK5" s="103"/>
      <c r="NL5" s="103"/>
      <c r="NM5" s="103"/>
      <c r="NN5" s="103"/>
      <c r="NO5" s="103"/>
      <c r="NP5" s="103"/>
      <c r="NQ5" s="103"/>
      <c r="NR5" s="103"/>
      <c r="NS5" s="103"/>
      <c r="NT5" s="103"/>
      <c r="NU5" s="103"/>
      <c r="NV5" s="103"/>
      <c r="NW5" s="103"/>
      <c r="NX5" s="103"/>
      <c r="NY5" s="104"/>
      <c r="NZ5" s="104"/>
    </row>
    <row r="6" spans="1:390" s="212" customFormat="1" ht="15.75" customHeight="1" x14ac:dyDescent="0.3">
      <c r="A6" s="222">
        <v>4383572731</v>
      </c>
      <c r="B6" s="198" t="s">
        <v>391</v>
      </c>
      <c r="C6" s="223"/>
      <c r="D6" s="224" t="s">
        <v>391</v>
      </c>
      <c r="E6" s="225" t="s">
        <v>604</v>
      </c>
      <c r="F6" s="226" t="s">
        <v>605</v>
      </c>
      <c r="G6" s="227" t="s">
        <v>408</v>
      </c>
      <c r="H6" s="228">
        <v>43203</v>
      </c>
      <c r="I6" s="224" t="s">
        <v>458</v>
      </c>
      <c r="J6" s="229" t="s">
        <v>397</v>
      </c>
      <c r="K6" s="229" t="s">
        <v>398</v>
      </c>
      <c r="L6" s="229" t="s">
        <v>398</v>
      </c>
      <c r="M6" s="199" t="s">
        <v>398</v>
      </c>
      <c r="N6" s="199" t="s">
        <v>398</v>
      </c>
      <c r="O6" s="199" t="s">
        <v>398</v>
      </c>
      <c r="P6" s="199" t="s">
        <v>398</v>
      </c>
      <c r="Q6" s="199" t="s">
        <v>398</v>
      </c>
      <c r="R6" s="199" t="s">
        <v>398</v>
      </c>
      <c r="S6" s="199" t="s">
        <v>398</v>
      </c>
      <c r="T6" s="199" t="s">
        <v>398</v>
      </c>
      <c r="U6" s="199" t="s">
        <v>398</v>
      </c>
      <c r="V6" s="199" t="s">
        <v>398</v>
      </c>
      <c r="W6" s="199" t="s">
        <v>398</v>
      </c>
      <c r="X6" s="199" t="s">
        <v>398</v>
      </c>
      <c r="Y6" s="199" t="s">
        <v>398</v>
      </c>
      <c r="Z6" s="199" t="s">
        <v>398</v>
      </c>
      <c r="AA6" s="199" t="s">
        <v>398</v>
      </c>
      <c r="AB6" s="200" t="s">
        <v>399</v>
      </c>
      <c r="AC6" s="228">
        <v>14889</v>
      </c>
      <c r="AD6" s="201"/>
      <c r="AE6" s="202" t="e">
        <f t="shared" si="0"/>
        <v>#NUM!</v>
      </c>
      <c r="AF6" s="201" t="s">
        <v>602</v>
      </c>
      <c r="AG6" s="203" t="s">
        <v>401</v>
      </c>
      <c r="AH6" s="204" t="s">
        <v>402</v>
      </c>
      <c r="AI6" s="205"/>
      <c r="AJ6" s="205"/>
      <c r="AK6" s="205"/>
      <c r="AL6" s="205"/>
      <c r="AM6" s="206"/>
      <c r="AN6" s="207">
        <v>2</v>
      </c>
      <c r="AO6" s="230" t="s">
        <v>398</v>
      </c>
      <c r="AP6" s="203"/>
      <c r="AQ6" s="208"/>
      <c r="AR6" s="209"/>
      <c r="AS6" s="210"/>
      <c r="AT6" s="210"/>
      <c r="AU6" s="210"/>
      <c r="AV6" s="210"/>
      <c r="AW6" s="209"/>
      <c r="AX6" s="210"/>
      <c r="AY6" s="210"/>
      <c r="AZ6" s="210"/>
      <c r="BA6" s="210"/>
      <c r="BB6" s="209"/>
      <c r="BC6" s="210"/>
      <c r="BD6" s="210"/>
      <c r="BE6" s="210"/>
      <c r="BF6" s="210"/>
      <c r="BG6" s="209"/>
      <c r="BH6" s="210"/>
      <c r="BI6" s="210"/>
      <c r="BJ6" s="210"/>
      <c r="BK6" s="210"/>
      <c r="BL6" s="209"/>
      <c r="BM6" s="210"/>
      <c r="BN6" s="210"/>
      <c r="BO6" s="210"/>
      <c r="BP6" s="210"/>
      <c r="BQ6" s="209"/>
      <c r="BR6" s="210"/>
      <c r="BS6" s="210"/>
      <c r="BT6" s="210"/>
      <c r="BU6" s="210"/>
      <c r="BV6" s="209"/>
      <c r="BW6" s="210"/>
      <c r="BX6" s="210"/>
      <c r="BY6" s="210"/>
      <c r="BZ6" s="210"/>
      <c r="CA6" s="209"/>
      <c r="CB6" s="210"/>
      <c r="CC6" s="210"/>
      <c r="CD6" s="210"/>
      <c r="CE6" s="210"/>
      <c r="CF6" s="209"/>
      <c r="CG6" s="210"/>
      <c r="CH6" s="210"/>
      <c r="CI6" s="210"/>
      <c r="CJ6" s="210"/>
      <c r="CK6" s="209"/>
      <c r="CL6" s="210"/>
      <c r="CM6" s="210"/>
      <c r="CN6" s="210"/>
      <c r="CO6" s="210"/>
      <c r="CP6" s="209"/>
      <c r="CQ6" s="210"/>
      <c r="CR6" s="210"/>
      <c r="CS6" s="210"/>
      <c r="CT6" s="210"/>
      <c r="CU6" s="209"/>
      <c r="CV6" s="210"/>
      <c r="CW6" s="210"/>
      <c r="CX6" s="210"/>
      <c r="CY6" s="210"/>
      <c r="CZ6" s="209"/>
      <c r="DA6" s="210"/>
      <c r="DB6" s="210"/>
      <c r="DC6" s="210"/>
      <c r="DD6" s="210"/>
      <c r="DE6" s="209"/>
      <c r="DF6" s="210"/>
      <c r="DG6" s="210"/>
      <c r="DH6" s="210"/>
      <c r="DI6" s="210"/>
      <c r="DJ6" s="209"/>
      <c r="DK6" s="210"/>
      <c r="DL6" s="210"/>
      <c r="DM6" s="210"/>
      <c r="DN6" s="210"/>
      <c r="DO6" s="209"/>
      <c r="DP6" s="210"/>
      <c r="DQ6" s="210"/>
      <c r="DR6" s="210"/>
      <c r="DS6" s="210"/>
      <c r="DT6" s="209"/>
      <c r="DU6" s="210"/>
      <c r="DV6" s="210"/>
      <c r="DW6" s="210"/>
      <c r="DX6" s="210"/>
      <c r="DY6" s="209"/>
      <c r="DZ6" s="210"/>
      <c r="EA6" s="210"/>
      <c r="EB6" s="210"/>
      <c r="EC6" s="210"/>
      <c r="ED6" s="209"/>
      <c r="EE6" s="210"/>
      <c r="EF6" s="210"/>
      <c r="EG6" s="210"/>
      <c r="EH6" s="210"/>
      <c r="EI6" s="209"/>
      <c r="EJ6" s="210"/>
      <c r="EK6" s="210"/>
      <c r="EL6" s="210"/>
      <c r="EM6" s="210"/>
      <c r="EN6" s="209"/>
      <c r="EO6" s="210"/>
      <c r="EP6" s="210"/>
      <c r="EQ6" s="210"/>
      <c r="ER6" s="210"/>
      <c r="ES6" s="209"/>
      <c r="ET6" s="210"/>
      <c r="EU6" s="210"/>
      <c r="EV6" s="210"/>
      <c r="EW6" s="210"/>
      <c r="EX6" s="209"/>
      <c r="EY6" s="210"/>
      <c r="EZ6" s="210"/>
      <c r="FA6" s="210"/>
      <c r="FB6" s="210"/>
      <c r="FC6" s="209"/>
      <c r="FD6" s="210"/>
      <c r="FE6" s="210"/>
      <c r="FF6" s="210"/>
      <c r="FG6" s="210"/>
      <c r="FH6" s="209"/>
      <c r="FI6" s="210"/>
      <c r="FJ6" s="210"/>
      <c r="FK6" s="210"/>
      <c r="FL6" s="210"/>
      <c r="FM6" s="210"/>
      <c r="FN6" s="210"/>
      <c r="FO6" s="210"/>
      <c r="FP6" s="210"/>
      <c r="FQ6" s="210"/>
      <c r="FR6" s="210"/>
      <c r="FS6" s="210"/>
      <c r="FT6" s="210"/>
      <c r="FU6" s="210"/>
      <c r="FV6" s="210"/>
      <c r="FW6" s="210"/>
      <c r="FX6" s="210"/>
      <c r="FY6" s="210"/>
      <c r="FZ6" s="210"/>
      <c r="GA6" s="210"/>
      <c r="GB6" s="210"/>
      <c r="GC6" s="210"/>
      <c r="GD6" s="210"/>
      <c r="GE6" s="210"/>
      <c r="GF6" s="210"/>
      <c r="GG6" s="210"/>
      <c r="GH6" s="210"/>
      <c r="GI6" s="210"/>
      <c r="GJ6" s="210"/>
      <c r="GK6" s="210"/>
      <c r="GL6" s="210"/>
      <c r="GM6" s="210"/>
      <c r="GN6" s="210"/>
      <c r="GO6" s="210"/>
      <c r="GP6" s="209"/>
      <c r="GQ6" s="210"/>
      <c r="GR6" s="210"/>
      <c r="GS6" s="210"/>
      <c r="GT6" s="210"/>
      <c r="GU6" s="209"/>
      <c r="GV6" s="210"/>
      <c r="GW6" s="210"/>
      <c r="GX6" s="210"/>
      <c r="GY6" s="210"/>
      <c r="GZ6" s="209"/>
      <c r="HA6" s="210"/>
      <c r="HB6" s="210"/>
      <c r="HC6" s="210"/>
      <c r="HD6" s="210"/>
      <c r="HE6" s="209"/>
      <c r="HF6" s="210"/>
      <c r="HG6" s="210"/>
      <c r="HH6" s="210"/>
      <c r="HI6" s="210"/>
      <c r="HJ6" s="209"/>
      <c r="HK6" s="210"/>
      <c r="HL6" s="210"/>
      <c r="HM6" s="210"/>
      <c r="HN6" s="210"/>
      <c r="HO6" s="209"/>
      <c r="HP6" s="210"/>
      <c r="HQ6" s="210"/>
      <c r="HR6" s="210"/>
      <c r="HS6" s="210"/>
      <c r="HT6" s="209"/>
      <c r="HU6" s="210"/>
      <c r="HV6" s="210"/>
      <c r="HW6" s="210"/>
      <c r="HX6" s="210"/>
      <c r="HY6" s="209"/>
      <c r="HZ6" s="210"/>
      <c r="IA6" s="210"/>
      <c r="IB6" s="210"/>
      <c r="IC6" s="210"/>
      <c r="ID6" s="209"/>
      <c r="IE6" s="210"/>
      <c r="IF6" s="210"/>
      <c r="IG6" s="210"/>
      <c r="IH6" s="210"/>
      <c r="II6" s="209"/>
      <c r="IJ6" s="210"/>
      <c r="IK6" s="210"/>
      <c r="IL6" s="210"/>
      <c r="IM6" s="210"/>
      <c r="IN6" s="209"/>
      <c r="IO6" s="210"/>
      <c r="IP6" s="210"/>
      <c r="IQ6" s="210"/>
      <c r="IR6" s="210"/>
      <c r="IS6" s="209"/>
      <c r="IT6" s="210"/>
      <c r="IU6" s="210"/>
      <c r="IV6" s="210"/>
      <c r="IW6" s="210"/>
      <c r="IX6" s="209"/>
      <c r="IY6" s="210"/>
      <c r="IZ6" s="210"/>
      <c r="JA6" s="210"/>
      <c r="JB6" s="210"/>
      <c r="JC6" s="209"/>
      <c r="JD6" s="210"/>
      <c r="JE6" s="210"/>
      <c r="JF6" s="210"/>
      <c r="JG6" s="206"/>
      <c r="JH6" s="209"/>
      <c r="JI6" s="208"/>
      <c r="JJ6" s="210"/>
      <c r="JK6" s="210"/>
      <c r="JL6" s="206"/>
      <c r="JM6" s="207"/>
      <c r="JN6" s="201"/>
      <c r="JO6" s="203"/>
      <c r="JP6" s="208"/>
      <c r="JQ6" s="210"/>
      <c r="JR6" s="210"/>
      <c r="JS6" s="210"/>
      <c r="JT6" s="210"/>
      <c r="JU6" s="210"/>
      <c r="JV6" s="210"/>
      <c r="JW6" s="210"/>
      <c r="JX6" s="210"/>
      <c r="JY6" s="210"/>
      <c r="JZ6" s="210"/>
      <c r="KA6" s="210"/>
      <c r="KB6" s="210"/>
      <c r="KC6" s="210"/>
      <c r="KD6" s="210"/>
      <c r="KE6" s="210"/>
      <c r="KF6" s="210"/>
      <c r="KG6" s="210"/>
      <c r="KH6" s="210"/>
      <c r="KI6" s="210"/>
      <c r="KJ6" s="210"/>
      <c r="KK6" s="210"/>
      <c r="KL6" s="210"/>
      <c r="KM6" s="210"/>
      <c r="KN6" s="210"/>
      <c r="KO6" s="210"/>
      <c r="KP6" s="210"/>
      <c r="KQ6" s="210"/>
      <c r="KR6" s="210"/>
      <c r="KS6" s="210"/>
      <c r="KT6" s="210"/>
      <c r="KU6" s="210"/>
      <c r="KV6" s="210"/>
      <c r="KW6" s="210"/>
      <c r="KX6" s="210"/>
      <c r="KY6" s="210"/>
      <c r="KZ6" s="210"/>
      <c r="LA6" s="210"/>
      <c r="LB6" s="210"/>
      <c r="LC6" s="210"/>
      <c r="LD6" s="210"/>
      <c r="LE6" s="210"/>
      <c r="LF6" s="210"/>
      <c r="LG6" s="210"/>
      <c r="LH6" s="210"/>
      <c r="LI6" s="210"/>
      <c r="LJ6" s="210"/>
      <c r="LK6" s="210"/>
      <c r="LL6" s="210"/>
      <c r="LM6" s="210"/>
      <c r="LN6" s="210"/>
      <c r="LO6" s="210"/>
      <c r="LP6" s="210"/>
      <c r="LQ6" s="210"/>
      <c r="LR6" s="210"/>
      <c r="LS6" s="210"/>
      <c r="LT6" s="210"/>
      <c r="LU6" s="210"/>
      <c r="LV6" s="210"/>
      <c r="LW6" s="210"/>
      <c r="LX6" s="210"/>
      <c r="LY6" s="210"/>
      <c r="LZ6" s="210"/>
      <c r="MA6" s="210"/>
      <c r="MB6" s="210"/>
      <c r="MC6" s="210"/>
      <c r="MD6" s="211"/>
      <c r="ME6" s="211"/>
      <c r="MF6" s="211"/>
      <c r="MG6" s="211"/>
      <c r="MH6" s="211"/>
      <c r="MI6" s="211"/>
      <c r="MJ6" s="211"/>
      <c r="MK6" s="211"/>
      <c r="ML6" s="211"/>
      <c r="MM6" s="211"/>
      <c r="MN6" s="211"/>
      <c r="MO6" s="211"/>
      <c r="MP6" s="211"/>
      <c r="MQ6" s="211"/>
      <c r="MR6" s="211"/>
      <c r="MS6" s="211"/>
      <c r="MT6" s="211"/>
      <c r="MU6" s="211"/>
      <c r="MV6" s="211"/>
      <c r="MW6" s="211"/>
      <c r="MX6" s="211"/>
      <c r="MY6" s="211"/>
      <c r="MZ6" s="211"/>
      <c r="NA6" s="211"/>
      <c r="NB6" s="211"/>
      <c r="NC6" s="211"/>
      <c r="ND6" s="211"/>
      <c r="NE6" s="211"/>
      <c r="NF6" s="211"/>
      <c r="NG6" s="211"/>
      <c r="NH6" s="211"/>
      <c r="NI6" s="211"/>
      <c r="NJ6" s="211"/>
      <c r="NK6" s="211"/>
      <c r="NL6" s="211"/>
      <c r="NM6" s="211"/>
      <c r="NN6" s="211"/>
      <c r="NO6" s="211"/>
      <c r="NP6" s="211"/>
      <c r="NQ6" s="211"/>
      <c r="NR6" s="211"/>
      <c r="NS6" s="211"/>
      <c r="NT6" s="211"/>
      <c r="NU6" s="211"/>
      <c r="NV6" s="211"/>
      <c r="NW6" s="211"/>
      <c r="NX6" s="211"/>
      <c r="NY6" s="210"/>
      <c r="NZ6" s="210"/>
    </row>
    <row r="7" spans="1:390" ht="15.75" customHeight="1" x14ac:dyDescent="0.3">
      <c r="A7" s="214">
        <v>4303155993</v>
      </c>
      <c r="B7" s="165" t="s">
        <v>391</v>
      </c>
      <c r="C7" s="215"/>
      <c r="D7" s="216" t="s">
        <v>391</v>
      </c>
      <c r="E7" s="136" t="s">
        <v>606</v>
      </c>
      <c r="F7" s="125" t="s">
        <v>501</v>
      </c>
      <c r="G7" s="221" t="s">
        <v>492</v>
      </c>
      <c r="H7" s="219">
        <v>43206</v>
      </c>
      <c r="I7" s="216" t="s">
        <v>458</v>
      </c>
      <c r="J7" s="153" t="s">
        <v>397</v>
      </c>
      <c r="K7" s="153" t="s">
        <v>398</v>
      </c>
      <c r="L7" s="153" t="s">
        <v>398</v>
      </c>
      <c r="M7" s="164" t="s">
        <v>398</v>
      </c>
      <c r="N7" s="164" t="s">
        <v>398</v>
      </c>
      <c r="O7" s="164" t="s">
        <v>398</v>
      </c>
      <c r="P7" s="164" t="s">
        <v>398</v>
      </c>
      <c r="Q7" s="164" t="s">
        <v>398</v>
      </c>
      <c r="R7" s="164" t="s">
        <v>398</v>
      </c>
      <c r="S7" s="164" t="s">
        <v>398</v>
      </c>
      <c r="T7" s="164" t="s">
        <v>398</v>
      </c>
      <c r="U7" s="164" t="s">
        <v>398</v>
      </c>
      <c r="V7" s="164" t="s">
        <v>398</v>
      </c>
      <c r="W7" s="164" t="s">
        <v>398</v>
      </c>
      <c r="X7" s="164" t="s">
        <v>398</v>
      </c>
      <c r="Y7" s="164" t="s">
        <v>398</v>
      </c>
      <c r="Z7" s="164" t="s">
        <v>398</v>
      </c>
      <c r="AA7" s="164" t="s">
        <v>398</v>
      </c>
      <c r="AB7" s="167" t="s">
        <v>399</v>
      </c>
      <c r="AC7" s="219">
        <v>15806</v>
      </c>
      <c r="AD7" s="107"/>
      <c r="AE7" s="108" t="e">
        <f t="shared" si="0"/>
        <v>#NUM!</v>
      </c>
      <c r="AF7" s="107" t="s">
        <v>607</v>
      </c>
      <c r="AG7" s="79" t="s">
        <v>401</v>
      </c>
      <c r="AH7" s="87" t="s">
        <v>402</v>
      </c>
      <c r="AI7" s="110"/>
      <c r="AJ7" s="110"/>
      <c r="AK7" s="110"/>
      <c r="AL7" s="110"/>
      <c r="AM7" s="105"/>
      <c r="AN7" s="95">
        <v>1</v>
      </c>
      <c r="AO7" s="173" t="s">
        <v>398</v>
      </c>
      <c r="AP7" s="79"/>
      <c r="AQ7" s="106"/>
      <c r="AR7" s="91"/>
      <c r="AS7" s="104"/>
      <c r="AT7" s="104"/>
      <c r="AU7" s="104"/>
      <c r="AV7" s="104"/>
      <c r="AW7" s="91"/>
      <c r="AX7" s="104"/>
      <c r="AY7" s="104"/>
      <c r="AZ7" s="104"/>
      <c r="BA7" s="104"/>
      <c r="BB7" s="91"/>
      <c r="BC7" s="104"/>
      <c r="BD7" s="104"/>
      <c r="BE7" s="104"/>
      <c r="BF7" s="104"/>
      <c r="BG7" s="91"/>
      <c r="BH7" s="104"/>
      <c r="BI7" s="104"/>
      <c r="BJ7" s="104"/>
      <c r="BK7" s="104"/>
      <c r="BL7" s="91"/>
      <c r="BM7" s="104"/>
      <c r="BN7" s="104"/>
      <c r="BO7" s="104"/>
      <c r="BP7" s="104"/>
      <c r="BQ7" s="91"/>
      <c r="BR7" s="104"/>
      <c r="BS7" s="104"/>
      <c r="BT7" s="104"/>
      <c r="BU7" s="104"/>
      <c r="BV7" s="91"/>
      <c r="BW7" s="104"/>
      <c r="BX7" s="104"/>
      <c r="BY7" s="104"/>
      <c r="BZ7" s="104"/>
      <c r="CA7" s="91"/>
      <c r="CB7" s="104"/>
      <c r="CC7" s="104"/>
      <c r="CD7" s="104"/>
      <c r="CE7" s="104"/>
      <c r="CF7" s="91"/>
      <c r="CG7" s="104"/>
      <c r="CH7" s="104"/>
      <c r="CI7" s="104"/>
      <c r="CJ7" s="104"/>
      <c r="CK7" s="91"/>
      <c r="CL7" s="104"/>
      <c r="CM7" s="104"/>
      <c r="CN7" s="104"/>
      <c r="CO7" s="104"/>
      <c r="CP7" s="91"/>
      <c r="CQ7" s="104"/>
      <c r="CR7" s="104"/>
      <c r="CS7" s="104"/>
      <c r="CT7" s="104"/>
      <c r="CU7" s="91"/>
      <c r="CV7" s="104"/>
      <c r="CW7" s="104"/>
      <c r="CX7" s="104"/>
      <c r="CY7" s="104"/>
      <c r="CZ7" s="91"/>
      <c r="DA7" s="104"/>
      <c r="DB7" s="104"/>
      <c r="DC7" s="104"/>
      <c r="DD7" s="104"/>
      <c r="DE7" s="91"/>
      <c r="DF7" s="104"/>
      <c r="DG7" s="104"/>
      <c r="DH7" s="104"/>
      <c r="DI7" s="104"/>
      <c r="DJ7" s="91"/>
      <c r="DK7" s="104"/>
      <c r="DL7" s="104"/>
      <c r="DM7" s="104"/>
      <c r="DN7" s="104"/>
      <c r="DO7" s="91"/>
      <c r="DP7" s="104"/>
      <c r="DQ7" s="104"/>
      <c r="DR7" s="104"/>
      <c r="DS7" s="104"/>
      <c r="DT7" s="91"/>
      <c r="DU7" s="104"/>
      <c r="DV7" s="104"/>
      <c r="DW7" s="104"/>
      <c r="DX7" s="104"/>
      <c r="DY7" s="91"/>
      <c r="DZ7" s="104"/>
      <c r="EA7" s="104"/>
      <c r="EB7" s="104"/>
      <c r="EC7" s="104"/>
      <c r="ED7" s="91"/>
      <c r="EE7" s="104"/>
      <c r="EF7" s="104"/>
      <c r="EG7" s="104"/>
      <c r="EH7" s="104"/>
      <c r="EI7" s="91"/>
      <c r="EJ7" s="104"/>
      <c r="EK7" s="104"/>
      <c r="EL7" s="104"/>
      <c r="EM7" s="104"/>
      <c r="EN7" s="91"/>
      <c r="EO7" s="104"/>
      <c r="EP7" s="104"/>
      <c r="EQ7" s="104"/>
      <c r="ER7" s="104"/>
      <c r="ES7" s="91"/>
      <c r="ET7" s="104"/>
      <c r="EU7" s="104"/>
      <c r="EV7" s="104"/>
      <c r="EW7" s="104"/>
      <c r="EX7" s="91"/>
      <c r="EY7" s="104"/>
      <c r="EZ7" s="104"/>
      <c r="FA7" s="104"/>
      <c r="FB7" s="104"/>
      <c r="FC7" s="91"/>
      <c r="FD7" s="104"/>
      <c r="FE7" s="104"/>
      <c r="FF7" s="104"/>
      <c r="FG7" s="104"/>
      <c r="FH7" s="91"/>
      <c r="FI7" s="104"/>
      <c r="FJ7" s="104"/>
      <c r="FK7" s="104"/>
      <c r="FL7" s="104"/>
      <c r="FM7" s="104"/>
      <c r="FN7" s="104"/>
      <c r="FO7" s="104"/>
      <c r="FP7" s="104"/>
      <c r="FQ7" s="104"/>
      <c r="FR7" s="104"/>
      <c r="FS7" s="104"/>
      <c r="FT7" s="104"/>
      <c r="FU7" s="104"/>
      <c r="FV7" s="104"/>
      <c r="FW7" s="104"/>
      <c r="FX7" s="104"/>
      <c r="FY7" s="104"/>
      <c r="FZ7" s="104"/>
      <c r="GA7" s="104"/>
      <c r="GB7" s="104"/>
      <c r="GC7" s="104"/>
      <c r="GD7" s="104"/>
      <c r="GE7" s="104"/>
      <c r="GF7" s="104"/>
      <c r="GG7" s="104"/>
      <c r="GH7" s="104"/>
      <c r="GI7" s="104"/>
      <c r="GJ7" s="104"/>
      <c r="GK7" s="104"/>
      <c r="GL7" s="104"/>
      <c r="GM7" s="104"/>
      <c r="GN7" s="104"/>
      <c r="GO7" s="104"/>
      <c r="GP7" s="91"/>
      <c r="GQ7" s="104"/>
      <c r="GR7" s="104"/>
      <c r="GS7" s="104"/>
      <c r="GT7" s="104"/>
      <c r="GU7" s="91"/>
      <c r="GV7" s="104"/>
      <c r="GW7" s="104"/>
      <c r="GX7" s="104"/>
      <c r="GY7" s="104"/>
      <c r="GZ7" s="91"/>
      <c r="HA7" s="104"/>
      <c r="HB7" s="104"/>
      <c r="HC7" s="104"/>
      <c r="HD7" s="104"/>
      <c r="HE7" s="91"/>
      <c r="HF7" s="104"/>
      <c r="HG7" s="104"/>
      <c r="HH7" s="104"/>
      <c r="HI7" s="104"/>
      <c r="HJ7" s="91"/>
      <c r="HK7" s="104"/>
      <c r="HL7" s="104"/>
      <c r="HM7" s="104"/>
      <c r="HN7" s="104"/>
      <c r="HO7" s="91"/>
      <c r="HP7" s="104"/>
      <c r="HQ7" s="104"/>
      <c r="HR7" s="104"/>
      <c r="HS7" s="104"/>
      <c r="HT7" s="91"/>
      <c r="HU7" s="104"/>
      <c r="HV7" s="104"/>
      <c r="HW7" s="104"/>
      <c r="HX7" s="104"/>
      <c r="HY7" s="91"/>
      <c r="HZ7" s="104"/>
      <c r="IA7" s="104"/>
      <c r="IB7" s="104"/>
      <c r="IC7" s="104"/>
      <c r="ID7" s="91"/>
      <c r="IE7" s="104"/>
      <c r="IF7" s="104"/>
      <c r="IG7" s="104"/>
      <c r="IH7" s="104"/>
      <c r="II7" s="91"/>
      <c r="IJ7" s="104"/>
      <c r="IK7" s="104"/>
      <c r="IL7" s="104"/>
      <c r="IM7" s="104"/>
      <c r="IN7" s="91"/>
      <c r="IO7" s="104"/>
      <c r="IP7" s="104"/>
      <c r="IQ7" s="104"/>
      <c r="IR7" s="104"/>
      <c r="IS7" s="91"/>
      <c r="IT7" s="104"/>
      <c r="IU7" s="104"/>
      <c r="IV7" s="104"/>
      <c r="IW7" s="104"/>
      <c r="IX7" s="91"/>
      <c r="IY7" s="104"/>
      <c r="IZ7" s="104"/>
      <c r="JA7" s="104"/>
      <c r="JB7" s="104"/>
      <c r="JC7" s="91"/>
      <c r="JD7" s="104"/>
      <c r="JE7" s="104"/>
      <c r="JF7" s="104"/>
      <c r="JG7" s="105"/>
      <c r="JH7" s="91"/>
      <c r="JI7" s="106"/>
      <c r="JJ7" s="104"/>
      <c r="JK7" s="104"/>
      <c r="JL7" s="105"/>
      <c r="JM7" s="95"/>
      <c r="JN7" s="107"/>
      <c r="JO7" s="79"/>
      <c r="JP7" s="106"/>
      <c r="JQ7" s="104"/>
      <c r="JR7" s="104"/>
      <c r="JS7" s="104"/>
      <c r="JT7" s="104"/>
      <c r="JU7" s="104"/>
      <c r="JV7" s="104"/>
      <c r="JW7" s="104"/>
      <c r="JX7" s="104"/>
      <c r="JY7" s="104"/>
      <c r="JZ7" s="104"/>
      <c r="KA7" s="104"/>
      <c r="KB7" s="104"/>
      <c r="KC7" s="104"/>
      <c r="KD7" s="104"/>
      <c r="KE7" s="104"/>
      <c r="KF7" s="104"/>
      <c r="KG7" s="104"/>
      <c r="KH7" s="104"/>
      <c r="KI7" s="104"/>
      <c r="KJ7" s="104"/>
      <c r="KK7" s="104"/>
      <c r="KL7" s="104"/>
      <c r="KM7" s="104"/>
      <c r="KN7" s="104"/>
      <c r="KO7" s="104"/>
      <c r="KP7" s="104"/>
      <c r="KQ7" s="104"/>
      <c r="KR7" s="104"/>
      <c r="KS7" s="104"/>
      <c r="KT7" s="104"/>
      <c r="KU7" s="104"/>
      <c r="KV7" s="104"/>
      <c r="KW7" s="104"/>
      <c r="KX7" s="104"/>
      <c r="KY7" s="104"/>
      <c r="KZ7" s="104"/>
      <c r="LA7" s="104"/>
      <c r="LB7" s="104"/>
      <c r="LC7" s="104"/>
      <c r="LD7" s="104"/>
      <c r="LE7" s="104"/>
      <c r="LF7" s="104"/>
      <c r="LG7" s="104"/>
      <c r="LH7" s="104"/>
      <c r="LI7" s="104"/>
      <c r="LJ7" s="104"/>
      <c r="LK7" s="104"/>
      <c r="LL7" s="104"/>
      <c r="LM7" s="104"/>
      <c r="LN7" s="104"/>
      <c r="LO7" s="104"/>
      <c r="LP7" s="104"/>
      <c r="LQ7" s="104"/>
      <c r="LR7" s="104"/>
      <c r="LS7" s="104"/>
      <c r="LT7" s="104"/>
      <c r="LU7" s="104"/>
      <c r="LV7" s="104"/>
      <c r="LW7" s="104"/>
      <c r="LX7" s="104"/>
      <c r="LY7" s="104"/>
      <c r="LZ7" s="104"/>
      <c r="MA7" s="104"/>
      <c r="MB7" s="104"/>
      <c r="MC7" s="104"/>
      <c r="MD7" s="103"/>
      <c r="ME7" s="103"/>
      <c r="MF7" s="103"/>
      <c r="MG7" s="103"/>
      <c r="MH7" s="103"/>
      <c r="MI7" s="103"/>
      <c r="MJ7" s="103"/>
      <c r="MK7" s="103"/>
      <c r="ML7" s="103"/>
      <c r="MM7" s="103"/>
      <c r="MN7" s="103"/>
      <c r="MO7" s="103"/>
      <c r="MP7" s="103"/>
      <c r="MQ7" s="103"/>
      <c r="MR7" s="103"/>
      <c r="MS7" s="103"/>
      <c r="MT7" s="103"/>
      <c r="MU7" s="103"/>
      <c r="MV7" s="103"/>
      <c r="MW7" s="103"/>
      <c r="MX7" s="103"/>
      <c r="MY7" s="103"/>
      <c r="MZ7" s="103"/>
      <c r="NA7" s="103"/>
      <c r="NB7" s="103"/>
      <c r="NC7" s="103"/>
      <c r="ND7" s="103"/>
      <c r="NE7" s="103"/>
      <c r="NF7" s="103"/>
      <c r="NG7" s="103"/>
      <c r="NH7" s="103"/>
      <c r="NI7" s="103"/>
      <c r="NJ7" s="103"/>
      <c r="NK7" s="103"/>
      <c r="NL7" s="103"/>
      <c r="NM7" s="103"/>
      <c r="NN7" s="103"/>
      <c r="NO7" s="103"/>
      <c r="NP7" s="103"/>
      <c r="NQ7" s="103"/>
      <c r="NR7" s="103"/>
      <c r="NS7" s="103"/>
      <c r="NT7" s="103"/>
      <c r="NU7" s="103"/>
      <c r="NV7" s="103"/>
      <c r="NW7" s="103"/>
      <c r="NX7" s="103"/>
      <c r="NY7" s="104"/>
      <c r="NZ7" s="104"/>
    </row>
    <row r="8" spans="1:390" ht="15.75" customHeight="1" x14ac:dyDescent="0.3">
      <c r="A8" s="214">
        <v>4861956706</v>
      </c>
      <c r="B8" s="165" t="s">
        <v>391</v>
      </c>
      <c r="C8" s="215"/>
      <c r="D8" s="216" t="s">
        <v>391</v>
      </c>
      <c r="E8" s="136" t="s">
        <v>608</v>
      </c>
      <c r="F8" s="125" t="s">
        <v>417</v>
      </c>
      <c r="G8" s="221" t="s">
        <v>437</v>
      </c>
      <c r="H8" s="219">
        <v>43214</v>
      </c>
      <c r="I8" s="216" t="s">
        <v>458</v>
      </c>
      <c r="J8" s="153" t="s">
        <v>397</v>
      </c>
      <c r="K8" s="153" t="s">
        <v>398</v>
      </c>
      <c r="L8" s="153" t="s">
        <v>398</v>
      </c>
      <c r="M8" s="164" t="s">
        <v>398</v>
      </c>
      <c r="N8" s="164" t="s">
        <v>398</v>
      </c>
      <c r="O8" s="164" t="s">
        <v>398</v>
      </c>
      <c r="P8" s="164" t="s">
        <v>398</v>
      </c>
      <c r="Q8" s="164" t="s">
        <v>398</v>
      </c>
      <c r="R8" s="164" t="s">
        <v>398</v>
      </c>
      <c r="S8" s="164" t="s">
        <v>398</v>
      </c>
      <c r="T8" s="164" t="s">
        <v>398</v>
      </c>
      <c r="U8" s="164" t="s">
        <v>398</v>
      </c>
      <c r="V8" s="164" t="s">
        <v>398</v>
      </c>
      <c r="W8" s="164" t="s">
        <v>398</v>
      </c>
      <c r="X8" s="164" t="s">
        <v>398</v>
      </c>
      <c r="Y8" s="164" t="s">
        <v>398</v>
      </c>
      <c r="Z8" s="164" t="s">
        <v>398</v>
      </c>
      <c r="AA8" s="164" t="s">
        <v>398</v>
      </c>
      <c r="AB8" s="167" t="s">
        <v>399</v>
      </c>
      <c r="AC8" s="219">
        <v>22762</v>
      </c>
      <c r="AD8" s="107"/>
      <c r="AE8" s="108" t="e">
        <f t="shared" si="0"/>
        <v>#NUM!</v>
      </c>
      <c r="AF8" s="107" t="s">
        <v>609</v>
      </c>
      <c r="AG8" s="79" t="s">
        <v>401</v>
      </c>
      <c r="AH8" s="87" t="s">
        <v>402</v>
      </c>
      <c r="AI8" s="110"/>
      <c r="AJ8" s="110"/>
      <c r="AK8" s="110"/>
      <c r="AL8" s="110"/>
      <c r="AM8" s="105"/>
      <c r="AN8" s="95">
        <v>1</v>
      </c>
      <c r="AO8" s="173" t="s">
        <v>398</v>
      </c>
      <c r="AP8" s="79"/>
      <c r="AQ8" s="106"/>
      <c r="AR8" s="91"/>
      <c r="AS8" s="104"/>
      <c r="AT8" s="104"/>
      <c r="AU8" s="104"/>
      <c r="AV8" s="104"/>
      <c r="AW8" s="91"/>
      <c r="AX8" s="104"/>
      <c r="AY8" s="104"/>
      <c r="AZ8" s="104"/>
      <c r="BA8" s="104"/>
      <c r="BB8" s="91"/>
      <c r="BC8" s="104"/>
      <c r="BD8" s="104"/>
      <c r="BE8" s="104"/>
      <c r="BF8" s="104"/>
      <c r="BG8" s="91"/>
      <c r="BH8" s="104"/>
      <c r="BI8" s="104"/>
      <c r="BJ8" s="104"/>
      <c r="BK8" s="104"/>
      <c r="BL8" s="91"/>
      <c r="BM8" s="104"/>
      <c r="BN8" s="104"/>
      <c r="BO8" s="104"/>
      <c r="BP8" s="104"/>
      <c r="BQ8" s="91"/>
      <c r="BR8" s="104"/>
      <c r="BS8" s="104"/>
      <c r="BT8" s="104"/>
      <c r="BU8" s="104"/>
      <c r="BV8" s="91"/>
      <c r="BW8" s="104"/>
      <c r="BX8" s="104"/>
      <c r="BY8" s="104"/>
      <c r="BZ8" s="104"/>
      <c r="CA8" s="91"/>
      <c r="CB8" s="104"/>
      <c r="CC8" s="104"/>
      <c r="CD8" s="104"/>
      <c r="CE8" s="104"/>
      <c r="CF8" s="91"/>
      <c r="CG8" s="104"/>
      <c r="CH8" s="104"/>
      <c r="CI8" s="104"/>
      <c r="CJ8" s="104"/>
      <c r="CK8" s="91"/>
      <c r="CL8" s="104"/>
      <c r="CM8" s="104"/>
      <c r="CN8" s="104"/>
      <c r="CO8" s="104"/>
      <c r="CP8" s="91"/>
      <c r="CQ8" s="104"/>
      <c r="CR8" s="104"/>
      <c r="CS8" s="104"/>
      <c r="CT8" s="104"/>
      <c r="CU8" s="91"/>
      <c r="CV8" s="104"/>
      <c r="CW8" s="104"/>
      <c r="CX8" s="104"/>
      <c r="CY8" s="104"/>
      <c r="CZ8" s="91"/>
      <c r="DA8" s="104"/>
      <c r="DB8" s="104"/>
      <c r="DC8" s="104"/>
      <c r="DD8" s="104"/>
      <c r="DE8" s="91"/>
      <c r="DF8" s="104"/>
      <c r="DG8" s="104"/>
      <c r="DH8" s="104"/>
      <c r="DI8" s="104"/>
      <c r="DJ8" s="91"/>
      <c r="DK8" s="104"/>
      <c r="DL8" s="104"/>
      <c r="DM8" s="104"/>
      <c r="DN8" s="104"/>
      <c r="DO8" s="91"/>
      <c r="DP8" s="104"/>
      <c r="DQ8" s="104"/>
      <c r="DR8" s="104"/>
      <c r="DS8" s="104"/>
      <c r="DT8" s="91"/>
      <c r="DU8" s="104"/>
      <c r="DV8" s="104"/>
      <c r="DW8" s="104"/>
      <c r="DX8" s="104"/>
      <c r="DY8" s="91"/>
      <c r="DZ8" s="104"/>
      <c r="EA8" s="104"/>
      <c r="EB8" s="104"/>
      <c r="EC8" s="104"/>
      <c r="ED8" s="91"/>
      <c r="EE8" s="104"/>
      <c r="EF8" s="104"/>
      <c r="EG8" s="104"/>
      <c r="EH8" s="104"/>
      <c r="EI8" s="91"/>
      <c r="EJ8" s="104"/>
      <c r="EK8" s="104"/>
      <c r="EL8" s="104"/>
      <c r="EM8" s="104"/>
      <c r="EN8" s="91"/>
      <c r="EO8" s="104"/>
      <c r="EP8" s="104"/>
      <c r="EQ8" s="104"/>
      <c r="ER8" s="104"/>
      <c r="ES8" s="91"/>
      <c r="ET8" s="104"/>
      <c r="EU8" s="104"/>
      <c r="EV8" s="104"/>
      <c r="EW8" s="104"/>
      <c r="EX8" s="91"/>
      <c r="EY8" s="104"/>
      <c r="EZ8" s="104"/>
      <c r="FA8" s="104"/>
      <c r="FB8" s="104"/>
      <c r="FC8" s="91"/>
      <c r="FD8" s="104"/>
      <c r="FE8" s="104"/>
      <c r="FF8" s="104"/>
      <c r="FG8" s="104"/>
      <c r="FH8" s="91"/>
      <c r="FI8" s="104"/>
      <c r="FJ8" s="104"/>
      <c r="FK8" s="104"/>
      <c r="FL8" s="104"/>
      <c r="FM8" s="104"/>
      <c r="FN8" s="104"/>
      <c r="FO8" s="104"/>
      <c r="FP8" s="104"/>
      <c r="FQ8" s="104"/>
      <c r="FR8" s="104"/>
      <c r="FS8" s="104"/>
      <c r="FT8" s="104"/>
      <c r="FU8" s="104"/>
      <c r="FV8" s="104"/>
      <c r="FW8" s="104"/>
      <c r="FX8" s="104"/>
      <c r="FY8" s="104"/>
      <c r="FZ8" s="104"/>
      <c r="GA8" s="104"/>
      <c r="GB8" s="104"/>
      <c r="GC8" s="104"/>
      <c r="GD8" s="104"/>
      <c r="GE8" s="104"/>
      <c r="GF8" s="104"/>
      <c r="GG8" s="104"/>
      <c r="GH8" s="104"/>
      <c r="GI8" s="104"/>
      <c r="GJ8" s="104"/>
      <c r="GK8" s="104"/>
      <c r="GL8" s="104"/>
      <c r="GM8" s="104"/>
      <c r="GN8" s="104"/>
      <c r="GO8" s="104"/>
      <c r="GP8" s="91"/>
      <c r="GQ8" s="104"/>
      <c r="GR8" s="104"/>
      <c r="GS8" s="104"/>
      <c r="GT8" s="104"/>
      <c r="GU8" s="91"/>
      <c r="GV8" s="104"/>
      <c r="GW8" s="104"/>
      <c r="GX8" s="104"/>
      <c r="GY8" s="104"/>
      <c r="GZ8" s="91"/>
      <c r="HA8" s="104"/>
      <c r="HB8" s="104"/>
      <c r="HC8" s="104"/>
      <c r="HD8" s="104"/>
      <c r="HE8" s="91"/>
      <c r="HF8" s="104"/>
      <c r="HG8" s="104"/>
      <c r="HH8" s="104"/>
      <c r="HI8" s="104"/>
      <c r="HJ8" s="91"/>
      <c r="HK8" s="104"/>
      <c r="HL8" s="104"/>
      <c r="HM8" s="104"/>
      <c r="HN8" s="104"/>
      <c r="HO8" s="91"/>
      <c r="HP8" s="104"/>
      <c r="HQ8" s="104"/>
      <c r="HR8" s="104"/>
      <c r="HS8" s="104"/>
      <c r="HT8" s="91"/>
      <c r="HU8" s="104"/>
      <c r="HV8" s="104"/>
      <c r="HW8" s="104"/>
      <c r="HX8" s="104"/>
      <c r="HY8" s="91"/>
      <c r="HZ8" s="104"/>
      <c r="IA8" s="104"/>
      <c r="IB8" s="104"/>
      <c r="IC8" s="104"/>
      <c r="ID8" s="91"/>
      <c r="IE8" s="104"/>
      <c r="IF8" s="104"/>
      <c r="IG8" s="104"/>
      <c r="IH8" s="104"/>
      <c r="II8" s="91"/>
      <c r="IJ8" s="104"/>
      <c r="IK8" s="104"/>
      <c r="IL8" s="104"/>
      <c r="IM8" s="104"/>
      <c r="IN8" s="91"/>
      <c r="IO8" s="104"/>
      <c r="IP8" s="104"/>
      <c r="IQ8" s="104"/>
      <c r="IR8" s="104"/>
      <c r="IS8" s="91"/>
      <c r="IT8" s="104"/>
      <c r="IU8" s="104"/>
      <c r="IV8" s="104"/>
      <c r="IW8" s="104"/>
      <c r="IX8" s="91"/>
      <c r="IY8" s="104"/>
      <c r="IZ8" s="104"/>
      <c r="JA8" s="104"/>
      <c r="JB8" s="104"/>
      <c r="JC8" s="91"/>
      <c r="JD8" s="104"/>
      <c r="JE8" s="104"/>
      <c r="JF8" s="104"/>
      <c r="JG8" s="105"/>
      <c r="JH8" s="91"/>
      <c r="JI8" s="106"/>
      <c r="JJ8" s="104"/>
      <c r="JK8" s="104"/>
      <c r="JL8" s="105"/>
      <c r="JM8" s="95"/>
      <c r="JN8" s="107"/>
      <c r="JO8" s="79"/>
      <c r="JP8" s="106"/>
      <c r="JQ8" s="104"/>
      <c r="JR8" s="104"/>
      <c r="JS8" s="104"/>
      <c r="JT8" s="104"/>
      <c r="JU8" s="104"/>
      <c r="JV8" s="104"/>
      <c r="JW8" s="104"/>
      <c r="JX8" s="104"/>
      <c r="JY8" s="104"/>
      <c r="JZ8" s="104"/>
      <c r="KA8" s="104"/>
      <c r="KB8" s="104"/>
      <c r="KC8" s="104"/>
      <c r="KD8" s="104"/>
      <c r="KE8" s="104"/>
      <c r="KF8" s="104"/>
      <c r="KG8" s="104"/>
      <c r="KH8" s="104"/>
      <c r="KI8" s="104"/>
      <c r="KJ8" s="104"/>
      <c r="KK8" s="104"/>
      <c r="KL8" s="104"/>
      <c r="KM8" s="104"/>
      <c r="KN8" s="104"/>
      <c r="KO8" s="104"/>
      <c r="KP8" s="104"/>
      <c r="KQ8" s="104"/>
      <c r="KR8" s="104"/>
      <c r="KS8" s="104"/>
      <c r="KT8" s="104"/>
      <c r="KU8" s="104"/>
      <c r="KV8" s="104"/>
      <c r="KW8" s="104"/>
      <c r="KX8" s="104"/>
      <c r="KY8" s="104"/>
      <c r="KZ8" s="104"/>
      <c r="LA8" s="104"/>
      <c r="LB8" s="104"/>
      <c r="LC8" s="104"/>
      <c r="LD8" s="104"/>
      <c r="LE8" s="104"/>
      <c r="LF8" s="104"/>
      <c r="LG8" s="104"/>
      <c r="LH8" s="104"/>
      <c r="LI8" s="104"/>
      <c r="LJ8" s="104"/>
      <c r="LK8" s="104"/>
      <c r="LL8" s="104"/>
      <c r="LM8" s="104"/>
      <c r="LN8" s="104"/>
      <c r="LO8" s="104"/>
      <c r="LP8" s="104"/>
      <c r="LQ8" s="104"/>
      <c r="LR8" s="104"/>
      <c r="LS8" s="104"/>
      <c r="LT8" s="104"/>
      <c r="LU8" s="104"/>
      <c r="LV8" s="104"/>
      <c r="LW8" s="104"/>
      <c r="LX8" s="104"/>
      <c r="LY8" s="104"/>
      <c r="LZ8" s="104"/>
      <c r="MA8" s="104"/>
      <c r="MB8" s="104"/>
      <c r="MC8" s="104"/>
      <c r="MD8" s="103"/>
      <c r="ME8" s="103"/>
      <c r="MF8" s="103"/>
      <c r="MG8" s="103"/>
      <c r="MH8" s="103"/>
      <c r="MI8" s="103"/>
      <c r="MJ8" s="103"/>
      <c r="MK8" s="103"/>
      <c r="ML8" s="103"/>
      <c r="MM8" s="103"/>
      <c r="MN8" s="103"/>
      <c r="MO8" s="103"/>
      <c r="MP8" s="103"/>
      <c r="MQ8" s="103"/>
      <c r="MR8" s="103"/>
      <c r="MS8" s="103"/>
      <c r="MT8" s="103"/>
      <c r="MU8" s="103"/>
      <c r="MV8" s="103"/>
      <c r="MW8" s="103"/>
      <c r="MX8" s="103"/>
      <c r="MY8" s="103"/>
      <c r="MZ8" s="103"/>
      <c r="NA8" s="103"/>
      <c r="NB8" s="103"/>
      <c r="NC8" s="103"/>
      <c r="ND8" s="103"/>
      <c r="NE8" s="103"/>
      <c r="NF8" s="103"/>
      <c r="NG8" s="103"/>
      <c r="NH8" s="103"/>
      <c r="NI8" s="103"/>
      <c r="NJ8" s="103"/>
      <c r="NK8" s="103"/>
      <c r="NL8" s="103"/>
      <c r="NM8" s="103"/>
      <c r="NN8" s="103"/>
      <c r="NO8" s="103"/>
      <c r="NP8" s="103"/>
      <c r="NQ8" s="103"/>
      <c r="NR8" s="103"/>
      <c r="NS8" s="103"/>
      <c r="NT8" s="103"/>
      <c r="NU8" s="103"/>
      <c r="NV8" s="103"/>
      <c r="NW8" s="103"/>
      <c r="NX8" s="103"/>
      <c r="NY8" s="104"/>
      <c r="NZ8" s="104"/>
    </row>
    <row r="9" spans="1:390" ht="15.75" customHeight="1" x14ac:dyDescent="0.3">
      <c r="A9" s="214">
        <v>4848783208</v>
      </c>
      <c r="B9" s="165" t="s">
        <v>391</v>
      </c>
      <c r="C9" s="215"/>
      <c r="D9" s="216" t="s">
        <v>391</v>
      </c>
      <c r="E9" s="136" t="s">
        <v>610</v>
      </c>
      <c r="F9" s="125" t="s">
        <v>488</v>
      </c>
      <c r="G9" s="221" t="s">
        <v>417</v>
      </c>
      <c r="H9" s="219">
        <v>43230</v>
      </c>
      <c r="I9" s="216" t="s">
        <v>458</v>
      </c>
      <c r="J9" s="153" t="s">
        <v>397</v>
      </c>
      <c r="K9" s="153" t="s">
        <v>398</v>
      </c>
      <c r="L9" s="153" t="s">
        <v>398</v>
      </c>
      <c r="M9" s="164" t="s">
        <v>398</v>
      </c>
      <c r="N9" s="164" t="s">
        <v>398</v>
      </c>
      <c r="O9" s="164" t="s">
        <v>398</v>
      </c>
      <c r="P9" s="164" t="s">
        <v>398</v>
      </c>
      <c r="Q9" s="164" t="s">
        <v>398</v>
      </c>
      <c r="R9" s="164" t="s">
        <v>398</v>
      </c>
      <c r="S9" s="164" t="s">
        <v>398</v>
      </c>
      <c r="T9" s="164" t="s">
        <v>398</v>
      </c>
      <c r="U9" s="164" t="s">
        <v>398</v>
      </c>
      <c r="V9" s="164" t="s">
        <v>398</v>
      </c>
      <c r="W9" s="164" t="s">
        <v>398</v>
      </c>
      <c r="X9" s="164" t="s">
        <v>398</v>
      </c>
      <c r="Y9" s="164" t="s">
        <v>398</v>
      </c>
      <c r="Z9" s="164" t="s">
        <v>398</v>
      </c>
      <c r="AA9" s="164" t="s">
        <v>398</v>
      </c>
      <c r="AB9" s="167" t="s">
        <v>399</v>
      </c>
      <c r="AC9" s="219">
        <v>21767</v>
      </c>
      <c r="AD9" s="107"/>
      <c r="AE9" s="108" t="e">
        <f t="shared" si="0"/>
        <v>#NUM!</v>
      </c>
      <c r="AF9" s="107" t="s">
        <v>602</v>
      </c>
      <c r="AG9" s="79" t="s">
        <v>401</v>
      </c>
      <c r="AH9" s="87" t="s">
        <v>402</v>
      </c>
      <c r="AI9" s="110"/>
      <c r="AJ9" s="110"/>
      <c r="AK9" s="110"/>
      <c r="AL9" s="110"/>
      <c r="AM9" s="105"/>
      <c r="AN9" s="95">
        <v>1</v>
      </c>
      <c r="AO9" s="173" t="s">
        <v>398</v>
      </c>
      <c r="AP9" s="79"/>
      <c r="AQ9" s="106"/>
      <c r="AR9" s="91"/>
      <c r="AS9" s="104"/>
      <c r="AT9" s="104"/>
      <c r="AU9" s="104"/>
      <c r="AV9" s="104"/>
      <c r="AW9" s="91"/>
      <c r="AX9" s="104"/>
      <c r="AY9" s="104"/>
      <c r="AZ9" s="104"/>
      <c r="BA9" s="104"/>
      <c r="BB9" s="91"/>
      <c r="BC9" s="104"/>
      <c r="BD9" s="104"/>
      <c r="BE9" s="104"/>
      <c r="BF9" s="104"/>
      <c r="BG9" s="91"/>
      <c r="BH9" s="104"/>
      <c r="BI9" s="104"/>
      <c r="BJ9" s="104"/>
      <c r="BK9" s="104"/>
      <c r="BL9" s="91"/>
      <c r="BM9" s="104"/>
      <c r="BN9" s="104"/>
      <c r="BO9" s="104"/>
      <c r="BP9" s="104"/>
      <c r="BQ9" s="91"/>
      <c r="BR9" s="104"/>
      <c r="BS9" s="104"/>
      <c r="BT9" s="104"/>
      <c r="BU9" s="104"/>
      <c r="BV9" s="91"/>
      <c r="BW9" s="104"/>
      <c r="BX9" s="104"/>
      <c r="BY9" s="104"/>
      <c r="BZ9" s="104"/>
      <c r="CA9" s="91"/>
      <c r="CB9" s="104"/>
      <c r="CC9" s="104"/>
      <c r="CD9" s="104"/>
      <c r="CE9" s="104"/>
      <c r="CF9" s="91"/>
      <c r="CG9" s="104"/>
      <c r="CH9" s="104"/>
      <c r="CI9" s="104"/>
      <c r="CJ9" s="104"/>
      <c r="CK9" s="91"/>
      <c r="CL9" s="104"/>
      <c r="CM9" s="104"/>
      <c r="CN9" s="104"/>
      <c r="CO9" s="104"/>
      <c r="CP9" s="91"/>
      <c r="CQ9" s="104"/>
      <c r="CR9" s="104"/>
      <c r="CS9" s="104"/>
      <c r="CT9" s="104"/>
      <c r="CU9" s="91"/>
      <c r="CV9" s="104"/>
      <c r="CW9" s="104"/>
      <c r="CX9" s="104"/>
      <c r="CY9" s="104"/>
      <c r="CZ9" s="91"/>
      <c r="DA9" s="104"/>
      <c r="DB9" s="104"/>
      <c r="DC9" s="104"/>
      <c r="DD9" s="104"/>
      <c r="DE9" s="91"/>
      <c r="DF9" s="104"/>
      <c r="DG9" s="104"/>
      <c r="DH9" s="104"/>
      <c r="DI9" s="104"/>
      <c r="DJ9" s="91"/>
      <c r="DK9" s="104"/>
      <c r="DL9" s="104"/>
      <c r="DM9" s="104"/>
      <c r="DN9" s="104"/>
      <c r="DO9" s="91"/>
      <c r="DP9" s="104"/>
      <c r="DQ9" s="104"/>
      <c r="DR9" s="104"/>
      <c r="DS9" s="104"/>
      <c r="DT9" s="91"/>
      <c r="DU9" s="104"/>
      <c r="DV9" s="104"/>
      <c r="DW9" s="104"/>
      <c r="DX9" s="104"/>
      <c r="DY9" s="91"/>
      <c r="DZ9" s="104"/>
      <c r="EA9" s="104"/>
      <c r="EB9" s="104"/>
      <c r="EC9" s="104"/>
      <c r="ED9" s="91"/>
      <c r="EE9" s="104"/>
      <c r="EF9" s="104"/>
      <c r="EG9" s="104"/>
      <c r="EH9" s="104"/>
      <c r="EI9" s="91"/>
      <c r="EJ9" s="104"/>
      <c r="EK9" s="104"/>
      <c r="EL9" s="104"/>
      <c r="EM9" s="104"/>
      <c r="EN9" s="91"/>
      <c r="EO9" s="104"/>
      <c r="EP9" s="104"/>
      <c r="EQ9" s="104"/>
      <c r="ER9" s="104"/>
      <c r="ES9" s="91"/>
      <c r="ET9" s="104"/>
      <c r="EU9" s="104"/>
      <c r="EV9" s="104"/>
      <c r="EW9" s="104"/>
      <c r="EX9" s="91"/>
      <c r="EY9" s="104"/>
      <c r="EZ9" s="104"/>
      <c r="FA9" s="104"/>
      <c r="FB9" s="104"/>
      <c r="FC9" s="91"/>
      <c r="FD9" s="104"/>
      <c r="FE9" s="104"/>
      <c r="FF9" s="104"/>
      <c r="FG9" s="104"/>
      <c r="FH9" s="91"/>
      <c r="FI9" s="104"/>
      <c r="FJ9" s="104"/>
      <c r="FK9" s="104"/>
      <c r="FL9" s="104"/>
      <c r="FM9" s="104"/>
      <c r="FN9" s="104"/>
      <c r="FO9" s="104"/>
      <c r="FP9" s="104"/>
      <c r="FQ9" s="104"/>
      <c r="FR9" s="104"/>
      <c r="FS9" s="104"/>
      <c r="FT9" s="104"/>
      <c r="FU9" s="104"/>
      <c r="FV9" s="104"/>
      <c r="FW9" s="104"/>
      <c r="FX9" s="104"/>
      <c r="FY9" s="104"/>
      <c r="FZ9" s="104"/>
      <c r="GA9" s="104"/>
      <c r="GB9" s="104"/>
      <c r="GC9" s="104"/>
      <c r="GD9" s="104"/>
      <c r="GE9" s="104"/>
      <c r="GF9" s="104"/>
      <c r="GG9" s="104"/>
      <c r="GH9" s="104"/>
      <c r="GI9" s="104"/>
      <c r="GJ9" s="104"/>
      <c r="GK9" s="104"/>
      <c r="GL9" s="104"/>
      <c r="GM9" s="104"/>
      <c r="GN9" s="104"/>
      <c r="GO9" s="104"/>
      <c r="GP9" s="91"/>
      <c r="GQ9" s="104"/>
      <c r="GR9" s="104"/>
      <c r="GS9" s="104"/>
      <c r="GT9" s="104"/>
      <c r="GU9" s="91"/>
      <c r="GV9" s="104"/>
      <c r="GW9" s="104"/>
      <c r="GX9" s="104"/>
      <c r="GY9" s="104"/>
      <c r="GZ9" s="91"/>
      <c r="HA9" s="104"/>
      <c r="HB9" s="104"/>
      <c r="HC9" s="104"/>
      <c r="HD9" s="104"/>
      <c r="HE9" s="91"/>
      <c r="HF9" s="104"/>
      <c r="HG9" s="104"/>
      <c r="HH9" s="104"/>
      <c r="HI9" s="104"/>
      <c r="HJ9" s="91"/>
      <c r="HK9" s="104"/>
      <c r="HL9" s="104"/>
      <c r="HM9" s="104"/>
      <c r="HN9" s="104"/>
      <c r="HO9" s="91"/>
      <c r="HP9" s="104"/>
      <c r="HQ9" s="104"/>
      <c r="HR9" s="104"/>
      <c r="HS9" s="104"/>
      <c r="HT9" s="91"/>
      <c r="HU9" s="104"/>
      <c r="HV9" s="104"/>
      <c r="HW9" s="104"/>
      <c r="HX9" s="104"/>
      <c r="HY9" s="91"/>
      <c r="HZ9" s="104"/>
      <c r="IA9" s="104"/>
      <c r="IB9" s="104"/>
      <c r="IC9" s="104"/>
      <c r="ID9" s="91"/>
      <c r="IE9" s="104"/>
      <c r="IF9" s="104"/>
      <c r="IG9" s="104"/>
      <c r="IH9" s="104"/>
      <c r="II9" s="91"/>
      <c r="IJ9" s="104"/>
      <c r="IK9" s="104"/>
      <c r="IL9" s="104"/>
      <c r="IM9" s="104"/>
      <c r="IN9" s="91"/>
      <c r="IO9" s="104"/>
      <c r="IP9" s="104"/>
      <c r="IQ9" s="104"/>
      <c r="IR9" s="104"/>
      <c r="IS9" s="91"/>
      <c r="IT9" s="104"/>
      <c r="IU9" s="104"/>
      <c r="IV9" s="104"/>
      <c r="IW9" s="104"/>
      <c r="IX9" s="91"/>
      <c r="IY9" s="104"/>
      <c r="IZ9" s="104"/>
      <c r="JA9" s="104"/>
      <c r="JB9" s="104"/>
      <c r="JC9" s="91"/>
      <c r="JD9" s="104"/>
      <c r="JE9" s="104"/>
      <c r="JF9" s="104"/>
      <c r="JG9" s="105"/>
      <c r="JH9" s="91"/>
      <c r="JI9" s="106"/>
      <c r="JJ9" s="104"/>
      <c r="JK9" s="104"/>
      <c r="JL9" s="105"/>
      <c r="JM9" s="95"/>
      <c r="JN9" s="107"/>
      <c r="JO9" s="79"/>
      <c r="JP9" s="106"/>
      <c r="JQ9" s="104"/>
      <c r="JR9" s="104"/>
      <c r="JS9" s="104"/>
      <c r="JT9" s="104"/>
      <c r="JU9" s="104"/>
      <c r="JV9" s="104"/>
      <c r="JW9" s="104"/>
      <c r="JX9" s="104"/>
      <c r="JY9" s="104"/>
      <c r="JZ9" s="104"/>
      <c r="KA9" s="104"/>
      <c r="KB9" s="104"/>
      <c r="KC9" s="104"/>
      <c r="KD9" s="104"/>
      <c r="KE9" s="104"/>
      <c r="KF9" s="104"/>
      <c r="KG9" s="104"/>
      <c r="KH9" s="104"/>
      <c r="KI9" s="104"/>
      <c r="KJ9" s="104"/>
      <c r="KK9" s="104"/>
      <c r="KL9" s="104"/>
      <c r="KM9" s="104"/>
      <c r="KN9" s="104"/>
      <c r="KO9" s="104"/>
      <c r="KP9" s="104"/>
      <c r="KQ9" s="104"/>
      <c r="KR9" s="104"/>
      <c r="KS9" s="104"/>
      <c r="KT9" s="104"/>
      <c r="KU9" s="104"/>
      <c r="KV9" s="104"/>
      <c r="KW9" s="104"/>
      <c r="KX9" s="104"/>
      <c r="KY9" s="104"/>
      <c r="KZ9" s="104"/>
      <c r="LA9" s="104"/>
      <c r="LB9" s="104"/>
      <c r="LC9" s="104"/>
      <c r="LD9" s="104"/>
      <c r="LE9" s="104"/>
      <c r="LF9" s="104"/>
      <c r="LG9" s="104"/>
      <c r="LH9" s="104"/>
      <c r="LI9" s="104"/>
      <c r="LJ9" s="104"/>
      <c r="LK9" s="104"/>
      <c r="LL9" s="104"/>
      <c r="LM9" s="104"/>
      <c r="LN9" s="104"/>
      <c r="LO9" s="104"/>
      <c r="LP9" s="104"/>
      <c r="LQ9" s="104"/>
      <c r="LR9" s="104"/>
      <c r="LS9" s="104"/>
      <c r="LT9" s="104"/>
      <c r="LU9" s="104"/>
      <c r="LV9" s="104"/>
      <c r="LW9" s="104"/>
      <c r="LX9" s="104"/>
      <c r="LY9" s="104"/>
      <c r="LZ9" s="104"/>
      <c r="MA9" s="104"/>
      <c r="MB9" s="104"/>
      <c r="MC9" s="104"/>
      <c r="MD9" s="103"/>
      <c r="ME9" s="103"/>
      <c r="MF9" s="103"/>
      <c r="MG9" s="103"/>
      <c r="MH9" s="103"/>
      <c r="MI9" s="103"/>
      <c r="MJ9" s="103"/>
      <c r="MK9" s="103"/>
      <c r="ML9" s="103"/>
      <c r="MM9" s="103"/>
      <c r="MN9" s="103"/>
      <c r="MO9" s="103"/>
      <c r="MP9" s="103"/>
      <c r="MQ9" s="103"/>
      <c r="MR9" s="103"/>
      <c r="MS9" s="103"/>
      <c r="MT9" s="103"/>
      <c r="MU9" s="103"/>
      <c r="MV9" s="103"/>
      <c r="MW9" s="103"/>
      <c r="MX9" s="103"/>
      <c r="MY9" s="103"/>
      <c r="MZ9" s="103"/>
      <c r="NA9" s="103"/>
      <c r="NB9" s="103"/>
      <c r="NC9" s="103"/>
      <c r="ND9" s="103"/>
      <c r="NE9" s="103"/>
      <c r="NF9" s="103"/>
      <c r="NG9" s="103"/>
      <c r="NH9" s="103"/>
      <c r="NI9" s="103"/>
      <c r="NJ9" s="103"/>
      <c r="NK9" s="103"/>
      <c r="NL9" s="103"/>
      <c r="NM9" s="103"/>
      <c r="NN9" s="103"/>
      <c r="NO9" s="103"/>
      <c r="NP9" s="103"/>
      <c r="NQ9" s="103"/>
      <c r="NR9" s="103"/>
      <c r="NS9" s="103"/>
      <c r="NT9" s="103"/>
      <c r="NU9" s="103"/>
      <c r="NV9" s="103"/>
      <c r="NW9" s="103"/>
      <c r="NX9" s="103"/>
      <c r="NY9" s="104"/>
      <c r="NZ9" s="104"/>
    </row>
    <row r="10" spans="1:390" ht="15.75" customHeight="1" x14ac:dyDescent="0.3">
      <c r="A10" s="214">
        <v>4482209414</v>
      </c>
      <c r="B10" s="165" t="s">
        <v>391</v>
      </c>
      <c r="C10" s="215"/>
      <c r="D10" s="216" t="s">
        <v>391</v>
      </c>
      <c r="E10" s="136" t="s">
        <v>611</v>
      </c>
      <c r="F10" s="125" t="s">
        <v>465</v>
      </c>
      <c r="G10" s="221" t="s">
        <v>471</v>
      </c>
      <c r="H10" s="219">
        <v>43231</v>
      </c>
      <c r="I10" s="216" t="s">
        <v>458</v>
      </c>
      <c r="J10" s="153" t="s">
        <v>397</v>
      </c>
      <c r="K10" s="153" t="s">
        <v>398</v>
      </c>
      <c r="L10" s="153" t="s">
        <v>398</v>
      </c>
      <c r="M10" s="164" t="s">
        <v>398</v>
      </c>
      <c r="N10" s="164" t="s">
        <v>398</v>
      </c>
      <c r="O10" s="164" t="s">
        <v>398</v>
      </c>
      <c r="P10" s="164" t="s">
        <v>398</v>
      </c>
      <c r="Q10" s="164" t="s">
        <v>398</v>
      </c>
      <c r="R10" s="164" t="s">
        <v>398</v>
      </c>
      <c r="S10" s="164" t="s">
        <v>398</v>
      </c>
      <c r="T10" s="164" t="s">
        <v>398</v>
      </c>
      <c r="U10" s="164" t="s">
        <v>398</v>
      </c>
      <c r="V10" s="164" t="s">
        <v>398</v>
      </c>
      <c r="W10" s="164" t="s">
        <v>398</v>
      </c>
      <c r="X10" s="164" t="s">
        <v>398</v>
      </c>
      <c r="Y10" s="164" t="s">
        <v>398</v>
      </c>
      <c r="Z10" s="164" t="s">
        <v>398</v>
      </c>
      <c r="AA10" s="164" t="s">
        <v>398</v>
      </c>
      <c r="AB10" s="167" t="s">
        <v>399</v>
      </c>
      <c r="AC10" s="219">
        <v>18581</v>
      </c>
      <c r="AD10" s="107"/>
      <c r="AE10" s="108" t="e">
        <f t="shared" si="0"/>
        <v>#NUM!</v>
      </c>
      <c r="AF10" s="107" t="s">
        <v>602</v>
      </c>
      <c r="AG10" s="79" t="s">
        <v>401</v>
      </c>
      <c r="AH10" s="87" t="s">
        <v>402</v>
      </c>
      <c r="AI10" s="110"/>
      <c r="AJ10" s="110"/>
      <c r="AK10" s="110"/>
      <c r="AL10" s="110"/>
      <c r="AM10" s="105"/>
      <c r="AN10" s="95">
        <v>3</v>
      </c>
      <c r="AO10" s="173" t="s">
        <v>398</v>
      </c>
      <c r="AP10" s="79"/>
      <c r="AQ10" s="106"/>
      <c r="AR10" s="91"/>
      <c r="AS10" s="104"/>
      <c r="AT10" s="104"/>
      <c r="AU10" s="104"/>
      <c r="AV10" s="104"/>
      <c r="AW10" s="91"/>
      <c r="AX10" s="104"/>
      <c r="AY10" s="104"/>
      <c r="AZ10" s="104"/>
      <c r="BA10" s="104"/>
      <c r="BB10" s="91"/>
      <c r="BC10" s="104"/>
      <c r="BD10" s="104"/>
      <c r="BE10" s="104"/>
      <c r="BF10" s="104"/>
      <c r="BG10" s="91"/>
      <c r="BH10" s="104"/>
      <c r="BI10" s="104"/>
      <c r="BJ10" s="104"/>
      <c r="BK10" s="104"/>
      <c r="BL10" s="91"/>
      <c r="BM10" s="104"/>
      <c r="BN10" s="104"/>
      <c r="BO10" s="104"/>
      <c r="BP10" s="104"/>
      <c r="BQ10" s="91"/>
      <c r="BR10" s="104"/>
      <c r="BS10" s="104"/>
      <c r="BT10" s="104"/>
      <c r="BU10" s="104"/>
      <c r="BV10" s="91"/>
      <c r="BW10" s="104"/>
      <c r="BX10" s="104"/>
      <c r="BY10" s="104"/>
      <c r="BZ10" s="104"/>
      <c r="CA10" s="91"/>
      <c r="CB10" s="104"/>
      <c r="CC10" s="104"/>
      <c r="CD10" s="104"/>
      <c r="CE10" s="104"/>
      <c r="CF10" s="91"/>
      <c r="CG10" s="104"/>
      <c r="CH10" s="104"/>
      <c r="CI10" s="104"/>
      <c r="CJ10" s="104"/>
      <c r="CK10" s="91"/>
      <c r="CL10" s="104"/>
      <c r="CM10" s="104"/>
      <c r="CN10" s="104"/>
      <c r="CO10" s="104"/>
      <c r="CP10" s="91"/>
      <c r="CQ10" s="104"/>
      <c r="CR10" s="104"/>
      <c r="CS10" s="104"/>
      <c r="CT10" s="104"/>
      <c r="CU10" s="91"/>
      <c r="CV10" s="104"/>
      <c r="CW10" s="104"/>
      <c r="CX10" s="104"/>
      <c r="CY10" s="104"/>
      <c r="CZ10" s="91"/>
      <c r="DA10" s="104"/>
      <c r="DB10" s="104"/>
      <c r="DC10" s="104"/>
      <c r="DD10" s="104"/>
      <c r="DE10" s="91"/>
      <c r="DF10" s="104"/>
      <c r="DG10" s="104"/>
      <c r="DH10" s="104"/>
      <c r="DI10" s="104"/>
      <c r="DJ10" s="91"/>
      <c r="DK10" s="104"/>
      <c r="DL10" s="104"/>
      <c r="DM10" s="104"/>
      <c r="DN10" s="104"/>
      <c r="DO10" s="91"/>
      <c r="DP10" s="104"/>
      <c r="DQ10" s="104"/>
      <c r="DR10" s="104"/>
      <c r="DS10" s="104"/>
      <c r="DT10" s="91"/>
      <c r="DU10" s="104"/>
      <c r="DV10" s="104"/>
      <c r="DW10" s="104"/>
      <c r="DX10" s="104"/>
      <c r="DY10" s="91"/>
      <c r="DZ10" s="104"/>
      <c r="EA10" s="104"/>
      <c r="EB10" s="104"/>
      <c r="EC10" s="104"/>
      <c r="ED10" s="91"/>
      <c r="EE10" s="104"/>
      <c r="EF10" s="104"/>
      <c r="EG10" s="104"/>
      <c r="EH10" s="104"/>
      <c r="EI10" s="91"/>
      <c r="EJ10" s="104"/>
      <c r="EK10" s="104"/>
      <c r="EL10" s="104"/>
      <c r="EM10" s="104"/>
      <c r="EN10" s="91"/>
      <c r="EO10" s="104"/>
      <c r="EP10" s="104"/>
      <c r="EQ10" s="104"/>
      <c r="ER10" s="104"/>
      <c r="ES10" s="91"/>
      <c r="ET10" s="104"/>
      <c r="EU10" s="104"/>
      <c r="EV10" s="104"/>
      <c r="EW10" s="104"/>
      <c r="EX10" s="91"/>
      <c r="EY10" s="104"/>
      <c r="EZ10" s="104"/>
      <c r="FA10" s="104"/>
      <c r="FB10" s="104"/>
      <c r="FC10" s="91"/>
      <c r="FD10" s="104"/>
      <c r="FE10" s="104"/>
      <c r="FF10" s="104"/>
      <c r="FG10" s="104"/>
      <c r="FH10" s="91"/>
      <c r="FI10" s="104"/>
      <c r="FJ10" s="104"/>
      <c r="FK10" s="104"/>
      <c r="FL10" s="104"/>
      <c r="FM10" s="104"/>
      <c r="FN10" s="104"/>
      <c r="FO10" s="104"/>
      <c r="FP10" s="104"/>
      <c r="FQ10" s="104"/>
      <c r="FR10" s="104"/>
      <c r="FS10" s="104"/>
      <c r="FT10" s="104"/>
      <c r="FU10" s="104"/>
      <c r="FV10" s="104"/>
      <c r="FW10" s="104"/>
      <c r="FX10" s="104"/>
      <c r="FY10" s="104"/>
      <c r="FZ10" s="104"/>
      <c r="GA10" s="104"/>
      <c r="GB10" s="104"/>
      <c r="GC10" s="104"/>
      <c r="GD10" s="104"/>
      <c r="GE10" s="104"/>
      <c r="GF10" s="104"/>
      <c r="GG10" s="104"/>
      <c r="GH10" s="104"/>
      <c r="GI10" s="104"/>
      <c r="GJ10" s="104"/>
      <c r="GK10" s="104"/>
      <c r="GL10" s="104"/>
      <c r="GM10" s="104"/>
      <c r="GN10" s="104"/>
      <c r="GO10" s="104"/>
      <c r="GP10" s="91"/>
      <c r="GQ10" s="104"/>
      <c r="GR10" s="104"/>
      <c r="GS10" s="104"/>
      <c r="GT10" s="104"/>
      <c r="GU10" s="91"/>
      <c r="GV10" s="104"/>
      <c r="GW10" s="104"/>
      <c r="GX10" s="104"/>
      <c r="GY10" s="104"/>
      <c r="GZ10" s="91"/>
      <c r="HA10" s="104"/>
      <c r="HB10" s="104"/>
      <c r="HC10" s="104"/>
      <c r="HD10" s="104"/>
      <c r="HE10" s="91"/>
      <c r="HF10" s="104"/>
      <c r="HG10" s="104"/>
      <c r="HH10" s="104"/>
      <c r="HI10" s="104"/>
      <c r="HJ10" s="91"/>
      <c r="HK10" s="104"/>
      <c r="HL10" s="104"/>
      <c r="HM10" s="104"/>
      <c r="HN10" s="104"/>
      <c r="HO10" s="91"/>
      <c r="HP10" s="104"/>
      <c r="HQ10" s="104"/>
      <c r="HR10" s="104"/>
      <c r="HS10" s="104"/>
      <c r="HT10" s="91"/>
      <c r="HU10" s="104"/>
      <c r="HV10" s="104"/>
      <c r="HW10" s="104"/>
      <c r="HX10" s="104"/>
      <c r="HY10" s="91"/>
      <c r="HZ10" s="104"/>
      <c r="IA10" s="104"/>
      <c r="IB10" s="104"/>
      <c r="IC10" s="104"/>
      <c r="ID10" s="91"/>
      <c r="IE10" s="104"/>
      <c r="IF10" s="104"/>
      <c r="IG10" s="104"/>
      <c r="IH10" s="104"/>
      <c r="II10" s="91"/>
      <c r="IJ10" s="104"/>
      <c r="IK10" s="104"/>
      <c r="IL10" s="104"/>
      <c r="IM10" s="104"/>
      <c r="IN10" s="91"/>
      <c r="IO10" s="104"/>
      <c r="IP10" s="104"/>
      <c r="IQ10" s="104"/>
      <c r="IR10" s="104"/>
      <c r="IS10" s="91"/>
      <c r="IT10" s="104"/>
      <c r="IU10" s="104"/>
      <c r="IV10" s="104"/>
      <c r="IW10" s="104"/>
      <c r="IX10" s="91"/>
      <c r="IY10" s="104"/>
      <c r="IZ10" s="104"/>
      <c r="JA10" s="104"/>
      <c r="JB10" s="104"/>
      <c r="JC10" s="91"/>
      <c r="JD10" s="104"/>
      <c r="JE10" s="104"/>
      <c r="JF10" s="104"/>
      <c r="JG10" s="105"/>
      <c r="JH10" s="91"/>
      <c r="JI10" s="106"/>
      <c r="JJ10" s="104"/>
      <c r="JK10" s="104"/>
      <c r="JL10" s="105"/>
      <c r="JM10" s="95"/>
      <c r="JN10" s="107"/>
      <c r="JO10" s="79"/>
      <c r="JP10" s="106"/>
      <c r="JQ10" s="104"/>
      <c r="JR10" s="104"/>
      <c r="JS10" s="104"/>
      <c r="JT10" s="104"/>
      <c r="JU10" s="104"/>
      <c r="JV10" s="104"/>
      <c r="JW10" s="104"/>
      <c r="JX10" s="104"/>
      <c r="JY10" s="104"/>
      <c r="JZ10" s="104"/>
      <c r="KA10" s="104"/>
      <c r="KB10" s="104"/>
      <c r="KC10" s="104"/>
      <c r="KD10" s="104"/>
      <c r="KE10" s="104"/>
      <c r="KF10" s="104"/>
      <c r="KG10" s="104"/>
      <c r="KH10" s="104"/>
      <c r="KI10" s="104"/>
      <c r="KJ10" s="104"/>
      <c r="KK10" s="104"/>
      <c r="KL10" s="104"/>
      <c r="KM10" s="104"/>
      <c r="KN10" s="104"/>
      <c r="KO10" s="104"/>
      <c r="KP10" s="104"/>
      <c r="KQ10" s="104"/>
      <c r="KR10" s="104"/>
      <c r="KS10" s="104"/>
      <c r="KT10" s="104"/>
      <c r="KU10" s="104"/>
      <c r="KV10" s="104"/>
      <c r="KW10" s="104"/>
      <c r="KX10" s="104"/>
      <c r="KY10" s="104"/>
      <c r="KZ10" s="104"/>
      <c r="LA10" s="104"/>
      <c r="LB10" s="104"/>
      <c r="LC10" s="104"/>
      <c r="LD10" s="104"/>
      <c r="LE10" s="104"/>
      <c r="LF10" s="104"/>
      <c r="LG10" s="104"/>
      <c r="LH10" s="104"/>
      <c r="LI10" s="104"/>
      <c r="LJ10" s="104"/>
      <c r="LK10" s="104"/>
      <c r="LL10" s="104"/>
      <c r="LM10" s="104"/>
      <c r="LN10" s="104"/>
      <c r="LO10" s="104"/>
      <c r="LP10" s="104"/>
      <c r="LQ10" s="104"/>
      <c r="LR10" s="104"/>
      <c r="LS10" s="104"/>
      <c r="LT10" s="104"/>
      <c r="LU10" s="104"/>
      <c r="LV10" s="104"/>
      <c r="LW10" s="104"/>
      <c r="LX10" s="104"/>
      <c r="LY10" s="104"/>
      <c r="LZ10" s="104"/>
      <c r="MA10" s="104"/>
      <c r="MB10" s="104"/>
      <c r="MC10" s="104"/>
      <c r="MD10" s="103"/>
      <c r="ME10" s="103"/>
      <c r="MF10" s="103"/>
      <c r="MG10" s="103"/>
      <c r="MH10" s="103"/>
      <c r="MI10" s="103"/>
      <c r="MJ10" s="103"/>
      <c r="MK10" s="103"/>
      <c r="ML10" s="103"/>
      <c r="MM10" s="103"/>
      <c r="MN10" s="103"/>
      <c r="MO10" s="103"/>
      <c r="MP10" s="103"/>
      <c r="MQ10" s="103"/>
      <c r="MR10" s="103"/>
      <c r="MS10" s="103"/>
      <c r="MT10" s="103"/>
      <c r="MU10" s="103"/>
      <c r="MV10" s="103"/>
      <c r="MW10" s="103"/>
      <c r="MX10" s="103"/>
      <c r="MY10" s="103"/>
      <c r="MZ10" s="103"/>
      <c r="NA10" s="103"/>
      <c r="NB10" s="103"/>
      <c r="NC10" s="103"/>
      <c r="ND10" s="103"/>
      <c r="NE10" s="103"/>
      <c r="NF10" s="103"/>
      <c r="NG10" s="103"/>
      <c r="NH10" s="103"/>
      <c r="NI10" s="103"/>
      <c r="NJ10" s="103"/>
      <c r="NK10" s="103"/>
      <c r="NL10" s="103"/>
      <c r="NM10" s="103"/>
      <c r="NN10" s="103"/>
      <c r="NO10" s="103"/>
      <c r="NP10" s="103"/>
      <c r="NQ10" s="103"/>
      <c r="NR10" s="103"/>
      <c r="NS10" s="103"/>
      <c r="NT10" s="103"/>
      <c r="NU10" s="103"/>
      <c r="NV10" s="103"/>
      <c r="NW10" s="103"/>
      <c r="NX10" s="103"/>
      <c r="NY10" s="104"/>
      <c r="NZ10" s="104"/>
    </row>
    <row r="11" spans="1:390" ht="15.75" customHeight="1" x14ac:dyDescent="0.3">
      <c r="A11" s="214">
        <v>4849472818</v>
      </c>
      <c r="B11" s="165" t="s">
        <v>391</v>
      </c>
      <c r="C11" s="215"/>
      <c r="D11" s="216" t="s">
        <v>391</v>
      </c>
      <c r="E11" s="136" t="s">
        <v>612</v>
      </c>
      <c r="F11" s="125" t="s">
        <v>426</v>
      </c>
      <c r="G11" s="221" t="s">
        <v>417</v>
      </c>
      <c r="H11" s="219">
        <v>43231</v>
      </c>
      <c r="I11" s="216" t="s">
        <v>396</v>
      </c>
      <c r="J11" s="153" t="s">
        <v>397</v>
      </c>
      <c r="K11" s="153" t="s">
        <v>398</v>
      </c>
      <c r="L11" s="153" t="s">
        <v>398</v>
      </c>
      <c r="M11" s="164" t="s">
        <v>398</v>
      </c>
      <c r="N11" s="164" t="s">
        <v>398</v>
      </c>
      <c r="O11" s="164" t="s">
        <v>398</v>
      </c>
      <c r="P11" s="164" t="s">
        <v>398</v>
      </c>
      <c r="Q11" s="164" t="s">
        <v>398</v>
      </c>
      <c r="R11" s="164" t="s">
        <v>398</v>
      </c>
      <c r="S11" s="164" t="s">
        <v>398</v>
      </c>
      <c r="T11" s="164" t="s">
        <v>398</v>
      </c>
      <c r="U11" s="164" t="s">
        <v>398</v>
      </c>
      <c r="V11" s="164" t="s">
        <v>398</v>
      </c>
      <c r="W11" s="164" t="s">
        <v>398</v>
      </c>
      <c r="X11" s="164" t="s">
        <v>398</v>
      </c>
      <c r="Y11" s="164" t="s">
        <v>398</v>
      </c>
      <c r="Z11" s="164" t="s">
        <v>398</v>
      </c>
      <c r="AA11" s="164" t="s">
        <v>398</v>
      </c>
      <c r="AB11" s="167" t="s">
        <v>399</v>
      </c>
      <c r="AC11" s="219">
        <v>23252</v>
      </c>
      <c r="AD11" s="107"/>
      <c r="AE11" s="108" t="e">
        <f t="shared" si="0"/>
        <v>#NUM!</v>
      </c>
      <c r="AF11" s="107" t="s">
        <v>613</v>
      </c>
      <c r="AG11" s="79" t="s">
        <v>401</v>
      </c>
      <c r="AH11" s="87" t="s">
        <v>402</v>
      </c>
      <c r="AI11" s="110"/>
      <c r="AJ11" s="110"/>
      <c r="AK11" s="110"/>
      <c r="AL11" s="110"/>
      <c r="AM11" s="105"/>
      <c r="AN11" s="95">
        <v>1</v>
      </c>
      <c r="AO11" s="173" t="s">
        <v>398</v>
      </c>
      <c r="AP11" s="79"/>
      <c r="AQ11" s="106"/>
      <c r="AR11" s="91"/>
      <c r="AS11" s="104"/>
      <c r="AT11" s="104"/>
      <c r="AU11" s="104"/>
      <c r="AV11" s="104"/>
      <c r="AW11" s="91"/>
      <c r="AX11" s="104"/>
      <c r="AY11" s="104"/>
      <c r="AZ11" s="104"/>
      <c r="BA11" s="104"/>
      <c r="BB11" s="91"/>
      <c r="BC11" s="104"/>
      <c r="BD11" s="104"/>
      <c r="BE11" s="104"/>
      <c r="BF11" s="104"/>
      <c r="BG11" s="91"/>
      <c r="BH11" s="104"/>
      <c r="BI11" s="104"/>
      <c r="BJ11" s="104"/>
      <c r="BK11" s="104"/>
      <c r="BL11" s="91"/>
      <c r="BM11" s="104"/>
      <c r="BN11" s="104"/>
      <c r="BO11" s="104"/>
      <c r="BP11" s="104"/>
      <c r="BQ11" s="91"/>
      <c r="BR11" s="104"/>
      <c r="BS11" s="104"/>
      <c r="BT11" s="104"/>
      <c r="BU11" s="104"/>
      <c r="BV11" s="91"/>
      <c r="BW11" s="104"/>
      <c r="BX11" s="104"/>
      <c r="BY11" s="104"/>
      <c r="BZ11" s="104"/>
      <c r="CA11" s="91"/>
      <c r="CB11" s="104"/>
      <c r="CC11" s="104"/>
      <c r="CD11" s="104"/>
      <c r="CE11" s="104"/>
      <c r="CF11" s="91"/>
      <c r="CG11" s="104"/>
      <c r="CH11" s="104"/>
      <c r="CI11" s="104"/>
      <c r="CJ11" s="104"/>
      <c r="CK11" s="91"/>
      <c r="CL11" s="104"/>
      <c r="CM11" s="104"/>
      <c r="CN11" s="104"/>
      <c r="CO11" s="104"/>
      <c r="CP11" s="91"/>
      <c r="CQ11" s="104"/>
      <c r="CR11" s="104"/>
      <c r="CS11" s="104"/>
      <c r="CT11" s="104"/>
      <c r="CU11" s="91"/>
      <c r="CV11" s="104"/>
      <c r="CW11" s="104"/>
      <c r="CX11" s="104"/>
      <c r="CY11" s="104"/>
      <c r="CZ11" s="91"/>
      <c r="DA11" s="104"/>
      <c r="DB11" s="104"/>
      <c r="DC11" s="104"/>
      <c r="DD11" s="104"/>
      <c r="DE11" s="91"/>
      <c r="DF11" s="104"/>
      <c r="DG11" s="104"/>
      <c r="DH11" s="104"/>
      <c r="DI11" s="104"/>
      <c r="DJ11" s="91"/>
      <c r="DK11" s="104"/>
      <c r="DL11" s="104"/>
      <c r="DM11" s="104"/>
      <c r="DN11" s="104"/>
      <c r="DO11" s="91"/>
      <c r="DP11" s="104"/>
      <c r="DQ11" s="104"/>
      <c r="DR11" s="104"/>
      <c r="DS11" s="104"/>
      <c r="DT11" s="91"/>
      <c r="DU11" s="104"/>
      <c r="DV11" s="104"/>
      <c r="DW11" s="104"/>
      <c r="DX11" s="104"/>
      <c r="DY11" s="91"/>
      <c r="DZ11" s="104"/>
      <c r="EA11" s="104"/>
      <c r="EB11" s="104"/>
      <c r="EC11" s="104"/>
      <c r="ED11" s="91"/>
      <c r="EE11" s="104"/>
      <c r="EF11" s="104"/>
      <c r="EG11" s="104"/>
      <c r="EH11" s="104"/>
      <c r="EI11" s="91"/>
      <c r="EJ11" s="104"/>
      <c r="EK11" s="104"/>
      <c r="EL11" s="104"/>
      <c r="EM11" s="104"/>
      <c r="EN11" s="91"/>
      <c r="EO11" s="104"/>
      <c r="EP11" s="104"/>
      <c r="EQ11" s="104"/>
      <c r="ER11" s="104"/>
      <c r="ES11" s="91"/>
      <c r="ET11" s="104"/>
      <c r="EU11" s="104"/>
      <c r="EV11" s="104"/>
      <c r="EW11" s="104"/>
      <c r="EX11" s="91"/>
      <c r="EY11" s="104"/>
      <c r="EZ11" s="104"/>
      <c r="FA11" s="104"/>
      <c r="FB11" s="104"/>
      <c r="FC11" s="91"/>
      <c r="FD11" s="104"/>
      <c r="FE11" s="104"/>
      <c r="FF11" s="104"/>
      <c r="FG11" s="104"/>
      <c r="FH11" s="91"/>
      <c r="FI11" s="104"/>
      <c r="FJ11" s="104"/>
      <c r="FK11" s="104"/>
      <c r="FL11" s="104"/>
      <c r="FM11" s="104"/>
      <c r="FN11" s="104"/>
      <c r="FO11" s="104"/>
      <c r="FP11" s="104"/>
      <c r="FQ11" s="104"/>
      <c r="FR11" s="104"/>
      <c r="FS11" s="104"/>
      <c r="FT11" s="104"/>
      <c r="FU11" s="104"/>
      <c r="FV11" s="104"/>
      <c r="FW11" s="104"/>
      <c r="FX11" s="104"/>
      <c r="FY11" s="104"/>
      <c r="FZ11" s="104"/>
      <c r="GA11" s="104"/>
      <c r="GB11" s="104"/>
      <c r="GC11" s="104"/>
      <c r="GD11" s="104"/>
      <c r="GE11" s="104"/>
      <c r="GF11" s="104"/>
      <c r="GG11" s="104"/>
      <c r="GH11" s="104"/>
      <c r="GI11" s="104"/>
      <c r="GJ11" s="104"/>
      <c r="GK11" s="104"/>
      <c r="GL11" s="104"/>
      <c r="GM11" s="104"/>
      <c r="GN11" s="104"/>
      <c r="GO11" s="104"/>
      <c r="GP11" s="91"/>
      <c r="GQ11" s="104"/>
      <c r="GR11" s="104"/>
      <c r="GS11" s="104"/>
      <c r="GT11" s="104"/>
      <c r="GU11" s="91"/>
      <c r="GV11" s="104"/>
      <c r="GW11" s="104"/>
      <c r="GX11" s="104"/>
      <c r="GY11" s="104"/>
      <c r="GZ11" s="91"/>
      <c r="HA11" s="104"/>
      <c r="HB11" s="104"/>
      <c r="HC11" s="104"/>
      <c r="HD11" s="104"/>
      <c r="HE11" s="91"/>
      <c r="HF11" s="104"/>
      <c r="HG11" s="104"/>
      <c r="HH11" s="104"/>
      <c r="HI11" s="104"/>
      <c r="HJ11" s="91"/>
      <c r="HK11" s="104"/>
      <c r="HL11" s="104"/>
      <c r="HM11" s="104"/>
      <c r="HN11" s="104"/>
      <c r="HO11" s="91"/>
      <c r="HP11" s="104"/>
      <c r="HQ11" s="104"/>
      <c r="HR11" s="104"/>
      <c r="HS11" s="104"/>
      <c r="HT11" s="91"/>
      <c r="HU11" s="104"/>
      <c r="HV11" s="104"/>
      <c r="HW11" s="104"/>
      <c r="HX11" s="104"/>
      <c r="HY11" s="91"/>
      <c r="HZ11" s="104"/>
      <c r="IA11" s="104"/>
      <c r="IB11" s="104"/>
      <c r="IC11" s="104"/>
      <c r="ID11" s="91"/>
      <c r="IE11" s="104"/>
      <c r="IF11" s="104"/>
      <c r="IG11" s="104"/>
      <c r="IH11" s="104"/>
      <c r="II11" s="91"/>
      <c r="IJ11" s="104"/>
      <c r="IK11" s="104"/>
      <c r="IL11" s="104"/>
      <c r="IM11" s="104"/>
      <c r="IN11" s="91"/>
      <c r="IO11" s="104"/>
      <c r="IP11" s="104"/>
      <c r="IQ11" s="104"/>
      <c r="IR11" s="104"/>
      <c r="IS11" s="91"/>
      <c r="IT11" s="104"/>
      <c r="IU11" s="104"/>
      <c r="IV11" s="104"/>
      <c r="IW11" s="104"/>
      <c r="IX11" s="91"/>
      <c r="IY11" s="104"/>
      <c r="IZ11" s="104"/>
      <c r="JA11" s="104"/>
      <c r="JB11" s="104"/>
      <c r="JC11" s="91"/>
      <c r="JD11" s="104"/>
      <c r="JE11" s="104"/>
      <c r="JF11" s="104"/>
      <c r="JG11" s="105"/>
      <c r="JH11" s="91"/>
      <c r="JI11" s="106"/>
      <c r="JJ11" s="104"/>
      <c r="JK11" s="104"/>
      <c r="JL11" s="105"/>
      <c r="JM11" s="95"/>
      <c r="JN11" s="107"/>
      <c r="JO11" s="79"/>
      <c r="JP11" s="106"/>
      <c r="JQ11" s="104"/>
      <c r="JR11" s="104"/>
      <c r="JS11" s="104"/>
      <c r="JT11" s="104"/>
      <c r="JU11" s="104"/>
      <c r="JV11" s="104"/>
      <c r="JW11" s="104"/>
      <c r="JX11" s="104"/>
      <c r="JY11" s="104"/>
      <c r="JZ11" s="104"/>
      <c r="KA11" s="104"/>
      <c r="KB11" s="104"/>
      <c r="KC11" s="104"/>
      <c r="KD11" s="104"/>
      <c r="KE11" s="104"/>
      <c r="KF11" s="104"/>
      <c r="KG11" s="104"/>
      <c r="KH11" s="104"/>
      <c r="KI11" s="104"/>
      <c r="KJ11" s="104"/>
      <c r="KK11" s="104"/>
      <c r="KL11" s="104"/>
      <c r="KM11" s="104"/>
      <c r="KN11" s="104"/>
      <c r="KO11" s="104"/>
      <c r="KP11" s="104"/>
      <c r="KQ11" s="104"/>
      <c r="KR11" s="104"/>
      <c r="KS11" s="104"/>
      <c r="KT11" s="104"/>
      <c r="KU11" s="104"/>
      <c r="KV11" s="104"/>
      <c r="KW11" s="104"/>
      <c r="KX11" s="104"/>
      <c r="KY11" s="104"/>
      <c r="KZ11" s="104"/>
      <c r="LA11" s="104"/>
      <c r="LB11" s="104"/>
      <c r="LC11" s="104"/>
      <c r="LD11" s="104"/>
      <c r="LE11" s="104"/>
      <c r="LF11" s="104"/>
      <c r="LG11" s="104"/>
      <c r="LH11" s="104"/>
      <c r="LI11" s="104"/>
      <c r="LJ11" s="104"/>
      <c r="LK11" s="104"/>
      <c r="LL11" s="104"/>
      <c r="LM11" s="104"/>
      <c r="LN11" s="104"/>
      <c r="LO11" s="104"/>
      <c r="LP11" s="104"/>
      <c r="LQ11" s="104"/>
      <c r="LR11" s="104"/>
      <c r="LS11" s="104"/>
      <c r="LT11" s="104"/>
      <c r="LU11" s="104"/>
      <c r="LV11" s="104"/>
      <c r="LW11" s="104"/>
      <c r="LX11" s="104"/>
      <c r="LY11" s="104"/>
      <c r="LZ11" s="104"/>
      <c r="MA11" s="104"/>
      <c r="MB11" s="104"/>
      <c r="MC11" s="104"/>
      <c r="MD11" s="103"/>
      <c r="ME11" s="103"/>
      <c r="MF11" s="103"/>
      <c r="MG11" s="103"/>
      <c r="MH11" s="103"/>
      <c r="MI11" s="103"/>
      <c r="MJ11" s="103"/>
      <c r="MK11" s="103"/>
      <c r="ML11" s="103"/>
      <c r="MM11" s="103"/>
      <c r="MN11" s="103"/>
      <c r="MO11" s="103"/>
      <c r="MP11" s="103"/>
      <c r="MQ11" s="103"/>
      <c r="MR11" s="103"/>
      <c r="MS11" s="103"/>
      <c r="MT11" s="103"/>
      <c r="MU11" s="103"/>
      <c r="MV11" s="103"/>
      <c r="MW11" s="103"/>
      <c r="MX11" s="103"/>
      <c r="MY11" s="103"/>
      <c r="MZ11" s="103"/>
      <c r="NA11" s="103"/>
      <c r="NB11" s="103"/>
      <c r="NC11" s="103"/>
      <c r="ND11" s="103"/>
      <c r="NE11" s="103"/>
      <c r="NF11" s="103"/>
      <c r="NG11" s="103"/>
      <c r="NH11" s="103"/>
      <c r="NI11" s="103"/>
      <c r="NJ11" s="103"/>
      <c r="NK11" s="103"/>
      <c r="NL11" s="103"/>
      <c r="NM11" s="103"/>
      <c r="NN11" s="103"/>
      <c r="NO11" s="103"/>
      <c r="NP11" s="103"/>
      <c r="NQ11" s="103"/>
      <c r="NR11" s="103"/>
      <c r="NS11" s="103"/>
      <c r="NT11" s="103"/>
      <c r="NU11" s="103"/>
      <c r="NV11" s="103"/>
      <c r="NW11" s="103"/>
      <c r="NX11" s="103"/>
      <c r="NY11" s="104"/>
      <c r="NZ11" s="104"/>
    </row>
    <row r="12" spans="1:390" ht="15.75" customHeight="1" x14ac:dyDescent="0.3">
      <c r="A12" s="214">
        <v>4423755157</v>
      </c>
      <c r="B12" s="165" t="s">
        <v>391</v>
      </c>
      <c r="C12" s="215"/>
      <c r="D12" s="216" t="s">
        <v>391</v>
      </c>
      <c r="E12" s="136" t="s">
        <v>614</v>
      </c>
      <c r="F12" s="125" t="s">
        <v>416</v>
      </c>
      <c r="G12" s="221" t="s">
        <v>615</v>
      </c>
      <c r="H12" s="219">
        <v>43236</v>
      </c>
      <c r="I12" s="216" t="s">
        <v>513</v>
      </c>
      <c r="J12" s="153" t="s">
        <v>397</v>
      </c>
      <c r="K12" s="153" t="s">
        <v>398</v>
      </c>
      <c r="L12" s="153" t="s">
        <v>398</v>
      </c>
      <c r="M12" s="164" t="s">
        <v>398</v>
      </c>
      <c r="N12" s="164" t="s">
        <v>398</v>
      </c>
      <c r="O12" s="164" t="s">
        <v>398</v>
      </c>
      <c r="P12" s="164" t="s">
        <v>398</v>
      </c>
      <c r="Q12" s="164" t="s">
        <v>398</v>
      </c>
      <c r="R12" s="164" t="s">
        <v>398</v>
      </c>
      <c r="S12" s="164" t="s">
        <v>398</v>
      </c>
      <c r="T12" s="164" t="s">
        <v>398</v>
      </c>
      <c r="U12" s="164" t="s">
        <v>398</v>
      </c>
      <c r="V12" s="164" t="s">
        <v>398</v>
      </c>
      <c r="W12" s="164" t="s">
        <v>398</v>
      </c>
      <c r="X12" s="164" t="s">
        <v>398</v>
      </c>
      <c r="Y12" s="164" t="s">
        <v>398</v>
      </c>
      <c r="Z12" s="164" t="s">
        <v>398</v>
      </c>
      <c r="AA12" s="164" t="s">
        <v>398</v>
      </c>
      <c r="AB12" s="167" t="s">
        <v>399</v>
      </c>
      <c r="AC12" s="219">
        <v>16964</v>
      </c>
      <c r="AD12" s="107"/>
      <c r="AE12" s="108" t="e">
        <f t="shared" si="0"/>
        <v>#NUM!</v>
      </c>
      <c r="AF12" s="107" t="s">
        <v>616</v>
      </c>
      <c r="AG12" s="79" t="s">
        <v>401</v>
      </c>
      <c r="AH12" s="87" t="s">
        <v>402</v>
      </c>
      <c r="AI12" s="110"/>
      <c r="AJ12" s="110"/>
      <c r="AK12" s="110"/>
      <c r="AL12" s="110"/>
      <c r="AM12" s="105"/>
      <c r="AN12" s="95">
        <v>3</v>
      </c>
      <c r="AO12" s="173" t="s">
        <v>398</v>
      </c>
      <c r="AP12" s="79"/>
      <c r="AQ12" s="106"/>
      <c r="AR12" s="91"/>
      <c r="AS12" s="104"/>
      <c r="AT12" s="104"/>
      <c r="AU12" s="104"/>
      <c r="AV12" s="104"/>
      <c r="AW12" s="91"/>
      <c r="AX12" s="104"/>
      <c r="AY12" s="104"/>
      <c r="AZ12" s="104"/>
      <c r="BA12" s="104"/>
      <c r="BB12" s="91"/>
      <c r="BC12" s="104"/>
      <c r="BD12" s="104"/>
      <c r="BE12" s="104"/>
      <c r="BF12" s="104"/>
      <c r="BG12" s="91"/>
      <c r="BH12" s="104"/>
      <c r="BI12" s="104"/>
      <c r="BJ12" s="104"/>
      <c r="BK12" s="104"/>
      <c r="BL12" s="91"/>
      <c r="BM12" s="104"/>
      <c r="BN12" s="104"/>
      <c r="BO12" s="104"/>
      <c r="BP12" s="104"/>
      <c r="BQ12" s="91"/>
      <c r="BR12" s="104"/>
      <c r="BS12" s="104"/>
      <c r="BT12" s="104"/>
      <c r="BU12" s="104"/>
      <c r="BV12" s="91"/>
      <c r="BW12" s="104"/>
      <c r="BX12" s="104"/>
      <c r="BY12" s="104"/>
      <c r="BZ12" s="104"/>
      <c r="CA12" s="91"/>
      <c r="CB12" s="104"/>
      <c r="CC12" s="104"/>
      <c r="CD12" s="104"/>
      <c r="CE12" s="104"/>
      <c r="CF12" s="91"/>
      <c r="CG12" s="104"/>
      <c r="CH12" s="104"/>
      <c r="CI12" s="104"/>
      <c r="CJ12" s="104"/>
      <c r="CK12" s="91"/>
      <c r="CL12" s="104"/>
      <c r="CM12" s="104"/>
      <c r="CN12" s="104"/>
      <c r="CO12" s="104"/>
      <c r="CP12" s="91"/>
      <c r="CQ12" s="104"/>
      <c r="CR12" s="104"/>
      <c r="CS12" s="104"/>
      <c r="CT12" s="104"/>
      <c r="CU12" s="91"/>
      <c r="CV12" s="104"/>
      <c r="CW12" s="104"/>
      <c r="CX12" s="104"/>
      <c r="CY12" s="104"/>
      <c r="CZ12" s="91"/>
      <c r="DA12" s="104"/>
      <c r="DB12" s="104"/>
      <c r="DC12" s="104"/>
      <c r="DD12" s="104"/>
      <c r="DE12" s="91"/>
      <c r="DF12" s="104"/>
      <c r="DG12" s="104"/>
      <c r="DH12" s="104"/>
      <c r="DI12" s="104"/>
      <c r="DJ12" s="91"/>
      <c r="DK12" s="104"/>
      <c r="DL12" s="104"/>
      <c r="DM12" s="104"/>
      <c r="DN12" s="104"/>
      <c r="DO12" s="91"/>
      <c r="DP12" s="104"/>
      <c r="DQ12" s="104"/>
      <c r="DR12" s="104"/>
      <c r="DS12" s="104"/>
      <c r="DT12" s="91"/>
      <c r="DU12" s="104"/>
      <c r="DV12" s="104"/>
      <c r="DW12" s="104"/>
      <c r="DX12" s="104"/>
      <c r="DY12" s="91"/>
      <c r="DZ12" s="104"/>
      <c r="EA12" s="104"/>
      <c r="EB12" s="104"/>
      <c r="EC12" s="104"/>
      <c r="ED12" s="91"/>
      <c r="EE12" s="104"/>
      <c r="EF12" s="104"/>
      <c r="EG12" s="104"/>
      <c r="EH12" s="104"/>
      <c r="EI12" s="91"/>
      <c r="EJ12" s="104"/>
      <c r="EK12" s="104"/>
      <c r="EL12" s="104"/>
      <c r="EM12" s="104"/>
      <c r="EN12" s="91"/>
      <c r="EO12" s="104"/>
      <c r="EP12" s="104"/>
      <c r="EQ12" s="104"/>
      <c r="ER12" s="104"/>
      <c r="ES12" s="91"/>
      <c r="ET12" s="104"/>
      <c r="EU12" s="104"/>
      <c r="EV12" s="104"/>
      <c r="EW12" s="104"/>
      <c r="EX12" s="91"/>
      <c r="EY12" s="104"/>
      <c r="EZ12" s="104"/>
      <c r="FA12" s="104"/>
      <c r="FB12" s="104"/>
      <c r="FC12" s="91"/>
      <c r="FD12" s="104"/>
      <c r="FE12" s="104"/>
      <c r="FF12" s="104"/>
      <c r="FG12" s="104"/>
      <c r="FH12" s="91"/>
      <c r="FI12" s="104"/>
      <c r="FJ12" s="104"/>
      <c r="FK12" s="104"/>
      <c r="FL12" s="104"/>
      <c r="FM12" s="104"/>
      <c r="FN12" s="104"/>
      <c r="FO12" s="104"/>
      <c r="FP12" s="104"/>
      <c r="FQ12" s="104"/>
      <c r="FR12" s="104"/>
      <c r="FS12" s="104"/>
      <c r="FT12" s="104"/>
      <c r="FU12" s="104"/>
      <c r="FV12" s="104"/>
      <c r="FW12" s="104"/>
      <c r="FX12" s="104"/>
      <c r="FY12" s="104"/>
      <c r="FZ12" s="104"/>
      <c r="GA12" s="104"/>
      <c r="GB12" s="104"/>
      <c r="GC12" s="104"/>
      <c r="GD12" s="104"/>
      <c r="GE12" s="104"/>
      <c r="GF12" s="104"/>
      <c r="GG12" s="104"/>
      <c r="GH12" s="104"/>
      <c r="GI12" s="104"/>
      <c r="GJ12" s="104"/>
      <c r="GK12" s="104"/>
      <c r="GL12" s="104"/>
      <c r="GM12" s="104"/>
      <c r="GN12" s="104"/>
      <c r="GO12" s="104"/>
      <c r="GP12" s="91"/>
      <c r="GQ12" s="104"/>
      <c r="GR12" s="104"/>
      <c r="GS12" s="104"/>
      <c r="GT12" s="104"/>
      <c r="GU12" s="91"/>
      <c r="GV12" s="104"/>
      <c r="GW12" s="104"/>
      <c r="GX12" s="104"/>
      <c r="GY12" s="104"/>
      <c r="GZ12" s="91"/>
      <c r="HA12" s="104"/>
      <c r="HB12" s="104"/>
      <c r="HC12" s="104"/>
      <c r="HD12" s="104"/>
      <c r="HE12" s="91"/>
      <c r="HF12" s="104"/>
      <c r="HG12" s="104"/>
      <c r="HH12" s="104"/>
      <c r="HI12" s="104"/>
      <c r="HJ12" s="91"/>
      <c r="HK12" s="104"/>
      <c r="HL12" s="104"/>
      <c r="HM12" s="104"/>
      <c r="HN12" s="104"/>
      <c r="HO12" s="91"/>
      <c r="HP12" s="104"/>
      <c r="HQ12" s="104"/>
      <c r="HR12" s="104"/>
      <c r="HS12" s="104"/>
      <c r="HT12" s="91"/>
      <c r="HU12" s="104"/>
      <c r="HV12" s="104"/>
      <c r="HW12" s="104"/>
      <c r="HX12" s="104"/>
      <c r="HY12" s="91"/>
      <c r="HZ12" s="104"/>
      <c r="IA12" s="104"/>
      <c r="IB12" s="104"/>
      <c r="IC12" s="104"/>
      <c r="ID12" s="91"/>
      <c r="IE12" s="104"/>
      <c r="IF12" s="104"/>
      <c r="IG12" s="104"/>
      <c r="IH12" s="104"/>
      <c r="II12" s="91"/>
      <c r="IJ12" s="104"/>
      <c r="IK12" s="104"/>
      <c r="IL12" s="104"/>
      <c r="IM12" s="104"/>
      <c r="IN12" s="91"/>
      <c r="IO12" s="104"/>
      <c r="IP12" s="104"/>
      <c r="IQ12" s="104"/>
      <c r="IR12" s="104"/>
      <c r="IS12" s="91"/>
      <c r="IT12" s="104"/>
      <c r="IU12" s="104"/>
      <c r="IV12" s="104"/>
      <c r="IW12" s="104"/>
      <c r="IX12" s="91"/>
      <c r="IY12" s="104"/>
      <c r="IZ12" s="104"/>
      <c r="JA12" s="104"/>
      <c r="JB12" s="104"/>
      <c r="JC12" s="91"/>
      <c r="JD12" s="104"/>
      <c r="JE12" s="104"/>
      <c r="JF12" s="104"/>
      <c r="JG12" s="105"/>
      <c r="JH12" s="91"/>
      <c r="JI12" s="106"/>
      <c r="JJ12" s="104"/>
      <c r="JK12" s="104"/>
      <c r="JL12" s="105"/>
      <c r="JM12" s="95"/>
      <c r="JN12" s="107"/>
      <c r="JO12" s="79"/>
      <c r="JP12" s="106"/>
      <c r="JQ12" s="104"/>
      <c r="JR12" s="104"/>
      <c r="JS12" s="104"/>
      <c r="JT12" s="104"/>
      <c r="JU12" s="104"/>
      <c r="JV12" s="104"/>
      <c r="JW12" s="104"/>
      <c r="JX12" s="104"/>
      <c r="JY12" s="104"/>
      <c r="JZ12" s="104"/>
      <c r="KA12" s="104"/>
      <c r="KB12" s="104"/>
      <c r="KC12" s="104"/>
      <c r="KD12" s="104"/>
      <c r="KE12" s="104"/>
      <c r="KF12" s="104"/>
      <c r="KG12" s="104"/>
      <c r="KH12" s="104"/>
      <c r="KI12" s="104"/>
      <c r="KJ12" s="104"/>
      <c r="KK12" s="104"/>
      <c r="KL12" s="104"/>
      <c r="KM12" s="104"/>
      <c r="KN12" s="104"/>
      <c r="KO12" s="104"/>
      <c r="KP12" s="104"/>
      <c r="KQ12" s="104"/>
      <c r="KR12" s="104"/>
      <c r="KS12" s="104"/>
      <c r="KT12" s="104"/>
      <c r="KU12" s="104"/>
      <c r="KV12" s="104"/>
      <c r="KW12" s="104"/>
      <c r="KX12" s="104"/>
      <c r="KY12" s="104"/>
      <c r="KZ12" s="104"/>
      <c r="LA12" s="104"/>
      <c r="LB12" s="104"/>
      <c r="LC12" s="104"/>
      <c r="LD12" s="104"/>
      <c r="LE12" s="104"/>
      <c r="LF12" s="104"/>
      <c r="LG12" s="104"/>
      <c r="LH12" s="104"/>
      <c r="LI12" s="104"/>
      <c r="LJ12" s="104"/>
      <c r="LK12" s="104"/>
      <c r="LL12" s="104"/>
      <c r="LM12" s="104"/>
      <c r="LN12" s="104"/>
      <c r="LO12" s="104"/>
      <c r="LP12" s="104"/>
      <c r="LQ12" s="104"/>
      <c r="LR12" s="104"/>
      <c r="LS12" s="104"/>
      <c r="LT12" s="104"/>
      <c r="LU12" s="104"/>
      <c r="LV12" s="104"/>
      <c r="LW12" s="104"/>
      <c r="LX12" s="104"/>
      <c r="LY12" s="104"/>
      <c r="LZ12" s="104"/>
      <c r="MA12" s="104"/>
      <c r="MB12" s="104"/>
      <c r="MC12" s="104"/>
      <c r="MD12" s="103"/>
      <c r="ME12" s="103"/>
      <c r="MF12" s="103"/>
      <c r="MG12" s="103"/>
      <c r="MH12" s="103"/>
      <c r="MI12" s="103"/>
      <c r="MJ12" s="103"/>
      <c r="MK12" s="103"/>
      <c r="ML12" s="103"/>
      <c r="MM12" s="103"/>
      <c r="MN12" s="103"/>
      <c r="MO12" s="103"/>
      <c r="MP12" s="103"/>
      <c r="MQ12" s="103"/>
      <c r="MR12" s="103"/>
      <c r="MS12" s="103"/>
      <c r="MT12" s="103"/>
      <c r="MU12" s="103"/>
      <c r="MV12" s="103"/>
      <c r="MW12" s="103"/>
      <c r="MX12" s="103"/>
      <c r="MY12" s="103"/>
      <c r="MZ12" s="103"/>
      <c r="NA12" s="103"/>
      <c r="NB12" s="103"/>
      <c r="NC12" s="103"/>
      <c r="ND12" s="103"/>
      <c r="NE12" s="103"/>
      <c r="NF12" s="103"/>
      <c r="NG12" s="103"/>
      <c r="NH12" s="103"/>
      <c r="NI12" s="103"/>
      <c r="NJ12" s="103"/>
      <c r="NK12" s="103"/>
      <c r="NL12" s="103"/>
      <c r="NM12" s="103"/>
      <c r="NN12" s="103"/>
      <c r="NO12" s="103"/>
      <c r="NP12" s="103"/>
      <c r="NQ12" s="103"/>
      <c r="NR12" s="103"/>
      <c r="NS12" s="103"/>
      <c r="NT12" s="103"/>
      <c r="NU12" s="103"/>
      <c r="NV12" s="103"/>
      <c r="NW12" s="103"/>
      <c r="NX12" s="103"/>
      <c r="NY12" s="104"/>
      <c r="NZ12" s="104"/>
    </row>
    <row r="13" spans="1:390" ht="15.75" customHeight="1" x14ac:dyDescent="0.3">
      <c r="A13" s="214">
        <v>4606237317</v>
      </c>
      <c r="B13" s="165" t="s">
        <v>391</v>
      </c>
      <c r="C13" s="215"/>
      <c r="D13" s="216" t="s">
        <v>391</v>
      </c>
      <c r="E13" s="136" t="s">
        <v>617</v>
      </c>
      <c r="F13" s="125" t="s">
        <v>422</v>
      </c>
      <c r="G13" s="221" t="s">
        <v>488</v>
      </c>
      <c r="H13" s="219">
        <v>43242</v>
      </c>
      <c r="I13" s="216" t="s">
        <v>513</v>
      </c>
      <c r="J13" s="153" t="s">
        <v>397</v>
      </c>
      <c r="K13" s="153" t="s">
        <v>398</v>
      </c>
      <c r="L13" s="153" t="s">
        <v>398</v>
      </c>
      <c r="M13" s="164" t="s">
        <v>398</v>
      </c>
      <c r="N13" s="164" t="s">
        <v>398</v>
      </c>
      <c r="O13" s="164" t="s">
        <v>398</v>
      </c>
      <c r="P13" s="164" t="s">
        <v>398</v>
      </c>
      <c r="Q13" s="164" t="s">
        <v>398</v>
      </c>
      <c r="R13" s="164" t="s">
        <v>398</v>
      </c>
      <c r="S13" s="164" t="s">
        <v>398</v>
      </c>
      <c r="T13" s="164" t="s">
        <v>398</v>
      </c>
      <c r="U13" s="164" t="s">
        <v>398</v>
      </c>
      <c r="V13" s="164" t="s">
        <v>398</v>
      </c>
      <c r="W13" s="164" t="s">
        <v>398</v>
      </c>
      <c r="X13" s="164" t="s">
        <v>398</v>
      </c>
      <c r="Y13" s="164" t="s">
        <v>398</v>
      </c>
      <c r="Z13" s="164" t="s">
        <v>398</v>
      </c>
      <c r="AA13" s="164" t="s">
        <v>398</v>
      </c>
      <c r="AB13" s="167" t="s">
        <v>399</v>
      </c>
      <c r="AC13" s="219">
        <v>19419</v>
      </c>
      <c r="AD13" s="107"/>
      <c r="AE13" s="108" t="e">
        <f t="shared" si="0"/>
        <v>#NUM!</v>
      </c>
      <c r="AF13" s="107" t="s">
        <v>618</v>
      </c>
      <c r="AG13" s="79" t="s">
        <v>401</v>
      </c>
      <c r="AH13" s="87" t="s">
        <v>402</v>
      </c>
      <c r="AI13" s="110"/>
      <c r="AJ13" s="110"/>
      <c r="AK13" s="110"/>
      <c r="AL13" s="110"/>
      <c r="AM13" s="105"/>
      <c r="AN13" s="95">
        <v>3</v>
      </c>
      <c r="AO13" s="173" t="s">
        <v>398</v>
      </c>
      <c r="AP13" s="79"/>
      <c r="AQ13" s="106"/>
      <c r="AR13" s="91"/>
      <c r="AS13" s="104"/>
      <c r="AT13" s="104"/>
      <c r="AU13" s="104"/>
      <c r="AV13" s="104"/>
      <c r="AW13" s="91"/>
      <c r="AX13" s="104"/>
      <c r="AY13" s="104"/>
      <c r="AZ13" s="104"/>
      <c r="BA13" s="104"/>
      <c r="BB13" s="91"/>
      <c r="BC13" s="104"/>
      <c r="BD13" s="104"/>
      <c r="BE13" s="104"/>
      <c r="BF13" s="104"/>
      <c r="BG13" s="91"/>
      <c r="BH13" s="104"/>
      <c r="BI13" s="104"/>
      <c r="BJ13" s="104"/>
      <c r="BK13" s="104"/>
      <c r="BL13" s="91"/>
      <c r="BM13" s="104"/>
      <c r="BN13" s="104"/>
      <c r="BO13" s="104"/>
      <c r="BP13" s="104"/>
      <c r="BQ13" s="91"/>
      <c r="BR13" s="104"/>
      <c r="BS13" s="104"/>
      <c r="BT13" s="104"/>
      <c r="BU13" s="104"/>
      <c r="BV13" s="91"/>
      <c r="BW13" s="104"/>
      <c r="BX13" s="104"/>
      <c r="BY13" s="104"/>
      <c r="BZ13" s="104"/>
      <c r="CA13" s="91"/>
      <c r="CB13" s="104"/>
      <c r="CC13" s="104"/>
      <c r="CD13" s="104"/>
      <c r="CE13" s="104"/>
      <c r="CF13" s="91"/>
      <c r="CG13" s="104"/>
      <c r="CH13" s="104"/>
      <c r="CI13" s="104"/>
      <c r="CJ13" s="104"/>
      <c r="CK13" s="91"/>
      <c r="CL13" s="104"/>
      <c r="CM13" s="104"/>
      <c r="CN13" s="104"/>
      <c r="CO13" s="104"/>
      <c r="CP13" s="91"/>
      <c r="CQ13" s="104"/>
      <c r="CR13" s="104"/>
      <c r="CS13" s="104"/>
      <c r="CT13" s="104"/>
      <c r="CU13" s="91"/>
      <c r="CV13" s="104"/>
      <c r="CW13" s="104"/>
      <c r="CX13" s="104"/>
      <c r="CY13" s="104"/>
      <c r="CZ13" s="91"/>
      <c r="DA13" s="104"/>
      <c r="DB13" s="104"/>
      <c r="DC13" s="104"/>
      <c r="DD13" s="104"/>
      <c r="DE13" s="91"/>
      <c r="DF13" s="104"/>
      <c r="DG13" s="104"/>
      <c r="DH13" s="104"/>
      <c r="DI13" s="104"/>
      <c r="DJ13" s="91"/>
      <c r="DK13" s="104"/>
      <c r="DL13" s="104"/>
      <c r="DM13" s="104"/>
      <c r="DN13" s="104"/>
      <c r="DO13" s="91"/>
      <c r="DP13" s="104"/>
      <c r="DQ13" s="104"/>
      <c r="DR13" s="104"/>
      <c r="DS13" s="104"/>
      <c r="DT13" s="91"/>
      <c r="DU13" s="104"/>
      <c r="DV13" s="104"/>
      <c r="DW13" s="104"/>
      <c r="DX13" s="104"/>
      <c r="DY13" s="91"/>
      <c r="DZ13" s="104"/>
      <c r="EA13" s="104"/>
      <c r="EB13" s="104"/>
      <c r="EC13" s="104"/>
      <c r="ED13" s="91"/>
      <c r="EE13" s="104"/>
      <c r="EF13" s="104"/>
      <c r="EG13" s="104"/>
      <c r="EH13" s="104"/>
      <c r="EI13" s="91"/>
      <c r="EJ13" s="104"/>
      <c r="EK13" s="104"/>
      <c r="EL13" s="104"/>
      <c r="EM13" s="104"/>
      <c r="EN13" s="91"/>
      <c r="EO13" s="104"/>
      <c r="EP13" s="104"/>
      <c r="EQ13" s="104"/>
      <c r="ER13" s="104"/>
      <c r="ES13" s="91"/>
      <c r="ET13" s="104"/>
      <c r="EU13" s="104"/>
      <c r="EV13" s="104"/>
      <c r="EW13" s="104"/>
      <c r="EX13" s="91"/>
      <c r="EY13" s="104"/>
      <c r="EZ13" s="104"/>
      <c r="FA13" s="104"/>
      <c r="FB13" s="104"/>
      <c r="FC13" s="91"/>
      <c r="FD13" s="104"/>
      <c r="FE13" s="104"/>
      <c r="FF13" s="104"/>
      <c r="FG13" s="104"/>
      <c r="FH13" s="91"/>
      <c r="FI13" s="104"/>
      <c r="FJ13" s="104"/>
      <c r="FK13" s="104"/>
      <c r="FL13" s="104"/>
      <c r="FM13" s="104"/>
      <c r="FN13" s="104"/>
      <c r="FO13" s="104"/>
      <c r="FP13" s="104"/>
      <c r="FQ13" s="104"/>
      <c r="FR13" s="104"/>
      <c r="FS13" s="104"/>
      <c r="FT13" s="104"/>
      <c r="FU13" s="104"/>
      <c r="FV13" s="104"/>
      <c r="FW13" s="104"/>
      <c r="FX13" s="104"/>
      <c r="FY13" s="104"/>
      <c r="FZ13" s="104"/>
      <c r="GA13" s="104"/>
      <c r="GB13" s="104"/>
      <c r="GC13" s="104"/>
      <c r="GD13" s="104"/>
      <c r="GE13" s="104"/>
      <c r="GF13" s="104"/>
      <c r="GG13" s="104"/>
      <c r="GH13" s="104"/>
      <c r="GI13" s="104"/>
      <c r="GJ13" s="104"/>
      <c r="GK13" s="104"/>
      <c r="GL13" s="104"/>
      <c r="GM13" s="104"/>
      <c r="GN13" s="104"/>
      <c r="GO13" s="104"/>
      <c r="GP13" s="91"/>
      <c r="GQ13" s="104"/>
      <c r="GR13" s="104"/>
      <c r="GS13" s="104"/>
      <c r="GT13" s="104"/>
      <c r="GU13" s="91"/>
      <c r="GV13" s="104"/>
      <c r="GW13" s="104"/>
      <c r="GX13" s="104"/>
      <c r="GY13" s="104"/>
      <c r="GZ13" s="91"/>
      <c r="HA13" s="104"/>
      <c r="HB13" s="104"/>
      <c r="HC13" s="104"/>
      <c r="HD13" s="104"/>
      <c r="HE13" s="91"/>
      <c r="HF13" s="104"/>
      <c r="HG13" s="104"/>
      <c r="HH13" s="104"/>
      <c r="HI13" s="104"/>
      <c r="HJ13" s="91"/>
      <c r="HK13" s="104"/>
      <c r="HL13" s="104"/>
      <c r="HM13" s="104"/>
      <c r="HN13" s="104"/>
      <c r="HO13" s="91"/>
      <c r="HP13" s="104"/>
      <c r="HQ13" s="104"/>
      <c r="HR13" s="104"/>
      <c r="HS13" s="104"/>
      <c r="HT13" s="91"/>
      <c r="HU13" s="104"/>
      <c r="HV13" s="104"/>
      <c r="HW13" s="104"/>
      <c r="HX13" s="104"/>
      <c r="HY13" s="91"/>
      <c r="HZ13" s="104"/>
      <c r="IA13" s="104"/>
      <c r="IB13" s="104"/>
      <c r="IC13" s="104"/>
      <c r="ID13" s="91"/>
      <c r="IE13" s="104"/>
      <c r="IF13" s="104"/>
      <c r="IG13" s="104"/>
      <c r="IH13" s="104"/>
      <c r="II13" s="91"/>
      <c r="IJ13" s="104"/>
      <c r="IK13" s="104"/>
      <c r="IL13" s="104"/>
      <c r="IM13" s="104"/>
      <c r="IN13" s="91"/>
      <c r="IO13" s="104"/>
      <c r="IP13" s="104"/>
      <c r="IQ13" s="104"/>
      <c r="IR13" s="104"/>
      <c r="IS13" s="91"/>
      <c r="IT13" s="104"/>
      <c r="IU13" s="104"/>
      <c r="IV13" s="104"/>
      <c r="IW13" s="104"/>
      <c r="IX13" s="91"/>
      <c r="IY13" s="104"/>
      <c r="IZ13" s="104"/>
      <c r="JA13" s="104"/>
      <c r="JB13" s="104"/>
      <c r="JC13" s="91"/>
      <c r="JD13" s="104"/>
      <c r="JE13" s="104"/>
      <c r="JF13" s="104"/>
      <c r="JG13" s="105"/>
      <c r="JH13" s="91"/>
      <c r="JI13" s="106"/>
      <c r="JJ13" s="104"/>
      <c r="JK13" s="104"/>
      <c r="JL13" s="105"/>
      <c r="JM13" s="95"/>
      <c r="JN13" s="107"/>
      <c r="JO13" s="79"/>
      <c r="JP13" s="106"/>
      <c r="JQ13" s="104"/>
      <c r="JR13" s="104"/>
      <c r="JS13" s="104"/>
      <c r="JT13" s="104"/>
      <c r="JU13" s="104"/>
      <c r="JV13" s="104"/>
      <c r="JW13" s="104"/>
      <c r="JX13" s="104"/>
      <c r="JY13" s="104"/>
      <c r="JZ13" s="104"/>
      <c r="KA13" s="104"/>
      <c r="KB13" s="104"/>
      <c r="KC13" s="104"/>
      <c r="KD13" s="104"/>
      <c r="KE13" s="104"/>
      <c r="KF13" s="104"/>
      <c r="KG13" s="104"/>
      <c r="KH13" s="104"/>
      <c r="KI13" s="104"/>
      <c r="KJ13" s="104"/>
      <c r="KK13" s="104"/>
      <c r="KL13" s="104"/>
      <c r="KM13" s="104"/>
      <c r="KN13" s="104"/>
      <c r="KO13" s="104"/>
      <c r="KP13" s="104"/>
      <c r="KQ13" s="104"/>
      <c r="KR13" s="104"/>
      <c r="KS13" s="104"/>
      <c r="KT13" s="104"/>
      <c r="KU13" s="104"/>
      <c r="KV13" s="104"/>
      <c r="KW13" s="104"/>
      <c r="KX13" s="104"/>
      <c r="KY13" s="104"/>
      <c r="KZ13" s="104"/>
      <c r="LA13" s="104"/>
      <c r="LB13" s="104"/>
      <c r="LC13" s="104"/>
      <c r="LD13" s="104"/>
      <c r="LE13" s="104"/>
      <c r="LF13" s="104"/>
      <c r="LG13" s="104"/>
      <c r="LH13" s="104"/>
      <c r="LI13" s="104"/>
      <c r="LJ13" s="104"/>
      <c r="LK13" s="104"/>
      <c r="LL13" s="104"/>
      <c r="LM13" s="104"/>
      <c r="LN13" s="104"/>
      <c r="LO13" s="104"/>
      <c r="LP13" s="104"/>
      <c r="LQ13" s="104"/>
      <c r="LR13" s="104"/>
      <c r="LS13" s="104"/>
      <c r="LT13" s="104"/>
      <c r="LU13" s="104"/>
      <c r="LV13" s="104"/>
      <c r="LW13" s="104"/>
      <c r="LX13" s="104"/>
      <c r="LY13" s="104"/>
      <c r="LZ13" s="104"/>
      <c r="MA13" s="104"/>
      <c r="MB13" s="104"/>
      <c r="MC13" s="104"/>
      <c r="MD13" s="103"/>
      <c r="ME13" s="103"/>
      <c r="MF13" s="103"/>
      <c r="MG13" s="103"/>
      <c r="MH13" s="103"/>
      <c r="MI13" s="103"/>
      <c r="MJ13" s="103"/>
      <c r="MK13" s="103"/>
      <c r="ML13" s="103"/>
      <c r="MM13" s="103"/>
      <c r="MN13" s="103"/>
      <c r="MO13" s="103"/>
      <c r="MP13" s="103"/>
      <c r="MQ13" s="103"/>
      <c r="MR13" s="103"/>
      <c r="MS13" s="103"/>
      <c r="MT13" s="103"/>
      <c r="MU13" s="103"/>
      <c r="MV13" s="103"/>
      <c r="MW13" s="103"/>
      <c r="MX13" s="103"/>
      <c r="MY13" s="103"/>
      <c r="MZ13" s="103"/>
      <c r="NA13" s="103"/>
      <c r="NB13" s="103"/>
      <c r="NC13" s="103"/>
      <c r="ND13" s="103"/>
      <c r="NE13" s="103"/>
      <c r="NF13" s="103"/>
      <c r="NG13" s="103"/>
      <c r="NH13" s="103"/>
      <c r="NI13" s="103"/>
      <c r="NJ13" s="103"/>
      <c r="NK13" s="103"/>
      <c r="NL13" s="103"/>
      <c r="NM13" s="103"/>
      <c r="NN13" s="103"/>
      <c r="NO13" s="103"/>
      <c r="NP13" s="103"/>
      <c r="NQ13" s="103"/>
      <c r="NR13" s="103"/>
      <c r="NS13" s="103"/>
      <c r="NT13" s="103"/>
      <c r="NU13" s="103"/>
      <c r="NV13" s="103"/>
      <c r="NW13" s="103"/>
      <c r="NX13" s="103"/>
      <c r="NY13" s="104"/>
      <c r="NZ13" s="104"/>
    </row>
    <row r="14" spans="1:390" ht="15.75" customHeight="1" x14ac:dyDescent="0.3">
      <c r="A14" s="214">
        <v>6311634686</v>
      </c>
      <c r="B14" s="165" t="s">
        <v>391</v>
      </c>
      <c r="C14" s="215"/>
      <c r="D14" s="216" t="s">
        <v>391</v>
      </c>
      <c r="E14" s="136" t="s">
        <v>619</v>
      </c>
      <c r="F14" s="125" t="s">
        <v>421</v>
      </c>
      <c r="G14" s="221" t="s">
        <v>501</v>
      </c>
      <c r="H14" s="219">
        <v>43244</v>
      </c>
      <c r="I14" s="216" t="s">
        <v>458</v>
      </c>
      <c r="J14" s="153" t="s">
        <v>397</v>
      </c>
      <c r="K14" s="153" t="s">
        <v>398</v>
      </c>
      <c r="L14" s="153" t="s">
        <v>398</v>
      </c>
      <c r="M14" s="164" t="s">
        <v>398</v>
      </c>
      <c r="N14" s="164" t="s">
        <v>398</v>
      </c>
      <c r="O14" s="164" t="s">
        <v>398</v>
      </c>
      <c r="P14" s="164" t="s">
        <v>398</v>
      </c>
      <c r="Q14" s="164" t="s">
        <v>398</v>
      </c>
      <c r="R14" s="164" t="s">
        <v>398</v>
      </c>
      <c r="S14" s="164" t="s">
        <v>398</v>
      </c>
      <c r="T14" s="164" t="s">
        <v>398</v>
      </c>
      <c r="U14" s="164" t="s">
        <v>398</v>
      </c>
      <c r="V14" s="164" t="s">
        <v>398</v>
      </c>
      <c r="W14" s="164" t="s">
        <v>398</v>
      </c>
      <c r="X14" s="164" t="s">
        <v>398</v>
      </c>
      <c r="Y14" s="164" t="s">
        <v>398</v>
      </c>
      <c r="Z14" s="164" t="s">
        <v>398</v>
      </c>
      <c r="AA14" s="164" t="s">
        <v>398</v>
      </c>
      <c r="AB14" s="167" t="s">
        <v>399</v>
      </c>
      <c r="AC14" s="219">
        <v>19906</v>
      </c>
      <c r="AD14" s="107"/>
      <c r="AE14" s="108" t="e">
        <f t="shared" si="0"/>
        <v>#NUM!</v>
      </c>
      <c r="AF14" s="107" t="s">
        <v>602</v>
      </c>
      <c r="AG14" s="79" t="s">
        <v>401</v>
      </c>
      <c r="AH14" s="87" t="s">
        <v>402</v>
      </c>
      <c r="AI14" s="110"/>
      <c r="AJ14" s="110"/>
      <c r="AK14" s="110"/>
      <c r="AL14" s="110"/>
      <c r="AM14" s="105"/>
      <c r="AN14" s="95">
        <v>2</v>
      </c>
      <c r="AO14" s="173" t="s">
        <v>398</v>
      </c>
      <c r="AP14" s="79"/>
      <c r="AQ14" s="106"/>
      <c r="AR14" s="91"/>
      <c r="AS14" s="104"/>
      <c r="AT14" s="104"/>
      <c r="AU14" s="104"/>
      <c r="AV14" s="104"/>
      <c r="AW14" s="91"/>
      <c r="AX14" s="104"/>
      <c r="AY14" s="104"/>
      <c r="AZ14" s="104"/>
      <c r="BA14" s="104"/>
      <c r="BB14" s="91"/>
      <c r="BC14" s="104"/>
      <c r="BD14" s="104"/>
      <c r="BE14" s="104"/>
      <c r="BF14" s="104"/>
      <c r="BG14" s="91"/>
      <c r="BH14" s="104"/>
      <c r="BI14" s="104"/>
      <c r="BJ14" s="104"/>
      <c r="BK14" s="104"/>
      <c r="BL14" s="91"/>
      <c r="BM14" s="104"/>
      <c r="BN14" s="104"/>
      <c r="BO14" s="104"/>
      <c r="BP14" s="104"/>
      <c r="BQ14" s="91"/>
      <c r="BR14" s="104"/>
      <c r="BS14" s="104"/>
      <c r="BT14" s="104"/>
      <c r="BU14" s="104"/>
      <c r="BV14" s="91"/>
      <c r="BW14" s="104"/>
      <c r="BX14" s="104"/>
      <c r="BY14" s="104"/>
      <c r="BZ14" s="104"/>
      <c r="CA14" s="91"/>
      <c r="CB14" s="104"/>
      <c r="CC14" s="104"/>
      <c r="CD14" s="104"/>
      <c r="CE14" s="104"/>
      <c r="CF14" s="91"/>
      <c r="CG14" s="104"/>
      <c r="CH14" s="104"/>
      <c r="CI14" s="104"/>
      <c r="CJ14" s="104"/>
      <c r="CK14" s="91"/>
      <c r="CL14" s="104"/>
      <c r="CM14" s="104"/>
      <c r="CN14" s="104"/>
      <c r="CO14" s="104"/>
      <c r="CP14" s="91"/>
      <c r="CQ14" s="104"/>
      <c r="CR14" s="104"/>
      <c r="CS14" s="104"/>
      <c r="CT14" s="104"/>
      <c r="CU14" s="91"/>
      <c r="CV14" s="104"/>
      <c r="CW14" s="104"/>
      <c r="CX14" s="104"/>
      <c r="CY14" s="104"/>
      <c r="CZ14" s="91"/>
      <c r="DA14" s="104"/>
      <c r="DB14" s="104"/>
      <c r="DC14" s="104"/>
      <c r="DD14" s="104"/>
      <c r="DE14" s="91"/>
      <c r="DF14" s="104"/>
      <c r="DG14" s="104"/>
      <c r="DH14" s="104"/>
      <c r="DI14" s="104"/>
      <c r="DJ14" s="91"/>
      <c r="DK14" s="104"/>
      <c r="DL14" s="104"/>
      <c r="DM14" s="104"/>
      <c r="DN14" s="104"/>
      <c r="DO14" s="91"/>
      <c r="DP14" s="104"/>
      <c r="DQ14" s="104"/>
      <c r="DR14" s="104"/>
      <c r="DS14" s="104"/>
      <c r="DT14" s="91"/>
      <c r="DU14" s="104"/>
      <c r="DV14" s="104"/>
      <c r="DW14" s="104"/>
      <c r="DX14" s="104"/>
      <c r="DY14" s="91"/>
      <c r="DZ14" s="104"/>
      <c r="EA14" s="104"/>
      <c r="EB14" s="104"/>
      <c r="EC14" s="104"/>
      <c r="ED14" s="91"/>
      <c r="EE14" s="104"/>
      <c r="EF14" s="104"/>
      <c r="EG14" s="104"/>
      <c r="EH14" s="104"/>
      <c r="EI14" s="91"/>
      <c r="EJ14" s="104"/>
      <c r="EK14" s="104"/>
      <c r="EL14" s="104"/>
      <c r="EM14" s="104"/>
      <c r="EN14" s="91"/>
      <c r="EO14" s="104"/>
      <c r="EP14" s="104"/>
      <c r="EQ14" s="104"/>
      <c r="ER14" s="104"/>
      <c r="ES14" s="91"/>
      <c r="ET14" s="104"/>
      <c r="EU14" s="104"/>
      <c r="EV14" s="104"/>
      <c r="EW14" s="104"/>
      <c r="EX14" s="91"/>
      <c r="EY14" s="104"/>
      <c r="EZ14" s="104"/>
      <c r="FA14" s="104"/>
      <c r="FB14" s="104"/>
      <c r="FC14" s="91"/>
      <c r="FD14" s="104"/>
      <c r="FE14" s="104"/>
      <c r="FF14" s="104"/>
      <c r="FG14" s="104"/>
      <c r="FH14" s="91"/>
      <c r="FI14" s="104"/>
      <c r="FJ14" s="104"/>
      <c r="FK14" s="104"/>
      <c r="FL14" s="104"/>
      <c r="FM14" s="104"/>
      <c r="FN14" s="104"/>
      <c r="FO14" s="104"/>
      <c r="FP14" s="104"/>
      <c r="FQ14" s="104"/>
      <c r="FR14" s="104"/>
      <c r="FS14" s="104"/>
      <c r="FT14" s="104"/>
      <c r="FU14" s="104"/>
      <c r="FV14" s="104"/>
      <c r="FW14" s="104"/>
      <c r="FX14" s="104"/>
      <c r="FY14" s="104"/>
      <c r="FZ14" s="104"/>
      <c r="GA14" s="104"/>
      <c r="GB14" s="104"/>
      <c r="GC14" s="104"/>
      <c r="GD14" s="104"/>
      <c r="GE14" s="104"/>
      <c r="GF14" s="104"/>
      <c r="GG14" s="104"/>
      <c r="GH14" s="104"/>
      <c r="GI14" s="104"/>
      <c r="GJ14" s="104"/>
      <c r="GK14" s="104"/>
      <c r="GL14" s="104"/>
      <c r="GM14" s="104"/>
      <c r="GN14" s="104"/>
      <c r="GO14" s="104"/>
      <c r="GP14" s="91"/>
      <c r="GQ14" s="104"/>
      <c r="GR14" s="104"/>
      <c r="GS14" s="104"/>
      <c r="GT14" s="104"/>
      <c r="GU14" s="91"/>
      <c r="GV14" s="104"/>
      <c r="GW14" s="104"/>
      <c r="GX14" s="104"/>
      <c r="GY14" s="104"/>
      <c r="GZ14" s="91"/>
      <c r="HA14" s="104"/>
      <c r="HB14" s="104"/>
      <c r="HC14" s="104"/>
      <c r="HD14" s="104"/>
      <c r="HE14" s="91"/>
      <c r="HF14" s="104"/>
      <c r="HG14" s="104"/>
      <c r="HH14" s="104"/>
      <c r="HI14" s="104"/>
      <c r="HJ14" s="91"/>
      <c r="HK14" s="104"/>
      <c r="HL14" s="104"/>
      <c r="HM14" s="104"/>
      <c r="HN14" s="104"/>
      <c r="HO14" s="91"/>
      <c r="HP14" s="104"/>
      <c r="HQ14" s="104"/>
      <c r="HR14" s="104"/>
      <c r="HS14" s="104"/>
      <c r="HT14" s="91"/>
      <c r="HU14" s="104"/>
      <c r="HV14" s="104"/>
      <c r="HW14" s="104"/>
      <c r="HX14" s="104"/>
      <c r="HY14" s="91"/>
      <c r="HZ14" s="104"/>
      <c r="IA14" s="104"/>
      <c r="IB14" s="104"/>
      <c r="IC14" s="104"/>
      <c r="ID14" s="91"/>
      <c r="IE14" s="104"/>
      <c r="IF14" s="104"/>
      <c r="IG14" s="104"/>
      <c r="IH14" s="104"/>
      <c r="II14" s="91"/>
      <c r="IJ14" s="104"/>
      <c r="IK14" s="104"/>
      <c r="IL14" s="104"/>
      <c r="IM14" s="104"/>
      <c r="IN14" s="91"/>
      <c r="IO14" s="104"/>
      <c r="IP14" s="104"/>
      <c r="IQ14" s="104"/>
      <c r="IR14" s="104"/>
      <c r="IS14" s="91"/>
      <c r="IT14" s="104"/>
      <c r="IU14" s="104"/>
      <c r="IV14" s="104"/>
      <c r="IW14" s="104"/>
      <c r="IX14" s="91"/>
      <c r="IY14" s="104"/>
      <c r="IZ14" s="104"/>
      <c r="JA14" s="104"/>
      <c r="JB14" s="104"/>
      <c r="JC14" s="91"/>
      <c r="JD14" s="104"/>
      <c r="JE14" s="104"/>
      <c r="JF14" s="104"/>
      <c r="JG14" s="105"/>
      <c r="JH14" s="91"/>
      <c r="JI14" s="106"/>
      <c r="JJ14" s="104"/>
      <c r="JK14" s="104"/>
      <c r="JL14" s="105"/>
      <c r="JM14" s="95"/>
      <c r="JN14" s="107"/>
      <c r="JO14" s="79"/>
      <c r="JP14" s="106"/>
      <c r="JQ14" s="104"/>
      <c r="JR14" s="104"/>
      <c r="JS14" s="104"/>
      <c r="JT14" s="104"/>
      <c r="JU14" s="104"/>
      <c r="JV14" s="104"/>
      <c r="JW14" s="104"/>
      <c r="JX14" s="104"/>
      <c r="JY14" s="104"/>
      <c r="JZ14" s="104"/>
      <c r="KA14" s="104"/>
      <c r="KB14" s="104"/>
      <c r="KC14" s="104"/>
      <c r="KD14" s="104"/>
      <c r="KE14" s="104"/>
      <c r="KF14" s="104"/>
      <c r="KG14" s="104"/>
      <c r="KH14" s="104"/>
      <c r="KI14" s="104"/>
      <c r="KJ14" s="104"/>
      <c r="KK14" s="104"/>
      <c r="KL14" s="104"/>
      <c r="KM14" s="104"/>
      <c r="KN14" s="104"/>
      <c r="KO14" s="104"/>
      <c r="KP14" s="104"/>
      <c r="KQ14" s="104"/>
      <c r="KR14" s="104"/>
      <c r="KS14" s="104"/>
      <c r="KT14" s="104"/>
      <c r="KU14" s="104"/>
      <c r="KV14" s="104"/>
      <c r="KW14" s="104"/>
      <c r="KX14" s="104"/>
      <c r="KY14" s="104"/>
      <c r="KZ14" s="104"/>
      <c r="LA14" s="104"/>
      <c r="LB14" s="104"/>
      <c r="LC14" s="104"/>
      <c r="LD14" s="104"/>
      <c r="LE14" s="104"/>
      <c r="LF14" s="104"/>
      <c r="LG14" s="104"/>
      <c r="LH14" s="104"/>
      <c r="LI14" s="104"/>
      <c r="LJ14" s="104"/>
      <c r="LK14" s="104"/>
      <c r="LL14" s="104"/>
      <c r="LM14" s="104"/>
      <c r="LN14" s="104"/>
      <c r="LO14" s="104"/>
      <c r="LP14" s="104"/>
      <c r="LQ14" s="104"/>
      <c r="LR14" s="104"/>
      <c r="LS14" s="104"/>
      <c r="LT14" s="104"/>
      <c r="LU14" s="104"/>
      <c r="LV14" s="104"/>
      <c r="LW14" s="104"/>
      <c r="LX14" s="104"/>
      <c r="LY14" s="104"/>
      <c r="LZ14" s="104"/>
      <c r="MA14" s="104"/>
      <c r="MB14" s="104"/>
      <c r="MC14" s="104"/>
      <c r="MD14" s="104"/>
      <c r="ME14" s="104"/>
      <c r="MF14" s="104"/>
      <c r="MG14" s="104"/>
      <c r="MH14" s="104"/>
      <c r="MI14" s="104"/>
      <c r="MJ14" s="104"/>
      <c r="MK14" s="104"/>
      <c r="ML14" s="104"/>
      <c r="MM14" s="104"/>
      <c r="MN14" s="104"/>
      <c r="MO14" s="104"/>
      <c r="MP14" s="104"/>
      <c r="MQ14" s="104"/>
      <c r="MR14" s="104"/>
      <c r="MS14" s="104"/>
      <c r="MT14" s="104"/>
      <c r="MU14" s="104"/>
      <c r="MV14" s="104"/>
      <c r="MW14" s="104"/>
      <c r="MX14" s="104"/>
      <c r="MY14" s="104"/>
      <c r="MZ14" s="104"/>
      <c r="NA14" s="104"/>
      <c r="NB14" s="104"/>
      <c r="NC14" s="104"/>
      <c r="ND14" s="104"/>
      <c r="NE14" s="104"/>
      <c r="NF14" s="104"/>
      <c r="NG14" s="104"/>
      <c r="NH14" s="104"/>
      <c r="NI14" s="104"/>
      <c r="NJ14" s="104"/>
      <c r="NK14" s="104"/>
      <c r="NL14" s="104"/>
      <c r="NM14" s="104"/>
      <c r="NN14" s="104"/>
      <c r="NO14" s="104"/>
      <c r="NP14" s="104"/>
      <c r="NQ14" s="104"/>
      <c r="NR14" s="104"/>
      <c r="NS14" s="104"/>
      <c r="NT14" s="104"/>
      <c r="NU14" s="104"/>
      <c r="NV14" s="104"/>
      <c r="NW14" s="104"/>
      <c r="NX14" s="104"/>
      <c r="NY14" s="104"/>
      <c r="NZ14" s="104"/>
    </row>
    <row r="15" spans="1:390" ht="15.75" customHeight="1" x14ac:dyDescent="0.3">
      <c r="A15" s="214">
        <v>4381431065</v>
      </c>
      <c r="B15" s="165" t="s">
        <v>391</v>
      </c>
      <c r="C15" s="215"/>
      <c r="D15" s="216" t="s">
        <v>391</v>
      </c>
      <c r="E15" s="136" t="s">
        <v>620</v>
      </c>
      <c r="F15" s="125" t="s">
        <v>422</v>
      </c>
      <c r="G15" s="221" t="s">
        <v>501</v>
      </c>
      <c r="H15" s="219">
        <v>43245</v>
      </c>
      <c r="I15" s="216" t="s">
        <v>513</v>
      </c>
      <c r="J15" s="153" t="s">
        <v>397</v>
      </c>
      <c r="K15" s="153" t="s">
        <v>398</v>
      </c>
      <c r="L15" s="153" t="s">
        <v>398</v>
      </c>
      <c r="M15" s="164" t="s">
        <v>398</v>
      </c>
      <c r="N15" s="164" t="s">
        <v>398</v>
      </c>
      <c r="O15" s="164" t="s">
        <v>398</v>
      </c>
      <c r="P15" s="164" t="s">
        <v>398</v>
      </c>
      <c r="Q15" s="164" t="s">
        <v>398</v>
      </c>
      <c r="R15" s="164" t="s">
        <v>398</v>
      </c>
      <c r="S15" s="164" t="s">
        <v>398</v>
      </c>
      <c r="T15" s="164" t="s">
        <v>398</v>
      </c>
      <c r="U15" s="164" t="s">
        <v>398</v>
      </c>
      <c r="V15" s="164" t="s">
        <v>398</v>
      </c>
      <c r="W15" s="164" t="s">
        <v>398</v>
      </c>
      <c r="X15" s="164" t="s">
        <v>398</v>
      </c>
      <c r="Y15" s="164" t="s">
        <v>398</v>
      </c>
      <c r="Z15" s="164" t="s">
        <v>398</v>
      </c>
      <c r="AA15" s="164" t="s">
        <v>398</v>
      </c>
      <c r="AB15" s="167" t="s">
        <v>399</v>
      </c>
      <c r="AC15" s="219">
        <v>16307</v>
      </c>
      <c r="AD15" s="107"/>
      <c r="AE15" s="108" t="e">
        <f t="shared" si="0"/>
        <v>#NUM!</v>
      </c>
      <c r="AF15" s="107" t="s">
        <v>621</v>
      </c>
      <c r="AG15" s="79" t="s">
        <v>401</v>
      </c>
      <c r="AH15" s="87" t="s">
        <v>391</v>
      </c>
      <c r="AI15" s="110"/>
      <c r="AJ15" s="110"/>
      <c r="AK15" s="110"/>
      <c r="AL15" s="110"/>
      <c r="AM15" s="105"/>
      <c r="AN15" s="95">
        <v>3</v>
      </c>
      <c r="AO15" s="173" t="s">
        <v>398</v>
      </c>
      <c r="AP15" s="79"/>
      <c r="AQ15" s="106"/>
      <c r="AR15" s="91"/>
      <c r="AS15" s="104"/>
      <c r="AT15" s="104"/>
      <c r="AU15" s="104"/>
      <c r="AV15" s="104"/>
      <c r="AW15" s="91"/>
      <c r="AX15" s="104"/>
      <c r="AY15" s="104"/>
      <c r="AZ15" s="104"/>
      <c r="BA15" s="104"/>
      <c r="BB15" s="91"/>
      <c r="BC15" s="104"/>
      <c r="BD15" s="104"/>
      <c r="BE15" s="104"/>
      <c r="BF15" s="104"/>
      <c r="BG15" s="91"/>
      <c r="BH15" s="104"/>
      <c r="BI15" s="104"/>
      <c r="BJ15" s="104"/>
      <c r="BK15" s="104"/>
      <c r="BL15" s="91"/>
      <c r="BM15" s="104"/>
      <c r="BN15" s="104"/>
      <c r="BO15" s="104"/>
      <c r="BP15" s="104"/>
      <c r="BQ15" s="91"/>
      <c r="BR15" s="104"/>
      <c r="BS15" s="104"/>
      <c r="BT15" s="104"/>
      <c r="BU15" s="104"/>
      <c r="BV15" s="91"/>
      <c r="BW15" s="104"/>
      <c r="BX15" s="104"/>
      <c r="BY15" s="104"/>
      <c r="BZ15" s="104"/>
      <c r="CA15" s="91"/>
      <c r="CB15" s="104"/>
      <c r="CC15" s="104"/>
      <c r="CD15" s="104"/>
      <c r="CE15" s="104"/>
      <c r="CF15" s="91"/>
      <c r="CG15" s="104"/>
      <c r="CH15" s="104"/>
      <c r="CI15" s="104"/>
      <c r="CJ15" s="104"/>
      <c r="CK15" s="91"/>
      <c r="CL15" s="104"/>
      <c r="CM15" s="104"/>
      <c r="CN15" s="104"/>
      <c r="CO15" s="104"/>
      <c r="CP15" s="91"/>
      <c r="CQ15" s="104"/>
      <c r="CR15" s="104"/>
      <c r="CS15" s="104"/>
      <c r="CT15" s="104"/>
      <c r="CU15" s="91"/>
      <c r="CV15" s="104"/>
      <c r="CW15" s="104"/>
      <c r="CX15" s="104"/>
      <c r="CY15" s="104"/>
      <c r="CZ15" s="91"/>
      <c r="DA15" s="104"/>
      <c r="DB15" s="104"/>
      <c r="DC15" s="104"/>
      <c r="DD15" s="104"/>
      <c r="DE15" s="91"/>
      <c r="DF15" s="104"/>
      <c r="DG15" s="104"/>
      <c r="DH15" s="104"/>
      <c r="DI15" s="104"/>
      <c r="DJ15" s="91"/>
      <c r="DK15" s="104"/>
      <c r="DL15" s="104"/>
      <c r="DM15" s="104"/>
      <c r="DN15" s="104"/>
      <c r="DO15" s="91"/>
      <c r="DP15" s="104"/>
      <c r="DQ15" s="104"/>
      <c r="DR15" s="104"/>
      <c r="DS15" s="104"/>
      <c r="DT15" s="91"/>
      <c r="DU15" s="104"/>
      <c r="DV15" s="104"/>
      <c r="DW15" s="104"/>
      <c r="DX15" s="104"/>
      <c r="DY15" s="91"/>
      <c r="DZ15" s="104"/>
      <c r="EA15" s="104"/>
      <c r="EB15" s="104"/>
      <c r="EC15" s="104"/>
      <c r="ED15" s="91"/>
      <c r="EE15" s="104"/>
      <c r="EF15" s="104"/>
      <c r="EG15" s="104"/>
      <c r="EH15" s="104"/>
      <c r="EI15" s="91"/>
      <c r="EJ15" s="104"/>
      <c r="EK15" s="104"/>
      <c r="EL15" s="104"/>
      <c r="EM15" s="104"/>
      <c r="EN15" s="91"/>
      <c r="EO15" s="104"/>
      <c r="EP15" s="104"/>
      <c r="EQ15" s="104"/>
      <c r="ER15" s="104"/>
      <c r="ES15" s="91"/>
      <c r="ET15" s="104"/>
      <c r="EU15" s="104"/>
      <c r="EV15" s="104"/>
      <c r="EW15" s="104"/>
      <c r="EX15" s="91"/>
      <c r="EY15" s="104"/>
      <c r="EZ15" s="104"/>
      <c r="FA15" s="104"/>
      <c r="FB15" s="104"/>
      <c r="FC15" s="91"/>
      <c r="FD15" s="104"/>
      <c r="FE15" s="104"/>
      <c r="FF15" s="104"/>
      <c r="FG15" s="104"/>
      <c r="FH15" s="91"/>
      <c r="FI15" s="104"/>
      <c r="FJ15" s="104"/>
      <c r="FK15" s="104"/>
      <c r="FL15" s="104"/>
      <c r="FM15" s="104"/>
      <c r="FN15" s="104"/>
      <c r="FO15" s="104"/>
      <c r="FP15" s="104"/>
      <c r="FQ15" s="104"/>
      <c r="FR15" s="104"/>
      <c r="FS15" s="104"/>
      <c r="FT15" s="104"/>
      <c r="FU15" s="104"/>
      <c r="FV15" s="104"/>
      <c r="FW15" s="104"/>
      <c r="FX15" s="104"/>
      <c r="FY15" s="104"/>
      <c r="FZ15" s="104"/>
      <c r="GA15" s="104"/>
      <c r="GB15" s="104"/>
      <c r="GC15" s="104"/>
      <c r="GD15" s="104"/>
      <c r="GE15" s="104"/>
      <c r="GF15" s="104"/>
      <c r="GG15" s="104"/>
      <c r="GH15" s="104"/>
      <c r="GI15" s="104"/>
      <c r="GJ15" s="104"/>
      <c r="GK15" s="104"/>
      <c r="GL15" s="104"/>
      <c r="GM15" s="104"/>
      <c r="GN15" s="104"/>
      <c r="GO15" s="104"/>
      <c r="GP15" s="91"/>
      <c r="GQ15" s="104"/>
      <c r="GR15" s="104"/>
      <c r="GS15" s="104"/>
      <c r="GT15" s="104"/>
      <c r="GU15" s="91"/>
      <c r="GV15" s="104"/>
      <c r="GW15" s="104"/>
      <c r="GX15" s="104"/>
      <c r="GY15" s="104"/>
      <c r="GZ15" s="91"/>
      <c r="HA15" s="104"/>
      <c r="HB15" s="104"/>
      <c r="HC15" s="104"/>
      <c r="HD15" s="104"/>
      <c r="HE15" s="91"/>
      <c r="HF15" s="104"/>
      <c r="HG15" s="104"/>
      <c r="HH15" s="104"/>
      <c r="HI15" s="104"/>
      <c r="HJ15" s="91"/>
      <c r="HK15" s="104"/>
      <c r="HL15" s="104"/>
      <c r="HM15" s="104"/>
      <c r="HN15" s="104"/>
      <c r="HO15" s="91"/>
      <c r="HP15" s="104"/>
      <c r="HQ15" s="104"/>
      <c r="HR15" s="104"/>
      <c r="HS15" s="104"/>
      <c r="HT15" s="91"/>
      <c r="HU15" s="104"/>
      <c r="HV15" s="104"/>
      <c r="HW15" s="104"/>
      <c r="HX15" s="104"/>
      <c r="HY15" s="91"/>
      <c r="HZ15" s="104"/>
      <c r="IA15" s="104"/>
      <c r="IB15" s="104"/>
      <c r="IC15" s="104"/>
      <c r="ID15" s="91"/>
      <c r="IE15" s="104"/>
      <c r="IF15" s="104"/>
      <c r="IG15" s="104"/>
      <c r="IH15" s="104"/>
      <c r="II15" s="91"/>
      <c r="IJ15" s="104"/>
      <c r="IK15" s="104"/>
      <c r="IL15" s="104"/>
      <c r="IM15" s="104"/>
      <c r="IN15" s="91"/>
      <c r="IO15" s="104"/>
      <c r="IP15" s="104"/>
      <c r="IQ15" s="104"/>
      <c r="IR15" s="104"/>
      <c r="IS15" s="91"/>
      <c r="IT15" s="104"/>
      <c r="IU15" s="104"/>
      <c r="IV15" s="104"/>
      <c r="IW15" s="104"/>
      <c r="IX15" s="91"/>
      <c r="IY15" s="104"/>
      <c r="IZ15" s="104"/>
      <c r="JA15" s="104"/>
      <c r="JB15" s="104"/>
      <c r="JC15" s="91"/>
      <c r="JD15" s="104"/>
      <c r="JE15" s="104"/>
      <c r="JF15" s="104"/>
      <c r="JG15" s="105"/>
      <c r="JH15" s="91"/>
      <c r="JI15" s="106"/>
      <c r="JJ15" s="104"/>
      <c r="JK15" s="104"/>
      <c r="JL15" s="105"/>
      <c r="JM15" s="95"/>
      <c r="JN15" s="107"/>
      <c r="JO15" s="79"/>
      <c r="JP15" s="106"/>
      <c r="JQ15" s="104"/>
      <c r="JR15" s="104"/>
      <c r="JS15" s="104"/>
      <c r="JT15" s="104"/>
      <c r="JU15" s="104"/>
      <c r="JV15" s="104"/>
      <c r="JW15" s="104"/>
      <c r="JX15" s="104"/>
      <c r="JY15" s="104"/>
      <c r="JZ15" s="104"/>
      <c r="KA15" s="104"/>
      <c r="KB15" s="104"/>
      <c r="KC15" s="104"/>
      <c r="KD15" s="104"/>
      <c r="KE15" s="104"/>
      <c r="KF15" s="104"/>
      <c r="KG15" s="104"/>
      <c r="KH15" s="104"/>
      <c r="KI15" s="104"/>
      <c r="KJ15" s="104"/>
      <c r="KK15" s="104"/>
      <c r="KL15" s="104"/>
      <c r="KM15" s="104"/>
      <c r="KN15" s="104"/>
      <c r="KO15" s="104"/>
      <c r="KP15" s="104"/>
      <c r="KQ15" s="104"/>
      <c r="KR15" s="104"/>
      <c r="KS15" s="104"/>
      <c r="KT15" s="104"/>
      <c r="KU15" s="104"/>
      <c r="KV15" s="104"/>
      <c r="KW15" s="104"/>
      <c r="KX15" s="104"/>
      <c r="KY15" s="104"/>
      <c r="KZ15" s="104"/>
      <c r="LA15" s="104"/>
      <c r="LB15" s="104"/>
      <c r="LC15" s="104"/>
      <c r="LD15" s="104"/>
      <c r="LE15" s="104"/>
      <c r="LF15" s="104"/>
      <c r="LG15" s="104"/>
      <c r="LH15" s="104"/>
      <c r="LI15" s="104"/>
      <c r="LJ15" s="104"/>
      <c r="LK15" s="104"/>
      <c r="LL15" s="104"/>
      <c r="LM15" s="104"/>
      <c r="LN15" s="104"/>
      <c r="LO15" s="104"/>
      <c r="LP15" s="104"/>
      <c r="LQ15" s="104"/>
      <c r="LR15" s="104"/>
      <c r="LS15" s="104"/>
      <c r="LT15" s="104"/>
      <c r="LU15" s="104"/>
      <c r="LV15" s="104"/>
      <c r="LW15" s="104"/>
      <c r="LX15" s="104"/>
      <c r="LY15" s="104"/>
      <c r="LZ15" s="104"/>
      <c r="MA15" s="104"/>
      <c r="MB15" s="104"/>
      <c r="MC15" s="104"/>
      <c r="MD15" s="104"/>
      <c r="ME15" s="104"/>
      <c r="MF15" s="104"/>
      <c r="MG15" s="104"/>
      <c r="MH15" s="104"/>
      <c r="MI15" s="104"/>
      <c r="MJ15" s="104"/>
      <c r="MK15" s="104"/>
      <c r="ML15" s="104"/>
      <c r="MM15" s="104"/>
      <c r="MN15" s="104"/>
      <c r="MO15" s="104"/>
      <c r="MP15" s="104"/>
      <c r="MQ15" s="104"/>
      <c r="MR15" s="104"/>
      <c r="MS15" s="104"/>
      <c r="MT15" s="104"/>
      <c r="MU15" s="104"/>
      <c r="MV15" s="104"/>
      <c r="MW15" s="104"/>
      <c r="MX15" s="104"/>
      <c r="MY15" s="104"/>
      <c r="MZ15" s="104"/>
      <c r="NA15" s="104"/>
      <c r="NB15" s="104"/>
      <c r="NC15" s="104"/>
      <c r="ND15" s="104"/>
      <c r="NE15" s="104"/>
      <c r="NF15" s="104"/>
      <c r="NG15" s="104"/>
      <c r="NH15" s="104"/>
      <c r="NI15" s="104"/>
      <c r="NJ15" s="104"/>
      <c r="NK15" s="104"/>
      <c r="NL15" s="104"/>
      <c r="NM15" s="104"/>
      <c r="NN15" s="104"/>
      <c r="NO15" s="104"/>
      <c r="NP15" s="104"/>
      <c r="NQ15" s="104"/>
      <c r="NR15" s="104"/>
      <c r="NS15" s="104"/>
      <c r="NT15" s="104"/>
      <c r="NU15" s="104"/>
      <c r="NV15" s="104"/>
      <c r="NW15" s="104"/>
      <c r="NX15" s="104"/>
      <c r="NY15" s="104"/>
      <c r="NZ15" s="104"/>
    </row>
    <row r="16" spans="1:390" ht="15.75" customHeight="1" x14ac:dyDescent="0.3">
      <c r="A16" s="214">
        <v>4861939941</v>
      </c>
      <c r="B16" s="165" t="s">
        <v>391</v>
      </c>
      <c r="C16" s="215"/>
      <c r="D16" s="216" t="s">
        <v>391</v>
      </c>
      <c r="E16" s="136" t="s">
        <v>622</v>
      </c>
      <c r="F16" s="125" t="s">
        <v>417</v>
      </c>
      <c r="G16" s="221" t="s">
        <v>408</v>
      </c>
      <c r="H16" s="219">
        <v>43239</v>
      </c>
      <c r="I16" s="216" t="s">
        <v>458</v>
      </c>
      <c r="J16" s="153" t="s">
        <v>397</v>
      </c>
      <c r="K16" s="153" t="s">
        <v>398</v>
      </c>
      <c r="L16" s="153" t="s">
        <v>398</v>
      </c>
      <c r="M16" s="164" t="s">
        <v>398</v>
      </c>
      <c r="N16" s="164" t="s">
        <v>398</v>
      </c>
      <c r="O16" s="164" t="s">
        <v>398</v>
      </c>
      <c r="P16" s="164" t="s">
        <v>398</v>
      </c>
      <c r="Q16" s="164" t="s">
        <v>398</v>
      </c>
      <c r="R16" s="164" t="s">
        <v>398</v>
      </c>
      <c r="S16" s="164" t="s">
        <v>398</v>
      </c>
      <c r="T16" s="164" t="s">
        <v>398</v>
      </c>
      <c r="U16" s="164" t="s">
        <v>398</v>
      </c>
      <c r="V16" s="164" t="s">
        <v>398</v>
      </c>
      <c r="W16" s="164" t="s">
        <v>398</v>
      </c>
      <c r="X16" s="164" t="s">
        <v>398</v>
      </c>
      <c r="Y16" s="164" t="s">
        <v>398</v>
      </c>
      <c r="Z16" s="164" t="s">
        <v>398</v>
      </c>
      <c r="AA16" s="164" t="s">
        <v>398</v>
      </c>
      <c r="AB16" s="167" t="s">
        <v>399</v>
      </c>
      <c r="AC16" s="219">
        <v>22540</v>
      </c>
      <c r="AD16" s="107"/>
      <c r="AE16" s="108" t="e">
        <f t="shared" si="0"/>
        <v>#NUM!</v>
      </c>
      <c r="AF16" s="107" t="s">
        <v>623</v>
      </c>
      <c r="AG16" s="79" t="s">
        <v>401</v>
      </c>
      <c r="AH16" s="87" t="s">
        <v>402</v>
      </c>
      <c r="AI16" s="110"/>
      <c r="AJ16" s="110"/>
      <c r="AK16" s="110"/>
      <c r="AL16" s="110"/>
      <c r="AM16" s="105"/>
      <c r="AN16" s="95">
        <v>2</v>
      </c>
      <c r="AO16" s="173" t="s">
        <v>398</v>
      </c>
      <c r="AP16" s="79"/>
      <c r="AQ16" s="106"/>
      <c r="AR16" s="91"/>
      <c r="AS16" s="104"/>
      <c r="AT16" s="104"/>
      <c r="AU16" s="104"/>
      <c r="AV16" s="104"/>
      <c r="AW16" s="91"/>
      <c r="AX16" s="104"/>
      <c r="AY16" s="104"/>
      <c r="AZ16" s="104"/>
      <c r="BA16" s="104"/>
      <c r="BB16" s="91"/>
      <c r="BC16" s="104"/>
      <c r="BD16" s="104"/>
      <c r="BE16" s="104"/>
      <c r="BF16" s="104"/>
      <c r="BG16" s="91"/>
      <c r="BH16" s="104"/>
      <c r="BI16" s="104"/>
      <c r="BJ16" s="104"/>
      <c r="BK16" s="104"/>
      <c r="BL16" s="91"/>
      <c r="BM16" s="104"/>
      <c r="BN16" s="104"/>
      <c r="BO16" s="104"/>
      <c r="BP16" s="104"/>
      <c r="BQ16" s="91"/>
      <c r="BR16" s="104"/>
      <c r="BS16" s="104"/>
      <c r="BT16" s="104"/>
      <c r="BU16" s="104"/>
      <c r="BV16" s="91"/>
      <c r="BW16" s="104"/>
      <c r="BX16" s="104"/>
      <c r="BY16" s="104"/>
      <c r="BZ16" s="104"/>
      <c r="CA16" s="91"/>
      <c r="CB16" s="104"/>
      <c r="CC16" s="104"/>
      <c r="CD16" s="104"/>
      <c r="CE16" s="104"/>
      <c r="CF16" s="91"/>
      <c r="CG16" s="104"/>
      <c r="CH16" s="104"/>
      <c r="CI16" s="104"/>
      <c r="CJ16" s="104"/>
      <c r="CK16" s="91"/>
      <c r="CL16" s="104"/>
      <c r="CM16" s="104"/>
      <c r="CN16" s="104"/>
      <c r="CO16" s="104"/>
      <c r="CP16" s="91"/>
      <c r="CQ16" s="104"/>
      <c r="CR16" s="104"/>
      <c r="CS16" s="104"/>
      <c r="CT16" s="104"/>
      <c r="CU16" s="91"/>
      <c r="CV16" s="104"/>
      <c r="CW16" s="104"/>
      <c r="CX16" s="104"/>
      <c r="CY16" s="104"/>
      <c r="CZ16" s="91"/>
      <c r="DA16" s="104"/>
      <c r="DB16" s="104"/>
      <c r="DC16" s="104"/>
      <c r="DD16" s="104"/>
      <c r="DE16" s="91"/>
      <c r="DF16" s="104"/>
      <c r="DG16" s="104"/>
      <c r="DH16" s="104"/>
      <c r="DI16" s="104"/>
      <c r="DJ16" s="91"/>
      <c r="DK16" s="104"/>
      <c r="DL16" s="104"/>
      <c r="DM16" s="104"/>
      <c r="DN16" s="104"/>
      <c r="DO16" s="91"/>
      <c r="DP16" s="104"/>
      <c r="DQ16" s="104"/>
      <c r="DR16" s="104"/>
      <c r="DS16" s="104"/>
      <c r="DT16" s="91"/>
      <c r="DU16" s="104"/>
      <c r="DV16" s="104"/>
      <c r="DW16" s="104"/>
      <c r="DX16" s="104"/>
      <c r="DY16" s="91"/>
      <c r="DZ16" s="104"/>
      <c r="EA16" s="104"/>
      <c r="EB16" s="104"/>
      <c r="EC16" s="104"/>
      <c r="ED16" s="91"/>
      <c r="EE16" s="104"/>
      <c r="EF16" s="104"/>
      <c r="EG16" s="104"/>
      <c r="EH16" s="104"/>
      <c r="EI16" s="91"/>
      <c r="EJ16" s="104"/>
      <c r="EK16" s="104"/>
      <c r="EL16" s="104"/>
      <c r="EM16" s="104"/>
      <c r="EN16" s="91"/>
      <c r="EO16" s="104"/>
      <c r="EP16" s="104"/>
      <c r="EQ16" s="104"/>
      <c r="ER16" s="104"/>
      <c r="ES16" s="91"/>
      <c r="ET16" s="104"/>
      <c r="EU16" s="104"/>
      <c r="EV16" s="104"/>
      <c r="EW16" s="104"/>
      <c r="EX16" s="91"/>
      <c r="EY16" s="104"/>
      <c r="EZ16" s="104"/>
      <c r="FA16" s="104"/>
      <c r="FB16" s="104"/>
      <c r="FC16" s="91"/>
      <c r="FD16" s="104"/>
      <c r="FE16" s="104"/>
      <c r="FF16" s="104"/>
      <c r="FG16" s="104"/>
      <c r="FH16" s="91"/>
      <c r="FI16" s="104"/>
      <c r="FJ16" s="104"/>
      <c r="FK16" s="104"/>
      <c r="FL16" s="104"/>
      <c r="FM16" s="104"/>
      <c r="FN16" s="104"/>
      <c r="FO16" s="104"/>
      <c r="FP16" s="104"/>
      <c r="FQ16" s="104"/>
      <c r="FR16" s="104"/>
      <c r="FS16" s="104"/>
      <c r="FT16" s="104"/>
      <c r="FU16" s="104"/>
      <c r="FV16" s="104"/>
      <c r="FW16" s="104"/>
      <c r="FX16" s="104"/>
      <c r="FY16" s="104"/>
      <c r="FZ16" s="104"/>
      <c r="GA16" s="104"/>
      <c r="GB16" s="104"/>
      <c r="GC16" s="104"/>
      <c r="GD16" s="104"/>
      <c r="GE16" s="104"/>
      <c r="GF16" s="104"/>
      <c r="GG16" s="104"/>
      <c r="GH16" s="104"/>
      <c r="GI16" s="104"/>
      <c r="GJ16" s="104"/>
      <c r="GK16" s="104"/>
      <c r="GL16" s="104"/>
      <c r="GM16" s="104"/>
      <c r="GN16" s="104"/>
      <c r="GO16" s="104"/>
      <c r="GP16" s="91"/>
      <c r="GQ16" s="104"/>
      <c r="GR16" s="104"/>
      <c r="GS16" s="104"/>
      <c r="GT16" s="104"/>
      <c r="GU16" s="91"/>
      <c r="GV16" s="104"/>
      <c r="GW16" s="104"/>
      <c r="GX16" s="104"/>
      <c r="GY16" s="104"/>
      <c r="GZ16" s="91"/>
      <c r="HA16" s="104"/>
      <c r="HB16" s="104"/>
      <c r="HC16" s="104"/>
      <c r="HD16" s="104"/>
      <c r="HE16" s="91"/>
      <c r="HF16" s="104"/>
      <c r="HG16" s="104"/>
      <c r="HH16" s="104"/>
      <c r="HI16" s="104"/>
      <c r="HJ16" s="91"/>
      <c r="HK16" s="104"/>
      <c r="HL16" s="104"/>
      <c r="HM16" s="104"/>
      <c r="HN16" s="104"/>
      <c r="HO16" s="91"/>
      <c r="HP16" s="104"/>
      <c r="HQ16" s="104"/>
      <c r="HR16" s="104"/>
      <c r="HS16" s="104"/>
      <c r="HT16" s="91"/>
      <c r="HU16" s="104"/>
      <c r="HV16" s="104"/>
      <c r="HW16" s="104"/>
      <c r="HX16" s="104"/>
      <c r="HY16" s="91"/>
      <c r="HZ16" s="104"/>
      <c r="IA16" s="104"/>
      <c r="IB16" s="104"/>
      <c r="IC16" s="104"/>
      <c r="ID16" s="91"/>
      <c r="IE16" s="104"/>
      <c r="IF16" s="104"/>
      <c r="IG16" s="104"/>
      <c r="IH16" s="104"/>
      <c r="II16" s="91"/>
      <c r="IJ16" s="104"/>
      <c r="IK16" s="104"/>
      <c r="IL16" s="104"/>
      <c r="IM16" s="104"/>
      <c r="IN16" s="91"/>
      <c r="IO16" s="104"/>
      <c r="IP16" s="104"/>
      <c r="IQ16" s="104"/>
      <c r="IR16" s="104"/>
      <c r="IS16" s="91"/>
      <c r="IT16" s="104"/>
      <c r="IU16" s="104"/>
      <c r="IV16" s="104"/>
      <c r="IW16" s="104"/>
      <c r="IX16" s="91"/>
      <c r="IY16" s="104"/>
      <c r="IZ16" s="104"/>
      <c r="JA16" s="104"/>
      <c r="JB16" s="104"/>
      <c r="JC16" s="91"/>
      <c r="JD16" s="104"/>
      <c r="JE16" s="104"/>
      <c r="JF16" s="104"/>
      <c r="JG16" s="105"/>
      <c r="JH16" s="91"/>
      <c r="JI16" s="106"/>
      <c r="JJ16" s="104"/>
      <c r="JK16" s="104"/>
      <c r="JL16" s="105"/>
      <c r="JM16" s="95"/>
      <c r="JN16" s="107"/>
      <c r="JO16" s="79"/>
      <c r="JP16" s="106"/>
      <c r="JQ16" s="104"/>
      <c r="JR16" s="104"/>
      <c r="JS16" s="104"/>
      <c r="JT16" s="104"/>
      <c r="JU16" s="104"/>
      <c r="JV16" s="104"/>
      <c r="JW16" s="104"/>
      <c r="JX16" s="104"/>
      <c r="JY16" s="104"/>
      <c r="JZ16" s="104"/>
      <c r="KA16" s="104"/>
      <c r="KB16" s="104"/>
      <c r="KC16" s="104"/>
      <c r="KD16" s="104"/>
      <c r="KE16" s="104"/>
      <c r="KF16" s="104"/>
      <c r="KG16" s="104"/>
      <c r="KH16" s="104"/>
      <c r="KI16" s="104"/>
      <c r="KJ16" s="104"/>
      <c r="KK16" s="104"/>
      <c r="KL16" s="104"/>
      <c r="KM16" s="104"/>
      <c r="KN16" s="104"/>
      <c r="KO16" s="104"/>
      <c r="KP16" s="104"/>
      <c r="KQ16" s="104"/>
      <c r="KR16" s="104"/>
      <c r="KS16" s="104"/>
      <c r="KT16" s="104"/>
      <c r="KU16" s="104"/>
      <c r="KV16" s="104"/>
      <c r="KW16" s="104"/>
      <c r="KX16" s="104"/>
      <c r="KY16" s="104"/>
      <c r="KZ16" s="104"/>
      <c r="LA16" s="104"/>
      <c r="LB16" s="104"/>
      <c r="LC16" s="104"/>
      <c r="LD16" s="104"/>
      <c r="LE16" s="104"/>
      <c r="LF16" s="104"/>
      <c r="LG16" s="104"/>
      <c r="LH16" s="104"/>
      <c r="LI16" s="104"/>
      <c r="LJ16" s="104"/>
      <c r="LK16" s="104"/>
      <c r="LL16" s="104"/>
      <c r="LM16" s="104"/>
      <c r="LN16" s="104"/>
      <c r="LO16" s="104"/>
      <c r="LP16" s="104"/>
      <c r="LQ16" s="104"/>
      <c r="LR16" s="104"/>
      <c r="LS16" s="104"/>
      <c r="LT16" s="104"/>
      <c r="LU16" s="104"/>
      <c r="LV16" s="104"/>
      <c r="LW16" s="104"/>
      <c r="LX16" s="104"/>
      <c r="LY16" s="104"/>
      <c r="LZ16" s="104"/>
      <c r="MA16" s="104"/>
      <c r="MB16" s="104"/>
      <c r="MC16" s="104"/>
      <c r="MD16" s="104"/>
      <c r="ME16" s="104"/>
      <c r="MF16" s="104"/>
      <c r="MG16" s="104"/>
      <c r="MH16" s="104"/>
      <c r="MI16" s="104"/>
      <c r="MJ16" s="104"/>
      <c r="MK16" s="104"/>
      <c r="ML16" s="104"/>
      <c r="MM16" s="104"/>
      <c r="MN16" s="104"/>
      <c r="MO16" s="104"/>
      <c r="MP16" s="104"/>
      <c r="MQ16" s="104"/>
      <c r="MR16" s="104"/>
      <c r="MS16" s="104"/>
      <c r="MT16" s="104"/>
      <c r="MU16" s="104"/>
      <c r="MV16" s="104"/>
      <c r="MW16" s="104"/>
      <c r="MX16" s="104"/>
      <c r="MY16" s="104"/>
      <c r="MZ16" s="104"/>
      <c r="NA16" s="104"/>
      <c r="NB16" s="104"/>
      <c r="NC16" s="104"/>
      <c r="ND16" s="104"/>
      <c r="NE16" s="104"/>
      <c r="NF16" s="104"/>
      <c r="NG16" s="104"/>
      <c r="NH16" s="104"/>
      <c r="NI16" s="104"/>
      <c r="NJ16" s="104"/>
      <c r="NK16" s="104"/>
      <c r="NL16" s="104"/>
      <c r="NM16" s="104"/>
      <c r="NN16" s="104"/>
      <c r="NO16" s="104"/>
      <c r="NP16" s="104"/>
      <c r="NQ16" s="104"/>
      <c r="NR16" s="104"/>
      <c r="NS16" s="104"/>
      <c r="NT16" s="104"/>
      <c r="NU16" s="104"/>
      <c r="NV16" s="104"/>
      <c r="NW16" s="104"/>
      <c r="NX16" s="104"/>
      <c r="NY16" s="104"/>
      <c r="NZ16" s="104"/>
    </row>
    <row r="17" spans="1:390" ht="15.75" customHeight="1" x14ac:dyDescent="0.3">
      <c r="A17" s="214">
        <v>4506116437</v>
      </c>
      <c r="B17" s="165" t="s">
        <v>391</v>
      </c>
      <c r="C17" s="215"/>
      <c r="D17" s="216" t="s">
        <v>391</v>
      </c>
      <c r="E17" s="136" t="s">
        <v>624</v>
      </c>
      <c r="F17" s="125" t="s">
        <v>492</v>
      </c>
      <c r="G17" s="221" t="s">
        <v>421</v>
      </c>
      <c r="H17" s="219">
        <v>43262</v>
      </c>
      <c r="I17" s="216" t="s">
        <v>458</v>
      </c>
      <c r="J17" s="153" t="s">
        <v>397</v>
      </c>
      <c r="K17" s="153" t="s">
        <v>398</v>
      </c>
      <c r="L17" s="153" t="s">
        <v>398</v>
      </c>
      <c r="M17" s="164" t="s">
        <v>398</v>
      </c>
      <c r="N17" s="164" t="s">
        <v>398</v>
      </c>
      <c r="O17" s="164" t="s">
        <v>398</v>
      </c>
      <c r="P17" s="164" t="s">
        <v>398</v>
      </c>
      <c r="Q17" s="164" t="s">
        <v>398</v>
      </c>
      <c r="R17" s="164" t="s">
        <v>398</v>
      </c>
      <c r="S17" s="164" t="s">
        <v>398</v>
      </c>
      <c r="T17" s="164" t="s">
        <v>398</v>
      </c>
      <c r="U17" s="164" t="s">
        <v>398</v>
      </c>
      <c r="V17" s="164" t="s">
        <v>398</v>
      </c>
      <c r="W17" s="164" t="s">
        <v>398</v>
      </c>
      <c r="X17" s="164" t="s">
        <v>398</v>
      </c>
      <c r="Y17" s="164" t="s">
        <v>398</v>
      </c>
      <c r="Z17" s="164" t="s">
        <v>398</v>
      </c>
      <c r="AA17" s="164" t="s">
        <v>398</v>
      </c>
      <c r="AB17" s="167" t="s">
        <v>399</v>
      </c>
      <c r="AC17" s="219">
        <v>21088</v>
      </c>
      <c r="AD17" s="107"/>
      <c r="AE17" s="108" t="e">
        <f t="shared" si="0"/>
        <v>#NUM!</v>
      </c>
      <c r="AF17" s="107" t="s">
        <v>602</v>
      </c>
      <c r="AG17" s="79" t="s">
        <v>401</v>
      </c>
      <c r="AH17" s="87" t="s">
        <v>402</v>
      </c>
      <c r="AI17" s="110"/>
      <c r="AJ17" s="110"/>
      <c r="AK17" s="110"/>
      <c r="AL17" s="110"/>
      <c r="AM17" s="105"/>
      <c r="AN17" s="95">
        <v>1</v>
      </c>
      <c r="AO17" s="173" t="s">
        <v>398</v>
      </c>
      <c r="AP17" s="79"/>
      <c r="AQ17" s="106"/>
      <c r="AR17" s="91"/>
      <c r="AS17" s="104"/>
      <c r="AT17" s="104"/>
      <c r="AU17" s="104"/>
      <c r="AV17" s="104"/>
      <c r="AW17" s="91"/>
      <c r="AX17" s="104"/>
      <c r="AY17" s="104"/>
      <c r="AZ17" s="104"/>
      <c r="BA17" s="104"/>
      <c r="BB17" s="91"/>
      <c r="BC17" s="104"/>
      <c r="BD17" s="104"/>
      <c r="BE17" s="104"/>
      <c r="BF17" s="104"/>
      <c r="BG17" s="91"/>
      <c r="BH17" s="104"/>
      <c r="BI17" s="104"/>
      <c r="BJ17" s="104"/>
      <c r="BK17" s="104"/>
      <c r="BL17" s="91"/>
      <c r="BM17" s="104"/>
      <c r="BN17" s="104"/>
      <c r="BO17" s="104"/>
      <c r="BP17" s="104"/>
      <c r="BQ17" s="91"/>
      <c r="BR17" s="104"/>
      <c r="BS17" s="104"/>
      <c r="BT17" s="104"/>
      <c r="BU17" s="104"/>
      <c r="BV17" s="91"/>
      <c r="BW17" s="104"/>
      <c r="BX17" s="104"/>
      <c r="BY17" s="104"/>
      <c r="BZ17" s="104"/>
      <c r="CA17" s="91"/>
      <c r="CB17" s="104"/>
      <c r="CC17" s="104"/>
      <c r="CD17" s="104"/>
      <c r="CE17" s="104"/>
      <c r="CF17" s="91"/>
      <c r="CG17" s="104"/>
      <c r="CH17" s="104"/>
      <c r="CI17" s="104"/>
      <c r="CJ17" s="104"/>
      <c r="CK17" s="91"/>
      <c r="CL17" s="104"/>
      <c r="CM17" s="104"/>
      <c r="CN17" s="104"/>
      <c r="CO17" s="104"/>
      <c r="CP17" s="91"/>
      <c r="CQ17" s="104"/>
      <c r="CR17" s="104"/>
      <c r="CS17" s="104"/>
      <c r="CT17" s="104"/>
      <c r="CU17" s="91"/>
      <c r="CV17" s="104"/>
      <c r="CW17" s="104"/>
      <c r="CX17" s="104"/>
      <c r="CY17" s="104"/>
      <c r="CZ17" s="91"/>
      <c r="DA17" s="104"/>
      <c r="DB17" s="104"/>
      <c r="DC17" s="104"/>
      <c r="DD17" s="104"/>
      <c r="DE17" s="91"/>
      <c r="DF17" s="104"/>
      <c r="DG17" s="104"/>
      <c r="DH17" s="104"/>
      <c r="DI17" s="104"/>
      <c r="DJ17" s="91"/>
      <c r="DK17" s="104"/>
      <c r="DL17" s="104"/>
      <c r="DM17" s="104"/>
      <c r="DN17" s="104"/>
      <c r="DO17" s="91"/>
      <c r="DP17" s="104"/>
      <c r="DQ17" s="104"/>
      <c r="DR17" s="104"/>
      <c r="DS17" s="104"/>
      <c r="DT17" s="91"/>
      <c r="DU17" s="104"/>
      <c r="DV17" s="104"/>
      <c r="DW17" s="104"/>
      <c r="DX17" s="104"/>
      <c r="DY17" s="91"/>
      <c r="DZ17" s="104"/>
      <c r="EA17" s="104"/>
      <c r="EB17" s="104"/>
      <c r="EC17" s="104"/>
      <c r="ED17" s="91"/>
      <c r="EE17" s="104"/>
      <c r="EF17" s="104"/>
      <c r="EG17" s="104"/>
      <c r="EH17" s="104"/>
      <c r="EI17" s="91"/>
      <c r="EJ17" s="104"/>
      <c r="EK17" s="104"/>
      <c r="EL17" s="104"/>
      <c r="EM17" s="104"/>
      <c r="EN17" s="91"/>
      <c r="EO17" s="104"/>
      <c r="EP17" s="104"/>
      <c r="EQ17" s="104"/>
      <c r="ER17" s="104"/>
      <c r="ES17" s="91"/>
      <c r="ET17" s="104"/>
      <c r="EU17" s="104"/>
      <c r="EV17" s="104"/>
      <c r="EW17" s="104"/>
      <c r="EX17" s="91"/>
      <c r="EY17" s="104"/>
      <c r="EZ17" s="104"/>
      <c r="FA17" s="104"/>
      <c r="FB17" s="104"/>
      <c r="FC17" s="91"/>
      <c r="FD17" s="104"/>
      <c r="FE17" s="104"/>
      <c r="FF17" s="104"/>
      <c r="FG17" s="104"/>
      <c r="FH17" s="91"/>
      <c r="FI17" s="104"/>
      <c r="FJ17" s="104"/>
      <c r="FK17" s="104"/>
      <c r="FL17" s="104"/>
      <c r="FM17" s="104"/>
      <c r="FN17" s="104"/>
      <c r="FO17" s="104"/>
      <c r="FP17" s="104"/>
      <c r="FQ17" s="104"/>
      <c r="FR17" s="104"/>
      <c r="FS17" s="104"/>
      <c r="FT17" s="104"/>
      <c r="FU17" s="104"/>
      <c r="FV17" s="104"/>
      <c r="FW17" s="104"/>
      <c r="FX17" s="104"/>
      <c r="FY17" s="104"/>
      <c r="FZ17" s="104"/>
      <c r="GA17" s="104"/>
      <c r="GB17" s="104"/>
      <c r="GC17" s="104"/>
      <c r="GD17" s="104"/>
      <c r="GE17" s="104"/>
      <c r="GF17" s="104"/>
      <c r="GG17" s="104"/>
      <c r="GH17" s="104"/>
      <c r="GI17" s="104"/>
      <c r="GJ17" s="104"/>
      <c r="GK17" s="104"/>
      <c r="GL17" s="104"/>
      <c r="GM17" s="104"/>
      <c r="GN17" s="104"/>
      <c r="GO17" s="104"/>
      <c r="GP17" s="91"/>
      <c r="GQ17" s="104"/>
      <c r="GR17" s="104"/>
      <c r="GS17" s="104"/>
      <c r="GT17" s="104"/>
      <c r="GU17" s="91"/>
      <c r="GV17" s="104"/>
      <c r="GW17" s="104"/>
      <c r="GX17" s="104"/>
      <c r="GY17" s="104"/>
      <c r="GZ17" s="91"/>
      <c r="HA17" s="104"/>
      <c r="HB17" s="104"/>
      <c r="HC17" s="104"/>
      <c r="HD17" s="104"/>
      <c r="HE17" s="91"/>
      <c r="HF17" s="104"/>
      <c r="HG17" s="104"/>
      <c r="HH17" s="104"/>
      <c r="HI17" s="104"/>
      <c r="HJ17" s="91"/>
      <c r="HK17" s="104"/>
      <c r="HL17" s="104"/>
      <c r="HM17" s="104"/>
      <c r="HN17" s="104"/>
      <c r="HO17" s="91"/>
      <c r="HP17" s="104"/>
      <c r="HQ17" s="104"/>
      <c r="HR17" s="104"/>
      <c r="HS17" s="104"/>
      <c r="HT17" s="91"/>
      <c r="HU17" s="104"/>
      <c r="HV17" s="104"/>
      <c r="HW17" s="104"/>
      <c r="HX17" s="104"/>
      <c r="HY17" s="91"/>
      <c r="HZ17" s="104"/>
      <c r="IA17" s="104"/>
      <c r="IB17" s="104"/>
      <c r="IC17" s="104"/>
      <c r="ID17" s="91"/>
      <c r="IE17" s="104"/>
      <c r="IF17" s="104"/>
      <c r="IG17" s="104"/>
      <c r="IH17" s="104"/>
      <c r="II17" s="91"/>
      <c r="IJ17" s="104"/>
      <c r="IK17" s="104"/>
      <c r="IL17" s="104"/>
      <c r="IM17" s="104"/>
      <c r="IN17" s="91"/>
      <c r="IO17" s="104"/>
      <c r="IP17" s="104"/>
      <c r="IQ17" s="104"/>
      <c r="IR17" s="104"/>
      <c r="IS17" s="91"/>
      <c r="IT17" s="104"/>
      <c r="IU17" s="104"/>
      <c r="IV17" s="104"/>
      <c r="IW17" s="104"/>
      <c r="IX17" s="91"/>
      <c r="IY17" s="104"/>
      <c r="IZ17" s="104"/>
      <c r="JA17" s="104"/>
      <c r="JB17" s="104"/>
      <c r="JC17" s="91"/>
      <c r="JD17" s="104"/>
      <c r="JE17" s="104"/>
      <c r="JF17" s="104"/>
      <c r="JG17" s="105"/>
      <c r="JH17" s="91"/>
      <c r="JI17" s="106"/>
      <c r="JJ17" s="104"/>
      <c r="JK17" s="104"/>
      <c r="JL17" s="105"/>
      <c r="JM17" s="95"/>
      <c r="JN17" s="107"/>
      <c r="JO17" s="79"/>
      <c r="JP17" s="106"/>
      <c r="JQ17" s="104"/>
      <c r="JR17" s="104"/>
      <c r="JS17" s="104"/>
      <c r="JT17" s="104"/>
      <c r="JU17" s="104"/>
      <c r="JV17" s="104"/>
      <c r="JW17" s="104"/>
      <c r="JX17" s="104"/>
      <c r="JY17" s="104"/>
      <c r="JZ17" s="104"/>
      <c r="KA17" s="104"/>
      <c r="KB17" s="104"/>
      <c r="KC17" s="104"/>
      <c r="KD17" s="104"/>
      <c r="KE17" s="104"/>
      <c r="KF17" s="104"/>
      <c r="KG17" s="104"/>
      <c r="KH17" s="104"/>
      <c r="KI17" s="104"/>
      <c r="KJ17" s="104"/>
      <c r="KK17" s="104"/>
      <c r="KL17" s="104"/>
      <c r="KM17" s="104"/>
      <c r="KN17" s="104"/>
      <c r="KO17" s="104"/>
      <c r="KP17" s="104"/>
      <c r="KQ17" s="104"/>
      <c r="KR17" s="104"/>
      <c r="KS17" s="104"/>
      <c r="KT17" s="104"/>
      <c r="KU17" s="104"/>
      <c r="KV17" s="104"/>
      <c r="KW17" s="104"/>
      <c r="KX17" s="104"/>
      <c r="KY17" s="104"/>
      <c r="KZ17" s="104"/>
      <c r="LA17" s="104"/>
      <c r="LB17" s="104"/>
      <c r="LC17" s="104"/>
      <c r="LD17" s="104"/>
      <c r="LE17" s="104"/>
      <c r="LF17" s="104"/>
      <c r="LG17" s="104"/>
      <c r="LH17" s="104"/>
      <c r="LI17" s="104"/>
      <c r="LJ17" s="104"/>
      <c r="LK17" s="104"/>
      <c r="LL17" s="104"/>
      <c r="LM17" s="104"/>
      <c r="LN17" s="104"/>
      <c r="LO17" s="104"/>
      <c r="LP17" s="104"/>
      <c r="LQ17" s="104"/>
      <c r="LR17" s="104"/>
      <c r="LS17" s="104"/>
      <c r="LT17" s="104"/>
      <c r="LU17" s="104"/>
      <c r="LV17" s="104"/>
      <c r="LW17" s="104"/>
      <c r="LX17" s="104"/>
      <c r="LY17" s="104"/>
      <c r="LZ17" s="104"/>
      <c r="MA17" s="104"/>
      <c r="MB17" s="104"/>
      <c r="MC17" s="104"/>
      <c r="MD17" s="104"/>
      <c r="ME17" s="104"/>
      <c r="MF17" s="104"/>
      <c r="MG17" s="104"/>
      <c r="MH17" s="104"/>
      <c r="MI17" s="104"/>
      <c r="MJ17" s="104"/>
      <c r="MK17" s="104"/>
      <c r="ML17" s="104"/>
      <c r="MM17" s="104"/>
      <c r="MN17" s="104"/>
      <c r="MO17" s="104"/>
      <c r="MP17" s="104"/>
      <c r="MQ17" s="104"/>
      <c r="MR17" s="104"/>
      <c r="MS17" s="104"/>
      <c r="MT17" s="104"/>
      <c r="MU17" s="104"/>
      <c r="MV17" s="104"/>
      <c r="MW17" s="104"/>
      <c r="MX17" s="104"/>
      <c r="MY17" s="104"/>
      <c r="MZ17" s="104"/>
      <c r="NA17" s="104"/>
      <c r="NB17" s="104"/>
      <c r="NC17" s="104"/>
      <c r="ND17" s="104"/>
      <c r="NE17" s="104"/>
      <c r="NF17" s="104"/>
      <c r="NG17" s="104"/>
      <c r="NH17" s="104"/>
      <c r="NI17" s="104"/>
      <c r="NJ17" s="104"/>
      <c r="NK17" s="104"/>
      <c r="NL17" s="104"/>
      <c r="NM17" s="104"/>
      <c r="NN17" s="104"/>
      <c r="NO17" s="104"/>
      <c r="NP17" s="104"/>
      <c r="NQ17" s="104"/>
      <c r="NR17" s="104"/>
      <c r="NS17" s="104"/>
      <c r="NT17" s="104"/>
      <c r="NU17" s="104"/>
      <c r="NV17" s="104"/>
      <c r="NW17" s="104"/>
      <c r="NX17" s="104"/>
      <c r="NY17" s="104"/>
      <c r="NZ17" s="104"/>
    </row>
    <row r="18" spans="1:390" ht="15.75" customHeight="1" x14ac:dyDescent="0.3">
      <c r="A18" s="214">
        <v>4860488067</v>
      </c>
      <c r="B18" s="165" t="s">
        <v>391</v>
      </c>
      <c r="C18" s="215"/>
      <c r="D18" s="216" t="s">
        <v>391</v>
      </c>
      <c r="E18" s="136" t="s">
        <v>625</v>
      </c>
      <c r="F18" s="125" t="s">
        <v>422</v>
      </c>
      <c r="G18" s="221" t="s">
        <v>417</v>
      </c>
      <c r="H18" s="219">
        <v>43279</v>
      </c>
      <c r="I18" s="216" t="s">
        <v>513</v>
      </c>
      <c r="J18" s="153" t="s">
        <v>397</v>
      </c>
      <c r="K18" s="153" t="s">
        <v>398</v>
      </c>
      <c r="L18" s="153" t="s">
        <v>398</v>
      </c>
      <c r="M18" s="164" t="s">
        <v>398</v>
      </c>
      <c r="N18" s="164" t="s">
        <v>398</v>
      </c>
      <c r="O18" s="164" t="s">
        <v>398</v>
      </c>
      <c r="P18" s="164" t="s">
        <v>398</v>
      </c>
      <c r="Q18" s="164" t="s">
        <v>398</v>
      </c>
      <c r="R18" s="164" t="s">
        <v>398</v>
      </c>
      <c r="S18" s="164" t="s">
        <v>398</v>
      </c>
      <c r="T18" s="164" t="s">
        <v>398</v>
      </c>
      <c r="U18" s="164" t="s">
        <v>398</v>
      </c>
      <c r="V18" s="164" t="s">
        <v>398</v>
      </c>
      <c r="W18" s="164" t="s">
        <v>398</v>
      </c>
      <c r="X18" s="164" t="s">
        <v>398</v>
      </c>
      <c r="Y18" s="164" t="s">
        <v>398</v>
      </c>
      <c r="Z18" s="164" t="s">
        <v>398</v>
      </c>
      <c r="AA18" s="164" t="s">
        <v>398</v>
      </c>
      <c r="AB18" s="167" t="s">
        <v>399</v>
      </c>
      <c r="AC18" s="219">
        <v>21849</v>
      </c>
      <c r="AD18" s="107"/>
      <c r="AE18" s="108" t="e">
        <f t="shared" si="0"/>
        <v>#NUM!</v>
      </c>
      <c r="AF18" s="107" t="s">
        <v>626</v>
      </c>
      <c r="AG18" s="79" t="s">
        <v>401</v>
      </c>
      <c r="AH18" s="87" t="s">
        <v>402</v>
      </c>
      <c r="AI18" s="110"/>
      <c r="AJ18" s="110"/>
      <c r="AK18" s="110"/>
      <c r="AL18" s="110"/>
      <c r="AM18" s="105"/>
      <c r="AN18" s="95">
        <v>3</v>
      </c>
      <c r="AO18" s="173" t="s">
        <v>398</v>
      </c>
      <c r="AP18" s="79"/>
      <c r="AQ18" s="106"/>
      <c r="AR18" s="91"/>
      <c r="AS18" s="104"/>
      <c r="AT18" s="104"/>
      <c r="AU18" s="104"/>
      <c r="AV18" s="104"/>
      <c r="AW18" s="91"/>
      <c r="AX18" s="104"/>
      <c r="AY18" s="104"/>
      <c r="AZ18" s="104"/>
      <c r="BA18" s="104"/>
      <c r="BB18" s="91"/>
      <c r="BC18" s="104"/>
      <c r="BD18" s="104"/>
      <c r="BE18" s="104"/>
      <c r="BF18" s="104"/>
      <c r="BG18" s="91"/>
      <c r="BH18" s="104"/>
      <c r="BI18" s="104"/>
      <c r="BJ18" s="104"/>
      <c r="BK18" s="104"/>
      <c r="BL18" s="91"/>
      <c r="BM18" s="104"/>
      <c r="BN18" s="104"/>
      <c r="BO18" s="104"/>
      <c r="BP18" s="104"/>
      <c r="BQ18" s="91"/>
      <c r="BR18" s="104"/>
      <c r="BS18" s="104"/>
      <c r="BT18" s="104"/>
      <c r="BU18" s="104"/>
      <c r="BV18" s="91"/>
      <c r="BW18" s="104"/>
      <c r="BX18" s="104"/>
      <c r="BY18" s="104"/>
      <c r="BZ18" s="104"/>
      <c r="CA18" s="91"/>
      <c r="CB18" s="104"/>
      <c r="CC18" s="104"/>
      <c r="CD18" s="104"/>
      <c r="CE18" s="104"/>
      <c r="CF18" s="91"/>
      <c r="CG18" s="104"/>
      <c r="CH18" s="104"/>
      <c r="CI18" s="104"/>
      <c r="CJ18" s="104"/>
      <c r="CK18" s="91"/>
      <c r="CL18" s="104"/>
      <c r="CM18" s="104"/>
      <c r="CN18" s="104"/>
      <c r="CO18" s="104"/>
      <c r="CP18" s="91"/>
      <c r="CQ18" s="104"/>
      <c r="CR18" s="104"/>
      <c r="CS18" s="104"/>
      <c r="CT18" s="104"/>
      <c r="CU18" s="91"/>
      <c r="CV18" s="104"/>
      <c r="CW18" s="104"/>
      <c r="CX18" s="104"/>
      <c r="CY18" s="104"/>
      <c r="CZ18" s="91"/>
      <c r="DA18" s="104"/>
      <c r="DB18" s="104"/>
      <c r="DC18" s="104"/>
      <c r="DD18" s="104"/>
      <c r="DE18" s="91"/>
      <c r="DF18" s="104"/>
      <c r="DG18" s="104"/>
      <c r="DH18" s="104"/>
      <c r="DI18" s="104"/>
      <c r="DJ18" s="91"/>
      <c r="DK18" s="104"/>
      <c r="DL18" s="104"/>
      <c r="DM18" s="104"/>
      <c r="DN18" s="104"/>
      <c r="DO18" s="91"/>
      <c r="DP18" s="104"/>
      <c r="DQ18" s="104"/>
      <c r="DR18" s="104"/>
      <c r="DS18" s="104"/>
      <c r="DT18" s="91"/>
      <c r="DU18" s="104"/>
      <c r="DV18" s="104"/>
      <c r="DW18" s="104"/>
      <c r="DX18" s="104"/>
      <c r="DY18" s="91"/>
      <c r="DZ18" s="104"/>
      <c r="EA18" s="104"/>
      <c r="EB18" s="104"/>
      <c r="EC18" s="104"/>
      <c r="ED18" s="91"/>
      <c r="EE18" s="104"/>
      <c r="EF18" s="104"/>
      <c r="EG18" s="104"/>
      <c r="EH18" s="104"/>
      <c r="EI18" s="91"/>
      <c r="EJ18" s="104"/>
      <c r="EK18" s="104"/>
      <c r="EL18" s="104"/>
      <c r="EM18" s="104"/>
      <c r="EN18" s="91"/>
      <c r="EO18" s="104"/>
      <c r="EP18" s="104"/>
      <c r="EQ18" s="104"/>
      <c r="ER18" s="104"/>
      <c r="ES18" s="91"/>
      <c r="ET18" s="104"/>
      <c r="EU18" s="104"/>
      <c r="EV18" s="104"/>
      <c r="EW18" s="104"/>
      <c r="EX18" s="91"/>
      <c r="EY18" s="104"/>
      <c r="EZ18" s="104"/>
      <c r="FA18" s="104"/>
      <c r="FB18" s="104"/>
      <c r="FC18" s="91"/>
      <c r="FD18" s="104"/>
      <c r="FE18" s="104"/>
      <c r="FF18" s="104"/>
      <c r="FG18" s="104"/>
      <c r="FH18" s="91"/>
      <c r="FI18" s="104"/>
      <c r="FJ18" s="104"/>
      <c r="FK18" s="104"/>
      <c r="FL18" s="104"/>
      <c r="FM18" s="104"/>
      <c r="FN18" s="104"/>
      <c r="FO18" s="104"/>
      <c r="FP18" s="104"/>
      <c r="FQ18" s="104"/>
      <c r="FR18" s="104"/>
      <c r="FS18" s="104"/>
      <c r="FT18" s="104"/>
      <c r="FU18" s="104"/>
      <c r="FV18" s="104"/>
      <c r="FW18" s="104"/>
      <c r="FX18" s="104"/>
      <c r="FY18" s="104"/>
      <c r="FZ18" s="104"/>
      <c r="GA18" s="104"/>
      <c r="GB18" s="104"/>
      <c r="GC18" s="104"/>
      <c r="GD18" s="104"/>
      <c r="GE18" s="104"/>
      <c r="GF18" s="104"/>
      <c r="GG18" s="104"/>
      <c r="GH18" s="104"/>
      <c r="GI18" s="104"/>
      <c r="GJ18" s="104"/>
      <c r="GK18" s="104"/>
      <c r="GL18" s="104"/>
      <c r="GM18" s="104"/>
      <c r="GN18" s="104"/>
      <c r="GO18" s="104"/>
      <c r="GP18" s="91"/>
      <c r="GQ18" s="104"/>
      <c r="GR18" s="104"/>
      <c r="GS18" s="104"/>
      <c r="GT18" s="104"/>
      <c r="GU18" s="91"/>
      <c r="GV18" s="104"/>
      <c r="GW18" s="104"/>
      <c r="GX18" s="104"/>
      <c r="GY18" s="104"/>
      <c r="GZ18" s="91"/>
      <c r="HA18" s="104"/>
      <c r="HB18" s="104"/>
      <c r="HC18" s="104"/>
      <c r="HD18" s="104"/>
      <c r="HE18" s="91"/>
      <c r="HF18" s="104"/>
      <c r="HG18" s="104"/>
      <c r="HH18" s="104"/>
      <c r="HI18" s="104"/>
      <c r="HJ18" s="91"/>
      <c r="HK18" s="104"/>
      <c r="HL18" s="104"/>
      <c r="HM18" s="104"/>
      <c r="HN18" s="104"/>
      <c r="HO18" s="91"/>
      <c r="HP18" s="104"/>
      <c r="HQ18" s="104"/>
      <c r="HR18" s="104"/>
      <c r="HS18" s="104"/>
      <c r="HT18" s="91"/>
      <c r="HU18" s="104"/>
      <c r="HV18" s="104"/>
      <c r="HW18" s="104"/>
      <c r="HX18" s="104"/>
      <c r="HY18" s="91"/>
      <c r="HZ18" s="104"/>
      <c r="IA18" s="104"/>
      <c r="IB18" s="104"/>
      <c r="IC18" s="104"/>
      <c r="ID18" s="91"/>
      <c r="IE18" s="104"/>
      <c r="IF18" s="104"/>
      <c r="IG18" s="104"/>
      <c r="IH18" s="104"/>
      <c r="II18" s="91"/>
      <c r="IJ18" s="104"/>
      <c r="IK18" s="104"/>
      <c r="IL18" s="104"/>
      <c r="IM18" s="104"/>
      <c r="IN18" s="91"/>
      <c r="IO18" s="104"/>
      <c r="IP18" s="104"/>
      <c r="IQ18" s="104"/>
      <c r="IR18" s="104"/>
      <c r="IS18" s="91"/>
      <c r="IT18" s="104"/>
      <c r="IU18" s="104"/>
      <c r="IV18" s="104"/>
      <c r="IW18" s="104"/>
      <c r="IX18" s="91"/>
      <c r="IY18" s="104"/>
      <c r="IZ18" s="104"/>
      <c r="JA18" s="104"/>
      <c r="JB18" s="104"/>
      <c r="JC18" s="91"/>
      <c r="JD18" s="104"/>
      <c r="JE18" s="104"/>
      <c r="JF18" s="104"/>
      <c r="JG18" s="105"/>
      <c r="JH18" s="91"/>
      <c r="JI18" s="106"/>
      <c r="JJ18" s="104"/>
      <c r="JK18" s="104"/>
      <c r="JL18" s="105"/>
      <c r="JM18" s="95"/>
      <c r="JN18" s="107"/>
      <c r="JO18" s="79"/>
      <c r="JP18" s="106"/>
      <c r="JQ18" s="104"/>
      <c r="JR18" s="104"/>
      <c r="JS18" s="104"/>
      <c r="JT18" s="104"/>
      <c r="JU18" s="104"/>
      <c r="JV18" s="104"/>
      <c r="JW18" s="104"/>
      <c r="JX18" s="104"/>
      <c r="JY18" s="104"/>
      <c r="JZ18" s="104"/>
      <c r="KA18" s="104"/>
      <c r="KB18" s="104"/>
      <c r="KC18" s="104"/>
      <c r="KD18" s="104"/>
      <c r="KE18" s="104"/>
      <c r="KF18" s="104"/>
      <c r="KG18" s="104"/>
      <c r="KH18" s="104"/>
      <c r="KI18" s="104"/>
      <c r="KJ18" s="104"/>
      <c r="KK18" s="104"/>
      <c r="KL18" s="104"/>
      <c r="KM18" s="104"/>
      <c r="KN18" s="104"/>
      <c r="KO18" s="104"/>
      <c r="KP18" s="104"/>
      <c r="KQ18" s="104"/>
      <c r="KR18" s="104"/>
      <c r="KS18" s="104"/>
      <c r="KT18" s="104"/>
      <c r="KU18" s="104"/>
      <c r="KV18" s="104"/>
      <c r="KW18" s="104"/>
      <c r="KX18" s="104"/>
      <c r="KY18" s="104"/>
      <c r="KZ18" s="104"/>
      <c r="LA18" s="104"/>
      <c r="LB18" s="104"/>
      <c r="LC18" s="104"/>
      <c r="LD18" s="104"/>
      <c r="LE18" s="104"/>
      <c r="LF18" s="104"/>
      <c r="LG18" s="104"/>
      <c r="LH18" s="104"/>
      <c r="LI18" s="104"/>
      <c r="LJ18" s="104"/>
      <c r="LK18" s="104"/>
      <c r="LL18" s="104"/>
      <c r="LM18" s="104"/>
      <c r="LN18" s="104"/>
      <c r="LO18" s="104"/>
      <c r="LP18" s="104"/>
      <c r="LQ18" s="104"/>
      <c r="LR18" s="104"/>
      <c r="LS18" s="104"/>
      <c r="LT18" s="104"/>
      <c r="LU18" s="104"/>
      <c r="LV18" s="104"/>
      <c r="LW18" s="104"/>
      <c r="LX18" s="104"/>
      <c r="LY18" s="104"/>
      <c r="LZ18" s="104"/>
      <c r="MA18" s="104"/>
      <c r="MB18" s="104"/>
      <c r="MC18" s="104"/>
      <c r="MD18" s="104"/>
      <c r="ME18" s="104"/>
      <c r="MF18" s="104"/>
      <c r="MG18" s="104"/>
      <c r="MH18" s="104"/>
      <c r="MI18" s="104"/>
      <c r="MJ18" s="104"/>
      <c r="MK18" s="104"/>
      <c r="ML18" s="104"/>
      <c r="MM18" s="104"/>
      <c r="MN18" s="104"/>
      <c r="MO18" s="104"/>
      <c r="MP18" s="104"/>
      <c r="MQ18" s="104"/>
      <c r="MR18" s="104"/>
      <c r="MS18" s="104"/>
      <c r="MT18" s="104"/>
      <c r="MU18" s="104"/>
      <c r="MV18" s="104"/>
      <c r="MW18" s="104"/>
      <c r="MX18" s="104"/>
      <c r="MY18" s="104"/>
      <c r="MZ18" s="104"/>
      <c r="NA18" s="104"/>
      <c r="NB18" s="104"/>
      <c r="NC18" s="104"/>
      <c r="ND18" s="104"/>
      <c r="NE18" s="104"/>
      <c r="NF18" s="104"/>
      <c r="NG18" s="104"/>
      <c r="NH18" s="104"/>
      <c r="NI18" s="104"/>
      <c r="NJ18" s="104"/>
      <c r="NK18" s="104"/>
      <c r="NL18" s="104"/>
      <c r="NM18" s="104"/>
      <c r="NN18" s="104"/>
      <c r="NO18" s="104"/>
      <c r="NP18" s="104"/>
      <c r="NQ18" s="104"/>
      <c r="NR18" s="104"/>
      <c r="NS18" s="104"/>
      <c r="NT18" s="104"/>
      <c r="NU18" s="104"/>
      <c r="NV18" s="104"/>
      <c r="NW18" s="104"/>
      <c r="NX18" s="104"/>
      <c r="NY18" s="104"/>
      <c r="NZ18" s="104"/>
    </row>
    <row r="19" spans="1:390" ht="15.75" customHeight="1" x14ac:dyDescent="0.3">
      <c r="A19" s="214">
        <v>4182116585</v>
      </c>
      <c r="B19" s="165" t="s">
        <v>391</v>
      </c>
      <c r="C19" s="215"/>
      <c r="D19" s="216" t="s">
        <v>391</v>
      </c>
      <c r="E19" s="136" t="s">
        <v>627</v>
      </c>
      <c r="F19" s="125" t="s">
        <v>519</v>
      </c>
      <c r="G19" s="221" t="s">
        <v>398</v>
      </c>
      <c r="H19" s="219">
        <v>43290</v>
      </c>
      <c r="I19" s="216" t="s">
        <v>513</v>
      </c>
      <c r="J19" s="153" t="s">
        <v>397</v>
      </c>
      <c r="K19" s="153" t="s">
        <v>398</v>
      </c>
      <c r="L19" s="153" t="s">
        <v>398</v>
      </c>
      <c r="M19" s="164" t="s">
        <v>398</v>
      </c>
      <c r="N19" s="164" t="s">
        <v>398</v>
      </c>
      <c r="O19" s="164" t="s">
        <v>398</v>
      </c>
      <c r="P19" s="164" t="s">
        <v>398</v>
      </c>
      <c r="Q19" s="164" t="s">
        <v>398</v>
      </c>
      <c r="R19" s="164" t="s">
        <v>398</v>
      </c>
      <c r="S19" s="164" t="s">
        <v>398</v>
      </c>
      <c r="T19" s="164" t="s">
        <v>398</v>
      </c>
      <c r="U19" s="164" t="s">
        <v>398</v>
      </c>
      <c r="V19" s="164" t="s">
        <v>398</v>
      </c>
      <c r="W19" s="164" t="s">
        <v>398</v>
      </c>
      <c r="X19" s="164" t="s">
        <v>398</v>
      </c>
      <c r="Y19" s="164" t="s">
        <v>398</v>
      </c>
      <c r="Z19" s="164" t="s">
        <v>398</v>
      </c>
      <c r="AA19" s="164" t="s">
        <v>398</v>
      </c>
      <c r="AB19" s="167" t="s">
        <v>399</v>
      </c>
      <c r="AC19" s="219">
        <v>15477</v>
      </c>
      <c r="AD19" s="107"/>
      <c r="AE19" s="108" t="e">
        <f t="shared" si="0"/>
        <v>#NUM!</v>
      </c>
      <c r="AF19" s="107" t="s">
        <v>628</v>
      </c>
      <c r="AG19" s="79" t="s">
        <v>401</v>
      </c>
      <c r="AH19" s="87" t="s">
        <v>402</v>
      </c>
      <c r="AI19" s="110"/>
      <c r="AJ19" s="110"/>
      <c r="AK19" s="110"/>
      <c r="AL19" s="110"/>
      <c r="AM19" s="105"/>
      <c r="AN19" s="95">
        <v>3</v>
      </c>
      <c r="AO19" s="173" t="s">
        <v>398</v>
      </c>
      <c r="AP19" s="79"/>
      <c r="AQ19" s="106"/>
      <c r="AR19" s="91"/>
      <c r="AS19" s="104"/>
      <c r="AT19" s="104"/>
      <c r="AU19" s="104"/>
      <c r="AV19" s="104"/>
      <c r="AW19" s="91"/>
      <c r="AX19" s="104"/>
      <c r="AY19" s="104"/>
      <c r="AZ19" s="104"/>
      <c r="BA19" s="104"/>
      <c r="BB19" s="91"/>
      <c r="BC19" s="104"/>
      <c r="BD19" s="104"/>
      <c r="BE19" s="104"/>
      <c r="BF19" s="104"/>
      <c r="BG19" s="91"/>
      <c r="BH19" s="104"/>
      <c r="BI19" s="104"/>
      <c r="BJ19" s="104"/>
      <c r="BK19" s="104"/>
      <c r="BL19" s="91"/>
      <c r="BM19" s="104"/>
      <c r="BN19" s="104"/>
      <c r="BO19" s="104"/>
      <c r="BP19" s="104"/>
      <c r="BQ19" s="91"/>
      <c r="BR19" s="104"/>
      <c r="BS19" s="104"/>
      <c r="BT19" s="104"/>
      <c r="BU19" s="104"/>
      <c r="BV19" s="91"/>
      <c r="BW19" s="104"/>
      <c r="BX19" s="104"/>
      <c r="BY19" s="104"/>
      <c r="BZ19" s="104"/>
      <c r="CA19" s="91"/>
      <c r="CB19" s="104"/>
      <c r="CC19" s="104"/>
      <c r="CD19" s="104"/>
      <c r="CE19" s="104"/>
      <c r="CF19" s="91"/>
      <c r="CG19" s="104"/>
      <c r="CH19" s="104"/>
      <c r="CI19" s="104"/>
      <c r="CJ19" s="104"/>
      <c r="CK19" s="91"/>
      <c r="CL19" s="104"/>
      <c r="CM19" s="104"/>
      <c r="CN19" s="104"/>
      <c r="CO19" s="104"/>
      <c r="CP19" s="91"/>
      <c r="CQ19" s="104"/>
      <c r="CR19" s="104"/>
      <c r="CS19" s="104"/>
      <c r="CT19" s="104"/>
      <c r="CU19" s="91"/>
      <c r="CV19" s="104"/>
      <c r="CW19" s="104"/>
      <c r="CX19" s="104"/>
      <c r="CY19" s="104"/>
      <c r="CZ19" s="91"/>
      <c r="DA19" s="104"/>
      <c r="DB19" s="104"/>
      <c r="DC19" s="104"/>
      <c r="DD19" s="104"/>
      <c r="DE19" s="91"/>
      <c r="DF19" s="104"/>
      <c r="DG19" s="104"/>
      <c r="DH19" s="104"/>
      <c r="DI19" s="104"/>
      <c r="DJ19" s="91"/>
      <c r="DK19" s="104"/>
      <c r="DL19" s="104"/>
      <c r="DM19" s="104"/>
      <c r="DN19" s="104"/>
      <c r="DO19" s="91"/>
      <c r="DP19" s="104"/>
      <c r="DQ19" s="104"/>
      <c r="DR19" s="104"/>
      <c r="DS19" s="104"/>
      <c r="DT19" s="91"/>
      <c r="DU19" s="104"/>
      <c r="DV19" s="104"/>
      <c r="DW19" s="104"/>
      <c r="DX19" s="104"/>
      <c r="DY19" s="91"/>
      <c r="DZ19" s="104"/>
      <c r="EA19" s="104"/>
      <c r="EB19" s="104"/>
      <c r="EC19" s="104"/>
      <c r="ED19" s="91"/>
      <c r="EE19" s="104"/>
      <c r="EF19" s="104"/>
      <c r="EG19" s="104"/>
      <c r="EH19" s="104"/>
      <c r="EI19" s="91"/>
      <c r="EJ19" s="104"/>
      <c r="EK19" s="104"/>
      <c r="EL19" s="104"/>
      <c r="EM19" s="104"/>
      <c r="EN19" s="91"/>
      <c r="EO19" s="104"/>
      <c r="EP19" s="104"/>
      <c r="EQ19" s="104"/>
      <c r="ER19" s="104"/>
      <c r="ES19" s="91"/>
      <c r="ET19" s="104"/>
      <c r="EU19" s="104"/>
      <c r="EV19" s="104"/>
      <c r="EW19" s="104"/>
      <c r="EX19" s="91"/>
      <c r="EY19" s="104"/>
      <c r="EZ19" s="104"/>
      <c r="FA19" s="104"/>
      <c r="FB19" s="104"/>
      <c r="FC19" s="91"/>
      <c r="FD19" s="104"/>
      <c r="FE19" s="104"/>
      <c r="FF19" s="104"/>
      <c r="FG19" s="104"/>
      <c r="FH19" s="91"/>
      <c r="FI19" s="104"/>
      <c r="FJ19" s="104"/>
      <c r="FK19" s="104"/>
      <c r="FL19" s="104"/>
      <c r="FM19" s="104"/>
      <c r="FN19" s="104"/>
      <c r="FO19" s="104"/>
      <c r="FP19" s="104"/>
      <c r="FQ19" s="104"/>
      <c r="FR19" s="104"/>
      <c r="FS19" s="104"/>
      <c r="FT19" s="104"/>
      <c r="FU19" s="104"/>
      <c r="FV19" s="104"/>
      <c r="FW19" s="104"/>
      <c r="FX19" s="104"/>
      <c r="FY19" s="104"/>
      <c r="FZ19" s="104"/>
      <c r="GA19" s="104"/>
      <c r="GB19" s="104"/>
      <c r="GC19" s="104"/>
      <c r="GD19" s="104"/>
      <c r="GE19" s="104"/>
      <c r="GF19" s="104"/>
      <c r="GG19" s="104"/>
      <c r="GH19" s="104"/>
      <c r="GI19" s="104"/>
      <c r="GJ19" s="104"/>
      <c r="GK19" s="104"/>
      <c r="GL19" s="104"/>
      <c r="GM19" s="104"/>
      <c r="GN19" s="104"/>
      <c r="GO19" s="104"/>
      <c r="GP19" s="91"/>
      <c r="GQ19" s="104"/>
      <c r="GR19" s="104"/>
      <c r="GS19" s="104"/>
      <c r="GT19" s="104"/>
      <c r="GU19" s="91"/>
      <c r="GV19" s="104"/>
      <c r="GW19" s="104"/>
      <c r="GX19" s="104"/>
      <c r="GY19" s="104"/>
      <c r="GZ19" s="91"/>
      <c r="HA19" s="104"/>
      <c r="HB19" s="104"/>
      <c r="HC19" s="104"/>
      <c r="HD19" s="104"/>
      <c r="HE19" s="91"/>
      <c r="HF19" s="104"/>
      <c r="HG19" s="104"/>
      <c r="HH19" s="104"/>
      <c r="HI19" s="104"/>
      <c r="HJ19" s="91"/>
      <c r="HK19" s="104"/>
      <c r="HL19" s="104"/>
      <c r="HM19" s="104"/>
      <c r="HN19" s="104"/>
      <c r="HO19" s="91"/>
      <c r="HP19" s="104"/>
      <c r="HQ19" s="104"/>
      <c r="HR19" s="104"/>
      <c r="HS19" s="104"/>
      <c r="HT19" s="91"/>
      <c r="HU19" s="104"/>
      <c r="HV19" s="104"/>
      <c r="HW19" s="104"/>
      <c r="HX19" s="104"/>
      <c r="HY19" s="91"/>
      <c r="HZ19" s="104"/>
      <c r="IA19" s="104"/>
      <c r="IB19" s="104"/>
      <c r="IC19" s="104"/>
      <c r="ID19" s="91"/>
      <c r="IE19" s="104"/>
      <c r="IF19" s="104"/>
      <c r="IG19" s="104"/>
      <c r="IH19" s="104"/>
      <c r="II19" s="91"/>
      <c r="IJ19" s="104"/>
      <c r="IK19" s="104"/>
      <c r="IL19" s="104"/>
      <c r="IM19" s="104"/>
      <c r="IN19" s="91"/>
      <c r="IO19" s="104"/>
      <c r="IP19" s="104"/>
      <c r="IQ19" s="104"/>
      <c r="IR19" s="104"/>
      <c r="IS19" s="91"/>
      <c r="IT19" s="104"/>
      <c r="IU19" s="104"/>
      <c r="IV19" s="104"/>
      <c r="IW19" s="104"/>
      <c r="IX19" s="91"/>
      <c r="IY19" s="104"/>
      <c r="IZ19" s="104"/>
      <c r="JA19" s="104"/>
      <c r="JB19" s="104"/>
      <c r="JC19" s="91"/>
      <c r="JD19" s="104"/>
      <c r="JE19" s="104"/>
      <c r="JF19" s="104"/>
      <c r="JG19" s="105"/>
      <c r="JH19" s="91"/>
      <c r="JI19" s="106"/>
      <c r="JJ19" s="104"/>
      <c r="JK19" s="104"/>
      <c r="JL19" s="105"/>
      <c r="JM19" s="95"/>
      <c r="JN19" s="107"/>
      <c r="JO19" s="79"/>
      <c r="JP19" s="106"/>
      <c r="JQ19" s="104"/>
      <c r="JR19" s="104"/>
      <c r="JS19" s="104"/>
      <c r="JT19" s="104"/>
      <c r="JU19" s="104"/>
      <c r="JV19" s="104"/>
      <c r="JW19" s="104"/>
      <c r="JX19" s="104"/>
      <c r="JY19" s="104"/>
      <c r="JZ19" s="104"/>
      <c r="KA19" s="104"/>
      <c r="KB19" s="104"/>
      <c r="KC19" s="104"/>
      <c r="KD19" s="104"/>
      <c r="KE19" s="104"/>
      <c r="KF19" s="104"/>
      <c r="KG19" s="104"/>
      <c r="KH19" s="104"/>
      <c r="KI19" s="104"/>
      <c r="KJ19" s="104"/>
      <c r="KK19" s="104"/>
      <c r="KL19" s="104"/>
      <c r="KM19" s="104"/>
      <c r="KN19" s="104"/>
      <c r="KO19" s="104"/>
      <c r="KP19" s="104"/>
      <c r="KQ19" s="104"/>
      <c r="KR19" s="104"/>
      <c r="KS19" s="104"/>
      <c r="KT19" s="104"/>
      <c r="KU19" s="104"/>
      <c r="KV19" s="104"/>
      <c r="KW19" s="104"/>
      <c r="KX19" s="104"/>
      <c r="KY19" s="104"/>
      <c r="KZ19" s="104"/>
      <c r="LA19" s="104"/>
      <c r="LB19" s="104"/>
      <c r="LC19" s="104"/>
      <c r="LD19" s="104"/>
      <c r="LE19" s="104"/>
      <c r="LF19" s="104"/>
      <c r="LG19" s="104"/>
      <c r="LH19" s="104"/>
      <c r="LI19" s="104"/>
      <c r="LJ19" s="104"/>
      <c r="LK19" s="104"/>
      <c r="LL19" s="104"/>
      <c r="LM19" s="104"/>
      <c r="LN19" s="104"/>
      <c r="LO19" s="104"/>
      <c r="LP19" s="104"/>
      <c r="LQ19" s="104"/>
      <c r="LR19" s="104"/>
      <c r="LS19" s="104"/>
      <c r="LT19" s="104"/>
      <c r="LU19" s="104"/>
      <c r="LV19" s="104"/>
      <c r="LW19" s="104"/>
      <c r="LX19" s="104"/>
      <c r="LY19" s="104"/>
      <c r="LZ19" s="104"/>
      <c r="MA19" s="104"/>
      <c r="MB19" s="104"/>
      <c r="MC19" s="104"/>
      <c r="MD19" s="104"/>
      <c r="ME19" s="104"/>
      <c r="MF19" s="104"/>
      <c r="MG19" s="104"/>
      <c r="MH19" s="104"/>
      <c r="MI19" s="104"/>
      <c r="MJ19" s="104"/>
      <c r="MK19" s="104"/>
      <c r="ML19" s="104"/>
      <c r="MM19" s="104"/>
      <c r="MN19" s="104"/>
      <c r="MO19" s="104"/>
      <c r="MP19" s="104"/>
      <c r="MQ19" s="104"/>
      <c r="MR19" s="104"/>
      <c r="MS19" s="104"/>
      <c r="MT19" s="104"/>
      <c r="MU19" s="104"/>
      <c r="MV19" s="104"/>
      <c r="MW19" s="104"/>
      <c r="MX19" s="104"/>
      <c r="MY19" s="104"/>
      <c r="MZ19" s="104"/>
      <c r="NA19" s="104"/>
      <c r="NB19" s="104"/>
      <c r="NC19" s="104"/>
      <c r="ND19" s="104"/>
      <c r="NE19" s="104"/>
      <c r="NF19" s="104"/>
      <c r="NG19" s="104"/>
      <c r="NH19" s="104"/>
      <c r="NI19" s="104"/>
      <c r="NJ19" s="104"/>
      <c r="NK19" s="104"/>
      <c r="NL19" s="104"/>
      <c r="NM19" s="104"/>
      <c r="NN19" s="104"/>
      <c r="NO19" s="104"/>
      <c r="NP19" s="104"/>
      <c r="NQ19" s="104"/>
      <c r="NR19" s="104"/>
      <c r="NS19" s="104"/>
      <c r="NT19" s="104"/>
      <c r="NU19" s="104"/>
      <c r="NV19" s="104"/>
      <c r="NW19" s="104"/>
      <c r="NX19" s="104"/>
      <c r="NY19" s="104"/>
      <c r="NZ19" s="104"/>
    </row>
    <row r="20" spans="1:390" ht="15.75" customHeight="1" x14ac:dyDescent="0.3">
      <c r="A20" s="214">
        <v>4124725671</v>
      </c>
      <c r="B20" s="165" t="s">
        <v>391</v>
      </c>
      <c r="C20" s="215"/>
      <c r="D20" s="216" t="s">
        <v>391</v>
      </c>
      <c r="E20" s="136" t="s">
        <v>629</v>
      </c>
      <c r="F20" s="125" t="s">
        <v>408</v>
      </c>
      <c r="G20" s="221" t="s">
        <v>488</v>
      </c>
      <c r="H20" s="219">
        <v>43280</v>
      </c>
      <c r="I20" s="216" t="s">
        <v>458</v>
      </c>
      <c r="J20" s="153" t="s">
        <v>397</v>
      </c>
      <c r="K20" s="153" t="s">
        <v>398</v>
      </c>
      <c r="L20" s="153" t="s">
        <v>398</v>
      </c>
      <c r="M20" s="164" t="s">
        <v>398</v>
      </c>
      <c r="N20" s="164" t="s">
        <v>398</v>
      </c>
      <c r="O20" s="164" t="s">
        <v>398</v>
      </c>
      <c r="P20" s="164" t="s">
        <v>398</v>
      </c>
      <c r="Q20" s="164" t="s">
        <v>398</v>
      </c>
      <c r="R20" s="164" t="s">
        <v>398</v>
      </c>
      <c r="S20" s="164" t="s">
        <v>398</v>
      </c>
      <c r="T20" s="164" t="s">
        <v>398</v>
      </c>
      <c r="U20" s="164" t="s">
        <v>398</v>
      </c>
      <c r="V20" s="164" t="s">
        <v>398</v>
      </c>
      <c r="W20" s="164" t="s">
        <v>398</v>
      </c>
      <c r="X20" s="164" t="s">
        <v>398</v>
      </c>
      <c r="Y20" s="164" t="s">
        <v>398</v>
      </c>
      <c r="Z20" s="164" t="s">
        <v>398</v>
      </c>
      <c r="AA20" s="164" t="s">
        <v>398</v>
      </c>
      <c r="AB20" s="167" t="s">
        <v>399</v>
      </c>
      <c r="AC20" s="219">
        <v>30158</v>
      </c>
      <c r="AD20" s="107"/>
      <c r="AE20" s="108" t="e">
        <f t="shared" si="0"/>
        <v>#NUM!</v>
      </c>
      <c r="AF20" s="107" t="s">
        <v>602</v>
      </c>
      <c r="AG20" s="79" t="s">
        <v>401</v>
      </c>
      <c r="AH20" s="87" t="s">
        <v>402</v>
      </c>
      <c r="AI20" s="110"/>
      <c r="AJ20" s="110"/>
      <c r="AK20" s="110"/>
      <c r="AL20" s="110"/>
      <c r="AM20" s="105"/>
      <c r="AN20" s="95">
        <v>1</v>
      </c>
      <c r="AO20" s="173" t="s">
        <v>398</v>
      </c>
      <c r="AP20" s="79"/>
      <c r="AQ20" s="106"/>
      <c r="AR20" s="91"/>
      <c r="AS20" s="104"/>
      <c r="AT20" s="104"/>
      <c r="AU20" s="104"/>
      <c r="AV20" s="104"/>
      <c r="AW20" s="91"/>
      <c r="AX20" s="104"/>
      <c r="AY20" s="104"/>
      <c r="AZ20" s="104"/>
      <c r="BA20" s="104"/>
      <c r="BB20" s="91"/>
      <c r="BC20" s="104"/>
      <c r="BD20" s="104"/>
      <c r="BE20" s="104"/>
      <c r="BF20" s="104"/>
      <c r="BG20" s="91"/>
      <c r="BH20" s="104"/>
      <c r="BI20" s="104"/>
      <c r="BJ20" s="104"/>
      <c r="BK20" s="104"/>
      <c r="BL20" s="91"/>
      <c r="BM20" s="104"/>
      <c r="BN20" s="104"/>
      <c r="BO20" s="104"/>
      <c r="BP20" s="104"/>
      <c r="BQ20" s="91"/>
      <c r="BR20" s="104"/>
      <c r="BS20" s="104"/>
      <c r="BT20" s="104"/>
      <c r="BU20" s="104"/>
      <c r="BV20" s="91"/>
      <c r="BW20" s="104"/>
      <c r="BX20" s="104"/>
      <c r="BY20" s="104"/>
      <c r="BZ20" s="104"/>
      <c r="CA20" s="91"/>
      <c r="CB20" s="104"/>
      <c r="CC20" s="104"/>
      <c r="CD20" s="104"/>
      <c r="CE20" s="104"/>
      <c r="CF20" s="91"/>
      <c r="CG20" s="104"/>
      <c r="CH20" s="104"/>
      <c r="CI20" s="104"/>
      <c r="CJ20" s="104"/>
      <c r="CK20" s="91"/>
      <c r="CL20" s="104"/>
      <c r="CM20" s="104"/>
      <c r="CN20" s="104"/>
      <c r="CO20" s="104"/>
      <c r="CP20" s="91"/>
      <c r="CQ20" s="104"/>
      <c r="CR20" s="104"/>
      <c r="CS20" s="104"/>
      <c r="CT20" s="104"/>
      <c r="CU20" s="91"/>
      <c r="CV20" s="104"/>
      <c r="CW20" s="104"/>
      <c r="CX20" s="104"/>
      <c r="CY20" s="104"/>
      <c r="CZ20" s="91"/>
      <c r="DA20" s="104"/>
      <c r="DB20" s="104"/>
      <c r="DC20" s="104"/>
      <c r="DD20" s="104"/>
      <c r="DE20" s="91"/>
      <c r="DF20" s="104"/>
      <c r="DG20" s="104"/>
      <c r="DH20" s="104"/>
      <c r="DI20" s="104"/>
      <c r="DJ20" s="91"/>
      <c r="DK20" s="104"/>
      <c r="DL20" s="104"/>
      <c r="DM20" s="104"/>
      <c r="DN20" s="104"/>
      <c r="DO20" s="91"/>
      <c r="DP20" s="104"/>
      <c r="DQ20" s="104"/>
      <c r="DR20" s="104"/>
      <c r="DS20" s="104"/>
      <c r="DT20" s="91"/>
      <c r="DU20" s="104"/>
      <c r="DV20" s="104"/>
      <c r="DW20" s="104"/>
      <c r="DX20" s="104"/>
      <c r="DY20" s="91"/>
      <c r="DZ20" s="104"/>
      <c r="EA20" s="104"/>
      <c r="EB20" s="104"/>
      <c r="EC20" s="104"/>
      <c r="ED20" s="91"/>
      <c r="EE20" s="104"/>
      <c r="EF20" s="104"/>
      <c r="EG20" s="104"/>
      <c r="EH20" s="104"/>
      <c r="EI20" s="91"/>
      <c r="EJ20" s="104"/>
      <c r="EK20" s="104"/>
      <c r="EL20" s="104"/>
      <c r="EM20" s="104"/>
      <c r="EN20" s="91"/>
      <c r="EO20" s="104"/>
      <c r="EP20" s="104"/>
      <c r="EQ20" s="104"/>
      <c r="ER20" s="104"/>
      <c r="ES20" s="91"/>
      <c r="ET20" s="104"/>
      <c r="EU20" s="104"/>
      <c r="EV20" s="104"/>
      <c r="EW20" s="104"/>
      <c r="EX20" s="91"/>
      <c r="EY20" s="104"/>
      <c r="EZ20" s="104"/>
      <c r="FA20" s="104"/>
      <c r="FB20" s="104"/>
      <c r="FC20" s="91"/>
      <c r="FD20" s="104"/>
      <c r="FE20" s="104"/>
      <c r="FF20" s="104"/>
      <c r="FG20" s="104"/>
      <c r="FH20" s="91"/>
      <c r="FI20" s="104"/>
      <c r="FJ20" s="104"/>
      <c r="FK20" s="104"/>
      <c r="FL20" s="104"/>
      <c r="FM20" s="104"/>
      <c r="FN20" s="104"/>
      <c r="FO20" s="104"/>
      <c r="FP20" s="104"/>
      <c r="FQ20" s="104"/>
      <c r="FR20" s="104"/>
      <c r="FS20" s="104"/>
      <c r="FT20" s="104"/>
      <c r="FU20" s="104"/>
      <c r="FV20" s="104"/>
      <c r="FW20" s="104"/>
      <c r="FX20" s="104"/>
      <c r="FY20" s="104"/>
      <c r="FZ20" s="104"/>
      <c r="GA20" s="104"/>
      <c r="GB20" s="104"/>
      <c r="GC20" s="104"/>
      <c r="GD20" s="104"/>
      <c r="GE20" s="104"/>
      <c r="GF20" s="104"/>
      <c r="GG20" s="104"/>
      <c r="GH20" s="104"/>
      <c r="GI20" s="104"/>
      <c r="GJ20" s="104"/>
      <c r="GK20" s="104"/>
      <c r="GL20" s="104"/>
      <c r="GM20" s="104"/>
      <c r="GN20" s="104"/>
      <c r="GO20" s="104"/>
      <c r="GP20" s="91"/>
      <c r="GQ20" s="104"/>
      <c r="GR20" s="104"/>
      <c r="GS20" s="104"/>
      <c r="GT20" s="104"/>
      <c r="GU20" s="91"/>
      <c r="GV20" s="104"/>
      <c r="GW20" s="104"/>
      <c r="GX20" s="104"/>
      <c r="GY20" s="104"/>
      <c r="GZ20" s="91"/>
      <c r="HA20" s="104"/>
      <c r="HB20" s="104"/>
      <c r="HC20" s="104"/>
      <c r="HD20" s="104"/>
      <c r="HE20" s="91"/>
      <c r="HF20" s="104"/>
      <c r="HG20" s="104"/>
      <c r="HH20" s="104"/>
      <c r="HI20" s="104"/>
      <c r="HJ20" s="91"/>
      <c r="HK20" s="104"/>
      <c r="HL20" s="104"/>
      <c r="HM20" s="104"/>
      <c r="HN20" s="104"/>
      <c r="HO20" s="91"/>
      <c r="HP20" s="104"/>
      <c r="HQ20" s="104"/>
      <c r="HR20" s="104"/>
      <c r="HS20" s="104"/>
      <c r="HT20" s="91"/>
      <c r="HU20" s="104"/>
      <c r="HV20" s="104"/>
      <c r="HW20" s="104"/>
      <c r="HX20" s="104"/>
      <c r="HY20" s="91"/>
      <c r="HZ20" s="104"/>
      <c r="IA20" s="104"/>
      <c r="IB20" s="104"/>
      <c r="IC20" s="104"/>
      <c r="ID20" s="91"/>
      <c r="IE20" s="104"/>
      <c r="IF20" s="104"/>
      <c r="IG20" s="104"/>
      <c r="IH20" s="104"/>
      <c r="II20" s="91"/>
      <c r="IJ20" s="104"/>
      <c r="IK20" s="104"/>
      <c r="IL20" s="104"/>
      <c r="IM20" s="104"/>
      <c r="IN20" s="91"/>
      <c r="IO20" s="104"/>
      <c r="IP20" s="104"/>
      <c r="IQ20" s="104"/>
      <c r="IR20" s="104"/>
      <c r="IS20" s="91"/>
      <c r="IT20" s="104"/>
      <c r="IU20" s="104"/>
      <c r="IV20" s="104"/>
      <c r="IW20" s="104"/>
      <c r="IX20" s="91"/>
      <c r="IY20" s="104"/>
      <c r="IZ20" s="104"/>
      <c r="JA20" s="104"/>
      <c r="JB20" s="104"/>
      <c r="JC20" s="91"/>
      <c r="JD20" s="104"/>
      <c r="JE20" s="104"/>
      <c r="JF20" s="104"/>
      <c r="JG20" s="105"/>
      <c r="JH20" s="91"/>
      <c r="JI20" s="106"/>
      <c r="JJ20" s="104"/>
      <c r="JK20" s="104"/>
      <c r="JL20" s="105"/>
      <c r="JM20" s="95"/>
      <c r="JN20" s="107"/>
      <c r="JO20" s="79"/>
      <c r="JP20" s="106"/>
      <c r="JQ20" s="104"/>
      <c r="JR20" s="104"/>
      <c r="JS20" s="104"/>
      <c r="JT20" s="104"/>
      <c r="JU20" s="104"/>
      <c r="JV20" s="104"/>
      <c r="JW20" s="104"/>
      <c r="JX20" s="104"/>
      <c r="JY20" s="104"/>
      <c r="JZ20" s="104"/>
      <c r="KA20" s="104"/>
      <c r="KB20" s="104"/>
      <c r="KC20" s="104"/>
      <c r="KD20" s="104"/>
      <c r="KE20" s="104"/>
      <c r="KF20" s="104"/>
      <c r="KG20" s="104"/>
      <c r="KH20" s="104"/>
      <c r="KI20" s="104"/>
      <c r="KJ20" s="104"/>
      <c r="KK20" s="104"/>
      <c r="KL20" s="104"/>
      <c r="KM20" s="104"/>
      <c r="KN20" s="104"/>
      <c r="KO20" s="104"/>
      <c r="KP20" s="104"/>
      <c r="KQ20" s="104"/>
      <c r="KR20" s="104"/>
      <c r="KS20" s="104"/>
      <c r="KT20" s="104"/>
      <c r="KU20" s="104"/>
      <c r="KV20" s="104"/>
      <c r="KW20" s="104"/>
      <c r="KX20" s="104"/>
      <c r="KY20" s="104"/>
      <c r="KZ20" s="104"/>
      <c r="LA20" s="104"/>
      <c r="LB20" s="104"/>
      <c r="LC20" s="104"/>
      <c r="LD20" s="104"/>
      <c r="LE20" s="104"/>
      <c r="LF20" s="104"/>
      <c r="LG20" s="104"/>
      <c r="LH20" s="104"/>
      <c r="LI20" s="104"/>
      <c r="LJ20" s="104"/>
      <c r="LK20" s="104"/>
      <c r="LL20" s="104"/>
      <c r="LM20" s="104"/>
      <c r="LN20" s="104"/>
      <c r="LO20" s="104"/>
      <c r="LP20" s="104"/>
      <c r="LQ20" s="104"/>
      <c r="LR20" s="104"/>
      <c r="LS20" s="104"/>
      <c r="LT20" s="104"/>
      <c r="LU20" s="104"/>
      <c r="LV20" s="104"/>
      <c r="LW20" s="104"/>
      <c r="LX20" s="104"/>
      <c r="LY20" s="104"/>
      <c r="LZ20" s="104"/>
      <c r="MA20" s="104"/>
      <c r="MB20" s="104"/>
      <c r="MC20" s="104"/>
      <c r="MD20" s="104"/>
      <c r="ME20" s="104"/>
      <c r="MF20" s="104"/>
      <c r="MG20" s="104"/>
      <c r="MH20" s="104"/>
      <c r="MI20" s="104"/>
      <c r="MJ20" s="104"/>
      <c r="MK20" s="104"/>
      <c r="ML20" s="104"/>
      <c r="MM20" s="104"/>
      <c r="MN20" s="104"/>
      <c r="MO20" s="104"/>
      <c r="MP20" s="104"/>
      <c r="MQ20" s="104"/>
      <c r="MR20" s="104"/>
      <c r="MS20" s="104"/>
      <c r="MT20" s="104"/>
      <c r="MU20" s="104"/>
      <c r="MV20" s="104"/>
      <c r="MW20" s="104"/>
      <c r="MX20" s="104"/>
      <c r="MY20" s="104"/>
      <c r="MZ20" s="104"/>
      <c r="NA20" s="104"/>
      <c r="NB20" s="104"/>
      <c r="NC20" s="104"/>
      <c r="ND20" s="104"/>
      <c r="NE20" s="104"/>
      <c r="NF20" s="104"/>
      <c r="NG20" s="104"/>
      <c r="NH20" s="104"/>
      <c r="NI20" s="104"/>
      <c r="NJ20" s="104"/>
      <c r="NK20" s="104"/>
      <c r="NL20" s="104"/>
      <c r="NM20" s="104"/>
      <c r="NN20" s="104"/>
      <c r="NO20" s="104"/>
      <c r="NP20" s="104"/>
      <c r="NQ20" s="104"/>
      <c r="NR20" s="104"/>
      <c r="NS20" s="104"/>
      <c r="NT20" s="104"/>
      <c r="NU20" s="104"/>
      <c r="NV20" s="104"/>
      <c r="NW20" s="104"/>
      <c r="NX20" s="104"/>
      <c r="NY20" s="104"/>
      <c r="NZ20" s="104"/>
    </row>
    <row r="21" spans="1:390" ht="15.75" customHeight="1" x14ac:dyDescent="0.3">
      <c r="A21" s="214">
        <v>4309331165</v>
      </c>
      <c r="B21" s="165" t="s">
        <v>391</v>
      </c>
      <c r="C21" s="215"/>
      <c r="D21" s="216" t="s">
        <v>391</v>
      </c>
      <c r="E21" s="136" t="s">
        <v>630</v>
      </c>
      <c r="F21" s="125" t="s">
        <v>501</v>
      </c>
      <c r="G21" s="221" t="s">
        <v>488</v>
      </c>
      <c r="H21" s="219">
        <v>43294</v>
      </c>
      <c r="I21" s="216" t="s">
        <v>458</v>
      </c>
      <c r="J21" s="153" t="s">
        <v>397</v>
      </c>
      <c r="K21" s="153" t="s">
        <v>398</v>
      </c>
      <c r="L21" s="153" t="s">
        <v>398</v>
      </c>
      <c r="M21" s="164" t="s">
        <v>398</v>
      </c>
      <c r="N21" s="164" t="s">
        <v>398</v>
      </c>
      <c r="O21" s="164" t="s">
        <v>398</v>
      </c>
      <c r="P21" s="164" t="s">
        <v>398</v>
      </c>
      <c r="Q21" s="164" t="s">
        <v>398</v>
      </c>
      <c r="R21" s="164" t="s">
        <v>398</v>
      </c>
      <c r="S21" s="164" t="s">
        <v>398</v>
      </c>
      <c r="T21" s="164" t="s">
        <v>398</v>
      </c>
      <c r="U21" s="164" t="s">
        <v>398</v>
      </c>
      <c r="V21" s="164" t="s">
        <v>398</v>
      </c>
      <c r="W21" s="164" t="s">
        <v>398</v>
      </c>
      <c r="X21" s="164" t="s">
        <v>398</v>
      </c>
      <c r="Y21" s="164" t="s">
        <v>398</v>
      </c>
      <c r="Z21" s="164" t="s">
        <v>398</v>
      </c>
      <c r="AA21" s="164" t="s">
        <v>398</v>
      </c>
      <c r="AB21" s="167" t="s">
        <v>399</v>
      </c>
      <c r="AC21" s="219">
        <v>16258</v>
      </c>
      <c r="AD21" s="107"/>
      <c r="AE21" s="108" t="e">
        <f t="shared" si="0"/>
        <v>#NUM!</v>
      </c>
      <c r="AF21" s="107" t="s">
        <v>607</v>
      </c>
      <c r="AG21" s="79" t="s">
        <v>401</v>
      </c>
      <c r="AH21" s="87" t="s">
        <v>402</v>
      </c>
      <c r="AI21" s="110"/>
      <c r="AJ21" s="110"/>
      <c r="AK21" s="110"/>
      <c r="AL21" s="110"/>
      <c r="AM21" s="105"/>
      <c r="AN21" s="95">
        <v>1</v>
      </c>
      <c r="AO21" s="173" t="s">
        <v>398</v>
      </c>
      <c r="AP21" s="79"/>
      <c r="AQ21" s="106"/>
      <c r="AR21" s="91"/>
      <c r="AS21" s="104"/>
      <c r="AT21" s="104"/>
      <c r="AU21" s="104"/>
      <c r="AV21" s="104"/>
      <c r="AW21" s="91"/>
      <c r="AX21" s="104"/>
      <c r="AY21" s="104"/>
      <c r="AZ21" s="104"/>
      <c r="BA21" s="104"/>
      <c r="BB21" s="91"/>
      <c r="BC21" s="104"/>
      <c r="BD21" s="104"/>
      <c r="BE21" s="104"/>
      <c r="BF21" s="104"/>
      <c r="BG21" s="91"/>
      <c r="BH21" s="104"/>
      <c r="BI21" s="104"/>
      <c r="BJ21" s="104"/>
      <c r="BK21" s="104"/>
      <c r="BL21" s="91"/>
      <c r="BM21" s="104"/>
      <c r="BN21" s="104"/>
      <c r="BO21" s="104"/>
      <c r="BP21" s="104"/>
      <c r="BQ21" s="91"/>
      <c r="BR21" s="104"/>
      <c r="BS21" s="104"/>
      <c r="BT21" s="104"/>
      <c r="BU21" s="104"/>
      <c r="BV21" s="91"/>
      <c r="BW21" s="104"/>
      <c r="BX21" s="104"/>
      <c r="BY21" s="104"/>
      <c r="BZ21" s="104"/>
      <c r="CA21" s="91"/>
      <c r="CB21" s="104"/>
      <c r="CC21" s="104"/>
      <c r="CD21" s="104"/>
      <c r="CE21" s="104"/>
      <c r="CF21" s="91"/>
      <c r="CG21" s="104"/>
      <c r="CH21" s="104"/>
      <c r="CI21" s="104"/>
      <c r="CJ21" s="104"/>
      <c r="CK21" s="91"/>
      <c r="CL21" s="104"/>
      <c r="CM21" s="104"/>
      <c r="CN21" s="104"/>
      <c r="CO21" s="104"/>
      <c r="CP21" s="91"/>
      <c r="CQ21" s="104"/>
      <c r="CR21" s="104"/>
      <c r="CS21" s="104"/>
      <c r="CT21" s="104"/>
      <c r="CU21" s="91"/>
      <c r="CV21" s="104"/>
      <c r="CW21" s="104"/>
      <c r="CX21" s="104"/>
      <c r="CY21" s="104"/>
      <c r="CZ21" s="91"/>
      <c r="DA21" s="104"/>
      <c r="DB21" s="104"/>
      <c r="DC21" s="104"/>
      <c r="DD21" s="104"/>
      <c r="DE21" s="91"/>
      <c r="DF21" s="104"/>
      <c r="DG21" s="104"/>
      <c r="DH21" s="104"/>
      <c r="DI21" s="104"/>
      <c r="DJ21" s="91"/>
      <c r="DK21" s="104"/>
      <c r="DL21" s="104"/>
      <c r="DM21" s="104"/>
      <c r="DN21" s="104"/>
      <c r="DO21" s="91"/>
      <c r="DP21" s="104"/>
      <c r="DQ21" s="104"/>
      <c r="DR21" s="104"/>
      <c r="DS21" s="104"/>
      <c r="DT21" s="91"/>
      <c r="DU21" s="104"/>
      <c r="DV21" s="104"/>
      <c r="DW21" s="104"/>
      <c r="DX21" s="104"/>
      <c r="DY21" s="91"/>
      <c r="DZ21" s="104"/>
      <c r="EA21" s="104"/>
      <c r="EB21" s="104"/>
      <c r="EC21" s="104"/>
      <c r="ED21" s="91"/>
      <c r="EE21" s="104"/>
      <c r="EF21" s="104"/>
      <c r="EG21" s="104"/>
      <c r="EH21" s="104"/>
      <c r="EI21" s="91"/>
      <c r="EJ21" s="104"/>
      <c r="EK21" s="104"/>
      <c r="EL21" s="104"/>
      <c r="EM21" s="104"/>
      <c r="EN21" s="91"/>
      <c r="EO21" s="104"/>
      <c r="EP21" s="104"/>
      <c r="EQ21" s="104"/>
      <c r="ER21" s="104"/>
      <c r="ES21" s="91"/>
      <c r="ET21" s="104"/>
      <c r="EU21" s="104"/>
      <c r="EV21" s="104"/>
      <c r="EW21" s="104"/>
      <c r="EX21" s="91"/>
      <c r="EY21" s="104"/>
      <c r="EZ21" s="104"/>
      <c r="FA21" s="104"/>
      <c r="FB21" s="104"/>
      <c r="FC21" s="91"/>
      <c r="FD21" s="104"/>
      <c r="FE21" s="104"/>
      <c r="FF21" s="104"/>
      <c r="FG21" s="104"/>
      <c r="FH21" s="91"/>
      <c r="FI21" s="104"/>
      <c r="FJ21" s="104"/>
      <c r="FK21" s="104"/>
      <c r="FL21" s="104"/>
      <c r="FM21" s="104"/>
      <c r="FN21" s="104"/>
      <c r="FO21" s="104"/>
      <c r="FP21" s="104"/>
      <c r="FQ21" s="104"/>
      <c r="FR21" s="104"/>
      <c r="FS21" s="104"/>
      <c r="FT21" s="104"/>
      <c r="FU21" s="104"/>
      <c r="FV21" s="104"/>
      <c r="FW21" s="104"/>
      <c r="FX21" s="104"/>
      <c r="FY21" s="104"/>
      <c r="FZ21" s="104"/>
      <c r="GA21" s="104"/>
      <c r="GB21" s="104"/>
      <c r="GC21" s="104"/>
      <c r="GD21" s="104"/>
      <c r="GE21" s="104"/>
      <c r="GF21" s="104"/>
      <c r="GG21" s="104"/>
      <c r="GH21" s="104"/>
      <c r="GI21" s="104"/>
      <c r="GJ21" s="104"/>
      <c r="GK21" s="104"/>
      <c r="GL21" s="104"/>
      <c r="GM21" s="104"/>
      <c r="GN21" s="104"/>
      <c r="GO21" s="104"/>
      <c r="GP21" s="91"/>
      <c r="GQ21" s="104"/>
      <c r="GR21" s="104"/>
      <c r="GS21" s="104"/>
      <c r="GT21" s="104"/>
      <c r="GU21" s="91"/>
      <c r="GV21" s="104"/>
      <c r="GW21" s="104"/>
      <c r="GX21" s="104"/>
      <c r="GY21" s="104"/>
      <c r="GZ21" s="91"/>
      <c r="HA21" s="104"/>
      <c r="HB21" s="104"/>
      <c r="HC21" s="104"/>
      <c r="HD21" s="104"/>
      <c r="HE21" s="91"/>
      <c r="HF21" s="104"/>
      <c r="HG21" s="104"/>
      <c r="HH21" s="104"/>
      <c r="HI21" s="104"/>
      <c r="HJ21" s="91"/>
      <c r="HK21" s="104"/>
      <c r="HL21" s="104"/>
      <c r="HM21" s="104"/>
      <c r="HN21" s="104"/>
      <c r="HO21" s="91"/>
      <c r="HP21" s="104"/>
      <c r="HQ21" s="104"/>
      <c r="HR21" s="104"/>
      <c r="HS21" s="104"/>
      <c r="HT21" s="91"/>
      <c r="HU21" s="104"/>
      <c r="HV21" s="104"/>
      <c r="HW21" s="104"/>
      <c r="HX21" s="104"/>
      <c r="HY21" s="91"/>
      <c r="HZ21" s="104"/>
      <c r="IA21" s="104"/>
      <c r="IB21" s="104"/>
      <c r="IC21" s="104"/>
      <c r="ID21" s="91"/>
      <c r="IE21" s="104"/>
      <c r="IF21" s="104"/>
      <c r="IG21" s="104"/>
      <c r="IH21" s="104"/>
      <c r="II21" s="91"/>
      <c r="IJ21" s="104"/>
      <c r="IK21" s="104"/>
      <c r="IL21" s="104"/>
      <c r="IM21" s="104"/>
      <c r="IN21" s="91"/>
      <c r="IO21" s="104"/>
      <c r="IP21" s="104"/>
      <c r="IQ21" s="104"/>
      <c r="IR21" s="104"/>
      <c r="IS21" s="91"/>
      <c r="IT21" s="104"/>
      <c r="IU21" s="104"/>
      <c r="IV21" s="104"/>
      <c r="IW21" s="104"/>
      <c r="IX21" s="91"/>
      <c r="IY21" s="104"/>
      <c r="IZ21" s="104"/>
      <c r="JA21" s="104"/>
      <c r="JB21" s="104"/>
      <c r="JC21" s="91"/>
      <c r="JD21" s="104"/>
      <c r="JE21" s="104"/>
      <c r="JF21" s="104"/>
      <c r="JG21" s="105"/>
      <c r="JH21" s="91"/>
      <c r="JI21" s="106"/>
      <c r="JJ21" s="104"/>
      <c r="JK21" s="104"/>
      <c r="JL21" s="105"/>
      <c r="JM21" s="95"/>
      <c r="JN21" s="107"/>
      <c r="JO21" s="79"/>
      <c r="JP21" s="106"/>
      <c r="JQ21" s="104"/>
      <c r="JR21" s="104"/>
      <c r="JS21" s="104"/>
      <c r="JT21" s="104"/>
      <c r="JU21" s="104"/>
      <c r="JV21" s="104"/>
      <c r="JW21" s="104"/>
      <c r="JX21" s="104"/>
      <c r="JY21" s="104"/>
      <c r="JZ21" s="104"/>
      <c r="KA21" s="104"/>
      <c r="KB21" s="104"/>
      <c r="KC21" s="104"/>
      <c r="KD21" s="104"/>
      <c r="KE21" s="104"/>
      <c r="KF21" s="104"/>
      <c r="KG21" s="104"/>
      <c r="KH21" s="104"/>
      <c r="KI21" s="104"/>
      <c r="KJ21" s="104"/>
      <c r="KK21" s="104"/>
      <c r="KL21" s="104"/>
      <c r="KM21" s="104"/>
      <c r="KN21" s="104"/>
      <c r="KO21" s="104"/>
      <c r="KP21" s="104"/>
      <c r="KQ21" s="104"/>
      <c r="KR21" s="104"/>
      <c r="KS21" s="104"/>
      <c r="KT21" s="104"/>
      <c r="KU21" s="104"/>
      <c r="KV21" s="104"/>
      <c r="KW21" s="104"/>
      <c r="KX21" s="104"/>
      <c r="KY21" s="104"/>
      <c r="KZ21" s="104"/>
      <c r="LA21" s="104"/>
      <c r="LB21" s="104"/>
      <c r="LC21" s="104"/>
      <c r="LD21" s="104"/>
      <c r="LE21" s="104"/>
      <c r="LF21" s="104"/>
      <c r="LG21" s="104"/>
      <c r="LH21" s="104"/>
      <c r="LI21" s="104"/>
      <c r="LJ21" s="104"/>
      <c r="LK21" s="104"/>
      <c r="LL21" s="104"/>
      <c r="LM21" s="104"/>
      <c r="LN21" s="104"/>
      <c r="LO21" s="104"/>
      <c r="LP21" s="104"/>
      <c r="LQ21" s="104"/>
      <c r="LR21" s="104"/>
      <c r="LS21" s="104"/>
      <c r="LT21" s="104"/>
      <c r="LU21" s="104"/>
      <c r="LV21" s="104"/>
      <c r="LW21" s="104"/>
      <c r="LX21" s="104"/>
      <c r="LY21" s="104"/>
      <c r="LZ21" s="104"/>
      <c r="MA21" s="104"/>
      <c r="MB21" s="104"/>
      <c r="MC21" s="104"/>
      <c r="MD21" s="104"/>
      <c r="ME21" s="104"/>
      <c r="MF21" s="104"/>
      <c r="MG21" s="104"/>
      <c r="MH21" s="104"/>
      <c r="MI21" s="104"/>
      <c r="MJ21" s="104"/>
      <c r="MK21" s="104"/>
      <c r="ML21" s="104"/>
      <c r="MM21" s="104"/>
      <c r="MN21" s="104"/>
      <c r="MO21" s="104"/>
      <c r="MP21" s="104"/>
      <c r="MQ21" s="104"/>
      <c r="MR21" s="104"/>
      <c r="MS21" s="104"/>
      <c r="MT21" s="104"/>
      <c r="MU21" s="104"/>
      <c r="MV21" s="104"/>
      <c r="MW21" s="104"/>
      <c r="MX21" s="104"/>
      <c r="MY21" s="104"/>
      <c r="MZ21" s="104"/>
      <c r="NA21" s="104"/>
      <c r="NB21" s="104"/>
      <c r="NC21" s="104"/>
      <c r="ND21" s="104"/>
      <c r="NE21" s="104"/>
      <c r="NF21" s="104"/>
      <c r="NG21" s="104"/>
      <c r="NH21" s="104"/>
      <c r="NI21" s="104"/>
      <c r="NJ21" s="104"/>
      <c r="NK21" s="104"/>
      <c r="NL21" s="104"/>
      <c r="NM21" s="104"/>
      <c r="NN21" s="104"/>
      <c r="NO21" s="104"/>
      <c r="NP21" s="104"/>
      <c r="NQ21" s="104"/>
      <c r="NR21" s="104"/>
      <c r="NS21" s="104"/>
      <c r="NT21" s="104"/>
      <c r="NU21" s="104"/>
      <c r="NV21" s="104"/>
      <c r="NW21" s="104"/>
      <c r="NX21" s="104"/>
      <c r="NY21" s="104"/>
      <c r="NZ21" s="104"/>
    </row>
    <row r="22" spans="1:390" ht="15.75" customHeight="1" x14ac:dyDescent="0.3">
      <c r="A22" s="214">
        <v>4925076019</v>
      </c>
      <c r="B22" s="165" t="s">
        <v>391</v>
      </c>
      <c r="C22" s="215"/>
      <c r="D22" s="216" t="s">
        <v>391</v>
      </c>
      <c r="E22" s="136" t="s">
        <v>631</v>
      </c>
      <c r="F22" s="125" t="s">
        <v>422</v>
      </c>
      <c r="G22" s="221" t="s">
        <v>501</v>
      </c>
      <c r="H22" s="219">
        <v>43298</v>
      </c>
      <c r="I22" s="216" t="s">
        <v>513</v>
      </c>
      <c r="J22" s="153" t="s">
        <v>397</v>
      </c>
      <c r="K22" s="153" t="s">
        <v>398</v>
      </c>
      <c r="L22" s="153" t="s">
        <v>398</v>
      </c>
      <c r="M22" s="164" t="s">
        <v>398</v>
      </c>
      <c r="N22" s="164" t="s">
        <v>398</v>
      </c>
      <c r="O22" s="164" t="s">
        <v>398</v>
      </c>
      <c r="P22" s="164" t="s">
        <v>398</v>
      </c>
      <c r="Q22" s="164" t="s">
        <v>398</v>
      </c>
      <c r="R22" s="164" t="s">
        <v>398</v>
      </c>
      <c r="S22" s="164" t="s">
        <v>398</v>
      </c>
      <c r="T22" s="164" t="s">
        <v>398</v>
      </c>
      <c r="U22" s="164" t="s">
        <v>398</v>
      </c>
      <c r="V22" s="164" t="s">
        <v>398</v>
      </c>
      <c r="W22" s="164" t="s">
        <v>398</v>
      </c>
      <c r="X22" s="164" t="s">
        <v>398</v>
      </c>
      <c r="Y22" s="164" t="s">
        <v>398</v>
      </c>
      <c r="Z22" s="164" t="s">
        <v>398</v>
      </c>
      <c r="AA22" s="164" t="s">
        <v>398</v>
      </c>
      <c r="AB22" s="167" t="s">
        <v>399</v>
      </c>
      <c r="AC22" s="219">
        <v>17598</v>
      </c>
      <c r="AD22" s="107"/>
      <c r="AE22" s="108" t="e">
        <f t="shared" si="0"/>
        <v>#NUM!</v>
      </c>
      <c r="AF22" s="107" t="s">
        <v>632</v>
      </c>
      <c r="AG22" s="79" t="s">
        <v>401</v>
      </c>
      <c r="AH22" s="87" t="s">
        <v>391</v>
      </c>
      <c r="AI22" s="110"/>
      <c r="AJ22" s="110"/>
      <c r="AK22" s="110"/>
      <c r="AL22" s="110"/>
      <c r="AM22" s="105"/>
      <c r="AN22" s="95">
        <v>3</v>
      </c>
      <c r="AO22" s="173" t="s">
        <v>398</v>
      </c>
      <c r="AP22" s="79"/>
      <c r="AQ22" s="106"/>
      <c r="AR22" s="91"/>
      <c r="AS22" s="104"/>
      <c r="AT22" s="104"/>
      <c r="AU22" s="104"/>
      <c r="AV22" s="104"/>
      <c r="AW22" s="91"/>
      <c r="AX22" s="104"/>
      <c r="AY22" s="104"/>
      <c r="AZ22" s="104"/>
      <c r="BA22" s="104"/>
      <c r="BB22" s="91"/>
      <c r="BC22" s="104"/>
      <c r="BD22" s="104"/>
      <c r="BE22" s="104"/>
      <c r="BF22" s="104"/>
      <c r="BG22" s="91"/>
      <c r="BH22" s="104"/>
      <c r="BI22" s="104"/>
      <c r="BJ22" s="104"/>
      <c r="BK22" s="104"/>
      <c r="BL22" s="91"/>
      <c r="BM22" s="104"/>
      <c r="BN22" s="104"/>
      <c r="BO22" s="104"/>
      <c r="BP22" s="104"/>
      <c r="BQ22" s="91"/>
      <c r="BR22" s="104"/>
      <c r="BS22" s="104"/>
      <c r="BT22" s="104"/>
      <c r="BU22" s="104"/>
      <c r="BV22" s="91"/>
      <c r="BW22" s="104"/>
      <c r="BX22" s="104"/>
      <c r="BY22" s="104"/>
      <c r="BZ22" s="104"/>
      <c r="CA22" s="91"/>
      <c r="CB22" s="104"/>
      <c r="CC22" s="104"/>
      <c r="CD22" s="104"/>
      <c r="CE22" s="104"/>
      <c r="CF22" s="91"/>
      <c r="CG22" s="104"/>
      <c r="CH22" s="104"/>
      <c r="CI22" s="104"/>
      <c r="CJ22" s="104"/>
      <c r="CK22" s="91"/>
      <c r="CL22" s="104"/>
      <c r="CM22" s="104"/>
      <c r="CN22" s="104"/>
      <c r="CO22" s="104"/>
      <c r="CP22" s="91"/>
      <c r="CQ22" s="104"/>
      <c r="CR22" s="104"/>
      <c r="CS22" s="104"/>
      <c r="CT22" s="104"/>
      <c r="CU22" s="91"/>
      <c r="CV22" s="104"/>
      <c r="CW22" s="104"/>
      <c r="CX22" s="104"/>
      <c r="CY22" s="104"/>
      <c r="CZ22" s="91"/>
      <c r="DA22" s="104"/>
      <c r="DB22" s="104"/>
      <c r="DC22" s="104"/>
      <c r="DD22" s="104"/>
      <c r="DE22" s="91"/>
      <c r="DF22" s="104"/>
      <c r="DG22" s="104"/>
      <c r="DH22" s="104"/>
      <c r="DI22" s="104"/>
      <c r="DJ22" s="91"/>
      <c r="DK22" s="104"/>
      <c r="DL22" s="104"/>
      <c r="DM22" s="104"/>
      <c r="DN22" s="104"/>
      <c r="DO22" s="91"/>
      <c r="DP22" s="104"/>
      <c r="DQ22" s="104"/>
      <c r="DR22" s="104"/>
      <c r="DS22" s="104"/>
      <c r="DT22" s="91"/>
      <c r="DU22" s="104"/>
      <c r="DV22" s="104"/>
      <c r="DW22" s="104"/>
      <c r="DX22" s="104"/>
      <c r="DY22" s="91"/>
      <c r="DZ22" s="104"/>
      <c r="EA22" s="104"/>
      <c r="EB22" s="104"/>
      <c r="EC22" s="104"/>
      <c r="ED22" s="91"/>
      <c r="EE22" s="104"/>
      <c r="EF22" s="104"/>
      <c r="EG22" s="104"/>
      <c r="EH22" s="104"/>
      <c r="EI22" s="91"/>
      <c r="EJ22" s="104"/>
      <c r="EK22" s="104"/>
      <c r="EL22" s="104"/>
      <c r="EM22" s="104"/>
      <c r="EN22" s="91"/>
      <c r="EO22" s="104"/>
      <c r="EP22" s="104"/>
      <c r="EQ22" s="104"/>
      <c r="ER22" s="104"/>
      <c r="ES22" s="91"/>
      <c r="ET22" s="104"/>
      <c r="EU22" s="104"/>
      <c r="EV22" s="104"/>
      <c r="EW22" s="104"/>
      <c r="EX22" s="91"/>
      <c r="EY22" s="104"/>
      <c r="EZ22" s="104"/>
      <c r="FA22" s="104"/>
      <c r="FB22" s="104"/>
      <c r="FC22" s="91"/>
      <c r="FD22" s="104"/>
      <c r="FE22" s="104"/>
      <c r="FF22" s="104"/>
      <c r="FG22" s="104"/>
      <c r="FH22" s="91"/>
      <c r="FI22" s="104"/>
      <c r="FJ22" s="104"/>
      <c r="FK22" s="104"/>
      <c r="FL22" s="104"/>
      <c r="FM22" s="104"/>
      <c r="FN22" s="104"/>
      <c r="FO22" s="104"/>
      <c r="FP22" s="104"/>
      <c r="FQ22" s="104"/>
      <c r="FR22" s="104"/>
      <c r="FS22" s="104"/>
      <c r="FT22" s="104"/>
      <c r="FU22" s="104"/>
      <c r="FV22" s="104"/>
      <c r="FW22" s="104"/>
      <c r="FX22" s="104"/>
      <c r="FY22" s="104"/>
      <c r="FZ22" s="104"/>
      <c r="GA22" s="104"/>
      <c r="GB22" s="104"/>
      <c r="GC22" s="104"/>
      <c r="GD22" s="104"/>
      <c r="GE22" s="104"/>
      <c r="GF22" s="104"/>
      <c r="GG22" s="104"/>
      <c r="GH22" s="104"/>
      <c r="GI22" s="104"/>
      <c r="GJ22" s="104"/>
      <c r="GK22" s="104"/>
      <c r="GL22" s="104"/>
      <c r="GM22" s="104"/>
      <c r="GN22" s="104"/>
      <c r="GO22" s="104"/>
      <c r="GP22" s="91"/>
      <c r="GQ22" s="104"/>
      <c r="GR22" s="104"/>
      <c r="GS22" s="104"/>
      <c r="GT22" s="104"/>
      <c r="GU22" s="91"/>
      <c r="GV22" s="104"/>
      <c r="GW22" s="104"/>
      <c r="GX22" s="104"/>
      <c r="GY22" s="104"/>
      <c r="GZ22" s="91"/>
      <c r="HA22" s="104"/>
      <c r="HB22" s="104"/>
      <c r="HC22" s="104"/>
      <c r="HD22" s="104"/>
      <c r="HE22" s="91"/>
      <c r="HF22" s="104"/>
      <c r="HG22" s="104"/>
      <c r="HH22" s="104"/>
      <c r="HI22" s="104"/>
      <c r="HJ22" s="91"/>
      <c r="HK22" s="104"/>
      <c r="HL22" s="104"/>
      <c r="HM22" s="104"/>
      <c r="HN22" s="104"/>
      <c r="HO22" s="91"/>
      <c r="HP22" s="104"/>
      <c r="HQ22" s="104"/>
      <c r="HR22" s="104"/>
      <c r="HS22" s="104"/>
      <c r="HT22" s="91"/>
      <c r="HU22" s="104"/>
      <c r="HV22" s="104"/>
      <c r="HW22" s="104"/>
      <c r="HX22" s="104"/>
      <c r="HY22" s="91"/>
      <c r="HZ22" s="104"/>
      <c r="IA22" s="104"/>
      <c r="IB22" s="104"/>
      <c r="IC22" s="104"/>
      <c r="ID22" s="91"/>
      <c r="IE22" s="104"/>
      <c r="IF22" s="104"/>
      <c r="IG22" s="104"/>
      <c r="IH22" s="104"/>
      <c r="II22" s="91"/>
      <c r="IJ22" s="104"/>
      <c r="IK22" s="104"/>
      <c r="IL22" s="104"/>
      <c r="IM22" s="104"/>
      <c r="IN22" s="91"/>
      <c r="IO22" s="104"/>
      <c r="IP22" s="104"/>
      <c r="IQ22" s="104"/>
      <c r="IR22" s="104"/>
      <c r="IS22" s="91"/>
      <c r="IT22" s="104"/>
      <c r="IU22" s="104"/>
      <c r="IV22" s="104"/>
      <c r="IW22" s="104"/>
      <c r="IX22" s="91"/>
      <c r="IY22" s="104"/>
      <c r="IZ22" s="104"/>
      <c r="JA22" s="104"/>
      <c r="JB22" s="104"/>
      <c r="JC22" s="91"/>
      <c r="JD22" s="104"/>
      <c r="JE22" s="104"/>
      <c r="JF22" s="104"/>
      <c r="JG22" s="105"/>
      <c r="JH22" s="91"/>
      <c r="JI22" s="106"/>
      <c r="JJ22" s="104"/>
      <c r="JK22" s="104"/>
      <c r="JL22" s="105"/>
      <c r="JM22" s="95"/>
      <c r="JN22" s="107"/>
      <c r="JO22" s="79"/>
      <c r="JP22" s="106"/>
      <c r="JQ22" s="104"/>
      <c r="JR22" s="104"/>
      <c r="JS22" s="104"/>
      <c r="JT22" s="104"/>
      <c r="JU22" s="104"/>
      <c r="JV22" s="104"/>
      <c r="JW22" s="104"/>
      <c r="JX22" s="104"/>
      <c r="JY22" s="104"/>
      <c r="JZ22" s="104"/>
      <c r="KA22" s="104"/>
      <c r="KB22" s="104"/>
      <c r="KC22" s="104"/>
      <c r="KD22" s="104"/>
      <c r="KE22" s="104"/>
      <c r="KF22" s="104"/>
      <c r="KG22" s="104"/>
      <c r="KH22" s="104"/>
      <c r="KI22" s="104"/>
      <c r="KJ22" s="104"/>
      <c r="KK22" s="104"/>
      <c r="KL22" s="104"/>
      <c r="KM22" s="104"/>
      <c r="KN22" s="104"/>
      <c r="KO22" s="104"/>
      <c r="KP22" s="104"/>
      <c r="KQ22" s="104"/>
      <c r="KR22" s="104"/>
      <c r="KS22" s="104"/>
      <c r="KT22" s="104"/>
      <c r="KU22" s="104"/>
      <c r="KV22" s="104"/>
      <c r="KW22" s="104"/>
      <c r="KX22" s="104"/>
      <c r="KY22" s="104"/>
      <c r="KZ22" s="104"/>
      <c r="LA22" s="104"/>
      <c r="LB22" s="104"/>
      <c r="LC22" s="104"/>
      <c r="LD22" s="104"/>
      <c r="LE22" s="104"/>
      <c r="LF22" s="104"/>
      <c r="LG22" s="104"/>
      <c r="LH22" s="104"/>
      <c r="LI22" s="104"/>
      <c r="LJ22" s="104"/>
      <c r="LK22" s="104"/>
      <c r="LL22" s="104"/>
      <c r="LM22" s="104"/>
      <c r="LN22" s="104"/>
      <c r="LO22" s="104"/>
      <c r="LP22" s="104"/>
      <c r="LQ22" s="104"/>
      <c r="LR22" s="104"/>
      <c r="LS22" s="104"/>
      <c r="LT22" s="104"/>
      <c r="LU22" s="104"/>
      <c r="LV22" s="104"/>
      <c r="LW22" s="104"/>
      <c r="LX22" s="104"/>
      <c r="LY22" s="104"/>
      <c r="LZ22" s="104"/>
      <c r="MA22" s="104"/>
      <c r="MB22" s="104"/>
      <c r="MC22" s="104"/>
      <c r="MD22" s="104"/>
      <c r="ME22" s="104"/>
      <c r="MF22" s="104"/>
      <c r="MG22" s="104"/>
      <c r="MH22" s="104"/>
      <c r="MI22" s="104"/>
      <c r="MJ22" s="104"/>
      <c r="MK22" s="104"/>
      <c r="ML22" s="104"/>
      <c r="MM22" s="104"/>
      <c r="MN22" s="104"/>
      <c r="MO22" s="104"/>
      <c r="MP22" s="104"/>
      <c r="MQ22" s="104"/>
      <c r="MR22" s="104"/>
      <c r="MS22" s="104"/>
      <c r="MT22" s="104"/>
      <c r="MU22" s="104"/>
      <c r="MV22" s="104"/>
      <c r="MW22" s="104"/>
      <c r="MX22" s="104"/>
      <c r="MY22" s="104"/>
      <c r="MZ22" s="104"/>
      <c r="NA22" s="104"/>
      <c r="NB22" s="104"/>
      <c r="NC22" s="104"/>
      <c r="ND22" s="104"/>
      <c r="NE22" s="104"/>
      <c r="NF22" s="104"/>
      <c r="NG22" s="104"/>
      <c r="NH22" s="104"/>
      <c r="NI22" s="104"/>
      <c r="NJ22" s="104"/>
      <c r="NK22" s="104"/>
      <c r="NL22" s="104"/>
      <c r="NM22" s="104"/>
      <c r="NN22" s="104"/>
      <c r="NO22" s="104"/>
      <c r="NP22" s="104"/>
      <c r="NQ22" s="104"/>
      <c r="NR22" s="104"/>
      <c r="NS22" s="104"/>
      <c r="NT22" s="104"/>
      <c r="NU22" s="104"/>
      <c r="NV22" s="104"/>
      <c r="NW22" s="104"/>
      <c r="NX22" s="104"/>
      <c r="NY22" s="104"/>
      <c r="NZ22" s="104"/>
    </row>
    <row r="23" spans="1:390" ht="15.75" customHeight="1" x14ac:dyDescent="0.3">
      <c r="A23" s="214">
        <v>4506292316</v>
      </c>
      <c r="B23" s="165" t="s">
        <v>391</v>
      </c>
      <c r="C23" s="215"/>
      <c r="D23" s="216" t="s">
        <v>391</v>
      </c>
      <c r="E23" s="136" t="s">
        <v>633</v>
      </c>
      <c r="F23" s="125" t="s">
        <v>416</v>
      </c>
      <c r="G23" s="221" t="s">
        <v>465</v>
      </c>
      <c r="H23" s="219">
        <v>43306</v>
      </c>
      <c r="I23" s="216" t="s">
        <v>513</v>
      </c>
      <c r="J23" s="153" t="s">
        <v>397</v>
      </c>
      <c r="K23" s="153" t="s">
        <v>398</v>
      </c>
      <c r="L23" s="153" t="s">
        <v>398</v>
      </c>
      <c r="M23" s="164" t="s">
        <v>398</v>
      </c>
      <c r="N23" s="164" t="s">
        <v>398</v>
      </c>
      <c r="O23" s="164" t="s">
        <v>398</v>
      </c>
      <c r="P23" s="164" t="s">
        <v>398</v>
      </c>
      <c r="Q23" s="164" t="s">
        <v>398</v>
      </c>
      <c r="R23" s="164" t="s">
        <v>398</v>
      </c>
      <c r="S23" s="164" t="s">
        <v>398</v>
      </c>
      <c r="T23" s="164" t="s">
        <v>398</v>
      </c>
      <c r="U23" s="164" t="s">
        <v>398</v>
      </c>
      <c r="V23" s="164" t="s">
        <v>398</v>
      </c>
      <c r="W23" s="164" t="s">
        <v>398</v>
      </c>
      <c r="X23" s="164" t="s">
        <v>398</v>
      </c>
      <c r="Y23" s="164" t="s">
        <v>398</v>
      </c>
      <c r="Z23" s="164" t="s">
        <v>398</v>
      </c>
      <c r="AA23" s="164" t="s">
        <v>398</v>
      </c>
      <c r="AB23" s="167" t="s">
        <v>399</v>
      </c>
      <c r="AC23" s="219">
        <v>21014</v>
      </c>
      <c r="AD23" s="107"/>
      <c r="AE23" s="108" t="e">
        <f t="shared" si="0"/>
        <v>#NUM!</v>
      </c>
      <c r="AF23" s="107" t="s">
        <v>634</v>
      </c>
      <c r="AG23" s="79" t="s">
        <v>401</v>
      </c>
      <c r="AH23" s="87" t="s">
        <v>391</v>
      </c>
      <c r="AI23" s="110"/>
      <c r="AJ23" s="110"/>
      <c r="AK23" s="110"/>
      <c r="AL23" s="110"/>
      <c r="AM23" s="105"/>
      <c r="AN23" s="95">
        <v>2</v>
      </c>
      <c r="AO23" s="173" t="s">
        <v>398</v>
      </c>
      <c r="AP23" s="79"/>
      <c r="AQ23" s="106"/>
      <c r="AR23" s="91"/>
      <c r="AS23" s="104"/>
      <c r="AT23" s="104"/>
      <c r="AU23" s="104"/>
      <c r="AV23" s="104"/>
      <c r="AW23" s="91"/>
      <c r="AX23" s="104"/>
      <c r="AY23" s="104"/>
      <c r="AZ23" s="104"/>
      <c r="BA23" s="104"/>
      <c r="BB23" s="91"/>
      <c r="BC23" s="104"/>
      <c r="BD23" s="104"/>
      <c r="BE23" s="104"/>
      <c r="BF23" s="104"/>
      <c r="BG23" s="91"/>
      <c r="BH23" s="104"/>
      <c r="BI23" s="104"/>
      <c r="BJ23" s="104"/>
      <c r="BK23" s="104"/>
      <c r="BL23" s="91"/>
      <c r="BM23" s="104"/>
      <c r="BN23" s="104"/>
      <c r="BO23" s="104"/>
      <c r="BP23" s="104"/>
      <c r="BQ23" s="91"/>
      <c r="BR23" s="104"/>
      <c r="BS23" s="104"/>
      <c r="BT23" s="104"/>
      <c r="BU23" s="104"/>
      <c r="BV23" s="91"/>
      <c r="BW23" s="104"/>
      <c r="BX23" s="104"/>
      <c r="BY23" s="104"/>
      <c r="BZ23" s="104"/>
      <c r="CA23" s="91"/>
      <c r="CB23" s="104"/>
      <c r="CC23" s="104"/>
      <c r="CD23" s="104"/>
      <c r="CE23" s="104"/>
      <c r="CF23" s="91"/>
      <c r="CG23" s="104"/>
      <c r="CH23" s="104"/>
      <c r="CI23" s="104"/>
      <c r="CJ23" s="104"/>
      <c r="CK23" s="91"/>
      <c r="CL23" s="104"/>
      <c r="CM23" s="104"/>
      <c r="CN23" s="104"/>
      <c r="CO23" s="104"/>
      <c r="CP23" s="91"/>
      <c r="CQ23" s="104"/>
      <c r="CR23" s="104"/>
      <c r="CS23" s="104"/>
      <c r="CT23" s="104"/>
      <c r="CU23" s="91"/>
      <c r="CV23" s="104"/>
      <c r="CW23" s="104"/>
      <c r="CX23" s="104"/>
      <c r="CY23" s="104"/>
      <c r="CZ23" s="91"/>
      <c r="DA23" s="104"/>
      <c r="DB23" s="104"/>
      <c r="DC23" s="104"/>
      <c r="DD23" s="104"/>
      <c r="DE23" s="91"/>
      <c r="DF23" s="104"/>
      <c r="DG23" s="104"/>
      <c r="DH23" s="104"/>
      <c r="DI23" s="104"/>
      <c r="DJ23" s="91"/>
      <c r="DK23" s="104"/>
      <c r="DL23" s="104"/>
      <c r="DM23" s="104"/>
      <c r="DN23" s="104"/>
      <c r="DO23" s="91"/>
      <c r="DP23" s="104"/>
      <c r="DQ23" s="104"/>
      <c r="DR23" s="104"/>
      <c r="DS23" s="104"/>
      <c r="DT23" s="91"/>
      <c r="DU23" s="104"/>
      <c r="DV23" s="104"/>
      <c r="DW23" s="104"/>
      <c r="DX23" s="104"/>
      <c r="DY23" s="91"/>
      <c r="DZ23" s="104"/>
      <c r="EA23" s="104"/>
      <c r="EB23" s="104"/>
      <c r="EC23" s="104"/>
      <c r="ED23" s="91"/>
      <c r="EE23" s="104"/>
      <c r="EF23" s="104"/>
      <c r="EG23" s="104"/>
      <c r="EH23" s="104"/>
      <c r="EI23" s="91"/>
      <c r="EJ23" s="104"/>
      <c r="EK23" s="104"/>
      <c r="EL23" s="104"/>
      <c r="EM23" s="104"/>
      <c r="EN23" s="91"/>
      <c r="EO23" s="104"/>
      <c r="EP23" s="104"/>
      <c r="EQ23" s="104"/>
      <c r="ER23" s="104"/>
      <c r="ES23" s="91"/>
      <c r="ET23" s="104"/>
      <c r="EU23" s="104"/>
      <c r="EV23" s="104"/>
      <c r="EW23" s="104"/>
      <c r="EX23" s="91"/>
      <c r="EY23" s="104"/>
      <c r="EZ23" s="104"/>
      <c r="FA23" s="104"/>
      <c r="FB23" s="104"/>
      <c r="FC23" s="91"/>
      <c r="FD23" s="104"/>
      <c r="FE23" s="104"/>
      <c r="FF23" s="104"/>
      <c r="FG23" s="104"/>
      <c r="FH23" s="91"/>
      <c r="FI23" s="104"/>
      <c r="FJ23" s="104"/>
      <c r="FK23" s="104"/>
      <c r="FL23" s="104"/>
      <c r="FM23" s="104"/>
      <c r="FN23" s="104"/>
      <c r="FO23" s="104"/>
      <c r="FP23" s="104"/>
      <c r="FQ23" s="104"/>
      <c r="FR23" s="104"/>
      <c r="FS23" s="104"/>
      <c r="FT23" s="104"/>
      <c r="FU23" s="104"/>
      <c r="FV23" s="104"/>
      <c r="FW23" s="104"/>
      <c r="FX23" s="104"/>
      <c r="FY23" s="104"/>
      <c r="FZ23" s="104"/>
      <c r="GA23" s="104"/>
      <c r="GB23" s="104"/>
      <c r="GC23" s="104"/>
      <c r="GD23" s="104"/>
      <c r="GE23" s="104"/>
      <c r="GF23" s="104"/>
      <c r="GG23" s="104"/>
      <c r="GH23" s="104"/>
      <c r="GI23" s="104"/>
      <c r="GJ23" s="104"/>
      <c r="GK23" s="104"/>
      <c r="GL23" s="104"/>
      <c r="GM23" s="104"/>
      <c r="GN23" s="104"/>
      <c r="GO23" s="104"/>
      <c r="GP23" s="91"/>
      <c r="GQ23" s="104"/>
      <c r="GR23" s="104"/>
      <c r="GS23" s="104"/>
      <c r="GT23" s="104"/>
      <c r="GU23" s="91"/>
      <c r="GV23" s="104"/>
      <c r="GW23" s="104"/>
      <c r="GX23" s="104"/>
      <c r="GY23" s="104"/>
      <c r="GZ23" s="91"/>
      <c r="HA23" s="104"/>
      <c r="HB23" s="104"/>
      <c r="HC23" s="104"/>
      <c r="HD23" s="104"/>
      <c r="HE23" s="91"/>
      <c r="HF23" s="104"/>
      <c r="HG23" s="104"/>
      <c r="HH23" s="104"/>
      <c r="HI23" s="104"/>
      <c r="HJ23" s="91"/>
      <c r="HK23" s="104"/>
      <c r="HL23" s="104"/>
      <c r="HM23" s="104"/>
      <c r="HN23" s="104"/>
      <c r="HO23" s="91"/>
      <c r="HP23" s="104"/>
      <c r="HQ23" s="104"/>
      <c r="HR23" s="104"/>
      <c r="HS23" s="104"/>
      <c r="HT23" s="91"/>
      <c r="HU23" s="104"/>
      <c r="HV23" s="104"/>
      <c r="HW23" s="104"/>
      <c r="HX23" s="104"/>
      <c r="HY23" s="91"/>
      <c r="HZ23" s="104"/>
      <c r="IA23" s="104"/>
      <c r="IB23" s="104"/>
      <c r="IC23" s="104"/>
      <c r="ID23" s="91"/>
      <c r="IE23" s="104"/>
      <c r="IF23" s="104"/>
      <c r="IG23" s="104"/>
      <c r="IH23" s="104"/>
      <c r="II23" s="91"/>
      <c r="IJ23" s="104"/>
      <c r="IK23" s="104"/>
      <c r="IL23" s="104"/>
      <c r="IM23" s="104"/>
      <c r="IN23" s="91"/>
      <c r="IO23" s="104"/>
      <c r="IP23" s="104"/>
      <c r="IQ23" s="104"/>
      <c r="IR23" s="104"/>
      <c r="IS23" s="91"/>
      <c r="IT23" s="104"/>
      <c r="IU23" s="104"/>
      <c r="IV23" s="104"/>
      <c r="IW23" s="104"/>
      <c r="IX23" s="91"/>
      <c r="IY23" s="104"/>
      <c r="IZ23" s="104"/>
      <c r="JA23" s="104"/>
      <c r="JB23" s="104"/>
      <c r="JC23" s="91"/>
      <c r="JD23" s="104"/>
      <c r="JE23" s="104"/>
      <c r="JF23" s="104"/>
      <c r="JG23" s="105"/>
      <c r="JH23" s="91"/>
      <c r="JI23" s="106"/>
      <c r="JJ23" s="104"/>
      <c r="JK23" s="104"/>
      <c r="JL23" s="105"/>
      <c r="JM23" s="95"/>
      <c r="JN23" s="107"/>
      <c r="JO23" s="79"/>
      <c r="JP23" s="106"/>
      <c r="JQ23" s="104"/>
      <c r="JR23" s="104"/>
      <c r="JS23" s="104"/>
      <c r="JT23" s="104"/>
      <c r="JU23" s="104"/>
      <c r="JV23" s="104"/>
      <c r="JW23" s="104"/>
      <c r="JX23" s="104"/>
      <c r="JY23" s="104"/>
      <c r="JZ23" s="104"/>
      <c r="KA23" s="104"/>
      <c r="KB23" s="104"/>
      <c r="KC23" s="104"/>
      <c r="KD23" s="104"/>
      <c r="KE23" s="104"/>
      <c r="KF23" s="104"/>
      <c r="KG23" s="104"/>
      <c r="KH23" s="104"/>
      <c r="KI23" s="104"/>
      <c r="KJ23" s="104"/>
      <c r="KK23" s="104"/>
      <c r="KL23" s="104"/>
      <c r="KM23" s="104"/>
      <c r="KN23" s="104"/>
      <c r="KO23" s="104"/>
      <c r="KP23" s="104"/>
      <c r="KQ23" s="104"/>
      <c r="KR23" s="104"/>
      <c r="KS23" s="104"/>
      <c r="KT23" s="104"/>
      <c r="KU23" s="104"/>
      <c r="KV23" s="104"/>
      <c r="KW23" s="104"/>
      <c r="KX23" s="104"/>
      <c r="KY23" s="104"/>
      <c r="KZ23" s="104"/>
      <c r="LA23" s="104"/>
      <c r="LB23" s="104"/>
      <c r="LC23" s="104"/>
      <c r="LD23" s="104"/>
      <c r="LE23" s="104"/>
      <c r="LF23" s="104"/>
      <c r="LG23" s="104"/>
      <c r="LH23" s="104"/>
      <c r="LI23" s="104"/>
      <c r="LJ23" s="104"/>
      <c r="LK23" s="104"/>
      <c r="LL23" s="104"/>
      <c r="LM23" s="104"/>
      <c r="LN23" s="104"/>
      <c r="LO23" s="104"/>
      <c r="LP23" s="104"/>
      <c r="LQ23" s="104"/>
      <c r="LR23" s="104"/>
      <c r="LS23" s="104"/>
      <c r="LT23" s="104"/>
      <c r="LU23" s="104"/>
      <c r="LV23" s="104"/>
      <c r="LW23" s="104"/>
      <c r="LX23" s="104"/>
      <c r="LY23" s="104"/>
      <c r="LZ23" s="104"/>
      <c r="MA23" s="104"/>
      <c r="MB23" s="104"/>
      <c r="MC23" s="104"/>
      <c r="MD23" s="104"/>
      <c r="ME23" s="104"/>
      <c r="MF23" s="104"/>
      <c r="MG23" s="104"/>
      <c r="MH23" s="104"/>
      <c r="MI23" s="104"/>
      <c r="MJ23" s="104"/>
      <c r="MK23" s="104"/>
      <c r="ML23" s="104"/>
      <c r="MM23" s="104"/>
      <c r="MN23" s="104"/>
      <c r="MO23" s="104"/>
      <c r="MP23" s="104"/>
      <c r="MQ23" s="104"/>
      <c r="MR23" s="104"/>
      <c r="MS23" s="104"/>
      <c r="MT23" s="104"/>
      <c r="MU23" s="104"/>
      <c r="MV23" s="104"/>
      <c r="MW23" s="104"/>
      <c r="MX23" s="104"/>
      <c r="MY23" s="104"/>
      <c r="MZ23" s="104"/>
      <c r="NA23" s="104"/>
      <c r="NB23" s="104"/>
      <c r="NC23" s="104"/>
      <c r="ND23" s="104"/>
      <c r="NE23" s="104"/>
      <c r="NF23" s="104"/>
      <c r="NG23" s="104"/>
      <c r="NH23" s="104"/>
      <c r="NI23" s="104"/>
      <c r="NJ23" s="104"/>
      <c r="NK23" s="104"/>
      <c r="NL23" s="104"/>
      <c r="NM23" s="104"/>
      <c r="NN23" s="104"/>
      <c r="NO23" s="104"/>
      <c r="NP23" s="104"/>
      <c r="NQ23" s="104"/>
      <c r="NR23" s="104"/>
      <c r="NS23" s="104"/>
      <c r="NT23" s="104"/>
      <c r="NU23" s="104"/>
      <c r="NV23" s="104"/>
      <c r="NW23" s="104"/>
      <c r="NX23" s="104"/>
      <c r="NY23" s="104"/>
      <c r="NZ23" s="104"/>
    </row>
    <row r="24" spans="1:390" ht="15.75" customHeight="1" x14ac:dyDescent="0.3">
      <c r="A24" s="214">
        <v>4860016092</v>
      </c>
      <c r="B24" s="165" t="s">
        <v>391</v>
      </c>
      <c r="C24" s="215"/>
      <c r="D24" s="216" t="s">
        <v>391</v>
      </c>
      <c r="E24" s="136" t="s">
        <v>635</v>
      </c>
      <c r="F24" s="125" t="s">
        <v>501</v>
      </c>
      <c r="G24" s="221" t="s">
        <v>437</v>
      </c>
      <c r="H24" s="219">
        <v>43314</v>
      </c>
      <c r="I24" s="216" t="s">
        <v>458</v>
      </c>
      <c r="J24" s="153" t="s">
        <v>397</v>
      </c>
      <c r="K24" s="153" t="s">
        <v>398</v>
      </c>
      <c r="L24" s="153" t="s">
        <v>398</v>
      </c>
      <c r="M24" s="164" t="s">
        <v>398</v>
      </c>
      <c r="N24" s="164" t="s">
        <v>398</v>
      </c>
      <c r="O24" s="164" t="s">
        <v>398</v>
      </c>
      <c r="P24" s="164" t="s">
        <v>398</v>
      </c>
      <c r="Q24" s="164" t="s">
        <v>398</v>
      </c>
      <c r="R24" s="164" t="s">
        <v>398</v>
      </c>
      <c r="S24" s="164" t="s">
        <v>398</v>
      </c>
      <c r="T24" s="164" t="s">
        <v>398</v>
      </c>
      <c r="U24" s="164" t="s">
        <v>398</v>
      </c>
      <c r="V24" s="164" t="s">
        <v>398</v>
      </c>
      <c r="W24" s="164" t="s">
        <v>398</v>
      </c>
      <c r="X24" s="164" t="s">
        <v>398</v>
      </c>
      <c r="Y24" s="164" t="s">
        <v>398</v>
      </c>
      <c r="Z24" s="164" t="s">
        <v>398</v>
      </c>
      <c r="AA24" s="164" t="s">
        <v>398</v>
      </c>
      <c r="AB24" s="167" t="s">
        <v>399</v>
      </c>
      <c r="AC24" s="219">
        <v>23465</v>
      </c>
      <c r="AD24" s="107"/>
      <c r="AE24" s="108" t="e">
        <f t="shared" si="0"/>
        <v>#NUM!</v>
      </c>
      <c r="AF24" s="107" t="s">
        <v>602</v>
      </c>
      <c r="AG24" s="79" t="s">
        <v>401</v>
      </c>
      <c r="AH24" s="87" t="s">
        <v>402</v>
      </c>
      <c r="AI24" s="110"/>
      <c r="AJ24" s="110"/>
      <c r="AK24" s="110"/>
      <c r="AL24" s="110"/>
      <c r="AM24" s="105"/>
      <c r="AN24" s="95">
        <v>2</v>
      </c>
      <c r="AO24" s="173" t="s">
        <v>398</v>
      </c>
      <c r="AP24" s="79"/>
      <c r="AQ24" s="106"/>
      <c r="AR24" s="91"/>
      <c r="AS24" s="104"/>
      <c r="AT24" s="104"/>
      <c r="AU24" s="104"/>
      <c r="AV24" s="104"/>
      <c r="AW24" s="91"/>
      <c r="AX24" s="104"/>
      <c r="AY24" s="104"/>
      <c r="AZ24" s="104"/>
      <c r="BA24" s="104"/>
      <c r="BB24" s="91"/>
      <c r="BC24" s="104"/>
      <c r="BD24" s="104"/>
      <c r="BE24" s="104"/>
      <c r="BF24" s="104"/>
      <c r="BG24" s="91"/>
      <c r="BH24" s="104"/>
      <c r="BI24" s="104"/>
      <c r="BJ24" s="104"/>
      <c r="BK24" s="104"/>
      <c r="BL24" s="91"/>
      <c r="BM24" s="104"/>
      <c r="BN24" s="104"/>
      <c r="BO24" s="104"/>
      <c r="BP24" s="104"/>
      <c r="BQ24" s="91"/>
      <c r="BR24" s="104"/>
      <c r="BS24" s="104"/>
      <c r="BT24" s="104"/>
      <c r="BU24" s="104"/>
      <c r="BV24" s="91"/>
      <c r="BW24" s="104"/>
      <c r="BX24" s="104"/>
      <c r="BY24" s="104"/>
      <c r="BZ24" s="104"/>
      <c r="CA24" s="91"/>
      <c r="CB24" s="104"/>
      <c r="CC24" s="104"/>
      <c r="CD24" s="104"/>
      <c r="CE24" s="104"/>
      <c r="CF24" s="91"/>
      <c r="CG24" s="104"/>
      <c r="CH24" s="104"/>
      <c r="CI24" s="104"/>
      <c r="CJ24" s="104"/>
      <c r="CK24" s="91"/>
      <c r="CL24" s="104"/>
      <c r="CM24" s="104"/>
      <c r="CN24" s="104"/>
      <c r="CO24" s="104"/>
      <c r="CP24" s="91"/>
      <c r="CQ24" s="104"/>
      <c r="CR24" s="104"/>
      <c r="CS24" s="104"/>
      <c r="CT24" s="104"/>
      <c r="CU24" s="91"/>
      <c r="CV24" s="104"/>
      <c r="CW24" s="104"/>
      <c r="CX24" s="104"/>
      <c r="CY24" s="104"/>
      <c r="CZ24" s="91"/>
      <c r="DA24" s="104"/>
      <c r="DB24" s="104"/>
      <c r="DC24" s="104"/>
      <c r="DD24" s="104"/>
      <c r="DE24" s="91"/>
      <c r="DF24" s="104"/>
      <c r="DG24" s="104"/>
      <c r="DH24" s="104"/>
      <c r="DI24" s="104"/>
      <c r="DJ24" s="91"/>
      <c r="DK24" s="104"/>
      <c r="DL24" s="104"/>
      <c r="DM24" s="104"/>
      <c r="DN24" s="104"/>
      <c r="DO24" s="91"/>
      <c r="DP24" s="104"/>
      <c r="DQ24" s="104"/>
      <c r="DR24" s="104"/>
      <c r="DS24" s="104"/>
      <c r="DT24" s="91"/>
      <c r="DU24" s="104"/>
      <c r="DV24" s="104"/>
      <c r="DW24" s="104"/>
      <c r="DX24" s="104"/>
      <c r="DY24" s="91"/>
      <c r="DZ24" s="104"/>
      <c r="EA24" s="104"/>
      <c r="EB24" s="104"/>
      <c r="EC24" s="104"/>
      <c r="ED24" s="91"/>
      <c r="EE24" s="104"/>
      <c r="EF24" s="104"/>
      <c r="EG24" s="104"/>
      <c r="EH24" s="104"/>
      <c r="EI24" s="91"/>
      <c r="EJ24" s="104"/>
      <c r="EK24" s="104"/>
      <c r="EL24" s="104"/>
      <c r="EM24" s="104"/>
      <c r="EN24" s="91"/>
      <c r="EO24" s="104"/>
      <c r="EP24" s="104"/>
      <c r="EQ24" s="104"/>
      <c r="ER24" s="104"/>
      <c r="ES24" s="91"/>
      <c r="ET24" s="104"/>
      <c r="EU24" s="104"/>
      <c r="EV24" s="104"/>
      <c r="EW24" s="104"/>
      <c r="EX24" s="91"/>
      <c r="EY24" s="104"/>
      <c r="EZ24" s="104"/>
      <c r="FA24" s="104"/>
      <c r="FB24" s="104"/>
      <c r="FC24" s="91"/>
      <c r="FD24" s="104"/>
      <c r="FE24" s="104"/>
      <c r="FF24" s="104"/>
      <c r="FG24" s="104"/>
      <c r="FH24" s="91"/>
      <c r="FI24" s="104"/>
      <c r="FJ24" s="104"/>
      <c r="FK24" s="104"/>
      <c r="FL24" s="104"/>
      <c r="FM24" s="104"/>
      <c r="FN24" s="104"/>
      <c r="FO24" s="104"/>
      <c r="FP24" s="104"/>
      <c r="FQ24" s="104"/>
      <c r="FR24" s="104"/>
      <c r="FS24" s="104"/>
      <c r="FT24" s="104"/>
      <c r="FU24" s="104"/>
      <c r="FV24" s="104"/>
      <c r="FW24" s="104"/>
      <c r="FX24" s="104"/>
      <c r="FY24" s="104"/>
      <c r="FZ24" s="104"/>
      <c r="GA24" s="104"/>
      <c r="GB24" s="104"/>
      <c r="GC24" s="104"/>
      <c r="GD24" s="104"/>
      <c r="GE24" s="104"/>
      <c r="GF24" s="104"/>
      <c r="GG24" s="104"/>
      <c r="GH24" s="104"/>
      <c r="GI24" s="104"/>
      <c r="GJ24" s="104"/>
      <c r="GK24" s="104"/>
      <c r="GL24" s="104"/>
      <c r="GM24" s="104"/>
      <c r="GN24" s="104"/>
      <c r="GO24" s="104"/>
      <c r="GP24" s="91"/>
      <c r="GQ24" s="104"/>
      <c r="GR24" s="104"/>
      <c r="GS24" s="104"/>
      <c r="GT24" s="104"/>
      <c r="GU24" s="91"/>
      <c r="GV24" s="104"/>
      <c r="GW24" s="104"/>
      <c r="GX24" s="104"/>
      <c r="GY24" s="104"/>
      <c r="GZ24" s="91"/>
      <c r="HA24" s="104"/>
      <c r="HB24" s="104"/>
      <c r="HC24" s="104"/>
      <c r="HD24" s="104"/>
      <c r="HE24" s="91"/>
      <c r="HF24" s="104"/>
      <c r="HG24" s="104"/>
      <c r="HH24" s="104"/>
      <c r="HI24" s="104"/>
      <c r="HJ24" s="91"/>
      <c r="HK24" s="104"/>
      <c r="HL24" s="104"/>
      <c r="HM24" s="104"/>
      <c r="HN24" s="104"/>
      <c r="HO24" s="91"/>
      <c r="HP24" s="104"/>
      <c r="HQ24" s="104"/>
      <c r="HR24" s="104"/>
      <c r="HS24" s="104"/>
      <c r="HT24" s="91"/>
      <c r="HU24" s="104"/>
      <c r="HV24" s="104"/>
      <c r="HW24" s="104"/>
      <c r="HX24" s="104"/>
      <c r="HY24" s="91"/>
      <c r="HZ24" s="104"/>
      <c r="IA24" s="104"/>
      <c r="IB24" s="104"/>
      <c r="IC24" s="104"/>
      <c r="ID24" s="91"/>
      <c r="IE24" s="104"/>
      <c r="IF24" s="104"/>
      <c r="IG24" s="104"/>
      <c r="IH24" s="104"/>
      <c r="II24" s="91"/>
      <c r="IJ24" s="104"/>
      <c r="IK24" s="104"/>
      <c r="IL24" s="104"/>
      <c r="IM24" s="104"/>
      <c r="IN24" s="91"/>
      <c r="IO24" s="104"/>
      <c r="IP24" s="104"/>
      <c r="IQ24" s="104"/>
      <c r="IR24" s="104"/>
      <c r="IS24" s="91"/>
      <c r="IT24" s="104"/>
      <c r="IU24" s="104"/>
      <c r="IV24" s="104"/>
      <c r="IW24" s="104"/>
      <c r="IX24" s="91"/>
      <c r="IY24" s="104"/>
      <c r="IZ24" s="104"/>
      <c r="JA24" s="104"/>
      <c r="JB24" s="104"/>
      <c r="JC24" s="91"/>
      <c r="JD24" s="104"/>
      <c r="JE24" s="104"/>
      <c r="JF24" s="104"/>
      <c r="JG24" s="105"/>
      <c r="JH24" s="91"/>
      <c r="JI24" s="106"/>
      <c r="JJ24" s="104"/>
      <c r="JK24" s="104"/>
      <c r="JL24" s="105"/>
      <c r="JM24" s="95"/>
      <c r="JN24" s="107"/>
      <c r="JO24" s="79"/>
      <c r="JP24" s="106"/>
      <c r="JQ24" s="104"/>
      <c r="JR24" s="104"/>
      <c r="JS24" s="104"/>
      <c r="JT24" s="104"/>
      <c r="JU24" s="104"/>
      <c r="JV24" s="104"/>
      <c r="JW24" s="104"/>
      <c r="JX24" s="104"/>
      <c r="JY24" s="104"/>
      <c r="JZ24" s="104"/>
      <c r="KA24" s="104"/>
      <c r="KB24" s="104"/>
      <c r="KC24" s="104"/>
      <c r="KD24" s="104"/>
      <c r="KE24" s="104"/>
      <c r="KF24" s="104"/>
      <c r="KG24" s="104"/>
      <c r="KH24" s="104"/>
      <c r="KI24" s="104"/>
      <c r="KJ24" s="104"/>
      <c r="KK24" s="104"/>
      <c r="KL24" s="104"/>
      <c r="KM24" s="104"/>
      <c r="KN24" s="104"/>
      <c r="KO24" s="104"/>
      <c r="KP24" s="104"/>
      <c r="KQ24" s="104"/>
      <c r="KR24" s="104"/>
      <c r="KS24" s="104"/>
      <c r="KT24" s="104"/>
      <c r="KU24" s="104"/>
      <c r="KV24" s="104"/>
      <c r="KW24" s="104"/>
      <c r="KX24" s="104"/>
      <c r="KY24" s="104"/>
      <c r="KZ24" s="104"/>
      <c r="LA24" s="104"/>
      <c r="LB24" s="104"/>
      <c r="LC24" s="104"/>
      <c r="LD24" s="104"/>
      <c r="LE24" s="104"/>
      <c r="LF24" s="104"/>
      <c r="LG24" s="104"/>
      <c r="LH24" s="104"/>
      <c r="LI24" s="104"/>
      <c r="LJ24" s="104"/>
      <c r="LK24" s="104"/>
      <c r="LL24" s="104"/>
      <c r="LM24" s="104"/>
      <c r="LN24" s="104"/>
      <c r="LO24" s="104"/>
      <c r="LP24" s="104"/>
      <c r="LQ24" s="104"/>
      <c r="LR24" s="104"/>
      <c r="LS24" s="104"/>
      <c r="LT24" s="104"/>
      <c r="LU24" s="104"/>
      <c r="LV24" s="104"/>
      <c r="LW24" s="104"/>
      <c r="LX24" s="104"/>
      <c r="LY24" s="104"/>
      <c r="LZ24" s="104"/>
      <c r="MA24" s="104"/>
      <c r="MB24" s="104"/>
      <c r="MC24" s="104"/>
      <c r="MD24" s="104"/>
      <c r="ME24" s="104"/>
      <c r="MF24" s="104"/>
      <c r="MG24" s="104"/>
      <c r="MH24" s="104"/>
      <c r="MI24" s="104"/>
      <c r="MJ24" s="104"/>
      <c r="MK24" s="104"/>
      <c r="ML24" s="104"/>
      <c r="MM24" s="104"/>
      <c r="MN24" s="104"/>
      <c r="MO24" s="104"/>
      <c r="MP24" s="104"/>
      <c r="MQ24" s="104"/>
      <c r="MR24" s="104"/>
      <c r="MS24" s="104"/>
      <c r="MT24" s="104"/>
      <c r="MU24" s="104"/>
      <c r="MV24" s="104"/>
      <c r="MW24" s="104"/>
      <c r="MX24" s="104"/>
      <c r="MY24" s="104"/>
      <c r="MZ24" s="104"/>
      <c r="NA24" s="104"/>
      <c r="NB24" s="104"/>
      <c r="NC24" s="104"/>
      <c r="ND24" s="104"/>
      <c r="NE24" s="104"/>
      <c r="NF24" s="104"/>
      <c r="NG24" s="104"/>
      <c r="NH24" s="104"/>
      <c r="NI24" s="104"/>
      <c r="NJ24" s="104"/>
      <c r="NK24" s="104"/>
      <c r="NL24" s="104"/>
      <c r="NM24" s="104"/>
      <c r="NN24" s="104"/>
      <c r="NO24" s="104"/>
      <c r="NP24" s="104"/>
      <c r="NQ24" s="104"/>
      <c r="NR24" s="104"/>
      <c r="NS24" s="104"/>
      <c r="NT24" s="104"/>
      <c r="NU24" s="104"/>
      <c r="NV24" s="104"/>
      <c r="NW24" s="104"/>
      <c r="NX24" s="104"/>
      <c r="NY24" s="104"/>
      <c r="NZ24" s="104"/>
    </row>
    <row r="25" spans="1:390" ht="15.75" customHeight="1" x14ac:dyDescent="0.3">
      <c r="A25" s="214">
        <v>4360801661</v>
      </c>
      <c r="B25" s="165" t="s">
        <v>391</v>
      </c>
      <c r="C25" s="215"/>
      <c r="D25" s="216" t="s">
        <v>391</v>
      </c>
      <c r="E25" s="136" t="s">
        <v>636</v>
      </c>
      <c r="F25" s="125" t="s">
        <v>637</v>
      </c>
      <c r="G25" s="221" t="s">
        <v>638</v>
      </c>
      <c r="H25" s="219">
        <v>43315</v>
      </c>
      <c r="I25" s="216" t="s">
        <v>396</v>
      </c>
      <c r="J25" s="153" t="s">
        <v>397</v>
      </c>
      <c r="K25" s="153" t="s">
        <v>398</v>
      </c>
      <c r="L25" s="153" t="s">
        <v>398</v>
      </c>
      <c r="M25" s="164" t="s">
        <v>398</v>
      </c>
      <c r="N25" s="164" t="s">
        <v>398</v>
      </c>
      <c r="O25" s="164" t="s">
        <v>398</v>
      </c>
      <c r="P25" s="164" t="s">
        <v>398</v>
      </c>
      <c r="Q25" s="164" t="s">
        <v>398</v>
      </c>
      <c r="R25" s="164" t="s">
        <v>398</v>
      </c>
      <c r="S25" s="164" t="s">
        <v>398</v>
      </c>
      <c r="T25" s="164" t="s">
        <v>398</v>
      </c>
      <c r="U25" s="164" t="s">
        <v>398</v>
      </c>
      <c r="V25" s="164" t="s">
        <v>398</v>
      </c>
      <c r="W25" s="164" t="s">
        <v>398</v>
      </c>
      <c r="X25" s="164" t="s">
        <v>398</v>
      </c>
      <c r="Y25" s="164" t="s">
        <v>398</v>
      </c>
      <c r="Z25" s="164" t="s">
        <v>398</v>
      </c>
      <c r="AA25" s="164" t="s">
        <v>398</v>
      </c>
      <c r="AB25" s="167" t="s">
        <v>399</v>
      </c>
      <c r="AC25" s="219">
        <v>12519</v>
      </c>
      <c r="AD25" s="107"/>
      <c r="AE25" s="108" t="e">
        <f t="shared" si="0"/>
        <v>#NUM!</v>
      </c>
      <c r="AF25" s="107" t="s">
        <v>639</v>
      </c>
      <c r="AG25" s="79" t="s">
        <v>401</v>
      </c>
      <c r="AH25" s="87" t="s">
        <v>402</v>
      </c>
      <c r="AI25" s="110"/>
      <c r="AJ25" s="110"/>
      <c r="AK25" s="110"/>
      <c r="AL25" s="110"/>
      <c r="AM25" s="105"/>
      <c r="AN25" s="95">
        <v>3</v>
      </c>
      <c r="AO25" s="173" t="s">
        <v>398</v>
      </c>
      <c r="AP25" s="79"/>
      <c r="AQ25" s="106"/>
      <c r="AR25" s="91"/>
      <c r="AS25" s="104"/>
      <c r="AT25" s="104"/>
      <c r="AU25" s="104"/>
      <c r="AV25" s="104"/>
      <c r="AW25" s="91"/>
      <c r="AX25" s="104"/>
      <c r="AY25" s="104"/>
      <c r="AZ25" s="104"/>
      <c r="BA25" s="104"/>
      <c r="BB25" s="91"/>
      <c r="BC25" s="104"/>
      <c r="BD25" s="104"/>
      <c r="BE25" s="104"/>
      <c r="BF25" s="104"/>
      <c r="BG25" s="91"/>
      <c r="BH25" s="104"/>
      <c r="BI25" s="104"/>
      <c r="BJ25" s="104"/>
      <c r="BK25" s="104"/>
      <c r="BL25" s="91"/>
      <c r="BM25" s="104"/>
      <c r="BN25" s="104"/>
      <c r="BO25" s="104"/>
      <c r="BP25" s="104"/>
      <c r="BQ25" s="91"/>
      <c r="BR25" s="104"/>
      <c r="BS25" s="104"/>
      <c r="BT25" s="104"/>
      <c r="BU25" s="104"/>
      <c r="BV25" s="91"/>
      <c r="BW25" s="104"/>
      <c r="BX25" s="104"/>
      <c r="BY25" s="104"/>
      <c r="BZ25" s="104"/>
      <c r="CA25" s="91"/>
      <c r="CB25" s="104"/>
      <c r="CC25" s="104"/>
      <c r="CD25" s="104"/>
      <c r="CE25" s="104"/>
      <c r="CF25" s="91"/>
      <c r="CG25" s="104"/>
      <c r="CH25" s="104"/>
      <c r="CI25" s="104"/>
      <c r="CJ25" s="104"/>
      <c r="CK25" s="91"/>
      <c r="CL25" s="104"/>
      <c r="CM25" s="104"/>
      <c r="CN25" s="104"/>
      <c r="CO25" s="104"/>
      <c r="CP25" s="91"/>
      <c r="CQ25" s="104"/>
      <c r="CR25" s="104"/>
      <c r="CS25" s="104"/>
      <c r="CT25" s="104"/>
      <c r="CU25" s="91"/>
      <c r="CV25" s="104"/>
      <c r="CW25" s="104"/>
      <c r="CX25" s="104"/>
      <c r="CY25" s="104"/>
      <c r="CZ25" s="91"/>
      <c r="DA25" s="104"/>
      <c r="DB25" s="104"/>
      <c r="DC25" s="104"/>
      <c r="DD25" s="104"/>
      <c r="DE25" s="91"/>
      <c r="DF25" s="104"/>
      <c r="DG25" s="104"/>
      <c r="DH25" s="104"/>
      <c r="DI25" s="104"/>
      <c r="DJ25" s="91"/>
      <c r="DK25" s="104"/>
      <c r="DL25" s="104"/>
      <c r="DM25" s="104"/>
      <c r="DN25" s="104"/>
      <c r="DO25" s="91"/>
      <c r="DP25" s="104"/>
      <c r="DQ25" s="104"/>
      <c r="DR25" s="104"/>
      <c r="DS25" s="104"/>
      <c r="DT25" s="91"/>
      <c r="DU25" s="104"/>
      <c r="DV25" s="104"/>
      <c r="DW25" s="104"/>
      <c r="DX25" s="104"/>
      <c r="DY25" s="91"/>
      <c r="DZ25" s="104"/>
      <c r="EA25" s="104"/>
      <c r="EB25" s="104"/>
      <c r="EC25" s="104"/>
      <c r="ED25" s="91"/>
      <c r="EE25" s="104"/>
      <c r="EF25" s="104"/>
      <c r="EG25" s="104"/>
      <c r="EH25" s="104"/>
      <c r="EI25" s="91"/>
      <c r="EJ25" s="104"/>
      <c r="EK25" s="104"/>
      <c r="EL25" s="104"/>
      <c r="EM25" s="104"/>
      <c r="EN25" s="91"/>
      <c r="EO25" s="104"/>
      <c r="EP25" s="104"/>
      <c r="EQ25" s="104"/>
      <c r="ER25" s="104"/>
      <c r="ES25" s="91"/>
      <c r="ET25" s="104"/>
      <c r="EU25" s="104"/>
      <c r="EV25" s="104"/>
      <c r="EW25" s="104"/>
      <c r="EX25" s="91"/>
      <c r="EY25" s="104"/>
      <c r="EZ25" s="104"/>
      <c r="FA25" s="104"/>
      <c r="FB25" s="104"/>
      <c r="FC25" s="91"/>
      <c r="FD25" s="104"/>
      <c r="FE25" s="104"/>
      <c r="FF25" s="104"/>
      <c r="FG25" s="104"/>
      <c r="FH25" s="91"/>
      <c r="FI25" s="104"/>
      <c r="FJ25" s="104"/>
      <c r="FK25" s="104"/>
      <c r="FL25" s="104"/>
      <c r="FM25" s="104"/>
      <c r="FN25" s="104"/>
      <c r="FO25" s="104"/>
      <c r="FP25" s="104"/>
      <c r="FQ25" s="104"/>
      <c r="FR25" s="104"/>
      <c r="FS25" s="104"/>
      <c r="FT25" s="104"/>
      <c r="FU25" s="104"/>
      <c r="FV25" s="104"/>
      <c r="FW25" s="104"/>
      <c r="FX25" s="104"/>
      <c r="FY25" s="104"/>
      <c r="FZ25" s="104"/>
      <c r="GA25" s="104"/>
      <c r="GB25" s="104"/>
      <c r="GC25" s="104"/>
      <c r="GD25" s="104"/>
      <c r="GE25" s="104"/>
      <c r="GF25" s="104"/>
      <c r="GG25" s="104"/>
      <c r="GH25" s="104"/>
      <c r="GI25" s="104"/>
      <c r="GJ25" s="104"/>
      <c r="GK25" s="104"/>
      <c r="GL25" s="104"/>
      <c r="GM25" s="104"/>
      <c r="GN25" s="104"/>
      <c r="GO25" s="104"/>
      <c r="GP25" s="91"/>
      <c r="GQ25" s="104"/>
      <c r="GR25" s="104"/>
      <c r="GS25" s="104"/>
      <c r="GT25" s="104"/>
      <c r="GU25" s="91"/>
      <c r="GV25" s="104"/>
      <c r="GW25" s="104"/>
      <c r="GX25" s="104"/>
      <c r="GY25" s="104"/>
      <c r="GZ25" s="91"/>
      <c r="HA25" s="104"/>
      <c r="HB25" s="104"/>
      <c r="HC25" s="104"/>
      <c r="HD25" s="104"/>
      <c r="HE25" s="91"/>
      <c r="HF25" s="104"/>
      <c r="HG25" s="104"/>
      <c r="HH25" s="104"/>
      <c r="HI25" s="104"/>
      <c r="HJ25" s="91"/>
      <c r="HK25" s="104"/>
      <c r="HL25" s="104"/>
      <c r="HM25" s="104"/>
      <c r="HN25" s="104"/>
      <c r="HO25" s="91"/>
      <c r="HP25" s="104"/>
      <c r="HQ25" s="104"/>
      <c r="HR25" s="104"/>
      <c r="HS25" s="104"/>
      <c r="HT25" s="91"/>
      <c r="HU25" s="104"/>
      <c r="HV25" s="104"/>
      <c r="HW25" s="104"/>
      <c r="HX25" s="104"/>
      <c r="HY25" s="91"/>
      <c r="HZ25" s="104"/>
      <c r="IA25" s="104"/>
      <c r="IB25" s="104"/>
      <c r="IC25" s="104"/>
      <c r="ID25" s="91"/>
      <c r="IE25" s="104"/>
      <c r="IF25" s="104"/>
      <c r="IG25" s="104"/>
      <c r="IH25" s="104"/>
      <c r="II25" s="91"/>
      <c r="IJ25" s="104"/>
      <c r="IK25" s="104"/>
      <c r="IL25" s="104"/>
      <c r="IM25" s="104"/>
      <c r="IN25" s="91"/>
      <c r="IO25" s="104"/>
      <c r="IP25" s="104"/>
      <c r="IQ25" s="104"/>
      <c r="IR25" s="104"/>
      <c r="IS25" s="91"/>
      <c r="IT25" s="104"/>
      <c r="IU25" s="104"/>
      <c r="IV25" s="104"/>
      <c r="IW25" s="104"/>
      <c r="IX25" s="91"/>
      <c r="IY25" s="104"/>
      <c r="IZ25" s="104"/>
      <c r="JA25" s="104"/>
      <c r="JB25" s="104"/>
      <c r="JC25" s="91"/>
      <c r="JD25" s="104"/>
      <c r="JE25" s="104"/>
      <c r="JF25" s="104"/>
      <c r="JG25" s="105"/>
      <c r="JH25" s="91"/>
      <c r="JI25" s="106"/>
      <c r="JJ25" s="104"/>
      <c r="JK25" s="104"/>
      <c r="JL25" s="105"/>
      <c r="JM25" s="95"/>
      <c r="JN25" s="107"/>
      <c r="JO25" s="79"/>
      <c r="JP25" s="106"/>
      <c r="JQ25" s="104"/>
      <c r="JR25" s="104"/>
      <c r="JS25" s="104"/>
      <c r="JT25" s="104"/>
      <c r="JU25" s="104"/>
      <c r="JV25" s="104"/>
      <c r="JW25" s="104"/>
      <c r="JX25" s="104"/>
      <c r="JY25" s="104"/>
      <c r="JZ25" s="104"/>
      <c r="KA25" s="104"/>
      <c r="KB25" s="104"/>
      <c r="KC25" s="104"/>
      <c r="KD25" s="104"/>
      <c r="KE25" s="104"/>
      <c r="KF25" s="104"/>
      <c r="KG25" s="104"/>
      <c r="KH25" s="104"/>
      <c r="KI25" s="104"/>
      <c r="KJ25" s="104"/>
      <c r="KK25" s="104"/>
      <c r="KL25" s="104"/>
      <c r="KM25" s="104"/>
      <c r="KN25" s="104"/>
      <c r="KO25" s="104"/>
      <c r="KP25" s="104"/>
      <c r="KQ25" s="104"/>
      <c r="KR25" s="104"/>
      <c r="KS25" s="104"/>
      <c r="KT25" s="104"/>
      <c r="KU25" s="104"/>
      <c r="KV25" s="104"/>
      <c r="KW25" s="104"/>
      <c r="KX25" s="104"/>
      <c r="KY25" s="104"/>
      <c r="KZ25" s="104"/>
      <c r="LA25" s="104"/>
      <c r="LB25" s="104"/>
      <c r="LC25" s="104"/>
      <c r="LD25" s="104"/>
      <c r="LE25" s="104"/>
      <c r="LF25" s="104"/>
      <c r="LG25" s="104"/>
      <c r="LH25" s="104"/>
      <c r="LI25" s="104"/>
      <c r="LJ25" s="104"/>
      <c r="LK25" s="104"/>
      <c r="LL25" s="104"/>
      <c r="LM25" s="104"/>
      <c r="LN25" s="104"/>
      <c r="LO25" s="104"/>
      <c r="LP25" s="104"/>
      <c r="LQ25" s="104"/>
      <c r="LR25" s="104"/>
      <c r="LS25" s="104"/>
      <c r="LT25" s="104"/>
      <c r="LU25" s="104"/>
      <c r="LV25" s="104"/>
      <c r="LW25" s="104"/>
      <c r="LX25" s="104"/>
      <c r="LY25" s="104"/>
      <c r="LZ25" s="104"/>
      <c r="MA25" s="104"/>
      <c r="MB25" s="104"/>
      <c r="MC25" s="104"/>
      <c r="MD25" s="104"/>
      <c r="ME25" s="104"/>
      <c r="MF25" s="104"/>
      <c r="MG25" s="104"/>
      <c r="MH25" s="104"/>
      <c r="MI25" s="104"/>
      <c r="MJ25" s="104"/>
      <c r="MK25" s="104"/>
      <c r="ML25" s="104"/>
      <c r="MM25" s="104"/>
      <c r="MN25" s="104"/>
      <c r="MO25" s="104"/>
      <c r="MP25" s="104"/>
      <c r="MQ25" s="104"/>
      <c r="MR25" s="104"/>
      <c r="MS25" s="104"/>
      <c r="MT25" s="104"/>
      <c r="MU25" s="104"/>
      <c r="MV25" s="104"/>
      <c r="MW25" s="104"/>
      <c r="MX25" s="104"/>
      <c r="MY25" s="104"/>
      <c r="MZ25" s="104"/>
      <c r="NA25" s="104"/>
      <c r="NB25" s="104"/>
      <c r="NC25" s="104"/>
      <c r="ND25" s="104"/>
      <c r="NE25" s="104"/>
      <c r="NF25" s="104"/>
      <c r="NG25" s="104"/>
      <c r="NH25" s="104"/>
      <c r="NI25" s="104"/>
      <c r="NJ25" s="104"/>
      <c r="NK25" s="104"/>
      <c r="NL25" s="104"/>
      <c r="NM25" s="104"/>
      <c r="NN25" s="104"/>
      <c r="NO25" s="104"/>
      <c r="NP25" s="104"/>
      <c r="NQ25" s="104"/>
      <c r="NR25" s="104"/>
      <c r="NS25" s="104"/>
      <c r="NT25" s="104"/>
      <c r="NU25" s="104"/>
      <c r="NV25" s="104"/>
      <c r="NW25" s="104"/>
      <c r="NX25" s="104"/>
      <c r="NY25" s="104"/>
      <c r="NZ25" s="104"/>
    </row>
    <row r="26" spans="1:390" ht="15.75" customHeight="1" x14ac:dyDescent="0.3">
      <c r="A26" s="214">
        <v>4381277902</v>
      </c>
      <c r="B26" s="165" t="s">
        <v>391</v>
      </c>
      <c r="C26" s="215"/>
      <c r="D26" s="216" t="s">
        <v>391</v>
      </c>
      <c r="E26" s="136" t="s">
        <v>640</v>
      </c>
      <c r="F26" s="125" t="s">
        <v>426</v>
      </c>
      <c r="G26" s="221" t="s">
        <v>488</v>
      </c>
      <c r="H26" s="219">
        <v>43318</v>
      </c>
      <c r="I26" s="216" t="s">
        <v>458</v>
      </c>
      <c r="J26" s="153" t="s">
        <v>397</v>
      </c>
      <c r="K26" s="153" t="s">
        <v>398</v>
      </c>
      <c r="L26" s="153" t="s">
        <v>398</v>
      </c>
      <c r="M26" s="164" t="s">
        <v>398</v>
      </c>
      <c r="N26" s="164" t="s">
        <v>398</v>
      </c>
      <c r="O26" s="164" t="s">
        <v>398</v>
      </c>
      <c r="P26" s="164" t="s">
        <v>398</v>
      </c>
      <c r="Q26" s="164" t="s">
        <v>398</v>
      </c>
      <c r="R26" s="164" t="s">
        <v>398</v>
      </c>
      <c r="S26" s="164" t="s">
        <v>398</v>
      </c>
      <c r="T26" s="164" t="s">
        <v>398</v>
      </c>
      <c r="U26" s="164" t="s">
        <v>398</v>
      </c>
      <c r="V26" s="164" t="s">
        <v>398</v>
      </c>
      <c r="W26" s="164" t="s">
        <v>398</v>
      </c>
      <c r="X26" s="164" t="s">
        <v>398</v>
      </c>
      <c r="Y26" s="164" t="s">
        <v>398</v>
      </c>
      <c r="Z26" s="164" t="s">
        <v>398</v>
      </c>
      <c r="AA26" s="164" t="s">
        <v>398</v>
      </c>
      <c r="AB26" s="167" t="s">
        <v>399</v>
      </c>
      <c r="AC26" s="219">
        <v>17399</v>
      </c>
      <c r="AD26" s="107"/>
      <c r="AE26" s="108" t="e">
        <f t="shared" si="0"/>
        <v>#NUM!</v>
      </c>
      <c r="AF26" s="107" t="s">
        <v>602</v>
      </c>
      <c r="AG26" s="79" t="s">
        <v>401</v>
      </c>
      <c r="AH26" s="87" t="s">
        <v>402</v>
      </c>
      <c r="AI26" s="110"/>
      <c r="AJ26" s="110"/>
      <c r="AK26" s="110"/>
      <c r="AL26" s="110"/>
      <c r="AM26" s="105"/>
      <c r="AN26" s="95">
        <v>3</v>
      </c>
      <c r="AO26" s="173" t="s">
        <v>398</v>
      </c>
      <c r="AP26" s="79"/>
      <c r="AQ26" s="106"/>
      <c r="AR26" s="91"/>
      <c r="AS26" s="104"/>
      <c r="AT26" s="104"/>
      <c r="AU26" s="104"/>
      <c r="AV26" s="104"/>
      <c r="AW26" s="91"/>
      <c r="AX26" s="104"/>
      <c r="AY26" s="104"/>
      <c r="AZ26" s="104"/>
      <c r="BA26" s="104"/>
      <c r="BB26" s="91"/>
      <c r="BC26" s="104"/>
      <c r="BD26" s="104"/>
      <c r="BE26" s="104"/>
      <c r="BF26" s="104"/>
      <c r="BG26" s="91"/>
      <c r="BH26" s="104"/>
      <c r="BI26" s="104"/>
      <c r="BJ26" s="104"/>
      <c r="BK26" s="104"/>
      <c r="BL26" s="91"/>
      <c r="BM26" s="104"/>
      <c r="BN26" s="104"/>
      <c r="BO26" s="104"/>
      <c r="BP26" s="104"/>
      <c r="BQ26" s="91"/>
      <c r="BR26" s="104"/>
      <c r="BS26" s="104"/>
      <c r="BT26" s="104"/>
      <c r="BU26" s="104"/>
      <c r="BV26" s="91"/>
      <c r="BW26" s="104"/>
      <c r="BX26" s="104"/>
      <c r="BY26" s="104"/>
      <c r="BZ26" s="104"/>
      <c r="CA26" s="91"/>
      <c r="CB26" s="104"/>
      <c r="CC26" s="104"/>
      <c r="CD26" s="104"/>
      <c r="CE26" s="104"/>
      <c r="CF26" s="91"/>
      <c r="CG26" s="104"/>
      <c r="CH26" s="104"/>
      <c r="CI26" s="104"/>
      <c r="CJ26" s="104"/>
      <c r="CK26" s="91"/>
      <c r="CL26" s="104"/>
      <c r="CM26" s="104"/>
      <c r="CN26" s="104"/>
      <c r="CO26" s="104"/>
      <c r="CP26" s="91"/>
      <c r="CQ26" s="104"/>
      <c r="CR26" s="104"/>
      <c r="CS26" s="104"/>
      <c r="CT26" s="104"/>
      <c r="CU26" s="91"/>
      <c r="CV26" s="104"/>
      <c r="CW26" s="104"/>
      <c r="CX26" s="104"/>
      <c r="CY26" s="104"/>
      <c r="CZ26" s="91"/>
      <c r="DA26" s="104"/>
      <c r="DB26" s="104"/>
      <c r="DC26" s="104"/>
      <c r="DD26" s="104"/>
      <c r="DE26" s="91"/>
      <c r="DF26" s="104"/>
      <c r="DG26" s="104"/>
      <c r="DH26" s="104"/>
      <c r="DI26" s="104"/>
      <c r="DJ26" s="91"/>
      <c r="DK26" s="104"/>
      <c r="DL26" s="104"/>
      <c r="DM26" s="104"/>
      <c r="DN26" s="104"/>
      <c r="DO26" s="91"/>
      <c r="DP26" s="104"/>
      <c r="DQ26" s="104"/>
      <c r="DR26" s="104"/>
      <c r="DS26" s="104"/>
      <c r="DT26" s="91"/>
      <c r="DU26" s="104"/>
      <c r="DV26" s="104"/>
      <c r="DW26" s="104"/>
      <c r="DX26" s="104"/>
      <c r="DY26" s="91"/>
      <c r="DZ26" s="104"/>
      <c r="EA26" s="104"/>
      <c r="EB26" s="104"/>
      <c r="EC26" s="104"/>
      <c r="ED26" s="91"/>
      <c r="EE26" s="104"/>
      <c r="EF26" s="104"/>
      <c r="EG26" s="104"/>
      <c r="EH26" s="104"/>
      <c r="EI26" s="91"/>
      <c r="EJ26" s="104"/>
      <c r="EK26" s="104"/>
      <c r="EL26" s="104"/>
      <c r="EM26" s="104"/>
      <c r="EN26" s="91"/>
      <c r="EO26" s="104"/>
      <c r="EP26" s="104"/>
      <c r="EQ26" s="104"/>
      <c r="ER26" s="104"/>
      <c r="ES26" s="91"/>
      <c r="ET26" s="104"/>
      <c r="EU26" s="104"/>
      <c r="EV26" s="104"/>
      <c r="EW26" s="104"/>
      <c r="EX26" s="91"/>
      <c r="EY26" s="104"/>
      <c r="EZ26" s="104"/>
      <c r="FA26" s="104"/>
      <c r="FB26" s="104"/>
      <c r="FC26" s="91"/>
      <c r="FD26" s="104"/>
      <c r="FE26" s="104"/>
      <c r="FF26" s="104"/>
      <c r="FG26" s="104"/>
      <c r="FH26" s="91"/>
      <c r="FI26" s="104"/>
      <c r="FJ26" s="104"/>
      <c r="FK26" s="104"/>
      <c r="FL26" s="104"/>
      <c r="FM26" s="104"/>
      <c r="FN26" s="104"/>
      <c r="FO26" s="104"/>
      <c r="FP26" s="104"/>
      <c r="FQ26" s="104"/>
      <c r="FR26" s="104"/>
      <c r="FS26" s="104"/>
      <c r="FT26" s="104"/>
      <c r="FU26" s="104"/>
      <c r="FV26" s="104"/>
      <c r="FW26" s="104"/>
      <c r="FX26" s="104"/>
      <c r="FY26" s="104"/>
      <c r="FZ26" s="104"/>
      <c r="GA26" s="104"/>
      <c r="GB26" s="104"/>
      <c r="GC26" s="104"/>
      <c r="GD26" s="104"/>
      <c r="GE26" s="104"/>
      <c r="GF26" s="104"/>
      <c r="GG26" s="104"/>
      <c r="GH26" s="104"/>
      <c r="GI26" s="104"/>
      <c r="GJ26" s="104"/>
      <c r="GK26" s="104"/>
      <c r="GL26" s="104"/>
      <c r="GM26" s="104"/>
      <c r="GN26" s="104"/>
      <c r="GO26" s="104"/>
      <c r="GP26" s="91"/>
      <c r="GQ26" s="104"/>
      <c r="GR26" s="104"/>
      <c r="GS26" s="104"/>
      <c r="GT26" s="104"/>
      <c r="GU26" s="91"/>
      <c r="GV26" s="104"/>
      <c r="GW26" s="104"/>
      <c r="GX26" s="104"/>
      <c r="GY26" s="104"/>
      <c r="GZ26" s="91"/>
      <c r="HA26" s="104"/>
      <c r="HB26" s="104"/>
      <c r="HC26" s="104"/>
      <c r="HD26" s="104"/>
      <c r="HE26" s="91"/>
      <c r="HF26" s="104"/>
      <c r="HG26" s="104"/>
      <c r="HH26" s="104"/>
      <c r="HI26" s="104"/>
      <c r="HJ26" s="91"/>
      <c r="HK26" s="104"/>
      <c r="HL26" s="104"/>
      <c r="HM26" s="104"/>
      <c r="HN26" s="104"/>
      <c r="HO26" s="91"/>
      <c r="HP26" s="104"/>
      <c r="HQ26" s="104"/>
      <c r="HR26" s="104"/>
      <c r="HS26" s="104"/>
      <c r="HT26" s="91"/>
      <c r="HU26" s="104"/>
      <c r="HV26" s="104"/>
      <c r="HW26" s="104"/>
      <c r="HX26" s="104"/>
      <c r="HY26" s="91"/>
      <c r="HZ26" s="104"/>
      <c r="IA26" s="104"/>
      <c r="IB26" s="104"/>
      <c r="IC26" s="104"/>
      <c r="ID26" s="91"/>
      <c r="IE26" s="104"/>
      <c r="IF26" s="104"/>
      <c r="IG26" s="104"/>
      <c r="IH26" s="104"/>
      <c r="II26" s="91"/>
      <c r="IJ26" s="104"/>
      <c r="IK26" s="104"/>
      <c r="IL26" s="104"/>
      <c r="IM26" s="104"/>
      <c r="IN26" s="91"/>
      <c r="IO26" s="104"/>
      <c r="IP26" s="104"/>
      <c r="IQ26" s="104"/>
      <c r="IR26" s="104"/>
      <c r="IS26" s="91"/>
      <c r="IT26" s="104"/>
      <c r="IU26" s="104"/>
      <c r="IV26" s="104"/>
      <c r="IW26" s="104"/>
      <c r="IX26" s="91"/>
      <c r="IY26" s="104"/>
      <c r="IZ26" s="104"/>
      <c r="JA26" s="104"/>
      <c r="JB26" s="104"/>
      <c r="JC26" s="91"/>
      <c r="JD26" s="104"/>
      <c r="JE26" s="104"/>
      <c r="JF26" s="104"/>
      <c r="JG26" s="105"/>
      <c r="JH26" s="91"/>
      <c r="JI26" s="106"/>
      <c r="JJ26" s="104"/>
      <c r="JK26" s="104"/>
      <c r="JL26" s="105"/>
      <c r="JM26" s="95"/>
      <c r="JN26" s="107"/>
      <c r="JO26" s="79"/>
      <c r="JP26" s="106"/>
      <c r="JQ26" s="104"/>
      <c r="JR26" s="104"/>
      <c r="JS26" s="104"/>
      <c r="JT26" s="104"/>
      <c r="JU26" s="104"/>
      <c r="JV26" s="104"/>
      <c r="JW26" s="104"/>
      <c r="JX26" s="104"/>
      <c r="JY26" s="104"/>
      <c r="JZ26" s="104"/>
      <c r="KA26" s="104"/>
      <c r="KB26" s="104"/>
      <c r="KC26" s="104"/>
      <c r="KD26" s="104"/>
      <c r="KE26" s="104"/>
      <c r="KF26" s="104"/>
      <c r="KG26" s="104"/>
      <c r="KH26" s="104"/>
      <c r="KI26" s="104"/>
      <c r="KJ26" s="104"/>
      <c r="KK26" s="104"/>
      <c r="KL26" s="104"/>
      <c r="KM26" s="104"/>
      <c r="KN26" s="104"/>
      <c r="KO26" s="104"/>
      <c r="KP26" s="104"/>
      <c r="KQ26" s="104"/>
      <c r="KR26" s="104"/>
      <c r="KS26" s="104"/>
      <c r="KT26" s="104"/>
      <c r="KU26" s="104"/>
      <c r="KV26" s="104"/>
      <c r="KW26" s="104"/>
      <c r="KX26" s="104"/>
      <c r="KY26" s="104"/>
      <c r="KZ26" s="104"/>
      <c r="LA26" s="104"/>
      <c r="LB26" s="104"/>
      <c r="LC26" s="104"/>
      <c r="LD26" s="104"/>
      <c r="LE26" s="104"/>
      <c r="LF26" s="104"/>
      <c r="LG26" s="104"/>
      <c r="LH26" s="104"/>
      <c r="LI26" s="104"/>
      <c r="LJ26" s="104"/>
      <c r="LK26" s="104"/>
      <c r="LL26" s="104"/>
      <c r="LM26" s="104"/>
      <c r="LN26" s="104"/>
      <c r="LO26" s="104"/>
      <c r="LP26" s="104"/>
      <c r="LQ26" s="104"/>
      <c r="LR26" s="104"/>
      <c r="LS26" s="104"/>
      <c r="LT26" s="104"/>
      <c r="LU26" s="104"/>
      <c r="LV26" s="104"/>
      <c r="LW26" s="104"/>
      <c r="LX26" s="104"/>
      <c r="LY26" s="104"/>
      <c r="LZ26" s="104"/>
      <c r="MA26" s="104"/>
      <c r="MB26" s="104"/>
      <c r="MC26" s="104"/>
      <c r="MD26" s="104"/>
      <c r="ME26" s="104"/>
      <c r="MF26" s="104"/>
      <c r="MG26" s="104"/>
      <c r="MH26" s="104"/>
      <c r="MI26" s="104"/>
      <c r="MJ26" s="104"/>
      <c r="MK26" s="104"/>
      <c r="ML26" s="104"/>
      <c r="MM26" s="104"/>
      <c r="MN26" s="104"/>
      <c r="MO26" s="104"/>
      <c r="MP26" s="104"/>
      <c r="MQ26" s="104"/>
      <c r="MR26" s="104"/>
      <c r="MS26" s="104"/>
      <c r="MT26" s="104"/>
      <c r="MU26" s="104"/>
      <c r="MV26" s="104"/>
      <c r="MW26" s="104"/>
      <c r="MX26" s="104"/>
      <c r="MY26" s="104"/>
      <c r="MZ26" s="104"/>
      <c r="NA26" s="104"/>
      <c r="NB26" s="104"/>
      <c r="NC26" s="104"/>
      <c r="ND26" s="104"/>
      <c r="NE26" s="104"/>
      <c r="NF26" s="104"/>
      <c r="NG26" s="104"/>
      <c r="NH26" s="104"/>
      <c r="NI26" s="104"/>
      <c r="NJ26" s="104"/>
      <c r="NK26" s="104"/>
      <c r="NL26" s="104"/>
      <c r="NM26" s="104"/>
      <c r="NN26" s="104"/>
      <c r="NO26" s="104"/>
      <c r="NP26" s="104"/>
      <c r="NQ26" s="104"/>
      <c r="NR26" s="104"/>
      <c r="NS26" s="104"/>
      <c r="NT26" s="104"/>
      <c r="NU26" s="104"/>
      <c r="NV26" s="104"/>
      <c r="NW26" s="104"/>
      <c r="NX26" s="104"/>
      <c r="NY26" s="104"/>
      <c r="NZ26" s="104"/>
    </row>
    <row r="27" spans="1:390" ht="15.75" customHeight="1" x14ac:dyDescent="0.3">
      <c r="A27" s="214">
        <v>4360742053</v>
      </c>
      <c r="B27" s="165" t="s">
        <v>391</v>
      </c>
      <c r="C27" s="215"/>
      <c r="D27" s="216" t="s">
        <v>391</v>
      </c>
      <c r="E27" s="136" t="s">
        <v>641</v>
      </c>
      <c r="F27" s="125" t="s">
        <v>471</v>
      </c>
      <c r="G27" s="221" t="s">
        <v>465</v>
      </c>
      <c r="H27" s="219">
        <v>43320</v>
      </c>
      <c r="I27" s="216" t="s">
        <v>458</v>
      </c>
      <c r="J27" s="153" t="s">
        <v>397</v>
      </c>
      <c r="K27" s="153" t="s">
        <v>398</v>
      </c>
      <c r="L27" s="153" t="s">
        <v>398</v>
      </c>
      <c r="M27" s="164" t="s">
        <v>398</v>
      </c>
      <c r="N27" s="164" t="s">
        <v>398</v>
      </c>
      <c r="O27" s="164" t="s">
        <v>398</v>
      </c>
      <c r="P27" s="164" t="s">
        <v>398</v>
      </c>
      <c r="Q27" s="164" t="s">
        <v>398</v>
      </c>
      <c r="R27" s="164" t="s">
        <v>398</v>
      </c>
      <c r="S27" s="164" t="s">
        <v>398</v>
      </c>
      <c r="T27" s="164" t="s">
        <v>398</v>
      </c>
      <c r="U27" s="164" t="s">
        <v>398</v>
      </c>
      <c r="V27" s="164" t="s">
        <v>398</v>
      </c>
      <c r="W27" s="164" t="s">
        <v>398</v>
      </c>
      <c r="X27" s="164" t="s">
        <v>398</v>
      </c>
      <c r="Y27" s="164" t="s">
        <v>398</v>
      </c>
      <c r="Z27" s="164" t="s">
        <v>398</v>
      </c>
      <c r="AA27" s="164" t="s">
        <v>398</v>
      </c>
      <c r="AB27" s="167" t="s">
        <v>399</v>
      </c>
      <c r="AC27" s="219">
        <v>14441</v>
      </c>
      <c r="AD27" s="107"/>
      <c r="AE27" s="108" t="e">
        <f t="shared" si="0"/>
        <v>#NUM!</v>
      </c>
      <c r="AF27" s="107" t="s">
        <v>618</v>
      </c>
      <c r="AG27" s="79" t="s">
        <v>401</v>
      </c>
      <c r="AH27" s="87" t="s">
        <v>402</v>
      </c>
      <c r="AI27" s="110"/>
      <c r="AJ27" s="110"/>
      <c r="AK27" s="110"/>
      <c r="AL27" s="110"/>
      <c r="AM27" s="105"/>
      <c r="AN27" s="95">
        <v>3</v>
      </c>
      <c r="AO27" s="173" t="s">
        <v>398</v>
      </c>
      <c r="AP27" s="79"/>
      <c r="AQ27" s="106"/>
      <c r="AR27" s="91"/>
      <c r="AS27" s="104"/>
      <c r="AT27" s="104"/>
      <c r="AU27" s="104"/>
      <c r="AV27" s="104"/>
      <c r="AW27" s="91"/>
      <c r="AX27" s="104"/>
      <c r="AY27" s="104"/>
      <c r="AZ27" s="104"/>
      <c r="BA27" s="104"/>
      <c r="BB27" s="91"/>
      <c r="BC27" s="104"/>
      <c r="BD27" s="104"/>
      <c r="BE27" s="104"/>
      <c r="BF27" s="104"/>
      <c r="BG27" s="91"/>
      <c r="BH27" s="104"/>
      <c r="BI27" s="104"/>
      <c r="BJ27" s="104"/>
      <c r="BK27" s="104"/>
      <c r="BL27" s="91"/>
      <c r="BM27" s="104"/>
      <c r="BN27" s="104"/>
      <c r="BO27" s="104"/>
      <c r="BP27" s="104"/>
      <c r="BQ27" s="91"/>
      <c r="BR27" s="104"/>
      <c r="BS27" s="104"/>
      <c r="BT27" s="104"/>
      <c r="BU27" s="104"/>
      <c r="BV27" s="91"/>
      <c r="BW27" s="104"/>
      <c r="BX27" s="104"/>
      <c r="BY27" s="104"/>
      <c r="BZ27" s="104"/>
      <c r="CA27" s="91"/>
      <c r="CB27" s="104"/>
      <c r="CC27" s="104"/>
      <c r="CD27" s="104"/>
      <c r="CE27" s="104"/>
      <c r="CF27" s="91"/>
      <c r="CG27" s="104"/>
      <c r="CH27" s="104"/>
      <c r="CI27" s="104"/>
      <c r="CJ27" s="104"/>
      <c r="CK27" s="91"/>
      <c r="CL27" s="104"/>
      <c r="CM27" s="104"/>
      <c r="CN27" s="104"/>
      <c r="CO27" s="104"/>
      <c r="CP27" s="91"/>
      <c r="CQ27" s="104"/>
      <c r="CR27" s="104"/>
      <c r="CS27" s="104"/>
      <c r="CT27" s="104"/>
      <c r="CU27" s="91"/>
      <c r="CV27" s="104"/>
      <c r="CW27" s="104"/>
      <c r="CX27" s="104"/>
      <c r="CY27" s="104"/>
      <c r="CZ27" s="91"/>
      <c r="DA27" s="104"/>
      <c r="DB27" s="104"/>
      <c r="DC27" s="104"/>
      <c r="DD27" s="104"/>
      <c r="DE27" s="91"/>
      <c r="DF27" s="104"/>
      <c r="DG27" s="104"/>
      <c r="DH27" s="104"/>
      <c r="DI27" s="104"/>
      <c r="DJ27" s="91"/>
      <c r="DK27" s="104"/>
      <c r="DL27" s="104"/>
      <c r="DM27" s="104"/>
      <c r="DN27" s="104"/>
      <c r="DO27" s="91"/>
      <c r="DP27" s="104"/>
      <c r="DQ27" s="104"/>
      <c r="DR27" s="104"/>
      <c r="DS27" s="104"/>
      <c r="DT27" s="91"/>
      <c r="DU27" s="104"/>
      <c r="DV27" s="104"/>
      <c r="DW27" s="104"/>
      <c r="DX27" s="104"/>
      <c r="DY27" s="91"/>
      <c r="DZ27" s="104"/>
      <c r="EA27" s="104"/>
      <c r="EB27" s="104"/>
      <c r="EC27" s="104"/>
      <c r="ED27" s="91"/>
      <c r="EE27" s="104"/>
      <c r="EF27" s="104"/>
      <c r="EG27" s="104"/>
      <c r="EH27" s="104"/>
      <c r="EI27" s="91"/>
      <c r="EJ27" s="104"/>
      <c r="EK27" s="104"/>
      <c r="EL27" s="104"/>
      <c r="EM27" s="104"/>
      <c r="EN27" s="91"/>
      <c r="EO27" s="104"/>
      <c r="EP27" s="104"/>
      <c r="EQ27" s="104"/>
      <c r="ER27" s="104"/>
      <c r="ES27" s="91"/>
      <c r="ET27" s="104"/>
      <c r="EU27" s="104"/>
      <c r="EV27" s="104"/>
      <c r="EW27" s="104"/>
      <c r="EX27" s="91"/>
      <c r="EY27" s="104"/>
      <c r="EZ27" s="104"/>
      <c r="FA27" s="104"/>
      <c r="FB27" s="104"/>
      <c r="FC27" s="91"/>
      <c r="FD27" s="104"/>
      <c r="FE27" s="104"/>
      <c r="FF27" s="104"/>
      <c r="FG27" s="104"/>
      <c r="FH27" s="91"/>
      <c r="FI27" s="104"/>
      <c r="FJ27" s="104"/>
      <c r="FK27" s="104"/>
      <c r="FL27" s="104"/>
      <c r="FM27" s="104"/>
      <c r="FN27" s="104"/>
      <c r="FO27" s="104"/>
      <c r="FP27" s="104"/>
      <c r="FQ27" s="104"/>
      <c r="FR27" s="104"/>
      <c r="FS27" s="104"/>
      <c r="FT27" s="104"/>
      <c r="FU27" s="104"/>
      <c r="FV27" s="104"/>
      <c r="FW27" s="104"/>
      <c r="FX27" s="104"/>
      <c r="FY27" s="104"/>
      <c r="FZ27" s="104"/>
      <c r="GA27" s="104"/>
      <c r="GB27" s="104"/>
      <c r="GC27" s="104"/>
      <c r="GD27" s="104"/>
      <c r="GE27" s="104"/>
      <c r="GF27" s="104"/>
      <c r="GG27" s="104"/>
      <c r="GH27" s="104"/>
      <c r="GI27" s="104"/>
      <c r="GJ27" s="104"/>
      <c r="GK27" s="104"/>
      <c r="GL27" s="104"/>
      <c r="GM27" s="104"/>
      <c r="GN27" s="104"/>
      <c r="GO27" s="104"/>
      <c r="GP27" s="91"/>
      <c r="GQ27" s="104"/>
      <c r="GR27" s="104"/>
      <c r="GS27" s="104"/>
      <c r="GT27" s="104"/>
      <c r="GU27" s="91"/>
      <c r="GV27" s="104"/>
      <c r="GW27" s="104"/>
      <c r="GX27" s="104"/>
      <c r="GY27" s="104"/>
      <c r="GZ27" s="91"/>
      <c r="HA27" s="104"/>
      <c r="HB27" s="104"/>
      <c r="HC27" s="104"/>
      <c r="HD27" s="104"/>
      <c r="HE27" s="91"/>
      <c r="HF27" s="104"/>
      <c r="HG27" s="104"/>
      <c r="HH27" s="104"/>
      <c r="HI27" s="104"/>
      <c r="HJ27" s="91"/>
      <c r="HK27" s="104"/>
      <c r="HL27" s="104"/>
      <c r="HM27" s="104"/>
      <c r="HN27" s="104"/>
      <c r="HO27" s="91"/>
      <c r="HP27" s="104"/>
      <c r="HQ27" s="104"/>
      <c r="HR27" s="104"/>
      <c r="HS27" s="104"/>
      <c r="HT27" s="91"/>
      <c r="HU27" s="104"/>
      <c r="HV27" s="104"/>
      <c r="HW27" s="104"/>
      <c r="HX27" s="104"/>
      <c r="HY27" s="91"/>
      <c r="HZ27" s="104"/>
      <c r="IA27" s="104"/>
      <c r="IB27" s="104"/>
      <c r="IC27" s="104"/>
      <c r="ID27" s="91"/>
      <c r="IE27" s="104"/>
      <c r="IF27" s="104"/>
      <c r="IG27" s="104"/>
      <c r="IH27" s="104"/>
      <c r="II27" s="91"/>
      <c r="IJ27" s="104"/>
      <c r="IK27" s="104"/>
      <c r="IL27" s="104"/>
      <c r="IM27" s="104"/>
      <c r="IN27" s="91"/>
      <c r="IO27" s="104"/>
      <c r="IP27" s="104"/>
      <c r="IQ27" s="104"/>
      <c r="IR27" s="104"/>
      <c r="IS27" s="91"/>
      <c r="IT27" s="104"/>
      <c r="IU27" s="104"/>
      <c r="IV27" s="104"/>
      <c r="IW27" s="104"/>
      <c r="IX27" s="91"/>
      <c r="IY27" s="104"/>
      <c r="IZ27" s="104"/>
      <c r="JA27" s="104"/>
      <c r="JB27" s="104"/>
      <c r="JC27" s="91"/>
      <c r="JD27" s="104"/>
      <c r="JE27" s="104"/>
      <c r="JF27" s="104"/>
      <c r="JG27" s="105"/>
      <c r="JH27" s="91"/>
      <c r="JI27" s="106"/>
      <c r="JJ27" s="104"/>
      <c r="JK27" s="104"/>
      <c r="JL27" s="105"/>
      <c r="JM27" s="95"/>
      <c r="JN27" s="107"/>
      <c r="JO27" s="79"/>
      <c r="JP27" s="106"/>
      <c r="JQ27" s="104"/>
      <c r="JR27" s="104"/>
      <c r="JS27" s="104"/>
      <c r="JT27" s="104"/>
      <c r="JU27" s="104"/>
      <c r="JV27" s="104"/>
      <c r="JW27" s="104"/>
      <c r="JX27" s="104"/>
      <c r="JY27" s="104"/>
      <c r="JZ27" s="104"/>
      <c r="KA27" s="104"/>
      <c r="KB27" s="104"/>
      <c r="KC27" s="104"/>
      <c r="KD27" s="104"/>
      <c r="KE27" s="104"/>
      <c r="KF27" s="104"/>
      <c r="KG27" s="104"/>
      <c r="KH27" s="104"/>
      <c r="KI27" s="104"/>
      <c r="KJ27" s="104"/>
      <c r="KK27" s="104"/>
      <c r="KL27" s="104"/>
      <c r="KM27" s="104"/>
      <c r="KN27" s="104"/>
      <c r="KO27" s="104"/>
      <c r="KP27" s="104"/>
      <c r="KQ27" s="104"/>
      <c r="KR27" s="104"/>
      <c r="KS27" s="104"/>
      <c r="KT27" s="104"/>
      <c r="KU27" s="104"/>
      <c r="KV27" s="104"/>
      <c r="KW27" s="104"/>
      <c r="KX27" s="104"/>
      <c r="KY27" s="104"/>
      <c r="KZ27" s="104"/>
      <c r="LA27" s="104"/>
      <c r="LB27" s="104"/>
      <c r="LC27" s="104"/>
      <c r="LD27" s="104"/>
      <c r="LE27" s="104"/>
      <c r="LF27" s="104"/>
      <c r="LG27" s="104"/>
      <c r="LH27" s="104"/>
      <c r="LI27" s="104"/>
      <c r="LJ27" s="104"/>
      <c r="LK27" s="104"/>
      <c r="LL27" s="104"/>
      <c r="LM27" s="104"/>
      <c r="LN27" s="104"/>
      <c r="LO27" s="104"/>
      <c r="LP27" s="104"/>
      <c r="LQ27" s="104"/>
      <c r="LR27" s="104"/>
      <c r="LS27" s="104"/>
      <c r="LT27" s="104"/>
      <c r="LU27" s="104"/>
      <c r="LV27" s="104"/>
      <c r="LW27" s="104"/>
      <c r="LX27" s="104"/>
      <c r="LY27" s="104"/>
      <c r="LZ27" s="104"/>
      <c r="MA27" s="104"/>
      <c r="MB27" s="104"/>
      <c r="MC27" s="104"/>
      <c r="MD27" s="104"/>
      <c r="ME27" s="104"/>
      <c r="MF27" s="104"/>
      <c r="MG27" s="104"/>
      <c r="MH27" s="104"/>
      <c r="MI27" s="104"/>
      <c r="MJ27" s="104"/>
      <c r="MK27" s="104"/>
      <c r="ML27" s="104"/>
      <c r="MM27" s="104"/>
      <c r="MN27" s="104"/>
      <c r="MO27" s="104"/>
      <c r="MP27" s="104"/>
      <c r="MQ27" s="104"/>
      <c r="MR27" s="104"/>
      <c r="MS27" s="104"/>
      <c r="MT27" s="104"/>
      <c r="MU27" s="104"/>
      <c r="MV27" s="104"/>
      <c r="MW27" s="104"/>
      <c r="MX27" s="104"/>
      <c r="MY27" s="104"/>
      <c r="MZ27" s="104"/>
      <c r="NA27" s="104"/>
      <c r="NB27" s="104"/>
      <c r="NC27" s="104"/>
      <c r="ND27" s="104"/>
      <c r="NE27" s="104"/>
      <c r="NF27" s="104"/>
      <c r="NG27" s="104"/>
      <c r="NH27" s="104"/>
      <c r="NI27" s="104"/>
      <c r="NJ27" s="104"/>
      <c r="NK27" s="104"/>
      <c r="NL27" s="104"/>
      <c r="NM27" s="104"/>
      <c r="NN27" s="104"/>
      <c r="NO27" s="104"/>
      <c r="NP27" s="104"/>
      <c r="NQ27" s="104"/>
      <c r="NR27" s="104"/>
      <c r="NS27" s="104"/>
      <c r="NT27" s="104"/>
      <c r="NU27" s="104"/>
      <c r="NV27" s="104"/>
      <c r="NW27" s="104"/>
      <c r="NX27" s="104"/>
      <c r="NY27" s="104"/>
      <c r="NZ27" s="104"/>
    </row>
    <row r="28" spans="1:390" ht="15.75" customHeight="1" x14ac:dyDescent="0.3">
      <c r="A28" s="214">
        <v>4382000521</v>
      </c>
      <c r="B28" s="165" t="s">
        <v>391</v>
      </c>
      <c r="C28" s="215"/>
      <c r="D28" s="216" t="s">
        <v>391</v>
      </c>
      <c r="E28" s="136" t="s">
        <v>642</v>
      </c>
      <c r="F28" s="125" t="s">
        <v>422</v>
      </c>
      <c r="G28" s="221" t="s">
        <v>417</v>
      </c>
      <c r="H28" s="219">
        <v>43332</v>
      </c>
      <c r="I28" s="216" t="s">
        <v>458</v>
      </c>
      <c r="J28" s="153" t="s">
        <v>397</v>
      </c>
      <c r="K28" s="153" t="s">
        <v>398</v>
      </c>
      <c r="L28" s="153" t="s">
        <v>398</v>
      </c>
      <c r="M28" s="164" t="s">
        <v>398</v>
      </c>
      <c r="N28" s="164" t="s">
        <v>398</v>
      </c>
      <c r="O28" s="164" t="s">
        <v>398</v>
      </c>
      <c r="P28" s="164" t="s">
        <v>398</v>
      </c>
      <c r="Q28" s="164" t="s">
        <v>398</v>
      </c>
      <c r="R28" s="164" t="s">
        <v>398</v>
      </c>
      <c r="S28" s="164" t="s">
        <v>398</v>
      </c>
      <c r="T28" s="164" t="s">
        <v>398</v>
      </c>
      <c r="U28" s="164" t="s">
        <v>398</v>
      </c>
      <c r="V28" s="164" t="s">
        <v>398</v>
      </c>
      <c r="W28" s="164" t="s">
        <v>398</v>
      </c>
      <c r="X28" s="164" t="s">
        <v>398</v>
      </c>
      <c r="Y28" s="164" t="s">
        <v>398</v>
      </c>
      <c r="Z28" s="164" t="s">
        <v>398</v>
      </c>
      <c r="AA28" s="164" t="s">
        <v>398</v>
      </c>
      <c r="AB28" s="167" t="s">
        <v>399</v>
      </c>
      <c r="AC28" s="219">
        <v>14734</v>
      </c>
      <c r="AD28" s="107"/>
      <c r="AE28" s="108" t="e">
        <f t="shared" si="0"/>
        <v>#NUM!</v>
      </c>
      <c r="AF28" s="107" t="s">
        <v>602</v>
      </c>
      <c r="AG28" s="79" t="s">
        <v>401</v>
      </c>
      <c r="AH28" s="87" t="s">
        <v>402</v>
      </c>
      <c r="AI28" s="110"/>
      <c r="AJ28" s="110"/>
      <c r="AK28" s="110"/>
      <c r="AL28" s="110"/>
      <c r="AM28" s="105"/>
      <c r="AN28" s="95">
        <v>1</v>
      </c>
      <c r="AO28" s="173" t="s">
        <v>398</v>
      </c>
      <c r="AP28" s="79"/>
      <c r="AQ28" s="106"/>
      <c r="AR28" s="91"/>
      <c r="AS28" s="104"/>
      <c r="AT28" s="104"/>
      <c r="AU28" s="104"/>
      <c r="AV28" s="104"/>
      <c r="AW28" s="91"/>
      <c r="AX28" s="104"/>
      <c r="AY28" s="104"/>
      <c r="AZ28" s="104"/>
      <c r="BA28" s="104"/>
      <c r="BB28" s="91"/>
      <c r="BC28" s="104"/>
      <c r="BD28" s="104"/>
      <c r="BE28" s="104"/>
      <c r="BF28" s="104"/>
      <c r="BG28" s="91"/>
      <c r="BH28" s="104"/>
      <c r="BI28" s="104"/>
      <c r="BJ28" s="104"/>
      <c r="BK28" s="104"/>
      <c r="BL28" s="91"/>
      <c r="BM28" s="104"/>
      <c r="BN28" s="104"/>
      <c r="BO28" s="104"/>
      <c r="BP28" s="104"/>
      <c r="BQ28" s="91"/>
      <c r="BR28" s="104"/>
      <c r="BS28" s="104"/>
      <c r="BT28" s="104"/>
      <c r="BU28" s="104"/>
      <c r="BV28" s="91"/>
      <c r="BW28" s="104"/>
      <c r="BX28" s="104"/>
      <c r="BY28" s="104"/>
      <c r="BZ28" s="104"/>
      <c r="CA28" s="91"/>
      <c r="CB28" s="104"/>
      <c r="CC28" s="104"/>
      <c r="CD28" s="104"/>
      <c r="CE28" s="104"/>
      <c r="CF28" s="91"/>
      <c r="CG28" s="104"/>
      <c r="CH28" s="104"/>
      <c r="CI28" s="104"/>
      <c r="CJ28" s="104"/>
      <c r="CK28" s="91"/>
      <c r="CL28" s="104"/>
      <c r="CM28" s="104"/>
      <c r="CN28" s="104"/>
      <c r="CO28" s="104"/>
      <c r="CP28" s="91"/>
      <c r="CQ28" s="104"/>
      <c r="CR28" s="104"/>
      <c r="CS28" s="104"/>
      <c r="CT28" s="104"/>
      <c r="CU28" s="91"/>
      <c r="CV28" s="104"/>
      <c r="CW28" s="104"/>
      <c r="CX28" s="104"/>
      <c r="CY28" s="104"/>
      <c r="CZ28" s="91"/>
      <c r="DA28" s="104"/>
      <c r="DB28" s="104"/>
      <c r="DC28" s="104"/>
      <c r="DD28" s="104"/>
      <c r="DE28" s="91"/>
      <c r="DF28" s="104"/>
      <c r="DG28" s="104"/>
      <c r="DH28" s="104"/>
      <c r="DI28" s="104"/>
      <c r="DJ28" s="91"/>
      <c r="DK28" s="104"/>
      <c r="DL28" s="104"/>
      <c r="DM28" s="104"/>
      <c r="DN28" s="104"/>
      <c r="DO28" s="91"/>
      <c r="DP28" s="104"/>
      <c r="DQ28" s="104"/>
      <c r="DR28" s="104"/>
      <c r="DS28" s="104"/>
      <c r="DT28" s="91"/>
      <c r="DU28" s="104"/>
      <c r="DV28" s="104"/>
      <c r="DW28" s="104"/>
      <c r="DX28" s="104"/>
      <c r="DY28" s="91"/>
      <c r="DZ28" s="104"/>
      <c r="EA28" s="104"/>
      <c r="EB28" s="104"/>
      <c r="EC28" s="104"/>
      <c r="ED28" s="91"/>
      <c r="EE28" s="104"/>
      <c r="EF28" s="104"/>
      <c r="EG28" s="104"/>
      <c r="EH28" s="104"/>
      <c r="EI28" s="91"/>
      <c r="EJ28" s="104"/>
      <c r="EK28" s="104"/>
      <c r="EL28" s="104"/>
      <c r="EM28" s="104"/>
      <c r="EN28" s="91"/>
      <c r="EO28" s="104"/>
      <c r="EP28" s="104"/>
      <c r="EQ28" s="104"/>
      <c r="ER28" s="104"/>
      <c r="ES28" s="91"/>
      <c r="ET28" s="104"/>
      <c r="EU28" s="104"/>
      <c r="EV28" s="104"/>
      <c r="EW28" s="104"/>
      <c r="EX28" s="91"/>
      <c r="EY28" s="104"/>
      <c r="EZ28" s="104"/>
      <c r="FA28" s="104"/>
      <c r="FB28" s="104"/>
      <c r="FC28" s="91"/>
      <c r="FD28" s="104"/>
      <c r="FE28" s="104"/>
      <c r="FF28" s="104"/>
      <c r="FG28" s="104"/>
      <c r="FH28" s="91"/>
      <c r="FI28" s="104"/>
      <c r="FJ28" s="104"/>
      <c r="FK28" s="104"/>
      <c r="FL28" s="104"/>
      <c r="FM28" s="104"/>
      <c r="FN28" s="104"/>
      <c r="FO28" s="104"/>
      <c r="FP28" s="104"/>
      <c r="FQ28" s="104"/>
      <c r="FR28" s="104"/>
      <c r="FS28" s="104"/>
      <c r="FT28" s="104"/>
      <c r="FU28" s="104"/>
      <c r="FV28" s="104"/>
      <c r="FW28" s="104"/>
      <c r="FX28" s="104"/>
      <c r="FY28" s="104"/>
      <c r="FZ28" s="104"/>
      <c r="GA28" s="104"/>
      <c r="GB28" s="104"/>
      <c r="GC28" s="104"/>
      <c r="GD28" s="104"/>
      <c r="GE28" s="104"/>
      <c r="GF28" s="104"/>
      <c r="GG28" s="104"/>
      <c r="GH28" s="104"/>
      <c r="GI28" s="104"/>
      <c r="GJ28" s="104"/>
      <c r="GK28" s="104"/>
      <c r="GL28" s="104"/>
      <c r="GM28" s="104"/>
      <c r="GN28" s="104"/>
      <c r="GO28" s="104"/>
      <c r="GP28" s="91"/>
      <c r="GQ28" s="104"/>
      <c r="GR28" s="104"/>
      <c r="GS28" s="104"/>
      <c r="GT28" s="104"/>
      <c r="GU28" s="91"/>
      <c r="GV28" s="104"/>
      <c r="GW28" s="104"/>
      <c r="GX28" s="104"/>
      <c r="GY28" s="104"/>
      <c r="GZ28" s="91"/>
      <c r="HA28" s="104"/>
      <c r="HB28" s="104"/>
      <c r="HC28" s="104"/>
      <c r="HD28" s="104"/>
      <c r="HE28" s="91"/>
      <c r="HF28" s="104"/>
      <c r="HG28" s="104"/>
      <c r="HH28" s="104"/>
      <c r="HI28" s="104"/>
      <c r="HJ28" s="91"/>
      <c r="HK28" s="104"/>
      <c r="HL28" s="104"/>
      <c r="HM28" s="104"/>
      <c r="HN28" s="104"/>
      <c r="HO28" s="91"/>
      <c r="HP28" s="104"/>
      <c r="HQ28" s="104"/>
      <c r="HR28" s="104"/>
      <c r="HS28" s="104"/>
      <c r="HT28" s="91"/>
      <c r="HU28" s="104"/>
      <c r="HV28" s="104"/>
      <c r="HW28" s="104"/>
      <c r="HX28" s="104"/>
      <c r="HY28" s="91"/>
      <c r="HZ28" s="104"/>
      <c r="IA28" s="104"/>
      <c r="IB28" s="104"/>
      <c r="IC28" s="104"/>
      <c r="ID28" s="91"/>
      <c r="IE28" s="104"/>
      <c r="IF28" s="104"/>
      <c r="IG28" s="104"/>
      <c r="IH28" s="104"/>
      <c r="II28" s="91"/>
      <c r="IJ28" s="104"/>
      <c r="IK28" s="104"/>
      <c r="IL28" s="104"/>
      <c r="IM28" s="104"/>
      <c r="IN28" s="91"/>
      <c r="IO28" s="104"/>
      <c r="IP28" s="104"/>
      <c r="IQ28" s="104"/>
      <c r="IR28" s="104"/>
      <c r="IS28" s="91"/>
      <c r="IT28" s="104"/>
      <c r="IU28" s="104"/>
      <c r="IV28" s="104"/>
      <c r="IW28" s="104"/>
      <c r="IX28" s="91"/>
      <c r="IY28" s="104"/>
      <c r="IZ28" s="104"/>
      <c r="JA28" s="104"/>
      <c r="JB28" s="104"/>
      <c r="JC28" s="91"/>
      <c r="JD28" s="104"/>
      <c r="JE28" s="104"/>
      <c r="JF28" s="104"/>
      <c r="JG28" s="105"/>
      <c r="JH28" s="91"/>
      <c r="JI28" s="106"/>
      <c r="JJ28" s="104"/>
      <c r="JK28" s="104"/>
      <c r="JL28" s="105"/>
      <c r="JM28" s="95"/>
      <c r="JN28" s="107"/>
      <c r="JO28" s="79"/>
      <c r="JP28" s="106"/>
      <c r="JQ28" s="104"/>
      <c r="JR28" s="104"/>
      <c r="JS28" s="104"/>
      <c r="JT28" s="104"/>
      <c r="JU28" s="104"/>
      <c r="JV28" s="104"/>
      <c r="JW28" s="104"/>
      <c r="JX28" s="104"/>
      <c r="JY28" s="104"/>
      <c r="JZ28" s="104"/>
      <c r="KA28" s="104"/>
      <c r="KB28" s="104"/>
      <c r="KC28" s="104"/>
      <c r="KD28" s="104"/>
      <c r="KE28" s="104"/>
      <c r="KF28" s="104"/>
      <c r="KG28" s="104"/>
      <c r="KH28" s="104"/>
      <c r="KI28" s="104"/>
      <c r="KJ28" s="104"/>
      <c r="KK28" s="104"/>
      <c r="KL28" s="104"/>
      <c r="KM28" s="104"/>
      <c r="KN28" s="104"/>
      <c r="KO28" s="104"/>
      <c r="KP28" s="104"/>
      <c r="KQ28" s="104"/>
      <c r="KR28" s="104"/>
      <c r="KS28" s="104"/>
      <c r="KT28" s="104"/>
      <c r="KU28" s="104"/>
      <c r="KV28" s="104"/>
      <c r="KW28" s="104"/>
      <c r="KX28" s="104"/>
      <c r="KY28" s="104"/>
      <c r="KZ28" s="104"/>
      <c r="LA28" s="104"/>
      <c r="LB28" s="104"/>
      <c r="LC28" s="104"/>
      <c r="LD28" s="104"/>
      <c r="LE28" s="104"/>
      <c r="LF28" s="104"/>
      <c r="LG28" s="104"/>
      <c r="LH28" s="104"/>
      <c r="LI28" s="104"/>
      <c r="LJ28" s="104"/>
      <c r="LK28" s="104"/>
      <c r="LL28" s="104"/>
      <c r="LM28" s="104"/>
      <c r="LN28" s="104"/>
      <c r="LO28" s="104"/>
      <c r="LP28" s="104"/>
      <c r="LQ28" s="104"/>
      <c r="LR28" s="104"/>
      <c r="LS28" s="104"/>
      <c r="LT28" s="104"/>
      <c r="LU28" s="104"/>
      <c r="LV28" s="104"/>
      <c r="LW28" s="104"/>
      <c r="LX28" s="104"/>
      <c r="LY28" s="104"/>
      <c r="LZ28" s="104"/>
      <c r="MA28" s="104"/>
      <c r="MB28" s="104"/>
      <c r="MC28" s="104"/>
      <c r="MD28" s="104"/>
      <c r="ME28" s="104"/>
      <c r="MF28" s="104"/>
      <c r="MG28" s="104"/>
      <c r="MH28" s="104"/>
      <c r="MI28" s="104"/>
      <c r="MJ28" s="104"/>
      <c r="MK28" s="104"/>
      <c r="ML28" s="104"/>
      <c r="MM28" s="104"/>
      <c r="MN28" s="104"/>
      <c r="MO28" s="104"/>
      <c r="MP28" s="104"/>
      <c r="MQ28" s="104"/>
      <c r="MR28" s="104"/>
      <c r="MS28" s="104"/>
      <c r="MT28" s="104"/>
      <c r="MU28" s="104"/>
      <c r="MV28" s="104"/>
      <c r="MW28" s="104"/>
      <c r="MX28" s="104"/>
      <c r="MY28" s="104"/>
      <c r="MZ28" s="104"/>
      <c r="NA28" s="104"/>
      <c r="NB28" s="104"/>
      <c r="NC28" s="104"/>
      <c r="ND28" s="104"/>
      <c r="NE28" s="104"/>
      <c r="NF28" s="104"/>
      <c r="NG28" s="104"/>
      <c r="NH28" s="104"/>
      <c r="NI28" s="104"/>
      <c r="NJ28" s="104"/>
      <c r="NK28" s="104"/>
      <c r="NL28" s="104"/>
      <c r="NM28" s="104"/>
      <c r="NN28" s="104"/>
      <c r="NO28" s="104"/>
      <c r="NP28" s="104"/>
      <c r="NQ28" s="104"/>
      <c r="NR28" s="104"/>
      <c r="NS28" s="104"/>
      <c r="NT28" s="104"/>
      <c r="NU28" s="104"/>
      <c r="NV28" s="104"/>
      <c r="NW28" s="104"/>
      <c r="NX28" s="104"/>
      <c r="NY28" s="104"/>
      <c r="NZ28" s="104"/>
    </row>
    <row r="29" spans="1:390" ht="15.75" customHeight="1" x14ac:dyDescent="0.3">
      <c r="A29" s="214">
        <v>6286641513</v>
      </c>
      <c r="B29" s="165" t="s">
        <v>391</v>
      </c>
      <c r="C29" s="215"/>
      <c r="D29" s="216" t="s">
        <v>391</v>
      </c>
      <c r="E29" s="136" t="s">
        <v>643</v>
      </c>
      <c r="F29" s="125" t="s">
        <v>461</v>
      </c>
      <c r="G29" s="221" t="s">
        <v>441</v>
      </c>
      <c r="H29" s="219">
        <v>43335</v>
      </c>
      <c r="I29" s="216" t="s">
        <v>513</v>
      </c>
      <c r="J29" s="153" t="s">
        <v>397</v>
      </c>
      <c r="K29" s="153" t="s">
        <v>398</v>
      </c>
      <c r="L29" s="153" t="s">
        <v>398</v>
      </c>
      <c r="M29" s="164" t="s">
        <v>398</v>
      </c>
      <c r="N29" s="164" t="s">
        <v>398</v>
      </c>
      <c r="O29" s="164" t="s">
        <v>398</v>
      </c>
      <c r="P29" s="164" t="s">
        <v>398</v>
      </c>
      <c r="Q29" s="164" t="s">
        <v>398</v>
      </c>
      <c r="R29" s="164" t="s">
        <v>398</v>
      </c>
      <c r="S29" s="164" t="s">
        <v>398</v>
      </c>
      <c r="T29" s="164" t="s">
        <v>398</v>
      </c>
      <c r="U29" s="164" t="s">
        <v>398</v>
      </c>
      <c r="V29" s="164" t="s">
        <v>398</v>
      </c>
      <c r="W29" s="164" t="s">
        <v>398</v>
      </c>
      <c r="X29" s="164" t="s">
        <v>398</v>
      </c>
      <c r="Y29" s="164" t="s">
        <v>398</v>
      </c>
      <c r="Z29" s="164" t="s">
        <v>398</v>
      </c>
      <c r="AA29" s="164" t="s">
        <v>398</v>
      </c>
      <c r="AB29" s="167" t="s">
        <v>399</v>
      </c>
      <c r="AC29" s="219">
        <v>20125</v>
      </c>
      <c r="AD29" s="107"/>
      <c r="AE29" s="108" t="e">
        <f t="shared" si="0"/>
        <v>#NUM!</v>
      </c>
      <c r="AF29" s="107" t="s">
        <v>644</v>
      </c>
      <c r="AG29" s="79" t="s">
        <v>401</v>
      </c>
      <c r="AH29" s="87" t="s">
        <v>391</v>
      </c>
      <c r="AI29" s="110"/>
      <c r="AJ29" s="110"/>
      <c r="AK29" s="110"/>
      <c r="AL29" s="110"/>
      <c r="AM29" s="105"/>
      <c r="AN29" s="95">
        <v>3</v>
      </c>
      <c r="AO29" s="173" t="s">
        <v>398</v>
      </c>
      <c r="AP29" s="79"/>
      <c r="AQ29" s="106"/>
      <c r="AR29" s="91"/>
      <c r="AS29" s="104"/>
      <c r="AT29" s="104"/>
      <c r="AU29" s="104"/>
      <c r="AV29" s="104"/>
      <c r="AW29" s="91"/>
      <c r="AX29" s="104"/>
      <c r="AY29" s="104"/>
      <c r="AZ29" s="104"/>
      <c r="BA29" s="104"/>
      <c r="BB29" s="91"/>
      <c r="BC29" s="104"/>
      <c r="BD29" s="104"/>
      <c r="BE29" s="104"/>
      <c r="BF29" s="104"/>
      <c r="BG29" s="91"/>
      <c r="BH29" s="104"/>
      <c r="BI29" s="104"/>
      <c r="BJ29" s="104"/>
      <c r="BK29" s="104"/>
      <c r="BL29" s="91"/>
      <c r="BM29" s="104"/>
      <c r="BN29" s="104"/>
      <c r="BO29" s="104"/>
      <c r="BP29" s="104"/>
      <c r="BQ29" s="91"/>
      <c r="BR29" s="104"/>
      <c r="BS29" s="104"/>
      <c r="BT29" s="104"/>
      <c r="BU29" s="104"/>
      <c r="BV29" s="91"/>
      <c r="BW29" s="104"/>
      <c r="BX29" s="104"/>
      <c r="BY29" s="104"/>
      <c r="BZ29" s="104"/>
      <c r="CA29" s="91"/>
      <c r="CB29" s="104"/>
      <c r="CC29" s="104"/>
      <c r="CD29" s="104"/>
      <c r="CE29" s="104"/>
      <c r="CF29" s="91"/>
      <c r="CG29" s="104"/>
      <c r="CH29" s="104"/>
      <c r="CI29" s="104"/>
      <c r="CJ29" s="104"/>
      <c r="CK29" s="91"/>
      <c r="CL29" s="104"/>
      <c r="CM29" s="104"/>
      <c r="CN29" s="104"/>
      <c r="CO29" s="104"/>
      <c r="CP29" s="91"/>
      <c r="CQ29" s="104"/>
      <c r="CR29" s="104"/>
      <c r="CS29" s="104"/>
      <c r="CT29" s="104"/>
      <c r="CU29" s="91"/>
      <c r="CV29" s="104"/>
      <c r="CW29" s="104"/>
      <c r="CX29" s="104"/>
      <c r="CY29" s="104"/>
      <c r="CZ29" s="91"/>
      <c r="DA29" s="104"/>
      <c r="DB29" s="104"/>
      <c r="DC29" s="104"/>
      <c r="DD29" s="104"/>
      <c r="DE29" s="91"/>
      <c r="DF29" s="104"/>
      <c r="DG29" s="104"/>
      <c r="DH29" s="104"/>
      <c r="DI29" s="104"/>
      <c r="DJ29" s="91"/>
      <c r="DK29" s="104"/>
      <c r="DL29" s="104"/>
      <c r="DM29" s="104"/>
      <c r="DN29" s="104"/>
      <c r="DO29" s="91"/>
      <c r="DP29" s="104"/>
      <c r="DQ29" s="104"/>
      <c r="DR29" s="104"/>
      <c r="DS29" s="104"/>
      <c r="DT29" s="91"/>
      <c r="DU29" s="104"/>
      <c r="DV29" s="104"/>
      <c r="DW29" s="104"/>
      <c r="DX29" s="104"/>
      <c r="DY29" s="91"/>
      <c r="DZ29" s="104"/>
      <c r="EA29" s="104"/>
      <c r="EB29" s="104"/>
      <c r="EC29" s="104"/>
      <c r="ED29" s="91"/>
      <c r="EE29" s="104"/>
      <c r="EF29" s="104"/>
      <c r="EG29" s="104"/>
      <c r="EH29" s="104"/>
      <c r="EI29" s="91"/>
      <c r="EJ29" s="104"/>
      <c r="EK29" s="104"/>
      <c r="EL29" s="104"/>
      <c r="EM29" s="104"/>
      <c r="EN29" s="91"/>
      <c r="EO29" s="104"/>
      <c r="EP29" s="104"/>
      <c r="EQ29" s="104"/>
      <c r="ER29" s="104"/>
      <c r="ES29" s="91"/>
      <c r="ET29" s="104"/>
      <c r="EU29" s="104"/>
      <c r="EV29" s="104"/>
      <c r="EW29" s="104"/>
      <c r="EX29" s="91"/>
      <c r="EY29" s="104"/>
      <c r="EZ29" s="104"/>
      <c r="FA29" s="104"/>
      <c r="FB29" s="104"/>
      <c r="FC29" s="91"/>
      <c r="FD29" s="104"/>
      <c r="FE29" s="104"/>
      <c r="FF29" s="104"/>
      <c r="FG29" s="104"/>
      <c r="FH29" s="91"/>
      <c r="FI29" s="104"/>
      <c r="FJ29" s="104"/>
      <c r="FK29" s="104"/>
      <c r="FL29" s="104"/>
      <c r="FM29" s="104"/>
      <c r="FN29" s="104"/>
      <c r="FO29" s="104"/>
      <c r="FP29" s="104"/>
      <c r="FQ29" s="104"/>
      <c r="FR29" s="104"/>
      <c r="FS29" s="104"/>
      <c r="FT29" s="104"/>
      <c r="FU29" s="104"/>
      <c r="FV29" s="104"/>
      <c r="FW29" s="104"/>
      <c r="FX29" s="104"/>
      <c r="FY29" s="104"/>
      <c r="FZ29" s="104"/>
      <c r="GA29" s="104"/>
      <c r="GB29" s="104"/>
      <c r="GC29" s="104"/>
      <c r="GD29" s="104"/>
      <c r="GE29" s="104"/>
      <c r="GF29" s="104"/>
      <c r="GG29" s="104"/>
      <c r="GH29" s="104"/>
      <c r="GI29" s="104"/>
      <c r="GJ29" s="104"/>
      <c r="GK29" s="104"/>
      <c r="GL29" s="104"/>
      <c r="GM29" s="104"/>
      <c r="GN29" s="104"/>
      <c r="GO29" s="104"/>
      <c r="GP29" s="91"/>
      <c r="GQ29" s="104"/>
      <c r="GR29" s="104"/>
      <c r="GS29" s="104"/>
      <c r="GT29" s="104"/>
      <c r="GU29" s="91"/>
      <c r="GV29" s="104"/>
      <c r="GW29" s="104"/>
      <c r="GX29" s="104"/>
      <c r="GY29" s="104"/>
      <c r="GZ29" s="91"/>
      <c r="HA29" s="104"/>
      <c r="HB29" s="104"/>
      <c r="HC29" s="104"/>
      <c r="HD29" s="104"/>
      <c r="HE29" s="91"/>
      <c r="HF29" s="104"/>
      <c r="HG29" s="104"/>
      <c r="HH29" s="104"/>
      <c r="HI29" s="104"/>
      <c r="HJ29" s="91"/>
      <c r="HK29" s="104"/>
      <c r="HL29" s="104"/>
      <c r="HM29" s="104"/>
      <c r="HN29" s="104"/>
      <c r="HO29" s="91"/>
      <c r="HP29" s="104"/>
      <c r="HQ29" s="104"/>
      <c r="HR29" s="104"/>
      <c r="HS29" s="104"/>
      <c r="HT29" s="91"/>
      <c r="HU29" s="104"/>
      <c r="HV29" s="104"/>
      <c r="HW29" s="104"/>
      <c r="HX29" s="104"/>
      <c r="HY29" s="91"/>
      <c r="HZ29" s="104"/>
      <c r="IA29" s="104"/>
      <c r="IB29" s="104"/>
      <c r="IC29" s="104"/>
      <c r="ID29" s="91"/>
      <c r="IE29" s="104"/>
      <c r="IF29" s="104"/>
      <c r="IG29" s="104"/>
      <c r="IH29" s="104"/>
      <c r="II29" s="91"/>
      <c r="IJ29" s="104"/>
      <c r="IK29" s="104"/>
      <c r="IL29" s="104"/>
      <c r="IM29" s="104"/>
      <c r="IN29" s="91"/>
      <c r="IO29" s="104"/>
      <c r="IP29" s="104"/>
      <c r="IQ29" s="104"/>
      <c r="IR29" s="104"/>
      <c r="IS29" s="91"/>
      <c r="IT29" s="104"/>
      <c r="IU29" s="104"/>
      <c r="IV29" s="104"/>
      <c r="IW29" s="104"/>
      <c r="IX29" s="91"/>
      <c r="IY29" s="104"/>
      <c r="IZ29" s="104"/>
      <c r="JA29" s="104"/>
      <c r="JB29" s="104"/>
      <c r="JC29" s="91"/>
      <c r="JD29" s="104"/>
      <c r="JE29" s="104"/>
      <c r="JF29" s="104"/>
      <c r="JG29" s="105"/>
      <c r="JH29" s="91"/>
      <c r="JI29" s="106"/>
      <c r="JJ29" s="104"/>
      <c r="JK29" s="104"/>
      <c r="JL29" s="105"/>
      <c r="JM29" s="95"/>
      <c r="JN29" s="107"/>
      <c r="JO29" s="79"/>
      <c r="JP29" s="106"/>
      <c r="JQ29" s="104"/>
      <c r="JR29" s="104"/>
      <c r="JS29" s="104"/>
      <c r="JT29" s="104"/>
      <c r="JU29" s="104"/>
      <c r="JV29" s="104"/>
      <c r="JW29" s="104"/>
      <c r="JX29" s="104"/>
      <c r="JY29" s="104"/>
      <c r="JZ29" s="104"/>
      <c r="KA29" s="104"/>
      <c r="KB29" s="104"/>
      <c r="KC29" s="104"/>
      <c r="KD29" s="104"/>
      <c r="KE29" s="104"/>
      <c r="KF29" s="104"/>
      <c r="KG29" s="104"/>
      <c r="KH29" s="104"/>
      <c r="KI29" s="104"/>
      <c r="KJ29" s="104"/>
      <c r="KK29" s="104"/>
      <c r="KL29" s="104"/>
      <c r="KM29" s="104"/>
      <c r="KN29" s="104"/>
      <c r="KO29" s="104"/>
      <c r="KP29" s="104"/>
      <c r="KQ29" s="104"/>
      <c r="KR29" s="104"/>
      <c r="KS29" s="104"/>
      <c r="KT29" s="104"/>
      <c r="KU29" s="104"/>
      <c r="KV29" s="104"/>
      <c r="KW29" s="104"/>
      <c r="KX29" s="104"/>
      <c r="KY29" s="104"/>
      <c r="KZ29" s="104"/>
      <c r="LA29" s="104"/>
      <c r="LB29" s="104"/>
      <c r="LC29" s="104"/>
      <c r="LD29" s="104"/>
      <c r="LE29" s="104"/>
      <c r="LF29" s="104"/>
      <c r="LG29" s="104"/>
      <c r="LH29" s="104"/>
      <c r="LI29" s="104"/>
      <c r="LJ29" s="104"/>
      <c r="LK29" s="104"/>
      <c r="LL29" s="104"/>
      <c r="LM29" s="104"/>
      <c r="LN29" s="104"/>
      <c r="LO29" s="104"/>
      <c r="LP29" s="104"/>
      <c r="LQ29" s="104"/>
      <c r="LR29" s="104"/>
      <c r="LS29" s="104"/>
      <c r="LT29" s="104"/>
      <c r="LU29" s="104"/>
      <c r="LV29" s="104"/>
      <c r="LW29" s="104"/>
      <c r="LX29" s="104"/>
      <c r="LY29" s="104"/>
      <c r="LZ29" s="104"/>
      <c r="MA29" s="104"/>
      <c r="MB29" s="104"/>
      <c r="MC29" s="104"/>
      <c r="MD29" s="104"/>
      <c r="ME29" s="104"/>
      <c r="MF29" s="104"/>
      <c r="MG29" s="104"/>
      <c r="MH29" s="104"/>
      <c r="MI29" s="104"/>
      <c r="MJ29" s="104"/>
      <c r="MK29" s="104"/>
      <c r="ML29" s="104"/>
      <c r="MM29" s="104"/>
      <c r="MN29" s="104"/>
      <c r="MO29" s="104"/>
      <c r="MP29" s="104"/>
      <c r="MQ29" s="104"/>
      <c r="MR29" s="104"/>
      <c r="MS29" s="104"/>
      <c r="MT29" s="104"/>
      <c r="MU29" s="104"/>
      <c r="MV29" s="104"/>
      <c r="MW29" s="104"/>
      <c r="MX29" s="104"/>
      <c r="MY29" s="104"/>
      <c r="MZ29" s="104"/>
      <c r="NA29" s="104"/>
      <c r="NB29" s="104"/>
      <c r="NC29" s="104"/>
      <c r="ND29" s="104"/>
      <c r="NE29" s="104"/>
      <c r="NF29" s="104"/>
      <c r="NG29" s="104"/>
      <c r="NH29" s="104"/>
      <c r="NI29" s="104"/>
      <c r="NJ29" s="104"/>
      <c r="NK29" s="104"/>
      <c r="NL29" s="104"/>
      <c r="NM29" s="104"/>
      <c r="NN29" s="104"/>
      <c r="NO29" s="104"/>
      <c r="NP29" s="104"/>
      <c r="NQ29" s="104"/>
      <c r="NR29" s="104"/>
      <c r="NS29" s="104"/>
      <c r="NT29" s="104"/>
      <c r="NU29" s="104"/>
      <c r="NV29" s="104"/>
      <c r="NW29" s="104"/>
      <c r="NX29" s="104"/>
      <c r="NY29" s="104"/>
      <c r="NZ29" s="104"/>
    </row>
    <row r="30" spans="1:390" ht="15.75" customHeight="1" x14ac:dyDescent="0.3">
      <c r="A30" s="214">
        <v>4343725359</v>
      </c>
      <c r="B30" s="165" t="s">
        <v>391</v>
      </c>
      <c r="C30" s="215"/>
      <c r="D30" s="216" t="s">
        <v>391</v>
      </c>
      <c r="E30" s="136" t="s">
        <v>645</v>
      </c>
      <c r="F30" s="125" t="s">
        <v>395</v>
      </c>
      <c r="G30" s="221" t="s">
        <v>442</v>
      </c>
      <c r="H30" s="219">
        <v>43336</v>
      </c>
      <c r="I30" s="216" t="s">
        <v>458</v>
      </c>
      <c r="J30" s="153" t="s">
        <v>397</v>
      </c>
      <c r="K30" s="153" t="s">
        <v>398</v>
      </c>
      <c r="L30" s="153" t="s">
        <v>398</v>
      </c>
      <c r="M30" s="164" t="s">
        <v>398</v>
      </c>
      <c r="N30" s="164" t="s">
        <v>398</v>
      </c>
      <c r="O30" s="164" t="s">
        <v>398</v>
      </c>
      <c r="P30" s="164" t="s">
        <v>398</v>
      </c>
      <c r="Q30" s="164" t="s">
        <v>398</v>
      </c>
      <c r="R30" s="164" t="s">
        <v>398</v>
      </c>
      <c r="S30" s="164" t="s">
        <v>398</v>
      </c>
      <c r="T30" s="164" t="s">
        <v>398</v>
      </c>
      <c r="U30" s="164" t="s">
        <v>398</v>
      </c>
      <c r="V30" s="164" t="s">
        <v>398</v>
      </c>
      <c r="W30" s="164" t="s">
        <v>398</v>
      </c>
      <c r="X30" s="164" t="s">
        <v>398</v>
      </c>
      <c r="Y30" s="164" t="s">
        <v>398</v>
      </c>
      <c r="Z30" s="164" t="s">
        <v>398</v>
      </c>
      <c r="AA30" s="164" t="s">
        <v>398</v>
      </c>
      <c r="AB30" s="167" t="s">
        <v>399</v>
      </c>
      <c r="AC30" s="219">
        <v>12733</v>
      </c>
      <c r="AD30" s="107"/>
      <c r="AE30" s="108" t="e">
        <f t="shared" si="0"/>
        <v>#NUM!</v>
      </c>
      <c r="AF30" s="107" t="s">
        <v>602</v>
      </c>
      <c r="AG30" s="79" t="s">
        <v>401</v>
      </c>
      <c r="AH30" s="87" t="s">
        <v>402</v>
      </c>
      <c r="AI30" s="110"/>
      <c r="AJ30" s="110"/>
      <c r="AK30" s="110"/>
      <c r="AL30" s="110"/>
      <c r="AM30" s="105"/>
      <c r="AN30" s="95">
        <v>2</v>
      </c>
      <c r="AO30" s="173" t="s">
        <v>398</v>
      </c>
      <c r="AP30" s="79"/>
      <c r="AQ30" s="106"/>
      <c r="AR30" s="91"/>
      <c r="AS30" s="104"/>
      <c r="AT30" s="104"/>
      <c r="AU30" s="104"/>
      <c r="AV30" s="104"/>
      <c r="AW30" s="91"/>
      <c r="AX30" s="104"/>
      <c r="AY30" s="104"/>
      <c r="AZ30" s="104"/>
      <c r="BA30" s="104"/>
      <c r="BB30" s="91"/>
      <c r="BC30" s="104"/>
      <c r="BD30" s="104"/>
      <c r="BE30" s="104"/>
      <c r="BF30" s="104"/>
      <c r="BG30" s="91"/>
      <c r="BH30" s="104"/>
      <c r="BI30" s="104"/>
      <c r="BJ30" s="104"/>
      <c r="BK30" s="104"/>
      <c r="BL30" s="91"/>
      <c r="BM30" s="104"/>
      <c r="BN30" s="104"/>
      <c r="BO30" s="104"/>
      <c r="BP30" s="104"/>
      <c r="BQ30" s="91"/>
      <c r="BR30" s="104"/>
      <c r="BS30" s="104"/>
      <c r="BT30" s="104"/>
      <c r="BU30" s="104"/>
      <c r="BV30" s="91"/>
      <c r="BW30" s="104"/>
      <c r="BX30" s="104"/>
      <c r="BY30" s="104"/>
      <c r="BZ30" s="104"/>
      <c r="CA30" s="91"/>
      <c r="CB30" s="104"/>
      <c r="CC30" s="104"/>
      <c r="CD30" s="104"/>
      <c r="CE30" s="104"/>
      <c r="CF30" s="91"/>
      <c r="CG30" s="104"/>
      <c r="CH30" s="104"/>
      <c r="CI30" s="104"/>
      <c r="CJ30" s="104"/>
      <c r="CK30" s="91"/>
      <c r="CL30" s="104"/>
      <c r="CM30" s="104"/>
      <c r="CN30" s="104"/>
      <c r="CO30" s="104"/>
      <c r="CP30" s="91"/>
      <c r="CQ30" s="104"/>
      <c r="CR30" s="104"/>
      <c r="CS30" s="104"/>
      <c r="CT30" s="104"/>
      <c r="CU30" s="91"/>
      <c r="CV30" s="104"/>
      <c r="CW30" s="104"/>
      <c r="CX30" s="104"/>
      <c r="CY30" s="104"/>
      <c r="CZ30" s="91"/>
      <c r="DA30" s="104"/>
      <c r="DB30" s="104"/>
      <c r="DC30" s="104"/>
      <c r="DD30" s="104"/>
      <c r="DE30" s="91"/>
      <c r="DF30" s="104"/>
      <c r="DG30" s="104"/>
      <c r="DH30" s="104"/>
      <c r="DI30" s="104"/>
      <c r="DJ30" s="91"/>
      <c r="DK30" s="104"/>
      <c r="DL30" s="104"/>
      <c r="DM30" s="104"/>
      <c r="DN30" s="104"/>
      <c r="DO30" s="91"/>
      <c r="DP30" s="104"/>
      <c r="DQ30" s="104"/>
      <c r="DR30" s="104"/>
      <c r="DS30" s="104"/>
      <c r="DT30" s="91"/>
      <c r="DU30" s="104"/>
      <c r="DV30" s="104"/>
      <c r="DW30" s="104"/>
      <c r="DX30" s="104"/>
      <c r="DY30" s="91"/>
      <c r="DZ30" s="104"/>
      <c r="EA30" s="104"/>
      <c r="EB30" s="104"/>
      <c r="EC30" s="104"/>
      <c r="ED30" s="91"/>
      <c r="EE30" s="104"/>
      <c r="EF30" s="104"/>
      <c r="EG30" s="104"/>
      <c r="EH30" s="104"/>
      <c r="EI30" s="91"/>
      <c r="EJ30" s="104"/>
      <c r="EK30" s="104"/>
      <c r="EL30" s="104"/>
      <c r="EM30" s="104"/>
      <c r="EN30" s="91"/>
      <c r="EO30" s="104"/>
      <c r="EP30" s="104"/>
      <c r="EQ30" s="104"/>
      <c r="ER30" s="104"/>
      <c r="ES30" s="91"/>
      <c r="ET30" s="104"/>
      <c r="EU30" s="104"/>
      <c r="EV30" s="104"/>
      <c r="EW30" s="104"/>
      <c r="EX30" s="91"/>
      <c r="EY30" s="104"/>
      <c r="EZ30" s="104"/>
      <c r="FA30" s="104"/>
      <c r="FB30" s="104"/>
      <c r="FC30" s="91"/>
      <c r="FD30" s="104"/>
      <c r="FE30" s="104"/>
      <c r="FF30" s="104"/>
      <c r="FG30" s="104"/>
      <c r="FH30" s="91"/>
      <c r="FI30" s="104"/>
      <c r="FJ30" s="104"/>
      <c r="FK30" s="104"/>
      <c r="FL30" s="104"/>
      <c r="FM30" s="104"/>
      <c r="FN30" s="104"/>
      <c r="FO30" s="104"/>
      <c r="FP30" s="104"/>
      <c r="FQ30" s="104"/>
      <c r="FR30" s="104"/>
      <c r="FS30" s="104"/>
      <c r="FT30" s="104"/>
      <c r="FU30" s="104"/>
      <c r="FV30" s="104"/>
      <c r="FW30" s="104"/>
      <c r="FX30" s="104"/>
      <c r="FY30" s="104"/>
      <c r="FZ30" s="104"/>
      <c r="GA30" s="104"/>
      <c r="GB30" s="104"/>
      <c r="GC30" s="104"/>
      <c r="GD30" s="104"/>
      <c r="GE30" s="104"/>
      <c r="GF30" s="104"/>
      <c r="GG30" s="104"/>
      <c r="GH30" s="104"/>
      <c r="GI30" s="104"/>
      <c r="GJ30" s="104"/>
      <c r="GK30" s="104"/>
      <c r="GL30" s="104"/>
      <c r="GM30" s="104"/>
      <c r="GN30" s="104"/>
      <c r="GO30" s="104"/>
      <c r="GP30" s="91"/>
      <c r="GQ30" s="104"/>
      <c r="GR30" s="104"/>
      <c r="GS30" s="104"/>
      <c r="GT30" s="104"/>
      <c r="GU30" s="91"/>
      <c r="GV30" s="104"/>
      <c r="GW30" s="104"/>
      <c r="GX30" s="104"/>
      <c r="GY30" s="104"/>
      <c r="GZ30" s="91"/>
      <c r="HA30" s="104"/>
      <c r="HB30" s="104"/>
      <c r="HC30" s="104"/>
      <c r="HD30" s="104"/>
      <c r="HE30" s="91"/>
      <c r="HF30" s="104"/>
      <c r="HG30" s="104"/>
      <c r="HH30" s="104"/>
      <c r="HI30" s="104"/>
      <c r="HJ30" s="91"/>
      <c r="HK30" s="104"/>
      <c r="HL30" s="104"/>
      <c r="HM30" s="104"/>
      <c r="HN30" s="104"/>
      <c r="HO30" s="91"/>
      <c r="HP30" s="104"/>
      <c r="HQ30" s="104"/>
      <c r="HR30" s="104"/>
      <c r="HS30" s="104"/>
      <c r="HT30" s="91"/>
      <c r="HU30" s="104"/>
      <c r="HV30" s="104"/>
      <c r="HW30" s="104"/>
      <c r="HX30" s="104"/>
      <c r="HY30" s="91"/>
      <c r="HZ30" s="104"/>
      <c r="IA30" s="104"/>
      <c r="IB30" s="104"/>
      <c r="IC30" s="104"/>
      <c r="ID30" s="91"/>
      <c r="IE30" s="104"/>
      <c r="IF30" s="104"/>
      <c r="IG30" s="104"/>
      <c r="IH30" s="104"/>
      <c r="II30" s="91"/>
      <c r="IJ30" s="104"/>
      <c r="IK30" s="104"/>
      <c r="IL30" s="104"/>
      <c r="IM30" s="104"/>
      <c r="IN30" s="91"/>
      <c r="IO30" s="104"/>
      <c r="IP30" s="104"/>
      <c r="IQ30" s="104"/>
      <c r="IR30" s="104"/>
      <c r="IS30" s="91"/>
      <c r="IT30" s="104"/>
      <c r="IU30" s="104"/>
      <c r="IV30" s="104"/>
      <c r="IW30" s="104"/>
      <c r="IX30" s="91"/>
      <c r="IY30" s="104"/>
      <c r="IZ30" s="104"/>
      <c r="JA30" s="104"/>
      <c r="JB30" s="104"/>
      <c r="JC30" s="91"/>
      <c r="JD30" s="104"/>
      <c r="JE30" s="104"/>
      <c r="JF30" s="104"/>
      <c r="JG30" s="105"/>
      <c r="JH30" s="91"/>
      <c r="JI30" s="106"/>
      <c r="JJ30" s="104"/>
      <c r="JK30" s="104"/>
      <c r="JL30" s="105"/>
      <c r="JM30" s="95"/>
      <c r="JN30" s="107"/>
      <c r="JO30" s="79"/>
      <c r="JP30" s="106"/>
      <c r="JQ30" s="104"/>
      <c r="JR30" s="104"/>
      <c r="JS30" s="104"/>
      <c r="JT30" s="104"/>
      <c r="JU30" s="104"/>
      <c r="JV30" s="104"/>
      <c r="JW30" s="104"/>
      <c r="JX30" s="104"/>
      <c r="JY30" s="104"/>
      <c r="JZ30" s="104"/>
      <c r="KA30" s="104"/>
      <c r="KB30" s="104"/>
      <c r="KC30" s="104"/>
      <c r="KD30" s="104"/>
      <c r="KE30" s="104"/>
      <c r="KF30" s="104"/>
      <c r="KG30" s="104"/>
      <c r="KH30" s="104"/>
      <c r="KI30" s="104"/>
      <c r="KJ30" s="104"/>
      <c r="KK30" s="104"/>
      <c r="KL30" s="104"/>
      <c r="KM30" s="104"/>
      <c r="KN30" s="104"/>
      <c r="KO30" s="104"/>
      <c r="KP30" s="104"/>
      <c r="KQ30" s="104"/>
      <c r="KR30" s="104"/>
      <c r="KS30" s="104"/>
      <c r="KT30" s="104"/>
      <c r="KU30" s="104"/>
      <c r="KV30" s="104"/>
      <c r="KW30" s="104"/>
      <c r="KX30" s="104"/>
      <c r="KY30" s="104"/>
      <c r="KZ30" s="104"/>
      <c r="LA30" s="104"/>
      <c r="LB30" s="104"/>
      <c r="LC30" s="104"/>
      <c r="LD30" s="104"/>
      <c r="LE30" s="104"/>
      <c r="LF30" s="104"/>
      <c r="LG30" s="104"/>
      <c r="LH30" s="104"/>
      <c r="LI30" s="104"/>
      <c r="LJ30" s="104"/>
      <c r="LK30" s="104"/>
      <c r="LL30" s="104"/>
      <c r="LM30" s="104"/>
      <c r="LN30" s="104"/>
      <c r="LO30" s="104"/>
      <c r="LP30" s="104"/>
      <c r="LQ30" s="104"/>
      <c r="LR30" s="104"/>
      <c r="LS30" s="104"/>
      <c r="LT30" s="104"/>
      <c r="LU30" s="104"/>
      <c r="LV30" s="104"/>
      <c r="LW30" s="104"/>
      <c r="LX30" s="104"/>
      <c r="LY30" s="104"/>
      <c r="LZ30" s="104"/>
      <c r="MA30" s="104"/>
      <c r="MB30" s="104"/>
      <c r="MC30" s="104"/>
      <c r="MD30" s="104"/>
      <c r="ME30" s="104"/>
      <c r="MF30" s="104"/>
      <c r="MG30" s="104"/>
      <c r="MH30" s="104"/>
      <c r="MI30" s="104"/>
      <c r="MJ30" s="104"/>
      <c r="MK30" s="104"/>
      <c r="ML30" s="104"/>
      <c r="MM30" s="104"/>
      <c r="MN30" s="104"/>
      <c r="MO30" s="104"/>
      <c r="MP30" s="104"/>
      <c r="MQ30" s="104"/>
      <c r="MR30" s="104"/>
      <c r="MS30" s="104"/>
      <c r="MT30" s="104"/>
      <c r="MU30" s="104"/>
      <c r="MV30" s="104"/>
      <c r="MW30" s="104"/>
      <c r="MX30" s="104"/>
      <c r="MY30" s="104"/>
      <c r="MZ30" s="104"/>
      <c r="NA30" s="104"/>
      <c r="NB30" s="104"/>
      <c r="NC30" s="104"/>
      <c r="ND30" s="104"/>
      <c r="NE30" s="104"/>
      <c r="NF30" s="104"/>
      <c r="NG30" s="104"/>
      <c r="NH30" s="104"/>
      <c r="NI30" s="104"/>
      <c r="NJ30" s="104"/>
      <c r="NK30" s="104"/>
      <c r="NL30" s="104"/>
      <c r="NM30" s="104"/>
      <c r="NN30" s="104"/>
      <c r="NO30" s="104"/>
      <c r="NP30" s="104"/>
      <c r="NQ30" s="104"/>
      <c r="NR30" s="104"/>
      <c r="NS30" s="104"/>
      <c r="NT30" s="104"/>
      <c r="NU30" s="104"/>
      <c r="NV30" s="104"/>
      <c r="NW30" s="104"/>
      <c r="NX30" s="104"/>
      <c r="NY30" s="104"/>
      <c r="NZ30" s="104"/>
    </row>
    <row r="31" spans="1:390" ht="15.75" customHeight="1" x14ac:dyDescent="0.3">
      <c r="A31" s="214">
        <v>6180835616</v>
      </c>
      <c r="B31" s="165" t="s">
        <v>391</v>
      </c>
      <c r="C31" s="215"/>
      <c r="D31" s="216" t="s">
        <v>391</v>
      </c>
      <c r="E31" s="136" t="s">
        <v>646</v>
      </c>
      <c r="F31" s="125" t="s">
        <v>422</v>
      </c>
      <c r="G31" s="221" t="s">
        <v>416</v>
      </c>
      <c r="H31" s="219">
        <v>43340</v>
      </c>
      <c r="I31" s="216" t="s">
        <v>513</v>
      </c>
      <c r="J31" s="153" t="s">
        <v>397</v>
      </c>
      <c r="K31" s="153" t="s">
        <v>398</v>
      </c>
      <c r="L31" s="153" t="s">
        <v>398</v>
      </c>
      <c r="M31" s="164" t="s">
        <v>398</v>
      </c>
      <c r="N31" s="164" t="s">
        <v>398</v>
      </c>
      <c r="O31" s="164" t="s">
        <v>398</v>
      </c>
      <c r="P31" s="164" t="s">
        <v>398</v>
      </c>
      <c r="Q31" s="164" t="s">
        <v>398</v>
      </c>
      <c r="R31" s="164" t="s">
        <v>398</v>
      </c>
      <c r="S31" s="164" t="s">
        <v>398</v>
      </c>
      <c r="T31" s="164" t="s">
        <v>398</v>
      </c>
      <c r="U31" s="164" t="s">
        <v>398</v>
      </c>
      <c r="V31" s="164" t="s">
        <v>398</v>
      </c>
      <c r="W31" s="164" t="s">
        <v>398</v>
      </c>
      <c r="X31" s="164" t="s">
        <v>398</v>
      </c>
      <c r="Y31" s="164" t="s">
        <v>398</v>
      </c>
      <c r="Z31" s="164" t="s">
        <v>398</v>
      </c>
      <c r="AA31" s="164" t="s">
        <v>398</v>
      </c>
      <c r="AB31" s="167" t="s">
        <v>399</v>
      </c>
      <c r="AC31" s="219">
        <v>14022</v>
      </c>
      <c r="AD31" s="107"/>
      <c r="AE31" s="108" t="e">
        <f t="shared" si="0"/>
        <v>#NUM!</v>
      </c>
      <c r="AF31" s="107" t="s">
        <v>621</v>
      </c>
      <c r="AG31" s="79" t="s">
        <v>401</v>
      </c>
      <c r="AH31" s="87" t="s">
        <v>391</v>
      </c>
      <c r="AI31" s="110"/>
      <c r="AJ31" s="110"/>
      <c r="AK31" s="110"/>
      <c r="AL31" s="110"/>
      <c r="AM31" s="105"/>
      <c r="AN31" s="95">
        <v>3</v>
      </c>
      <c r="AO31" s="173" t="s">
        <v>398</v>
      </c>
      <c r="AP31" s="79"/>
      <c r="AQ31" s="106"/>
      <c r="AR31" s="91"/>
      <c r="AS31" s="104"/>
      <c r="AT31" s="104"/>
      <c r="AU31" s="104"/>
      <c r="AV31" s="104"/>
      <c r="AW31" s="91"/>
      <c r="AX31" s="104"/>
      <c r="AY31" s="104"/>
      <c r="AZ31" s="104"/>
      <c r="BA31" s="104"/>
      <c r="BB31" s="91"/>
      <c r="BC31" s="104"/>
      <c r="BD31" s="104"/>
      <c r="BE31" s="104"/>
      <c r="BF31" s="104"/>
      <c r="BG31" s="91"/>
      <c r="BH31" s="104"/>
      <c r="BI31" s="104"/>
      <c r="BJ31" s="104"/>
      <c r="BK31" s="104"/>
      <c r="BL31" s="91"/>
      <c r="BM31" s="104"/>
      <c r="BN31" s="104"/>
      <c r="BO31" s="104"/>
      <c r="BP31" s="104"/>
      <c r="BQ31" s="91"/>
      <c r="BR31" s="104"/>
      <c r="BS31" s="104"/>
      <c r="BT31" s="104"/>
      <c r="BU31" s="104"/>
      <c r="BV31" s="91"/>
      <c r="BW31" s="104"/>
      <c r="BX31" s="104"/>
      <c r="BY31" s="104"/>
      <c r="BZ31" s="104"/>
      <c r="CA31" s="91"/>
      <c r="CB31" s="104"/>
      <c r="CC31" s="104"/>
      <c r="CD31" s="104"/>
      <c r="CE31" s="104"/>
      <c r="CF31" s="91"/>
      <c r="CG31" s="104"/>
      <c r="CH31" s="104"/>
      <c r="CI31" s="104"/>
      <c r="CJ31" s="104"/>
      <c r="CK31" s="91"/>
      <c r="CL31" s="104"/>
      <c r="CM31" s="104"/>
      <c r="CN31" s="104"/>
      <c r="CO31" s="104"/>
      <c r="CP31" s="91"/>
      <c r="CQ31" s="104"/>
      <c r="CR31" s="104"/>
      <c r="CS31" s="104"/>
      <c r="CT31" s="104"/>
      <c r="CU31" s="91"/>
      <c r="CV31" s="104"/>
      <c r="CW31" s="104"/>
      <c r="CX31" s="104"/>
      <c r="CY31" s="104"/>
      <c r="CZ31" s="91"/>
      <c r="DA31" s="104"/>
      <c r="DB31" s="104"/>
      <c r="DC31" s="104"/>
      <c r="DD31" s="104"/>
      <c r="DE31" s="91"/>
      <c r="DF31" s="104"/>
      <c r="DG31" s="104"/>
      <c r="DH31" s="104"/>
      <c r="DI31" s="104"/>
      <c r="DJ31" s="91"/>
      <c r="DK31" s="104"/>
      <c r="DL31" s="104"/>
      <c r="DM31" s="104"/>
      <c r="DN31" s="104"/>
      <c r="DO31" s="91"/>
      <c r="DP31" s="104"/>
      <c r="DQ31" s="104"/>
      <c r="DR31" s="104"/>
      <c r="DS31" s="104"/>
      <c r="DT31" s="91"/>
      <c r="DU31" s="104"/>
      <c r="DV31" s="104"/>
      <c r="DW31" s="104"/>
      <c r="DX31" s="104"/>
      <c r="DY31" s="91"/>
      <c r="DZ31" s="104"/>
      <c r="EA31" s="104"/>
      <c r="EB31" s="104"/>
      <c r="EC31" s="104"/>
      <c r="ED31" s="91"/>
      <c r="EE31" s="104"/>
      <c r="EF31" s="104"/>
      <c r="EG31" s="104"/>
      <c r="EH31" s="104"/>
      <c r="EI31" s="91"/>
      <c r="EJ31" s="104"/>
      <c r="EK31" s="104"/>
      <c r="EL31" s="104"/>
      <c r="EM31" s="104"/>
      <c r="EN31" s="91"/>
      <c r="EO31" s="104"/>
      <c r="EP31" s="104"/>
      <c r="EQ31" s="104"/>
      <c r="ER31" s="104"/>
      <c r="ES31" s="91"/>
      <c r="ET31" s="104"/>
      <c r="EU31" s="104"/>
      <c r="EV31" s="104"/>
      <c r="EW31" s="104"/>
      <c r="EX31" s="91"/>
      <c r="EY31" s="104"/>
      <c r="EZ31" s="104"/>
      <c r="FA31" s="104"/>
      <c r="FB31" s="104"/>
      <c r="FC31" s="91"/>
      <c r="FD31" s="104"/>
      <c r="FE31" s="104"/>
      <c r="FF31" s="104"/>
      <c r="FG31" s="104"/>
      <c r="FH31" s="91"/>
      <c r="FI31" s="104"/>
      <c r="FJ31" s="104"/>
      <c r="FK31" s="104"/>
      <c r="FL31" s="104"/>
      <c r="FM31" s="104"/>
      <c r="FN31" s="104"/>
      <c r="FO31" s="104"/>
      <c r="FP31" s="104"/>
      <c r="FQ31" s="104"/>
      <c r="FR31" s="104"/>
      <c r="FS31" s="104"/>
      <c r="FT31" s="104"/>
      <c r="FU31" s="104"/>
      <c r="FV31" s="104"/>
      <c r="FW31" s="104"/>
      <c r="FX31" s="104"/>
      <c r="FY31" s="104"/>
      <c r="FZ31" s="104"/>
      <c r="GA31" s="104"/>
      <c r="GB31" s="104"/>
      <c r="GC31" s="104"/>
      <c r="GD31" s="104"/>
      <c r="GE31" s="104"/>
      <c r="GF31" s="104"/>
      <c r="GG31" s="104"/>
      <c r="GH31" s="104"/>
      <c r="GI31" s="104"/>
      <c r="GJ31" s="104"/>
      <c r="GK31" s="104"/>
      <c r="GL31" s="104"/>
      <c r="GM31" s="104"/>
      <c r="GN31" s="104"/>
      <c r="GO31" s="104"/>
      <c r="GP31" s="91"/>
      <c r="GQ31" s="104"/>
      <c r="GR31" s="104"/>
      <c r="GS31" s="104"/>
      <c r="GT31" s="104"/>
      <c r="GU31" s="91"/>
      <c r="GV31" s="104"/>
      <c r="GW31" s="104"/>
      <c r="GX31" s="104"/>
      <c r="GY31" s="104"/>
      <c r="GZ31" s="91"/>
      <c r="HA31" s="104"/>
      <c r="HB31" s="104"/>
      <c r="HC31" s="104"/>
      <c r="HD31" s="104"/>
      <c r="HE31" s="91"/>
      <c r="HF31" s="104"/>
      <c r="HG31" s="104"/>
      <c r="HH31" s="104"/>
      <c r="HI31" s="104"/>
      <c r="HJ31" s="91"/>
      <c r="HK31" s="104"/>
      <c r="HL31" s="104"/>
      <c r="HM31" s="104"/>
      <c r="HN31" s="104"/>
      <c r="HO31" s="91"/>
      <c r="HP31" s="104"/>
      <c r="HQ31" s="104"/>
      <c r="HR31" s="104"/>
      <c r="HS31" s="104"/>
      <c r="HT31" s="91"/>
      <c r="HU31" s="104"/>
      <c r="HV31" s="104"/>
      <c r="HW31" s="104"/>
      <c r="HX31" s="104"/>
      <c r="HY31" s="91"/>
      <c r="HZ31" s="104"/>
      <c r="IA31" s="104"/>
      <c r="IB31" s="104"/>
      <c r="IC31" s="104"/>
      <c r="ID31" s="91"/>
      <c r="IE31" s="104"/>
      <c r="IF31" s="104"/>
      <c r="IG31" s="104"/>
      <c r="IH31" s="104"/>
      <c r="II31" s="91"/>
      <c r="IJ31" s="104"/>
      <c r="IK31" s="104"/>
      <c r="IL31" s="104"/>
      <c r="IM31" s="104"/>
      <c r="IN31" s="91"/>
      <c r="IO31" s="104"/>
      <c r="IP31" s="104"/>
      <c r="IQ31" s="104"/>
      <c r="IR31" s="104"/>
      <c r="IS31" s="91"/>
      <c r="IT31" s="104"/>
      <c r="IU31" s="104"/>
      <c r="IV31" s="104"/>
      <c r="IW31" s="104"/>
      <c r="IX31" s="91"/>
      <c r="IY31" s="104"/>
      <c r="IZ31" s="104"/>
      <c r="JA31" s="104"/>
      <c r="JB31" s="104"/>
      <c r="JC31" s="91"/>
      <c r="JD31" s="104"/>
      <c r="JE31" s="104"/>
      <c r="JF31" s="104"/>
      <c r="JG31" s="105"/>
      <c r="JH31" s="91"/>
      <c r="JI31" s="106"/>
      <c r="JJ31" s="104"/>
      <c r="JK31" s="104"/>
      <c r="JL31" s="105"/>
      <c r="JM31" s="95"/>
      <c r="JN31" s="107"/>
      <c r="JO31" s="79"/>
      <c r="JP31" s="106"/>
      <c r="JQ31" s="104"/>
      <c r="JR31" s="104"/>
      <c r="JS31" s="104"/>
      <c r="JT31" s="104"/>
      <c r="JU31" s="104"/>
      <c r="JV31" s="104"/>
      <c r="JW31" s="104"/>
      <c r="JX31" s="104"/>
      <c r="JY31" s="104"/>
      <c r="JZ31" s="104"/>
      <c r="KA31" s="104"/>
      <c r="KB31" s="104"/>
      <c r="KC31" s="104"/>
      <c r="KD31" s="104"/>
      <c r="KE31" s="104"/>
      <c r="KF31" s="104"/>
      <c r="KG31" s="104"/>
      <c r="KH31" s="104"/>
      <c r="KI31" s="104"/>
      <c r="KJ31" s="104"/>
      <c r="KK31" s="104"/>
      <c r="KL31" s="104"/>
      <c r="KM31" s="104"/>
      <c r="KN31" s="104"/>
      <c r="KO31" s="104"/>
      <c r="KP31" s="104"/>
      <c r="KQ31" s="104"/>
      <c r="KR31" s="104"/>
      <c r="KS31" s="104"/>
      <c r="KT31" s="104"/>
      <c r="KU31" s="104"/>
      <c r="KV31" s="104"/>
      <c r="KW31" s="104"/>
      <c r="KX31" s="104"/>
      <c r="KY31" s="104"/>
      <c r="KZ31" s="104"/>
      <c r="LA31" s="104"/>
      <c r="LB31" s="104"/>
      <c r="LC31" s="104"/>
      <c r="LD31" s="104"/>
      <c r="LE31" s="104"/>
      <c r="LF31" s="104"/>
      <c r="LG31" s="104"/>
      <c r="LH31" s="104"/>
      <c r="LI31" s="104"/>
      <c r="LJ31" s="104"/>
      <c r="LK31" s="104"/>
      <c r="LL31" s="104"/>
      <c r="LM31" s="104"/>
      <c r="LN31" s="104"/>
      <c r="LO31" s="104"/>
      <c r="LP31" s="104"/>
      <c r="LQ31" s="104"/>
      <c r="LR31" s="104"/>
      <c r="LS31" s="104"/>
      <c r="LT31" s="104"/>
      <c r="LU31" s="104"/>
      <c r="LV31" s="104"/>
      <c r="LW31" s="104"/>
      <c r="LX31" s="104"/>
      <c r="LY31" s="104"/>
      <c r="LZ31" s="104"/>
      <c r="MA31" s="104"/>
      <c r="MB31" s="104"/>
      <c r="MC31" s="104"/>
      <c r="MD31" s="104"/>
      <c r="ME31" s="104"/>
      <c r="MF31" s="104"/>
      <c r="MG31" s="104"/>
      <c r="MH31" s="104"/>
      <c r="MI31" s="104"/>
      <c r="MJ31" s="104"/>
      <c r="MK31" s="104"/>
      <c r="ML31" s="104"/>
      <c r="MM31" s="104"/>
      <c r="MN31" s="104"/>
      <c r="MO31" s="104"/>
      <c r="MP31" s="104"/>
      <c r="MQ31" s="104"/>
      <c r="MR31" s="104"/>
      <c r="MS31" s="104"/>
      <c r="MT31" s="104"/>
      <c r="MU31" s="104"/>
      <c r="MV31" s="104"/>
      <c r="MW31" s="104"/>
      <c r="MX31" s="104"/>
      <c r="MY31" s="104"/>
      <c r="MZ31" s="104"/>
      <c r="NA31" s="104"/>
      <c r="NB31" s="104"/>
      <c r="NC31" s="104"/>
      <c r="ND31" s="104"/>
      <c r="NE31" s="104"/>
      <c r="NF31" s="104"/>
      <c r="NG31" s="104"/>
      <c r="NH31" s="104"/>
      <c r="NI31" s="104"/>
      <c r="NJ31" s="104"/>
      <c r="NK31" s="104"/>
      <c r="NL31" s="104"/>
      <c r="NM31" s="104"/>
      <c r="NN31" s="104"/>
      <c r="NO31" s="104"/>
      <c r="NP31" s="104"/>
      <c r="NQ31" s="104"/>
      <c r="NR31" s="104"/>
      <c r="NS31" s="104"/>
      <c r="NT31" s="104"/>
      <c r="NU31" s="104"/>
      <c r="NV31" s="104"/>
      <c r="NW31" s="104"/>
      <c r="NX31" s="104"/>
      <c r="NY31" s="104"/>
      <c r="NZ31" s="104"/>
    </row>
    <row r="32" spans="1:390" ht="15.75" customHeight="1" x14ac:dyDescent="0.3">
      <c r="A32" s="214">
        <v>4725744840</v>
      </c>
      <c r="B32" s="165" t="s">
        <v>391</v>
      </c>
      <c r="C32" s="215"/>
      <c r="D32" s="216" t="s">
        <v>391</v>
      </c>
      <c r="E32" s="136" t="s">
        <v>647</v>
      </c>
      <c r="F32" s="125" t="s">
        <v>488</v>
      </c>
      <c r="G32" s="221" t="s">
        <v>465</v>
      </c>
      <c r="H32" s="219">
        <v>43340</v>
      </c>
      <c r="I32" s="216" t="s">
        <v>513</v>
      </c>
      <c r="J32" s="153" t="s">
        <v>397</v>
      </c>
      <c r="K32" s="153" t="s">
        <v>398</v>
      </c>
      <c r="L32" s="153" t="s">
        <v>398</v>
      </c>
      <c r="M32" s="164" t="s">
        <v>398</v>
      </c>
      <c r="N32" s="164" t="s">
        <v>398</v>
      </c>
      <c r="O32" s="164" t="s">
        <v>398</v>
      </c>
      <c r="P32" s="164" t="s">
        <v>398</v>
      </c>
      <c r="Q32" s="164" t="s">
        <v>398</v>
      </c>
      <c r="R32" s="164" t="s">
        <v>398</v>
      </c>
      <c r="S32" s="164" t="s">
        <v>398</v>
      </c>
      <c r="T32" s="164" t="s">
        <v>398</v>
      </c>
      <c r="U32" s="164" t="s">
        <v>398</v>
      </c>
      <c r="V32" s="164" t="s">
        <v>398</v>
      </c>
      <c r="W32" s="164" t="s">
        <v>398</v>
      </c>
      <c r="X32" s="164" t="s">
        <v>398</v>
      </c>
      <c r="Y32" s="164" t="s">
        <v>398</v>
      </c>
      <c r="Z32" s="164" t="s">
        <v>398</v>
      </c>
      <c r="AA32" s="164" t="s">
        <v>398</v>
      </c>
      <c r="AB32" s="167" t="s">
        <v>399</v>
      </c>
      <c r="AC32" s="219">
        <v>16667</v>
      </c>
      <c r="AD32" s="107"/>
      <c r="AE32" s="108" t="e">
        <f t="shared" si="0"/>
        <v>#NUM!</v>
      </c>
      <c r="AF32" s="107" t="s">
        <v>621</v>
      </c>
      <c r="AG32" s="79" t="s">
        <v>401</v>
      </c>
      <c r="AH32" s="87" t="s">
        <v>402</v>
      </c>
      <c r="AI32" s="110"/>
      <c r="AJ32" s="110"/>
      <c r="AK32" s="110"/>
      <c r="AL32" s="110"/>
      <c r="AM32" s="105"/>
      <c r="AN32" s="95">
        <v>3</v>
      </c>
      <c r="AO32" s="173" t="s">
        <v>398</v>
      </c>
      <c r="AP32" s="79"/>
      <c r="AQ32" s="106"/>
      <c r="AR32" s="91"/>
      <c r="AS32" s="104"/>
      <c r="AT32" s="104"/>
      <c r="AU32" s="104"/>
      <c r="AV32" s="104"/>
      <c r="AW32" s="91"/>
      <c r="AX32" s="104"/>
      <c r="AY32" s="104"/>
      <c r="AZ32" s="104"/>
      <c r="BA32" s="104"/>
      <c r="BB32" s="91"/>
      <c r="BC32" s="104"/>
      <c r="BD32" s="104"/>
      <c r="BE32" s="104"/>
      <c r="BF32" s="104"/>
      <c r="BG32" s="91"/>
      <c r="BH32" s="104"/>
      <c r="BI32" s="104"/>
      <c r="BJ32" s="104"/>
      <c r="BK32" s="104"/>
      <c r="BL32" s="91"/>
      <c r="BM32" s="104"/>
      <c r="BN32" s="104"/>
      <c r="BO32" s="104"/>
      <c r="BP32" s="104"/>
      <c r="BQ32" s="91"/>
      <c r="BR32" s="104"/>
      <c r="BS32" s="104"/>
      <c r="BT32" s="104"/>
      <c r="BU32" s="104"/>
      <c r="BV32" s="91"/>
      <c r="BW32" s="104"/>
      <c r="BX32" s="104"/>
      <c r="BY32" s="104"/>
      <c r="BZ32" s="104"/>
      <c r="CA32" s="91"/>
      <c r="CB32" s="104"/>
      <c r="CC32" s="104"/>
      <c r="CD32" s="104"/>
      <c r="CE32" s="104"/>
      <c r="CF32" s="91"/>
      <c r="CG32" s="104"/>
      <c r="CH32" s="104"/>
      <c r="CI32" s="104"/>
      <c r="CJ32" s="104"/>
      <c r="CK32" s="91"/>
      <c r="CL32" s="104"/>
      <c r="CM32" s="104"/>
      <c r="CN32" s="104"/>
      <c r="CO32" s="104"/>
      <c r="CP32" s="91"/>
      <c r="CQ32" s="104"/>
      <c r="CR32" s="104"/>
      <c r="CS32" s="104"/>
      <c r="CT32" s="104"/>
      <c r="CU32" s="91"/>
      <c r="CV32" s="104"/>
      <c r="CW32" s="104"/>
      <c r="CX32" s="104"/>
      <c r="CY32" s="104"/>
      <c r="CZ32" s="91"/>
      <c r="DA32" s="104"/>
      <c r="DB32" s="104"/>
      <c r="DC32" s="104"/>
      <c r="DD32" s="104"/>
      <c r="DE32" s="91"/>
      <c r="DF32" s="104"/>
      <c r="DG32" s="104"/>
      <c r="DH32" s="104"/>
      <c r="DI32" s="104"/>
      <c r="DJ32" s="91"/>
      <c r="DK32" s="104"/>
      <c r="DL32" s="104"/>
      <c r="DM32" s="104"/>
      <c r="DN32" s="104"/>
      <c r="DO32" s="91"/>
      <c r="DP32" s="104"/>
      <c r="DQ32" s="104"/>
      <c r="DR32" s="104"/>
      <c r="DS32" s="104"/>
      <c r="DT32" s="91"/>
      <c r="DU32" s="104"/>
      <c r="DV32" s="104"/>
      <c r="DW32" s="104"/>
      <c r="DX32" s="104"/>
      <c r="DY32" s="91"/>
      <c r="DZ32" s="104"/>
      <c r="EA32" s="104"/>
      <c r="EB32" s="104"/>
      <c r="EC32" s="104"/>
      <c r="ED32" s="91"/>
      <c r="EE32" s="104"/>
      <c r="EF32" s="104"/>
      <c r="EG32" s="104"/>
      <c r="EH32" s="104"/>
      <c r="EI32" s="91"/>
      <c r="EJ32" s="104"/>
      <c r="EK32" s="104"/>
      <c r="EL32" s="104"/>
      <c r="EM32" s="104"/>
      <c r="EN32" s="91"/>
      <c r="EO32" s="104"/>
      <c r="EP32" s="104"/>
      <c r="EQ32" s="104"/>
      <c r="ER32" s="104"/>
      <c r="ES32" s="91"/>
      <c r="ET32" s="104"/>
      <c r="EU32" s="104"/>
      <c r="EV32" s="104"/>
      <c r="EW32" s="104"/>
      <c r="EX32" s="91"/>
      <c r="EY32" s="104"/>
      <c r="EZ32" s="104"/>
      <c r="FA32" s="104"/>
      <c r="FB32" s="104"/>
      <c r="FC32" s="91"/>
      <c r="FD32" s="104"/>
      <c r="FE32" s="104"/>
      <c r="FF32" s="104"/>
      <c r="FG32" s="104"/>
      <c r="FH32" s="91"/>
      <c r="FI32" s="104"/>
      <c r="FJ32" s="104"/>
      <c r="FK32" s="104"/>
      <c r="FL32" s="104"/>
      <c r="FM32" s="104"/>
      <c r="FN32" s="104"/>
      <c r="FO32" s="104"/>
      <c r="FP32" s="104"/>
      <c r="FQ32" s="104"/>
      <c r="FR32" s="104"/>
      <c r="FS32" s="104"/>
      <c r="FT32" s="104"/>
      <c r="FU32" s="104"/>
      <c r="FV32" s="104"/>
      <c r="FW32" s="104"/>
      <c r="FX32" s="104"/>
      <c r="FY32" s="104"/>
      <c r="FZ32" s="104"/>
      <c r="GA32" s="104"/>
      <c r="GB32" s="104"/>
      <c r="GC32" s="104"/>
      <c r="GD32" s="104"/>
      <c r="GE32" s="104"/>
      <c r="GF32" s="104"/>
      <c r="GG32" s="104"/>
      <c r="GH32" s="104"/>
      <c r="GI32" s="104"/>
      <c r="GJ32" s="104"/>
      <c r="GK32" s="104"/>
      <c r="GL32" s="104"/>
      <c r="GM32" s="104"/>
      <c r="GN32" s="104"/>
      <c r="GO32" s="104"/>
      <c r="GP32" s="91"/>
      <c r="GQ32" s="104"/>
      <c r="GR32" s="104"/>
      <c r="GS32" s="104"/>
      <c r="GT32" s="104"/>
      <c r="GU32" s="91"/>
      <c r="GV32" s="104"/>
      <c r="GW32" s="104"/>
      <c r="GX32" s="104"/>
      <c r="GY32" s="104"/>
      <c r="GZ32" s="91"/>
      <c r="HA32" s="104"/>
      <c r="HB32" s="104"/>
      <c r="HC32" s="104"/>
      <c r="HD32" s="104"/>
      <c r="HE32" s="91"/>
      <c r="HF32" s="104"/>
      <c r="HG32" s="104"/>
      <c r="HH32" s="104"/>
      <c r="HI32" s="104"/>
      <c r="HJ32" s="91"/>
      <c r="HK32" s="104"/>
      <c r="HL32" s="104"/>
      <c r="HM32" s="104"/>
      <c r="HN32" s="104"/>
      <c r="HO32" s="91"/>
      <c r="HP32" s="104"/>
      <c r="HQ32" s="104"/>
      <c r="HR32" s="104"/>
      <c r="HS32" s="104"/>
      <c r="HT32" s="91"/>
      <c r="HU32" s="104"/>
      <c r="HV32" s="104"/>
      <c r="HW32" s="104"/>
      <c r="HX32" s="104"/>
      <c r="HY32" s="91"/>
      <c r="HZ32" s="104"/>
      <c r="IA32" s="104"/>
      <c r="IB32" s="104"/>
      <c r="IC32" s="104"/>
      <c r="ID32" s="91"/>
      <c r="IE32" s="104"/>
      <c r="IF32" s="104"/>
      <c r="IG32" s="104"/>
      <c r="IH32" s="104"/>
      <c r="II32" s="91"/>
      <c r="IJ32" s="104"/>
      <c r="IK32" s="104"/>
      <c r="IL32" s="104"/>
      <c r="IM32" s="104"/>
      <c r="IN32" s="91"/>
      <c r="IO32" s="104"/>
      <c r="IP32" s="104"/>
      <c r="IQ32" s="104"/>
      <c r="IR32" s="104"/>
      <c r="IS32" s="91"/>
      <c r="IT32" s="104"/>
      <c r="IU32" s="104"/>
      <c r="IV32" s="104"/>
      <c r="IW32" s="104"/>
      <c r="IX32" s="91"/>
      <c r="IY32" s="104"/>
      <c r="IZ32" s="104"/>
      <c r="JA32" s="104"/>
      <c r="JB32" s="104"/>
      <c r="JC32" s="91"/>
      <c r="JD32" s="104"/>
      <c r="JE32" s="104"/>
      <c r="JF32" s="104"/>
      <c r="JG32" s="105"/>
      <c r="JH32" s="91"/>
      <c r="JI32" s="106"/>
      <c r="JJ32" s="104"/>
      <c r="JK32" s="104"/>
      <c r="JL32" s="105"/>
      <c r="JM32" s="95"/>
      <c r="JN32" s="107"/>
      <c r="JO32" s="79"/>
      <c r="JP32" s="106"/>
      <c r="JQ32" s="104"/>
      <c r="JR32" s="104"/>
      <c r="JS32" s="104"/>
      <c r="JT32" s="104"/>
      <c r="JU32" s="104"/>
      <c r="JV32" s="104"/>
      <c r="JW32" s="104"/>
      <c r="JX32" s="104"/>
      <c r="JY32" s="104"/>
      <c r="JZ32" s="104"/>
      <c r="KA32" s="104"/>
      <c r="KB32" s="104"/>
      <c r="KC32" s="104"/>
      <c r="KD32" s="104"/>
      <c r="KE32" s="104"/>
      <c r="KF32" s="104"/>
      <c r="KG32" s="104"/>
      <c r="KH32" s="104"/>
      <c r="KI32" s="104"/>
      <c r="KJ32" s="104"/>
      <c r="KK32" s="104"/>
      <c r="KL32" s="104"/>
      <c r="KM32" s="104"/>
      <c r="KN32" s="104"/>
      <c r="KO32" s="104"/>
      <c r="KP32" s="104"/>
      <c r="KQ32" s="104"/>
      <c r="KR32" s="104"/>
      <c r="KS32" s="104"/>
      <c r="KT32" s="104"/>
      <c r="KU32" s="104"/>
      <c r="KV32" s="104"/>
      <c r="KW32" s="104"/>
      <c r="KX32" s="104"/>
      <c r="KY32" s="104"/>
      <c r="KZ32" s="104"/>
      <c r="LA32" s="104"/>
      <c r="LB32" s="104"/>
      <c r="LC32" s="104"/>
      <c r="LD32" s="104"/>
      <c r="LE32" s="104"/>
      <c r="LF32" s="104"/>
      <c r="LG32" s="104"/>
      <c r="LH32" s="104"/>
      <c r="LI32" s="104"/>
      <c r="LJ32" s="104"/>
      <c r="LK32" s="104"/>
      <c r="LL32" s="104"/>
      <c r="LM32" s="104"/>
      <c r="LN32" s="104"/>
      <c r="LO32" s="104"/>
      <c r="LP32" s="104"/>
      <c r="LQ32" s="104"/>
      <c r="LR32" s="104"/>
      <c r="LS32" s="104"/>
      <c r="LT32" s="104"/>
      <c r="LU32" s="104"/>
      <c r="LV32" s="104"/>
      <c r="LW32" s="104"/>
      <c r="LX32" s="104"/>
      <c r="LY32" s="104"/>
      <c r="LZ32" s="104"/>
      <c r="MA32" s="104"/>
      <c r="MB32" s="104"/>
      <c r="MC32" s="104"/>
      <c r="MD32" s="104"/>
      <c r="ME32" s="104"/>
      <c r="MF32" s="104"/>
      <c r="MG32" s="104"/>
      <c r="MH32" s="104"/>
      <c r="MI32" s="104"/>
      <c r="MJ32" s="104"/>
      <c r="MK32" s="104"/>
      <c r="ML32" s="104"/>
      <c r="MM32" s="104"/>
      <c r="MN32" s="104"/>
      <c r="MO32" s="104"/>
      <c r="MP32" s="104"/>
      <c r="MQ32" s="104"/>
      <c r="MR32" s="104"/>
      <c r="MS32" s="104"/>
      <c r="MT32" s="104"/>
      <c r="MU32" s="104"/>
      <c r="MV32" s="104"/>
      <c r="MW32" s="104"/>
      <c r="MX32" s="104"/>
      <c r="MY32" s="104"/>
      <c r="MZ32" s="104"/>
      <c r="NA32" s="104"/>
      <c r="NB32" s="104"/>
      <c r="NC32" s="104"/>
      <c r="ND32" s="104"/>
      <c r="NE32" s="104"/>
      <c r="NF32" s="104"/>
      <c r="NG32" s="104"/>
      <c r="NH32" s="104"/>
      <c r="NI32" s="104"/>
      <c r="NJ32" s="104"/>
      <c r="NK32" s="104"/>
      <c r="NL32" s="104"/>
      <c r="NM32" s="104"/>
      <c r="NN32" s="104"/>
      <c r="NO32" s="104"/>
      <c r="NP32" s="104"/>
      <c r="NQ32" s="104"/>
      <c r="NR32" s="104"/>
      <c r="NS32" s="104"/>
      <c r="NT32" s="104"/>
      <c r="NU32" s="104"/>
      <c r="NV32" s="104"/>
      <c r="NW32" s="104"/>
      <c r="NX32" s="104"/>
      <c r="NY32" s="104"/>
      <c r="NZ32" s="104"/>
    </row>
    <row r="33" spans="1:390" ht="15.75" customHeight="1" x14ac:dyDescent="0.3">
      <c r="A33" s="214">
        <v>4330981475</v>
      </c>
      <c r="B33" s="165" t="s">
        <v>391</v>
      </c>
      <c r="C33" s="215"/>
      <c r="D33" s="216" t="s">
        <v>391</v>
      </c>
      <c r="E33" s="136" t="s">
        <v>648</v>
      </c>
      <c r="F33" s="125" t="s">
        <v>421</v>
      </c>
      <c r="G33" s="221" t="s">
        <v>488</v>
      </c>
      <c r="H33" s="219">
        <v>43341</v>
      </c>
      <c r="I33" s="216" t="s">
        <v>458</v>
      </c>
      <c r="J33" s="153" t="s">
        <v>397</v>
      </c>
      <c r="K33" s="153" t="s">
        <v>398</v>
      </c>
      <c r="L33" s="153" t="s">
        <v>398</v>
      </c>
      <c r="M33" s="164" t="s">
        <v>398</v>
      </c>
      <c r="N33" s="164" t="s">
        <v>398</v>
      </c>
      <c r="O33" s="164" t="s">
        <v>398</v>
      </c>
      <c r="P33" s="164" t="s">
        <v>398</v>
      </c>
      <c r="Q33" s="164" t="s">
        <v>398</v>
      </c>
      <c r="R33" s="164" t="s">
        <v>398</v>
      </c>
      <c r="S33" s="164" t="s">
        <v>398</v>
      </c>
      <c r="T33" s="164" t="s">
        <v>398</v>
      </c>
      <c r="U33" s="164" t="s">
        <v>398</v>
      </c>
      <c r="V33" s="164" t="s">
        <v>398</v>
      </c>
      <c r="W33" s="164" t="s">
        <v>398</v>
      </c>
      <c r="X33" s="164" t="s">
        <v>398</v>
      </c>
      <c r="Y33" s="164" t="s">
        <v>398</v>
      </c>
      <c r="Z33" s="164" t="s">
        <v>398</v>
      </c>
      <c r="AA33" s="164" t="s">
        <v>398</v>
      </c>
      <c r="AB33" s="167" t="s">
        <v>399</v>
      </c>
      <c r="AC33" s="219">
        <v>14190</v>
      </c>
      <c r="AD33" s="107"/>
      <c r="AE33" s="108" t="e">
        <f t="shared" si="0"/>
        <v>#NUM!</v>
      </c>
      <c r="AF33" s="107" t="s">
        <v>602</v>
      </c>
      <c r="AG33" s="79" t="s">
        <v>401</v>
      </c>
      <c r="AH33" s="87" t="s">
        <v>402</v>
      </c>
      <c r="AI33" s="110"/>
      <c r="AJ33" s="110"/>
      <c r="AK33" s="110"/>
      <c r="AL33" s="110"/>
      <c r="AM33" s="105"/>
      <c r="AN33" s="95">
        <v>3</v>
      </c>
      <c r="AO33" s="173" t="s">
        <v>398</v>
      </c>
      <c r="AP33" s="79"/>
      <c r="AQ33" s="106"/>
      <c r="AR33" s="91"/>
      <c r="AS33" s="104"/>
      <c r="AT33" s="104"/>
      <c r="AU33" s="104"/>
      <c r="AV33" s="104"/>
      <c r="AW33" s="91"/>
      <c r="AX33" s="104"/>
      <c r="AY33" s="104"/>
      <c r="AZ33" s="104"/>
      <c r="BA33" s="104"/>
      <c r="BB33" s="91"/>
      <c r="BC33" s="104"/>
      <c r="BD33" s="104"/>
      <c r="BE33" s="104"/>
      <c r="BF33" s="104"/>
      <c r="BG33" s="91"/>
      <c r="BH33" s="104"/>
      <c r="BI33" s="104"/>
      <c r="BJ33" s="104"/>
      <c r="BK33" s="104"/>
      <c r="BL33" s="91"/>
      <c r="BM33" s="104"/>
      <c r="BN33" s="104"/>
      <c r="BO33" s="104"/>
      <c r="BP33" s="104"/>
      <c r="BQ33" s="91"/>
      <c r="BR33" s="104"/>
      <c r="BS33" s="104"/>
      <c r="BT33" s="104"/>
      <c r="BU33" s="104"/>
      <c r="BV33" s="91"/>
      <c r="BW33" s="104"/>
      <c r="BX33" s="104"/>
      <c r="BY33" s="104"/>
      <c r="BZ33" s="104"/>
      <c r="CA33" s="91"/>
      <c r="CB33" s="104"/>
      <c r="CC33" s="104"/>
      <c r="CD33" s="104"/>
      <c r="CE33" s="104"/>
      <c r="CF33" s="91"/>
      <c r="CG33" s="104"/>
      <c r="CH33" s="104"/>
      <c r="CI33" s="104"/>
      <c r="CJ33" s="104"/>
      <c r="CK33" s="91"/>
      <c r="CL33" s="104"/>
      <c r="CM33" s="104"/>
      <c r="CN33" s="104"/>
      <c r="CO33" s="104"/>
      <c r="CP33" s="91"/>
      <c r="CQ33" s="104"/>
      <c r="CR33" s="104"/>
      <c r="CS33" s="104"/>
      <c r="CT33" s="104"/>
      <c r="CU33" s="91"/>
      <c r="CV33" s="104"/>
      <c r="CW33" s="104"/>
      <c r="CX33" s="104"/>
      <c r="CY33" s="104"/>
      <c r="CZ33" s="91"/>
      <c r="DA33" s="104"/>
      <c r="DB33" s="104"/>
      <c r="DC33" s="104"/>
      <c r="DD33" s="104"/>
      <c r="DE33" s="91"/>
      <c r="DF33" s="104"/>
      <c r="DG33" s="104"/>
      <c r="DH33" s="104"/>
      <c r="DI33" s="104"/>
      <c r="DJ33" s="91"/>
      <c r="DK33" s="104"/>
      <c r="DL33" s="104"/>
      <c r="DM33" s="104"/>
      <c r="DN33" s="104"/>
      <c r="DO33" s="91"/>
      <c r="DP33" s="104"/>
      <c r="DQ33" s="104"/>
      <c r="DR33" s="104"/>
      <c r="DS33" s="104"/>
      <c r="DT33" s="91"/>
      <c r="DU33" s="104"/>
      <c r="DV33" s="104"/>
      <c r="DW33" s="104"/>
      <c r="DX33" s="104"/>
      <c r="DY33" s="91"/>
      <c r="DZ33" s="104"/>
      <c r="EA33" s="104"/>
      <c r="EB33" s="104"/>
      <c r="EC33" s="104"/>
      <c r="ED33" s="91"/>
      <c r="EE33" s="104"/>
      <c r="EF33" s="104"/>
      <c r="EG33" s="104"/>
      <c r="EH33" s="104"/>
      <c r="EI33" s="91"/>
      <c r="EJ33" s="104"/>
      <c r="EK33" s="104"/>
      <c r="EL33" s="104"/>
      <c r="EM33" s="104"/>
      <c r="EN33" s="91"/>
      <c r="EO33" s="104"/>
      <c r="EP33" s="104"/>
      <c r="EQ33" s="104"/>
      <c r="ER33" s="104"/>
      <c r="ES33" s="91"/>
      <c r="ET33" s="104"/>
      <c r="EU33" s="104"/>
      <c r="EV33" s="104"/>
      <c r="EW33" s="104"/>
      <c r="EX33" s="91"/>
      <c r="EY33" s="104"/>
      <c r="EZ33" s="104"/>
      <c r="FA33" s="104"/>
      <c r="FB33" s="104"/>
      <c r="FC33" s="91"/>
      <c r="FD33" s="104"/>
      <c r="FE33" s="104"/>
      <c r="FF33" s="104"/>
      <c r="FG33" s="104"/>
      <c r="FH33" s="91"/>
      <c r="FI33" s="104"/>
      <c r="FJ33" s="104"/>
      <c r="FK33" s="104"/>
      <c r="FL33" s="104"/>
      <c r="FM33" s="104"/>
      <c r="FN33" s="104"/>
      <c r="FO33" s="104"/>
      <c r="FP33" s="104"/>
      <c r="FQ33" s="104"/>
      <c r="FR33" s="104"/>
      <c r="FS33" s="104"/>
      <c r="FT33" s="104"/>
      <c r="FU33" s="104"/>
      <c r="FV33" s="104"/>
      <c r="FW33" s="104"/>
      <c r="FX33" s="104"/>
      <c r="FY33" s="104"/>
      <c r="FZ33" s="104"/>
      <c r="GA33" s="104"/>
      <c r="GB33" s="104"/>
      <c r="GC33" s="104"/>
      <c r="GD33" s="104"/>
      <c r="GE33" s="104"/>
      <c r="GF33" s="104"/>
      <c r="GG33" s="104"/>
      <c r="GH33" s="104"/>
      <c r="GI33" s="104"/>
      <c r="GJ33" s="104"/>
      <c r="GK33" s="104"/>
      <c r="GL33" s="104"/>
      <c r="GM33" s="104"/>
      <c r="GN33" s="104"/>
      <c r="GO33" s="104"/>
      <c r="GP33" s="91"/>
      <c r="GQ33" s="104"/>
      <c r="GR33" s="104"/>
      <c r="GS33" s="104"/>
      <c r="GT33" s="104"/>
      <c r="GU33" s="91"/>
      <c r="GV33" s="104"/>
      <c r="GW33" s="104"/>
      <c r="GX33" s="104"/>
      <c r="GY33" s="104"/>
      <c r="GZ33" s="91"/>
      <c r="HA33" s="104"/>
      <c r="HB33" s="104"/>
      <c r="HC33" s="104"/>
      <c r="HD33" s="104"/>
      <c r="HE33" s="91"/>
      <c r="HF33" s="104"/>
      <c r="HG33" s="104"/>
      <c r="HH33" s="104"/>
      <c r="HI33" s="104"/>
      <c r="HJ33" s="91"/>
      <c r="HK33" s="104"/>
      <c r="HL33" s="104"/>
      <c r="HM33" s="104"/>
      <c r="HN33" s="104"/>
      <c r="HO33" s="91"/>
      <c r="HP33" s="104"/>
      <c r="HQ33" s="104"/>
      <c r="HR33" s="104"/>
      <c r="HS33" s="104"/>
      <c r="HT33" s="91"/>
      <c r="HU33" s="104"/>
      <c r="HV33" s="104"/>
      <c r="HW33" s="104"/>
      <c r="HX33" s="104"/>
      <c r="HY33" s="91"/>
      <c r="HZ33" s="104"/>
      <c r="IA33" s="104"/>
      <c r="IB33" s="104"/>
      <c r="IC33" s="104"/>
      <c r="ID33" s="91"/>
      <c r="IE33" s="104"/>
      <c r="IF33" s="104"/>
      <c r="IG33" s="104"/>
      <c r="IH33" s="104"/>
      <c r="II33" s="91"/>
      <c r="IJ33" s="104"/>
      <c r="IK33" s="104"/>
      <c r="IL33" s="104"/>
      <c r="IM33" s="104"/>
      <c r="IN33" s="91"/>
      <c r="IO33" s="104"/>
      <c r="IP33" s="104"/>
      <c r="IQ33" s="104"/>
      <c r="IR33" s="104"/>
      <c r="IS33" s="91"/>
      <c r="IT33" s="104"/>
      <c r="IU33" s="104"/>
      <c r="IV33" s="104"/>
      <c r="IW33" s="104"/>
      <c r="IX33" s="91"/>
      <c r="IY33" s="104"/>
      <c r="IZ33" s="104"/>
      <c r="JA33" s="104"/>
      <c r="JB33" s="104"/>
      <c r="JC33" s="91"/>
      <c r="JD33" s="104"/>
      <c r="JE33" s="104"/>
      <c r="JF33" s="104"/>
      <c r="JG33" s="105"/>
      <c r="JH33" s="91"/>
      <c r="JI33" s="106"/>
      <c r="JJ33" s="104"/>
      <c r="JK33" s="104"/>
      <c r="JL33" s="105"/>
      <c r="JM33" s="95"/>
      <c r="JN33" s="107"/>
      <c r="JO33" s="79"/>
      <c r="JP33" s="106"/>
      <c r="JQ33" s="104"/>
      <c r="JR33" s="104"/>
      <c r="JS33" s="104"/>
      <c r="JT33" s="104"/>
      <c r="JU33" s="104"/>
      <c r="JV33" s="104"/>
      <c r="JW33" s="104"/>
      <c r="JX33" s="104"/>
      <c r="JY33" s="104"/>
      <c r="JZ33" s="104"/>
      <c r="KA33" s="104"/>
      <c r="KB33" s="104"/>
      <c r="KC33" s="104"/>
      <c r="KD33" s="104"/>
      <c r="KE33" s="104"/>
      <c r="KF33" s="104"/>
      <c r="KG33" s="104"/>
      <c r="KH33" s="104"/>
      <c r="KI33" s="104"/>
      <c r="KJ33" s="104"/>
      <c r="KK33" s="104"/>
      <c r="KL33" s="104"/>
      <c r="KM33" s="104"/>
      <c r="KN33" s="104"/>
      <c r="KO33" s="104"/>
      <c r="KP33" s="104"/>
      <c r="KQ33" s="104"/>
      <c r="KR33" s="104"/>
      <c r="KS33" s="104"/>
      <c r="KT33" s="104"/>
      <c r="KU33" s="104"/>
      <c r="KV33" s="104"/>
      <c r="KW33" s="104"/>
      <c r="KX33" s="104"/>
      <c r="KY33" s="104"/>
      <c r="KZ33" s="104"/>
      <c r="LA33" s="104"/>
      <c r="LB33" s="104"/>
      <c r="LC33" s="104"/>
      <c r="LD33" s="104"/>
      <c r="LE33" s="104"/>
      <c r="LF33" s="104"/>
      <c r="LG33" s="104"/>
      <c r="LH33" s="104"/>
      <c r="LI33" s="104"/>
      <c r="LJ33" s="104"/>
      <c r="LK33" s="104"/>
      <c r="LL33" s="104"/>
      <c r="LM33" s="104"/>
      <c r="LN33" s="104"/>
      <c r="LO33" s="104"/>
      <c r="LP33" s="104"/>
      <c r="LQ33" s="104"/>
      <c r="LR33" s="104"/>
      <c r="LS33" s="104"/>
      <c r="LT33" s="104"/>
      <c r="LU33" s="104"/>
      <c r="LV33" s="104"/>
      <c r="LW33" s="104"/>
      <c r="LX33" s="104"/>
      <c r="LY33" s="104"/>
      <c r="LZ33" s="104"/>
      <c r="MA33" s="104"/>
      <c r="MB33" s="104"/>
      <c r="MC33" s="104"/>
      <c r="MD33" s="104"/>
      <c r="ME33" s="104"/>
      <c r="MF33" s="104"/>
      <c r="MG33" s="104"/>
      <c r="MH33" s="104"/>
      <c r="MI33" s="104"/>
      <c r="MJ33" s="104"/>
      <c r="MK33" s="104"/>
      <c r="ML33" s="104"/>
      <c r="MM33" s="104"/>
      <c r="MN33" s="104"/>
      <c r="MO33" s="104"/>
      <c r="MP33" s="104"/>
      <c r="MQ33" s="104"/>
      <c r="MR33" s="104"/>
      <c r="MS33" s="104"/>
      <c r="MT33" s="104"/>
      <c r="MU33" s="104"/>
      <c r="MV33" s="104"/>
      <c r="MW33" s="104"/>
      <c r="MX33" s="104"/>
      <c r="MY33" s="104"/>
      <c r="MZ33" s="104"/>
      <c r="NA33" s="104"/>
      <c r="NB33" s="104"/>
      <c r="NC33" s="104"/>
      <c r="ND33" s="104"/>
      <c r="NE33" s="104"/>
      <c r="NF33" s="104"/>
      <c r="NG33" s="104"/>
      <c r="NH33" s="104"/>
      <c r="NI33" s="104"/>
      <c r="NJ33" s="104"/>
      <c r="NK33" s="104"/>
      <c r="NL33" s="104"/>
      <c r="NM33" s="104"/>
      <c r="NN33" s="104"/>
      <c r="NO33" s="104"/>
      <c r="NP33" s="104"/>
      <c r="NQ33" s="104"/>
      <c r="NR33" s="104"/>
      <c r="NS33" s="104"/>
      <c r="NT33" s="104"/>
      <c r="NU33" s="104"/>
      <c r="NV33" s="104"/>
      <c r="NW33" s="104"/>
      <c r="NX33" s="104"/>
      <c r="NY33" s="104"/>
      <c r="NZ33" s="104"/>
    </row>
    <row r="34" spans="1:390" ht="15.75" customHeight="1" x14ac:dyDescent="0.3">
      <c r="A34" s="214">
        <v>4125089388</v>
      </c>
      <c r="B34" s="165" t="s">
        <v>391</v>
      </c>
      <c r="C34" s="215"/>
      <c r="D34" s="216" t="s">
        <v>391</v>
      </c>
      <c r="E34" s="136" t="s">
        <v>649</v>
      </c>
      <c r="F34" s="125" t="s">
        <v>471</v>
      </c>
      <c r="G34" s="221" t="s">
        <v>465</v>
      </c>
      <c r="H34" s="219">
        <v>43346</v>
      </c>
      <c r="I34" s="216" t="s">
        <v>650</v>
      </c>
      <c r="J34" s="153" t="s">
        <v>397</v>
      </c>
      <c r="K34" s="153" t="s">
        <v>398</v>
      </c>
      <c r="L34" s="153" t="s">
        <v>398</v>
      </c>
      <c r="M34" s="164" t="s">
        <v>398</v>
      </c>
      <c r="N34" s="164" t="s">
        <v>398</v>
      </c>
      <c r="O34" s="164" t="s">
        <v>398</v>
      </c>
      <c r="P34" s="164" t="s">
        <v>398</v>
      </c>
      <c r="Q34" s="164" t="s">
        <v>398</v>
      </c>
      <c r="R34" s="164" t="s">
        <v>398</v>
      </c>
      <c r="S34" s="164" t="s">
        <v>398</v>
      </c>
      <c r="T34" s="164" t="s">
        <v>398</v>
      </c>
      <c r="U34" s="164" t="s">
        <v>398</v>
      </c>
      <c r="V34" s="164" t="s">
        <v>398</v>
      </c>
      <c r="W34" s="164" t="s">
        <v>398</v>
      </c>
      <c r="X34" s="164" t="s">
        <v>398</v>
      </c>
      <c r="Y34" s="164" t="s">
        <v>398</v>
      </c>
      <c r="Z34" s="164" t="s">
        <v>398</v>
      </c>
      <c r="AA34" s="164" t="s">
        <v>398</v>
      </c>
      <c r="AB34" s="167" t="s">
        <v>399</v>
      </c>
      <c r="AC34" s="219">
        <v>23777</v>
      </c>
      <c r="AD34" s="107"/>
      <c r="AE34" s="108" t="e">
        <f t="shared" si="0"/>
        <v>#NUM!</v>
      </c>
      <c r="AF34" s="107" t="s">
        <v>651</v>
      </c>
      <c r="AG34" s="79" t="s">
        <v>401</v>
      </c>
      <c r="AH34" s="87" t="s">
        <v>391</v>
      </c>
      <c r="AI34" s="110"/>
      <c r="AJ34" s="110"/>
      <c r="AK34" s="110"/>
      <c r="AL34" s="110"/>
      <c r="AM34" s="105"/>
      <c r="AN34" s="95">
        <v>3</v>
      </c>
      <c r="AO34" s="173" t="s">
        <v>398</v>
      </c>
      <c r="AP34" s="79"/>
      <c r="AQ34" s="106"/>
      <c r="AR34" s="91"/>
      <c r="AS34" s="104"/>
      <c r="AT34" s="104"/>
      <c r="AU34" s="104"/>
      <c r="AV34" s="104"/>
      <c r="AW34" s="91"/>
      <c r="AX34" s="104"/>
      <c r="AY34" s="104"/>
      <c r="AZ34" s="104"/>
      <c r="BA34" s="104"/>
      <c r="BB34" s="91"/>
      <c r="BC34" s="104"/>
      <c r="BD34" s="104"/>
      <c r="BE34" s="104"/>
      <c r="BF34" s="104"/>
      <c r="BG34" s="91"/>
      <c r="BH34" s="104"/>
      <c r="BI34" s="104"/>
      <c r="BJ34" s="104"/>
      <c r="BK34" s="104"/>
      <c r="BL34" s="91"/>
      <c r="BM34" s="104"/>
      <c r="BN34" s="104"/>
      <c r="BO34" s="104"/>
      <c r="BP34" s="104"/>
      <c r="BQ34" s="91"/>
      <c r="BR34" s="104"/>
      <c r="BS34" s="104"/>
      <c r="BT34" s="104"/>
      <c r="BU34" s="104"/>
      <c r="BV34" s="91"/>
      <c r="BW34" s="104"/>
      <c r="BX34" s="104"/>
      <c r="BY34" s="104"/>
      <c r="BZ34" s="104"/>
      <c r="CA34" s="91"/>
      <c r="CB34" s="104"/>
      <c r="CC34" s="104"/>
      <c r="CD34" s="104"/>
      <c r="CE34" s="104"/>
      <c r="CF34" s="91"/>
      <c r="CG34" s="104"/>
      <c r="CH34" s="104"/>
      <c r="CI34" s="104"/>
      <c r="CJ34" s="104"/>
      <c r="CK34" s="91"/>
      <c r="CL34" s="104"/>
      <c r="CM34" s="104"/>
      <c r="CN34" s="104"/>
      <c r="CO34" s="104"/>
      <c r="CP34" s="91"/>
      <c r="CQ34" s="104"/>
      <c r="CR34" s="104"/>
      <c r="CS34" s="104"/>
      <c r="CT34" s="104"/>
      <c r="CU34" s="91"/>
      <c r="CV34" s="104"/>
      <c r="CW34" s="104"/>
      <c r="CX34" s="104"/>
      <c r="CY34" s="104"/>
      <c r="CZ34" s="91"/>
      <c r="DA34" s="104"/>
      <c r="DB34" s="104"/>
      <c r="DC34" s="104"/>
      <c r="DD34" s="104"/>
      <c r="DE34" s="91"/>
      <c r="DF34" s="104"/>
      <c r="DG34" s="104"/>
      <c r="DH34" s="104"/>
      <c r="DI34" s="104"/>
      <c r="DJ34" s="91"/>
      <c r="DK34" s="104"/>
      <c r="DL34" s="104"/>
      <c r="DM34" s="104"/>
      <c r="DN34" s="104"/>
      <c r="DO34" s="91"/>
      <c r="DP34" s="104"/>
      <c r="DQ34" s="104"/>
      <c r="DR34" s="104"/>
      <c r="DS34" s="104"/>
      <c r="DT34" s="91"/>
      <c r="DU34" s="104"/>
      <c r="DV34" s="104"/>
      <c r="DW34" s="104"/>
      <c r="DX34" s="104"/>
      <c r="DY34" s="91"/>
      <c r="DZ34" s="104"/>
      <c r="EA34" s="104"/>
      <c r="EB34" s="104"/>
      <c r="EC34" s="104"/>
      <c r="ED34" s="91"/>
      <c r="EE34" s="104"/>
      <c r="EF34" s="104"/>
      <c r="EG34" s="104"/>
      <c r="EH34" s="104"/>
      <c r="EI34" s="91"/>
      <c r="EJ34" s="104"/>
      <c r="EK34" s="104"/>
      <c r="EL34" s="104"/>
      <c r="EM34" s="104"/>
      <c r="EN34" s="91"/>
      <c r="EO34" s="104"/>
      <c r="EP34" s="104"/>
      <c r="EQ34" s="104"/>
      <c r="ER34" s="104"/>
      <c r="ES34" s="91"/>
      <c r="ET34" s="104"/>
      <c r="EU34" s="104"/>
      <c r="EV34" s="104"/>
      <c r="EW34" s="104"/>
      <c r="EX34" s="91"/>
      <c r="EY34" s="104"/>
      <c r="EZ34" s="104"/>
      <c r="FA34" s="104"/>
      <c r="FB34" s="104"/>
      <c r="FC34" s="91"/>
      <c r="FD34" s="104"/>
      <c r="FE34" s="104"/>
      <c r="FF34" s="104"/>
      <c r="FG34" s="104"/>
      <c r="FH34" s="91"/>
      <c r="FI34" s="104"/>
      <c r="FJ34" s="104"/>
      <c r="FK34" s="104"/>
      <c r="FL34" s="104"/>
      <c r="FM34" s="104"/>
      <c r="FN34" s="104"/>
      <c r="FO34" s="104"/>
      <c r="FP34" s="104"/>
      <c r="FQ34" s="104"/>
      <c r="FR34" s="104"/>
      <c r="FS34" s="104"/>
      <c r="FT34" s="104"/>
      <c r="FU34" s="104"/>
      <c r="FV34" s="104"/>
      <c r="FW34" s="104"/>
      <c r="FX34" s="104"/>
      <c r="FY34" s="104"/>
      <c r="FZ34" s="104"/>
      <c r="GA34" s="104"/>
      <c r="GB34" s="104"/>
      <c r="GC34" s="104"/>
      <c r="GD34" s="104"/>
      <c r="GE34" s="104"/>
      <c r="GF34" s="104"/>
      <c r="GG34" s="104"/>
      <c r="GH34" s="104"/>
      <c r="GI34" s="104"/>
      <c r="GJ34" s="104"/>
      <c r="GK34" s="104"/>
      <c r="GL34" s="104"/>
      <c r="GM34" s="104"/>
      <c r="GN34" s="104"/>
      <c r="GO34" s="104"/>
      <c r="GP34" s="91"/>
      <c r="GQ34" s="104"/>
      <c r="GR34" s="104"/>
      <c r="GS34" s="104"/>
      <c r="GT34" s="104"/>
      <c r="GU34" s="91"/>
      <c r="GV34" s="104"/>
      <c r="GW34" s="104"/>
      <c r="GX34" s="104"/>
      <c r="GY34" s="104"/>
      <c r="GZ34" s="91"/>
      <c r="HA34" s="104"/>
      <c r="HB34" s="104"/>
      <c r="HC34" s="104"/>
      <c r="HD34" s="104"/>
      <c r="HE34" s="91"/>
      <c r="HF34" s="104"/>
      <c r="HG34" s="104"/>
      <c r="HH34" s="104"/>
      <c r="HI34" s="104"/>
      <c r="HJ34" s="91"/>
      <c r="HK34" s="104"/>
      <c r="HL34" s="104"/>
      <c r="HM34" s="104"/>
      <c r="HN34" s="104"/>
      <c r="HO34" s="91"/>
      <c r="HP34" s="104"/>
      <c r="HQ34" s="104"/>
      <c r="HR34" s="104"/>
      <c r="HS34" s="104"/>
      <c r="HT34" s="91"/>
      <c r="HU34" s="104"/>
      <c r="HV34" s="104"/>
      <c r="HW34" s="104"/>
      <c r="HX34" s="104"/>
      <c r="HY34" s="91"/>
      <c r="HZ34" s="104"/>
      <c r="IA34" s="104"/>
      <c r="IB34" s="104"/>
      <c r="IC34" s="104"/>
      <c r="ID34" s="91"/>
      <c r="IE34" s="104"/>
      <c r="IF34" s="104"/>
      <c r="IG34" s="104"/>
      <c r="IH34" s="104"/>
      <c r="II34" s="91"/>
      <c r="IJ34" s="104"/>
      <c r="IK34" s="104"/>
      <c r="IL34" s="104"/>
      <c r="IM34" s="104"/>
      <c r="IN34" s="91"/>
      <c r="IO34" s="104"/>
      <c r="IP34" s="104"/>
      <c r="IQ34" s="104"/>
      <c r="IR34" s="104"/>
      <c r="IS34" s="91"/>
      <c r="IT34" s="104"/>
      <c r="IU34" s="104"/>
      <c r="IV34" s="104"/>
      <c r="IW34" s="104"/>
      <c r="IX34" s="91"/>
      <c r="IY34" s="104"/>
      <c r="IZ34" s="104"/>
      <c r="JA34" s="104"/>
      <c r="JB34" s="104"/>
      <c r="JC34" s="91"/>
      <c r="JD34" s="104"/>
      <c r="JE34" s="104"/>
      <c r="JF34" s="104"/>
      <c r="JG34" s="105"/>
      <c r="JH34" s="91"/>
      <c r="JI34" s="106"/>
      <c r="JJ34" s="104"/>
      <c r="JK34" s="104"/>
      <c r="JL34" s="105"/>
      <c r="JM34" s="95"/>
      <c r="JN34" s="107"/>
      <c r="JO34" s="79"/>
      <c r="JP34" s="106"/>
      <c r="JQ34" s="104"/>
      <c r="JR34" s="104"/>
      <c r="JS34" s="104"/>
      <c r="JT34" s="104"/>
      <c r="JU34" s="104"/>
      <c r="JV34" s="104"/>
      <c r="JW34" s="104"/>
      <c r="JX34" s="104"/>
      <c r="JY34" s="104"/>
      <c r="JZ34" s="104"/>
      <c r="KA34" s="104"/>
      <c r="KB34" s="104"/>
      <c r="KC34" s="104"/>
      <c r="KD34" s="104"/>
      <c r="KE34" s="104"/>
      <c r="KF34" s="104"/>
      <c r="KG34" s="104"/>
      <c r="KH34" s="104"/>
      <c r="KI34" s="104"/>
      <c r="KJ34" s="104"/>
      <c r="KK34" s="104"/>
      <c r="KL34" s="104"/>
      <c r="KM34" s="104"/>
      <c r="KN34" s="104"/>
      <c r="KO34" s="104"/>
      <c r="KP34" s="104"/>
      <c r="KQ34" s="104"/>
      <c r="KR34" s="104"/>
      <c r="KS34" s="104"/>
      <c r="KT34" s="104"/>
      <c r="KU34" s="104"/>
      <c r="KV34" s="104"/>
      <c r="KW34" s="104"/>
      <c r="KX34" s="104"/>
      <c r="KY34" s="104"/>
      <c r="KZ34" s="104"/>
      <c r="LA34" s="104"/>
      <c r="LB34" s="104"/>
      <c r="LC34" s="104"/>
      <c r="LD34" s="104"/>
      <c r="LE34" s="104"/>
      <c r="LF34" s="104"/>
      <c r="LG34" s="104"/>
      <c r="LH34" s="104"/>
      <c r="LI34" s="104"/>
      <c r="LJ34" s="104"/>
      <c r="LK34" s="104"/>
      <c r="LL34" s="104"/>
      <c r="LM34" s="104"/>
      <c r="LN34" s="104"/>
      <c r="LO34" s="104"/>
      <c r="LP34" s="104"/>
      <c r="LQ34" s="104"/>
      <c r="LR34" s="104"/>
      <c r="LS34" s="104"/>
      <c r="LT34" s="104"/>
      <c r="LU34" s="104"/>
      <c r="LV34" s="104"/>
      <c r="LW34" s="104"/>
      <c r="LX34" s="104"/>
      <c r="LY34" s="104"/>
      <c r="LZ34" s="104"/>
      <c r="MA34" s="104"/>
      <c r="MB34" s="104"/>
      <c r="MC34" s="104"/>
      <c r="MD34" s="104"/>
      <c r="ME34" s="104"/>
      <c r="MF34" s="104"/>
      <c r="MG34" s="104"/>
      <c r="MH34" s="104"/>
      <c r="MI34" s="104"/>
      <c r="MJ34" s="104"/>
      <c r="MK34" s="104"/>
      <c r="ML34" s="104"/>
      <c r="MM34" s="104"/>
      <c r="MN34" s="104"/>
      <c r="MO34" s="104"/>
      <c r="MP34" s="104"/>
      <c r="MQ34" s="104"/>
      <c r="MR34" s="104"/>
      <c r="MS34" s="104"/>
      <c r="MT34" s="104"/>
      <c r="MU34" s="104"/>
      <c r="MV34" s="104"/>
      <c r="MW34" s="104"/>
      <c r="MX34" s="104"/>
      <c r="MY34" s="104"/>
      <c r="MZ34" s="104"/>
      <c r="NA34" s="104"/>
      <c r="NB34" s="104"/>
      <c r="NC34" s="104"/>
      <c r="ND34" s="104"/>
      <c r="NE34" s="104"/>
      <c r="NF34" s="104"/>
      <c r="NG34" s="104"/>
      <c r="NH34" s="104"/>
      <c r="NI34" s="104"/>
      <c r="NJ34" s="104"/>
      <c r="NK34" s="104"/>
      <c r="NL34" s="104"/>
      <c r="NM34" s="104"/>
      <c r="NN34" s="104"/>
      <c r="NO34" s="104"/>
      <c r="NP34" s="104"/>
      <c r="NQ34" s="104"/>
      <c r="NR34" s="104"/>
      <c r="NS34" s="104"/>
      <c r="NT34" s="104"/>
      <c r="NU34" s="104"/>
      <c r="NV34" s="104"/>
      <c r="NW34" s="104"/>
      <c r="NX34" s="104"/>
      <c r="NY34" s="104"/>
      <c r="NZ34" s="104"/>
    </row>
    <row r="35" spans="1:390" ht="15.75" customHeight="1" x14ac:dyDescent="0.3">
      <c r="A35" s="214">
        <v>6230034816</v>
      </c>
      <c r="B35" s="165" t="s">
        <v>391</v>
      </c>
      <c r="C35" s="215"/>
      <c r="D35" s="216" t="s">
        <v>391</v>
      </c>
      <c r="E35" s="136" t="s">
        <v>652</v>
      </c>
      <c r="F35" s="125" t="s">
        <v>653</v>
      </c>
      <c r="G35" s="221" t="s">
        <v>441</v>
      </c>
      <c r="H35" s="219">
        <v>43348</v>
      </c>
      <c r="I35" s="216" t="s">
        <v>654</v>
      </c>
      <c r="J35" s="153" t="s">
        <v>397</v>
      </c>
      <c r="K35" s="153" t="s">
        <v>398</v>
      </c>
      <c r="L35" s="153" t="s">
        <v>398</v>
      </c>
      <c r="M35" s="164" t="s">
        <v>398</v>
      </c>
      <c r="N35" s="164" t="s">
        <v>398</v>
      </c>
      <c r="O35" s="164" t="s">
        <v>398</v>
      </c>
      <c r="P35" s="164" t="s">
        <v>398</v>
      </c>
      <c r="Q35" s="164" t="s">
        <v>398</v>
      </c>
      <c r="R35" s="164" t="s">
        <v>398</v>
      </c>
      <c r="S35" s="164" t="s">
        <v>398</v>
      </c>
      <c r="T35" s="164" t="s">
        <v>398</v>
      </c>
      <c r="U35" s="164" t="s">
        <v>398</v>
      </c>
      <c r="V35" s="164" t="s">
        <v>398</v>
      </c>
      <c r="W35" s="164" t="s">
        <v>398</v>
      </c>
      <c r="X35" s="164" t="s">
        <v>398</v>
      </c>
      <c r="Y35" s="164" t="s">
        <v>398</v>
      </c>
      <c r="Z35" s="164" t="s">
        <v>398</v>
      </c>
      <c r="AA35" s="164" t="s">
        <v>398</v>
      </c>
      <c r="AB35" s="167" t="s">
        <v>399</v>
      </c>
      <c r="AC35" s="219">
        <v>23541</v>
      </c>
      <c r="AD35" s="107"/>
      <c r="AE35" s="108" t="e">
        <f t="shared" si="0"/>
        <v>#NUM!</v>
      </c>
      <c r="AF35" s="107" t="s">
        <v>477</v>
      </c>
      <c r="AG35" s="79" t="s">
        <v>401</v>
      </c>
      <c r="AH35" s="87" t="s">
        <v>391</v>
      </c>
      <c r="AI35" s="110"/>
      <c r="AJ35" s="110"/>
      <c r="AK35" s="110"/>
      <c r="AL35" s="110"/>
      <c r="AM35" s="105"/>
      <c r="AN35" s="95">
        <v>2</v>
      </c>
      <c r="AO35" s="173" t="s">
        <v>398</v>
      </c>
      <c r="AP35" s="79"/>
      <c r="AQ35" s="106"/>
      <c r="AR35" s="91"/>
      <c r="AS35" s="104"/>
      <c r="AT35" s="104"/>
      <c r="AU35" s="104"/>
      <c r="AV35" s="104"/>
      <c r="AW35" s="91"/>
      <c r="AX35" s="104"/>
      <c r="AY35" s="104"/>
      <c r="AZ35" s="104"/>
      <c r="BA35" s="104"/>
      <c r="BB35" s="91"/>
      <c r="BC35" s="104"/>
      <c r="BD35" s="104"/>
      <c r="BE35" s="104"/>
      <c r="BF35" s="104"/>
      <c r="BG35" s="91"/>
      <c r="BH35" s="104"/>
      <c r="BI35" s="104"/>
      <c r="BJ35" s="104"/>
      <c r="BK35" s="104"/>
      <c r="BL35" s="91"/>
      <c r="BM35" s="104"/>
      <c r="BN35" s="104"/>
      <c r="BO35" s="104"/>
      <c r="BP35" s="104"/>
      <c r="BQ35" s="91"/>
      <c r="BR35" s="104"/>
      <c r="BS35" s="104"/>
      <c r="BT35" s="104"/>
      <c r="BU35" s="104"/>
      <c r="BV35" s="91"/>
      <c r="BW35" s="104"/>
      <c r="BX35" s="104"/>
      <c r="BY35" s="104"/>
      <c r="BZ35" s="104"/>
      <c r="CA35" s="91"/>
      <c r="CB35" s="104"/>
      <c r="CC35" s="104"/>
      <c r="CD35" s="104"/>
      <c r="CE35" s="104"/>
      <c r="CF35" s="91"/>
      <c r="CG35" s="104"/>
      <c r="CH35" s="104"/>
      <c r="CI35" s="104"/>
      <c r="CJ35" s="104"/>
      <c r="CK35" s="91"/>
      <c r="CL35" s="104"/>
      <c r="CM35" s="104"/>
      <c r="CN35" s="104"/>
      <c r="CO35" s="104"/>
      <c r="CP35" s="91"/>
      <c r="CQ35" s="104"/>
      <c r="CR35" s="104"/>
      <c r="CS35" s="104"/>
      <c r="CT35" s="104"/>
      <c r="CU35" s="91"/>
      <c r="CV35" s="104"/>
      <c r="CW35" s="104"/>
      <c r="CX35" s="104"/>
      <c r="CY35" s="104"/>
      <c r="CZ35" s="91"/>
      <c r="DA35" s="104"/>
      <c r="DB35" s="104"/>
      <c r="DC35" s="104"/>
      <c r="DD35" s="104"/>
      <c r="DE35" s="91"/>
      <c r="DF35" s="104"/>
      <c r="DG35" s="104"/>
      <c r="DH35" s="104"/>
      <c r="DI35" s="104"/>
      <c r="DJ35" s="91"/>
      <c r="DK35" s="104"/>
      <c r="DL35" s="104"/>
      <c r="DM35" s="104"/>
      <c r="DN35" s="104"/>
      <c r="DO35" s="91"/>
      <c r="DP35" s="104"/>
      <c r="DQ35" s="104"/>
      <c r="DR35" s="104"/>
      <c r="DS35" s="104"/>
      <c r="DT35" s="91"/>
      <c r="DU35" s="104"/>
      <c r="DV35" s="104"/>
      <c r="DW35" s="104"/>
      <c r="DX35" s="104"/>
      <c r="DY35" s="91"/>
      <c r="DZ35" s="104"/>
      <c r="EA35" s="104"/>
      <c r="EB35" s="104"/>
      <c r="EC35" s="104"/>
      <c r="ED35" s="91"/>
      <c r="EE35" s="104"/>
      <c r="EF35" s="104"/>
      <c r="EG35" s="104"/>
      <c r="EH35" s="104"/>
      <c r="EI35" s="91"/>
      <c r="EJ35" s="104"/>
      <c r="EK35" s="104"/>
      <c r="EL35" s="104"/>
      <c r="EM35" s="104"/>
      <c r="EN35" s="91"/>
      <c r="EO35" s="104"/>
      <c r="EP35" s="104"/>
      <c r="EQ35" s="104"/>
      <c r="ER35" s="104"/>
      <c r="ES35" s="91"/>
      <c r="ET35" s="104"/>
      <c r="EU35" s="104"/>
      <c r="EV35" s="104"/>
      <c r="EW35" s="104"/>
      <c r="EX35" s="91"/>
      <c r="EY35" s="104"/>
      <c r="EZ35" s="104"/>
      <c r="FA35" s="104"/>
      <c r="FB35" s="104"/>
      <c r="FC35" s="91"/>
      <c r="FD35" s="104"/>
      <c r="FE35" s="104"/>
      <c r="FF35" s="104"/>
      <c r="FG35" s="104"/>
      <c r="FH35" s="91"/>
      <c r="FI35" s="104"/>
      <c r="FJ35" s="104"/>
      <c r="FK35" s="104"/>
      <c r="FL35" s="104"/>
      <c r="FM35" s="104"/>
      <c r="FN35" s="104"/>
      <c r="FO35" s="104"/>
      <c r="FP35" s="104"/>
      <c r="FQ35" s="104"/>
      <c r="FR35" s="104"/>
      <c r="FS35" s="104"/>
      <c r="FT35" s="104"/>
      <c r="FU35" s="104"/>
      <c r="FV35" s="104"/>
      <c r="FW35" s="104"/>
      <c r="FX35" s="104"/>
      <c r="FY35" s="104"/>
      <c r="FZ35" s="104"/>
      <c r="GA35" s="104"/>
      <c r="GB35" s="104"/>
      <c r="GC35" s="104"/>
      <c r="GD35" s="104"/>
      <c r="GE35" s="104"/>
      <c r="GF35" s="104"/>
      <c r="GG35" s="104"/>
      <c r="GH35" s="104"/>
      <c r="GI35" s="104"/>
      <c r="GJ35" s="104"/>
      <c r="GK35" s="104"/>
      <c r="GL35" s="104"/>
      <c r="GM35" s="104"/>
      <c r="GN35" s="104"/>
      <c r="GO35" s="104"/>
      <c r="GP35" s="91"/>
      <c r="GQ35" s="104"/>
      <c r="GR35" s="104"/>
      <c r="GS35" s="104"/>
      <c r="GT35" s="104"/>
      <c r="GU35" s="91"/>
      <c r="GV35" s="104"/>
      <c r="GW35" s="104"/>
      <c r="GX35" s="104"/>
      <c r="GY35" s="104"/>
      <c r="GZ35" s="91"/>
      <c r="HA35" s="104"/>
      <c r="HB35" s="104"/>
      <c r="HC35" s="104"/>
      <c r="HD35" s="104"/>
      <c r="HE35" s="91"/>
      <c r="HF35" s="104"/>
      <c r="HG35" s="104"/>
      <c r="HH35" s="104"/>
      <c r="HI35" s="104"/>
      <c r="HJ35" s="91"/>
      <c r="HK35" s="104"/>
      <c r="HL35" s="104"/>
      <c r="HM35" s="104"/>
      <c r="HN35" s="104"/>
      <c r="HO35" s="91"/>
      <c r="HP35" s="104"/>
      <c r="HQ35" s="104"/>
      <c r="HR35" s="104"/>
      <c r="HS35" s="104"/>
      <c r="HT35" s="91"/>
      <c r="HU35" s="104"/>
      <c r="HV35" s="104"/>
      <c r="HW35" s="104"/>
      <c r="HX35" s="104"/>
      <c r="HY35" s="91"/>
      <c r="HZ35" s="104"/>
      <c r="IA35" s="104"/>
      <c r="IB35" s="104"/>
      <c r="IC35" s="104"/>
      <c r="ID35" s="91"/>
      <c r="IE35" s="104"/>
      <c r="IF35" s="104"/>
      <c r="IG35" s="104"/>
      <c r="IH35" s="104"/>
      <c r="II35" s="91"/>
      <c r="IJ35" s="104"/>
      <c r="IK35" s="104"/>
      <c r="IL35" s="104"/>
      <c r="IM35" s="104"/>
      <c r="IN35" s="91"/>
      <c r="IO35" s="104"/>
      <c r="IP35" s="104"/>
      <c r="IQ35" s="104"/>
      <c r="IR35" s="104"/>
      <c r="IS35" s="91"/>
      <c r="IT35" s="104"/>
      <c r="IU35" s="104"/>
      <c r="IV35" s="104"/>
      <c r="IW35" s="104"/>
      <c r="IX35" s="91"/>
      <c r="IY35" s="104"/>
      <c r="IZ35" s="104"/>
      <c r="JA35" s="104"/>
      <c r="JB35" s="104"/>
      <c r="JC35" s="91"/>
      <c r="JD35" s="104"/>
      <c r="JE35" s="104"/>
      <c r="JF35" s="104"/>
      <c r="JG35" s="105"/>
      <c r="JH35" s="91"/>
      <c r="JI35" s="106"/>
      <c r="JJ35" s="104"/>
      <c r="JK35" s="104"/>
      <c r="JL35" s="105"/>
      <c r="JM35" s="95"/>
      <c r="JN35" s="107"/>
      <c r="JO35" s="79"/>
      <c r="JP35" s="106"/>
      <c r="JQ35" s="104"/>
      <c r="JR35" s="104"/>
      <c r="JS35" s="104"/>
      <c r="JT35" s="104"/>
      <c r="JU35" s="104"/>
      <c r="JV35" s="104"/>
      <c r="JW35" s="104"/>
      <c r="JX35" s="104"/>
      <c r="JY35" s="104"/>
      <c r="JZ35" s="104"/>
      <c r="KA35" s="104"/>
      <c r="KB35" s="104"/>
      <c r="KC35" s="104"/>
      <c r="KD35" s="104"/>
      <c r="KE35" s="104"/>
      <c r="KF35" s="104"/>
      <c r="KG35" s="104"/>
      <c r="KH35" s="104"/>
      <c r="KI35" s="104"/>
      <c r="KJ35" s="104"/>
      <c r="KK35" s="104"/>
      <c r="KL35" s="104"/>
      <c r="KM35" s="104"/>
      <c r="KN35" s="104"/>
      <c r="KO35" s="104"/>
      <c r="KP35" s="104"/>
      <c r="KQ35" s="104"/>
      <c r="KR35" s="104"/>
      <c r="KS35" s="104"/>
      <c r="KT35" s="104"/>
      <c r="KU35" s="104"/>
      <c r="KV35" s="104"/>
      <c r="KW35" s="104"/>
      <c r="KX35" s="104"/>
      <c r="KY35" s="104"/>
      <c r="KZ35" s="104"/>
      <c r="LA35" s="104"/>
      <c r="LB35" s="104"/>
      <c r="LC35" s="104"/>
      <c r="LD35" s="104"/>
      <c r="LE35" s="104"/>
      <c r="LF35" s="104"/>
      <c r="LG35" s="104"/>
      <c r="LH35" s="104"/>
      <c r="LI35" s="104"/>
      <c r="LJ35" s="104"/>
      <c r="LK35" s="104"/>
      <c r="LL35" s="104"/>
      <c r="LM35" s="104"/>
      <c r="LN35" s="104"/>
      <c r="LO35" s="104"/>
      <c r="LP35" s="104"/>
      <c r="LQ35" s="104"/>
      <c r="LR35" s="104"/>
      <c r="LS35" s="104"/>
      <c r="LT35" s="104"/>
      <c r="LU35" s="104"/>
      <c r="LV35" s="104"/>
      <c r="LW35" s="104"/>
      <c r="LX35" s="104"/>
      <c r="LY35" s="104"/>
      <c r="LZ35" s="104"/>
      <c r="MA35" s="104"/>
      <c r="MB35" s="104"/>
      <c r="MC35" s="104"/>
      <c r="MD35" s="104"/>
      <c r="ME35" s="104"/>
      <c r="MF35" s="104"/>
      <c r="MG35" s="104"/>
      <c r="MH35" s="104"/>
      <c r="MI35" s="104"/>
      <c r="MJ35" s="104"/>
      <c r="MK35" s="104"/>
      <c r="ML35" s="104"/>
      <c r="MM35" s="104"/>
      <c r="MN35" s="104"/>
      <c r="MO35" s="104"/>
      <c r="MP35" s="104"/>
      <c r="MQ35" s="104"/>
      <c r="MR35" s="104"/>
      <c r="MS35" s="104"/>
      <c r="MT35" s="104"/>
      <c r="MU35" s="104"/>
      <c r="MV35" s="104"/>
      <c r="MW35" s="104"/>
      <c r="MX35" s="104"/>
      <c r="MY35" s="104"/>
      <c r="MZ35" s="104"/>
      <c r="NA35" s="104"/>
      <c r="NB35" s="104"/>
      <c r="NC35" s="104"/>
      <c r="ND35" s="104"/>
      <c r="NE35" s="104"/>
      <c r="NF35" s="104"/>
      <c r="NG35" s="104"/>
      <c r="NH35" s="104"/>
      <c r="NI35" s="104"/>
      <c r="NJ35" s="104"/>
      <c r="NK35" s="104"/>
      <c r="NL35" s="104"/>
      <c r="NM35" s="104"/>
      <c r="NN35" s="104"/>
      <c r="NO35" s="104"/>
      <c r="NP35" s="104"/>
      <c r="NQ35" s="104"/>
      <c r="NR35" s="104"/>
      <c r="NS35" s="104"/>
      <c r="NT35" s="104"/>
      <c r="NU35" s="104"/>
      <c r="NV35" s="104"/>
      <c r="NW35" s="104"/>
      <c r="NX35" s="104"/>
      <c r="NY35" s="104"/>
      <c r="NZ35" s="104"/>
    </row>
    <row r="36" spans="1:390" ht="15.75" customHeight="1" x14ac:dyDescent="0.3">
      <c r="A36" s="214">
        <v>4185841582</v>
      </c>
      <c r="B36" s="165" t="s">
        <v>391</v>
      </c>
      <c r="C36" s="215"/>
      <c r="D36" s="216" t="s">
        <v>391</v>
      </c>
      <c r="E36" s="136" t="s">
        <v>655</v>
      </c>
      <c r="F36" s="125" t="s">
        <v>426</v>
      </c>
      <c r="G36" s="221" t="s">
        <v>416</v>
      </c>
      <c r="H36" s="219">
        <v>43350</v>
      </c>
      <c r="I36" s="216" t="s">
        <v>458</v>
      </c>
      <c r="J36" s="153" t="s">
        <v>397</v>
      </c>
      <c r="K36" s="153" t="s">
        <v>398</v>
      </c>
      <c r="L36" s="153" t="s">
        <v>398</v>
      </c>
      <c r="M36" s="164" t="s">
        <v>398</v>
      </c>
      <c r="N36" s="164" t="s">
        <v>398</v>
      </c>
      <c r="O36" s="164" t="s">
        <v>398</v>
      </c>
      <c r="P36" s="164" t="s">
        <v>398</v>
      </c>
      <c r="Q36" s="164" t="s">
        <v>398</v>
      </c>
      <c r="R36" s="164" t="s">
        <v>398</v>
      </c>
      <c r="S36" s="164" t="s">
        <v>398</v>
      </c>
      <c r="T36" s="164" t="s">
        <v>398</v>
      </c>
      <c r="U36" s="164" t="s">
        <v>398</v>
      </c>
      <c r="V36" s="164" t="s">
        <v>398</v>
      </c>
      <c r="W36" s="164" t="s">
        <v>398</v>
      </c>
      <c r="X36" s="164" t="s">
        <v>398</v>
      </c>
      <c r="Y36" s="164" t="s">
        <v>398</v>
      </c>
      <c r="Z36" s="164" t="s">
        <v>398</v>
      </c>
      <c r="AA36" s="164" t="s">
        <v>398</v>
      </c>
      <c r="AB36" s="167" t="s">
        <v>399</v>
      </c>
      <c r="AC36" s="219">
        <v>24435</v>
      </c>
      <c r="AD36" s="107"/>
      <c r="AE36" s="108" t="e">
        <f t="shared" si="0"/>
        <v>#NUM!</v>
      </c>
      <c r="AF36" s="107" t="s">
        <v>656</v>
      </c>
      <c r="AG36" s="79" t="s">
        <v>401</v>
      </c>
      <c r="AH36" s="87" t="s">
        <v>402</v>
      </c>
      <c r="AI36" s="110"/>
      <c r="AJ36" s="110"/>
      <c r="AK36" s="110"/>
      <c r="AL36" s="110"/>
      <c r="AM36" s="105"/>
      <c r="AN36" s="95">
        <v>1</v>
      </c>
      <c r="AO36" s="173" t="s">
        <v>398</v>
      </c>
      <c r="AP36" s="79"/>
      <c r="AQ36" s="106"/>
      <c r="AR36" s="91"/>
      <c r="AS36" s="104"/>
      <c r="AT36" s="104"/>
      <c r="AU36" s="104"/>
      <c r="AV36" s="104"/>
      <c r="AW36" s="91"/>
      <c r="AX36" s="104"/>
      <c r="AY36" s="104"/>
      <c r="AZ36" s="104"/>
      <c r="BA36" s="104"/>
      <c r="BB36" s="91"/>
      <c r="BC36" s="104"/>
      <c r="BD36" s="104"/>
      <c r="BE36" s="104"/>
      <c r="BF36" s="104"/>
      <c r="BG36" s="91"/>
      <c r="BH36" s="104"/>
      <c r="BI36" s="104"/>
      <c r="BJ36" s="104"/>
      <c r="BK36" s="104"/>
      <c r="BL36" s="91"/>
      <c r="BM36" s="104"/>
      <c r="BN36" s="104"/>
      <c r="BO36" s="104"/>
      <c r="BP36" s="104"/>
      <c r="BQ36" s="91"/>
      <c r="BR36" s="104"/>
      <c r="BS36" s="104"/>
      <c r="BT36" s="104"/>
      <c r="BU36" s="104"/>
      <c r="BV36" s="91"/>
      <c r="BW36" s="104"/>
      <c r="BX36" s="104"/>
      <c r="BY36" s="104"/>
      <c r="BZ36" s="104"/>
      <c r="CA36" s="91"/>
      <c r="CB36" s="104"/>
      <c r="CC36" s="104"/>
      <c r="CD36" s="104"/>
      <c r="CE36" s="104"/>
      <c r="CF36" s="91"/>
      <c r="CG36" s="104"/>
      <c r="CH36" s="104"/>
      <c r="CI36" s="104"/>
      <c r="CJ36" s="104"/>
      <c r="CK36" s="91"/>
      <c r="CL36" s="104"/>
      <c r="CM36" s="104"/>
      <c r="CN36" s="104"/>
      <c r="CO36" s="104"/>
      <c r="CP36" s="91"/>
      <c r="CQ36" s="104"/>
      <c r="CR36" s="104"/>
      <c r="CS36" s="104"/>
      <c r="CT36" s="104"/>
      <c r="CU36" s="91"/>
      <c r="CV36" s="104"/>
      <c r="CW36" s="104"/>
      <c r="CX36" s="104"/>
      <c r="CY36" s="104"/>
      <c r="CZ36" s="91"/>
      <c r="DA36" s="104"/>
      <c r="DB36" s="104"/>
      <c r="DC36" s="104"/>
      <c r="DD36" s="104"/>
      <c r="DE36" s="91"/>
      <c r="DF36" s="104"/>
      <c r="DG36" s="104"/>
      <c r="DH36" s="104"/>
      <c r="DI36" s="104"/>
      <c r="DJ36" s="91"/>
      <c r="DK36" s="104"/>
      <c r="DL36" s="104"/>
      <c r="DM36" s="104"/>
      <c r="DN36" s="104"/>
      <c r="DO36" s="91"/>
      <c r="DP36" s="104"/>
      <c r="DQ36" s="104"/>
      <c r="DR36" s="104"/>
      <c r="DS36" s="104"/>
      <c r="DT36" s="91"/>
      <c r="DU36" s="104"/>
      <c r="DV36" s="104"/>
      <c r="DW36" s="104"/>
      <c r="DX36" s="104"/>
      <c r="DY36" s="91"/>
      <c r="DZ36" s="104"/>
      <c r="EA36" s="104"/>
      <c r="EB36" s="104"/>
      <c r="EC36" s="104"/>
      <c r="ED36" s="91"/>
      <c r="EE36" s="104"/>
      <c r="EF36" s="104"/>
      <c r="EG36" s="104"/>
      <c r="EH36" s="104"/>
      <c r="EI36" s="91"/>
      <c r="EJ36" s="104"/>
      <c r="EK36" s="104"/>
      <c r="EL36" s="104"/>
      <c r="EM36" s="104"/>
      <c r="EN36" s="91"/>
      <c r="EO36" s="104"/>
      <c r="EP36" s="104"/>
      <c r="EQ36" s="104"/>
      <c r="ER36" s="104"/>
      <c r="ES36" s="91"/>
      <c r="ET36" s="104"/>
      <c r="EU36" s="104"/>
      <c r="EV36" s="104"/>
      <c r="EW36" s="104"/>
      <c r="EX36" s="91"/>
      <c r="EY36" s="104"/>
      <c r="EZ36" s="104"/>
      <c r="FA36" s="104"/>
      <c r="FB36" s="104"/>
      <c r="FC36" s="91"/>
      <c r="FD36" s="104"/>
      <c r="FE36" s="104"/>
      <c r="FF36" s="104"/>
      <c r="FG36" s="104"/>
      <c r="FH36" s="91"/>
      <c r="FI36" s="104"/>
      <c r="FJ36" s="104"/>
      <c r="FK36" s="104"/>
      <c r="FL36" s="104"/>
      <c r="FM36" s="104"/>
      <c r="FN36" s="104"/>
      <c r="FO36" s="104"/>
      <c r="FP36" s="104"/>
      <c r="FQ36" s="104"/>
      <c r="FR36" s="104"/>
      <c r="FS36" s="104"/>
      <c r="FT36" s="104"/>
      <c r="FU36" s="104"/>
      <c r="FV36" s="104"/>
      <c r="FW36" s="104"/>
      <c r="FX36" s="104"/>
      <c r="FY36" s="104"/>
      <c r="FZ36" s="104"/>
      <c r="GA36" s="104"/>
      <c r="GB36" s="104"/>
      <c r="GC36" s="104"/>
      <c r="GD36" s="104"/>
      <c r="GE36" s="104"/>
      <c r="GF36" s="104"/>
      <c r="GG36" s="104"/>
      <c r="GH36" s="104"/>
      <c r="GI36" s="104"/>
      <c r="GJ36" s="104"/>
      <c r="GK36" s="104"/>
      <c r="GL36" s="104"/>
      <c r="GM36" s="104"/>
      <c r="GN36" s="104"/>
      <c r="GO36" s="104"/>
      <c r="GP36" s="91"/>
      <c r="GQ36" s="104"/>
      <c r="GR36" s="104"/>
      <c r="GS36" s="104"/>
      <c r="GT36" s="104"/>
      <c r="GU36" s="91"/>
      <c r="GV36" s="104"/>
      <c r="GW36" s="104"/>
      <c r="GX36" s="104"/>
      <c r="GY36" s="104"/>
      <c r="GZ36" s="91"/>
      <c r="HA36" s="104"/>
      <c r="HB36" s="104"/>
      <c r="HC36" s="104"/>
      <c r="HD36" s="104"/>
      <c r="HE36" s="91"/>
      <c r="HF36" s="104"/>
      <c r="HG36" s="104"/>
      <c r="HH36" s="104"/>
      <c r="HI36" s="104"/>
      <c r="HJ36" s="91"/>
      <c r="HK36" s="104"/>
      <c r="HL36" s="104"/>
      <c r="HM36" s="104"/>
      <c r="HN36" s="104"/>
      <c r="HO36" s="91"/>
      <c r="HP36" s="104"/>
      <c r="HQ36" s="104"/>
      <c r="HR36" s="104"/>
      <c r="HS36" s="104"/>
      <c r="HT36" s="91"/>
      <c r="HU36" s="104"/>
      <c r="HV36" s="104"/>
      <c r="HW36" s="104"/>
      <c r="HX36" s="104"/>
      <c r="HY36" s="91"/>
      <c r="HZ36" s="104"/>
      <c r="IA36" s="104"/>
      <c r="IB36" s="104"/>
      <c r="IC36" s="104"/>
      <c r="ID36" s="91"/>
      <c r="IE36" s="104"/>
      <c r="IF36" s="104"/>
      <c r="IG36" s="104"/>
      <c r="IH36" s="104"/>
      <c r="II36" s="91"/>
      <c r="IJ36" s="104"/>
      <c r="IK36" s="104"/>
      <c r="IL36" s="104"/>
      <c r="IM36" s="104"/>
      <c r="IN36" s="91"/>
      <c r="IO36" s="104"/>
      <c r="IP36" s="104"/>
      <c r="IQ36" s="104"/>
      <c r="IR36" s="104"/>
      <c r="IS36" s="91"/>
      <c r="IT36" s="104"/>
      <c r="IU36" s="104"/>
      <c r="IV36" s="104"/>
      <c r="IW36" s="104"/>
      <c r="IX36" s="91"/>
      <c r="IY36" s="104"/>
      <c r="IZ36" s="104"/>
      <c r="JA36" s="104"/>
      <c r="JB36" s="104"/>
      <c r="JC36" s="91"/>
      <c r="JD36" s="104"/>
      <c r="JE36" s="104"/>
      <c r="JF36" s="104"/>
      <c r="JG36" s="105"/>
      <c r="JH36" s="91"/>
      <c r="JI36" s="106"/>
      <c r="JJ36" s="104"/>
      <c r="JK36" s="104"/>
      <c r="JL36" s="105"/>
      <c r="JM36" s="95"/>
      <c r="JN36" s="107"/>
      <c r="JO36" s="79"/>
      <c r="JP36" s="106"/>
      <c r="JQ36" s="104"/>
      <c r="JR36" s="104"/>
      <c r="JS36" s="104"/>
      <c r="JT36" s="104"/>
      <c r="JU36" s="104"/>
      <c r="JV36" s="104"/>
      <c r="JW36" s="104"/>
      <c r="JX36" s="104"/>
      <c r="JY36" s="104"/>
      <c r="JZ36" s="104"/>
      <c r="KA36" s="104"/>
      <c r="KB36" s="104"/>
      <c r="KC36" s="104"/>
      <c r="KD36" s="104"/>
      <c r="KE36" s="104"/>
      <c r="KF36" s="104"/>
      <c r="KG36" s="104"/>
      <c r="KH36" s="104"/>
      <c r="KI36" s="104"/>
      <c r="KJ36" s="104"/>
      <c r="KK36" s="104"/>
      <c r="KL36" s="104"/>
      <c r="KM36" s="104"/>
      <c r="KN36" s="104"/>
      <c r="KO36" s="104"/>
      <c r="KP36" s="104"/>
      <c r="KQ36" s="104"/>
      <c r="KR36" s="104"/>
      <c r="KS36" s="104"/>
      <c r="KT36" s="104"/>
      <c r="KU36" s="104"/>
      <c r="KV36" s="104"/>
      <c r="KW36" s="104"/>
      <c r="KX36" s="104"/>
      <c r="KY36" s="104"/>
      <c r="KZ36" s="104"/>
      <c r="LA36" s="104"/>
      <c r="LB36" s="104"/>
      <c r="LC36" s="104"/>
      <c r="LD36" s="104"/>
      <c r="LE36" s="104"/>
      <c r="LF36" s="104"/>
      <c r="LG36" s="104"/>
      <c r="LH36" s="104"/>
      <c r="LI36" s="104"/>
      <c r="LJ36" s="104"/>
      <c r="LK36" s="104"/>
      <c r="LL36" s="104"/>
      <c r="LM36" s="104"/>
      <c r="LN36" s="104"/>
      <c r="LO36" s="104"/>
      <c r="LP36" s="104"/>
      <c r="LQ36" s="104"/>
      <c r="LR36" s="104"/>
      <c r="LS36" s="104"/>
      <c r="LT36" s="104"/>
      <c r="LU36" s="104"/>
      <c r="LV36" s="104"/>
      <c r="LW36" s="104"/>
      <c r="LX36" s="104"/>
      <c r="LY36" s="104"/>
      <c r="LZ36" s="104"/>
      <c r="MA36" s="104"/>
      <c r="MB36" s="104"/>
      <c r="MC36" s="104"/>
      <c r="MD36" s="104"/>
      <c r="ME36" s="104"/>
      <c r="MF36" s="104"/>
      <c r="MG36" s="104"/>
      <c r="MH36" s="104"/>
      <c r="MI36" s="104"/>
      <c r="MJ36" s="104"/>
      <c r="MK36" s="104"/>
      <c r="ML36" s="104"/>
      <c r="MM36" s="104"/>
      <c r="MN36" s="104"/>
      <c r="MO36" s="104"/>
      <c r="MP36" s="104"/>
      <c r="MQ36" s="104"/>
      <c r="MR36" s="104"/>
      <c r="MS36" s="104"/>
      <c r="MT36" s="104"/>
      <c r="MU36" s="104"/>
      <c r="MV36" s="104"/>
      <c r="MW36" s="104"/>
      <c r="MX36" s="104"/>
      <c r="MY36" s="104"/>
      <c r="MZ36" s="104"/>
      <c r="NA36" s="104"/>
      <c r="NB36" s="104"/>
      <c r="NC36" s="104"/>
      <c r="ND36" s="104"/>
      <c r="NE36" s="104"/>
      <c r="NF36" s="104"/>
      <c r="NG36" s="104"/>
      <c r="NH36" s="104"/>
      <c r="NI36" s="104"/>
      <c r="NJ36" s="104"/>
      <c r="NK36" s="104"/>
      <c r="NL36" s="104"/>
      <c r="NM36" s="104"/>
      <c r="NN36" s="104"/>
      <c r="NO36" s="104"/>
      <c r="NP36" s="104"/>
      <c r="NQ36" s="104"/>
      <c r="NR36" s="104"/>
      <c r="NS36" s="104"/>
      <c r="NT36" s="104"/>
      <c r="NU36" s="104"/>
      <c r="NV36" s="104"/>
      <c r="NW36" s="104"/>
      <c r="NX36" s="104"/>
      <c r="NY36" s="104"/>
      <c r="NZ36" s="104"/>
    </row>
    <row r="37" spans="1:390" ht="15.75" customHeight="1" x14ac:dyDescent="0.3">
      <c r="A37" s="214">
        <v>4581811864</v>
      </c>
      <c r="B37" s="165" t="s">
        <v>391</v>
      </c>
      <c r="C37" s="215"/>
      <c r="D37" s="216" t="s">
        <v>391</v>
      </c>
      <c r="E37" s="136" t="s">
        <v>657</v>
      </c>
      <c r="F37" s="125" t="s">
        <v>422</v>
      </c>
      <c r="G37" s="221" t="s">
        <v>421</v>
      </c>
      <c r="H37" s="219">
        <v>43367</v>
      </c>
      <c r="I37" s="216" t="s">
        <v>458</v>
      </c>
      <c r="J37" s="153" t="s">
        <v>397</v>
      </c>
      <c r="K37" s="153" t="s">
        <v>398</v>
      </c>
      <c r="L37" s="153" t="s">
        <v>398</v>
      </c>
      <c r="M37" s="164" t="s">
        <v>398</v>
      </c>
      <c r="N37" s="164" t="s">
        <v>398</v>
      </c>
      <c r="O37" s="164" t="s">
        <v>398</v>
      </c>
      <c r="P37" s="164" t="s">
        <v>398</v>
      </c>
      <c r="Q37" s="164" t="s">
        <v>398</v>
      </c>
      <c r="R37" s="164" t="s">
        <v>398</v>
      </c>
      <c r="S37" s="164" t="s">
        <v>398</v>
      </c>
      <c r="T37" s="164" t="s">
        <v>398</v>
      </c>
      <c r="U37" s="164" t="s">
        <v>398</v>
      </c>
      <c r="V37" s="164" t="s">
        <v>398</v>
      </c>
      <c r="W37" s="164" t="s">
        <v>398</v>
      </c>
      <c r="X37" s="164" t="s">
        <v>398</v>
      </c>
      <c r="Y37" s="164" t="s">
        <v>398</v>
      </c>
      <c r="Z37" s="164" t="s">
        <v>398</v>
      </c>
      <c r="AA37" s="164" t="s">
        <v>398</v>
      </c>
      <c r="AB37" s="167" t="s">
        <v>399</v>
      </c>
      <c r="AC37" s="219">
        <v>19250</v>
      </c>
      <c r="AD37" s="107"/>
      <c r="AE37" s="108" t="e">
        <f t="shared" si="0"/>
        <v>#NUM!</v>
      </c>
      <c r="AF37" s="107" t="s">
        <v>658</v>
      </c>
      <c r="AG37" s="79" t="s">
        <v>401</v>
      </c>
      <c r="AH37" s="87" t="s">
        <v>402</v>
      </c>
      <c r="AI37" s="110"/>
      <c r="AJ37" s="110"/>
      <c r="AK37" s="110"/>
      <c r="AL37" s="110"/>
      <c r="AM37" s="105"/>
      <c r="AN37" s="95">
        <v>3</v>
      </c>
      <c r="AO37" s="173" t="s">
        <v>398</v>
      </c>
      <c r="AP37" s="79"/>
      <c r="AQ37" s="106"/>
      <c r="AR37" s="91"/>
      <c r="AS37" s="104"/>
      <c r="AT37" s="104"/>
      <c r="AU37" s="104"/>
      <c r="AV37" s="104"/>
      <c r="AW37" s="91"/>
      <c r="AX37" s="104"/>
      <c r="AY37" s="104"/>
      <c r="AZ37" s="104"/>
      <c r="BA37" s="104"/>
      <c r="BB37" s="91"/>
      <c r="BC37" s="104"/>
      <c r="BD37" s="104"/>
      <c r="BE37" s="104"/>
      <c r="BF37" s="104"/>
      <c r="BG37" s="91"/>
      <c r="BH37" s="104"/>
      <c r="BI37" s="104"/>
      <c r="BJ37" s="104"/>
      <c r="BK37" s="104"/>
      <c r="BL37" s="91"/>
      <c r="BM37" s="104"/>
      <c r="BN37" s="104"/>
      <c r="BO37" s="104"/>
      <c r="BP37" s="104"/>
      <c r="BQ37" s="91"/>
      <c r="BR37" s="104"/>
      <c r="BS37" s="104"/>
      <c r="BT37" s="104"/>
      <c r="BU37" s="104"/>
      <c r="BV37" s="91"/>
      <c r="BW37" s="104"/>
      <c r="BX37" s="104"/>
      <c r="BY37" s="104"/>
      <c r="BZ37" s="104"/>
      <c r="CA37" s="91"/>
      <c r="CB37" s="104"/>
      <c r="CC37" s="104"/>
      <c r="CD37" s="104"/>
      <c r="CE37" s="104"/>
      <c r="CF37" s="91"/>
      <c r="CG37" s="104"/>
      <c r="CH37" s="104"/>
      <c r="CI37" s="104"/>
      <c r="CJ37" s="104"/>
      <c r="CK37" s="91"/>
      <c r="CL37" s="104"/>
      <c r="CM37" s="104"/>
      <c r="CN37" s="104"/>
      <c r="CO37" s="104"/>
      <c r="CP37" s="91"/>
      <c r="CQ37" s="104"/>
      <c r="CR37" s="104"/>
      <c r="CS37" s="104"/>
      <c r="CT37" s="104"/>
      <c r="CU37" s="91"/>
      <c r="CV37" s="104"/>
      <c r="CW37" s="104"/>
      <c r="CX37" s="104"/>
      <c r="CY37" s="104"/>
      <c r="CZ37" s="91"/>
      <c r="DA37" s="104"/>
      <c r="DB37" s="104"/>
      <c r="DC37" s="104"/>
      <c r="DD37" s="104"/>
      <c r="DE37" s="91"/>
      <c r="DF37" s="104"/>
      <c r="DG37" s="104"/>
      <c r="DH37" s="104"/>
      <c r="DI37" s="104"/>
      <c r="DJ37" s="91"/>
      <c r="DK37" s="104"/>
      <c r="DL37" s="104"/>
      <c r="DM37" s="104"/>
      <c r="DN37" s="104"/>
      <c r="DO37" s="91"/>
      <c r="DP37" s="104"/>
      <c r="DQ37" s="104"/>
      <c r="DR37" s="104"/>
      <c r="DS37" s="104"/>
      <c r="DT37" s="91"/>
      <c r="DU37" s="104"/>
      <c r="DV37" s="104"/>
      <c r="DW37" s="104"/>
      <c r="DX37" s="104"/>
      <c r="DY37" s="91"/>
      <c r="DZ37" s="104"/>
      <c r="EA37" s="104"/>
      <c r="EB37" s="104"/>
      <c r="EC37" s="104"/>
      <c r="ED37" s="91"/>
      <c r="EE37" s="104"/>
      <c r="EF37" s="104"/>
      <c r="EG37" s="104"/>
      <c r="EH37" s="104"/>
      <c r="EI37" s="91"/>
      <c r="EJ37" s="104"/>
      <c r="EK37" s="104"/>
      <c r="EL37" s="104"/>
      <c r="EM37" s="104"/>
      <c r="EN37" s="91"/>
      <c r="EO37" s="104"/>
      <c r="EP37" s="104"/>
      <c r="EQ37" s="104"/>
      <c r="ER37" s="104"/>
      <c r="ES37" s="91"/>
      <c r="ET37" s="104"/>
      <c r="EU37" s="104"/>
      <c r="EV37" s="104"/>
      <c r="EW37" s="104"/>
      <c r="EX37" s="91"/>
      <c r="EY37" s="104"/>
      <c r="EZ37" s="104"/>
      <c r="FA37" s="104"/>
      <c r="FB37" s="104"/>
      <c r="FC37" s="91"/>
      <c r="FD37" s="104"/>
      <c r="FE37" s="104"/>
      <c r="FF37" s="104"/>
      <c r="FG37" s="104"/>
      <c r="FH37" s="91"/>
      <c r="FI37" s="104"/>
      <c r="FJ37" s="104"/>
      <c r="FK37" s="104"/>
      <c r="FL37" s="104"/>
      <c r="FM37" s="104"/>
      <c r="FN37" s="104"/>
      <c r="FO37" s="104"/>
      <c r="FP37" s="104"/>
      <c r="FQ37" s="104"/>
      <c r="FR37" s="104"/>
      <c r="FS37" s="104"/>
      <c r="FT37" s="104"/>
      <c r="FU37" s="104"/>
      <c r="FV37" s="104"/>
      <c r="FW37" s="104"/>
      <c r="FX37" s="104"/>
      <c r="FY37" s="104"/>
      <c r="FZ37" s="104"/>
      <c r="GA37" s="104"/>
      <c r="GB37" s="104"/>
      <c r="GC37" s="104"/>
      <c r="GD37" s="104"/>
      <c r="GE37" s="104"/>
      <c r="GF37" s="104"/>
      <c r="GG37" s="104"/>
      <c r="GH37" s="104"/>
      <c r="GI37" s="104"/>
      <c r="GJ37" s="104"/>
      <c r="GK37" s="104"/>
      <c r="GL37" s="104"/>
      <c r="GM37" s="104"/>
      <c r="GN37" s="104"/>
      <c r="GO37" s="104"/>
      <c r="GP37" s="91"/>
      <c r="GQ37" s="104"/>
      <c r="GR37" s="104"/>
      <c r="GS37" s="104"/>
      <c r="GT37" s="104"/>
      <c r="GU37" s="91"/>
      <c r="GV37" s="104"/>
      <c r="GW37" s="104"/>
      <c r="GX37" s="104"/>
      <c r="GY37" s="104"/>
      <c r="GZ37" s="91"/>
      <c r="HA37" s="104"/>
      <c r="HB37" s="104"/>
      <c r="HC37" s="104"/>
      <c r="HD37" s="104"/>
      <c r="HE37" s="91"/>
      <c r="HF37" s="104"/>
      <c r="HG37" s="104"/>
      <c r="HH37" s="104"/>
      <c r="HI37" s="104"/>
      <c r="HJ37" s="91"/>
      <c r="HK37" s="104"/>
      <c r="HL37" s="104"/>
      <c r="HM37" s="104"/>
      <c r="HN37" s="104"/>
      <c r="HO37" s="91"/>
      <c r="HP37" s="104"/>
      <c r="HQ37" s="104"/>
      <c r="HR37" s="104"/>
      <c r="HS37" s="104"/>
      <c r="HT37" s="91"/>
      <c r="HU37" s="104"/>
      <c r="HV37" s="104"/>
      <c r="HW37" s="104"/>
      <c r="HX37" s="104"/>
      <c r="HY37" s="91"/>
      <c r="HZ37" s="104"/>
      <c r="IA37" s="104"/>
      <c r="IB37" s="104"/>
      <c r="IC37" s="104"/>
      <c r="ID37" s="91"/>
      <c r="IE37" s="104"/>
      <c r="IF37" s="104"/>
      <c r="IG37" s="104"/>
      <c r="IH37" s="104"/>
      <c r="II37" s="91"/>
      <c r="IJ37" s="104"/>
      <c r="IK37" s="104"/>
      <c r="IL37" s="104"/>
      <c r="IM37" s="104"/>
      <c r="IN37" s="91"/>
      <c r="IO37" s="104"/>
      <c r="IP37" s="104"/>
      <c r="IQ37" s="104"/>
      <c r="IR37" s="104"/>
      <c r="IS37" s="91"/>
      <c r="IT37" s="104"/>
      <c r="IU37" s="104"/>
      <c r="IV37" s="104"/>
      <c r="IW37" s="104"/>
      <c r="IX37" s="91"/>
      <c r="IY37" s="104"/>
      <c r="IZ37" s="104"/>
      <c r="JA37" s="104"/>
      <c r="JB37" s="104"/>
      <c r="JC37" s="91"/>
      <c r="JD37" s="104"/>
      <c r="JE37" s="104"/>
      <c r="JF37" s="104"/>
      <c r="JG37" s="105"/>
      <c r="JH37" s="91"/>
      <c r="JI37" s="106"/>
      <c r="JJ37" s="104"/>
      <c r="JK37" s="104"/>
      <c r="JL37" s="105"/>
      <c r="JM37" s="95"/>
      <c r="JN37" s="107"/>
      <c r="JO37" s="79"/>
      <c r="JP37" s="106"/>
      <c r="JQ37" s="104"/>
      <c r="JR37" s="104"/>
      <c r="JS37" s="104"/>
      <c r="JT37" s="104"/>
      <c r="JU37" s="104"/>
      <c r="JV37" s="104"/>
      <c r="JW37" s="104"/>
      <c r="JX37" s="104"/>
      <c r="JY37" s="104"/>
      <c r="JZ37" s="104"/>
      <c r="KA37" s="104"/>
      <c r="KB37" s="104"/>
      <c r="KC37" s="104"/>
      <c r="KD37" s="104"/>
      <c r="KE37" s="104"/>
      <c r="KF37" s="104"/>
      <c r="KG37" s="104"/>
      <c r="KH37" s="104"/>
      <c r="KI37" s="104"/>
      <c r="KJ37" s="104"/>
      <c r="KK37" s="104"/>
      <c r="KL37" s="104"/>
      <c r="KM37" s="104"/>
      <c r="KN37" s="104"/>
      <c r="KO37" s="104"/>
      <c r="KP37" s="104"/>
      <c r="KQ37" s="104"/>
      <c r="KR37" s="104"/>
      <c r="KS37" s="104"/>
      <c r="KT37" s="104"/>
      <c r="KU37" s="104"/>
      <c r="KV37" s="104"/>
      <c r="KW37" s="104"/>
      <c r="KX37" s="104"/>
      <c r="KY37" s="104"/>
      <c r="KZ37" s="104"/>
      <c r="LA37" s="104"/>
      <c r="LB37" s="104"/>
      <c r="LC37" s="104"/>
      <c r="LD37" s="104"/>
      <c r="LE37" s="104"/>
      <c r="LF37" s="104"/>
      <c r="LG37" s="104"/>
      <c r="LH37" s="104"/>
      <c r="LI37" s="104"/>
      <c r="LJ37" s="104"/>
      <c r="LK37" s="104"/>
      <c r="LL37" s="104"/>
      <c r="LM37" s="104"/>
      <c r="LN37" s="104"/>
      <c r="LO37" s="104"/>
      <c r="LP37" s="104"/>
      <c r="LQ37" s="104"/>
      <c r="LR37" s="104"/>
      <c r="LS37" s="104"/>
      <c r="LT37" s="104"/>
      <c r="LU37" s="104"/>
      <c r="LV37" s="104"/>
      <c r="LW37" s="104"/>
      <c r="LX37" s="104"/>
      <c r="LY37" s="104"/>
      <c r="LZ37" s="104"/>
      <c r="MA37" s="104"/>
      <c r="MB37" s="104"/>
      <c r="MC37" s="104"/>
      <c r="MD37" s="104"/>
      <c r="ME37" s="104"/>
      <c r="MF37" s="104"/>
      <c r="MG37" s="104"/>
      <c r="MH37" s="104"/>
      <c r="MI37" s="104"/>
      <c r="MJ37" s="104"/>
      <c r="MK37" s="104"/>
      <c r="ML37" s="104"/>
      <c r="MM37" s="104"/>
      <c r="MN37" s="104"/>
      <c r="MO37" s="104"/>
      <c r="MP37" s="104"/>
      <c r="MQ37" s="104"/>
      <c r="MR37" s="104"/>
      <c r="MS37" s="104"/>
      <c r="MT37" s="104"/>
      <c r="MU37" s="104"/>
      <c r="MV37" s="104"/>
      <c r="MW37" s="104"/>
      <c r="MX37" s="104"/>
      <c r="MY37" s="104"/>
      <c r="MZ37" s="104"/>
      <c r="NA37" s="104"/>
      <c r="NB37" s="104"/>
      <c r="NC37" s="104"/>
      <c r="ND37" s="104"/>
      <c r="NE37" s="104"/>
      <c r="NF37" s="104"/>
      <c r="NG37" s="104"/>
      <c r="NH37" s="104"/>
      <c r="NI37" s="104"/>
      <c r="NJ37" s="104"/>
      <c r="NK37" s="104"/>
      <c r="NL37" s="104"/>
      <c r="NM37" s="104"/>
      <c r="NN37" s="104"/>
      <c r="NO37" s="104"/>
      <c r="NP37" s="104"/>
      <c r="NQ37" s="104"/>
      <c r="NR37" s="104"/>
      <c r="NS37" s="104"/>
      <c r="NT37" s="104"/>
      <c r="NU37" s="104"/>
      <c r="NV37" s="104"/>
      <c r="NW37" s="104"/>
      <c r="NX37" s="104"/>
      <c r="NY37" s="104"/>
      <c r="NZ37" s="104"/>
    </row>
    <row r="38" spans="1:390" ht="15.75" customHeight="1" x14ac:dyDescent="0.3">
      <c r="A38" s="214">
        <v>4342950030</v>
      </c>
      <c r="B38" s="165" t="s">
        <v>391</v>
      </c>
      <c r="C38" s="215"/>
      <c r="D38" s="216" t="s">
        <v>391</v>
      </c>
      <c r="E38" s="136" t="s">
        <v>659</v>
      </c>
      <c r="F38" s="125" t="s">
        <v>395</v>
      </c>
      <c r="G38" s="221" t="s">
        <v>471</v>
      </c>
      <c r="H38" s="219">
        <v>43368</v>
      </c>
      <c r="I38" s="216" t="s">
        <v>513</v>
      </c>
      <c r="J38" s="153" t="s">
        <v>397</v>
      </c>
      <c r="K38" s="153" t="s">
        <v>398</v>
      </c>
      <c r="L38" s="153" t="s">
        <v>398</v>
      </c>
      <c r="M38" s="164" t="s">
        <v>398</v>
      </c>
      <c r="N38" s="164" t="s">
        <v>398</v>
      </c>
      <c r="O38" s="164" t="s">
        <v>398</v>
      </c>
      <c r="P38" s="164" t="s">
        <v>398</v>
      </c>
      <c r="Q38" s="164" t="s">
        <v>398</v>
      </c>
      <c r="R38" s="164" t="s">
        <v>398</v>
      </c>
      <c r="S38" s="164" t="s">
        <v>398</v>
      </c>
      <c r="T38" s="164" t="s">
        <v>398</v>
      </c>
      <c r="U38" s="164" t="s">
        <v>398</v>
      </c>
      <c r="V38" s="164" t="s">
        <v>398</v>
      </c>
      <c r="W38" s="164" t="s">
        <v>398</v>
      </c>
      <c r="X38" s="164" t="s">
        <v>398</v>
      </c>
      <c r="Y38" s="164" t="s">
        <v>398</v>
      </c>
      <c r="Z38" s="164" t="s">
        <v>398</v>
      </c>
      <c r="AA38" s="164" t="s">
        <v>398</v>
      </c>
      <c r="AB38" s="167" t="s">
        <v>399</v>
      </c>
      <c r="AC38" s="219">
        <v>14386</v>
      </c>
      <c r="AD38" s="107"/>
      <c r="AE38" s="108" t="e">
        <f t="shared" si="0"/>
        <v>#NUM!</v>
      </c>
      <c r="AF38" s="107" t="s">
        <v>621</v>
      </c>
      <c r="AG38" s="79" t="s">
        <v>401</v>
      </c>
      <c r="AH38" s="87" t="s">
        <v>391</v>
      </c>
      <c r="AI38" s="110"/>
      <c r="AJ38" s="110"/>
      <c r="AK38" s="110"/>
      <c r="AL38" s="110"/>
      <c r="AM38" s="105"/>
      <c r="AN38" s="95">
        <v>3</v>
      </c>
      <c r="AO38" s="173" t="s">
        <v>398</v>
      </c>
      <c r="AP38" s="79"/>
      <c r="AQ38" s="106"/>
      <c r="AR38" s="91"/>
      <c r="AS38" s="104"/>
      <c r="AT38" s="104"/>
      <c r="AU38" s="104"/>
      <c r="AV38" s="104"/>
      <c r="AW38" s="91"/>
      <c r="AX38" s="104"/>
      <c r="AY38" s="104"/>
      <c r="AZ38" s="104"/>
      <c r="BA38" s="104"/>
      <c r="BB38" s="91"/>
      <c r="BC38" s="104"/>
      <c r="BD38" s="104"/>
      <c r="BE38" s="104"/>
      <c r="BF38" s="104"/>
      <c r="BG38" s="91"/>
      <c r="BH38" s="104"/>
      <c r="BI38" s="104"/>
      <c r="BJ38" s="104"/>
      <c r="BK38" s="104"/>
      <c r="BL38" s="91"/>
      <c r="BM38" s="104"/>
      <c r="BN38" s="104"/>
      <c r="BO38" s="104"/>
      <c r="BP38" s="104"/>
      <c r="BQ38" s="91"/>
      <c r="BR38" s="104"/>
      <c r="BS38" s="104"/>
      <c r="BT38" s="104"/>
      <c r="BU38" s="104"/>
      <c r="BV38" s="91"/>
      <c r="BW38" s="104"/>
      <c r="BX38" s="104"/>
      <c r="BY38" s="104"/>
      <c r="BZ38" s="104"/>
      <c r="CA38" s="91"/>
      <c r="CB38" s="104"/>
      <c r="CC38" s="104"/>
      <c r="CD38" s="104"/>
      <c r="CE38" s="104"/>
      <c r="CF38" s="91"/>
      <c r="CG38" s="104"/>
      <c r="CH38" s="104"/>
      <c r="CI38" s="104"/>
      <c r="CJ38" s="104"/>
      <c r="CK38" s="91"/>
      <c r="CL38" s="104"/>
      <c r="CM38" s="104"/>
      <c r="CN38" s="104"/>
      <c r="CO38" s="104"/>
      <c r="CP38" s="91"/>
      <c r="CQ38" s="104"/>
      <c r="CR38" s="104"/>
      <c r="CS38" s="104"/>
      <c r="CT38" s="104"/>
      <c r="CU38" s="91"/>
      <c r="CV38" s="104"/>
      <c r="CW38" s="104"/>
      <c r="CX38" s="104"/>
      <c r="CY38" s="104"/>
      <c r="CZ38" s="91"/>
      <c r="DA38" s="104"/>
      <c r="DB38" s="104"/>
      <c r="DC38" s="104"/>
      <c r="DD38" s="104"/>
      <c r="DE38" s="91"/>
      <c r="DF38" s="104"/>
      <c r="DG38" s="104"/>
      <c r="DH38" s="104"/>
      <c r="DI38" s="104"/>
      <c r="DJ38" s="91"/>
      <c r="DK38" s="104"/>
      <c r="DL38" s="104"/>
      <c r="DM38" s="104"/>
      <c r="DN38" s="104"/>
      <c r="DO38" s="91"/>
      <c r="DP38" s="104"/>
      <c r="DQ38" s="104"/>
      <c r="DR38" s="104"/>
      <c r="DS38" s="104"/>
      <c r="DT38" s="91"/>
      <c r="DU38" s="104"/>
      <c r="DV38" s="104"/>
      <c r="DW38" s="104"/>
      <c r="DX38" s="104"/>
      <c r="DY38" s="91"/>
      <c r="DZ38" s="104"/>
      <c r="EA38" s="104"/>
      <c r="EB38" s="104"/>
      <c r="EC38" s="104"/>
      <c r="ED38" s="91"/>
      <c r="EE38" s="104"/>
      <c r="EF38" s="104"/>
      <c r="EG38" s="104"/>
      <c r="EH38" s="104"/>
      <c r="EI38" s="91"/>
      <c r="EJ38" s="104"/>
      <c r="EK38" s="104"/>
      <c r="EL38" s="104"/>
      <c r="EM38" s="104"/>
      <c r="EN38" s="91"/>
      <c r="EO38" s="104"/>
      <c r="EP38" s="104"/>
      <c r="EQ38" s="104"/>
      <c r="ER38" s="104"/>
      <c r="ES38" s="91"/>
      <c r="ET38" s="104"/>
      <c r="EU38" s="104"/>
      <c r="EV38" s="104"/>
      <c r="EW38" s="104"/>
      <c r="EX38" s="91"/>
      <c r="EY38" s="104"/>
      <c r="EZ38" s="104"/>
      <c r="FA38" s="104"/>
      <c r="FB38" s="104"/>
      <c r="FC38" s="91"/>
      <c r="FD38" s="104"/>
      <c r="FE38" s="104"/>
      <c r="FF38" s="104"/>
      <c r="FG38" s="104"/>
      <c r="FH38" s="91"/>
      <c r="FI38" s="104"/>
      <c r="FJ38" s="104"/>
      <c r="FK38" s="104"/>
      <c r="FL38" s="104"/>
      <c r="FM38" s="104"/>
      <c r="FN38" s="104"/>
      <c r="FO38" s="104"/>
      <c r="FP38" s="104"/>
      <c r="FQ38" s="104"/>
      <c r="FR38" s="104"/>
      <c r="FS38" s="104"/>
      <c r="FT38" s="104"/>
      <c r="FU38" s="104"/>
      <c r="FV38" s="104"/>
      <c r="FW38" s="104"/>
      <c r="FX38" s="104"/>
      <c r="FY38" s="104"/>
      <c r="FZ38" s="104"/>
      <c r="GA38" s="104"/>
      <c r="GB38" s="104"/>
      <c r="GC38" s="104"/>
      <c r="GD38" s="104"/>
      <c r="GE38" s="104"/>
      <c r="GF38" s="104"/>
      <c r="GG38" s="104"/>
      <c r="GH38" s="104"/>
      <c r="GI38" s="104"/>
      <c r="GJ38" s="104"/>
      <c r="GK38" s="104"/>
      <c r="GL38" s="104"/>
      <c r="GM38" s="104"/>
      <c r="GN38" s="104"/>
      <c r="GO38" s="104"/>
      <c r="GP38" s="91"/>
      <c r="GQ38" s="104"/>
      <c r="GR38" s="104"/>
      <c r="GS38" s="104"/>
      <c r="GT38" s="104"/>
      <c r="GU38" s="91"/>
      <c r="GV38" s="104"/>
      <c r="GW38" s="104"/>
      <c r="GX38" s="104"/>
      <c r="GY38" s="104"/>
      <c r="GZ38" s="91"/>
      <c r="HA38" s="104"/>
      <c r="HB38" s="104"/>
      <c r="HC38" s="104"/>
      <c r="HD38" s="104"/>
      <c r="HE38" s="91"/>
      <c r="HF38" s="104"/>
      <c r="HG38" s="104"/>
      <c r="HH38" s="104"/>
      <c r="HI38" s="104"/>
      <c r="HJ38" s="91"/>
      <c r="HK38" s="104"/>
      <c r="HL38" s="104"/>
      <c r="HM38" s="104"/>
      <c r="HN38" s="104"/>
      <c r="HO38" s="91"/>
      <c r="HP38" s="104"/>
      <c r="HQ38" s="104"/>
      <c r="HR38" s="104"/>
      <c r="HS38" s="104"/>
      <c r="HT38" s="91"/>
      <c r="HU38" s="104"/>
      <c r="HV38" s="104"/>
      <c r="HW38" s="104"/>
      <c r="HX38" s="104"/>
      <c r="HY38" s="91"/>
      <c r="HZ38" s="104"/>
      <c r="IA38" s="104"/>
      <c r="IB38" s="104"/>
      <c r="IC38" s="104"/>
      <c r="ID38" s="91"/>
      <c r="IE38" s="104"/>
      <c r="IF38" s="104"/>
      <c r="IG38" s="104"/>
      <c r="IH38" s="104"/>
      <c r="II38" s="91"/>
      <c r="IJ38" s="104"/>
      <c r="IK38" s="104"/>
      <c r="IL38" s="104"/>
      <c r="IM38" s="104"/>
      <c r="IN38" s="91"/>
      <c r="IO38" s="104"/>
      <c r="IP38" s="104"/>
      <c r="IQ38" s="104"/>
      <c r="IR38" s="104"/>
      <c r="IS38" s="91"/>
      <c r="IT38" s="104"/>
      <c r="IU38" s="104"/>
      <c r="IV38" s="104"/>
      <c r="IW38" s="104"/>
      <c r="IX38" s="91"/>
      <c r="IY38" s="104"/>
      <c r="IZ38" s="104"/>
      <c r="JA38" s="104"/>
      <c r="JB38" s="104"/>
      <c r="JC38" s="91"/>
      <c r="JD38" s="104"/>
      <c r="JE38" s="104"/>
      <c r="JF38" s="104"/>
      <c r="JG38" s="105"/>
      <c r="JH38" s="91"/>
      <c r="JI38" s="106"/>
      <c r="JJ38" s="104"/>
      <c r="JK38" s="104"/>
      <c r="JL38" s="105"/>
      <c r="JM38" s="95"/>
      <c r="JN38" s="107"/>
      <c r="JO38" s="79"/>
      <c r="JP38" s="106"/>
      <c r="JQ38" s="104"/>
      <c r="JR38" s="104"/>
      <c r="JS38" s="104"/>
      <c r="JT38" s="104"/>
      <c r="JU38" s="104"/>
      <c r="JV38" s="104"/>
      <c r="JW38" s="104"/>
      <c r="JX38" s="104"/>
      <c r="JY38" s="104"/>
      <c r="JZ38" s="104"/>
      <c r="KA38" s="104"/>
      <c r="KB38" s="104"/>
      <c r="KC38" s="104"/>
      <c r="KD38" s="104"/>
      <c r="KE38" s="104"/>
      <c r="KF38" s="104"/>
      <c r="KG38" s="104"/>
      <c r="KH38" s="104"/>
      <c r="KI38" s="104"/>
      <c r="KJ38" s="104"/>
      <c r="KK38" s="104"/>
      <c r="KL38" s="104"/>
      <c r="KM38" s="104"/>
      <c r="KN38" s="104"/>
      <c r="KO38" s="104"/>
      <c r="KP38" s="104"/>
      <c r="KQ38" s="104"/>
      <c r="KR38" s="104"/>
      <c r="KS38" s="104"/>
      <c r="KT38" s="104"/>
      <c r="KU38" s="104"/>
      <c r="KV38" s="104"/>
      <c r="KW38" s="104"/>
      <c r="KX38" s="104"/>
      <c r="KY38" s="104"/>
      <c r="KZ38" s="104"/>
      <c r="LA38" s="104"/>
      <c r="LB38" s="104"/>
      <c r="LC38" s="104"/>
      <c r="LD38" s="104"/>
      <c r="LE38" s="104"/>
      <c r="LF38" s="104"/>
      <c r="LG38" s="104"/>
      <c r="LH38" s="104"/>
      <c r="LI38" s="104"/>
      <c r="LJ38" s="104"/>
      <c r="LK38" s="104"/>
      <c r="LL38" s="104"/>
      <c r="LM38" s="104"/>
      <c r="LN38" s="104"/>
      <c r="LO38" s="104"/>
      <c r="LP38" s="104"/>
      <c r="LQ38" s="104"/>
      <c r="LR38" s="104"/>
      <c r="LS38" s="104"/>
      <c r="LT38" s="104"/>
      <c r="LU38" s="104"/>
      <c r="LV38" s="104"/>
      <c r="LW38" s="104"/>
      <c r="LX38" s="104"/>
      <c r="LY38" s="104"/>
      <c r="LZ38" s="104"/>
      <c r="MA38" s="104"/>
      <c r="MB38" s="104"/>
      <c r="MC38" s="104"/>
      <c r="MD38" s="104"/>
      <c r="ME38" s="104"/>
      <c r="MF38" s="104"/>
      <c r="MG38" s="104"/>
      <c r="MH38" s="104"/>
      <c r="MI38" s="104"/>
      <c r="MJ38" s="104"/>
      <c r="MK38" s="104"/>
      <c r="ML38" s="104"/>
      <c r="MM38" s="104"/>
      <c r="MN38" s="104"/>
      <c r="MO38" s="104"/>
      <c r="MP38" s="104"/>
      <c r="MQ38" s="104"/>
      <c r="MR38" s="104"/>
      <c r="MS38" s="104"/>
      <c r="MT38" s="104"/>
      <c r="MU38" s="104"/>
      <c r="MV38" s="104"/>
      <c r="MW38" s="104"/>
      <c r="MX38" s="104"/>
      <c r="MY38" s="104"/>
      <c r="MZ38" s="104"/>
      <c r="NA38" s="104"/>
      <c r="NB38" s="104"/>
      <c r="NC38" s="104"/>
      <c r="ND38" s="104"/>
      <c r="NE38" s="104"/>
      <c r="NF38" s="104"/>
      <c r="NG38" s="104"/>
      <c r="NH38" s="104"/>
      <c r="NI38" s="104"/>
      <c r="NJ38" s="104"/>
      <c r="NK38" s="104"/>
      <c r="NL38" s="104"/>
      <c r="NM38" s="104"/>
      <c r="NN38" s="104"/>
      <c r="NO38" s="104"/>
      <c r="NP38" s="104"/>
      <c r="NQ38" s="104"/>
      <c r="NR38" s="104"/>
      <c r="NS38" s="104"/>
      <c r="NT38" s="104"/>
      <c r="NU38" s="104"/>
      <c r="NV38" s="104"/>
      <c r="NW38" s="104"/>
      <c r="NX38" s="104"/>
      <c r="NY38" s="104"/>
      <c r="NZ38" s="104"/>
    </row>
    <row r="39" spans="1:390" ht="15.75" customHeight="1" x14ac:dyDescent="0.3">
      <c r="A39" s="214">
        <v>4425927931</v>
      </c>
      <c r="B39" s="165" t="s">
        <v>391</v>
      </c>
      <c r="C39" s="215"/>
      <c r="D39" s="216" t="s">
        <v>391</v>
      </c>
      <c r="E39" s="136" t="s">
        <v>660</v>
      </c>
      <c r="F39" s="125" t="s">
        <v>395</v>
      </c>
      <c r="G39" s="221" t="s">
        <v>448</v>
      </c>
      <c r="H39" s="219">
        <v>43374</v>
      </c>
      <c r="I39" s="216" t="s">
        <v>458</v>
      </c>
      <c r="J39" s="153" t="s">
        <v>397</v>
      </c>
      <c r="K39" s="153" t="s">
        <v>398</v>
      </c>
      <c r="L39" s="153" t="s">
        <v>398</v>
      </c>
      <c r="M39" s="164" t="s">
        <v>398</v>
      </c>
      <c r="N39" s="164" t="s">
        <v>398</v>
      </c>
      <c r="O39" s="164" t="s">
        <v>398</v>
      </c>
      <c r="P39" s="164" t="s">
        <v>398</v>
      </c>
      <c r="Q39" s="164" t="s">
        <v>398</v>
      </c>
      <c r="R39" s="164" t="s">
        <v>398</v>
      </c>
      <c r="S39" s="164" t="s">
        <v>398</v>
      </c>
      <c r="T39" s="164" t="s">
        <v>398</v>
      </c>
      <c r="U39" s="164" t="s">
        <v>398</v>
      </c>
      <c r="V39" s="164" t="s">
        <v>398</v>
      </c>
      <c r="W39" s="164" t="s">
        <v>398</v>
      </c>
      <c r="X39" s="164" t="s">
        <v>398</v>
      </c>
      <c r="Y39" s="164" t="s">
        <v>398</v>
      </c>
      <c r="Z39" s="164" t="s">
        <v>398</v>
      </c>
      <c r="AA39" s="164" t="s">
        <v>398</v>
      </c>
      <c r="AB39" s="167" t="s">
        <v>399</v>
      </c>
      <c r="AC39" s="219">
        <v>16543</v>
      </c>
      <c r="AD39" s="107"/>
      <c r="AE39" s="108" t="e">
        <f t="shared" si="0"/>
        <v>#NUM!</v>
      </c>
      <c r="AF39" s="107" t="s">
        <v>656</v>
      </c>
      <c r="AG39" s="79" t="s">
        <v>401</v>
      </c>
      <c r="AH39" s="87" t="s">
        <v>402</v>
      </c>
      <c r="AI39" s="110"/>
      <c r="AJ39" s="110"/>
      <c r="AK39" s="110"/>
      <c r="AL39" s="110"/>
      <c r="AM39" s="105"/>
      <c r="AN39" s="95">
        <v>2</v>
      </c>
      <c r="AO39" s="173" t="s">
        <v>398</v>
      </c>
      <c r="AP39" s="79"/>
      <c r="AQ39" s="106"/>
      <c r="AR39" s="91"/>
      <c r="AS39" s="104"/>
      <c r="AT39" s="104"/>
      <c r="AU39" s="104"/>
      <c r="AV39" s="104"/>
      <c r="AW39" s="91"/>
      <c r="AX39" s="104"/>
      <c r="AY39" s="104"/>
      <c r="AZ39" s="104"/>
      <c r="BA39" s="104"/>
      <c r="BB39" s="91"/>
      <c r="BC39" s="104"/>
      <c r="BD39" s="104"/>
      <c r="BE39" s="104"/>
      <c r="BF39" s="104"/>
      <c r="BG39" s="91"/>
      <c r="BH39" s="104"/>
      <c r="BI39" s="104"/>
      <c r="BJ39" s="104"/>
      <c r="BK39" s="104"/>
      <c r="BL39" s="91"/>
      <c r="BM39" s="104"/>
      <c r="BN39" s="104"/>
      <c r="BO39" s="104"/>
      <c r="BP39" s="104"/>
      <c r="BQ39" s="91"/>
      <c r="BR39" s="104"/>
      <c r="BS39" s="104"/>
      <c r="BT39" s="104"/>
      <c r="BU39" s="104"/>
      <c r="BV39" s="91"/>
      <c r="BW39" s="104"/>
      <c r="BX39" s="104"/>
      <c r="BY39" s="104"/>
      <c r="BZ39" s="104"/>
      <c r="CA39" s="91"/>
      <c r="CB39" s="104"/>
      <c r="CC39" s="104"/>
      <c r="CD39" s="104"/>
      <c r="CE39" s="104"/>
      <c r="CF39" s="91"/>
      <c r="CG39" s="104"/>
      <c r="CH39" s="104"/>
      <c r="CI39" s="104"/>
      <c r="CJ39" s="104"/>
      <c r="CK39" s="91"/>
      <c r="CL39" s="104"/>
      <c r="CM39" s="104"/>
      <c r="CN39" s="104"/>
      <c r="CO39" s="104"/>
      <c r="CP39" s="91"/>
      <c r="CQ39" s="104"/>
      <c r="CR39" s="104"/>
      <c r="CS39" s="104"/>
      <c r="CT39" s="104"/>
      <c r="CU39" s="91"/>
      <c r="CV39" s="104"/>
      <c r="CW39" s="104"/>
      <c r="CX39" s="104"/>
      <c r="CY39" s="104"/>
      <c r="CZ39" s="91"/>
      <c r="DA39" s="104"/>
      <c r="DB39" s="104"/>
      <c r="DC39" s="104"/>
      <c r="DD39" s="104"/>
      <c r="DE39" s="91"/>
      <c r="DF39" s="104"/>
      <c r="DG39" s="104"/>
      <c r="DH39" s="104"/>
      <c r="DI39" s="104"/>
      <c r="DJ39" s="91"/>
      <c r="DK39" s="104"/>
      <c r="DL39" s="104"/>
      <c r="DM39" s="104"/>
      <c r="DN39" s="104"/>
      <c r="DO39" s="91"/>
      <c r="DP39" s="104"/>
      <c r="DQ39" s="104"/>
      <c r="DR39" s="104"/>
      <c r="DS39" s="104"/>
      <c r="DT39" s="91"/>
      <c r="DU39" s="104"/>
      <c r="DV39" s="104"/>
      <c r="DW39" s="104"/>
      <c r="DX39" s="104"/>
      <c r="DY39" s="91"/>
      <c r="DZ39" s="104"/>
      <c r="EA39" s="104"/>
      <c r="EB39" s="104"/>
      <c r="EC39" s="104"/>
      <c r="ED39" s="91"/>
      <c r="EE39" s="104"/>
      <c r="EF39" s="104"/>
      <c r="EG39" s="104"/>
      <c r="EH39" s="104"/>
      <c r="EI39" s="91"/>
      <c r="EJ39" s="104"/>
      <c r="EK39" s="104"/>
      <c r="EL39" s="104"/>
      <c r="EM39" s="104"/>
      <c r="EN39" s="91"/>
      <c r="EO39" s="104"/>
      <c r="EP39" s="104"/>
      <c r="EQ39" s="104"/>
      <c r="ER39" s="104"/>
      <c r="ES39" s="91"/>
      <c r="ET39" s="104"/>
      <c r="EU39" s="104"/>
      <c r="EV39" s="104"/>
      <c r="EW39" s="104"/>
      <c r="EX39" s="91"/>
      <c r="EY39" s="104"/>
      <c r="EZ39" s="104"/>
      <c r="FA39" s="104"/>
      <c r="FB39" s="104"/>
      <c r="FC39" s="91"/>
      <c r="FD39" s="104"/>
      <c r="FE39" s="104"/>
      <c r="FF39" s="104"/>
      <c r="FG39" s="104"/>
      <c r="FH39" s="91"/>
      <c r="FI39" s="104"/>
      <c r="FJ39" s="104"/>
      <c r="FK39" s="104"/>
      <c r="FL39" s="104"/>
      <c r="FM39" s="104"/>
      <c r="FN39" s="104"/>
      <c r="FO39" s="104"/>
      <c r="FP39" s="104"/>
      <c r="FQ39" s="104"/>
      <c r="FR39" s="104"/>
      <c r="FS39" s="104"/>
      <c r="FT39" s="104"/>
      <c r="FU39" s="104"/>
      <c r="FV39" s="104"/>
      <c r="FW39" s="104"/>
      <c r="FX39" s="104"/>
      <c r="FY39" s="104"/>
      <c r="FZ39" s="104"/>
      <c r="GA39" s="104"/>
      <c r="GB39" s="104"/>
      <c r="GC39" s="104"/>
      <c r="GD39" s="104"/>
      <c r="GE39" s="104"/>
      <c r="GF39" s="104"/>
      <c r="GG39" s="104"/>
      <c r="GH39" s="104"/>
      <c r="GI39" s="104"/>
      <c r="GJ39" s="104"/>
      <c r="GK39" s="104"/>
      <c r="GL39" s="104"/>
      <c r="GM39" s="104"/>
      <c r="GN39" s="104"/>
      <c r="GO39" s="104"/>
      <c r="GP39" s="91"/>
      <c r="GQ39" s="104"/>
      <c r="GR39" s="104"/>
      <c r="GS39" s="104"/>
      <c r="GT39" s="104"/>
      <c r="GU39" s="91"/>
      <c r="GV39" s="104"/>
      <c r="GW39" s="104"/>
      <c r="GX39" s="104"/>
      <c r="GY39" s="104"/>
      <c r="GZ39" s="91"/>
      <c r="HA39" s="104"/>
      <c r="HB39" s="104"/>
      <c r="HC39" s="104"/>
      <c r="HD39" s="104"/>
      <c r="HE39" s="91"/>
      <c r="HF39" s="104"/>
      <c r="HG39" s="104"/>
      <c r="HH39" s="104"/>
      <c r="HI39" s="104"/>
      <c r="HJ39" s="91"/>
      <c r="HK39" s="104"/>
      <c r="HL39" s="104"/>
      <c r="HM39" s="104"/>
      <c r="HN39" s="104"/>
      <c r="HO39" s="91"/>
      <c r="HP39" s="104"/>
      <c r="HQ39" s="104"/>
      <c r="HR39" s="104"/>
      <c r="HS39" s="104"/>
      <c r="HT39" s="91"/>
      <c r="HU39" s="104"/>
      <c r="HV39" s="104"/>
      <c r="HW39" s="104"/>
      <c r="HX39" s="104"/>
      <c r="HY39" s="91"/>
      <c r="HZ39" s="104"/>
      <c r="IA39" s="104"/>
      <c r="IB39" s="104"/>
      <c r="IC39" s="104"/>
      <c r="ID39" s="91"/>
      <c r="IE39" s="104"/>
      <c r="IF39" s="104"/>
      <c r="IG39" s="104"/>
      <c r="IH39" s="104"/>
      <c r="II39" s="91"/>
      <c r="IJ39" s="104"/>
      <c r="IK39" s="104"/>
      <c r="IL39" s="104"/>
      <c r="IM39" s="104"/>
      <c r="IN39" s="91"/>
      <c r="IO39" s="104"/>
      <c r="IP39" s="104"/>
      <c r="IQ39" s="104"/>
      <c r="IR39" s="104"/>
      <c r="IS39" s="91"/>
      <c r="IT39" s="104"/>
      <c r="IU39" s="104"/>
      <c r="IV39" s="104"/>
      <c r="IW39" s="104"/>
      <c r="IX39" s="91"/>
      <c r="IY39" s="104"/>
      <c r="IZ39" s="104"/>
      <c r="JA39" s="104"/>
      <c r="JB39" s="104"/>
      <c r="JC39" s="91"/>
      <c r="JD39" s="104"/>
      <c r="JE39" s="104"/>
      <c r="JF39" s="104"/>
      <c r="JG39" s="105"/>
      <c r="JH39" s="91"/>
      <c r="JI39" s="106"/>
      <c r="JJ39" s="104"/>
      <c r="JK39" s="104"/>
      <c r="JL39" s="105"/>
      <c r="JM39" s="95"/>
      <c r="JN39" s="107"/>
      <c r="JO39" s="79"/>
      <c r="JP39" s="106"/>
      <c r="JQ39" s="104"/>
      <c r="JR39" s="104"/>
      <c r="JS39" s="104"/>
      <c r="JT39" s="104"/>
      <c r="JU39" s="104"/>
      <c r="JV39" s="104"/>
      <c r="JW39" s="104"/>
      <c r="JX39" s="104"/>
      <c r="JY39" s="104"/>
      <c r="JZ39" s="104"/>
      <c r="KA39" s="104"/>
      <c r="KB39" s="104"/>
      <c r="KC39" s="104"/>
      <c r="KD39" s="104"/>
      <c r="KE39" s="104"/>
      <c r="KF39" s="104"/>
      <c r="KG39" s="104"/>
      <c r="KH39" s="104"/>
      <c r="KI39" s="104"/>
      <c r="KJ39" s="104"/>
      <c r="KK39" s="104"/>
      <c r="KL39" s="104"/>
      <c r="KM39" s="104"/>
      <c r="KN39" s="104"/>
      <c r="KO39" s="104"/>
      <c r="KP39" s="104"/>
      <c r="KQ39" s="104"/>
      <c r="KR39" s="104"/>
      <c r="KS39" s="104"/>
      <c r="KT39" s="104"/>
      <c r="KU39" s="104"/>
      <c r="KV39" s="104"/>
      <c r="KW39" s="104"/>
      <c r="KX39" s="104"/>
      <c r="KY39" s="104"/>
      <c r="KZ39" s="104"/>
      <c r="LA39" s="104"/>
      <c r="LB39" s="104"/>
      <c r="LC39" s="104"/>
      <c r="LD39" s="104"/>
      <c r="LE39" s="104"/>
      <c r="LF39" s="104"/>
      <c r="LG39" s="104"/>
      <c r="LH39" s="104"/>
      <c r="LI39" s="104"/>
      <c r="LJ39" s="104"/>
      <c r="LK39" s="104"/>
      <c r="LL39" s="104"/>
      <c r="LM39" s="104"/>
      <c r="LN39" s="104"/>
      <c r="LO39" s="104"/>
      <c r="LP39" s="104"/>
      <c r="LQ39" s="104"/>
      <c r="LR39" s="104"/>
      <c r="LS39" s="104"/>
      <c r="LT39" s="104"/>
      <c r="LU39" s="104"/>
      <c r="LV39" s="104"/>
      <c r="LW39" s="104"/>
      <c r="LX39" s="104"/>
      <c r="LY39" s="104"/>
      <c r="LZ39" s="104"/>
      <c r="MA39" s="104"/>
      <c r="MB39" s="104"/>
      <c r="MC39" s="104"/>
      <c r="MD39" s="104"/>
      <c r="ME39" s="104"/>
      <c r="MF39" s="104"/>
      <c r="MG39" s="104"/>
      <c r="MH39" s="104"/>
      <c r="MI39" s="104"/>
      <c r="MJ39" s="104"/>
      <c r="MK39" s="104"/>
      <c r="ML39" s="104"/>
      <c r="MM39" s="104"/>
      <c r="MN39" s="104"/>
      <c r="MO39" s="104"/>
      <c r="MP39" s="104"/>
      <c r="MQ39" s="104"/>
      <c r="MR39" s="104"/>
      <c r="MS39" s="104"/>
      <c r="MT39" s="104"/>
      <c r="MU39" s="104"/>
      <c r="MV39" s="104"/>
      <c r="MW39" s="104"/>
      <c r="MX39" s="104"/>
      <c r="MY39" s="104"/>
      <c r="MZ39" s="104"/>
      <c r="NA39" s="104"/>
      <c r="NB39" s="104"/>
      <c r="NC39" s="104"/>
      <c r="ND39" s="104"/>
      <c r="NE39" s="104"/>
      <c r="NF39" s="104"/>
      <c r="NG39" s="104"/>
      <c r="NH39" s="104"/>
      <c r="NI39" s="104"/>
      <c r="NJ39" s="104"/>
      <c r="NK39" s="104"/>
      <c r="NL39" s="104"/>
      <c r="NM39" s="104"/>
      <c r="NN39" s="104"/>
      <c r="NO39" s="104"/>
      <c r="NP39" s="104"/>
      <c r="NQ39" s="104"/>
      <c r="NR39" s="104"/>
      <c r="NS39" s="104"/>
      <c r="NT39" s="104"/>
      <c r="NU39" s="104"/>
      <c r="NV39" s="104"/>
      <c r="NW39" s="104"/>
      <c r="NX39" s="104"/>
      <c r="NY39" s="104"/>
      <c r="NZ39" s="104"/>
    </row>
    <row r="40" spans="1:390" ht="15.75" customHeight="1" x14ac:dyDescent="0.3">
      <c r="A40" s="214">
        <v>6248127468</v>
      </c>
      <c r="B40" s="165" t="s">
        <v>391</v>
      </c>
      <c r="C40" s="215"/>
      <c r="D40" s="216" t="s">
        <v>391</v>
      </c>
      <c r="E40" s="136" t="s">
        <v>661</v>
      </c>
      <c r="F40" s="125" t="s">
        <v>395</v>
      </c>
      <c r="G40" s="221" t="s">
        <v>461</v>
      </c>
      <c r="H40" s="219">
        <v>43374</v>
      </c>
      <c r="I40" s="216" t="s">
        <v>513</v>
      </c>
      <c r="J40" s="153" t="s">
        <v>397</v>
      </c>
      <c r="K40" s="153" t="s">
        <v>398</v>
      </c>
      <c r="L40" s="153" t="s">
        <v>398</v>
      </c>
      <c r="M40" s="164" t="s">
        <v>398</v>
      </c>
      <c r="N40" s="164" t="s">
        <v>398</v>
      </c>
      <c r="O40" s="164" t="s">
        <v>398</v>
      </c>
      <c r="P40" s="164" t="s">
        <v>398</v>
      </c>
      <c r="Q40" s="164" t="s">
        <v>398</v>
      </c>
      <c r="R40" s="164" t="s">
        <v>398</v>
      </c>
      <c r="S40" s="164" t="s">
        <v>398</v>
      </c>
      <c r="T40" s="164" t="s">
        <v>398</v>
      </c>
      <c r="U40" s="164" t="s">
        <v>398</v>
      </c>
      <c r="V40" s="164" t="s">
        <v>398</v>
      </c>
      <c r="W40" s="164" t="s">
        <v>398</v>
      </c>
      <c r="X40" s="164" t="s">
        <v>398</v>
      </c>
      <c r="Y40" s="164" t="s">
        <v>398</v>
      </c>
      <c r="Z40" s="164" t="s">
        <v>398</v>
      </c>
      <c r="AA40" s="164" t="s">
        <v>398</v>
      </c>
      <c r="AB40" s="167" t="s">
        <v>399</v>
      </c>
      <c r="AC40" s="219">
        <v>14977</v>
      </c>
      <c r="AD40" s="107"/>
      <c r="AE40" s="108" t="e">
        <f t="shared" si="0"/>
        <v>#NUM!</v>
      </c>
      <c r="AF40" s="107" t="s">
        <v>452</v>
      </c>
      <c r="AG40" s="79" t="s">
        <v>401</v>
      </c>
      <c r="AH40" s="87" t="s">
        <v>402</v>
      </c>
      <c r="AI40" s="110"/>
      <c r="AJ40" s="110"/>
      <c r="AK40" s="110"/>
      <c r="AL40" s="110"/>
      <c r="AM40" s="105"/>
      <c r="AN40" s="95">
        <v>3</v>
      </c>
      <c r="AO40" s="173" t="s">
        <v>398</v>
      </c>
      <c r="AP40" s="79"/>
      <c r="AQ40" s="106"/>
      <c r="AR40" s="91"/>
      <c r="AS40" s="104"/>
      <c r="AT40" s="104"/>
      <c r="AU40" s="104"/>
      <c r="AV40" s="104"/>
      <c r="AW40" s="91"/>
      <c r="AX40" s="104"/>
      <c r="AY40" s="104"/>
      <c r="AZ40" s="104"/>
      <c r="BA40" s="104"/>
      <c r="BB40" s="91"/>
      <c r="BC40" s="104"/>
      <c r="BD40" s="104"/>
      <c r="BE40" s="104"/>
      <c r="BF40" s="104"/>
      <c r="BG40" s="91"/>
      <c r="BH40" s="104"/>
      <c r="BI40" s="104"/>
      <c r="BJ40" s="104"/>
      <c r="BK40" s="104"/>
      <c r="BL40" s="91"/>
      <c r="BM40" s="104"/>
      <c r="BN40" s="104"/>
      <c r="BO40" s="104"/>
      <c r="BP40" s="104"/>
      <c r="BQ40" s="91"/>
      <c r="BR40" s="104"/>
      <c r="BS40" s="104"/>
      <c r="BT40" s="104"/>
      <c r="BU40" s="104"/>
      <c r="BV40" s="91"/>
      <c r="BW40" s="104"/>
      <c r="BX40" s="104"/>
      <c r="BY40" s="104"/>
      <c r="BZ40" s="104"/>
      <c r="CA40" s="91"/>
      <c r="CB40" s="104"/>
      <c r="CC40" s="104"/>
      <c r="CD40" s="104"/>
      <c r="CE40" s="104"/>
      <c r="CF40" s="91"/>
      <c r="CG40" s="104"/>
      <c r="CH40" s="104"/>
      <c r="CI40" s="104"/>
      <c r="CJ40" s="104"/>
      <c r="CK40" s="91"/>
      <c r="CL40" s="104"/>
      <c r="CM40" s="104"/>
      <c r="CN40" s="104"/>
      <c r="CO40" s="104"/>
      <c r="CP40" s="91"/>
      <c r="CQ40" s="104"/>
      <c r="CR40" s="104"/>
      <c r="CS40" s="104"/>
      <c r="CT40" s="104"/>
      <c r="CU40" s="91"/>
      <c r="CV40" s="104"/>
      <c r="CW40" s="104"/>
      <c r="CX40" s="104"/>
      <c r="CY40" s="104"/>
      <c r="CZ40" s="91"/>
      <c r="DA40" s="104"/>
      <c r="DB40" s="104"/>
      <c r="DC40" s="104"/>
      <c r="DD40" s="104"/>
      <c r="DE40" s="91"/>
      <c r="DF40" s="104"/>
      <c r="DG40" s="104"/>
      <c r="DH40" s="104"/>
      <c r="DI40" s="104"/>
      <c r="DJ40" s="91"/>
      <c r="DK40" s="104"/>
      <c r="DL40" s="104"/>
      <c r="DM40" s="104"/>
      <c r="DN40" s="104"/>
      <c r="DO40" s="91"/>
      <c r="DP40" s="104"/>
      <c r="DQ40" s="104"/>
      <c r="DR40" s="104"/>
      <c r="DS40" s="104"/>
      <c r="DT40" s="91"/>
      <c r="DU40" s="104"/>
      <c r="DV40" s="104"/>
      <c r="DW40" s="104"/>
      <c r="DX40" s="104"/>
      <c r="DY40" s="91"/>
      <c r="DZ40" s="104"/>
      <c r="EA40" s="104"/>
      <c r="EB40" s="104"/>
      <c r="EC40" s="104"/>
      <c r="ED40" s="91"/>
      <c r="EE40" s="104"/>
      <c r="EF40" s="104"/>
      <c r="EG40" s="104"/>
      <c r="EH40" s="104"/>
      <c r="EI40" s="91"/>
      <c r="EJ40" s="104"/>
      <c r="EK40" s="104"/>
      <c r="EL40" s="104"/>
      <c r="EM40" s="104"/>
      <c r="EN40" s="91"/>
      <c r="EO40" s="104"/>
      <c r="EP40" s="104"/>
      <c r="EQ40" s="104"/>
      <c r="ER40" s="104"/>
      <c r="ES40" s="91"/>
      <c r="ET40" s="104"/>
      <c r="EU40" s="104"/>
      <c r="EV40" s="104"/>
      <c r="EW40" s="104"/>
      <c r="EX40" s="91"/>
      <c r="EY40" s="104"/>
      <c r="EZ40" s="104"/>
      <c r="FA40" s="104"/>
      <c r="FB40" s="104"/>
      <c r="FC40" s="91"/>
      <c r="FD40" s="104"/>
      <c r="FE40" s="104"/>
      <c r="FF40" s="104"/>
      <c r="FG40" s="104"/>
      <c r="FH40" s="91"/>
      <c r="FI40" s="104"/>
      <c r="FJ40" s="104"/>
      <c r="FK40" s="104"/>
      <c r="FL40" s="104"/>
      <c r="FM40" s="104"/>
      <c r="FN40" s="104"/>
      <c r="FO40" s="104"/>
      <c r="FP40" s="104"/>
      <c r="FQ40" s="104"/>
      <c r="FR40" s="104"/>
      <c r="FS40" s="104"/>
      <c r="FT40" s="104"/>
      <c r="FU40" s="104"/>
      <c r="FV40" s="104"/>
      <c r="FW40" s="104"/>
      <c r="FX40" s="104"/>
      <c r="FY40" s="104"/>
      <c r="FZ40" s="104"/>
      <c r="GA40" s="104"/>
      <c r="GB40" s="104"/>
      <c r="GC40" s="104"/>
      <c r="GD40" s="104"/>
      <c r="GE40" s="104"/>
      <c r="GF40" s="104"/>
      <c r="GG40" s="104"/>
      <c r="GH40" s="104"/>
      <c r="GI40" s="104"/>
      <c r="GJ40" s="104"/>
      <c r="GK40" s="104"/>
      <c r="GL40" s="104"/>
      <c r="GM40" s="104"/>
      <c r="GN40" s="104"/>
      <c r="GO40" s="104"/>
      <c r="GP40" s="91"/>
      <c r="GQ40" s="104"/>
      <c r="GR40" s="104"/>
      <c r="GS40" s="104"/>
      <c r="GT40" s="104"/>
      <c r="GU40" s="91"/>
      <c r="GV40" s="104"/>
      <c r="GW40" s="104"/>
      <c r="GX40" s="104"/>
      <c r="GY40" s="104"/>
      <c r="GZ40" s="91"/>
      <c r="HA40" s="104"/>
      <c r="HB40" s="104"/>
      <c r="HC40" s="104"/>
      <c r="HD40" s="104"/>
      <c r="HE40" s="91"/>
      <c r="HF40" s="104"/>
      <c r="HG40" s="104"/>
      <c r="HH40" s="104"/>
      <c r="HI40" s="104"/>
      <c r="HJ40" s="91"/>
      <c r="HK40" s="104"/>
      <c r="HL40" s="104"/>
      <c r="HM40" s="104"/>
      <c r="HN40" s="104"/>
      <c r="HO40" s="91"/>
      <c r="HP40" s="104"/>
      <c r="HQ40" s="104"/>
      <c r="HR40" s="104"/>
      <c r="HS40" s="104"/>
      <c r="HT40" s="91"/>
      <c r="HU40" s="104"/>
      <c r="HV40" s="104"/>
      <c r="HW40" s="104"/>
      <c r="HX40" s="104"/>
      <c r="HY40" s="91"/>
      <c r="HZ40" s="104"/>
      <c r="IA40" s="104"/>
      <c r="IB40" s="104"/>
      <c r="IC40" s="104"/>
      <c r="ID40" s="91"/>
      <c r="IE40" s="104"/>
      <c r="IF40" s="104"/>
      <c r="IG40" s="104"/>
      <c r="IH40" s="104"/>
      <c r="II40" s="91"/>
      <c r="IJ40" s="104"/>
      <c r="IK40" s="104"/>
      <c r="IL40" s="104"/>
      <c r="IM40" s="104"/>
      <c r="IN40" s="91"/>
      <c r="IO40" s="104"/>
      <c r="IP40" s="104"/>
      <c r="IQ40" s="104"/>
      <c r="IR40" s="104"/>
      <c r="IS40" s="91"/>
      <c r="IT40" s="104"/>
      <c r="IU40" s="104"/>
      <c r="IV40" s="104"/>
      <c r="IW40" s="104"/>
      <c r="IX40" s="91"/>
      <c r="IY40" s="104"/>
      <c r="IZ40" s="104"/>
      <c r="JA40" s="104"/>
      <c r="JB40" s="104"/>
      <c r="JC40" s="91"/>
      <c r="JD40" s="104"/>
      <c r="JE40" s="104"/>
      <c r="JF40" s="104"/>
      <c r="JG40" s="105"/>
      <c r="JH40" s="91"/>
      <c r="JI40" s="106"/>
      <c r="JJ40" s="104"/>
      <c r="JK40" s="104"/>
      <c r="JL40" s="105"/>
      <c r="JM40" s="95"/>
      <c r="JN40" s="107"/>
      <c r="JO40" s="79"/>
      <c r="JP40" s="106"/>
      <c r="JQ40" s="104"/>
      <c r="JR40" s="104"/>
      <c r="JS40" s="104"/>
      <c r="JT40" s="104"/>
      <c r="JU40" s="104"/>
      <c r="JV40" s="104"/>
      <c r="JW40" s="104"/>
      <c r="JX40" s="104"/>
      <c r="JY40" s="104"/>
      <c r="JZ40" s="104"/>
      <c r="KA40" s="104"/>
      <c r="KB40" s="104"/>
      <c r="KC40" s="104"/>
      <c r="KD40" s="104"/>
      <c r="KE40" s="104"/>
      <c r="KF40" s="104"/>
      <c r="KG40" s="104"/>
      <c r="KH40" s="104"/>
      <c r="KI40" s="104"/>
      <c r="KJ40" s="104"/>
      <c r="KK40" s="104"/>
      <c r="KL40" s="104"/>
      <c r="KM40" s="104"/>
      <c r="KN40" s="104"/>
      <c r="KO40" s="104"/>
      <c r="KP40" s="104"/>
      <c r="KQ40" s="104"/>
      <c r="KR40" s="104"/>
      <c r="KS40" s="104"/>
      <c r="KT40" s="104"/>
      <c r="KU40" s="104"/>
      <c r="KV40" s="104"/>
      <c r="KW40" s="104"/>
      <c r="KX40" s="104"/>
      <c r="KY40" s="104"/>
      <c r="KZ40" s="104"/>
      <c r="LA40" s="104"/>
      <c r="LB40" s="104"/>
      <c r="LC40" s="104"/>
      <c r="LD40" s="104"/>
      <c r="LE40" s="104"/>
      <c r="LF40" s="104"/>
      <c r="LG40" s="104"/>
      <c r="LH40" s="104"/>
      <c r="LI40" s="104"/>
      <c r="LJ40" s="104"/>
      <c r="LK40" s="104"/>
      <c r="LL40" s="104"/>
      <c r="LM40" s="104"/>
      <c r="LN40" s="104"/>
      <c r="LO40" s="104"/>
      <c r="LP40" s="104"/>
      <c r="LQ40" s="104"/>
      <c r="LR40" s="104"/>
      <c r="LS40" s="104"/>
      <c r="LT40" s="104"/>
      <c r="LU40" s="104"/>
      <c r="LV40" s="104"/>
      <c r="LW40" s="104"/>
      <c r="LX40" s="104"/>
      <c r="LY40" s="104"/>
      <c r="LZ40" s="104"/>
      <c r="MA40" s="104"/>
      <c r="MB40" s="104"/>
      <c r="MC40" s="104"/>
      <c r="MD40" s="104"/>
      <c r="ME40" s="104"/>
      <c r="MF40" s="104"/>
      <c r="MG40" s="104"/>
      <c r="MH40" s="104"/>
      <c r="MI40" s="104"/>
      <c r="MJ40" s="104"/>
      <c r="MK40" s="104"/>
      <c r="ML40" s="104"/>
      <c r="MM40" s="104"/>
      <c r="MN40" s="104"/>
      <c r="MO40" s="104"/>
      <c r="MP40" s="104"/>
      <c r="MQ40" s="104"/>
      <c r="MR40" s="104"/>
      <c r="MS40" s="104"/>
      <c r="MT40" s="104"/>
      <c r="MU40" s="104"/>
      <c r="MV40" s="104"/>
      <c r="MW40" s="104"/>
      <c r="MX40" s="104"/>
      <c r="MY40" s="104"/>
      <c r="MZ40" s="104"/>
      <c r="NA40" s="104"/>
      <c r="NB40" s="104"/>
      <c r="NC40" s="104"/>
      <c r="ND40" s="104"/>
      <c r="NE40" s="104"/>
      <c r="NF40" s="104"/>
      <c r="NG40" s="104"/>
      <c r="NH40" s="104"/>
      <c r="NI40" s="104"/>
      <c r="NJ40" s="104"/>
      <c r="NK40" s="104"/>
      <c r="NL40" s="104"/>
      <c r="NM40" s="104"/>
      <c r="NN40" s="104"/>
      <c r="NO40" s="104"/>
      <c r="NP40" s="104"/>
      <c r="NQ40" s="104"/>
      <c r="NR40" s="104"/>
      <c r="NS40" s="104"/>
      <c r="NT40" s="104"/>
      <c r="NU40" s="104"/>
      <c r="NV40" s="104"/>
      <c r="NW40" s="104"/>
      <c r="NX40" s="104"/>
      <c r="NY40" s="104"/>
      <c r="NZ40" s="104"/>
    </row>
    <row r="41" spans="1:390" ht="15.75" customHeight="1" x14ac:dyDescent="0.3">
      <c r="A41" s="214">
        <v>4664029551</v>
      </c>
      <c r="B41" s="165" t="s">
        <v>391</v>
      </c>
      <c r="C41" s="215"/>
      <c r="D41" s="216" t="s">
        <v>391</v>
      </c>
      <c r="E41" s="136" t="s">
        <v>662</v>
      </c>
      <c r="F41" s="125" t="s">
        <v>426</v>
      </c>
      <c r="G41" s="221" t="s">
        <v>398</v>
      </c>
      <c r="H41" s="219">
        <v>43377</v>
      </c>
      <c r="I41" s="216" t="s">
        <v>513</v>
      </c>
      <c r="J41" s="153" t="s">
        <v>397</v>
      </c>
      <c r="K41" s="153" t="s">
        <v>398</v>
      </c>
      <c r="L41" s="153" t="s">
        <v>398</v>
      </c>
      <c r="M41" s="164" t="s">
        <v>398</v>
      </c>
      <c r="N41" s="164" t="s">
        <v>398</v>
      </c>
      <c r="O41" s="164" t="s">
        <v>398</v>
      </c>
      <c r="P41" s="164" t="s">
        <v>398</v>
      </c>
      <c r="Q41" s="164" t="s">
        <v>398</v>
      </c>
      <c r="R41" s="164" t="s">
        <v>398</v>
      </c>
      <c r="S41" s="164" t="s">
        <v>398</v>
      </c>
      <c r="T41" s="164" t="s">
        <v>398</v>
      </c>
      <c r="U41" s="164" t="s">
        <v>398</v>
      </c>
      <c r="V41" s="164" t="s">
        <v>398</v>
      </c>
      <c r="W41" s="164" t="s">
        <v>398</v>
      </c>
      <c r="X41" s="164" t="s">
        <v>398</v>
      </c>
      <c r="Y41" s="164" t="s">
        <v>398</v>
      </c>
      <c r="Z41" s="164" t="s">
        <v>398</v>
      </c>
      <c r="AA41" s="164" t="s">
        <v>398</v>
      </c>
      <c r="AB41" s="167" t="s">
        <v>399</v>
      </c>
      <c r="AC41" s="219">
        <v>10502</v>
      </c>
      <c r="AD41" s="107"/>
      <c r="AE41" s="108" t="e">
        <f t="shared" si="0"/>
        <v>#NUM!</v>
      </c>
      <c r="AF41" s="107" t="s">
        <v>663</v>
      </c>
      <c r="AG41" s="79" t="s">
        <v>401</v>
      </c>
      <c r="AH41" s="87" t="s">
        <v>402</v>
      </c>
      <c r="AI41" s="110"/>
      <c r="AJ41" s="110"/>
      <c r="AK41" s="110"/>
      <c r="AL41" s="110"/>
      <c r="AM41" s="105"/>
      <c r="AN41" s="95">
        <v>2</v>
      </c>
      <c r="AO41" s="173" t="s">
        <v>398</v>
      </c>
      <c r="AP41" s="79"/>
      <c r="AQ41" s="106"/>
      <c r="AR41" s="91"/>
      <c r="AS41" s="104"/>
      <c r="AT41" s="104"/>
      <c r="AU41" s="104"/>
      <c r="AV41" s="104"/>
      <c r="AW41" s="91"/>
      <c r="AX41" s="104"/>
      <c r="AY41" s="104"/>
      <c r="AZ41" s="104"/>
      <c r="BA41" s="104"/>
      <c r="BB41" s="91"/>
      <c r="BC41" s="104"/>
      <c r="BD41" s="104"/>
      <c r="BE41" s="104"/>
      <c r="BF41" s="104"/>
      <c r="BG41" s="91"/>
      <c r="BH41" s="104"/>
      <c r="BI41" s="104"/>
      <c r="BJ41" s="104"/>
      <c r="BK41" s="104"/>
      <c r="BL41" s="91"/>
      <c r="BM41" s="104"/>
      <c r="BN41" s="104"/>
      <c r="BO41" s="104"/>
      <c r="BP41" s="104"/>
      <c r="BQ41" s="91"/>
      <c r="BR41" s="104"/>
      <c r="BS41" s="104"/>
      <c r="BT41" s="104"/>
      <c r="BU41" s="104"/>
      <c r="BV41" s="91"/>
      <c r="BW41" s="104"/>
      <c r="BX41" s="104"/>
      <c r="BY41" s="104"/>
      <c r="BZ41" s="104"/>
      <c r="CA41" s="91"/>
      <c r="CB41" s="104"/>
      <c r="CC41" s="104"/>
      <c r="CD41" s="104"/>
      <c r="CE41" s="104"/>
      <c r="CF41" s="91"/>
      <c r="CG41" s="104"/>
      <c r="CH41" s="104"/>
      <c r="CI41" s="104"/>
      <c r="CJ41" s="104"/>
      <c r="CK41" s="91"/>
      <c r="CL41" s="104"/>
      <c r="CM41" s="104"/>
      <c r="CN41" s="104"/>
      <c r="CO41" s="104"/>
      <c r="CP41" s="91"/>
      <c r="CQ41" s="104"/>
      <c r="CR41" s="104"/>
      <c r="CS41" s="104"/>
      <c r="CT41" s="104"/>
      <c r="CU41" s="91"/>
      <c r="CV41" s="104"/>
      <c r="CW41" s="104"/>
      <c r="CX41" s="104"/>
      <c r="CY41" s="104"/>
      <c r="CZ41" s="91"/>
      <c r="DA41" s="104"/>
      <c r="DB41" s="104"/>
      <c r="DC41" s="104"/>
      <c r="DD41" s="104"/>
      <c r="DE41" s="91"/>
      <c r="DF41" s="104"/>
      <c r="DG41" s="104"/>
      <c r="DH41" s="104"/>
      <c r="DI41" s="104"/>
      <c r="DJ41" s="91"/>
      <c r="DK41" s="104"/>
      <c r="DL41" s="104"/>
      <c r="DM41" s="104"/>
      <c r="DN41" s="104"/>
      <c r="DO41" s="91"/>
      <c r="DP41" s="104"/>
      <c r="DQ41" s="104"/>
      <c r="DR41" s="104"/>
      <c r="DS41" s="104"/>
      <c r="DT41" s="91"/>
      <c r="DU41" s="104"/>
      <c r="DV41" s="104"/>
      <c r="DW41" s="104"/>
      <c r="DX41" s="104"/>
      <c r="DY41" s="91"/>
      <c r="DZ41" s="104"/>
      <c r="EA41" s="104"/>
      <c r="EB41" s="104"/>
      <c r="EC41" s="104"/>
      <c r="ED41" s="91"/>
      <c r="EE41" s="104"/>
      <c r="EF41" s="104"/>
      <c r="EG41" s="104"/>
      <c r="EH41" s="104"/>
      <c r="EI41" s="91"/>
      <c r="EJ41" s="104"/>
      <c r="EK41" s="104"/>
      <c r="EL41" s="104"/>
      <c r="EM41" s="104"/>
      <c r="EN41" s="91"/>
      <c r="EO41" s="104"/>
      <c r="EP41" s="104"/>
      <c r="EQ41" s="104"/>
      <c r="ER41" s="104"/>
      <c r="ES41" s="91"/>
      <c r="ET41" s="104"/>
      <c r="EU41" s="104"/>
      <c r="EV41" s="104"/>
      <c r="EW41" s="104"/>
      <c r="EX41" s="91"/>
      <c r="EY41" s="104"/>
      <c r="EZ41" s="104"/>
      <c r="FA41" s="104"/>
      <c r="FB41" s="104"/>
      <c r="FC41" s="91"/>
      <c r="FD41" s="104"/>
      <c r="FE41" s="104"/>
      <c r="FF41" s="104"/>
      <c r="FG41" s="104"/>
      <c r="FH41" s="91"/>
      <c r="FI41" s="104"/>
      <c r="FJ41" s="104"/>
      <c r="FK41" s="104"/>
      <c r="FL41" s="104"/>
      <c r="FM41" s="104"/>
      <c r="FN41" s="104"/>
      <c r="FO41" s="104"/>
      <c r="FP41" s="104"/>
      <c r="FQ41" s="104"/>
      <c r="FR41" s="104"/>
      <c r="FS41" s="104"/>
      <c r="FT41" s="104"/>
      <c r="FU41" s="104"/>
      <c r="FV41" s="104"/>
      <c r="FW41" s="104"/>
      <c r="FX41" s="104"/>
      <c r="FY41" s="104"/>
      <c r="FZ41" s="104"/>
      <c r="GA41" s="104"/>
      <c r="GB41" s="104"/>
      <c r="GC41" s="104"/>
      <c r="GD41" s="104"/>
      <c r="GE41" s="104"/>
      <c r="GF41" s="104"/>
      <c r="GG41" s="104"/>
      <c r="GH41" s="104"/>
      <c r="GI41" s="104"/>
      <c r="GJ41" s="104"/>
      <c r="GK41" s="104"/>
      <c r="GL41" s="104"/>
      <c r="GM41" s="104"/>
      <c r="GN41" s="104"/>
      <c r="GO41" s="104"/>
      <c r="GP41" s="91"/>
      <c r="GQ41" s="104"/>
      <c r="GR41" s="104"/>
      <c r="GS41" s="104"/>
      <c r="GT41" s="104"/>
      <c r="GU41" s="91"/>
      <c r="GV41" s="104"/>
      <c r="GW41" s="104"/>
      <c r="GX41" s="104"/>
      <c r="GY41" s="104"/>
      <c r="GZ41" s="91"/>
      <c r="HA41" s="104"/>
      <c r="HB41" s="104"/>
      <c r="HC41" s="104"/>
      <c r="HD41" s="104"/>
      <c r="HE41" s="91"/>
      <c r="HF41" s="104"/>
      <c r="HG41" s="104"/>
      <c r="HH41" s="104"/>
      <c r="HI41" s="104"/>
      <c r="HJ41" s="91"/>
      <c r="HK41" s="104"/>
      <c r="HL41" s="104"/>
      <c r="HM41" s="104"/>
      <c r="HN41" s="104"/>
      <c r="HO41" s="91"/>
      <c r="HP41" s="104"/>
      <c r="HQ41" s="104"/>
      <c r="HR41" s="104"/>
      <c r="HS41" s="104"/>
      <c r="HT41" s="91"/>
      <c r="HU41" s="104"/>
      <c r="HV41" s="104"/>
      <c r="HW41" s="104"/>
      <c r="HX41" s="104"/>
      <c r="HY41" s="91"/>
      <c r="HZ41" s="104"/>
      <c r="IA41" s="104"/>
      <c r="IB41" s="104"/>
      <c r="IC41" s="104"/>
      <c r="ID41" s="91"/>
      <c r="IE41" s="104"/>
      <c r="IF41" s="104"/>
      <c r="IG41" s="104"/>
      <c r="IH41" s="104"/>
      <c r="II41" s="91"/>
      <c r="IJ41" s="104"/>
      <c r="IK41" s="104"/>
      <c r="IL41" s="104"/>
      <c r="IM41" s="104"/>
      <c r="IN41" s="91"/>
      <c r="IO41" s="104"/>
      <c r="IP41" s="104"/>
      <c r="IQ41" s="104"/>
      <c r="IR41" s="104"/>
      <c r="IS41" s="91"/>
      <c r="IT41" s="104"/>
      <c r="IU41" s="104"/>
      <c r="IV41" s="104"/>
      <c r="IW41" s="104"/>
      <c r="IX41" s="91"/>
      <c r="IY41" s="104"/>
      <c r="IZ41" s="104"/>
      <c r="JA41" s="104"/>
      <c r="JB41" s="104"/>
      <c r="JC41" s="91"/>
      <c r="JD41" s="104"/>
      <c r="JE41" s="104"/>
      <c r="JF41" s="104"/>
      <c r="JG41" s="105"/>
      <c r="JH41" s="91"/>
      <c r="JI41" s="106"/>
      <c r="JJ41" s="104"/>
      <c r="JK41" s="104"/>
      <c r="JL41" s="105"/>
      <c r="JM41" s="95"/>
      <c r="JN41" s="107"/>
      <c r="JO41" s="79"/>
      <c r="JP41" s="106"/>
      <c r="JQ41" s="104"/>
      <c r="JR41" s="104"/>
      <c r="JS41" s="104"/>
      <c r="JT41" s="104"/>
      <c r="JU41" s="104"/>
      <c r="JV41" s="104"/>
      <c r="JW41" s="104"/>
      <c r="JX41" s="104"/>
      <c r="JY41" s="104"/>
      <c r="JZ41" s="104"/>
      <c r="KA41" s="104"/>
      <c r="KB41" s="104"/>
      <c r="KC41" s="104"/>
      <c r="KD41" s="104"/>
      <c r="KE41" s="104"/>
      <c r="KF41" s="104"/>
      <c r="KG41" s="104"/>
      <c r="KH41" s="104"/>
      <c r="KI41" s="104"/>
      <c r="KJ41" s="104"/>
      <c r="KK41" s="104"/>
      <c r="KL41" s="104"/>
      <c r="KM41" s="104"/>
      <c r="KN41" s="104"/>
      <c r="KO41" s="104"/>
      <c r="KP41" s="104"/>
      <c r="KQ41" s="104"/>
      <c r="KR41" s="104"/>
      <c r="KS41" s="104"/>
      <c r="KT41" s="104"/>
      <c r="KU41" s="104"/>
      <c r="KV41" s="104"/>
      <c r="KW41" s="104"/>
      <c r="KX41" s="104"/>
      <c r="KY41" s="104"/>
      <c r="KZ41" s="104"/>
      <c r="LA41" s="104"/>
      <c r="LB41" s="104"/>
      <c r="LC41" s="104"/>
      <c r="LD41" s="104"/>
      <c r="LE41" s="104"/>
      <c r="LF41" s="104"/>
      <c r="LG41" s="104"/>
      <c r="LH41" s="104"/>
      <c r="LI41" s="104"/>
      <c r="LJ41" s="104"/>
      <c r="LK41" s="104"/>
      <c r="LL41" s="104"/>
      <c r="LM41" s="104"/>
      <c r="LN41" s="104"/>
      <c r="LO41" s="104"/>
      <c r="LP41" s="104"/>
      <c r="LQ41" s="104"/>
      <c r="LR41" s="104"/>
      <c r="LS41" s="104"/>
      <c r="LT41" s="104"/>
      <c r="LU41" s="104"/>
      <c r="LV41" s="104"/>
      <c r="LW41" s="104"/>
      <c r="LX41" s="104"/>
      <c r="LY41" s="104"/>
      <c r="LZ41" s="104"/>
      <c r="MA41" s="104"/>
      <c r="MB41" s="104"/>
      <c r="MC41" s="104"/>
      <c r="MD41" s="104"/>
      <c r="ME41" s="104"/>
      <c r="MF41" s="104"/>
      <c r="MG41" s="104"/>
      <c r="MH41" s="104"/>
      <c r="MI41" s="104"/>
      <c r="MJ41" s="104"/>
      <c r="MK41" s="104"/>
      <c r="ML41" s="104"/>
      <c r="MM41" s="104"/>
      <c r="MN41" s="104"/>
      <c r="MO41" s="104"/>
      <c r="MP41" s="104"/>
      <c r="MQ41" s="104"/>
      <c r="MR41" s="104"/>
      <c r="MS41" s="104"/>
      <c r="MT41" s="104"/>
      <c r="MU41" s="104"/>
      <c r="MV41" s="104"/>
      <c r="MW41" s="104"/>
      <c r="MX41" s="104"/>
      <c r="MY41" s="104"/>
      <c r="MZ41" s="104"/>
      <c r="NA41" s="104"/>
      <c r="NB41" s="104"/>
      <c r="NC41" s="104"/>
      <c r="ND41" s="104"/>
      <c r="NE41" s="104"/>
      <c r="NF41" s="104"/>
      <c r="NG41" s="104"/>
      <c r="NH41" s="104"/>
      <c r="NI41" s="104"/>
      <c r="NJ41" s="104"/>
      <c r="NK41" s="104"/>
      <c r="NL41" s="104"/>
      <c r="NM41" s="104"/>
      <c r="NN41" s="104"/>
      <c r="NO41" s="104"/>
      <c r="NP41" s="104"/>
      <c r="NQ41" s="104"/>
      <c r="NR41" s="104"/>
      <c r="NS41" s="104"/>
      <c r="NT41" s="104"/>
      <c r="NU41" s="104"/>
      <c r="NV41" s="104"/>
      <c r="NW41" s="104"/>
      <c r="NX41" s="104"/>
      <c r="NY41" s="104"/>
      <c r="NZ41" s="104"/>
    </row>
    <row r="42" spans="1:390" ht="15.75" customHeight="1" x14ac:dyDescent="0.3">
      <c r="A42" s="214">
        <v>4740727579</v>
      </c>
      <c r="B42" s="165" t="s">
        <v>391</v>
      </c>
      <c r="C42" s="215"/>
      <c r="D42" s="216" t="s">
        <v>391</v>
      </c>
      <c r="E42" s="136" t="s">
        <v>664</v>
      </c>
      <c r="F42" s="125" t="s">
        <v>395</v>
      </c>
      <c r="G42" s="221" t="s">
        <v>465</v>
      </c>
      <c r="H42" s="219">
        <v>43378</v>
      </c>
      <c r="I42" s="216" t="s">
        <v>458</v>
      </c>
      <c r="J42" s="153" t="s">
        <v>397</v>
      </c>
      <c r="K42" s="153" t="s">
        <v>398</v>
      </c>
      <c r="L42" s="153" t="s">
        <v>398</v>
      </c>
      <c r="M42" s="164" t="s">
        <v>398</v>
      </c>
      <c r="N42" s="164" t="s">
        <v>398</v>
      </c>
      <c r="O42" s="164" t="s">
        <v>398</v>
      </c>
      <c r="P42" s="164" t="s">
        <v>398</v>
      </c>
      <c r="Q42" s="164" t="s">
        <v>398</v>
      </c>
      <c r="R42" s="164" t="s">
        <v>398</v>
      </c>
      <c r="S42" s="164" t="s">
        <v>398</v>
      </c>
      <c r="T42" s="164" t="s">
        <v>398</v>
      </c>
      <c r="U42" s="164" t="s">
        <v>398</v>
      </c>
      <c r="V42" s="164" t="s">
        <v>398</v>
      </c>
      <c r="W42" s="164" t="s">
        <v>398</v>
      </c>
      <c r="X42" s="164" t="s">
        <v>398</v>
      </c>
      <c r="Y42" s="164" t="s">
        <v>398</v>
      </c>
      <c r="Z42" s="164" t="s">
        <v>398</v>
      </c>
      <c r="AA42" s="164" t="s">
        <v>398</v>
      </c>
      <c r="AB42" s="167" t="s">
        <v>399</v>
      </c>
      <c r="AC42" s="219">
        <v>15969</v>
      </c>
      <c r="AD42" s="107"/>
      <c r="AE42" s="108" t="e">
        <f t="shared" si="0"/>
        <v>#NUM!</v>
      </c>
      <c r="AF42" s="107" t="s">
        <v>477</v>
      </c>
      <c r="AG42" s="79" t="s">
        <v>401</v>
      </c>
      <c r="AH42" s="87" t="s">
        <v>402</v>
      </c>
      <c r="AI42" s="110"/>
      <c r="AJ42" s="110"/>
      <c r="AK42" s="110"/>
      <c r="AL42" s="110"/>
      <c r="AM42" s="105"/>
      <c r="AN42" s="95">
        <v>1</v>
      </c>
      <c r="AO42" s="173" t="s">
        <v>398</v>
      </c>
      <c r="AP42" s="79"/>
      <c r="AQ42" s="106"/>
      <c r="AR42" s="91"/>
      <c r="AS42" s="104"/>
      <c r="AT42" s="104"/>
      <c r="AU42" s="104"/>
      <c r="AV42" s="104"/>
      <c r="AW42" s="91"/>
      <c r="AX42" s="104"/>
      <c r="AY42" s="104"/>
      <c r="AZ42" s="104"/>
      <c r="BA42" s="104"/>
      <c r="BB42" s="91"/>
      <c r="BC42" s="104"/>
      <c r="BD42" s="104"/>
      <c r="BE42" s="104"/>
      <c r="BF42" s="104"/>
      <c r="BG42" s="91"/>
      <c r="BH42" s="104"/>
      <c r="BI42" s="104"/>
      <c r="BJ42" s="104"/>
      <c r="BK42" s="104"/>
      <c r="BL42" s="91"/>
      <c r="BM42" s="104"/>
      <c r="BN42" s="104"/>
      <c r="BO42" s="104"/>
      <c r="BP42" s="104"/>
      <c r="BQ42" s="91"/>
      <c r="BR42" s="104"/>
      <c r="BS42" s="104"/>
      <c r="BT42" s="104"/>
      <c r="BU42" s="104"/>
      <c r="BV42" s="91"/>
      <c r="BW42" s="104"/>
      <c r="BX42" s="104"/>
      <c r="BY42" s="104"/>
      <c r="BZ42" s="104"/>
      <c r="CA42" s="91"/>
      <c r="CB42" s="104"/>
      <c r="CC42" s="104"/>
      <c r="CD42" s="104"/>
      <c r="CE42" s="104"/>
      <c r="CF42" s="91"/>
      <c r="CG42" s="104"/>
      <c r="CH42" s="104"/>
      <c r="CI42" s="104"/>
      <c r="CJ42" s="104"/>
      <c r="CK42" s="91"/>
      <c r="CL42" s="104"/>
      <c r="CM42" s="104"/>
      <c r="CN42" s="104"/>
      <c r="CO42" s="104"/>
      <c r="CP42" s="91"/>
      <c r="CQ42" s="104"/>
      <c r="CR42" s="104"/>
      <c r="CS42" s="104"/>
      <c r="CT42" s="104"/>
      <c r="CU42" s="91"/>
      <c r="CV42" s="104"/>
      <c r="CW42" s="104"/>
      <c r="CX42" s="104"/>
      <c r="CY42" s="104"/>
      <c r="CZ42" s="91"/>
      <c r="DA42" s="104"/>
      <c r="DB42" s="104"/>
      <c r="DC42" s="104"/>
      <c r="DD42" s="104"/>
      <c r="DE42" s="91"/>
      <c r="DF42" s="104"/>
      <c r="DG42" s="104"/>
      <c r="DH42" s="104"/>
      <c r="DI42" s="104"/>
      <c r="DJ42" s="91"/>
      <c r="DK42" s="104"/>
      <c r="DL42" s="104"/>
      <c r="DM42" s="104"/>
      <c r="DN42" s="104"/>
      <c r="DO42" s="91"/>
      <c r="DP42" s="104"/>
      <c r="DQ42" s="104"/>
      <c r="DR42" s="104"/>
      <c r="DS42" s="104"/>
      <c r="DT42" s="91"/>
      <c r="DU42" s="104"/>
      <c r="DV42" s="104"/>
      <c r="DW42" s="104"/>
      <c r="DX42" s="104"/>
      <c r="DY42" s="91"/>
      <c r="DZ42" s="104"/>
      <c r="EA42" s="104"/>
      <c r="EB42" s="104"/>
      <c r="EC42" s="104"/>
      <c r="ED42" s="91"/>
      <c r="EE42" s="104"/>
      <c r="EF42" s="104"/>
      <c r="EG42" s="104"/>
      <c r="EH42" s="104"/>
      <c r="EI42" s="91"/>
      <c r="EJ42" s="104"/>
      <c r="EK42" s="104"/>
      <c r="EL42" s="104"/>
      <c r="EM42" s="104"/>
      <c r="EN42" s="91"/>
      <c r="EO42" s="104"/>
      <c r="EP42" s="104"/>
      <c r="EQ42" s="104"/>
      <c r="ER42" s="104"/>
      <c r="ES42" s="91"/>
      <c r="ET42" s="104"/>
      <c r="EU42" s="104"/>
      <c r="EV42" s="104"/>
      <c r="EW42" s="104"/>
      <c r="EX42" s="91"/>
      <c r="EY42" s="104"/>
      <c r="EZ42" s="104"/>
      <c r="FA42" s="104"/>
      <c r="FB42" s="104"/>
      <c r="FC42" s="91"/>
      <c r="FD42" s="104"/>
      <c r="FE42" s="104"/>
      <c r="FF42" s="104"/>
      <c r="FG42" s="104"/>
      <c r="FH42" s="91"/>
      <c r="FI42" s="104"/>
      <c r="FJ42" s="104"/>
      <c r="FK42" s="104"/>
      <c r="FL42" s="104"/>
      <c r="FM42" s="104"/>
      <c r="FN42" s="104"/>
      <c r="FO42" s="104"/>
      <c r="FP42" s="104"/>
      <c r="FQ42" s="104"/>
      <c r="FR42" s="104"/>
      <c r="FS42" s="104"/>
      <c r="FT42" s="104"/>
      <c r="FU42" s="104"/>
      <c r="FV42" s="104"/>
      <c r="FW42" s="104"/>
      <c r="FX42" s="104"/>
      <c r="FY42" s="104"/>
      <c r="FZ42" s="104"/>
      <c r="GA42" s="104"/>
      <c r="GB42" s="104"/>
      <c r="GC42" s="104"/>
      <c r="GD42" s="104"/>
      <c r="GE42" s="104"/>
      <c r="GF42" s="104"/>
      <c r="GG42" s="104"/>
      <c r="GH42" s="104"/>
      <c r="GI42" s="104"/>
      <c r="GJ42" s="104"/>
      <c r="GK42" s="104"/>
      <c r="GL42" s="104"/>
      <c r="GM42" s="104"/>
      <c r="GN42" s="104"/>
      <c r="GO42" s="104"/>
      <c r="GP42" s="91"/>
      <c r="GQ42" s="104"/>
      <c r="GR42" s="104"/>
      <c r="GS42" s="104"/>
      <c r="GT42" s="104"/>
      <c r="GU42" s="91"/>
      <c r="GV42" s="104"/>
      <c r="GW42" s="104"/>
      <c r="GX42" s="104"/>
      <c r="GY42" s="104"/>
      <c r="GZ42" s="91"/>
      <c r="HA42" s="104"/>
      <c r="HB42" s="104"/>
      <c r="HC42" s="104"/>
      <c r="HD42" s="104"/>
      <c r="HE42" s="91"/>
      <c r="HF42" s="104"/>
      <c r="HG42" s="104"/>
      <c r="HH42" s="104"/>
      <c r="HI42" s="104"/>
      <c r="HJ42" s="91"/>
      <c r="HK42" s="104"/>
      <c r="HL42" s="104"/>
      <c r="HM42" s="104"/>
      <c r="HN42" s="104"/>
      <c r="HO42" s="91"/>
      <c r="HP42" s="104"/>
      <c r="HQ42" s="104"/>
      <c r="HR42" s="104"/>
      <c r="HS42" s="104"/>
      <c r="HT42" s="91"/>
      <c r="HU42" s="104"/>
      <c r="HV42" s="104"/>
      <c r="HW42" s="104"/>
      <c r="HX42" s="104"/>
      <c r="HY42" s="91"/>
      <c r="HZ42" s="104"/>
      <c r="IA42" s="104"/>
      <c r="IB42" s="104"/>
      <c r="IC42" s="104"/>
      <c r="ID42" s="91"/>
      <c r="IE42" s="104"/>
      <c r="IF42" s="104"/>
      <c r="IG42" s="104"/>
      <c r="IH42" s="104"/>
      <c r="II42" s="91"/>
      <c r="IJ42" s="104"/>
      <c r="IK42" s="104"/>
      <c r="IL42" s="104"/>
      <c r="IM42" s="104"/>
      <c r="IN42" s="91"/>
      <c r="IO42" s="104"/>
      <c r="IP42" s="104"/>
      <c r="IQ42" s="104"/>
      <c r="IR42" s="104"/>
      <c r="IS42" s="91"/>
      <c r="IT42" s="104"/>
      <c r="IU42" s="104"/>
      <c r="IV42" s="104"/>
      <c r="IW42" s="104"/>
      <c r="IX42" s="91"/>
      <c r="IY42" s="104"/>
      <c r="IZ42" s="104"/>
      <c r="JA42" s="104"/>
      <c r="JB42" s="104"/>
      <c r="JC42" s="91"/>
      <c r="JD42" s="104"/>
      <c r="JE42" s="104"/>
      <c r="JF42" s="104"/>
      <c r="JG42" s="105"/>
      <c r="JH42" s="91"/>
      <c r="JI42" s="106"/>
      <c r="JJ42" s="104"/>
      <c r="JK42" s="104"/>
      <c r="JL42" s="105"/>
      <c r="JM42" s="95"/>
      <c r="JN42" s="107"/>
      <c r="JO42" s="79"/>
      <c r="JP42" s="106"/>
      <c r="JQ42" s="104"/>
      <c r="JR42" s="104"/>
      <c r="JS42" s="104"/>
      <c r="JT42" s="104"/>
      <c r="JU42" s="104"/>
      <c r="JV42" s="104"/>
      <c r="JW42" s="104"/>
      <c r="JX42" s="104"/>
      <c r="JY42" s="104"/>
      <c r="JZ42" s="104"/>
      <c r="KA42" s="104"/>
      <c r="KB42" s="104"/>
      <c r="KC42" s="104"/>
      <c r="KD42" s="104"/>
      <c r="KE42" s="104"/>
      <c r="KF42" s="104"/>
      <c r="KG42" s="104"/>
      <c r="KH42" s="104"/>
      <c r="KI42" s="104"/>
      <c r="KJ42" s="104"/>
      <c r="KK42" s="104"/>
      <c r="KL42" s="104"/>
      <c r="KM42" s="104"/>
      <c r="KN42" s="104"/>
      <c r="KO42" s="104"/>
      <c r="KP42" s="104"/>
      <c r="KQ42" s="104"/>
      <c r="KR42" s="104"/>
      <c r="KS42" s="104"/>
      <c r="KT42" s="104"/>
      <c r="KU42" s="104"/>
      <c r="KV42" s="104"/>
      <c r="KW42" s="104"/>
      <c r="KX42" s="104"/>
      <c r="KY42" s="104"/>
      <c r="KZ42" s="104"/>
      <c r="LA42" s="104"/>
      <c r="LB42" s="104"/>
      <c r="LC42" s="104"/>
      <c r="LD42" s="104"/>
      <c r="LE42" s="104"/>
      <c r="LF42" s="104"/>
      <c r="LG42" s="104"/>
      <c r="LH42" s="104"/>
      <c r="LI42" s="104"/>
      <c r="LJ42" s="104"/>
      <c r="LK42" s="104"/>
      <c r="LL42" s="104"/>
      <c r="LM42" s="104"/>
      <c r="LN42" s="104"/>
      <c r="LO42" s="104"/>
      <c r="LP42" s="104"/>
      <c r="LQ42" s="104"/>
      <c r="LR42" s="104"/>
      <c r="LS42" s="104"/>
      <c r="LT42" s="104"/>
      <c r="LU42" s="104"/>
      <c r="LV42" s="104"/>
      <c r="LW42" s="104"/>
      <c r="LX42" s="104"/>
      <c r="LY42" s="104"/>
      <c r="LZ42" s="104"/>
      <c r="MA42" s="104"/>
      <c r="MB42" s="104"/>
      <c r="MC42" s="104"/>
      <c r="MD42" s="104"/>
      <c r="ME42" s="104"/>
      <c r="MF42" s="104"/>
      <c r="MG42" s="104"/>
      <c r="MH42" s="104"/>
      <c r="MI42" s="104"/>
      <c r="MJ42" s="104"/>
      <c r="MK42" s="104"/>
      <c r="ML42" s="104"/>
      <c r="MM42" s="104"/>
      <c r="MN42" s="104"/>
      <c r="MO42" s="104"/>
      <c r="MP42" s="104"/>
      <c r="MQ42" s="104"/>
      <c r="MR42" s="104"/>
      <c r="MS42" s="104"/>
      <c r="MT42" s="104"/>
      <c r="MU42" s="104"/>
      <c r="MV42" s="104"/>
      <c r="MW42" s="104"/>
      <c r="MX42" s="104"/>
      <c r="MY42" s="104"/>
      <c r="MZ42" s="104"/>
      <c r="NA42" s="104"/>
      <c r="NB42" s="104"/>
      <c r="NC42" s="104"/>
      <c r="ND42" s="104"/>
      <c r="NE42" s="104"/>
      <c r="NF42" s="104"/>
      <c r="NG42" s="104"/>
      <c r="NH42" s="104"/>
      <c r="NI42" s="104"/>
      <c r="NJ42" s="104"/>
      <c r="NK42" s="104"/>
      <c r="NL42" s="104"/>
      <c r="NM42" s="104"/>
      <c r="NN42" s="104"/>
      <c r="NO42" s="104"/>
      <c r="NP42" s="104"/>
      <c r="NQ42" s="104"/>
      <c r="NR42" s="104"/>
      <c r="NS42" s="104"/>
      <c r="NT42" s="104"/>
      <c r="NU42" s="104"/>
      <c r="NV42" s="104"/>
      <c r="NW42" s="104"/>
      <c r="NX42" s="104"/>
      <c r="NY42" s="104"/>
      <c r="NZ42" s="104"/>
    </row>
    <row r="43" spans="1:390" ht="15.75" customHeight="1" x14ac:dyDescent="0.3">
      <c r="A43" s="214">
        <v>4862161219</v>
      </c>
      <c r="B43" s="165" t="s">
        <v>391</v>
      </c>
      <c r="C43" s="215"/>
      <c r="D43" s="216" t="s">
        <v>391</v>
      </c>
      <c r="E43" s="136" t="s">
        <v>665</v>
      </c>
      <c r="F43" s="125" t="s">
        <v>448</v>
      </c>
      <c r="G43" s="221" t="s">
        <v>471</v>
      </c>
      <c r="H43" s="219">
        <v>43377</v>
      </c>
      <c r="I43" s="216" t="s">
        <v>458</v>
      </c>
      <c r="J43" s="153" t="s">
        <v>397</v>
      </c>
      <c r="K43" s="153" t="s">
        <v>398</v>
      </c>
      <c r="L43" s="153" t="s">
        <v>398</v>
      </c>
      <c r="M43" s="164" t="s">
        <v>398</v>
      </c>
      <c r="N43" s="164" t="s">
        <v>398</v>
      </c>
      <c r="O43" s="164" t="s">
        <v>398</v>
      </c>
      <c r="P43" s="164" t="s">
        <v>398</v>
      </c>
      <c r="Q43" s="164" t="s">
        <v>398</v>
      </c>
      <c r="R43" s="164" t="s">
        <v>398</v>
      </c>
      <c r="S43" s="164" t="s">
        <v>398</v>
      </c>
      <c r="T43" s="164" t="s">
        <v>398</v>
      </c>
      <c r="U43" s="164" t="s">
        <v>398</v>
      </c>
      <c r="V43" s="164" t="s">
        <v>398</v>
      </c>
      <c r="W43" s="164" t="s">
        <v>398</v>
      </c>
      <c r="X43" s="164" t="s">
        <v>398</v>
      </c>
      <c r="Y43" s="164" t="s">
        <v>398</v>
      </c>
      <c r="Z43" s="164" t="s">
        <v>398</v>
      </c>
      <c r="AA43" s="164" t="s">
        <v>398</v>
      </c>
      <c r="AB43" s="167" t="s">
        <v>399</v>
      </c>
      <c r="AC43" s="219">
        <v>23482</v>
      </c>
      <c r="AD43" s="107"/>
      <c r="AE43" s="108" t="e">
        <f t="shared" si="0"/>
        <v>#NUM!</v>
      </c>
      <c r="AF43" s="107" t="s">
        <v>477</v>
      </c>
      <c r="AG43" s="79" t="s">
        <v>401</v>
      </c>
      <c r="AH43" s="87" t="s">
        <v>402</v>
      </c>
      <c r="AI43" s="110"/>
      <c r="AJ43" s="110"/>
      <c r="AK43" s="110"/>
      <c r="AL43" s="110"/>
      <c r="AM43" s="105"/>
      <c r="AN43" s="95">
        <v>1</v>
      </c>
      <c r="AO43" s="173" t="s">
        <v>398</v>
      </c>
      <c r="AP43" s="79"/>
      <c r="AQ43" s="106"/>
      <c r="AR43" s="91"/>
      <c r="AS43" s="104"/>
      <c r="AT43" s="104"/>
      <c r="AU43" s="104"/>
      <c r="AV43" s="104"/>
      <c r="AW43" s="91"/>
      <c r="AX43" s="104"/>
      <c r="AY43" s="104"/>
      <c r="AZ43" s="104"/>
      <c r="BA43" s="104"/>
      <c r="BB43" s="91"/>
      <c r="BC43" s="104"/>
      <c r="BD43" s="104"/>
      <c r="BE43" s="104"/>
      <c r="BF43" s="104"/>
      <c r="BG43" s="91"/>
      <c r="BH43" s="104"/>
      <c r="BI43" s="104"/>
      <c r="BJ43" s="104"/>
      <c r="BK43" s="104"/>
      <c r="BL43" s="91"/>
      <c r="BM43" s="104"/>
      <c r="BN43" s="104"/>
      <c r="BO43" s="104"/>
      <c r="BP43" s="104"/>
      <c r="BQ43" s="91"/>
      <c r="BR43" s="104"/>
      <c r="BS43" s="104"/>
      <c r="BT43" s="104"/>
      <c r="BU43" s="104"/>
      <c r="BV43" s="91"/>
      <c r="BW43" s="104"/>
      <c r="BX43" s="104"/>
      <c r="BY43" s="104"/>
      <c r="BZ43" s="104"/>
      <c r="CA43" s="91"/>
      <c r="CB43" s="104"/>
      <c r="CC43" s="104"/>
      <c r="CD43" s="104"/>
      <c r="CE43" s="104"/>
      <c r="CF43" s="91"/>
      <c r="CG43" s="104"/>
      <c r="CH43" s="104"/>
      <c r="CI43" s="104"/>
      <c r="CJ43" s="104"/>
      <c r="CK43" s="91"/>
      <c r="CL43" s="104"/>
      <c r="CM43" s="104"/>
      <c r="CN43" s="104"/>
      <c r="CO43" s="104"/>
      <c r="CP43" s="91"/>
      <c r="CQ43" s="104"/>
      <c r="CR43" s="104"/>
      <c r="CS43" s="104"/>
      <c r="CT43" s="104"/>
      <c r="CU43" s="91"/>
      <c r="CV43" s="104"/>
      <c r="CW43" s="104"/>
      <c r="CX43" s="104"/>
      <c r="CY43" s="104"/>
      <c r="CZ43" s="91"/>
      <c r="DA43" s="104"/>
      <c r="DB43" s="104"/>
      <c r="DC43" s="104"/>
      <c r="DD43" s="104"/>
      <c r="DE43" s="91"/>
      <c r="DF43" s="104"/>
      <c r="DG43" s="104"/>
      <c r="DH43" s="104"/>
      <c r="DI43" s="104"/>
      <c r="DJ43" s="91"/>
      <c r="DK43" s="104"/>
      <c r="DL43" s="104"/>
      <c r="DM43" s="104"/>
      <c r="DN43" s="104"/>
      <c r="DO43" s="91"/>
      <c r="DP43" s="104"/>
      <c r="DQ43" s="104"/>
      <c r="DR43" s="104"/>
      <c r="DS43" s="104"/>
      <c r="DT43" s="91"/>
      <c r="DU43" s="104"/>
      <c r="DV43" s="104"/>
      <c r="DW43" s="104"/>
      <c r="DX43" s="104"/>
      <c r="DY43" s="91"/>
      <c r="DZ43" s="104"/>
      <c r="EA43" s="104"/>
      <c r="EB43" s="104"/>
      <c r="EC43" s="104"/>
      <c r="ED43" s="91"/>
      <c r="EE43" s="104"/>
      <c r="EF43" s="104"/>
      <c r="EG43" s="104"/>
      <c r="EH43" s="104"/>
      <c r="EI43" s="91"/>
      <c r="EJ43" s="104"/>
      <c r="EK43" s="104"/>
      <c r="EL43" s="104"/>
      <c r="EM43" s="104"/>
      <c r="EN43" s="91"/>
      <c r="EO43" s="104"/>
      <c r="EP43" s="104"/>
      <c r="EQ43" s="104"/>
      <c r="ER43" s="104"/>
      <c r="ES43" s="91"/>
      <c r="ET43" s="104"/>
      <c r="EU43" s="104"/>
      <c r="EV43" s="104"/>
      <c r="EW43" s="104"/>
      <c r="EX43" s="91"/>
      <c r="EY43" s="104"/>
      <c r="EZ43" s="104"/>
      <c r="FA43" s="104"/>
      <c r="FB43" s="104"/>
      <c r="FC43" s="91"/>
      <c r="FD43" s="104"/>
      <c r="FE43" s="104"/>
      <c r="FF43" s="104"/>
      <c r="FG43" s="104"/>
      <c r="FH43" s="91"/>
      <c r="FI43" s="104"/>
      <c r="FJ43" s="104"/>
      <c r="FK43" s="104"/>
      <c r="FL43" s="104"/>
      <c r="FM43" s="104"/>
      <c r="FN43" s="104"/>
      <c r="FO43" s="104"/>
      <c r="FP43" s="104"/>
      <c r="FQ43" s="104"/>
      <c r="FR43" s="104"/>
      <c r="FS43" s="104"/>
      <c r="FT43" s="104"/>
      <c r="FU43" s="104"/>
      <c r="FV43" s="104"/>
      <c r="FW43" s="104"/>
      <c r="FX43" s="104"/>
      <c r="FY43" s="104"/>
      <c r="FZ43" s="104"/>
      <c r="GA43" s="104"/>
      <c r="GB43" s="104"/>
      <c r="GC43" s="104"/>
      <c r="GD43" s="104"/>
      <c r="GE43" s="104"/>
      <c r="GF43" s="104"/>
      <c r="GG43" s="104"/>
      <c r="GH43" s="104"/>
      <c r="GI43" s="104"/>
      <c r="GJ43" s="104"/>
      <c r="GK43" s="104"/>
      <c r="GL43" s="104"/>
      <c r="GM43" s="104"/>
      <c r="GN43" s="104"/>
      <c r="GO43" s="104"/>
      <c r="GP43" s="91"/>
      <c r="GQ43" s="104"/>
      <c r="GR43" s="104"/>
      <c r="GS43" s="104"/>
      <c r="GT43" s="104"/>
      <c r="GU43" s="91"/>
      <c r="GV43" s="104"/>
      <c r="GW43" s="104"/>
      <c r="GX43" s="104"/>
      <c r="GY43" s="104"/>
      <c r="GZ43" s="91"/>
      <c r="HA43" s="104"/>
      <c r="HB43" s="104"/>
      <c r="HC43" s="104"/>
      <c r="HD43" s="104"/>
      <c r="HE43" s="91"/>
      <c r="HF43" s="104"/>
      <c r="HG43" s="104"/>
      <c r="HH43" s="104"/>
      <c r="HI43" s="104"/>
      <c r="HJ43" s="91"/>
      <c r="HK43" s="104"/>
      <c r="HL43" s="104"/>
      <c r="HM43" s="104"/>
      <c r="HN43" s="104"/>
      <c r="HO43" s="91"/>
      <c r="HP43" s="104"/>
      <c r="HQ43" s="104"/>
      <c r="HR43" s="104"/>
      <c r="HS43" s="104"/>
      <c r="HT43" s="91"/>
      <c r="HU43" s="104"/>
      <c r="HV43" s="104"/>
      <c r="HW43" s="104"/>
      <c r="HX43" s="104"/>
      <c r="HY43" s="91"/>
      <c r="HZ43" s="104"/>
      <c r="IA43" s="104"/>
      <c r="IB43" s="104"/>
      <c r="IC43" s="104"/>
      <c r="ID43" s="91"/>
      <c r="IE43" s="104"/>
      <c r="IF43" s="104"/>
      <c r="IG43" s="104"/>
      <c r="IH43" s="104"/>
      <c r="II43" s="91"/>
      <c r="IJ43" s="104"/>
      <c r="IK43" s="104"/>
      <c r="IL43" s="104"/>
      <c r="IM43" s="104"/>
      <c r="IN43" s="91"/>
      <c r="IO43" s="104"/>
      <c r="IP43" s="104"/>
      <c r="IQ43" s="104"/>
      <c r="IR43" s="104"/>
      <c r="IS43" s="91"/>
      <c r="IT43" s="104"/>
      <c r="IU43" s="104"/>
      <c r="IV43" s="104"/>
      <c r="IW43" s="104"/>
      <c r="IX43" s="91"/>
      <c r="IY43" s="104"/>
      <c r="IZ43" s="104"/>
      <c r="JA43" s="104"/>
      <c r="JB43" s="104"/>
      <c r="JC43" s="91"/>
      <c r="JD43" s="104"/>
      <c r="JE43" s="104"/>
      <c r="JF43" s="104"/>
      <c r="JG43" s="105"/>
      <c r="JH43" s="91"/>
      <c r="JI43" s="106"/>
      <c r="JJ43" s="104"/>
      <c r="JK43" s="104"/>
      <c r="JL43" s="105"/>
      <c r="JM43" s="95"/>
      <c r="JN43" s="107"/>
      <c r="JO43" s="79"/>
      <c r="JP43" s="106"/>
      <c r="JQ43" s="104"/>
      <c r="JR43" s="104"/>
      <c r="JS43" s="104"/>
      <c r="JT43" s="104"/>
      <c r="JU43" s="104"/>
      <c r="JV43" s="104"/>
      <c r="JW43" s="104"/>
      <c r="JX43" s="104"/>
      <c r="JY43" s="104"/>
      <c r="JZ43" s="104"/>
      <c r="KA43" s="104"/>
      <c r="KB43" s="104"/>
      <c r="KC43" s="104"/>
      <c r="KD43" s="104"/>
      <c r="KE43" s="104"/>
      <c r="KF43" s="104"/>
      <c r="KG43" s="104"/>
      <c r="KH43" s="104"/>
      <c r="KI43" s="104"/>
      <c r="KJ43" s="104"/>
      <c r="KK43" s="104"/>
      <c r="KL43" s="104"/>
      <c r="KM43" s="104"/>
      <c r="KN43" s="104"/>
      <c r="KO43" s="104"/>
      <c r="KP43" s="104"/>
      <c r="KQ43" s="104"/>
      <c r="KR43" s="104"/>
      <c r="KS43" s="104"/>
      <c r="KT43" s="104"/>
      <c r="KU43" s="104"/>
      <c r="KV43" s="104"/>
      <c r="KW43" s="104"/>
      <c r="KX43" s="104"/>
      <c r="KY43" s="104"/>
      <c r="KZ43" s="104"/>
      <c r="LA43" s="104"/>
      <c r="LB43" s="104"/>
      <c r="LC43" s="104"/>
      <c r="LD43" s="104"/>
      <c r="LE43" s="104"/>
      <c r="LF43" s="104"/>
      <c r="LG43" s="104"/>
      <c r="LH43" s="104"/>
      <c r="LI43" s="104"/>
      <c r="LJ43" s="104"/>
      <c r="LK43" s="104"/>
      <c r="LL43" s="104"/>
      <c r="LM43" s="104"/>
      <c r="LN43" s="104"/>
      <c r="LO43" s="104"/>
      <c r="LP43" s="104"/>
      <c r="LQ43" s="104"/>
      <c r="LR43" s="104"/>
      <c r="LS43" s="104"/>
      <c r="LT43" s="104"/>
      <c r="LU43" s="104"/>
      <c r="LV43" s="104"/>
      <c r="LW43" s="104"/>
      <c r="LX43" s="104"/>
      <c r="LY43" s="104"/>
      <c r="LZ43" s="104"/>
      <c r="MA43" s="104"/>
      <c r="MB43" s="104"/>
      <c r="MC43" s="104"/>
      <c r="MD43" s="104"/>
      <c r="ME43" s="104"/>
      <c r="MF43" s="104"/>
      <c r="MG43" s="104"/>
      <c r="MH43" s="104"/>
      <c r="MI43" s="104"/>
      <c r="MJ43" s="104"/>
      <c r="MK43" s="104"/>
      <c r="ML43" s="104"/>
      <c r="MM43" s="104"/>
      <c r="MN43" s="104"/>
      <c r="MO43" s="104"/>
      <c r="MP43" s="104"/>
      <c r="MQ43" s="104"/>
      <c r="MR43" s="104"/>
      <c r="MS43" s="104"/>
      <c r="MT43" s="104"/>
      <c r="MU43" s="104"/>
      <c r="MV43" s="104"/>
      <c r="MW43" s="104"/>
      <c r="MX43" s="104"/>
      <c r="MY43" s="104"/>
      <c r="MZ43" s="104"/>
      <c r="NA43" s="104"/>
      <c r="NB43" s="104"/>
      <c r="NC43" s="104"/>
      <c r="ND43" s="104"/>
      <c r="NE43" s="104"/>
      <c r="NF43" s="104"/>
      <c r="NG43" s="104"/>
      <c r="NH43" s="104"/>
      <c r="NI43" s="104"/>
      <c r="NJ43" s="104"/>
      <c r="NK43" s="104"/>
      <c r="NL43" s="104"/>
      <c r="NM43" s="104"/>
      <c r="NN43" s="104"/>
      <c r="NO43" s="104"/>
      <c r="NP43" s="104"/>
      <c r="NQ43" s="104"/>
      <c r="NR43" s="104"/>
      <c r="NS43" s="104"/>
      <c r="NT43" s="104"/>
      <c r="NU43" s="104"/>
      <c r="NV43" s="104"/>
      <c r="NW43" s="104"/>
      <c r="NX43" s="104"/>
      <c r="NY43" s="104"/>
      <c r="NZ43" s="104"/>
    </row>
    <row r="44" spans="1:390" ht="15.75" customHeight="1" x14ac:dyDescent="0.3">
      <c r="A44" s="214">
        <v>4508275591</v>
      </c>
      <c r="B44" s="165" t="s">
        <v>391</v>
      </c>
      <c r="C44" s="215"/>
      <c r="D44" s="216" t="s">
        <v>391</v>
      </c>
      <c r="E44" s="136" t="s">
        <v>666</v>
      </c>
      <c r="F44" s="125" t="s">
        <v>465</v>
      </c>
      <c r="G44" s="221" t="s">
        <v>471</v>
      </c>
      <c r="H44" s="219">
        <v>43392</v>
      </c>
      <c r="I44" s="216" t="s">
        <v>458</v>
      </c>
      <c r="J44" s="153" t="s">
        <v>397</v>
      </c>
      <c r="K44" s="153" t="s">
        <v>398</v>
      </c>
      <c r="L44" s="153" t="s">
        <v>398</v>
      </c>
      <c r="M44" s="164" t="s">
        <v>398</v>
      </c>
      <c r="N44" s="164" t="s">
        <v>398</v>
      </c>
      <c r="O44" s="164" t="s">
        <v>398</v>
      </c>
      <c r="P44" s="164" t="s">
        <v>398</v>
      </c>
      <c r="Q44" s="164" t="s">
        <v>398</v>
      </c>
      <c r="R44" s="164" t="s">
        <v>398</v>
      </c>
      <c r="S44" s="164" t="s">
        <v>398</v>
      </c>
      <c r="T44" s="164" t="s">
        <v>398</v>
      </c>
      <c r="U44" s="164" t="s">
        <v>398</v>
      </c>
      <c r="V44" s="164" t="s">
        <v>398</v>
      </c>
      <c r="W44" s="164" t="s">
        <v>398</v>
      </c>
      <c r="X44" s="164" t="s">
        <v>398</v>
      </c>
      <c r="Y44" s="164" t="s">
        <v>398</v>
      </c>
      <c r="Z44" s="164" t="s">
        <v>398</v>
      </c>
      <c r="AA44" s="164" t="s">
        <v>398</v>
      </c>
      <c r="AB44" s="167" t="s">
        <v>399</v>
      </c>
      <c r="AC44" s="219">
        <v>17313</v>
      </c>
      <c r="AD44" s="107"/>
      <c r="AE44" s="108" t="e">
        <f t="shared" si="0"/>
        <v>#NUM!</v>
      </c>
      <c r="AF44" s="107" t="s">
        <v>602</v>
      </c>
      <c r="AG44" s="79" t="s">
        <v>401</v>
      </c>
      <c r="AH44" s="87" t="s">
        <v>402</v>
      </c>
      <c r="AI44" s="110"/>
      <c r="AJ44" s="110"/>
      <c r="AK44" s="110"/>
      <c r="AL44" s="110"/>
      <c r="AM44" s="105"/>
      <c r="AN44" s="95">
        <v>1</v>
      </c>
      <c r="AO44" s="173" t="s">
        <v>398</v>
      </c>
      <c r="AP44" s="79"/>
      <c r="AQ44" s="106"/>
      <c r="AR44" s="91"/>
      <c r="AS44" s="104"/>
      <c r="AT44" s="104"/>
      <c r="AU44" s="104"/>
      <c r="AV44" s="104"/>
      <c r="AW44" s="91"/>
      <c r="AX44" s="104"/>
      <c r="AY44" s="104"/>
      <c r="AZ44" s="104"/>
      <c r="BA44" s="104"/>
      <c r="BB44" s="91"/>
      <c r="BC44" s="104"/>
      <c r="BD44" s="104"/>
      <c r="BE44" s="104"/>
      <c r="BF44" s="104"/>
      <c r="BG44" s="91"/>
      <c r="BH44" s="104"/>
      <c r="BI44" s="104"/>
      <c r="BJ44" s="104"/>
      <c r="BK44" s="104"/>
      <c r="BL44" s="91"/>
      <c r="BM44" s="104"/>
      <c r="BN44" s="104"/>
      <c r="BO44" s="104"/>
      <c r="BP44" s="104"/>
      <c r="BQ44" s="91"/>
      <c r="BR44" s="104"/>
      <c r="BS44" s="104"/>
      <c r="BT44" s="104"/>
      <c r="BU44" s="104"/>
      <c r="BV44" s="91"/>
      <c r="BW44" s="104"/>
      <c r="BX44" s="104"/>
      <c r="BY44" s="104"/>
      <c r="BZ44" s="104"/>
      <c r="CA44" s="91"/>
      <c r="CB44" s="104"/>
      <c r="CC44" s="104"/>
      <c r="CD44" s="104"/>
      <c r="CE44" s="104"/>
      <c r="CF44" s="91"/>
      <c r="CG44" s="104"/>
      <c r="CH44" s="104"/>
      <c r="CI44" s="104"/>
      <c r="CJ44" s="104"/>
      <c r="CK44" s="91"/>
      <c r="CL44" s="104"/>
      <c r="CM44" s="104"/>
      <c r="CN44" s="104"/>
      <c r="CO44" s="104"/>
      <c r="CP44" s="91"/>
      <c r="CQ44" s="104"/>
      <c r="CR44" s="104"/>
      <c r="CS44" s="104"/>
      <c r="CT44" s="104"/>
      <c r="CU44" s="91"/>
      <c r="CV44" s="104"/>
      <c r="CW44" s="104"/>
      <c r="CX44" s="104"/>
      <c r="CY44" s="104"/>
      <c r="CZ44" s="91"/>
      <c r="DA44" s="104"/>
      <c r="DB44" s="104"/>
      <c r="DC44" s="104"/>
      <c r="DD44" s="104"/>
      <c r="DE44" s="91"/>
      <c r="DF44" s="104"/>
      <c r="DG44" s="104"/>
      <c r="DH44" s="104"/>
      <c r="DI44" s="104"/>
      <c r="DJ44" s="91"/>
      <c r="DK44" s="104"/>
      <c r="DL44" s="104"/>
      <c r="DM44" s="104"/>
      <c r="DN44" s="104"/>
      <c r="DO44" s="91"/>
      <c r="DP44" s="104"/>
      <c r="DQ44" s="104"/>
      <c r="DR44" s="104"/>
      <c r="DS44" s="104"/>
      <c r="DT44" s="91"/>
      <c r="DU44" s="104"/>
      <c r="DV44" s="104"/>
      <c r="DW44" s="104"/>
      <c r="DX44" s="104"/>
      <c r="DY44" s="91"/>
      <c r="DZ44" s="104"/>
      <c r="EA44" s="104"/>
      <c r="EB44" s="104"/>
      <c r="EC44" s="104"/>
      <c r="ED44" s="91"/>
      <c r="EE44" s="104"/>
      <c r="EF44" s="104"/>
      <c r="EG44" s="104"/>
      <c r="EH44" s="104"/>
      <c r="EI44" s="91"/>
      <c r="EJ44" s="104"/>
      <c r="EK44" s="104"/>
      <c r="EL44" s="104"/>
      <c r="EM44" s="104"/>
      <c r="EN44" s="91"/>
      <c r="EO44" s="104"/>
      <c r="EP44" s="104"/>
      <c r="EQ44" s="104"/>
      <c r="ER44" s="104"/>
      <c r="ES44" s="91"/>
      <c r="ET44" s="104"/>
      <c r="EU44" s="104"/>
      <c r="EV44" s="104"/>
      <c r="EW44" s="104"/>
      <c r="EX44" s="91"/>
      <c r="EY44" s="104"/>
      <c r="EZ44" s="104"/>
      <c r="FA44" s="104"/>
      <c r="FB44" s="104"/>
      <c r="FC44" s="91"/>
      <c r="FD44" s="104"/>
      <c r="FE44" s="104"/>
      <c r="FF44" s="104"/>
      <c r="FG44" s="104"/>
      <c r="FH44" s="91"/>
      <c r="FI44" s="104"/>
      <c r="FJ44" s="104"/>
      <c r="FK44" s="104"/>
      <c r="FL44" s="104"/>
      <c r="FM44" s="104"/>
      <c r="FN44" s="104"/>
      <c r="FO44" s="104"/>
      <c r="FP44" s="104"/>
      <c r="FQ44" s="104"/>
      <c r="FR44" s="104"/>
      <c r="FS44" s="104"/>
      <c r="FT44" s="104"/>
      <c r="FU44" s="104"/>
      <c r="FV44" s="104"/>
      <c r="FW44" s="104"/>
      <c r="FX44" s="104"/>
      <c r="FY44" s="104"/>
      <c r="FZ44" s="104"/>
      <c r="GA44" s="104"/>
      <c r="GB44" s="104"/>
      <c r="GC44" s="104"/>
      <c r="GD44" s="104"/>
      <c r="GE44" s="104"/>
      <c r="GF44" s="104"/>
      <c r="GG44" s="104"/>
      <c r="GH44" s="104"/>
      <c r="GI44" s="104"/>
      <c r="GJ44" s="104"/>
      <c r="GK44" s="104"/>
      <c r="GL44" s="104"/>
      <c r="GM44" s="104"/>
      <c r="GN44" s="104"/>
      <c r="GO44" s="104"/>
      <c r="GP44" s="91"/>
      <c r="GQ44" s="104"/>
      <c r="GR44" s="104"/>
      <c r="GS44" s="104"/>
      <c r="GT44" s="104"/>
      <c r="GU44" s="91"/>
      <c r="GV44" s="104"/>
      <c r="GW44" s="104"/>
      <c r="GX44" s="104"/>
      <c r="GY44" s="104"/>
      <c r="GZ44" s="91"/>
      <c r="HA44" s="104"/>
      <c r="HB44" s="104"/>
      <c r="HC44" s="104"/>
      <c r="HD44" s="104"/>
      <c r="HE44" s="91"/>
      <c r="HF44" s="104"/>
      <c r="HG44" s="104"/>
      <c r="HH44" s="104"/>
      <c r="HI44" s="104"/>
      <c r="HJ44" s="91"/>
      <c r="HK44" s="104"/>
      <c r="HL44" s="104"/>
      <c r="HM44" s="104"/>
      <c r="HN44" s="104"/>
      <c r="HO44" s="91"/>
      <c r="HP44" s="104"/>
      <c r="HQ44" s="104"/>
      <c r="HR44" s="104"/>
      <c r="HS44" s="104"/>
      <c r="HT44" s="91"/>
      <c r="HU44" s="104"/>
      <c r="HV44" s="104"/>
      <c r="HW44" s="104"/>
      <c r="HX44" s="104"/>
      <c r="HY44" s="91"/>
      <c r="HZ44" s="104"/>
      <c r="IA44" s="104"/>
      <c r="IB44" s="104"/>
      <c r="IC44" s="104"/>
      <c r="ID44" s="91"/>
      <c r="IE44" s="104"/>
      <c r="IF44" s="104"/>
      <c r="IG44" s="104"/>
      <c r="IH44" s="104"/>
      <c r="II44" s="91"/>
      <c r="IJ44" s="104"/>
      <c r="IK44" s="104"/>
      <c r="IL44" s="104"/>
      <c r="IM44" s="104"/>
      <c r="IN44" s="91"/>
      <c r="IO44" s="104"/>
      <c r="IP44" s="104"/>
      <c r="IQ44" s="104"/>
      <c r="IR44" s="104"/>
      <c r="IS44" s="91"/>
      <c r="IT44" s="104"/>
      <c r="IU44" s="104"/>
      <c r="IV44" s="104"/>
      <c r="IW44" s="104"/>
      <c r="IX44" s="91"/>
      <c r="IY44" s="104"/>
      <c r="IZ44" s="104"/>
      <c r="JA44" s="104"/>
      <c r="JB44" s="104"/>
      <c r="JC44" s="91"/>
      <c r="JD44" s="104"/>
      <c r="JE44" s="104"/>
      <c r="JF44" s="104"/>
      <c r="JG44" s="105"/>
      <c r="JH44" s="91"/>
      <c r="JI44" s="106"/>
      <c r="JJ44" s="104"/>
      <c r="JK44" s="104"/>
      <c r="JL44" s="105"/>
      <c r="JM44" s="95"/>
      <c r="JN44" s="107"/>
      <c r="JO44" s="79"/>
      <c r="JP44" s="106"/>
      <c r="JQ44" s="104"/>
      <c r="JR44" s="104"/>
      <c r="JS44" s="104"/>
      <c r="JT44" s="104"/>
      <c r="JU44" s="104"/>
      <c r="JV44" s="104"/>
      <c r="JW44" s="104"/>
      <c r="JX44" s="104"/>
      <c r="JY44" s="104"/>
      <c r="JZ44" s="104"/>
      <c r="KA44" s="104"/>
      <c r="KB44" s="104"/>
      <c r="KC44" s="104"/>
      <c r="KD44" s="104"/>
      <c r="KE44" s="104"/>
      <c r="KF44" s="104"/>
      <c r="KG44" s="104"/>
      <c r="KH44" s="104"/>
      <c r="KI44" s="104"/>
      <c r="KJ44" s="104"/>
      <c r="KK44" s="104"/>
      <c r="KL44" s="104"/>
      <c r="KM44" s="104"/>
      <c r="KN44" s="104"/>
      <c r="KO44" s="104"/>
      <c r="KP44" s="104"/>
      <c r="KQ44" s="104"/>
      <c r="KR44" s="104"/>
      <c r="KS44" s="104"/>
      <c r="KT44" s="104"/>
      <c r="KU44" s="104"/>
      <c r="KV44" s="104"/>
      <c r="KW44" s="104"/>
      <c r="KX44" s="104"/>
      <c r="KY44" s="104"/>
      <c r="KZ44" s="104"/>
      <c r="LA44" s="104"/>
      <c r="LB44" s="104"/>
      <c r="LC44" s="104"/>
      <c r="LD44" s="104"/>
      <c r="LE44" s="104"/>
      <c r="LF44" s="104"/>
      <c r="LG44" s="104"/>
      <c r="LH44" s="104"/>
      <c r="LI44" s="104"/>
      <c r="LJ44" s="104"/>
      <c r="LK44" s="104"/>
      <c r="LL44" s="104"/>
      <c r="LM44" s="104"/>
      <c r="LN44" s="104"/>
      <c r="LO44" s="104"/>
      <c r="LP44" s="104"/>
      <c r="LQ44" s="104"/>
      <c r="LR44" s="104"/>
      <c r="LS44" s="104"/>
      <c r="LT44" s="104"/>
      <c r="LU44" s="104"/>
      <c r="LV44" s="104"/>
      <c r="LW44" s="104"/>
      <c r="LX44" s="104"/>
      <c r="LY44" s="104"/>
      <c r="LZ44" s="104"/>
      <c r="MA44" s="104"/>
      <c r="MB44" s="104"/>
      <c r="MC44" s="104"/>
      <c r="MD44" s="104"/>
      <c r="ME44" s="104"/>
      <c r="MF44" s="104"/>
      <c r="MG44" s="104"/>
      <c r="MH44" s="104"/>
      <c r="MI44" s="104"/>
      <c r="MJ44" s="104"/>
      <c r="MK44" s="104"/>
      <c r="ML44" s="104"/>
      <c r="MM44" s="104"/>
      <c r="MN44" s="104"/>
      <c r="MO44" s="104"/>
      <c r="MP44" s="104"/>
      <c r="MQ44" s="104"/>
      <c r="MR44" s="104"/>
      <c r="MS44" s="104"/>
      <c r="MT44" s="104"/>
      <c r="MU44" s="104"/>
      <c r="MV44" s="104"/>
      <c r="MW44" s="104"/>
      <c r="MX44" s="104"/>
      <c r="MY44" s="104"/>
      <c r="MZ44" s="104"/>
      <c r="NA44" s="104"/>
      <c r="NB44" s="104"/>
      <c r="NC44" s="104"/>
      <c r="ND44" s="104"/>
      <c r="NE44" s="104"/>
      <c r="NF44" s="104"/>
      <c r="NG44" s="104"/>
      <c r="NH44" s="104"/>
      <c r="NI44" s="104"/>
      <c r="NJ44" s="104"/>
      <c r="NK44" s="104"/>
      <c r="NL44" s="104"/>
      <c r="NM44" s="104"/>
      <c r="NN44" s="104"/>
      <c r="NO44" s="104"/>
      <c r="NP44" s="104"/>
      <c r="NQ44" s="104"/>
      <c r="NR44" s="104"/>
      <c r="NS44" s="104"/>
      <c r="NT44" s="104"/>
      <c r="NU44" s="104"/>
      <c r="NV44" s="104"/>
      <c r="NW44" s="104"/>
      <c r="NX44" s="104"/>
      <c r="NY44" s="104"/>
      <c r="NZ44" s="104"/>
    </row>
    <row r="45" spans="1:390" ht="15.75" customHeight="1" x14ac:dyDescent="0.3">
      <c r="A45" s="214">
        <v>4584166412</v>
      </c>
      <c r="B45" s="165" t="s">
        <v>391</v>
      </c>
      <c r="C45" s="215"/>
      <c r="D45" s="216" t="s">
        <v>391</v>
      </c>
      <c r="E45" s="136" t="s">
        <v>667</v>
      </c>
      <c r="F45" s="125" t="s">
        <v>461</v>
      </c>
      <c r="G45" s="221" t="s">
        <v>442</v>
      </c>
      <c r="H45" s="219">
        <v>43395</v>
      </c>
      <c r="I45" s="216" t="s">
        <v>458</v>
      </c>
      <c r="J45" s="153" t="s">
        <v>397</v>
      </c>
      <c r="K45" s="153" t="s">
        <v>398</v>
      </c>
      <c r="L45" s="153" t="s">
        <v>398</v>
      </c>
      <c r="M45" s="164" t="s">
        <v>398</v>
      </c>
      <c r="N45" s="164" t="s">
        <v>398</v>
      </c>
      <c r="O45" s="164" t="s">
        <v>398</v>
      </c>
      <c r="P45" s="164" t="s">
        <v>398</v>
      </c>
      <c r="Q45" s="164" t="s">
        <v>398</v>
      </c>
      <c r="R45" s="164" t="s">
        <v>398</v>
      </c>
      <c r="S45" s="164" t="s">
        <v>398</v>
      </c>
      <c r="T45" s="164" t="s">
        <v>398</v>
      </c>
      <c r="U45" s="164" t="s">
        <v>398</v>
      </c>
      <c r="V45" s="164" t="s">
        <v>398</v>
      </c>
      <c r="W45" s="164" t="s">
        <v>398</v>
      </c>
      <c r="X45" s="164" t="s">
        <v>398</v>
      </c>
      <c r="Y45" s="164" t="s">
        <v>398</v>
      </c>
      <c r="Z45" s="164" t="s">
        <v>398</v>
      </c>
      <c r="AA45" s="164" t="s">
        <v>398</v>
      </c>
      <c r="AB45" s="167" t="s">
        <v>399</v>
      </c>
      <c r="AC45" s="219">
        <v>20863</v>
      </c>
      <c r="AD45" s="107"/>
      <c r="AE45" s="108" t="e">
        <f t="shared" si="0"/>
        <v>#NUM!</v>
      </c>
      <c r="AF45" s="107" t="s">
        <v>602</v>
      </c>
      <c r="AG45" s="79" t="s">
        <v>401</v>
      </c>
      <c r="AH45" s="87" t="s">
        <v>402</v>
      </c>
      <c r="AI45" s="110"/>
      <c r="AJ45" s="110"/>
      <c r="AK45" s="110"/>
      <c r="AL45" s="110"/>
      <c r="AM45" s="105"/>
      <c r="AN45" s="95">
        <v>1</v>
      </c>
      <c r="AO45" s="173" t="s">
        <v>398</v>
      </c>
      <c r="AP45" s="79"/>
      <c r="AQ45" s="106"/>
      <c r="AR45" s="91"/>
      <c r="AS45" s="104"/>
      <c r="AT45" s="104"/>
      <c r="AU45" s="104"/>
      <c r="AV45" s="104"/>
      <c r="AW45" s="91"/>
      <c r="AX45" s="104"/>
      <c r="AY45" s="104"/>
      <c r="AZ45" s="104"/>
      <c r="BA45" s="104"/>
      <c r="BB45" s="91"/>
      <c r="BC45" s="104"/>
      <c r="BD45" s="104"/>
      <c r="BE45" s="104"/>
      <c r="BF45" s="104"/>
      <c r="BG45" s="91"/>
      <c r="BH45" s="104"/>
      <c r="BI45" s="104"/>
      <c r="BJ45" s="104"/>
      <c r="BK45" s="104"/>
      <c r="BL45" s="91"/>
      <c r="BM45" s="104"/>
      <c r="BN45" s="104"/>
      <c r="BO45" s="104"/>
      <c r="BP45" s="104"/>
      <c r="BQ45" s="91"/>
      <c r="BR45" s="104"/>
      <c r="BS45" s="104"/>
      <c r="BT45" s="104"/>
      <c r="BU45" s="104"/>
      <c r="BV45" s="91"/>
      <c r="BW45" s="104"/>
      <c r="BX45" s="104"/>
      <c r="BY45" s="104"/>
      <c r="BZ45" s="104"/>
      <c r="CA45" s="91"/>
      <c r="CB45" s="104"/>
      <c r="CC45" s="104"/>
      <c r="CD45" s="104"/>
      <c r="CE45" s="104"/>
      <c r="CF45" s="91"/>
      <c r="CG45" s="104"/>
      <c r="CH45" s="104"/>
      <c r="CI45" s="104"/>
      <c r="CJ45" s="104"/>
      <c r="CK45" s="91"/>
      <c r="CL45" s="104"/>
      <c r="CM45" s="104"/>
      <c r="CN45" s="104"/>
      <c r="CO45" s="104"/>
      <c r="CP45" s="91"/>
      <c r="CQ45" s="104"/>
      <c r="CR45" s="104"/>
      <c r="CS45" s="104"/>
      <c r="CT45" s="104"/>
      <c r="CU45" s="91"/>
      <c r="CV45" s="104"/>
      <c r="CW45" s="104"/>
      <c r="CX45" s="104"/>
      <c r="CY45" s="104"/>
      <c r="CZ45" s="91"/>
      <c r="DA45" s="104"/>
      <c r="DB45" s="104"/>
      <c r="DC45" s="104"/>
      <c r="DD45" s="104"/>
      <c r="DE45" s="91"/>
      <c r="DF45" s="104"/>
      <c r="DG45" s="104"/>
      <c r="DH45" s="104"/>
      <c r="DI45" s="104"/>
      <c r="DJ45" s="91"/>
      <c r="DK45" s="104"/>
      <c r="DL45" s="104"/>
      <c r="DM45" s="104"/>
      <c r="DN45" s="104"/>
      <c r="DO45" s="91"/>
      <c r="DP45" s="104"/>
      <c r="DQ45" s="104"/>
      <c r="DR45" s="104"/>
      <c r="DS45" s="104"/>
      <c r="DT45" s="91"/>
      <c r="DU45" s="104"/>
      <c r="DV45" s="104"/>
      <c r="DW45" s="104"/>
      <c r="DX45" s="104"/>
      <c r="DY45" s="91"/>
      <c r="DZ45" s="104"/>
      <c r="EA45" s="104"/>
      <c r="EB45" s="104"/>
      <c r="EC45" s="104"/>
      <c r="ED45" s="91"/>
      <c r="EE45" s="104"/>
      <c r="EF45" s="104"/>
      <c r="EG45" s="104"/>
      <c r="EH45" s="104"/>
      <c r="EI45" s="91"/>
      <c r="EJ45" s="104"/>
      <c r="EK45" s="104"/>
      <c r="EL45" s="104"/>
      <c r="EM45" s="104"/>
      <c r="EN45" s="91"/>
      <c r="EO45" s="104"/>
      <c r="EP45" s="104"/>
      <c r="EQ45" s="104"/>
      <c r="ER45" s="104"/>
      <c r="ES45" s="91"/>
      <c r="ET45" s="104"/>
      <c r="EU45" s="104"/>
      <c r="EV45" s="104"/>
      <c r="EW45" s="104"/>
      <c r="EX45" s="91"/>
      <c r="EY45" s="104"/>
      <c r="EZ45" s="104"/>
      <c r="FA45" s="104"/>
      <c r="FB45" s="104"/>
      <c r="FC45" s="91"/>
      <c r="FD45" s="104"/>
      <c r="FE45" s="104"/>
      <c r="FF45" s="104"/>
      <c r="FG45" s="104"/>
      <c r="FH45" s="91"/>
      <c r="FI45" s="104"/>
      <c r="FJ45" s="104"/>
      <c r="FK45" s="104"/>
      <c r="FL45" s="104"/>
      <c r="FM45" s="104"/>
      <c r="FN45" s="104"/>
      <c r="FO45" s="104"/>
      <c r="FP45" s="104"/>
      <c r="FQ45" s="104"/>
      <c r="FR45" s="104"/>
      <c r="FS45" s="104"/>
      <c r="FT45" s="104"/>
      <c r="FU45" s="104"/>
      <c r="FV45" s="104"/>
      <c r="FW45" s="104"/>
      <c r="FX45" s="104"/>
      <c r="FY45" s="104"/>
      <c r="FZ45" s="104"/>
      <c r="GA45" s="104"/>
      <c r="GB45" s="104"/>
      <c r="GC45" s="104"/>
      <c r="GD45" s="104"/>
      <c r="GE45" s="104"/>
      <c r="GF45" s="104"/>
      <c r="GG45" s="104"/>
      <c r="GH45" s="104"/>
      <c r="GI45" s="104"/>
      <c r="GJ45" s="104"/>
      <c r="GK45" s="104"/>
      <c r="GL45" s="104"/>
      <c r="GM45" s="104"/>
      <c r="GN45" s="104"/>
      <c r="GO45" s="104"/>
      <c r="GP45" s="91"/>
      <c r="GQ45" s="104"/>
      <c r="GR45" s="104"/>
      <c r="GS45" s="104"/>
      <c r="GT45" s="104"/>
      <c r="GU45" s="91"/>
      <c r="GV45" s="104"/>
      <c r="GW45" s="104"/>
      <c r="GX45" s="104"/>
      <c r="GY45" s="104"/>
      <c r="GZ45" s="91"/>
      <c r="HA45" s="104"/>
      <c r="HB45" s="104"/>
      <c r="HC45" s="104"/>
      <c r="HD45" s="104"/>
      <c r="HE45" s="91"/>
      <c r="HF45" s="104"/>
      <c r="HG45" s="104"/>
      <c r="HH45" s="104"/>
      <c r="HI45" s="104"/>
      <c r="HJ45" s="91"/>
      <c r="HK45" s="104"/>
      <c r="HL45" s="104"/>
      <c r="HM45" s="104"/>
      <c r="HN45" s="104"/>
      <c r="HO45" s="91"/>
      <c r="HP45" s="104"/>
      <c r="HQ45" s="104"/>
      <c r="HR45" s="104"/>
      <c r="HS45" s="104"/>
      <c r="HT45" s="91"/>
      <c r="HU45" s="104"/>
      <c r="HV45" s="104"/>
      <c r="HW45" s="104"/>
      <c r="HX45" s="104"/>
      <c r="HY45" s="91"/>
      <c r="HZ45" s="104"/>
      <c r="IA45" s="104"/>
      <c r="IB45" s="104"/>
      <c r="IC45" s="104"/>
      <c r="ID45" s="91"/>
      <c r="IE45" s="104"/>
      <c r="IF45" s="104"/>
      <c r="IG45" s="104"/>
      <c r="IH45" s="104"/>
      <c r="II45" s="91"/>
      <c r="IJ45" s="104"/>
      <c r="IK45" s="104"/>
      <c r="IL45" s="104"/>
      <c r="IM45" s="104"/>
      <c r="IN45" s="91"/>
      <c r="IO45" s="104"/>
      <c r="IP45" s="104"/>
      <c r="IQ45" s="104"/>
      <c r="IR45" s="104"/>
      <c r="IS45" s="91"/>
      <c r="IT45" s="104"/>
      <c r="IU45" s="104"/>
      <c r="IV45" s="104"/>
      <c r="IW45" s="104"/>
      <c r="IX45" s="91"/>
      <c r="IY45" s="104"/>
      <c r="IZ45" s="104"/>
      <c r="JA45" s="104"/>
      <c r="JB45" s="104"/>
      <c r="JC45" s="91"/>
      <c r="JD45" s="104"/>
      <c r="JE45" s="104"/>
      <c r="JF45" s="104"/>
      <c r="JG45" s="105"/>
      <c r="JH45" s="91"/>
      <c r="JI45" s="106"/>
      <c r="JJ45" s="104"/>
      <c r="JK45" s="104"/>
      <c r="JL45" s="105"/>
      <c r="JM45" s="95"/>
      <c r="JN45" s="107"/>
      <c r="JO45" s="79"/>
      <c r="JP45" s="106"/>
      <c r="JQ45" s="104"/>
      <c r="JR45" s="104"/>
      <c r="JS45" s="104"/>
      <c r="JT45" s="104"/>
      <c r="JU45" s="104"/>
      <c r="JV45" s="104"/>
      <c r="JW45" s="104"/>
      <c r="JX45" s="104"/>
      <c r="JY45" s="104"/>
      <c r="JZ45" s="104"/>
      <c r="KA45" s="104"/>
      <c r="KB45" s="104"/>
      <c r="KC45" s="104"/>
      <c r="KD45" s="104"/>
      <c r="KE45" s="104"/>
      <c r="KF45" s="104"/>
      <c r="KG45" s="104"/>
      <c r="KH45" s="104"/>
      <c r="KI45" s="104"/>
      <c r="KJ45" s="104"/>
      <c r="KK45" s="104"/>
      <c r="KL45" s="104"/>
      <c r="KM45" s="104"/>
      <c r="KN45" s="104"/>
      <c r="KO45" s="104"/>
      <c r="KP45" s="104"/>
      <c r="KQ45" s="104"/>
      <c r="KR45" s="104"/>
      <c r="KS45" s="104"/>
      <c r="KT45" s="104"/>
      <c r="KU45" s="104"/>
      <c r="KV45" s="104"/>
      <c r="KW45" s="104"/>
      <c r="KX45" s="104"/>
      <c r="KY45" s="104"/>
      <c r="KZ45" s="104"/>
      <c r="LA45" s="104"/>
      <c r="LB45" s="104"/>
      <c r="LC45" s="104"/>
      <c r="LD45" s="104"/>
      <c r="LE45" s="104"/>
      <c r="LF45" s="104"/>
      <c r="LG45" s="104"/>
      <c r="LH45" s="104"/>
      <c r="LI45" s="104"/>
      <c r="LJ45" s="104"/>
      <c r="LK45" s="104"/>
      <c r="LL45" s="104"/>
      <c r="LM45" s="104"/>
      <c r="LN45" s="104"/>
      <c r="LO45" s="104"/>
      <c r="LP45" s="104"/>
      <c r="LQ45" s="104"/>
      <c r="LR45" s="104"/>
      <c r="LS45" s="104"/>
      <c r="LT45" s="104"/>
      <c r="LU45" s="104"/>
      <c r="LV45" s="104"/>
      <c r="LW45" s="104"/>
      <c r="LX45" s="104"/>
      <c r="LY45" s="104"/>
      <c r="LZ45" s="104"/>
      <c r="MA45" s="104"/>
      <c r="MB45" s="104"/>
      <c r="MC45" s="104"/>
      <c r="MD45" s="104"/>
      <c r="ME45" s="104"/>
      <c r="MF45" s="104"/>
      <c r="MG45" s="104"/>
      <c r="MH45" s="104"/>
      <c r="MI45" s="104"/>
      <c r="MJ45" s="104"/>
      <c r="MK45" s="104"/>
      <c r="ML45" s="104"/>
      <c r="MM45" s="104"/>
      <c r="MN45" s="104"/>
      <c r="MO45" s="104"/>
      <c r="MP45" s="104"/>
      <c r="MQ45" s="104"/>
      <c r="MR45" s="104"/>
      <c r="MS45" s="104"/>
      <c r="MT45" s="104"/>
      <c r="MU45" s="104"/>
      <c r="MV45" s="104"/>
      <c r="MW45" s="104"/>
      <c r="MX45" s="104"/>
      <c r="MY45" s="104"/>
      <c r="MZ45" s="104"/>
      <c r="NA45" s="104"/>
      <c r="NB45" s="104"/>
      <c r="NC45" s="104"/>
      <c r="ND45" s="104"/>
      <c r="NE45" s="104"/>
      <c r="NF45" s="104"/>
      <c r="NG45" s="104"/>
      <c r="NH45" s="104"/>
      <c r="NI45" s="104"/>
      <c r="NJ45" s="104"/>
      <c r="NK45" s="104"/>
      <c r="NL45" s="104"/>
      <c r="NM45" s="104"/>
      <c r="NN45" s="104"/>
      <c r="NO45" s="104"/>
      <c r="NP45" s="104"/>
      <c r="NQ45" s="104"/>
      <c r="NR45" s="104"/>
      <c r="NS45" s="104"/>
      <c r="NT45" s="104"/>
      <c r="NU45" s="104"/>
      <c r="NV45" s="104"/>
      <c r="NW45" s="104"/>
      <c r="NX45" s="104"/>
      <c r="NY45" s="104"/>
      <c r="NZ45" s="104"/>
    </row>
    <row r="46" spans="1:390" ht="15" customHeight="1" x14ac:dyDescent="0.3">
      <c r="A46" s="214">
        <v>4343073440</v>
      </c>
      <c r="B46" s="165" t="s">
        <v>391</v>
      </c>
      <c r="C46" s="215"/>
      <c r="D46" s="216" t="s">
        <v>391</v>
      </c>
      <c r="E46" s="136" t="s">
        <v>668</v>
      </c>
      <c r="F46" s="125" t="s">
        <v>501</v>
      </c>
      <c r="G46" s="221" t="s">
        <v>421</v>
      </c>
      <c r="H46" s="219">
        <v>43398</v>
      </c>
      <c r="I46" s="216" t="s">
        <v>458</v>
      </c>
      <c r="J46" s="153" t="s">
        <v>397</v>
      </c>
      <c r="K46" s="153" t="s">
        <v>398</v>
      </c>
      <c r="L46" s="153" t="s">
        <v>398</v>
      </c>
      <c r="M46" s="164" t="s">
        <v>398</v>
      </c>
      <c r="N46" s="164" t="s">
        <v>398</v>
      </c>
      <c r="O46" s="164" t="s">
        <v>398</v>
      </c>
      <c r="P46" s="164" t="s">
        <v>398</v>
      </c>
      <c r="Q46" s="164" t="s">
        <v>398</v>
      </c>
      <c r="R46" s="164" t="s">
        <v>398</v>
      </c>
      <c r="S46" s="164" t="s">
        <v>398</v>
      </c>
      <c r="T46" s="164" t="s">
        <v>398</v>
      </c>
      <c r="U46" s="164" t="s">
        <v>398</v>
      </c>
      <c r="V46" s="164" t="s">
        <v>398</v>
      </c>
      <c r="W46" s="164" t="s">
        <v>398</v>
      </c>
      <c r="X46" s="164" t="s">
        <v>398</v>
      </c>
      <c r="Y46" s="164" t="s">
        <v>398</v>
      </c>
      <c r="Z46" s="164" t="s">
        <v>398</v>
      </c>
      <c r="AA46" s="164" t="s">
        <v>398</v>
      </c>
      <c r="AB46" s="167" t="s">
        <v>399</v>
      </c>
      <c r="AC46" s="219">
        <v>12297</v>
      </c>
      <c r="AD46" s="107"/>
      <c r="AE46" s="108" t="e">
        <f t="shared" si="0"/>
        <v>#NUM!</v>
      </c>
      <c r="AF46" s="107" t="s">
        <v>621</v>
      </c>
      <c r="AG46" s="79" t="s">
        <v>401</v>
      </c>
      <c r="AH46" s="87" t="s">
        <v>391</v>
      </c>
      <c r="AI46" s="110"/>
      <c r="AJ46" s="110"/>
      <c r="AK46" s="110"/>
      <c r="AL46" s="110"/>
      <c r="AM46" s="105"/>
      <c r="AN46" s="95">
        <v>3</v>
      </c>
      <c r="AO46" s="173" t="s">
        <v>398</v>
      </c>
      <c r="AP46" s="79"/>
      <c r="AQ46" s="106"/>
      <c r="AR46" s="91"/>
      <c r="AS46" s="104"/>
      <c r="AT46" s="104"/>
      <c r="AU46" s="104"/>
      <c r="AV46" s="104"/>
      <c r="AW46" s="91"/>
      <c r="AX46" s="104"/>
      <c r="AY46" s="104"/>
      <c r="AZ46" s="104"/>
      <c r="BA46" s="104"/>
      <c r="BB46" s="91"/>
      <c r="BC46" s="104"/>
      <c r="BD46" s="104"/>
      <c r="BE46" s="104"/>
      <c r="BF46" s="104"/>
      <c r="BG46" s="91"/>
      <c r="BH46" s="104"/>
      <c r="BI46" s="104"/>
      <c r="BJ46" s="104"/>
      <c r="BK46" s="104"/>
      <c r="BL46" s="91"/>
      <c r="BM46" s="104"/>
      <c r="BN46" s="104"/>
      <c r="BO46" s="104"/>
      <c r="BP46" s="104"/>
      <c r="BQ46" s="91"/>
      <c r="BR46" s="104"/>
      <c r="BS46" s="104"/>
      <c r="BT46" s="104"/>
      <c r="BU46" s="104"/>
      <c r="BV46" s="91"/>
      <c r="BW46" s="104"/>
      <c r="BX46" s="104"/>
      <c r="BY46" s="104"/>
      <c r="BZ46" s="104"/>
      <c r="CA46" s="91"/>
      <c r="CB46" s="104"/>
      <c r="CC46" s="104"/>
      <c r="CD46" s="104"/>
      <c r="CE46" s="104"/>
      <c r="CF46" s="91"/>
      <c r="CG46" s="104"/>
      <c r="CH46" s="104"/>
      <c r="CI46" s="104"/>
      <c r="CJ46" s="104"/>
      <c r="CK46" s="91"/>
      <c r="CL46" s="104"/>
      <c r="CM46" s="104"/>
      <c r="CN46" s="104"/>
      <c r="CO46" s="104"/>
      <c r="CP46" s="91"/>
      <c r="CQ46" s="104"/>
      <c r="CR46" s="104"/>
      <c r="CS46" s="104"/>
      <c r="CT46" s="104"/>
      <c r="CU46" s="91"/>
      <c r="CV46" s="104"/>
      <c r="CW46" s="104"/>
      <c r="CX46" s="104"/>
      <c r="CY46" s="104"/>
      <c r="CZ46" s="91"/>
      <c r="DA46" s="104"/>
      <c r="DB46" s="104"/>
      <c r="DC46" s="104"/>
      <c r="DD46" s="104"/>
      <c r="DE46" s="91"/>
      <c r="DF46" s="104"/>
      <c r="DG46" s="104"/>
      <c r="DH46" s="104"/>
      <c r="DI46" s="104"/>
      <c r="DJ46" s="91"/>
      <c r="DK46" s="104"/>
      <c r="DL46" s="104"/>
      <c r="DM46" s="104"/>
      <c r="DN46" s="104"/>
      <c r="DO46" s="91"/>
      <c r="DP46" s="104"/>
      <c r="DQ46" s="104"/>
      <c r="DR46" s="104"/>
      <c r="DS46" s="104"/>
      <c r="DT46" s="91"/>
      <c r="DU46" s="104"/>
      <c r="DV46" s="104"/>
      <c r="DW46" s="104"/>
      <c r="DX46" s="104"/>
      <c r="DY46" s="91"/>
      <c r="DZ46" s="104"/>
      <c r="EA46" s="104"/>
      <c r="EB46" s="104"/>
      <c r="EC46" s="104"/>
      <c r="ED46" s="91"/>
      <c r="EE46" s="104"/>
      <c r="EF46" s="104"/>
      <c r="EG46" s="104"/>
      <c r="EH46" s="104"/>
      <c r="EI46" s="91"/>
      <c r="EJ46" s="104"/>
      <c r="EK46" s="104"/>
      <c r="EL46" s="104"/>
      <c r="EM46" s="104"/>
      <c r="EN46" s="91"/>
      <c r="EO46" s="104"/>
      <c r="EP46" s="104"/>
      <c r="EQ46" s="104"/>
      <c r="ER46" s="104"/>
      <c r="ES46" s="91"/>
      <c r="ET46" s="104"/>
      <c r="EU46" s="104"/>
      <c r="EV46" s="104"/>
      <c r="EW46" s="104"/>
      <c r="EX46" s="91"/>
      <c r="EY46" s="104"/>
      <c r="EZ46" s="104"/>
      <c r="FA46" s="104"/>
      <c r="FB46" s="104"/>
      <c r="FC46" s="91"/>
      <c r="FD46" s="104"/>
      <c r="FE46" s="104"/>
      <c r="FF46" s="104"/>
      <c r="FG46" s="104"/>
      <c r="FH46" s="91"/>
      <c r="FI46" s="104"/>
      <c r="FJ46" s="104"/>
      <c r="FK46" s="104"/>
      <c r="FL46" s="104"/>
      <c r="FM46" s="104"/>
      <c r="FN46" s="104"/>
      <c r="FO46" s="104"/>
      <c r="FP46" s="104"/>
      <c r="FQ46" s="104"/>
      <c r="FR46" s="104"/>
      <c r="FS46" s="104"/>
      <c r="FT46" s="104"/>
      <c r="FU46" s="104"/>
      <c r="FV46" s="104"/>
      <c r="FW46" s="104"/>
      <c r="FX46" s="104"/>
      <c r="FY46" s="104"/>
      <c r="FZ46" s="104"/>
      <c r="GA46" s="104"/>
      <c r="GB46" s="104"/>
      <c r="GC46" s="104"/>
      <c r="GD46" s="104"/>
      <c r="GE46" s="104"/>
      <c r="GF46" s="104"/>
      <c r="GG46" s="104"/>
      <c r="GH46" s="104"/>
      <c r="GI46" s="104"/>
      <c r="GJ46" s="104"/>
      <c r="GK46" s="104"/>
      <c r="GL46" s="104"/>
      <c r="GM46" s="104"/>
      <c r="GN46" s="104"/>
      <c r="GO46" s="104"/>
      <c r="GP46" s="91"/>
      <c r="GQ46" s="104"/>
      <c r="GR46" s="104"/>
      <c r="GS46" s="104"/>
      <c r="GT46" s="104"/>
      <c r="GU46" s="91"/>
      <c r="GV46" s="104"/>
      <c r="GW46" s="104"/>
      <c r="GX46" s="104"/>
      <c r="GY46" s="104"/>
      <c r="GZ46" s="91"/>
      <c r="HA46" s="104"/>
      <c r="HB46" s="104"/>
      <c r="HC46" s="104"/>
      <c r="HD46" s="104"/>
      <c r="HE46" s="91"/>
      <c r="HF46" s="104"/>
      <c r="HG46" s="104"/>
      <c r="HH46" s="104"/>
      <c r="HI46" s="104"/>
      <c r="HJ46" s="91"/>
      <c r="HK46" s="104"/>
      <c r="HL46" s="104"/>
      <c r="HM46" s="104"/>
      <c r="HN46" s="104"/>
      <c r="HO46" s="91"/>
      <c r="HP46" s="104"/>
      <c r="HQ46" s="104"/>
      <c r="HR46" s="104"/>
      <c r="HS46" s="104"/>
      <c r="HT46" s="91"/>
      <c r="HU46" s="104"/>
      <c r="HV46" s="104"/>
      <c r="HW46" s="104"/>
      <c r="HX46" s="104"/>
      <c r="HY46" s="91"/>
      <c r="HZ46" s="104"/>
      <c r="IA46" s="104"/>
      <c r="IB46" s="104"/>
      <c r="IC46" s="104"/>
      <c r="ID46" s="91"/>
      <c r="IE46" s="104"/>
      <c r="IF46" s="104"/>
      <c r="IG46" s="104"/>
      <c r="IH46" s="104"/>
      <c r="II46" s="91"/>
      <c r="IJ46" s="104"/>
      <c r="IK46" s="104"/>
      <c r="IL46" s="104"/>
      <c r="IM46" s="104"/>
      <c r="IN46" s="91"/>
      <c r="IO46" s="104"/>
      <c r="IP46" s="104"/>
      <c r="IQ46" s="104"/>
      <c r="IR46" s="104"/>
      <c r="IS46" s="91"/>
      <c r="IT46" s="104"/>
      <c r="IU46" s="104"/>
      <c r="IV46" s="104"/>
      <c r="IW46" s="104"/>
      <c r="IX46" s="91"/>
      <c r="IY46" s="104"/>
      <c r="IZ46" s="104"/>
      <c r="JA46" s="104"/>
      <c r="JB46" s="104"/>
      <c r="JC46" s="91"/>
      <c r="JD46" s="104"/>
      <c r="JE46" s="104"/>
      <c r="JF46" s="104"/>
      <c r="JG46" s="105"/>
      <c r="JH46" s="91"/>
      <c r="JI46" s="106"/>
      <c r="JJ46" s="104"/>
      <c r="JK46" s="104"/>
      <c r="JL46" s="105"/>
      <c r="JM46" s="95"/>
      <c r="JN46" s="107"/>
      <c r="JO46" s="79"/>
      <c r="JP46" s="106"/>
      <c r="JQ46" s="104"/>
      <c r="JR46" s="104"/>
      <c r="JS46" s="104"/>
      <c r="JT46" s="104"/>
      <c r="JU46" s="104"/>
      <c r="JV46" s="104"/>
      <c r="JW46" s="104"/>
      <c r="JX46" s="104"/>
      <c r="JY46" s="104"/>
      <c r="JZ46" s="104"/>
      <c r="KA46" s="104"/>
      <c r="KB46" s="104"/>
      <c r="KC46" s="104"/>
      <c r="KD46" s="104"/>
      <c r="KE46" s="104"/>
      <c r="KF46" s="104"/>
      <c r="KG46" s="104"/>
      <c r="KH46" s="104"/>
      <c r="KI46" s="104"/>
      <c r="KJ46" s="104"/>
      <c r="KK46" s="104"/>
      <c r="KL46" s="104"/>
      <c r="KM46" s="104"/>
      <c r="KN46" s="104"/>
      <c r="KO46" s="104"/>
      <c r="KP46" s="104"/>
      <c r="KQ46" s="104"/>
      <c r="KR46" s="104"/>
      <c r="KS46" s="104"/>
      <c r="KT46" s="104"/>
      <c r="KU46" s="104"/>
      <c r="KV46" s="104"/>
      <c r="KW46" s="104"/>
      <c r="KX46" s="104"/>
      <c r="KY46" s="104"/>
      <c r="KZ46" s="104"/>
      <c r="LA46" s="104"/>
      <c r="LB46" s="104"/>
      <c r="LC46" s="104"/>
      <c r="LD46" s="104"/>
      <c r="LE46" s="104"/>
      <c r="LF46" s="104"/>
      <c r="LG46" s="104"/>
      <c r="LH46" s="104"/>
      <c r="LI46" s="104"/>
      <c r="LJ46" s="104"/>
      <c r="LK46" s="104"/>
      <c r="LL46" s="104"/>
      <c r="LM46" s="104"/>
      <c r="LN46" s="104"/>
      <c r="LO46" s="104"/>
      <c r="LP46" s="104"/>
      <c r="LQ46" s="104"/>
      <c r="LR46" s="104"/>
      <c r="LS46" s="104"/>
      <c r="LT46" s="104"/>
      <c r="LU46" s="104"/>
      <c r="LV46" s="104"/>
      <c r="LW46" s="104"/>
      <c r="LX46" s="104"/>
      <c r="LY46" s="104"/>
      <c r="LZ46" s="104"/>
      <c r="MA46" s="104"/>
      <c r="MB46" s="104"/>
      <c r="MC46" s="104"/>
      <c r="MD46" s="104"/>
      <c r="ME46" s="104"/>
      <c r="MF46" s="104"/>
      <c r="MG46" s="104"/>
      <c r="MH46" s="104"/>
      <c r="MI46" s="104"/>
      <c r="MJ46" s="104"/>
      <c r="MK46" s="104"/>
      <c r="ML46" s="104"/>
      <c r="MM46" s="104"/>
      <c r="MN46" s="104"/>
      <c r="MO46" s="104"/>
      <c r="MP46" s="104"/>
      <c r="MQ46" s="104"/>
      <c r="MR46" s="104"/>
      <c r="MS46" s="104"/>
      <c r="MT46" s="104"/>
      <c r="MU46" s="104"/>
      <c r="MV46" s="104"/>
      <c r="MW46" s="104"/>
      <c r="MX46" s="104"/>
      <c r="MY46" s="104"/>
      <c r="MZ46" s="104"/>
      <c r="NA46" s="104"/>
      <c r="NB46" s="104"/>
      <c r="NC46" s="104"/>
      <c r="ND46" s="104"/>
      <c r="NE46" s="104"/>
      <c r="NF46" s="104"/>
      <c r="NG46" s="104"/>
      <c r="NH46" s="104"/>
      <c r="NI46" s="104"/>
      <c r="NJ46" s="104"/>
      <c r="NK46" s="104"/>
      <c r="NL46" s="104"/>
      <c r="NM46" s="104"/>
      <c r="NN46" s="104"/>
      <c r="NO46" s="104"/>
      <c r="NP46" s="104"/>
      <c r="NQ46" s="104"/>
      <c r="NR46" s="104"/>
      <c r="NS46" s="104"/>
      <c r="NT46" s="104"/>
      <c r="NU46" s="104"/>
      <c r="NV46" s="104"/>
      <c r="NW46" s="104"/>
      <c r="NX46" s="104"/>
      <c r="NY46" s="104"/>
      <c r="NZ46" s="104"/>
    </row>
    <row r="47" spans="1:390" ht="15" customHeight="1" x14ac:dyDescent="0.3">
      <c r="A47" s="214">
        <v>6140066875</v>
      </c>
      <c r="B47" s="165" t="s">
        <v>391</v>
      </c>
      <c r="C47" s="215"/>
      <c r="D47" s="216" t="s">
        <v>391</v>
      </c>
      <c r="E47" s="136" t="s">
        <v>669</v>
      </c>
      <c r="F47" s="125" t="s">
        <v>518</v>
      </c>
      <c r="G47" s="221" t="s">
        <v>471</v>
      </c>
      <c r="H47" s="219">
        <v>43410</v>
      </c>
      <c r="I47" s="216" t="s">
        <v>513</v>
      </c>
      <c r="J47" s="153" t="s">
        <v>397</v>
      </c>
      <c r="K47" s="153" t="s">
        <v>398</v>
      </c>
      <c r="L47" s="153" t="s">
        <v>398</v>
      </c>
      <c r="M47" s="164" t="s">
        <v>398</v>
      </c>
      <c r="N47" s="164" t="s">
        <v>398</v>
      </c>
      <c r="O47" s="164" t="s">
        <v>398</v>
      </c>
      <c r="P47" s="164" t="s">
        <v>398</v>
      </c>
      <c r="Q47" s="164" t="s">
        <v>398</v>
      </c>
      <c r="R47" s="164" t="s">
        <v>398</v>
      </c>
      <c r="S47" s="164" t="s">
        <v>398</v>
      </c>
      <c r="T47" s="164" t="s">
        <v>398</v>
      </c>
      <c r="U47" s="164" t="s">
        <v>398</v>
      </c>
      <c r="V47" s="164" t="s">
        <v>398</v>
      </c>
      <c r="W47" s="164" t="s">
        <v>398</v>
      </c>
      <c r="X47" s="164" t="s">
        <v>398</v>
      </c>
      <c r="Y47" s="164" t="s">
        <v>398</v>
      </c>
      <c r="Z47" s="164" t="s">
        <v>398</v>
      </c>
      <c r="AA47" s="164" t="s">
        <v>398</v>
      </c>
      <c r="AB47" s="167" t="s">
        <v>399</v>
      </c>
      <c r="AC47" s="219">
        <v>25899</v>
      </c>
      <c r="AD47" s="107"/>
      <c r="AE47" s="108" t="e">
        <f t="shared" si="0"/>
        <v>#NUM!</v>
      </c>
      <c r="AF47" s="107" t="s">
        <v>477</v>
      </c>
      <c r="AG47" s="79" t="s">
        <v>401</v>
      </c>
      <c r="AH47" s="87" t="s">
        <v>402</v>
      </c>
      <c r="AI47" s="110"/>
      <c r="AJ47" s="110"/>
      <c r="AK47" s="110"/>
      <c r="AL47" s="110"/>
      <c r="AM47" s="105"/>
      <c r="AN47" s="95">
        <v>2</v>
      </c>
      <c r="AO47" s="173" t="s">
        <v>398</v>
      </c>
      <c r="AP47" s="79"/>
      <c r="AQ47" s="106"/>
      <c r="AR47" s="91"/>
      <c r="AS47" s="104"/>
      <c r="AT47" s="104"/>
      <c r="AU47" s="104"/>
      <c r="AV47" s="104"/>
      <c r="AW47" s="91"/>
      <c r="AX47" s="104"/>
      <c r="AY47" s="104"/>
      <c r="AZ47" s="104"/>
      <c r="BA47" s="104"/>
      <c r="BB47" s="91"/>
      <c r="BC47" s="104"/>
      <c r="BD47" s="104"/>
      <c r="BE47" s="104"/>
      <c r="BF47" s="104"/>
      <c r="BG47" s="91"/>
      <c r="BH47" s="104"/>
      <c r="BI47" s="104"/>
      <c r="BJ47" s="104"/>
      <c r="BK47" s="104"/>
      <c r="BL47" s="91"/>
      <c r="BM47" s="104"/>
      <c r="BN47" s="104"/>
      <c r="BO47" s="104"/>
      <c r="BP47" s="104"/>
      <c r="BQ47" s="91"/>
      <c r="BR47" s="104"/>
      <c r="BS47" s="104"/>
      <c r="BT47" s="104"/>
      <c r="BU47" s="104"/>
      <c r="BV47" s="91"/>
      <c r="BW47" s="104"/>
      <c r="BX47" s="104"/>
      <c r="BY47" s="104"/>
      <c r="BZ47" s="104"/>
      <c r="CA47" s="91"/>
      <c r="CB47" s="104"/>
      <c r="CC47" s="104"/>
      <c r="CD47" s="104"/>
      <c r="CE47" s="104"/>
      <c r="CF47" s="91"/>
      <c r="CG47" s="104"/>
      <c r="CH47" s="104"/>
      <c r="CI47" s="104"/>
      <c r="CJ47" s="104"/>
      <c r="CK47" s="91"/>
      <c r="CL47" s="104"/>
      <c r="CM47" s="104"/>
      <c r="CN47" s="104"/>
      <c r="CO47" s="104"/>
      <c r="CP47" s="91"/>
      <c r="CQ47" s="104"/>
      <c r="CR47" s="104"/>
      <c r="CS47" s="104"/>
      <c r="CT47" s="104"/>
      <c r="CU47" s="91"/>
      <c r="CV47" s="104"/>
      <c r="CW47" s="104"/>
      <c r="CX47" s="104"/>
      <c r="CY47" s="104"/>
      <c r="CZ47" s="91"/>
      <c r="DA47" s="104"/>
      <c r="DB47" s="104"/>
      <c r="DC47" s="104"/>
      <c r="DD47" s="104"/>
      <c r="DE47" s="91"/>
      <c r="DF47" s="104"/>
      <c r="DG47" s="104"/>
      <c r="DH47" s="104"/>
      <c r="DI47" s="104"/>
      <c r="DJ47" s="91"/>
      <c r="DK47" s="104"/>
      <c r="DL47" s="104"/>
      <c r="DM47" s="104"/>
      <c r="DN47" s="104"/>
      <c r="DO47" s="91"/>
      <c r="DP47" s="104"/>
      <c r="DQ47" s="104"/>
      <c r="DR47" s="104"/>
      <c r="DS47" s="104"/>
      <c r="DT47" s="91"/>
      <c r="DU47" s="104"/>
      <c r="DV47" s="104"/>
      <c r="DW47" s="104"/>
      <c r="DX47" s="104"/>
      <c r="DY47" s="91"/>
      <c r="DZ47" s="104"/>
      <c r="EA47" s="104"/>
      <c r="EB47" s="104"/>
      <c r="EC47" s="104"/>
      <c r="ED47" s="91"/>
      <c r="EE47" s="104"/>
      <c r="EF47" s="104"/>
      <c r="EG47" s="104"/>
      <c r="EH47" s="104"/>
      <c r="EI47" s="91"/>
      <c r="EJ47" s="104"/>
      <c r="EK47" s="104"/>
      <c r="EL47" s="104"/>
      <c r="EM47" s="104"/>
      <c r="EN47" s="91"/>
      <c r="EO47" s="104"/>
      <c r="EP47" s="104"/>
      <c r="EQ47" s="104"/>
      <c r="ER47" s="104"/>
      <c r="ES47" s="91"/>
      <c r="ET47" s="104"/>
      <c r="EU47" s="104"/>
      <c r="EV47" s="104"/>
      <c r="EW47" s="104"/>
      <c r="EX47" s="91"/>
      <c r="EY47" s="104"/>
      <c r="EZ47" s="104"/>
      <c r="FA47" s="104"/>
      <c r="FB47" s="104"/>
      <c r="FC47" s="91"/>
      <c r="FD47" s="104"/>
      <c r="FE47" s="104"/>
      <c r="FF47" s="104"/>
      <c r="FG47" s="104"/>
      <c r="FH47" s="91"/>
      <c r="FI47" s="104"/>
      <c r="FJ47" s="104"/>
      <c r="FK47" s="104"/>
      <c r="FL47" s="104"/>
      <c r="FM47" s="104"/>
      <c r="FN47" s="104"/>
      <c r="FO47" s="104"/>
      <c r="FP47" s="104"/>
      <c r="FQ47" s="104"/>
      <c r="FR47" s="104"/>
      <c r="FS47" s="104"/>
      <c r="FT47" s="104"/>
      <c r="FU47" s="104"/>
      <c r="FV47" s="104"/>
      <c r="FW47" s="104"/>
      <c r="FX47" s="104"/>
      <c r="FY47" s="104"/>
      <c r="FZ47" s="104"/>
      <c r="GA47" s="104"/>
      <c r="GB47" s="104"/>
      <c r="GC47" s="104"/>
      <c r="GD47" s="104"/>
      <c r="GE47" s="104"/>
      <c r="GF47" s="104"/>
      <c r="GG47" s="104"/>
      <c r="GH47" s="104"/>
      <c r="GI47" s="104"/>
      <c r="GJ47" s="104"/>
      <c r="GK47" s="104"/>
      <c r="GL47" s="104"/>
      <c r="GM47" s="104"/>
      <c r="GN47" s="104"/>
      <c r="GO47" s="104"/>
      <c r="GP47" s="91"/>
      <c r="GQ47" s="104"/>
      <c r="GR47" s="104"/>
      <c r="GS47" s="104"/>
      <c r="GT47" s="104"/>
      <c r="GU47" s="91"/>
      <c r="GV47" s="104"/>
      <c r="GW47" s="104"/>
      <c r="GX47" s="104"/>
      <c r="GY47" s="104"/>
      <c r="GZ47" s="91"/>
      <c r="HA47" s="104"/>
      <c r="HB47" s="104"/>
      <c r="HC47" s="104"/>
      <c r="HD47" s="104"/>
      <c r="HE47" s="91"/>
      <c r="HF47" s="104"/>
      <c r="HG47" s="104"/>
      <c r="HH47" s="104"/>
      <c r="HI47" s="104"/>
      <c r="HJ47" s="91"/>
      <c r="HK47" s="104"/>
      <c r="HL47" s="104"/>
      <c r="HM47" s="104"/>
      <c r="HN47" s="104"/>
      <c r="HO47" s="91"/>
      <c r="HP47" s="104"/>
      <c r="HQ47" s="104"/>
      <c r="HR47" s="104"/>
      <c r="HS47" s="104"/>
      <c r="HT47" s="91"/>
      <c r="HU47" s="104"/>
      <c r="HV47" s="104"/>
      <c r="HW47" s="104"/>
      <c r="HX47" s="104"/>
      <c r="HY47" s="91"/>
      <c r="HZ47" s="104"/>
      <c r="IA47" s="104"/>
      <c r="IB47" s="104"/>
      <c r="IC47" s="104"/>
      <c r="ID47" s="91"/>
      <c r="IE47" s="104"/>
      <c r="IF47" s="104"/>
      <c r="IG47" s="104"/>
      <c r="IH47" s="104"/>
      <c r="II47" s="91"/>
      <c r="IJ47" s="104"/>
      <c r="IK47" s="104"/>
      <c r="IL47" s="104"/>
      <c r="IM47" s="104"/>
      <c r="IN47" s="91"/>
      <c r="IO47" s="104"/>
      <c r="IP47" s="104"/>
      <c r="IQ47" s="104"/>
      <c r="IR47" s="104"/>
      <c r="IS47" s="91"/>
      <c r="IT47" s="104"/>
      <c r="IU47" s="104"/>
      <c r="IV47" s="104"/>
      <c r="IW47" s="104"/>
      <c r="IX47" s="91"/>
      <c r="IY47" s="104"/>
      <c r="IZ47" s="104"/>
      <c r="JA47" s="104"/>
      <c r="JB47" s="104"/>
      <c r="JC47" s="91"/>
      <c r="JD47" s="104"/>
      <c r="JE47" s="104"/>
      <c r="JF47" s="104"/>
      <c r="JG47" s="105"/>
      <c r="JH47" s="91"/>
      <c r="JI47" s="106"/>
      <c r="JJ47" s="104"/>
      <c r="JK47" s="104"/>
      <c r="JL47" s="105"/>
      <c r="JM47" s="95"/>
      <c r="JN47" s="107"/>
      <c r="JO47" s="79"/>
      <c r="JP47" s="106"/>
      <c r="JQ47" s="104"/>
      <c r="JR47" s="104"/>
      <c r="JS47" s="104"/>
      <c r="JT47" s="104"/>
      <c r="JU47" s="104"/>
      <c r="JV47" s="104"/>
      <c r="JW47" s="104"/>
      <c r="JX47" s="104"/>
      <c r="JY47" s="104"/>
      <c r="JZ47" s="104"/>
      <c r="KA47" s="104"/>
      <c r="KB47" s="104"/>
      <c r="KC47" s="104"/>
      <c r="KD47" s="104"/>
      <c r="KE47" s="104"/>
      <c r="KF47" s="104"/>
      <c r="KG47" s="104"/>
      <c r="KH47" s="104"/>
      <c r="KI47" s="104"/>
      <c r="KJ47" s="104"/>
      <c r="KK47" s="104"/>
      <c r="KL47" s="104"/>
      <c r="KM47" s="104"/>
      <c r="KN47" s="104"/>
      <c r="KO47" s="104"/>
      <c r="KP47" s="104"/>
      <c r="KQ47" s="104"/>
      <c r="KR47" s="104"/>
      <c r="KS47" s="104"/>
      <c r="KT47" s="104"/>
      <c r="KU47" s="104"/>
      <c r="KV47" s="104"/>
      <c r="KW47" s="104"/>
      <c r="KX47" s="104"/>
      <c r="KY47" s="104"/>
      <c r="KZ47" s="104"/>
      <c r="LA47" s="104"/>
      <c r="LB47" s="104"/>
      <c r="LC47" s="104"/>
      <c r="LD47" s="104"/>
      <c r="LE47" s="104"/>
      <c r="LF47" s="104"/>
      <c r="LG47" s="104"/>
      <c r="LH47" s="104"/>
      <c r="LI47" s="104"/>
      <c r="LJ47" s="104"/>
      <c r="LK47" s="104"/>
      <c r="LL47" s="104"/>
      <c r="LM47" s="104"/>
      <c r="LN47" s="104"/>
      <c r="LO47" s="104"/>
      <c r="LP47" s="104"/>
      <c r="LQ47" s="104"/>
      <c r="LR47" s="104"/>
      <c r="LS47" s="104"/>
      <c r="LT47" s="104"/>
      <c r="LU47" s="104"/>
      <c r="LV47" s="104"/>
      <c r="LW47" s="104"/>
      <c r="LX47" s="104"/>
      <c r="LY47" s="104"/>
      <c r="LZ47" s="104"/>
      <c r="MA47" s="104"/>
      <c r="MB47" s="104"/>
      <c r="MC47" s="104"/>
      <c r="MD47" s="104"/>
      <c r="ME47" s="104"/>
      <c r="MF47" s="104"/>
      <c r="MG47" s="104"/>
      <c r="MH47" s="104"/>
      <c r="MI47" s="104"/>
      <c r="MJ47" s="104"/>
      <c r="MK47" s="104"/>
      <c r="ML47" s="104"/>
      <c r="MM47" s="104"/>
      <c r="MN47" s="104"/>
      <c r="MO47" s="104"/>
      <c r="MP47" s="104"/>
      <c r="MQ47" s="104"/>
      <c r="MR47" s="104"/>
      <c r="MS47" s="104"/>
      <c r="MT47" s="104"/>
      <c r="MU47" s="104"/>
      <c r="MV47" s="104"/>
      <c r="MW47" s="104"/>
      <c r="MX47" s="104"/>
      <c r="MY47" s="104"/>
      <c r="MZ47" s="104"/>
      <c r="NA47" s="104"/>
      <c r="NB47" s="104"/>
      <c r="NC47" s="104"/>
      <c r="ND47" s="104"/>
      <c r="NE47" s="104"/>
      <c r="NF47" s="104"/>
      <c r="NG47" s="104"/>
      <c r="NH47" s="104"/>
      <c r="NI47" s="104"/>
      <c r="NJ47" s="104"/>
      <c r="NK47" s="104"/>
      <c r="NL47" s="104"/>
      <c r="NM47" s="104"/>
      <c r="NN47" s="104"/>
      <c r="NO47" s="104"/>
      <c r="NP47" s="104"/>
      <c r="NQ47" s="104"/>
      <c r="NR47" s="104"/>
      <c r="NS47" s="104"/>
      <c r="NT47" s="104"/>
      <c r="NU47" s="104"/>
      <c r="NV47" s="104"/>
      <c r="NW47" s="104"/>
      <c r="NX47" s="104"/>
      <c r="NY47" s="104"/>
      <c r="NZ47" s="104"/>
    </row>
    <row r="48" spans="1:390" ht="15" customHeight="1" x14ac:dyDescent="0.3">
      <c r="A48" s="214">
        <v>6285093962</v>
      </c>
      <c r="B48" s="165" t="s">
        <v>391</v>
      </c>
      <c r="C48" s="215"/>
      <c r="D48" s="216" t="s">
        <v>391</v>
      </c>
      <c r="E48" s="136" t="s">
        <v>670</v>
      </c>
      <c r="F48" s="125" t="s">
        <v>471</v>
      </c>
      <c r="G48" s="221" t="s">
        <v>519</v>
      </c>
      <c r="H48" s="219">
        <v>43412</v>
      </c>
      <c r="I48" s="216" t="s">
        <v>458</v>
      </c>
      <c r="J48" s="153" t="s">
        <v>397</v>
      </c>
      <c r="K48" s="153" t="s">
        <v>398</v>
      </c>
      <c r="L48" s="153" t="s">
        <v>398</v>
      </c>
      <c r="M48" s="164" t="s">
        <v>398</v>
      </c>
      <c r="N48" s="164" t="s">
        <v>398</v>
      </c>
      <c r="O48" s="164" t="s">
        <v>398</v>
      </c>
      <c r="P48" s="164" t="s">
        <v>398</v>
      </c>
      <c r="Q48" s="164" t="s">
        <v>398</v>
      </c>
      <c r="R48" s="164" t="s">
        <v>398</v>
      </c>
      <c r="S48" s="164" t="s">
        <v>398</v>
      </c>
      <c r="T48" s="164" t="s">
        <v>398</v>
      </c>
      <c r="U48" s="164" t="s">
        <v>398</v>
      </c>
      <c r="V48" s="164" t="s">
        <v>398</v>
      </c>
      <c r="W48" s="164" t="s">
        <v>398</v>
      </c>
      <c r="X48" s="164" t="s">
        <v>398</v>
      </c>
      <c r="Y48" s="164" t="s">
        <v>398</v>
      </c>
      <c r="Z48" s="164" t="s">
        <v>398</v>
      </c>
      <c r="AA48" s="164" t="s">
        <v>398</v>
      </c>
      <c r="AB48" s="167" t="s">
        <v>399</v>
      </c>
      <c r="AC48" s="219">
        <v>15828</v>
      </c>
      <c r="AD48" s="107"/>
      <c r="AE48" s="108" t="e">
        <f t="shared" si="0"/>
        <v>#NUM!</v>
      </c>
      <c r="AF48" s="107" t="s">
        <v>621</v>
      </c>
      <c r="AG48" s="79" t="s">
        <v>401</v>
      </c>
      <c r="AH48" s="87" t="s">
        <v>402</v>
      </c>
      <c r="AI48" s="110"/>
      <c r="AJ48" s="110"/>
      <c r="AK48" s="110"/>
      <c r="AL48" s="110"/>
      <c r="AM48" s="105"/>
      <c r="AN48" s="95">
        <v>3</v>
      </c>
      <c r="AO48" s="173" t="s">
        <v>398</v>
      </c>
      <c r="AP48" s="79"/>
      <c r="AQ48" s="106"/>
      <c r="AR48" s="91"/>
      <c r="AS48" s="104"/>
      <c r="AT48" s="104"/>
      <c r="AU48" s="104"/>
      <c r="AV48" s="104"/>
      <c r="AW48" s="91"/>
      <c r="AX48" s="104"/>
      <c r="AY48" s="104"/>
      <c r="AZ48" s="104"/>
      <c r="BA48" s="104"/>
      <c r="BB48" s="91"/>
      <c r="BC48" s="104"/>
      <c r="BD48" s="104"/>
      <c r="BE48" s="104"/>
      <c r="BF48" s="104"/>
      <c r="BG48" s="91"/>
      <c r="BH48" s="104"/>
      <c r="BI48" s="104"/>
      <c r="BJ48" s="104"/>
      <c r="BK48" s="104"/>
      <c r="BL48" s="91"/>
      <c r="BM48" s="104"/>
      <c r="BN48" s="104"/>
      <c r="BO48" s="104"/>
      <c r="BP48" s="104"/>
      <c r="BQ48" s="91"/>
      <c r="BR48" s="104"/>
      <c r="BS48" s="104"/>
      <c r="BT48" s="104"/>
      <c r="BU48" s="104"/>
      <c r="BV48" s="91"/>
      <c r="BW48" s="104"/>
      <c r="BX48" s="104"/>
      <c r="BY48" s="104"/>
      <c r="BZ48" s="104"/>
      <c r="CA48" s="91"/>
      <c r="CB48" s="104"/>
      <c r="CC48" s="104"/>
      <c r="CD48" s="104"/>
      <c r="CE48" s="104"/>
      <c r="CF48" s="91"/>
      <c r="CG48" s="104"/>
      <c r="CH48" s="104"/>
      <c r="CI48" s="104"/>
      <c r="CJ48" s="104"/>
      <c r="CK48" s="91"/>
      <c r="CL48" s="104"/>
      <c r="CM48" s="104"/>
      <c r="CN48" s="104"/>
      <c r="CO48" s="104"/>
      <c r="CP48" s="91"/>
      <c r="CQ48" s="104"/>
      <c r="CR48" s="104"/>
      <c r="CS48" s="104"/>
      <c r="CT48" s="104"/>
      <c r="CU48" s="91"/>
      <c r="CV48" s="104"/>
      <c r="CW48" s="104"/>
      <c r="CX48" s="104"/>
      <c r="CY48" s="104"/>
      <c r="CZ48" s="91"/>
      <c r="DA48" s="104"/>
      <c r="DB48" s="104"/>
      <c r="DC48" s="104"/>
      <c r="DD48" s="104"/>
      <c r="DE48" s="91"/>
      <c r="DF48" s="104"/>
      <c r="DG48" s="104"/>
      <c r="DH48" s="104"/>
      <c r="DI48" s="104"/>
      <c r="DJ48" s="91"/>
      <c r="DK48" s="104"/>
      <c r="DL48" s="104"/>
      <c r="DM48" s="104"/>
      <c r="DN48" s="104"/>
      <c r="DO48" s="91"/>
      <c r="DP48" s="104"/>
      <c r="DQ48" s="104"/>
      <c r="DR48" s="104"/>
      <c r="DS48" s="104"/>
      <c r="DT48" s="91"/>
      <c r="DU48" s="104"/>
      <c r="DV48" s="104"/>
      <c r="DW48" s="104"/>
      <c r="DX48" s="104"/>
      <c r="DY48" s="91"/>
      <c r="DZ48" s="104"/>
      <c r="EA48" s="104"/>
      <c r="EB48" s="104"/>
      <c r="EC48" s="104"/>
      <c r="ED48" s="91"/>
      <c r="EE48" s="104"/>
      <c r="EF48" s="104"/>
      <c r="EG48" s="104"/>
      <c r="EH48" s="104"/>
      <c r="EI48" s="91"/>
      <c r="EJ48" s="104"/>
      <c r="EK48" s="104"/>
      <c r="EL48" s="104"/>
      <c r="EM48" s="104"/>
      <c r="EN48" s="91"/>
      <c r="EO48" s="104"/>
      <c r="EP48" s="104"/>
      <c r="EQ48" s="104"/>
      <c r="ER48" s="104"/>
      <c r="ES48" s="91"/>
      <c r="ET48" s="104"/>
      <c r="EU48" s="104"/>
      <c r="EV48" s="104"/>
      <c r="EW48" s="104"/>
      <c r="EX48" s="91"/>
      <c r="EY48" s="104"/>
      <c r="EZ48" s="104"/>
      <c r="FA48" s="104"/>
      <c r="FB48" s="104"/>
      <c r="FC48" s="91"/>
      <c r="FD48" s="104"/>
      <c r="FE48" s="104"/>
      <c r="FF48" s="104"/>
      <c r="FG48" s="104"/>
      <c r="FH48" s="91"/>
      <c r="FI48" s="104"/>
      <c r="FJ48" s="104"/>
      <c r="FK48" s="104"/>
      <c r="FL48" s="104"/>
      <c r="FM48" s="104"/>
      <c r="FN48" s="104"/>
      <c r="FO48" s="104"/>
      <c r="FP48" s="104"/>
      <c r="FQ48" s="104"/>
      <c r="FR48" s="104"/>
      <c r="FS48" s="104"/>
      <c r="FT48" s="104"/>
      <c r="FU48" s="104"/>
      <c r="FV48" s="104"/>
      <c r="FW48" s="104"/>
      <c r="FX48" s="104"/>
      <c r="FY48" s="104"/>
      <c r="FZ48" s="104"/>
      <c r="GA48" s="104"/>
      <c r="GB48" s="104"/>
      <c r="GC48" s="104"/>
      <c r="GD48" s="104"/>
      <c r="GE48" s="104"/>
      <c r="GF48" s="104"/>
      <c r="GG48" s="104"/>
      <c r="GH48" s="104"/>
      <c r="GI48" s="104"/>
      <c r="GJ48" s="104"/>
      <c r="GK48" s="104"/>
      <c r="GL48" s="104"/>
      <c r="GM48" s="104"/>
      <c r="GN48" s="104"/>
      <c r="GO48" s="104"/>
      <c r="GP48" s="91"/>
      <c r="GQ48" s="104"/>
      <c r="GR48" s="104"/>
      <c r="GS48" s="104"/>
      <c r="GT48" s="104"/>
      <c r="GU48" s="91"/>
      <c r="GV48" s="104"/>
      <c r="GW48" s="104"/>
      <c r="GX48" s="104"/>
      <c r="GY48" s="104"/>
      <c r="GZ48" s="91"/>
      <c r="HA48" s="104"/>
      <c r="HB48" s="104"/>
      <c r="HC48" s="104"/>
      <c r="HD48" s="104"/>
      <c r="HE48" s="91"/>
      <c r="HF48" s="104"/>
      <c r="HG48" s="104"/>
      <c r="HH48" s="104"/>
      <c r="HI48" s="104"/>
      <c r="HJ48" s="91"/>
      <c r="HK48" s="104"/>
      <c r="HL48" s="104"/>
      <c r="HM48" s="104"/>
      <c r="HN48" s="104"/>
      <c r="HO48" s="91"/>
      <c r="HP48" s="104"/>
      <c r="HQ48" s="104"/>
      <c r="HR48" s="104"/>
      <c r="HS48" s="104"/>
      <c r="HT48" s="91"/>
      <c r="HU48" s="104"/>
      <c r="HV48" s="104"/>
      <c r="HW48" s="104"/>
      <c r="HX48" s="104"/>
      <c r="HY48" s="91"/>
      <c r="HZ48" s="104"/>
      <c r="IA48" s="104"/>
      <c r="IB48" s="104"/>
      <c r="IC48" s="104"/>
      <c r="ID48" s="91"/>
      <c r="IE48" s="104"/>
      <c r="IF48" s="104"/>
      <c r="IG48" s="104"/>
      <c r="IH48" s="104"/>
      <c r="II48" s="91"/>
      <c r="IJ48" s="104"/>
      <c r="IK48" s="104"/>
      <c r="IL48" s="104"/>
      <c r="IM48" s="104"/>
      <c r="IN48" s="91"/>
      <c r="IO48" s="104"/>
      <c r="IP48" s="104"/>
      <c r="IQ48" s="104"/>
      <c r="IR48" s="104"/>
      <c r="IS48" s="91"/>
      <c r="IT48" s="104"/>
      <c r="IU48" s="104"/>
      <c r="IV48" s="104"/>
      <c r="IW48" s="104"/>
      <c r="IX48" s="91"/>
      <c r="IY48" s="104"/>
      <c r="IZ48" s="104"/>
      <c r="JA48" s="104"/>
      <c r="JB48" s="104"/>
      <c r="JC48" s="91"/>
      <c r="JD48" s="104"/>
      <c r="JE48" s="104"/>
      <c r="JF48" s="104"/>
      <c r="JG48" s="105"/>
      <c r="JH48" s="91"/>
      <c r="JI48" s="106"/>
      <c r="JJ48" s="104"/>
      <c r="JK48" s="104"/>
      <c r="JL48" s="105"/>
      <c r="JM48" s="95"/>
      <c r="JN48" s="107"/>
      <c r="JO48" s="79"/>
      <c r="JP48" s="106"/>
      <c r="JQ48" s="104"/>
      <c r="JR48" s="104"/>
      <c r="JS48" s="104"/>
      <c r="JT48" s="104"/>
      <c r="JU48" s="104"/>
      <c r="JV48" s="104"/>
      <c r="JW48" s="104"/>
      <c r="JX48" s="104"/>
      <c r="JY48" s="104"/>
      <c r="JZ48" s="104"/>
      <c r="KA48" s="104"/>
      <c r="KB48" s="104"/>
      <c r="KC48" s="104"/>
      <c r="KD48" s="104"/>
      <c r="KE48" s="104"/>
      <c r="KF48" s="104"/>
      <c r="KG48" s="104"/>
      <c r="KH48" s="104"/>
      <c r="KI48" s="104"/>
      <c r="KJ48" s="104"/>
      <c r="KK48" s="104"/>
      <c r="KL48" s="104"/>
      <c r="KM48" s="104"/>
      <c r="KN48" s="104"/>
      <c r="KO48" s="104"/>
      <c r="KP48" s="104"/>
      <c r="KQ48" s="104"/>
      <c r="KR48" s="104"/>
      <c r="KS48" s="104"/>
      <c r="KT48" s="104"/>
      <c r="KU48" s="104"/>
      <c r="KV48" s="104"/>
      <c r="KW48" s="104"/>
      <c r="KX48" s="104"/>
      <c r="KY48" s="104"/>
      <c r="KZ48" s="104"/>
      <c r="LA48" s="104"/>
      <c r="LB48" s="104"/>
      <c r="LC48" s="104"/>
      <c r="LD48" s="104"/>
      <c r="LE48" s="104"/>
      <c r="LF48" s="104"/>
      <c r="LG48" s="104"/>
      <c r="LH48" s="104"/>
      <c r="LI48" s="104"/>
      <c r="LJ48" s="104"/>
      <c r="LK48" s="104"/>
      <c r="LL48" s="104"/>
      <c r="LM48" s="104"/>
      <c r="LN48" s="104"/>
      <c r="LO48" s="104"/>
      <c r="LP48" s="104"/>
      <c r="LQ48" s="104"/>
      <c r="LR48" s="104"/>
      <c r="LS48" s="104"/>
      <c r="LT48" s="104"/>
      <c r="LU48" s="104"/>
      <c r="LV48" s="104"/>
      <c r="LW48" s="104"/>
      <c r="LX48" s="104"/>
      <c r="LY48" s="104"/>
      <c r="LZ48" s="104"/>
      <c r="MA48" s="104"/>
      <c r="MB48" s="104"/>
      <c r="MC48" s="104"/>
      <c r="MD48" s="104"/>
      <c r="ME48" s="104"/>
      <c r="MF48" s="104"/>
      <c r="MG48" s="104"/>
      <c r="MH48" s="104"/>
      <c r="MI48" s="104"/>
      <c r="MJ48" s="104"/>
      <c r="MK48" s="104"/>
      <c r="ML48" s="104"/>
      <c r="MM48" s="104"/>
      <c r="MN48" s="104"/>
      <c r="MO48" s="104"/>
      <c r="MP48" s="104"/>
      <c r="MQ48" s="104"/>
      <c r="MR48" s="104"/>
      <c r="MS48" s="104"/>
      <c r="MT48" s="104"/>
      <c r="MU48" s="104"/>
      <c r="MV48" s="104"/>
      <c r="MW48" s="104"/>
      <c r="MX48" s="104"/>
      <c r="MY48" s="104"/>
      <c r="MZ48" s="104"/>
      <c r="NA48" s="104"/>
      <c r="NB48" s="104"/>
      <c r="NC48" s="104"/>
      <c r="ND48" s="104"/>
      <c r="NE48" s="104"/>
      <c r="NF48" s="104"/>
      <c r="NG48" s="104"/>
      <c r="NH48" s="104"/>
      <c r="NI48" s="104"/>
      <c r="NJ48" s="104"/>
      <c r="NK48" s="104"/>
      <c r="NL48" s="104"/>
      <c r="NM48" s="104"/>
      <c r="NN48" s="104"/>
      <c r="NO48" s="104"/>
      <c r="NP48" s="104"/>
      <c r="NQ48" s="104"/>
      <c r="NR48" s="104"/>
      <c r="NS48" s="104"/>
      <c r="NT48" s="104"/>
      <c r="NU48" s="104"/>
      <c r="NV48" s="104"/>
      <c r="NW48" s="104"/>
      <c r="NX48" s="104"/>
      <c r="NY48" s="104"/>
      <c r="NZ48" s="104"/>
    </row>
    <row r="49" spans="1:390" ht="15" customHeight="1" x14ac:dyDescent="0.3">
      <c r="A49" s="214">
        <v>4706064317</v>
      </c>
      <c r="B49" s="165" t="s">
        <v>391</v>
      </c>
      <c r="C49" s="215"/>
      <c r="D49" s="216" t="s">
        <v>391</v>
      </c>
      <c r="E49" s="136" t="s">
        <v>671</v>
      </c>
      <c r="F49" s="125" t="s">
        <v>417</v>
      </c>
      <c r="G49" s="221" t="s">
        <v>518</v>
      </c>
      <c r="H49" s="219">
        <v>43423</v>
      </c>
      <c r="I49" s="216" t="s">
        <v>458</v>
      </c>
      <c r="J49" s="153" t="s">
        <v>397</v>
      </c>
      <c r="K49" s="153" t="s">
        <v>398</v>
      </c>
      <c r="L49" s="153" t="s">
        <v>398</v>
      </c>
      <c r="M49" s="164" t="s">
        <v>398</v>
      </c>
      <c r="N49" s="164" t="s">
        <v>398</v>
      </c>
      <c r="O49" s="164" t="s">
        <v>398</v>
      </c>
      <c r="P49" s="164" t="s">
        <v>398</v>
      </c>
      <c r="Q49" s="164" t="s">
        <v>398</v>
      </c>
      <c r="R49" s="164" t="s">
        <v>398</v>
      </c>
      <c r="S49" s="164" t="s">
        <v>398</v>
      </c>
      <c r="T49" s="164" t="s">
        <v>398</v>
      </c>
      <c r="U49" s="164" t="s">
        <v>398</v>
      </c>
      <c r="V49" s="164" t="s">
        <v>398</v>
      </c>
      <c r="W49" s="164" t="s">
        <v>398</v>
      </c>
      <c r="X49" s="164" t="s">
        <v>398</v>
      </c>
      <c r="Y49" s="164" t="s">
        <v>398</v>
      </c>
      <c r="Z49" s="164" t="s">
        <v>398</v>
      </c>
      <c r="AA49" s="164" t="s">
        <v>398</v>
      </c>
      <c r="AB49" s="167" t="s">
        <v>399</v>
      </c>
      <c r="AC49" s="219">
        <v>12699</v>
      </c>
      <c r="AD49" s="107"/>
      <c r="AE49" s="108" t="e">
        <f t="shared" si="0"/>
        <v>#NUM!</v>
      </c>
      <c r="AF49" s="107" t="s">
        <v>621</v>
      </c>
      <c r="AG49" s="79" t="s">
        <v>401</v>
      </c>
      <c r="AH49" s="87" t="s">
        <v>402</v>
      </c>
      <c r="AI49" s="110"/>
      <c r="AJ49" s="110"/>
      <c r="AK49" s="110"/>
      <c r="AL49" s="110"/>
      <c r="AM49" s="105"/>
      <c r="AN49" s="95">
        <v>3</v>
      </c>
      <c r="AO49" s="173" t="s">
        <v>398</v>
      </c>
      <c r="AP49" s="79"/>
      <c r="AQ49" s="106"/>
      <c r="AR49" s="91"/>
      <c r="AS49" s="104"/>
      <c r="AT49" s="104"/>
      <c r="AU49" s="104"/>
      <c r="AV49" s="104"/>
      <c r="AW49" s="91"/>
      <c r="AX49" s="104"/>
      <c r="AY49" s="104"/>
      <c r="AZ49" s="104"/>
      <c r="BA49" s="104"/>
      <c r="BB49" s="91"/>
      <c r="BC49" s="104"/>
      <c r="BD49" s="104"/>
      <c r="BE49" s="104"/>
      <c r="BF49" s="104"/>
      <c r="BG49" s="91"/>
      <c r="BH49" s="104"/>
      <c r="BI49" s="104"/>
      <c r="BJ49" s="104"/>
      <c r="BK49" s="104"/>
      <c r="BL49" s="91"/>
      <c r="BM49" s="104"/>
      <c r="BN49" s="104"/>
      <c r="BO49" s="104"/>
      <c r="BP49" s="104"/>
      <c r="BQ49" s="91"/>
      <c r="BR49" s="104"/>
      <c r="BS49" s="104"/>
      <c r="BT49" s="104"/>
      <c r="BU49" s="104"/>
      <c r="BV49" s="91"/>
      <c r="BW49" s="104"/>
      <c r="BX49" s="104"/>
      <c r="BY49" s="104"/>
      <c r="BZ49" s="104"/>
      <c r="CA49" s="91"/>
      <c r="CB49" s="104"/>
      <c r="CC49" s="104"/>
      <c r="CD49" s="104"/>
      <c r="CE49" s="104"/>
      <c r="CF49" s="91"/>
      <c r="CG49" s="104"/>
      <c r="CH49" s="104"/>
      <c r="CI49" s="104"/>
      <c r="CJ49" s="104"/>
      <c r="CK49" s="91"/>
      <c r="CL49" s="104"/>
      <c r="CM49" s="104"/>
      <c r="CN49" s="104"/>
      <c r="CO49" s="104"/>
      <c r="CP49" s="91"/>
      <c r="CQ49" s="104"/>
      <c r="CR49" s="104"/>
      <c r="CS49" s="104"/>
      <c r="CT49" s="104"/>
      <c r="CU49" s="91"/>
      <c r="CV49" s="104"/>
      <c r="CW49" s="104"/>
      <c r="CX49" s="104"/>
      <c r="CY49" s="104"/>
      <c r="CZ49" s="91"/>
      <c r="DA49" s="104"/>
      <c r="DB49" s="104"/>
      <c r="DC49" s="104"/>
      <c r="DD49" s="104"/>
      <c r="DE49" s="91"/>
      <c r="DF49" s="104"/>
      <c r="DG49" s="104"/>
      <c r="DH49" s="104"/>
      <c r="DI49" s="104"/>
      <c r="DJ49" s="91"/>
      <c r="DK49" s="104"/>
      <c r="DL49" s="104"/>
      <c r="DM49" s="104"/>
      <c r="DN49" s="104"/>
      <c r="DO49" s="91"/>
      <c r="DP49" s="104"/>
      <c r="DQ49" s="104"/>
      <c r="DR49" s="104"/>
      <c r="DS49" s="104"/>
      <c r="DT49" s="91"/>
      <c r="DU49" s="104"/>
      <c r="DV49" s="104"/>
      <c r="DW49" s="104"/>
      <c r="DX49" s="104"/>
      <c r="DY49" s="91"/>
      <c r="DZ49" s="104"/>
      <c r="EA49" s="104"/>
      <c r="EB49" s="104"/>
      <c r="EC49" s="104"/>
      <c r="ED49" s="91"/>
      <c r="EE49" s="104"/>
      <c r="EF49" s="104"/>
      <c r="EG49" s="104"/>
      <c r="EH49" s="104"/>
      <c r="EI49" s="91"/>
      <c r="EJ49" s="104"/>
      <c r="EK49" s="104"/>
      <c r="EL49" s="104"/>
      <c r="EM49" s="104"/>
      <c r="EN49" s="91"/>
      <c r="EO49" s="104"/>
      <c r="EP49" s="104"/>
      <c r="EQ49" s="104"/>
      <c r="ER49" s="104"/>
      <c r="ES49" s="91"/>
      <c r="ET49" s="104"/>
      <c r="EU49" s="104"/>
      <c r="EV49" s="104"/>
      <c r="EW49" s="104"/>
      <c r="EX49" s="91"/>
      <c r="EY49" s="104"/>
      <c r="EZ49" s="104"/>
      <c r="FA49" s="104"/>
      <c r="FB49" s="104"/>
      <c r="FC49" s="91"/>
      <c r="FD49" s="104"/>
      <c r="FE49" s="104"/>
      <c r="FF49" s="104"/>
      <c r="FG49" s="104"/>
      <c r="FH49" s="91"/>
      <c r="FI49" s="104"/>
      <c r="FJ49" s="104"/>
      <c r="FK49" s="104"/>
      <c r="FL49" s="104"/>
      <c r="FM49" s="104"/>
      <c r="FN49" s="104"/>
      <c r="FO49" s="104"/>
      <c r="FP49" s="104"/>
      <c r="FQ49" s="104"/>
      <c r="FR49" s="104"/>
      <c r="FS49" s="104"/>
      <c r="FT49" s="104"/>
      <c r="FU49" s="104"/>
      <c r="FV49" s="104"/>
      <c r="FW49" s="104"/>
      <c r="FX49" s="104"/>
      <c r="FY49" s="104"/>
      <c r="FZ49" s="104"/>
      <c r="GA49" s="104"/>
      <c r="GB49" s="104"/>
      <c r="GC49" s="104"/>
      <c r="GD49" s="104"/>
      <c r="GE49" s="104"/>
      <c r="GF49" s="104"/>
      <c r="GG49" s="104"/>
      <c r="GH49" s="104"/>
      <c r="GI49" s="104"/>
      <c r="GJ49" s="104"/>
      <c r="GK49" s="104"/>
      <c r="GL49" s="104"/>
      <c r="GM49" s="104"/>
      <c r="GN49" s="104"/>
      <c r="GO49" s="104"/>
      <c r="GP49" s="91"/>
      <c r="GQ49" s="104"/>
      <c r="GR49" s="104"/>
      <c r="GS49" s="104"/>
      <c r="GT49" s="104"/>
      <c r="GU49" s="91"/>
      <c r="GV49" s="104"/>
      <c r="GW49" s="104"/>
      <c r="GX49" s="104"/>
      <c r="GY49" s="104"/>
      <c r="GZ49" s="91"/>
      <c r="HA49" s="104"/>
      <c r="HB49" s="104"/>
      <c r="HC49" s="104"/>
      <c r="HD49" s="104"/>
      <c r="HE49" s="91"/>
      <c r="HF49" s="104"/>
      <c r="HG49" s="104"/>
      <c r="HH49" s="104"/>
      <c r="HI49" s="104"/>
      <c r="HJ49" s="91"/>
      <c r="HK49" s="104"/>
      <c r="HL49" s="104"/>
      <c r="HM49" s="104"/>
      <c r="HN49" s="104"/>
      <c r="HO49" s="91"/>
      <c r="HP49" s="104"/>
      <c r="HQ49" s="104"/>
      <c r="HR49" s="104"/>
      <c r="HS49" s="104"/>
      <c r="HT49" s="91"/>
      <c r="HU49" s="104"/>
      <c r="HV49" s="104"/>
      <c r="HW49" s="104"/>
      <c r="HX49" s="104"/>
      <c r="HY49" s="91"/>
      <c r="HZ49" s="104"/>
      <c r="IA49" s="104"/>
      <c r="IB49" s="104"/>
      <c r="IC49" s="104"/>
      <c r="ID49" s="91"/>
      <c r="IE49" s="104"/>
      <c r="IF49" s="104"/>
      <c r="IG49" s="104"/>
      <c r="IH49" s="104"/>
      <c r="II49" s="91"/>
      <c r="IJ49" s="104"/>
      <c r="IK49" s="104"/>
      <c r="IL49" s="104"/>
      <c r="IM49" s="104"/>
      <c r="IN49" s="91"/>
      <c r="IO49" s="104"/>
      <c r="IP49" s="104"/>
      <c r="IQ49" s="104"/>
      <c r="IR49" s="104"/>
      <c r="IS49" s="91"/>
      <c r="IT49" s="104"/>
      <c r="IU49" s="104"/>
      <c r="IV49" s="104"/>
      <c r="IW49" s="104"/>
      <c r="IX49" s="91"/>
      <c r="IY49" s="104"/>
      <c r="IZ49" s="104"/>
      <c r="JA49" s="104"/>
      <c r="JB49" s="104"/>
      <c r="JC49" s="91"/>
      <c r="JD49" s="104"/>
      <c r="JE49" s="104"/>
      <c r="JF49" s="104"/>
      <c r="JG49" s="105"/>
      <c r="JH49" s="91"/>
      <c r="JI49" s="106"/>
      <c r="JJ49" s="104"/>
      <c r="JK49" s="104"/>
      <c r="JL49" s="105"/>
      <c r="JM49" s="95"/>
      <c r="JN49" s="107"/>
      <c r="JO49" s="79"/>
      <c r="JP49" s="106"/>
      <c r="JQ49" s="104"/>
      <c r="JR49" s="104"/>
      <c r="JS49" s="104"/>
      <c r="JT49" s="104"/>
      <c r="JU49" s="104"/>
      <c r="JV49" s="104"/>
      <c r="JW49" s="104"/>
      <c r="JX49" s="104"/>
      <c r="JY49" s="104"/>
      <c r="JZ49" s="104"/>
      <c r="KA49" s="104"/>
      <c r="KB49" s="104"/>
      <c r="KC49" s="104"/>
      <c r="KD49" s="104"/>
      <c r="KE49" s="104"/>
      <c r="KF49" s="104"/>
      <c r="KG49" s="104"/>
      <c r="KH49" s="104"/>
      <c r="KI49" s="104"/>
      <c r="KJ49" s="104"/>
      <c r="KK49" s="104"/>
      <c r="KL49" s="104"/>
      <c r="KM49" s="104"/>
      <c r="KN49" s="104"/>
      <c r="KO49" s="104"/>
      <c r="KP49" s="104"/>
      <c r="KQ49" s="104"/>
      <c r="KR49" s="104"/>
      <c r="KS49" s="104"/>
      <c r="KT49" s="104"/>
      <c r="KU49" s="104"/>
      <c r="KV49" s="104"/>
      <c r="KW49" s="104"/>
      <c r="KX49" s="104"/>
      <c r="KY49" s="104"/>
      <c r="KZ49" s="104"/>
      <c r="LA49" s="104"/>
      <c r="LB49" s="104"/>
      <c r="LC49" s="104"/>
      <c r="LD49" s="104"/>
      <c r="LE49" s="104"/>
      <c r="LF49" s="104"/>
      <c r="LG49" s="104"/>
      <c r="LH49" s="104"/>
      <c r="LI49" s="104"/>
      <c r="LJ49" s="104"/>
      <c r="LK49" s="104"/>
      <c r="LL49" s="104"/>
      <c r="LM49" s="104"/>
      <c r="LN49" s="104"/>
      <c r="LO49" s="104"/>
      <c r="LP49" s="104"/>
      <c r="LQ49" s="104"/>
      <c r="LR49" s="104"/>
      <c r="LS49" s="104"/>
      <c r="LT49" s="104"/>
      <c r="LU49" s="104"/>
      <c r="LV49" s="104"/>
      <c r="LW49" s="104"/>
      <c r="LX49" s="104"/>
      <c r="LY49" s="104"/>
      <c r="LZ49" s="104"/>
      <c r="MA49" s="104"/>
      <c r="MB49" s="104"/>
      <c r="MC49" s="104"/>
      <c r="MD49" s="104"/>
      <c r="ME49" s="104"/>
      <c r="MF49" s="104"/>
      <c r="MG49" s="104"/>
      <c r="MH49" s="104"/>
      <c r="MI49" s="104"/>
      <c r="MJ49" s="104"/>
      <c r="MK49" s="104"/>
      <c r="ML49" s="104"/>
      <c r="MM49" s="104"/>
      <c r="MN49" s="104"/>
      <c r="MO49" s="104"/>
      <c r="MP49" s="104"/>
      <c r="MQ49" s="104"/>
      <c r="MR49" s="104"/>
      <c r="MS49" s="104"/>
      <c r="MT49" s="104"/>
      <c r="MU49" s="104"/>
      <c r="MV49" s="104"/>
      <c r="MW49" s="104"/>
      <c r="MX49" s="104"/>
      <c r="MY49" s="104"/>
      <c r="MZ49" s="104"/>
      <c r="NA49" s="104"/>
      <c r="NB49" s="104"/>
      <c r="NC49" s="104"/>
      <c r="ND49" s="104"/>
      <c r="NE49" s="104"/>
      <c r="NF49" s="104"/>
      <c r="NG49" s="104"/>
      <c r="NH49" s="104"/>
      <c r="NI49" s="104"/>
      <c r="NJ49" s="104"/>
      <c r="NK49" s="104"/>
      <c r="NL49" s="104"/>
      <c r="NM49" s="104"/>
      <c r="NN49" s="104"/>
      <c r="NO49" s="104"/>
      <c r="NP49" s="104"/>
      <c r="NQ49" s="104"/>
      <c r="NR49" s="104"/>
      <c r="NS49" s="104"/>
      <c r="NT49" s="104"/>
      <c r="NU49" s="104"/>
      <c r="NV49" s="104"/>
      <c r="NW49" s="104"/>
      <c r="NX49" s="104"/>
      <c r="NY49" s="104"/>
      <c r="NZ49" s="104"/>
    </row>
    <row r="50" spans="1:390" ht="15" customHeight="1" x14ac:dyDescent="0.3">
      <c r="A50" s="214">
        <v>4520871522</v>
      </c>
      <c r="B50" s="165" t="s">
        <v>391</v>
      </c>
      <c r="C50" s="215"/>
      <c r="D50" s="216" t="s">
        <v>391</v>
      </c>
      <c r="E50" s="136" t="s">
        <v>672</v>
      </c>
      <c r="F50" s="125" t="s">
        <v>408</v>
      </c>
      <c r="G50" s="221" t="s">
        <v>465</v>
      </c>
      <c r="H50" s="219">
        <v>43437</v>
      </c>
      <c r="I50" s="216" t="s">
        <v>458</v>
      </c>
      <c r="J50" s="153" t="s">
        <v>397</v>
      </c>
      <c r="K50" s="153" t="s">
        <v>398</v>
      </c>
      <c r="L50" s="153" t="s">
        <v>398</v>
      </c>
      <c r="M50" s="164" t="s">
        <v>398</v>
      </c>
      <c r="N50" s="164" t="s">
        <v>398</v>
      </c>
      <c r="O50" s="164" t="s">
        <v>398</v>
      </c>
      <c r="P50" s="164" t="s">
        <v>398</v>
      </c>
      <c r="Q50" s="164" t="s">
        <v>398</v>
      </c>
      <c r="R50" s="164" t="s">
        <v>398</v>
      </c>
      <c r="S50" s="164" t="s">
        <v>398</v>
      </c>
      <c r="T50" s="164" t="s">
        <v>398</v>
      </c>
      <c r="U50" s="164" t="s">
        <v>398</v>
      </c>
      <c r="V50" s="164" t="s">
        <v>398</v>
      </c>
      <c r="W50" s="164" t="s">
        <v>398</v>
      </c>
      <c r="X50" s="164" t="s">
        <v>398</v>
      </c>
      <c r="Y50" s="164" t="s">
        <v>398</v>
      </c>
      <c r="Z50" s="164" t="s">
        <v>398</v>
      </c>
      <c r="AA50" s="164" t="s">
        <v>398</v>
      </c>
      <c r="AB50" s="167" t="s">
        <v>399</v>
      </c>
      <c r="AC50" s="219">
        <v>18676</v>
      </c>
      <c r="AD50" s="107"/>
      <c r="AE50" s="108" t="e">
        <f t="shared" si="0"/>
        <v>#NUM!</v>
      </c>
      <c r="AF50" s="107" t="s">
        <v>477</v>
      </c>
      <c r="AG50" s="79" t="s">
        <v>401</v>
      </c>
      <c r="AH50" s="87" t="s">
        <v>402</v>
      </c>
      <c r="AI50" s="110"/>
      <c r="AJ50" s="110"/>
      <c r="AK50" s="110"/>
      <c r="AL50" s="110"/>
      <c r="AM50" s="105"/>
      <c r="AN50" s="95">
        <v>1</v>
      </c>
      <c r="AO50" s="173" t="s">
        <v>398</v>
      </c>
      <c r="AP50" s="79"/>
      <c r="AQ50" s="106"/>
      <c r="AR50" s="91"/>
      <c r="AS50" s="104"/>
      <c r="AT50" s="104"/>
      <c r="AU50" s="104"/>
      <c r="AV50" s="104"/>
      <c r="AW50" s="91"/>
      <c r="AX50" s="104"/>
      <c r="AY50" s="104"/>
      <c r="AZ50" s="104"/>
      <c r="BA50" s="104"/>
      <c r="BB50" s="91"/>
      <c r="BC50" s="104"/>
      <c r="BD50" s="104"/>
      <c r="BE50" s="104"/>
      <c r="BF50" s="104"/>
      <c r="BG50" s="91"/>
      <c r="BH50" s="104"/>
      <c r="BI50" s="104"/>
      <c r="BJ50" s="104"/>
      <c r="BK50" s="104"/>
      <c r="BL50" s="91"/>
      <c r="BM50" s="104"/>
      <c r="BN50" s="104"/>
      <c r="BO50" s="104"/>
      <c r="BP50" s="104"/>
      <c r="BQ50" s="91"/>
      <c r="BR50" s="104"/>
      <c r="BS50" s="104"/>
      <c r="BT50" s="104"/>
      <c r="BU50" s="104"/>
      <c r="BV50" s="91"/>
      <c r="BW50" s="104"/>
      <c r="BX50" s="104"/>
      <c r="BY50" s="104"/>
      <c r="BZ50" s="104"/>
      <c r="CA50" s="91"/>
      <c r="CB50" s="104"/>
      <c r="CC50" s="104"/>
      <c r="CD50" s="104"/>
      <c r="CE50" s="104"/>
      <c r="CF50" s="91"/>
      <c r="CG50" s="104"/>
      <c r="CH50" s="104"/>
      <c r="CI50" s="104"/>
      <c r="CJ50" s="104"/>
      <c r="CK50" s="91"/>
      <c r="CL50" s="104"/>
      <c r="CM50" s="104"/>
      <c r="CN50" s="104"/>
      <c r="CO50" s="104"/>
      <c r="CP50" s="91"/>
      <c r="CQ50" s="104"/>
      <c r="CR50" s="104"/>
      <c r="CS50" s="104"/>
      <c r="CT50" s="104"/>
      <c r="CU50" s="91"/>
      <c r="CV50" s="104"/>
      <c r="CW50" s="104"/>
      <c r="CX50" s="104"/>
      <c r="CY50" s="104"/>
      <c r="CZ50" s="91"/>
      <c r="DA50" s="104"/>
      <c r="DB50" s="104"/>
      <c r="DC50" s="104"/>
      <c r="DD50" s="104"/>
      <c r="DE50" s="91"/>
      <c r="DF50" s="104"/>
      <c r="DG50" s="104"/>
      <c r="DH50" s="104"/>
      <c r="DI50" s="104"/>
      <c r="DJ50" s="91"/>
      <c r="DK50" s="104"/>
      <c r="DL50" s="104"/>
      <c r="DM50" s="104"/>
      <c r="DN50" s="104"/>
      <c r="DO50" s="91"/>
      <c r="DP50" s="104"/>
      <c r="DQ50" s="104"/>
      <c r="DR50" s="104"/>
      <c r="DS50" s="104"/>
      <c r="DT50" s="91"/>
      <c r="DU50" s="104"/>
      <c r="DV50" s="104"/>
      <c r="DW50" s="104"/>
      <c r="DX50" s="104"/>
      <c r="DY50" s="91"/>
      <c r="DZ50" s="104"/>
      <c r="EA50" s="104"/>
      <c r="EB50" s="104"/>
      <c r="EC50" s="104"/>
      <c r="ED50" s="91"/>
      <c r="EE50" s="104"/>
      <c r="EF50" s="104"/>
      <c r="EG50" s="104"/>
      <c r="EH50" s="104"/>
      <c r="EI50" s="91"/>
      <c r="EJ50" s="104"/>
      <c r="EK50" s="104"/>
      <c r="EL50" s="104"/>
      <c r="EM50" s="104"/>
      <c r="EN50" s="91"/>
      <c r="EO50" s="104"/>
      <c r="EP50" s="104"/>
      <c r="EQ50" s="104"/>
      <c r="ER50" s="104"/>
      <c r="ES50" s="91"/>
      <c r="ET50" s="104"/>
      <c r="EU50" s="104"/>
      <c r="EV50" s="104"/>
      <c r="EW50" s="104"/>
      <c r="EX50" s="91"/>
      <c r="EY50" s="104"/>
      <c r="EZ50" s="104"/>
      <c r="FA50" s="104"/>
      <c r="FB50" s="104"/>
      <c r="FC50" s="91"/>
      <c r="FD50" s="104"/>
      <c r="FE50" s="104"/>
      <c r="FF50" s="104"/>
      <c r="FG50" s="104"/>
      <c r="FH50" s="91"/>
      <c r="FI50" s="104"/>
      <c r="FJ50" s="104"/>
      <c r="FK50" s="104"/>
      <c r="FL50" s="104"/>
      <c r="FM50" s="104"/>
      <c r="FN50" s="104"/>
      <c r="FO50" s="104"/>
      <c r="FP50" s="104"/>
      <c r="FQ50" s="104"/>
      <c r="FR50" s="104"/>
      <c r="FS50" s="104"/>
      <c r="FT50" s="104"/>
      <c r="FU50" s="104"/>
      <c r="FV50" s="104"/>
      <c r="FW50" s="104"/>
      <c r="FX50" s="104"/>
      <c r="FY50" s="104"/>
      <c r="FZ50" s="104"/>
      <c r="GA50" s="104"/>
      <c r="GB50" s="104"/>
      <c r="GC50" s="104"/>
      <c r="GD50" s="104"/>
      <c r="GE50" s="104"/>
      <c r="GF50" s="104"/>
      <c r="GG50" s="104"/>
      <c r="GH50" s="104"/>
      <c r="GI50" s="104"/>
      <c r="GJ50" s="104"/>
      <c r="GK50" s="104"/>
      <c r="GL50" s="104"/>
      <c r="GM50" s="104"/>
      <c r="GN50" s="104"/>
      <c r="GO50" s="104"/>
      <c r="GP50" s="91"/>
      <c r="GQ50" s="104"/>
      <c r="GR50" s="104"/>
      <c r="GS50" s="104"/>
      <c r="GT50" s="104"/>
      <c r="GU50" s="91"/>
      <c r="GV50" s="104"/>
      <c r="GW50" s="104"/>
      <c r="GX50" s="104"/>
      <c r="GY50" s="104"/>
      <c r="GZ50" s="91"/>
      <c r="HA50" s="104"/>
      <c r="HB50" s="104"/>
      <c r="HC50" s="104"/>
      <c r="HD50" s="104"/>
      <c r="HE50" s="91"/>
      <c r="HF50" s="104"/>
      <c r="HG50" s="104"/>
      <c r="HH50" s="104"/>
      <c r="HI50" s="104"/>
      <c r="HJ50" s="91"/>
      <c r="HK50" s="104"/>
      <c r="HL50" s="104"/>
      <c r="HM50" s="104"/>
      <c r="HN50" s="104"/>
      <c r="HO50" s="91"/>
      <c r="HP50" s="104"/>
      <c r="HQ50" s="104"/>
      <c r="HR50" s="104"/>
      <c r="HS50" s="104"/>
      <c r="HT50" s="91"/>
      <c r="HU50" s="104"/>
      <c r="HV50" s="104"/>
      <c r="HW50" s="104"/>
      <c r="HX50" s="104"/>
      <c r="HY50" s="91"/>
      <c r="HZ50" s="104"/>
      <c r="IA50" s="104"/>
      <c r="IB50" s="104"/>
      <c r="IC50" s="104"/>
      <c r="ID50" s="91"/>
      <c r="IE50" s="104"/>
      <c r="IF50" s="104"/>
      <c r="IG50" s="104"/>
      <c r="IH50" s="104"/>
      <c r="II50" s="91"/>
      <c r="IJ50" s="104"/>
      <c r="IK50" s="104"/>
      <c r="IL50" s="104"/>
      <c r="IM50" s="104"/>
      <c r="IN50" s="91"/>
      <c r="IO50" s="104"/>
      <c r="IP50" s="104"/>
      <c r="IQ50" s="104"/>
      <c r="IR50" s="104"/>
      <c r="IS50" s="91"/>
      <c r="IT50" s="104"/>
      <c r="IU50" s="104"/>
      <c r="IV50" s="104"/>
      <c r="IW50" s="104"/>
      <c r="IX50" s="91"/>
      <c r="IY50" s="104"/>
      <c r="IZ50" s="104"/>
      <c r="JA50" s="104"/>
      <c r="JB50" s="104"/>
      <c r="JC50" s="91"/>
      <c r="JD50" s="104"/>
      <c r="JE50" s="104"/>
      <c r="JF50" s="104"/>
      <c r="JG50" s="105"/>
      <c r="JH50" s="91"/>
      <c r="JI50" s="106"/>
      <c r="JJ50" s="104"/>
      <c r="JK50" s="104"/>
      <c r="JL50" s="105"/>
      <c r="JM50" s="95"/>
      <c r="JN50" s="107"/>
      <c r="JO50" s="79"/>
      <c r="JP50" s="106"/>
      <c r="JQ50" s="104"/>
      <c r="JR50" s="104"/>
      <c r="JS50" s="104"/>
      <c r="JT50" s="104"/>
      <c r="JU50" s="104"/>
      <c r="JV50" s="104"/>
      <c r="JW50" s="104"/>
      <c r="JX50" s="104"/>
      <c r="JY50" s="104"/>
      <c r="JZ50" s="104"/>
      <c r="KA50" s="104"/>
      <c r="KB50" s="104"/>
      <c r="KC50" s="104"/>
      <c r="KD50" s="104"/>
      <c r="KE50" s="104"/>
      <c r="KF50" s="104"/>
      <c r="KG50" s="104"/>
      <c r="KH50" s="104"/>
      <c r="KI50" s="104"/>
      <c r="KJ50" s="104"/>
      <c r="KK50" s="104"/>
      <c r="KL50" s="104"/>
      <c r="KM50" s="104"/>
      <c r="KN50" s="104"/>
      <c r="KO50" s="104"/>
      <c r="KP50" s="104"/>
      <c r="KQ50" s="104"/>
      <c r="KR50" s="104"/>
      <c r="KS50" s="104"/>
      <c r="KT50" s="104"/>
      <c r="KU50" s="104"/>
      <c r="KV50" s="104"/>
      <c r="KW50" s="104"/>
      <c r="KX50" s="104"/>
      <c r="KY50" s="104"/>
      <c r="KZ50" s="104"/>
      <c r="LA50" s="104"/>
      <c r="LB50" s="104"/>
      <c r="LC50" s="104"/>
      <c r="LD50" s="104"/>
      <c r="LE50" s="104"/>
      <c r="LF50" s="104"/>
      <c r="LG50" s="104"/>
      <c r="LH50" s="104"/>
      <c r="LI50" s="104"/>
      <c r="LJ50" s="104"/>
      <c r="LK50" s="104"/>
      <c r="LL50" s="104"/>
      <c r="LM50" s="104"/>
      <c r="LN50" s="104"/>
      <c r="LO50" s="104"/>
      <c r="LP50" s="104"/>
      <c r="LQ50" s="104"/>
      <c r="LR50" s="104"/>
      <c r="LS50" s="104"/>
      <c r="LT50" s="104"/>
      <c r="LU50" s="104"/>
      <c r="LV50" s="104"/>
      <c r="LW50" s="104"/>
      <c r="LX50" s="104"/>
      <c r="LY50" s="104"/>
      <c r="LZ50" s="104"/>
      <c r="MA50" s="104"/>
      <c r="MB50" s="104"/>
      <c r="MC50" s="104"/>
      <c r="MD50" s="104"/>
      <c r="ME50" s="104"/>
      <c r="MF50" s="104"/>
      <c r="MG50" s="104"/>
      <c r="MH50" s="104"/>
      <c r="MI50" s="104"/>
      <c r="MJ50" s="104"/>
      <c r="MK50" s="104"/>
      <c r="ML50" s="104"/>
      <c r="MM50" s="104"/>
      <c r="MN50" s="104"/>
      <c r="MO50" s="104"/>
      <c r="MP50" s="104"/>
      <c r="MQ50" s="104"/>
      <c r="MR50" s="104"/>
      <c r="MS50" s="104"/>
      <c r="MT50" s="104"/>
      <c r="MU50" s="104"/>
      <c r="MV50" s="104"/>
      <c r="MW50" s="104"/>
      <c r="MX50" s="104"/>
      <c r="MY50" s="104"/>
      <c r="MZ50" s="104"/>
      <c r="NA50" s="104"/>
      <c r="NB50" s="104"/>
      <c r="NC50" s="104"/>
      <c r="ND50" s="104"/>
      <c r="NE50" s="104"/>
      <c r="NF50" s="104"/>
      <c r="NG50" s="104"/>
      <c r="NH50" s="104"/>
      <c r="NI50" s="104"/>
      <c r="NJ50" s="104"/>
      <c r="NK50" s="104"/>
      <c r="NL50" s="104"/>
      <c r="NM50" s="104"/>
      <c r="NN50" s="104"/>
      <c r="NO50" s="104"/>
      <c r="NP50" s="104"/>
      <c r="NQ50" s="104"/>
      <c r="NR50" s="104"/>
      <c r="NS50" s="104"/>
      <c r="NT50" s="104"/>
      <c r="NU50" s="104"/>
      <c r="NV50" s="104"/>
      <c r="NW50" s="104"/>
      <c r="NX50" s="104"/>
      <c r="NY50" s="104"/>
      <c r="NZ50" s="104"/>
    </row>
    <row r="51" spans="1:390" ht="15" customHeight="1" x14ac:dyDescent="0.3">
      <c r="A51" s="214">
        <v>4520069742</v>
      </c>
      <c r="B51" s="165" t="s">
        <v>391</v>
      </c>
      <c r="C51" s="215"/>
      <c r="D51" s="216" t="s">
        <v>391</v>
      </c>
      <c r="E51" s="136" t="s">
        <v>673</v>
      </c>
      <c r="F51" s="125" t="s">
        <v>395</v>
      </c>
      <c r="G51" s="221" t="s">
        <v>465</v>
      </c>
      <c r="H51" s="219">
        <v>43444</v>
      </c>
      <c r="I51" s="216" t="s">
        <v>513</v>
      </c>
      <c r="J51" s="153" t="s">
        <v>397</v>
      </c>
      <c r="K51" s="153" t="s">
        <v>398</v>
      </c>
      <c r="L51" s="153" t="s">
        <v>398</v>
      </c>
      <c r="M51" s="164" t="s">
        <v>398</v>
      </c>
      <c r="N51" s="164" t="s">
        <v>398</v>
      </c>
      <c r="O51" s="164" t="s">
        <v>398</v>
      </c>
      <c r="P51" s="164" t="s">
        <v>398</v>
      </c>
      <c r="Q51" s="164" t="s">
        <v>398</v>
      </c>
      <c r="R51" s="164" t="s">
        <v>398</v>
      </c>
      <c r="S51" s="164" t="s">
        <v>398</v>
      </c>
      <c r="T51" s="164" t="s">
        <v>398</v>
      </c>
      <c r="U51" s="164" t="s">
        <v>398</v>
      </c>
      <c r="V51" s="164" t="s">
        <v>398</v>
      </c>
      <c r="W51" s="164" t="s">
        <v>398</v>
      </c>
      <c r="X51" s="164" t="s">
        <v>398</v>
      </c>
      <c r="Y51" s="164" t="s">
        <v>398</v>
      </c>
      <c r="Z51" s="164" t="s">
        <v>398</v>
      </c>
      <c r="AA51" s="164" t="s">
        <v>398</v>
      </c>
      <c r="AB51" s="167" t="s">
        <v>399</v>
      </c>
      <c r="AC51" s="219">
        <v>18430</v>
      </c>
      <c r="AD51" s="107"/>
      <c r="AE51" s="108" t="e">
        <f t="shared" si="0"/>
        <v>#NUM!</v>
      </c>
      <c r="AF51" s="107" t="s">
        <v>621</v>
      </c>
      <c r="AG51" s="79" t="s">
        <v>401</v>
      </c>
      <c r="AH51" s="87" t="s">
        <v>391</v>
      </c>
      <c r="AI51" s="110"/>
      <c r="AJ51" s="110"/>
      <c r="AK51" s="110"/>
      <c r="AL51" s="110"/>
      <c r="AM51" s="105"/>
      <c r="AN51" s="95">
        <v>3</v>
      </c>
      <c r="AO51" s="173" t="s">
        <v>398</v>
      </c>
      <c r="AP51" s="79"/>
      <c r="AQ51" s="106"/>
      <c r="AR51" s="91"/>
      <c r="AS51" s="104"/>
      <c r="AT51" s="104"/>
      <c r="AU51" s="104"/>
      <c r="AV51" s="104"/>
      <c r="AW51" s="91"/>
      <c r="AX51" s="104"/>
      <c r="AY51" s="104"/>
      <c r="AZ51" s="104"/>
      <c r="BA51" s="104"/>
      <c r="BB51" s="91"/>
      <c r="BC51" s="104"/>
      <c r="BD51" s="104"/>
      <c r="BE51" s="104"/>
      <c r="BF51" s="104"/>
      <c r="BG51" s="91"/>
      <c r="BH51" s="104"/>
      <c r="BI51" s="104"/>
      <c r="BJ51" s="104"/>
      <c r="BK51" s="104"/>
      <c r="BL51" s="91"/>
      <c r="BM51" s="104"/>
      <c r="BN51" s="104"/>
      <c r="BO51" s="104"/>
      <c r="BP51" s="104"/>
      <c r="BQ51" s="91"/>
      <c r="BR51" s="104"/>
      <c r="BS51" s="104"/>
      <c r="BT51" s="104"/>
      <c r="BU51" s="104"/>
      <c r="BV51" s="91"/>
      <c r="BW51" s="104"/>
      <c r="BX51" s="104"/>
      <c r="BY51" s="104"/>
      <c r="BZ51" s="104"/>
      <c r="CA51" s="91"/>
      <c r="CB51" s="104"/>
      <c r="CC51" s="104"/>
      <c r="CD51" s="104"/>
      <c r="CE51" s="104"/>
      <c r="CF51" s="91"/>
      <c r="CG51" s="104"/>
      <c r="CH51" s="104"/>
      <c r="CI51" s="104"/>
      <c r="CJ51" s="104"/>
      <c r="CK51" s="91"/>
      <c r="CL51" s="104"/>
      <c r="CM51" s="104"/>
      <c r="CN51" s="104"/>
      <c r="CO51" s="104"/>
      <c r="CP51" s="91"/>
      <c r="CQ51" s="104"/>
      <c r="CR51" s="104"/>
      <c r="CS51" s="104"/>
      <c r="CT51" s="104"/>
      <c r="CU51" s="91"/>
      <c r="CV51" s="104"/>
      <c r="CW51" s="104"/>
      <c r="CX51" s="104"/>
      <c r="CY51" s="104"/>
      <c r="CZ51" s="91"/>
      <c r="DA51" s="104"/>
      <c r="DB51" s="104"/>
      <c r="DC51" s="104"/>
      <c r="DD51" s="104"/>
      <c r="DE51" s="91"/>
      <c r="DF51" s="104"/>
      <c r="DG51" s="104"/>
      <c r="DH51" s="104"/>
      <c r="DI51" s="104"/>
      <c r="DJ51" s="91"/>
      <c r="DK51" s="104"/>
      <c r="DL51" s="104"/>
      <c r="DM51" s="104"/>
      <c r="DN51" s="104"/>
      <c r="DO51" s="91"/>
      <c r="DP51" s="104"/>
      <c r="DQ51" s="104"/>
      <c r="DR51" s="104"/>
      <c r="DS51" s="104"/>
      <c r="DT51" s="91"/>
      <c r="DU51" s="104"/>
      <c r="DV51" s="104"/>
      <c r="DW51" s="104"/>
      <c r="DX51" s="104"/>
      <c r="DY51" s="91"/>
      <c r="DZ51" s="104"/>
      <c r="EA51" s="104"/>
      <c r="EB51" s="104"/>
      <c r="EC51" s="104"/>
      <c r="ED51" s="91"/>
      <c r="EE51" s="104"/>
      <c r="EF51" s="104"/>
      <c r="EG51" s="104"/>
      <c r="EH51" s="104"/>
      <c r="EI51" s="91"/>
      <c r="EJ51" s="104"/>
      <c r="EK51" s="104"/>
      <c r="EL51" s="104"/>
      <c r="EM51" s="104"/>
      <c r="EN51" s="91"/>
      <c r="EO51" s="104"/>
      <c r="EP51" s="104"/>
      <c r="EQ51" s="104"/>
      <c r="ER51" s="104"/>
      <c r="ES51" s="91"/>
      <c r="ET51" s="104"/>
      <c r="EU51" s="104"/>
      <c r="EV51" s="104"/>
      <c r="EW51" s="104"/>
      <c r="EX51" s="91"/>
      <c r="EY51" s="104"/>
      <c r="EZ51" s="104"/>
      <c r="FA51" s="104"/>
      <c r="FB51" s="104"/>
      <c r="FC51" s="91"/>
      <c r="FD51" s="104"/>
      <c r="FE51" s="104"/>
      <c r="FF51" s="104"/>
      <c r="FG51" s="104"/>
      <c r="FH51" s="91"/>
      <c r="FI51" s="104"/>
      <c r="FJ51" s="104"/>
      <c r="FK51" s="104"/>
      <c r="FL51" s="104"/>
      <c r="FM51" s="104"/>
      <c r="FN51" s="104"/>
      <c r="FO51" s="104"/>
      <c r="FP51" s="104"/>
      <c r="FQ51" s="104"/>
      <c r="FR51" s="104"/>
      <c r="FS51" s="104"/>
      <c r="FT51" s="104"/>
      <c r="FU51" s="104"/>
      <c r="FV51" s="104"/>
      <c r="FW51" s="104"/>
      <c r="FX51" s="104"/>
      <c r="FY51" s="104"/>
      <c r="FZ51" s="104"/>
      <c r="GA51" s="104"/>
      <c r="GB51" s="104"/>
      <c r="GC51" s="104"/>
      <c r="GD51" s="104"/>
      <c r="GE51" s="104"/>
      <c r="GF51" s="104"/>
      <c r="GG51" s="104"/>
      <c r="GH51" s="104"/>
      <c r="GI51" s="104"/>
      <c r="GJ51" s="104"/>
      <c r="GK51" s="104"/>
      <c r="GL51" s="104"/>
      <c r="GM51" s="104"/>
      <c r="GN51" s="104"/>
      <c r="GO51" s="104"/>
      <c r="GP51" s="91"/>
      <c r="GQ51" s="104"/>
      <c r="GR51" s="104"/>
      <c r="GS51" s="104"/>
      <c r="GT51" s="104"/>
      <c r="GU51" s="91"/>
      <c r="GV51" s="104"/>
      <c r="GW51" s="104"/>
      <c r="GX51" s="104"/>
      <c r="GY51" s="104"/>
      <c r="GZ51" s="91"/>
      <c r="HA51" s="104"/>
      <c r="HB51" s="104"/>
      <c r="HC51" s="104"/>
      <c r="HD51" s="104"/>
      <c r="HE51" s="91"/>
      <c r="HF51" s="104"/>
      <c r="HG51" s="104"/>
      <c r="HH51" s="104"/>
      <c r="HI51" s="104"/>
      <c r="HJ51" s="91"/>
      <c r="HK51" s="104"/>
      <c r="HL51" s="104"/>
      <c r="HM51" s="104"/>
      <c r="HN51" s="104"/>
      <c r="HO51" s="91"/>
      <c r="HP51" s="104"/>
      <c r="HQ51" s="104"/>
      <c r="HR51" s="104"/>
      <c r="HS51" s="104"/>
      <c r="HT51" s="91"/>
      <c r="HU51" s="104"/>
      <c r="HV51" s="104"/>
      <c r="HW51" s="104"/>
      <c r="HX51" s="104"/>
      <c r="HY51" s="91"/>
      <c r="HZ51" s="104"/>
      <c r="IA51" s="104"/>
      <c r="IB51" s="104"/>
      <c r="IC51" s="104"/>
      <c r="ID51" s="91"/>
      <c r="IE51" s="104"/>
      <c r="IF51" s="104"/>
      <c r="IG51" s="104"/>
      <c r="IH51" s="104"/>
      <c r="II51" s="91"/>
      <c r="IJ51" s="104"/>
      <c r="IK51" s="104"/>
      <c r="IL51" s="104"/>
      <c r="IM51" s="104"/>
      <c r="IN51" s="91"/>
      <c r="IO51" s="104"/>
      <c r="IP51" s="104"/>
      <c r="IQ51" s="104"/>
      <c r="IR51" s="104"/>
      <c r="IS51" s="91"/>
      <c r="IT51" s="104"/>
      <c r="IU51" s="104"/>
      <c r="IV51" s="104"/>
      <c r="IW51" s="104"/>
      <c r="IX51" s="91"/>
      <c r="IY51" s="104"/>
      <c r="IZ51" s="104"/>
      <c r="JA51" s="104"/>
      <c r="JB51" s="104"/>
      <c r="JC51" s="91"/>
      <c r="JD51" s="104"/>
      <c r="JE51" s="104"/>
      <c r="JF51" s="104"/>
      <c r="JG51" s="105"/>
      <c r="JH51" s="91"/>
      <c r="JI51" s="106"/>
      <c r="JJ51" s="104"/>
      <c r="JK51" s="104"/>
      <c r="JL51" s="105"/>
      <c r="JM51" s="95"/>
      <c r="JN51" s="107"/>
      <c r="JO51" s="79"/>
      <c r="JP51" s="106"/>
      <c r="JQ51" s="104"/>
      <c r="JR51" s="104"/>
      <c r="JS51" s="104"/>
      <c r="JT51" s="104"/>
      <c r="JU51" s="104"/>
      <c r="JV51" s="104"/>
      <c r="JW51" s="104"/>
      <c r="JX51" s="104"/>
      <c r="JY51" s="104"/>
      <c r="JZ51" s="104"/>
      <c r="KA51" s="104"/>
      <c r="KB51" s="104"/>
      <c r="KC51" s="104"/>
      <c r="KD51" s="104"/>
      <c r="KE51" s="104"/>
      <c r="KF51" s="104"/>
      <c r="KG51" s="104"/>
      <c r="KH51" s="104"/>
      <c r="KI51" s="104"/>
      <c r="KJ51" s="104"/>
      <c r="KK51" s="104"/>
      <c r="KL51" s="104"/>
      <c r="KM51" s="104"/>
      <c r="KN51" s="104"/>
      <c r="KO51" s="104"/>
      <c r="KP51" s="104"/>
      <c r="KQ51" s="104"/>
      <c r="KR51" s="104"/>
      <c r="KS51" s="104"/>
      <c r="KT51" s="104"/>
      <c r="KU51" s="104"/>
      <c r="KV51" s="104"/>
      <c r="KW51" s="104"/>
      <c r="KX51" s="104"/>
      <c r="KY51" s="104"/>
      <c r="KZ51" s="104"/>
      <c r="LA51" s="104"/>
      <c r="LB51" s="104"/>
      <c r="LC51" s="104"/>
      <c r="LD51" s="104"/>
      <c r="LE51" s="104"/>
      <c r="LF51" s="104"/>
      <c r="LG51" s="104"/>
      <c r="LH51" s="104"/>
      <c r="LI51" s="104"/>
      <c r="LJ51" s="104"/>
      <c r="LK51" s="104"/>
      <c r="LL51" s="104"/>
      <c r="LM51" s="104"/>
      <c r="LN51" s="104"/>
      <c r="LO51" s="104"/>
      <c r="LP51" s="104"/>
      <c r="LQ51" s="104"/>
      <c r="LR51" s="104"/>
      <c r="LS51" s="104"/>
      <c r="LT51" s="104"/>
      <c r="LU51" s="104"/>
      <c r="LV51" s="104"/>
      <c r="LW51" s="104"/>
      <c r="LX51" s="104"/>
      <c r="LY51" s="104"/>
      <c r="LZ51" s="104"/>
      <c r="MA51" s="104"/>
      <c r="MB51" s="104"/>
      <c r="MC51" s="104"/>
      <c r="MD51" s="104"/>
      <c r="ME51" s="104"/>
      <c r="MF51" s="104"/>
      <c r="MG51" s="104"/>
      <c r="MH51" s="104"/>
      <c r="MI51" s="104"/>
      <c r="MJ51" s="104"/>
      <c r="MK51" s="104"/>
      <c r="ML51" s="104"/>
      <c r="MM51" s="104"/>
      <c r="MN51" s="104"/>
      <c r="MO51" s="104"/>
      <c r="MP51" s="104"/>
      <c r="MQ51" s="104"/>
      <c r="MR51" s="104"/>
      <c r="MS51" s="104"/>
      <c r="MT51" s="104"/>
      <c r="MU51" s="104"/>
      <c r="MV51" s="104"/>
      <c r="MW51" s="104"/>
      <c r="MX51" s="104"/>
      <c r="MY51" s="104"/>
      <c r="MZ51" s="104"/>
      <c r="NA51" s="104"/>
      <c r="NB51" s="104"/>
      <c r="NC51" s="104"/>
      <c r="ND51" s="104"/>
      <c r="NE51" s="104"/>
      <c r="NF51" s="104"/>
      <c r="NG51" s="104"/>
      <c r="NH51" s="104"/>
      <c r="NI51" s="104"/>
      <c r="NJ51" s="104"/>
      <c r="NK51" s="104"/>
      <c r="NL51" s="104"/>
      <c r="NM51" s="104"/>
      <c r="NN51" s="104"/>
      <c r="NO51" s="104"/>
      <c r="NP51" s="104"/>
      <c r="NQ51" s="104"/>
      <c r="NR51" s="104"/>
      <c r="NS51" s="104"/>
      <c r="NT51" s="104"/>
      <c r="NU51" s="104"/>
      <c r="NV51" s="104"/>
      <c r="NW51" s="104"/>
      <c r="NX51" s="104"/>
      <c r="NY51" s="104"/>
      <c r="NZ51" s="104"/>
    </row>
    <row r="52" spans="1:390" ht="15" customHeight="1" x14ac:dyDescent="0.3">
      <c r="A52" s="214">
        <v>6300250199</v>
      </c>
      <c r="B52" s="165" t="s">
        <v>391</v>
      </c>
      <c r="C52" s="215"/>
      <c r="D52" s="216" t="s">
        <v>391</v>
      </c>
      <c r="E52" s="136" t="s">
        <v>674</v>
      </c>
      <c r="F52" s="125" t="s">
        <v>471</v>
      </c>
      <c r="G52" s="221" t="s">
        <v>442</v>
      </c>
      <c r="H52" s="219">
        <v>43447</v>
      </c>
      <c r="I52" s="216" t="s">
        <v>458</v>
      </c>
      <c r="J52" s="153" t="s">
        <v>397</v>
      </c>
      <c r="K52" s="153" t="s">
        <v>398</v>
      </c>
      <c r="L52" s="153" t="s">
        <v>398</v>
      </c>
      <c r="M52" s="164" t="s">
        <v>398</v>
      </c>
      <c r="N52" s="164" t="s">
        <v>398</v>
      </c>
      <c r="O52" s="164" t="s">
        <v>398</v>
      </c>
      <c r="P52" s="164" t="s">
        <v>398</v>
      </c>
      <c r="Q52" s="164" t="s">
        <v>398</v>
      </c>
      <c r="R52" s="164" t="s">
        <v>398</v>
      </c>
      <c r="S52" s="164" t="s">
        <v>398</v>
      </c>
      <c r="T52" s="164" t="s">
        <v>398</v>
      </c>
      <c r="U52" s="164" t="s">
        <v>398</v>
      </c>
      <c r="V52" s="164" t="s">
        <v>398</v>
      </c>
      <c r="W52" s="164" t="s">
        <v>398</v>
      </c>
      <c r="X52" s="164" t="s">
        <v>398</v>
      </c>
      <c r="Y52" s="164" t="s">
        <v>398</v>
      </c>
      <c r="Z52" s="164" t="s">
        <v>398</v>
      </c>
      <c r="AA52" s="164" t="s">
        <v>398</v>
      </c>
      <c r="AB52" s="167" t="s">
        <v>399</v>
      </c>
      <c r="AC52" s="219">
        <v>20189</v>
      </c>
      <c r="AD52" s="107"/>
      <c r="AE52" s="108" t="e">
        <f t="shared" si="0"/>
        <v>#NUM!</v>
      </c>
      <c r="AF52" s="107" t="s">
        <v>602</v>
      </c>
      <c r="AG52" s="79" t="s">
        <v>401</v>
      </c>
      <c r="AH52" s="87" t="s">
        <v>402</v>
      </c>
      <c r="AI52" s="110"/>
      <c r="AJ52" s="110"/>
      <c r="AK52" s="110"/>
      <c r="AL52" s="110"/>
      <c r="AM52" s="105"/>
      <c r="AN52" s="95">
        <v>1</v>
      </c>
      <c r="AO52" s="173" t="s">
        <v>398</v>
      </c>
      <c r="AP52" s="79"/>
      <c r="AQ52" s="106"/>
      <c r="AR52" s="91"/>
      <c r="AS52" s="104"/>
      <c r="AT52" s="104"/>
      <c r="AU52" s="104"/>
      <c r="AV52" s="104"/>
      <c r="AW52" s="91"/>
      <c r="AX52" s="104"/>
      <c r="AY52" s="104"/>
      <c r="AZ52" s="104"/>
      <c r="BA52" s="104"/>
      <c r="BB52" s="91"/>
      <c r="BC52" s="104"/>
      <c r="BD52" s="104"/>
      <c r="BE52" s="104"/>
      <c r="BF52" s="104"/>
      <c r="BG52" s="91"/>
      <c r="BH52" s="104"/>
      <c r="BI52" s="104"/>
      <c r="BJ52" s="104"/>
      <c r="BK52" s="104"/>
      <c r="BL52" s="91"/>
      <c r="BM52" s="104"/>
      <c r="BN52" s="104"/>
      <c r="BO52" s="104"/>
      <c r="BP52" s="104"/>
      <c r="BQ52" s="91"/>
      <c r="BR52" s="104"/>
      <c r="BS52" s="104"/>
      <c r="BT52" s="104"/>
      <c r="BU52" s="104"/>
      <c r="BV52" s="91"/>
      <c r="BW52" s="104"/>
      <c r="BX52" s="104"/>
      <c r="BY52" s="104"/>
      <c r="BZ52" s="104"/>
      <c r="CA52" s="91"/>
      <c r="CB52" s="104"/>
      <c r="CC52" s="104"/>
      <c r="CD52" s="104"/>
      <c r="CE52" s="104"/>
      <c r="CF52" s="91"/>
      <c r="CG52" s="104"/>
      <c r="CH52" s="104"/>
      <c r="CI52" s="104"/>
      <c r="CJ52" s="104"/>
      <c r="CK52" s="91"/>
      <c r="CL52" s="104"/>
      <c r="CM52" s="104"/>
      <c r="CN52" s="104"/>
      <c r="CO52" s="104"/>
      <c r="CP52" s="91"/>
      <c r="CQ52" s="104"/>
      <c r="CR52" s="104"/>
      <c r="CS52" s="104"/>
      <c r="CT52" s="104"/>
      <c r="CU52" s="91"/>
      <c r="CV52" s="104"/>
      <c r="CW52" s="104"/>
      <c r="CX52" s="104"/>
      <c r="CY52" s="104"/>
      <c r="CZ52" s="91"/>
      <c r="DA52" s="104"/>
      <c r="DB52" s="104"/>
      <c r="DC52" s="104"/>
      <c r="DD52" s="104"/>
      <c r="DE52" s="91"/>
      <c r="DF52" s="104"/>
      <c r="DG52" s="104"/>
      <c r="DH52" s="104"/>
      <c r="DI52" s="104"/>
      <c r="DJ52" s="91"/>
      <c r="DK52" s="104"/>
      <c r="DL52" s="104"/>
      <c r="DM52" s="104"/>
      <c r="DN52" s="104"/>
      <c r="DO52" s="91"/>
      <c r="DP52" s="104"/>
      <c r="DQ52" s="104"/>
      <c r="DR52" s="104"/>
      <c r="DS52" s="104"/>
      <c r="DT52" s="91"/>
      <c r="DU52" s="104"/>
      <c r="DV52" s="104"/>
      <c r="DW52" s="104"/>
      <c r="DX52" s="104"/>
      <c r="DY52" s="91"/>
      <c r="DZ52" s="104"/>
      <c r="EA52" s="104"/>
      <c r="EB52" s="104"/>
      <c r="EC52" s="104"/>
      <c r="ED52" s="91"/>
      <c r="EE52" s="104"/>
      <c r="EF52" s="104"/>
      <c r="EG52" s="104"/>
      <c r="EH52" s="104"/>
      <c r="EI52" s="91"/>
      <c r="EJ52" s="104"/>
      <c r="EK52" s="104"/>
      <c r="EL52" s="104"/>
      <c r="EM52" s="104"/>
      <c r="EN52" s="91"/>
      <c r="EO52" s="104"/>
      <c r="EP52" s="104"/>
      <c r="EQ52" s="104"/>
      <c r="ER52" s="104"/>
      <c r="ES52" s="91"/>
      <c r="ET52" s="104"/>
      <c r="EU52" s="104"/>
      <c r="EV52" s="104"/>
      <c r="EW52" s="104"/>
      <c r="EX52" s="91"/>
      <c r="EY52" s="104"/>
      <c r="EZ52" s="104"/>
      <c r="FA52" s="104"/>
      <c r="FB52" s="104"/>
      <c r="FC52" s="91"/>
      <c r="FD52" s="104"/>
      <c r="FE52" s="104"/>
      <c r="FF52" s="104"/>
      <c r="FG52" s="104"/>
      <c r="FH52" s="91"/>
      <c r="FI52" s="104"/>
      <c r="FJ52" s="104"/>
      <c r="FK52" s="104"/>
      <c r="FL52" s="104"/>
      <c r="FM52" s="104"/>
      <c r="FN52" s="104"/>
      <c r="FO52" s="104"/>
      <c r="FP52" s="104"/>
      <c r="FQ52" s="104"/>
      <c r="FR52" s="104"/>
      <c r="FS52" s="104"/>
      <c r="FT52" s="104"/>
      <c r="FU52" s="104"/>
      <c r="FV52" s="104"/>
      <c r="FW52" s="104"/>
      <c r="FX52" s="104"/>
      <c r="FY52" s="104"/>
      <c r="FZ52" s="104"/>
      <c r="GA52" s="104"/>
      <c r="GB52" s="104"/>
      <c r="GC52" s="104"/>
      <c r="GD52" s="104"/>
      <c r="GE52" s="104"/>
      <c r="GF52" s="104"/>
      <c r="GG52" s="104"/>
      <c r="GH52" s="104"/>
      <c r="GI52" s="104"/>
      <c r="GJ52" s="104"/>
      <c r="GK52" s="104"/>
      <c r="GL52" s="104"/>
      <c r="GM52" s="104"/>
      <c r="GN52" s="104"/>
      <c r="GO52" s="104"/>
      <c r="GP52" s="91"/>
      <c r="GQ52" s="104"/>
      <c r="GR52" s="104"/>
      <c r="GS52" s="104"/>
      <c r="GT52" s="104"/>
      <c r="GU52" s="91"/>
      <c r="GV52" s="104"/>
      <c r="GW52" s="104"/>
      <c r="GX52" s="104"/>
      <c r="GY52" s="104"/>
      <c r="GZ52" s="91"/>
      <c r="HA52" s="104"/>
      <c r="HB52" s="104"/>
      <c r="HC52" s="104"/>
      <c r="HD52" s="104"/>
      <c r="HE52" s="91"/>
      <c r="HF52" s="104"/>
      <c r="HG52" s="104"/>
      <c r="HH52" s="104"/>
      <c r="HI52" s="104"/>
      <c r="HJ52" s="91"/>
      <c r="HK52" s="104"/>
      <c r="HL52" s="104"/>
      <c r="HM52" s="104"/>
      <c r="HN52" s="104"/>
      <c r="HO52" s="91"/>
      <c r="HP52" s="104"/>
      <c r="HQ52" s="104"/>
      <c r="HR52" s="104"/>
      <c r="HS52" s="104"/>
      <c r="HT52" s="91"/>
      <c r="HU52" s="104"/>
      <c r="HV52" s="104"/>
      <c r="HW52" s="104"/>
      <c r="HX52" s="104"/>
      <c r="HY52" s="91"/>
      <c r="HZ52" s="104"/>
      <c r="IA52" s="104"/>
      <c r="IB52" s="104"/>
      <c r="IC52" s="104"/>
      <c r="ID52" s="91"/>
      <c r="IE52" s="104"/>
      <c r="IF52" s="104"/>
      <c r="IG52" s="104"/>
      <c r="IH52" s="104"/>
      <c r="II52" s="91"/>
      <c r="IJ52" s="104"/>
      <c r="IK52" s="104"/>
      <c r="IL52" s="104"/>
      <c r="IM52" s="104"/>
      <c r="IN52" s="91"/>
      <c r="IO52" s="104"/>
      <c r="IP52" s="104"/>
      <c r="IQ52" s="104"/>
      <c r="IR52" s="104"/>
      <c r="IS52" s="91"/>
      <c r="IT52" s="104"/>
      <c r="IU52" s="104"/>
      <c r="IV52" s="104"/>
      <c r="IW52" s="104"/>
      <c r="IX52" s="91"/>
      <c r="IY52" s="104"/>
      <c r="IZ52" s="104"/>
      <c r="JA52" s="104"/>
      <c r="JB52" s="104"/>
      <c r="JC52" s="91"/>
      <c r="JD52" s="104"/>
      <c r="JE52" s="104"/>
      <c r="JF52" s="104"/>
      <c r="JG52" s="105"/>
      <c r="JH52" s="91"/>
      <c r="JI52" s="106"/>
      <c r="JJ52" s="104"/>
      <c r="JK52" s="104"/>
      <c r="JL52" s="105"/>
      <c r="JM52" s="95"/>
      <c r="JN52" s="107"/>
      <c r="JO52" s="79"/>
      <c r="JP52" s="106"/>
      <c r="JQ52" s="104"/>
      <c r="JR52" s="104"/>
      <c r="JS52" s="104"/>
      <c r="JT52" s="104"/>
      <c r="JU52" s="104"/>
      <c r="JV52" s="104"/>
      <c r="JW52" s="104"/>
      <c r="JX52" s="104"/>
      <c r="JY52" s="104"/>
      <c r="JZ52" s="104"/>
      <c r="KA52" s="104"/>
      <c r="KB52" s="104"/>
      <c r="KC52" s="104"/>
      <c r="KD52" s="104"/>
      <c r="KE52" s="104"/>
      <c r="KF52" s="104"/>
      <c r="KG52" s="104"/>
      <c r="KH52" s="104"/>
      <c r="KI52" s="104"/>
      <c r="KJ52" s="104"/>
      <c r="KK52" s="104"/>
      <c r="KL52" s="104"/>
      <c r="KM52" s="104"/>
      <c r="KN52" s="104"/>
      <c r="KO52" s="104"/>
      <c r="KP52" s="104"/>
      <c r="KQ52" s="104"/>
      <c r="KR52" s="104"/>
      <c r="KS52" s="104"/>
      <c r="KT52" s="104"/>
      <c r="KU52" s="104"/>
      <c r="KV52" s="104"/>
      <c r="KW52" s="104"/>
      <c r="KX52" s="104"/>
      <c r="KY52" s="104"/>
      <c r="KZ52" s="104"/>
      <c r="LA52" s="104"/>
      <c r="LB52" s="104"/>
      <c r="LC52" s="104"/>
      <c r="LD52" s="104"/>
      <c r="LE52" s="104"/>
      <c r="LF52" s="104"/>
      <c r="LG52" s="104"/>
      <c r="LH52" s="104"/>
      <c r="LI52" s="104"/>
      <c r="LJ52" s="104"/>
      <c r="LK52" s="104"/>
      <c r="LL52" s="104"/>
      <c r="LM52" s="104"/>
      <c r="LN52" s="104"/>
      <c r="LO52" s="104"/>
      <c r="LP52" s="104"/>
      <c r="LQ52" s="104"/>
      <c r="LR52" s="104"/>
      <c r="LS52" s="104"/>
      <c r="LT52" s="104"/>
      <c r="LU52" s="104"/>
      <c r="LV52" s="104"/>
      <c r="LW52" s="104"/>
      <c r="LX52" s="104"/>
      <c r="LY52" s="104"/>
      <c r="LZ52" s="104"/>
      <c r="MA52" s="104"/>
      <c r="MB52" s="104"/>
      <c r="MC52" s="104"/>
      <c r="MD52" s="104"/>
      <c r="ME52" s="104"/>
      <c r="MF52" s="104"/>
      <c r="MG52" s="104"/>
      <c r="MH52" s="104"/>
      <c r="MI52" s="104"/>
      <c r="MJ52" s="104"/>
      <c r="MK52" s="104"/>
      <c r="ML52" s="104"/>
      <c r="MM52" s="104"/>
      <c r="MN52" s="104"/>
      <c r="MO52" s="104"/>
      <c r="MP52" s="104"/>
      <c r="MQ52" s="104"/>
      <c r="MR52" s="104"/>
      <c r="MS52" s="104"/>
      <c r="MT52" s="104"/>
      <c r="MU52" s="104"/>
      <c r="MV52" s="104"/>
      <c r="MW52" s="104"/>
      <c r="MX52" s="104"/>
      <c r="MY52" s="104"/>
      <c r="MZ52" s="104"/>
      <c r="NA52" s="104"/>
      <c r="NB52" s="104"/>
      <c r="NC52" s="104"/>
      <c r="ND52" s="104"/>
      <c r="NE52" s="104"/>
      <c r="NF52" s="104"/>
      <c r="NG52" s="104"/>
      <c r="NH52" s="104"/>
      <c r="NI52" s="104"/>
      <c r="NJ52" s="104"/>
      <c r="NK52" s="104"/>
      <c r="NL52" s="104"/>
      <c r="NM52" s="104"/>
      <c r="NN52" s="104"/>
      <c r="NO52" s="104"/>
      <c r="NP52" s="104"/>
      <c r="NQ52" s="104"/>
      <c r="NR52" s="104"/>
      <c r="NS52" s="104"/>
      <c r="NT52" s="104"/>
      <c r="NU52" s="104"/>
      <c r="NV52" s="104"/>
      <c r="NW52" s="104"/>
      <c r="NX52" s="104"/>
      <c r="NY52" s="104"/>
      <c r="NZ52" s="104"/>
    </row>
    <row r="53" spans="1:390" ht="15" customHeight="1" thickBot="1" x14ac:dyDescent="0.35">
      <c r="A53" s="231">
        <v>4125382204</v>
      </c>
      <c r="B53" s="165" t="s">
        <v>391</v>
      </c>
      <c r="C53" s="232"/>
      <c r="D53" s="216" t="s">
        <v>391</v>
      </c>
      <c r="E53" s="163" t="s">
        <v>675</v>
      </c>
      <c r="F53" s="140" t="s">
        <v>417</v>
      </c>
      <c r="G53" s="233" t="s">
        <v>519</v>
      </c>
      <c r="H53" s="219">
        <v>43452</v>
      </c>
      <c r="I53" s="216" t="s">
        <v>458</v>
      </c>
      <c r="J53" s="153" t="s">
        <v>397</v>
      </c>
      <c r="K53" s="153" t="s">
        <v>398</v>
      </c>
      <c r="L53" s="153" t="s">
        <v>398</v>
      </c>
      <c r="M53" s="164" t="s">
        <v>398</v>
      </c>
      <c r="N53" s="164" t="s">
        <v>398</v>
      </c>
      <c r="O53" s="164" t="s">
        <v>398</v>
      </c>
      <c r="P53" s="164" t="s">
        <v>398</v>
      </c>
      <c r="Q53" s="164" t="s">
        <v>398</v>
      </c>
      <c r="R53" s="164" t="s">
        <v>398</v>
      </c>
      <c r="S53" s="164" t="s">
        <v>398</v>
      </c>
      <c r="T53" s="164" t="s">
        <v>398</v>
      </c>
      <c r="U53" s="164" t="s">
        <v>398</v>
      </c>
      <c r="V53" s="164" t="s">
        <v>398</v>
      </c>
      <c r="W53" s="164" t="s">
        <v>398</v>
      </c>
      <c r="X53" s="164" t="s">
        <v>398</v>
      </c>
      <c r="Y53" s="164" t="s">
        <v>398</v>
      </c>
      <c r="Z53" s="164" t="s">
        <v>398</v>
      </c>
      <c r="AA53" s="164" t="s">
        <v>398</v>
      </c>
      <c r="AB53" s="167" t="s">
        <v>399</v>
      </c>
      <c r="AC53" s="219">
        <v>24371</v>
      </c>
      <c r="AD53" s="118"/>
      <c r="AE53" s="108" t="e">
        <f t="shared" si="0"/>
        <v>#NUM!</v>
      </c>
      <c r="AF53" s="118" t="s">
        <v>676</v>
      </c>
      <c r="AG53" s="79" t="s">
        <v>401</v>
      </c>
      <c r="AH53" s="80" t="s">
        <v>402</v>
      </c>
      <c r="AI53" s="114"/>
      <c r="AJ53" s="114"/>
      <c r="AK53" s="114"/>
      <c r="AL53" s="114"/>
      <c r="AM53" s="116"/>
      <c r="AN53" s="95">
        <v>1</v>
      </c>
      <c r="AO53" s="173" t="s">
        <v>398</v>
      </c>
      <c r="AP53" s="83"/>
      <c r="AQ53" s="117"/>
      <c r="AR53" s="119"/>
      <c r="AS53" s="115"/>
      <c r="AT53" s="115"/>
      <c r="AU53" s="115"/>
      <c r="AV53" s="115"/>
      <c r="AW53" s="119"/>
      <c r="AX53" s="115"/>
      <c r="AY53" s="115"/>
      <c r="AZ53" s="115"/>
      <c r="BA53" s="115"/>
      <c r="BB53" s="119"/>
      <c r="BC53" s="115"/>
      <c r="BD53" s="115"/>
      <c r="BE53" s="115"/>
      <c r="BF53" s="115"/>
      <c r="BG53" s="119"/>
      <c r="BH53" s="115"/>
      <c r="BI53" s="115"/>
      <c r="BJ53" s="115"/>
      <c r="BK53" s="115"/>
      <c r="BL53" s="119"/>
      <c r="BM53" s="115"/>
      <c r="BN53" s="115"/>
      <c r="BO53" s="115"/>
      <c r="BP53" s="115"/>
      <c r="BQ53" s="119"/>
      <c r="BR53" s="115"/>
      <c r="BS53" s="115"/>
      <c r="BT53" s="115"/>
      <c r="BU53" s="115"/>
      <c r="BV53" s="119"/>
      <c r="BW53" s="115"/>
      <c r="BX53" s="115"/>
      <c r="BY53" s="115"/>
      <c r="BZ53" s="115"/>
      <c r="CA53" s="119"/>
      <c r="CB53" s="115"/>
      <c r="CC53" s="115"/>
      <c r="CD53" s="115"/>
      <c r="CE53" s="115"/>
      <c r="CF53" s="119"/>
      <c r="CG53" s="115"/>
      <c r="CH53" s="115"/>
      <c r="CI53" s="115"/>
      <c r="CJ53" s="115"/>
      <c r="CK53" s="119"/>
      <c r="CL53" s="115"/>
      <c r="CM53" s="115"/>
      <c r="CN53" s="115"/>
      <c r="CO53" s="115"/>
      <c r="CP53" s="119"/>
      <c r="CQ53" s="115"/>
      <c r="CR53" s="115"/>
      <c r="CS53" s="115"/>
      <c r="CT53" s="115"/>
      <c r="CU53" s="119"/>
      <c r="CV53" s="115"/>
      <c r="CW53" s="115"/>
      <c r="CX53" s="115"/>
      <c r="CY53" s="115"/>
      <c r="CZ53" s="119"/>
      <c r="DA53" s="115"/>
      <c r="DB53" s="115"/>
      <c r="DC53" s="115"/>
      <c r="DD53" s="115"/>
      <c r="DE53" s="119"/>
      <c r="DF53" s="115"/>
      <c r="DG53" s="115"/>
      <c r="DH53" s="115"/>
      <c r="DI53" s="115"/>
      <c r="DJ53" s="119"/>
      <c r="DK53" s="115"/>
      <c r="DL53" s="115"/>
      <c r="DM53" s="115"/>
      <c r="DN53" s="115"/>
      <c r="DO53" s="119"/>
      <c r="DP53" s="115"/>
      <c r="DQ53" s="115"/>
      <c r="DR53" s="115"/>
      <c r="DS53" s="115"/>
      <c r="DT53" s="119"/>
      <c r="DU53" s="115"/>
      <c r="DV53" s="115"/>
      <c r="DW53" s="115"/>
      <c r="DX53" s="115"/>
      <c r="DY53" s="119"/>
      <c r="DZ53" s="115"/>
      <c r="EA53" s="115"/>
      <c r="EB53" s="115"/>
      <c r="EC53" s="115"/>
      <c r="ED53" s="119"/>
      <c r="EE53" s="115"/>
      <c r="EF53" s="115"/>
      <c r="EG53" s="115"/>
      <c r="EH53" s="115"/>
      <c r="EI53" s="119"/>
      <c r="EJ53" s="115"/>
      <c r="EK53" s="115"/>
      <c r="EL53" s="115"/>
      <c r="EM53" s="115"/>
      <c r="EN53" s="119"/>
      <c r="EO53" s="115"/>
      <c r="EP53" s="115"/>
      <c r="EQ53" s="115"/>
      <c r="ER53" s="115"/>
      <c r="ES53" s="119"/>
      <c r="ET53" s="115"/>
      <c r="EU53" s="115"/>
      <c r="EV53" s="115"/>
      <c r="EW53" s="115"/>
      <c r="EX53" s="119"/>
      <c r="EY53" s="115"/>
      <c r="EZ53" s="115"/>
      <c r="FA53" s="115"/>
      <c r="FB53" s="115"/>
      <c r="FC53" s="119"/>
      <c r="FD53" s="115"/>
      <c r="FE53" s="115"/>
      <c r="FF53" s="115"/>
      <c r="FG53" s="115"/>
      <c r="FH53" s="119"/>
      <c r="FI53" s="115"/>
      <c r="FJ53" s="115"/>
      <c r="FK53" s="115"/>
      <c r="FL53" s="115"/>
      <c r="FM53" s="115"/>
      <c r="FN53" s="115"/>
      <c r="FO53" s="115"/>
      <c r="FP53" s="115"/>
      <c r="FQ53" s="115"/>
      <c r="FR53" s="115"/>
      <c r="FS53" s="115"/>
      <c r="FT53" s="115"/>
      <c r="FU53" s="115"/>
      <c r="FV53" s="115"/>
      <c r="FW53" s="115"/>
      <c r="FX53" s="115"/>
      <c r="FY53" s="115"/>
      <c r="FZ53" s="115"/>
      <c r="GA53" s="115"/>
      <c r="GB53" s="115"/>
      <c r="GC53" s="115"/>
      <c r="GD53" s="115"/>
      <c r="GE53" s="115"/>
      <c r="GF53" s="115"/>
      <c r="GG53" s="115"/>
      <c r="GH53" s="115"/>
      <c r="GI53" s="115"/>
      <c r="GJ53" s="115"/>
      <c r="GK53" s="115"/>
      <c r="GL53" s="115"/>
      <c r="GM53" s="115"/>
      <c r="GN53" s="115"/>
      <c r="GO53" s="115"/>
      <c r="GP53" s="119"/>
      <c r="GQ53" s="115"/>
      <c r="GR53" s="115"/>
      <c r="GS53" s="115"/>
      <c r="GT53" s="115"/>
      <c r="GU53" s="119"/>
      <c r="GV53" s="115"/>
      <c r="GW53" s="115"/>
      <c r="GX53" s="115"/>
      <c r="GY53" s="115"/>
      <c r="GZ53" s="119"/>
      <c r="HA53" s="115"/>
      <c r="HB53" s="115"/>
      <c r="HC53" s="115"/>
      <c r="HD53" s="115"/>
      <c r="HE53" s="119"/>
      <c r="HF53" s="115"/>
      <c r="HG53" s="115"/>
      <c r="HH53" s="115"/>
      <c r="HI53" s="115"/>
      <c r="HJ53" s="119"/>
      <c r="HK53" s="115"/>
      <c r="HL53" s="115"/>
      <c r="HM53" s="115"/>
      <c r="HN53" s="115"/>
      <c r="HO53" s="119"/>
      <c r="HP53" s="115"/>
      <c r="HQ53" s="115"/>
      <c r="HR53" s="115"/>
      <c r="HS53" s="115"/>
      <c r="HT53" s="119"/>
      <c r="HU53" s="115"/>
      <c r="HV53" s="115"/>
      <c r="HW53" s="115"/>
      <c r="HX53" s="115"/>
      <c r="HY53" s="119"/>
      <c r="HZ53" s="115"/>
      <c r="IA53" s="115"/>
      <c r="IB53" s="115"/>
      <c r="IC53" s="115"/>
      <c r="ID53" s="119"/>
      <c r="IE53" s="115"/>
      <c r="IF53" s="115"/>
      <c r="IG53" s="115"/>
      <c r="IH53" s="115"/>
      <c r="II53" s="119"/>
      <c r="IJ53" s="115"/>
      <c r="IK53" s="115"/>
      <c r="IL53" s="115"/>
      <c r="IM53" s="115"/>
      <c r="IN53" s="119"/>
      <c r="IO53" s="115"/>
      <c r="IP53" s="115"/>
      <c r="IQ53" s="115"/>
      <c r="IR53" s="115"/>
      <c r="IS53" s="119"/>
      <c r="IT53" s="115"/>
      <c r="IU53" s="115"/>
      <c r="IV53" s="115"/>
      <c r="IW53" s="115"/>
      <c r="IX53" s="119"/>
      <c r="IY53" s="115"/>
      <c r="IZ53" s="115"/>
      <c r="JA53" s="115"/>
      <c r="JB53" s="115"/>
      <c r="JC53" s="119"/>
      <c r="JD53" s="115"/>
      <c r="JE53" s="115"/>
      <c r="JF53" s="115"/>
      <c r="JG53" s="116"/>
      <c r="JH53" s="119"/>
      <c r="JI53" s="117"/>
      <c r="JJ53" s="115"/>
      <c r="JK53" s="115"/>
      <c r="JL53" s="116"/>
      <c r="JM53" s="81"/>
      <c r="JN53" s="118"/>
      <c r="JO53" s="83"/>
      <c r="JP53" s="117"/>
      <c r="JQ53" s="115"/>
      <c r="JR53" s="115"/>
      <c r="JS53" s="115"/>
      <c r="JT53" s="115"/>
      <c r="JU53" s="115"/>
      <c r="JV53" s="115"/>
      <c r="JW53" s="115"/>
      <c r="JX53" s="115"/>
      <c r="JY53" s="115"/>
      <c r="JZ53" s="115"/>
      <c r="KA53" s="115"/>
      <c r="KB53" s="115"/>
      <c r="KC53" s="115"/>
      <c r="KD53" s="115"/>
      <c r="KE53" s="115"/>
      <c r="KF53" s="115"/>
      <c r="KG53" s="115"/>
      <c r="KH53" s="115"/>
      <c r="KI53" s="115"/>
      <c r="KJ53" s="115"/>
      <c r="KK53" s="115"/>
      <c r="KL53" s="115"/>
      <c r="KM53" s="115"/>
      <c r="KN53" s="115"/>
      <c r="KO53" s="115"/>
      <c r="KP53" s="115"/>
      <c r="KQ53" s="115"/>
      <c r="KR53" s="115"/>
      <c r="KS53" s="115"/>
      <c r="KT53" s="115"/>
      <c r="KU53" s="115"/>
      <c r="KV53" s="115"/>
      <c r="KW53" s="115"/>
      <c r="KX53" s="115"/>
      <c r="KY53" s="115"/>
      <c r="KZ53" s="115"/>
      <c r="LA53" s="115"/>
      <c r="LB53" s="115"/>
      <c r="LC53" s="115"/>
      <c r="LD53" s="115"/>
      <c r="LE53" s="115"/>
      <c r="LF53" s="115"/>
      <c r="LG53" s="115"/>
      <c r="LH53" s="115"/>
      <c r="LI53" s="115"/>
      <c r="LJ53" s="115"/>
      <c r="LK53" s="115"/>
      <c r="LL53" s="115"/>
      <c r="LM53" s="115"/>
      <c r="LN53" s="115"/>
      <c r="LO53" s="115"/>
      <c r="LP53" s="115"/>
      <c r="LQ53" s="115"/>
      <c r="LR53" s="115"/>
      <c r="LS53" s="115"/>
      <c r="LT53" s="115"/>
      <c r="LU53" s="115"/>
      <c r="LV53" s="115"/>
      <c r="LW53" s="115"/>
      <c r="LX53" s="115"/>
      <c r="LY53" s="115"/>
      <c r="LZ53" s="115"/>
      <c r="MA53" s="115"/>
      <c r="MB53" s="115"/>
      <c r="MC53" s="115"/>
      <c r="MD53" s="115"/>
      <c r="ME53" s="115"/>
      <c r="MF53" s="115"/>
      <c r="MG53" s="115"/>
      <c r="MH53" s="115"/>
      <c r="MI53" s="115"/>
      <c r="MJ53" s="115"/>
      <c r="MK53" s="115"/>
      <c r="ML53" s="115"/>
      <c r="MM53" s="115"/>
      <c r="MN53" s="115"/>
      <c r="MO53" s="115"/>
      <c r="MP53" s="115"/>
      <c r="MQ53" s="115"/>
      <c r="MR53" s="115"/>
      <c r="MS53" s="115"/>
      <c r="MT53" s="115"/>
      <c r="MU53" s="115"/>
      <c r="MV53" s="115"/>
      <c r="MW53" s="115"/>
      <c r="MX53" s="115"/>
      <c r="MY53" s="115"/>
      <c r="MZ53" s="115"/>
      <c r="NA53" s="115"/>
      <c r="NB53" s="115"/>
      <c r="NC53" s="115"/>
      <c r="ND53" s="115"/>
      <c r="NE53" s="115"/>
      <c r="NF53" s="115"/>
      <c r="NG53" s="115"/>
      <c r="NH53" s="115"/>
      <c r="NI53" s="115"/>
      <c r="NJ53" s="115"/>
      <c r="NK53" s="115"/>
      <c r="NL53" s="115"/>
      <c r="NM53" s="115"/>
      <c r="NN53" s="115"/>
      <c r="NO53" s="115"/>
      <c r="NP53" s="115"/>
      <c r="NQ53" s="115"/>
      <c r="NR53" s="115"/>
      <c r="NS53" s="115"/>
      <c r="NT53" s="115"/>
      <c r="NU53" s="115"/>
      <c r="NV53" s="115"/>
      <c r="NW53" s="115"/>
      <c r="NX53" s="115"/>
      <c r="NY53" s="115"/>
      <c r="NZ53" s="115"/>
    </row>
    <row r="54" spans="1:390" ht="15.75" customHeight="1" x14ac:dyDescent="0.3">
      <c r="A54" s="234">
        <v>4581694450</v>
      </c>
      <c r="B54" s="165" t="s">
        <v>391</v>
      </c>
      <c r="C54" s="138"/>
      <c r="D54" s="216" t="s">
        <v>391</v>
      </c>
      <c r="E54" s="136" t="s">
        <v>677</v>
      </c>
      <c r="F54" s="125" t="s">
        <v>421</v>
      </c>
      <c r="G54" s="221" t="s">
        <v>422</v>
      </c>
      <c r="H54" s="219">
        <v>43469</v>
      </c>
      <c r="I54" s="216" t="s">
        <v>458</v>
      </c>
      <c r="J54" s="153" t="s">
        <v>397</v>
      </c>
      <c r="K54" s="153" t="s">
        <v>398</v>
      </c>
      <c r="L54" s="153" t="s">
        <v>398</v>
      </c>
      <c r="M54" s="164" t="s">
        <v>398</v>
      </c>
      <c r="N54" s="164" t="s">
        <v>398</v>
      </c>
      <c r="O54" s="164" t="s">
        <v>398</v>
      </c>
      <c r="P54" s="164" t="s">
        <v>398</v>
      </c>
      <c r="Q54" s="164" t="s">
        <v>398</v>
      </c>
      <c r="R54" s="164" t="s">
        <v>398</v>
      </c>
      <c r="S54" s="164" t="s">
        <v>398</v>
      </c>
      <c r="T54" s="164" t="s">
        <v>398</v>
      </c>
      <c r="U54" s="164" t="s">
        <v>398</v>
      </c>
      <c r="V54" s="164" t="s">
        <v>398</v>
      </c>
      <c r="W54" s="164" t="s">
        <v>398</v>
      </c>
      <c r="X54" s="164" t="s">
        <v>398</v>
      </c>
      <c r="Y54" s="164" t="s">
        <v>398</v>
      </c>
      <c r="Z54" s="164" t="s">
        <v>398</v>
      </c>
      <c r="AA54" s="164" t="s">
        <v>398</v>
      </c>
      <c r="AB54" s="167" t="s">
        <v>399</v>
      </c>
      <c r="AC54" s="219">
        <v>19212</v>
      </c>
      <c r="AD54" s="106"/>
      <c r="AE54" s="108" t="e">
        <f t="shared" si="0"/>
        <v>#NUM!</v>
      </c>
      <c r="AF54" s="104" t="s">
        <v>602</v>
      </c>
      <c r="AG54" s="79" t="s">
        <v>401</v>
      </c>
      <c r="AH54" s="104" t="s">
        <v>402</v>
      </c>
      <c r="AI54" s="110"/>
      <c r="AJ54" s="110"/>
      <c r="AK54" s="110"/>
      <c r="AL54" s="110"/>
      <c r="AM54" s="105"/>
      <c r="AN54" s="95">
        <v>2</v>
      </c>
      <c r="AO54" s="173" t="s">
        <v>398</v>
      </c>
      <c r="AP54" s="104"/>
      <c r="AQ54" s="104"/>
      <c r="AR54" s="104"/>
      <c r="AS54" s="104"/>
      <c r="AT54" s="104"/>
      <c r="AU54" s="104"/>
      <c r="AV54" s="104"/>
      <c r="AW54" s="104"/>
      <c r="AX54" s="104"/>
      <c r="AY54" s="104"/>
      <c r="AZ54" s="104"/>
      <c r="BA54" s="104"/>
      <c r="BB54" s="104"/>
      <c r="BC54" s="104"/>
      <c r="BD54" s="104"/>
      <c r="BE54" s="104"/>
      <c r="BF54" s="104"/>
      <c r="BG54" s="104"/>
      <c r="BH54" s="104"/>
      <c r="BI54" s="104"/>
      <c r="BJ54" s="104"/>
      <c r="BK54" s="104"/>
      <c r="BL54" s="104"/>
      <c r="BM54" s="104"/>
      <c r="BN54" s="104"/>
      <c r="BO54" s="104"/>
      <c r="BP54" s="104"/>
      <c r="BQ54" s="104"/>
      <c r="BR54" s="104"/>
      <c r="BS54" s="104"/>
      <c r="BT54" s="104"/>
      <c r="BU54" s="104"/>
      <c r="BV54" s="104"/>
      <c r="BW54" s="104"/>
      <c r="BX54" s="104"/>
      <c r="BY54" s="104"/>
      <c r="BZ54" s="104"/>
      <c r="CA54" s="104"/>
      <c r="CB54" s="104"/>
      <c r="CC54" s="104"/>
      <c r="CD54" s="104"/>
      <c r="CE54" s="104"/>
      <c r="CF54" s="104"/>
      <c r="CG54" s="104"/>
      <c r="CH54" s="104"/>
      <c r="CI54" s="104"/>
      <c r="CJ54" s="104"/>
      <c r="CK54" s="104"/>
      <c r="CL54" s="104"/>
      <c r="CM54" s="104"/>
      <c r="CN54" s="104"/>
      <c r="CO54" s="104"/>
      <c r="CP54" s="104"/>
      <c r="CQ54" s="104"/>
      <c r="CR54" s="104"/>
      <c r="CS54" s="104"/>
      <c r="CT54" s="104"/>
      <c r="CU54" s="104"/>
      <c r="CV54" s="104"/>
      <c r="CW54" s="104"/>
      <c r="CX54" s="104"/>
      <c r="CY54" s="104"/>
      <c r="CZ54" s="104"/>
      <c r="DA54" s="104"/>
      <c r="DB54" s="104"/>
      <c r="DC54" s="104"/>
      <c r="DD54" s="104"/>
      <c r="DE54" s="104"/>
      <c r="DF54" s="104"/>
      <c r="DG54" s="104"/>
      <c r="DH54" s="104"/>
      <c r="DI54" s="104"/>
      <c r="DJ54" s="104"/>
      <c r="DK54" s="104"/>
      <c r="DL54" s="104"/>
      <c r="DM54" s="104"/>
      <c r="DN54" s="104"/>
      <c r="DO54" s="104"/>
      <c r="DP54" s="104"/>
      <c r="DQ54" s="104"/>
      <c r="DR54" s="104"/>
      <c r="DS54" s="104"/>
      <c r="DT54" s="104"/>
      <c r="DU54" s="104"/>
      <c r="DV54" s="104"/>
      <c r="DW54" s="104"/>
      <c r="DX54" s="104"/>
      <c r="DY54" s="104"/>
      <c r="DZ54" s="104"/>
      <c r="EA54" s="104"/>
      <c r="EB54" s="104"/>
      <c r="EC54" s="104"/>
      <c r="ED54" s="104"/>
      <c r="EE54" s="104"/>
      <c r="EF54" s="104"/>
      <c r="EG54" s="104"/>
      <c r="EH54" s="104"/>
      <c r="EI54" s="104"/>
      <c r="EJ54" s="104"/>
      <c r="EK54" s="104"/>
      <c r="EL54" s="104"/>
      <c r="EM54" s="104"/>
      <c r="EN54" s="104"/>
      <c r="EO54" s="104"/>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4"/>
      <c r="FO54" s="104"/>
      <c r="FP54" s="104"/>
      <c r="FQ54" s="104"/>
      <c r="FR54" s="104"/>
      <c r="FS54" s="104"/>
      <c r="FT54" s="104"/>
      <c r="FU54" s="104"/>
      <c r="FV54" s="104"/>
      <c r="FW54" s="104"/>
      <c r="FX54" s="104"/>
      <c r="FY54" s="104"/>
      <c r="FZ54" s="104"/>
      <c r="GA54" s="104"/>
      <c r="GB54" s="104"/>
      <c r="GC54" s="104"/>
      <c r="GD54" s="104"/>
      <c r="GE54" s="104"/>
      <c r="GF54" s="104"/>
      <c r="GG54" s="104"/>
      <c r="GH54" s="104"/>
      <c r="GI54" s="104"/>
      <c r="GJ54" s="104"/>
      <c r="GK54" s="104"/>
      <c r="GL54" s="104"/>
      <c r="GM54" s="104"/>
      <c r="GN54" s="104"/>
      <c r="GO54" s="104"/>
      <c r="GP54" s="104"/>
      <c r="GQ54" s="104"/>
      <c r="GR54" s="104"/>
      <c r="GS54" s="104"/>
      <c r="GT54" s="104"/>
      <c r="GU54" s="104"/>
      <c r="GV54" s="104"/>
      <c r="GW54" s="104"/>
      <c r="GX54" s="104"/>
      <c r="GY54" s="104"/>
      <c r="GZ54" s="104"/>
      <c r="HA54" s="104"/>
      <c r="HB54" s="104"/>
      <c r="HC54" s="104"/>
      <c r="HD54" s="104"/>
      <c r="HE54" s="104"/>
      <c r="HF54" s="104"/>
      <c r="HG54" s="104"/>
      <c r="HH54" s="104"/>
      <c r="HI54" s="104"/>
      <c r="HJ54" s="104"/>
      <c r="HK54" s="104"/>
      <c r="HL54" s="104"/>
      <c r="HM54" s="104"/>
      <c r="HN54" s="104"/>
      <c r="HO54" s="104"/>
      <c r="HP54" s="104"/>
      <c r="HQ54" s="104"/>
      <c r="HR54" s="104"/>
      <c r="HS54" s="104"/>
      <c r="HT54" s="104"/>
      <c r="HU54" s="104"/>
      <c r="HV54" s="104"/>
      <c r="HW54" s="104"/>
      <c r="HX54" s="104"/>
      <c r="HY54" s="104"/>
      <c r="HZ54" s="104"/>
      <c r="IA54" s="104"/>
      <c r="IB54" s="104"/>
      <c r="IC54" s="104"/>
      <c r="ID54" s="104"/>
      <c r="IE54" s="104"/>
      <c r="IF54" s="104"/>
      <c r="IG54" s="104"/>
      <c r="IH54" s="104"/>
      <c r="II54" s="104"/>
      <c r="IJ54" s="104"/>
      <c r="IK54" s="104"/>
      <c r="IL54" s="104"/>
      <c r="IM54" s="104"/>
      <c r="IN54" s="104"/>
      <c r="IO54" s="104"/>
      <c r="IP54" s="104"/>
      <c r="IQ54" s="104"/>
      <c r="IR54" s="104"/>
      <c r="IS54" s="104"/>
      <c r="IT54" s="104"/>
      <c r="IU54" s="104"/>
      <c r="IV54" s="104"/>
      <c r="IW54" s="104"/>
      <c r="IX54" s="104"/>
      <c r="IY54" s="104"/>
      <c r="IZ54" s="104"/>
      <c r="JA54" s="104"/>
      <c r="JB54" s="104"/>
      <c r="JC54" s="104"/>
      <c r="JD54" s="104"/>
      <c r="JE54" s="104"/>
      <c r="JF54" s="104"/>
      <c r="JG54" s="104"/>
      <c r="JH54" s="104"/>
      <c r="JI54" s="104"/>
      <c r="JJ54" s="104"/>
      <c r="JK54" s="104"/>
      <c r="JL54" s="104"/>
      <c r="JM54" s="104"/>
      <c r="JN54" s="104"/>
      <c r="JO54" s="104"/>
      <c r="JP54" s="104"/>
      <c r="JQ54" s="104"/>
      <c r="JR54" s="104"/>
      <c r="JS54" s="104"/>
      <c r="JT54" s="104"/>
      <c r="JU54" s="104"/>
      <c r="JV54" s="104"/>
      <c r="JW54" s="104"/>
      <c r="JX54" s="104"/>
      <c r="JY54" s="104"/>
      <c r="JZ54" s="104"/>
      <c r="KA54" s="104"/>
      <c r="KB54" s="104"/>
      <c r="KC54" s="104"/>
      <c r="KD54" s="104"/>
      <c r="KE54" s="104"/>
      <c r="KF54" s="104"/>
      <c r="KG54" s="104"/>
      <c r="KH54" s="104"/>
      <c r="KI54" s="104"/>
      <c r="KJ54" s="104"/>
      <c r="KK54" s="104"/>
      <c r="KL54" s="104"/>
      <c r="KM54" s="104"/>
      <c r="KN54" s="104"/>
      <c r="KO54" s="104"/>
      <c r="KP54" s="104"/>
      <c r="KQ54" s="104"/>
      <c r="KR54" s="104"/>
      <c r="KS54" s="104"/>
      <c r="KT54" s="104"/>
      <c r="KU54" s="104"/>
      <c r="KV54" s="104"/>
      <c r="KW54" s="104"/>
      <c r="KX54" s="104"/>
      <c r="KY54" s="104"/>
      <c r="KZ54" s="104"/>
      <c r="LA54" s="104"/>
      <c r="LB54" s="104"/>
      <c r="LC54" s="104"/>
      <c r="LD54" s="104"/>
      <c r="LE54" s="104"/>
      <c r="LF54" s="104"/>
      <c r="LG54" s="104"/>
      <c r="LH54" s="104"/>
      <c r="LI54" s="104"/>
      <c r="LJ54" s="104"/>
      <c r="LK54" s="104"/>
      <c r="LL54" s="104"/>
      <c r="LM54" s="104"/>
      <c r="LN54" s="104"/>
      <c r="LO54" s="104"/>
      <c r="LP54" s="104"/>
      <c r="LQ54" s="104"/>
      <c r="LR54" s="104"/>
      <c r="LS54" s="104"/>
      <c r="LT54" s="104"/>
      <c r="LU54" s="104"/>
      <c r="LV54" s="104"/>
      <c r="LW54" s="104"/>
      <c r="LX54" s="104"/>
      <c r="LY54" s="104"/>
      <c r="LZ54" s="104"/>
      <c r="MA54" s="104"/>
      <c r="MB54" s="104"/>
      <c r="MC54" s="104"/>
      <c r="MD54" s="104"/>
      <c r="ME54" s="104"/>
      <c r="MF54" s="104"/>
      <c r="MG54" s="104"/>
      <c r="MH54" s="104"/>
      <c r="MI54" s="104"/>
      <c r="MJ54" s="104"/>
      <c r="MK54" s="104"/>
      <c r="ML54" s="104"/>
      <c r="MM54" s="104"/>
      <c r="MN54" s="104"/>
      <c r="MO54" s="104"/>
      <c r="MP54" s="104"/>
      <c r="MQ54" s="104"/>
      <c r="MR54" s="104"/>
      <c r="MS54" s="104"/>
      <c r="MT54" s="104"/>
      <c r="MU54" s="104"/>
      <c r="MV54" s="104"/>
      <c r="MW54" s="104"/>
      <c r="MX54" s="104"/>
      <c r="MY54" s="104"/>
      <c r="MZ54" s="104"/>
      <c r="NA54" s="104"/>
      <c r="NB54" s="104"/>
      <c r="NC54" s="104"/>
      <c r="ND54" s="104"/>
      <c r="NE54" s="104"/>
      <c r="NF54" s="104"/>
      <c r="NG54" s="104"/>
      <c r="NH54" s="104"/>
      <c r="NI54" s="104"/>
      <c r="NJ54" s="104"/>
      <c r="NK54" s="104"/>
      <c r="NL54" s="104"/>
      <c r="NM54" s="104"/>
      <c r="NN54" s="104"/>
      <c r="NO54" s="104"/>
      <c r="NP54" s="104"/>
      <c r="NQ54" s="104"/>
      <c r="NR54" s="104"/>
      <c r="NS54" s="104"/>
      <c r="NT54" s="104"/>
      <c r="NU54" s="104"/>
      <c r="NV54" s="104"/>
      <c r="NW54" s="104"/>
      <c r="NX54" s="104"/>
      <c r="NY54" s="104"/>
      <c r="NZ54" s="104"/>
    </row>
    <row r="55" spans="1:390" ht="15.75" customHeight="1" x14ac:dyDescent="0.3">
      <c r="A55" s="214">
        <v>4122675995</v>
      </c>
      <c r="B55" s="165" t="s">
        <v>391</v>
      </c>
      <c r="C55" s="138"/>
      <c r="D55" s="216" t="s">
        <v>391</v>
      </c>
      <c r="E55" s="136" t="s">
        <v>678</v>
      </c>
      <c r="F55" s="125" t="s">
        <v>408</v>
      </c>
      <c r="G55" s="221" t="s">
        <v>417</v>
      </c>
      <c r="H55" s="219">
        <v>43476</v>
      </c>
      <c r="I55" s="216" t="s">
        <v>458</v>
      </c>
      <c r="J55" s="153" t="s">
        <v>397</v>
      </c>
      <c r="K55" s="153" t="s">
        <v>398</v>
      </c>
      <c r="L55" s="153" t="s">
        <v>398</v>
      </c>
      <c r="M55" s="164" t="s">
        <v>398</v>
      </c>
      <c r="N55" s="164" t="s">
        <v>398</v>
      </c>
      <c r="O55" s="164" t="s">
        <v>398</v>
      </c>
      <c r="P55" s="164" t="s">
        <v>398</v>
      </c>
      <c r="Q55" s="164" t="s">
        <v>398</v>
      </c>
      <c r="R55" s="164" t="s">
        <v>398</v>
      </c>
      <c r="S55" s="164" t="s">
        <v>398</v>
      </c>
      <c r="T55" s="164" t="s">
        <v>398</v>
      </c>
      <c r="U55" s="164" t="s">
        <v>398</v>
      </c>
      <c r="V55" s="164" t="s">
        <v>398</v>
      </c>
      <c r="W55" s="164" t="s">
        <v>398</v>
      </c>
      <c r="X55" s="164" t="s">
        <v>398</v>
      </c>
      <c r="Y55" s="164" t="s">
        <v>398</v>
      </c>
      <c r="Z55" s="164" t="s">
        <v>398</v>
      </c>
      <c r="AA55" s="164" t="s">
        <v>398</v>
      </c>
      <c r="AB55" s="167" t="s">
        <v>399</v>
      </c>
      <c r="AC55" s="219">
        <v>16842</v>
      </c>
      <c r="AD55" s="106"/>
      <c r="AE55" s="108" t="e">
        <f t="shared" si="0"/>
        <v>#NUM!</v>
      </c>
      <c r="AF55" s="104" t="s">
        <v>602</v>
      </c>
      <c r="AG55" s="79" t="s">
        <v>401</v>
      </c>
      <c r="AH55" s="104" t="s">
        <v>402</v>
      </c>
      <c r="AI55" s="110"/>
      <c r="AJ55" s="110"/>
      <c r="AK55" s="110"/>
      <c r="AL55" s="110"/>
      <c r="AM55" s="105"/>
      <c r="AN55" s="95">
        <v>2</v>
      </c>
      <c r="AO55" s="173" t="s">
        <v>398</v>
      </c>
      <c r="AP55" s="104"/>
      <c r="AQ55" s="104"/>
      <c r="AR55" s="104"/>
      <c r="AS55" s="104"/>
      <c r="AT55" s="104"/>
      <c r="AU55" s="104"/>
      <c r="AV55" s="104"/>
      <c r="AW55" s="104"/>
      <c r="AX55" s="104"/>
      <c r="AY55" s="104"/>
      <c r="AZ55" s="104"/>
      <c r="BA55" s="104"/>
      <c r="BB55" s="104"/>
      <c r="BC55" s="104"/>
      <c r="BD55" s="104"/>
      <c r="BE55" s="104"/>
      <c r="BF55" s="104"/>
      <c r="BG55" s="104"/>
      <c r="BH55" s="104"/>
      <c r="BI55" s="104"/>
      <c r="BJ55" s="104"/>
      <c r="BK55" s="104"/>
      <c r="BL55" s="104"/>
      <c r="BM55" s="104"/>
      <c r="BN55" s="104"/>
      <c r="BO55" s="104"/>
      <c r="BP55" s="104"/>
      <c r="BQ55" s="104"/>
      <c r="BR55" s="104"/>
      <c r="BS55" s="104"/>
      <c r="BT55" s="104"/>
      <c r="BU55" s="104"/>
      <c r="BV55" s="104"/>
      <c r="BW55" s="104"/>
      <c r="BX55" s="104"/>
      <c r="BY55" s="104"/>
      <c r="BZ55" s="104"/>
      <c r="CA55" s="104"/>
      <c r="CB55" s="104"/>
      <c r="CC55" s="104"/>
      <c r="CD55" s="104"/>
      <c r="CE55" s="104"/>
      <c r="CF55" s="104"/>
      <c r="CG55" s="104"/>
      <c r="CH55" s="104"/>
      <c r="CI55" s="104"/>
      <c r="CJ55" s="104"/>
      <c r="CK55" s="104"/>
      <c r="CL55" s="104"/>
      <c r="CM55" s="104"/>
      <c r="CN55" s="104"/>
      <c r="CO55" s="104"/>
      <c r="CP55" s="104"/>
      <c r="CQ55" s="104"/>
      <c r="CR55" s="104"/>
      <c r="CS55" s="104"/>
      <c r="CT55" s="104"/>
      <c r="CU55" s="104"/>
      <c r="CV55" s="104"/>
      <c r="CW55" s="104"/>
      <c r="CX55" s="104"/>
      <c r="CY55" s="104"/>
      <c r="CZ55" s="104"/>
      <c r="DA55" s="104"/>
      <c r="DB55" s="104"/>
      <c r="DC55" s="104"/>
      <c r="DD55" s="104"/>
      <c r="DE55" s="104"/>
      <c r="DF55" s="104"/>
      <c r="DG55" s="104"/>
      <c r="DH55" s="104"/>
      <c r="DI55" s="104"/>
      <c r="DJ55" s="104"/>
      <c r="DK55" s="104"/>
      <c r="DL55" s="104"/>
      <c r="DM55" s="104"/>
      <c r="DN55" s="104"/>
      <c r="DO55" s="104"/>
      <c r="DP55" s="104"/>
      <c r="DQ55" s="104"/>
      <c r="DR55" s="104"/>
      <c r="DS55" s="104"/>
      <c r="DT55" s="104"/>
      <c r="DU55" s="104"/>
      <c r="DV55" s="104"/>
      <c r="DW55" s="104"/>
      <c r="DX55" s="104"/>
      <c r="DY55" s="104"/>
      <c r="DZ55" s="104"/>
      <c r="EA55" s="104"/>
      <c r="EB55" s="104"/>
      <c r="EC55" s="104"/>
      <c r="ED55" s="104"/>
      <c r="EE55" s="104"/>
      <c r="EF55" s="104"/>
      <c r="EG55" s="104"/>
      <c r="EH55" s="104"/>
      <c r="EI55" s="104"/>
      <c r="EJ55" s="104"/>
      <c r="EK55" s="104"/>
      <c r="EL55" s="104"/>
      <c r="EM55" s="104"/>
      <c r="EN55" s="104"/>
      <c r="EO55" s="104"/>
      <c r="EP55" s="104"/>
      <c r="EQ55" s="104"/>
      <c r="ER55" s="104"/>
      <c r="ES55" s="104"/>
      <c r="ET55" s="104"/>
      <c r="EU55" s="104"/>
      <c r="EV55" s="104"/>
      <c r="EW55" s="104"/>
      <c r="EX55" s="104"/>
      <c r="EY55" s="104"/>
      <c r="EZ55" s="104"/>
      <c r="FA55" s="104"/>
      <c r="FB55" s="104"/>
      <c r="FC55" s="104"/>
      <c r="FD55" s="104"/>
      <c r="FE55" s="104"/>
      <c r="FF55" s="104"/>
      <c r="FG55" s="104"/>
      <c r="FH55" s="104"/>
      <c r="FI55" s="104"/>
      <c r="FJ55" s="104"/>
      <c r="FK55" s="104"/>
      <c r="FL55" s="104"/>
      <c r="FM55" s="104"/>
      <c r="FN55" s="104"/>
      <c r="FO55" s="104"/>
      <c r="FP55" s="104"/>
      <c r="FQ55" s="104"/>
      <c r="FR55" s="104"/>
      <c r="FS55" s="104"/>
      <c r="FT55" s="104"/>
      <c r="FU55" s="104"/>
      <c r="FV55" s="104"/>
      <c r="FW55" s="104"/>
      <c r="FX55" s="104"/>
      <c r="FY55" s="104"/>
      <c r="FZ55" s="104"/>
      <c r="GA55" s="104"/>
      <c r="GB55" s="104"/>
      <c r="GC55" s="104"/>
      <c r="GD55" s="104"/>
      <c r="GE55" s="104"/>
      <c r="GF55" s="104"/>
      <c r="GG55" s="104"/>
      <c r="GH55" s="104"/>
      <c r="GI55" s="104"/>
      <c r="GJ55" s="104"/>
      <c r="GK55" s="104"/>
      <c r="GL55" s="104"/>
      <c r="GM55" s="104"/>
      <c r="GN55" s="104"/>
      <c r="GO55" s="104"/>
      <c r="GP55" s="104"/>
      <c r="GQ55" s="104"/>
      <c r="GR55" s="104"/>
      <c r="GS55" s="104"/>
      <c r="GT55" s="104"/>
      <c r="GU55" s="104"/>
      <c r="GV55" s="104"/>
      <c r="GW55" s="104"/>
      <c r="GX55" s="104"/>
      <c r="GY55" s="104"/>
      <c r="GZ55" s="104"/>
      <c r="HA55" s="104"/>
      <c r="HB55" s="104"/>
      <c r="HC55" s="104"/>
      <c r="HD55" s="104"/>
      <c r="HE55" s="104"/>
      <c r="HF55" s="104"/>
      <c r="HG55" s="104"/>
      <c r="HH55" s="104"/>
      <c r="HI55" s="104"/>
      <c r="HJ55" s="104"/>
      <c r="HK55" s="104"/>
      <c r="HL55" s="104"/>
      <c r="HM55" s="104"/>
      <c r="HN55" s="104"/>
      <c r="HO55" s="104"/>
      <c r="HP55" s="104"/>
      <c r="HQ55" s="104"/>
      <c r="HR55" s="104"/>
      <c r="HS55" s="104"/>
      <c r="HT55" s="104"/>
      <c r="HU55" s="104"/>
      <c r="HV55" s="104"/>
      <c r="HW55" s="104"/>
      <c r="HX55" s="104"/>
      <c r="HY55" s="104"/>
      <c r="HZ55" s="104"/>
      <c r="IA55" s="104"/>
      <c r="IB55" s="104"/>
      <c r="IC55" s="104"/>
      <c r="ID55" s="104"/>
      <c r="IE55" s="104"/>
      <c r="IF55" s="104"/>
      <c r="IG55" s="104"/>
      <c r="IH55" s="104"/>
      <c r="II55" s="104"/>
      <c r="IJ55" s="104"/>
      <c r="IK55" s="104"/>
      <c r="IL55" s="104"/>
      <c r="IM55" s="104"/>
      <c r="IN55" s="104"/>
      <c r="IO55" s="104"/>
      <c r="IP55" s="104"/>
      <c r="IQ55" s="104"/>
      <c r="IR55" s="104"/>
      <c r="IS55" s="104"/>
      <c r="IT55" s="104"/>
      <c r="IU55" s="104"/>
      <c r="IV55" s="104"/>
      <c r="IW55" s="104"/>
      <c r="IX55" s="104"/>
      <c r="IY55" s="104"/>
      <c r="IZ55" s="104"/>
      <c r="JA55" s="104"/>
      <c r="JB55" s="104"/>
      <c r="JC55" s="104"/>
      <c r="JD55" s="104"/>
      <c r="JE55" s="104"/>
      <c r="JF55" s="104"/>
      <c r="JG55" s="104"/>
      <c r="JH55" s="104"/>
      <c r="JI55" s="104"/>
      <c r="JJ55" s="104"/>
      <c r="JK55" s="104"/>
      <c r="JL55" s="104"/>
      <c r="JM55" s="104"/>
      <c r="JN55" s="104"/>
      <c r="JO55" s="104"/>
      <c r="JP55" s="104"/>
      <c r="JQ55" s="104"/>
      <c r="JR55" s="104"/>
      <c r="JS55" s="104"/>
      <c r="JT55" s="104"/>
      <c r="JU55" s="104"/>
      <c r="JV55" s="104"/>
      <c r="JW55" s="104"/>
      <c r="JX55" s="104"/>
      <c r="JY55" s="104"/>
      <c r="JZ55" s="104"/>
      <c r="KA55" s="104"/>
      <c r="KB55" s="104"/>
      <c r="KC55" s="104"/>
      <c r="KD55" s="104"/>
      <c r="KE55" s="104"/>
      <c r="KF55" s="104"/>
      <c r="KG55" s="104"/>
      <c r="KH55" s="104"/>
      <c r="KI55" s="104"/>
      <c r="KJ55" s="104"/>
      <c r="KK55" s="104"/>
      <c r="KL55" s="104"/>
      <c r="KM55" s="104"/>
      <c r="KN55" s="104"/>
      <c r="KO55" s="104"/>
      <c r="KP55" s="104"/>
      <c r="KQ55" s="104"/>
      <c r="KR55" s="104"/>
      <c r="KS55" s="104"/>
      <c r="KT55" s="104"/>
      <c r="KU55" s="104"/>
      <c r="KV55" s="104"/>
      <c r="KW55" s="104"/>
      <c r="KX55" s="104"/>
      <c r="KY55" s="104"/>
      <c r="KZ55" s="104"/>
      <c r="LA55" s="104"/>
      <c r="LB55" s="104"/>
      <c r="LC55" s="104"/>
      <c r="LD55" s="104"/>
      <c r="LE55" s="104"/>
      <c r="LF55" s="104"/>
      <c r="LG55" s="104"/>
      <c r="LH55" s="104"/>
      <c r="LI55" s="104"/>
      <c r="LJ55" s="104"/>
      <c r="LK55" s="104"/>
      <c r="LL55" s="104"/>
      <c r="LM55" s="104"/>
      <c r="LN55" s="104"/>
      <c r="LO55" s="104"/>
      <c r="LP55" s="104"/>
      <c r="LQ55" s="104"/>
      <c r="LR55" s="104"/>
      <c r="LS55" s="104"/>
      <c r="LT55" s="104"/>
      <c r="LU55" s="104"/>
      <c r="LV55" s="104"/>
      <c r="LW55" s="104"/>
      <c r="LX55" s="104"/>
      <c r="LY55" s="104"/>
      <c r="LZ55" s="104"/>
      <c r="MA55" s="104"/>
      <c r="MB55" s="104"/>
      <c r="MC55" s="104"/>
      <c r="MD55" s="104"/>
      <c r="ME55" s="104"/>
      <c r="MF55" s="104"/>
      <c r="MG55" s="104"/>
      <c r="MH55" s="104"/>
      <c r="MI55" s="104"/>
      <c r="MJ55" s="104"/>
      <c r="MK55" s="104"/>
      <c r="ML55" s="104"/>
      <c r="MM55" s="104"/>
      <c r="MN55" s="104"/>
      <c r="MO55" s="104"/>
      <c r="MP55" s="104"/>
      <c r="MQ55" s="104"/>
      <c r="MR55" s="104"/>
      <c r="MS55" s="104"/>
      <c r="MT55" s="104"/>
      <c r="MU55" s="104"/>
      <c r="MV55" s="104"/>
      <c r="MW55" s="104"/>
      <c r="MX55" s="104"/>
      <c r="MY55" s="104"/>
      <c r="MZ55" s="104"/>
      <c r="NA55" s="104"/>
      <c r="NB55" s="104"/>
      <c r="NC55" s="104"/>
      <c r="ND55" s="104"/>
      <c r="NE55" s="104"/>
      <c r="NF55" s="104"/>
      <c r="NG55" s="104"/>
      <c r="NH55" s="104"/>
      <c r="NI55" s="104"/>
      <c r="NJ55" s="104"/>
      <c r="NK55" s="104"/>
      <c r="NL55" s="104"/>
      <c r="NM55" s="104"/>
      <c r="NN55" s="104"/>
      <c r="NO55" s="104"/>
      <c r="NP55" s="104"/>
      <c r="NQ55" s="104"/>
      <c r="NR55" s="104"/>
      <c r="NS55" s="104"/>
      <c r="NT55" s="104"/>
      <c r="NU55" s="104"/>
      <c r="NV55" s="104"/>
      <c r="NW55" s="104"/>
      <c r="NX55" s="104"/>
      <c r="NY55" s="104"/>
      <c r="NZ55" s="104"/>
    </row>
    <row r="56" spans="1:390" ht="15.75" customHeight="1" x14ac:dyDescent="0.3">
      <c r="A56" s="214">
        <v>4343559440</v>
      </c>
      <c r="B56" s="165" t="s">
        <v>391</v>
      </c>
      <c r="C56" s="138"/>
      <c r="D56" s="216" t="s">
        <v>391</v>
      </c>
      <c r="E56" s="136" t="s">
        <v>679</v>
      </c>
      <c r="F56" s="125" t="s">
        <v>416</v>
      </c>
      <c r="G56" s="221" t="s">
        <v>471</v>
      </c>
      <c r="H56" s="219">
        <v>43483</v>
      </c>
      <c r="I56" s="216" t="s">
        <v>458</v>
      </c>
      <c r="J56" s="153" t="s">
        <v>397</v>
      </c>
      <c r="K56" s="153" t="s">
        <v>398</v>
      </c>
      <c r="L56" s="153" t="s">
        <v>398</v>
      </c>
      <c r="M56" s="164" t="s">
        <v>398</v>
      </c>
      <c r="N56" s="164" t="s">
        <v>398</v>
      </c>
      <c r="O56" s="164" t="s">
        <v>398</v>
      </c>
      <c r="P56" s="164" t="s">
        <v>398</v>
      </c>
      <c r="Q56" s="164" t="s">
        <v>398</v>
      </c>
      <c r="R56" s="164" t="s">
        <v>398</v>
      </c>
      <c r="S56" s="164" t="s">
        <v>398</v>
      </c>
      <c r="T56" s="164" t="s">
        <v>398</v>
      </c>
      <c r="U56" s="164" t="s">
        <v>398</v>
      </c>
      <c r="V56" s="164" t="s">
        <v>398</v>
      </c>
      <c r="W56" s="164" t="s">
        <v>398</v>
      </c>
      <c r="X56" s="164" t="s">
        <v>398</v>
      </c>
      <c r="Y56" s="164" t="s">
        <v>398</v>
      </c>
      <c r="Z56" s="164" t="s">
        <v>398</v>
      </c>
      <c r="AA56" s="164" t="s">
        <v>398</v>
      </c>
      <c r="AB56" s="167" t="s">
        <v>399</v>
      </c>
      <c r="AC56" s="219">
        <v>13085</v>
      </c>
      <c r="AD56" s="106"/>
      <c r="AE56" s="108" t="e">
        <f t="shared" si="0"/>
        <v>#NUM!</v>
      </c>
      <c r="AF56" s="104" t="s">
        <v>680</v>
      </c>
      <c r="AG56" s="79" t="s">
        <v>401</v>
      </c>
      <c r="AH56" s="104" t="s">
        <v>402</v>
      </c>
      <c r="AI56" s="110"/>
      <c r="AJ56" s="110"/>
      <c r="AK56" s="110"/>
      <c r="AL56" s="110"/>
      <c r="AM56" s="105"/>
      <c r="AN56" s="95">
        <v>2</v>
      </c>
      <c r="AO56" s="173" t="s">
        <v>398</v>
      </c>
      <c r="AP56" s="104"/>
      <c r="AQ56" s="104"/>
      <c r="AR56" s="104"/>
      <c r="AS56" s="104"/>
      <c r="AT56" s="104"/>
      <c r="AU56" s="104"/>
      <c r="AV56" s="104"/>
      <c r="AW56" s="104"/>
      <c r="AX56" s="104"/>
      <c r="AY56" s="104"/>
      <c r="AZ56" s="104"/>
      <c r="BA56" s="104"/>
      <c r="BB56" s="104"/>
      <c r="BC56" s="104"/>
      <c r="BD56" s="104"/>
      <c r="BE56" s="104"/>
      <c r="BF56" s="104"/>
      <c r="BG56" s="104"/>
      <c r="BH56" s="104"/>
      <c r="BI56" s="104"/>
      <c r="BJ56" s="104"/>
      <c r="BK56" s="104"/>
      <c r="BL56" s="104"/>
      <c r="BM56" s="104"/>
      <c r="BN56" s="104"/>
      <c r="BO56" s="104"/>
      <c r="BP56" s="104"/>
      <c r="BQ56" s="104"/>
      <c r="BR56" s="104"/>
      <c r="BS56" s="104"/>
      <c r="BT56" s="104"/>
      <c r="BU56" s="104"/>
      <c r="BV56" s="104"/>
      <c r="BW56" s="104"/>
      <c r="BX56" s="104"/>
      <c r="BY56" s="104"/>
      <c r="BZ56" s="104"/>
      <c r="CA56" s="104"/>
      <c r="CB56" s="104"/>
      <c r="CC56" s="104"/>
      <c r="CD56" s="104"/>
      <c r="CE56" s="104"/>
      <c r="CF56" s="104"/>
      <c r="CG56" s="104"/>
      <c r="CH56" s="104"/>
      <c r="CI56" s="104"/>
      <c r="CJ56" s="104"/>
      <c r="CK56" s="104"/>
      <c r="CL56" s="104"/>
      <c r="CM56" s="104"/>
      <c r="CN56" s="104"/>
      <c r="CO56" s="104"/>
      <c r="CP56" s="104"/>
      <c r="CQ56" s="104"/>
      <c r="CR56" s="104"/>
      <c r="CS56" s="104"/>
      <c r="CT56" s="104"/>
      <c r="CU56" s="104"/>
      <c r="CV56" s="104"/>
      <c r="CW56" s="104"/>
      <c r="CX56" s="104"/>
      <c r="CY56" s="104"/>
      <c r="CZ56" s="104"/>
      <c r="DA56" s="104"/>
      <c r="DB56" s="104"/>
      <c r="DC56" s="104"/>
      <c r="DD56" s="104"/>
      <c r="DE56" s="104"/>
      <c r="DF56" s="104"/>
      <c r="DG56" s="104"/>
      <c r="DH56" s="104"/>
      <c r="DI56" s="104"/>
      <c r="DJ56" s="104"/>
      <c r="DK56" s="104"/>
      <c r="DL56" s="104"/>
      <c r="DM56" s="104"/>
      <c r="DN56" s="104"/>
      <c r="DO56" s="104"/>
      <c r="DP56" s="104"/>
      <c r="DQ56" s="104"/>
      <c r="DR56" s="104"/>
      <c r="DS56" s="104"/>
      <c r="DT56" s="104"/>
      <c r="DU56" s="104"/>
      <c r="DV56" s="104"/>
      <c r="DW56" s="104"/>
      <c r="DX56" s="104"/>
      <c r="DY56" s="104"/>
      <c r="DZ56" s="104"/>
      <c r="EA56" s="104"/>
      <c r="EB56" s="104"/>
      <c r="EC56" s="104"/>
      <c r="ED56" s="104"/>
      <c r="EE56" s="104"/>
      <c r="EF56" s="104"/>
      <c r="EG56" s="104"/>
      <c r="EH56" s="104"/>
      <c r="EI56" s="104"/>
      <c r="EJ56" s="104"/>
      <c r="EK56" s="104"/>
      <c r="EL56" s="104"/>
      <c r="EM56" s="104"/>
      <c r="EN56" s="104"/>
      <c r="EO56" s="104"/>
      <c r="EP56" s="104"/>
      <c r="EQ56" s="104"/>
      <c r="ER56" s="104"/>
      <c r="ES56" s="104"/>
      <c r="ET56" s="104"/>
      <c r="EU56" s="104"/>
      <c r="EV56" s="104"/>
      <c r="EW56" s="104"/>
      <c r="EX56" s="104"/>
      <c r="EY56" s="104"/>
      <c r="EZ56" s="104"/>
      <c r="FA56" s="104"/>
      <c r="FB56" s="104"/>
      <c r="FC56" s="104"/>
      <c r="FD56" s="104"/>
      <c r="FE56" s="104"/>
      <c r="FF56" s="104"/>
      <c r="FG56" s="104"/>
      <c r="FH56" s="104"/>
      <c r="FI56" s="104"/>
      <c r="FJ56" s="104"/>
      <c r="FK56" s="104"/>
      <c r="FL56" s="104"/>
      <c r="FM56" s="104"/>
      <c r="FN56" s="104"/>
      <c r="FO56" s="104"/>
      <c r="FP56" s="104"/>
      <c r="FQ56" s="104"/>
      <c r="FR56" s="104"/>
      <c r="FS56" s="104"/>
      <c r="FT56" s="104"/>
      <c r="FU56" s="104"/>
      <c r="FV56" s="104"/>
      <c r="FW56" s="104"/>
      <c r="FX56" s="104"/>
      <c r="FY56" s="104"/>
      <c r="FZ56" s="104"/>
      <c r="GA56" s="104"/>
      <c r="GB56" s="104"/>
      <c r="GC56" s="104"/>
      <c r="GD56" s="104"/>
      <c r="GE56" s="104"/>
      <c r="GF56" s="104"/>
      <c r="GG56" s="104"/>
      <c r="GH56" s="104"/>
      <c r="GI56" s="104"/>
      <c r="GJ56" s="104"/>
      <c r="GK56" s="104"/>
      <c r="GL56" s="104"/>
      <c r="GM56" s="104"/>
      <c r="GN56" s="104"/>
      <c r="GO56" s="104"/>
      <c r="GP56" s="104"/>
      <c r="GQ56" s="104"/>
      <c r="GR56" s="104"/>
      <c r="GS56" s="104"/>
      <c r="GT56" s="104"/>
      <c r="GU56" s="104"/>
      <c r="GV56" s="104"/>
      <c r="GW56" s="104"/>
      <c r="GX56" s="104"/>
      <c r="GY56" s="104"/>
      <c r="GZ56" s="104"/>
      <c r="HA56" s="104"/>
      <c r="HB56" s="104"/>
      <c r="HC56" s="104"/>
      <c r="HD56" s="104"/>
      <c r="HE56" s="104"/>
      <c r="HF56" s="104"/>
      <c r="HG56" s="104"/>
      <c r="HH56" s="104"/>
      <c r="HI56" s="104"/>
      <c r="HJ56" s="104"/>
      <c r="HK56" s="104"/>
      <c r="HL56" s="104"/>
      <c r="HM56" s="104"/>
      <c r="HN56" s="104"/>
      <c r="HO56" s="104"/>
      <c r="HP56" s="104"/>
      <c r="HQ56" s="104"/>
      <c r="HR56" s="104"/>
      <c r="HS56" s="104"/>
      <c r="HT56" s="104"/>
      <c r="HU56" s="104"/>
      <c r="HV56" s="104"/>
      <c r="HW56" s="104"/>
      <c r="HX56" s="104"/>
      <c r="HY56" s="104"/>
      <c r="HZ56" s="104"/>
      <c r="IA56" s="104"/>
      <c r="IB56" s="104"/>
      <c r="IC56" s="104"/>
      <c r="ID56" s="104"/>
      <c r="IE56" s="104"/>
      <c r="IF56" s="104"/>
      <c r="IG56" s="104"/>
      <c r="IH56" s="104"/>
      <c r="II56" s="104"/>
      <c r="IJ56" s="104"/>
      <c r="IK56" s="104"/>
      <c r="IL56" s="104"/>
      <c r="IM56" s="104"/>
      <c r="IN56" s="104"/>
      <c r="IO56" s="104"/>
      <c r="IP56" s="104"/>
      <c r="IQ56" s="104"/>
      <c r="IR56" s="104"/>
      <c r="IS56" s="104"/>
      <c r="IT56" s="104"/>
      <c r="IU56" s="104"/>
      <c r="IV56" s="104"/>
      <c r="IW56" s="104"/>
      <c r="IX56" s="104"/>
      <c r="IY56" s="104"/>
      <c r="IZ56" s="104"/>
      <c r="JA56" s="104"/>
      <c r="JB56" s="104"/>
      <c r="JC56" s="104"/>
      <c r="JD56" s="104"/>
      <c r="JE56" s="104"/>
      <c r="JF56" s="104"/>
      <c r="JG56" s="104"/>
      <c r="JH56" s="104"/>
      <c r="JI56" s="104"/>
      <c r="JJ56" s="104"/>
      <c r="JK56" s="104"/>
      <c r="JL56" s="104"/>
      <c r="JM56" s="104"/>
      <c r="JN56" s="104"/>
      <c r="JO56" s="104"/>
      <c r="JP56" s="104"/>
      <c r="JQ56" s="104"/>
      <c r="JR56" s="104"/>
      <c r="JS56" s="104"/>
      <c r="JT56" s="104"/>
      <c r="JU56" s="104"/>
      <c r="JV56" s="104"/>
      <c r="JW56" s="104"/>
      <c r="JX56" s="104"/>
      <c r="JY56" s="104"/>
      <c r="JZ56" s="104"/>
      <c r="KA56" s="104"/>
      <c r="KB56" s="104"/>
      <c r="KC56" s="104"/>
      <c r="KD56" s="104"/>
      <c r="KE56" s="104"/>
      <c r="KF56" s="104"/>
      <c r="KG56" s="104"/>
      <c r="KH56" s="104"/>
      <c r="KI56" s="104"/>
      <c r="KJ56" s="104"/>
      <c r="KK56" s="104"/>
      <c r="KL56" s="104"/>
      <c r="KM56" s="104"/>
      <c r="KN56" s="104"/>
      <c r="KO56" s="104"/>
      <c r="KP56" s="104"/>
      <c r="KQ56" s="104"/>
      <c r="KR56" s="104"/>
      <c r="KS56" s="104"/>
      <c r="KT56" s="104"/>
      <c r="KU56" s="104"/>
      <c r="KV56" s="104"/>
      <c r="KW56" s="104"/>
      <c r="KX56" s="104"/>
      <c r="KY56" s="104"/>
      <c r="KZ56" s="104"/>
      <c r="LA56" s="104"/>
      <c r="LB56" s="104"/>
      <c r="LC56" s="104"/>
      <c r="LD56" s="104"/>
      <c r="LE56" s="104"/>
      <c r="LF56" s="104"/>
      <c r="LG56" s="104"/>
      <c r="LH56" s="104"/>
      <c r="LI56" s="104"/>
      <c r="LJ56" s="104"/>
      <c r="LK56" s="104"/>
      <c r="LL56" s="104"/>
      <c r="LM56" s="104"/>
      <c r="LN56" s="104"/>
      <c r="LO56" s="104"/>
      <c r="LP56" s="104"/>
      <c r="LQ56" s="104"/>
      <c r="LR56" s="104"/>
      <c r="LS56" s="104"/>
      <c r="LT56" s="104"/>
      <c r="LU56" s="104"/>
      <c r="LV56" s="104"/>
      <c r="LW56" s="104"/>
      <c r="LX56" s="104"/>
      <c r="LY56" s="104"/>
      <c r="LZ56" s="104"/>
      <c r="MA56" s="104"/>
      <c r="MB56" s="104"/>
      <c r="MC56" s="104"/>
      <c r="MD56" s="104"/>
      <c r="ME56" s="104"/>
      <c r="MF56" s="104"/>
      <c r="MG56" s="104"/>
      <c r="MH56" s="104"/>
      <c r="MI56" s="104"/>
      <c r="MJ56" s="104"/>
      <c r="MK56" s="104"/>
      <c r="ML56" s="104"/>
      <c r="MM56" s="104"/>
      <c r="MN56" s="104"/>
      <c r="MO56" s="104"/>
      <c r="MP56" s="104"/>
      <c r="MQ56" s="104"/>
      <c r="MR56" s="104"/>
      <c r="MS56" s="104"/>
      <c r="MT56" s="104"/>
      <c r="MU56" s="104"/>
      <c r="MV56" s="104"/>
      <c r="MW56" s="104"/>
      <c r="MX56" s="104"/>
      <c r="MY56" s="104"/>
      <c r="MZ56" s="104"/>
      <c r="NA56" s="104"/>
      <c r="NB56" s="104"/>
      <c r="NC56" s="104"/>
      <c r="ND56" s="104"/>
      <c r="NE56" s="104"/>
      <c r="NF56" s="104"/>
      <c r="NG56" s="104"/>
      <c r="NH56" s="104"/>
      <c r="NI56" s="104"/>
      <c r="NJ56" s="104"/>
      <c r="NK56" s="104"/>
      <c r="NL56" s="104"/>
      <c r="NM56" s="104"/>
      <c r="NN56" s="104"/>
      <c r="NO56" s="104"/>
      <c r="NP56" s="104"/>
      <c r="NQ56" s="104"/>
      <c r="NR56" s="104"/>
      <c r="NS56" s="104"/>
      <c r="NT56" s="104"/>
      <c r="NU56" s="104"/>
      <c r="NV56" s="104"/>
      <c r="NW56" s="104"/>
      <c r="NX56" s="104"/>
      <c r="NY56" s="104"/>
      <c r="NZ56" s="104"/>
    </row>
    <row r="57" spans="1:390" ht="15.75" customHeight="1" x14ac:dyDescent="0.3">
      <c r="A57" s="214">
        <v>4508562973</v>
      </c>
      <c r="B57" s="165" t="s">
        <v>402</v>
      </c>
      <c r="C57" s="138"/>
      <c r="D57" s="216" t="s">
        <v>391</v>
      </c>
      <c r="E57" s="136" t="s">
        <v>681</v>
      </c>
      <c r="F57" s="125" t="s">
        <v>501</v>
      </c>
      <c r="G57" s="221" t="s">
        <v>421</v>
      </c>
      <c r="H57" s="219">
        <v>43496</v>
      </c>
      <c r="I57" s="216" t="s">
        <v>513</v>
      </c>
      <c r="J57" s="153" t="s">
        <v>397</v>
      </c>
      <c r="K57" s="153" t="s">
        <v>398</v>
      </c>
      <c r="L57" s="153" t="s">
        <v>398</v>
      </c>
      <c r="M57" s="164" t="s">
        <v>398</v>
      </c>
      <c r="N57" s="164" t="s">
        <v>398</v>
      </c>
      <c r="O57" s="164" t="s">
        <v>398</v>
      </c>
      <c r="P57" s="164" t="s">
        <v>398</v>
      </c>
      <c r="Q57" s="164" t="s">
        <v>398</v>
      </c>
      <c r="R57" s="164" t="s">
        <v>398</v>
      </c>
      <c r="S57" s="164" t="s">
        <v>398</v>
      </c>
      <c r="T57" s="164" t="s">
        <v>398</v>
      </c>
      <c r="U57" s="164" t="s">
        <v>398</v>
      </c>
      <c r="V57" s="164" t="s">
        <v>398</v>
      </c>
      <c r="W57" s="164" t="s">
        <v>398</v>
      </c>
      <c r="X57" s="164" t="s">
        <v>398</v>
      </c>
      <c r="Y57" s="164" t="s">
        <v>398</v>
      </c>
      <c r="Z57" s="164" t="s">
        <v>398</v>
      </c>
      <c r="AA57" s="164" t="s">
        <v>398</v>
      </c>
      <c r="AB57" s="167" t="s">
        <v>399</v>
      </c>
      <c r="AC57" s="219">
        <v>17656</v>
      </c>
      <c r="AD57" s="106"/>
      <c r="AE57" s="108" t="e">
        <f t="shared" si="0"/>
        <v>#NUM!</v>
      </c>
      <c r="AF57" s="104" t="s">
        <v>602</v>
      </c>
      <c r="AG57" s="79" t="s">
        <v>401</v>
      </c>
      <c r="AH57" s="104" t="s">
        <v>402</v>
      </c>
      <c r="AI57" s="110"/>
      <c r="AJ57" s="110"/>
      <c r="AK57" s="110"/>
      <c r="AL57" s="110"/>
      <c r="AM57" s="105"/>
      <c r="AN57" s="95">
        <v>2</v>
      </c>
      <c r="AO57" s="173" t="s">
        <v>398</v>
      </c>
      <c r="AP57" s="104"/>
      <c r="AQ57" s="104"/>
      <c r="AR57" s="104"/>
      <c r="AS57" s="104"/>
      <c r="AT57" s="104"/>
      <c r="AU57" s="104"/>
      <c r="AV57" s="104"/>
      <c r="AW57" s="104"/>
      <c r="AX57" s="104"/>
      <c r="AY57" s="104"/>
      <c r="AZ57" s="104"/>
      <c r="BA57" s="104"/>
      <c r="BB57" s="104"/>
      <c r="BC57" s="104"/>
      <c r="BD57" s="104"/>
      <c r="BE57" s="104"/>
      <c r="BF57" s="104"/>
      <c r="BG57" s="104"/>
      <c r="BH57" s="104"/>
      <c r="BI57" s="104"/>
      <c r="BJ57" s="104"/>
      <c r="BK57" s="104"/>
      <c r="BL57" s="104"/>
      <c r="BM57" s="104"/>
      <c r="BN57" s="104"/>
      <c r="BO57" s="104"/>
      <c r="BP57" s="104"/>
      <c r="BQ57" s="104"/>
      <c r="BR57" s="104"/>
      <c r="BS57" s="104"/>
      <c r="BT57" s="104"/>
      <c r="BU57" s="104"/>
      <c r="BV57" s="104"/>
      <c r="BW57" s="104"/>
      <c r="BX57" s="104"/>
      <c r="BY57" s="104"/>
      <c r="BZ57" s="104"/>
      <c r="CA57" s="104"/>
      <c r="CB57" s="104"/>
      <c r="CC57" s="104"/>
      <c r="CD57" s="104"/>
      <c r="CE57" s="104"/>
      <c r="CF57" s="104"/>
      <c r="CG57" s="104"/>
      <c r="CH57" s="104"/>
      <c r="CI57" s="104"/>
      <c r="CJ57" s="104"/>
      <c r="CK57" s="104"/>
      <c r="CL57" s="104"/>
      <c r="CM57" s="104"/>
      <c r="CN57" s="104"/>
      <c r="CO57" s="104"/>
      <c r="CP57" s="104"/>
      <c r="CQ57" s="104"/>
      <c r="CR57" s="104"/>
      <c r="CS57" s="104"/>
      <c r="CT57" s="104"/>
      <c r="CU57" s="104"/>
      <c r="CV57" s="104"/>
      <c r="CW57" s="104"/>
      <c r="CX57" s="104"/>
      <c r="CY57" s="104"/>
      <c r="CZ57" s="104"/>
      <c r="DA57" s="104"/>
      <c r="DB57" s="104"/>
      <c r="DC57" s="104"/>
      <c r="DD57" s="104"/>
      <c r="DE57" s="104"/>
      <c r="DF57" s="104"/>
      <c r="DG57" s="104"/>
      <c r="DH57" s="104"/>
      <c r="DI57" s="104"/>
      <c r="DJ57" s="104"/>
      <c r="DK57" s="104"/>
      <c r="DL57" s="104"/>
      <c r="DM57" s="104"/>
      <c r="DN57" s="104"/>
      <c r="DO57" s="104"/>
      <c r="DP57" s="104"/>
      <c r="DQ57" s="104"/>
      <c r="DR57" s="104"/>
      <c r="DS57" s="104"/>
      <c r="DT57" s="104"/>
      <c r="DU57" s="104"/>
      <c r="DV57" s="104"/>
      <c r="DW57" s="104"/>
      <c r="DX57" s="104"/>
      <c r="DY57" s="104"/>
      <c r="DZ57" s="104"/>
      <c r="EA57" s="104"/>
      <c r="EB57" s="104"/>
      <c r="EC57" s="104"/>
      <c r="ED57" s="104"/>
      <c r="EE57" s="104"/>
      <c r="EF57" s="104"/>
      <c r="EG57" s="104"/>
      <c r="EH57" s="104"/>
      <c r="EI57" s="104"/>
      <c r="EJ57" s="104"/>
      <c r="EK57" s="104"/>
      <c r="EL57" s="104"/>
      <c r="EM57" s="104"/>
      <c r="EN57" s="104"/>
      <c r="EO57" s="104"/>
      <c r="EP57" s="104"/>
      <c r="EQ57" s="104"/>
      <c r="ER57" s="104"/>
      <c r="ES57" s="104"/>
      <c r="ET57" s="104"/>
      <c r="EU57" s="104"/>
      <c r="EV57" s="104"/>
      <c r="EW57" s="104"/>
      <c r="EX57" s="104"/>
      <c r="EY57" s="104"/>
      <c r="EZ57" s="104"/>
      <c r="FA57" s="104"/>
      <c r="FB57" s="104"/>
      <c r="FC57" s="104"/>
      <c r="FD57" s="104"/>
      <c r="FE57" s="104"/>
      <c r="FF57" s="104"/>
      <c r="FG57" s="104"/>
      <c r="FH57" s="104"/>
      <c r="FI57" s="104"/>
      <c r="FJ57" s="104"/>
      <c r="FK57" s="104"/>
      <c r="FL57" s="104"/>
      <c r="FM57" s="104"/>
      <c r="FN57" s="104"/>
      <c r="FO57" s="104"/>
      <c r="FP57" s="104"/>
      <c r="FQ57" s="104"/>
      <c r="FR57" s="104"/>
      <c r="FS57" s="104"/>
      <c r="FT57" s="104"/>
      <c r="FU57" s="104"/>
      <c r="FV57" s="104"/>
      <c r="FW57" s="104"/>
      <c r="FX57" s="104"/>
      <c r="FY57" s="104"/>
      <c r="FZ57" s="104"/>
      <c r="GA57" s="104"/>
      <c r="GB57" s="104"/>
      <c r="GC57" s="104"/>
      <c r="GD57" s="104"/>
      <c r="GE57" s="104"/>
      <c r="GF57" s="104"/>
      <c r="GG57" s="104"/>
      <c r="GH57" s="104"/>
      <c r="GI57" s="104"/>
      <c r="GJ57" s="104"/>
      <c r="GK57" s="104"/>
      <c r="GL57" s="104"/>
      <c r="GM57" s="104"/>
      <c r="GN57" s="104"/>
      <c r="GO57" s="104"/>
      <c r="GP57" s="104"/>
      <c r="GQ57" s="104"/>
      <c r="GR57" s="104"/>
      <c r="GS57" s="104"/>
      <c r="GT57" s="104"/>
      <c r="GU57" s="104"/>
      <c r="GV57" s="104"/>
      <c r="GW57" s="104"/>
      <c r="GX57" s="104"/>
      <c r="GY57" s="104"/>
      <c r="GZ57" s="104"/>
      <c r="HA57" s="104"/>
      <c r="HB57" s="104"/>
      <c r="HC57" s="104"/>
      <c r="HD57" s="104"/>
      <c r="HE57" s="104"/>
      <c r="HF57" s="104"/>
      <c r="HG57" s="104"/>
      <c r="HH57" s="104"/>
      <c r="HI57" s="104"/>
      <c r="HJ57" s="104"/>
      <c r="HK57" s="104"/>
      <c r="HL57" s="104"/>
      <c r="HM57" s="104"/>
      <c r="HN57" s="104"/>
      <c r="HO57" s="104"/>
      <c r="HP57" s="104"/>
      <c r="HQ57" s="104"/>
      <c r="HR57" s="104"/>
      <c r="HS57" s="104"/>
      <c r="HT57" s="104"/>
      <c r="HU57" s="104"/>
      <c r="HV57" s="104"/>
      <c r="HW57" s="104"/>
      <c r="HX57" s="104"/>
      <c r="HY57" s="104"/>
      <c r="HZ57" s="104"/>
      <c r="IA57" s="104"/>
      <c r="IB57" s="104"/>
      <c r="IC57" s="104"/>
      <c r="ID57" s="104"/>
      <c r="IE57" s="104"/>
      <c r="IF57" s="104"/>
      <c r="IG57" s="104"/>
      <c r="IH57" s="104"/>
      <c r="II57" s="104"/>
      <c r="IJ57" s="104"/>
      <c r="IK57" s="104"/>
      <c r="IL57" s="104"/>
      <c r="IM57" s="104"/>
      <c r="IN57" s="104"/>
      <c r="IO57" s="104"/>
      <c r="IP57" s="104"/>
      <c r="IQ57" s="104"/>
      <c r="IR57" s="104"/>
      <c r="IS57" s="104"/>
      <c r="IT57" s="104"/>
      <c r="IU57" s="104"/>
      <c r="IV57" s="104"/>
      <c r="IW57" s="104"/>
      <c r="IX57" s="104"/>
      <c r="IY57" s="104"/>
      <c r="IZ57" s="104"/>
      <c r="JA57" s="104"/>
      <c r="JB57" s="104"/>
      <c r="JC57" s="104"/>
      <c r="JD57" s="104"/>
      <c r="JE57" s="104"/>
      <c r="JF57" s="104"/>
      <c r="JG57" s="104"/>
      <c r="JH57" s="104"/>
      <c r="JI57" s="104"/>
      <c r="JJ57" s="104"/>
      <c r="JK57" s="104"/>
      <c r="JL57" s="104"/>
      <c r="JM57" s="104"/>
      <c r="JN57" s="104"/>
      <c r="JO57" s="104"/>
      <c r="JP57" s="104"/>
      <c r="JQ57" s="104"/>
      <c r="JR57" s="104"/>
      <c r="JS57" s="104"/>
      <c r="JT57" s="104"/>
      <c r="JU57" s="104"/>
      <c r="JV57" s="104"/>
      <c r="JW57" s="104"/>
      <c r="JX57" s="104"/>
      <c r="JY57" s="104"/>
      <c r="JZ57" s="104"/>
      <c r="KA57" s="104"/>
      <c r="KB57" s="104"/>
      <c r="KC57" s="104"/>
      <c r="KD57" s="104"/>
      <c r="KE57" s="104"/>
      <c r="KF57" s="104"/>
      <c r="KG57" s="104"/>
      <c r="KH57" s="104"/>
      <c r="KI57" s="104"/>
      <c r="KJ57" s="104"/>
      <c r="KK57" s="104"/>
      <c r="KL57" s="104"/>
      <c r="KM57" s="104"/>
      <c r="KN57" s="104"/>
      <c r="KO57" s="104"/>
      <c r="KP57" s="104"/>
      <c r="KQ57" s="104"/>
      <c r="KR57" s="104"/>
      <c r="KS57" s="104"/>
      <c r="KT57" s="104"/>
      <c r="KU57" s="104"/>
      <c r="KV57" s="104"/>
      <c r="KW57" s="104"/>
      <c r="KX57" s="104"/>
      <c r="KY57" s="104"/>
      <c r="KZ57" s="104"/>
      <c r="LA57" s="104"/>
      <c r="LB57" s="104"/>
      <c r="LC57" s="104"/>
      <c r="LD57" s="104"/>
      <c r="LE57" s="104"/>
      <c r="LF57" s="104"/>
      <c r="LG57" s="104"/>
      <c r="LH57" s="104"/>
      <c r="LI57" s="104"/>
      <c r="LJ57" s="104"/>
      <c r="LK57" s="104"/>
      <c r="LL57" s="104"/>
      <c r="LM57" s="104"/>
      <c r="LN57" s="104"/>
      <c r="LO57" s="104"/>
      <c r="LP57" s="104"/>
      <c r="LQ57" s="104"/>
      <c r="LR57" s="104"/>
      <c r="LS57" s="104"/>
      <c r="LT57" s="104"/>
      <c r="LU57" s="104"/>
      <c r="LV57" s="104"/>
      <c r="LW57" s="104"/>
      <c r="LX57" s="104"/>
      <c r="LY57" s="104"/>
      <c r="LZ57" s="104"/>
      <c r="MA57" s="104"/>
      <c r="MB57" s="104"/>
      <c r="MC57" s="104"/>
      <c r="MD57" s="104"/>
      <c r="ME57" s="104"/>
      <c r="MF57" s="104"/>
      <c r="MG57" s="104"/>
      <c r="MH57" s="104"/>
      <c r="MI57" s="104"/>
      <c r="MJ57" s="104"/>
      <c r="MK57" s="104"/>
      <c r="ML57" s="104"/>
      <c r="MM57" s="104"/>
      <c r="MN57" s="104"/>
      <c r="MO57" s="104"/>
      <c r="MP57" s="104"/>
      <c r="MQ57" s="104"/>
      <c r="MR57" s="104"/>
      <c r="MS57" s="104"/>
      <c r="MT57" s="104"/>
      <c r="MU57" s="104"/>
      <c r="MV57" s="104"/>
      <c r="MW57" s="104"/>
      <c r="MX57" s="104"/>
      <c r="MY57" s="104"/>
      <c r="MZ57" s="104"/>
      <c r="NA57" s="104"/>
      <c r="NB57" s="104"/>
      <c r="NC57" s="104"/>
      <c r="ND57" s="104"/>
      <c r="NE57" s="104"/>
      <c r="NF57" s="104"/>
      <c r="NG57" s="104"/>
      <c r="NH57" s="104"/>
      <c r="NI57" s="104"/>
      <c r="NJ57" s="104"/>
      <c r="NK57" s="104"/>
      <c r="NL57" s="104"/>
      <c r="NM57" s="104"/>
      <c r="NN57" s="104"/>
      <c r="NO57" s="104"/>
      <c r="NP57" s="104"/>
      <c r="NQ57" s="104"/>
      <c r="NR57" s="104"/>
      <c r="NS57" s="104"/>
      <c r="NT57" s="104"/>
      <c r="NU57" s="104"/>
      <c r="NV57" s="104"/>
      <c r="NW57" s="104"/>
      <c r="NX57" s="104"/>
      <c r="NY57" s="104"/>
      <c r="NZ57" s="104"/>
    </row>
    <row r="58" spans="1:390" ht="15.75" customHeight="1" x14ac:dyDescent="0.3">
      <c r="A58" s="214">
        <v>4528612941</v>
      </c>
      <c r="B58" s="165" t="s">
        <v>391</v>
      </c>
      <c r="C58" s="138"/>
      <c r="D58" s="216" t="s">
        <v>391</v>
      </c>
      <c r="E58" s="136" t="s">
        <v>682</v>
      </c>
      <c r="F58" s="125" t="s">
        <v>422</v>
      </c>
      <c r="G58" s="221" t="s">
        <v>488</v>
      </c>
      <c r="H58" s="219">
        <v>43496</v>
      </c>
      <c r="I58" s="216" t="s">
        <v>458</v>
      </c>
      <c r="J58" s="153" t="s">
        <v>397</v>
      </c>
      <c r="K58" s="153" t="s">
        <v>398</v>
      </c>
      <c r="L58" s="153" t="s">
        <v>398</v>
      </c>
      <c r="M58" s="164" t="s">
        <v>398</v>
      </c>
      <c r="N58" s="164" t="s">
        <v>398</v>
      </c>
      <c r="O58" s="164" t="s">
        <v>398</v>
      </c>
      <c r="P58" s="164" t="s">
        <v>398</v>
      </c>
      <c r="Q58" s="164" t="s">
        <v>398</v>
      </c>
      <c r="R58" s="164" t="s">
        <v>398</v>
      </c>
      <c r="S58" s="164" t="s">
        <v>398</v>
      </c>
      <c r="T58" s="164" t="s">
        <v>398</v>
      </c>
      <c r="U58" s="164" t="s">
        <v>398</v>
      </c>
      <c r="V58" s="164" t="s">
        <v>398</v>
      </c>
      <c r="W58" s="164" t="s">
        <v>398</v>
      </c>
      <c r="X58" s="164" t="s">
        <v>398</v>
      </c>
      <c r="Y58" s="164" t="s">
        <v>398</v>
      </c>
      <c r="Z58" s="164" t="s">
        <v>398</v>
      </c>
      <c r="AA58" s="164" t="s">
        <v>398</v>
      </c>
      <c r="AB58" s="167" t="s">
        <v>399</v>
      </c>
      <c r="AC58" s="219">
        <v>18023</v>
      </c>
      <c r="AD58" s="106"/>
      <c r="AE58" s="108" t="e">
        <f t="shared" si="0"/>
        <v>#NUM!</v>
      </c>
      <c r="AF58" s="104" t="s">
        <v>683</v>
      </c>
      <c r="AG58" s="79" t="s">
        <v>401</v>
      </c>
      <c r="AH58" s="104" t="s">
        <v>402</v>
      </c>
      <c r="AI58" s="110"/>
      <c r="AJ58" s="110"/>
      <c r="AK58" s="110"/>
      <c r="AL58" s="110"/>
      <c r="AM58" s="105"/>
      <c r="AN58" s="95">
        <v>3</v>
      </c>
      <c r="AO58" s="173" t="s">
        <v>398</v>
      </c>
      <c r="AP58" s="104"/>
      <c r="AQ58" s="104"/>
      <c r="AR58" s="104"/>
      <c r="AS58" s="104"/>
      <c r="AT58" s="104"/>
      <c r="AU58" s="104"/>
      <c r="AV58" s="104"/>
      <c r="AW58" s="104"/>
      <c r="AX58" s="104"/>
      <c r="AY58" s="104"/>
      <c r="AZ58" s="104"/>
      <c r="BA58" s="104"/>
      <c r="BB58" s="104"/>
      <c r="BC58" s="104"/>
      <c r="BD58" s="104"/>
      <c r="BE58" s="104"/>
      <c r="BF58" s="104"/>
      <c r="BG58" s="104"/>
      <c r="BH58" s="104"/>
      <c r="BI58" s="104"/>
      <c r="BJ58" s="104"/>
      <c r="BK58" s="104"/>
      <c r="BL58" s="104"/>
      <c r="BM58" s="104"/>
      <c r="BN58" s="104"/>
      <c r="BO58" s="104"/>
      <c r="BP58" s="104"/>
      <c r="BQ58" s="104"/>
      <c r="BR58" s="104"/>
      <c r="BS58" s="104"/>
      <c r="BT58" s="104"/>
      <c r="BU58" s="104"/>
      <c r="BV58" s="104"/>
      <c r="BW58" s="104"/>
      <c r="BX58" s="104"/>
      <c r="BY58" s="104"/>
      <c r="BZ58" s="104"/>
      <c r="CA58" s="104"/>
      <c r="CB58" s="104"/>
      <c r="CC58" s="104"/>
      <c r="CD58" s="104"/>
      <c r="CE58" s="104"/>
      <c r="CF58" s="104"/>
      <c r="CG58" s="104"/>
      <c r="CH58" s="104"/>
      <c r="CI58" s="104"/>
      <c r="CJ58" s="104"/>
      <c r="CK58" s="104"/>
      <c r="CL58" s="104"/>
      <c r="CM58" s="104"/>
      <c r="CN58" s="104"/>
      <c r="CO58" s="104"/>
      <c r="CP58" s="104"/>
      <c r="CQ58" s="104"/>
      <c r="CR58" s="104"/>
      <c r="CS58" s="104"/>
      <c r="CT58" s="104"/>
      <c r="CU58" s="104"/>
      <c r="CV58" s="104"/>
      <c r="CW58" s="104"/>
      <c r="CX58" s="104"/>
      <c r="CY58" s="104"/>
      <c r="CZ58" s="104"/>
      <c r="DA58" s="104"/>
      <c r="DB58" s="104"/>
      <c r="DC58" s="104"/>
      <c r="DD58" s="104"/>
      <c r="DE58" s="104"/>
      <c r="DF58" s="104"/>
      <c r="DG58" s="104"/>
      <c r="DH58" s="104"/>
      <c r="DI58" s="104"/>
      <c r="DJ58" s="104"/>
      <c r="DK58" s="104"/>
      <c r="DL58" s="104"/>
      <c r="DM58" s="104"/>
      <c r="DN58" s="104"/>
      <c r="DO58" s="104"/>
      <c r="DP58" s="104"/>
      <c r="DQ58" s="104"/>
      <c r="DR58" s="104"/>
      <c r="DS58" s="104"/>
      <c r="DT58" s="104"/>
      <c r="DU58" s="104"/>
      <c r="DV58" s="104"/>
      <c r="DW58" s="104"/>
      <c r="DX58" s="104"/>
      <c r="DY58" s="104"/>
      <c r="DZ58" s="104"/>
      <c r="EA58" s="104"/>
      <c r="EB58" s="104"/>
      <c r="EC58" s="104"/>
      <c r="ED58" s="104"/>
      <c r="EE58" s="104"/>
      <c r="EF58" s="104"/>
      <c r="EG58" s="104"/>
      <c r="EH58" s="104"/>
      <c r="EI58" s="104"/>
      <c r="EJ58" s="104"/>
      <c r="EK58" s="104"/>
      <c r="EL58" s="104"/>
      <c r="EM58" s="104"/>
      <c r="EN58" s="104"/>
      <c r="EO58" s="104"/>
      <c r="EP58" s="104"/>
      <c r="EQ58" s="104"/>
      <c r="ER58" s="104"/>
      <c r="ES58" s="104"/>
      <c r="ET58" s="104"/>
      <c r="EU58" s="104"/>
      <c r="EV58" s="104"/>
      <c r="EW58" s="104"/>
      <c r="EX58" s="104"/>
      <c r="EY58" s="104"/>
      <c r="EZ58" s="104"/>
      <c r="FA58" s="104"/>
      <c r="FB58" s="104"/>
      <c r="FC58" s="104"/>
      <c r="FD58" s="104"/>
      <c r="FE58" s="104"/>
      <c r="FF58" s="104"/>
      <c r="FG58" s="104"/>
      <c r="FH58" s="104"/>
      <c r="FI58" s="104"/>
      <c r="FJ58" s="104"/>
      <c r="FK58" s="104"/>
      <c r="FL58" s="104"/>
      <c r="FM58" s="104"/>
      <c r="FN58" s="104"/>
      <c r="FO58" s="104"/>
      <c r="FP58" s="104"/>
      <c r="FQ58" s="104"/>
      <c r="FR58" s="104"/>
      <c r="FS58" s="104"/>
      <c r="FT58" s="104"/>
      <c r="FU58" s="104"/>
      <c r="FV58" s="104"/>
      <c r="FW58" s="104"/>
      <c r="FX58" s="104"/>
      <c r="FY58" s="104"/>
      <c r="FZ58" s="104"/>
      <c r="GA58" s="104"/>
      <c r="GB58" s="104"/>
      <c r="GC58" s="104"/>
      <c r="GD58" s="104"/>
      <c r="GE58" s="104"/>
      <c r="GF58" s="104"/>
      <c r="GG58" s="104"/>
      <c r="GH58" s="104"/>
      <c r="GI58" s="104"/>
      <c r="GJ58" s="104"/>
      <c r="GK58" s="104"/>
      <c r="GL58" s="104"/>
      <c r="GM58" s="104"/>
      <c r="GN58" s="104"/>
      <c r="GO58" s="104"/>
      <c r="GP58" s="104"/>
      <c r="GQ58" s="104"/>
      <c r="GR58" s="104"/>
      <c r="GS58" s="104"/>
      <c r="GT58" s="104"/>
      <c r="GU58" s="104"/>
      <c r="GV58" s="104"/>
      <c r="GW58" s="104"/>
      <c r="GX58" s="104"/>
      <c r="GY58" s="104"/>
      <c r="GZ58" s="104"/>
      <c r="HA58" s="104"/>
      <c r="HB58" s="104"/>
      <c r="HC58" s="104"/>
      <c r="HD58" s="104"/>
      <c r="HE58" s="104"/>
      <c r="HF58" s="104"/>
      <c r="HG58" s="104"/>
      <c r="HH58" s="104"/>
      <c r="HI58" s="104"/>
      <c r="HJ58" s="104"/>
      <c r="HK58" s="104"/>
      <c r="HL58" s="104"/>
      <c r="HM58" s="104"/>
      <c r="HN58" s="104"/>
      <c r="HO58" s="104"/>
      <c r="HP58" s="104"/>
      <c r="HQ58" s="104"/>
      <c r="HR58" s="104"/>
      <c r="HS58" s="104"/>
      <c r="HT58" s="104"/>
      <c r="HU58" s="104"/>
      <c r="HV58" s="104"/>
      <c r="HW58" s="104"/>
      <c r="HX58" s="104"/>
      <c r="HY58" s="104"/>
      <c r="HZ58" s="104"/>
      <c r="IA58" s="104"/>
      <c r="IB58" s="104"/>
      <c r="IC58" s="104"/>
      <c r="ID58" s="104"/>
      <c r="IE58" s="104"/>
      <c r="IF58" s="104"/>
      <c r="IG58" s="104"/>
      <c r="IH58" s="104"/>
      <c r="II58" s="104"/>
      <c r="IJ58" s="104"/>
      <c r="IK58" s="104"/>
      <c r="IL58" s="104"/>
      <c r="IM58" s="104"/>
      <c r="IN58" s="104"/>
      <c r="IO58" s="104"/>
      <c r="IP58" s="104"/>
      <c r="IQ58" s="104"/>
      <c r="IR58" s="104"/>
      <c r="IS58" s="104"/>
      <c r="IT58" s="104"/>
      <c r="IU58" s="104"/>
      <c r="IV58" s="104"/>
      <c r="IW58" s="104"/>
      <c r="IX58" s="104"/>
      <c r="IY58" s="104"/>
      <c r="IZ58" s="104"/>
      <c r="JA58" s="104"/>
      <c r="JB58" s="104"/>
      <c r="JC58" s="104"/>
      <c r="JD58" s="104"/>
      <c r="JE58" s="104"/>
      <c r="JF58" s="104"/>
      <c r="JG58" s="104"/>
      <c r="JH58" s="104"/>
      <c r="JI58" s="104"/>
      <c r="JJ58" s="104"/>
      <c r="JK58" s="104"/>
      <c r="JL58" s="104"/>
      <c r="JM58" s="104"/>
      <c r="JN58" s="104"/>
      <c r="JO58" s="104"/>
      <c r="JP58" s="104"/>
      <c r="JQ58" s="104"/>
      <c r="JR58" s="104"/>
      <c r="JS58" s="104"/>
      <c r="JT58" s="104"/>
      <c r="JU58" s="104"/>
      <c r="JV58" s="104"/>
      <c r="JW58" s="104"/>
      <c r="JX58" s="104"/>
      <c r="JY58" s="104"/>
      <c r="JZ58" s="104"/>
      <c r="KA58" s="104"/>
      <c r="KB58" s="104"/>
      <c r="KC58" s="104"/>
      <c r="KD58" s="104"/>
      <c r="KE58" s="104"/>
      <c r="KF58" s="104"/>
      <c r="KG58" s="104"/>
      <c r="KH58" s="104"/>
      <c r="KI58" s="104"/>
      <c r="KJ58" s="104"/>
      <c r="KK58" s="104"/>
      <c r="KL58" s="104"/>
      <c r="KM58" s="104"/>
      <c r="KN58" s="104"/>
      <c r="KO58" s="104"/>
      <c r="KP58" s="104"/>
      <c r="KQ58" s="104"/>
      <c r="KR58" s="104"/>
      <c r="KS58" s="104"/>
      <c r="KT58" s="104"/>
      <c r="KU58" s="104"/>
      <c r="KV58" s="104"/>
      <c r="KW58" s="104"/>
      <c r="KX58" s="104"/>
      <c r="KY58" s="104"/>
      <c r="KZ58" s="104"/>
      <c r="LA58" s="104"/>
      <c r="LB58" s="104"/>
      <c r="LC58" s="104"/>
      <c r="LD58" s="104"/>
      <c r="LE58" s="104"/>
      <c r="LF58" s="104"/>
      <c r="LG58" s="104"/>
      <c r="LH58" s="104"/>
      <c r="LI58" s="104"/>
      <c r="LJ58" s="104"/>
      <c r="LK58" s="104"/>
      <c r="LL58" s="104"/>
      <c r="LM58" s="104"/>
      <c r="LN58" s="104"/>
      <c r="LO58" s="104"/>
      <c r="LP58" s="104"/>
      <c r="LQ58" s="104"/>
      <c r="LR58" s="104"/>
      <c r="LS58" s="104"/>
      <c r="LT58" s="104"/>
      <c r="LU58" s="104"/>
      <c r="LV58" s="104"/>
      <c r="LW58" s="104"/>
      <c r="LX58" s="104"/>
      <c r="LY58" s="104"/>
      <c r="LZ58" s="104"/>
      <c r="MA58" s="104"/>
      <c r="MB58" s="104"/>
      <c r="MC58" s="104"/>
      <c r="MD58" s="104"/>
      <c r="ME58" s="104"/>
      <c r="MF58" s="104"/>
      <c r="MG58" s="104"/>
      <c r="MH58" s="104"/>
      <c r="MI58" s="104"/>
      <c r="MJ58" s="104"/>
      <c r="MK58" s="104"/>
      <c r="ML58" s="104"/>
      <c r="MM58" s="104"/>
      <c r="MN58" s="104"/>
      <c r="MO58" s="104"/>
      <c r="MP58" s="104"/>
      <c r="MQ58" s="104"/>
      <c r="MR58" s="104"/>
      <c r="MS58" s="104"/>
      <c r="MT58" s="104"/>
      <c r="MU58" s="104"/>
      <c r="MV58" s="104"/>
      <c r="MW58" s="104"/>
      <c r="MX58" s="104"/>
      <c r="MY58" s="104"/>
      <c r="MZ58" s="104"/>
      <c r="NA58" s="104"/>
      <c r="NB58" s="104"/>
      <c r="NC58" s="104"/>
      <c r="ND58" s="104"/>
      <c r="NE58" s="104"/>
      <c r="NF58" s="104"/>
      <c r="NG58" s="104"/>
      <c r="NH58" s="104"/>
      <c r="NI58" s="104"/>
      <c r="NJ58" s="104"/>
      <c r="NK58" s="104"/>
      <c r="NL58" s="104"/>
      <c r="NM58" s="104"/>
      <c r="NN58" s="104"/>
      <c r="NO58" s="104"/>
      <c r="NP58" s="104"/>
      <c r="NQ58" s="104"/>
      <c r="NR58" s="104"/>
      <c r="NS58" s="104"/>
      <c r="NT58" s="104"/>
      <c r="NU58" s="104"/>
      <c r="NV58" s="104"/>
      <c r="NW58" s="104"/>
      <c r="NX58" s="104"/>
      <c r="NY58" s="104"/>
      <c r="NZ58" s="104"/>
    </row>
    <row r="59" spans="1:390" ht="15.75" customHeight="1" x14ac:dyDescent="0.3">
      <c r="A59" s="214">
        <v>4520819644</v>
      </c>
      <c r="B59" s="165" t="s">
        <v>391</v>
      </c>
      <c r="C59" s="138"/>
      <c r="D59" s="216" t="s">
        <v>391</v>
      </c>
      <c r="E59" s="136" t="s">
        <v>684</v>
      </c>
      <c r="F59" s="125" t="s">
        <v>471</v>
      </c>
      <c r="G59" s="221" t="s">
        <v>398</v>
      </c>
      <c r="H59" s="219">
        <v>43503</v>
      </c>
      <c r="I59" s="216" t="s">
        <v>513</v>
      </c>
      <c r="J59" s="153" t="s">
        <v>397</v>
      </c>
      <c r="K59" s="153" t="s">
        <v>398</v>
      </c>
      <c r="L59" s="153" t="s">
        <v>398</v>
      </c>
      <c r="M59" s="164" t="s">
        <v>398</v>
      </c>
      <c r="N59" s="164" t="s">
        <v>398</v>
      </c>
      <c r="O59" s="164" t="s">
        <v>398</v>
      </c>
      <c r="P59" s="164" t="s">
        <v>398</v>
      </c>
      <c r="Q59" s="164" t="s">
        <v>398</v>
      </c>
      <c r="R59" s="164" t="s">
        <v>398</v>
      </c>
      <c r="S59" s="164" t="s">
        <v>398</v>
      </c>
      <c r="T59" s="164" t="s">
        <v>398</v>
      </c>
      <c r="U59" s="164" t="s">
        <v>398</v>
      </c>
      <c r="V59" s="164" t="s">
        <v>398</v>
      </c>
      <c r="W59" s="164" t="s">
        <v>398</v>
      </c>
      <c r="X59" s="164" t="s">
        <v>398</v>
      </c>
      <c r="Y59" s="164" t="s">
        <v>398</v>
      </c>
      <c r="Z59" s="164" t="s">
        <v>398</v>
      </c>
      <c r="AA59" s="164" t="s">
        <v>398</v>
      </c>
      <c r="AB59" s="167" t="s">
        <v>399</v>
      </c>
      <c r="AC59" s="219">
        <v>18605</v>
      </c>
      <c r="AD59" s="106"/>
      <c r="AE59" s="108" t="e">
        <f t="shared" si="0"/>
        <v>#NUM!</v>
      </c>
      <c r="AF59" s="104" t="s">
        <v>685</v>
      </c>
      <c r="AG59" s="79" t="s">
        <v>401</v>
      </c>
      <c r="AH59" s="104" t="s">
        <v>402</v>
      </c>
      <c r="AI59" s="110"/>
      <c r="AJ59" s="110"/>
      <c r="AK59" s="110"/>
      <c r="AL59" s="110"/>
      <c r="AM59" s="105"/>
      <c r="AN59" s="95">
        <v>3</v>
      </c>
      <c r="AO59" s="173" t="s">
        <v>398</v>
      </c>
      <c r="AP59" s="104"/>
      <c r="AQ59" s="104"/>
      <c r="AR59" s="104"/>
      <c r="AS59" s="104"/>
      <c r="AT59" s="104"/>
      <c r="AU59" s="104"/>
      <c r="AV59" s="104"/>
      <c r="AW59" s="104"/>
      <c r="AX59" s="104"/>
      <c r="AY59" s="104"/>
      <c r="AZ59" s="104"/>
      <c r="BA59" s="104"/>
      <c r="BB59" s="104"/>
      <c r="BC59" s="104"/>
      <c r="BD59" s="104"/>
      <c r="BE59" s="104"/>
      <c r="BF59" s="104"/>
      <c r="BG59" s="104"/>
      <c r="BH59" s="104"/>
      <c r="BI59" s="104"/>
      <c r="BJ59" s="104"/>
      <c r="BK59" s="104"/>
      <c r="BL59" s="104"/>
      <c r="BM59" s="104"/>
      <c r="BN59" s="104"/>
      <c r="BO59" s="104"/>
      <c r="BP59" s="104"/>
      <c r="BQ59" s="104"/>
      <c r="BR59" s="104"/>
      <c r="BS59" s="104"/>
      <c r="BT59" s="104"/>
      <c r="BU59" s="104"/>
      <c r="BV59" s="104"/>
      <c r="BW59" s="104"/>
      <c r="BX59" s="104"/>
      <c r="BY59" s="104"/>
      <c r="BZ59" s="104"/>
      <c r="CA59" s="104"/>
      <c r="CB59" s="104"/>
      <c r="CC59" s="104"/>
      <c r="CD59" s="104"/>
      <c r="CE59" s="104"/>
      <c r="CF59" s="104"/>
      <c r="CG59" s="104"/>
      <c r="CH59" s="104"/>
      <c r="CI59" s="104"/>
      <c r="CJ59" s="104"/>
      <c r="CK59" s="104"/>
      <c r="CL59" s="104"/>
      <c r="CM59" s="104"/>
      <c r="CN59" s="104"/>
      <c r="CO59" s="104"/>
      <c r="CP59" s="104"/>
      <c r="CQ59" s="104"/>
      <c r="CR59" s="104"/>
      <c r="CS59" s="104"/>
      <c r="CT59" s="104"/>
      <c r="CU59" s="104"/>
      <c r="CV59" s="104"/>
      <c r="CW59" s="104"/>
      <c r="CX59" s="104"/>
      <c r="CY59" s="104"/>
      <c r="CZ59" s="104"/>
      <c r="DA59" s="104"/>
      <c r="DB59" s="104"/>
      <c r="DC59" s="104"/>
      <c r="DD59" s="104"/>
      <c r="DE59" s="104"/>
      <c r="DF59" s="104"/>
      <c r="DG59" s="104"/>
      <c r="DH59" s="104"/>
      <c r="DI59" s="104"/>
      <c r="DJ59" s="104"/>
      <c r="DK59" s="104"/>
      <c r="DL59" s="104"/>
      <c r="DM59" s="104"/>
      <c r="DN59" s="104"/>
      <c r="DO59" s="104"/>
      <c r="DP59" s="104"/>
      <c r="DQ59" s="104"/>
      <c r="DR59" s="104"/>
      <c r="DS59" s="104"/>
      <c r="DT59" s="104"/>
      <c r="DU59" s="104"/>
      <c r="DV59" s="104"/>
      <c r="DW59" s="104"/>
      <c r="DX59" s="104"/>
      <c r="DY59" s="104"/>
      <c r="DZ59" s="104"/>
      <c r="EA59" s="104"/>
      <c r="EB59" s="104"/>
      <c r="EC59" s="104"/>
      <c r="ED59" s="104"/>
      <c r="EE59" s="104"/>
      <c r="EF59" s="104"/>
      <c r="EG59" s="104"/>
      <c r="EH59" s="104"/>
      <c r="EI59" s="104"/>
      <c r="EJ59" s="104"/>
      <c r="EK59" s="104"/>
      <c r="EL59" s="104"/>
      <c r="EM59" s="104"/>
      <c r="EN59" s="104"/>
      <c r="EO59" s="104"/>
      <c r="EP59" s="104"/>
      <c r="EQ59" s="104"/>
      <c r="ER59" s="104"/>
      <c r="ES59" s="104"/>
      <c r="ET59" s="104"/>
      <c r="EU59" s="104"/>
      <c r="EV59" s="104"/>
      <c r="EW59" s="104"/>
      <c r="EX59" s="104"/>
      <c r="EY59" s="104"/>
      <c r="EZ59" s="104"/>
      <c r="FA59" s="104"/>
      <c r="FB59" s="104"/>
      <c r="FC59" s="104"/>
      <c r="FD59" s="104"/>
      <c r="FE59" s="104"/>
      <c r="FF59" s="104"/>
      <c r="FG59" s="104"/>
      <c r="FH59" s="104"/>
      <c r="FI59" s="104"/>
      <c r="FJ59" s="104"/>
      <c r="FK59" s="104"/>
      <c r="FL59" s="104"/>
      <c r="FM59" s="104"/>
      <c r="FN59" s="104"/>
      <c r="FO59" s="104"/>
      <c r="FP59" s="104"/>
      <c r="FQ59" s="104"/>
      <c r="FR59" s="104"/>
      <c r="FS59" s="104"/>
      <c r="FT59" s="104"/>
      <c r="FU59" s="104"/>
      <c r="FV59" s="104"/>
      <c r="FW59" s="104"/>
      <c r="FX59" s="104"/>
      <c r="FY59" s="104"/>
      <c r="FZ59" s="104"/>
      <c r="GA59" s="104"/>
      <c r="GB59" s="104"/>
      <c r="GC59" s="104"/>
      <c r="GD59" s="104"/>
      <c r="GE59" s="104"/>
      <c r="GF59" s="104"/>
      <c r="GG59" s="104"/>
      <c r="GH59" s="104"/>
      <c r="GI59" s="104"/>
      <c r="GJ59" s="104"/>
      <c r="GK59" s="104"/>
      <c r="GL59" s="104"/>
      <c r="GM59" s="104"/>
      <c r="GN59" s="104"/>
      <c r="GO59" s="104"/>
      <c r="GP59" s="104"/>
      <c r="GQ59" s="104"/>
      <c r="GR59" s="104"/>
      <c r="GS59" s="104"/>
      <c r="GT59" s="104"/>
      <c r="GU59" s="104"/>
      <c r="GV59" s="104"/>
      <c r="GW59" s="104"/>
      <c r="GX59" s="104"/>
      <c r="GY59" s="104"/>
      <c r="GZ59" s="104"/>
      <c r="HA59" s="104"/>
      <c r="HB59" s="104"/>
      <c r="HC59" s="104"/>
      <c r="HD59" s="104"/>
      <c r="HE59" s="104"/>
      <c r="HF59" s="104"/>
      <c r="HG59" s="104"/>
      <c r="HH59" s="104"/>
      <c r="HI59" s="104"/>
      <c r="HJ59" s="104"/>
      <c r="HK59" s="104"/>
      <c r="HL59" s="104"/>
      <c r="HM59" s="104"/>
      <c r="HN59" s="104"/>
      <c r="HO59" s="104"/>
      <c r="HP59" s="104"/>
      <c r="HQ59" s="104"/>
      <c r="HR59" s="104"/>
      <c r="HS59" s="104"/>
      <c r="HT59" s="104"/>
      <c r="HU59" s="104"/>
      <c r="HV59" s="104"/>
      <c r="HW59" s="104"/>
      <c r="HX59" s="104"/>
      <c r="HY59" s="104"/>
      <c r="HZ59" s="104"/>
      <c r="IA59" s="104"/>
      <c r="IB59" s="104"/>
      <c r="IC59" s="104"/>
      <c r="ID59" s="104"/>
      <c r="IE59" s="104"/>
      <c r="IF59" s="104"/>
      <c r="IG59" s="104"/>
      <c r="IH59" s="104"/>
      <c r="II59" s="104"/>
      <c r="IJ59" s="104"/>
      <c r="IK59" s="104"/>
      <c r="IL59" s="104"/>
      <c r="IM59" s="104"/>
      <c r="IN59" s="104"/>
      <c r="IO59" s="104"/>
      <c r="IP59" s="104"/>
      <c r="IQ59" s="104"/>
      <c r="IR59" s="104"/>
      <c r="IS59" s="104"/>
      <c r="IT59" s="104"/>
      <c r="IU59" s="104"/>
      <c r="IV59" s="104"/>
      <c r="IW59" s="104"/>
      <c r="IX59" s="104"/>
      <c r="IY59" s="104"/>
      <c r="IZ59" s="104"/>
      <c r="JA59" s="104"/>
      <c r="JB59" s="104"/>
      <c r="JC59" s="104"/>
      <c r="JD59" s="104"/>
      <c r="JE59" s="104"/>
      <c r="JF59" s="104"/>
      <c r="JG59" s="104"/>
      <c r="JH59" s="104"/>
      <c r="JI59" s="104"/>
      <c r="JJ59" s="104"/>
      <c r="JK59" s="104"/>
      <c r="JL59" s="104"/>
      <c r="JM59" s="104"/>
      <c r="JN59" s="104"/>
      <c r="JO59" s="104"/>
      <c r="JP59" s="104"/>
      <c r="JQ59" s="104"/>
      <c r="JR59" s="104"/>
      <c r="JS59" s="104"/>
      <c r="JT59" s="104"/>
      <c r="JU59" s="104"/>
      <c r="JV59" s="104"/>
      <c r="JW59" s="104"/>
      <c r="JX59" s="104"/>
      <c r="JY59" s="104"/>
      <c r="JZ59" s="104"/>
      <c r="KA59" s="104"/>
      <c r="KB59" s="104"/>
      <c r="KC59" s="104"/>
      <c r="KD59" s="104"/>
      <c r="KE59" s="104"/>
      <c r="KF59" s="104"/>
      <c r="KG59" s="104"/>
      <c r="KH59" s="104"/>
      <c r="KI59" s="104"/>
      <c r="KJ59" s="104"/>
      <c r="KK59" s="104"/>
      <c r="KL59" s="104"/>
      <c r="KM59" s="104"/>
      <c r="KN59" s="104"/>
      <c r="KO59" s="104"/>
      <c r="KP59" s="104"/>
      <c r="KQ59" s="104"/>
      <c r="KR59" s="104"/>
      <c r="KS59" s="104"/>
      <c r="KT59" s="104"/>
      <c r="KU59" s="104"/>
      <c r="KV59" s="104"/>
      <c r="KW59" s="104"/>
      <c r="KX59" s="104"/>
      <c r="KY59" s="104"/>
      <c r="KZ59" s="104"/>
      <c r="LA59" s="104"/>
      <c r="LB59" s="104"/>
      <c r="LC59" s="104"/>
      <c r="LD59" s="104"/>
      <c r="LE59" s="104"/>
      <c r="LF59" s="104"/>
      <c r="LG59" s="104"/>
      <c r="LH59" s="104"/>
      <c r="LI59" s="104"/>
      <c r="LJ59" s="104"/>
      <c r="LK59" s="104"/>
      <c r="LL59" s="104"/>
      <c r="LM59" s="104"/>
      <c r="LN59" s="104"/>
      <c r="LO59" s="104"/>
      <c r="LP59" s="104"/>
      <c r="LQ59" s="104"/>
      <c r="LR59" s="104"/>
      <c r="LS59" s="104"/>
      <c r="LT59" s="104"/>
      <c r="LU59" s="104"/>
      <c r="LV59" s="104"/>
      <c r="LW59" s="104"/>
      <c r="LX59" s="104"/>
      <c r="LY59" s="104"/>
      <c r="LZ59" s="104"/>
      <c r="MA59" s="104"/>
      <c r="MB59" s="104"/>
      <c r="MC59" s="104"/>
      <c r="MD59" s="104"/>
      <c r="ME59" s="104"/>
      <c r="MF59" s="104"/>
      <c r="MG59" s="104"/>
      <c r="MH59" s="104"/>
      <c r="MI59" s="104"/>
      <c r="MJ59" s="104"/>
      <c r="MK59" s="104"/>
      <c r="ML59" s="104"/>
      <c r="MM59" s="104"/>
      <c r="MN59" s="104"/>
      <c r="MO59" s="104"/>
      <c r="MP59" s="104"/>
      <c r="MQ59" s="104"/>
      <c r="MR59" s="104"/>
      <c r="MS59" s="104"/>
      <c r="MT59" s="104"/>
      <c r="MU59" s="104"/>
      <c r="MV59" s="104"/>
      <c r="MW59" s="104"/>
      <c r="MX59" s="104"/>
      <c r="MY59" s="104"/>
      <c r="MZ59" s="104"/>
      <c r="NA59" s="104"/>
      <c r="NB59" s="104"/>
      <c r="NC59" s="104"/>
      <c r="ND59" s="104"/>
      <c r="NE59" s="104"/>
      <c r="NF59" s="104"/>
      <c r="NG59" s="104"/>
      <c r="NH59" s="104"/>
      <c r="NI59" s="104"/>
      <c r="NJ59" s="104"/>
      <c r="NK59" s="104"/>
      <c r="NL59" s="104"/>
      <c r="NM59" s="104"/>
      <c r="NN59" s="104"/>
      <c r="NO59" s="104"/>
      <c r="NP59" s="104"/>
      <c r="NQ59" s="104"/>
      <c r="NR59" s="104"/>
      <c r="NS59" s="104"/>
      <c r="NT59" s="104"/>
      <c r="NU59" s="104"/>
      <c r="NV59" s="104"/>
      <c r="NW59" s="104"/>
      <c r="NX59" s="104"/>
      <c r="NY59" s="104"/>
      <c r="NZ59" s="104"/>
    </row>
    <row r="60" spans="1:390" ht="15.75" customHeight="1" x14ac:dyDescent="0.3">
      <c r="A60" s="214">
        <v>4121387287</v>
      </c>
      <c r="B60" s="165" t="s">
        <v>391</v>
      </c>
      <c r="C60" s="138"/>
      <c r="D60" s="216" t="s">
        <v>391</v>
      </c>
      <c r="E60" s="136" t="s">
        <v>686</v>
      </c>
      <c r="F60" s="125" t="s">
        <v>395</v>
      </c>
      <c r="G60" s="221" t="s">
        <v>518</v>
      </c>
      <c r="H60" s="219">
        <v>43517</v>
      </c>
      <c r="I60" s="216" t="s">
        <v>513</v>
      </c>
      <c r="J60" s="153" t="s">
        <v>397</v>
      </c>
      <c r="K60" s="153" t="s">
        <v>398</v>
      </c>
      <c r="L60" s="153" t="s">
        <v>398</v>
      </c>
      <c r="M60" s="164" t="s">
        <v>398</v>
      </c>
      <c r="N60" s="164" t="s">
        <v>398</v>
      </c>
      <c r="O60" s="164" t="s">
        <v>398</v>
      </c>
      <c r="P60" s="164" t="s">
        <v>398</v>
      </c>
      <c r="Q60" s="164" t="s">
        <v>398</v>
      </c>
      <c r="R60" s="164" t="s">
        <v>398</v>
      </c>
      <c r="S60" s="164" t="s">
        <v>398</v>
      </c>
      <c r="T60" s="164" t="s">
        <v>398</v>
      </c>
      <c r="U60" s="164" t="s">
        <v>398</v>
      </c>
      <c r="V60" s="164" t="s">
        <v>398</v>
      </c>
      <c r="W60" s="164" t="s">
        <v>398</v>
      </c>
      <c r="X60" s="164" t="s">
        <v>398</v>
      </c>
      <c r="Y60" s="164" t="s">
        <v>398</v>
      </c>
      <c r="Z60" s="164" t="s">
        <v>398</v>
      </c>
      <c r="AA60" s="164" t="s">
        <v>398</v>
      </c>
      <c r="AB60" s="167" t="s">
        <v>399</v>
      </c>
      <c r="AC60" s="219">
        <v>17194</v>
      </c>
      <c r="AD60" s="106"/>
      <c r="AE60" s="108" t="e">
        <f t="shared" si="0"/>
        <v>#NUM!</v>
      </c>
      <c r="AF60" s="104" t="s">
        <v>477</v>
      </c>
      <c r="AG60" s="79" t="s">
        <v>401</v>
      </c>
      <c r="AH60" s="104" t="s">
        <v>402</v>
      </c>
      <c r="AI60" s="110"/>
      <c r="AJ60" s="110"/>
      <c r="AK60" s="110"/>
      <c r="AL60" s="110"/>
      <c r="AM60" s="105"/>
      <c r="AN60" s="95">
        <v>1</v>
      </c>
      <c r="AO60" s="173" t="s">
        <v>398</v>
      </c>
      <c r="AP60" s="104"/>
      <c r="AQ60" s="104"/>
      <c r="AR60" s="104"/>
      <c r="AS60" s="104"/>
      <c r="AT60" s="104"/>
      <c r="AU60" s="104"/>
      <c r="AV60" s="104"/>
      <c r="AW60" s="104"/>
      <c r="AX60" s="104"/>
      <c r="AY60" s="104"/>
      <c r="AZ60" s="104"/>
      <c r="BA60" s="104"/>
      <c r="BB60" s="104"/>
      <c r="BC60" s="104"/>
      <c r="BD60" s="104"/>
      <c r="BE60" s="104"/>
      <c r="BF60" s="104"/>
      <c r="BG60" s="104"/>
      <c r="BH60" s="104"/>
      <c r="BI60" s="104"/>
      <c r="BJ60" s="104"/>
      <c r="BK60" s="104"/>
      <c r="BL60" s="104"/>
      <c r="BM60" s="104"/>
      <c r="BN60" s="104"/>
      <c r="BO60" s="104"/>
      <c r="BP60" s="104"/>
      <c r="BQ60" s="104"/>
      <c r="BR60" s="104"/>
      <c r="BS60" s="104"/>
      <c r="BT60" s="104"/>
      <c r="BU60" s="104"/>
      <c r="BV60" s="104"/>
      <c r="BW60" s="104"/>
      <c r="BX60" s="104"/>
      <c r="BY60" s="104"/>
      <c r="BZ60" s="104"/>
      <c r="CA60" s="104"/>
      <c r="CB60" s="104"/>
      <c r="CC60" s="104"/>
      <c r="CD60" s="104"/>
      <c r="CE60" s="104"/>
      <c r="CF60" s="104"/>
      <c r="CG60" s="104"/>
      <c r="CH60" s="104"/>
      <c r="CI60" s="104"/>
      <c r="CJ60" s="104"/>
      <c r="CK60" s="104"/>
      <c r="CL60" s="104"/>
      <c r="CM60" s="104"/>
      <c r="CN60" s="104"/>
      <c r="CO60" s="104"/>
      <c r="CP60" s="104"/>
      <c r="CQ60" s="104"/>
      <c r="CR60" s="104"/>
      <c r="CS60" s="104"/>
      <c r="CT60" s="104"/>
      <c r="CU60" s="104"/>
      <c r="CV60" s="104"/>
      <c r="CW60" s="104"/>
      <c r="CX60" s="104"/>
      <c r="CY60" s="104"/>
      <c r="CZ60" s="104"/>
      <c r="DA60" s="104"/>
      <c r="DB60" s="104"/>
      <c r="DC60" s="104"/>
      <c r="DD60" s="104"/>
      <c r="DE60" s="104"/>
      <c r="DF60" s="104"/>
      <c r="DG60" s="104"/>
      <c r="DH60" s="104"/>
      <c r="DI60" s="104"/>
      <c r="DJ60" s="104"/>
      <c r="DK60" s="104"/>
      <c r="DL60" s="104"/>
      <c r="DM60" s="104"/>
      <c r="DN60" s="104"/>
      <c r="DO60" s="104"/>
      <c r="DP60" s="104"/>
      <c r="DQ60" s="104"/>
      <c r="DR60" s="104"/>
      <c r="DS60" s="104"/>
      <c r="DT60" s="104"/>
      <c r="DU60" s="104"/>
      <c r="DV60" s="104"/>
      <c r="DW60" s="104"/>
      <c r="DX60" s="104"/>
      <c r="DY60" s="104"/>
      <c r="DZ60" s="104"/>
      <c r="EA60" s="104"/>
      <c r="EB60" s="104"/>
      <c r="EC60" s="104"/>
      <c r="ED60" s="104"/>
      <c r="EE60" s="104"/>
      <c r="EF60" s="104"/>
      <c r="EG60" s="104"/>
      <c r="EH60" s="104"/>
      <c r="EI60" s="104"/>
      <c r="EJ60" s="104"/>
      <c r="EK60" s="104"/>
      <c r="EL60" s="104"/>
      <c r="EM60" s="104"/>
      <c r="EN60" s="104"/>
      <c r="EO60" s="104"/>
      <c r="EP60" s="104"/>
      <c r="EQ60" s="104"/>
      <c r="ER60" s="104"/>
      <c r="ES60" s="104"/>
      <c r="ET60" s="104"/>
      <c r="EU60" s="104"/>
      <c r="EV60" s="104"/>
      <c r="EW60" s="104"/>
      <c r="EX60" s="104"/>
      <c r="EY60" s="104"/>
      <c r="EZ60" s="104"/>
      <c r="FA60" s="104"/>
      <c r="FB60" s="104"/>
      <c r="FC60" s="104"/>
      <c r="FD60" s="104"/>
      <c r="FE60" s="104"/>
      <c r="FF60" s="104"/>
      <c r="FG60" s="104"/>
      <c r="FH60" s="104"/>
      <c r="FI60" s="104"/>
      <c r="FJ60" s="104"/>
      <c r="FK60" s="104"/>
      <c r="FL60" s="104"/>
      <c r="FM60" s="104"/>
      <c r="FN60" s="104"/>
      <c r="FO60" s="104"/>
      <c r="FP60" s="104"/>
      <c r="FQ60" s="104"/>
      <c r="FR60" s="104"/>
      <c r="FS60" s="104"/>
      <c r="FT60" s="104"/>
      <c r="FU60" s="104"/>
      <c r="FV60" s="104"/>
      <c r="FW60" s="104"/>
      <c r="FX60" s="104"/>
      <c r="FY60" s="104"/>
      <c r="FZ60" s="104"/>
      <c r="GA60" s="104"/>
      <c r="GB60" s="104"/>
      <c r="GC60" s="104"/>
      <c r="GD60" s="104"/>
      <c r="GE60" s="104"/>
      <c r="GF60" s="104"/>
      <c r="GG60" s="104"/>
      <c r="GH60" s="104"/>
      <c r="GI60" s="104"/>
      <c r="GJ60" s="104"/>
      <c r="GK60" s="104"/>
      <c r="GL60" s="104"/>
      <c r="GM60" s="104"/>
      <c r="GN60" s="104"/>
      <c r="GO60" s="104"/>
      <c r="GP60" s="104"/>
      <c r="GQ60" s="104"/>
      <c r="GR60" s="104"/>
      <c r="GS60" s="104"/>
      <c r="GT60" s="104"/>
      <c r="GU60" s="104"/>
      <c r="GV60" s="104"/>
      <c r="GW60" s="104"/>
      <c r="GX60" s="104"/>
      <c r="GY60" s="104"/>
      <c r="GZ60" s="104"/>
      <c r="HA60" s="104"/>
      <c r="HB60" s="104"/>
      <c r="HC60" s="104"/>
      <c r="HD60" s="104"/>
      <c r="HE60" s="104"/>
      <c r="HF60" s="104"/>
      <c r="HG60" s="104"/>
      <c r="HH60" s="104"/>
      <c r="HI60" s="104"/>
      <c r="HJ60" s="104"/>
      <c r="HK60" s="104"/>
      <c r="HL60" s="104"/>
      <c r="HM60" s="104"/>
      <c r="HN60" s="104"/>
      <c r="HO60" s="104"/>
      <c r="HP60" s="104"/>
      <c r="HQ60" s="104"/>
      <c r="HR60" s="104"/>
      <c r="HS60" s="104"/>
      <c r="HT60" s="104"/>
      <c r="HU60" s="104"/>
      <c r="HV60" s="104"/>
      <c r="HW60" s="104"/>
      <c r="HX60" s="104"/>
      <c r="HY60" s="104"/>
      <c r="HZ60" s="104"/>
      <c r="IA60" s="104"/>
      <c r="IB60" s="104"/>
      <c r="IC60" s="104"/>
      <c r="ID60" s="104"/>
      <c r="IE60" s="104"/>
      <c r="IF60" s="104"/>
      <c r="IG60" s="104"/>
      <c r="IH60" s="104"/>
      <c r="II60" s="104"/>
      <c r="IJ60" s="104"/>
      <c r="IK60" s="104"/>
      <c r="IL60" s="104"/>
      <c r="IM60" s="104"/>
      <c r="IN60" s="104"/>
      <c r="IO60" s="104"/>
      <c r="IP60" s="104"/>
      <c r="IQ60" s="104"/>
      <c r="IR60" s="104"/>
      <c r="IS60" s="104"/>
      <c r="IT60" s="104"/>
      <c r="IU60" s="104"/>
      <c r="IV60" s="104"/>
      <c r="IW60" s="104"/>
      <c r="IX60" s="104"/>
      <c r="IY60" s="104"/>
      <c r="IZ60" s="104"/>
      <c r="JA60" s="104"/>
      <c r="JB60" s="104"/>
      <c r="JC60" s="104"/>
      <c r="JD60" s="104"/>
      <c r="JE60" s="104"/>
      <c r="JF60" s="104"/>
      <c r="JG60" s="104"/>
      <c r="JH60" s="104"/>
      <c r="JI60" s="104"/>
      <c r="JJ60" s="104"/>
      <c r="JK60" s="104"/>
      <c r="JL60" s="104"/>
      <c r="JM60" s="104"/>
      <c r="JN60" s="104"/>
      <c r="JO60" s="104"/>
      <c r="JP60" s="104"/>
      <c r="JQ60" s="104"/>
      <c r="JR60" s="104"/>
      <c r="JS60" s="104"/>
      <c r="JT60" s="104"/>
      <c r="JU60" s="104"/>
      <c r="JV60" s="104"/>
      <c r="JW60" s="104"/>
      <c r="JX60" s="104"/>
      <c r="JY60" s="104"/>
      <c r="JZ60" s="104"/>
      <c r="KA60" s="104"/>
      <c r="KB60" s="104"/>
      <c r="KC60" s="104"/>
      <c r="KD60" s="104"/>
      <c r="KE60" s="104"/>
      <c r="KF60" s="104"/>
      <c r="KG60" s="104"/>
      <c r="KH60" s="104"/>
      <c r="KI60" s="104"/>
      <c r="KJ60" s="104"/>
      <c r="KK60" s="104"/>
      <c r="KL60" s="104"/>
      <c r="KM60" s="104"/>
      <c r="KN60" s="104"/>
      <c r="KO60" s="104"/>
      <c r="KP60" s="104"/>
      <c r="KQ60" s="104"/>
      <c r="KR60" s="104"/>
      <c r="KS60" s="104"/>
      <c r="KT60" s="104"/>
      <c r="KU60" s="104"/>
      <c r="KV60" s="104"/>
      <c r="KW60" s="104"/>
      <c r="KX60" s="104"/>
      <c r="KY60" s="104"/>
      <c r="KZ60" s="104"/>
      <c r="LA60" s="104"/>
      <c r="LB60" s="104"/>
      <c r="LC60" s="104"/>
      <c r="LD60" s="104"/>
      <c r="LE60" s="104"/>
      <c r="LF60" s="104"/>
      <c r="LG60" s="104"/>
      <c r="LH60" s="104"/>
      <c r="LI60" s="104"/>
      <c r="LJ60" s="104"/>
      <c r="LK60" s="104"/>
      <c r="LL60" s="104"/>
      <c r="LM60" s="104"/>
      <c r="LN60" s="104"/>
      <c r="LO60" s="104"/>
      <c r="LP60" s="104"/>
      <c r="LQ60" s="104"/>
      <c r="LR60" s="104"/>
      <c r="LS60" s="104"/>
      <c r="LT60" s="104"/>
      <c r="LU60" s="104"/>
      <c r="LV60" s="104"/>
      <c r="LW60" s="104"/>
      <c r="LX60" s="104"/>
      <c r="LY60" s="104"/>
      <c r="LZ60" s="104"/>
      <c r="MA60" s="104"/>
      <c r="MB60" s="104"/>
      <c r="MC60" s="104"/>
      <c r="MD60" s="104"/>
      <c r="ME60" s="104"/>
      <c r="MF60" s="104"/>
      <c r="MG60" s="104"/>
      <c r="MH60" s="104"/>
      <c r="MI60" s="104"/>
      <c r="MJ60" s="104"/>
      <c r="MK60" s="104"/>
      <c r="ML60" s="104"/>
      <c r="MM60" s="104"/>
      <c r="MN60" s="104"/>
      <c r="MO60" s="104"/>
      <c r="MP60" s="104"/>
      <c r="MQ60" s="104"/>
      <c r="MR60" s="104"/>
      <c r="MS60" s="104"/>
      <c r="MT60" s="104"/>
      <c r="MU60" s="104"/>
      <c r="MV60" s="104"/>
      <c r="MW60" s="104"/>
      <c r="MX60" s="104"/>
      <c r="MY60" s="104"/>
      <c r="MZ60" s="104"/>
      <c r="NA60" s="104"/>
      <c r="NB60" s="104"/>
      <c r="NC60" s="104"/>
      <c r="ND60" s="104"/>
      <c r="NE60" s="104"/>
      <c r="NF60" s="104"/>
      <c r="NG60" s="104"/>
      <c r="NH60" s="104"/>
      <c r="NI60" s="104"/>
      <c r="NJ60" s="104"/>
      <c r="NK60" s="104"/>
      <c r="NL60" s="104"/>
      <c r="NM60" s="104"/>
      <c r="NN60" s="104"/>
      <c r="NO60" s="104"/>
      <c r="NP60" s="104"/>
      <c r="NQ60" s="104"/>
      <c r="NR60" s="104"/>
      <c r="NS60" s="104"/>
      <c r="NT60" s="104"/>
      <c r="NU60" s="104"/>
      <c r="NV60" s="104"/>
      <c r="NW60" s="104"/>
      <c r="NX60" s="104"/>
      <c r="NY60" s="104"/>
      <c r="NZ60" s="104"/>
    </row>
    <row r="61" spans="1:390" ht="15.75" customHeight="1" x14ac:dyDescent="0.3">
      <c r="A61" s="214">
        <v>4583223633</v>
      </c>
      <c r="B61" s="165" t="s">
        <v>391</v>
      </c>
      <c r="C61" s="138"/>
      <c r="D61" s="216" t="s">
        <v>391</v>
      </c>
      <c r="E61" s="136" t="s">
        <v>687</v>
      </c>
      <c r="F61" s="125" t="s">
        <v>448</v>
      </c>
      <c r="G61" s="221" t="s">
        <v>465</v>
      </c>
      <c r="H61" s="219">
        <v>43521</v>
      </c>
      <c r="I61" s="216" t="s">
        <v>458</v>
      </c>
      <c r="J61" s="153" t="s">
        <v>397</v>
      </c>
      <c r="K61" s="153" t="s">
        <v>398</v>
      </c>
      <c r="L61" s="153" t="s">
        <v>398</v>
      </c>
      <c r="M61" s="164" t="s">
        <v>398</v>
      </c>
      <c r="N61" s="164" t="s">
        <v>398</v>
      </c>
      <c r="O61" s="164" t="s">
        <v>398</v>
      </c>
      <c r="P61" s="164" t="s">
        <v>398</v>
      </c>
      <c r="Q61" s="164" t="s">
        <v>398</v>
      </c>
      <c r="R61" s="164" t="s">
        <v>398</v>
      </c>
      <c r="S61" s="164" t="s">
        <v>398</v>
      </c>
      <c r="T61" s="164" t="s">
        <v>398</v>
      </c>
      <c r="U61" s="164" t="s">
        <v>398</v>
      </c>
      <c r="V61" s="164" t="s">
        <v>398</v>
      </c>
      <c r="W61" s="164" t="s">
        <v>398</v>
      </c>
      <c r="X61" s="164" t="s">
        <v>398</v>
      </c>
      <c r="Y61" s="164" t="s">
        <v>398</v>
      </c>
      <c r="Z61" s="164" t="s">
        <v>398</v>
      </c>
      <c r="AA61" s="164" t="s">
        <v>398</v>
      </c>
      <c r="AB61" s="167" t="s">
        <v>399</v>
      </c>
      <c r="AC61" s="219">
        <v>20302</v>
      </c>
      <c r="AD61" s="106"/>
      <c r="AE61" s="108" t="e">
        <f t="shared" si="0"/>
        <v>#NUM!</v>
      </c>
      <c r="AF61" s="104" t="s">
        <v>602</v>
      </c>
      <c r="AG61" s="79" t="s">
        <v>401</v>
      </c>
      <c r="AH61" s="104" t="s">
        <v>402</v>
      </c>
      <c r="AI61" s="110"/>
      <c r="AJ61" s="110"/>
      <c r="AK61" s="110"/>
      <c r="AL61" s="110"/>
      <c r="AM61" s="105"/>
      <c r="AN61" s="95">
        <v>1</v>
      </c>
      <c r="AO61" s="173" t="s">
        <v>398</v>
      </c>
      <c r="AP61" s="104"/>
      <c r="AQ61" s="104"/>
      <c r="AR61" s="104"/>
      <c r="AS61" s="104"/>
      <c r="AT61" s="104"/>
      <c r="AU61" s="104"/>
      <c r="AV61" s="104"/>
      <c r="AW61" s="104"/>
      <c r="AX61" s="104"/>
      <c r="AY61" s="104"/>
      <c r="AZ61" s="104"/>
      <c r="BA61" s="104"/>
      <c r="BB61" s="104"/>
      <c r="BC61" s="104"/>
      <c r="BD61" s="104"/>
      <c r="BE61" s="104"/>
      <c r="BF61" s="104"/>
      <c r="BG61" s="104"/>
      <c r="BH61" s="104"/>
      <c r="BI61" s="104"/>
      <c r="BJ61" s="104"/>
      <c r="BK61" s="104"/>
      <c r="BL61" s="104"/>
      <c r="BM61" s="104"/>
      <c r="BN61" s="104"/>
      <c r="BO61" s="104"/>
      <c r="BP61" s="104"/>
      <c r="BQ61" s="104"/>
      <c r="BR61" s="104"/>
      <c r="BS61" s="104"/>
      <c r="BT61" s="104"/>
      <c r="BU61" s="104"/>
      <c r="BV61" s="104"/>
      <c r="BW61" s="104"/>
      <c r="BX61" s="104"/>
      <c r="BY61" s="104"/>
      <c r="BZ61" s="104"/>
      <c r="CA61" s="104"/>
      <c r="CB61" s="104"/>
      <c r="CC61" s="104"/>
      <c r="CD61" s="104"/>
      <c r="CE61" s="104"/>
      <c r="CF61" s="104"/>
      <c r="CG61" s="104"/>
      <c r="CH61" s="104"/>
      <c r="CI61" s="104"/>
      <c r="CJ61" s="104"/>
      <c r="CK61" s="104"/>
      <c r="CL61" s="104"/>
      <c r="CM61" s="104"/>
      <c r="CN61" s="104"/>
      <c r="CO61" s="104"/>
      <c r="CP61" s="104"/>
      <c r="CQ61" s="104"/>
      <c r="CR61" s="104"/>
      <c r="CS61" s="104"/>
      <c r="CT61" s="104"/>
      <c r="CU61" s="104"/>
      <c r="CV61" s="104"/>
      <c r="CW61" s="104"/>
      <c r="CX61" s="104"/>
      <c r="CY61" s="104"/>
      <c r="CZ61" s="104"/>
      <c r="DA61" s="104"/>
      <c r="DB61" s="104"/>
      <c r="DC61" s="104"/>
      <c r="DD61" s="104"/>
      <c r="DE61" s="104"/>
      <c r="DF61" s="104"/>
      <c r="DG61" s="104"/>
      <c r="DH61" s="104"/>
      <c r="DI61" s="104"/>
      <c r="DJ61" s="104"/>
      <c r="DK61" s="104"/>
      <c r="DL61" s="104"/>
      <c r="DM61" s="104"/>
      <c r="DN61" s="104"/>
      <c r="DO61" s="104"/>
      <c r="DP61" s="104"/>
      <c r="DQ61" s="104"/>
      <c r="DR61" s="104"/>
      <c r="DS61" s="104"/>
      <c r="DT61" s="104"/>
      <c r="DU61" s="104"/>
      <c r="DV61" s="104"/>
      <c r="DW61" s="104"/>
      <c r="DX61" s="104"/>
      <c r="DY61" s="104"/>
      <c r="DZ61" s="104"/>
      <c r="EA61" s="104"/>
      <c r="EB61" s="104"/>
      <c r="EC61" s="104"/>
      <c r="ED61" s="104"/>
      <c r="EE61" s="104"/>
      <c r="EF61" s="104"/>
      <c r="EG61" s="104"/>
      <c r="EH61" s="104"/>
      <c r="EI61" s="104"/>
      <c r="EJ61" s="104"/>
      <c r="EK61" s="104"/>
      <c r="EL61" s="104"/>
      <c r="EM61" s="104"/>
      <c r="EN61" s="104"/>
      <c r="EO61" s="104"/>
      <c r="EP61" s="104"/>
      <c r="EQ61" s="104"/>
      <c r="ER61" s="104"/>
      <c r="ES61" s="104"/>
      <c r="ET61" s="104"/>
      <c r="EU61" s="104"/>
      <c r="EV61" s="104"/>
      <c r="EW61" s="104"/>
      <c r="EX61" s="104"/>
      <c r="EY61" s="104"/>
      <c r="EZ61" s="104"/>
      <c r="FA61" s="104"/>
      <c r="FB61" s="104"/>
      <c r="FC61" s="104"/>
      <c r="FD61" s="104"/>
      <c r="FE61" s="104"/>
      <c r="FF61" s="104"/>
      <c r="FG61" s="104"/>
      <c r="FH61" s="104"/>
      <c r="FI61" s="104"/>
      <c r="FJ61" s="104"/>
      <c r="FK61" s="104"/>
      <c r="FL61" s="104"/>
      <c r="FM61" s="104"/>
      <c r="FN61" s="104"/>
      <c r="FO61" s="104"/>
      <c r="FP61" s="104"/>
      <c r="FQ61" s="104"/>
      <c r="FR61" s="104"/>
      <c r="FS61" s="104"/>
      <c r="FT61" s="104"/>
      <c r="FU61" s="104"/>
      <c r="FV61" s="104"/>
      <c r="FW61" s="104"/>
      <c r="FX61" s="104"/>
      <c r="FY61" s="104"/>
      <c r="FZ61" s="104"/>
      <c r="GA61" s="104"/>
      <c r="GB61" s="104"/>
      <c r="GC61" s="104"/>
      <c r="GD61" s="104"/>
      <c r="GE61" s="104"/>
      <c r="GF61" s="104"/>
      <c r="GG61" s="104"/>
      <c r="GH61" s="104"/>
      <c r="GI61" s="104"/>
      <c r="GJ61" s="104"/>
      <c r="GK61" s="104"/>
      <c r="GL61" s="104"/>
      <c r="GM61" s="104"/>
      <c r="GN61" s="104"/>
      <c r="GO61" s="104"/>
      <c r="GP61" s="104"/>
      <c r="GQ61" s="104"/>
      <c r="GR61" s="104"/>
      <c r="GS61" s="104"/>
      <c r="GT61" s="104"/>
      <c r="GU61" s="104"/>
      <c r="GV61" s="104"/>
      <c r="GW61" s="104"/>
      <c r="GX61" s="104"/>
      <c r="GY61" s="104"/>
      <c r="GZ61" s="104"/>
      <c r="HA61" s="104"/>
      <c r="HB61" s="104"/>
      <c r="HC61" s="104"/>
      <c r="HD61" s="104"/>
      <c r="HE61" s="104"/>
      <c r="HF61" s="104"/>
      <c r="HG61" s="104"/>
      <c r="HH61" s="104"/>
      <c r="HI61" s="104"/>
      <c r="HJ61" s="104"/>
      <c r="HK61" s="104"/>
      <c r="HL61" s="104"/>
      <c r="HM61" s="104"/>
      <c r="HN61" s="104"/>
      <c r="HO61" s="104"/>
      <c r="HP61" s="104"/>
      <c r="HQ61" s="104"/>
      <c r="HR61" s="104"/>
      <c r="HS61" s="104"/>
      <c r="HT61" s="104"/>
      <c r="HU61" s="104"/>
      <c r="HV61" s="104"/>
      <c r="HW61" s="104"/>
      <c r="HX61" s="104"/>
      <c r="HY61" s="104"/>
      <c r="HZ61" s="104"/>
      <c r="IA61" s="104"/>
      <c r="IB61" s="104"/>
      <c r="IC61" s="104"/>
      <c r="ID61" s="104"/>
      <c r="IE61" s="104"/>
      <c r="IF61" s="104"/>
      <c r="IG61" s="104"/>
      <c r="IH61" s="104"/>
      <c r="II61" s="104"/>
      <c r="IJ61" s="104"/>
      <c r="IK61" s="104"/>
      <c r="IL61" s="104"/>
      <c r="IM61" s="104"/>
      <c r="IN61" s="104"/>
      <c r="IO61" s="104"/>
      <c r="IP61" s="104"/>
      <c r="IQ61" s="104"/>
      <c r="IR61" s="104"/>
      <c r="IS61" s="104"/>
      <c r="IT61" s="104"/>
      <c r="IU61" s="104"/>
      <c r="IV61" s="104"/>
      <c r="IW61" s="104"/>
      <c r="IX61" s="104"/>
      <c r="IY61" s="104"/>
      <c r="IZ61" s="104"/>
      <c r="JA61" s="104"/>
      <c r="JB61" s="104"/>
      <c r="JC61" s="104"/>
      <c r="JD61" s="104"/>
      <c r="JE61" s="104"/>
      <c r="JF61" s="104"/>
      <c r="JG61" s="104"/>
      <c r="JH61" s="104"/>
      <c r="JI61" s="104"/>
      <c r="JJ61" s="104"/>
      <c r="JK61" s="104"/>
      <c r="JL61" s="104"/>
      <c r="JM61" s="104"/>
      <c r="JN61" s="104"/>
      <c r="JO61" s="104"/>
      <c r="JP61" s="104"/>
      <c r="JQ61" s="104"/>
      <c r="JR61" s="104"/>
      <c r="JS61" s="104"/>
      <c r="JT61" s="104"/>
      <c r="JU61" s="104"/>
      <c r="JV61" s="104"/>
      <c r="JW61" s="104"/>
      <c r="JX61" s="104"/>
      <c r="JY61" s="104"/>
      <c r="JZ61" s="104"/>
      <c r="KA61" s="104"/>
      <c r="KB61" s="104"/>
      <c r="KC61" s="104"/>
      <c r="KD61" s="104"/>
      <c r="KE61" s="104"/>
      <c r="KF61" s="104"/>
      <c r="KG61" s="104"/>
      <c r="KH61" s="104"/>
      <c r="KI61" s="104"/>
      <c r="KJ61" s="104"/>
      <c r="KK61" s="104"/>
      <c r="KL61" s="104"/>
      <c r="KM61" s="104"/>
      <c r="KN61" s="104"/>
      <c r="KO61" s="104"/>
      <c r="KP61" s="104"/>
      <c r="KQ61" s="104"/>
      <c r="KR61" s="104"/>
      <c r="KS61" s="104"/>
      <c r="KT61" s="104"/>
      <c r="KU61" s="104"/>
      <c r="KV61" s="104"/>
      <c r="KW61" s="104"/>
      <c r="KX61" s="104"/>
      <c r="KY61" s="104"/>
      <c r="KZ61" s="104"/>
      <c r="LA61" s="104"/>
      <c r="LB61" s="104"/>
      <c r="LC61" s="104"/>
      <c r="LD61" s="104"/>
      <c r="LE61" s="104"/>
      <c r="LF61" s="104"/>
      <c r="LG61" s="104"/>
      <c r="LH61" s="104"/>
      <c r="LI61" s="104"/>
      <c r="LJ61" s="104"/>
      <c r="LK61" s="104"/>
      <c r="LL61" s="104"/>
      <c r="LM61" s="104"/>
      <c r="LN61" s="104"/>
      <c r="LO61" s="104"/>
      <c r="LP61" s="104"/>
      <c r="LQ61" s="104"/>
      <c r="LR61" s="104"/>
      <c r="LS61" s="104"/>
      <c r="LT61" s="104"/>
      <c r="LU61" s="104"/>
      <c r="LV61" s="104"/>
      <c r="LW61" s="104"/>
      <c r="LX61" s="104"/>
      <c r="LY61" s="104"/>
      <c r="LZ61" s="104"/>
      <c r="MA61" s="104"/>
      <c r="MB61" s="104"/>
      <c r="MC61" s="104"/>
      <c r="MD61" s="104"/>
      <c r="ME61" s="104"/>
      <c r="MF61" s="104"/>
      <c r="MG61" s="104"/>
      <c r="MH61" s="104"/>
      <c r="MI61" s="104"/>
      <c r="MJ61" s="104"/>
      <c r="MK61" s="104"/>
      <c r="ML61" s="104"/>
      <c r="MM61" s="104"/>
      <c r="MN61" s="104"/>
      <c r="MO61" s="104"/>
      <c r="MP61" s="104"/>
      <c r="MQ61" s="104"/>
      <c r="MR61" s="104"/>
      <c r="MS61" s="104"/>
      <c r="MT61" s="104"/>
      <c r="MU61" s="104"/>
      <c r="MV61" s="104"/>
      <c r="MW61" s="104"/>
      <c r="MX61" s="104"/>
      <c r="MY61" s="104"/>
      <c r="MZ61" s="104"/>
      <c r="NA61" s="104"/>
      <c r="NB61" s="104"/>
      <c r="NC61" s="104"/>
      <c r="ND61" s="104"/>
      <c r="NE61" s="104"/>
      <c r="NF61" s="104"/>
      <c r="NG61" s="104"/>
      <c r="NH61" s="104"/>
      <c r="NI61" s="104"/>
      <c r="NJ61" s="104"/>
      <c r="NK61" s="104"/>
      <c r="NL61" s="104"/>
      <c r="NM61" s="104"/>
      <c r="NN61" s="104"/>
      <c r="NO61" s="104"/>
      <c r="NP61" s="104"/>
      <c r="NQ61" s="104"/>
      <c r="NR61" s="104"/>
      <c r="NS61" s="104"/>
      <c r="NT61" s="104"/>
      <c r="NU61" s="104"/>
      <c r="NV61" s="104"/>
      <c r="NW61" s="104"/>
      <c r="NX61" s="104"/>
      <c r="NY61" s="104"/>
      <c r="NZ61" s="104"/>
    </row>
    <row r="62" spans="1:390" ht="15.75" customHeight="1" x14ac:dyDescent="0.3">
      <c r="A62" s="214">
        <v>6083351375</v>
      </c>
      <c r="B62" s="165" t="s">
        <v>391</v>
      </c>
      <c r="C62" s="138"/>
      <c r="D62" s="216" t="s">
        <v>391</v>
      </c>
      <c r="E62" s="136" t="s">
        <v>688</v>
      </c>
      <c r="F62" s="125" t="s">
        <v>689</v>
      </c>
      <c r="G62" s="221" t="s">
        <v>488</v>
      </c>
      <c r="H62" s="219">
        <v>43522</v>
      </c>
      <c r="I62" s="216" t="s">
        <v>458</v>
      </c>
      <c r="J62" s="153" t="s">
        <v>397</v>
      </c>
      <c r="K62" s="153" t="s">
        <v>398</v>
      </c>
      <c r="L62" s="153" t="s">
        <v>398</v>
      </c>
      <c r="M62" s="164" t="s">
        <v>398</v>
      </c>
      <c r="N62" s="164" t="s">
        <v>398</v>
      </c>
      <c r="O62" s="164" t="s">
        <v>398</v>
      </c>
      <c r="P62" s="164" t="s">
        <v>398</v>
      </c>
      <c r="Q62" s="164" t="s">
        <v>398</v>
      </c>
      <c r="R62" s="164" t="s">
        <v>398</v>
      </c>
      <c r="S62" s="164" t="s">
        <v>398</v>
      </c>
      <c r="T62" s="164" t="s">
        <v>398</v>
      </c>
      <c r="U62" s="164" t="s">
        <v>398</v>
      </c>
      <c r="V62" s="164" t="s">
        <v>398</v>
      </c>
      <c r="W62" s="164" t="s">
        <v>398</v>
      </c>
      <c r="X62" s="164" t="s">
        <v>398</v>
      </c>
      <c r="Y62" s="164" t="s">
        <v>398</v>
      </c>
      <c r="Z62" s="164" t="s">
        <v>398</v>
      </c>
      <c r="AA62" s="164" t="s">
        <v>398</v>
      </c>
      <c r="AB62" s="167" t="s">
        <v>399</v>
      </c>
      <c r="AC62" s="219">
        <v>27096</v>
      </c>
      <c r="AD62" s="106"/>
      <c r="AE62" s="108" t="e">
        <f t="shared" si="0"/>
        <v>#NUM!</v>
      </c>
      <c r="AF62" s="104" t="s">
        <v>477</v>
      </c>
      <c r="AG62" s="79" t="s">
        <v>401</v>
      </c>
      <c r="AH62" s="104" t="s">
        <v>402</v>
      </c>
      <c r="AI62" s="110"/>
      <c r="AJ62" s="110"/>
      <c r="AK62" s="110"/>
      <c r="AL62" s="110"/>
      <c r="AM62" s="105"/>
      <c r="AN62" s="95">
        <v>2</v>
      </c>
      <c r="AO62" s="173" t="s">
        <v>398</v>
      </c>
      <c r="AP62" s="104"/>
      <c r="AQ62" s="104"/>
      <c r="AR62" s="104"/>
      <c r="AS62" s="104"/>
      <c r="AT62" s="104"/>
      <c r="AU62" s="104"/>
      <c r="AV62" s="104"/>
      <c r="AW62" s="104"/>
      <c r="AX62" s="104"/>
      <c r="AY62" s="104"/>
      <c r="AZ62" s="104"/>
      <c r="BA62" s="104"/>
      <c r="BB62" s="104"/>
      <c r="BC62" s="104"/>
      <c r="BD62" s="104"/>
      <c r="BE62" s="104"/>
      <c r="BF62" s="104"/>
      <c r="BG62" s="104"/>
      <c r="BH62" s="104"/>
      <c r="BI62" s="104"/>
      <c r="BJ62" s="104"/>
      <c r="BK62" s="104"/>
      <c r="BL62" s="104"/>
      <c r="BM62" s="104"/>
      <c r="BN62" s="104"/>
      <c r="BO62" s="104"/>
      <c r="BP62" s="104"/>
      <c r="BQ62" s="104"/>
      <c r="BR62" s="104"/>
      <c r="BS62" s="104"/>
      <c r="BT62" s="104"/>
      <c r="BU62" s="104"/>
      <c r="BV62" s="104"/>
      <c r="BW62" s="104"/>
      <c r="BX62" s="104"/>
      <c r="BY62" s="104"/>
      <c r="BZ62" s="104"/>
      <c r="CA62" s="104"/>
      <c r="CB62" s="104"/>
      <c r="CC62" s="104"/>
      <c r="CD62" s="104"/>
      <c r="CE62" s="104"/>
      <c r="CF62" s="104"/>
      <c r="CG62" s="104"/>
      <c r="CH62" s="104"/>
      <c r="CI62" s="104"/>
      <c r="CJ62" s="104"/>
      <c r="CK62" s="104"/>
      <c r="CL62" s="104"/>
      <c r="CM62" s="104"/>
      <c r="CN62" s="104"/>
      <c r="CO62" s="104"/>
      <c r="CP62" s="104"/>
      <c r="CQ62" s="104"/>
      <c r="CR62" s="104"/>
      <c r="CS62" s="104"/>
      <c r="CT62" s="104"/>
      <c r="CU62" s="104"/>
      <c r="CV62" s="104"/>
      <c r="CW62" s="104"/>
      <c r="CX62" s="104"/>
      <c r="CY62" s="104"/>
      <c r="CZ62" s="104"/>
      <c r="DA62" s="104"/>
      <c r="DB62" s="104"/>
      <c r="DC62" s="104"/>
      <c r="DD62" s="104"/>
      <c r="DE62" s="104"/>
      <c r="DF62" s="104"/>
      <c r="DG62" s="104"/>
      <c r="DH62" s="104"/>
      <c r="DI62" s="104"/>
      <c r="DJ62" s="104"/>
      <c r="DK62" s="104"/>
      <c r="DL62" s="104"/>
      <c r="DM62" s="104"/>
      <c r="DN62" s="104"/>
      <c r="DO62" s="104"/>
      <c r="DP62" s="104"/>
      <c r="DQ62" s="104"/>
      <c r="DR62" s="104"/>
      <c r="DS62" s="104"/>
      <c r="DT62" s="104"/>
      <c r="DU62" s="104"/>
      <c r="DV62" s="104"/>
      <c r="DW62" s="104"/>
      <c r="DX62" s="104"/>
      <c r="DY62" s="104"/>
      <c r="DZ62" s="104"/>
      <c r="EA62" s="104"/>
      <c r="EB62" s="104"/>
      <c r="EC62" s="104"/>
      <c r="ED62" s="104"/>
      <c r="EE62" s="104"/>
      <c r="EF62" s="104"/>
      <c r="EG62" s="104"/>
      <c r="EH62" s="104"/>
      <c r="EI62" s="104"/>
      <c r="EJ62" s="104"/>
      <c r="EK62" s="104"/>
      <c r="EL62" s="104"/>
      <c r="EM62" s="104"/>
      <c r="EN62" s="104"/>
      <c r="EO62" s="104"/>
      <c r="EP62" s="104"/>
      <c r="EQ62" s="104"/>
      <c r="ER62" s="104"/>
      <c r="ES62" s="104"/>
      <c r="ET62" s="104"/>
      <c r="EU62" s="104"/>
      <c r="EV62" s="104"/>
      <c r="EW62" s="104"/>
      <c r="EX62" s="104"/>
      <c r="EY62" s="104"/>
      <c r="EZ62" s="104"/>
      <c r="FA62" s="104"/>
      <c r="FB62" s="104"/>
      <c r="FC62" s="104"/>
      <c r="FD62" s="104"/>
      <c r="FE62" s="104"/>
      <c r="FF62" s="104"/>
      <c r="FG62" s="104"/>
      <c r="FH62" s="104"/>
      <c r="FI62" s="104"/>
      <c r="FJ62" s="104"/>
      <c r="FK62" s="104"/>
      <c r="FL62" s="104"/>
      <c r="FM62" s="104"/>
      <c r="FN62" s="104"/>
      <c r="FO62" s="104"/>
      <c r="FP62" s="104"/>
      <c r="FQ62" s="104"/>
      <c r="FR62" s="104"/>
      <c r="FS62" s="104"/>
      <c r="FT62" s="104"/>
      <c r="FU62" s="104"/>
      <c r="FV62" s="104"/>
      <c r="FW62" s="104"/>
      <c r="FX62" s="104"/>
      <c r="FY62" s="104"/>
      <c r="FZ62" s="104"/>
      <c r="GA62" s="104"/>
      <c r="GB62" s="104"/>
      <c r="GC62" s="104"/>
      <c r="GD62" s="104"/>
      <c r="GE62" s="104"/>
      <c r="GF62" s="104"/>
      <c r="GG62" s="104"/>
      <c r="GH62" s="104"/>
      <c r="GI62" s="104"/>
      <c r="GJ62" s="104"/>
      <c r="GK62" s="104"/>
      <c r="GL62" s="104"/>
      <c r="GM62" s="104"/>
      <c r="GN62" s="104"/>
      <c r="GO62" s="104"/>
      <c r="GP62" s="104"/>
      <c r="GQ62" s="104"/>
      <c r="GR62" s="104"/>
      <c r="GS62" s="104"/>
      <c r="GT62" s="104"/>
      <c r="GU62" s="104"/>
      <c r="GV62" s="104"/>
      <c r="GW62" s="104"/>
      <c r="GX62" s="104"/>
      <c r="GY62" s="104"/>
      <c r="GZ62" s="104"/>
      <c r="HA62" s="104"/>
      <c r="HB62" s="104"/>
      <c r="HC62" s="104"/>
      <c r="HD62" s="104"/>
      <c r="HE62" s="104"/>
      <c r="HF62" s="104"/>
      <c r="HG62" s="104"/>
      <c r="HH62" s="104"/>
      <c r="HI62" s="104"/>
      <c r="HJ62" s="104"/>
      <c r="HK62" s="104"/>
      <c r="HL62" s="104"/>
      <c r="HM62" s="104"/>
      <c r="HN62" s="104"/>
      <c r="HO62" s="104"/>
      <c r="HP62" s="104"/>
      <c r="HQ62" s="104"/>
      <c r="HR62" s="104"/>
      <c r="HS62" s="104"/>
      <c r="HT62" s="104"/>
      <c r="HU62" s="104"/>
      <c r="HV62" s="104"/>
      <c r="HW62" s="104"/>
      <c r="HX62" s="104"/>
      <c r="HY62" s="104"/>
      <c r="HZ62" s="104"/>
      <c r="IA62" s="104"/>
      <c r="IB62" s="104"/>
      <c r="IC62" s="104"/>
      <c r="ID62" s="104"/>
      <c r="IE62" s="104"/>
      <c r="IF62" s="104"/>
      <c r="IG62" s="104"/>
      <c r="IH62" s="104"/>
      <c r="II62" s="104"/>
      <c r="IJ62" s="104"/>
      <c r="IK62" s="104"/>
      <c r="IL62" s="104"/>
      <c r="IM62" s="104"/>
      <c r="IN62" s="104"/>
      <c r="IO62" s="104"/>
      <c r="IP62" s="104"/>
      <c r="IQ62" s="104"/>
      <c r="IR62" s="104"/>
      <c r="IS62" s="104"/>
      <c r="IT62" s="104"/>
      <c r="IU62" s="104"/>
      <c r="IV62" s="104"/>
      <c r="IW62" s="104"/>
      <c r="IX62" s="104"/>
      <c r="IY62" s="104"/>
      <c r="IZ62" s="104"/>
      <c r="JA62" s="104"/>
      <c r="JB62" s="104"/>
      <c r="JC62" s="104"/>
      <c r="JD62" s="104"/>
      <c r="JE62" s="104"/>
      <c r="JF62" s="104"/>
      <c r="JG62" s="104"/>
      <c r="JH62" s="104"/>
      <c r="JI62" s="104"/>
      <c r="JJ62" s="104"/>
      <c r="JK62" s="104"/>
      <c r="JL62" s="104"/>
      <c r="JM62" s="104"/>
      <c r="JN62" s="104"/>
      <c r="JO62" s="104"/>
      <c r="JP62" s="104"/>
      <c r="JQ62" s="104"/>
      <c r="JR62" s="104"/>
      <c r="JS62" s="104"/>
      <c r="JT62" s="104"/>
      <c r="JU62" s="104"/>
      <c r="JV62" s="104"/>
      <c r="JW62" s="104"/>
      <c r="JX62" s="104"/>
      <c r="JY62" s="104"/>
      <c r="JZ62" s="104"/>
      <c r="KA62" s="104"/>
      <c r="KB62" s="104"/>
      <c r="KC62" s="104"/>
      <c r="KD62" s="104"/>
      <c r="KE62" s="104"/>
      <c r="KF62" s="104"/>
      <c r="KG62" s="104"/>
      <c r="KH62" s="104"/>
      <c r="KI62" s="104"/>
      <c r="KJ62" s="104"/>
      <c r="KK62" s="104"/>
      <c r="KL62" s="104"/>
      <c r="KM62" s="104"/>
      <c r="KN62" s="104"/>
      <c r="KO62" s="104"/>
      <c r="KP62" s="104"/>
      <c r="KQ62" s="104"/>
      <c r="KR62" s="104"/>
      <c r="KS62" s="104"/>
      <c r="KT62" s="104"/>
      <c r="KU62" s="104"/>
      <c r="KV62" s="104"/>
      <c r="KW62" s="104"/>
      <c r="KX62" s="104"/>
      <c r="KY62" s="104"/>
      <c r="KZ62" s="104"/>
      <c r="LA62" s="104"/>
      <c r="LB62" s="104"/>
      <c r="LC62" s="104"/>
      <c r="LD62" s="104"/>
      <c r="LE62" s="104"/>
      <c r="LF62" s="104"/>
      <c r="LG62" s="104"/>
      <c r="LH62" s="104"/>
      <c r="LI62" s="104"/>
      <c r="LJ62" s="104"/>
      <c r="LK62" s="104"/>
      <c r="LL62" s="104"/>
      <c r="LM62" s="104"/>
      <c r="LN62" s="104"/>
      <c r="LO62" s="104"/>
      <c r="LP62" s="104"/>
      <c r="LQ62" s="104"/>
      <c r="LR62" s="104"/>
      <c r="LS62" s="104"/>
      <c r="LT62" s="104"/>
      <c r="LU62" s="104"/>
      <c r="LV62" s="104"/>
      <c r="LW62" s="104"/>
      <c r="LX62" s="104"/>
      <c r="LY62" s="104"/>
      <c r="LZ62" s="104"/>
      <c r="MA62" s="104"/>
      <c r="MB62" s="104"/>
      <c r="MC62" s="104"/>
      <c r="MD62" s="104"/>
      <c r="ME62" s="104"/>
      <c r="MF62" s="104"/>
      <c r="MG62" s="104"/>
      <c r="MH62" s="104"/>
      <c r="MI62" s="104"/>
      <c r="MJ62" s="104"/>
      <c r="MK62" s="104"/>
      <c r="ML62" s="104"/>
      <c r="MM62" s="104"/>
      <c r="MN62" s="104"/>
      <c r="MO62" s="104"/>
      <c r="MP62" s="104"/>
      <c r="MQ62" s="104"/>
      <c r="MR62" s="104"/>
      <c r="MS62" s="104"/>
      <c r="MT62" s="104"/>
      <c r="MU62" s="104"/>
      <c r="MV62" s="104"/>
      <c r="MW62" s="104"/>
      <c r="MX62" s="104"/>
      <c r="MY62" s="104"/>
      <c r="MZ62" s="104"/>
      <c r="NA62" s="104"/>
      <c r="NB62" s="104"/>
      <c r="NC62" s="104"/>
      <c r="ND62" s="104"/>
      <c r="NE62" s="104"/>
      <c r="NF62" s="104"/>
      <c r="NG62" s="104"/>
      <c r="NH62" s="104"/>
      <c r="NI62" s="104"/>
      <c r="NJ62" s="104"/>
      <c r="NK62" s="104"/>
      <c r="NL62" s="104"/>
      <c r="NM62" s="104"/>
      <c r="NN62" s="104"/>
      <c r="NO62" s="104"/>
      <c r="NP62" s="104"/>
      <c r="NQ62" s="104"/>
      <c r="NR62" s="104"/>
      <c r="NS62" s="104"/>
      <c r="NT62" s="104"/>
      <c r="NU62" s="104"/>
      <c r="NV62" s="104"/>
      <c r="NW62" s="104"/>
      <c r="NX62" s="104"/>
      <c r="NY62" s="104"/>
      <c r="NZ62" s="104"/>
    </row>
    <row r="63" spans="1:390" ht="15.75" customHeight="1" x14ac:dyDescent="0.3">
      <c r="A63" s="214">
        <v>4380700666</v>
      </c>
      <c r="B63" s="165" t="s">
        <v>391</v>
      </c>
      <c r="C63" s="138"/>
      <c r="D63" s="216" t="s">
        <v>391</v>
      </c>
      <c r="E63" s="136" t="s">
        <v>690</v>
      </c>
      <c r="F63" s="125" t="s">
        <v>488</v>
      </c>
      <c r="G63" s="221" t="s">
        <v>417</v>
      </c>
      <c r="H63" s="219">
        <v>43522</v>
      </c>
      <c r="I63" s="216" t="s">
        <v>513</v>
      </c>
      <c r="J63" s="153" t="s">
        <v>397</v>
      </c>
      <c r="K63" s="153" t="s">
        <v>398</v>
      </c>
      <c r="L63" s="153" t="s">
        <v>398</v>
      </c>
      <c r="M63" s="164" t="s">
        <v>398</v>
      </c>
      <c r="N63" s="164" t="s">
        <v>398</v>
      </c>
      <c r="O63" s="164" t="s">
        <v>398</v>
      </c>
      <c r="P63" s="164" t="s">
        <v>398</v>
      </c>
      <c r="Q63" s="164" t="s">
        <v>398</v>
      </c>
      <c r="R63" s="164" t="s">
        <v>398</v>
      </c>
      <c r="S63" s="164" t="s">
        <v>398</v>
      </c>
      <c r="T63" s="164" t="s">
        <v>398</v>
      </c>
      <c r="U63" s="164" t="s">
        <v>398</v>
      </c>
      <c r="V63" s="164" t="s">
        <v>398</v>
      </c>
      <c r="W63" s="164" t="s">
        <v>398</v>
      </c>
      <c r="X63" s="164" t="s">
        <v>398</v>
      </c>
      <c r="Y63" s="164" t="s">
        <v>398</v>
      </c>
      <c r="Z63" s="164" t="s">
        <v>398</v>
      </c>
      <c r="AA63" s="164" t="s">
        <v>398</v>
      </c>
      <c r="AB63" s="167" t="s">
        <v>399</v>
      </c>
      <c r="AC63" s="219">
        <v>16062</v>
      </c>
      <c r="AD63" s="106"/>
      <c r="AE63" s="108" t="e">
        <f t="shared" si="0"/>
        <v>#NUM!</v>
      </c>
      <c r="AF63" s="104" t="s">
        <v>685</v>
      </c>
      <c r="AG63" s="79" t="s">
        <v>401</v>
      </c>
      <c r="AH63" s="104" t="s">
        <v>402</v>
      </c>
      <c r="AI63" s="110"/>
      <c r="AJ63" s="110"/>
      <c r="AK63" s="110"/>
      <c r="AL63" s="110"/>
      <c r="AM63" s="105"/>
      <c r="AN63" s="95">
        <v>3</v>
      </c>
      <c r="AO63" s="173" t="s">
        <v>398</v>
      </c>
      <c r="AP63" s="104"/>
      <c r="AQ63" s="104"/>
      <c r="AR63" s="104"/>
      <c r="AS63" s="104"/>
      <c r="AT63" s="104"/>
      <c r="AU63" s="104"/>
      <c r="AV63" s="104"/>
      <c r="AW63" s="104"/>
      <c r="AX63" s="104"/>
      <c r="AY63" s="104"/>
      <c r="AZ63" s="104"/>
      <c r="BA63" s="104"/>
      <c r="BB63" s="104"/>
      <c r="BC63" s="104"/>
      <c r="BD63" s="104"/>
      <c r="BE63" s="104"/>
      <c r="BF63" s="104"/>
      <c r="BG63" s="104"/>
      <c r="BH63" s="104"/>
      <c r="BI63" s="104"/>
      <c r="BJ63" s="104"/>
      <c r="BK63" s="104"/>
      <c r="BL63" s="104"/>
      <c r="BM63" s="104"/>
      <c r="BN63" s="104"/>
      <c r="BO63" s="104"/>
      <c r="BP63" s="104"/>
      <c r="BQ63" s="104"/>
      <c r="BR63" s="104"/>
      <c r="BS63" s="104"/>
      <c r="BT63" s="104"/>
      <c r="BU63" s="104"/>
      <c r="BV63" s="104"/>
      <c r="BW63" s="104"/>
      <c r="BX63" s="104"/>
      <c r="BY63" s="104"/>
      <c r="BZ63" s="104"/>
      <c r="CA63" s="104"/>
      <c r="CB63" s="104"/>
      <c r="CC63" s="104"/>
      <c r="CD63" s="104"/>
      <c r="CE63" s="104"/>
      <c r="CF63" s="104"/>
      <c r="CG63" s="104"/>
      <c r="CH63" s="104"/>
      <c r="CI63" s="104"/>
      <c r="CJ63" s="104"/>
      <c r="CK63" s="104"/>
      <c r="CL63" s="104"/>
      <c r="CM63" s="104"/>
      <c r="CN63" s="104"/>
      <c r="CO63" s="104"/>
      <c r="CP63" s="104"/>
      <c r="CQ63" s="104"/>
      <c r="CR63" s="104"/>
      <c r="CS63" s="104"/>
      <c r="CT63" s="104"/>
      <c r="CU63" s="104"/>
      <c r="CV63" s="104"/>
      <c r="CW63" s="104"/>
      <c r="CX63" s="104"/>
      <c r="CY63" s="104"/>
      <c r="CZ63" s="104"/>
      <c r="DA63" s="104"/>
      <c r="DB63" s="104"/>
      <c r="DC63" s="104"/>
      <c r="DD63" s="104"/>
      <c r="DE63" s="104"/>
      <c r="DF63" s="104"/>
      <c r="DG63" s="104"/>
      <c r="DH63" s="104"/>
      <c r="DI63" s="104"/>
      <c r="DJ63" s="104"/>
      <c r="DK63" s="104"/>
      <c r="DL63" s="104"/>
      <c r="DM63" s="104"/>
      <c r="DN63" s="104"/>
      <c r="DO63" s="104"/>
      <c r="DP63" s="104"/>
      <c r="DQ63" s="104"/>
      <c r="DR63" s="104"/>
      <c r="DS63" s="104"/>
      <c r="DT63" s="104"/>
      <c r="DU63" s="104"/>
      <c r="DV63" s="104"/>
      <c r="DW63" s="104"/>
      <c r="DX63" s="104"/>
      <c r="DY63" s="104"/>
      <c r="DZ63" s="104"/>
      <c r="EA63" s="104"/>
      <c r="EB63" s="104"/>
      <c r="EC63" s="104"/>
      <c r="ED63" s="104"/>
      <c r="EE63" s="104"/>
      <c r="EF63" s="104"/>
      <c r="EG63" s="104"/>
      <c r="EH63" s="104"/>
      <c r="EI63" s="104"/>
      <c r="EJ63" s="104"/>
      <c r="EK63" s="104"/>
      <c r="EL63" s="104"/>
      <c r="EM63" s="104"/>
      <c r="EN63" s="104"/>
      <c r="EO63" s="104"/>
      <c r="EP63" s="104"/>
      <c r="EQ63" s="104"/>
      <c r="ER63" s="104"/>
      <c r="ES63" s="104"/>
      <c r="ET63" s="104"/>
      <c r="EU63" s="104"/>
      <c r="EV63" s="104"/>
      <c r="EW63" s="104"/>
      <c r="EX63" s="104"/>
      <c r="EY63" s="104"/>
      <c r="EZ63" s="104"/>
      <c r="FA63" s="104"/>
      <c r="FB63" s="104"/>
      <c r="FC63" s="104"/>
      <c r="FD63" s="104"/>
      <c r="FE63" s="104"/>
      <c r="FF63" s="104"/>
      <c r="FG63" s="104"/>
      <c r="FH63" s="104"/>
      <c r="FI63" s="104"/>
      <c r="FJ63" s="104"/>
      <c r="FK63" s="104"/>
      <c r="FL63" s="104"/>
      <c r="FM63" s="104"/>
      <c r="FN63" s="104"/>
      <c r="FO63" s="104"/>
      <c r="FP63" s="104"/>
      <c r="FQ63" s="104"/>
      <c r="FR63" s="104"/>
      <c r="FS63" s="104"/>
      <c r="FT63" s="104"/>
      <c r="FU63" s="104"/>
      <c r="FV63" s="104"/>
      <c r="FW63" s="104"/>
      <c r="FX63" s="104"/>
      <c r="FY63" s="104"/>
      <c r="FZ63" s="104"/>
      <c r="GA63" s="104"/>
      <c r="GB63" s="104"/>
      <c r="GC63" s="104"/>
      <c r="GD63" s="104"/>
      <c r="GE63" s="104"/>
      <c r="GF63" s="104"/>
      <c r="GG63" s="104"/>
      <c r="GH63" s="104"/>
      <c r="GI63" s="104"/>
      <c r="GJ63" s="104"/>
      <c r="GK63" s="104"/>
      <c r="GL63" s="104"/>
      <c r="GM63" s="104"/>
      <c r="GN63" s="104"/>
      <c r="GO63" s="104"/>
      <c r="GP63" s="104"/>
      <c r="GQ63" s="104"/>
      <c r="GR63" s="104"/>
      <c r="GS63" s="104"/>
      <c r="GT63" s="104"/>
      <c r="GU63" s="104"/>
      <c r="GV63" s="104"/>
      <c r="GW63" s="104"/>
      <c r="GX63" s="104"/>
      <c r="GY63" s="104"/>
      <c r="GZ63" s="104"/>
      <c r="HA63" s="104"/>
      <c r="HB63" s="104"/>
      <c r="HC63" s="104"/>
      <c r="HD63" s="104"/>
      <c r="HE63" s="104"/>
      <c r="HF63" s="104"/>
      <c r="HG63" s="104"/>
      <c r="HH63" s="104"/>
      <c r="HI63" s="104"/>
      <c r="HJ63" s="104"/>
      <c r="HK63" s="104"/>
      <c r="HL63" s="104"/>
      <c r="HM63" s="104"/>
      <c r="HN63" s="104"/>
      <c r="HO63" s="104"/>
      <c r="HP63" s="104"/>
      <c r="HQ63" s="104"/>
      <c r="HR63" s="104"/>
      <c r="HS63" s="104"/>
      <c r="HT63" s="104"/>
      <c r="HU63" s="104"/>
      <c r="HV63" s="104"/>
      <c r="HW63" s="104"/>
      <c r="HX63" s="104"/>
      <c r="HY63" s="104"/>
      <c r="HZ63" s="104"/>
      <c r="IA63" s="104"/>
      <c r="IB63" s="104"/>
      <c r="IC63" s="104"/>
      <c r="ID63" s="104"/>
      <c r="IE63" s="104"/>
      <c r="IF63" s="104"/>
      <c r="IG63" s="104"/>
      <c r="IH63" s="104"/>
      <c r="II63" s="104"/>
      <c r="IJ63" s="104"/>
      <c r="IK63" s="104"/>
      <c r="IL63" s="104"/>
      <c r="IM63" s="104"/>
      <c r="IN63" s="104"/>
      <c r="IO63" s="104"/>
      <c r="IP63" s="104"/>
      <c r="IQ63" s="104"/>
      <c r="IR63" s="104"/>
      <c r="IS63" s="104"/>
      <c r="IT63" s="104"/>
      <c r="IU63" s="104"/>
      <c r="IV63" s="104"/>
      <c r="IW63" s="104"/>
      <c r="IX63" s="104"/>
      <c r="IY63" s="104"/>
      <c r="IZ63" s="104"/>
      <c r="JA63" s="104"/>
      <c r="JB63" s="104"/>
      <c r="JC63" s="104"/>
      <c r="JD63" s="104"/>
      <c r="JE63" s="104"/>
      <c r="JF63" s="104"/>
      <c r="JG63" s="104"/>
      <c r="JH63" s="104"/>
      <c r="JI63" s="104"/>
      <c r="JJ63" s="104"/>
      <c r="JK63" s="104"/>
      <c r="JL63" s="104"/>
      <c r="JM63" s="104"/>
      <c r="JN63" s="104"/>
      <c r="JO63" s="104"/>
      <c r="JP63" s="104"/>
      <c r="JQ63" s="104"/>
      <c r="JR63" s="104"/>
      <c r="JS63" s="104"/>
      <c r="JT63" s="104"/>
      <c r="JU63" s="104"/>
      <c r="JV63" s="104"/>
      <c r="JW63" s="104"/>
      <c r="JX63" s="104"/>
      <c r="JY63" s="104"/>
      <c r="JZ63" s="104"/>
      <c r="KA63" s="104"/>
      <c r="KB63" s="104"/>
      <c r="KC63" s="104"/>
      <c r="KD63" s="104"/>
      <c r="KE63" s="104"/>
      <c r="KF63" s="104"/>
      <c r="KG63" s="104"/>
      <c r="KH63" s="104"/>
      <c r="KI63" s="104"/>
      <c r="KJ63" s="104"/>
      <c r="KK63" s="104"/>
      <c r="KL63" s="104"/>
      <c r="KM63" s="104"/>
      <c r="KN63" s="104"/>
      <c r="KO63" s="104"/>
      <c r="KP63" s="104"/>
      <c r="KQ63" s="104"/>
      <c r="KR63" s="104"/>
      <c r="KS63" s="104"/>
      <c r="KT63" s="104"/>
      <c r="KU63" s="104"/>
      <c r="KV63" s="104"/>
      <c r="KW63" s="104"/>
      <c r="KX63" s="104"/>
      <c r="KY63" s="104"/>
      <c r="KZ63" s="104"/>
      <c r="LA63" s="104"/>
      <c r="LB63" s="104"/>
      <c r="LC63" s="104"/>
      <c r="LD63" s="104"/>
      <c r="LE63" s="104"/>
      <c r="LF63" s="104"/>
      <c r="LG63" s="104"/>
      <c r="LH63" s="104"/>
      <c r="LI63" s="104"/>
      <c r="LJ63" s="104"/>
      <c r="LK63" s="104"/>
      <c r="LL63" s="104"/>
      <c r="LM63" s="104"/>
      <c r="LN63" s="104"/>
      <c r="LO63" s="104"/>
      <c r="LP63" s="104"/>
      <c r="LQ63" s="104"/>
      <c r="LR63" s="104"/>
      <c r="LS63" s="104"/>
      <c r="LT63" s="104"/>
      <c r="LU63" s="104"/>
      <c r="LV63" s="104"/>
      <c r="LW63" s="104"/>
      <c r="LX63" s="104"/>
      <c r="LY63" s="104"/>
      <c r="LZ63" s="104"/>
      <c r="MA63" s="104"/>
      <c r="MB63" s="104"/>
      <c r="MC63" s="104"/>
      <c r="MD63" s="104"/>
      <c r="ME63" s="104"/>
      <c r="MF63" s="104"/>
      <c r="MG63" s="104"/>
      <c r="MH63" s="104"/>
      <c r="MI63" s="104"/>
      <c r="MJ63" s="104"/>
      <c r="MK63" s="104"/>
      <c r="ML63" s="104"/>
      <c r="MM63" s="104"/>
      <c r="MN63" s="104"/>
      <c r="MO63" s="104"/>
      <c r="MP63" s="104"/>
      <c r="MQ63" s="104"/>
      <c r="MR63" s="104"/>
      <c r="MS63" s="104"/>
      <c r="MT63" s="104"/>
      <c r="MU63" s="104"/>
      <c r="MV63" s="104"/>
      <c r="MW63" s="104"/>
      <c r="MX63" s="104"/>
      <c r="MY63" s="104"/>
      <c r="MZ63" s="104"/>
      <c r="NA63" s="104"/>
      <c r="NB63" s="104"/>
      <c r="NC63" s="104"/>
      <c r="ND63" s="104"/>
      <c r="NE63" s="104"/>
      <c r="NF63" s="104"/>
      <c r="NG63" s="104"/>
      <c r="NH63" s="104"/>
      <c r="NI63" s="104"/>
      <c r="NJ63" s="104"/>
      <c r="NK63" s="104"/>
      <c r="NL63" s="104"/>
      <c r="NM63" s="104"/>
      <c r="NN63" s="104"/>
      <c r="NO63" s="104"/>
      <c r="NP63" s="104"/>
      <c r="NQ63" s="104"/>
      <c r="NR63" s="104"/>
      <c r="NS63" s="104"/>
      <c r="NT63" s="104"/>
      <c r="NU63" s="104"/>
      <c r="NV63" s="104"/>
      <c r="NW63" s="104"/>
      <c r="NX63" s="104"/>
      <c r="NY63" s="104"/>
      <c r="NZ63" s="104"/>
    </row>
    <row r="64" spans="1:390" ht="15.75" customHeight="1" x14ac:dyDescent="0.3">
      <c r="A64" s="214">
        <v>4860641086</v>
      </c>
      <c r="B64" s="165" t="s">
        <v>391</v>
      </c>
      <c r="C64" s="138"/>
      <c r="D64" s="216" t="s">
        <v>391</v>
      </c>
      <c r="E64" s="136" t="s">
        <v>691</v>
      </c>
      <c r="F64" s="125" t="s">
        <v>461</v>
      </c>
      <c r="G64" s="221" t="s">
        <v>465</v>
      </c>
      <c r="H64" s="219">
        <v>43523</v>
      </c>
      <c r="I64" s="216" t="s">
        <v>513</v>
      </c>
      <c r="J64" s="153" t="s">
        <v>397</v>
      </c>
      <c r="K64" s="153" t="s">
        <v>398</v>
      </c>
      <c r="L64" s="153" t="s">
        <v>398</v>
      </c>
      <c r="M64" s="164" t="s">
        <v>398</v>
      </c>
      <c r="N64" s="164" t="s">
        <v>398</v>
      </c>
      <c r="O64" s="164" t="s">
        <v>398</v>
      </c>
      <c r="P64" s="164" t="s">
        <v>398</v>
      </c>
      <c r="Q64" s="164" t="s">
        <v>398</v>
      </c>
      <c r="R64" s="164" t="s">
        <v>398</v>
      </c>
      <c r="S64" s="164" t="s">
        <v>398</v>
      </c>
      <c r="T64" s="164" t="s">
        <v>398</v>
      </c>
      <c r="U64" s="164" t="s">
        <v>398</v>
      </c>
      <c r="V64" s="164" t="s">
        <v>398</v>
      </c>
      <c r="W64" s="164" t="s">
        <v>398</v>
      </c>
      <c r="X64" s="164" t="s">
        <v>398</v>
      </c>
      <c r="Y64" s="164" t="s">
        <v>398</v>
      </c>
      <c r="Z64" s="164" t="s">
        <v>398</v>
      </c>
      <c r="AA64" s="164" t="s">
        <v>398</v>
      </c>
      <c r="AB64" s="167" t="s">
        <v>399</v>
      </c>
      <c r="AC64" s="219">
        <v>22515</v>
      </c>
      <c r="AD64" s="106"/>
      <c r="AE64" s="108" t="e">
        <f t="shared" si="0"/>
        <v>#NUM!</v>
      </c>
      <c r="AF64" s="104" t="s">
        <v>692</v>
      </c>
      <c r="AG64" s="79" t="s">
        <v>401</v>
      </c>
      <c r="AH64" s="104" t="s">
        <v>402</v>
      </c>
      <c r="AI64" s="110"/>
      <c r="AJ64" s="110"/>
      <c r="AK64" s="110"/>
      <c r="AL64" s="110"/>
      <c r="AM64" s="105"/>
      <c r="AN64" s="95">
        <v>3</v>
      </c>
      <c r="AO64" s="173" t="s">
        <v>398</v>
      </c>
      <c r="AP64" s="104"/>
      <c r="AQ64" s="104"/>
      <c r="AR64" s="104"/>
      <c r="AS64" s="104"/>
      <c r="AT64" s="104"/>
      <c r="AU64" s="104"/>
      <c r="AV64" s="104"/>
      <c r="AW64" s="104"/>
      <c r="AX64" s="104"/>
      <c r="AY64" s="104"/>
      <c r="AZ64" s="104"/>
      <c r="BA64" s="104"/>
      <c r="BB64" s="104"/>
      <c r="BC64" s="104"/>
      <c r="BD64" s="104"/>
      <c r="BE64" s="104"/>
      <c r="BF64" s="104"/>
      <c r="BG64" s="104"/>
      <c r="BH64" s="104"/>
      <c r="BI64" s="104"/>
      <c r="BJ64" s="104"/>
      <c r="BK64" s="104"/>
      <c r="BL64" s="104"/>
      <c r="BM64" s="104"/>
      <c r="BN64" s="104"/>
      <c r="BO64" s="104"/>
      <c r="BP64" s="104"/>
      <c r="BQ64" s="104"/>
      <c r="BR64" s="104"/>
      <c r="BS64" s="104"/>
      <c r="BT64" s="104"/>
      <c r="BU64" s="104"/>
      <c r="BV64" s="104"/>
      <c r="BW64" s="104"/>
      <c r="BX64" s="104"/>
      <c r="BY64" s="104"/>
      <c r="BZ64" s="104"/>
      <c r="CA64" s="104"/>
      <c r="CB64" s="104"/>
      <c r="CC64" s="104"/>
      <c r="CD64" s="104"/>
      <c r="CE64" s="104"/>
      <c r="CF64" s="104"/>
      <c r="CG64" s="104"/>
      <c r="CH64" s="104"/>
      <c r="CI64" s="104"/>
      <c r="CJ64" s="104"/>
      <c r="CK64" s="104"/>
      <c r="CL64" s="104"/>
      <c r="CM64" s="104"/>
      <c r="CN64" s="104"/>
      <c r="CO64" s="104"/>
      <c r="CP64" s="104"/>
      <c r="CQ64" s="104"/>
      <c r="CR64" s="104"/>
      <c r="CS64" s="104"/>
      <c r="CT64" s="104"/>
      <c r="CU64" s="104"/>
      <c r="CV64" s="104"/>
      <c r="CW64" s="104"/>
      <c r="CX64" s="104"/>
      <c r="CY64" s="104"/>
      <c r="CZ64" s="104"/>
      <c r="DA64" s="104"/>
      <c r="DB64" s="104"/>
      <c r="DC64" s="104"/>
      <c r="DD64" s="104"/>
      <c r="DE64" s="104"/>
      <c r="DF64" s="104"/>
      <c r="DG64" s="104"/>
      <c r="DH64" s="104"/>
      <c r="DI64" s="104"/>
      <c r="DJ64" s="104"/>
      <c r="DK64" s="104"/>
      <c r="DL64" s="104"/>
      <c r="DM64" s="104"/>
      <c r="DN64" s="104"/>
      <c r="DO64" s="104"/>
      <c r="DP64" s="104"/>
      <c r="DQ64" s="104"/>
      <c r="DR64" s="104"/>
      <c r="DS64" s="104"/>
      <c r="DT64" s="104"/>
      <c r="DU64" s="104"/>
      <c r="DV64" s="104"/>
      <c r="DW64" s="104"/>
      <c r="DX64" s="104"/>
      <c r="DY64" s="104"/>
      <c r="DZ64" s="104"/>
      <c r="EA64" s="104"/>
      <c r="EB64" s="104"/>
      <c r="EC64" s="104"/>
      <c r="ED64" s="104"/>
      <c r="EE64" s="104"/>
      <c r="EF64" s="104"/>
      <c r="EG64" s="104"/>
      <c r="EH64" s="104"/>
      <c r="EI64" s="104"/>
      <c r="EJ64" s="104"/>
      <c r="EK64" s="104"/>
      <c r="EL64" s="104"/>
      <c r="EM64" s="104"/>
      <c r="EN64" s="104"/>
      <c r="EO64" s="104"/>
      <c r="EP64" s="104"/>
      <c r="EQ64" s="104"/>
      <c r="ER64" s="104"/>
      <c r="ES64" s="104"/>
      <c r="ET64" s="104"/>
      <c r="EU64" s="104"/>
      <c r="EV64" s="104"/>
      <c r="EW64" s="104"/>
      <c r="EX64" s="104"/>
      <c r="EY64" s="104"/>
      <c r="EZ64" s="104"/>
      <c r="FA64" s="104"/>
      <c r="FB64" s="104"/>
      <c r="FC64" s="104"/>
      <c r="FD64" s="104"/>
      <c r="FE64" s="104"/>
      <c r="FF64" s="104"/>
      <c r="FG64" s="104"/>
      <c r="FH64" s="104"/>
      <c r="FI64" s="104"/>
      <c r="FJ64" s="104"/>
      <c r="FK64" s="104"/>
      <c r="FL64" s="104"/>
      <c r="FM64" s="104"/>
      <c r="FN64" s="104"/>
      <c r="FO64" s="104"/>
      <c r="FP64" s="104"/>
      <c r="FQ64" s="104"/>
      <c r="FR64" s="104"/>
      <c r="FS64" s="104"/>
      <c r="FT64" s="104"/>
      <c r="FU64" s="104"/>
      <c r="FV64" s="104"/>
      <c r="FW64" s="104"/>
      <c r="FX64" s="104"/>
      <c r="FY64" s="104"/>
      <c r="FZ64" s="104"/>
      <c r="GA64" s="104"/>
      <c r="GB64" s="104"/>
      <c r="GC64" s="104"/>
      <c r="GD64" s="104"/>
      <c r="GE64" s="104"/>
      <c r="GF64" s="104"/>
      <c r="GG64" s="104"/>
      <c r="GH64" s="104"/>
      <c r="GI64" s="104"/>
      <c r="GJ64" s="104"/>
      <c r="GK64" s="104"/>
      <c r="GL64" s="104"/>
      <c r="GM64" s="104"/>
      <c r="GN64" s="104"/>
      <c r="GO64" s="104"/>
      <c r="GP64" s="104"/>
      <c r="GQ64" s="104"/>
      <c r="GR64" s="104"/>
      <c r="GS64" s="104"/>
      <c r="GT64" s="104"/>
      <c r="GU64" s="104"/>
      <c r="GV64" s="104"/>
      <c r="GW64" s="104"/>
      <c r="GX64" s="104"/>
      <c r="GY64" s="104"/>
      <c r="GZ64" s="104"/>
      <c r="HA64" s="104"/>
      <c r="HB64" s="104"/>
      <c r="HC64" s="104"/>
      <c r="HD64" s="104"/>
      <c r="HE64" s="104"/>
      <c r="HF64" s="104"/>
      <c r="HG64" s="104"/>
      <c r="HH64" s="104"/>
      <c r="HI64" s="104"/>
      <c r="HJ64" s="104"/>
      <c r="HK64" s="104"/>
      <c r="HL64" s="104"/>
      <c r="HM64" s="104"/>
      <c r="HN64" s="104"/>
      <c r="HO64" s="104"/>
      <c r="HP64" s="104"/>
      <c r="HQ64" s="104"/>
      <c r="HR64" s="104"/>
      <c r="HS64" s="104"/>
      <c r="HT64" s="104"/>
      <c r="HU64" s="104"/>
      <c r="HV64" s="104"/>
      <c r="HW64" s="104"/>
      <c r="HX64" s="104"/>
      <c r="HY64" s="104"/>
      <c r="HZ64" s="104"/>
      <c r="IA64" s="104"/>
      <c r="IB64" s="104"/>
      <c r="IC64" s="104"/>
      <c r="ID64" s="104"/>
      <c r="IE64" s="104"/>
      <c r="IF64" s="104"/>
      <c r="IG64" s="104"/>
      <c r="IH64" s="104"/>
      <c r="II64" s="104"/>
      <c r="IJ64" s="104"/>
      <c r="IK64" s="104"/>
      <c r="IL64" s="104"/>
      <c r="IM64" s="104"/>
      <c r="IN64" s="104"/>
      <c r="IO64" s="104"/>
      <c r="IP64" s="104"/>
      <c r="IQ64" s="104"/>
      <c r="IR64" s="104"/>
      <c r="IS64" s="104"/>
      <c r="IT64" s="104"/>
      <c r="IU64" s="104"/>
      <c r="IV64" s="104"/>
      <c r="IW64" s="104"/>
      <c r="IX64" s="104"/>
      <c r="IY64" s="104"/>
      <c r="IZ64" s="104"/>
      <c r="JA64" s="104"/>
      <c r="JB64" s="104"/>
      <c r="JC64" s="104"/>
      <c r="JD64" s="104"/>
      <c r="JE64" s="104"/>
      <c r="JF64" s="104"/>
      <c r="JG64" s="104"/>
      <c r="JH64" s="104"/>
      <c r="JI64" s="104"/>
      <c r="JJ64" s="104"/>
      <c r="JK64" s="104"/>
      <c r="JL64" s="104"/>
      <c r="JM64" s="104"/>
      <c r="JN64" s="104"/>
      <c r="JO64" s="104"/>
      <c r="JP64" s="104"/>
      <c r="JQ64" s="104"/>
      <c r="JR64" s="104"/>
      <c r="JS64" s="104"/>
      <c r="JT64" s="104"/>
      <c r="JU64" s="104"/>
      <c r="JV64" s="104"/>
      <c r="JW64" s="104"/>
      <c r="JX64" s="104"/>
      <c r="JY64" s="104"/>
      <c r="JZ64" s="104"/>
      <c r="KA64" s="104"/>
      <c r="KB64" s="104"/>
      <c r="KC64" s="104"/>
      <c r="KD64" s="104"/>
      <c r="KE64" s="104"/>
      <c r="KF64" s="104"/>
      <c r="KG64" s="104"/>
      <c r="KH64" s="104"/>
      <c r="KI64" s="104"/>
      <c r="KJ64" s="104"/>
      <c r="KK64" s="104"/>
      <c r="KL64" s="104"/>
      <c r="KM64" s="104"/>
      <c r="KN64" s="104"/>
      <c r="KO64" s="104"/>
      <c r="KP64" s="104"/>
      <c r="KQ64" s="104"/>
      <c r="KR64" s="104"/>
      <c r="KS64" s="104"/>
      <c r="KT64" s="104"/>
      <c r="KU64" s="104"/>
      <c r="KV64" s="104"/>
      <c r="KW64" s="104"/>
      <c r="KX64" s="104"/>
      <c r="KY64" s="104"/>
      <c r="KZ64" s="104"/>
      <c r="LA64" s="104"/>
      <c r="LB64" s="104"/>
      <c r="LC64" s="104"/>
      <c r="LD64" s="104"/>
      <c r="LE64" s="104"/>
      <c r="LF64" s="104"/>
      <c r="LG64" s="104"/>
      <c r="LH64" s="104"/>
      <c r="LI64" s="104"/>
      <c r="LJ64" s="104"/>
      <c r="LK64" s="104"/>
      <c r="LL64" s="104"/>
      <c r="LM64" s="104"/>
      <c r="LN64" s="104"/>
      <c r="LO64" s="104"/>
      <c r="LP64" s="104"/>
      <c r="LQ64" s="104"/>
      <c r="LR64" s="104"/>
      <c r="LS64" s="104"/>
      <c r="LT64" s="104"/>
      <c r="LU64" s="104"/>
      <c r="LV64" s="104"/>
      <c r="LW64" s="104"/>
      <c r="LX64" s="104"/>
      <c r="LY64" s="104"/>
      <c r="LZ64" s="104"/>
      <c r="MA64" s="104"/>
      <c r="MB64" s="104"/>
      <c r="MC64" s="104"/>
      <c r="MD64" s="104"/>
      <c r="ME64" s="104"/>
      <c r="MF64" s="104"/>
      <c r="MG64" s="104"/>
      <c r="MH64" s="104"/>
      <c r="MI64" s="104"/>
      <c r="MJ64" s="104"/>
      <c r="MK64" s="104"/>
      <c r="ML64" s="104"/>
      <c r="MM64" s="104"/>
      <c r="MN64" s="104"/>
      <c r="MO64" s="104"/>
      <c r="MP64" s="104"/>
      <c r="MQ64" s="104"/>
      <c r="MR64" s="104"/>
      <c r="MS64" s="104"/>
      <c r="MT64" s="104"/>
      <c r="MU64" s="104"/>
      <c r="MV64" s="104"/>
      <c r="MW64" s="104"/>
      <c r="MX64" s="104"/>
      <c r="MY64" s="104"/>
      <c r="MZ64" s="104"/>
      <c r="NA64" s="104"/>
      <c r="NB64" s="104"/>
      <c r="NC64" s="104"/>
      <c r="ND64" s="104"/>
      <c r="NE64" s="104"/>
      <c r="NF64" s="104"/>
      <c r="NG64" s="104"/>
      <c r="NH64" s="104"/>
      <c r="NI64" s="104"/>
      <c r="NJ64" s="104"/>
      <c r="NK64" s="104"/>
      <c r="NL64" s="104"/>
      <c r="NM64" s="104"/>
      <c r="NN64" s="104"/>
      <c r="NO64" s="104"/>
      <c r="NP64" s="104"/>
      <c r="NQ64" s="104"/>
      <c r="NR64" s="104"/>
      <c r="NS64" s="104"/>
      <c r="NT64" s="104"/>
      <c r="NU64" s="104"/>
      <c r="NV64" s="104"/>
      <c r="NW64" s="104"/>
      <c r="NX64" s="104"/>
      <c r="NY64" s="104"/>
      <c r="NZ64" s="104"/>
    </row>
    <row r="65" spans="1:390" ht="15.75" customHeight="1" x14ac:dyDescent="0.3">
      <c r="A65" s="214">
        <v>4762044482</v>
      </c>
      <c r="B65" s="165" t="s">
        <v>391</v>
      </c>
      <c r="C65" s="138"/>
      <c r="D65" s="216" t="s">
        <v>391</v>
      </c>
      <c r="E65" s="136" t="s">
        <v>693</v>
      </c>
      <c r="F65" s="125" t="s">
        <v>465</v>
      </c>
      <c r="G65" s="221" t="s">
        <v>395</v>
      </c>
      <c r="H65" s="219">
        <v>43532</v>
      </c>
      <c r="I65" s="216" t="s">
        <v>513</v>
      </c>
      <c r="J65" s="153" t="s">
        <v>397</v>
      </c>
      <c r="K65" s="153" t="s">
        <v>398</v>
      </c>
      <c r="L65" s="153" t="s">
        <v>398</v>
      </c>
      <c r="M65" s="164" t="s">
        <v>398</v>
      </c>
      <c r="N65" s="164" t="s">
        <v>398</v>
      </c>
      <c r="O65" s="164" t="s">
        <v>398</v>
      </c>
      <c r="P65" s="164" t="s">
        <v>398</v>
      </c>
      <c r="Q65" s="164" t="s">
        <v>398</v>
      </c>
      <c r="R65" s="164" t="s">
        <v>398</v>
      </c>
      <c r="S65" s="164" t="s">
        <v>398</v>
      </c>
      <c r="T65" s="164" t="s">
        <v>398</v>
      </c>
      <c r="U65" s="164" t="s">
        <v>398</v>
      </c>
      <c r="V65" s="164" t="s">
        <v>398</v>
      </c>
      <c r="W65" s="164" t="s">
        <v>398</v>
      </c>
      <c r="X65" s="164" t="s">
        <v>398</v>
      </c>
      <c r="Y65" s="164" t="s">
        <v>398</v>
      </c>
      <c r="Z65" s="164" t="s">
        <v>398</v>
      </c>
      <c r="AA65" s="164" t="s">
        <v>398</v>
      </c>
      <c r="AB65" s="167" t="s">
        <v>399</v>
      </c>
      <c r="AC65" s="219">
        <v>22917</v>
      </c>
      <c r="AD65" s="106"/>
      <c r="AE65" s="108" t="e">
        <f t="shared" si="0"/>
        <v>#NUM!</v>
      </c>
      <c r="AF65" s="104" t="s">
        <v>602</v>
      </c>
      <c r="AG65" s="79" t="s">
        <v>401</v>
      </c>
      <c r="AH65" s="104" t="s">
        <v>402</v>
      </c>
      <c r="AI65" s="110"/>
      <c r="AJ65" s="110"/>
      <c r="AK65" s="110"/>
      <c r="AL65" s="110"/>
      <c r="AM65" s="105"/>
      <c r="AN65" s="95">
        <v>1</v>
      </c>
      <c r="AO65" s="173" t="s">
        <v>398</v>
      </c>
      <c r="AP65" s="104"/>
      <c r="AQ65" s="104"/>
      <c r="AR65" s="104"/>
      <c r="AS65" s="104"/>
      <c r="AT65" s="104"/>
      <c r="AU65" s="104"/>
      <c r="AV65" s="104"/>
      <c r="AW65" s="104"/>
      <c r="AX65" s="104"/>
      <c r="AY65" s="104"/>
      <c r="AZ65" s="104"/>
      <c r="BA65" s="104"/>
      <c r="BB65" s="104"/>
      <c r="BC65" s="104"/>
      <c r="BD65" s="104"/>
      <c r="BE65" s="104"/>
      <c r="BF65" s="104"/>
      <c r="BG65" s="104"/>
      <c r="BH65" s="104"/>
      <c r="BI65" s="104"/>
      <c r="BJ65" s="104"/>
      <c r="BK65" s="104"/>
      <c r="BL65" s="104"/>
      <c r="BM65" s="104"/>
      <c r="BN65" s="104"/>
      <c r="BO65" s="104"/>
      <c r="BP65" s="104"/>
      <c r="BQ65" s="104"/>
      <c r="BR65" s="104"/>
      <c r="BS65" s="104"/>
      <c r="BT65" s="104"/>
      <c r="BU65" s="104"/>
      <c r="BV65" s="104"/>
      <c r="BW65" s="104"/>
      <c r="BX65" s="104"/>
      <c r="BY65" s="104"/>
      <c r="BZ65" s="104"/>
      <c r="CA65" s="104"/>
      <c r="CB65" s="104"/>
      <c r="CC65" s="104"/>
      <c r="CD65" s="104"/>
      <c r="CE65" s="104"/>
      <c r="CF65" s="104"/>
      <c r="CG65" s="104"/>
      <c r="CH65" s="104"/>
      <c r="CI65" s="104"/>
      <c r="CJ65" s="104"/>
      <c r="CK65" s="104"/>
      <c r="CL65" s="104"/>
      <c r="CM65" s="104"/>
      <c r="CN65" s="104"/>
      <c r="CO65" s="104"/>
      <c r="CP65" s="104"/>
      <c r="CQ65" s="104"/>
      <c r="CR65" s="104"/>
      <c r="CS65" s="104"/>
      <c r="CT65" s="104"/>
      <c r="CU65" s="104"/>
      <c r="CV65" s="104"/>
      <c r="CW65" s="104"/>
      <c r="CX65" s="104"/>
      <c r="CY65" s="104"/>
      <c r="CZ65" s="104"/>
      <c r="DA65" s="104"/>
      <c r="DB65" s="104"/>
      <c r="DC65" s="104"/>
      <c r="DD65" s="104"/>
      <c r="DE65" s="104"/>
      <c r="DF65" s="104"/>
      <c r="DG65" s="104"/>
      <c r="DH65" s="104"/>
      <c r="DI65" s="104"/>
      <c r="DJ65" s="104"/>
      <c r="DK65" s="104"/>
      <c r="DL65" s="104"/>
      <c r="DM65" s="104"/>
      <c r="DN65" s="104"/>
      <c r="DO65" s="104"/>
      <c r="DP65" s="104"/>
      <c r="DQ65" s="104"/>
      <c r="DR65" s="104"/>
      <c r="DS65" s="104"/>
      <c r="DT65" s="104"/>
      <c r="DU65" s="104"/>
      <c r="DV65" s="104"/>
      <c r="DW65" s="104"/>
      <c r="DX65" s="104"/>
      <c r="DY65" s="104"/>
      <c r="DZ65" s="104"/>
      <c r="EA65" s="104"/>
      <c r="EB65" s="104"/>
      <c r="EC65" s="104"/>
      <c r="ED65" s="104"/>
      <c r="EE65" s="104"/>
      <c r="EF65" s="104"/>
      <c r="EG65" s="104"/>
      <c r="EH65" s="104"/>
      <c r="EI65" s="104"/>
      <c r="EJ65" s="104"/>
      <c r="EK65" s="104"/>
      <c r="EL65" s="104"/>
      <c r="EM65" s="104"/>
      <c r="EN65" s="104"/>
      <c r="EO65" s="104"/>
      <c r="EP65" s="104"/>
      <c r="EQ65" s="104"/>
      <c r="ER65" s="104"/>
      <c r="ES65" s="104"/>
      <c r="ET65" s="104"/>
      <c r="EU65" s="104"/>
      <c r="EV65" s="104"/>
      <c r="EW65" s="104"/>
      <c r="EX65" s="104"/>
      <c r="EY65" s="104"/>
      <c r="EZ65" s="104"/>
      <c r="FA65" s="104"/>
      <c r="FB65" s="104"/>
      <c r="FC65" s="104"/>
      <c r="FD65" s="104"/>
      <c r="FE65" s="104"/>
      <c r="FF65" s="104"/>
      <c r="FG65" s="104"/>
      <c r="FH65" s="104"/>
      <c r="FI65" s="104"/>
      <c r="FJ65" s="104"/>
      <c r="FK65" s="104"/>
      <c r="FL65" s="104"/>
      <c r="FM65" s="104"/>
      <c r="FN65" s="104"/>
      <c r="FO65" s="104"/>
      <c r="FP65" s="104"/>
      <c r="FQ65" s="104"/>
      <c r="FR65" s="104"/>
      <c r="FS65" s="104"/>
      <c r="FT65" s="104"/>
      <c r="FU65" s="104"/>
      <c r="FV65" s="104"/>
      <c r="FW65" s="104"/>
      <c r="FX65" s="104"/>
      <c r="FY65" s="104"/>
      <c r="FZ65" s="104"/>
      <c r="GA65" s="104"/>
      <c r="GB65" s="104"/>
      <c r="GC65" s="104"/>
      <c r="GD65" s="104"/>
      <c r="GE65" s="104"/>
      <c r="GF65" s="104"/>
      <c r="GG65" s="104"/>
      <c r="GH65" s="104"/>
      <c r="GI65" s="104"/>
      <c r="GJ65" s="104"/>
      <c r="GK65" s="104"/>
      <c r="GL65" s="104"/>
      <c r="GM65" s="104"/>
      <c r="GN65" s="104"/>
      <c r="GO65" s="104"/>
      <c r="GP65" s="104"/>
      <c r="GQ65" s="104"/>
      <c r="GR65" s="104"/>
      <c r="GS65" s="104"/>
      <c r="GT65" s="104"/>
      <c r="GU65" s="104"/>
      <c r="GV65" s="104"/>
      <c r="GW65" s="104"/>
      <c r="GX65" s="104"/>
      <c r="GY65" s="104"/>
      <c r="GZ65" s="104"/>
      <c r="HA65" s="104"/>
      <c r="HB65" s="104"/>
      <c r="HC65" s="104"/>
      <c r="HD65" s="104"/>
      <c r="HE65" s="104"/>
      <c r="HF65" s="104"/>
      <c r="HG65" s="104"/>
      <c r="HH65" s="104"/>
      <c r="HI65" s="104"/>
      <c r="HJ65" s="104"/>
      <c r="HK65" s="104"/>
      <c r="HL65" s="104"/>
      <c r="HM65" s="104"/>
      <c r="HN65" s="104"/>
      <c r="HO65" s="104"/>
      <c r="HP65" s="104"/>
      <c r="HQ65" s="104"/>
      <c r="HR65" s="104"/>
      <c r="HS65" s="104"/>
      <c r="HT65" s="104"/>
      <c r="HU65" s="104"/>
      <c r="HV65" s="104"/>
      <c r="HW65" s="104"/>
      <c r="HX65" s="104"/>
      <c r="HY65" s="104"/>
      <c r="HZ65" s="104"/>
      <c r="IA65" s="104"/>
      <c r="IB65" s="104"/>
      <c r="IC65" s="104"/>
      <c r="ID65" s="104"/>
      <c r="IE65" s="104"/>
      <c r="IF65" s="104"/>
      <c r="IG65" s="104"/>
      <c r="IH65" s="104"/>
      <c r="II65" s="104"/>
      <c r="IJ65" s="104"/>
      <c r="IK65" s="104"/>
      <c r="IL65" s="104"/>
      <c r="IM65" s="104"/>
      <c r="IN65" s="104"/>
      <c r="IO65" s="104"/>
      <c r="IP65" s="104"/>
      <c r="IQ65" s="104"/>
      <c r="IR65" s="104"/>
      <c r="IS65" s="104"/>
      <c r="IT65" s="104"/>
      <c r="IU65" s="104"/>
      <c r="IV65" s="104"/>
      <c r="IW65" s="104"/>
      <c r="IX65" s="104"/>
      <c r="IY65" s="104"/>
      <c r="IZ65" s="104"/>
      <c r="JA65" s="104"/>
      <c r="JB65" s="104"/>
      <c r="JC65" s="104"/>
      <c r="JD65" s="104"/>
      <c r="JE65" s="104"/>
      <c r="JF65" s="104"/>
      <c r="JG65" s="104"/>
      <c r="JH65" s="104"/>
      <c r="JI65" s="104"/>
      <c r="JJ65" s="104"/>
      <c r="JK65" s="104"/>
      <c r="JL65" s="104"/>
      <c r="JM65" s="104"/>
      <c r="JN65" s="104"/>
      <c r="JO65" s="104"/>
      <c r="JP65" s="104"/>
      <c r="JQ65" s="104"/>
      <c r="JR65" s="104"/>
      <c r="JS65" s="104"/>
      <c r="JT65" s="104"/>
      <c r="JU65" s="104"/>
      <c r="JV65" s="104"/>
      <c r="JW65" s="104"/>
      <c r="JX65" s="104"/>
      <c r="JY65" s="104"/>
      <c r="JZ65" s="104"/>
      <c r="KA65" s="104"/>
      <c r="KB65" s="104"/>
      <c r="KC65" s="104"/>
      <c r="KD65" s="104"/>
      <c r="KE65" s="104"/>
      <c r="KF65" s="104"/>
      <c r="KG65" s="104"/>
      <c r="KH65" s="104"/>
      <c r="KI65" s="104"/>
      <c r="KJ65" s="104"/>
      <c r="KK65" s="104"/>
      <c r="KL65" s="104"/>
      <c r="KM65" s="104"/>
      <c r="KN65" s="104"/>
      <c r="KO65" s="104"/>
      <c r="KP65" s="104"/>
      <c r="KQ65" s="104"/>
      <c r="KR65" s="104"/>
      <c r="KS65" s="104"/>
      <c r="KT65" s="104"/>
      <c r="KU65" s="104"/>
      <c r="KV65" s="104"/>
      <c r="KW65" s="104"/>
      <c r="KX65" s="104"/>
      <c r="KY65" s="104"/>
      <c r="KZ65" s="104"/>
      <c r="LA65" s="104"/>
      <c r="LB65" s="104"/>
      <c r="LC65" s="104"/>
      <c r="LD65" s="104"/>
      <c r="LE65" s="104"/>
      <c r="LF65" s="104"/>
      <c r="LG65" s="104"/>
      <c r="LH65" s="104"/>
      <c r="LI65" s="104"/>
      <c r="LJ65" s="104"/>
      <c r="LK65" s="104"/>
      <c r="LL65" s="104"/>
      <c r="LM65" s="104"/>
      <c r="LN65" s="104"/>
      <c r="LO65" s="104"/>
      <c r="LP65" s="104"/>
      <c r="LQ65" s="104"/>
      <c r="LR65" s="104"/>
      <c r="LS65" s="104"/>
      <c r="LT65" s="104"/>
      <c r="LU65" s="104"/>
      <c r="LV65" s="104"/>
      <c r="LW65" s="104"/>
      <c r="LX65" s="104"/>
      <c r="LY65" s="104"/>
      <c r="LZ65" s="104"/>
      <c r="MA65" s="104"/>
      <c r="MB65" s="104"/>
      <c r="MC65" s="104"/>
      <c r="MD65" s="104"/>
      <c r="ME65" s="104"/>
      <c r="MF65" s="104"/>
      <c r="MG65" s="104"/>
      <c r="MH65" s="104"/>
      <c r="MI65" s="104"/>
      <c r="MJ65" s="104"/>
      <c r="MK65" s="104"/>
      <c r="ML65" s="104"/>
      <c r="MM65" s="104"/>
      <c r="MN65" s="104"/>
      <c r="MO65" s="104"/>
      <c r="MP65" s="104"/>
      <c r="MQ65" s="104"/>
      <c r="MR65" s="104"/>
      <c r="MS65" s="104"/>
      <c r="MT65" s="104"/>
      <c r="MU65" s="104"/>
      <c r="MV65" s="104"/>
      <c r="MW65" s="104"/>
      <c r="MX65" s="104"/>
      <c r="MY65" s="104"/>
      <c r="MZ65" s="104"/>
      <c r="NA65" s="104"/>
      <c r="NB65" s="104"/>
      <c r="NC65" s="104"/>
      <c r="ND65" s="104"/>
      <c r="NE65" s="104"/>
      <c r="NF65" s="104"/>
      <c r="NG65" s="104"/>
      <c r="NH65" s="104"/>
      <c r="NI65" s="104"/>
      <c r="NJ65" s="104"/>
      <c r="NK65" s="104"/>
      <c r="NL65" s="104"/>
      <c r="NM65" s="104"/>
      <c r="NN65" s="104"/>
      <c r="NO65" s="104"/>
      <c r="NP65" s="104"/>
      <c r="NQ65" s="104"/>
      <c r="NR65" s="104"/>
      <c r="NS65" s="104"/>
      <c r="NT65" s="104"/>
      <c r="NU65" s="104"/>
      <c r="NV65" s="104"/>
      <c r="NW65" s="104"/>
      <c r="NX65" s="104"/>
      <c r="NY65" s="104"/>
      <c r="NZ65" s="104"/>
    </row>
    <row r="66" spans="1:390" ht="15.75" customHeight="1" x14ac:dyDescent="0.3">
      <c r="A66" s="214">
        <v>6502803008</v>
      </c>
      <c r="B66" s="165" t="s">
        <v>391</v>
      </c>
      <c r="C66" s="138"/>
      <c r="D66" s="216" t="s">
        <v>391</v>
      </c>
      <c r="E66" s="136" t="s">
        <v>694</v>
      </c>
      <c r="F66" s="125" t="s">
        <v>421</v>
      </c>
      <c r="G66" s="221" t="s">
        <v>492</v>
      </c>
      <c r="H66" s="219">
        <v>43535</v>
      </c>
      <c r="I66" s="216" t="s">
        <v>458</v>
      </c>
      <c r="J66" s="153" t="s">
        <v>397</v>
      </c>
      <c r="K66" s="153" t="s">
        <v>398</v>
      </c>
      <c r="L66" s="153" t="s">
        <v>398</v>
      </c>
      <c r="M66" s="164" t="s">
        <v>398</v>
      </c>
      <c r="N66" s="164" t="s">
        <v>398</v>
      </c>
      <c r="O66" s="164" t="s">
        <v>398</v>
      </c>
      <c r="P66" s="164" t="s">
        <v>398</v>
      </c>
      <c r="Q66" s="164" t="s">
        <v>398</v>
      </c>
      <c r="R66" s="164" t="s">
        <v>398</v>
      </c>
      <c r="S66" s="164" t="s">
        <v>398</v>
      </c>
      <c r="T66" s="164" t="s">
        <v>398</v>
      </c>
      <c r="U66" s="164" t="s">
        <v>398</v>
      </c>
      <c r="V66" s="164" t="s">
        <v>398</v>
      </c>
      <c r="W66" s="164" t="s">
        <v>398</v>
      </c>
      <c r="X66" s="164" t="s">
        <v>398</v>
      </c>
      <c r="Y66" s="164" t="s">
        <v>398</v>
      </c>
      <c r="Z66" s="164" t="s">
        <v>398</v>
      </c>
      <c r="AA66" s="164" t="s">
        <v>398</v>
      </c>
      <c r="AB66" s="167" t="s">
        <v>399</v>
      </c>
      <c r="AC66" s="219">
        <v>27489</v>
      </c>
      <c r="AD66" s="106"/>
      <c r="AE66" s="108" t="e">
        <f t="shared" si="0"/>
        <v>#NUM!</v>
      </c>
      <c r="AF66" s="104" t="s">
        <v>411</v>
      </c>
      <c r="AG66" s="79" t="s">
        <v>401</v>
      </c>
      <c r="AH66" s="104" t="s">
        <v>391</v>
      </c>
      <c r="AI66" s="110"/>
      <c r="AJ66" s="110"/>
      <c r="AK66" s="110"/>
      <c r="AL66" s="110"/>
      <c r="AM66" s="105"/>
      <c r="AN66" s="95">
        <v>2</v>
      </c>
      <c r="AO66" s="173" t="s">
        <v>398</v>
      </c>
      <c r="AP66" s="104"/>
      <c r="AQ66" s="104"/>
      <c r="AR66" s="104"/>
      <c r="AS66" s="104"/>
      <c r="AT66" s="104"/>
      <c r="AU66" s="104"/>
      <c r="AV66" s="104"/>
      <c r="AW66" s="104"/>
      <c r="AX66" s="104"/>
      <c r="AY66" s="104"/>
      <c r="AZ66" s="104"/>
      <c r="BA66" s="104"/>
      <c r="BB66" s="104"/>
      <c r="BC66" s="104"/>
      <c r="BD66" s="104"/>
      <c r="BE66" s="104"/>
      <c r="BF66" s="104"/>
      <c r="BG66" s="104"/>
      <c r="BH66" s="104"/>
      <c r="BI66" s="104"/>
      <c r="BJ66" s="104"/>
      <c r="BK66" s="104"/>
      <c r="BL66" s="104"/>
      <c r="BM66" s="104"/>
      <c r="BN66" s="104"/>
      <c r="BO66" s="104"/>
      <c r="BP66" s="104"/>
      <c r="BQ66" s="104"/>
      <c r="BR66" s="104"/>
      <c r="BS66" s="104"/>
      <c r="BT66" s="104"/>
      <c r="BU66" s="104"/>
      <c r="BV66" s="104"/>
      <c r="BW66" s="104"/>
      <c r="BX66" s="104"/>
      <c r="BY66" s="104"/>
      <c r="BZ66" s="104"/>
      <c r="CA66" s="104"/>
      <c r="CB66" s="104"/>
      <c r="CC66" s="104"/>
      <c r="CD66" s="104"/>
      <c r="CE66" s="104"/>
      <c r="CF66" s="104"/>
      <c r="CG66" s="104"/>
      <c r="CH66" s="104"/>
      <c r="CI66" s="104"/>
      <c r="CJ66" s="104"/>
      <c r="CK66" s="104"/>
      <c r="CL66" s="104"/>
      <c r="CM66" s="104"/>
      <c r="CN66" s="104"/>
      <c r="CO66" s="104"/>
      <c r="CP66" s="104"/>
      <c r="CQ66" s="104"/>
      <c r="CR66" s="104"/>
      <c r="CS66" s="104"/>
      <c r="CT66" s="104"/>
      <c r="CU66" s="104"/>
      <c r="CV66" s="104"/>
      <c r="CW66" s="104"/>
      <c r="CX66" s="104"/>
      <c r="CY66" s="104"/>
      <c r="CZ66" s="104"/>
      <c r="DA66" s="104"/>
      <c r="DB66" s="104"/>
      <c r="DC66" s="104"/>
      <c r="DD66" s="104"/>
      <c r="DE66" s="104"/>
      <c r="DF66" s="104"/>
      <c r="DG66" s="104"/>
      <c r="DH66" s="104"/>
      <c r="DI66" s="104"/>
      <c r="DJ66" s="104"/>
      <c r="DK66" s="104"/>
      <c r="DL66" s="104"/>
      <c r="DM66" s="104"/>
      <c r="DN66" s="104"/>
      <c r="DO66" s="104"/>
      <c r="DP66" s="104"/>
      <c r="DQ66" s="104"/>
      <c r="DR66" s="104"/>
      <c r="DS66" s="104"/>
      <c r="DT66" s="104"/>
      <c r="DU66" s="104"/>
      <c r="DV66" s="104"/>
      <c r="DW66" s="104"/>
      <c r="DX66" s="104"/>
      <c r="DY66" s="104"/>
      <c r="DZ66" s="104"/>
      <c r="EA66" s="104"/>
      <c r="EB66" s="104"/>
      <c r="EC66" s="104"/>
      <c r="ED66" s="104"/>
      <c r="EE66" s="104"/>
      <c r="EF66" s="104"/>
      <c r="EG66" s="104"/>
      <c r="EH66" s="104"/>
      <c r="EI66" s="104"/>
      <c r="EJ66" s="104"/>
      <c r="EK66" s="104"/>
      <c r="EL66" s="104"/>
      <c r="EM66" s="104"/>
      <c r="EN66" s="104"/>
      <c r="EO66" s="104"/>
      <c r="EP66" s="104"/>
      <c r="EQ66" s="104"/>
      <c r="ER66" s="104"/>
      <c r="ES66" s="104"/>
      <c r="ET66" s="104"/>
      <c r="EU66" s="104"/>
      <c r="EV66" s="104"/>
      <c r="EW66" s="104"/>
      <c r="EX66" s="104"/>
      <c r="EY66" s="104"/>
      <c r="EZ66" s="104"/>
      <c r="FA66" s="104"/>
      <c r="FB66" s="104"/>
      <c r="FC66" s="104"/>
      <c r="FD66" s="104"/>
      <c r="FE66" s="104"/>
      <c r="FF66" s="104"/>
      <c r="FG66" s="104"/>
      <c r="FH66" s="104"/>
      <c r="FI66" s="104"/>
      <c r="FJ66" s="104"/>
      <c r="FK66" s="104"/>
      <c r="FL66" s="104"/>
      <c r="FM66" s="104"/>
      <c r="FN66" s="104"/>
      <c r="FO66" s="104"/>
      <c r="FP66" s="104"/>
      <c r="FQ66" s="104"/>
      <c r="FR66" s="104"/>
      <c r="FS66" s="104"/>
      <c r="FT66" s="104"/>
      <c r="FU66" s="104"/>
      <c r="FV66" s="104"/>
      <c r="FW66" s="104"/>
      <c r="FX66" s="104"/>
      <c r="FY66" s="104"/>
      <c r="FZ66" s="104"/>
      <c r="GA66" s="104"/>
      <c r="GB66" s="104"/>
      <c r="GC66" s="104"/>
      <c r="GD66" s="104"/>
      <c r="GE66" s="104"/>
      <c r="GF66" s="104"/>
      <c r="GG66" s="104"/>
      <c r="GH66" s="104"/>
      <c r="GI66" s="104"/>
      <c r="GJ66" s="104"/>
      <c r="GK66" s="104"/>
      <c r="GL66" s="104"/>
      <c r="GM66" s="104"/>
      <c r="GN66" s="104"/>
      <c r="GO66" s="104"/>
      <c r="GP66" s="104"/>
      <c r="GQ66" s="104"/>
      <c r="GR66" s="104"/>
      <c r="GS66" s="104"/>
      <c r="GT66" s="104"/>
      <c r="GU66" s="104"/>
      <c r="GV66" s="104"/>
      <c r="GW66" s="104"/>
      <c r="GX66" s="104"/>
      <c r="GY66" s="104"/>
      <c r="GZ66" s="104"/>
      <c r="HA66" s="104"/>
      <c r="HB66" s="104"/>
      <c r="HC66" s="104"/>
      <c r="HD66" s="104"/>
      <c r="HE66" s="104"/>
      <c r="HF66" s="104"/>
      <c r="HG66" s="104"/>
      <c r="HH66" s="104"/>
      <c r="HI66" s="104"/>
      <c r="HJ66" s="104"/>
      <c r="HK66" s="104"/>
      <c r="HL66" s="104"/>
      <c r="HM66" s="104"/>
      <c r="HN66" s="104"/>
      <c r="HO66" s="104"/>
      <c r="HP66" s="104"/>
      <c r="HQ66" s="104"/>
      <c r="HR66" s="104"/>
      <c r="HS66" s="104"/>
      <c r="HT66" s="104"/>
      <c r="HU66" s="104"/>
      <c r="HV66" s="104"/>
      <c r="HW66" s="104"/>
      <c r="HX66" s="104"/>
      <c r="HY66" s="104"/>
      <c r="HZ66" s="104"/>
      <c r="IA66" s="104"/>
      <c r="IB66" s="104"/>
      <c r="IC66" s="104"/>
      <c r="ID66" s="104"/>
      <c r="IE66" s="104"/>
      <c r="IF66" s="104"/>
      <c r="IG66" s="104"/>
      <c r="IH66" s="104"/>
      <c r="II66" s="104"/>
      <c r="IJ66" s="104"/>
      <c r="IK66" s="104"/>
      <c r="IL66" s="104"/>
      <c r="IM66" s="104"/>
      <c r="IN66" s="104"/>
      <c r="IO66" s="104"/>
      <c r="IP66" s="104"/>
      <c r="IQ66" s="104"/>
      <c r="IR66" s="104"/>
      <c r="IS66" s="104"/>
      <c r="IT66" s="104"/>
      <c r="IU66" s="104"/>
      <c r="IV66" s="104"/>
      <c r="IW66" s="104"/>
      <c r="IX66" s="104"/>
      <c r="IY66" s="104"/>
      <c r="IZ66" s="104"/>
      <c r="JA66" s="104"/>
      <c r="JB66" s="104"/>
      <c r="JC66" s="104"/>
      <c r="JD66" s="104"/>
      <c r="JE66" s="104"/>
      <c r="JF66" s="104"/>
      <c r="JG66" s="104"/>
      <c r="JH66" s="104"/>
      <c r="JI66" s="104"/>
      <c r="JJ66" s="104"/>
      <c r="JK66" s="104"/>
      <c r="JL66" s="104"/>
      <c r="JM66" s="104"/>
      <c r="JN66" s="104"/>
      <c r="JO66" s="104"/>
      <c r="JP66" s="104"/>
      <c r="JQ66" s="104"/>
      <c r="JR66" s="104"/>
      <c r="JS66" s="104"/>
      <c r="JT66" s="104"/>
      <c r="JU66" s="104"/>
      <c r="JV66" s="104"/>
      <c r="JW66" s="104"/>
      <c r="JX66" s="104"/>
      <c r="JY66" s="104"/>
      <c r="JZ66" s="104"/>
      <c r="KA66" s="104"/>
      <c r="KB66" s="104"/>
      <c r="KC66" s="104"/>
      <c r="KD66" s="104"/>
      <c r="KE66" s="104"/>
      <c r="KF66" s="104"/>
      <c r="KG66" s="104"/>
      <c r="KH66" s="104"/>
      <c r="KI66" s="104"/>
      <c r="KJ66" s="104"/>
      <c r="KK66" s="104"/>
      <c r="KL66" s="104"/>
      <c r="KM66" s="104"/>
      <c r="KN66" s="104"/>
      <c r="KO66" s="104"/>
      <c r="KP66" s="104"/>
      <c r="KQ66" s="104"/>
      <c r="KR66" s="104"/>
      <c r="KS66" s="104"/>
      <c r="KT66" s="104"/>
      <c r="KU66" s="104"/>
      <c r="KV66" s="104"/>
      <c r="KW66" s="104"/>
      <c r="KX66" s="104"/>
      <c r="KY66" s="104"/>
      <c r="KZ66" s="104"/>
      <c r="LA66" s="104"/>
      <c r="LB66" s="104"/>
      <c r="LC66" s="104"/>
      <c r="LD66" s="104"/>
      <c r="LE66" s="104"/>
      <c r="LF66" s="104"/>
      <c r="LG66" s="104"/>
      <c r="LH66" s="104"/>
      <c r="LI66" s="104"/>
      <c r="LJ66" s="104"/>
      <c r="LK66" s="104"/>
      <c r="LL66" s="104"/>
      <c r="LM66" s="104"/>
      <c r="LN66" s="104"/>
      <c r="LO66" s="104"/>
      <c r="LP66" s="104"/>
      <c r="LQ66" s="104"/>
      <c r="LR66" s="104"/>
      <c r="LS66" s="104"/>
      <c r="LT66" s="104"/>
      <c r="LU66" s="104"/>
      <c r="LV66" s="104"/>
      <c r="LW66" s="104"/>
      <c r="LX66" s="104"/>
      <c r="LY66" s="104"/>
      <c r="LZ66" s="104"/>
      <c r="MA66" s="104"/>
      <c r="MB66" s="104"/>
      <c r="MC66" s="104"/>
      <c r="MD66" s="104"/>
      <c r="ME66" s="104"/>
      <c r="MF66" s="104"/>
      <c r="MG66" s="104"/>
      <c r="MH66" s="104"/>
      <c r="MI66" s="104"/>
      <c r="MJ66" s="104"/>
      <c r="MK66" s="104"/>
      <c r="ML66" s="104"/>
      <c r="MM66" s="104"/>
      <c r="MN66" s="104"/>
      <c r="MO66" s="104"/>
      <c r="MP66" s="104"/>
      <c r="MQ66" s="104"/>
      <c r="MR66" s="104"/>
      <c r="MS66" s="104"/>
      <c r="MT66" s="104"/>
      <c r="MU66" s="104"/>
      <c r="MV66" s="104"/>
      <c r="MW66" s="104"/>
      <c r="MX66" s="104"/>
      <c r="MY66" s="104"/>
      <c r="MZ66" s="104"/>
      <c r="NA66" s="104"/>
      <c r="NB66" s="104"/>
      <c r="NC66" s="104"/>
      <c r="ND66" s="104"/>
      <c r="NE66" s="104"/>
      <c r="NF66" s="104"/>
      <c r="NG66" s="104"/>
      <c r="NH66" s="104"/>
      <c r="NI66" s="104"/>
      <c r="NJ66" s="104"/>
      <c r="NK66" s="104"/>
      <c r="NL66" s="104"/>
      <c r="NM66" s="104"/>
      <c r="NN66" s="104"/>
      <c r="NO66" s="104"/>
      <c r="NP66" s="104"/>
      <c r="NQ66" s="104"/>
      <c r="NR66" s="104"/>
      <c r="NS66" s="104"/>
      <c r="NT66" s="104"/>
      <c r="NU66" s="104"/>
      <c r="NV66" s="104"/>
      <c r="NW66" s="104"/>
      <c r="NX66" s="104"/>
      <c r="NY66" s="104"/>
      <c r="NZ66" s="104"/>
    </row>
    <row r="67" spans="1:390" ht="15.75" customHeight="1" x14ac:dyDescent="0.3">
      <c r="A67" s="214">
        <v>4861679869</v>
      </c>
      <c r="B67" s="165" t="s">
        <v>391</v>
      </c>
      <c r="C67" s="138"/>
      <c r="D67" s="216" t="s">
        <v>391</v>
      </c>
      <c r="E67" s="136" t="s">
        <v>695</v>
      </c>
      <c r="F67" s="125" t="s">
        <v>417</v>
      </c>
      <c r="G67" s="221" t="s">
        <v>426</v>
      </c>
      <c r="H67" s="219">
        <v>43550</v>
      </c>
      <c r="I67" s="216" t="s">
        <v>458</v>
      </c>
      <c r="J67" s="153" t="s">
        <v>397</v>
      </c>
      <c r="K67" s="153" t="s">
        <v>398</v>
      </c>
      <c r="L67" s="153" t="s">
        <v>398</v>
      </c>
      <c r="M67" s="164" t="s">
        <v>398</v>
      </c>
      <c r="N67" s="164" t="s">
        <v>398</v>
      </c>
      <c r="O67" s="164" t="s">
        <v>398</v>
      </c>
      <c r="P67" s="164" t="s">
        <v>398</v>
      </c>
      <c r="Q67" s="164" t="s">
        <v>398</v>
      </c>
      <c r="R67" s="164" t="s">
        <v>398</v>
      </c>
      <c r="S67" s="164" t="s">
        <v>398</v>
      </c>
      <c r="T67" s="164" t="s">
        <v>398</v>
      </c>
      <c r="U67" s="164" t="s">
        <v>398</v>
      </c>
      <c r="V67" s="164" t="s">
        <v>398</v>
      </c>
      <c r="W67" s="164" t="s">
        <v>398</v>
      </c>
      <c r="X67" s="164" t="s">
        <v>398</v>
      </c>
      <c r="Y67" s="164" t="s">
        <v>398</v>
      </c>
      <c r="Z67" s="164" t="s">
        <v>398</v>
      </c>
      <c r="AA67" s="164" t="s">
        <v>398</v>
      </c>
      <c r="AB67" s="167" t="s">
        <v>399</v>
      </c>
      <c r="AC67" s="219">
        <v>21741</v>
      </c>
      <c r="AD67" s="106"/>
      <c r="AE67" s="108" t="e">
        <f t="shared" si="0"/>
        <v>#NUM!</v>
      </c>
      <c r="AF67" s="104" t="s">
        <v>696</v>
      </c>
      <c r="AG67" s="79" t="s">
        <v>401</v>
      </c>
      <c r="AH67" s="104" t="s">
        <v>402</v>
      </c>
      <c r="AI67" s="110"/>
      <c r="AJ67" s="110"/>
      <c r="AK67" s="110"/>
      <c r="AL67" s="110"/>
      <c r="AM67" s="105"/>
      <c r="AN67" s="95">
        <v>2</v>
      </c>
      <c r="AO67" s="173" t="s">
        <v>398</v>
      </c>
      <c r="AP67" s="104"/>
      <c r="AQ67" s="104"/>
      <c r="AR67" s="104"/>
      <c r="AS67" s="104"/>
      <c r="AT67" s="104"/>
      <c r="AU67" s="104"/>
      <c r="AV67" s="104"/>
      <c r="AW67" s="104"/>
      <c r="AX67" s="104"/>
      <c r="AY67" s="104"/>
      <c r="AZ67" s="104"/>
      <c r="BA67" s="104"/>
      <c r="BB67" s="104"/>
      <c r="BC67" s="104"/>
      <c r="BD67" s="104"/>
      <c r="BE67" s="104"/>
      <c r="BF67" s="104"/>
      <c r="BG67" s="104"/>
      <c r="BH67" s="104"/>
      <c r="BI67" s="104"/>
      <c r="BJ67" s="104"/>
      <c r="BK67" s="104"/>
      <c r="BL67" s="104"/>
      <c r="BM67" s="104"/>
      <c r="BN67" s="104"/>
      <c r="BO67" s="104"/>
      <c r="BP67" s="104"/>
      <c r="BQ67" s="104"/>
      <c r="BR67" s="104"/>
      <c r="BS67" s="104"/>
      <c r="BT67" s="104"/>
      <c r="BU67" s="104"/>
      <c r="BV67" s="104"/>
      <c r="BW67" s="104"/>
      <c r="BX67" s="104"/>
      <c r="BY67" s="104"/>
      <c r="BZ67" s="104"/>
      <c r="CA67" s="104"/>
      <c r="CB67" s="104"/>
      <c r="CC67" s="104"/>
      <c r="CD67" s="104"/>
      <c r="CE67" s="104"/>
      <c r="CF67" s="104"/>
      <c r="CG67" s="104"/>
      <c r="CH67" s="104"/>
      <c r="CI67" s="104"/>
      <c r="CJ67" s="104"/>
      <c r="CK67" s="104"/>
      <c r="CL67" s="104"/>
      <c r="CM67" s="104"/>
      <c r="CN67" s="104"/>
      <c r="CO67" s="104"/>
      <c r="CP67" s="104"/>
      <c r="CQ67" s="104"/>
      <c r="CR67" s="104"/>
      <c r="CS67" s="104"/>
      <c r="CT67" s="104"/>
      <c r="CU67" s="104"/>
      <c r="CV67" s="104"/>
      <c r="CW67" s="104"/>
      <c r="CX67" s="104"/>
      <c r="CY67" s="104"/>
      <c r="CZ67" s="104"/>
      <c r="DA67" s="104"/>
      <c r="DB67" s="104"/>
      <c r="DC67" s="104"/>
      <c r="DD67" s="104"/>
      <c r="DE67" s="104"/>
      <c r="DF67" s="104"/>
      <c r="DG67" s="104"/>
      <c r="DH67" s="104"/>
      <c r="DI67" s="104"/>
      <c r="DJ67" s="104"/>
      <c r="DK67" s="104"/>
      <c r="DL67" s="104"/>
      <c r="DM67" s="104"/>
      <c r="DN67" s="104"/>
      <c r="DO67" s="104"/>
      <c r="DP67" s="104"/>
      <c r="DQ67" s="104"/>
      <c r="DR67" s="104"/>
      <c r="DS67" s="104"/>
      <c r="DT67" s="104"/>
      <c r="DU67" s="104"/>
      <c r="DV67" s="104"/>
      <c r="DW67" s="104"/>
      <c r="DX67" s="104"/>
      <c r="DY67" s="104"/>
      <c r="DZ67" s="104"/>
      <c r="EA67" s="104"/>
      <c r="EB67" s="104"/>
      <c r="EC67" s="104"/>
      <c r="ED67" s="104"/>
      <c r="EE67" s="104"/>
      <c r="EF67" s="104"/>
      <c r="EG67" s="104"/>
      <c r="EH67" s="104"/>
      <c r="EI67" s="104"/>
      <c r="EJ67" s="104"/>
      <c r="EK67" s="104"/>
      <c r="EL67" s="104"/>
      <c r="EM67" s="104"/>
      <c r="EN67" s="104"/>
      <c r="EO67" s="104"/>
      <c r="EP67" s="104"/>
      <c r="EQ67" s="104"/>
      <c r="ER67" s="104"/>
      <c r="ES67" s="104"/>
      <c r="ET67" s="104"/>
      <c r="EU67" s="104"/>
      <c r="EV67" s="104"/>
      <c r="EW67" s="104"/>
      <c r="EX67" s="104"/>
      <c r="EY67" s="104"/>
      <c r="EZ67" s="104"/>
      <c r="FA67" s="104"/>
      <c r="FB67" s="104"/>
      <c r="FC67" s="104"/>
      <c r="FD67" s="104"/>
      <c r="FE67" s="104"/>
      <c r="FF67" s="104"/>
      <c r="FG67" s="104"/>
      <c r="FH67" s="104"/>
      <c r="FI67" s="104"/>
      <c r="FJ67" s="104"/>
      <c r="FK67" s="104"/>
      <c r="FL67" s="104"/>
      <c r="FM67" s="104"/>
      <c r="FN67" s="104"/>
      <c r="FO67" s="104"/>
      <c r="FP67" s="104"/>
      <c r="FQ67" s="104"/>
      <c r="FR67" s="104"/>
      <c r="FS67" s="104"/>
      <c r="FT67" s="104"/>
      <c r="FU67" s="104"/>
      <c r="FV67" s="104"/>
      <c r="FW67" s="104"/>
      <c r="FX67" s="104"/>
      <c r="FY67" s="104"/>
      <c r="FZ67" s="104"/>
      <c r="GA67" s="104"/>
      <c r="GB67" s="104"/>
      <c r="GC67" s="104"/>
      <c r="GD67" s="104"/>
      <c r="GE67" s="104"/>
      <c r="GF67" s="104"/>
      <c r="GG67" s="104"/>
      <c r="GH67" s="104"/>
      <c r="GI67" s="104"/>
      <c r="GJ67" s="104"/>
      <c r="GK67" s="104"/>
      <c r="GL67" s="104"/>
      <c r="GM67" s="104"/>
      <c r="GN67" s="104"/>
      <c r="GO67" s="104"/>
      <c r="GP67" s="104"/>
      <c r="GQ67" s="104"/>
      <c r="GR67" s="104"/>
      <c r="GS67" s="104"/>
      <c r="GT67" s="104"/>
      <c r="GU67" s="104"/>
      <c r="GV67" s="104"/>
      <c r="GW67" s="104"/>
      <c r="GX67" s="104"/>
      <c r="GY67" s="104"/>
      <c r="GZ67" s="104"/>
      <c r="HA67" s="104"/>
      <c r="HB67" s="104"/>
      <c r="HC67" s="104"/>
      <c r="HD67" s="104"/>
      <c r="HE67" s="104"/>
      <c r="HF67" s="104"/>
      <c r="HG67" s="104"/>
      <c r="HH67" s="104"/>
      <c r="HI67" s="104"/>
      <c r="HJ67" s="104"/>
      <c r="HK67" s="104"/>
      <c r="HL67" s="104"/>
      <c r="HM67" s="104"/>
      <c r="HN67" s="104"/>
      <c r="HO67" s="104"/>
      <c r="HP67" s="104"/>
      <c r="HQ67" s="104"/>
      <c r="HR67" s="104"/>
      <c r="HS67" s="104"/>
      <c r="HT67" s="104"/>
      <c r="HU67" s="104"/>
      <c r="HV67" s="104"/>
      <c r="HW67" s="104"/>
      <c r="HX67" s="104"/>
      <c r="HY67" s="104"/>
      <c r="HZ67" s="104"/>
      <c r="IA67" s="104"/>
      <c r="IB67" s="104"/>
      <c r="IC67" s="104"/>
      <c r="ID67" s="104"/>
      <c r="IE67" s="104"/>
      <c r="IF67" s="104"/>
      <c r="IG67" s="104"/>
      <c r="IH67" s="104"/>
      <c r="II67" s="104"/>
      <c r="IJ67" s="104"/>
      <c r="IK67" s="104"/>
      <c r="IL67" s="104"/>
      <c r="IM67" s="104"/>
      <c r="IN67" s="104"/>
      <c r="IO67" s="104"/>
      <c r="IP67" s="104"/>
      <c r="IQ67" s="104"/>
      <c r="IR67" s="104"/>
      <c r="IS67" s="104"/>
      <c r="IT67" s="104"/>
      <c r="IU67" s="104"/>
      <c r="IV67" s="104"/>
      <c r="IW67" s="104"/>
      <c r="IX67" s="104"/>
      <c r="IY67" s="104"/>
      <c r="IZ67" s="104"/>
      <c r="JA67" s="104"/>
      <c r="JB67" s="104"/>
      <c r="JC67" s="104"/>
      <c r="JD67" s="104"/>
      <c r="JE67" s="104"/>
      <c r="JF67" s="104"/>
      <c r="JG67" s="104"/>
      <c r="JH67" s="104"/>
      <c r="JI67" s="104"/>
      <c r="JJ67" s="104"/>
      <c r="JK67" s="104"/>
      <c r="JL67" s="104"/>
      <c r="JM67" s="104"/>
      <c r="JN67" s="104"/>
      <c r="JO67" s="104"/>
      <c r="JP67" s="104"/>
      <c r="JQ67" s="104"/>
      <c r="JR67" s="104"/>
      <c r="JS67" s="104"/>
      <c r="JT67" s="104"/>
      <c r="JU67" s="104"/>
      <c r="JV67" s="104"/>
      <c r="JW67" s="104"/>
      <c r="JX67" s="104"/>
      <c r="JY67" s="104"/>
      <c r="JZ67" s="104"/>
      <c r="KA67" s="104"/>
      <c r="KB67" s="104"/>
      <c r="KC67" s="104"/>
      <c r="KD67" s="104"/>
      <c r="KE67" s="104"/>
      <c r="KF67" s="104"/>
      <c r="KG67" s="104"/>
      <c r="KH67" s="104"/>
      <c r="KI67" s="104"/>
      <c r="KJ67" s="104"/>
      <c r="KK67" s="104"/>
      <c r="KL67" s="104"/>
      <c r="KM67" s="104"/>
      <c r="KN67" s="104"/>
      <c r="KO67" s="104"/>
      <c r="KP67" s="104"/>
      <c r="KQ67" s="104"/>
      <c r="KR67" s="104"/>
      <c r="KS67" s="104"/>
      <c r="KT67" s="104"/>
      <c r="KU67" s="104"/>
      <c r="KV67" s="104"/>
      <c r="KW67" s="104"/>
      <c r="KX67" s="104"/>
      <c r="KY67" s="104"/>
      <c r="KZ67" s="104"/>
      <c r="LA67" s="104"/>
      <c r="LB67" s="104"/>
      <c r="LC67" s="104"/>
      <c r="LD67" s="104"/>
      <c r="LE67" s="104"/>
      <c r="LF67" s="104"/>
      <c r="LG67" s="104"/>
      <c r="LH67" s="104"/>
      <c r="LI67" s="104"/>
      <c r="LJ67" s="104"/>
      <c r="LK67" s="104"/>
      <c r="LL67" s="104"/>
      <c r="LM67" s="104"/>
      <c r="LN67" s="104"/>
      <c r="LO67" s="104"/>
      <c r="LP67" s="104"/>
      <c r="LQ67" s="104"/>
      <c r="LR67" s="104"/>
      <c r="LS67" s="104"/>
      <c r="LT67" s="104"/>
      <c r="LU67" s="104"/>
      <c r="LV67" s="104"/>
      <c r="LW67" s="104"/>
      <c r="LX67" s="104"/>
      <c r="LY67" s="104"/>
      <c r="LZ67" s="104"/>
      <c r="MA67" s="104"/>
      <c r="MB67" s="104"/>
      <c r="MC67" s="104"/>
      <c r="MD67" s="104"/>
      <c r="ME67" s="104"/>
      <c r="MF67" s="104"/>
      <c r="MG67" s="104"/>
      <c r="MH67" s="104"/>
      <c r="MI67" s="104"/>
      <c r="MJ67" s="104"/>
      <c r="MK67" s="104"/>
      <c r="ML67" s="104"/>
      <c r="MM67" s="104"/>
      <c r="MN67" s="104"/>
      <c r="MO67" s="104"/>
      <c r="MP67" s="104"/>
      <c r="MQ67" s="104"/>
      <c r="MR67" s="104"/>
      <c r="MS67" s="104"/>
      <c r="MT67" s="104"/>
      <c r="MU67" s="104"/>
      <c r="MV67" s="104"/>
      <c r="MW67" s="104"/>
      <c r="MX67" s="104"/>
      <c r="MY67" s="104"/>
      <c r="MZ67" s="104"/>
      <c r="NA67" s="104"/>
      <c r="NB67" s="104"/>
      <c r="NC67" s="104"/>
      <c r="ND67" s="104"/>
      <c r="NE67" s="104"/>
      <c r="NF67" s="104"/>
      <c r="NG67" s="104"/>
      <c r="NH67" s="104"/>
      <c r="NI67" s="104"/>
      <c r="NJ67" s="104"/>
      <c r="NK67" s="104"/>
      <c r="NL67" s="104"/>
      <c r="NM67" s="104"/>
      <c r="NN67" s="104"/>
      <c r="NO67" s="104"/>
      <c r="NP67" s="104"/>
      <c r="NQ67" s="104"/>
      <c r="NR67" s="104"/>
      <c r="NS67" s="104"/>
      <c r="NT67" s="104"/>
      <c r="NU67" s="104"/>
      <c r="NV67" s="104"/>
      <c r="NW67" s="104"/>
      <c r="NX67" s="104"/>
      <c r="NY67" s="104"/>
      <c r="NZ67" s="104"/>
    </row>
    <row r="68" spans="1:390" ht="15.75" customHeight="1" x14ac:dyDescent="0.3">
      <c r="A68" s="214">
        <v>4360860552</v>
      </c>
      <c r="B68" s="165" t="s">
        <v>391</v>
      </c>
      <c r="C68" s="138"/>
      <c r="D68" s="216" t="s">
        <v>391</v>
      </c>
      <c r="E68" s="136" t="s">
        <v>697</v>
      </c>
      <c r="F68" s="125" t="s">
        <v>408</v>
      </c>
      <c r="G68" s="221" t="s">
        <v>426</v>
      </c>
      <c r="H68" s="219">
        <v>43567</v>
      </c>
      <c r="I68" s="216" t="s">
        <v>458</v>
      </c>
      <c r="J68" s="153" t="s">
        <v>397</v>
      </c>
      <c r="K68" s="153" t="s">
        <v>398</v>
      </c>
      <c r="L68" s="153" t="s">
        <v>398</v>
      </c>
      <c r="M68" s="164" t="s">
        <v>398</v>
      </c>
      <c r="N68" s="164" t="s">
        <v>398</v>
      </c>
      <c r="O68" s="164" t="s">
        <v>398</v>
      </c>
      <c r="P68" s="164" t="s">
        <v>398</v>
      </c>
      <c r="Q68" s="164" t="s">
        <v>398</v>
      </c>
      <c r="R68" s="164" t="s">
        <v>398</v>
      </c>
      <c r="S68" s="164" t="s">
        <v>398</v>
      </c>
      <c r="T68" s="164" t="s">
        <v>398</v>
      </c>
      <c r="U68" s="164" t="s">
        <v>398</v>
      </c>
      <c r="V68" s="164" t="s">
        <v>398</v>
      </c>
      <c r="W68" s="164" t="s">
        <v>398</v>
      </c>
      <c r="X68" s="164" t="s">
        <v>398</v>
      </c>
      <c r="Y68" s="164" t="s">
        <v>398</v>
      </c>
      <c r="Z68" s="164" t="s">
        <v>398</v>
      </c>
      <c r="AA68" s="164" t="s">
        <v>398</v>
      </c>
      <c r="AB68" s="167" t="s">
        <v>399</v>
      </c>
      <c r="AC68" s="219">
        <v>13537</v>
      </c>
      <c r="AD68" s="106"/>
      <c r="AE68" s="108" t="e">
        <f t="shared" si="0"/>
        <v>#NUM!</v>
      </c>
      <c r="AF68" s="104" t="s">
        <v>685</v>
      </c>
      <c r="AG68" s="79" t="s">
        <v>401</v>
      </c>
      <c r="AH68" s="104" t="s">
        <v>402</v>
      </c>
      <c r="AI68" s="110"/>
      <c r="AJ68" s="110"/>
      <c r="AK68" s="110"/>
      <c r="AL68" s="110"/>
      <c r="AM68" s="105"/>
      <c r="AN68" s="95">
        <v>3</v>
      </c>
      <c r="AO68" s="173" t="s">
        <v>398</v>
      </c>
      <c r="AP68" s="104"/>
      <c r="AQ68" s="104"/>
      <c r="AR68" s="104"/>
      <c r="AS68" s="104"/>
      <c r="AT68" s="104"/>
      <c r="AU68" s="104"/>
      <c r="AV68" s="104"/>
      <c r="AW68" s="104"/>
      <c r="AX68" s="104"/>
      <c r="AY68" s="104"/>
      <c r="AZ68" s="104"/>
      <c r="BA68" s="104"/>
      <c r="BB68" s="104"/>
      <c r="BC68" s="104"/>
      <c r="BD68" s="104"/>
      <c r="BE68" s="104"/>
      <c r="BF68" s="104"/>
      <c r="BG68" s="104"/>
      <c r="BH68" s="104"/>
      <c r="BI68" s="104"/>
      <c r="BJ68" s="104"/>
      <c r="BK68" s="104"/>
      <c r="BL68" s="104"/>
      <c r="BM68" s="104"/>
      <c r="BN68" s="104"/>
      <c r="BO68" s="104"/>
      <c r="BP68" s="104"/>
      <c r="BQ68" s="104"/>
      <c r="BR68" s="104"/>
      <c r="BS68" s="104"/>
      <c r="BT68" s="104"/>
      <c r="BU68" s="104"/>
      <c r="BV68" s="104"/>
      <c r="BW68" s="104"/>
      <c r="BX68" s="104"/>
      <c r="BY68" s="104"/>
      <c r="BZ68" s="104"/>
      <c r="CA68" s="104"/>
      <c r="CB68" s="104"/>
      <c r="CC68" s="104"/>
      <c r="CD68" s="104"/>
      <c r="CE68" s="104"/>
      <c r="CF68" s="104"/>
      <c r="CG68" s="104"/>
      <c r="CH68" s="104"/>
      <c r="CI68" s="104"/>
      <c r="CJ68" s="104"/>
      <c r="CK68" s="104"/>
      <c r="CL68" s="104"/>
      <c r="CM68" s="104"/>
      <c r="CN68" s="104"/>
      <c r="CO68" s="104"/>
      <c r="CP68" s="104"/>
      <c r="CQ68" s="104"/>
      <c r="CR68" s="104"/>
      <c r="CS68" s="104"/>
      <c r="CT68" s="104"/>
      <c r="CU68" s="104"/>
      <c r="CV68" s="104"/>
      <c r="CW68" s="104"/>
      <c r="CX68" s="104"/>
      <c r="CY68" s="104"/>
      <c r="CZ68" s="104"/>
      <c r="DA68" s="104"/>
      <c r="DB68" s="104"/>
      <c r="DC68" s="104"/>
      <c r="DD68" s="104"/>
      <c r="DE68" s="104"/>
      <c r="DF68" s="104"/>
      <c r="DG68" s="104"/>
      <c r="DH68" s="104"/>
      <c r="DI68" s="104"/>
      <c r="DJ68" s="104"/>
      <c r="DK68" s="104"/>
      <c r="DL68" s="104"/>
      <c r="DM68" s="104"/>
      <c r="DN68" s="104"/>
      <c r="DO68" s="104"/>
      <c r="DP68" s="104"/>
      <c r="DQ68" s="104"/>
      <c r="DR68" s="104"/>
      <c r="DS68" s="104"/>
      <c r="DT68" s="104"/>
      <c r="DU68" s="104"/>
      <c r="DV68" s="104"/>
      <c r="DW68" s="104"/>
      <c r="DX68" s="104"/>
      <c r="DY68" s="104"/>
      <c r="DZ68" s="104"/>
      <c r="EA68" s="104"/>
      <c r="EB68" s="104"/>
      <c r="EC68" s="104"/>
      <c r="ED68" s="104"/>
      <c r="EE68" s="104"/>
      <c r="EF68" s="104"/>
      <c r="EG68" s="104"/>
      <c r="EH68" s="104"/>
      <c r="EI68" s="104"/>
      <c r="EJ68" s="104"/>
      <c r="EK68" s="104"/>
      <c r="EL68" s="104"/>
      <c r="EM68" s="104"/>
      <c r="EN68" s="104"/>
      <c r="EO68" s="104"/>
      <c r="EP68" s="104"/>
      <c r="EQ68" s="104"/>
      <c r="ER68" s="104"/>
      <c r="ES68" s="104"/>
      <c r="ET68" s="104"/>
      <c r="EU68" s="104"/>
      <c r="EV68" s="104"/>
      <c r="EW68" s="104"/>
      <c r="EX68" s="104"/>
      <c r="EY68" s="104"/>
      <c r="EZ68" s="104"/>
      <c r="FA68" s="104"/>
      <c r="FB68" s="104"/>
      <c r="FC68" s="104"/>
      <c r="FD68" s="104"/>
      <c r="FE68" s="104"/>
      <c r="FF68" s="104"/>
      <c r="FG68" s="104"/>
      <c r="FH68" s="104"/>
      <c r="FI68" s="104"/>
      <c r="FJ68" s="104"/>
      <c r="FK68" s="104"/>
      <c r="FL68" s="104"/>
      <c r="FM68" s="104"/>
      <c r="FN68" s="104"/>
      <c r="FO68" s="104"/>
      <c r="FP68" s="104"/>
      <c r="FQ68" s="104"/>
      <c r="FR68" s="104"/>
      <c r="FS68" s="104"/>
      <c r="FT68" s="104"/>
      <c r="FU68" s="104"/>
      <c r="FV68" s="104"/>
      <c r="FW68" s="104"/>
      <c r="FX68" s="104"/>
      <c r="FY68" s="104"/>
      <c r="FZ68" s="104"/>
      <c r="GA68" s="104"/>
      <c r="GB68" s="104"/>
      <c r="GC68" s="104"/>
      <c r="GD68" s="104"/>
      <c r="GE68" s="104"/>
      <c r="GF68" s="104"/>
      <c r="GG68" s="104"/>
      <c r="GH68" s="104"/>
      <c r="GI68" s="104"/>
      <c r="GJ68" s="104"/>
      <c r="GK68" s="104"/>
      <c r="GL68" s="104"/>
      <c r="GM68" s="104"/>
      <c r="GN68" s="104"/>
      <c r="GO68" s="104"/>
      <c r="GP68" s="104"/>
      <c r="GQ68" s="104"/>
      <c r="GR68" s="104"/>
      <c r="GS68" s="104"/>
      <c r="GT68" s="104"/>
      <c r="GU68" s="104"/>
      <c r="GV68" s="104"/>
      <c r="GW68" s="104"/>
      <c r="GX68" s="104"/>
      <c r="GY68" s="104"/>
      <c r="GZ68" s="104"/>
      <c r="HA68" s="104"/>
      <c r="HB68" s="104"/>
      <c r="HC68" s="104"/>
      <c r="HD68" s="104"/>
      <c r="HE68" s="104"/>
      <c r="HF68" s="104"/>
      <c r="HG68" s="104"/>
      <c r="HH68" s="104"/>
      <c r="HI68" s="104"/>
      <c r="HJ68" s="104"/>
      <c r="HK68" s="104"/>
      <c r="HL68" s="104"/>
      <c r="HM68" s="104"/>
      <c r="HN68" s="104"/>
      <c r="HO68" s="104"/>
      <c r="HP68" s="104"/>
      <c r="HQ68" s="104"/>
      <c r="HR68" s="104"/>
      <c r="HS68" s="104"/>
      <c r="HT68" s="104"/>
      <c r="HU68" s="104"/>
      <c r="HV68" s="104"/>
      <c r="HW68" s="104"/>
      <c r="HX68" s="104"/>
      <c r="HY68" s="104"/>
      <c r="HZ68" s="104"/>
      <c r="IA68" s="104"/>
      <c r="IB68" s="104"/>
      <c r="IC68" s="104"/>
      <c r="ID68" s="104"/>
      <c r="IE68" s="104"/>
      <c r="IF68" s="104"/>
      <c r="IG68" s="104"/>
      <c r="IH68" s="104"/>
      <c r="II68" s="104"/>
      <c r="IJ68" s="104"/>
      <c r="IK68" s="104"/>
      <c r="IL68" s="104"/>
      <c r="IM68" s="104"/>
      <c r="IN68" s="104"/>
      <c r="IO68" s="104"/>
      <c r="IP68" s="104"/>
      <c r="IQ68" s="104"/>
      <c r="IR68" s="104"/>
      <c r="IS68" s="104"/>
      <c r="IT68" s="104"/>
      <c r="IU68" s="104"/>
      <c r="IV68" s="104"/>
      <c r="IW68" s="104"/>
      <c r="IX68" s="104"/>
      <c r="IY68" s="104"/>
      <c r="IZ68" s="104"/>
      <c r="JA68" s="104"/>
      <c r="JB68" s="104"/>
      <c r="JC68" s="104"/>
      <c r="JD68" s="104"/>
      <c r="JE68" s="104"/>
      <c r="JF68" s="104"/>
      <c r="JG68" s="104"/>
      <c r="JH68" s="104"/>
      <c r="JI68" s="104"/>
      <c r="JJ68" s="104"/>
      <c r="JK68" s="104"/>
      <c r="JL68" s="104"/>
      <c r="JM68" s="104"/>
      <c r="JN68" s="104"/>
      <c r="JO68" s="104"/>
      <c r="JP68" s="104"/>
      <c r="JQ68" s="104"/>
      <c r="JR68" s="104"/>
      <c r="JS68" s="104"/>
      <c r="JT68" s="104"/>
      <c r="JU68" s="104"/>
      <c r="JV68" s="104"/>
      <c r="JW68" s="104"/>
      <c r="JX68" s="104"/>
      <c r="JY68" s="104"/>
      <c r="JZ68" s="104"/>
      <c r="KA68" s="104"/>
      <c r="KB68" s="104"/>
      <c r="KC68" s="104"/>
      <c r="KD68" s="104"/>
      <c r="KE68" s="104"/>
      <c r="KF68" s="104"/>
      <c r="KG68" s="104"/>
      <c r="KH68" s="104"/>
      <c r="KI68" s="104"/>
      <c r="KJ68" s="104"/>
      <c r="KK68" s="104"/>
      <c r="KL68" s="104"/>
      <c r="KM68" s="104"/>
      <c r="KN68" s="104"/>
      <c r="KO68" s="104"/>
      <c r="KP68" s="104"/>
      <c r="KQ68" s="104"/>
      <c r="KR68" s="104"/>
      <c r="KS68" s="104"/>
      <c r="KT68" s="104"/>
      <c r="KU68" s="104"/>
      <c r="KV68" s="104"/>
      <c r="KW68" s="104"/>
      <c r="KX68" s="104"/>
      <c r="KY68" s="104"/>
      <c r="KZ68" s="104"/>
      <c r="LA68" s="104"/>
      <c r="LB68" s="104"/>
      <c r="LC68" s="104"/>
      <c r="LD68" s="104"/>
      <c r="LE68" s="104"/>
      <c r="LF68" s="104"/>
      <c r="LG68" s="104"/>
      <c r="LH68" s="104"/>
      <c r="LI68" s="104"/>
      <c r="LJ68" s="104"/>
      <c r="LK68" s="104"/>
      <c r="LL68" s="104"/>
      <c r="LM68" s="104"/>
      <c r="LN68" s="104"/>
      <c r="LO68" s="104"/>
      <c r="LP68" s="104"/>
      <c r="LQ68" s="104"/>
      <c r="LR68" s="104"/>
      <c r="LS68" s="104"/>
      <c r="LT68" s="104"/>
      <c r="LU68" s="104"/>
      <c r="LV68" s="104"/>
      <c r="LW68" s="104"/>
      <c r="LX68" s="104"/>
      <c r="LY68" s="104"/>
      <c r="LZ68" s="104"/>
      <c r="MA68" s="104"/>
      <c r="MB68" s="104"/>
      <c r="MC68" s="104"/>
      <c r="MD68" s="104"/>
      <c r="ME68" s="104"/>
      <c r="MF68" s="104"/>
      <c r="MG68" s="104"/>
      <c r="MH68" s="104"/>
      <c r="MI68" s="104"/>
      <c r="MJ68" s="104"/>
      <c r="MK68" s="104"/>
      <c r="ML68" s="104"/>
      <c r="MM68" s="104"/>
      <c r="MN68" s="104"/>
      <c r="MO68" s="104"/>
      <c r="MP68" s="104"/>
      <c r="MQ68" s="104"/>
      <c r="MR68" s="104"/>
      <c r="MS68" s="104"/>
      <c r="MT68" s="104"/>
      <c r="MU68" s="104"/>
      <c r="MV68" s="104"/>
      <c r="MW68" s="104"/>
      <c r="MX68" s="104"/>
      <c r="MY68" s="104"/>
      <c r="MZ68" s="104"/>
      <c r="NA68" s="104"/>
      <c r="NB68" s="104"/>
      <c r="NC68" s="104"/>
      <c r="ND68" s="104"/>
      <c r="NE68" s="104"/>
      <c r="NF68" s="104"/>
      <c r="NG68" s="104"/>
      <c r="NH68" s="104"/>
      <c r="NI68" s="104"/>
      <c r="NJ68" s="104"/>
      <c r="NK68" s="104"/>
      <c r="NL68" s="104"/>
      <c r="NM68" s="104"/>
      <c r="NN68" s="104"/>
      <c r="NO68" s="104"/>
      <c r="NP68" s="104"/>
      <c r="NQ68" s="104"/>
      <c r="NR68" s="104"/>
      <c r="NS68" s="104"/>
      <c r="NT68" s="104"/>
      <c r="NU68" s="104"/>
      <c r="NV68" s="104"/>
      <c r="NW68" s="104"/>
      <c r="NX68" s="104"/>
      <c r="NY68" s="104"/>
      <c r="NZ68" s="104"/>
    </row>
    <row r="69" spans="1:390" ht="15.75" customHeight="1" x14ac:dyDescent="0.3">
      <c r="A69" s="214">
        <v>4380890899</v>
      </c>
      <c r="B69" s="165" t="s">
        <v>391</v>
      </c>
      <c r="C69" s="138"/>
      <c r="D69" s="216" t="s">
        <v>391</v>
      </c>
      <c r="E69" s="136" t="s">
        <v>698</v>
      </c>
      <c r="F69" s="125" t="s">
        <v>395</v>
      </c>
      <c r="G69" s="221" t="s">
        <v>417</v>
      </c>
      <c r="H69" s="219">
        <v>43572</v>
      </c>
      <c r="I69" s="216" t="s">
        <v>458</v>
      </c>
      <c r="J69" s="153" t="s">
        <v>397</v>
      </c>
      <c r="K69" s="153" t="s">
        <v>398</v>
      </c>
      <c r="L69" s="153" t="s">
        <v>398</v>
      </c>
      <c r="M69" s="164" t="s">
        <v>398</v>
      </c>
      <c r="N69" s="164" t="s">
        <v>398</v>
      </c>
      <c r="O69" s="164" t="s">
        <v>398</v>
      </c>
      <c r="P69" s="164" t="s">
        <v>398</v>
      </c>
      <c r="Q69" s="164" t="s">
        <v>398</v>
      </c>
      <c r="R69" s="164" t="s">
        <v>398</v>
      </c>
      <c r="S69" s="164" t="s">
        <v>398</v>
      </c>
      <c r="T69" s="164" t="s">
        <v>398</v>
      </c>
      <c r="U69" s="164" t="s">
        <v>398</v>
      </c>
      <c r="V69" s="164" t="s">
        <v>398</v>
      </c>
      <c r="W69" s="164" t="s">
        <v>398</v>
      </c>
      <c r="X69" s="164" t="s">
        <v>398</v>
      </c>
      <c r="Y69" s="164" t="s">
        <v>398</v>
      </c>
      <c r="Z69" s="164" t="s">
        <v>398</v>
      </c>
      <c r="AA69" s="164" t="s">
        <v>398</v>
      </c>
      <c r="AB69" s="167" t="s">
        <v>399</v>
      </c>
      <c r="AC69" s="219">
        <v>15839</v>
      </c>
      <c r="AD69" s="106"/>
      <c r="AE69" s="108" t="e">
        <f t="shared" ref="AE69:AE92" si="1">DATEDIF(AC69, AD69,"Y")</f>
        <v>#NUM!</v>
      </c>
      <c r="AF69" s="104" t="s">
        <v>699</v>
      </c>
      <c r="AG69" s="79" t="s">
        <v>401</v>
      </c>
      <c r="AH69" s="104" t="s">
        <v>402</v>
      </c>
      <c r="AI69" s="110"/>
      <c r="AJ69" s="110"/>
      <c r="AK69" s="110"/>
      <c r="AL69" s="110"/>
      <c r="AM69" s="105"/>
      <c r="AN69" s="95">
        <v>3</v>
      </c>
      <c r="AO69" s="173" t="s">
        <v>398</v>
      </c>
      <c r="AP69" s="104"/>
      <c r="AQ69" s="104"/>
      <c r="AR69" s="104"/>
      <c r="AS69" s="104"/>
      <c r="AT69" s="104"/>
      <c r="AU69" s="104"/>
      <c r="AV69" s="104"/>
      <c r="AW69" s="104"/>
      <c r="AX69" s="104"/>
      <c r="AY69" s="104"/>
      <c r="AZ69" s="104"/>
      <c r="BA69" s="104"/>
      <c r="BB69" s="104"/>
      <c r="BC69" s="104"/>
      <c r="BD69" s="104"/>
      <c r="BE69" s="104"/>
      <c r="BF69" s="104"/>
      <c r="BG69" s="104"/>
      <c r="BH69" s="104"/>
      <c r="BI69" s="104"/>
      <c r="BJ69" s="104"/>
      <c r="BK69" s="104"/>
      <c r="BL69" s="104"/>
      <c r="BM69" s="104"/>
      <c r="BN69" s="104"/>
      <c r="BO69" s="104"/>
      <c r="BP69" s="104"/>
      <c r="BQ69" s="104"/>
      <c r="BR69" s="104"/>
      <c r="BS69" s="104"/>
      <c r="BT69" s="104"/>
      <c r="BU69" s="104"/>
      <c r="BV69" s="104"/>
      <c r="BW69" s="104"/>
      <c r="BX69" s="104"/>
      <c r="BY69" s="104"/>
      <c r="BZ69" s="104"/>
      <c r="CA69" s="104"/>
      <c r="CB69" s="104"/>
      <c r="CC69" s="104"/>
      <c r="CD69" s="104"/>
      <c r="CE69" s="104"/>
      <c r="CF69" s="104"/>
      <c r="CG69" s="104"/>
      <c r="CH69" s="104"/>
      <c r="CI69" s="104"/>
      <c r="CJ69" s="104"/>
      <c r="CK69" s="104"/>
      <c r="CL69" s="104"/>
      <c r="CM69" s="104"/>
      <c r="CN69" s="104"/>
      <c r="CO69" s="104"/>
      <c r="CP69" s="104"/>
      <c r="CQ69" s="104"/>
      <c r="CR69" s="104"/>
      <c r="CS69" s="104"/>
      <c r="CT69" s="104"/>
      <c r="CU69" s="104"/>
      <c r="CV69" s="104"/>
      <c r="CW69" s="104"/>
      <c r="CX69" s="104"/>
      <c r="CY69" s="104"/>
      <c r="CZ69" s="104"/>
      <c r="DA69" s="104"/>
      <c r="DB69" s="104"/>
      <c r="DC69" s="104"/>
      <c r="DD69" s="104"/>
      <c r="DE69" s="104"/>
      <c r="DF69" s="104"/>
      <c r="DG69" s="104"/>
      <c r="DH69" s="104"/>
      <c r="DI69" s="104"/>
      <c r="DJ69" s="104"/>
      <c r="DK69" s="104"/>
      <c r="DL69" s="104"/>
      <c r="DM69" s="104"/>
      <c r="DN69" s="104"/>
      <c r="DO69" s="104"/>
      <c r="DP69" s="104"/>
      <c r="DQ69" s="104"/>
      <c r="DR69" s="104"/>
      <c r="DS69" s="104"/>
      <c r="DT69" s="104"/>
      <c r="DU69" s="104"/>
      <c r="DV69" s="104"/>
      <c r="DW69" s="104"/>
      <c r="DX69" s="104"/>
      <c r="DY69" s="104"/>
      <c r="DZ69" s="104"/>
      <c r="EA69" s="104"/>
      <c r="EB69" s="104"/>
      <c r="EC69" s="104"/>
      <c r="ED69" s="104"/>
      <c r="EE69" s="104"/>
      <c r="EF69" s="104"/>
      <c r="EG69" s="104"/>
      <c r="EH69" s="104"/>
      <c r="EI69" s="104"/>
      <c r="EJ69" s="104"/>
      <c r="EK69" s="104"/>
      <c r="EL69" s="104"/>
      <c r="EM69" s="104"/>
      <c r="EN69" s="104"/>
      <c r="EO69" s="104"/>
      <c r="EP69" s="104"/>
      <c r="EQ69" s="104"/>
      <c r="ER69" s="104"/>
      <c r="ES69" s="104"/>
      <c r="ET69" s="104"/>
      <c r="EU69" s="104"/>
      <c r="EV69" s="104"/>
      <c r="EW69" s="104"/>
      <c r="EX69" s="104"/>
      <c r="EY69" s="104"/>
      <c r="EZ69" s="104"/>
      <c r="FA69" s="104"/>
      <c r="FB69" s="104"/>
      <c r="FC69" s="104"/>
      <c r="FD69" s="104"/>
      <c r="FE69" s="104"/>
      <c r="FF69" s="104"/>
      <c r="FG69" s="104"/>
      <c r="FH69" s="104"/>
      <c r="FI69" s="104"/>
      <c r="FJ69" s="104"/>
      <c r="FK69" s="104"/>
      <c r="FL69" s="104"/>
      <c r="FM69" s="104"/>
      <c r="FN69" s="104"/>
      <c r="FO69" s="104"/>
      <c r="FP69" s="104"/>
      <c r="FQ69" s="104"/>
      <c r="FR69" s="104"/>
      <c r="FS69" s="104"/>
      <c r="FT69" s="104"/>
      <c r="FU69" s="104"/>
      <c r="FV69" s="104"/>
      <c r="FW69" s="104"/>
      <c r="FX69" s="104"/>
      <c r="FY69" s="104"/>
      <c r="FZ69" s="104"/>
      <c r="GA69" s="104"/>
      <c r="GB69" s="104"/>
      <c r="GC69" s="104"/>
      <c r="GD69" s="104"/>
      <c r="GE69" s="104"/>
      <c r="GF69" s="104"/>
      <c r="GG69" s="104"/>
      <c r="GH69" s="104"/>
      <c r="GI69" s="104"/>
      <c r="GJ69" s="104"/>
      <c r="GK69" s="104"/>
      <c r="GL69" s="104"/>
      <c r="GM69" s="104"/>
      <c r="GN69" s="104"/>
      <c r="GO69" s="104"/>
      <c r="GP69" s="104"/>
      <c r="GQ69" s="104"/>
      <c r="GR69" s="104"/>
      <c r="GS69" s="104"/>
      <c r="GT69" s="104"/>
      <c r="GU69" s="104"/>
      <c r="GV69" s="104"/>
      <c r="GW69" s="104"/>
      <c r="GX69" s="104"/>
      <c r="GY69" s="104"/>
      <c r="GZ69" s="104"/>
      <c r="HA69" s="104"/>
      <c r="HB69" s="104"/>
      <c r="HC69" s="104"/>
      <c r="HD69" s="104"/>
      <c r="HE69" s="104"/>
      <c r="HF69" s="104"/>
      <c r="HG69" s="104"/>
      <c r="HH69" s="104"/>
      <c r="HI69" s="104"/>
      <c r="HJ69" s="104"/>
      <c r="HK69" s="104"/>
      <c r="HL69" s="104"/>
      <c r="HM69" s="104"/>
      <c r="HN69" s="104"/>
      <c r="HO69" s="104"/>
      <c r="HP69" s="104"/>
      <c r="HQ69" s="104"/>
      <c r="HR69" s="104"/>
      <c r="HS69" s="104"/>
      <c r="HT69" s="104"/>
      <c r="HU69" s="104"/>
      <c r="HV69" s="104"/>
      <c r="HW69" s="104"/>
      <c r="HX69" s="104"/>
      <c r="HY69" s="104"/>
      <c r="HZ69" s="104"/>
      <c r="IA69" s="104"/>
      <c r="IB69" s="104"/>
      <c r="IC69" s="104"/>
      <c r="ID69" s="104"/>
      <c r="IE69" s="104"/>
      <c r="IF69" s="104"/>
      <c r="IG69" s="104"/>
      <c r="IH69" s="104"/>
      <c r="II69" s="104"/>
      <c r="IJ69" s="104"/>
      <c r="IK69" s="104"/>
      <c r="IL69" s="104"/>
      <c r="IM69" s="104"/>
      <c r="IN69" s="104"/>
      <c r="IO69" s="104"/>
      <c r="IP69" s="104"/>
      <c r="IQ69" s="104"/>
      <c r="IR69" s="104"/>
      <c r="IS69" s="104"/>
      <c r="IT69" s="104"/>
      <c r="IU69" s="104"/>
      <c r="IV69" s="104"/>
      <c r="IW69" s="104"/>
      <c r="IX69" s="104"/>
      <c r="IY69" s="104"/>
      <c r="IZ69" s="104"/>
      <c r="JA69" s="104"/>
      <c r="JB69" s="104"/>
      <c r="JC69" s="104"/>
      <c r="JD69" s="104"/>
      <c r="JE69" s="104"/>
      <c r="JF69" s="104"/>
      <c r="JG69" s="104"/>
      <c r="JH69" s="104"/>
      <c r="JI69" s="104"/>
      <c r="JJ69" s="104"/>
      <c r="JK69" s="104"/>
      <c r="JL69" s="104"/>
      <c r="JM69" s="104"/>
      <c r="JN69" s="104"/>
      <c r="JO69" s="104"/>
      <c r="JP69" s="104"/>
      <c r="JQ69" s="104"/>
      <c r="JR69" s="104"/>
      <c r="JS69" s="104"/>
      <c r="JT69" s="104"/>
      <c r="JU69" s="104"/>
      <c r="JV69" s="104"/>
      <c r="JW69" s="104"/>
      <c r="JX69" s="104"/>
      <c r="JY69" s="104"/>
      <c r="JZ69" s="104"/>
      <c r="KA69" s="104"/>
      <c r="KB69" s="104"/>
      <c r="KC69" s="104"/>
      <c r="KD69" s="104"/>
      <c r="KE69" s="104"/>
      <c r="KF69" s="104"/>
      <c r="KG69" s="104"/>
      <c r="KH69" s="104"/>
      <c r="KI69" s="104"/>
      <c r="KJ69" s="104"/>
      <c r="KK69" s="104"/>
      <c r="KL69" s="104"/>
      <c r="KM69" s="104"/>
      <c r="KN69" s="104"/>
      <c r="KO69" s="104"/>
      <c r="KP69" s="104"/>
      <c r="KQ69" s="104"/>
      <c r="KR69" s="104"/>
      <c r="KS69" s="104"/>
      <c r="KT69" s="104"/>
      <c r="KU69" s="104"/>
      <c r="KV69" s="104"/>
      <c r="KW69" s="104"/>
      <c r="KX69" s="104"/>
      <c r="KY69" s="104"/>
      <c r="KZ69" s="104"/>
      <c r="LA69" s="104"/>
      <c r="LB69" s="104"/>
      <c r="LC69" s="104"/>
      <c r="LD69" s="104"/>
      <c r="LE69" s="104"/>
      <c r="LF69" s="104"/>
      <c r="LG69" s="104"/>
      <c r="LH69" s="104"/>
      <c r="LI69" s="104"/>
      <c r="LJ69" s="104"/>
      <c r="LK69" s="104"/>
      <c r="LL69" s="104"/>
      <c r="LM69" s="104"/>
      <c r="LN69" s="104"/>
      <c r="LO69" s="104"/>
      <c r="LP69" s="104"/>
      <c r="LQ69" s="104"/>
      <c r="LR69" s="104"/>
      <c r="LS69" s="104"/>
      <c r="LT69" s="104"/>
      <c r="LU69" s="104"/>
      <c r="LV69" s="104"/>
      <c r="LW69" s="104"/>
      <c r="LX69" s="104"/>
      <c r="LY69" s="104"/>
      <c r="LZ69" s="104"/>
      <c r="MA69" s="104"/>
      <c r="MB69" s="104"/>
      <c r="MC69" s="104"/>
      <c r="MD69" s="104"/>
      <c r="ME69" s="104"/>
      <c r="MF69" s="104"/>
      <c r="MG69" s="104"/>
      <c r="MH69" s="104"/>
      <c r="MI69" s="104"/>
      <c r="MJ69" s="104"/>
      <c r="MK69" s="104"/>
      <c r="ML69" s="104"/>
      <c r="MM69" s="104"/>
      <c r="MN69" s="104"/>
      <c r="MO69" s="104"/>
      <c r="MP69" s="104"/>
      <c r="MQ69" s="104"/>
      <c r="MR69" s="104"/>
      <c r="MS69" s="104"/>
      <c r="MT69" s="104"/>
      <c r="MU69" s="104"/>
      <c r="MV69" s="104"/>
      <c r="MW69" s="104"/>
      <c r="MX69" s="104"/>
      <c r="MY69" s="104"/>
      <c r="MZ69" s="104"/>
      <c r="NA69" s="104"/>
      <c r="NB69" s="104"/>
      <c r="NC69" s="104"/>
      <c r="ND69" s="104"/>
      <c r="NE69" s="104"/>
      <c r="NF69" s="104"/>
      <c r="NG69" s="104"/>
      <c r="NH69" s="104"/>
      <c r="NI69" s="104"/>
      <c r="NJ69" s="104"/>
      <c r="NK69" s="104"/>
      <c r="NL69" s="104"/>
      <c r="NM69" s="104"/>
      <c r="NN69" s="104"/>
      <c r="NO69" s="104"/>
      <c r="NP69" s="104"/>
      <c r="NQ69" s="104"/>
      <c r="NR69" s="104"/>
      <c r="NS69" s="104"/>
      <c r="NT69" s="104"/>
      <c r="NU69" s="104"/>
      <c r="NV69" s="104"/>
      <c r="NW69" s="104"/>
      <c r="NX69" s="104"/>
      <c r="NY69" s="104"/>
      <c r="NZ69" s="104"/>
    </row>
    <row r="70" spans="1:390" ht="15.75" customHeight="1" x14ac:dyDescent="0.3">
      <c r="A70" s="214">
        <v>4329275333</v>
      </c>
      <c r="B70" s="165" t="s">
        <v>391</v>
      </c>
      <c r="C70" s="138"/>
      <c r="D70" s="216" t="s">
        <v>391</v>
      </c>
      <c r="E70" s="136" t="s">
        <v>700</v>
      </c>
      <c r="F70" s="125" t="s">
        <v>448</v>
      </c>
      <c r="G70" s="221" t="s">
        <v>471</v>
      </c>
      <c r="H70" s="219">
        <v>43579</v>
      </c>
      <c r="I70" s="216" t="s">
        <v>513</v>
      </c>
      <c r="J70" s="153" t="s">
        <v>397</v>
      </c>
      <c r="K70" s="153" t="s">
        <v>398</v>
      </c>
      <c r="L70" s="153" t="s">
        <v>398</v>
      </c>
      <c r="M70" s="164" t="s">
        <v>398</v>
      </c>
      <c r="N70" s="164" t="s">
        <v>398</v>
      </c>
      <c r="O70" s="164" t="s">
        <v>398</v>
      </c>
      <c r="P70" s="164" t="s">
        <v>398</v>
      </c>
      <c r="Q70" s="164" t="s">
        <v>398</v>
      </c>
      <c r="R70" s="164" t="s">
        <v>398</v>
      </c>
      <c r="S70" s="164" t="s">
        <v>398</v>
      </c>
      <c r="T70" s="164" t="s">
        <v>398</v>
      </c>
      <c r="U70" s="164" t="s">
        <v>398</v>
      </c>
      <c r="V70" s="164" t="s">
        <v>398</v>
      </c>
      <c r="W70" s="164" t="s">
        <v>398</v>
      </c>
      <c r="X70" s="164" t="s">
        <v>398</v>
      </c>
      <c r="Y70" s="164" t="s">
        <v>398</v>
      </c>
      <c r="Z70" s="164" t="s">
        <v>398</v>
      </c>
      <c r="AA70" s="164" t="s">
        <v>398</v>
      </c>
      <c r="AB70" s="167" t="s">
        <v>399</v>
      </c>
      <c r="AC70" s="219">
        <v>13528</v>
      </c>
      <c r="AD70" s="106"/>
      <c r="AE70" s="108" t="e">
        <f t="shared" si="1"/>
        <v>#NUM!</v>
      </c>
      <c r="AF70" s="104" t="s">
        <v>685</v>
      </c>
      <c r="AG70" s="79" t="s">
        <v>401</v>
      </c>
      <c r="AH70" s="104" t="s">
        <v>391</v>
      </c>
      <c r="AI70" s="110"/>
      <c r="AJ70" s="110"/>
      <c r="AK70" s="110"/>
      <c r="AL70" s="110"/>
      <c r="AM70" s="105"/>
      <c r="AN70" s="95">
        <v>3</v>
      </c>
      <c r="AO70" s="173" t="s">
        <v>398</v>
      </c>
      <c r="AP70" s="104"/>
      <c r="AQ70" s="104"/>
      <c r="AR70" s="104"/>
      <c r="AS70" s="104"/>
      <c r="AT70" s="104"/>
      <c r="AU70" s="104"/>
      <c r="AV70" s="104"/>
      <c r="AW70" s="104"/>
      <c r="AX70" s="104"/>
      <c r="AY70" s="104"/>
      <c r="AZ70" s="104"/>
      <c r="BA70" s="104"/>
      <c r="BB70" s="104"/>
      <c r="BC70" s="104"/>
      <c r="BD70" s="104"/>
      <c r="BE70" s="104"/>
      <c r="BF70" s="104"/>
      <c r="BG70" s="104"/>
      <c r="BH70" s="104"/>
      <c r="BI70" s="104"/>
      <c r="BJ70" s="104"/>
      <c r="BK70" s="104"/>
      <c r="BL70" s="104"/>
      <c r="BM70" s="104"/>
      <c r="BN70" s="104"/>
      <c r="BO70" s="104"/>
      <c r="BP70" s="104"/>
      <c r="BQ70" s="104"/>
      <c r="BR70" s="104"/>
      <c r="BS70" s="104"/>
      <c r="BT70" s="104"/>
      <c r="BU70" s="104"/>
      <c r="BV70" s="104"/>
      <c r="BW70" s="104"/>
      <c r="BX70" s="104"/>
      <c r="BY70" s="104"/>
      <c r="BZ70" s="104"/>
      <c r="CA70" s="104"/>
      <c r="CB70" s="104"/>
      <c r="CC70" s="104"/>
      <c r="CD70" s="104"/>
      <c r="CE70" s="104"/>
      <c r="CF70" s="104"/>
      <c r="CG70" s="104"/>
      <c r="CH70" s="104"/>
      <c r="CI70" s="104"/>
      <c r="CJ70" s="104"/>
      <c r="CK70" s="104"/>
      <c r="CL70" s="104"/>
      <c r="CM70" s="104"/>
      <c r="CN70" s="104"/>
      <c r="CO70" s="104"/>
      <c r="CP70" s="104"/>
      <c r="CQ70" s="104"/>
      <c r="CR70" s="104"/>
      <c r="CS70" s="104"/>
      <c r="CT70" s="104"/>
      <c r="CU70" s="104"/>
      <c r="CV70" s="104"/>
      <c r="CW70" s="104"/>
      <c r="CX70" s="104"/>
      <c r="CY70" s="104"/>
      <c r="CZ70" s="104"/>
      <c r="DA70" s="104"/>
      <c r="DB70" s="104"/>
      <c r="DC70" s="104"/>
      <c r="DD70" s="104"/>
      <c r="DE70" s="104"/>
      <c r="DF70" s="104"/>
      <c r="DG70" s="104"/>
      <c r="DH70" s="104"/>
      <c r="DI70" s="104"/>
      <c r="DJ70" s="104"/>
      <c r="DK70" s="104"/>
      <c r="DL70" s="104"/>
      <c r="DM70" s="104"/>
      <c r="DN70" s="104"/>
      <c r="DO70" s="104"/>
      <c r="DP70" s="104"/>
      <c r="DQ70" s="104"/>
      <c r="DR70" s="104"/>
      <c r="DS70" s="104"/>
      <c r="DT70" s="104"/>
      <c r="DU70" s="104"/>
      <c r="DV70" s="104"/>
      <c r="DW70" s="104"/>
      <c r="DX70" s="104"/>
      <c r="DY70" s="104"/>
      <c r="DZ70" s="104"/>
      <c r="EA70" s="104"/>
      <c r="EB70" s="104"/>
      <c r="EC70" s="104"/>
      <c r="ED70" s="104"/>
      <c r="EE70" s="104"/>
      <c r="EF70" s="104"/>
      <c r="EG70" s="104"/>
      <c r="EH70" s="104"/>
      <c r="EI70" s="104"/>
      <c r="EJ70" s="104"/>
      <c r="EK70" s="104"/>
      <c r="EL70" s="104"/>
      <c r="EM70" s="104"/>
      <c r="EN70" s="104"/>
      <c r="EO70" s="104"/>
      <c r="EP70" s="104"/>
      <c r="EQ70" s="104"/>
      <c r="ER70" s="104"/>
      <c r="ES70" s="104"/>
      <c r="ET70" s="104"/>
      <c r="EU70" s="104"/>
      <c r="EV70" s="104"/>
      <c r="EW70" s="104"/>
      <c r="EX70" s="104"/>
      <c r="EY70" s="104"/>
      <c r="EZ70" s="104"/>
      <c r="FA70" s="104"/>
      <c r="FB70" s="104"/>
      <c r="FC70" s="104"/>
      <c r="FD70" s="104"/>
      <c r="FE70" s="104"/>
      <c r="FF70" s="104"/>
      <c r="FG70" s="104"/>
      <c r="FH70" s="104"/>
      <c r="FI70" s="104"/>
      <c r="FJ70" s="104"/>
      <c r="FK70" s="104"/>
      <c r="FL70" s="104"/>
      <c r="FM70" s="104"/>
      <c r="FN70" s="104"/>
      <c r="FO70" s="104"/>
      <c r="FP70" s="104"/>
      <c r="FQ70" s="104"/>
      <c r="FR70" s="104"/>
      <c r="FS70" s="104"/>
      <c r="FT70" s="104"/>
      <c r="FU70" s="104"/>
      <c r="FV70" s="104"/>
      <c r="FW70" s="104"/>
      <c r="FX70" s="104"/>
      <c r="FY70" s="104"/>
      <c r="FZ70" s="104"/>
      <c r="GA70" s="104"/>
      <c r="GB70" s="104"/>
      <c r="GC70" s="104"/>
      <c r="GD70" s="104"/>
      <c r="GE70" s="104"/>
      <c r="GF70" s="104"/>
      <c r="GG70" s="104"/>
      <c r="GH70" s="104"/>
      <c r="GI70" s="104"/>
      <c r="GJ70" s="104"/>
      <c r="GK70" s="104"/>
      <c r="GL70" s="104"/>
      <c r="GM70" s="104"/>
      <c r="GN70" s="104"/>
      <c r="GO70" s="104"/>
      <c r="GP70" s="104"/>
      <c r="GQ70" s="104"/>
      <c r="GR70" s="104"/>
      <c r="GS70" s="104"/>
      <c r="GT70" s="104"/>
      <c r="GU70" s="104"/>
      <c r="GV70" s="104"/>
      <c r="GW70" s="104"/>
      <c r="GX70" s="104"/>
      <c r="GY70" s="104"/>
      <c r="GZ70" s="104"/>
      <c r="HA70" s="104"/>
      <c r="HB70" s="104"/>
      <c r="HC70" s="104"/>
      <c r="HD70" s="104"/>
      <c r="HE70" s="104"/>
      <c r="HF70" s="104"/>
      <c r="HG70" s="104"/>
      <c r="HH70" s="104"/>
      <c r="HI70" s="104"/>
      <c r="HJ70" s="104"/>
      <c r="HK70" s="104"/>
      <c r="HL70" s="104"/>
      <c r="HM70" s="104"/>
      <c r="HN70" s="104"/>
      <c r="HO70" s="104"/>
      <c r="HP70" s="104"/>
      <c r="HQ70" s="104"/>
      <c r="HR70" s="104"/>
      <c r="HS70" s="104"/>
      <c r="HT70" s="104"/>
      <c r="HU70" s="104"/>
      <c r="HV70" s="104"/>
      <c r="HW70" s="104"/>
      <c r="HX70" s="104"/>
      <c r="HY70" s="104"/>
      <c r="HZ70" s="104"/>
      <c r="IA70" s="104"/>
      <c r="IB70" s="104"/>
      <c r="IC70" s="104"/>
      <c r="ID70" s="104"/>
      <c r="IE70" s="104"/>
      <c r="IF70" s="104"/>
      <c r="IG70" s="104"/>
      <c r="IH70" s="104"/>
      <c r="II70" s="104"/>
      <c r="IJ70" s="104"/>
      <c r="IK70" s="104"/>
      <c r="IL70" s="104"/>
      <c r="IM70" s="104"/>
      <c r="IN70" s="104"/>
      <c r="IO70" s="104"/>
      <c r="IP70" s="104"/>
      <c r="IQ70" s="104"/>
      <c r="IR70" s="104"/>
      <c r="IS70" s="104"/>
      <c r="IT70" s="104"/>
      <c r="IU70" s="104"/>
      <c r="IV70" s="104"/>
      <c r="IW70" s="104"/>
      <c r="IX70" s="104"/>
      <c r="IY70" s="104"/>
      <c r="IZ70" s="104"/>
      <c r="JA70" s="104"/>
      <c r="JB70" s="104"/>
      <c r="JC70" s="104"/>
      <c r="JD70" s="104"/>
      <c r="JE70" s="104"/>
      <c r="JF70" s="104"/>
      <c r="JG70" s="104"/>
      <c r="JH70" s="104"/>
      <c r="JI70" s="104"/>
      <c r="JJ70" s="104"/>
      <c r="JK70" s="104"/>
      <c r="JL70" s="104"/>
      <c r="JM70" s="104"/>
      <c r="JN70" s="104"/>
      <c r="JO70" s="104"/>
      <c r="JP70" s="104"/>
      <c r="JQ70" s="104"/>
      <c r="JR70" s="104"/>
      <c r="JS70" s="104"/>
      <c r="JT70" s="104"/>
      <c r="JU70" s="104"/>
      <c r="JV70" s="104"/>
      <c r="JW70" s="104"/>
      <c r="JX70" s="104"/>
      <c r="JY70" s="104"/>
      <c r="JZ70" s="104"/>
      <c r="KA70" s="104"/>
      <c r="KB70" s="104"/>
      <c r="KC70" s="104"/>
      <c r="KD70" s="104"/>
      <c r="KE70" s="104"/>
      <c r="KF70" s="104"/>
      <c r="KG70" s="104"/>
      <c r="KH70" s="104"/>
      <c r="KI70" s="104"/>
      <c r="KJ70" s="104"/>
      <c r="KK70" s="104"/>
      <c r="KL70" s="104"/>
      <c r="KM70" s="104"/>
      <c r="KN70" s="104"/>
      <c r="KO70" s="104"/>
      <c r="KP70" s="104"/>
      <c r="KQ70" s="104"/>
      <c r="KR70" s="104"/>
      <c r="KS70" s="104"/>
      <c r="KT70" s="104"/>
      <c r="KU70" s="104"/>
      <c r="KV70" s="104"/>
      <c r="KW70" s="104"/>
      <c r="KX70" s="104"/>
      <c r="KY70" s="104"/>
      <c r="KZ70" s="104"/>
      <c r="LA70" s="104"/>
      <c r="LB70" s="104"/>
      <c r="LC70" s="104"/>
      <c r="LD70" s="104"/>
      <c r="LE70" s="104"/>
      <c r="LF70" s="104"/>
      <c r="LG70" s="104"/>
      <c r="LH70" s="104"/>
      <c r="LI70" s="104"/>
      <c r="LJ70" s="104"/>
      <c r="LK70" s="104"/>
      <c r="LL70" s="104"/>
      <c r="LM70" s="104"/>
      <c r="LN70" s="104"/>
      <c r="LO70" s="104"/>
      <c r="LP70" s="104"/>
      <c r="LQ70" s="104"/>
      <c r="LR70" s="104"/>
      <c r="LS70" s="104"/>
      <c r="LT70" s="104"/>
      <c r="LU70" s="104"/>
      <c r="LV70" s="104"/>
      <c r="LW70" s="104"/>
      <c r="LX70" s="104"/>
      <c r="LY70" s="104"/>
      <c r="LZ70" s="104"/>
      <c r="MA70" s="104"/>
      <c r="MB70" s="104"/>
      <c r="MC70" s="104"/>
      <c r="MD70" s="104"/>
      <c r="ME70" s="104"/>
      <c r="MF70" s="104"/>
      <c r="MG70" s="104"/>
      <c r="MH70" s="104"/>
      <c r="MI70" s="104"/>
      <c r="MJ70" s="104"/>
      <c r="MK70" s="104"/>
      <c r="ML70" s="104"/>
      <c r="MM70" s="104"/>
      <c r="MN70" s="104"/>
      <c r="MO70" s="104"/>
      <c r="MP70" s="104"/>
      <c r="MQ70" s="104"/>
      <c r="MR70" s="104"/>
      <c r="MS70" s="104"/>
      <c r="MT70" s="104"/>
      <c r="MU70" s="104"/>
      <c r="MV70" s="104"/>
      <c r="MW70" s="104"/>
      <c r="MX70" s="104"/>
      <c r="MY70" s="104"/>
      <c r="MZ70" s="104"/>
      <c r="NA70" s="104"/>
      <c r="NB70" s="104"/>
      <c r="NC70" s="104"/>
      <c r="ND70" s="104"/>
      <c r="NE70" s="104"/>
      <c r="NF70" s="104"/>
      <c r="NG70" s="104"/>
      <c r="NH70" s="104"/>
      <c r="NI70" s="104"/>
      <c r="NJ70" s="104"/>
      <c r="NK70" s="104"/>
      <c r="NL70" s="104"/>
      <c r="NM70" s="104"/>
      <c r="NN70" s="104"/>
      <c r="NO70" s="104"/>
      <c r="NP70" s="104"/>
      <c r="NQ70" s="104"/>
      <c r="NR70" s="104"/>
      <c r="NS70" s="104"/>
      <c r="NT70" s="104"/>
      <c r="NU70" s="104"/>
      <c r="NV70" s="104"/>
      <c r="NW70" s="104"/>
      <c r="NX70" s="104"/>
      <c r="NY70" s="104"/>
      <c r="NZ70" s="104"/>
    </row>
    <row r="71" spans="1:390" ht="15.75" customHeight="1" x14ac:dyDescent="0.3">
      <c r="A71" s="214">
        <v>4363373652</v>
      </c>
      <c r="B71" s="165" t="s">
        <v>391</v>
      </c>
      <c r="C71" s="138"/>
      <c r="D71" s="216" t="s">
        <v>391</v>
      </c>
      <c r="E71" s="136" t="s">
        <v>701</v>
      </c>
      <c r="F71" s="125" t="s">
        <v>421</v>
      </c>
      <c r="G71" s="221" t="s">
        <v>398</v>
      </c>
      <c r="H71" s="219">
        <v>43586</v>
      </c>
      <c r="I71" s="216" t="s">
        <v>513</v>
      </c>
      <c r="J71" s="153" t="s">
        <v>397</v>
      </c>
      <c r="K71" s="153" t="s">
        <v>398</v>
      </c>
      <c r="L71" s="153" t="s">
        <v>398</v>
      </c>
      <c r="M71" s="164" t="s">
        <v>398</v>
      </c>
      <c r="N71" s="164" t="s">
        <v>398</v>
      </c>
      <c r="O71" s="164" t="s">
        <v>398</v>
      </c>
      <c r="P71" s="164" t="s">
        <v>398</v>
      </c>
      <c r="Q71" s="164" t="s">
        <v>398</v>
      </c>
      <c r="R71" s="164" t="s">
        <v>398</v>
      </c>
      <c r="S71" s="164" t="s">
        <v>398</v>
      </c>
      <c r="T71" s="164" t="s">
        <v>398</v>
      </c>
      <c r="U71" s="164" t="s">
        <v>398</v>
      </c>
      <c r="V71" s="164" t="s">
        <v>398</v>
      </c>
      <c r="W71" s="164" t="s">
        <v>398</v>
      </c>
      <c r="X71" s="164" t="s">
        <v>398</v>
      </c>
      <c r="Y71" s="164" t="s">
        <v>398</v>
      </c>
      <c r="Z71" s="164" t="s">
        <v>398</v>
      </c>
      <c r="AA71" s="164" t="s">
        <v>398</v>
      </c>
      <c r="AB71" s="167" t="s">
        <v>399</v>
      </c>
      <c r="AC71" s="219">
        <v>14028</v>
      </c>
      <c r="AD71" s="106"/>
      <c r="AE71" s="108" t="e">
        <f t="shared" si="1"/>
        <v>#NUM!</v>
      </c>
      <c r="AF71" s="104" t="s">
        <v>602</v>
      </c>
      <c r="AG71" s="79" t="s">
        <v>401</v>
      </c>
      <c r="AH71" s="104" t="s">
        <v>402</v>
      </c>
      <c r="AI71" s="110"/>
      <c r="AJ71" s="110"/>
      <c r="AK71" s="110"/>
      <c r="AL71" s="110"/>
      <c r="AM71" s="105"/>
      <c r="AN71" s="95">
        <v>3</v>
      </c>
      <c r="AO71" s="173" t="s">
        <v>398</v>
      </c>
      <c r="AP71" s="104"/>
      <c r="AQ71" s="104"/>
      <c r="AR71" s="104"/>
      <c r="AS71" s="104"/>
      <c r="AT71" s="104"/>
      <c r="AU71" s="104"/>
      <c r="AV71" s="104"/>
      <c r="AW71" s="104"/>
      <c r="AX71" s="104"/>
      <c r="AY71" s="104"/>
      <c r="AZ71" s="104"/>
      <c r="BA71" s="104"/>
      <c r="BB71" s="104"/>
      <c r="BC71" s="104"/>
      <c r="BD71" s="104"/>
      <c r="BE71" s="104"/>
      <c r="BF71" s="104"/>
      <c r="BG71" s="104"/>
      <c r="BH71" s="104"/>
      <c r="BI71" s="104"/>
      <c r="BJ71" s="104"/>
      <c r="BK71" s="104"/>
      <c r="BL71" s="104"/>
      <c r="BM71" s="104"/>
      <c r="BN71" s="104"/>
      <c r="BO71" s="104"/>
      <c r="BP71" s="104"/>
      <c r="BQ71" s="104"/>
      <c r="BR71" s="104"/>
      <c r="BS71" s="104"/>
      <c r="BT71" s="104"/>
      <c r="BU71" s="104"/>
      <c r="BV71" s="104"/>
      <c r="BW71" s="104"/>
      <c r="BX71" s="104"/>
      <c r="BY71" s="104"/>
      <c r="BZ71" s="104"/>
      <c r="CA71" s="104"/>
      <c r="CB71" s="104"/>
      <c r="CC71" s="104"/>
      <c r="CD71" s="104"/>
      <c r="CE71" s="104"/>
      <c r="CF71" s="104"/>
      <c r="CG71" s="104"/>
      <c r="CH71" s="104"/>
      <c r="CI71" s="104"/>
      <c r="CJ71" s="104"/>
      <c r="CK71" s="104"/>
      <c r="CL71" s="104"/>
      <c r="CM71" s="104"/>
      <c r="CN71" s="104"/>
      <c r="CO71" s="104"/>
      <c r="CP71" s="104"/>
      <c r="CQ71" s="104"/>
      <c r="CR71" s="104"/>
      <c r="CS71" s="104"/>
      <c r="CT71" s="104"/>
      <c r="CU71" s="104"/>
      <c r="CV71" s="104"/>
      <c r="CW71" s="104"/>
      <c r="CX71" s="104"/>
      <c r="CY71" s="104"/>
      <c r="CZ71" s="104"/>
      <c r="DA71" s="104"/>
      <c r="DB71" s="104"/>
      <c r="DC71" s="104"/>
      <c r="DD71" s="104"/>
      <c r="DE71" s="104"/>
      <c r="DF71" s="104"/>
      <c r="DG71" s="104"/>
      <c r="DH71" s="104"/>
      <c r="DI71" s="104"/>
      <c r="DJ71" s="104"/>
      <c r="DK71" s="104"/>
      <c r="DL71" s="104"/>
      <c r="DM71" s="104"/>
      <c r="DN71" s="104"/>
      <c r="DO71" s="104"/>
      <c r="DP71" s="104"/>
      <c r="DQ71" s="104"/>
      <c r="DR71" s="104"/>
      <c r="DS71" s="104"/>
      <c r="DT71" s="104"/>
      <c r="DU71" s="104"/>
      <c r="DV71" s="104"/>
      <c r="DW71" s="104"/>
      <c r="DX71" s="104"/>
      <c r="DY71" s="104"/>
      <c r="DZ71" s="104"/>
      <c r="EA71" s="104"/>
      <c r="EB71" s="104"/>
      <c r="EC71" s="104"/>
      <c r="ED71" s="104"/>
      <c r="EE71" s="104"/>
      <c r="EF71" s="104"/>
      <c r="EG71" s="104"/>
      <c r="EH71" s="104"/>
      <c r="EI71" s="104"/>
      <c r="EJ71" s="104"/>
      <c r="EK71" s="104"/>
      <c r="EL71" s="104"/>
      <c r="EM71" s="104"/>
      <c r="EN71" s="104"/>
      <c r="EO71" s="104"/>
      <c r="EP71" s="104"/>
      <c r="EQ71" s="104"/>
      <c r="ER71" s="104"/>
      <c r="ES71" s="104"/>
      <c r="ET71" s="104"/>
      <c r="EU71" s="104"/>
      <c r="EV71" s="104"/>
      <c r="EW71" s="104"/>
      <c r="EX71" s="104"/>
      <c r="EY71" s="104"/>
      <c r="EZ71" s="104"/>
      <c r="FA71" s="104"/>
      <c r="FB71" s="104"/>
      <c r="FC71" s="104"/>
      <c r="FD71" s="104"/>
      <c r="FE71" s="104"/>
      <c r="FF71" s="104"/>
      <c r="FG71" s="104"/>
      <c r="FH71" s="104"/>
      <c r="FI71" s="104"/>
      <c r="FJ71" s="104"/>
      <c r="FK71" s="104"/>
      <c r="FL71" s="104"/>
      <c r="FM71" s="104"/>
      <c r="FN71" s="104"/>
      <c r="FO71" s="104"/>
      <c r="FP71" s="104"/>
      <c r="FQ71" s="104"/>
      <c r="FR71" s="104"/>
      <c r="FS71" s="104"/>
      <c r="FT71" s="104"/>
      <c r="FU71" s="104"/>
      <c r="FV71" s="104"/>
      <c r="FW71" s="104"/>
      <c r="FX71" s="104"/>
      <c r="FY71" s="104"/>
      <c r="FZ71" s="104"/>
      <c r="GA71" s="104"/>
      <c r="GB71" s="104"/>
      <c r="GC71" s="104"/>
      <c r="GD71" s="104"/>
      <c r="GE71" s="104"/>
      <c r="GF71" s="104"/>
      <c r="GG71" s="104"/>
      <c r="GH71" s="104"/>
      <c r="GI71" s="104"/>
      <c r="GJ71" s="104"/>
      <c r="GK71" s="104"/>
      <c r="GL71" s="104"/>
      <c r="GM71" s="104"/>
      <c r="GN71" s="104"/>
      <c r="GO71" s="104"/>
      <c r="GP71" s="104"/>
      <c r="GQ71" s="104"/>
      <c r="GR71" s="104"/>
      <c r="GS71" s="104"/>
      <c r="GT71" s="104"/>
      <c r="GU71" s="104"/>
      <c r="GV71" s="104"/>
      <c r="GW71" s="104"/>
      <c r="GX71" s="104"/>
      <c r="GY71" s="104"/>
      <c r="GZ71" s="104"/>
      <c r="HA71" s="104"/>
      <c r="HB71" s="104"/>
      <c r="HC71" s="104"/>
      <c r="HD71" s="104"/>
      <c r="HE71" s="104"/>
      <c r="HF71" s="104"/>
      <c r="HG71" s="104"/>
      <c r="HH71" s="104"/>
      <c r="HI71" s="104"/>
      <c r="HJ71" s="104"/>
      <c r="HK71" s="104"/>
      <c r="HL71" s="104"/>
      <c r="HM71" s="104"/>
      <c r="HN71" s="104"/>
      <c r="HO71" s="104"/>
      <c r="HP71" s="104"/>
      <c r="HQ71" s="104"/>
      <c r="HR71" s="104"/>
      <c r="HS71" s="104"/>
      <c r="HT71" s="104"/>
      <c r="HU71" s="104"/>
      <c r="HV71" s="104"/>
      <c r="HW71" s="104"/>
      <c r="HX71" s="104"/>
      <c r="HY71" s="104"/>
      <c r="HZ71" s="104"/>
      <c r="IA71" s="104"/>
      <c r="IB71" s="104"/>
      <c r="IC71" s="104"/>
      <c r="ID71" s="104"/>
      <c r="IE71" s="104"/>
      <c r="IF71" s="104"/>
      <c r="IG71" s="104"/>
      <c r="IH71" s="104"/>
      <c r="II71" s="104"/>
      <c r="IJ71" s="104"/>
      <c r="IK71" s="104"/>
      <c r="IL71" s="104"/>
      <c r="IM71" s="104"/>
      <c r="IN71" s="104"/>
      <c r="IO71" s="104"/>
      <c r="IP71" s="104"/>
      <c r="IQ71" s="104"/>
      <c r="IR71" s="104"/>
      <c r="IS71" s="104"/>
      <c r="IT71" s="104"/>
      <c r="IU71" s="104"/>
      <c r="IV71" s="104"/>
      <c r="IW71" s="104"/>
      <c r="IX71" s="104"/>
      <c r="IY71" s="104"/>
      <c r="IZ71" s="104"/>
      <c r="JA71" s="104"/>
      <c r="JB71" s="104"/>
      <c r="JC71" s="104"/>
      <c r="JD71" s="104"/>
      <c r="JE71" s="104"/>
      <c r="JF71" s="104"/>
      <c r="JG71" s="104"/>
      <c r="JH71" s="104"/>
      <c r="JI71" s="104"/>
      <c r="JJ71" s="104"/>
      <c r="JK71" s="104"/>
      <c r="JL71" s="104"/>
      <c r="JM71" s="104"/>
      <c r="JN71" s="104"/>
      <c r="JO71" s="104"/>
      <c r="JP71" s="104"/>
      <c r="JQ71" s="104"/>
      <c r="JR71" s="104"/>
      <c r="JS71" s="104"/>
      <c r="JT71" s="104"/>
      <c r="JU71" s="104"/>
      <c r="JV71" s="104"/>
      <c r="JW71" s="104"/>
      <c r="JX71" s="104"/>
      <c r="JY71" s="104"/>
      <c r="JZ71" s="104"/>
      <c r="KA71" s="104"/>
      <c r="KB71" s="104"/>
      <c r="KC71" s="104"/>
      <c r="KD71" s="104"/>
      <c r="KE71" s="104"/>
      <c r="KF71" s="104"/>
      <c r="KG71" s="104"/>
      <c r="KH71" s="104"/>
      <c r="KI71" s="104"/>
      <c r="KJ71" s="104"/>
      <c r="KK71" s="104"/>
      <c r="KL71" s="104"/>
      <c r="KM71" s="104"/>
      <c r="KN71" s="104"/>
      <c r="KO71" s="104"/>
      <c r="KP71" s="104"/>
      <c r="KQ71" s="104"/>
      <c r="KR71" s="104"/>
      <c r="KS71" s="104"/>
      <c r="KT71" s="104"/>
      <c r="KU71" s="104"/>
      <c r="KV71" s="104"/>
      <c r="KW71" s="104"/>
      <c r="KX71" s="104"/>
      <c r="KY71" s="104"/>
      <c r="KZ71" s="104"/>
      <c r="LA71" s="104"/>
      <c r="LB71" s="104"/>
      <c r="LC71" s="104"/>
      <c r="LD71" s="104"/>
      <c r="LE71" s="104"/>
      <c r="LF71" s="104"/>
      <c r="LG71" s="104"/>
      <c r="LH71" s="104"/>
      <c r="LI71" s="104"/>
      <c r="LJ71" s="104"/>
      <c r="LK71" s="104"/>
      <c r="LL71" s="104"/>
      <c r="LM71" s="104"/>
      <c r="LN71" s="104"/>
      <c r="LO71" s="104"/>
      <c r="LP71" s="104"/>
      <c r="LQ71" s="104"/>
      <c r="LR71" s="104"/>
      <c r="LS71" s="104"/>
      <c r="LT71" s="104"/>
      <c r="LU71" s="104"/>
      <c r="LV71" s="104"/>
      <c r="LW71" s="104"/>
      <c r="LX71" s="104"/>
      <c r="LY71" s="104"/>
      <c r="LZ71" s="104"/>
      <c r="MA71" s="104"/>
      <c r="MB71" s="104"/>
      <c r="MC71" s="104"/>
      <c r="MD71" s="104"/>
      <c r="ME71" s="104"/>
      <c r="MF71" s="104"/>
      <c r="MG71" s="104"/>
      <c r="MH71" s="104"/>
      <c r="MI71" s="104"/>
      <c r="MJ71" s="104"/>
      <c r="MK71" s="104"/>
      <c r="ML71" s="104"/>
      <c r="MM71" s="104"/>
      <c r="MN71" s="104"/>
      <c r="MO71" s="104"/>
      <c r="MP71" s="104"/>
      <c r="MQ71" s="104"/>
      <c r="MR71" s="104"/>
      <c r="MS71" s="104"/>
      <c r="MT71" s="104"/>
      <c r="MU71" s="104"/>
      <c r="MV71" s="104"/>
      <c r="MW71" s="104"/>
      <c r="MX71" s="104"/>
      <c r="MY71" s="104"/>
      <c r="MZ71" s="104"/>
      <c r="NA71" s="104"/>
      <c r="NB71" s="104"/>
      <c r="NC71" s="104"/>
      <c r="ND71" s="104"/>
      <c r="NE71" s="104"/>
      <c r="NF71" s="104"/>
      <c r="NG71" s="104"/>
      <c r="NH71" s="104"/>
      <c r="NI71" s="104"/>
      <c r="NJ71" s="104"/>
      <c r="NK71" s="104"/>
      <c r="NL71" s="104"/>
      <c r="NM71" s="104"/>
      <c r="NN71" s="104"/>
      <c r="NO71" s="104"/>
      <c r="NP71" s="104"/>
      <c r="NQ71" s="104"/>
      <c r="NR71" s="104"/>
      <c r="NS71" s="104"/>
      <c r="NT71" s="104"/>
      <c r="NU71" s="104"/>
      <c r="NV71" s="104"/>
      <c r="NW71" s="104"/>
      <c r="NX71" s="104"/>
      <c r="NY71" s="104"/>
      <c r="NZ71" s="104"/>
    </row>
    <row r="72" spans="1:390" ht="15.75" customHeight="1" x14ac:dyDescent="0.3">
      <c r="A72" s="214">
        <v>6163743970</v>
      </c>
      <c r="B72" s="165" t="s">
        <v>391</v>
      </c>
      <c r="C72" s="138"/>
      <c r="D72" s="216" t="s">
        <v>391</v>
      </c>
      <c r="E72" s="136" t="s">
        <v>702</v>
      </c>
      <c r="F72" s="125" t="s">
        <v>416</v>
      </c>
      <c r="G72" s="221" t="s">
        <v>422</v>
      </c>
      <c r="H72" s="219">
        <v>43655</v>
      </c>
      <c r="I72" s="216" t="s">
        <v>513</v>
      </c>
      <c r="J72" s="153" t="s">
        <v>397</v>
      </c>
      <c r="K72" s="153" t="s">
        <v>398</v>
      </c>
      <c r="L72" s="153" t="s">
        <v>398</v>
      </c>
      <c r="M72" s="164" t="s">
        <v>398</v>
      </c>
      <c r="N72" s="164" t="s">
        <v>398</v>
      </c>
      <c r="O72" s="164" t="s">
        <v>398</v>
      </c>
      <c r="P72" s="164" t="s">
        <v>398</v>
      </c>
      <c r="Q72" s="164" t="s">
        <v>398</v>
      </c>
      <c r="R72" s="164" t="s">
        <v>398</v>
      </c>
      <c r="S72" s="164" t="s">
        <v>398</v>
      </c>
      <c r="T72" s="164" t="s">
        <v>398</v>
      </c>
      <c r="U72" s="164" t="s">
        <v>398</v>
      </c>
      <c r="V72" s="164" t="s">
        <v>398</v>
      </c>
      <c r="W72" s="164" t="s">
        <v>398</v>
      </c>
      <c r="X72" s="164" t="s">
        <v>398</v>
      </c>
      <c r="Y72" s="164" t="s">
        <v>398</v>
      </c>
      <c r="Z72" s="164" t="s">
        <v>398</v>
      </c>
      <c r="AA72" s="164" t="s">
        <v>398</v>
      </c>
      <c r="AB72" s="167" t="s">
        <v>399</v>
      </c>
      <c r="AC72" s="219">
        <v>16692</v>
      </c>
      <c r="AD72" s="106"/>
      <c r="AE72" s="108" t="e">
        <f t="shared" si="1"/>
        <v>#NUM!</v>
      </c>
      <c r="AF72" s="104" t="s">
        <v>602</v>
      </c>
      <c r="AG72" s="79" t="s">
        <v>401</v>
      </c>
      <c r="AH72" s="104" t="s">
        <v>391</v>
      </c>
      <c r="AI72" s="110"/>
      <c r="AJ72" s="110"/>
      <c r="AK72" s="110"/>
      <c r="AL72" s="110"/>
      <c r="AM72" s="105"/>
      <c r="AN72" s="95">
        <v>3</v>
      </c>
      <c r="AO72" s="173" t="s">
        <v>398</v>
      </c>
      <c r="AP72" s="104"/>
      <c r="AQ72" s="104"/>
      <c r="AR72" s="104"/>
      <c r="AS72" s="104"/>
      <c r="AT72" s="104"/>
      <c r="AU72" s="104"/>
      <c r="AV72" s="104"/>
      <c r="AW72" s="104"/>
      <c r="AX72" s="104"/>
      <c r="AY72" s="104"/>
      <c r="AZ72" s="104"/>
      <c r="BA72" s="104"/>
      <c r="BB72" s="104"/>
      <c r="BC72" s="104"/>
      <c r="BD72" s="104"/>
      <c r="BE72" s="104"/>
      <c r="BF72" s="104"/>
      <c r="BG72" s="104"/>
      <c r="BH72" s="104"/>
      <c r="BI72" s="104"/>
      <c r="BJ72" s="104"/>
      <c r="BK72" s="104"/>
      <c r="BL72" s="104"/>
      <c r="BM72" s="104"/>
      <c r="BN72" s="104"/>
      <c r="BO72" s="104"/>
      <c r="BP72" s="104"/>
      <c r="BQ72" s="104"/>
      <c r="BR72" s="104"/>
      <c r="BS72" s="104"/>
      <c r="BT72" s="104"/>
      <c r="BU72" s="104"/>
      <c r="BV72" s="104"/>
      <c r="BW72" s="104"/>
      <c r="BX72" s="104"/>
      <c r="BY72" s="104"/>
      <c r="BZ72" s="104"/>
      <c r="CA72" s="104"/>
      <c r="CB72" s="104"/>
      <c r="CC72" s="104"/>
      <c r="CD72" s="104"/>
      <c r="CE72" s="104"/>
      <c r="CF72" s="104"/>
      <c r="CG72" s="104"/>
      <c r="CH72" s="104"/>
      <c r="CI72" s="104"/>
      <c r="CJ72" s="104"/>
      <c r="CK72" s="104"/>
      <c r="CL72" s="104"/>
      <c r="CM72" s="104"/>
      <c r="CN72" s="104"/>
      <c r="CO72" s="104"/>
      <c r="CP72" s="104"/>
      <c r="CQ72" s="104"/>
      <c r="CR72" s="104"/>
      <c r="CS72" s="104"/>
      <c r="CT72" s="104"/>
      <c r="CU72" s="104"/>
      <c r="CV72" s="104"/>
      <c r="CW72" s="104"/>
      <c r="CX72" s="104"/>
      <c r="CY72" s="104"/>
      <c r="CZ72" s="104"/>
      <c r="DA72" s="104"/>
      <c r="DB72" s="104"/>
      <c r="DC72" s="104"/>
      <c r="DD72" s="104"/>
      <c r="DE72" s="104"/>
      <c r="DF72" s="104"/>
      <c r="DG72" s="104"/>
      <c r="DH72" s="104"/>
      <c r="DI72" s="104"/>
      <c r="DJ72" s="104"/>
      <c r="DK72" s="104"/>
      <c r="DL72" s="104"/>
      <c r="DM72" s="104"/>
      <c r="DN72" s="104"/>
      <c r="DO72" s="104"/>
      <c r="DP72" s="104"/>
      <c r="DQ72" s="104"/>
      <c r="DR72" s="104"/>
      <c r="DS72" s="104"/>
      <c r="DT72" s="104"/>
      <c r="DU72" s="104"/>
      <c r="DV72" s="104"/>
      <c r="DW72" s="104"/>
      <c r="DX72" s="104"/>
      <c r="DY72" s="104"/>
      <c r="DZ72" s="104"/>
      <c r="EA72" s="104"/>
      <c r="EB72" s="104"/>
      <c r="EC72" s="104"/>
      <c r="ED72" s="104"/>
      <c r="EE72" s="104"/>
      <c r="EF72" s="104"/>
      <c r="EG72" s="104"/>
      <c r="EH72" s="104"/>
      <c r="EI72" s="104"/>
      <c r="EJ72" s="104"/>
      <c r="EK72" s="104"/>
      <c r="EL72" s="104"/>
      <c r="EM72" s="104"/>
      <c r="EN72" s="104"/>
      <c r="EO72" s="104"/>
      <c r="EP72" s="104"/>
      <c r="EQ72" s="104"/>
      <c r="ER72" s="104"/>
      <c r="ES72" s="104"/>
      <c r="ET72" s="104"/>
      <c r="EU72" s="104"/>
      <c r="EV72" s="104"/>
      <c r="EW72" s="104"/>
      <c r="EX72" s="104"/>
      <c r="EY72" s="104"/>
      <c r="EZ72" s="104"/>
      <c r="FA72" s="104"/>
      <c r="FB72" s="104"/>
      <c r="FC72" s="104"/>
      <c r="FD72" s="104"/>
      <c r="FE72" s="104"/>
      <c r="FF72" s="104"/>
      <c r="FG72" s="104"/>
      <c r="FH72" s="104"/>
      <c r="FI72" s="104"/>
      <c r="FJ72" s="104"/>
      <c r="FK72" s="104"/>
      <c r="FL72" s="104"/>
      <c r="FM72" s="104"/>
      <c r="FN72" s="104"/>
      <c r="FO72" s="104"/>
      <c r="FP72" s="104"/>
      <c r="FQ72" s="104"/>
      <c r="FR72" s="104"/>
      <c r="FS72" s="104"/>
      <c r="FT72" s="104"/>
      <c r="FU72" s="104"/>
      <c r="FV72" s="104"/>
      <c r="FW72" s="104"/>
      <c r="FX72" s="104"/>
      <c r="FY72" s="104"/>
      <c r="FZ72" s="104"/>
      <c r="GA72" s="104"/>
      <c r="GB72" s="104"/>
      <c r="GC72" s="104"/>
      <c r="GD72" s="104"/>
      <c r="GE72" s="104"/>
      <c r="GF72" s="104"/>
      <c r="GG72" s="104"/>
      <c r="GH72" s="104"/>
      <c r="GI72" s="104"/>
      <c r="GJ72" s="104"/>
      <c r="GK72" s="104"/>
      <c r="GL72" s="104"/>
      <c r="GM72" s="104"/>
      <c r="GN72" s="104"/>
      <c r="GO72" s="104"/>
      <c r="GP72" s="104"/>
      <c r="GQ72" s="104"/>
      <c r="GR72" s="104"/>
      <c r="GS72" s="104"/>
      <c r="GT72" s="104"/>
      <c r="GU72" s="104"/>
      <c r="GV72" s="104"/>
      <c r="GW72" s="104"/>
      <c r="GX72" s="104"/>
      <c r="GY72" s="104"/>
      <c r="GZ72" s="104"/>
      <c r="HA72" s="104"/>
      <c r="HB72" s="104"/>
      <c r="HC72" s="104"/>
      <c r="HD72" s="104"/>
      <c r="HE72" s="104"/>
      <c r="HF72" s="104"/>
      <c r="HG72" s="104"/>
      <c r="HH72" s="104"/>
      <c r="HI72" s="104"/>
      <c r="HJ72" s="104"/>
      <c r="HK72" s="104"/>
      <c r="HL72" s="104"/>
      <c r="HM72" s="104"/>
      <c r="HN72" s="104"/>
      <c r="HO72" s="104"/>
      <c r="HP72" s="104"/>
      <c r="HQ72" s="104"/>
      <c r="HR72" s="104"/>
      <c r="HS72" s="104"/>
      <c r="HT72" s="104"/>
      <c r="HU72" s="104"/>
      <c r="HV72" s="104"/>
      <c r="HW72" s="104"/>
      <c r="HX72" s="104"/>
      <c r="HY72" s="104"/>
      <c r="HZ72" s="104"/>
      <c r="IA72" s="104"/>
      <c r="IB72" s="104"/>
      <c r="IC72" s="104"/>
      <c r="ID72" s="104"/>
      <c r="IE72" s="104"/>
      <c r="IF72" s="104"/>
      <c r="IG72" s="104"/>
      <c r="IH72" s="104"/>
      <c r="II72" s="104"/>
      <c r="IJ72" s="104"/>
      <c r="IK72" s="104"/>
      <c r="IL72" s="104"/>
      <c r="IM72" s="104"/>
      <c r="IN72" s="104"/>
      <c r="IO72" s="104"/>
      <c r="IP72" s="104"/>
      <c r="IQ72" s="104"/>
      <c r="IR72" s="104"/>
      <c r="IS72" s="104"/>
      <c r="IT72" s="104"/>
      <c r="IU72" s="104"/>
      <c r="IV72" s="104"/>
      <c r="IW72" s="104"/>
      <c r="IX72" s="104"/>
      <c r="IY72" s="104"/>
      <c r="IZ72" s="104"/>
      <c r="JA72" s="104"/>
      <c r="JB72" s="104"/>
      <c r="JC72" s="104"/>
      <c r="JD72" s="104"/>
      <c r="JE72" s="104"/>
      <c r="JF72" s="104"/>
      <c r="JG72" s="104"/>
      <c r="JH72" s="104"/>
      <c r="JI72" s="104"/>
      <c r="JJ72" s="104"/>
      <c r="JK72" s="104"/>
      <c r="JL72" s="104"/>
      <c r="JM72" s="104"/>
      <c r="JN72" s="104"/>
      <c r="JO72" s="104"/>
      <c r="JP72" s="104"/>
      <c r="JQ72" s="104"/>
      <c r="JR72" s="104"/>
      <c r="JS72" s="104"/>
      <c r="JT72" s="104"/>
      <c r="JU72" s="104"/>
      <c r="JV72" s="104"/>
      <c r="JW72" s="104"/>
      <c r="JX72" s="104"/>
      <c r="JY72" s="104"/>
      <c r="JZ72" s="104"/>
      <c r="KA72" s="104"/>
      <c r="KB72" s="104"/>
      <c r="KC72" s="104"/>
      <c r="KD72" s="104"/>
      <c r="KE72" s="104"/>
      <c r="KF72" s="104"/>
      <c r="KG72" s="104"/>
      <c r="KH72" s="104"/>
      <c r="KI72" s="104"/>
      <c r="KJ72" s="104"/>
      <c r="KK72" s="104"/>
      <c r="KL72" s="104"/>
      <c r="KM72" s="104"/>
      <c r="KN72" s="104"/>
      <c r="KO72" s="104"/>
      <c r="KP72" s="104"/>
      <c r="KQ72" s="104"/>
      <c r="KR72" s="104"/>
      <c r="KS72" s="104"/>
      <c r="KT72" s="104"/>
      <c r="KU72" s="104"/>
      <c r="KV72" s="104"/>
      <c r="KW72" s="104"/>
      <c r="KX72" s="104"/>
      <c r="KY72" s="104"/>
      <c r="KZ72" s="104"/>
      <c r="LA72" s="104"/>
      <c r="LB72" s="104"/>
      <c r="LC72" s="104"/>
      <c r="LD72" s="104"/>
      <c r="LE72" s="104"/>
      <c r="LF72" s="104"/>
      <c r="LG72" s="104"/>
      <c r="LH72" s="104"/>
      <c r="LI72" s="104"/>
      <c r="LJ72" s="104"/>
      <c r="LK72" s="104"/>
      <c r="LL72" s="104"/>
      <c r="LM72" s="104"/>
      <c r="LN72" s="104"/>
      <c r="LO72" s="104"/>
      <c r="LP72" s="104"/>
      <c r="LQ72" s="104"/>
      <c r="LR72" s="104"/>
      <c r="LS72" s="104"/>
      <c r="LT72" s="104"/>
      <c r="LU72" s="104"/>
      <c r="LV72" s="104"/>
      <c r="LW72" s="104"/>
      <c r="LX72" s="104"/>
      <c r="LY72" s="104"/>
      <c r="LZ72" s="104"/>
      <c r="MA72" s="104"/>
      <c r="MB72" s="104"/>
      <c r="MC72" s="104"/>
      <c r="MD72" s="104"/>
      <c r="ME72" s="104"/>
      <c r="MF72" s="104"/>
      <c r="MG72" s="104"/>
      <c r="MH72" s="104"/>
      <c r="MI72" s="104"/>
      <c r="MJ72" s="104"/>
      <c r="MK72" s="104"/>
      <c r="ML72" s="104"/>
      <c r="MM72" s="104"/>
      <c r="MN72" s="104"/>
      <c r="MO72" s="104"/>
      <c r="MP72" s="104"/>
      <c r="MQ72" s="104"/>
      <c r="MR72" s="104"/>
      <c r="MS72" s="104"/>
      <c r="MT72" s="104"/>
      <c r="MU72" s="104"/>
      <c r="MV72" s="104"/>
      <c r="MW72" s="104"/>
      <c r="MX72" s="104"/>
      <c r="MY72" s="104"/>
      <c r="MZ72" s="104"/>
      <c r="NA72" s="104"/>
      <c r="NB72" s="104"/>
      <c r="NC72" s="104"/>
      <c r="ND72" s="104"/>
      <c r="NE72" s="104"/>
      <c r="NF72" s="104"/>
      <c r="NG72" s="104"/>
      <c r="NH72" s="104"/>
      <c r="NI72" s="104"/>
      <c r="NJ72" s="104"/>
      <c r="NK72" s="104"/>
      <c r="NL72" s="104"/>
      <c r="NM72" s="104"/>
      <c r="NN72" s="104"/>
      <c r="NO72" s="104"/>
      <c r="NP72" s="104"/>
      <c r="NQ72" s="104"/>
      <c r="NR72" s="104"/>
      <c r="NS72" s="104"/>
      <c r="NT72" s="104"/>
      <c r="NU72" s="104"/>
      <c r="NV72" s="104"/>
      <c r="NW72" s="104"/>
      <c r="NX72" s="104"/>
      <c r="NY72" s="104"/>
      <c r="NZ72" s="104"/>
    </row>
    <row r="73" spans="1:390" ht="15.75" customHeight="1" x14ac:dyDescent="0.3">
      <c r="A73" s="214">
        <v>6244737083</v>
      </c>
      <c r="B73" s="165" t="s">
        <v>391</v>
      </c>
      <c r="C73" s="138"/>
      <c r="D73" s="216" t="s">
        <v>391</v>
      </c>
      <c r="E73" s="136" t="s">
        <v>703</v>
      </c>
      <c r="F73" s="125" t="s">
        <v>704</v>
      </c>
      <c r="G73" s="221" t="s">
        <v>395</v>
      </c>
      <c r="H73" s="219">
        <v>43657</v>
      </c>
      <c r="I73" s="216" t="s">
        <v>513</v>
      </c>
      <c r="J73" s="153" t="s">
        <v>397</v>
      </c>
      <c r="K73" s="153" t="s">
        <v>398</v>
      </c>
      <c r="L73" s="153" t="s">
        <v>398</v>
      </c>
      <c r="M73" s="164" t="s">
        <v>398</v>
      </c>
      <c r="N73" s="164" t="s">
        <v>398</v>
      </c>
      <c r="O73" s="164" t="s">
        <v>398</v>
      </c>
      <c r="P73" s="164" t="s">
        <v>398</v>
      </c>
      <c r="Q73" s="164" t="s">
        <v>398</v>
      </c>
      <c r="R73" s="164" t="s">
        <v>398</v>
      </c>
      <c r="S73" s="164" t="s">
        <v>398</v>
      </c>
      <c r="T73" s="164" t="s">
        <v>398</v>
      </c>
      <c r="U73" s="164" t="s">
        <v>398</v>
      </c>
      <c r="V73" s="164" t="s">
        <v>398</v>
      </c>
      <c r="W73" s="164" t="s">
        <v>398</v>
      </c>
      <c r="X73" s="164" t="s">
        <v>398</v>
      </c>
      <c r="Y73" s="164" t="s">
        <v>398</v>
      </c>
      <c r="Z73" s="164" t="s">
        <v>398</v>
      </c>
      <c r="AA73" s="164" t="s">
        <v>398</v>
      </c>
      <c r="AB73" s="167" t="s">
        <v>399</v>
      </c>
      <c r="AC73" s="219">
        <v>16497</v>
      </c>
      <c r="AD73" s="106"/>
      <c r="AE73" s="108" t="e">
        <f t="shared" si="1"/>
        <v>#NUM!</v>
      </c>
      <c r="AF73" s="104" t="s">
        <v>685</v>
      </c>
      <c r="AG73" s="79" t="s">
        <v>401</v>
      </c>
      <c r="AH73" s="104" t="s">
        <v>402</v>
      </c>
      <c r="AI73" s="110"/>
      <c r="AJ73" s="110"/>
      <c r="AK73" s="110"/>
      <c r="AL73" s="110"/>
      <c r="AM73" s="105"/>
      <c r="AN73" s="95">
        <v>3</v>
      </c>
      <c r="AO73" s="173" t="s">
        <v>398</v>
      </c>
      <c r="AP73" s="104"/>
      <c r="AQ73" s="104"/>
      <c r="AR73" s="104"/>
      <c r="AS73" s="104"/>
      <c r="AT73" s="104"/>
      <c r="AU73" s="104"/>
      <c r="AV73" s="104"/>
      <c r="AW73" s="104"/>
      <c r="AX73" s="104"/>
      <c r="AY73" s="104"/>
      <c r="AZ73" s="104"/>
      <c r="BA73" s="104"/>
      <c r="BB73" s="104"/>
      <c r="BC73" s="104"/>
      <c r="BD73" s="104"/>
      <c r="BE73" s="104"/>
      <c r="BF73" s="104"/>
      <c r="BG73" s="104"/>
      <c r="BH73" s="104"/>
      <c r="BI73" s="104"/>
      <c r="BJ73" s="104"/>
      <c r="BK73" s="104"/>
      <c r="BL73" s="104"/>
      <c r="BM73" s="104"/>
      <c r="BN73" s="104"/>
      <c r="BO73" s="104"/>
      <c r="BP73" s="104"/>
      <c r="BQ73" s="104"/>
      <c r="BR73" s="104"/>
      <c r="BS73" s="104"/>
      <c r="BT73" s="104"/>
      <c r="BU73" s="104"/>
      <c r="BV73" s="104"/>
      <c r="BW73" s="104"/>
      <c r="BX73" s="104"/>
      <c r="BY73" s="104"/>
      <c r="BZ73" s="104"/>
      <c r="CA73" s="104"/>
      <c r="CB73" s="104"/>
      <c r="CC73" s="104"/>
      <c r="CD73" s="104"/>
      <c r="CE73" s="104"/>
      <c r="CF73" s="104"/>
      <c r="CG73" s="104"/>
      <c r="CH73" s="104"/>
      <c r="CI73" s="104"/>
      <c r="CJ73" s="104"/>
      <c r="CK73" s="104"/>
      <c r="CL73" s="104"/>
      <c r="CM73" s="104"/>
      <c r="CN73" s="104"/>
      <c r="CO73" s="104"/>
      <c r="CP73" s="104"/>
      <c r="CQ73" s="104"/>
      <c r="CR73" s="104"/>
      <c r="CS73" s="104"/>
      <c r="CT73" s="104"/>
      <c r="CU73" s="104"/>
      <c r="CV73" s="104"/>
      <c r="CW73" s="104"/>
      <c r="CX73" s="104"/>
      <c r="CY73" s="104"/>
      <c r="CZ73" s="104"/>
      <c r="DA73" s="104"/>
      <c r="DB73" s="104"/>
      <c r="DC73" s="104"/>
      <c r="DD73" s="104"/>
      <c r="DE73" s="104"/>
      <c r="DF73" s="104"/>
      <c r="DG73" s="104"/>
      <c r="DH73" s="104"/>
      <c r="DI73" s="104"/>
      <c r="DJ73" s="104"/>
      <c r="DK73" s="104"/>
      <c r="DL73" s="104"/>
      <c r="DM73" s="104"/>
      <c r="DN73" s="104"/>
      <c r="DO73" s="104"/>
      <c r="DP73" s="104"/>
      <c r="DQ73" s="104"/>
      <c r="DR73" s="104"/>
      <c r="DS73" s="104"/>
      <c r="DT73" s="104"/>
      <c r="DU73" s="104"/>
      <c r="DV73" s="104"/>
      <c r="DW73" s="104"/>
      <c r="DX73" s="104"/>
      <c r="DY73" s="104"/>
      <c r="DZ73" s="104"/>
      <c r="EA73" s="104"/>
      <c r="EB73" s="104"/>
      <c r="EC73" s="104"/>
      <c r="ED73" s="104"/>
      <c r="EE73" s="104"/>
      <c r="EF73" s="104"/>
      <c r="EG73" s="104"/>
      <c r="EH73" s="104"/>
      <c r="EI73" s="104"/>
      <c r="EJ73" s="104"/>
      <c r="EK73" s="104"/>
      <c r="EL73" s="104"/>
      <c r="EM73" s="104"/>
      <c r="EN73" s="104"/>
      <c r="EO73" s="104"/>
      <c r="EP73" s="104"/>
      <c r="EQ73" s="104"/>
      <c r="ER73" s="104"/>
      <c r="ES73" s="104"/>
      <c r="ET73" s="104"/>
      <c r="EU73" s="104"/>
      <c r="EV73" s="104"/>
      <c r="EW73" s="104"/>
      <c r="EX73" s="104"/>
      <c r="EY73" s="104"/>
      <c r="EZ73" s="104"/>
      <c r="FA73" s="104"/>
      <c r="FB73" s="104"/>
      <c r="FC73" s="104"/>
      <c r="FD73" s="104"/>
      <c r="FE73" s="104"/>
      <c r="FF73" s="104"/>
      <c r="FG73" s="104"/>
      <c r="FH73" s="104"/>
      <c r="FI73" s="104"/>
      <c r="FJ73" s="104"/>
      <c r="FK73" s="104"/>
      <c r="FL73" s="104"/>
      <c r="FM73" s="104"/>
      <c r="FN73" s="104"/>
      <c r="FO73" s="104"/>
      <c r="FP73" s="104"/>
      <c r="FQ73" s="104"/>
      <c r="FR73" s="104"/>
      <c r="FS73" s="104"/>
      <c r="FT73" s="104"/>
      <c r="FU73" s="104"/>
      <c r="FV73" s="104"/>
      <c r="FW73" s="104"/>
      <c r="FX73" s="104"/>
      <c r="FY73" s="104"/>
      <c r="FZ73" s="104"/>
      <c r="GA73" s="104"/>
      <c r="GB73" s="104"/>
      <c r="GC73" s="104"/>
      <c r="GD73" s="104"/>
      <c r="GE73" s="104"/>
      <c r="GF73" s="104"/>
      <c r="GG73" s="104"/>
      <c r="GH73" s="104"/>
      <c r="GI73" s="104"/>
      <c r="GJ73" s="104"/>
      <c r="GK73" s="104"/>
      <c r="GL73" s="104"/>
      <c r="GM73" s="104"/>
      <c r="GN73" s="104"/>
      <c r="GO73" s="104"/>
      <c r="GP73" s="104"/>
      <c r="GQ73" s="104"/>
      <c r="GR73" s="104"/>
      <c r="GS73" s="104"/>
      <c r="GT73" s="104"/>
      <c r="GU73" s="104"/>
      <c r="GV73" s="104"/>
      <c r="GW73" s="104"/>
      <c r="GX73" s="104"/>
      <c r="GY73" s="104"/>
      <c r="GZ73" s="104"/>
      <c r="HA73" s="104"/>
      <c r="HB73" s="104"/>
      <c r="HC73" s="104"/>
      <c r="HD73" s="104"/>
      <c r="HE73" s="104"/>
      <c r="HF73" s="104"/>
      <c r="HG73" s="104"/>
      <c r="HH73" s="104"/>
      <c r="HI73" s="104"/>
      <c r="HJ73" s="104"/>
      <c r="HK73" s="104"/>
      <c r="HL73" s="104"/>
      <c r="HM73" s="104"/>
      <c r="HN73" s="104"/>
      <c r="HO73" s="104"/>
      <c r="HP73" s="104"/>
      <c r="HQ73" s="104"/>
      <c r="HR73" s="104"/>
      <c r="HS73" s="104"/>
      <c r="HT73" s="104"/>
      <c r="HU73" s="104"/>
      <c r="HV73" s="104"/>
      <c r="HW73" s="104"/>
      <c r="HX73" s="104"/>
      <c r="HY73" s="104"/>
      <c r="HZ73" s="104"/>
      <c r="IA73" s="104"/>
      <c r="IB73" s="104"/>
      <c r="IC73" s="104"/>
      <c r="ID73" s="104"/>
      <c r="IE73" s="104"/>
      <c r="IF73" s="104"/>
      <c r="IG73" s="104"/>
      <c r="IH73" s="104"/>
      <c r="II73" s="104"/>
      <c r="IJ73" s="104"/>
      <c r="IK73" s="104"/>
      <c r="IL73" s="104"/>
      <c r="IM73" s="104"/>
      <c r="IN73" s="104"/>
      <c r="IO73" s="104"/>
      <c r="IP73" s="104"/>
      <c r="IQ73" s="104"/>
      <c r="IR73" s="104"/>
      <c r="IS73" s="104"/>
      <c r="IT73" s="104"/>
      <c r="IU73" s="104"/>
      <c r="IV73" s="104"/>
      <c r="IW73" s="104"/>
      <c r="IX73" s="104"/>
      <c r="IY73" s="104"/>
      <c r="IZ73" s="104"/>
      <c r="JA73" s="104"/>
      <c r="JB73" s="104"/>
      <c r="JC73" s="104"/>
      <c r="JD73" s="104"/>
      <c r="JE73" s="104"/>
      <c r="JF73" s="104"/>
      <c r="JG73" s="104"/>
      <c r="JH73" s="104"/>
      <c r="JI73" s="104"/>
      <c r="JJ73" s="104"/>
      <c r="JK73" s="104"/>
      <c r="JL73" s="104"/>
      <c r="JM73" s="104"/>
      <c r="JN73" s="104"/>
      <c r="JO73" s="104"/>
      <c r="JP73" s="104"/>
      <c r="JQ73" s="104"/>
      <c r="JR73" s="104"/>
      <c r="JS73" s="104"/>
      <c r="JT73" s="104"/>
      <c r="JU73" s="104"/>
      <c r="JV73" s="104"/>
      <c r="JW73" s="104"/>
      <c r="JX73" s="104"/>
      <c r="JY73" s="104"/>
      <c r="JZ73" s="104"/>
      <c r="KA73" s="104"/>
      <c r="KB73" s="104"/>
      <c r="KC73" s="104"/>
      <c r="KD73" s="104"/>
      <c r="KE73" s="104"/>
      <c r="KF73" s="104"/>
      <c r="KG73" s="104"/>
      <c r="KH73" s="104"/>
      <c r="KI73" s="104"/>
      <c r="KJ73" s="104"/>
      <c r="KK73" s="104"/>
      <c r="KL73" s="104"/>
      <c r="KM73" s="104"/>
      <c r="KN73" s="104"/>
      <c r="KO73" s="104"/>
      <c r="KP73" s="104"/>
      <c r="KQ73" s="104"/>
      <c r="KR73" s="104"/>
      <c r="KS73" s="104"/>
      <c r="KT73" s="104"/>
      <c r="KU73" s="104"/>
      <c r="KV73" s="104"/>
      <c r="KW73" s="104"/>
      <c r="KX73" s="104"/>
      <c r="KY73" s="104"/>
      <c r="KZ73" s="104"/>
      <c r="LA73" s="104"/>
      <c r="LB73" s="104"/>
      <c r="LC73" s="104"/>
      <c r="LD73" s="104"/>
      <c r="LE73" s="104"/>
      <c r="LF73" s="104"/>
      <c r="LG73" s="104"/>
      <c r="LH73" s="104"/>
      <c r="LI73" s="104"/>
      <c r="LJ73" s="104"/>
      <c r="LK73" s="104"/>
      <c r="LL73" s="104"/>
      <c r="LM73" s="104"/>
      <c r="LN73" s="104"/>
      <c r="LO73" s="104"/>
      <c r="LP73" s="104"/>
      <c r="LQ73" s="104"/>
      <c r="LR73" s="104"/>
      <c r="LS73" s="104"/>
      <c r="LT73" s="104"/>
      <c r="LU73" s="104"/>
      <c r="LV73" s="104"/>
      <c r="LW73" s="104"/>
      <c r="LX73" s="104"/>
      <c r="LY73" s="104"/>
      <c r="LZ73" s="104"/>
      <c r="MA73" s="104"/>
      <c r="MB73" s="104"/>
      <c r="MC73" s="104"/>
      <c r="MD73" s="104"/>
      <c r="ME73" s="104"/>
      <c r="MF73" s="104"/>
      <c r="MG73" s="104"/>
      <c r="MH73" s="104"/>
      <c r="MI73" s="104"/>
      <c r="MJ73" s="104"/>
      <c r="MK73" s="104"/>
      <c r="ML73" s="104"/>
      <c r="MM73" s="104"/>
      <c r="MN73" s="104"/>
      <c r="MO73" s="104"/>
      <c r="MP73" s="104"/>
      <c r="MQ73" s="104"/>
      <c r="MR73" s="104"/>
      <c r="MS73" s="104"/>
      <c r="MT73" s="104"/>
      <c r="MU73" s="104"/>
      <c r="MV73" s="104"/>
      <c r="MW73" s="104"/>
      <c r="MX73" s="104"/>
      <c r="MY73" s="104"/>
      <c r="MZ73" s="104"/>
      <c r="NA73" s="104"/>
      <c r="NB73" s="104"/>
      <c r="NC73" s="104"/>
      <c r="ND73" s="104"/>
      <c r="NE73" s="104"/>
      <c r="NF73" s="104"/>
      <c r="NG73" s="104"/>
      <c r="NH73" s="104"/>
      <c r="NI73" s="104"/>
      <c r="NJ73" s="104"/>
      <c r="NK73" s="104"/>
      <c r="NL73" s="104"/>
      <c r="NM73" s="104"/>
      <c r="NN73" s="104"/>
      <c r="NO73" s="104"/>
      <c r="NP73" s="104"/>
      <c r="NQ73" s="104"/>
      <c r="NR73" s="104"/>
      <c r="NS73" s="104"/>
      <c r="NT73" s="104"/>
      <c r="NU73" s="104"/>
      <c r="NV73" s="104"/>
      <c r="NW73" s="104"/>
      <c r="NX73" s="104"/>
      <c r="NY73" s="104"/>
      <c r="NZ73" s="104"/>
    </row>
    <row r="74" spans="1:390" ht="15.75" customHeight="1" x14ac:dyDescent="0.3">
      <c r="A74" s="214">
        <v>4227414555</v>
      </c>
      <c r="B74" s="165" t="s">
        <v>391</v>
      </c>
      <c r="C74" s="138"/>
      <c r="D74" s="216" t="s">
        <v>391</v>
      </c>
      <c r="E74" s="136" t="s">
        <v>705</v>
      </c>
      <c r="F74" s="125" t="s">
        <v>471</v>
      </c>
      <c r="G74" s="221" t="s">
        <v>395</v>
      </c>
      <c r="H74" s="219">
        <v>43658</v>
      </c>
      <c r="I74" s="216" t="s">
        <v>513</v>
      </c>
      <c r="J74" s="153" t="s">
        <v>397</v>
      </c>
      <c r="K74" s="153" t="s">
        <v>398</v>
      </c>
      <c r="L74" s="153" t="s">
        <v>398</v>
      </c>
      <c r="M74" s="164" t="s">
        <v>398</v>
      </c>
      <c r="N74" s="164" t="s">
        <v>398</v>
      </c>
      <c r="O74" s="164" t="s">
        <v>398</v>
      </c>
      <c r="P74" s="164" t="s">
        <v>398</v>
      </c>
      <c r="Q74" s="164" t="s">
        <v>398</v>
      </c>
      <c r="R74" s="164" t="s">
        <v>398</v>
      </c>
      <c r="S74" s="164" t="s">
        <v>398</v>
      </c>
      <c r="T74" s="164" t="s">
        <v>398</v>
      </c>
      <c r="U74" s="164" t="s">
        <v>398</v>
      </c>
      <c r="V74" s="164" t="s">
        <v>398</v>
      </c>
      <c r="W74" s="164" t="s">
        <v>398</v>
      </c>
      <c r="X74" s="164" t="s">
        <v>398</v>
      </c>
      <c r="Y74" s="164" t="s">
        <v>398</v>
      </c>
      <c r="Z74" s="164" t="s">
        <v>398</v>
      </c>
      <c r="AA74" s="164" t="s">
        <v>398</v>
      </c>
      <c r="AB74" s="167" t="s">
        <v>399</v>
      </c>
      <c r="AC74" s="219">
        <v>17690</v>
      </c>
      <c r="AD74" s="106"/>
      <c r="AE74" s="108" t="e">
        <f t="shared" si="1"/>
        <v>#NUM!</v>
      </c>
      <c r="AF74" s="104" t="s">
        <v>411</v>
      </c>
      <c r="AG74" s="79" t="s">
        <v>401</v>
      </c>
      <c r="AH74" s="104" t="s">
        <v>402</v>
      </c>
      <c r="AI74" s="110"/>
      <c r="AJ74" s="110"/>
      <c r="AK74" s="110"/>
      <c r="AL74" s="110"/>
      <c r="AM74" s="105"/>
      <c r="AN74" s="95">
        <v>1</v>
      </c>
      <c r="AO74" s="173" t="s">
        <v>398</v>
      </c>
      <c r="AP74" s="104"/>
      <c r="AQ74" s="104"/>
      <c r="AR74" s="104"/>
      <c r="AS74" s="104"/>
      <c r="AT74" s="104"/>
      <c r="AU74" s="104"/>
      <c r="AV74" s="104"/>
      <c r="AW74" s="104"/>
      <c r="AX74" s="104"/>
      <c r="AY74" s="104"/>
      <c r="AZ74" s="104"/>
      <c r="BA74" s="104"/>
      <c r="BB74" s="104"/>
      <c r="BC74" s="104"/>
      <c r="BD74" s="104"/>
      <c r="BE74" s="104"/>
      <c r="BF74" s="104"/>
      <c r="BG74" s="104"/>
      <c r="BH74" s="104"/>
      <c r="BI74" s="104"/>
      <c r="BJ74" s="104"/>
      <c r="BK74" s="104"/>
      <c r="BL74" s="104"/>
      <c r="BM74" s="104"/>
      <c r="BN74" s="104"/>
      <c r="BO74" s="104"/>
      <c r="BP74" s="104"/>
      <c r="BQ74" s="104"/>
      <c r="BR74" s="104"/>
      <c r="BS74" s="104"/>
      <c r="BT74" s="104"/>
      <c r="BU74" s="104"/>
      <c r="BV74" s="104"/>
      <c r="BW74" s="104"/>
      <c r="BX74" s="104"/>
      <c r="BY74" s="104"/>
      <c r="BZ74" s="104"/>
      <c r="CA74" s="104"/>
      <c r="CB74" s="104"/>
      <c r="CC74" s="104"/>
      <c r="CD74" s="104"/>
      <c r="CE74" s="104"/>
      <c r="CF74" s="104"/>
      <c r="CG74" s="104"/>
      <c r="CH74" s="104"/>
      <c r="CI74" s="104"/>
      <c r="CJ74" s="104"/>
      <c r="CK74" s="104"/>
      <c r="CL74" s="104"/>
      <c r="CM74" s="104"/>
      <c r="CN74" s="104"/>
      <c r="CO74" s="104"/>
      <c r="CP74" s="104"/>
      <c r="CQ74" s="104"/>
      <c r="CR74" s="104"/>
      <c r="CS74" s="104"/>
      <c r="CT74" s="104"/>
      <c r="CU74" s="104"/>
      <c r="CV74" s="104"/>
      <c r="CW74" s="104"/>
      <c r="CX74" s="104"/>
      <c r="CY74" s="104"/>
      <c r="CZ74" s="104"/>
      <c r="DA74" s="104"/>
      <c r="DB74" s="104"/>
      <c r="DC74" s="104"/>
      <c r="DD74" s="104"/>
      <c r="DE74" s="104"/>
      <c r="DF74" s="104"/>
      <c r="DG74" s="104"/>
      <c r="DH74" s="104"/>
      <c r="DI74" s="104"/>
      <c r="DJ74" s="104"/>
      <c r="DK74" s="104"/>
      <c r="DL74" s="104"/>
      <c r="DM74" s="104"/>
      <c r="DN74" s="104"/>
      <c r="DO74" s="104"/>
      <c r="DP74" s="104"/>
      <c r="DQ74" s="104"/>
      <c r="DR74" s="104"/>
      <c r="DS74" s="104"/>
      <c r="DT74" s="104"/>
      <c r="DU74" s="104"/>
      <c r="DV74" s="104"/>
      <c r="DW74" s="104"/>
      <c r="DX74" s="104"/>
      <c r="DY74" s="104"/>
      <c r="DZ74" s="104"/>
      <c r="EA74" s="104"/>
      <c r="EB74" s="104"/>
      <c r="EC74" s="104"/>
      <c r="ED74" s="104"/>
      <c r="EE74" s="104"/>
      <c r="EF74" s="104"/>
      <c r="EG74" s="104"/>
      <c r="EH74" s="104"/>
      <c r="EI74" s="104"/>
      <c r="EJ74" s="104"/>
      <c r="EK74" s="104"/>
      <c r="EL74" s="104"/>
      <c r="EM74" s="104"/>
      <c r="EN74" s="104"/>
      <c r="EO74" s="104"/>
      <c r="EP74" s="104"/>
      <c r="EQ74" s="104"/>
      <c r="ER74" s="104"/>
      <c r="ES74" s="104"/>
      <c r="ET74" s="104"/>
      <c r="EU74" s="104"/>
      <c r="EV74" s="104"/>
      <c r="EW74" s="104"/>
      <c r="EX74" s="104"/>
      <c r="EY74" s="104"/>
      <c r="EZ74" s="104"/>
      <c r="FA74" s="104"/>
      <c r="FB74" s="104"/>
      <c r="FC74" s="104"/>
      <c r="FD74" s="104"/>
      <c r="FE74" s="104"/>
      <c r="FF74" s="104"/>
      <c r="FG74" s="104"/>
      <c r="FH74" s="104"/>
      <c r="FI74" s="104"/>
      <c r="FJ74" s="104"/>
      <c r="FK74" s="104"/>
      <c r="FL74" s="104"/>
      <c r="FM74" s="104"/>
      <c r="FN74" s="104"/>
      <c r="FO74" s="104"/>
      <c r="FP74" s="104"/>
      <c r="FQ74" s="104"/>
      <c r="FR74" s="104"/>
      <c r="FS74" s="104"/>
      <c r="FT74" s="104"/>
      <c r="FU74" s="104"/>
      <c r="FV74" s="104"/>
      <c r="FW74" s="104"/>
      <c r="FX74" s="104"/>
      <c r="FY74" s="104"/>
      <c r="FZ74" s="104"/>
      <c r="GA74" s="104"/>
      <c r="GB74" s="104"/>
      <c r="GC74" s="104"/>
      <c r="GD74" s="104"/>
      <c r="GE74" s="104"/>
      <c r="GF74" s="104"/>
      <c r="GG74" s="104"/>
      <c r="GH74" s="104"/>
      <c r="GI74" s="104"/>
      <c r="GJ74" s="104"/>
      <c r="GK74" s="104"/>
      <c r="GL74" s="104"/>
      <c r="GM74" s="104"/>
      <c r="GN74" s="104"/>
      <c r="GO74" s="104"/>
      <c r="GP74" s="104"/>
      <c r="GQ74" s="104"/>
      <c r="GR74" s="104"/>
      <c r="GS74" s="104"/>
      <c r="GT74" s="104"/>
      <c r="GU74" s="104"/>
      <c r="GV74" s="104"/>
      <c r="GW74" s="104"/>
      <c r="GX74" s="104"/>
      <c r="GY74" s="104"/>
      <c r="GZ74" s="104"/>
      <c r="HA74" s="104"/>
      <c r="HB74" s="104"/>
      <c r="HC74" s="104"/>
      <c r="HD74" s="104"/>
      <c r="HE74" s="104"/>
      <c r="HF74" s="104"/>
      <c r="HG74" s="104"/>
      <c r="HH74" s="104"/>
      <c r="HI74" s="104"/>
      <c r="HJ74" s="104"/>
      <c r="HK74" s="104"/>
      <c r="HL74" s="104"/>
      <c r="HM74" s="104"/>
      <c r="HN74" s="104"/>
      <c r="HO74" s="104"/>
      <c r="HP74" s="104"/>
      <c r="HQ74" s="104"/>
      <c r="HR74" s="104"/>
      <c r="HS74" s="104"/>
      <c r="HT74" s="104"/>
      <c r="HU74" s="104"/>
      <c r="HV74" s="104"/>
      <c r="HW74" s="104"/>
      <c r="HX74" s="104"/>
      <c r="HY74" s="104"/>
      <c r="HZ74" s="104"/>
      <c r="IA74" s="104"/>
      <c r="IB74" s="104"/>
      <c r="IC74" s="104"/>
      <c r="ID74" s="104"/>
      <c r="IE74" s="104"/>
      <c r="IF74" s="104"/>
      <c r="IG74" s="104"/>
      <c r="IH74" s="104"/>
      <c r="II74" s="104"/>
      <c r="IJ74" s="104"/>
      <c r="IK74" s="104"/>
      <c r="IL74" s="104"/>
      <c r="IM74" s="104"/>
      <c r="IN74" s="104"/>
      <c r="IO74" s="104"/>
      <c r="IP74" s="104"/>
      <c r="IQ74" s="104"/>
      <c r="IR74" s="104"/>
      <c r="IS74" s="104"/>
      <c r="IT74" s="104"/>
      <c r="IU74" s="104"/>
      <c r="IV74" s="104"/>
      <c r="IW74" s="104"/>
      <c r="IX74" s="104"/>
      <c r="IY74" s="104"/>
      <c r="IZ74" s="104"/>
      <c r="JA74" s="104"/>
      <c r="JB74" s="104"/>
      <c r="JC74" s="104"/>
      <c r="JD74" s="104"/>
      <c r="JE74" s="104"/>
      <c r="JF74" s="104"/>
      <c r="JG74" s="104"/>
      <c r="JH74" s="104"/>
      <c r="JI74" s="104"/>
      <c r="JJ74" s="104"/>
      <c r="JK74" s="104"/>
      <c r="JL74" s="104"/>
      <c r="JM74" s="104"/>
      <c r="JN74" s="104"/>
      <c r="JO74" s="104"/>
      <c r="JP74" s="104"/>
      <c r="JQ74" s="104"/>
      <c r="JR74" s="104"/>
      <c r="JS74" s="104"/>
      <c r="JT74" s="104"/>
      <c r="JU74" s="104"/>
      <c r="JV74" s="104"/>
      <c r="JW74" s="104"/>
      <c r="JX74" s="104"/>
      <c r="JY74" s="104"/>
      <c r="JZ74" s="104"/>
      <c r="KA74" s="104"/>
      <c r="KB74" s="104"/>
      <c r="KC74" s="104"/>
      <c r="KD74" s="104"/>
      <c r="KE74" s="104"/>
      <c r="KF74" s="104"/>
      <c r="KG74" s="104"/>
      <c r="KH74" s="104"/>
      <c r="KI74" s="104"/>
      <c r="KJ74" s="104"/>
      <c r="KK74" s="104"/>
      <c r="KL74" s="104"/>
      <c r="KM74" s="104"/>
      <c r="KN74" s="104"/>
      <c r="KO74" s="104"/>
      <c r="KP74" s="104"/>
      <c r="KQ74" s="104"/>
      <c r="KR74" s="104"/>
      <c r="KS74" s="104"/>
      <c r="KT74" s="104"/>
      <c r="KU74" s="104"/>
      <c r="KV74" s="104"/>
      <c r="KW74" s="104"/>
      <c r="KX74" s="104"/>
      <c r="KY74" s="104"/>
      <c r="KZ74" s="104"/>
      <c r="LA74" s="104"/>
      <c r="LB74" s="104"/>
      <c r="LC74" s="104"/>
      <c r="LD74" s="104"/>
      <c r="LE74" s="104"/>
      <c r="LF74" s="104"/>
      <c r="LG74" s="104"/>
      <c r="LH74" s="104"/>
      <c r="LI74" s="104"/>
      <c r="LJ74" s="104"/>
      <c r="LK74" s="104"/>
      <c r="LL74" s="104"/>
      <c r="LM74" s="104"/>
      <c r="LN74" s="104"/>
      <c r="LO74" s="104"/>
      <c r="LP74" s="104"/>
      <c r="LQ74" s="104"/>
      <c r="LR74" s="104"/>
      <c r="LS74" s="104"/>
      <c r="LT74" s="104"/>
      <c r="LU74" s="104"/>
      <c r="LV74" s="104"/>
      <c r="LW74" s="104"/>
      <c r="LX74" s="104"/>
      <c r="LY74" s="104"/>
      <c r="LZ74" s="104"/>
      <c r="MA74" s="104"/>
      <c r="MB74" s="104"/>
      <c r="MC74" s="104"/>
      <c r="MD74" s="104"/>
      <c r="ME74" s="104"/>
      <c r="MF74" s="104"/>
      <c r="MG74" s="104"/>
      <c r="MH74" s="104"/>
      <c r="MI74" s="104"/>
      <c r="MJ74" s="104"/>
      <c r="MK74" s="104"/>
      <c r="ML74" s="104"/>
      <c r="MM74" s="104"/>
      <c r="MN74" s="104"/>
      <c r="MO74" s="104"/>
      <c r="MP74" s="104"/>
      <c r="MQ74" s="104"/>
      <c r="MR74" s="104"/>
      <c r="MS74" s="104"/>
      <c r="MT74" s="104"/>
      <c r="MU74" s="104"/>
      <c r="MV74" s="104"/>
      <c r="MW74" s="104"/>
      <c r="MX74" s="104"/>
      <c r="MY74" s="104"/>
      <c r="MZ74" s="104"/>
      <c r="NA74" s="104"/>
      <c r="NB74" s="104"/>
      <c r="NC74" s="104"/>
      <c r="ND74" s="104"/>
      <c r="NE74" s="104"/>
      <c r="NF74" s="104"/>
      <c r="NG74" s="104"/>
      <c r="NH74" s="104"/>
      <c r="NI74" s="104"/>
      <c r="NJ74" s="104"/>
      <c r="NK74" s="104"/>
      <c r="NL74" s="104"/>
      <c r="NM74" s="104"/>
      <c r="NN74" s="104"/>
      <c r="NO74" s="104"/>
      <c r="NP74" s="104"/>
      <c r="NQ74" s="104"/>
      <c r="NR74" s="104"/>
      <c r="NS74" s="104"/>
      <c r="NT74" s="104"/>
      <c r="NU74" s="104"/>
      <c r="NV74" s="104"/>
      <c r="NW74" s="104"/>
      <c r="NX74" s="104"/>
      <c r="NY74" s="104"/>
      <c r="NZ74" s="104"/>
    </row>
    <row r="75" spans="1:390" ht="15.75" customHeight="1" x14ac:dyDescent="0.3">
      <c r="A75" s="214">
        <v>4509326874</v>
      </c>
      <c r="B75" s="165" t="s">
        <v>391</v>
      </c>
      <c r="C75" s="138"/>
      <c r="D75" s="216" t="s">
        <v>391</v>
      </c>
      <c r="E75" s="136" t="s">
        <v>706</v>
      </c>
      <c r="F75" s="125" t="s">
        <v>461</v>
      </c>
      <c r="G75" s="221" t="s">
        <v>471</v>
      </c>
      <c r="H75" s="219">
        <v>43658</v>
      </c>
      <c r="I75" s="216" t="s">
        <v>458</v>
      </c>
      <c r="J75" s="153" t="s">
        <v>397</v>
      </c>
      <c r="K75" s="153" t="s">
        <v>398</v>
      </c>
      <c r="L75" s="153" t="s">
        <v>398</v>
      </c>
      <c r="M75" s="164" t="s">
        <v>398</v>
      </c>
      <c r="N75" s="164" t="s">
        <v>398</v>
      </c>
      <c r="O75" s="164" t="s">
        <v>398</v>
      </c>
      <c r="P75" s="164" t="s">
        <v>398</v>
      </c>
      <c r="Q75" s="164" t="s">
        <v>398</v>
      </c>
      <c r="R75" s="164" t="s">
        <v>398</v>
      </c>
      <c r="S75" s="164" t="s">
        <v>398</v>
      </c>
      <c r="T75" s="164" t="s">
        <v>398</v>
      </c>
      <c r="U75" s="164" t="s">
        <v>398</v>
      </c>
      <c r="V75" s="164" t="s">
        <v>398</v>
      </c>
      <c r="W75" s="164" t="s">
        <v>398</v>
      </c>
      <c r="X75" s="164" t="s">
        <v>398</v>
      </c>
      <c r="Y75" s="164" t="s">
        <v>398</v>
      </c>
      <c r="Z75" s="164" t="s">
        <v>398</v>
      </c>
      <c r="AA75" s="164" t="s">
        <v>398</v>
      </c>
      <c r="AB75" s="167" t="s">
        <v>399</v>
      </c>
      <c r="AC75" s="219">
        <v>18357</v>
      </c>
      <c r="AD75" s="106"/>
      <c r="AE75" s="108" t="e">
        <f t="shared" si="1"/>
        <v>#NUM!</v>
      </c>
      <c r="AF75" s="104" t="s">
        <v>602</v>
      </c>
      <c r="AG75" s="79" t="s">
        <v>401</v>
      </c>
      <c r="AH75" s="104" t="s">
        <v>402</v>
      </c>
      <c r="AI75" s="110"/>
      <c r="AJ75" s="110"/>
      <c r="AK75" s="110"/>
      <c r="AL75" s="110"/>
      <c r="AM75" s="105"/>
      <c r="AN75" s="95">
        <v>2</v>
      </c>
      <c r="AO75" s="173" t="s">
        <v>398</v>
      </c>
      <c r="AP75" s="104"/>
      <c r="AQ75" s="104"/>
      <c r="AR75" s="104"/>
      <c r="AS75" s="104"/>
      <c r="AT75" s="104"/>
      <c r="AU75" s="104"/>
      <c r="AV75" s="104"/>
      <c r="AW75" s="104"/>
      <c r="AX75" s="104"/>
      <c r="AY75" s="104"/>
      <c r="AZ75" s="104"/>
      <c r="BA75" s="104"/>
      <c r="BB75" s="104"/>
      <c r="BC75" s="104"/>
      <c r="BD75" s="104"/>
      <c r="BE75" s="104"/>
      <c r="BF75" s="104"/>
      <c r="BG75" s="104"/>
      <c r="BH75" s="104"/>
      <c r="BI75" s="104"/>
      <c r="BJ75" s="104"/>
      <c r="BK75" s="104"/>
      <c r="BL75" s="104"/>
      <c r="BM75" s="104"/>
      <c r="BN75" s="104"/>
      <c r="BO75" s="104"/>
      <c r="BP75" s="104"/>
      <c r="BQ75" s="104"/>
      <c r="BR75" s="104"/>
      <c r="BS75" s="104"/>
      <c r="BT75" s="104"/>
      <c r="BU75" s="104"/>
      <c r="BV75" s="104"/>
      <c r="BW75" s="104"/>
      <c r="BX75" s="104"/>
      <c r="BY75" s="104"/>
      <c r="BZ75" s="104"/>
      <c r="CA75" s="104"/>
      <c r="CB75" s="104"/>
      <c r="CC75" s="104"/>
      <c r="CD75" s="104"/>
      <c r="CE75" s="104"/>
      <c r="CF75" s="104"/>
      <c r="CG75" s="104"/>
      <c r="CH75" s="104"/>
      <c r="CI75" s="104"/>
      <c r="CJ75" s="104"/>
      <c r="CK75" s="104"/>
      <c r="CL75" s="104"/>
      <c r="CM75" s="104"/>
      <c r="CN75" s="104"/>
      <c r="CO75" s="104"/>
      <c r="CP75" s="104"/>
      <c r="CQ75" s="104"/>
      <c r="CR75" s="104"/>
      <c r="CS75" s="104"/>
      <c r="CT75" s="104"/>
      <c r="CU75" s="104"/>
      <c r="CV75" s="104"/>
      <c r="CW75" s="104"/>
      <c r="CX75" s="104"/>
      <c r="CY75" s="104"/>
      <c r="CZ75" s="104"/>
      <c r="DA75" s="104"/>
      <c r="DB75" s="104"/>
      <c r="DC75" s="104"/>
      <c r="DD75" s="104"/>
      <c r="DE75" s="104"/>
      <c r="DF75" s="104"/>
      <c r="DG75" s="104"/>
      <c r="DH75" s="104"/>
      <c r="DI75" s="104"/>
      <c r="DJ75" s="104"/>
      <c r="DK75" s="104"/>
      <c r="DL75" s="104"/>
      <c r="DM75" s="104"/>
      <c r="DN75" s="104"/>
      <c r="DO75" s="104"/>
      <c r="DP75" s="104"/>
      <c r="DQ75" s="104"/>
      <c r="DR75" s="104"/>
      <c r="DS75" s="104"/>
      <c r="DT75" s="104"/>
      <c r="DU75" s="104"/>
      <c r="DV75" s="104"/>
      <c r="DW75" s="104"/>
      <c r="DX75" s="104"/>
      <c r="DY75" s="104"/>
      <c r="DZ75" s="104"/>
      <c r="EA75" s="104"/>
      <c r="EB75" s="104"/>
      <c r="EC75" s="104"/>
      <c r="ED75" s="104"/>
      <c r="EE75" s="104"/>
      <c r="EF75" s="104"/>
      <c r="EG75" s="104"/>
      <c r="EH75" s="104"/>
      <c r="EI75" s="104"/>
      <c r="EJ75" s="104"/>
      <c r="EK75" s="104"/>
      <c r="EL75" s="104"/>
      <c r="EM75" s="104"/>
      <c r="EN75" s="104"/>
      <c r="EO75" s="104"/>
      <c r="EP75" s="104"/>
      <c r="EQ75" s="104"/>
      <c r="ER75" s="104"/>
      <c r="ES75" s="104"/>
      <c r="ET75" s="104"/>
      <c r="EU75" s="104"/>
      <c r="EV75" s="104"/>
      <c r="EW75" s="104"/>
      <c r="EX75" s="104"/>
      <c r="EY75" s="104"/>
      <c r="EZ75" s="104"/>
      <c r="FA75" s="104"/>
      <c r="FB75" s="104"/>
      <c r="FC75" s="104"/>
      <c r="FD75" s="104"/>
      <c r="FE75" s="104"/>
      <c r="FF75" s="104"/>
      <c r="FG75" s="104"/>
      <c r="FH75" s="104"/>
      <c r="FI75" s="104"/>
      <c r="FJ75" s="104"/>
      <c r="FK75" s="104"/>
      <c r="FL75" s="104"/>
      <c r="FM75" s="104"/>
      <c r="FN75" s="104"/>
      <c r="FO75" s="104"/>
      <c r="FP75" s="104"/>
      <c r="FQ75" s="104"/>
      <c r="FR75" s="104"/>
      <c r="FS75" s="104"/>
      <c r="FT75" s="104"/>
      <c r="FU75" s="104"/>
      <c r="FV75" s="104"/>
      <c r="FW75" s="104"/>
      <c r="FX75" s="104"/>
      <c r="FY75" s="104"/>
      <c r="FZ75" s="104"/>
      <c r="GA75" s="104"/>
      <c r="GB75" s="104"/>
      <c r="GC75" s="104"/>
      <c r="GD75" s="104"/>
      <c r="GE75" s="104"/>
      <c r="GF75" s="104"/>
      <c r="GG75" s="104"/>
      <c r="GH75" s="104"/>
      <c r="GI75" s="104"/>
      <c r="GJ75" s="104"/>
      <c r="GK75" s="104"/>
      <c r="GL75" s="104"/>
      <c r="GM75" s="104"/>
      <c r="GN75" s="104"/>
      <c r="GO75" s="104"/>
      <c r="GP75" s="104"/>
      <c r="GQ75" s="104"/>
      <c r="GR75" s="104"/>
      <c r="GS75" s="104"/>
      <c r="GT75" s="104"/>
      <c r="GU75" s="104"/>
      <c r="GV75" s="104"/>
      <c r="GW75" s="104"/>
      <c r="GX75" s="104"/>
      <c r="GY75" s="104"/>
      <c r="GZ75" s="104"/>
      <c r="HA75" s="104"/>
      <c r="HB75" s="104"/>
      <c r="HC75" s="104"/>
      <c r="HD75" s="104"/>
      <c r="HE75" s="104"/>
      <c r="HF75" s="104"/>
      <c r="HG75" s="104"/>
      <c r="HH75" s="104"/>
      <c r="HI75" s="104"/>
      <c r="HJ75" s="104"/>
      <c r="HK75" s="104"/>
      <c r="HL75" s="104"/>
      <c r="HM75" s="104"/>
      <c r="HN75" s="104"/>
      <c r="HO75" s="104"/>
      <c r="HP75" s="104"/>
      <c r="HQ75" s="104"/>
      <c r="HR75" s="104"/>
      <c r="HS75" s="104"/>
      <c r="HT75" s="104"/>
      <c r="HU75" s="104"/>
      <c r="HV75" s="104"/>
      <c r="HW75" s="104"/>
      <c r="HX75" s="104"/>
      <c r="HY75" s="104"/>
      <c r="HZ75" s="104"/>
      <c r="IA75" s="104"/>
      <c r="IB75" s="104"/>
      <c r="IC75" s="104"/>
      <c r="ID75" s="104"/>
      <c r="IE75" s="104"/>
      <c r="IF75" s="104"/>
      <c r="IG75" s="104"/>
      <c r="IH75" s="104"/>
      <c r="II75" s="104"/>
      <c r="IJ75" s="104"/>
      <c r="IK75" s="104"/>
      <c r="IL75" s="104"/>
      <c r="IM75" s="104"/>
      <c r="IN75" s="104"/>
      <c r="IO75" s="104"/>
      <c r="IP75" s="104"/>
      <c r="IQ75" s="104"/>
      <c r="IR75" s="104"/>
      <c r="IS75" s="104"/>
      <c r="IT75" s="104"/>
      <c r="IU75" s="104"/>
      <c r="IV75" s="104"/>
      <c r="IW75" s="104"/>
      <c r="IX75" s="104"/>
      <c r="IY75" s="104"/>
      <c r="IZ75" s="104"/>
      <c r="JA75" s="104"/>
      <c r="JB75" s="104"/>
      <c r="JC75" s="104"/>
      <c r="JD75" s="104"/>
      <c r="JE75" s="104"/>
      <c r="JF75" s="104"/>
      <c r="JG75" s="104"/>
      <c r="JH75" s="104"/>
      <c r="JI75" s="104"/>
      <c r="JJ75" s="104"/>
      <c r="JK75" s="104"/>
      <c r="JL75" s="104"/>
      <c r="JM75" s="104"/>
      <c r="JN75" s="104"/>
      <c r="JO75" s="104"/>
      <c r="JP75" s="104"/>
      <c r="JQ75" s="104"/>
      <c r="JR75" s="104"/>
      <c r="JS75" s="104"/>
      <c r="JT75" s="104"/>
      <c r="JU75" s="104"/>
      <c r="JV75" s="104"/>
      <c r="JW75" s="104"/>
      <c r="JX75" s="104"/>
      <c r="JY75" s="104"/>
      <c r="JZ75" s="104"/>
      <c r="KA75" s="104"/>
      <c r="KB75" s="104"/>
      <c r="KC75" s="104"/>
      <c r="KD75" s="104"/>
      <c r="KE75" s="104"/>
      <c r="KF75" s="104"/>
      <c r="KG75" s="104"/>
      <c r="KH75" s="104"/>
      <c r="KI75" s="104"/>
      <c r="KJ75" s="104"/>
      <c r="KK75" s="104"/>
      <c r="KL75" s="104"/>
      <c r="KM75" s="104"/>
      <c r="KN75" s="104"/>
      <c r="KO75" s="104"/>
      <c r="KP75" s="104"/>
      <c r="KQ75" s="104"/>
      <c r="KR75" s="104"/>
      <c r="KS75" s="104"/>
      <c r="KT75" s="104"/>
      <c r="KU75" s="104"/>
      <c r="KV75" s="104"/>
      <c r="KW75" s="104"/>
      <c r="KX75" s="104"/>
      <c r="KY75" s="104"/>
      <c r="KZ75" s="104"/>
      <c r="LA75" s="104"/>
      <c r="LB75" s="104"/>
      <c r="LC75" s="104"/>
      <c r="LD75" s="104"/>
      <c r="LE75" s="104"/>
      <c r="LF75" s="104"/>
      <c r="LG75" s="104"/>
      <c r="LH75" s="104"/>
      <c r="LI75" s="104"/>
      <c r="LJ75" s="104"/>
      <c r="LK75" s="104"/>
      <c r="LL75" s="104"/>
      <c r="LM75" s="104"/>
      <c r="LN75" s="104"/>
      <c r="LO75" s="104"/>
      <c r="LP75" s="104"/>
      <c r="LQ75" s="104"/>
      <c r="LR75" s="104"/>
      <c r="LS75" s="104"/>
      <c r="LT75" s="104"/>
      <c r="LU75" s="104"/>
      <c r="LV75" s="104"/>
      <c r="LW75" s="104"/>
      <c r="LX75" s="104"/>
      <c r="LY75" s="104"/>
      <c r="LZ75" s="104"/>
      <c r="MA75" s="104"/>
      <c r="MB75" s="104"/>
      <c r="MC75" s="104"/>
      <c r="MD75" s="104"/>
      <c r="ME75" s="104"/>
      <c r="MF75" s="104"/>
      <c r="MG75" s="104"/>
      <c r="MH75" s="104"/>
      <c r="MI75" s="104"/>
      <c r="MJ75" s="104"/>
      <c r="MK75" s="104"/>
      <c r="ML75" s="104"/>
      <c r="MM75" s="104"/>
      <c r="MN75" s="104"/>
      <c r="MO75" s="104"/>
      <c r="MP75" s="104"/>
      <c r="MQ75" s="104"/>
      <c r="MR75" s="104"/>
      <c r="MS75" s="104"/>
      <c r="MT75" s="104"/>
      <c r="MU75" s="104"/>
      <c r="MV75" s="104"/>
      <c r="MW75" s="104"/>
      <c r="MX75" s="104"/>
      <c r="MY75" s="104"/>
      <c r="MZ75" s="104"/>
      <c r="NA75" s="104"/>
      <c r="NB75" s="104"/>
      <c r="NC75" s="104"/>
      <c r="ND75" s="104"/>
      <c r="NE75" s="104"/>
      <c r="NF75" s="104"/>
      <c r="NG75" s="104"/>
      <c r="NH75" s="104"/>
      <c r="NI75" s="104"/>
      <c r="NJ75" s="104"/>
      <c r="NK75" s="104"/>
      <c r="NL75" s="104"/>
      <c r="NM75" s="104"/>
      <c r="NN75" s="104"/>
      <c r="NO75" s="104"/>
      <c r="NP75" s="104"/>
      <c r="NQ75" s="104"/>
      <c r="NR75" s="104"/>
      <c r="NS75" s="104"/>
      <c r="NT75" s="104"/>
      <c r="NU75" s="104"/>
      <c r="NV75" s="104"/>
      <c r="NW75" s="104"/>
      <c r="NX75" s="104"/>
      <c r="NY75" s="104"/>
      <c r="NZ75" s="104"/>
    </row>
    <row r="76" spans="1:390" ht="15.75" customHeight="1" x14ac:dyDescent="0.3">
      <c r="A76" s="214">
        <v>4860443551</v>
      </c>
      <c r="B76" s="165" t="s">
        <v>391</v>
      </c>
      <c r="C76" s="138"/>
      <c r="D76" s="216" t="s">
        <v>391</v>
      </c>
      <c r="E76" s="136" t="s">
        <v>707</v>
      </c>
      <c r="F76" s="125" t="s">
        <v>416</v>
      </c>
      <c r="G76" s="221" t="s">
        <v>437</v>
      </c>
      <c r="H76" s="219">
        <v>43686</v>
      </c>
      <c r="I76" s="216" t="s">
        <v>708</v>
      </c>
      <c r="J76" s="153" t="s">
        <v>397</v>
      </c>
      <c r="K76" s="153" t="s">
        <v>398</v>
      </c>
      <c r="L76" s="153" t="s">
        <v>398</v>
      </c>
      <c r="M76" s="164" t="s">
        <v>398</v>
      </c>
      <c r="N76" s="164" t="s">
        <v>398</v>
      </c>
      <c r="O76" s="164" t="s">
        <v>398</v>
      </c>
      <c r="P76" s="164" t="s">
        <v>398</v>
      </c>
      <c r="Q76" s="164" t="s">
        <v>398</v>
      </c>
      <c r="R76" s="164" t="s">
        <v>398</v>
      </c>
      <c r="S76" s="164" t="s">
        <v>398</v>
      </c>
      <c r="T76" s="164" t="s">
        <v>398</v>
      </c>
      <c r="U76" s="164" t="s">
        <v>398</v>
      </c>
      <c r="V76" s="164" t="s">
        <v>398</v>
      </c>
      <c r="W76" s="164" t="s">
        <v>398</v>
      </c>
      <c r="X76" s="164" t="s">
        <v>398</v>
      </c>
      <c r="Y76" s="164" t="s">
        <v>398</v>
      </c>
      <c r="Z76" s="164" t="s">
        <v>398</v>
      </c>
      <c r="AA76" s="164" t="s">
        <v>398</v>
      </c>
      <c r="AB76" s="167" t="s">
        <v>399</v>
      </c>
      <c r="AC76" s="219">
        <v>21371</v>
      </c>
      <c r="AD76" s="106"/>
      <c r="AE76" s="108" t="e">
        <f t="shared" si="1"/>
        <v>#NUM!</v>
      </c>
      <c r="AF76" s="104" t="s">
        <v>602</v>
      </c>
      <c r="AG76" s="79" t="s">
        <v>401</v>
      </c>
      <c r="AH76" s="104" t="s">
        <v>402</v>
      </c>
      <c r="AI76" s="110"/>
      <c r="AJ76" s="110"/>
      <c r="AK76" s="110"/>
      <c r="AL76" s="110"/>
      <c r="AM76" s="105"/>
      <c r="AN76" s="95">
        <v>3</v>
      </c>
      <c r="AO76" s="173" t="s">
        <v>398</v>
      </c>
      <c r="AP76" s="104"/>
      <c r="AQ76" s="104"/>
      <c r="AR76" s="104"/>
      <c r="AS76" s="104"/>
      <c r="AT76" s="104"/>
      <c r="AU76" s="104"/>
      <c r="AV76" s="104"/>
      <c r="AW76" s="104"/>
      <c r="AX76" s="104"/>
      <c r="AY76" s="104"/>
      <c r="AZ76" s="104"/>
      <c r="BA76" s="104"/>
      <c r="BB76" s="104"/>
      <c r="BC76" s="104"/>
      <c r="BD76" s="104"/>
      <c r="BE76" s="104"/>
      <c r="BF76" s="104"/>
      <c r="BG76" s="104"/>
      <c r="BH76" s="104"/>
      <c r="BI76" s="104"/>
      <c r="BJ76" s="104"/>
      <c r="BK76" s="104"/>
      <c r="BL76" s="104"/>
      <c r="BM76" s="104"/>
      <c r="BN76" s="104"/>
      <c r="BO76" s="104"/>
      <c r="BP76" s="104"/>
      <c r="BQ76" s="104"/>
      <c r="BR76" s="104"/>
      <c r="BS76" s="104"/>
      <c r="BT76" s="104"/>
      <c r="BU76" s="104"/>
      <c r="BV76" s="104"/>
      <c r="BW76" s="104"/>
      <c r="BX76" s="104"/>
      <c r="BY76" s="104"/>
      <c r="BZ76" s="104"/>
      <c r="CA76" s="104"/>
      <c r="CB76" s="104"/>
      <c r="CC76" s="104"/>
      <c r="CD76" s="104"/>
      <c r="CE76" s="104"/>
      <c r="CF76" s="104"/>
      <c r="CG76" s="104"/>
      <c r="CH76" s="104"/>
      <c r="CI76" s="104"/>
      <c r="CJ76" s="104"/>
      <c r="CK76" s="104"/>
      <c r="CL76" s="104"/>
      <c r="CM76" s="104"/>
      <c r="CN76" s="104"/>
      <c r="CO76" s="104"/>
      <c r="CP76" s="104"/>
      <c r="CQ76" s="104"/>
      <c r="CR76" s="104"/>
      <c r="CS76" s="104"/>
      <c r="CT76" s="104"/>
      <c r="CU76" s="104"/>
      <c r="CV76" s="104"/>
      <c r="CW76" s="104"/>
      <c r="CX76" s="104"/>
      <c r="CY76" s="104"/>
      <c r="CZ76" s="104"/>
      <c r="DA76" s="104"/>
      <c r="DB76" s="104"/>
      <c r="DC76" s="104"/>
      <c r="DD76" s="104"/>
      <c r="DE76" s="104"/>
      <c r="DF76" s="104"/>
      <c r="DG76" s="104"/>
      <c r="DH76" s="104"/>
      <c r="DI76" s="104"/>
      <c r="DJ76" s="104"/>
      <c r="DK76" s="104"/>
      <c r="DL76" s="104"/>
      <c r="DM76" s="104"/>
      <c r="DN76" s="104"/>
      <c r="DO76" s="104"/>
      <c r="DP76" s="104"/>
      <c r="DQ76" s="104"/>
      <c r="DR76" s="104"/>
      <c r="DS76" s="104"/>
      <c r="DT76" s="104"/>
      <c r="DU76" s="104"/>
      <c r="DV76" s="104"/>
      <c r="DW76" s="104"/>
      <c r="DX76" s="104"/>
      <c r="DY76" s="104"/>
      <c r="DZ76" s="104"/>
      <c r="EA76" s="104"/>
      <c r="EB76" s="104"/>
      <c r="EC76" s="104"/>
      <c r="ED76" s="104"/>
      <c r="EE76" s="104"/>
      <c r="EF76" s="104"/>
      <c r="EG76" s="104"/>
      <c r="EH76" s="104"/>
      <c r="EI76" s="104"/>
      <c r="EJ76" s="104"/>
      <c r="EK76" s="104"/>
      <c r="EL76" s="104"/>
      <c r="EM76" s="104"/>
      <c r="EN76" s="104"/>
      <c r="EO76" s="104"/>
      <c r="EP76" s="104"/>
      <c r="EQ76" s="104"/>
      <c r="ER76" s="104"/>
      <c r="ES76" s="104"/>
      <c r="ET76" s="104"/>
      <c r="EU76" s="104"/>
      <c r="EV76" s="104"/>
      <c r="EW76" s="104"/>
      <c r="EX76" s="104"/>
      <c r="EY76" s="104"/>
      <c r="EZ76" s="104"/>
      <c r="FA76" s="104"/>
      <c r="FB76" s="104"/>
      <c r="FC76" s="104"/>
      <c r="FD76" s="104"/>
      <c r="FE76" s="104"/>
      <c r="FF76" s="104"/>
      <c r="FG76" s="104"/>
      <c r="FH76" s="104"/>
      <c r="FI76" s="104"/>
      <c r="FJ76" s="104"/>
      <c r="FK76" s="104"/>
      <c r="FL76" s="104"/>
      <c r="FM76" s="104"/>
      <c r="FN76" s="104"/>
      <c r="FO76" s="104"/>
      <c r="FP76" s="104"/>
      <c r="FQ76" s="104"/>
      <c r="FR76" s="104"/>
      <c r="FS76" s="104"/>
      <c r="FT76" s="104"/>
      <c r="FU76" s="104"/>
      <c r="FV76" s="104"/>
      <c r="FW76" s="104"/>
      <c r="FX76" s="104"/>
      <c r="FY76" s="104"/>
      <c r="FZ76" s="104"/>
      <c r="GA76" s="104"/>
      <c r="GB76" s="104"/>
      <c r="GC76" s="104"/>
      <c r="GD76" s="104"/>
      <c r="GE76" s="104"/>
      <c r="GF76" s="104"/>
      <c r="GG76" s="104"/>
      <c r="GH76" s="104"/>
      <c r="GI76" s="104"/>
      <c r="GJ76" s="104"/>
      <c r="GK76" s="104"/>
      <c r="GL76" s="104"/>
      <c r="GM76" s="104"/>
      <c r="GN76" s="104"/>
      <c r="GO76" s="104"/>
      <c r="GP76" s="104"/>
      <c r="GQ76" s="104"/>
      <c r="GR76" s="104"/>
      <c r="GS76" s="104"/>
      <c r="GT76" s="104"/>
      <c r="GU76" s="104"/>
      <c r="GV76" s="104"/>
      <c r="GW76" s="104"/>
      <c r="GX76" s="104"/>
      <c r="GY76" s="104"/>
      <c r="GZ76" s="104"/>
      <c r="HA76" s="104"/>
      <c r="HB76" s="104"/>
      <c r="HC76" s="104"/>
      <c r="HD76" s="104"/>
      <c r="HE76" s="104"/>
      <c r="HF76" s="104"/>
      <c r="HG76" s="104"/>
      <c r="HH76" s="104"/>
      <c r="HI76" s="104"/>
      <c r="HJ76" s="104"/>
      <c r="HK76" s="104"/>
      <c r="HL76" s="104"/>
      <c r="HM76" s="104"/>
      <c r="HN76" s="104"/>
      <c r="HO76" s="104"/>
      <c r="HP76" s="104"/>
      <c r="HQ76" s="104"/>
      <c r="HR76" s="104"/>
      <c r="HS76" s="104"/>
      <c r="HT76" s="104"/>
      <c r="HU76" s="104"/>
      <c r="HV76" s="104"/>
      <c r="HW76" s="104"/>
      <c r="HX76" s="104"/>
      <c r="HY76" s="104"/>
      <c r="HZ76" s="104"/>
      <c r="IA76" s="104"/>
      <c r="IB76" s="104"/>
      <c r="IC76" s="104"/>
      <c r="ID76" s="104"/>
      <c r="IE76" s="104"/>
      <c r="IF76" s="104"/>
      <c r="IG76" s="104"/>
      <c r="IH76" s="104"/>
      <c r="II76" s="104"/>
      <c r="IJ76" s="104"/>
      <c r="IK76" s="104"/>
      <c r="IL76" s="104"/>
      <c r="IM76" s="104"/>
      <c r="IN76" s="104"/>
      <c r="IO76" s="104"/>
      <c r="IP76" s="104"/>
      <c r="IQ76" s="104"/>
      <c r="IR76" s="104"/>
      <c r="IS76" s="104"/>
      <c r="IT76" s="104"/>
      <c r="IU76" s="104"/>
      <c r="IV76" s="104"/>
      <c r="IW76" s="104"/>
      <c r="IX76" s="104"/>
      <c r="IY76" s="104"/>
      <c r="IZ76" s="104"/>
      <c r="JA76" s="104"/>
      <c r="JB76" s="104"/>
      <c r="JC76" s="104"/>
      <c r="JD76" s="104"/>
      <c r="JE76" s="104"/>
      <c r="JF76" s="104"/>
      <c r="JG76" s="104"/>
      <c r="JH76" s="104"/>
      <c r="JI76" s="104"/>
      <c r="JJ76" s="104"/>
      <c r="JK76" s="104"/>
      <c r="JL76" s="104"/>
      <c r="JM76" s="104"/>
      <c r="JN76" s="104"/>
      <c r="JO76" s="104"/>
      <c r="JP76" s="104"/>
      <c r="JQ76" s="104"/>
      <c r="JR76" s="104"/>
      <c r="JS76" s="104"/>
      <c r="JT76" s="104"/>
      <c r="JU76" s="104"/>
      <c r="JV76" s="104"/>
      <c r="JW76" s="104"/>
      <c r="JX76" s="104"/>
      <c r="JY76" s="104"/>
      <c r="JZ76" s="104"/>
      <c r="KA76" s="104"/>
      <c r="KB76" s="104"/>
      <c r="KC76" s="104"/>
      <c r="KD76" s="104"/>
      <c r="KE76" s="104"/>
      <c r="KF76" s="104"/>
      <c r="KG76" s="104"/>
      <c r="KH76" s="104"/>
      <c r="KI76" s="104"/>
      <c r="KJ76" s="104"/>
      <c r="KK76" s="104"/>
      <c r="KL76" s="104"/>
      <c r="KM76" s="104"/>
      <c r="KN76" s="104"/>
      <c r="KO76" s="104"/>
      <c r="KP76" s="104"/>
      <c r="KQ76" s="104"/>
      <c r="KR76" s="104"/>
      <c r="KS76" s="104"/>
      <c r="KT76" s="104"/>
      <c r="KU76" s="104"/>
      <c r="KV76" s="104"/>
      <c r="KW76" s="104"/>
      <c r="KX76" s="104"/>
      <c r="KY76" s="104"/>
      <c r="KZ76" s="104"/>
      <c r="LA76" s="104"/>
      <c r="LB76" s="104"/>
      <c r="LC76" s="104"/>
      <c r="LD76" s="104"/>
      <c r="LE76" s="104"/>
      <c r="LF76" s="104"/>
      <c r="LG76" s="104"/>
      <c r="LH76" s="104"/>
      <c r="LI76" s="104"/>
      <c r="LJ76" s="104"/>
      <c r="LK76" s="104"/>
      <c r="LL76" s="104"/>
      <c r="LM76" s="104"/>
      <c r="LN76" s="104"/>
      <c r="LO76" s="104"/>
      <c r="LP76" s="104"/>
      <c r="LQ76" s="104"/>
      <c r="LR76" s="104"/>
      <c r="LS76" s="104"/>
      <c r="LT76" s="104"/>
      <c r="LU76" s="104"/>
      <c r="LV76" s="104"/>
      <c r="LW76" s="104"/>
      <c r="LX76" s="104"/>
      <c r="LY76" s="104"/>
      <c r="LZ76" s="104"/>
      <c r="MA76" s="104"/>
      <c r="MB76" s="104"/>
      <c r="MC76" s="104"/>
      <c r="MD76" s="104"/>
      <c r="ME76" s="104"/>
      <c r="MF76" s="104"/>
      <c r="MG76" s="104"/>
      <c r="MH76" s="104"/>
      <c r="MI76" s="104"/>
      <c r="MJ76" s="104"/>
      <c r="MK76" s="104"/>
      <c r="ML76" s="104"/>
      <c r="MM76" s="104"/>
      <c r="MN76" s="104"/>
      <c r="MO76" s="104"/>
      <c r="MP76" s="104"/>
      <c r="MQ76" s="104"/>
      <c r="MR76" s="104"/>
      <c r="MS76" s="104"/>
      <c r="MT76" s="104"/>
      <c r="MU76" s="104"/>
      <c r="MV76" s="104"/>
      <c r="MW76" s="104"/>
      <c r="MX76" s="104"/>
      <c r="MY76" s="104"/>
      <c r="MZ76" s="104"/>
      <c r="NA76" s="104"/>
      <c r="NB76" s="104"/>
      <c r="NC76" s="104"/>
      <c r="ND76" s="104"/>
      <c r="NE76" s="104"/>
      <c r="NF76" s="104"/>
      <c r="NG76" s="104"/>
      <c r="NH76" s="104"/>
      <c r="NI76" s="104"/>
      <c r="NJ76" s="104"/>
      <c r="NK76" s="104"/>
      <c r="NL76" s="104"/>
      <c r="NM76" s="104"/>
      <c r="NN76" s="104"/>
      <c r="NO76" s="104"/>
      <c r="NP76" s="104"/>
      <c r="NQ76" s="104"/>
      <c r="NR76" s="104"/>
      <c r="NS76" s="104"/>
      <c r="NT76" s="104"/>
      <c r="NU76" s="104"/>
      <c r="NV76" s="104"/>
      <c r="NW76" s="104"/>
      <c r="NX76" s="104"/>
      <c r="NY76" s="104"/>
      <c r="NZ76" s="104"/>
    </row>
    <row r="77" spans="1:390" ht="15.75" customHeight="1" x14ac:dyDescent="0.3">
      <c r="A77" s="214">
        <v>6240274666</v>
      </c>
      <c r="B77" s="165" t="s">
        <v>391</v>
      </c>
      <c r="C77" s="138"/>
      <c r="D77" s="216" t="s">
        <v>391</v>
      </c>
      <c r="E77" s="136" t="s">
        <v>709</v>
      </c>
      <c r="F77" s="125" t="s">
        <v>710</v>
      </c>
      <c r="G77" s="221" t="s">
        <v>408</v>
      </c>
      <c r="H77" s="219">
        <v>43692</v>
      </c>
      <c r="I77" s="216" t="s">
        <v>513</v>
      </c>
      <c r="J77" s="153" t="s">
        <v>397</v>
      </c>
      <c r="K77" s="153" t="s">
        <v>398</v>
      </c>
      <c r="L77" s="153" t="s">
        <v>398</v>
      </c>
      <c r="M77" s="164" t="s">
        <v>398</v>
      </c>
      <c r="N77" s="164" t="s">
        <v>398</v>
      </c>
      <c r="O77" s="164" t="s">
        <v>398</v>
      </c>
      <c r="P77" s="164" t="s">
        <v>398</v>
      </c>
      <c r="Q77" s="164" t="s">
        <v>398</v>
      </c>
      <c r="R77" s="164" t="s">
        <v>398</v>
      </c>
      <c r="S77" s="164" t="s">
        <v>398</v>
      </c>
      <c r="T77" s="164" t="s">
        <v>398</v>
      </c>
      <c r="U77" s="164" t="s">
        <v>398</v>
      </c>
      <c r="V77" s="164" t="s">
        <v>398</v>
      </c>
      <c r="W77" s="164" t="s">
        <v>398</v>
      </c>
      <c r="X77" s="164" t="s">
        <v>398</v>
      </c>
      <c r="Y77" s="164" t="s">
        <v>398</v>
      </c>
      <c r="Z77" s="164" t="s">
        <v>398</v>
      </c>
      <c r="AA77" s="164" t="s">
        <v>398</v>
      </c>
      <c r="AB77" s="167" t="s">
        <v>399</v>
      </c>
      <c r="AC77" s="219">
        <v>19084</v>
      </c>
      <c r="AD77" s="106"/>
      <c r="AE77" s="108" t="e">
        <f t="shared" si="1"/>
        <v>#NUM!</v>
      </c>
      <c r="AF77" s="104" t="s">
        <v>711</v>
      </c>
      <c r="AG77" s="79" t="s">
        <v>401</v>
      </c>
      <c r="AH77" s="104" t="s">
        <v>402</v>
      </c>
      <c r="AI77" s="110"/>
      <c r="AJ77" s="110"/>
      <c r="AK77" s="110"/>
      <c r="AL77" s="110"/>
      <c r="AM77" s="105"/>
      <c r="AN77" s="95">
        <v>3</v>
      </c>
      <c r="AO77" s="173" t="s">
        <v>398</v>
      </c>
      <c r="AP77" s="104"/>
      <c r="AQ77" s="104"/>
      <c r="AR77" s="104"/>
      <c r="AS77" s="104"/>
      <c r="AT77" s="104"/>
      <c r="AU77" s="104"/>
      <c r="AV77" s="104"/>
      <c r="AW77" s="104"/>
      <c r="AX77" s="104"/>
      <c r="AY77" s="104"/>
      <c r="AZ77" s="104"/>
      <c r="BA77" s="104"/>
      <c r="BB77" s="104"/>
      <c r="BC77" s="104"/>
      <c r="BD77" s="104"/>
      <c r="BE77" s="104"/>
      <c r="BF77" s="104"/>
      <c r="BG77" s="104"/>
      <c r="BH77" s="104"/>
      <c r="BI77" s="104"/>
      <c r="BJ77" s="104"/>
      <c r="BK77" s="104"/>
      <c r="BL77" s="104"/>
      <c r="BM77" s="104"/>
      <c r="BN77" s="104"/>
      <c r="BO77" s="104"/>
      <c r="BP77" s="104"/>
      <c r="BQ77" s="104"/>
      <c r="BR77" s="104"/>
      <c r="BS77" s="104"/>
      <c r="BT77" s="104"/>
      <c r="BU77" s="104"/>
      <c r="BV77" s="104"/>
      <c r="BW77" s="104"/>
      <c r="BX77" s="104"/>
      <c r="BY77" s="104"/>
      <c r="BZ77" s="104"/>
      <c r="CA77" s="104"/>
      <c r="CB77" s="104"/>
      <c r="CC77" s="104"/>
      <c r="CD77" s="104"/>
      <c r="CE77" s="104"/>
      <c r="CF77" s="104"/>
      <c r="CG77" s="104"/>
      <c r="CH77" s="104"/>
      <c r="CI77" s="104"/>
      <c r="CJ77" s="104"/>
      <c r="CK77" s="104"/>
      <c r="CL77" s="104"/>
      <c r="CM77" s="104"/>
      <c r="CN77" s="104"/>
      <c r="CO77" s="104"/>
      <c r="CP77" s="104"/>
      <c r="CQ77" s="104"/>
      <c r="CR77" s="104"/>
      <c r="CS77" s="104"/>
      <c r="CT77" s="104"/>
      <c r="CU77" s="104"/>
      <c r="CV77" s="104"/>
      <c r="CW77" s="104"/>
      <c r="CX77" s="104"/>
      <c r="CY77" s="104"/>
      <c r="CZ77" s="104"/>
      <c r="DA77" s="104"/>
      <c r="DB77" s="104"/>
      <c r="DC77" s="104"/>
      <c r="DD77" s="104"/>
      <c r="DE77" s="104"/>
      <c r="DF77" s="104"/>
      <c r="DG77" s="104"/>
      <c r="DH77" s="104"/>
      <c r="DI77" s="104"/>
      <c r="DJ77" s="104"/>
      <c r="DK77" s="104"/>
      <c r="DL77" s="104"/>
      <c r="DM77" s="104"/>
      <c r="DN77" s="104"/>
      <c r="DO77" s="104"/>
      <c r="DP77" s="104"/>
      <c r="DQ77" s="104"/>
      <c r="DR77" s="104"/>
      <c r="DS77" s="104"/>
      <c r="DT77" s="104"/>
      <c r="DU77" s="104"/>
      <c r="DV77" s="104"/>
      <c r="DW77" s="104"/>
      <c r="DX77" s="104"/>
      <c r="DY77" s="104"/>
      <c r="DZ77" s="104"/>
      <c r="EA77" s="104"/>
      <c r="EB77" s="104"/>
      <c r="EC77" s="104"/>
      <c r="ED77" s="104"/>
      <c r="EE77" s="104"/>
      <c r="EF77" s="104"/>
      <c r="EG77" s="104"/>
      <c r="EH77" s="104"/>
      <c r="EI77" s="104"/>
      <c r="EJ77" s="104"/>
      <c r="EK77" s="104"/>
      <c r="EL77" s="104"/>
      <c r="EM77" s="104"/>
      <c r="EN77" s="104"/>
      <c r="EO77" s="104"/>
      <c r="EP77" s="104"/>
      <c r="EQ77" s="104"/>
      <c r="ER77" s="104"/>
      <c r="ES77" s="104"/>
      <c r="ET77" s="104"/>
      <c r="EU77" s="104"/>
      <c r="EV77" s="104"/>
      <c r="EW77" s="104"/>
      <c r="EX77" s="104"/>
      <c r="EY77" s="104"/>
      <c r="EZ77" s="104"/>
      <c r="FA77" s="104"/>
      <c r="FB77" s="104"/>
      <c r="FC77" s="104"/>
      <c r="FD77" s="104"/>
      <c r="FE77" s="104"/>
      <c r="FF77" s="104"/>
      <c r="FG77" s="104"/>
      <c r="FH77" s="104"/>
      <c r="FI77" s="104"/>
      <c r="FJ77" s="104"/>
      <c r="FK77" s="104"/>
      <c r="FL77" s="104"/>
      <c r="FM77" s="104"/>
      <c r="FN77" s="104"/>
      <c r="FO77" s="104"/>
      <c r="FP77" s="104"/>
      <c r="FQ77" s="104"/>
      <c r="FR77" s="104"/>
      <c r="FS77" s="104"/>
      <c r="FT77" s="104"/>
      <c r="FU77" s="104"/>
      <c r="FV77" s="104"/>
      <c r="FW77" s="104"/>
      <c r="FX77" s="104"/>
      <c r="FY77" s="104"/>
      <c r="FZ77" s="104"/>
      <c r="GA77" s="104"/>
      <c r="GB77" s="104"/>
      <c r="GC77" s="104"/>
      <c r="GD77" s="104"/>
      <c r="GE77" s="104"/>
      <c r="GF77" s="104"/>
      <c r="GG77" s="104"/>
      <c r="GH77" s="104"/>
      <c r="GI77" s="104"/>
      <c r="GJ77" s="104"/>
      <c r="GK77" s="104"/>
      <c r="GL77" s="104"/>
      <c r="GM77" s="104"/>
      <c r="GN77" s="104"/>
      <c r="GO77" s="104"/>
      <c r="GP77" s="104"/>
      <c r="GQ77" s="104"/>
      <c r="GR77" s="104"/>
      <c r="GS77" s="104"/>
      <c r="GT77" s="104"/>
      <c r="GU77" s="104"/>
      <c r="GV77" s="104"/>
      <c r="GW77" s="104"/>
      <c r="GX77" s="104"/>
      <c r="GY77" s="104"/>
      <c r="GZ77" s="104"/>
      <c r="HA77" s="104"/>
      <c r="HB77" s="104"/>
      <c r="HC77" s="104"/>
      <c r="HD77" s="104"/>
      <c r="HE77" s="104"/>
      <c r="HF77" s="104"/>
      <c r="HG77" s="104"/>
      <c r="HH77" s="104"/>
      <c r="HI77" s="104"/>
      <c r="HJ77" s="104"/>
      <c r="HK77" s="104"/>
      <c r="HL77" s="104"/>
      <c r="HM77" s="104"/>
      <c r="HN77" s="104"/>
      <c r="HO77" s="104"/>
      <c r="HP77" s="104"/>
      <c r="HQ77" s="104"/>
      <c r="HR77" s="104"/>
      <c r="HS77" s="104"/>
      <c r="HT77" s="104"/>
      <c r="HU77" s="104"/>
      <c r="HV77" s="104"/>
      <c r="HW77" s="104"/>
      <c r="HX77" s="104"/>
      <c r="HY77" s="104"/>
      <c r="HZ77" s="104"/>
      <c r="IA77" s="104"/>
      <c r="IB77" s="104"/>
      <c r="IC77" s="104"/>
      <c r="ID77" s="104"/>
      <c r="IE77" s="104"/>
      <c r="IF77" s="104"/>
      <c r="IG77" s="104"/>
      <c r="IH77" s="104"/>
      <c r="II77" s="104"/>
      <c r="IJ77" s="104"/>
      <c r="IK77" s="104"/>
      <c r="IL77" s="104"/>
      <c r="IM77" s="104"/>
      <c r="IN77" s="104"/>
      <c r="IO77" s="104"/>
      <c r="IP77" s="104"/>
      <c r="IQ77" s="104"/>
      <c r="IR77" s="104"/>
      <c r="IS77" s="104"/>
      <c r="IT77" s="104"/>
      <c r="IU77" s="104"/>
      <c r="IV77" s="104"/>
      <c r="IW77" s="104"/>
      <c r="IX77" s="104"/>
      <c r="IY77" s="104"/>
      <c r="IZ77" s="104"/>
      <c r="JA77" s="104"/>
      <c r="JB77" s="104"/>
      <c r="JC77" s="104"/>
      <c r="JD77" s="104"/>
      <c r="JE77" s="104"/>
      <c r="JF77" s="104"/>
      <c r="JG77" s="104"/>
      <c r="JH77" s="104"/>
      <c r="JI77" s="104"/>
      <c r="JJ77" s="104"/>
      <c r="JK77" s="104"/>
      <c r="JL77" s="104"/>
      <c r="JM77" s="104"/>
      <c r="JN77" s="104"/>
      <c r="JO77" s="104"/>
      <c r="JP77" s="104"/>
      <c r="JQ77" s="104"/>
      <c r="JR77" s="104"/>
      <c r="JS77" s="104"/>
      <c r="JT77" s="104"/>
      <c r="JU77" s="104"/>
      <c r="JV77" s="104"/>
      <c r="JW77" s="104"/>
      <c r="JX77" s="104"/>
      <c r="JY77" s="104"/>
      <c r="JZ77" s="104"/>
      <c r="KA77" s="104"/>
      <c r="KB77" s="104"/>
      <c r="KC77" s="104"/>
      <c r="KD77" s="104"/>
      <c r="KE77" s="104"/>
      <c r="KF77" s="104"/>
      <c r="KG77" s="104"/>
      <c r="KH77" s="104"/>
      <c r="KI77" s="104"/>
      <c r="KJ77" s="104"/>
      <c r="KK77" s="104"/>
      <c r="KL77" s="104"/>
      <c r="KM77" s="104"/>
      <c r="KN77" s="104"/>
      <c r="KO77" s="104"/>
      <c r="KP77" s="104"/>
      <c r="KQ77" s="104"/>
      <c r="KR77" s="104"/>
      <c r="KS77" s="104"/>
      <c r="KT77" s="104"/>
      <c r="KU77" s="104"/>
      <c r="KV77" s="104"/>
      <c r="KW77" s="104"/>
      <c r="KX77" s="104"/>
      <c r="KY77" s="104"/>
      <c r="KZ77" s="104"/>
      <c r="LA77" s="104"/>
      <c r="LB77" s="104"/>
      <c r="LC77" s="104"/>
      <c r="LD77" s="104"/>
      <c r="LE77" s="104"/>
      <c r="LF77" s="104"/>
      <c r="LG77" s="104"/>
      <c r="LH77" s="104"/>
      <c r="LI77" s="104"/>
      <c r="LJ77" s="104"/>
      <c r="LK77" s="104"/>
      <c r="LL77" s="104"/>
      <c r="LM77" s="104"/>
      <c r="LN77" s="104"/>
      <c r="LO77" s="104"/>
      <c r="LP77" s="104"/>
      <c r="LQ77" s="104"/>
      <c r="LR77" s="104"/>
      <c r="LS77" s="104"/>
      <c r="LT77" s="104"/>
      <c r="LU77" s="104"/>
      <c r="LV77" s="104"/>
      <c r="LW77" s="104"/>
      <c r="LX77" s="104"/>
      <c r="LY77" s="104"/>
      <c r="LZ77" s="104"/>
      <c r="MA77" s="104"/>
      <c r="MB77" s="104"/>
      <c r="MC77" s="104"/>
      <c r="MD77" s="104"/>
      <c r="ME77" s="104"/>
      <c r="MF77" s="104"/>
      <c r="MG77" s="104"/>
      <c r="MH77" s="104"/>
      <c r="MI77" s="104"/>
      <c r="MJ77" s="104"/>
      <c r="MK77" s="104"/>
      <c r="ML77" s="104"/>
      <c r="MM77" s="104"/>
      <c r="MN77" s="104"/>
      <c r="MO77" s="104"/>
      <c r="MP77" s="104"/>
      <c r="MQ77" s="104"/>
      <c r="MR77" s="104"/>
      <c r="MS77" s="104"/>
      <c r="MT77" s="104"/>
      <c r="MU77" s="104"/>
      <c r="MV77" s="104"/>
      <c r="MW77" s="104"/>
      <c r="MX77" s="104"/>
      <c r="MY77" s="104"/>
      <c r="MZ77" s="104"/>
      <c r="NA77" s="104"/>
      <c r="NB77" s="104"/>
      <c r="NC77" s="104"/>
      <c r="ND77" s="104"/>
      <c r="NE77" s="104"/>
      <c r="NF77" s="104"/>
      <c r="NG77" s="104"/>
      <c r="NH77" s="104"/>
      <c r="NI77" s="104"/>
      <c r="NJ77" s="104"/>
      <c r="NK77" s="104"/>
      <c r="NL77" s="104"/>
      <c r="NM77" s="104"/>
      <c r="NN77" s="104"/>
      <c r="NO77" s="104"/>
      <c r="NP77" s="104"/>
      <c r="NQ77" s="104"/>
      <c r="NR77" s="104"/>
      <c r="NS77" s="104"/>
      <c r="NT77" s="104"/>
      <c r="NU77" s="104"/>
      <c r="NV77" s="104"/>
      <c r="NW77" s="104"/>
      <c r="NX77" s="104"/>
      <c r="NY77" s="104"/>
      <c r="NZ77" s="104"/>
    </row>
    <row r="78" spans="1:390" ht="15.75" customHeight="1" x14ac:dyDescent="0.3">
      <c r="A78" s="214">
        <v>4367242315</v>
      </c>
      <c r="B78" s="165" t="s">
        <v>391</v>
      </c>
      <c r="C78" s="138"/>
      <c r="D78" s="216" t="s">
        <v>391</v>
      </c>
      <c r="E78" s="136" t="s">
        <v>712</v>
      </c>
      <c r="F78" s="125" t="s">
        <v>394</v>
      </c>
      <c r="G78" s="221" t="s">
        <v>437</v>
      </c>
      <c r="H78" s="219">
        <v>43707</v>
      </c>
      <c r="I78" s="216" t="s">
        <v>513</v>
      </c>
      <c r="J78" s="153" t="s">
        <v>397</v>
      </c>
      <c r="K78" s="153" t="s">
        <v>398</v>
      </c>
      <c r="L78" s="153" t="s">
        <v>398</v>
      </c>
      <c r="M78" s="164" t="s">
        <v>398</v>
      </c>
      <c r="N78" s="164" t="s">
        <v>398</v>
      </c>
      <c r="O78" s="164" t="s">
        <v>398</v>
      </c>
      <c r="P78" s="164" t="s">
        <v>398</v>
      </c>
      <c r="Q78" s="164" t="s">
        <v>398</v>
      </c>
      <c r="R78" s="164" t="s">
        <v>398</v>
      </c>
      <c r="S78" s="164" t="s">
        <v>398</v>
      </c>
      <c r="T78" s="164" t="s">
        <v>398</v>
      </c>
      <c r="U78" s="164" t="s">
        <v>398</v>
      </c>
      <c r="V78" s="164" t="s">
        <v>398</v>
      </c>
      <c r="W78" s="164" t="s">
        <v>398</v>
      </c>
      <c r="X78" s="164" t="s">
        <v>398</v>
      </c>
      <c r="Y78" s="164" t="s">
        <v>398</v>
      </c>
      <c r="Z78" s="164" t="s">
        <v>398</v>
      </c>
      <c r="AA78" s="164" t="s">
        <v>398</v>
      </c>
      <c r="AB78" s="167" t="s">
        <v>399</v>
      </c>
      <c r="AC78" s="219">
        <v>14484</v>
      </c>
      <c r="AD78" s="106"/>
      <c r="AE78" s="108" t="e">
        <f t="shared" si="1"/>
        <v>#NUM!</v>
      </c>
      <c r="AF78" s="104" t="s">
        <v>685</v>
      </c>
      <c r="AG78" s="79" t="s">
        <v>401</v>
      </c>
      <c r="AH78" s="104" t="s">
        <v>391</v>
      </c>
      <c r="AI78" s="110"/>
      <c r="AJ78" s="110"/>
      <c r="AK78" s="110"/>
      <c r="AL78" s="110"/>
      <c r="AM78" s="105"/>
      <c r="AN78" s="95">
        <v>3</v>
      </c>
      <c r="AO78" s="173" t="s">
        <v>398</v>
      </c>
      <c r="AP78" s="104"/>
      <c r="AQ78" s="104"/>
      <c r="AR78" s="104"/>
      <c r="AS78" s="104"/>
      <c r="AT78" s="104"/>
      <c r="AU78" s="104"/>
      <c r="AV78" s="104"/>
      <c r="AW78" s="104"/>
      <c r="AX78" s="104"/>
      <c r="AY78" s="104"/>
      <c r="AZ78" s="104"/>
      <c r="BA78" s="104"/>
      <c r="BB78" s="104"/>
      <c r="BC78" s="104"/>
      <c r="BD78" s="104"/>
      <c r="BE78" s="104"/>
      <c r="BF78" s="104"/>
      <c r="BG78" s="104"/>
      <c r="BH78" s="104"/>
      <c r="BI78" s="104"/>
      <c r="BJ78" s="104"/>
      <c r="BK78" s="104"/>
      <c r="BL78" s="104"/>
      <c r="BM78" s="104"/>
      <c r="BN78" s="104"/>
      <c r="BO78" s="104"/>
      <c r="BP78" s="104"/>
      <c r="BQ78" s="104"/>
      <c r="BR78" s="104"/>
      <c r="BS78" s="104"/>
      <c r="BT78" s="104"/>
      <c r="BU78" s="104"/>
      <c r="BV78" s="104"/>
      <c r="BW78" s="104"/>
      <c r="BX78" s="104"/>
      <c r="BY78" s="104"/>
      <c r="BZ78" s="104"/>
      <c r="CA78" s="104"/>
      <c r="CB78" s="104"/>
      <c r="CC78" s="104"/>
      <c r="CD78" s="104"/>
      <c r="CE78" s="104"/>
      <c r="CF78" s="104"/>
      <c r="CG78" s="104"/>
      <c r="CH78" s="104"/>
      <c r="CI78" s="104"/>
      <c r="CJ78" s="104"/>
      <c r="CK78" s="104"/>
      <c r="CL78" s="104"/>
      <c r="CM78" s="104"/>
      <c r="CN78" s="104"/>
      <c r="CO78" s="104"/>
      <c r="CP78" s="104"/>
      <c r="CQ78" s="104"/>
      <c r="CR78" s="104"/>
      <c r="CS78" s="104"/>
      <c r="CT78" s="104"/>
      <c r="CU78" s="104"/>
      <c r="CV78" s="104"/>
      <c r="CW78" s="104"/>
      <c r="CX78" s="104"/>
      <c r="CY78" s="104"/>
      <c r="CZ78" s="104"/>
      <c r="DA78" s="104"/>
      <c r="DB78" s="104"/>
      <c r="DC78" s="104"/>
      <c r="DD78" s="104"/>
      <c r="DE78" s="104"/>
      <c r="DF78" s="104"/>
      <c r="DG78" s="104"/>
      <c r="DH78" s="104"/>
      <c r="DI78" s="104"/>
      <c r="DJ78" s="104"/>
      <c r="DK78" s="104"/>
      <c r="DL78" s="104"/>
      <c r="DM78" s="104"/>
      <c r="DN78" s="104"/>
      <c r="DO78" s="104"/>
      <c r="DP78" s="104"/>
      <c r="DQ78" s="104"/>
      <c r="DR78" s="104"/>
      <c r="DS78" s="104"/>
      <c r="DT78" s="104"/>
      <c r="DU78" s="104"/>
      <c r="DV78" s="104"/>
      <c r="DW78" s="104"/>
      <c r="DX78" s="104"/>
      <c r="DY78" s="104"/>
      <c r="DZ78" s="104"/>
      <c r="EA78" s="104"/>
      <c r="EB78" s="104"/>
      <c r="EC78" s="104"/>
      <c r="ED78" s="104"/>
      <c r="EE78" s="104"/>
      <c r="EF78" s="104"/>
      <c r="EG78" s="104"/>
      <c r="EH78" s="104"/>
      <c r="EI78" s="104"/>
      <c r="EJ78" s="104"/>
      <c r="EK78" s="104"/>
      <c r="EL78" s="104"/>
      <c r="EM78" s="104"/>
      <c r="EN78" s="104"/>
      <c r="EO78" s="104"/>
      <c r="EP78" s="104"/>
      <c r="EQ78" s="104"/>
      <c r="ER78" s="104"/>
      <c r="ES78" s="104"/>
      <c r="ET78" s="104"/>
      <c r="EU78" s="104"/>
      <c r="EV78" s="104"/>
      <c r="EW78" s="104"/>
      <c r="EX78" s="104"/>
      <c r="EY78" s="104"/>
      <c r="EZ78" s="104"/>
      <c r="FA78" s="104"/>
      <c r="FB78" s="104"/>
      <c r="FC78" s="104"/>
      <c r="FD78" s="104"/>
      <c r="FE78" s="104"/>
      <c r="FF78" s="104"/>
      <c r="FG78" s="104"/>
      <c r="FH78" s="104"/>
      <c r="FI78" s="104"/>
      <c r="FJ78" s="104"/>
      <c r="FK78" s="104"/>
      <c r="FL78" s="104"/>
      <c r="FM78" s="104"/>
      <c r="FN78" s="104"/>
      <c r="FO78" s="104"/>
      <c r="FP78" s="104"/>
      <c r="FQ78" s="104"/>
      <c r="FR78" s="104"/>
      <c r="FS78" s="104"/>
      <c r="FT78" s="104"/>
      <c r="FU78" s="104"/>
      <c r="FV78" s="104"/>
      <c r="FW78" s="104"/>
      <c r="FX78" s="104"/>
      <c r="FY78" s="104"/>
      <c r="FZ78" s="104"/>
      <c r="GA78" s="104"/>
      <c r="GB78" s="104"/>
      <c r="GC78" s="104"/>
      <c r="GD78" s="104"/>
      <c r="GE78" s="104"/>
      <c r="GF78" s="104"/>
      <c r="GG78" s="104"/>
      <c r="GH78" s="104"/>
      <c r="GI78" s="104"/>
      <c r="GJ78" s="104"/>
      <c r="GK78" s="104"/>
      <c r="GL78" s="104"/>
      <c r="GM78" s="104"/>
      <c r="GN78" s="104"/>
      <c r="GO78" s="104"/>
      <c r="GP78" s="104"/>
      <c r="GQ78" s="104"/>
      <c r="GR78" s="104"/>
      <c r="GS78" s="104"/>
      <c r="GT78" s="104"/>
      <c r="GU78" s="104"/>
      <c r="GV78" s="104"/>
      <c r="GW78" s="104"/>
      <c r="GX78" s="104"/>
      <c r="GY78" s="104"/>
      <c r="GZ78" s="104"/>
      <c r="HA78" s="104"/>
      <c r="HB78" s="104"/>
      <c r="HC78" s="104"/>
      <c r="HD78" s="104"/>
      <c r="HE78" s="104"/>
      <c r="HF78" s="104"/>
      <c r="HG78" s="104"/>
      <c r="HH78" s="104"/>
      <c r="HI78" s="104"/>
      <c r="HJ78" s="104"/>
      <c r="HK78" s="104"/>
      <c r="HL78" s="104"/>
      <c r="HM78" s="104"/>
      <c r="HN78" s="104"/>
      <c r="HO78" s="104"/>
      <c r="HP78" s="104"/>
      <c r="HQ78" s="104"/>
      <c r="HR78" s="104"/>
      <c r="HS78" s="104"/>
      <c r="HT78" s="104"/>
      <c r="HU78" s="104"/>
      <c r="HV78" s="104"/>
      <c r="HW78" s="104"/>
      <c r="HX78" s="104"/>
      <c r="HY78" s="104"/>
      <c r="HZ78" s="104"/>
      <c r="IA78" s="104"/>
      <c r="IB78" s="104"/>
      <c r="IC78" s="104"/>
      <c r="ID78" s="104"/>
      <c r="IE78" s="104"/>
      <c r="IF78" s="104"/>
      <c r="IG78" s="104"/>
      <c r="IH78" s="104"/>
      <c r="II78" s="104"/>
      <c r="IJ78" s="104"/>
      <c r="IK78" s="104"/>
      <c r="IL78" s="104"/>
      <c r="IM78" s="104"/>
      <c r="IN78" s="104"/>
      <c r="IO78" s="104"/>
      <c r="IP78" s="104"/>
      <c r="IQ78" s="104"/>
      <c r="IR78" s="104"/>
      <c r="IS78" s="104"/>
      <c r="IT78" s="104"/>
      <c r="IU78" s="104"/>
      <c r="IV78" s="104"/>
      <c r="IW78" s="104"/>
      <c r="IX78" s="104"/>
      <c r="IY78" s="104"/>
      <c r="IZ78" s="104"/>
      <c r="JA78" s="104"/>
      <c r="JB78" s="104"/>
      <c r="JC78" s="104"/>
      <c r="JD78" s="104"/>
      <c r="JE78" s="104"/>
      <c r="JF78" s="104"/>
      <c r="JG78" s="104"/>
      <c r="JH78" s="104"/>
      <c r="JI78" s="104"/>
      <c r="JJ78" s="104"/>
      <c r="JK78" s="104"/>
      <c r="JL78" s="104"/>
      <c r="JM78" s="104"/>
      <c r="JN78" s="104"/>
      <c r="JO78" s="104"/>
      <c r="JP78" s="104"/>
      <c r="JQ78" s="104"/>
      <c r="JR78" s="104"/>
      <c r="JS78" s="104"/>
      <c r="JT78" s="104"/>
      <c r="JU78" s="104"/>
      <c r="JV78" s="104"/>
      <c r="JW78" s="104"/>
      <c r="JX78" s="104"/>
      <c r="JY78" s="104"/>
      <c r="JZ78" s="104"/>
      <c r="KA78" s="104"/>
      <c r="KB78" s="104"/>
      <c r="KC78" s="104"/>
      <c r="KD78" s="104"/>
      <c r="KE78" s="104"/>
      <c r="KF78" s="104"/>
      <c r="KG78" s="104"/>
      <c r="KH78" s="104"/>
      <c r="KI78" s="104"/>
      <c r="KJ78" s="104"/>
      <c r="KK78" s="104"/>
      <c r="KL78" s="104"/>
      <c r="KM78" s="104"/>
      <c r="KN78" s="104"/>
      <c r="KO78" s="104"/>
      <c r="KP78" s="104"/>
      <c r="KQ78" s="104"/>
      <c r="KR78" s="104"/>
      <c r="KS78" s="104"/>
      <c r="KT78" s="104"/>
      <c r="KU78" s="104"/>
      <c r="KV78" s="104"/>
      <c r="KW78" s="104"/>
      <c r="KX78" s="104"/>
      <c r="KY78" s="104"/>
      <c r="KZ78" s="104"/>
      <c r="LA78" s="104"/>
      <c r="LB78" s="104"/>
      <c r="LC78" s="104"/>
      <c r="LD78" s="104"/>
      <c r="LE78" s="104"/>
      <c r="LF78" s="104"/>
      <c r="LG78" s="104"/>
      <c r="LH78" s="104"/>
      <c r="LI78" s="104"/>
      <c r="LJ78" s="104"/>
      <c r="LK78" s="104"/>
      <c r="LL78" s="104"/>
      <c r="LM78" s="104"/>
      <c r="LN78" s="104"/>
      <c r="LO78" s="104"/>
      <c r="LP78" s="104"/>
      <c r="LQ78" s="104"/>
      <c r="LR78" s="104"/>
      <c r="LS78" s="104"/>
      <c r="LT78" s="104"/>
      <c r="LU78" s="104"/>
      <c r="LV78" s="104"/>
      <c r="LW78" s="104"/>
      <c r="LX78" s="104"/>
      <c r="LY78" s="104"/>
      <c r="LZ78" s="104"/>
      <c r="MA78" s="104"/>
      <c r="MB78" s="104"/>
      <c r="MC78" s="104"/>
      <c r="MD78" s="104"/>
      <c r="ME78" s="104"/>
      <c r="MF78" s="104"/>
      <c r="MG78" s="104"/>
      <c r="MH78" s="104"/>
      <c r="MI78" s="104"/>
      <c r="MJ78" s="104"/>
      <c r="MK78" s="104"/>
      <c r="ML78" s="104"/>
      <c r="MM78" s="104"/>
      <c r="MN78" s="104"/>
      <c r="MO78" s="104"/>
      <c r="MP78" s="104"/>
      <c r="MQ78" s="104"/>
      <c r="MR78" s="104"/>
      <c r="MS78" s="104"/>
      <c r="MT78" s="104"/>
      <c r="MU78" s="104"/>
      <c r="MV78" s="104"/>
      <c r="MW78" s="104"/>
      <c r="MX78" s="104"/>
      <c r="MY78" s="104"/>
      <c r="MZ78" s="104"/>
      <c r="NA78" s="104"/>
      <c r="NB78" s="104"/>
      <c r="NC78" s="104"/>
      <c r="ND78" s="104"/>
      <c r="NE78" s="104"/>
      <c r="NF78" s="104"/>
      <c r="NG78" s="104"/>
      <c r="NH78" s="104"/>
      <c r="NI78" s="104"/>
      <c r="NJ78" s="104"/>
      <c r="NK78" s="104"/>
      <c r="NL78" s="104"/>
      <c r="NM78" s="104"/>
      <c r="NN78" s="104"/>
      <c r="NO78" s="104"/>
      <c r="NP78" s="104"/>
      <c r="NQ78" s="104"/>
      <c r="NR78" s="104"/>
      <c r="NS78" s="104"/>
      <c r="NT78" s="104"/>
      <c r="NU78" s="104"/>
      <c r="NV78" s="104"/>
      <c r="NW78" s="104"/>
      <c r="NX78" s="104"/>
      <c r="NY78" s="104"/>
      <c r="NZ78" s="104"/>
    </row>
    <row r="79" spans="1:390" ht="15.75" customHeight="1" x14ac:dyDescent="0.3">
      <c r="A79" s="214">
        <v>4089218756</v>
      </c>
      <c r="B79" s="165" t="s">
        <v>391</v>
      </c>
      <c r="C79" s="138"/>
      <c r="D79" s="216" t="s">
        <v>391</v>
      </c>
      <c r="E79" s="136" t="s">
        <v>713</v>
      </c>
      <c r="F79" s="125" t="s">
        <v>488</v>
      </c>
      <c r="G79" s="221" t="s">
        <v>501</v>
      </c>
      <c r="H79" s="219">
        <v>43725</v>
      </c>
      <c r="I79" s="216" t="s">
        <v>458</v>
      </c>
      <c r="J79" s="153" t="s">
        <v>397</v>
      </c>
      <c r="K79" s="153" t="s">
        <v>398</v>
      </c>
      <c r="L79" s="153" t="s">
        <v>398</v>
      </c>
      <c r="M79" s="164" t="s">
        <v>398</v>
      </c>
      <c r="N79" s="164" t="s">
        <v>398</v>
      </c>
      <c r="O79" s="164" t="s">
        <v>398</v>
      </c>
      <c r="P79" s="164" t="s">
        <v>398</v>
      </c>
      <c r="Q79" s="164" t="s">
        <v>398</v>
      </c>
      <c r="R79" s="164" t="s">
        <v>398</v>
      </c>
      <c r="S79" s="164" t="s">
        <v>398</v>
      </c>
      <c r="T79" s="164" t="s">
        <v>398</v>
      </c>
      <c r="U79" s="164" t="s">
        <v>398</v>
      </c>
      <c r="V79" s="164" t="s">
        <v>398</v>
      </c>
      <c r="W79" s="164" t="s">
        <v>398</v>
      </c>
      <c r="X79" s="164" t="s">
        <v>398</v>
      </c>
      <c r="Y79" s="164" t="s">
        <v>398</v>
      </c>
      <c r="Z79" s="164" t="s">
        <v>398</v>
      </c>
      <c r="AA79" s="164" t="s">
        <v>398</v>
      </c>
      <c r="AB79" s="167" t="s">
        <v>399</v>
      </c>
      <c r="AC79" s="219">
        <v>26186</v>
      </c>
      <c r="AD79" s="106"/>
      <c r="AE79" s="108" t="e">
        <f t="shared" si="1"/>
        <v>#NUM!</v>
      </c>
      <c r="AF79" s="104" t="s">
        <v>602</v>
      </c>
      <c r="AG79" s="79" t="s">
        <v>401</v>
      </c>
      <c r="AH79" s="104" t="s">
        <v>402</v>
      </c>
      <c r="AI79" s="110"/>
      <c r="AJ79" s="110"/>
      <c r="AK79" s="110"/>
      <c r="AL79" s="110"/>
      <c r="AM79" s="105"/>
      <c r="AN79" s="95">
        <v>2</v>
      </c>
      <c r="AO79" s="173" t="s">
        <v>398</v>
      </c>
      <c r="AP79" s="104"/>
      <c r="AQ79" s="104"/>
      <c r="AR79" s="104"/>
      <c r="AS79" s="104"/>
      <c r="AT79" s="104"/>
      <c r="AU79" s="104"/>
      <c r="AV79" s="104"/>
      <c r="AW79" s="104"/>
      <c r="AX79" s="104"/>
      <c r="AY79" s="104"/>
      <c r="AZ79" s="104"/>
      <c r="BA79" s="104"/>
      <c r="BB79" s="104"/>
      <c r="BC79" s="104"/>
      <c r="BD79" s="104"/>
      <c r="BE79" s="104"/>
      <c r="BF79" s="104"/>
      <c r="BG79" s="104"/>
      <c r="BH79" s="104"/>
      <c r="BI79" s="104"/>
      <c r="BJ79" s="104"/>
      <c r="BK79" s="104"/>
      <c r="BL79" s="104"/>
      <c r="BM79" s="104"/>
      <c r="BN79" s="104"/>
      <c r="BO79" s="104"/>
      <c r="BP79" s="104"/>
      <c r="BQ79" s="104"/>
      <c r="BR79" s="104"/>
      <c r="BS79" s="104"/>
      <c r="BT79" s="104"/>
      <c r="BU79" s="104"/>
      <c r="BV79" s="104"/>
      <c r="BW79" s="104"/>
      <c r="BX79" s="104"/>
      <c r="BY79" s="104"/>
      <c r="BZ79" s="104"/>
      <c r="CA79" s="104"/>
      <c r="CB79" s="104"/>
      <c r="CC79" s="104"/>
      <c r="CD79" s="104"/>
      <c r="CE79" s="104"/>
      <c r="CF79" s="104"/>
      <c r="CG79" s="104"/>
      <c r="CH79" s="104"/>
      <c r="CI79" s="104"/>
      <c r="CJ79" s="104"/>
      <c r="CK79" s="104"/>
      <c r="CL79" s="104"/>
      <c r="CM79" s="104"/>
      <c r="CN79" s="104"/>
      <c r="CO79" s="104"/>
      <c r="CP79" s="104"/>
      <c r="CQ79" s="104"/>
      <c r="CR79" s="104"/>
      <c r="CS79" s="104"/>
      <c r="CT79" s="104"/>
      <c r="CU79" s="104"/>
      <c r="CV79" s="104"/>
      <c r="CW79" s="104"/>
      <c r="CX79" s="104"/>
      <c r="CY79" s="104"/>
      <c r="CZ79" s="104"/>
      <c r="DA79" s="104"/>
      <c r="DB79" s="104"/>
      <c r="DC79" s="104"/>
      <c r="DD79" s="104"/>
      <c r="DE79" s="104"/>
      <c r="DF79" s="104"/>
      <c r="DG79" s="104"/>
      <c r="DH79" s="104"/>
      <c r="DI79" s="104"/>
      <c r="DJ79" s="104"/>
      <c r="DK79" s="104"/>
      <c r="DL79" s="104"/>
      <c r="DM79" s="104"/>
      <c r="DN79" s="104"/>
      <c r="DO79" s="104"/>
      <c r="DP79" s="104"/>
      <c r="DQ79" s="104"/>
      <c r="DR79" s="104"/>
      <c r="DS79" s="104"/>
      <c r="DT79" s="104"/>
      <c r="DU79" s="104"/>
      <c r="DV79" s="104"/>
      <c r="DW79" s="104"/>
      <c r="DX79" s="104"/>
      <c r="DY79" s="104"/>
      <c r="DZ79" s="104"/>
      <c r="EA79" s="104"/>
      <c r="EB79" s="104"/>
      <c r="EC79" s="104"/>
      <c r="ED79" s="104"/>
      <c r="EE79" s="104"/>
      <c r="EF79" s="104"/>
      <c r="EG79" s="104"/>
      <c r="EH79" s="104"/>
      <c r="EI79" s="104"/>
      <c r="EJ79" s="104"/>
      <c r="EK79" s="104"/>
      <c r="EL79" s="104"/>
      <c r="EM79" s="104"/>
      <c r="EN79" s="104"/>
      <c r="EO79" s="104"/>
      <c r="EP79" s="104"/>
      <c r="EQ79" s="104"/>
      <c r="ER79" s="104"/>
      <c r="ES79" s="104"/>
      <c r="ET79" s="104"/>
      <c r="EU79" s="104"/>
      <c r="EV79" s="104"/>
      <c r="EW79" s="104"/>
      <c r="EX79" s="104"/>
      <c r="EY79" s="104"/>
      <c r="EZ79" s="104"/>
      <c r="FA79" s="104"/>
      <c r="FB79" s="104"/>
      <c r="FC79" s="104"/>
      <c r="FD79" s="104"/>
      <c r="FE79" s="104"/>
      <c r="FF79" s="104"/>
      <c r="FG79" s="104"/>
      <c r="FH79" s="104"/>
      <c r="FI79" s="104"/>
      <c r="FJ79" s="104"/>
      <c r="FK79" s="104"/>
      <c r="FL79" s="104"/>
      <c r="FM79" s="104"/>
      <c r="FN79" s="104"/>
      <c r="FO79" s="104"/>
      <c r="FP79" s="104"/>
      <c r="FQ79" s="104"/>
      <c r="FR79" s="104"/>
      <c r="FS79" s="104"/>
      <c r="FT79" s="104"/>
      <c r="FU79" s="104"/>
      <c r="FV79" s="104"/>
      <c r="FW79" s="104"/>
      <c r="FX79" s="104"/>
      <c r="FY79" s="104"/>
      <c r="FZ79" s="104"/>
      <c r="GA79" s="104"/>
      <c r="GB79" s="104"/>
      <c r="GC79" s="104"/>
      <c r="GD79" s="104"/>
      <c r="GE79" s="104"/>
      <c r="GF79" s="104"/>
      <c r="GG79" s="104"/>
      <c r="GH79" s="104"/>
      <c r="GI79" s="104"/>
      <c r="GJ79" s="104"/>
      <c r="GK79" s="104"/>
      <c r="GL79" s="104"/>
      <c r="GM79" s="104"/>
      <c r="GN79" s="104"/>
      <c r="GO79" s="104"/>
      <c r="GP79" s="104"/>
      <c r="GQ79" s="104"/>
      <c r="GR79" s="104"/>
      <c r="GS79" s="104"/>
      <c r="GT79" s="104"/>
      <c r="GU79" s="104"/>
      <c r="GV79" s="104"/>
      <c r="GW79" s="104"/>
      <c r="GX79" s="104"/>
      <c r="GY79" s="104"/>
      <c r="GZ79" s="104"/>
      <c r="HA79" s="104"/>
      <c r="HB79" s="104"/>
      <c r="HC79" s="104"/>
      <c r="HD79" s="104"/>
      <c r="HE79" s="104"/>
      <c r="HF79" s="104"/>
      <c r="HG79" s="104"/>
      <c r="HH79" s="104"/>
      <c r="HI79" s="104"/>
      <c r="HJ79" s="104"/>
      <c r="HK79" s="104"/>
      <c r="HL79" s="104"/>
      <c r="HM79" s="104"/>
      <c r="HN79" s="104"/>
      <c r="HO79" s="104"/>
      <c r="HP79" s="104"/>
      <c r="HQ79" s="104"/>
      <c r="HR79" s="104"/>
      <c r="HS79" s="104"/>
      <c r="HT79" s="104"/>
      <c r="HU79" s="104"/>
      <c r="HV79" s="104"/>
      <c r="HW79" s="104"/>
      <c r="HX79" s="104"/>
      <c r="HY79" s="104"/>
      <c r="HZ79" s="104"/>
      <c r="IA79" s="104"/>
      <c r="IB79" s="104"/>
      <c r="IC79" s="104"/>
      <c r="ID79" s="104"/>
      <c r="IE79" s="104"/>
      <c r="IF79" s="104"/>
      <c r="IG79" s="104"/>
      <c r="IH79" s="104"/>
      <c r="II79" s="104"/>
      <c r="IJ79" s="104"/>
      <c r="IK79" s="104"/>
      <c r="IL79" s="104"/>
      <c r="IM79" s="104"/>
      <c r="IN79" s="104"/>
      <c r="IO79" s="104"/>
      <c r="IP79" s="104"/>
      <c r="IQ79" s="104"/>
      <c r="IR79" s="104"/>
      <c r="IS79" s="104"/>
      <c r="IT79" s="104"/>
      <c r="IU79" s="104"/>
      <c r="IV79" s="104"/>
      <c r="IW79" s="104"/>
      <c r="IX79" s="104"/>
      <c r="IY79" s="104"/>
      <c r="IZ79" s="104"/>
      <c r="JA79" s="104"/>
      <c r="JB79" s="104"/>
      <c r="JC79" s="104"/>
      <c r="JD79" s="104"/>
      <c r="JE79" s="104"/>
      <c r="JF79" s="104"/>
      <c r="JG79" s="104"/>
      <c r="JH79" s="104"/>
      <c r="JI79" s="104"/>
      <c r="JJ79" s="104"/>
      <c r="JK79" s="104"/>
      <c r="JL79" s="104"/>
      <c r="JM79" s="104"/>
      <c r="JN79" s="104"/>
      <c r="JO79" s="104"/>
      <c r="JP79" s="104"/>
      <c r="JQ79" s="104"/>
      <c r="JR79" s="104"/>
      <c r="JS79" s="104"/>
      <c r="JT79" s="104"/>
      <c r="JU79" s="104"/>
      <c r="JV79" s="104"/>
      <c r="JW79" s="104"/>
      <c r="JX79" s="104"/>
      <c r="JY79" s="104"/>
      <c r="JZ79" s="104"/>
      <c r="KA79" s="104"/>
      <c r="KB79" s="104"/>
      <c r="KC79" s="104"/>
      <c r="KD79" s="104"/>
      <c r="KE79" s="104"/>
      <c r="KF79" s="104"/>
      <c r="KG79" s="104"/>
      <c r="KH79" s="104"/>
      <c r="KI79" s="104"/>
      <c r="KJ79" s="104"/>
      <c r="KK79" s="104"/>
      <c r="KL79" s="104"/>
      <c r="KM79" s="104"/>
      <c r="KN79" s="104"/>
      <c r="KO79" s="104"/>
      <c r="KP79" s="104"/>
      <c r="KQ79" s="104"/>
      <c r="KR79" s="104"/>
      <c r="KS79" s="104"/>
      <c r="KT79" s="104"/>
      <c r="KU79" s="104"/>
      <c r="KV79" s="104"/>
      <c r="KW79" s="104"/>
      <c r="KX79" s="104"/>
      <c r="KY79" s="104"/>
      <c r="KZ79" s="104"/>
      <c r="LA79" s="104"/>
      <c r="LB79" s="104"/>
      <c r="LC79" s="104"/>
      <c r="LD79" s="104"/>
      <c r="LE79" s="104"/>
      <c r="LF79" s="104"/>
      <c r="LG79" s="104"/>
      <c r="LH79" s="104"/>
      <c r="LI79" s="104"/>
      <c r="LJ79" s="104"/>
      <c r="LK79" s="104"/>
      <c r="LL79" s="104"/>
      <c r="LM79" s="104"/>
      <c r="LN79" s="104"/>
      <c r="LO79" s="104"/>
      <c r="LP79" s="104"/>
      <c r="LQ79" s="104"/>
      <c r="LR79" s="104"/>
      <c r="LS79" s="104"/>
      <c r="LT79" s="104"/>
      <c r="LU79" s="104"/>
      <c r="LV79" s="104"/>
      <c r="LW79" s="104"/>
      <c r="LX79" s="104"/>
      <c r="LY79" s="104"/>
      <c r="LZ79" s="104"/>
      <c r="MA79" s="104"/>
      <c r="MB79" s="104"/>
      <c r="MC79" s="104"/>
      <c r="MD79" s="104"/>
      <c r="ME79" s="104"/>
      <c r="MF79" s="104"/>
      <c r="MG79" s="104"/>
      <c r="MH79" s="104"/>
      <c r="MI79" s="104"/>
      <c r="MJ79" s="104"/>
      <c r="MK79" s="104"/>
      <c r="ML79" s="104"/>
      <c r="MM79" s="104"/>
      <c r="MN79" s="104"/>
      <c r="MO79" s="104"/>
      <c r="MP79" s="104"/>
      <c r="MQ79" s="104"/>
      <c r="MR79" s="104"/>
      <c r="MS79" s="104"/>
      <c r="MT79" s="104"/>
      <c r="MU79" s="104"/>
      <c r="MV79" s="104"/>
      <c r="MW79" s="104"/>
      <c r="MX79" s="104"/>
      <c r="MY79" s="104"/>
      <c r="MZ79" s="104"/>
      <c r="NA79" s="104"/>
      <c r="NB79" s="104"/>
      <c r="NC79" s="104"/>
      <c r="ND79" s="104"/>
      <c r="NE79" s="104"/>
      <c r="NF79" s="104"/>
      <c r="NG79" s="104"/>
      <c r="NH79" s="104"/>
      <c r="NI79" s="104"/>
      <c r="NJ79" s="104"/>
      <c r="NK79" s="104"/>
      <c r="NL79" s="104"/>
      <c r="NM79" s="104"/>
      <c r="NN79" s="104"/>
      <c r="NO79" s="104"/>
      <c r="NP79" s="104"/>
      <c r="NQ79" s="104"/>
      <c r="NR79" s="104"/>
      <c r="NS79" s="104"/>
      <c r="NT79" s="104"/>
      <c r="NU79" s="104"/>
      <c r="NV79" s="104"/>
      <c r="NW79" s="104"/>
      <c r="NX79" s="104"/>
      <c r="NY79" s="104"/>
      <c r="NZ79" s="104"/>
    </row>
    <row r="80" spans="1:390" ht="15.75" customHeight="1" x14ac:dyDescent="0.3">
      <c r="A80" s="214">
        <v>4387681772</v>
      </c>
      <c r="B80" s="165" t="s">
        <v>391</v>
      </c>
      <c r="C80" s="138"/>
      <c r="D80" s="216" t="s">
        <v>391</v>
      </c>
      <c r="E80" s="136" t="s">
        <v>714</v>
      </c>
      <c r="F80" s="125" t="s">
        <v>715</v>
      </c>
      <c r="G80" s="221" t="s">
        <v>398</v>
      </c>
      <c r="H80" s="219">
        <v>43726</v>
      </c>
      <c r="I80" s="216" t="s">
        <v>513</v>
      </c>
      <c r="J80" s="153" t="s">
        <v>397</v>
      </c>
      <c r="K80" s="153" t="s">
        <v>398</v>
      </c>
      <c r="L80" s="153" t="s">
        <v>398</v>
      </c>
      <c r="M80" s="164" t="s">
        <v>398</v>
      </c>
      <c r="N80" s="164" t="s">
        <v>398</v>
      </c>
      <c r="O80" s="164" t="s">
        <v>398</v>
      </c>
      <c r="P80" s="164" t="s">
        <v>398</v>
      </c>
      <c r="Q80" s="164" t="s">
        <v>398</v>
      </c>
      <c r="R80" s="164" t="s">
        <v>398</v>
      </c>
      <c r="S80" s="164" t="s">
        <v>398</v>
      </c>
      <c r="T80" s="164" t="s">
        <v>398</v>
      </c>
      <c r="U80" s="164" t="s">
        <v>398</v>
      </c>
      <c r="V80" s="164" t="s">
        <v>398</v>
      </c>
      <c r="W80" s="164" t="s">
        <v>398</v>
      </c>
      <c r="X80" s="164" t="s">
        <v>398</v>
      </c>
      <c r="Y80" s="164" t="s">
        <v>398</v>
      </c>
      <c r="Z80" s="164" t="s">
        <v>398</v>
      </c>
      <c r="AA80" s="164" t="s">
        <v>398</v>
      </c>
      <c r="AB80" s="167" t="s">
        <v>399</v>
      </c>
      <c r="AC80" s="219">
        <v>15803</v>
      </c>
      <c r="AD80" s="106"/>
      <c r="AE80" s="108" t="e">
        <f t="shared" si="1"/>
        <v>#NUM!</v>
      </c>
      <c r="AF80" s="104" t="s">
        <v>685</v>
      </c>
      <c r="AG80" s="79" t="s">
        <v>401</v>
      </c>
      <c r="AH80" s="104" t="s">
        <v>402</v>
      </c>
      <c r="AI80" s="110"/>
      <c r="AJ80" s="110"/>
      <c r="AK80" s="110"/>
      <c r="AL80" s="110"/>
      <c r="AM80" s="105"/>
      <c r="AN80" s="95">
        <v>3</v>
      </c>
      <c r="AO80" s="173" t="s">
        <v>398</v>
      </c>
      <c r="AP80" s="104"/>
      <c r="AQ80" s="104"/>
      <c r="AR80" s="104"/>
      <c r="AS80" s="104"/>
      <c r="AT80" s="104"/>
      <c r="AU80" s="104"/>
      <c r="AV80" s="104"/>
      <c r="AW80" s="104"/>
      <c r="AX80" s="104"/>
      <c r="AY80" s="104"/>
      <c r="AZ80" s="104"/>
      <c r="BA80" s="104"/>
      <c r="BB80" s="104"/>
      <c r="BC80" s="104"/>
      <c r="BD80" s="104"/>
      <c r="BE80" s="104"/>
      <c r="BF80" s="104"/>
      <c r="BG80" s="104"/>
      <c r="BH80" s="104"/>
      <c r="BI80" s="104"/>
      <c r="BJ80" s="104"/>
      <c r="BK80" s="104"/>
      <c r="BL80" s="104"/>
      <c r="BM80" s="104"/>
      <c r="BN80" s="104"/>
      <c r="BO80" s="104"/>
      <c r="BP80" s="104"/>
      <c r="BQ80" s="104"/>
      <c r="BR80" s="104"/>
      <c r="BS80" s="104"/>
      <c r="BT80" s="104"/>
      <c r="BU80" s="104"/>
      <c r="BV80" s="104"/>
      <c r="BW80" s="104"/>
      <c r="BX80" s="104"/>
      <c r="BY80" s="104"/>
      <c r="BZ80" s="104"/>
      <c r="CA80" s="104"/>
      <c r="CB80" s="104"/>
      <c r="CC80" s="104"/>
      <c r="CD80" s="104"/>
      <c r="CE80" s="104"/>
      <c r="CF80" s="104"/>
      <c r="CG80" s="104"/>
      <c r="CH80" s="104"/>
      <c r="CI80" s="104"/>
      <c r="CJ80" s="104"/>
      <c r="CK80" s="104"/>
      <c r="CL80" s="104"/>
      <c r="CM80" s="104"/>
      <c r="CN80" s="104"/>
      <c r="CO80" s="104"/>
      <c r="CP80" s="104"/>
      <c r="CQ80" s="104"/>
      <c r="CR80" s="104"/>
      <c r="CS80" s="104"/>
      <c r="CT80" s="104"/>
      <c r="CU80" s="104"/>
      <c r="CV80" s="104"/>
      <c r="CW80" s="104"/>
      <c r="CX80" s="104"/>
      <c r="CY80" s="104"/>
      <c r="CZ80" s="104"/>
      <c r="DA80" s="104"/>
      <c r="DB80" s="104"/>
      <c r="DC80" s="104"/>
      <c r="DD80" s="104"/>
      <c r="DE80" s="104"/>
      <c r="DF80" s="104"/>
      <c r="DG80" s="104"/>
      <c r="DH80" s="104"/>
      <c r="DI80" s="104"/>
      <c r="DJ80" s="104"/>
      <c r="DK80" s="104"/>
      <c r="DL80" s="104"/>
      <c r="DM80" s="104"/>
      <c r="DN80" s="104"/>
      <c r="DO80" s="104"/>
      <c r="DP80" s="104"/>
      <c r="DQ80" s="104"/>
      <c r="DR80" s="104"/>
      <c r="DS80" s="104"/>
      <c r="DT80" s="104"/>
      <c r="DU80" s="104"/>
      <c r="DV80" s="104"/>
      <c r="DW80" s="104"/>
      <c r="DX80" s="104"/>
      <c r="DY80" s="104"/>
      <c r="DZ80" s="104"/>
      <c r="EA80" s="104"/>
      <c r="EB80" s="104"/>
      <c r="EC80" s="104"/>
      <c r="ED80" s="104"/>
      <c r="EE80" s="104"/>
      <c r="EF80" s="104"/>
      <c r="EG80" s="104"/>
      <c r="EH80" s="104"/>
      <c r="EI80" s="104"/>
      <c r="EJ80" s="104"/>
      <c r="EK80" s="104"/>
      <c r="EL80" s="104"/>
      <c r="EM80" s="104"/>
      <c r="EN80" s="104"/>
      <c r="EO80" s="104"/>
      <c r="EP80" s="104"/>
      <c r="EQ80" s="104"/>
      <c r="ER80" s="104"/>
      <c r="ES80" s="104"/>
      <c r="ET80" s="104"/>
      <c r="EU80" s="104"/>
      <c r="EV80" s="104"/>
      <c r="EW80" s="104"/>
      <c r="EX80" s="104"/>
      <c r="EY80" s="104"/>
      <c r="EZ80" s="104"/>
      <c r="FA80" s="104"/>
      <c r="FB80" s="104"/>
      <c r="FC80" s="104"/>
      <c r="FD80" s="104"/>
      <c r="FE80" s="104"/>
      <c r="FF80" s="104"/>
      <c r="FG80" s="104"/>
      <c r="FH80" s="104"/>
      <c r="FI80" s="104"/>
      <c r="FJ80" s="104"/>
      <c r="FK80" s="104"/>
      <c r="FL80" s="104"/>
      <c r="FM80" s="104"/>
      <c r="FN80" s="104"/>
      <c r="FO80" s="104"/>
      <c r="FP80" s="104"/>
      <c r="FQ80" s="104"/>
      <c r="FR80" s="104"/>
      <c r="FS80" s="104"/>
      <c r="FT80" s="104"/>
      <c r="FU80" s="104"/>
      <c r="FV80" s="104"/>
      <c r="FW80" s="104"/>
      <c r="FX80" s="104"/>
      <c r="FY80" s="104"/>
      <c r="FZ80" s="104"/>
      <c r="GA80" s="104"/>
      <c r="GB80" s="104"/>
      <c r="GC80" s="104"/>
      <c r="GD80" s="104"/>
      <c r="GE80" s="104"/>
      <c r="GF80" s="104"/>
      <c r="GG80" s="104"/>
      <c r="GH80" s="104"/>
      <c r="GI80" s="104"/>
      <c r="GJ80" s="104"/>
      <c r="GK80" s="104"/>
      <c r="GL80" s="104"/>
      <c r="GM80" s="104"/>
      <c r="GN80" s="104"/>
      <c r="GO80" s="104"/>
      <c r="GP80" s="104"/>
      <c r="GQ80" s="104"/>
      <c r="GR80" s="104"/>
      <c r="GS80" s="104"/>
      <c r="GT80" s="104"/>
      <c r="GU80" s="104"/>
      <c r="GV80" s="104"/>
      <c r="GW80" s="104"/>
      <c r="GX80" s="104"/>
      <c r="GY80" s="104"/>
      <c r="GZ80" s="104"/>
      <c r="HA80" s="104"/>
      <c r="HB80" s="104"/>
      <c r="HC80" s="104"/>
      <c r="HD80" s="104"/>
      <c r="HE80" s="104"/>
      <c r="HF80" s="104"/>
      <c r="HG80" s="104"/>
      <c r="HH80" s="104"/>
      <c r="HI80" s="104"/>
      <c r="HJ80" s="104"/>
      <c r="HK80" s="104"/>
      <c r="HL80" s="104"/>
      <c r="HM80" s="104"/>
      <c r="HN80" s="104"/>
      <c r="HO80" s="104"/>
      <c r="HP80" s="104"/>
      <c r="HQ80" s="104"/>
      <c r="HR80" s="104"/>
      <c r="HS80" s="104"/>
      <c r="HT80" s="104"/>
      <c r="HU80" s="104"/>
      <c r="HV80" s="104"/>
      <c r="HW80" s="104"/>
      <c r="HX80" s="104"/>
      <c r="HY80" s="104"/>
      <c r="HZ80" s="104"/>
      <c r="IA80" s="104"/>
      <c r="IB80" s="104"/>
      <c r="IC80" s="104"/>
      <c r="ID80" s="104"/>
      <c r="IE80" s="104"/>
      <c r="IF80" s="104"/>
      <c r="IG80" s="104"/>
      <c r="IH80" s="104"/>
      <c r="II80" s="104"/>
      <c r="IJ80" s="104"/>
      <c r="IK80" s="104"/>
      <c r="IL80" s="104"/>
      <c r="IM80" s="104"/>
      <c r="IN80" s="104"/>
      <c r="IO80" s="104"/>
      <c r="IP80" s="104"/>
      <c r="IQ80" s="104"/>
      <c r="IR80" s="104"/>
      <c r="IS80" s="104"/>
      <c r="IT80" s="104"/>
      <c r="IU80" s="104"/>
      <c r="IV80" s="104"/>
      <c r="IW80" s="104"/>
      <c r="IX80" s="104"/>
      <c r="IY80" s="104"/>
      <c r="IZ80" s="104"/>
      <c r="JA80" s="104"/>
      <c r="JB80" s="104"/>
      <c r="JC80" s="104"/>
      <c r="JD80" s="104"/>
      <c r="JE80" s="104"/>
      <c r="JF80" s="104"/>
      <c r="JG80" s="104"/>
      <c r="JH80" s="104"/>
      <c r="JI80" s="104"/>
      <c r="JJ80" s="104"/>
      <c r="JK80" s="104"/>
      <c r="JL80" s="104"/>
      <c r="JM80" s="104"/>
      <c r="JN80" s="104"/>
      <c r="JO80" s="104"/>
      <c r="JP80" s="104"/>
      <c r="JQ80" s="104"/>
      <c r="JR80" s="104"/>
      <c r="JS80" s="104"/>
      <c r="JT80" s="104"/>
      <c r="JU80" s="104"/>
      <c r="JV80" s="104"/>
      <c r="JW80" s="104"/>
      <c r="JX80" s="104"/>
      <c r="JY80" s="104"/>
      <c r="JZ80" s="104"/>
      <c r="KA80" s="104"/>
      <c r="KB80" s="104"/>
      <c r="KC80" s="104"/>
      <c r="KD80" s="104"/>
      <c r="KE80" s="104"/>
      <c r="KF80" s="104"/>
      <c r="KG80" s="104"/>
      <c r="KH80" s="104"/>
      <c r="KI80" s="104"/>
      <c r="KJ80" s="104"/>
      <c r="KK80" s="104"/>
      <c r="KL80" s="104"/>
      <c r="KM80" s="104"/>
      <c r="KN80" s="104"/>
      <c r="KO80" s="104"/>
      <c r="KP80" s="104"/>
      <c r="KQ80" s="104"/>
      <c r="KR80" s="104"/>
      <c r="KS80" s="104"/>
      <c r="KT80" s="104"/>
      <c r="KU80" s="104"/>
      <c r="KV80" s="104"/>
      <c r="KW80" s="104"/>
      <c r="KX80" s="104"/>
      <c r="KY80" s="104"/>
      <c r="KZ80" s="104"/>
      <c r="LA80" s="104"/>
      <c r="LB80" s="104"/>
      <c r="LC80" s="104"/>
      <c r="LD80" s="104"/>
      <c r="LE80" s="104"/>
      <c r="LF80" s="104"/>
      <c r="LG80" s="104"/>
      <c r="LH80" s="104"/>
      <c r="LI80" s="104"/>
      <c r="LJ80" s="104"/>
      <c r="LK80" s="104"/>
      <c r="LL80" s="104"/>
      <c r="LM80" s="104"/>
      <c r="LN80" s="104"/>
      <c r="LO80" s="104"/>
      <c r="LP80" s="104"/>
      <c r="LQ80" s="104"/>
      <c r="LR80" s="104"/>
      <c r="LS80" s="104"/>
      <c r="LT80" s="104"/>
      <c r="LU80" s="104"/>
      <c r="LV80" s="104"/>
      <c r="LW80" s="104"/>
      <c r="LX80" s="104"/>
      <c r="LY80" s="104"/>
      <c r="LZ80" s="104"/>
      <c r="MA80" s="104"/>
      <c r="MB80" s="104"/>
      <c r="MC80" s="104"/>
      <c r="MD80" s="104"/>
      <c r="ME80" s="104"/>
      <c r="MF80" s="104"/>
      <c r="MG80" s="104"/>
      <c r="MH80" s="104"/>
      <c r="MI80" s="104"/>
      <c r="MJ80" s="104"/>
      <c r="MK80" s="104"/>
      <c r="ML80" s="104"/>
      <c r="MM80" s="104"/>
      <c r="MN80" s="104"/>
      <c r="MO80" s="104"/>
      <c r="MP80" s="104"/>
      <c r="MQ80" s="104"/>
      <c r="MR80" s="104"/>
      <c r="MS80" s="104"/>
      <c r="MT80" s="104"/>
      <c r="MU80" s="104"/>
      <c r="MV80" s="104"/>
      <c r="MW80" s="104"/>
      <c r="MX80" s="104"/>
      <c r="MY80" s="104"/>
      <c r="MZ80" s="104"/>
      <c r="NA80" s="104"/>
      <c r="NB80" s="104"/>
      <c r="NC80" s="104"/>
      <c r="ND80" s="104"/>
      <c r="NE80" s="104"/>
      <c r="NF80" s="104"/>
      <c r="NG80" s="104"/>
      <c r="NH80" s="104"/>
      <c r="NI80" s="104"/>
      <c r="NJ80" s="104"/>
      <c r="NK80" s="104"/>
      <c r="NL80" s="104"/>
      <c r="NM80" s="104"/>
      <c r="NN80" s="104"/>
      <c r="NO80" s="104"/>
      <c r="NP80" s="104"/>
      <c r="NQ80" s="104"/>
      <c r="NR80" s="104"/>
      <c r="NS80" s="104"/>
      <c r="NT80" s="104"/>
      <c r="NU80" s="104"/>
      <c r="NV80" s="104"/>
      <c r="NW80" s="104"/>
      <c r="NX80" s="104"/>
      <c r="NY80" s="104"/>
      <c r="NZ80" s="104"/>
    </row>
    <row r="81" spans="1:390" ht="15.75" customHeight="1" x14ac:dyDescent="0.3">
      <c r="A81" s="235">
        <v>4860577809</v>
      </c>
      <c r="B81" s="165" t="s">
        <v>391</v>
      </c>
      <c r="C81" s="143"/>
      <c r="D81" s="236" t="s">
        <v>391</v>
      </c>
      <c r="E81" s="163" t="s">
        <v>716</v>
      </c>
      <c r="F81" s="140" t="s">
        <v>408</v>
      </c>
      <c r="G81" s="233" t="s">
        <v>465</v>
      </c>
      <c r="H81" s="219">
        <v>43731</v>
      </c>
      <c r="I81" s="216" t="s">
        <v>458</v>
      </c>
      <c r="J81" s="153" t="s">
        <v>397</v>
      </c>
      <c r="K81" s="153" t="s">
        <v>398</v>
      </c>
      <c r="L81" s="153" t="s">
        <v>398</v>
      </c>
      <c r="M81" s="164" t="s">
        <v>398</v>
      </c>
      <c r="N81" s="164" t="s">
        <v>398</v>
      </c>
      <c r="O81" s="164" t="s">
        <v>398</v>
      </c>
      <c r="P81" s="164" t="s">
        <v>398</v>
      </c>
      <c r="Q81" s="164" t="s">
        <v>398</v>
      </c>
      <c r="R81" s="164" t="s">
        <v>398</v>
      </c>
      <c r="S81" s="164" t="s">
        <v>398</v>
      </c>
      <c r="T81" s="164" t="s">
        <v>398</v>
      </c>
      <c r="U81" s="164" t="s">
        <v>398</v>
      </c>
      <c r="V81" s="164" t="s">
        <v>398</v>
      </c>
      <c r="W81" s="164" t="s">
        <v>398</v>
      </c>
      <c r="X81" s="164" t="s">
        <v>398</v>
      </c>
      <c r="Y81" s="164" t="s">
        <v>398</v>
      </c>
      <c r="Z81" s="164" t="s">
        <v>398</v>
      </c>
      <c r="AA81" s="164" t="s">
        <v>398</v>
      </c>
      <c r="AB81" s="167" t="s">
        <v>399</v>
      </c>
      <c r="AC81" s="237">
        <v>22206</v>
      </c>
      <c r="AD81" s="118"/>
      <c r="AE81" s="108" t="e">
        <f t="shared" si="1"/>
        <v>#NUM!</v>
      </c>
      <c r="AF81" s="117" t="s">
        <v>618</v>
      </c>
      <c r="AG81" s="79" t="s">
        <v>401</v>
      </c>
      <c r="AH81" s="115" t="s">
        <v>402</v>
      </c>
      <c r="AI81" s="114"/>
      <c r="AJ81" s="114"/>
      <c r="AK81" s="114"/>
      <c r="AL81" s="114"/>
      <c r="AM81" s="116"/>
      <c r="AN81" s="81">
        <v>3</v>
      </c>
      <c r="AO81" s="173" t="s">
        <v>398</v>
      </c>
      <c r="AP81" s="115"/>
      <c r="AQ81" s="115"/>
      <c r="AR81" s="115"/>
      <c r="AS81" s="115"/>
      <c r="AT81" s="115"/>
      <c r="AU81" s="115"/>
      <c r="AV81" s="115"/>
      <c r="AW81" s="115"/>
      <c r="AX81" s="115"/>
      <c r="AY81" s="115"/>
      <c r="AZ81" s="115"/>
      <c r="BA81" s="115"/>
      <c r="BB81" s="115"/>
      <c r="BC81" s="115"/>
      <c r="BD81" s="115"/>
      <c r="BE81" s="115"/>
      <c r="BF81" s="115"/>
      <c r="BG81" s="115"/>
      <c r="BH81" s="115"/>
      <c r="BI81" s="115"/>
      <c r="BJ81" s="115"/>
      <c r="BK81" s="115"/>
      <c r="BL81" s="115"/>
      <c r="BM81" s="115"/>
      <c r="BN81" s="115"/>
      <c r="BO81" s="115"/>
      <c r="BP81" s="115"/>
      <c r="BQ81" s="115"/>
      <c r="BR81" s="115"/>
      <c r="BS81" s="115"/>
      <c r="BT81" s="115"/>
      <c r="BU81" s="115"/>
      <c r="BV81" s="115"/>
      <c r="BW81" s="115"/>
      <c r="BX81" s="115"/>
      <c r="BY81" s="115"/>
      <c r="BZ81" s="115"/>
      <c r="CA81" s="115"/>
      <c r="CB81" s="115"/>
      <c r="CC81" s="115"/>
      <c r="CD81" s="115"/>
      <c r="CE81" s="115"/>
      <c r="CF81" s="115"/>
      <c r="CG81" s="115"/>
      <c r="CH81" s="115"/>
      <c r="CI81" s="115"/>
      <c r="CJ81" s="115"/>
      <c r="CK81" s="115"/>
      <c r="CL81" s="115"/>
      <c r="CM81" s="115"/>
      <c r="CN81" s="115"/>
      <c r="CO81" s="115"/>
      <c r="CP81" s="115"/>
      <c r="CQ81" s="115"/>
      <c r="CR81" s="115"/>
      <c r="CS81" s="115"/>
      <c r="CT81" s="115"/>
      <c r="CU81" s="115"/>
      <c r="CV81" s="115"/>
      <c r="CW81" s="115"/>
      <c r="CX81" s="115"/>
      <c r="CY81" s="115"/>
      <c r="CZ81" s="115"/>
      <c r="DA81" s="115"/>
      <c r="DB81" s="115"/>
      <c r="DC81" s="115"/>
      <c r="DD81" s="115"/>
      <c r="DE81" s="115"/>
      <c r="DF81" s="115"/>
      <c r="DG81" s="115"/>
      <c r="DH81" s="115"/>
      <c r="DI81" s="115"/>
      <c r="DJ81" s="115"/>
      <c r="DK81" s="115"/>
      <c r="DL81" s="115"/>
      <c r="DM81" s="115"/>
      <c r="DN81" s="115"/>
      <c r="DO81" s="115"/>
      <c r="DP81" s="115"/>
      <c r="DQ81" s="115"/>
      <c r="DR81" s="115"/>
      <c r="DS81" s="115"/>
      <c r="DT81" s="115"/>
      <c r="DU81" s="115"/>
      <c r="DV81" s="115"/>
      <c r="DW81" s="115"/>
      <c r="DX81" s="115"/>
      <c r="DY81" s="115"/>
      <c r="DZ81" s="115"/>
      <c r="EA81" s="115"/>
      <c r="EB81" s="115"/>
      <c r="EC81" s="115"/>
      <c r="ED81" s="115"/>
      <c r="EE81" s="115"/>
      <c r="EF81" s="115"/>
      <c r="EG81" s="115"/>
      <c r="EH81" s="115"/>
      <c r="EI81" s="115"/>
      <c r="EJ81" s="115"/>
      <c r="EK81" s="115"/>
      <c r="EL81" s="115"/>
      <c r="EM81" s="115"/>
      <c r="EN81" s="115"/>
      <c r="EO81" s="115"/>
      <c r="EP81" s="115"/>
      <c r="EQ81" s="115"/>
      <c r="ER81" s="115"/>
      <c r="ES81" s="115"/>
      <c r="ET81" s="115"/>
      <c r="EU81" s="115"/>
      <c r="EV81" s="115"/>
      <c r="EW81" s="115"/>
      <c r="EX81" s="115"/>
      <c r="EY81" s="115"/>
      <c r="EZ81" s="115"/>
      <c r="FA81" s="115"/>
      <c r="FB81" s="115"/>
      <c r="FC81" s="115"/>
      <c r="FD81" s="115"/>
      <c r="FE81" s="115"/>
      <c r="FF81" s="115"/>
      <c r="FG81" s="115"/>
      <c r="FH81" s="115"/>
      <c r="FI81" s="115"/>
      <c r="FJ81" s="115"/>
      <c r="FK81" s="115"/>
      <c r="FL81" s="115"/>
      <c r="FM81" s="115"/>
      <c r="FN81" s="115"/>
      <c r="FO81" s="115"/>
      <c r="FP81" s="115"/>
      <c r="FQ81" s="115"/>
      <c r="FR81" s="115"/>
      <c r="FS81" s="115"/>
      <c r="FT81" s="115"/>
      <c r="FU81" s="115"/>
      <c r="FV81" s="115"/>
      <c r="FW81" s="115"/>
      <c r="FX81" s="115"/>
      <c r="FY81" s="115"/>
      <c r="FZ81" s="115"/>
      <c r="GA81" s="115"/>
      <c r="GB81" s="115"/>
      <c r="GC81" s="115"/>
      <c r="GD81" s="115"/>
      <c r="GE81" s="115"/>
      <c r="GF81" s="115"/>
      <c r="GG81" s="115"/>
      <c r="GH81" s="115"/>
      <c r="GI81" s="115"/>
      <c r="GJ81" s="115"/>
      <c r="GK81" s="115"/>
      <c r="GL81" s="115"/>
      <c r="GM81" s="115"/>
      <c r="GN81" s="115"/>
      <c r="GO81" s="115"/>
      <c r="GP81" s="115"/>
      <c r="GQ81" s="115"/>
      <c r="GR81" s="115"/>
      <c r="GS81" s="115"/>
      <c r="GT81" s="115"/>
      <c r="GU81" s="115"/>
      <c r="GV81" s="115"/>
      <c r="GW81" s="115"/>
      <c r="GX81" s="115"/>
      <c r="GY81" s="115"/>
      <c r="GZ81" s="115"/>
      <c r="HA81" s="115"/>
      <c r="HB81" s="115"/>
      <c r="HC81" s="115"/>
      <c r="HD81" s="115"/>
      <c r="HE81" s="115"/>
      <c r="HF81" s="115"/>
      <c r="HG81" s="115"/>
      <c r="HH81" s="115"/>
      <c r="HI81" s="115"/>
      <c r="HJ81" s="115"/>
      <c r="HK81" s="115"/>
      <c r="HL81" s="115"/>
      <c r="HM81" s="115"/>
      <c r="HN81" s="115"/>
      <c r="HO81" s="115"/>
      <c r="HP81" s="115"/>
      <c r="HQ81" s="115"/>
      <c r="HR81" s="115"/>
      <c r="HS81" s="115"/>
      <c r="HT81" s="115"/>
      <c r="HU81" s="115"/>
      <c r="HV81" s="115"/>
      <c r="HW81" s="115"/>
      <c r="HX81" s="115"/>
      <c r="HY81" s="115"/>
      <c r="HZ81" s="115"/>
      <c r="IA81" s="115"/>
      <c r="IB81" s="115"/>
      <c r="IC81" s="115"/>
      <c r="ID81" s="115"/>
      <c r="IE81" s="115"/>
      <c r="IF81" s="115"/>
      <c r="IG81" s="115"/>
      <c r="IH81" s="115"/>
      <c r="II81" s="115"/>
      <c r="IJ81" s="115"/>
      <c r="IK81" s="115"/>
      <c r="IL81" s="115"/>
      <c r="IM81" s="115"/>
      <c r="IN81" s="115"/>
      <c r="IO81" s="115"/>
      <c r="IP81" s="115"/>
      <c r="IQ81" s="115"/>
      <c r="IR81" s="115"/>
      <c r="IS81" s="115"/>
      <c r="IT81" s="115"/>
      <c r="IU81" s="115"/>
      <c r="IV81" s="115"/>
      <c r="IW81" s="115"/>
      <c r="IX81" s="115"/>
      <c r="IY81" s="115"/>
      <c r="IZ81" s="115"/>
      <c r="JA81" s="115"/>
      <c r="JB81" s="115"/>
      <c r="JC81" s="115"/>
      <c r="JD81" s="115"/>
      <c r="JE81" s="115"/>
      <c r="JF81" s="115"/>
      <c r="JG81" s="115"/>
      <c r="JH81" s="115"/>
      <c r="JI81" s="115"/>
      <c r="JJ81" s="115"/>
      <c r="JK81" s="115"/>
      <c r="JL81" s="115"/>
      <c r="JM81" s="115"/>
      <c r="JN81" s="115"/>
      <c r="JO81" s="115"/>
      <c r="JP81" s="115"/>
      <c r="JQ81" s="115"/>
      <c r="JR81" s="115"/>
      <c r="JS81" s="115"/>
      <c r="JT81" s="115"/>
      <c r="JU81" s="115"/>
      <c r="JV81" s="115"/>
      <c r="JW81" s="115"/>
      <c r="JX81" s="115"/>
      <c r="JY81" s="115"/>
      <c r="JZ81" s="115"/>
      <c r="KA81" s="115"/>
      <c r="KB81" s="115"/>
      <c r="KC81" s="115"/>
      <c r="KD81" s="115"/>
      <c r="KE81" s="115"/>
      <c r="KF81" s="115"/>
      <c r="KG81" s="115"/>
      <c r="KH81" s="115"/>
      <c r="KI81" s="115"/>
      <c r="KJ81" s="115"/>
      <c r="KK81" s="115"/>
      <c r="KL81" s="115"/>
      <c r="KM81" s="115"/>
      <c r="KN81" s="115"/>
      <c r="KO81" s="115"/>
      <c r="KP81" s="115"/>
      <c r="KQ81" s="115"/>
      <c r="KR81" s="115"/>
      <c r="KS81" s="115"/>
      <c r="KT81" s="115"/>
      <c r="KU81" s="115"/>
      <c r="KV81" s="115"/>
      <c r="KW81" s="115"/>
      <c r="KX81" s="115"/>
      <c r="KY81" s="115"/>
      <c r="KZ81" s="115"/>
      <c r="LA81" s="115"/>
      <c r="LB81" s="115"/>
      <c r="LC81" s="115"/>
      <c r="LD81" s="115"/>
      <c r="LE81" s="115"/>
      <c r="LF81" s="115"/>
      <c r="LG81" s="115"/>
      <c r="LH81" s="115"/>
      <c r="LI81" s="115"/>
      <c r="LJ81" s="115"/>
      <c r="LK81" s="115"/>
      <c r="LL81" s="115"/>
      <c r="LM81" s="115"/>
      <c r="LN81" s="115"/>
      <c r="LO81" s="115"/>
      <c r="LP81" s="115"/>
      <c r="LQ81" s="115"/>
      <c r="LR81" s="115"/>
      <c r="LS81" s="115"/>
      <c r="LT81" s="115"/>
      <c r="LU81" s="115"/>
      <c r="LV81" s="115"/>
      <c r="LW81" s="115"/>
      <c r="LX81" s="115"/>
      <c r="LY81" s="115"/>
      <c r="LZ81" s="115"/>
      <c r="MA81" s="115"/>
      <c r="MB81" s="115"/>
      <c r="MC81" s="115"/>
      <c r="MD81" s="115"/>
      <c r="ME81" s="115"/>
      <c r="MF81" s="115"/>
      <c r="MG81" s="115"/>
      <c r="MH81" s="115"/>
      <c r="MI81" s="115"/>
      <c r="MJ81" s="115"/>
      <c r="MK81" s="115"/>
      <c r="ML81" s="115"/>
      <c r="MM81" s="115"/>
      <c r="MN81" s="115"/>
      <c r="MO81" s="115"/>
      <c r="MP81" s="115"/>
      <c r="MQ81" s="115"/>
      <c r="MR81" s="115"/>
      <c r="MS81" s="115"/>
      <c r="MT81" s="115"/>
      <c r="MU81" s="115"/>
      <c r="MV81" s="115"/>
      <c r="MW81" s="115"/>
      <c r="MX81" s="115"/>
      <c r="MY81" s="115"/>
      <c r="MZ81" s="115"/>
      <c r="NA81" s="115"/>
      <c r="NB81" s="115"/>
      <c r="NC81" s="115"/>
      <c r="ND81" s="115"/>
      <c r="NE81" s="115"/>
      <c r="NF81" s="115"/>
      <c r="NG81" s="115"/>
      <c r="NH81" s="115"/>
      <c r="NI81" s="115"/>
      <c r="NJ81" s="115"/>
      <c r="NK81" s="115"/>
      <c r="NL81" s="115"/>
      <c r="NM81" s="115"/>
      <c r="NN81" s="115"/>
      <c r="NO81" s="115"/>
      <c r="NP81" s="115"/>
      <c r="NQ81" s="115"/>
      <c r="NR81" s="115"/>
      <c r="NS81" s="115"/>
      <c r="NT81" s="115"/>
      <c r="NU81" s="115"/>
      <c r="NV81" s="115"/>
      <c r="NW81" s="115"/>
      <c r="NX81" s="115"/>
      <c r="NY81" s="115"/>
      <c r="NZ81" s="115"/>
    </row>
    <row r="82" spans="1:390" ht="15.75" customHeight="1" x14ac:dyDescent="0.3">
      <c r="A82" s="216">
        <v>4860695550</v>
      </c>
      <c r="B82" s="165" t="s">
        <v>391</v>
      </c>
      <c r="C82" s="153"/>
      <c r="D82" s="216" t="s">
        <v>391</v>
      </c>
      <c r="E82" s="153" t="s">
        <v>717</v>
      </c>
      <c r="F82" s="153" t="s">
        <v>465</v>
      </c>
      <c r="G82" s="238" t="s">
        <v>471</v>
      </c>
      <c r="H82" s="219">
        <v>43738</v>
      </c>
      <c r="I82" s="216" t="s">
        <v>458</v>
      </c>
      <c r="J82" s="153" t="s">
        <v>397</v>
      </c>
      <c r="K82" s="153" t="s">
        <v>398</v>
      </c>
      <c r="L82" s="153" t="s">
        <v>398</v>
      </c>
      <c r="M82" s="164" t="s">
        <v>398</v>
      </c>
      <c r="N82" s="164" t="s">
        <v>398</v>
      </c>
      <c r="O82" s="164" t="s">
        <v>398</v>
      </c>
      <c r="P82" s="164" t="s">
        <v>398</v>
      </c>
      <c r="Q82" s="164" t="s">
        <v>398</v>
      </c>
      <c r="R82" s="164" t="s">
        <v>398</v>
      </c>
      <c r="S82" s="164" t="s">
        <v>398</v>
      </c>
      <c r="T82" s="164" t="s">
        <v>398</v>
      </c>
      <c r="U82" s="164" t="s">
        <v>398</v>
      </c>
      <c r="V82" s="164" t="s">
        <v>398</v>
      </c>
      <c r="W82" s="164" t="s">
        <v>398</v>
      </c>
      <c r="X82" s="164" t="s">
        <v>398</v>
      </c>
      <c r="Y82" s="164" t="s">
        <v>398</v>
      </c>
      <c r="Z82" s="164" t="s">
        <v>398</v>
      </c>
      <c r="AA82" s="164" t="s">
        <v>398</v>
      </c>
      <c r="AB82" s="148" t="s">
        <v>399</v>
      </c>
      <c r="AC82" s="219">
        <v>23254</v>
      </c>
      <c r="AD82" s="148"/>
      <c r="AE82" s="108" t="e">
        <f t="shared" si="1"/>
        <v>#NUM!</v>
      </c>
      <c r="AF82" s="148" t="s">
        <v>602</v>
      </c>
      <c r="AG82" s="79" t="s">
        <v>401</v>
      </c>
      <c r="AH82" s="148" t="s">
        <v>402</v>
      </c>
      <c r="AI82" s="148"/>
      <c r="AJ82" s="148"/>
      <c r="AK82" s="148"/>
      <c r="AL82" s="148"/>
      <c r="AM82" s="148"/>
      <c r="AN82" s="146">
        <v>1</v>
      </c>
      <c r="AO82" s="173" t="s">
        <v>398</v>
      </c>
      <c r="AP82" s="148"/>
      <c r="AQ82" s="148"/>
      <c r="AR82" s="148"/>
      <c r="AS82" s="148"/>
      <c r="AT82" s="148"/>
      <c r="AU82" s="148"/>
      <c r="AV82" s="148"/>
      <c r="AW82" s="148"/>
      <c r="AX82" s="148"/>
      <c r="AY82" s="148"/>
      <c r="AZ82" s="148"/>
      <c r="BA82" s="148"/>
      <c r="BB82" s="148"/>
      <c r="BC82" s="148"/>
      <c r="BD82" s="148"/>
      <c r="BE82" s="148"/>
      <c r="BF82" s="148"/>
      <c r="BG82" s="148"/>
      <c r="BH82" s="148"/>
      <c r="BI82" s="148"/>
      <c r="BJ82" s="148"/>
      <c r="BK82" s="148"/>
      <c r="BL82" s="148"/>
      <c r="BM82" s="148"/>
      <c r="BN82" s="148"/>
      <c r="BO82" s="148"/>
      <c r="BP82" s="148"/>
      <c r="BQ82" s="148"/>
      <c r="BR82" s="148"/>
      <c r="BS82" s="148"/>
      <c r="BT82" s="148"/>
      <c r="BU82" s="148"/>
      <c r="BV82" s="148"/>
      <c r="BW82" s="148"/>
      <c r="BX82" s="148"/>
      <c r="BY82" s="148"/>
      <c r="BZ82" s="148"/>
      <c r="CA82" s="148"/>
      <c r="CB82" s="148"/>
      <c r="CC82" s="148"/>
      <c r="CD82" s="148"/>
      <c r="CE82" s="148"/>
      <c r="CF82" s="148"/>
      <c r="CG82" s="148"/>
      <c r="CH82" s="148"/>
      <c r="CI82" s="148"/>
      <c r="CJ82" s="148"/>
      <c r="CK82" s="148"/>
      <c r="CL82" s="148"/>
      <c r="CM82" s="148"/>
      <c r="CN82" s="148"/>
      <c r="CO82" s="148"/>
      <c r="CP82" s="148"/>
      <c r="CQ82" s="148"/>
      <c r="CR82" s="148"/>
      <c r="CS82" s="148"/>
      <c r="CT82" s="148"/>
      <c r="CU82" s="148"/>
      <c r="CV82" s="148"/>
      <c r="CW82" s="148"/>
      <c r="CX82" s="148"/>
      <c r="CY82" s="148"/>
      <c r="CZ82" s="148"/>
      <c r="DA82" s="148"/>
      <c r="DB82" s="148"/>
      <c r="DC82" s="148"/>
      <c r="DD82" s="148"/>
      <c r="DE82" s="148"/>
      <c r="DF82" s="148"/>
      <c r="DG82" s="148"/>
      <c r="DH82" s="148"/>
      <c r="DI82" s="148"/>
      <c r="DJ82" s="148"/>
      <c r="DK82" s="148"/>
      <c r="DL82" s="148"/>
      <c r="DM82" s="148"/>
      <c r="DN82" s="148"/>
      <c r="DO82" s="148"/>
      <c r="DP82" s="148"/>
      <c r="DQ82" s="148"/>
      <c r="DR82" s="148"/>
      <c r="DS82" s="148"/>
      <c r="DT82" s="148"/>
      <c r="DU82" s="148"/>
      <c r="DV82" s="148"/>
      <c r="DW82" s="148"/>
      <c r="DX82" s="148"/>
      <c r="DY82" s="148"/>
      <c r="DZ82" s="148"/>
      <c r="EA82" s="148"/>
      <c r="EB82" s="148"/>
      <c r="EC82" s="148"/>
      <c r="ED82" s="148"/>
      <c r="EE82" s="148"/>
      <c r="EF82" s="148"/>
      <c r="EG82" s="148"/>
      <c r="EH82" s="148"/>
      <c r="EI82" s="148"/>
      <c r="EJ82" s="148"/>
      <c r="EK82" s="148"/>
      <c r="EL82" s="148"/>
      <c r="EM82" s="148"/>
      <c r="EN82" s="148"/>
      <c r="EO82" s="148"/>
      <c r="EP82" s="148"/>
      <c r="EQ82" s="148"/>
      <c r="ER82" s="148"/>
      <c r="ES82" s="148"/>
      <c r="ET82" s="148"/>
      <c r="EU82" s="148"/>
      <c r="EV82" s="148"/>
      <c r="EW82" s="148"/>
      <c r="EX82" s="148"/>
      <c r="EY82" s="148"/>
      <c r="EZ82" s="148"/>
      <c r="FA82" s="148"/>
      <c r="FB82" s="148"/>
      <c r="FC82" s="148"/>
      <c r="FD82" s="148"/>
      <c r="FE82" s="148"/>
      <c r="FF82" s="148"/>
      <c r="FG82" s="148"/>
      <c r="FH82" s="148"/>
      <c r="FI82" s="148"/>
      <c r="FJ82" s="148"/>
      <c r="FK82" s="148"/>
      <c r="FL82" s="148"/>
      <c r="FM82" s="148"/>
      <c r="FN82" s="148"/>
      <c r="FO82" s="148"/>
      <c r="FP82" s="148"/>
      <c r="FQ82" s="148"/>
      <c r="FR82" s="148"/>
      <c r="FS82" s="148"/>
      <c r="FT82" s="148"/>
      <c r="FU82" s="148"/>
      <c r="FV82" s="148"/>
      <c r="FW82" s="148"/>
      <c r="FX82" s="148"/>
      <c r="FY82" s="148"/>
      <c r="FZ82" s="148"/>
      <c r="GA82" s="148"/>
      <c r="GB82" s="148"/>
      <c r="GC82" s="148"/>
      <c r="GD82" s="148"/>
      <c r="GE82" s="148"/>
      <c r="GF82" s="148"/>
      <c r="GG82" s="148"/>
      <c r="GH82" s="148"/>
      <c r="GI82" s="148"/>
      <c r="GJ82" s="148"/>
      <c r="GK82" s="148"/>
      <c r="GL82" s="148"/>
      <c r="GM82" s="148"/>
      <c r="GN82" s="148"/>
      <c r="GO82" s="148"/>
      <c r="GP82" s="148"/>
      <c r="GQ82" s="148"/>
      <c r="GR82" s="148"/>
      <c r="GS82" s="148"/>
      <c r="GT82" s="148"/>
      <c r="GU82" s="148"/>
      <c r="GV82" s="148"/>
      <c r="GW82" s="148"/>
      <c r="GX82" s="148"/>
      <c r="GY82" s="148"/>
      <c r="GZ82" s="148"/>
      <c r="HA82" s="148"/>
      <c r="HB82" s="148"/>
      <c r="HC82" s="148"/>
      <c r="HD82" s="148"/>
      <c r="HE82" s="148"/>
      <c r="HF82" s="148"/>
      <c r="HG82" s="148"/>
      <c r="HH82" s="148"/>
      <c r="HI82" s="148"/>
      <c r="HJ82" s="148"/>
      <c r="HK82" s="148"/>
      <c r="HL82" s="148"/>
      <c r="HM82" s="148"/>
      <c r="HN82" s="148"/>
      <c r="HO82" s="148"/>
      <c r="HP82" s="148"/>
      <c r="HQ82" s="148"/>
      <c r="HR82" s="148"/>
      <c r="HS82" s="148"/>
      <c r="HT82" s="148"/>
      <c r="HU82" s="148"/>
      <c r="HV82" s="148"/>
      <c r="HW82" s="148"/>
      <c r="HX82" s="148"/>
      <c r="HY82" s="148"/>
      <c r="HZ82" s="148"/>
      <c r="IA82" s="148"/>
      <c r="IB82" s="148"/>
      <c r="IC82" s="148"/>
      <c r="ID82" s="148"/>
      <c r="IE82" s="148"/>
      <c r="IF82" s="148"/>
      <c r="IG82" s="148"/>
      <c r="IH82" s="148"/>
      <c r="II82" s="148"/>
      <c r="IJ82" s="148"/>
      <c r="IK82" s="148"/>
      <c r="IL82" s="148"/>
      <c r="IM82" s="148"/>
      <c r="IN82" s="148"/>
      <c r="IO82" s="148"/>
      <c r="IP82" s="148"/>
      <c r="IQ82" s="148"/>
      <c r="IR82" s="148"/>
      <c r="IS82" s="148"/>
      <c r="IT82" s="148"/>
      <c r="IU82" s="148"/>
      <c r="IV82" s="148"/>
      <c r="IW82" s="148"/>
      <c r="IX82" s="148"/>
      <c r="IY82" s="148"/>
      <c r="IZ82" s="148"/>
      <c r="JA82" s="148"/>
      <c r="JB82" s="148"/>
      <c r="JC82" s="148"/>
      <c r="JD82" s="148"/>
      <c r="JE82" s="148"/>
      <c r="JF82" s="148"/>
      <c r="JG82" s="148"/>
      <c r="JH82" s="148"/>
      <c r="JI82" s="148"/>
      <c r="JJ82" s="148"/>
      <c r="JK82" s="148"/>
      <c r="JL82" s="148"/>
      <c r="JM82" s="148"/>
      <c r="JN82" s="148"/>
      <c r="JO82" s="148"/>
      <c r="JP82" s="148"/>
      <c r="JQ82" s="148"/>
      <c r="JR82" s="148"/>
      <c r="JS82" s="148"/>
      <c r="JT82" s="148"/>
      <c r="JU82" s="148"/>
      <c r="JV82" s="148"/>
      <c r="JW82" s="148"/>
      <c r="JX82" s="148"/>
      <c r="JY82" s="148"/>
      <c r="JZ82" s="148"/>
      <c r="KA82" s="148"/>
      <c r="KB82" s="148"/>
      <c r="KC82" s="148"/>
      <c r="KD82" s="148"/>
      <c r="KE82" s="148"/>
      <c r="KF82" s="148"/>
      <c r="KG82" s="148"/>
      <c r="KH82" s="148"/>
      <c r="KI82" s="148"/>
      <c r="KJ82" s="148"/>
      <c r="KK82" s="148"/>
      <c r="KL82" s="148"/>
      <c r="KM82" s="148"/>
      <c r="KN82" s="148"/>
      <c r="KO82" s="148"/>
      <c r="KP82" s="148"/>
      <c r="KQ82" s="148"/>
      <c r="KR82" s="148"/>
      <c r="KS82" s="148"/>
      <c r="KT82" s="148"/>
      <c r="KU82" s="148"/>
      <c r="KV82" s="148"/>
      <c r="KW82" s="148"/>
      <c r="KX82" s="148"/>
      <c r="KY82" s="148"/>
      <c r="KZ82" s="148"/>
      <c r="LA82" s="148"/>
      <c r="LB82" s="148"/>
      <c r="LC82" s="148"/>
      <c r="LD82" s="148"/>
      <c r="LE82" s="148"/>
      <c r="LF82" s="148"/>
      <c r="LG82" s="148"/>
      <c r="LH82" s="148"/>
      <c r="LI82" s="148"/>
      <c r="LJ82" s="148"/>
      <c r="LK82" s="148"/>
      <c r="LL82" s="148"/>
      <c r="LM82" s="148"/>
      <c r="LN82" s="148"/>
      <c r="LO82" s="148"/>
      <c r="LP82" s="148"/>
      <c r="LQ82" s="148"/>
      <c r="LR82" s="148"/>
      <c r="LS82" s="148"/>
      <c r="LT82" s="148"/>
      <c r="LU82" s="148"/>
      <c r="LV82" s="148"/>
      <c r="LW82" s="148"/>
      <c r="LX82" s="148"/>
      <c r="LY82" s="148"/>
      <c r="LZ82" s="148"/>
      <c r="MA82" s="148"/>
      <c r="MB82" s="148"/>
      <c r="MC82" s="148"/>
      <c r="MD82" s="148"/>
      <c r="ME82" s="148"/>
      <c r="MF82" s="148"/>
      <c r="MG82" s="148"/>
      <c r="MH82" s="148"/>
      <c r="MI82" s="148"/>
      <c r="MJ82" s="148"/>
      <c r="MK82" s="148"/>
      <c r="ML82" s="148"/>
      <c r="MM82" s="148"/>
      <c r="MN82" s="148"/>
      <c r="MO82" s="148"/>
      <c r="MP82" s="148"/>
      <c r="MQ82" s="148"/>
      <c r="MR82" s="148"/>
      <c r="MS82" s="148"/>
      <c r="MT82" s="148"/>
      <c r="MU82" s="148"/>
      <c r="MV82" s="148"/>
      <c r="MW82" s="148"/>
      <c r="MX82" s="148"/>
      <c r="MY82" s="148"/>
      <c r="MZ82" s="148"/>
      <c r="NA82" s="148"/>
      <c r="NB82" s="148"/>
      <c r="NC82" s="148"/>
      <c r="ND82" s="148"/>
      <c r="NE82" s="148"/>
      <c r="NF82" s="148"/>
      <c r="NG82" s="148"/>
      <c r="NH82" s="148"/>
      <c r="NI82" s="148"/>
      <c r="NJ82" s="148"/>
      <c r="NK82" s="148"/>
      <c r="NL82" s="148"/>
      <c r="NM82" s="148"/>
      <c r="NN82" s="148"/>
      <c r="NO82" s="148"/>
      <c r="NP82" s="148"/>
      <c r="NQ82" s="148"/>
      <c r="NR82" s="148"/>
      <c r="NS82" s="148"/>
      <c r="NT82" s="148"/>
      <c r="NU82" s="148"/>
      <c r="NV82" s="148"/>
      <c r="NW82" s="148"/>
      <c r="NX82" s="148"/>
      <c r="NY82" s="148"/>
      <c r="NZ82" s="148"/>
    </row>
    <row r="83" spans="1:390" ht="15.75" customHeight="1" x14ac:dyDescent="0.3">
      <c r="A83" s="216">
        <v>4508880452</v>
      </c>
      <c r="B83" s="165" t="s">
        <v>391</v>
      </c>
      <c r="C83" s="153"/>
      <c r="D83" s="216" t="s">
        <v>391</v>
      </c>
      <c r="E83" s="153" t="s">
        <v>718</v>
      </c>
      <c r="F83" s="153" t="s">
        <v>719</v>
      </c>
      <c r="G83" s="238" t="s">
        <v>394</v>
      </c>
      <c r="H83" s="219">
        <v>43740</v>
      </c>
      <c r="I83" s="216" t="s">
        <v>513</v>
      </c>
      <c r="J83" s="153" t="s">
        <v>397</v>
      </c>
      <c r="K83" s="153" t="s">
        <v>398</v>
      </c>
      <c r="L83" s="153" t="s">
        <v>398</v>
      </c>
      <c r="M83" s="164" t="s">
        <v>398</v>
      </c>
      <c r="N83" s="164" t="s">
        <v>398</v>
      </c>
      <c r="O83" s="164" t="s">
        <v>398</v>
      </c>
      <c r="P83" s="164" t="s">
        <v>398</v>
      </c>
      <c r="Q83" s="164" t="s">
        <v>398</v>
      </c>
      <c r="R83" s="164" t="s">
        <v>398</v>
      </c>
      <c r="S83" s="164" t="s">
        <v>398</v>
      </c>
      <c r="T83" s="164" t="s">
        <v>398</v>
      </c>
      <c r="U83" s="164" t="s">
        <v>398</v>
      </c>
      <c r="V83" s="164" t="s">
        <v>398</v>
      </c>
      <c r="W83" s="164" t="s">
        <v>398</v>
      </c>
      <c r="X83" s="164" t="s">
        <v>398</v>
      </c>
      <c r="Y83" s="164" t="s">
        <v>398</v>
      </c>
      <c r="Z83" s="164" t="s">
        <v>398</v>
      </c>
      <c r="AA83" s="164" t="s">
        <v>398</v>
      </c>
      <c r="AB83" s="148" t="s">
        <v>399</v>
      </c>
      <c r="AC83" s="219">
        <v>17994</v>
      </c>
      <c r="AD83" s="148"/>
      <c r="AE83" s="108" t="e">
        <f t="shared" si="1"/>
        <v>#NUM!</v>
      </c>
      <c r="AF83" s="148" t="s">
        <v>685</v>
      </c>
      <c r="AG83" s="79" t="s">
        <v>401</v>
      </c>
      <c r="AH83" s="148" t="s">
        <v>391</v>
      </c>
      <c r="AI83" s="148"/>
      <c r="AJ83" s="148"/>
      <c r="AK83" s="148"/>
      <c r="AL83" s="148"/>
      <c r="AM83" s="148"/>
      <c r="AN83" s="146">
        <v>3</v>
      </c>
      <c r="AO83" s="173" t="s">
        <v>398</v>
      </c>
      <c r="AP83" s="148"/>
      <c r="AQ83" s="148"/>
      <c r="AR83" s="148"/>
      <c r="AS83" s="148"/>
      <c r="AT83" s="148"/>
      <c r="AU83" s="148"/>
      <c r="AV83" s="148"/>
      <c r="AW83" s="148"/>
      <c r="AX83" s="148"/>
      <c r="AY83" s="148"/>
      <c r="AZ83" s="148"/>
      <c r="BA83" s="148"/>
      <c r="BB83" s="148"/>
      <c r="BC83" s="148"/>
      <c r="BD83" s="148"/>
      <c r="BE83" s="148"/>
      <c r="BF83" s="148"/>
      <c r="BG83" s="148"/>
      <c r="BH83" s="148"/>
      <c r="BI83" s="148"/>
      <c r="BJ83" s="148"/>
      <c r="BK83" s="148"/>
      <c r="BL83" s="148"/>
      <c r="BM83" s="148"/>
      <c r="BN83" s="148"/>
      <c r="BO83" s="148"/>
      <c r="BP83" s="148"/>
      <c r="BQ83" s="148"/>
      <c r="BR83" s="148"/>
      <c r="BS83" s="148"/>
      <c r="BT83" s="148"/>
      <c r="BU83" s="148"/>
      <c r="BV83" s="148"/>
      <c r="BW83" s="148"/>
      <c r="BX83" s="148"/>
      <c r="BY83" s="148"/>
      <c r="BZ83" s="148"/>
      <c r="CA83" s="148"/>
      <c r="CB83" s="148"/>
      <c r="CC83" s="148"/>
      <c r="CD83" s="148"/>
      <c r="CE83" s="148"/>
      <c r="CF83" s="148"/>
      <c r="CG83" s="148"/>
      <c r="CH83" s="148"/>
      <c r="CI83" s="148"/>
      <c r="CJ83" s="148"/>
      <c r="CK83" s="148"/>
      <c r="CL83" s="148"/>
      <c r="CM83" s="148"/>
      <c r="CN83" s="148"/>
      <c r="CO83" s="148"/>
      <c r="CP83" s="148"/>
      <c r="CQ83" s="148"/>
      <c r="CR83" s="148"/>
      <c r="CS83" s="148"/>
      <c r="CT83" s="148"/>
      <c r="CU83" s="148"/>
      <c r="CV83" s="148"/>
      <c r="CW83" s="148"/>
      <c r="CX83" s="148"/>
      <c r="CY83" s="148"/>
      <c r="CZ83" s="148"/>
      <c r="DA83" s="148"/>
      <c r="DB83" s="148"/>
      <c r="DC83" s="148"/>
      <c r="DD83" s="148"/>
      <c r="DE83" s="148"/>
      <c r="DF83" s="148"/>
      <c r="DG83" s="148"/>
      <c r="DH83" s="148"/>
      <c r="DI83" s="148"/>
      <c r="DJ83" s="148"/>
      <c r="DK83" s="148"/>
      <c r="DL83" s="148"/>
      <c r="DM83" s="148"/>
      <c r="DN83" s="148"/>
      <c r="DO83" s="148"/>
      <c r="DP83" s="148"/>
      <c r="DQ83" s="148"/>
      <c r="DR83" s="148"/>
      <c r="DS83" s="148"/>
      <c r="DT83" s="148"/>
      <c r="DU83" s="148"/>
      <c r="DV83" s="148"/>
      <c r="DW83" s="148"/>
      <c r="DX83" s="148"/>
      <c r="DY83" s="148"/>
      <c r="DZ83" s="148"/>
      <c r="EA83" s="148"/>
      <c r="EB83" s="148"/>
      <c r="EC83" s="148"/>
      <c r="ED83" s="148"/>
      <c r="EE83" s="148"/>
      <c r="EF83" s="148"/>
      <c r="EG83" s="148"/>
      <c r="EH83" s="148"/>
      <c r="EI83" s="148"/>
      <c r="EJ83" s="148"/>
      <c r="EK83" s="148"/>
      <c r="EL83" s="148"/>
      <c r="EM83" s="148"/>
      <c r="EN83" s="148"/>
      <c r="EO83" s="148"/>
      <c r="EP83" s="148"/>
      <c r="EQ83" s="148"/>
      <c r="ER83" s="148"/>
      <c r="ES83" s="148"/>
      <c r="ET83" s="148"/>
      <c r="EU83" s="148"/>
      <c r="EV83" s="148"/>
      <c r="EW83" s="148"/>
      <c r="EX83" s="148"/>
      <c r="EY83" s="148"/>
      <c r="EZ83" s="148"/>
      <c r="FA83" s="148"/>
      <c r="FB83" s="148"/>
      <c r="FC83" s="148"/>
      <c r="FD83" s="148"/>
      <c r="FE83" s="148"/>
      <c r="FF83" s="148"/>
      <c r="FG83" s="148"/>
      <c r="FH83" s="148"/>
      <c r="FI83" s="148"/>
      <c r="FJ83" s="148"/>
      <c r="FK83" s="148"/>
      <c r="FL83" s="148"/>
      <c r="FM83" s="148"/>
      <c r="FN83" s="148"/>
      <c r="FO83" s="148"/>
      <c r="FP83" s="148"/>
      <c r="FQ83" s="148"/>
      <c r="FR83" s="148"/>
      <c r="FS83" s="148"/>
      <c r="FT83" s="148"/>
      <c r="FU83" s="148"/>
      <c r="FV83" s="148"/>
      <c r="FW83" s="148"/>
      <c r="FX83" s="148"/>
      <c r="FY83" s="148"/>
      <c r="FZ83" s="148"/>
      <c r="GA83" s="148"/>
      <c r="GB83" s="148"/>
      <c r="GC83" s="148"/>
      <c r="GD83" s="148"/>
      <c r="GE83" s="148"/>
      <c r="GF83" s="148"/>
      <c r="GG83" s="148"/>
      <c r="GH83" s="148"/>
      <c r="GI83" s="148"/>
      <c r="GJ83" s="148"/>
      <c r="GK83" s="148"/>
      <c r="GL83" s="148"/>
      <c r="GM83" s="148"/>
      <c r="GN83" s="148"/>
      <c r="GO83" s="148"/>
      <c r="GP83" s="148"/>
      <c r="GQ83" s="148"/>
      <c r="GR83" s="148"/>
      <c r="GS83" s="148"/>
      <c r="GT83" s="148"/>
      <c r="GU83" s="148"/>
      <c r="GV83" s="148"/>
      <c r="GW83" s="148"/>
      <c r="GX83" s="148"/>
      <c r="GY83" s="148"/>
      <c r="GZ83" s="148"/>
      <c r="HA83" s="148"/>
      <c r="HB83" s="148"/>
      <c r="HC83" s="148"/>
      <c r="HD83" s="148"/>
      <c r="HE83" s="148"/>
      <c r="HF83" s="148"/>
      <c r="HG83" s="148"/>
      <c r="HH83" s="148"/>
      <c r="HI83" s="148"/>
      <c r="HJ83" s="148"/>
      <c r="HK83" s="148"/>
      <c r="HL83" s="148"/>
      <c r="HM83" s="148"/>
      <c r="HN83" s="148"/>
      <c r="HO83" s="148"/>
      <c r="HP83" s="148"/>
      <c r="HQ83" s="148"/>
      <c r="HR83" s="148"/>
      <c r="HS83" s="148"/>
      <c r="HT83" s="148"/>
      <c r="HU83" s="148"/>
      <c r="HV83" s="148"/>
      <c r="HW83" s="148"/>
      <c r="HX83" s="148"/>
      <c r="HY83" s="148"/>
      <c r="HZ83" s="148"/>
      <c r="IA83" s="148"/>
      <c r="IB83" s="148"/>
      <c r="IC83" s="148"/>
      <c r="ID83" s="148"/>
      <c r="IE83" s="148"/>
      <c r="IF83" s="148"/>
      <c r="IG83" s="148"/>
      <c r="IH83" s="148"/>
      <c r="II83" s="148"/>
      <c r="IJ83" s="148"/>
      <c r="IK83" s="148"/>
      <c r="IL83" s="148"/>
      <c r="IM83" s="148"/>
      <c r="IN83" s="148"/>
      <c r="IO83" s="148"/>
      <c r="IP83" s="148"/>
      <c r="IQ83" s="148"/>
      <c r="IR83" s="148"/>
      <c r="IS83" s="148"/>
      <c r="IT83" s="148"/>
      <c r="IU83" s="148"/>
      <c r="IV83" s="148"/>
      <c r="IW83" s="148"/>
      <c r="IX83" s="148"/>
      <c r="IY83" s="148"/>
      <c r="IZ83" s="148"/>
      <c r="JA83" s="148"/>
      <c r="JB83" s="148"/>
      <c r="JC83" s="148"/>
      <c r="JD83" s="148"/>
      <c r="JE83" s="148"/>
      <c r="JF83" s="148"/>
      <c r="JG83" s="148"/>
      <c r="JH83" s="148"/>
      <c r="JI83" s="148"/>
      <c r="JJ83" s="148"/>
      <c r="JK83" s="148"/>
      <c r="JL83" s="148"/>
      <c r="JM83" s="148"/>
      <c r="JN83" s="148"/>
      <c r="JO83" s="148"/>
      <c r="JP83" s="148"/>
      <c r="JQ83" s="148"/>
      <c r="JR83" s="148"/>
      <c r="JS83" s="148"/>
      <c r="JT83" s="148"/>
      <c r="JU83" s="148"/>
      <c r="JV83" s="148"/>
      <c r="JW83" s="148"/>
      <c r="JX83" s="148"/>
      <c r="JY83" s="148"/>
      <c r="JZ83" s="148"/>
      <c r="KA83" s="148"/>
      <c r="KB83" s="148"/>
      <c r="KC83" s="148"/>
      <c r="KD83" s="148"/>
      <c r="KE83" s="148"/>
      <c r="KF83" s="148"/>
      <c r="KG83" s="148"/>
      <c r="KH83" s="148"/>
      <c r="KI83" s="148"/>
      <c r="KJ83" s="148"/>
      <c r="KK83" s="148"/>
      <c r="KL83" s="148"/>
      <c r="KM83" s="148"/>
      <c r="KN83" s="148"/>
      <c r="KO83" s="148"/>
      <c r="KP83" s="148"/>
      <c r="KQ83" s="148"/>
      <c r="KR83" s="148"/>
      <c r="KS83" s="148"/>
      <c r="KT83" s="148"/>
      <c r="KU83" s="148"/>
      <c r="KV83" s="148"/>
      <c r="KW83" s="148"/>
      <c r="KX83" s="148"/>
      <c r="KY83" s="148"/>
      <c r="KZ83" s="148"/>
      <c r="LA83" s="148"/>
      <c r="LB83" s="148"/>
      <c r="LC83" s="148"/>
      <c r="LD83" s="148"/>
      <c r="LE83" s="148"/>
      <c r="LF83" s="148"/>
      <c r="LG83" s="148"/>
      <c r="LH83" s="148"/>
      <c r="LI83" s="148"/>
      <c r="LJ83" s="148"/>
      <c r="LK83" s="148"/>
      <c r="LL83" s="148"/>
      <c r="LM83" s="148"/>
      <c r="LN83" s="148"/>
      <c r="LO83" s="148"/>
      <c r="LP83" s="148"/>
      <c r="LQ83" s="148"/>
      <c r="LR83" s="148"/>
      <c r="LS83" s="148"/>
      <c r="LT83" s="148"/>
      <c r="LU83" s="148"/>
      <c r="LV83" s="148"/>
      <c r="LW83" s="148"/>
      <c r="LX83" s="148"/>
      <c r="LY83" s="148"/>
      <c r="LZ83" s="148"/>
      <c r="MA83" s="148"/>
      <c r="MB83" s="148"/>
      <c r="MC83" s="148"/>
      <c r="MD83" s="148"/>
      <c r="ME83" s="148"/>
      <c r="MF83" s="148"/>
      <c r="MG83" s="148"/>
      <c r="MH83" s="148"/>
      <c r="MI83" s="148"/>
      <c r="MJ83" s="148"/>
      <c r="MK83" s="148"/>
      <c r="ML83" s="148"/>
      <c r="MM83" s="148"/>
      <c r="MN83" s="148"/>
      <c r="MO83" s="148"/>
      <c r="MP83" s="148"/>
      <c r="MQ83" s="148"/>
      <c r="MR83" s="148"/>
      <c r="MS83" s="148"/>
      <c r="MT83" s="148"/>
      <c r="MU83" s="148"/>
      <c r="MV83" s="148"/>
      <c r="MW83" s="148"/>
      <c r="MX83" s="148"/>
      <c r="MY83" s="148"/>
      <c r="MZ83" s="148"/>
      <c r="NA83" s="148"/>
      <c r="NB83" s="148"/>
      <c r="NC83" s="148"/>
      <c r="ND83" s="148"/>
      <c r="NE83" s="148"/>
      <c r="NF83" s="148"/>
      <c r="NG83" s="148"/>
      <c r="NH83" s="148"/>
      <c r="NI83" s="148"/>
      <c r="NJ83" s="148"/>
      <c r="NK83" s="148"/>
      <c r="NL83" s="148"/>
      <c r="NM83" s="148"/>
      <c r="NN83" s="148"/>
      <c r="NO83" s="148"/>
      <c r="NP83" s="148"/>
      <c r="NQ83" s="148"/>
      <c r="NR83" s="148"/>
      <c r="NS83" s="148"/>
      <c r="NT83" s="148"/>
      <c r="NU83" s="148"/>
      <c r="NV83" s="148"/>
      <c r="NW83" s="148"/>
      <c r="NX83" s="148"/>
      <c r="NY83" s="148"/>
      <c r="NZ83" s="148"/>
    </row>
    <row r="84" spans="1:390" ht="15.75" customHeight="1" x14ac:dyDescent="0.3">
      <c r="A84" s="216">
        <v>4527816896</v>
      </c>
      <c r="B84" s="165" t="s">
        <v>391</v>
      </c>
      <c r="C84" s="153"/>
      <c r="D84" s="216" t="s">
        <v>391</v>
      </c>
      <c r="E84" s="153" t="s">
        <v>720</v>
      </c>
      <c r="F84" s="153" t="s">
        <v>465</v>
      </c>
      <c r="G84" s="238" t="s">
        <v>398</v>
      </c>
      <c r="H84" s="219">
        <v>43741</v>
      </c>
      <c r="I84" s="216" t="s">
        <v>513</v>
      </c>
      <c r="J84" s="153" t="s">
        <v>397</v>
      </c>
      <c r="K84" s="153" t="s">
        <v>398</v>
      </c>
      <c r="L84" s="153" t="s">
        <v>398</v>
      </c>
      <c r="M84" s="164" t="s">
        <v>398</v>
      </c>
      <c r="N84" s="164" t="s">
        <v>398</v>
      </c>
      <c r="O84" s="164" t="s">
        <v>398</v>
      </c>
      <c r="P84" s="164" t="s">
        <v>398</v>
      </c>
      <c r="Q84" s="164" t="s">
        <v>398</v>
      </c>
      <c r="R84" s="164" t="s">
        <v>398</v>
      </c>
      <c r="S84" s="164" t="s">
        <v>398</v>
      </c>
      <c r="T84" s="164" t="s">
        <v>398</v>
      </c>
      <c r="U84" s="164" t="s">
        <v>398</v>
      </c>
      <c r="V84" s="164" t="s">
        <v>398</v>
      </c>
      <c r="W84" s="164" t="s">
        <v>398</v>
      </c>
      <c r="X84" s="164" t="s">
        <v>398</v>
      </c>
      <c r="Y84" s="164" t="s">
        <v>398</v>
      </c>
      <c r="Z84" s="164" t="s">
        <v>398</v>
      </c>
      <c r="AA84" s="164" t="s">
        <v>398</v>
      </c>
      <c r="AB84" s="148" t="s">
        <v>399</v>
      </c>
      <c r="AC84" s="219">
        <v>17425</v>
      </c>
      <c r="AD84" s="148"/>
      <c r="AE84" s="108" t="e">
        <f t="shared" si="1"/>
        <v>#NUM!</v>
      </c>
      <c r="AF84" s="148" t="s">
        <v>721</v>
      </c>
      <c r="AG84" s="79" t="s">
        <v>401</v>
      </c>
      <c r="AH84" s="148" t="s">
        <v>402</v>
      </c>
      <c r="AI84" s="148"/>
      <c r="AJ84" s="148"/>
      <c r="AK84" s="148"/>
      <c r="AL84" s="148"/>
      <c r="AM84" s="148"/>
      <c r="AN84" s="146">
        <v>2</v>
      </c>
      <c r="AO84" s="173" t="s">
        <v>398</v>
      </c>
      <c r="AP84" s="148"/>
      <c r="AQ84" s="148"/>
      <c r="AR84" s="148"/>
      <c r="AS84" s="148"/>
      <c r="AT84" s="148"/>
      <c r="AU84" s="148"/>
      <c r="AV84" s="148"/>
      <c r="AW84" s="148"/>
      <c r="AX84" s="148"/>
      <c r="AY84" s="148"/>
      <c r="AZ84" s="148"/>
      <c r="BA84" s="148"/>
      <c r="BB84" s="148"/>
      <c r="BC84" s="148"/>
      <c r="BD84" s="148"/>
      <c r="BE84" s="148"/>
      <c r="BF84" s="148"/>
      <c r="BG84" s="148"/>
      <c r="BH84" s="148"/>
      <c r="BI84" s="148"/>
      <c r="BJ84" s="148"/>
      <c r="BK84" s="148"/>
      <c r="BL84" s="148"/>
      <c r="BM84" s="148"/>
      <c r="BN84" s="148"/>
      <c r="BO84" s="148"/>
      <c r="BP84" s="148"/>
      <c r="BQ84" s="148"/>
      <c r="BR84" s="148"/>
      <c r="BS84" s="148"/>
      <c r="BT84" s="148"/>
      <c r="BU84" s="148"/>
      <c r="BV84" s="148"/>
      <c r="BW84" s="148"/>
      <c r="BX84" s="148"/>
      <c r="BY84" s="148"/>
      <c r="BZ84" s="148"/>
      <c r="CA84" s="148"/>
      <c r="CB84" s="148"/>
      <c r="CC84" s="148"/>
      <c r="CD84" s="148"/>
      <c r="CE84" s="148"/>
      <c r="CF84" s="148"/>
      <c r="CG84" s="148"/>
      <c r="CH84" s="148"/>
      <c r="CI84" s="148"/>
      <c r="CJ84" s="148"/>
      <c r="CK84" s="148"/>
      <c r="CL84" s="148"/>
      <c r="CM84" s="148"/>
      <c r="CN84" s="148"/>
      <c r="CO84" s="148"/>
      <c r="CP84" s="148"/>
      <c r="CQ84" s="148"/>
      <c r="CR84" s="148"/>
      <c r="CS84" s="148"/>
      <c r="CT84" s="148"/>
      <c r="CU84" s="148"/>
      <c r="CV84" s="148"/>
      <c r="CW84" s="148"/>
      <c r="CX84" s="148"/>
      <c r="CY84" s="148"/>
      <c r="CZ84" s="148"/>
      <c r="DA84" s="148"/>
      <c r="DB84" s="148"/>
      <c r="DC84" s="148"/>
      <c r="DD84" s="148"/>
      <c r="DE84" s="148"/>
      <c r="DF84" s="148"/>
      <c r="DG84" s="148"/>
      <c r="DH84" s="148"/>
      <c r="DI84" s="148"/>
      <c r="DJ84" s="148"/>
      <c r="DK84" s="148"/>
      <c r="DL84" s="148"/>
      <c r="DM84" s="148"/>
      <c r="DN84" s="148"/>
      <c r="DO84" s="148"/>
      <c r="DP84" s="148"/>
      <c r="DQ84" s="148"/>
      <c r="DR84" s="148"/>
      <c r="DS84" s="148"/>
      <c r="DT84" s="148"/>
      <c r="DU84" s="148"/>
      <c r="DV84" s="148"/>
      <c r="DW84" s="148"/>
      <c r="DX84" s="148"/>
      <c r="DY84" s="148"/>
      <c r="DZ84" s="148"/>
      <c r="EA84" s="148"/>
      <c r="EB84" s="148"/>
      <c r="EC84" s="148"/>
      <c r="ED84" s="148"/>
      <c r="EE84" s="148"/>
      <c r="EF84" s="148"/>
      <c r="EG84" s="148"/>
      <c r="EH84" s="148"/>
      <c r="EI84" s="148"/>
      <c r="EJ84" s="148"/>
      <c r="EK84" s="148"/>
      <c r="EL84" s="148"/>
      <c r="EM84" s="148"/>
      <c r="EN84" s="148"/>
      <c r="EO84" s="148"/>
      <c r="EP84" s="148"/>
      <c r="EQ84" s="148"/>
      <c r="ER84" s="148"/>
      <c r="ES84" s="148"/>
      <c r="ET84" s="148"/>
      <c r="EU84" s="148"/>
      <c r="EV84" s="148"/>
      <c r="EW84" s="148"/>
      <c r="EX84" s="148"/>
      <c r="EY84" s="148"/>
      <c r="EZ84" s="148"/>
      <c r="FA84" s="148"/>
      <c r="FB84" s="148"/>
      <c r="FC84" s="148"/>
      <c r="FD84" s="148"/>
      <c r="FE84" s="148"/>
      <c r="FF84" s="148"/>
      <c r="FG84" s="148"/>
      <c r="FH84" s="148"/>
      <c r="FI84" s="148"/>
      <c r="FJ84" s="148"/>
      <c r="FK84" s="148"/>
      <c r="FL84" s="148"/>
      <c r="FM84" s="148"/>
      <c r="FN84" s="148"/>
      <c r="FO84" s="148"/>
      <c r="FP84" s="148"/>
      <c r="FQ84" s="148"/>
      <c r="FR84" s="148"/>
      <c r="FS84" s="148"/>
      <c r="FT84" s="148"/>
      <c r="FU84" s="148"/>
      <c r="FV84" s="148"/>
      <c r="FW84" s="148"/>
      <c r="FX84" s="148"/>
      <c r="FY84" s="148"/>
      <c r="FZ84" s="148"/>
      <c r="GA84" s="148"/>
      <c r="GB84" s="148"/>
      <c r="GC84" s="148"/>
      <c r="GD84" s="148"/>
      <c r="GE84" s="148"/>
      <c r="GF84" s="148"/>
      <c r="GG84" s="148"/>
      <c r="GH84" s="148"/>
      <c r="GI84" s="148"/>
      <c r="GJ84" s="148"/>
      <c r="GK84" s="148"/>
      <c r="GL84" s="148"/>
      <c r="GM84" s="148"/>
      <c r="GN84" s="148"/>
      <c r="GO84" s="148"/>
      <c r="GP84" s="148"/>
      <c r="GQ84" s="148"/>
      <c r="GR84" s="148"/>
      <c r="GS84" s="148"/>
      <c r="GT84" s="148"/>
      <c r="GU84" s="148"/>
      <c r="GV84" s="148"/>
      <c r="GW84" s="148"/>
      <c r="GX84" s="148"/>
      <c r="GY84" s="148"/>
      <c r="GZ84" s="148"/>
      <c r="HA84" s="148"/>
      <c r="HB84" s="148"/>
      <c r="HC84" s="148"/>
      <c r="HD84" s="148"/>
      <c r="HE84" s="148"/>
      <c r="HF84" s="148"/>
      <c r="HG84" s="148"/>
      <c r="HH84" s="148"/>
      <c r="HI84" s="148"/>
      <c r="HJ84" s="148"/>
      <c r="HK84" s="148"/>
      <c r="HL84" s="148"/>
      <c r="HM84" s="148"/>
      <c r="HN84" s="148"/>
      <c r="HO84" s="148"/>
      <c r="HP84" s="148"/>
      <c r="HQ84" s="148"/>
      <c r="HR84" s="148"/>
      <c r="HS84" s="148"/>
      <c r="HT84" s="148"/>
      <c r="HU84" s="148"/>
      <c r="HV84" s="148"/>
      <c r="HW84" s="148"/>
      <c r="HX84" s="148"/>
      <c r="HY84" s="148"/>
      <c r="HZ84" s="148"/>
      <c r="IA84" s="148"/>
      <c r="IB84" s="148"/>
      <c r="IC84" s="148"/>
      <c r="ID84" s="148"/>
      <c r="IE84" s="148"/>
      <c r="IF84" s="148"/>
      <c r="IG84" s="148"/>
      <c r="IH84" s="148"/>
      <c r="II84" s="148"/>
      <c r="IJ84" s="148"/>
      <c r="IK84" s="148"/>
      <c r="IL84" s="148"/>
      <c r="IM84" s="148"/>
      <c r="IN84" s="148"/>
      <c r="IO84" s="148"/>
      <c r="IP84" s="148"/>
      <c r="IQ84" s="148"/>
      <c r="IR84" s="148"/>
      <c r="IS84" s="148"/>
      <c r="IT84" s="148"/>
      <c r="IU84" s="148"/>
      <c r="IV84" s="148"/>
      <c r="IW84" s="148"/>
      <c r="IX84" s="148"/>
      <c r="IY84" s="148"/>
      <c r="IZ84" s="148"/>
      <c r="JA84" s="148"/>
      <c r="JB84" s="148"/>
      <c r="JC84" s="148"/>
      <c r="JD84" s="148"/>
      <c r="JE84" s="148"/>
      <c r="JF84" s="148"/>
      <c r="JG84" s="148"/>
      <c r="JH84" s="148"/>
      <c r="JI84" s="148"/>
      <c r="JJ84" s="148"/>
      <c r="JK84" s="148"/>
      <c r="JL84" s="148"/>
      <c r="JM84" s="148"/>
      <c r="JN84" s="148"/>
      <c r="JO84" s="148"/>
      <c r="JP84" s="148"/>
      <c r="JQ84" s="148"/>
      <c r="JR84" s="148"/>
      <c r="JS84" s="148"/>
      <c r="JT84" s="148"/>
      <c r="JU84" s="148"/>
      <c r="JV84" s="148"/>
      <c r="JW84" s="148"/>
      <c r="JX84" s="148"/>
      <c r="JY84" s="148"/>
      <c r="JZ84" s="148"/>
      <c r="KA84" s="148"/>
      <c r="KB84" s="148"/>
      <c r="KC84" s="148"/>
      <c r="KD84" s="148"/>
      <c r="KE84" s="148"/>
      <c r="KF84" s="148"/>
      <c r="KG84" s="148"/>
      <c r="KH84" s="148"/>
      <c r="KI84" s="148"/>
      <c r="KJ84" s="148"/>
      <c r="KK84" s="148"/>
      <c r="KL84" s="148"/>
      <c r="KM84" s="148"/>
      <c r="KN84" s="148"/>
      <c r="KO84" s="148"/>
      <c r="KP84" s="148"/>
      <c r="KQ84" s="148"/>
      <c r="KR84" s="148"/>
      <c r="KS84" s="148"/>
      <c r="KT84" s="148"/>
      <c r="KU84" s="148"/>
      <c r="KV84" s="148"/>
      <c r="KW84" s="148"/>
      <c r="KX84" s="148"/>
      <c r="KY84" s="148"/>
      <c r="KZ84" s="148"/>
      <c r="LA84" s="148"/>
      <c r="LB84" s="148"/>
      <c r="LC84" s="148"/>
      <c r="LD84" s="148"/>
      <c r="LE84" s="148"/>
      <c r="LF84" s="148"/>
      <c r="LG84" s="148"/>
      <c r="LH84" s="148"/>
      <c r="LI84" s="148"/>
      <c r="LJ84" s="148"/>
      <c r="LK84" s="148"/>
      <c r="LL84" s="148"/>
      <c r="LM84" s="148"/>
      <c r="LN84" s="148"/>
      <c r="LO84" s="148"/>
      <c r="LP84" s="148"/>
      <c r="LQ84" s="148"/>
      <c r="LR84" s="148"/>
      <c r="LS84" s="148"/>
      <c r="LT84" s="148"/>
      <c r="LU84" s="148"/>
      <c r="LV84" s="148"/>
      <c r="LW84" s="148"/>
      <c r="LX84" s="148"/>
      <c r="LY84" s="148"/>
      <c r="LZ84" s="148"/>
      <c r="MA84" s="148"/>
      <c r="MB84" s="148"/>
      <c r="MC84" s="148"/>
      <c r="MD84" s="148"/>
      <c r="ME84" s="148"/>
      <c r="MF84" s="148"/>
      <c r="MG84" s="148"/>
      <c r="MH84" s="148"/>
      <c r="MI84" s="148"/>
      <c r="MJ84" s="148"/>
      <c r="MK84" s="148"/>
      <c r="ML84" s="148"/>
      <c r="MM84" s="148"/>
      <c r="MN84" s="148"/>
      <c r="MO84" s="148"/>
      <c r="MP84" s="148"/>
      <c r="MQ84" s="148"/>
      <c r="MR84" s="148"/>
      <c r="MS84" s="148"/>
      <c r="MT84" s="148"/>
      <c r="MU84" s="148"/>
      <c r="MV84" s="148"/>
      <c r="MW84" s="148"/>
      <c r="MX84" s="148"/>
      <c r="MY84" s="148"/>
      <c r="MZ84" s="148"/>
      <c r="NA84" s="148"/>
      <c r="NB84" s="148"/>
      <c r="NC84" s="148"/>
      <c r="ND84" s="148"/>
      <c r="NE84" s="148"/>
      <c r="NF84" s="148"/>
      <c r="NG84" s="148"/>
      <c r="NH84" s="148"/>
      <c r="NI84" s="148"/>
      <c r="NJ84" s="148"/>
      <c r="NK84" s="148"/>
      <c r="NL84" s="148"/>
      <c r="NM84" s="148"/>
      <c r="NN84" s="148"/>
      <c r="NO84" s="148"/>
      <c r="NP84" s="148"/>
      <c r="NQ84" s="148"/>
      <c r="NR84" s="148"/>
      <c r="NS84" s="148"/>
      <c r="NT84" s="148"/>
      <c r="NU84" s="148"/>
      <c r="NV84" s="148"/>
      <c r="NW84" s="148"/>
      <c r="NX84" s="148"/>
      <c r="NY84" s="148"/>
      <c r="NZ84" s="148"/>
    </row>
    <row r="85" spans="1:390" ht="15.75" customHeight="1" x14ac:dyDescent="0.3">
      <c r="A85" s="216">
        <v>4381193342</v>
      </c>
      <c r="B85" s="165" t="s">
        <v>391</v>
      </c>
      <c r="C85" s="153"/>
      <c r="D85" s="216" t="s">
        <v>391</v>
      </c>
      <c r="E85" s="153" t="s">
        <v>722</v>
      </c>
      <c r="F85" s="153" t="s">
        <v>723</v>
      </c>
      <c r="G85" s="238" t="s">
        <v>398</v>
      </c>
      <c r="H85" s="219">
        <v>43745</v>
      </c>
      <c r="I85" s="216" t="s">
        <v>513</v>
      </c>
      <c r="J85" s="153" t="s">
        <v>397</v>
      </c>
      <c r="K85" s="153" t="s">
        <v>398</v>
      </c>
      <c r="L85" s="153" t="s">
        <v>398</v>
      </c>
      <c r="M85" s="164" t="s">
        <v>398</v>
      </c>
      <c r="N85" s="164" t="s">
        <v>398</v>
      </c>
      <c r="O85" s="164" t="s">
        <v>398</v>
      </c>
      <c r="P85" s="164" t="s">
        <v>398</v>
      </c>
      <c r="Q85" s="164" t="s">
        <v>398</v>
      </c>
      <c r="R85" s="164" t="s">
        <v>398</v>
      </c>
      <c r="S85" s="164" t="s">
        <v>398</v>
      </c>
      <c r="T85" s="164" t="s">
        <v>398</v>
      </c>
      <c r="U85" s="164" t="s">
        <v>398</v>
      </c>
      <c r="V85" s="164" t="s">
        <v>398</v>
      </c>
      <c r="W85" s="164" t="s">
        <v>398</v>
      </c>
      <c r="X85" s="164" t="s">
        <v>398</v>
      </c>
      <c r="Y85" s="164" t="s">
        <v>398</v>
      </c>
      <c r="Z85" s="164" t="s">
        <v>398</v>
      </c>
      <c r="AA85" s="164" t="s">
        <v>398</v>
      </c>
      <c r="AB85" s="148" t="s">
        <v>399</v>
      </c>
      <c r="AC85" s="219">
        <v>16085</v>
      </c>
      <c r="AD85" s="148"/>
      <c r="AE85" s="108" t="e">
        <f t="shared" si="1"/>
        <v>#NUM!</v>
      </c>
      <c r="AF85" s="148" t="s">
        <v>685</v>
      </c>
      <c r="AG85" s="79" t="s">
        <v>401</v>
      </c>
      <c r="AH85" s="148" t="s">
        <v>391</v>
      </c>
      <c r="AI85" s="148"/>
      <c r="AJ85" s="148"/>
      <c r="AK85" s="148"/>
      <c r="AL85" s="148"/>
      <c r="AM85" s="148"/>
      <c r="AN85" s="146">
        <v>3</v>
      </c>
      <c r="AO85" s="173" t="s">
        <v>398</v>
      </c>
      <c r="AP85" s="148"/>
      <c r="AQ85" s="148"/>
      <c r="AR85" s="148"/>
      <c r="AS85" s="148"/>
      <c r="AT85" s="148"/>
      <c r="AU85" s="148"/>
      <c r="AV85" s="148"/>
      <c r="AW85" s="148"/>
      <c r="AX85" s="148"/>
      <c r="AY85" s="148"/>
      <c r="AZ85" s="148"/>
      <c r="BA85" s="148"/>
      <c r="BB85" s="148"/>
      <c r="BC85" s="148"/>
      <c r="BD85" s="148"/>
      <c r="BE85" s="148"/>
      <c r="BF85" s="148"/>
      <c r="BG85" s="148"/>
      <c r="BH85" s="148"/>
      <c r="BI85" s="148"/>
      <c r="BJ85" s="148"/>
      <c r="BK85" s="148"/>
      <c r="BL85" s="148"/>
      <c r="BM85" s="148"/>
      <c r="BN85" s="148"/>
      <c r="BO85" s="148"/>
      <c r="BP85" s="148"/>
      <c r="BQ85" s="148"/>
      <c r="BR85" s="148"/>
      <c r="BS85" s="148"/>
      <c r="BT85" s="148"/>
      <c r="BU85" s="148"/>
      <c r="BV85" s="148"/>
      <c r="BW85" s="148"/>
      <c r="BX85" s="148"/>
      <c r="BY85" s="148"/>
      <c r="BZ85" s="148"/>
      <c r="CA85" s="148"/>
      <c r="CB85" s="148"/>
      <c r="CC85" s="148"/>
      <c r="CD85" s="148"/>
      <c r="CE85" s="148"/>
      <c r="CF85" s="148"/>
      <c r="CG85" s="148"/>
      <c r="CH85" s="148"/>
      <c r="CI85" s="148"/>
      <c r="CJ85" s="148"/>
      <c r="CK85" s="148"/>
      <c r="CL85" s="148"/>
      <c r="CM85" s="148"/>
      <c r="CN85" s="148"/>
      <c r="CO85" s="148"/>
      <c r="CP85" s="148"/>
      <c r="CQ85" s="148"/>
      <c r="CR85" s="148"/>
      <c r="CS85" s="148"/>
      <c r="CT85" s="148"/>
      <c r="CU85" s="148"/>
      <c r="CV85" s="148"/>
      <c r="CW85" s="148"/>
      <c r="CX85" s="148"/>
      <c r="CY85" s="148"/>
      <c r="CZ85" s="148"/>
      <c r="DA85" s="148"/>
      <c r="DB85" s="148"/>
      <c r="DC85" s="148"/>
      <c r="DD85" s="148"/>
      <c r="DE85" s="148"/>
      <c r="DF85" s="148"/>
      <c r="DG85" s="148"/>
      <c r="DH85" s="148"/>
      <c r="DI85" s="148"/>
      <c r="DJ85" s="148"/>
      <c r="DK85" s="148"/>
      <c r="DL85" s="148"/>
      <c r="DM85" s="148"/>
      <c r="DN85" s="148"/>
      <c r="DO85" s="148"/>
      <c r="DP85" s="148"/>
      <c r="DQ85" s="148"/>
      <c r="DR85" s="148"/>
      <c r="DS85" s="148"/>
      <c r="DT85" s="148"/>
      <c r="DU85" s="148"/>
      <c r="DV85" s="148"/>
      <c r="DW85" s="148"/>
      <c r="DX85" s="148"/>
      <c r="DY85" s="148"/>
      <c r="DZ85" s="148"/>
      <c r="EA85" s="148"/>
      <c r="EB85" s="148"/>
      <c r="EC85" s="148"/>
      <c r="ED85" s="148"/>
      <c r="EE85" s="148"/>
      <c r="EF85" s="148"/>
      <c r="EG85" s="148"/>
      <c r="EH85" s="148"/>
      <c r="EI85" s="148"/>
      <c r="EJ85" s="148"/>
      <c r="EK85" s="148"/>
      <c r="EL85" s="148"/>
      <c r="EM85" s="148"/>
      <c r="EN85" s="148"/>
      <c r="EO85" s="148"/>
      <c r="EP85" s="148"/>
      <c r="EQ85" s="148"/>
      <c r="ER85" s="148"/>
      <c r="ES85" s="148"/>
      <c r="ET85" s="148"/>
      <c r="EU85" s="148"/>
      <c r="EV85" s="148"/>
      <c r="EW85" s="148"/>
      <c r="EX85" s="148"/>
      <c r="EY85" s="148"/>
      <c r="EZ85" s="148"/>
      <c r="FA85" s="148"/>
      <c r="FB85" s="148"/>
      <c r="FC85" s="148"/>
      <c r="FD85" s="148"/>
      <c r="FE85" s="148"/>
      <c r="FF85" s="148"/>
      <c r="FG85" s="148"/>
      <c r="FH85" s="148"/>
      <c r="FI85" s="148"/>
      <c r="FJ85" s="148"/>
      <c r="FK85" s="148"/>
      <c r="FL85" s="148"/>
      <c r="FM85" s="148"/>
      <c r="FN85" s="148"/>
      <c r="FO85" s="148"/>
      <c r="FP85" s="148"/>
      <c r="FQ85" s="148"/>
      <c r="FR85" s="148"/>
      <c r="FS85" s="148"/>
      <c r="FT85" s="148"/>
      <c r="FU85" s="148"/>
      <c r="FV85" s="148"/>
      <c r="FW85" s="148"/>
      <c r="FX85" s="148"/>
      <c r="FY85" s="148"/>
      <c r="FZ85" s="148"/>
      <c r="GA85" s="148"/>
      <c r="GB85" s="148"/>
      <c r="GC85" s="148"/>
      <c r="GD85" s="148"/>
      <c r="GE85" s="148"/>
      <c r="GF85" s="148"/>
      <c r="GG85" s="148"/>
      <c r="GH85" s="148"/>
      <c r="GI85" s="148"/>
      <c r="GJ85" s="148"/>
      <c r="GK85" s="148"/>
      <c r="GL85" s="148"/>
      <c r="GM85" s="148"/>
      <c r="GN85" s="148"/>
      <c r="GO85" s="148"/>
      <c r="GP85" s="148"/>
      <c r="GQ85" s="148"/>
      <c r="GR85" s="148"/>
      <c r="GS85" s="148"/>
      <c r="GT85" s="148"/>
      <c r="GU85" s="148"/>
      <c r="GV85" s="148"/>
      <c r="GW85" s="148"/>
      <c r="GX85" s="148"/>
      <c r="GY85" s="148"/>
      <c r="GZ85" s="148"/>
      <c r="HA85" s="148"/>
      <c r="HB85" s="148"/>
      <c r="HC85" s="148"/>
      <c r="HD85" s="148"/>
      <c r="HE85" s="148"/>
      <c r="HF85" s="148"/>
      <c r="HG85" s="148"/>
      <c r="HH85" s="148"/>
      <c r="HI85" s="148"/>
      <c r="HJ85" s="148"/>
      <c r="HK85" s="148"/>
      <c r="HL85" s="148"/>
      <c r="HM85" s="148"/>
      <c r="HN85" s="148"/>
      <c r="HO85" s="148"/>
      <c r="HP85" s="148"/>
      <c r="HQ85" s="148"/>
      <c r="HR85" s="148"/>
      <c r="HS85" s="148"/>
      <c r="HT85" s="148"/>
      <c r="HU85" s="148"/>
      <c r="HV85" s="148"/>
      <c r="HW85" s="148"/>
      <c r="HX85" s="148"/>
      <c r="HY85" s="148"/>
      <c r="HZ85" s="148"/>
      <c r="IA85" s="148"/>
      <c r="IB85" s="148"/>
      <c r="IC85" s="148"/>
      <c r="ID85" s="148"/>
      <c r="IE85" s="148"/>
      <c r="IF85" s="148"/>
      <c r="IG85" s="148"/>
      <c r="IH85" s="148"/>
      <c r="II85" s="148"/>
      <c r="IJ85" s="148"/>
      <c r="IK85" s="148"/>
      <c r="IL85" s="148"/>
      <c r="IM85" s="148"/>
      <c r="IN85" s="148"/>
      <c r="IO85" s="148"/>
      <c r="IP85" s="148"/>
      <c r="IQ85" s="148"/>
      <c r="IR85" s="148"/>
      <c r="IS85" s="148"/>
      <c r="IT85" s="148"/>
      <c r="IU85" s="148"/>
      <c r="IV85" s="148"/>
      <c r="IW85" s="148"/>
      <c r="IX85" s="148"/>
      <c r="IY85" s="148"/>
      <c r="IZ85" s="148"/>
      <c r="JA85" s="148"/>
      <c r="JB85" s="148"/>
      <c r="JC85" s="148"/>
      <c r="JD85" s="148"/>
      <c r="JE85" s="148"/>
      <c r="JF85" s="148"/>
      <c r="JG85" s="148"/>
      <c r="JH85" s="148"/>
      <c r="JI85" s="148"/>
      <c r="JJ85" s="148"/>
      <c r="JK85" s="148"/>
      <c r="JL85" s="148"/>
      <c r="JM85" s="148"/>
      <c r="JN85" s="148"/>
      <c r="JO85" s="148"/>
      <c r="JP85" s="148"/>
      <c r="JQ85" s="148"/>
      <c r="JR85" s="148"/>
      <c r="JS85" s="148"/>
      <c r="JT85" s="148"/>
      <c r="JU85" s="148"/>
      <c r="JV85" s="148"/>
      <c r="JW85" s="148"/>
      <c r="JX85" s="148"/>
      <c r="JY85" s="148"/>
      <c r="JZ85" s="148"/>
      <c r="KA85" s="148"/>
      <c r="KB85" s="148"/>
      <c r="KC85" s="148"/>
      <c r="KD85" s="148"/>
      <c r="KE85" s="148"/>
      <c r="KF85" s="148"/>
      <c r="KG85" s="148"/>
      <c r="KH85" s="148"/>
      <c r="KI85" s="148"/>
      <c r="KJ85" s="148"/>
      <c r="KK85" s="148"/>
      <c r="KL85" s="148"/>
      <c r="KM85" s="148"/>
      <c r="KN85" s="148"/>
      <c r="KO85" s="148"/>
      <c r="KP85" s="148"/>
      <c r="KQ85" s="148"/>
      <c r="KR85" s="148"/>
      <c r="KS85" s="148"/>
      <c r="KT85" s="148"/>
      <c r="KU85" s="148"/>
      <c r="KV85" s="148"/>
      <c r="KW85" s="148"/>
      <c r="KX85" s="148"/>
      <c r="KY85" s="148"/>
      <c r="KZ85" s="148"/>
      <c r="LA85" s="148"/>
      <c r="LB85" s="148"/>
      <c r="LC85" s="148"/>
      <c r="LD85" s="148"/>
      <c r="LE85" s="148"/>
      <c r="LF85" s="148"/>
      <c r="LG85" s="148"/>
      <c r="LH85" s="148"/>
      <c r="LI85" s="148"/>
      <c r="LJ85" s="148"/>
      <c r="LK85" s="148"/>
      <c r="LL85" s="148"/>
      <c r="LM85" s="148"/>
      <c r="LN85" s="148"/>
      <c r="LO85" s="148"/>
      <c r="LP85" s="148"/>
      <c r="LQ85" s="148"/>
      <c r="LR85" s="148"/>
      <c r="LS85" s="148"/>
      <c r="LT85" s="148"/>
      <c r="LU85" s="148"/>
      <c r="LV85" s="148"/>
      <c r="LW85" s="148"/>
      <c r="LX85" s="148"/>
      <c r="LY85" s="148"/>
      <c r="LZ85" s="148"/>
      <c r="MA85" s="148"/>
      <c r="MB85" s="148"/>
      <c r="MC85" s="148"/>
      <c r="MD85" s="148"/>
      <c r="ME85" s="148"/>
      <c r="MF85" s="148"/>
      <c r="MG85" s="148"/>
      <c r="MH85" s="148"/>
      <c r="MI85" s="148"/>
      <c r="MJ85" s="148"/>
      <c r="MK85" s="148"/>
      <c r="ML85" s="148"/>
      <c r="MM85" s="148"/>
      <c r="MN85" s="148"/>
      <c r="MO85" s="148"/>
      <c r="MP85" s="148"/>
      <c r="MQ85" s="148"/>
      <c r="MR85" s="148"/>
      <c r="MS85" s="148"/>
      <c r="MT85" s="148"/>
      <c r="MU85" s="148"/>
      <c r="MV85" s="148"/>
      <c r="MW85" s="148"/>
      <c r="MX85" s="148"/>
      <c r="MY85" s="148"/>
      <c r="MZ85" s="148"/>
      <c r="NA85" s="148"/>
      <c r="NB85" s="148"/>
      <c r="NC85" s="148"/>
      <c r="ND85" s="148"/>
      <c r="NE85" s="148"/>
      <c r="NF85" s="148"/>
      <c r="NG85" s="148"/>
      <c r="NH85" s="148"/>
      <c r="NI85" s="148"/>
      <c r="NJ85" s="148"/>
      <c r="NK85" s="148"/>
      <c r="NL85" s="148"/>
      <c r="NM85" s="148"/>
      <c r="NN85" s="148"/>
      <c r="NO85" s="148"/>
      <c r="NP85" s="148"/>
      <c r="NQ85" s="148"/>
      <c r="NR85" s="148"/>
      <c r="NS85" s="148"/>
      <c r="NT85" s="148"/>
      <c r="NU85" s="148"/>
      <c r="NV85" s="148"/>
      <c r="NW85" s="148"/>
      <c r="NX85" s="148"/>
      <c r="NY85" s="148"/>
      <c r="NZ85" s="148"/>
    </row>
    <row r="86" spans="1:390" ht="15.75" customHeight="1" x14ac:dyDescent="0.3">
      <c r="A86" s="216">
        <v>4849146376</v>
      </c>
      <c r="B86" s="165" t="s">
        <v>391</v>
      </c>
      <c r="C86" s="153"/>
      <c r="D86" s="216" t="s">
        <v>391</v>
      </c>
      <c r="E86" s="153" t="s">
        <v>724</v>
      </c>
      <c r="F86" s="153" t="s">
        <v>465</v>
      </c>
      <c r="G86" s="238" t="s">
        <v>556</v>
      </c>
      <c r="H86" s="219">
        <v>43756</v>
      </c>
      <c r="I86" s="216" t="s">
        <v>725</v>
      </c>
      <c r="J86" s="153" t="s">
        <v>397</v>
      </c>
      <c r="K86" s="153" t="s">
        <v>398</v>
      </c>
      <c r="L86" s="153" t="s">
        <v>398</v>
      </c>
      <c r="M86" s="164" t="s">
        <v>398</v>
      </c>
      <c r="N86" s="164" t="s">
        <v>398</v>
      </c>
      <c r="O86" s="164" t="s">
        <v>398</v>
      </c>
      <c r="P86" s="164" t="s">
        <v>398</v>
      </c>
      <c r="Q86" s="164" t="s">
        <v>398</v>
      </c>
      <c r="R86" s="164" t="s">
        <v>398</v>
      </c>
      <c r="S86" s="164" t="s">
        <v>398</v>
      </c>
      <c r="T86" s="164" t="s">
        <v>398</v>
      </c>
      <c r="U86" s="164" t="s">
        <v>398</v>
      </c>
      <c r="V86" s="164" t="s">
        <v>398</v>
      </c>
      <c r="W86" s="164" t="s">
        <v>398</v>
      </c>
      <c r="X86" s="164" t="s">
        <v>398</v>
      </c>
      <c r="Y86" s="164" t="s">
        <v>398</v>
      </c>
      <c r="Z86" s="164" t="s">
        <v>398</v>
      </c>
      <c r="AA86" s="164" t="s">
        <v>398</v>
      </c>
      <c r="AB86" s="148" t="s">
        <v>399</v>
      </c>
      <c r="AC86" s="219">
        <v>22802</v>
      </c>
      <c r="AD86" s="148"/>
      <c r="AE86" s="108" t="e">
        <f t="shared" si="1"/>
        <v>#NUM!</v>
      </c>
      <c r="AF86" s="148" t="s">
        <v>726</v>
      </c>
      <c r="AG86" s="79" t="s">
        <v>401</v>
      </c>
      <c r="AH86" s="148" t="s">
        <v>402</v>
      </c>
      <c r="AI86" s="148"/>
      <c r="AJ86" s="148"/>
      <c r="AK86" s="148"/>
      <c r="AL86" s="148"/>
      <c r="AM86" s="148"/>
      <c r="AN86" s="146">
        <v>2</v>
      </c>
      <c r="AO86" s="173" t="s">
        <v>398</v>
      </c>
      <c r="AP86" s="148"/>
      <c r="AQ86" s="148"/>
      <c r="AR86" s="148"/>
      <c r="AS86" s="148"/>
      <c r="AT86" s="148"/>
      <c r="AU86" s="148"/>
      <c r="AV86" s="148"/>
      <c r="AW86" s="148"/>
      <c r="AX86" s="148"/>
      <c r="AY86" s="148"/>
      <c r="AZ86" s="148"/>
      <c r="BA86" s="148"/>
      <c r="BB86" s="148"/>
      <c r="BC86" s="148"/>
      <c r="BD86" s="148"/>
      <c r="BE86" s="148"/>
      <c r="BF86" s="148"/>
      <c r="BG86" s="148"/>
      <c r="BH86" s="148"/>
      <c r="BI86" s="148"/>
      <c r="BJ86" s="148"/>
      <c r="BK86" s="148"/>
      <c r="BL86" s="148"/>
      <c r="BM86" s="148"/>
      <c r="BN86" s="148"/>
      <c r="BO86" s="148"/>
      <c r="BP86" s="148"/>
      <c r="BQ86" s="148"/>
      <c r="BR86" s="148"/>
      <c r="BS86" s="148"/>
      <c r="BT86" s="148"/>
      <c r="BU86" s="148"/>
      <c r="BV86" s="148"/>
      <c r="BW86" s="148"/>
      <c r="BX86" s="148"/>
      <c r="BY86" s="148"/>
      <c r="BZ86" s="148"/>
      <c r="CA86" s="148"/>
      <c r="CB86" s="148"/>
      <c r="CC86" s="148"/>
      <c r="CD86" s="148"/>
      <c r="CE86" s="148"/>
      <c r="CF86" s="148"/>
      <c r="CG86" s="148"/>
      <c r="CH86" s="148"/>
      <c r="CI86" s="148"/>
      <c r="CJ86" s="148"/>
      <c r="CK86" s="148"/>
      <c r="CL86" s="148"/>
      <c r="CM86" s="148"/>
      <c r="CN86" s="148"/>
      <c r="CO86" s="148"/>
      <c r="CP86" s="148"/>
      <c r="CQ86" s="148"/>
      <c r="CR86" s="148"/>
      <c r="CS86" s="148"/>
      <c r="CT86" s="148"/>
      <c r="CU86" s="148"/>
      <c r="CV86" s="148"/>
      <c r="CW86" s="148"/>
      <c r="CX86" s="148"/>
      <c r="CY86" s="148"/>
      <c r="CZ86" s="148"/>
      <c r="DA86" s="148"/>
      <c r="DB86" s="148"/>
      <c r="DC86" s="148"/>
      <c r="DD86" s="148"/>
      <c r="DE86" s="148"/>
      <c r="DF86" s="148"/>
      <c r="DG86" s="148"/>
      <c r="DH86" s="148"/>
      <c r="DI86" s="148"/>
      <c r="DJ86" s="148"/>
      <c r="DK86" s="148"/>
      <c r="DL86" s="148"/>
      <c r="DM86" s="148"/>
      <c r="DN86" s="148"/>
      <c r="DO86" s="148"/>
      <c r="DP86" s="148"/>
      <c r="DQ86" s="148"/>
      <c r="DR86" s="148"/>
      <c r="DS86" s="148"/>
      <c r="DT86" s="148"/>
      <c r="DU86" s="148"/>
      <c r="DV86" s="148"/>
      <c r="DW86" s="148"/>
      <c r="DX86" s="148"/>
      <c r="DY86" s="148"/>
      <c r="DZ86" s="148"/>
      <c r="EA86" s="148"/>
      <c r="EB86" s="148"/>
      <c r="EC86" s="148"/>
      <c r="ED86" s="148"/>
      <c r="EE86" s="148"/>
      <c r="EF86" s="148"/>
      <c r="EG86" s="148"/>
      <c r="EH86" s="148"/>
      <c r="EI86" s="148"/>
      <c r="EJ86" s="148"/>
      <c r="EK86" s="148"/>
      <c r="EL86" s="148"/>
      <c r="EM86" s="148"/>
      <c r="EN86" s="148"/>
      <c r="EO86" s="148"/>
      <c r="EP86" s="148"/>
      <c r="EQ86" s="148"/>
      <c r="ER86" s="148"/>
      <c r="ES86" s="148"/>
      <c r="ET86" s="148"/>
      <c r="EU86" s="148"/>
      <c r="EV86" s="148"/>
      <c r="EW86" s="148"/>
      <c r="EX86" s="148"/>
      <c r="EY86" s="148"/>
      <c r="EZ86" s="148"/>
      <c r="FA86" s="148"/>
      <c r="FB86" s="148"/>
      <c r="FC86" s="148"/>
      <c r="FD86" s="148"/>
      <c r="FE86" s="148"/>
      <c r="FF86" s="148"/>
      <c r="FG86" s="148"/>
      <c r="FH86" s="148"/>
      <c r="FI86" s="148"/>
      <c r="FJ86" s="148"/>
      <c r="FK86" s="148"/>
      <c r="FL86" s="148"/>
      <c r="FM86" s="148"/>
      <c r="FN86" s="148"/>
      <c r="FO86" s="148"/>
      <c r="FP86" s="148"/>
      <c r="FQ86" s="148"/>
      <c r="FR86" s="148"/>
      <c r="FS86" s="148"/>
      <c r="FT86" s="148"/>
      <c r="FU86" s="148"/>
      <c r="FV86" s="148"/>
      <c r="FW86" s="148"/>
      <c r="FX86" s="148"/>
      <c r="FY86" s="148"/>
      <c r="FZ86" s="148"/>
      <c r="GA86" s="148"/>
      <c r="GB86" s="148"/>
      <c r="GC86" s="148"/>
      <c r="GD86" s="148"/>
      <c r="GE86" s="148"/>
      <c r="GF86" s="148"/>
      <c r="GG86" s="148"/>
      <c r="GH86" s="148"/>
      <c r="GI86" s="148"/>
      <c r="GJ86" s="148"/>
      <c r="GK86" s="148"/>
      <c r="GL86" s="148"/>
      <c r="GM86" s="148"/>
      <c r="GN86" s="148"/>
      <c r="GO86" s="148"/>
      <c r="GP86" s="148"/>
      <c r="GQ86" s="148"/>
      <c r="GR86" s="148"/>
      <c r="GS86" s="148"/>
      <c r="GT86" s="148"/>
      <c r="GU86" s="148"/>
      <c r="GV86" s="148"/>
      <c r="GW86" s="148"/>
      <c r="GX86" s="148"/>
      <c r="GY86" s="148"/>
      <c r="GZ86" s="148"/>
      <c r="HA86" s="148"/>
      <c r="HB86" s="148"/>
      <c r="HC86" s="148"/>
      <c r="HD86" s="148"/>
      <c r="HE86" s="148"/>
      <c r="HF86" s="148"/>
      <c r="HG86" s="148"/>
      <c r="HH86" s="148"/>
      <c r="HI86" s="148"/>
      <c r="HJ86" s="148"/>
      <c r="HK86" s="148"/>
      <c r="HL86" s="148"/>
      <c r="HM86" s="148"/>
      <c r="HN86" s="148"/>
      <c r="HO86" s="148"/>
      <c r="HP86" s="148"/>
      <c r="HQ86" s="148"/>
      <c r="HR86" s="148"/>
      <c r="HS86" s="148"/>
      <c r="HT86" s="148"/>
      <c r="HU86" s="148"/>
      <c r="HV86" s="148"/>
      <c r="HW86" s="148"/>
      <c r="HX86" s="148"/>
      <c r="HY86" s="148"/>
      <c r="HZ86" s="148"/>
      <c r="IA86" s="148"/>
      <c r="IB86" s="148"/>
      <c r="IC86" s="148"/>
      <c r="ID86" s="148"/>
      <c r="IE86" s="148"/>
      <c r="IF86" s="148"/>
      <c r="IG86" s="148"/>
      <c r="IH86" s="148"/>
      <c r="II86" s="148"/>
      <c r="IJ86" s="148"/>
      <c r="IK86" s="148"/>
      <c r="IL86" s="148"/>
      <c r="IM86" s="148"/>
      <c r="IN86" s="148"/>
      <c r="IO86" s="148"/>
      <c r="IP86" s="148"/>
      <c r="IQ86" s="148"/>
      <c r="IR86" s="148"/>
      <c r="IS86" s="148"/>
      <c r="IT86" s="148"/>
      <c r="IU86" s="148"/>
      <c r="IV86" s="148"/>
      <c r="IW86" s="148"/>
      <c r="IX86" s="148"/>
      <c r="IY86" s="148"/>
      <c r="IZ86" s="148"/>
      <c r="JA86" s="148"/>
      <c r="JB86" s="148"/>
      <c r="JC86" s="148"/>
      <c r="JD86" s="148"/>
      <c r="JE86" s="148"/>
      <c r="JF86" s="148"/>
      <c r="JG86" s="148"/>
      <c r="JH86" s="148"/>
      <c r="JI86" s="148"/>
      <c r="JJ86" s="148"/>
      <c r="JK86" s="148"/>
      <c r="JL86" s="148"/>
      <c r="JM86" s="148"/>
      <c r="JN86" s="148"/>
      <c r="JO86" s="148"/>
      <c r="JP86" s="148"/>
      <c r="JQ86" s="148"/>
      <c r="JR86" s="148"/>
      <c r="JS86" s="148"/>
      <c r="JT86" s="148"/>
      <c r="JU86" s="148"/>
      <c r="JV86" s="148"/>
      <c r="JW86" s="148"/>
      <c r="JX86" s="148"/>
      <c r="JY86" s="148"/>
      <c r="JZ86" s="148"/>
      <c r="KA86" s="148"/>
      <c r="KB86" s="148"/>
      <c r="KC86" s="148"/>
      <c r="KD86" s="148"/>
      <c r="KE86" s="148"/>
      <c r="KF86" s="148"/>
      <c r="KG86" s="148"/>
      <c r="KH86" s="148"/>
      <c r="KI86" s="148"/>
      <c r="KJ86" s="148"/>
      <c r="KK86" s="148"/>
      <c r="KL86" s="148"/>
      <c r="KM86" s="148"/>
      <c r="KN86" s="148"/>
      <c r="KO86" s="148"/>
      <c r="KP86" s="148"/>
      <c r="KQ86" s="148"/>
      <c r="KR86" s="148"/>
      <c r="KS86" s="148"/>
      <c r="KT86" s="148"/>
      <c r="KU86" s="148"/>
      <c r="KV86" s="148"/>
      <c r="KW86" s="148"/>
      <c r="KX86" s="148"/>
      <c r="KY86" s="148"/>
      <c r="KZ86" s="148"/>
      <c r="LA86" s="148"/>
      <c r="LB86" s="148"/>
      <c r="LC86" s="148"/>
      <c r="LD86" s="148"/>
      <c r="LE86" s="148"/>
      <c r="LF86" s="148"/>
      <c r="LG86" s="148"/>
      <c r="LH86" s="148"/>
      <c r="LI86" s="148"/>
      <c r="LJ86" s="148"/>
      <c r="LK86" s="148"/>
      <c r="LL86" s="148"/>
      <c r="LM86" s="148"/>
      <c r="LN86" s="148"/>
      <c r="LO86" s="148"/>
      <c r="LP86" s="148"/>
      <c r="LQ86" s="148"/>
      <c r="LR86" s="148"/>
      <c r="LS86" s="148"/>
      <c r="LT86" s="148"/>
      <c r="LU86" s="148"/>
      <c r="LV86" s="148"/>
      <c r="LW86" s="148"/>
      <c r="LX86" s="148"/>
      <c r="LY86" s="148"/>
      <c r="LZ86" s="148"/>
      <c r="MA86" s="148"/>
      <c r="MB86" s="148"/>
      <c r="MC86" s="148"/>
      <c r="MD86" s="148"/>
      <c r="ME86" s="148"/>
      <c r="MF86" s="148"/>
      <c r="MG86" s="148"/>
      <c r="MH86" s="148"/>
      <c r="MI86" s="148"/>
      <c r="MJ86" s="148"/>
      <c r="MK86" s="148"/>
      <c r="ML86" s="148"/>
      <c r="MM86" s="148"/>
      <c r="MN86" s="148"/>
      <c r="MO86" s="148"/>
      <c r="MP86" s="148"/>
      <c r="MQ86" s="148"/>
      <c r="MR86" s="148"/>
      <c r="MS86" s="148"/>
      <c r="MT86" s="148"/>
      <c r="MU86" s="148"/>
      <c r="MV86" s="148"/>
      <c r="MW86" s="148"/>
      <c r="MX86" s="148"/>
      <c r="MY86" s="148"/>
      <c r="MZ86" s="148"/>
      <c r="NA86" s="148"/>
      <c r="NB86" s="148"/>
      <c r="NC86" s="148"/>
      <c r="ND86" s="148"/>
      <c r="NE86" s="148"/>
      <c r="NF86" s="148"/>
      <c r="NG86" s="148"/>
      <c r="NH86" s="148"/>
      <c r="NI86" s="148"/>
      <c r="NJ86" s="148"/>
      <c r="NK86" s="148"/>
      <c r="NL86" s="148"/>
      <c r="NM86" s="148"/>
      <c r="NN86" s="148"/>
      <c r="NO86" s="148"/>
      <c r="NP86" s="148"/>
      <c r="NQ86" s="148"/>
      <c r="NR86" s="148"/>
      <c r="NS86" s="148"/>
      <c r="NT86" s="148"/>
      <c r="NU86" s="148"/>
      <c r="NV86" s="148"/>
      <c r="NW86" s="148"/>
      <c r="NX86" s="148"/>
      <c r="NY86" s="148"/>
      <c r="NZ86" s="148"/>
    </row>
    <row r="87" spans="1:390" ht="15.75" customHeight="1" x14ac:dyDescent="0.3">
      <c r="A87" s="216">
        <v>6285464847</v>
      </c>
      <c r="B87" s="165" t="s">
        <v>391</v>
      </c>
      <c r="C87" s="153"/>
      <c r="D87" s="216" t="s">
        <v>391</v>
      </c>
      <c r="E87" s="153" t="s">
        <v>727</v>
      </c>
      <c r="F87" s="153" t="s">
        <v>394</v>
      </c>
      <c r="G87" s="238" t="s">
        <v>492</v>
      </c>
      <c r="H87" s="219">
        <v>43812</v>
      </c>
      <c r="I87" s="216" t="s">
        <v>458</v>
      </c>
      <c r="J87" s="153" t="s">
        <v>397</v>
      </c>
      <c r="K87" s="153" t="s">
        <v>398</v>
      </c>
      <c r="L87" s="153" t="s">
        <v>398</v>
      </c>
      <c r="M87" s="164" t="s">
        <v>398</v>
      </c>
      <c r="N87" s="164" t="s">
        <v>398</v>
      </c>
      <c r="O87" s="164" t="s">
        <v>398</v>
      </c>
      <c r="P87" s="164" t="s">
        <v>398</v>
      </c>
      <c r="Q87" s="164" t="s">
        <v>398</v>
      </c>
      <c r="R87" s="164" t="s">
        <v>398</v>
      </c>
      <c r="S87" s="164" t="s">
        <v>398</v>
      </c>
      <c r="T87" s="164" t="s">
        <v>398</v>
      </c>
      <c r="U87" s="164" t="s">
        <v>398</v>
      </c>
      <c r="V87" s="164" t="s">
        <v>398</v>
      </c>
      <c r="W87" s="164" t="s">
        <v>398</v>
      </c>
      <c r="X87" s="164" t="s">
        <v>398</v>
      </c>
      <c r="Y87" s="164" t="s">
        <v>398</v>
      </c>
      <c r="Z87" s="164" t="s">
        <v>398</v>
      </c>
      <c r="AA87" s="164" t="s">
        <v>398</v>
      </c>
      <c r="AB87" s="148" t="s">
        <v>399</v>
      </c>
      <c r="AC87" s="219">
        <v>15247</v>
      </c>
      <c r="AD87" s="148"/>
      <c r="AE87" s="108" t="e">
        <f t="shared" si="1"/>
        <v>#NUM!</v>
      </c>
      <c r="AF87" s="148" t="s">
        <v>728</v>
      </c>
      <c r="AG87" s="79" t="s">
        <v>401</v>
      </c>
      <c r="AH87" s="148" t="s">
        <v>402</v>
      </c>
      <c r="AI87" s="148"/>
      <c r="AJ87" s="148"/>
      <c r="AK87" s="148"/>
      <c r="AL87" s="148"/>
      <c r="AM87" s="148"/>
      <c r="AN87" s="146">
        <v>3</v>
      </c>
      <c r="AO87" s="173" t="s">
        <v>398</v>
      </c>
      <c r="AP87" s="148"/>
      <c r="AQ87" s="148"/>
      <c r="AR87" s="148"/>
      <c r="AS87" s="148"/>
      <c r="AT87" s="148"/>
      <c r="AU87" s="148"/>
      <c r="AV87" s="148"/>
      <c r="AW87" s="148"/>
      <c r="AX87" s="148"/>
      <c r="AY87" s="148"/>
      <c r="AZ87" s="148"/>
      <c r="BA87" s="148"/>
      <c r="BB87" s="148"/>
      <c r="BC87" s="148"/>
      <c r="BD87" s="148"/>
      <c r="BE87" s="148"/>
      <c r="BF87" s="148"/>
      <c r="BG87" s="148"/>
      <c r="BH87" s="148"/>
      <c r="BI87" s="148"/>
      <c r="BJ87" s="148"/>
      <c r="BK87" s="148"/>
      <c r="BL87" s="148"/>
      <c r="BM87" s="148"/>
      <c r="BN87" s="148"/>
      <c r="BO87" s="148"/>
      <c r="BP87" s="148"/>
      <c r="BQ87" s="148"/>
      <c r="BR87" s="148"/>
      <c r="BS87" s="148"/>
      <c r="BT87" s="148"/>
      <c r="BU87" s="148"/>
      <c r="BV87" s="148"/>
      <c r="BW87" s="148"/>
      <c r="BX87" s="148"/>
      <c r="BY87" s="148"/>
      <c r="BZ87" s="148"/>
      <c r="CA87" s="148"/>
      <c r="CB87" s="148"/>
      <c r="CC87" s="148"/>
      <c r="CD87" s="148"/>
      <c r="CE87" s="148"/>
      <c r="CF87" s="148"/>
      <c r="CG87" s="148"/>
      <c r="CH87" s="148"/>
      <c r="CI87" s="148"/>
      <c r="CJ87" s="148"/>
      <c r="CK87" s="148"/>
      <c r="CL87" s="148"/>
      <c r="CM87" s="148"/>
      <c r="CN87" s="148"/>
      <c r="CO87" s="148"/>
      <c r="CP87" s="148"/>
      <c r="CQ87" s="148"/>
      <c r="CR87" s="148"/>
      <c r="CS87" s="148"/>
      <c r="CT87" s="148"/>
      <c r="CU87" s="148"/>
      <c r="CV87" s="148"/>
      <c r="CW87" s="148"/>
      <c r="CX87" s="148"/>
      <c r="CY87" s="148"/>
      <c r="CZ87" s="148"/>
      <c r="DA87" s="148"/>
      <c r="DB87" s="148"/>
      <c r="DC87" s="148"/>
      <c r="DD87" s="148"/>
      <c r="DE87" s="148"/>
      <c r="DF87" s="148"/>
      <c r="DG87" s="148"/>
      <c r="DH87" s="148"/>
      <c r="DI87" s="148"/>
      <c r="DJ87" s="148"/>
      <c r="DK87" s="148"/>
      <c r="DL87" s="148"/>
      <c r="DM87" s="148"/>
      <c r="DN87" s="148"/>
      <c r="DO87" s="148"/>
      <c r="DP87" s="148"/>
      <c r="DQ87" s="148"/>
      <c r="DR87" s="148"/>
      <c r="DS87" s="148"/>
      <c r="DT87" s="148"/>
      <c r="DU87" s="148"/>
      <c r="DV87" s="148"/>
      <c r="DW87" s="148"/>
      <c r="DX87" s="148"/>
      <c r="DY87" s="148"/>
      <c r="DZ87" s="148"/>
      <c r="EA87" s="148"/>
      <c r="EB87" s="148"/>
      <c r="EC87" s="148"/>
      <c r="ED87" s="148"/>
      <c r="EE87" s="148"/>
      <c r="EF87" s="148"/>
      <c r="EG87" s="148"/>
      <c r="EH87" s="148"/>
      <c r="EI87" s="148"/>
      <c r="EJ87" s="148"/>
      <c r="EK87" s="148"/>
      <c r="EL87" s="148"/>
      <c r="EM87" s="148"/>
      <c r="EN87" s="148"/>
      <c r="EO87" s="148"/>
      <c r="EP87" s="148"/>
      <c r="EQ87" s="148"/>
      <c r="ER87" s="148"/>
      <c r="ES87" s="148"/>
      <c r="ET87" s="148"/>
      <c r="EU87" s="148"/>
      <c r="EV87" s="148"/>
      <c r="EW87" s="148"/>
      <c r="EX87" s="148"/>
      <c r="EY87" s="148"/>
      <c r="EZ87" s="148"/>
      <c r="FA87" s="148"/>
      <c r="FB87" s="148"/>
      <c r="FC87" s="148"/>
      <c r="FD87" s="148"/>
      <c r="FE87" s="148"/>
      <c r="FF87" s="148"/>
      <c r="FG87" s="148"/>
      <c r="FH87" s="148"/>
      <c r="FI87" s="148"/>
      <c r="FJ87" s="148"/>
      <c r="FK87" s="148"/>
      <c r="FL87" s="148"/>
      <c r="FM87" s="148"/>
      <c r="FN87" s="148"/>
      <c r="FO87" s="148"/>
      <c r="FP87" s="148"/>
      <c r="FQ87" s="148"/>
      <c r="FR87" s="148"/>
      <c r="FS87" s="148"/>
      <c r="FT87" s="148"/>
      <c r="FU87" s="148"/>
      <c r="FV87" s="148"/>
      <c r="FW87" s="148"/>
      <c r="FX87" s="148"/>
      <c r="FY87" s="148"/>
      <c r="FZ87" s="148"/>
      <c r="GA87" s="148"/>
      <c r="GB87" s="148"/>
      <c r="GC87" s="148"/>
      <c r="GD87" s="148"/>
      <c r="GE87" s="148"/>
      <c r="GF87" s="148"/>
      <c r="GG87" s="148"/>
      <c r="GH87" s="148"/>
      <c r="GI87" s="148"/>
      <c r="GJ87" s="148"/>
      <c r="GK87" s="148"/>
      <c r="GL87" s="148"/>
      <c r="GM87" s="148"/>
      <c r="GN87" s="148"/>
      <c r="GO87" s="148"/>
      <c r="GP87" s="148"/>
      <c r="GQ87" s="148"/>
      <c r="GR87" s="148"/>
      <c r="GS87" s="148"/>
      <c r="GT87" s="148"/>
      <c r="GU87" s="148"/>
      <c r="GV87" s="148"/>
      <c r="GW87" s="148"/>
      <c r="GX87" s="148"/>
      <c r="GY87" s="148"/>
      <c r="GZ87" s="148"/>
      <c r="HA87" s="148"/>
      <c r="HB87" s="148"/>
      <c r="HC87" s="148"/>
      <c r="HD87" s="148"/>
      <c r="HE87" s="148"/>
      <c r="HF87" s="148"/>
      <c r="HG87" s="148"/>
      <c r="HH87" s="148"/>
      <c r="HI87" s="148"/>
      <c r="HJ87" s="148"/>
      <c r="HK87" s="148"/>
      <c r="HL87" s="148"/>
      <c r="HM87" s="148"/>
      <c r="HN87" s="148"/>
      <c r="HO87" s="148"/>
      <c r="HP87" s="148"/>
      <c r="HQ87" s="148"/>
      <c r="HR87" s="148"/>
      <c r="HS87" s="148"/>
      <c r="HT87" s="148"/>
      <c r="HU87" s="148"/>
      <c r="HV87" s="148"/>
      <c r="HW87" s="148"/>
      <c r="HX87" s="148"/>
      <c r="HY87" s="148"/>
      <c r="HZ87" s="148"/>
      <c r="IA87" s="148"/>
      <c r="IB87" s="148"/>
      <c r="IC87" s="148"/>
      <c r="ID87" s="148"/>
      <c r="IE87" s="148"/>
      <c r="IF87" s="148"/>
      <c r="IG87" s="148"/>
      <c r="IH87" s="148"/>
      <c r="II87" s="148"/>
      <c r="IJ87" s="148"/>
      <c r="IK87" s="148"/>
      <c r="IL87" s="148"/>
      <c r="IM87" s="148"/>
      <c r="IN87" s="148"/>
      <c r="IO87" s="148"/>
      <c r="IP87" s="148"/>
      <c r="IQ87" s="148"/>
      <c r="IR87" s="148"/>
      <c r="IS87" s="148"/>
      <c r="IT87" s="148"/>
      <c r="IU87" s="148"/>
      <c r="IV87" s="148"/>
      <c r="IW87" s="148"/>
      <c r="IX87" s="148"/>
      <c r="IY87" s="148"/>
      <c r="IZ87" s="148"/>
      <c r="JA87" s="148"/>
      <c r="JB87" s="148"/>
      <c r="JC87" s="148"/>
      <c r="JD87" s="148"/>
      <c r="JE87" s="148"/>
      <c r="JF87" s="148"/>
      <c r="JG87" s="148"/>
      <c r="JH87" s="148"/>
      <c r="JI87" s="148"/>
      <c r="JJ87" s="148"/>
      <c r="JK87" s="148"/>
      <c r="JL87" s="148"/>
      <c r="JM87" s="148"/>
      <c r="JN87" s="148"/>
      <c r="JO87" s="148"/>
      <c r="JP87" s="148"/>
      <c r="JQ87" s="148"/>
      <c r="JR87" s="148"/>
      <c r="JS87" s="148"/>
      <c r="JT87" s="148"/>
      <c r="JU87" s="148"/>
      <c r="JV87" s="148"/>
      <c r="JW87" s="148"/>
      <c r="JX87" s="148"/>
      <c r="JY87" s="148"/>
      <c r="JZ87" s="148"/>
      <c r="KA87" s="148"/>
      <c r="KB87" s="148"/>
      <c r="KC87" s="148"/>
      <c r="KD87" s="148"/>
      <c r="KE87" s="148"/>
      <c r="KF87" s="148"/>
      <c r="KG87" s="148"/>
      <c r="KH87" s="148"/>
      <c r="KI87" s="148"/>
      <c r="KJ87" s="148"/>
      <c r="KK87" s="148"/>
      <c r="KL87" s="148"/>
      <c r="KM87" s="148"/>
      <c r="KN87" s="148"/>
      <c r="KO87" s="148"/>
      <c r="KP87" s="148"/>
      <c r="KQ87" s="148"/>
      <c r="KR87" s="148"/>
      <c r="KS87" s="148"/>
      <c r="KT87" s="148"/>
      <c r="KU87" s="148"/>
      <c r="KV87" s="148"/>
      <c r="KW87" s="148"/>
      <c r="KX87" s="148"/>
      <c r="KY87" s="148"/>
      <c r="KZ87" s="148"/>
      <c r="LA87" s="148"/>
      <c r="LB87" s="148"/>
      <c r="LC87" s="148"/>
      <c r="LD87" s="148"/>
      <c r="LE87" s="148"/>
      <c r="LF87" s="148"/>
      <c r="LG87" s="148"/>
      <c r="LH87" s="148"/>
      <c r="LI87" s="148"/>
      <c r="LJ87" s="148"/>
      <c r="LK87" s="148"/>
      <c r="LL87" s="148"/>
      <c r="LM87" s="148"/>
      <c r="LN87" s="148"/>
      <c r="LO87" s="148"/>
      <c r="LP87" s="148"/>
      <c r="LQ87" s="148"/>
      <c r="LR87" s="148"/>
      <c r="LS87" s="148"/>
      <c r="LT87" s="148"/>
      <c r="LU87" s="148"/>
      <c r="LV87" s="148"/>
      <c r="LW87" s="148"/>
      <c r="LX87" s="148"/>
      <c r="LY87" s="148"/>
      <c r="LZ87" s="148"/>
      <c r="MA87" s="148"/>
      <c r="MB87" s="148"/>
      <c r="MC87" s="148"/>
      <c r="MD87" s="148"/>
      <c r="ME87" s="148"/>
      <c r="MF87" s="148"/>
      <c r="MG87" s="148"/>
      <c r="MH87" s="148"/>
      <c r="MI87" s="148"/>
      <c r="MJ87" s="148"/>
      <c r="MK87" s="148"/>
      <c r="ML87" s="148"/>
      <c r="MM87" s="148"/>
      <c r="MN87" s="148"/>
      <c r="MO87" s="148"/>
      <c r="MP87" s="148"/>
      <c r="MQ87" s="148"/>
      <c r="MR87" s="148"/>
      <c r="MS87" s="148"/>
      <c r="MT87" s="148"/>
      <c r="MU87" s="148"/>
      <c r="MV87" s="148"/>
      <c r="MW87" s="148"/>
      <c r="MX87" s="148"/>
      <c r="MY87" s="148"/>
      <c r="MZ87" s="148"/>
      <c r="NA87" s="148"/>
      <c r="NB87" s="148"/>
      <c r="NC87" s="148"/>
      <c r="ND87" s="148"/>
      <c r="NE87" s="148"/>
      <c r="NF87" s="148"/>
      <c r="NG87" s="148"/>
      <c r="NH87" s="148"/>
      <c r="NI87" s="148"/>
      <c r="NJ87" s="148"/>
      <c r="NK87" s="148"/>
      <c r="NL87" s="148"/>
      <c r="NM87" s="148"/>
      <c r="NN87" s="148"/>
      <c r="NO87" s="148"/>
      <c r="NP87" s="148"/>
      <c r="NQ87" s="148"/>
      <c r="NR87" s="148"/>
      <c r="NS87" s="148"/>
      <c r="NT87" s="148"/>
      <c r="NU87" s="148"/>
      <c r="NV87" s="148"/>
      <c r="NW87" s="148"/>
      <c r="NX87" s="148"/>
      <c r="NY87" s="148"/>
      <c r="NZ87" s="148"/>
    </row>
    <row r="88" spans="1:390" ht="15.75" customHeight="1" x14ac:dyDescent="0.3">
      <c r="A88" s="216">
        <v>4330742578</v>
      </c>
      <c r="B88" s="165" t="s">
        <v>391</v>
      </c>
      <c r="C88" s="153"/>
      <c r="D88" s="216" t="s">
        <v>391</v>
      </c>
      <c r="E88" s="153" t="s">
        <v>729</v>
      </c>
      <c r="F88" s="153" t="s">
        <v>422</v>
      </c>
      <c r="G88" s="238" t="s">
        <v>421</v>
      </c>
      <c r="H88" s="219">
        <v>43839</v>
      </c>
      <c r="I88" s="216" t="s">
        <v>458</v>
      </c>
      <c r="J88" s="153" t="s">
        <v>397</v>
      </c>
      <c r="K88" s="153" t="s">
        <v>398</v>
      </c>
      <c r="L88" s="153" t="s">
        <v>398</v>
      </c>
      <c r="M88" s="164" t="s">
        <v>398</v>
      </c>
      <c r="N88" s="164" t="s">
        <v>398</v>
      </c>
      <c r="O88" s="164" t="s">
        <v>398</v>
      </c>
      <c r="P88" s="164" t="s">
        <v>398</v>
      </c>
      <c r="Q88" s="164" t="s">
        <v>398</v>
      </c>
      <c r="R88" s="164" t="s">
        <v>398</v>
      </c>
      <c r="S88" s="164" t="s">
        <v>398</v>
      </c>
      <c r="T88" s="164" t="s">
        <v>398</v>
      </c>
      <c r="U88" s="164" t="s">
        <v>398</v>
      </c>
      <c r="V88" s="164" t="s">
        <v>398</v>
      </c>
      <c r="W88" s="164" t="s">
        <v>398</v>
      </c>
      <c r="X88" s="164" t="s">
        <v>398</v>
      </c>
      <c r="Y88" s="164" t="s">
        <v>398</v>
      </c>
      <c r="Z88" s="164" t="s">
        <v>398</v>
      </c>
      <c r="AA88" s="164" t="s">
        <v>398</v>
      </c>
      <c r="AB88" s="148" t="s">
        <v>399</v>
      </c>
      <c r="AC88" s="219">
        <v>12803</v>
      </c>
      <c r="AD88" s="148"/>
      <c r="AE88" s="108" t="e">
        <f t="shared" si="1"/>
        <v>#NUM!</v>
      </c>
      <c r="AF88" s="148" t="s">
        <v>730</v>
      </c>
      <c r="AG88" s="79" t="s">
        <v>401</v>
      </c>
      <c r="AH88" s="148" t="s">
        <v>402</v>
      </c>
      <c r="AI88" s="148"/>
      <c r="AJ88" s="148"/>
      <c r="AK88" s="148"/>
      <c r="AL88" s="148"/>
      <c r="AM88" s="148"/>
      <c r="AN88" s="146">
        <v>3</v>
      </c>
      <c r="AO88" s="173" t="s">
        <v>398</v>
      </c>
      <c r="AP88" s="148"/>
      <c r="AQ88" s="148"/>
      <c r="AR88" s="148"/>
      <c r="AS88" s="148"/>
      <c r="AT88" s="148"/>
      <c r="AU88" s="148"/>
      <c r="AV88" s="148"/>
      <c r="AW88" s="148"/>
      <c r="AX88" s="148"/>
      <c r="AY88" s="148"/>
      <c r="AZ88" s="148"/>
      <c r="BA88" s="148"/>
      <c r="BB88" s="148"/>
      <c r="BC88" s="148"/>
      <c r="BD88" s="148"/>
      <c r="BE88" s="148"/>
      <c r="BF88" s="148"/>
      <c r="BG88" s="148"/>
      <c r="BH88" s="148"/>
      <c r="BI88" s="148"/>
      <c r="BJ88" s="148"/>
      <c r="BK88" s="148"/>
      <c r="BL88" s="148"/>
      <c r="BM88" s="148"/>
      <c r="BN88" s="148"/>
      <c r="BO88" s="148"/>
      <c r="BP88" s="148"/>
      <c r="BQ88" s="148"/>
      <c r="BR88" s="148"/>
      <c r="BS88" s="148"/>
      <c r="BT88" s="148"/>
      <c r="BU88" s="148"/>
      <c r="BV88" s="148"/>
      <c r="BW88" s="148"/>
      <c r="BX88" s="148"/>
      <c r="BY88" s="148"/>
      <c r="BZ88" s="148"/>
      <c r="CA88" s="148"/>
      <c r="CB88" s="148"/>
      <c r="CC88" s="148"/>
      <c r="CD88" s="148"/>
      <c r="CE88" s="148"/>
      <c r="CF88" s="148"/>
      <c r="CG88" s="148"/>
      <c r="CH88" s="148"/>
      <c r="CI88" s="148"/>
      <c r="CJ88" s="148"/>
      <c r="CK88" s="148"/>
      <c r="CL88" s="148"/>
      <c r="CM88" s="148"/>
      <c r="CN88" s="148"/>
      <c r="CO88" s="148"/>
      <c r="CP88" s="148"/>
      <c r="CQ88" s="148"/>
      <c r="CR88" s="148"/>
      <c r="CS88" s="148"/>
      <c r="CT88" s="148"/>
      <c r="CU88" s="148"/>
      <c r="CV88" s="148"/>
      <c r="CW88" s="148"/>
      <c r="CX88" s="148"/>
      <c r="CY88" s="148"/>
      <c r="CZ88" s="148"/>
      <c r="DA88" s="148"/>
      <c r="DB88" s="148"/>
      <c r="DC88" s="148"/>
      <c r="DD88" s="148"/>
      <c r="DE88" s="148"/>
      <c r="DF88" s="148"/>
      <c r="DG88" s="148"/>
      <c r="DH88" s="148"/>
      <c r="DI88" s="148"/>
      <c r="DJ88" s="148"/>
      <c r="DK88" s="148"/>
      <c r="DL88" s="148"/>
      <c r="DM88" s="148"/>
      <c r="DN88" s="148"/>
      <c r="DO88" s="148"/>
      <c r="DP88" s="148"/>
      <c r="DQ88" s="148"/>
      <c r="DR88" s="148"/>
      <c r="DS88" s="148"/>
      <c r="DT88" s="148"/>
      <c r="DU88" s="148"/>
      <c r="DV88" s="148"/>
      <c r="DW88" s="148"/>
      <c r="DX88" s="148"/>
      <c r="DY88" s="148"/>
      <c r="DZ88" s="148"/>
      <c r="EA88" s="148"/>
      <c r="EB88" s="148"/>
      <c r="EC88" s="148"/>
      <c r="ED88" s="148"/>
      <c r="EE88" s="148"/>
      <c r="EF88" s="148"/>
      <c r="EG88" s="148"/>
      <c r="EH88" s="148"/>
      <c r="EI88" s="148"/>
      <c r="EJ88" s="148"/>
      <c r="EK88" s="148"/>
      <c r="EL88" s="148"/>
      <c r="EM88" s="148"/>
      <c r="EN88" s="148"/>
      <c r="EO88" s="148"/>
      <c r="EP88" s="148"/>
      <c r="EQ88" s="148"/>
      <c r="ER88" s="148"/>
      <c r="ES88" s="148"/>
      <c r="ET88" s="148"/>
      <c r="EU88" s="148"/>
      <c r="EV88" s="148"/>
      <c r="EW88" s="148"/>
      <c r="EX88" s="148"/>
      <c r="EY88" s="148"/>
      <c r="EZ88" s="148"/>
      <c r="FA88" s="148"/>
      <c r="FB88" s="148"/>
      <c r="FC88" s="148"/>
      <c r="FD88" s="148"/>
      <c r="FE88" s="148"/>
      <c r="FF88" s="148"/>
      <c r="FG88" s="148"/>
      <c r="FH88" s="148"/>
      <c r="FI88" s="148"/>
      <c r="FJ88" s="148"/>
      <c r="FK88" s="148"/>
      <c r="FL88" s="148"/>
      <c r="FM88" s="148"/>
      <c r="FN88" s="148"/>
      <c r="FO88" s="148"/>
      <c r="FP88" s="148"/>
      <c r="FQ88" s="148"/>
      <c r="FR88" s="148"/>
      <c r="FS88" s="148"/>
      <c r="FT88" s="148"/>
      <c r="FU88" s="148"/>
      <c r="FV88" s="148"/>
      <c r="FW88" s="148"/>
      <c r="FX88" s="148"/>
      <c r="FY88" s="148"/>
      <c r="FZ88" s="148"/>
      <c r="GA88" s="148"/>
      <c r="GB88" s="148"/>
      <c r="GC88" s="148"/>
      <c r="GD88" s="148"/>
      <c r="GE88" s="148"/>
      <c r="GF88" s="148"/>
      <c r="GG88" s="148"/>
      <c r="GH88" s="148"/>
      <c r="GI88" s="148"/>
      <c r="GJ88" s="148"/>
      <c r="GK88" s="148"/>
      <c r="GL88" s="148"/>
      <c r="GM88" s="148"/>
      <c r="GN88" s="148"/>
      <c r="GO88" s="148"/>
      <c r="GP88" s="148"/>
      <c r="GQ88" s="148"/>
      <c r="GR88" s="148"/>
      <c r="GS88" s="148"/>
      <c r="GT88" s="148"/>
      <c r="GU88" s="148"/>
      <c r="GV88" s="148"/>
      <c r="GW88" s="148"/>
      <c r="GX88" s="148"/>
      <c r="GY88" s="148"/>
      <c r="GZ88" s="148"/>
      <c r="HA88" s="148"/>
      <c r="HB88" s="148"/>
      <c r="HC88" s="148"/>
      <c r="HD88" s="148"/>
      <c r="HE88" s="148"/>
      <c r="HF88" s="148"/>
      <c r="HG88" s="148"/>
      <c r="HH88" s="148"/>
      <c r="HI88" s="148"/>
      <c r="HJ88" s="148"/>
      <c r="HK88" s="148"/>
      <c r="HL88" s="148"/>
      <c r="HM88" s="148"/>
      <c r="HN88" s="148"/>
      <c r="HO88" s="148"/>
      <c r="HP88" s="148"/>
      <c r="HQ88" s="148"/>
      <c r="HR88" s="148"/>
      <c r="HS88" s="148"/>
      <c r="HT88" s="148"/>
      <c r="HU88" s="148"/>
      <c r="HV88" s="148"/>
      <c r="HW88" s="148"/>
      <c r="HX88" s="148"/>
      <c r="HY88" s="148"/>
      <c r="HZ88" s="148"/>
      <c r="IA88" s="148"/>
      <c r="IB88" s="148"/>
      <c r="IC88" s="148"/>
      <c r="ID88" s="148"/>
      <c r="IE88" s="148"/>
      <c r="IF88" s="148"/>
      <c r="IG88" s="148"/>
      <c r="IH88" s="148"/>
      <c r="II88" s="148"/>
      <c r="IJ88" s="148"/>
      <c r="IK88" s="148"/>
      <c r="IL88" s="148"/>
      <c r="IM88" s="148"/>
      <c r="IN88" s="148"/>
      <c r="IO88" s="148"/>
      <c r="IP88" s="148"/>
      <c r="IQ88" s="148"/>
      <c r="IR88" s="148"/>
      <c r="IS88" s="148"/>
      <c r="IT88" s="148"/>
      <c r="IU88" s="148"/>
      <c r="IV88" s="148"/>
      <c r="IW88" s="148"/>
      <c r="IX88" s="148"/>
      <c r="IY88" s="148"/>
      <c r="IZ88" s="148"/>
      <c r="JA88" s="148"/>
      <c r="JB88" s="148"/>
      <c r="JC88" s="148"/>
      <c r="JD88" s="148"/>
      <c r="JE88" s="148"/>
      <c r="JF88" s="148"/>
      <c r="JG88" s="148"/>
      <c r="JH88" s="148"/>
      <c r="JI88" s="148"/>
      <c r="JJ88" s="148"/>
      <c r="JK88" s="148"/>
      <c r="JL88" s="148"/>
      <c r="JM88" s="148"/>
      <c r="JN88" s="148"/>
      <c r="JO88" s="148"/>
      <c r="JP88" s="148"/>
      <c r="JQ88" s="148"/>
      <c r="JR88" s="148"/>
      <c r="JS88" s="148"/>
      <c r="JT88" s="148"/>
      <c r="JU88" s="148"/>
      <c r="JV88" s="148"/>
      <c r="JW88" s="148"/>
      <c r="JX88" s="148"/>
      <c r="JY88" s="148"/>
      <c r="JZ88" s="148"/>
      <c r="KA88" s="148"/>
      <c r="KB88" s="148"/>
      <c r="KC88" s="148"/>
      <c r="KD88" s="148"/>
      <c r="KE88" s="148"/>
      <c r="KF88" s="148"/>
      <c r="KG88" s="148"/>
      <c r="KH88" s="148"/>
      <c r="KI88" s="148"/>
      <c r="KJ88" s="148"/>
      <c r="KK88" s="148"/>
      <c r="KL88" s="148"/>
      <c r="KM88" s="148"/>
      <c r="KN88" s="148"/>
      <c r="KO88" s="148"/>
      <c r="KP88" s="148"/>
      <c r="KQ88" s="148"/>
      <c r="KR88" s="148"/>
      <c r="KS88" s="148"/>
      <c r="KT88" s="148"/>
      <c r="KU88" s="148"/>
      <c r="KV88" s="148"/>
      <c r="KW88" s="148"/>
      <c r="KX88" s="148"/>
      <c r="KY88" s="148"/>
      <c r="KZ88" s="148"/>
      <c r="LA88" s="148"/>
      <c r="LB88" s="148"/>
      <c r="LC88" s="148"/>
      <c r="LD88" s="148"/>
      <c r="LE88" s="148"/>
      <c r="LF88" s="148"/>
      <c r="LG88" s="148"/>
      <c r="LH88" s="148"/>
      <c r="LI88" s="148"/>
      <c r="LJ88" s="148"/>
      <c r="LK88" s="148"/>
      <c r="LL88" s="148"/>
      <c r="LM88" s="148"/>
      <c r="LN88" s="148"/>
      <c r="LO88" s="148"/>
      <c r="LP88" s="148"/>
      <c r="LQ88" s="148"/>
      <c r="LR88" s="148"/>
      <c r="LS88" s="148"/>
      <c r="LT88" s="148"/>
      <c r="LU88" s="148"/>
      <c r="LV88" s="148"/>
      <c r="LW88" s="148"/>
      <c r="LX88" s="148"/>
      <c r="LY88" s="148"/>
      <c r="LZ88" s="148"/>
      <c r="MA88" s="148"/>
      <c r="MB88" s="148"/>
      <c r="MC88" s="148"/>
      <c r="MD88" s="148"/>
      <c r="ME88" s="148"/>
      <c r="MF88" s="148"/>
      <c r="MG88" s="148"/>
      <c r="MH88" s="148"/>
      <c r="MI88" s="148"/>
      <c r="MJ88" s="148"/>
      <c r="MK88" s="148"/>
      <c r="ML88" s="148"/>
      <c r="MM88" s="148"/>
      <c r="MN88" s="148"/>
      <c r="MO88" s="148"/>
      <c r="MP88" s="148"/>
      <c r="MQ88" s="148"/>
      <c r="MR88" s="148"/>
      <c r="MS88" s="148"/>
      <c r="MT88" s="148"/>
      <c r="MU88" s="148"/>
      <c r="MV88" s="148"/>
      <c r="MW88" s="148"/>
      <c r="MX88" s="148"/>
      <c r="MY88" s="148"/>
      <c r="MZ88" s="148"/>
      <c r="NA88" s="148"/>
      <c r="NB88" s="148"/>
      <c r="NC88" s="148"/>
      <c r="ND88" s="148"/>
      <c r="NE88" s="148"/>
      <c r="NF88" s="148"/>
      <c r="NG88" s="148"/>
      <c r="NH88" s="148"/>
      <c r="NI88" s="148"/>
      <c r="NJ88" s="148"/>
      <c r="NK88" s="148"/>
      <c r="NL88" s="148"/>
      <c r="NM88" s="148"/>
      <c r="NN88" s="148"/>
      <c r="NO88" s="148"/>
      <c r="NP88" s="148"/>
      <c r="NQ88" s="148"/>
      <c r="NR88" s="148"/>
      <c r="NS88" s="148"/>
      <c r="NT88" s="148"/>
      <c r="NU88" s="148"/>
      <c r="NV88" s="148"/>
      <c r="NW88" s="148"/>
      <c r="NX88" s="148"/>
      <c r="NY88" s="148"/>
      <c r="NZ88" s="148"/>
    </row>
    <row r="89" spans="1:390" ht="15.75" customHeight="1" x14ac:dyDescent="0.3">
      <c r="A89" s="216">
        <v>4581628261</v>
      </c>
      <c r="B89" s="165" t="s">
        <v>391</v>
      </c>
      <c r="C89" s="153"/>
      <c r="D89" s="216" t="s">
        <v>391</v>
      </c>
      <c r="E89" s="153" t="s">
        <v>731</v>
      </c>
      <c r="F89" s="153" t="s">
        <v>471</v>
      </c>
      <c r="G89" s="238" t="s">
        <v>448</v>
      </c>
      <c r="H89" s="219">
        <v>43993</v>
      </c>
      <c r="I89" s="216" t="s">
        <v>732</v>
      </c>
      <c r="J89" s="153" t="s">
        <v>397</v>
      </c>
      <c r="K89" s="153" t="s">
        <v>398</v>
      </c>
      <c r="L89" s="153" t="s">
        <v>398</v>
      </c>
      <c r="M89" s="164" t="s">
        <v>398</v>
      </c>
      <c r="N89" s="164" t="s">
        <v>398</v>
      </c>
      <c r="O89" s="164" t="s">
        <v>398</v>
      </c>
      <c r="P89" s="164" t="s">
        <v>398</v>
      </c>
      <c r="Q89" s="164" t="s">
        <v>398</v>
      </c>
      <c r="R89" s="164" t="s">
        <v>398</v>
      </c>
      <c r="S89" s="164" t="s">
        <v>398</v>
      </c>
      <c r="T89" s="164" t="s">
        <v>398</v>
      </c>
      <c r="U89" s="164" t="s">
        <v>398</v>
      </c>
      <c r="V89" s="164" t="s">
        <v>398</v>
      </c>
      <c r="W89" s="164" t="s">
        <v>398</v>
      </c>
      <c r="X89" s="164" t="s">
        <v>398</v>
      </c>
      <c r="Y89" s="164" t="s">
        <v>398</v>
      </c>
      <c r="Z89" s="164" t="s">
        <v>398</v>
      </c>
      <c r="AA89" s="164" t="s">
        <v>398</v>
      </c>
      <c r="AB89" s="148" t="s">
        <v>399</v>
      </c>
      <c r="AC89" s="219">
        <v>19183</v>
      </c>
      <c r="AD89" s="148"/>
      <c r="AE89" s="108" t="e">
        <f t="shared" si="1"/>
        <v>#NUM!</v>
      </c>
      <c r="AF89" s="148" t="s">
        <v>733</v>
      </c>
      <c r="AG89" s="79" t="s">
        <v>401</v>
      </c>
      <c r="AH89" s="148" t="s">
        <v>402</v>
      </c>
      <c r="AI89" s="148"/>
      <c r="AJ89" s="148"/>
      <c r="AK89" s="148"/>
      <c r="AL89" s="148"/>
      <c r="AM89" s="148"/>
      <c r="AN89" s="146">
        <v>3</v>
      </c>
      <c r="AO89" s="173" t="s">
        <v>398</v>
      </c>
      <c r="AP89" s="148"/>
      <c r="AQ89" s="148"/>
      <c r="AR89" s="148"/>
      <c r="AS89" s="148"/>
      <c r="AT89" s="148"/>
      <c r="AU89" s="148"/>
      <c r="AV89" s="148"/>
      <c r="AW89" s="148"/>
      <c r="AX89" s="148"/>
      <c r="AY89" s="148"/>
      <c r="AZ89" s="148"/>
      <c r="BA89" s="148"/>
      <c r="BB89" s="148"/>
      <c r="BC89" s="148"/>
      <c r="BD89" s="148"/>
      <c r="BE89" s="148"/>
      <c r="BF89" s="148"/>
      <c r="BG89" s="148"/>
      <c r="BH89" s="148"/>
      <c r="BI89" s="148"/>
      <c r="BJ89" s="148"/>
      <c r="BK89" s="148"/>
      <c r="BL89" s="148"/>
      <c r="BM89" s="148"/>
      <c r="BN89" s="148"/>
      <c r="BO89" s="148"/>
      <c r="BP89" s="148"/>
      <c r="BQ89" s="148"/>
      <c r="BR89" s="148"/>
      <c r="BS89" s="148"/>
      <c r="BT89" s="148"/>
      <c r="BU89" s="148"/>
      <c r="BV89" s="148"/>
      <c r="BW89" s="148"/>
      <c r="BX89" s="148"/>
      <c r="BY89" s="148"/>
      <c r="BZ89" s="148"/>
      <c r="CA89" s="148"/>
      <c r="CB89" s="148"/>
      <c r="CC89" s="148"/>
      <c r="CD89" s="148"/>
      <c r="CE89" s="148"/>
      <c r="CF89" s="148"/>
      <c r="CG89" s="148"/>
      <c r="CH89" s="148"/>
      <c r="CI89" s="148"/>
      <c r="CJ89" s="148"/>
      <c r="CK89" s="148"/>
      <c r="CL89" s="148"/>
      <c r="CM89" s="148"/>
      <c r="CN89" s="148"/>
      <c r="CO89" s="148"/>
      <c r="CP89" s="148"/>
      <c r="CQ89" s="148"/>
      <c r="CR89" s="148"/>
      <c r="CS89" s="148"/>
      <c r="CT89" s="148"/>
      <c r="CU89" s="148"/>
      <c r="CV89" s="148"/>
      <c r="CW89" s="148"/>
      <c r="CX89" s="148"/>
      <c r="CY89" s="148"/>
      <c r="CZ89" s="148"/>
      <c r="DA89" s="148"/>
      <c r="DB89" s="148"/>
      <c r="DC89" s="148"/>
      <c r="DD89" s="148"/>
      <c r="DE89" s="148"/>
      <c r="DF89" s="148"/>
      <c r="DG89" s="148"/>
      <c r="DH89" s="148"/>
      <c r="DI89" s="148"/>
      <c r="DJ89" s="148"/>
      <c r="DK89" s="148"/>
      <c r="DL89" s="148"/>
      <c r="DM89" s="148"/>
      <c r="DN89" s="148"/>
      <c r="DO89" s="148"/>
      <c r="DP89" s="148"/>
      <c r="DQ89" s="148"/>
      <c r="DR89" s="148"/>
      <c r="DS89" s="148"/>
      <c r="DT89" s="148"/>
      <c r="DU89" s="148"/>
      <c r="DV89" s="148"/>
      <c r="DW89" s="148"/>
      <c r="DX89" s="148"/>
      <c r="DY89" s="148"/>
      <c r="DZ89" s="148"/>
      <c r="EA89" s="148"/>
      <c r="EB89" s="148"/>
      <c r="EC89" s="148"/>
      <c r="ED89" s="148"/>
      <c r="EE89" s="148"/>
      <c r="EF89" s="148"/>
      <c r="EG89" s="148"/>
      <c r="EH89" s="148"/>
      <c r="EI89" s="148"/>
      <c r="EJ89" s="148"/>
      <c r="EK89" s="148"/>
      <c r="EL89" s="148"/>
      <c r="EM89" s="148"/>
      <c r="EN89" s="148"/>
      <c r="EO89" s="148"/>
      <c r="EP89" s="148"/>
      <c r="EQ89" s="148"/>
      <c r="ER89" s="148"/>
      <c r="ES89" s="148"/>
      <c r="ET89" s="148"/>
      <c r="EU89" s="148"/>
      <c r="EV89" s="148"/>
      <c r="EW89" s="148"/>
      <c r="EX89" s="148"/>
      <c r="EY89" s="148"/>
      <c r="EZ89" s="148"/>
      <c r="FA89" s="148"/>
      <c r="FB89" s="148"/>
      <c r="FC89" s="148"/>
      <c r="FD89" s="148"/>
      <c r="FE89" s="148"/>
      <c r="FF89" s="148"/>
      <c r="FG89" s="148"/>
      <c r="FH89" s="148"/>
      <c r="FI89" s="148"/>
      <c r="FJ89" s="148"/>
      <c r="FK89" s="148"/>
      <c r="FL89" s="148"/>
      <c r="FM89" s="148"/>
      <c r="FN89" s="148"/>
      <c r="FO89" s="148"/>
      <c r="FP89" s="148"/>
      <c r="FQ89" s="148"/>
      <c r="FR89" s="148"/>
      <c r="FS89" s="148"/>
      <c r="FT89" s="148"/>
      <c r="FU89" s="148"/>
      <c r="FV89" s="148"/>
      <c r="FW89" s="148"/>
      <c r="FX89" s="148"/>
      <c r="FY89" s="148"/>
      <c r="FZ89" s="148"/>
      <c r="GA89" s="148"/>
      <c r="GB89" s="148"/>
      <c r="GC89" s="148"/>
      <c r="GD89" s="148"/>
      <c r="GE89" s="148"/>
      <c r="GF89" s="148"/>
      <c r="GG89" s="148"/>
      <c r="GH89" s="148"/>
      <c r="GI89" s="148"/>
      <c r="GJ89" s="148"/>
      <c r="GK89" s="148"/>
      <c r="GL89" s="148"/>
      <c r="GM89" s="148"/>
      <c r="GN89" s="148"/>
      <c r="GO89" s="148"/>
      <c r="GP89" s="148"/>
      <c r="GQ89" s="148"/>
      <c r="GR89" s="148"/>
      <c r="GS89" s="148"/>
      <c r="GT89" s="148"/>
      <c r="GU89" s="148"/>
      <c r="GV89" s="148"/>
      <c r="GW89" s="148"/>
      <c r="GX89" s="148"/>
      <c r="GY89" s="148"/>
      <c r="GZ89" s="148"/>
      <c r="HA89" s="148"/>
      <c r="HB89" s="148"/>
      <c r="HC89" s="148"/>
      <c r="HD89" s="148"/>
      <c r="HE89" s="148"/>
      <c r="HF89" s="148"/>
      <c r="HG89" s="148"/>
      <c r="HH89" s="148"/>
      <c r="HI89" s="148"/>
      <c r="HJ89" s="148"/>
      <c r="HK89" s="148"/>
      <c r="HL89" s="148"/>
      <c r="HM89" s="148"/>
      <c r="HN89" s="148"/>
      <c r="HO89" s="148"/>
      <c r="HP89" s="148"/>
      <c r="HQ89" s="148"/>
      <c r="HR89" s="148"/>
      <c r="HS89" s="148"/>
      <c r="HT89" s="148"/>
      <c r="HU89" s="148"/>
      <c r="HV89" s="148"/>
      <c r="HW89" s="148"/>
      <c r="HX89" s="148"/>
      <c r="HY89" s="148"/>
      <c r="HZ89" s="148"/>
      <c r="IA89" s="148"/>
      <c r="IB89" s="148"/>
      <c r="IC89" s="148"/>
      <c r="ID89" s="148"/>
      <c r="IE89" s="148"/>
      <c r="IF89" s="148"/>
      <c r="IG89" s="148"/>
      <c r="IH89" s="148"/>
      <c r="II89" s="148"/>
      <c r="IJ89" s="148"/>
      <c r="IK89" s="148"/>
      <c r="IL89" s="148"/>
      <c r="IM89" s="148"/>
      <c r="IN89" s="148"/>
      <c r="IO89" s="148"/>
      <c r="IP89" s="148"/>
      <c r="IQ89" s="148"/>
      <c r="IR89" s="148"/>
      <c r="IS89" s="148"/>
      <c r="IT89" s="148"/>
      <c r="IU89" s="148"/>
      <c r="IV89" s="148"/>
      <c r="IW89" s="148"/>
      <c r="IX89" s="148"/>
      <c r="IY89" s="148"/>
      <c r="IZ89" s="148"/>
      <c r="JA89" s="148"/>
      <c r="JB89" s="148"/>
      <c r="JC89" s="148"/>
      <c r="JD89" s="148"/>
      <c r="JE89" s="148"/>
      <c r="JF89" s="148"/>
      <c r="JG89" s="148"/>
      <c r="JH89" s="148"/>
      <c r="JI89" s="148"/>
      <c r="JJ89" s="148"/>
      <c r="JK89" s="148"/>
      <c r="JL89" s="148"/>
      <c r="JM89" s="148"/>
      <c r="JN89" s="148"/>
      <c r="JO89" s="148"/>
      <c r="JP89" s="148"/>
      <c r="JQ89" s="148"/>
      <c r="JR89" s="148"/>
      <c r="JS89" s="148"/>
      <c r="JT89" s="148"/>
      <c r="JU89" s="148"/>
      <c r="JV89" s="148"/>
      <c r="JW89" s="148"/>
      <c r="JX89" s="148"/>
      <c r="JY89" s="148"/>
      <c r="JZ89" s="148"/>
      <c r="KA89" s="148"/>
      <c r="KB89" s="148"/>
      <c r="KC89" s="148"/>
      <c r="KD89" s="148"/>
      <c r="KE89" s="148"/>
      <c r="KF89" s="148"/>
      <c r="KG89" s="148"/>
      <c r="KH89" s="148"/>
      <c r="KI89" s="148"/>
      <c r="KJ89" s="148"/>
      <c r="KK89" s="148"/>
      <c r="KL89" s="148"/>
      <c r="KM89" s="148"/>
      <c r="KN89" s="148"/>
      <c r="KO89" s="148"/>
      <c r="KP89" s="148"/>
      <c r="KQ89" s="148"/>
      <c r="KR89" s="148"/>
      <c r="KS89" s="148"/>
      <c r="KT89" s="148"/>
      <c r="KU89" s="148"/>
      <c r="KV89" s="148"/>
      <c r="KW89" s="148"/>
      <c r="KX89" s="148"/>
      <c r="KY89" s="148"/>
      <c r="KZ89" s="148"/>
      <c r="LA89" s="148"/>
      <c r="LB89" s="148"/>
      <c r="LC89" s="148"/>
      <c r="LD89" s="148"/>
      <c r="LE89" s="148"/>
      <c r="LF89" s="148"/>
      <c r="LG89" s="148"/>
      <c r="LH89" s="148"/>
      <c r="LI89" s="148"/>
      <c r="LJ89" s="148"/>
      <c r="LK89" s="148"/>
      <c r="LL89" s="148"/>
      <c r="LM89" s="148"/>
      <c r="LN89" s="148"/>
      <c r="LO89" s="148"/>
      <c r="LP89" s="148"/>
      <c r="LQ89" s="148"/>
      <c r="LR89" s="148"/>
      <c r="LS89" s="148"/>
      <c r="LT89" s="148"/>
      <c r="LU89" s="148"/>
      <c r="LV89" s="148"/>
      <c r="LW89" s="148"/>
      <c r="LX89" s="148"/>
      <c r="LY89" s="148"/>
      <c r="LZ89" s="148"/>
      <c r="MA89" s="148"/>
      <c r="MB89" s="148"/>
      <c r="MC89" s="148"/>
      <c r="MD89" s="148"/>
      <c r="ME89" s="148"/>
      <c r="MF89" s="148"/>
      <c r="MG89" s="148"/>
      <c r="MH89" s="148"/>
      <c r="MI89" s="148"/>
      <c r="MJ89" s="148"/>
      <c r="MK89" s="148"/>
      <c r="ML89" s="148"/>
      <c r="MM89" s="148"/>
      <c r="MN89" s="148"/>
      <c r="MO89" s="148"/>
      <c r="MP89" s="148"/>
      <c r="MQ89" s="148"/>
      <c r="MR89" s="148"/>
      <c r="MS89" s="148"/>
      <c r="MT89" s="148"/>
      <c r="MU89" s="148"/>
      <c r="MV89" s="148"/>
      <c r="MW89" s="148"/>
      <c r="MX89" s="148"/>
      <c r="MY89" s="148"/>
      <c r="MZ89" s="148"/>
      <c r="NA89" s="148"/>
      <c r="NB89" s="148"/>
      <c r="NC89" s="148"/>
      <c r="ND89" s="148"/>
      <c r="NE89" s="148"/>
      <c r="NF89" s="148"/>
      <c r="NG89" s="148"/>
      <c r="NH89" s="148"/>
      <c r="NI89" s="148"/>
      <c r="NJ89" s="148"/>
      <c r="NK89" s="148"/>
      <c r="NL89" s="148"/>
      <c r="NM89" s="148"/>
      <c r="NN89" s="148"/>
      <c r="NO89" s="148"/>
      <c r="NP89" s="148"/>
      <c r="NQ89" s="148"/>
      <c r="NR89" s="148"/>
      <c r="NS89" s="148"/>
      <c r="NT89" s="148"/>
      <c r="NU89" s="148"/>
      <c r="NV89" s="148"/>
      <c r="NW89" s="148"/>
      <c r="NX89" s="148"/>
      <c r="NY89" s="148"/>
      <c r="NZ89" s="148"/>
    </row>
    <row r="90" spans="1:390" ht="15.75" customHeight="1" x14ac:dyDescent="0.3">
      <c r="A90" s="216">
        <v>4507813875</v>
      </c>
      <c r="B90" s="165" t="s">
        <v>391</v>
      </c>
      <c r="C90" s="153"/>
      <c r="D90" s="216" t="s">
        <v>391</v>
      </c>
      <c r="E90" s="153" t="s">
        <v>734</v>
      </c>
      <c r="F90" s="153" t="s">
        <v>416</v>
      </c>
      <c r="G90" s="238" t="s">
        <v>408</v>
      </c>
      <c r="H90" s="219">
        <v>44013</v>
      </c>
      <c r="I90" s="216" t="s">
        <v>458</v>
      </c>
      <c r="J90" s="153" t="s">
        <v>397</v>
      </c>
      <c r="K90" s="153" t="s">
        <v>398</v>
      </c>
      <c r="L90" s="153" t="s">
        <v>398</v>
      </c>
      <c r="M90" s="164" t="s">
        <v>398</v>
      </c>
      <c r="N90" s="164" t="s">
        <v>398</v>
      </c>
      <c r="O90" s="164" t="s">
        <v>398</v>
      </c>
      <c r="P90" s="164" t="s">
        <v>398</v>
      </c>
      <c r="Q90" s="164" t="s">
        <v>398</v>
      </c>
      <c r="R90" s="164" t="s">
        <v>398</v>
      </c>
      <c r="S90" s="164" t="s">
        <v>398</v>
      </c>
      <c r="T90" s="164" t="s">
        <v>398</v>
      </c>
      <c r="U90" s="164" t="s">
        <v>398</v>
      </c>
      <c r="V90" s="164" t="s">
        <v>398</v>
      </c>
      <c r="W90" s="164" t="s">
        <v>398</v>
      </c>
      <c r="X90" s="164" t="s">
        <v>398</v>
      </c>
      <c r="Y90" s="164" t="s">
        <v>398</v>
      </c>
      <c r="Z90" s="164" t="s">
        <v>398</v>
      </c>
      <c r="AA90" s="164" t="s">
        <v>398</v>
      </c>
      <c r="AB90" s="148" t="s">
        <v>399</v>
      </c>
      <c r="AC90" s="219">
        <v>17692</v>
      </c>
      <c r="AD90" s="148"/>
      <c r="AE90" s="108" t="e">
        <f t="shared" si="1"/>
        <v>#NUM!</v>
      </c>
      <c r="AF90" s="148" t="s">
        <v>735</v>
      </c>
      <c r="AG90" s="79" t="s">
        <v>401</v>
      </c>
      <c r="AH90" s="148" t="s">
        <v>391</v>
      </c>
      <c r="AI90" s="148"/>
      <c r="AJ90" s="148"/>
      <c r="AK90" s="148"/>
      <c r="AL90" s="148"/>
      <c r="AM90" s="148"/>
      <c r="AN90" s="146">
        <v>3</v>
      </c>
      <c r="AO90" s="173" t="s">
        <v>398</v>
      </c>
      <c r="AP90" s="148"/>
      <c r="AQ90" s="148"/>
      <c r="AR90" s="148"/>
      <c r="AS90" s="148"/>
      <c r="AT90" s="148"/>
      <c r="AU90" s="148"/>
      <c r="AV90" s="148"/>
      <c r="AW90" s="148"/>
      <c r="AX90" s="148"/>
      <c r="AY90" s="148"/>
      <c r="AZ90" s="148"/>
      <c r="BA90" s="148"/>
      <c r="BB90" s="148"/>
      <c r="BC90" s="148"/>
      <c r="BD90" s="148"/>
      <c r="BE90" s="148"/>
      <c r="BF90" s="148"/>
      <c r="BG90" s="148"/>
      <c r="BH90" s="148"/>
      <c r="BI90" s="148"/>
      <c r="BJ90" s="148"/>
      <c r="BK90" s="148"/>
      <c r="BL90" s="148"/>
      <c r="BM90" s="148"/>
      <c r="BN90" s="148"/>
      <c r="BO90" s="148"/>
      <c r="BP90" s="148"/>
      <c r="BQ90" s="148"/>
      <c r="BR90" s="148"/>
      <c r="BS90" s="148"/>
      <c r="BT90" s="148"/>
      <c r="BU90" s="148"/>
      <c r="BV90" s="148"/>
      <c r="BW90" s="148"/>
      <c r="BX90" s="148"/>
      <c r="BY90" s="148"/>
      <c r="BZ90" s="148"/>
      <c r="CA90" s="148"/>
      <c r="CB90" s="148"/>
      <c r="CC90" s="148"/>
      <c r="CD90" s="148"/>
      <c r="CE90" s="148"/>
      <c r="CF90" s="148"/>
      <c r="CG90" s="148"/>
      <c r="CH90" s="148"/>
      <c r="CI90" s="148"/>
      <c r="CJ90" s="148"/>
      <c r="CK90" s="148"/>
      <c r="CL90" s="148"/>
      <c r="CM90" s="148"/>
      <c r="CN90" s="148"/>
      <c r="CO90" s="148"/>
      <c r="CP90" s="148"/>
      <c r="CQ90" s="148"/>
      <c r="CR90" s="148"/>
      <c r="CS90" s="148"/>
      <c r="CT90" s="148"/>
      <c r="CU90" s="148"/>
      <c r="CV90" s="148"/>
      <c r="CW90" s="148"/>
      <c r="CX90" s="148"/>
      <c r="CY90" s="148"/>
      <c r="CZ90" s="148"/>
      <c r="DA90" s="148"/>
      <c r="DB90" s="148"/>
      <c r="DC90" s="148"/>
      <c r="DD90" s="148"/>
      <c r="DE90" s="148"/>
      <c r="DF90" s="148"/>
      <c r="DG90" s="148"/>
      <c r="DH90" s="148"/>
      <c r="DI90" s="148"/>
      <c r="DJ90" s="148"/>
      <c r="DK90" s="148"/>
      <c r="DL90" s="148"/>
      <c r="DM90" s="148"/>
      <c r="DN90" s="148"/>
      <c r="DO90" s="148"/>
      <c r="DP90" s="148"/>
      <c r="DQ90" s="148"/>
      <c r="DR90" s="148"/>
      <c r="DS90" s="148"/>
      <c r="DT90" s="148"/>
      <c r="DU90" s="148"/>
      <c r="DV90" s="148"/>
      <c r="DW90" s="148"/>
      <c r="DX90" s="148"/>
      <c r="DY90" s="148"/>
      <c r="DZ90" s="148"/>
      <c r="EA90" s="148"/>
      <c r="EB90" s="148"/>
      <c r="EC90" s="148"/>
      <c r="ED90" s="148"/>
      <c r="EE90" s="148"/>
      <c r="EF90" s="148"/>
      <c r="EG90" s="148"/>
      <c r="EH90" s="148"/>
      <c r="EI90" s="148"/>
      <c r="EJ90" s="148"/>
      <c r="EK90" s="148"/>
      <c r="EL90" s="148"/>
      <c r="EM90" s="148"/>
      <c r="EN90" s="148"/>
      <c r="EO90" s="148"/>
      <c r="EP90" s="148"/>
      <c r="EQ90" s="148"/>
      <c r="ER90" s="148"/>
      <c r="ES90" s="148"/>
      <c r="ET90" s="148"/>
      <c r="EU90" s="148"/>
      <c r="EV90" s="148"/>
      <c r="EW90" s="148"/>
      <c r="EX90" s="148"/>
      <c r="EY90" s="148"/>
      <c r="EZ90" s="148"/>
      <c r="FA90" s="148"/>
      <c r="FB90" s="148"/>
      <c r="FC90" s="148"/>
      <c r="FD90" s="148"/>
      <c r="FE90" s="148"/>
      <c r="FF90" s="148"/>
      <c r="FG90" s="148"/>
      <c r="FH90" s="148"/>
      <c r="FI90" s="148"/>
      <c r="FJ90" s="148"/>
      <c r="FK90" s="148"/>
      <c r="FL90" s="148"/>
      <c r="FM90" s="148"/>
      <c r="FN90" s="148"/>
      <c r="FO90" s="148"/>
      <c r="FP90" s="148"/>
      <c r="FQ90" s="148"/>
      <c r="FR90" s="148"/>
      <c r="FS90" s="148"/>
      <c r="FT90" s="148"/>
      <c r="FU90" s="148"/>
      <c r="FV90" s="148"/>
      <c r="FW90" s="148"/>
      <c r="FX90" s="148"/>
      <c r="FY90" s="148"/>
      <c r="FZ90" s="148"/>
      <c r="GA90" s="148"/>
      <c r="GB90" s="148"/>
      <c r="GC90" s="148"/>
      <c r="GD90" s="148"/>
      <c r="GE90" s="148"/>
      <c r="GF90" s="148"/>
      <c r="GG90" s="148"/>
      <c r="GH90" s="148"/>
      <c r="GI90" s="148"/>
      <c r="GJ90" s="148"/>
      <c r="GK90" s="148"/>
      <c r="GL90" s="148"/>
      <c r="GM90" s="148"/>
      <c r="GN90" s="148"/>
      <c r="GO90" s="148"/>
      <c r="GP90" s="148"/>
      <c r="GQ90" s="148"/>
      <c r="GR90" s="148"/>
      <c r="GS90" s="148"/>
      <c r="GT90" s="148"/>
      <c r="GU90" s="148"/>
      <c r="GV90" s="148"/>
      <c r="GW90" s="148"/>
      <c r="GX90" s="148"/>
      <c r="GY90" s="148"/>
      <c r="GZ90" s="148"/>
      <c r="HA90" s="148"/>
      <c r="HB90" s="148"/>
      <c r="HC90" s="148"/>
      <c r="HD90" s="148"/>
      <c r="HE90" s="148"/>
      <c r="HF90" s="148"/>
      <c r="HG90" s="148"/>
      <c r="HH90" s="148"/>
      <c r="HI90" s="148"/>
      <c r="HJ90" s="148"/>
      <c r="HK90" s="148"/>
      <c r="HL90" s="148"/>
      <c r="HM90" s="148"/>
      <c r="HN90" s="148"/>
      <c r="HO90" s="148"/>
      <c r="HP90" s="148"/>
      <c r="HQ90" s="148"/>
      <c r="HR90" s="148"/>
      <c r="HS90" s="148"/>
      <c r="HT90" s="148"/>
      <c r="HU90" s="148"/>
      <c r="HV90" s="148"/>
      <c r="HW90" s="148"/>
      <c r="HX90" s="148"/>
      <c r="HY90" s="148"/>
      <c r="HZ90" s="148"/>
      <c r="IA90" s="148"/>
      <c r="IB90" s="148"/>
      <c r="IC90" s="148"/>
      <c r="ID90" s="148"/>
      <c r="IE90" s="148"/>
      <c r="IF90" s="148"/>
      <c r="IG90" s="148"/>
      <c r="IH90" s="148"/>
      <c r="II90" s="148"/>
      <c r="IJ90" s="148"/>
      <c r="IK90" s="148"/>
      <c r="IL90" s="148"/>
      <c r="IM90" s="148"/>
      <c r="IN90" s="148"/>
      <c r="IO90" s="148"/>
      <c r="IP90" s="148"/>
      <c r="IQ90" s="148"/>
      <c r="IR90" s="148"/>
      <c r="IS90" s="148"/>
      <c r="IT90" s="148"/>
      <c r="IU90" s="148"/>
      <c r="IV90" s="148"/>
      <c r="IW90" s="148"/>
      <c r="IX90" s="148"/>
      <c r="IY90" s="148"/>
      <c r="IZ90" s="148"/>
      <c r="JA90" s="148"/>
      <c r="JB90" s="148"/>
      <c r="JC90" s="148"/>
      <c r="JD90" s="148"/>
      <c r="JE90" s="148"/>
      <c r="JF90" s="148"/>
      <c r="JG90" s="148"/>
      <c r="JH90" s="148"/>
      <c r="JI90" s="148"/>
      <c r="JJ90" s="148"/>
      <c r="JK90" s="148"/>
      <c r="JL90" s="148"/>
      <c r="JM90" s="148"/>
      <c r="JN90" s="148"/>
      <c r="JO90" s="148"/>
      <c r="JP90" s="148"/>
      <c r="JQ90" s="148"/>
      <c r="JR90" s="148"/>
      <c r="JS90" s="148"/>
      <c r="JT90" s="148"/>
      <c r="JU90" s="148"/>
      <c r="JV90" s="148"/>
      <c r="JW90" s="148"/>
      <c r="JX90" s="148"/>
      <c r="JY90" s="148"/>
      <c r="JZ90" s="148"/>
      <c r="KA90" s="148"/>
      <c r="KB90" s="148"/>
      <c r="KC90" s="148"/>
      <c r="KD90" s="148"/>
      <c r="KE90" s="148"/>
      <c r="KF90" s="148"/>
      <c r="KG90" s="148"/>
      <c r="KH90" s="148"/>
      <c r="KI90" s="148"/>
      <c r="KJ90" s="148"/>
      <c r="KK90" s="148"/>
      <c r="KL90" s="148"/>
      <c r="KM90" s="148"/>
      <c r="KN90" s="148"/>
      <c r="KO90" s="148"/>
      <c r="KP90" s="148"/>
      <c r="KQ90" s="148"/>
      <c r="KR90" s="148"/>
      <c r="KS90" s="148"/>
      <c r="KT90" s="148"/>
      <c r="KU90" s="148"/>
      <c r="KV90" s="148"/>
      <c r="KW90" s="148"/>
      <c r="KX90" s="148"/>
      <c r="KY90" s="148"/>
      <c r="KZ90" s="148"/>
      <c r="LA90" s="148"/>
      <c r="LB90" s="148"/>
      <c r="LC90" s="148"/>
      <c r="LD90" s="148"/>
      <c r="LE90" s="148"/>
      <c r="LF90" s="148"/>
      <c r="LG90" s="148"/>
      <c r="LH90" s="148"/>
      <c r="LI90" s="148"/>
      <c r="LJ90" s="148"/>
      <c r="LK90" s="148"/>
      <c r="LL90" s="148"/>
      <c r="LM90" s="148"/>
      <c r="LN90" s="148"/>
      <c r="LO90" s="148"/>
      <c r="LP90" s="148"/>
      <c r="LQ90" s="148"/>
      <c r="LR90" s="148"/>
      <c r="LS90" s="148"/>
      <c r="LT90" s="148"/>
      <c r="LU90" s="148"/>
      <c r="LV90" s="148"/>
      <c r="LW90" s="148"/>
      <c r="LX90" s="148"/>
      <c r="LY90" s="148"/>
      <c r="LZ90" s="148"/>
      <c r="MA90" s="148"/>
      <c r="MB90" s="148"/>
      <c r="MC90" s="148"/>
      <c r="MD90" s="148"/>
      <c r="ME90" s="148"/>
      <c r="MF90" s="148"/>
      <c r="MG90" s="148"/>
      <c r="MH90" s="148"/>
      <c r="MI90" s="148"/>
      <c r="MJ90" s="148"/>
      <c r="MK90" s="148"/>
      <c r="ML90" s="148"/>
      <c r="MM90" s="148"/>
      <c r="MN90" s="148"/>
      <c r="MO90" s="148"/>
      <c r="MP90" s="148"/>
      <c r="MQ90" s="148"/>
      <c r="MR90" s="148"/>
      <c r="MS90" s="148"/>
      <c r="MT90" s="148"/>
      <c r="MU90" s="148"/>
      <c r="MV90" s="148"/>
      <c r="MW90" s="148"/>
      <c r="MX90" s="148"/>
      <c r="MY90" s="148"/>
      <c r="MZ90" s="148"/>
      <c r="NA90" s="148"/>
      <c r="NB90" s="148"/>
      <c r="NC90" s="148"/>
      <c r="ND90" s="148"/>
      <c r="NE90" s="148"/>
      <c r="NF90" s="148"/>
      <c r="NG90" s="148"/>
      <c r="NH90" s="148"/>
      <c r="NI90" s="148"/>
      <c r="NJ90" s="148"/>
      <c r="NK90" s="148"/>
      <c r="NL90" s="148"/>
      <c r="NM90" s="148"/>
      <c r="NN90" s="148"/>
      <c r="NO90" s="148"/>
      <c r="NP90" s="148"/>
      <c r="NQ90" s="148"/>
      <c r="NR90" s="148"/>
      <c r="NS90" s="148"/>
      <c r="NT90" s="148"/>
      <c r="NU90" s="148"/>
      <c r="NV90" s="148"/>
      <c r="NW90" s="148"/>
      <c r="NX90" s="148"/>
      <c r="NY90" s="148"/>
      <c r="NZ90" s="148"/>
    </row>
    <row r="91" spans="1:390" ht="15.75" customHeight="1" x14ac:dyDescent="0.3">
      <c r="A91" s="216">
        <v>4388418994</v>
      </c>
      <c r="B91" s="165" t="s">
        <v>391</v>
      </c>
      <c r="C91" s="153"/>
      <c r="D91" s="216" t="s">
        <v>391</v>
      </c>
      <c r="E91" s="153" t="s">
        <v>736</v>
      </c>
      <c r="F91" s="153" t="s">
        <v>421</v>
      </c>
      <c r="G91" s="238" t="s">
        <v>501</v>
      </c>
      <c r="H91" s="219">
        <v>44245</v>
      </c>
      <c r="I91" s="216" t="s">
        <v>458</v>
      </c>
      <c r="J91" s="153" t="s">
        <v>397</v>
      </c>
      <c r="K91" s="153" t="s">
        <v>398</v>
      </c>
      <c r="L91" s="153" t="s">
        <v>398</v>
      </c>
      <c r="M91" s="164" t="s">
        <v>398</v>
      </c>
      <c r="N91" s="164" t="s">
        <v>398</v>
      </c>
      <c r="O91" s="164" t="s">
        <v>398</v>
      </c>
      <c r="P91" s="164" t="s">
        <v>398</v>
      </c>
      <c r="Q91" s="164" t="s">
        <v>398</v>
      </c>
      <c r="R91" s="164" t="s">
        <v>398</v>
      </c>
      <c r="S91" s="164" t="s">
        <v>398</v>
      </c>
      <c r="T91" s="164" t="s">
        <v>398</v>
      </c>
      <c r="U91" s="164" t="s">
        <v>398</v>
      </c>
      <c r="V91" s="164" t="s">
        <v>398</v>
      </c>
      <c r="W91" s="164" t="s">
        <v>398</v>
      </c>
      <c r="X91" s="164" t="s">
        <v>398</v>
      </c>
      <c r="Y91" s="164" t="s">
        <v>398</v>
      </c>
      <c r="Z91" s="164" t="s">
        <v>398</v>
      </c>
      <c r="AA91" s="164" t="s">
        <v>398</v>
      </c>
      <c r="AB91" s="148" t="s">
        <v>399</v>
      </c>
      <c r="AC91" s="219">
        <v>16400</v>
      </c>
      <c r="AD91" s="148"/>
      <c r="AE91" s="108" t="e">
        <f t="shared" si="1"/>
        <v>#NUM!</v>
      </c>
      <c r="AF91" s="148" t="s">
        <v>735</v>
      </c>
      <c r="AG91" s="79" t="s">
        <v>401</v>
      </c>
      <c r="AH91" s="148" t="s">
        <v>402</v>
      </c>
      <c r="AI91" s="148"/>
      <c r="AJ91" s="148"/>
      <c r="AK91" s="148"/>
      <c r="AL91" s="148"/>
      <c r="AM91" s="148"/>
      <c r="AN91" s="146">
        <v>3</v>
      </c>
      <c r="AO91" s="173" t="s">
        <v>398</v>
      </c>
      <c r="AP91" s="148"/>
      <c r="AQ91" s="148"/>
      <c r="AR91" s="148"/>
      <c r="AS91" s="148"/>
      <c r="AT91" s="148"/>
      <c r="AU91" s="148"/>
      <c r="AV91" s="148"/>
      <c r="AW91" s="148"/>
      <c r="AX91" s="148"/>
      <c r="AY91" s="148"/>
      <c r="AZ91" s="148"/>
      <c r="BA91" s="148"/>
      <c r="BB91" s="148"/>
      <c r="BC91" s="148"/>
      <c r="BD91" s="148"/>
      <c r="BE91" s="148"/>
      <c r="BF91" s="148"/>
      <c r="BG91" s="148"/>
      <c r="BH91" s="148"/>
      <c r="BI91" s="148"/>
      <c r="BJ91" s="148"/>
      <c r="BK91" s="148"/>
      <c r="BL91" s="148"/>
      <c r="BM91" s="148"/>
      <c r="BN91" s="148"/>
      <c r="BO91" s="148"/>
      <c r="BP91" s="148"/>
      <c r="BQ91" s="148"/>
      <c r="BR91" s="148"/>
      <c r="BS91" s="148"/>
      <c r="BT91" s="148"/>
      <c r="BU91" s="148"/>
      <c r="BV91" s="148"/>
      <c r="BW91" s="148"/>
      <c r="BX91" s="148"/>
      <c r="BY91" s="148"/>
      <c r="BZ91" s="148"/>
      <c r="CA91" s="148"/>
      <c r="CB91" s="148"/>
      <c r="CC91" s="148"/>
      <c r="CD91" s="148"/>
      <c r="CE91" s="148"/>
      <c r="CF91" s="148"/>
      <c r="CG91" s="148"/>
      <c r="CH91" s="148"/>
      <c r="CI91" s="148"/>
      <c r="CJ91" s="148"/>
      <c r="CK91" s="148"/>
      <c r="CL91" s="148"/>
      <c r="CM91" s="148"/>
      <c r="CN91" s="148"/>
      <c r="CO91" s="148"/>
      <c r="CP91" s="148"/>
      <c r="CQ91" s="148"/>
      <c r="CR91" s="148"/>
      <c r="CS91" s="148"/>
      <c r="CT91" s="148"/>
      <c r="CU91" s="148"/>
      <c r="CV91" s="148"/>
      <c r="CW91" s="148"/>
      <c r="CX91" s="148"/>
      <c r="CY91" s="148"/>
      <c r="CZ91" s="148"/>
      <c r="DA91" s="148"/>
      <c r="DB91" s="148"/>
      <c r="DC91" s="148"/>
      <c r="DD91" s="148"/>
      <c r="DE91" s="148"/>
      <c r="DF91" s="148"/>
      <c r="DG91" s="148"/>
      <c r="DH91" s="148"/>
      <c r="DI91" s="148"/>
      <c r="DJ91" s="148"/>
      <c r="DK91" s="148"/>
      <c r="DL91" s="148"/>
      <c r="DM91" s="148"/>
      <c r="DN91" s="148"/>
      <c r="DO91" s="148"/>
      <c r="DP91" s="148"/>
      <c r="DQ91" s="148"/>
      <c r="DR91" s="148"/>
      <c r="DS91" s="148"/>
      <c r="DT91" s="148"/>
      <c r="DU91" s="148"/>
      <c r="DV91" s="148"/>
      <c r="DW91" s="148"/>
      <c r="DX91" s="148"/>
      <c r="DY91" s="148"/>
      <c r="DZ91" s="148"/>
      <c r="EA91" s="148"/>
      <c r="EB91" s="148"/>
      <c r="EC91" s="148"/>
      <c r="ED91" s="148"/>
      <c r="EE91" s="148"/>
      <c r="EF91" s="148"/>
      <c r="EG91" s="148"/>
      <c r="EH91" s="148"/>
      <c r="EI91" s="148"/>
      <c r="EJ91" s="148"/>
      <c r="EK91" s="148"/>
      <c r="EL91" s="148"/>
      <c r="EM91" s="148"/>
      <c r="EN91" s="148"/>
      <c r="EO91" s="148"/>
      <c r="EP91" s="148"/>
      <c r="EQ91" s="148"/>
      <c r="ER91" s="148"/>
      <c r="ES91" s="148"/>
      <c r="ET91" s="148"/>
      <c r="EU91" s="148"/>
      <c r="EV91" s="148"/>
      <c r="EW91" s="148"/>
      <c r="EX91" s="148"/>
      <c r="EY91" s="148"/>
      <c r="EZ91" s="148"/>
      <c r="FA91" s="148"/>
      <c r="FB91" s="148"/>
      <c r="FC91" s="148"/>
      <c r="FD91" s="148"/>
      <c r="FE91" s="148"/>
      <c r="FF91" s="148"/>
      <c r="FG91" s="148"/>
      <c r="FH91" s="148"/>
      <c r="FI91" s="148"/>
      <c r="FJ91" s="148"/>
      <c r="FK91" s="148"/>
      <c r="FL91" s="148"/>
      <c r="FM91" s="148"/>
      <c r="FN91" s="148"/>
      <c r="FO91" s="148"/>
      <c r="FP91" s="148"/>
      <c r="FQ91" s="148"/>
      <c r="FR91" s="148"/>
      <c r="FS91" s="148"/>
      <c r="FT91" s="148"/>
      <c r="FU91" s="148"/>
      <c r="FV91" s="148"/>
      <c r="FW91" s="148"/>
      <c r="FX91" s="148"/>
      <c r="FY91" s="148"/>
      <c r="FZ91" s="148"/>
      <c r="GA91" s="148"/>
      <c r="GB91" s="148"/>
      <c r="GC91" s="148"/>
      <c r="GD91" s="148"/>
      <c r="GE91" s="148"/>
      <c r="GF91" s="148"/>
      <c r="GG91" s="148"/>
      <c r="GH91" s="148"/>
      <c r="GI91" s="148"/>
      <c r="GJ91" s="148"/>
      <c r="GK91" s="148"/>
      <c r="GL91" s="148"/>
      <c r="GM91" s="148"/>
      <c r="GN91" s="148"/>
      <c r="GO91" s="148"/>
      <c r="GP91" s="148"/>
      <c r="GQ91" s="148"/>
      <c r="GR91" s="148"/>
      <c r="GS91" s="148"/>
      <c r="GT91" s="148"/>
      <c r="GU91" s="148"/>
      <c r="GV91" s="148"/>
      <c r="GW91" s="148"/>
      <c r="GX91" s="148"/>
      <c r="GY91" s="148"/>
      <c r="GZ91" s="148"/>
      <c r="HA91" s="148"/>
      <c r="HB91" s="148"/>
      <c r="HC91" s="148"/>
      <c r="HD91" s="148"/>
      <c r="HE91" s="148"/>
      <c r="HF91" s="148"/>
      <c r="HG91" s="148"/>
      <c r="HH91" s="148"/>
      <c r="HI91" s="148"/>
      <c r="HJ91" s="148"/>
      <c r="HK91" s="148"/>
      <c r="HL91" s="148"/>
      <c r="HM91" s="148"/>
      <c r="HN91" s="148"/>
      <c r="HO91" s="148"/>
      <c r="HP91" s="148"/>
      <c r="HQ91" s="148"/>
      <c r="HR91" s="148"/>
      <c r="HS91" s="148"/>
      <c r="HT91" s="148"/>
      <c r="HU91" s="148"/>
      <c r="HV91" s="148"/>
      <c r="HW91" s="148"/>
      <c r="HX91" s="148"/>
      <c r="HY91" s="148"/>
      <c r="HZ91" s="148"/>
      <c r="IA91" s="148"/>
      <c r="IB91" s="148"/>
      <c r="IC91" s="148"/>
      <c r="ID91" s="148"/>
      <c r="IE91" s="148"/>
      <c r="IF91" s="148"/>
      <c r="IG91" s="148"/>
      <c r="IH91" s="148"/>
      <c r="II91" s="148"/>
      <c r="IJ91" s="148"/>
      <c r="IK91" s="148"/>
      <c r="IL91" s="148"/>
      <c r="IM91" s="148"/>
      <c r="IN91" s="148"/>
      <c r="IO91" s="148"/>
      <c r="IP91" s="148"/>
      <c r="IQ91" s="148"/>
      <c r="IR91" s="148"/>
      <c r="IS91" s="148"/>
      <c r="IT91" s="148"/>
      <c r="IU91" s="148"/>
      <c r="IV91" s="148"/>
      <c r="IW91" s="148"/>
      <c r="IX91" s="148"/>
      <c r="IY91" s="148"/>
      <c r="IZ91" s="148"/>
      <c r="JA91" s="148"/>
      <c r="JB91" s="148"/>
      <c r="JC91" s="148"/>
      <c r="JD91" s="148"/>
      <c r="JE91" s="148"/>
      <c r="JF91" s="148"/>
      <c r="JG91" s="148"/>
      <c r="JH91" s="148"/>
      <c r="JI91" s="148"/>
      <c r="JJ91" s="148"/>
      <c r="JK91" s="148"/>
      <c r="JL91" s="148"/>
      <c r="JM91" s="148"/>
      <c r="JN91" s="148"/>
      <c r="JO91" s="148"/>
      <c r="JP91" s="148"/>
      <c r="JQ91" s="148"/>
      <c r="JR91" s="148"/>
      <c r="JS91" s="148"/>
      <c r="JT91" s="148"/>
      <c r="JU91" s="148"/>
      <c r="JV91" s="148"/>
      <c r="JW91" s="148"/>
      <c r="JX91" s="148"/>
      <c r="JY91" s="148"/>
      <c r="JZ91" s="148"/>
      <c r="KA91" s="148"/>
      <c r="KB91" s="148"/>
      <c r="KC91" s="148"/>
      <c r="KD91" s="148"/>
      <c r="KE91" s="148"/>
      <c r="KF91" s="148"/>
      <c r="KG91" s="148"/>
      <c r="KH91" s="148"/>
      <c r="KI91" s="148"/>
      <c r="KJ91" s="148"/>
      <c r="KK91" s="148"/>
      <c r="KL91" s="148"/>
      <c r="KM91" s="148"/>
      <c r="KN91" s="148"/>
      <c r="KO91" s="148"/>
      <c r="KP91" s="148"/>
      <c r="KQ91" s="148"/>
      <c r="KR91" s="148"/>
      <c r="KS91" s="148"/>
      <c r="KT91" s="148"/>
      <c r="KU91" s="148"/>
      <c r="KV91" s="148"/>
      <c r="KW91" s="148"/>
      <c r="KX91" s="148"/>
      <c r="KY91" s="148"/>
      <c r="KZ91" s="148"/>
      <c r="LA91" s="148"/>
      <c r="LB91" s="148"/>
      <c r="LC91" s="148"/>
      <c r="LD91" s="148"/>
      <c r="LE91" s="148"/>
      <c r="LF91" s="148"/>
      <c r="LG91" s="148"/>
      <c r="LH91" s="148"/>
      <c r="LI91" s="148"/>
      <c r="LJ91" s="148"/>
      <c r="LK91" s="148"/>
      <c r="LL91" s="148"/>
      <c r="LM91" s="148"/>
      <c r="LN91" s="148"/>
      <c r="LO91" s="148"/>
      <c r="LP91" s="148"/>
      <c r="LQ91" s="148"/>
      <c r="LR91" s="148"/>
      <c r="LS91" s="148"/>
      <c r="LT91" s="148"/>
      <c r="LU91" s="148"/>
      <c r="LV91" s="148"/>
      <c r="LW91" s="148"/>
      <c r="LX91" s="148"/>
      <c r="LY91" s="148"/>
      <c r="LZ91" s="148"/>
      <c r="MA91" s="148"/>
      <c r="MB91" s="148"/>
      <c r="MC91" s="148"/>
      <c r="MD91" s="148"/>
      <c r="ME91" s="148"/>
      <c r="MF91" s="148"/>
      <c r="MG91" s="148"/>
      <c r="MH91" s="148"/>
      <c r="MI91" s="148"/>
      <c r="MJ91" s="148"/>
      <c r="MK91" s="148"/>
      <c r="ML91" s="148"/>
      <c r="MM91" s="148"/>
      <c r="MN91" s="148"/>
      <c r="MO91" s="148"/>
      <c r="MP91" s="148"/>
      <c r="MQ91" s="148"/>
      <c r="MR91" s="148"/>
      <c r="MS91" s="148"/>
      <c r="MT91" s="148"/>
      <c r="MU91" s="148"/>
      <c r="MV91" s="148"/>
      <c r="MW91" s="148"/>
      <c r="MX91" s="148"/>
      <c r="MY91" s="148"/>
      <c r="MZ91" s="148"/>
      <c r="NA91" s="148"/>
      <c r="NB91" s="148"/>
      <c r="NC91" s="148"/>
      <c r="ND91" s="148"/>
      <c r="NE91" s="148"/>
      <c r="NF91" s="148"/>
      <c r="NG91" s="148"/>
      <c r="NH91" s="148"/>
      <c r="NI91" s="148"/>
      <c r="NJ91" s="148"/>
      <c r="NK91" s="148"/>
      <c r="NL91" s="148"/>
      <c r="NM91" s="148"/>
      <c r="NN91" s="148"/>
      <c r="NO91" s="148"/>
      <c r="NP91" s="148"/>
      <c r="NQ91" s="148"/>
      <c r="NR91" s="148"/>
      <c r="NS91" s="148"/>
      <c r="NT91" s="148"/>
      <c r="NU91" s="148"/>
      <c r="NV91" s="148"/>
      <c r="NW91" s="148"/>
      <c r="NX91" s="148"/>
      <c r="NY91" s="148"/>
      <c r="NZ91" s="148"/>
    </row>
    <row r="92" spans="1:390" ht="15.75" customHeight="1" x14ac:dyDescent="0.3">
      <c r="A92" s="216">
        <v>4381731344</v>
      </c>
      <c r="B92" s="165" t="s">
        <v>391</v>
      </c>
      <c r="C92" s="153"/>
      <c r="D92" s="216" t="s">
        <v>391</v>
      </c>
      <c r="E92" s="153" t="s">
        <v>737</v>
      </c>
      <c r="F92" s="153" t="s">
        <v>488</v>
      </c>
      <c r="G92" s="238" t="s">
        <v>422</v>
      </c>
      <c r="H92" s="219">
        <v>44286</v>
      </c>
      <c r="I92" s="216" t="s">
        <v>513</v>
      </c>
      <c r="J92" s="153" t="s">
        <v>397</v>
      </c>
      <c r="K92" s="153" t="s">
        <v>398</v>
      </c>
      <c r="L92" s="153" t="s">
        <v>398</v>
      </c>
      <c r="M92" s="164" t="s">
        <v>398</v>
      </c>
      <c r="N92" s="164" t="s">
        <v>398</v>
      </c>
      <c r="O92" s="164" t="s">
        <v>398</v>
      </c>
      <c r="P92" s="164" t="s">
        <v>398</v>
      </c>
      <c r="Q92" s="164" t="s">
        <v>398</v>
      </c>
      <c r="R92" s="164" t="s">
        <v>398</v>
      </c>
      <c r="S92" s="164" t="s">
        <v>398</v>
      </c>
      <c r="T92" s="164" t="s">
        <v>398</v>
      </c>
      <c r="U92" s="164" t="s">
        <v>398</v>
      </c>
      <c r="V92" s="164" t="s">
        <v>398</v>
      </c>
      <c r="W92" s="164" t="s">
        <v>398</v>
      </c>
      <c r="X92" s="164" t="s">
        <v>398</v>
      </c>
      <c r="Y92" s="164" t="s">
        <v>398</v>
      </c>
      <c r="Z92" s="164" t="s">
        <v>398</v>
      </c>
      <c r="AA92" s="164" t="s">
        <v>398</v>
      </c>
      <c r="AB92" s="148" t="s">
        <v>399</v>
      </c>
      <c r="AC92" s="219">
        <v>14638</v>
      </c>
      <c r="AD92" s="148"/>
      <c r="AE92" s="108" t="e">
        <f t="shared" si="1"/>
        <v>#NUM!</v>
      </c>
      <c r="AF92" s="148" t="s">
        <v>738</v>
      </c>
      <c r="AG92" s="79" t="s">
        <v>401</v>
      </c>
      <c r="AH92" s="148" t="s">
        <v>402</v>
      </c>
      <c r="AI92" s="148"/>
      <c r="AJ92" s="148"/>
      <c r="AK92" s="148"/>
      <c r="AL92" s="148"/>
      <c r="AM92" s="148"/>
      <c r="AN92" s="146">
        <v>3</v>
      </c>
      <c r="AO92" s="164" t="s">
        <v>398</v>
      </c>
      <c r="AP92" s="148"/>
      <c r="AQ92" s="148"/>
      <c r="AR92" s="148"/>
      <c r="AS92" s="148"/>
      <c r="AT92" s="148"/>
      <c r="AU92" s="148"/>
      <c r="AV92" s="148"/>
      <c r="AW92" s="148"/>
      <c r="AX92" s="148"/>
      <c r="AY92" s="148"/>
      <c r="AZ92" s="148"/>
      <c r="BA92" s="148"/>
      <c r="BB92" s="148"/>
      <c r="BC92" s="148"/>
      <c r="BD92" s="148"/>
      <c r="BE92" s="148"/>
      <c r="BF92" s="148"/>
      <c r="BG92" s="148"/>
      <c r="BH92" s="148"/>
      <c r="BI92" s="148"/>
      <c r="BJ92" s="148"/>
      <c r="BK92" s="148"/>
      <c r="BL92" s="148"/>
      <c r="BM92" s="148"/>
      <c r="BN92" s="148"/>
      <c r="BO92" s="148"/>
      <c r="BP92" s="148"/>
      <c r="BQ92" s="148"/>
      <c r="BR92" s="148"/>
      <c r="BS92" s="148"/>
      <c r="BT92" s="148"/>
      <c r="BU92" s="148"/>
      <c r="BV92" s="148"/>
      <c r="BW92" s="148"/>
      <c r="BX92" s="148"/>
      <c r="BY92" s="148"/>
      <c r="BZ92" s="148"/>
      <c r="CA92" s="148"/>
      <c r="CB92" s="148"/>
      <c r="CC92" s="148"/>
      <c r="CD92" s="148"/>
      <c r="CE92" s="148"/>
      <c r="CF92" s="148"/>
      <c r="CG92" s="148"/>
      <c r="CH92" s="148"/>
      <c r="CI92" s="148"/>
      <c r="CJ92" s="148"/>
      <c r="CK92" s="148"/>
      <c r="CL92" s="148"/>
      <c r="CM92" s="148"/>
      <c r="CN92" s="148"/>
      <c r="CO92" s="148"/>
      <c r="CP92" s="148"/>
      <c r="CQ92" s="148"/>
      <c r="CR92" s="148"/>
      <c r="CS92" s="148"/>
      <c r="CT92" s="148"/>
      <c r="CU92" s="148"/>
      <c r="CV92" s="148"/>
      <c r="CW92" s="148"/>
      <c r="CX92" s="148"/>
      <c r="CY92" s="148"/>
      <c r="CZ92" s="148"/>
      <c r="DA92" s="148"/>
      <c r="DB92" s="148"/>
      <c r="DC92" s="148"/>
      <c r="DD92" s="148"/>
      <c r="DE92" s="148"/>
      <c r="DF92" s="148"/>
      <c r="DG92" s="148"/>
      <c r="DH92" s="148"/>
      <c r="DI92" s="148"/>
      <c r="DJ92" s="148"/>
      <c r="DK92" s="148"/>
      <c r="DL92" s="148"/>
      <c r="DM92" s="148"/>
      <c r="DN92" s="148"/>
      <c r="DO92" s="148"/>
      <c r="DP92" s="148"/>
      <c r="DQ92" s="148"/>
      <c r="DR92" s="148"/>
      <c r="DS92" s="148"/>
      <c r="DT92" s="148"/>
      <c r="DU92" s="148"/>
      <c r="DV92" s="148"/>
      <c r="DW92" s="148"/>
      <c r="DX92" s="148"/>
      <c r="DY92" s="148"/>
      <c r="DZ92" s="148"/>
      <c r="EA92" s="148"/>
      <c r="EB92" s="148"/>
      <c r="EC92" s="148"/>
      <c r="ED92" s="148"/>
      <c r="EE92" s="148"/>
      <c r="EF92" s="148"/>
      <c r="EG92" s="148"/>
      <c r="EH92" s="148"/>
      <c r="EI92" s="148"/>
      <c r="EJ92" s="148"/>
      <c r="EK92" s="148"/>
      <c r="EL92" s="148"/>
      <c r="EM92" s="148"/>
      <c r="EN92" s="148"/>
      <c r="EO92" s="148"/>
      <c r="EP92" s="148"/>
      <c r="EQ92" s="148"/>
      <c r="ER92" s="148"/>
      <c r="ES92" s="148"/>
      <c r="ET92" s="148"/>
      <c r="EU92" s="148"/>
      <c r="EV92" s="148"/>
      <c r="EW92" s="148"/>
      <c r="EX92" s="148"/>
      <c r="EY92" s="148"/>
      <c r="EZ92" s="148"/>
      <c r="FA92" s="148"/>
      <c r="FB92" s="148"/>
      <c r="FC92" s="148"/>
      <c r="FD92" s="148"/>
      <c r="FE92" s="148"/>
      <c r="FF92" s="148"/>
      <c r="FG92" s="148"/>
      <c r="FH92" s="148"/>
      <c r="FI92" s="148"/>
      <c r="FJ92" s="148"/>
      <c r="FK92" s="148"/>
      <c r="FL92" s="148"/>
      <c r="FM92" s="148"/>
      <c r="FN92" s="148"/>
      <c r="FO92" s="148"/>
      <c r="FP92" s="148"/>
      <c r="FQ92" s="148"/>
      <c r="FR92" s="148"/>
      <c r="FS92" s="148"/>
      <c r="FT92" s="148"/>
      <c r="FU92" s="148"/>
      <c r="FV92" s="148"/>
      <c r="FW92" s="148"/>
      <c r="FX92" s="148"/>
      <c r="FY92" s="148"/>
      <c r="FZ92" s="148"/>
      <c r="GA92" s="148"/>
      <c r="GB92" s="148"/>
      <c r="GC92" s="148"/>
      <c r="GD92" s="148"/>
      <c r="GE92" s="148"/>
      <c r="GF92" s="148"/>
      <c r="GG92" s="148"/>
      <c r="GH92" s="148"/>
      <c r="GI92" s="148"/>
      <c r="GJ92" s="148"/>
      <c r="GK92" s="148"/>
      <c r="GL92" s="148"/>
      <c r="GM92" s="148"/>
      <c r="GN92" s="148"/>
      <c r="GO92" s="148"/>
      <c r="GP92" s="148"/>
      <c r="GQ92" s="148"/>
      <c r="GR92" s="148"/>
      <c r="GS92" s="148"/>
      <c r="GT92" s="148"/>
      <c r="GU92" s="148"/>
      <c r="GV92" s="148"/>
      <c r="GW92" s="148"/>
      <c r="GX92" s="148"/>
      <c r="GY92" s="148"/>
      <c r="GZ92" s="148"/>
      <c r="HA92" s="148"/>
      <c r="HB92" s="148"/>
      <c r="HC92" s="148"/>
      <c r="HD92" s="148"/>
      <c r="HE92" s="148"/>
      <c r="HF92" s="148"/>
      <c r="HG92" s="148"/>
      <c r="HH92" s="148"/>
      <c r="HI92" s="148"/>
      <c r="HJ92" s="148"/>
      <c r="HK92" s="148"/>
      <c r="HL92" s="148"/>
      <c r="HM92" s="148"/>
      <c r="HN92" s="148"/>
      <c r="HO92" s="148"/>
      <c r="HP92" s="148"/>
      <c r="HQ92" s="148"/>
      <c r="HR92" s="148"/>
      <c r="HS92" s="148"/>
      <c r="HT92" s="148"/>
      <c r="HU92" s="148"/>
      <c r="HV92" s="148"/>
      <c r="HW92" s="148"/>
      <c r="HX92" s="148"/>
      <c r="HY92" s="148"/>
      <c r="HZ92" s="148"/>
      <c r="IA92" s="148"/>
      <c r="IB92" s="148"/>
      <c r="IC92" s="148"/>
      <c r="ID92" s="148"/>
      <c r="IE92" s="148"/>
      <c r="IF92" s="148"/>
      <c r="IG92" s="148"/>
      <c r="IH92" s="148"/>
      <c r="II92" s="148"/>
      <c r="IJ92" s="148"/>
      <c r="IK92" s="148"/>
      <c r="IL92" s="148"/>
      <c r="IM92" s="148"/>
      <c r="IN92" s="148"/>
      <c r="IO92" s="148"/>
      <c r="IP92" s="148"/>
      <c r="IQ92" s="148"/>
      <c r="IR92" s="148"/>
      <c r="IS92" s="148"/>
      <c r="IT92" s="148"/>
      <c r="IU92" s="148"/>
      <c r="IV92" s="148"/>
      <c r="IW92" s="148"/>
      <c r="IX92" s="148"/>
      <c r="IY92" s="148"/>
      <c r="IZ92" s="148"/>
      <c r="JA92" s="148"/>
      <c r="JB92" s="148"/>
      <c r="JC92" s="148"/>
      <c r="JD92" s="148"/>
      <c r="JE92" s="148"/>
      <c r="JF92" s="148"/>
      <c r="JG92" s="148"/>
      <c r="JH92" s="148"/>
      <c r="JI92" s="148"/>
      <c r="JJ92" s="148"/>
      <c r="JK92" s="148"/>
      <c r="JL92" s="148"/>
      <c r="JM92" s="148"/>
      <c r="JN92" s="148"/>
      <c r="JO92" s="148"/>
      <c r="JP92" s="148"/>
      <c r="JQ92" s="148"/>
      <c r="JR92" s="148"/>
      <c r="JS92" s="148"/>
      <c r="JT92" s="148"/>
      <c r="JU92" s="148"/>
      <c r="JV92" s="148"/>
      <c r="JW92" s="148"/>
      <c r="JX92" s="148"/>
      <c r="JY92" s="148"/>
      <c r="JZ92" s="148"/>
      <c r="KA92" s="148"/>
      <c r="KB92" s="148"/>
      <c r="KC92" s="148"/>
      <c r="KD92" s="148"/>
      <c r="KE92" s="148"/>
      <c r="KF92" s="148"/>
      <c r="KG92" s="148"/>
      <c r="KH92" s="148"/>
      <c r="KI92" s="148"/>
      <c r="KJ92" s="148"/>
      <c r="KK92" s="148"/>
      <c r="KL92" s="148"/>
      <c r="KM92" s="148"/>
      <c r="KN92" s="148"/>
      <c r="KO92" s="148"/>
      <c r="KP92" s="148"/>
      <c r="KQ92" s="148"/>
      <c r="KR92" s="148"/>
      <c r="KS92" s="148"/>
      <c r="KT92" s="148"/>
      <c r="KU92" s="148"/>
      <c r="KV92" s="148"/>
      <c r="KW92" s="148"/>
      <c r="KX92" s="148"/>
      <c r="KY92" s="148"/>
      <c r="KZ92" s="148"/>
      <c r="LA92" s="148"/>
      <c r="LB92" s="148"/>
      <c r="LC92" s="148"/>
      <c r="LD92" s="148"/>
      <c r="LE92" s="148"/>
      <c r="LF92" s="148"/>
      <c r="LG92" s="148"/>
      <c r="LH92" s="148"/>
      <c r="LI92" s="148"/>
      <c r="LJ92" s="148"/>
      <c r="LK92" s="148"/>
      <c r="LL92" s="148"/>
      <c r="LM92" s="148"/>
      <c r="LN92" s="148"/>
      <c r="LO92" s="148"/>
      <c r="LP92" s="148"/>
      <c r="LQ92" s="148"/>
      <c r="LR92" s="148"/>
      <c r="LS92" s="148"/>
      <c r="LT92" s="148"/>
      <c r="LU92" s="148"/>
      <c r="LV92" s="148"/>
      <c r="LW92" s="148"/>
      <c r="LX92" s="148"/>
      <c r="LY92" s="148"/>
      <c r="LZ92" s="148"/>
      <c r="MA92" s="148"/>
      <c r="MB92" s="148"/>
      <c r="MC92" s="148"/>
      <c r="MD92" s="148"/>
      <c r="ME92" s="148"/>
      <c r="MF92" s="148"/>
      <c r="MG92" s="148"/>
      <c r="MH92" s="148"/>
      <c r="MI92" s="148"/>
      <c r="MJ92" s="148"/>
      <c r="MK92" s="148"/>
      <c r="ML92" s="148"/>
      <c r="MM92" s="148"/>
      <c r="MN92" s="148"/>
      <c r="MO92" s="148"/>
      <c r="MP92" s="148"/>
      <c r="MQ92" s="148"/>
      <c r="MR92" s="148"/>
      <c r="MS92" s="148"/>
      <c r="MT92" s="148"/>
      <c r="MU92" s="148"/>
      <c r="MV92" s="148"/>
      <c r="MW92" s="148"/>
      <c r="MX92" s="148"/>
      <c r="MY92" s="148"/>
      <c r="MZ92" s="148"/>
      <c r="NA92" s="148"/>
      <c r="NB92" s="148"/>
      <c r="NC92" s="148"/>
      <c r="ND92" s="148"/>
      <c r="NE92" s="148"/>
      <c r="NF92" s="148"/>
      <c r="NG92" s="148"/>
      <c r="NH92" s="148"/>
      <c r="NI92" s="148"/>
      <c r="NJ92" s="148"/>
      <c r="NK92" s="148"/>
      <c r="NL92" s="148"/>
      <c r="NM92" s="148"/>
      <c r="NN92" s="148"/>
      <c r="NO92" s="148"/>
      <c r="NP92" s="148"/>
      <c r="NQ92" s="148"/>
      <c r="NR92" s="148"/>
      <c r="NS92" s="148"/>
      <c r="NT92" s="148"/>
      <c r="NU92" s="148"/>
      <c r="NV92" s="148"/>
      <c r="NW92" s="148"/>
      <c r="NX92" s="148"/>
      <c r="NY92" s="148"/>
      <c r="NZ92" s="148"/>
    </row>
  </sheetData>
  <dataValidations count="2">
    <dataValidation type="list" allowBlank="1" showInputMessage="1" showErrorMessage="1" sqref="JM4:JM53" xr:uid="{A1586CF4-BC62-4893-8330-D543AC41ABA1}">
      <formula1>"Alive, Deceased"</formula1>
    </dataValidation>
    <dataValidation type="list" allowBlank="1" showInputMessage="1" showErrorMessage="1" sqref="EJ4" xr:uid="{9F59184D-3409-4A8B-842F-B1632D5473C3}">
      <formula1>"Radiotherapy, Chemotherapy, Immunotherapy, Other"</formula1>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86C1F225-15DF-4DEC-AA28-41F58230131E}">
          <x14:formula1>
            <xm:f>'Calculations &amp; Lists'!$E$2:$E$8</xm:f>
          </x14:formula1>
          <xm:sqref>AW4:AW53 AR4:AR53 JH4:JH53 JC4:JC53 IX4:IX53 IS4:IS53 IN4:IN53 II4:II53 ID4:ID53 HY4:HY53 HT4:HT53 HO4:HO53 HJ4:HJ53 HE4:HE53 GZ4:GZ53 GU4:GU53 GP4:GP53 FH4:FH53 FC4:FC53 EX4:EX53 ES4:ES53 EN4:EN53 ED4:ED53 EI4:EI53 DY4:DY53 DT4:DT53 DO4:DO53 DJ4:DJ53 DE4:DE53 CZ4:CZ53 CU4:CU53 CP4:CP53 CK4:CK53 CF4:CF53 CA4:CA53 BV4:BV53 BQ4:BQ53 BL4:BL53 BG4:BG53 BB4:BB53</xm:sqref>
        </x14:dataValidation>
        <x14:dataValidation type="list" allowBlank="1" showInputMessage="1" showErrorMessage="1" xr:uid="{DF4F0EBC-9328-4CBC-8E3C-EBE5A0055FF6}">
          <x14:formula1>
            <xm:f>'Calculations &amp; Lists'!$F$2:$F$5</xm:f>
          </x14:formula1>
          <xm:sqref>JO4:JO53 AH4:AH53 AP4:AP53</xm:sqref>
        </x14:dataValidation>
        <x14:dataValidation type="list" allowBlank="1" showInputMessage="1" showErrorMessage="1" xr:uid="{DE81AB18-805E-4118-8A92-1D6E70D60B0A}">
          <x14:formula1>
            <xm:f>'Calculations &amp; Lists'!$G$2:$G$7</xm:f>
          </x14:formula1>
          <xm:sqref>C4:C53</xm:sqref>
        </x14:dataValidation>
        <x14:dataValidation type="list" allowBlank="1" showInputMessage="1" showErrorMessage="1" xr:uid="{038D42A2-5390-413F-93E5-D2EDCA45FA10}">
          <x14:formula1>
            <xm:f>'Calculations &amp; Lists'!$H$2:$H$5</xm:f>
          </x14:formula1>
          <xm:sqref>AG4:AG92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F4EE5-3222-4BA2-87F2-F53B81135226}">
  <sheetPr codeName="Sheet4"/>
  <dimension ref="A1:D90"/>
  <sheetViews>
    <sheetView topLeftCell="A64" workbookViewId="0">
      <selection activeCell="D2" sqref="D2:D90"/>
    </sheetView>
  </sheetViews>
  <sheetFormatPr defaultRowHeight="12.5" x14ac:dyDescent="0.25"/>
  <cols>
    <col min="1" max="1" width="13" customWidth="1"/>
    <col min="2" max="2" width="15.26953125" customWidth="1"/>
    <col min="3" max="3" width="17.453125" customWidth="1"/>
    <col min="4" max="4" width="13.26953125" customWidth="1"/>
  </cols>
  <sheetData>
    <row r="1" spans="1:4" ht="53.25" customHeight="1" x14ac:dyDescent="0.25">
      <c r="A1" s="246" t="s">
        <v>1</v>
      </c>
      <c r="B1" s="246" t="s">
        <v>588</v>
      </c>
      <c r="C1" s="246" t="s">
        <v>589</v>
      </c>
      <c r="D1" s="264" t="s">
        <v>590</v>
      </c>
    </row>
    <row r="2" spans="1:4" ht="15.75" customHeight="1" x14ac:dyDescent="0.3">
      <c r="A2" s="214">
        <v>4329209322</v>
      </c>
      <c r="B2" s="7"/>
      <c r="C2" s="217" t="s">
        <v>600</v>
      </c>
      <c r="D2" s="251" t="s">
        <v>595</v>
      </c>
    </row>
    <row r="3" spans="1:4" ht="15.75" customHeight="1" x14ac:dyDescent="0.3">
      <c r="A3" s="214">
        <v>4860738853</v>
      </c>
      <c r="B3" s="7"/>
      <c r="C3" s="220" t="s">
        <v>603</v>
      </c>
      <c r="D3" s="251" t="s">
        <v>593</v>
      </c>
    </row>
    <row r="4" spans="1:4" ht="15.75" customHeight="1" x14ac:dyDescent="0.3">
      <c r="A4" s="214">
        <v>4383572731</v>
      </c>
      <c r="B4" s="7"/>
      <c r="C4" s="239" t="s">
        <v>604</v>
      </c>
      <c r="D4" s="251" t="s">
        <v>593</v>
      </c>
    </row>
    <row r="5" spans="1:4" ht="15.75" customHeight="1" x14ac:dyDescent="0.3">
      <c r="A5" s="214">
        <v>4303155993</v>
      </c>
      <c r="B5" s="7"/>
      <c r="C5" s="239" t="s">
        <v>606</v>
      </c>
      <c r="D5" s="251" t="s">
        <v>595</v>
      </c>
    </row>
    <row r="6" spans="1:4" ht="15.75" customHeight="1" x14ac:dyDescent="0.3">
      <c r="A6" s="214">
        <v>4861956706</v>
      </c>
      <c r="B6" s="7"/>
      <c r="C6" s="239" t="s">
        <v>608</v>
      </c>
      <c r="D6" s="251" t="s">
        <v>593</v>
      </c>
    </row>
    <row r="7" spans="1:4" ht="15.75" customHeight="1" x14ac:dyDescent="0.3">
      <c r="A7" s="214">
        <v>4848783208</v>
      </c>
      <c r="B7" s="7"/>
      <c r="C7" s="239" t="s">
        <v>610</v>
      </c>
      <c r="D7" s="251" t="s">
        <v>592</v>
      </c>
    </row>
    <row r="8" spans="1:4" ht="15.75" customHeight="1" x14ac:dyDescent="0.3">
      <c r="A8" s="214">
        <v>4482209414</v>
      </c>
      <c r="B8" s="7"/>
      <c r="C8" s="239" t="s">
        <v>611</v>
      </c>
      <c r="D8" s="251" t="s">
        <v>593</v>
      </c>
    </row>
    <row r="9" spans="1:4" ht="15.75" customHeight="1" x14ac:dyDescent="0.3">
      <c r="A9" s="214">
        <v>4849472818</v>
      </c>
      <c r="B9" s="7"/>
      <c r="C9" s="239" t="s">
        <v>612</v>
      </c>
      <c r="D9" s="251" t="s">
        <v>596</v>
      </c>
    </row>
    <row r="10" spans="1:4" ht="15.75" customHeight="1" x14ac:dyDescent="0.3">
      <c r="A10" s="214">
        <v>4423755157</v>
      </c>
      <c r="B10" s="7"/>
      <c r="C10" s="239" t="s">
        <v>614</v>
      </c>
      <c r="D10" s="251" t="s">
        <v>595</v>
      </c>
    </row>
    <row r="11" spans="1:4" ht="15.75" customHeight="1" x14ac:dyDescent="0.3">
      <c r="A11" s="214">
        <v>4606237317</v>
      </c>
      <c r="B11" s="7"/>
      <c r="C11" s="239" t="s">
        <v>617</v>
      </c>
      <c r="D11" s="251" t="s">
        <v>594</v>
      </c>
    </row>
    <row r="12" spans="1:4" ht="15.75" customHeight="1" x14ac:dyDescent="0.3">
      <c r="A12" s="214">
        <v>6311634686</v>
      </c>
      <c r="B12" s="7"/>
      <c r="C12" s="239" t="s">
        <v>619</v>
      </c>
      <c r="D12" s="251" t="s">
        <v>592</v>
      </c>
    </row>
    <row r="13" spans="1:4" ht="15.75" customHeight="1" x14ac:dyDescent="0.3">
      <c r="A13" s="214">
        <v>4381431065</v>
      </c>
      <c r="B13" s="7"/>
      <c r="C13" s="239" t="s">
        <v>620</v>
      </c>
      <c r="D13" s="251" t="s">
        <v>597</v>
      </c>
    </row>
    <row r="14" spans="1:4" ht="15.75" customHeight="1" x14ac:dyDescent="0.3">
      <c r="A14" s="214">
        <v>4861939941</v>
      </c>
      <c r="B14" s="7"/>
      <c r="C14" s="239" t="s">
        <v>622</v>
      </c>
      <c r="D14" s="251" t="s">
        <v>595</v>
      </c>
    </row>
    <row r="15" spans="1:4" ht="15.75" customHeight="1" x14ac:dyDescent="0.3">
      <c r="A15" s="214">
        <v>4506116437</v>
      </c>
      <c r="B15" s="7"/>
      <c r="C15" s="239" t="s">
        <v>624</v>
      </c>
      <c r="D15" s="251" t="s">
        <v>595</v>
      </c>
    </row>
    <row r="16" spans="1:4" ht="15.75" customHeight="1" x14ac:dyDescent="0.3">
      <c r="A16" s="214">
        <v>4860488067</v>
      </c>
      <c r="B16" s="7"/>
      <c r="C16" s="239" t="s">
        <v>625</v>
      </c>
      <c r="D16" s="251" t="s">
        <v>592</v>
      </c>
    </row>
    <row r="17" spans="1:4" ht="15.75" customHeight="1" x14ac:dyDescent="0.3">
      <c r="A17" s="214">
        <v>4182116585</v>
      </c>
      <c r="B17" s="7"/>
      <c r="C17" s="239" t="s">
        <v>627</v>
      </c>
      <c r="D17" s="251" t="s">
        <v>595</v>
      </c>
    </row>
    <row r="18" spans="1:4" ht="15.75" customHeight="1" x14ac:dyDescent="0.3">
      <c r="A18" s="214">
        <v>4124725671</v>
      </c>
      <c r="B18" s="7"/>
      <c r="C18" s="239" t="s">
        <v>629</v>
      </c>
      <c r="D18" s="251" t="s">
        <v>595</v>
      </c>
    </row>
    <row r="19" spans="1:4" ht="15.75" customHeight="1" x14ac:dyDescent="0.3">
      <c r="A19" s="214">
        <v>4309331165</v>
      </c>
      <c r="B19" s="7"/>
      <c r="C19" s="239" t="s">
        <v>630</v>
      </c>
      <c r="D19" s="251" t="s">
        <v>595</v>
      </c>
    </row>
    <row r="20" spans="1:4" ht="15.75" customHeight="1" x14ac:dyDescent="0.3">
      <c r="A20" s="214">
        <v>4925076019</v>
      </c>
      <c r="B20" s="7"/>
      <c r="C20" s="239" t="s">
        <v>631</v>
      </c>
      <c r="D20" s="251" t="s">
        <v>591</v>
      </c>
    </row>
    <row r="21" spans="1:4" ht="15.75" customHeight="1" x14ac:dyDescent="0.3">
      <c r="A21" s="214">
        <v>4506292316</v>
      </c>
      <c r="B21" s="7"/>
      <c r="C21" s="239" t="s">
        <v>633</v>
      </c>
      <c r="D21" s="251" t="s">
        <v>594</v>
      </c>
    </row>
    <row r="22" spans="1:4" ht="15.75" customHeight="1" x14ac:dyDescent="0.3">
      <c r="A22" s="214">
        <v>4860016092</v>
      </c>
      <c r="B22" s="7"/>
      <c r="C22" s="239" t="s">
        <v>635</v>
      </c>
      <c r="D22" s="251" t="s">
        <v>595</v>
      </c>
    </row>
    <row r="23" spans="1:4" ht="15.75" customHeight="1" x14ac:dyDescent="0.3">
      <c r="A23" s="214">
        <v>4360801661</v>
      </c>
      <c r="B23" s="7"/>
      <c r="C23" s="239" t="s">
        <v>636</v>
      </c>
      <c r="D23" s="251" t="s">
        <v>593</v>
      </c>
    </row>
    <row r="24" spans="1:4" ht="15.75" customHeight="1" x14ac:dyDescent="0.3">
      <c r="A24" s="214">
        <v>4381277902</v>
      </c>
      <c r="B24" s="7"/>
      <c r="C24" s="239" t="s">
        <v>640</v>
      </c>
      <c r="D24" s="251" t="s">
        <v>592</v>
      </c>
    </row>
    <row r="25" spans="1:4" ht="15.75" customHeight="1" x14ac:dyDescent="0.3">
      <c r="A25" s="214">
        <v>4360742053</v>
      </c>
      <c r="B25" s="7"/>
      <c r="C25" s="239" t="s">
        <v>641</v>
      </c>
      <c r="D25" s="251" t="s">
        <v>595</v>
      </c>
    </row>
    <row r="26" spans="1:4" ht="15.75" customHeight="1" x14ac:dyDescent="0.3">
      <c r="A26" s="214">
        <v>4382000521</v>
      </c>
      <c r="B26" s="7"/>
      <c r="C26" s="239" t="s">
        <v>642</v>
      </c>
      <c r="D26" s="251" t="s">
        <v>592</v>
      </c>
    </row>
    <row r="27" spans="1:4" ht="15.75" customHeight="1" x14ac:dyDescent="0.3">
      <c r="A27" s="214">
        <v>6286641513</v>
      </c>
      <c r="B27" s="7"/>
      <c r="C27" s="239" t="s">
        <v>643</v>
      </c>
      <c r="D27" s="251" t="s">
        <v>596</v>
      </c>
    </row>
    <row r="28" spans="1:4" ht="15.75" customHeight="1" x14ac:dyDescent="0.3">
      <c r="A28" s="214">
        <v>4343725359</v>
      </c>
      <c r="B28" s="7"/>
      <c r="C28" s="239" t="s">
        <v>645</v>
      </c>
      <c r="D28" s="251" t="s">
        <v>592</v>
      </c>
    </row>
    <row r="29" spans="1:4" ht="15.75" customHeight="1" x14ac:dyDescent="0.3">
      <c r="A29" s="214">
        <v>6180835616</v>
      </c>
      <c r="B29" s="7"/>
      <c r="C29" s="239" t="s">
        <v>646</v>
      </c>
      <c r="D29" s="251" t="s">
        <v>594</v>
      </c>
    </row>
    <row r="30" spans="1:4" ht="15.75" customHeight="1" x14ac:dyDescent="0.3">
      <c r="A30" s="214">
        <v>4725744840</v>
      </c>
      <c r="B30" s="7"/>
      <c r="C30" s="239" t="s">
        <v>647</v>
      </c>
      <c r="D30" s="251" t="s">
        <v>592</v>
      </c>
    </row>
    <row r="31" spans="1:4" ht="15.75" customHeight="1" x14ac:dyDescent="0.3">
      <c r="A31" s="214">
        <v>4330981475</v>
      </c>
      <c r="B31" s="7"/>
      <c r="C31" s="239" t="s">
        <v>648</v>
      </c>
      <c r="D31" s="251" t="s">
        <v>595</v>
      </c>
    </row>
    <row r="32" spans="1:4" ht="15.75" customHeight="1" x14ac:dyDescent="0.3">
      <c r="A32" s="214">
        <v>4125089388</v>
      </c>
      <c r="B32" s="7"/>
      <c r="C32" s="239" t="s">
        <v>649</v>
      </c>
      <c r="D32" s="251" t="s">
        <v>594</v>
      </c>
    </row>
    <row r="33" spans="1:4" ht="15.75" customHeight="1" x14ac:dyDescent="0.3">
      <c r="A33" s="214">
        <v>6230034816</v>
      </c>
      <c r="B33" s="7"/>
      <c r="C33" s="239" t="s">
        <v>652</v>
      </c>
      <c r="D33" s="251" t="s">
        <v>597</v>
      </c>
    </row>
    <row r="34" spans="1:4" ht="15.75" customHeight="1" x14ac:dyDescent="0.3">
      <c r="A34" s="214">
        <v>4185841582</v>
      </c>
      <c r="B34" s="7"/>
      <c r="C34" s="239" t="s">
        <v>655</v>
      </c>
      <c r="D34" s="251" t="s">
        <v>595</v>
      </c>
    </row>
    <row r="35" spans="1:4" ht="15.75" customHeight="1" x14ac:dyDescent="0.3">
      <c r="A35" s="214">
        <v>4581811864</v>
      </c>
      <c r="B35" s="7"/>
      <c r="C35" s="239" t="s">
        <v>657</v>
      </c>
      <c r="D35" s="251" t="s">
        <v>598</v>
      </c>
    </row>
    <row r="36" spans="1:4" ht="15.75" customHeight="1" x14ac:dyDescent="0.3">
      <c r="A36" s="214">
        <v>4342950030</v>
      </c>
      <c r="B36" s="7"/>
      <c r="C36" s="239" t="s">
        <v>659</v>
      </c>
      <c r="D36" s="251" t="s">
        <v>598</v>
      </c>
    </row>
    <row r="37" spans="1:4" ht="15.75" customHeight="1" x14ac:dyDescent="0.3">
      <c r="A37" s="214">
        <v>4425927931</v>
      </c>
      <c r="B37" s="7"/>
      <c r="C37" s="239" t="s">
        <v>660</v>
      </c>
      <c r="D37" s="251" t="s">
        <v>596</v>
      </c>
    </row>
    <row r="38" spans="1:4" ht="15.75" customHeight="1" x14ac:dyDescent="0.3">
      <c r="A38" s="214">
        <v>6248127468</v>
      </c>
      <c r="B38" s="7"/>
      <c r="C38" s="239" t="s">
        <v>661</v>
      </c>
      <c r="D38" s="251" t="s">
        <v>592</v>
      </c>
    </row>
    <row r="39" spans="1:4" ht="15.75" customHeight="1" x14ac:dyDescent="0.3">
      <c r="A39" s="214">
        <v>4664029551</v>
      </c>
      <c r="B39" s="7"/>
      <c r="C39" s="239" t="s">
        <v>662</v>
      </c>
      <c r="D39" s="251" t="s">
        <v>592</v>
      </c>
    </row>
    <row r="40" spans="1:4" ht="15.75" customHeight="1" x14ac:dyDescent="0.3">
      <c r="A40" s="214">
        <v>4740727579</v>
      </c>
      <c r="B40" s="7"/>
      <c r="C40" s="239" t="s">
        <v>664</v>
      </c>
      <c r="D40" s="251" t="s">
        <v>592</v>
      </c>
    </row>
    <row r="41" spans="1:4" ht="15.75" customHeight="1" x14ac:dyDescent="0.3">
      <c r="A41" s="214">
        <v>4862161219</v>
      </c>
      <c r="B41" s="7"/>
      <c r="C41" s="239" t="s">
        <v>665</v>
      </c>
      <c r="D41" s="251" t="s">
        <v>592</v>
      </c>
    </row>
    <row r="42" spans="1:4" ht="15.75" customHeight="1" x14ac:dyDescent="0.3">
      <c r="A42" s="214">
        <v>4508275591</v>
      </c>
      <c r="B42" s="7"/>
      <c r="C42" s="239" t="s">
        <v>666</v>
      </c>
      <c r="D42" s="251" t="s">
        <v>595</v>
      </c>
    </row>
    <row r="43" spans="1:4" ht="15.75" customHeight="1" x14ac:dyDescent="0.3">
      <c r="A43" s="214">
        <v>4584166412</v>
      </c>
      <c r="B43" s="7"/>
      <c r="C43" s="239" t="s">
        <v>667</v>
      </c>
      <c r="D43" s="251" t="s">
        <v>595</v>
      </c>
    </row>
    <row r="44" spans="1:4" ht="15.75" customHeight="1" x14ac:dyDescent="0.3">
      <c r="A44" s="214">
        <v>4343073440</v>
      </c>
      <c r="B44" s="7"/>
      <c r="C44" s="239" t="s">
        <v>668</v>
      </c>
      <c r="D44" s="251" t="s">
        <v>596</v>
      </c>
    </row>
    <row r="45" spans="1:4" ht="15.75" customHeight="1" x14ac:dyDescent="0.3">
      <c r="A45" s="214">
        <v>6140066875</v>
      </c>
      <c r="B45" s="7"/>
      <c r="C45" s="239" t="s">
        <v>669</v>
      </c>
      <c r="D45" s="251" t="s">
        <v>596</v>
      </c>
    </row>
    <row r="46" spans="1:4" ht="15.75" customHeight="1" x14ac:dyDescent="0.3">
      <c r="A46" s="214">
        <v>6285093962</v>
      </c>
      <c r="B46" s="7"/>
      <c r="C46" s="239" t="s">
        <v>670</v>
      </c>
      <c r="D46" s="251" t="s">
        <v>591</v>
      </c>
    </row>
    <row r="47" spans="1:4" ht="15.75" customHeight="1" x14ac:dyDescent="0.3">
      <c r="A47" s="214">
        <v>4706064317</v>
      </c>
      <c r="B47" s="7"/>
      <c r="C47" s="239" t="s">
        <v>671</v>
      </c>
      <c r="D47" s="251" t="s">
        <v>593</v>
      </c>
    </row>
    <row r="48" spans="1:4" ht="15.75" customHeight="1" x14ac:dyDescent="0.3">
      <c r="A48" s="214">
        <v>4520871522</v>
      </c>
      <c r="B48" s="7"/>
      <c r="C48" s="239" t="s">
        <v>672</v>
      </c>
      <c r="D48" s="251" t="s">
        <v>595</v>
      </c>
    </row>
    <row r="49" spans="1:4" ht="15.75" customHeight="1" x14ac:dyDescent="0.3">
      <c r="A49" s="214">
        <v>4520069742</v>
      </c>
      <c r="B49" s="7"/>
      <c r="C49" s="239" t="s">
        <v>673</v>
      </c>
      <c r="D49" s="251" t="s">
        <v>594</v>
      </c>
    </row>
    <row r="50" spans="1:4" ht="15.75" customHeight="1" x14ac:dyDescent="0.3">
      <c r="A50" s="214">
        <v>6300250199</v>
      </c>
      <c r="B50" s="7"/>
      <c r="C50" s="239" t="s">
        <v>674</v>
      </c>
      <c r="D50" s="251" t="s">
        <v>595</v>
      </c>
    </row>
    <row r="51" spans="1:4" ht="15.75" customHeight="1" thickBot="1" x14ac:dyDescent="0.35">
      <c r="A51" s="231">
        <v>4125382204</v>
      </c>
      <c r="B51" s="7"/>
      <c r="C51" s="240" t="s">
        <v>675</v>
      </c>
      <c r="D51" s="251" t="s">
        <v>593</v>
      </c>
    </row>
    <row r="52" spans="1:4" ht="15.75" customHeight="1" x14ac:dyDescent="0.3">
      <c r="A52" s="234">
        <v>4581694450</v>
      </c>
      <c r="B52" s="7"/>
      <c r="C52" s="239" t="s">
        <v>677</v>
      </c>
      <c r="D52" s="251" t="s">
        <v>592</v>
      </c>
    </row>
    <row r="53" spans="1:4" ht="15.75" customHeight="1" x14ac:dyDescent="0.3">
      <c r="A53" s="214">
        <v>4122675995</v>
      </c>
      <c r="B53" s="7"/>
      <c r="C53" s="239" t="s">
        <v>678</v>
      </c>
      <c r="D53" s="251" t="s">
        <v>592</v>
      </c>
    </row>
    <row r="54" spans="1:4" ht="15.75" customHeight="1" x14ac:dyDescent="0.3">
      <c r="A54" s="214">
        <v>4343559440</v>
      </c>
      <c r="B54" s="7"/>
      <c r="C54" s="239" t="s">
        <v>679</v>
      </c>
      <c r="D54" s="251" t="s">
        <v>595</v>
      </c>
    </row>
    <row r="55" spans="1:4" ht="15.75" customHeight="1" x14ac:dyDescent="0.3">
      <c r="A55" s="214">
        <v>4508562973</v>
      </c>
      <c r="B55" s="7"/>
      <c r="C55" s="239" t="s">
        <v>681</v>
      </c>
      <c r="D55" s="251" t="s">
        <v>592</v>
      </c>
    </row>
    <row r="56" spans="1:4" ht="15.75" customHeight="1" x14ac:dyDescent="0.3">
      <c r="A56" s="214">
        <v>4528612941</v>
      </c>
      <c r="B56" s="7"/>
      <c r="C56" s="239" t="s">
        <v>682</v>
      </c>
      <c r="D56" s="251" t="s">
        <v>595</v>
      </c>
    </row>
    <row r="57" spans="1:4" ht="15.75" customHeight="1" x14ac:dyDescent="0.3">
      <c r="A57" s="214">
        <v>4520819644</v>
      </c>
      <c r="B57" s="7"/>
      <c r="C57" s="239" t="s">
        <v>684</v>
      </c>
      <c r="D57" s="251" t="s">
        <v>594</v>
      </c>
    </row>
    <row r="58" spans="1:4" ht="15.75" customHeight="1" x14ac:dyDescent="0.3">
      <c r="A58" s="214">
        <v>4121387287</v>
      </c>
      <c r="B58" s="7"/>
      <c r="C58" s="239" t="s">
        <v>686</v>
      </c>
      <c r="D58" s="251" t="s">
        <v>592</v>
      </c>
    </row>
    <row r="59" spans="1:4" ht="15.75" customHeight="1" x14ac:dyDescent="0.3">
      <c r="A59" s="214">
        <v>4583223633</v>
      </c>
      <c r="B59" s="7"/>
      <c r="C59" s="239" t="s">
        <v>687</v>
      </c>
      <c r="D59" s="251" t="s">
        <v>592</v>
      </c>
    </row>
    <row r="60" spans="1:4" ht="15.75" customHeight="1" x14ac:dyDescent="0.3">
      <c r="A60" s="214">
        <v>6083351375</v>
      </c>
      <c r="B60" s="7"/>
      <c r="C60" s="239" t="s">
        <v>688</v>
      </c>
      <c r="D60" s="251" t="s">
        <v>595</v>
      </c>
    </row>
    <row r="61" spans="1:4" ht="15.75" customHeight="1" x14ac:dyDescent="0.3">
      <c r="A61" s="214">
        <v>4380700666</v>
      </c>
      <c r="B61" s="7"/>
      <c r="C61" s="239" t="s">
        <v>690</v>
      </c>
      <c r="D61" s="251" t="s">
        <v>592</v>
      </c>
    </row>
    <row r="62" spans="1:4" ht="15.75" customHeight="1" x14ac:dyDescent="0.3">
      <c r="A62" s="214">
        <v>4860641086</v>
      </c>
      <c r="B62" s="7"/>
      <c r="C62" s="239" t="s">
        <v>691</v>
      </c>
      <c r="D62" s="251" t="s">
        <v>598</v>
      </c>
    </row>
    <row r="63" spans="1:4" ht="15.75" customHeight="1" x14ac:dyDescent="0.3">
      <c r="A63" s="214">
        <v>4762044482</v>
      </c>
      <c r="B63" s="7"/>
      <c r="C63" s="239" t="s">
        <v>693</v>
      </c>
      <c r="D63" s="251" t="s">
        <v>595</v>
      </c>
    </row>
    <row r="64" spans="1:4" ht="15.75" customHeight="1" x14ac:dyDescent="0.3">
      <c r="A64" s="214">
        <v>6502803008</v>
      </c>
      <c r="B64" s="7"/>
      <c r="C64" s="239" t="s">
        <v>694</v>
      </c>
      <c r="D64" s="251" t="s">
        <v>594</v>
      </c>
    </row>
    <row r="65" spans="1:4" ht="15.75" customHeight="1" x14ac:dyDescent="0.3">
      <c r="A65" s="214">
        <v>4861679869</v>
      </c>
      <c r="B65" s="7"/>
      <c r="C65" s="239" t="s">
        <v>695</v>
      </c>
      <c r="D65" s="251" t="s">
        <v>595</v>
      </c>
    </row>
    <row r="66" spans="1:4" ht="15.75" customHeight="1" x14ac:dyDescent="0.3">
      <c r="A66" s="214">
        <v>4360860552</v>
      </c>
      <c r="B66" s="7"/>
      <c r="C66" s="239" t="s">
        <v>697</v>
      </c>
      <c r="D66" s="251" t="s">
        <v>592</v>
      </c>
    </row>
    <row r="67" spans="1:4" ht="15.75" customHeight="1" x14ac:dyDescent="0.3">
      <c r="A67" s="214">
        <v>4380890899</v>
      </c>
      <c r="B67" s="7"/>
      <c r="C67" s="239" t="s">
        <v>698</v>
      </c>
      <c r="D67" s="251" t="s">
        <v>595</v>
      </c>
    </row>
    <row r="68" spans="1:4" ht="15.75" customHeight="1" x14ac:dyDescent="0.3">
      <c r="A68" s="214">
        <v>4329275333</v>
      </c>
      <c r="B68" s="7"/>
      <c r="C68" s="239" t="s">
        <v>700</v>
      </c>
      <c r="D68" s="251" t="s">
        <v>597</v>
      </c>
    </row>
    <row r="69" spans="1:4" ht="15.75" customHeight="1" x14ac:dyDescent="0.3">
      <c r="A69" s="214">
        <v>4363373652</v>
      </c>
      <c r="B69" s="7"/>
      <c r="C69" s="239" t="s">
        <v>701</v>
      </c>
      <c r="D69" s="251" t="s">
        <v>598</v>
      </c>
    </row>
    <row r="70" spans="1:4" ht="15.75" customHeight="1" x14ac:dyDescent="0.3">
      <c r="A70" s="214">
        <v>6163743970</v>
      </c>
      <c r="B70" s="7"/>
      <c r="C70" s="239" t="s">
        <v>702</v>
      </c>
      <c r="D70" s="251" t="s">
        <v>597</v>
      </c>
    </row>
    <row r="71" spans="1:4" ht="15.75" customHeight="1" x14ac:dyDescent="0.3">
      <c r="A71" s="214">
        <v>6244737083</v>
      </c>
      <c r="B71" s="7"/>
      <c r="C71" s="239" t="s">
        <v>703</v>
      </c>
      <c r="D71" s="251" t="s">
        <v>595</v>
      </c>
    </row>
    <row r="72" spans="1:4" ht="15.75" customHeight="1" x14ac:dyDescent="0.3">
      <c r="A72" s="214">
        <v>4227414555</v>
      </c>
      <c r="B72" s="7"/>
      <c r="C72" s="239" t="s">
        <v>705</v>
      </c>
      <c r="D72" s="251" t="s">
        <v>593</v>
      </c>
    </row>
    <row r="73" spans="1:4" ht="15.75" customHeight="1" x14ac:dyDescent="0.3">
      <c r="A73" s="214">
        <v>4509326874</v>
      </c>
      <c r="B73" s="7"/>
      <c r="C73" s="239" t="s">
        <v>706</v>
      </c>
      <c r="D73" s="251" t="s">
        <v>592</v>
      </c>
    </row>
    <row r="74" spans="1:4" ht="15.75" customHeight="1" x14ac:dyDescent="0.3">
      <c r="A74" s="214">
        <v>4860443551</v>
      </c>
      <c r="B74" s="7"/>
      <c r="C74" s="239" t="s">
        <v>707</v>
      </c>
      <c r="D74" s="251" t="s">
        <v>592</v>
      </c>
    </row>
    <row r="75" spans="1:4" ht="15.75" customHeight="1" x14ac:dyDescent="0.3">
      <c r="A75" s="214">
        <v>6240274666</v>
      </c>
      <c r="B75" s="7"/>
      <c r="C75" s="239" t="s">
        <v>709</v>
      </c>
      <c r="D75" s="251" t="s">
        <v>595</v>
      </c>
    </row>
    <row r="76" spans="1:4" ht="15.75" customHeight="1" x14ac:dyDescent="0.3">
      <c r="A76" s="214">
        <v>4367242315</v>
      </c>
      <c r="B76" s="7"/>
      <c r="C76" s="239" t="s">
        <v>712</v>
      </c>
      <c r="D76" s="251" t="s">
        <v>597</v>
      </c>
    </row>
    <row r="77" spans="1:4" ht="15.75" customHeight="1" x14ac:dyDescent="0.3">
      <c r="A77" s="214">
        <v>4089218756</v>
      </c>
      <c r="B77" s="7"/>
      <c r="C77" s="239" t="s">
        <v>713</v>
      </c>
      <c r="D77" s="251" t="s">
        <v>592</v>
      </c>
    </row>
    <row r="78" spans="1:4" ht="15.75" customHeight="1" x14ac:dyDescent="0.3">
      <c r="A78" s="214">
        <v>4387681772</v>
      </c>
      <c r="B78" s="7"/>
      <c r="C78" s="239" t="s">
        <v>714</v>
      </c>
      <c r="D78" s="251" t="s">
        <v>592</v>
      </c>
    </row>
    <row r="79" spans="1:4" ht="15.75" customHeight="1" x14ac:dyDescent="0.3">
      <c r="A79" s="235">
        <v>4860577809</v>
      </c>
      <c r="B79" s="7"/>
      <c r="C79" s="240" t="s">
        <v>716</v>
      </c>
      <c r="D79" s="251" t="s">
        <v>597</v>
      </c>
    </row>
    <row r="80" spans="1:4" ht="15.75" customHeight="1" x14ac:dyDescent="0.3">
      <c r="A80" s="241">
        <v>4860695550</v>
      </c>
      <c r="B80" s="7"/>
      <c r="C80" s="242" t="s">
        <v>717</v>
      </c>
      <c r="D80" s="251" t="s">
        <v>595</v>
      </c>
    </row>
    <row r="81" spans="1:4" ht="15.75" customHeight="1" x14ac:dyDescent="0.3">
      <c r="A81" s="241">
        <v>4508880452</v>
      </c>
      <c r="B81" s="7"/>
      <c r="C81" s="242" t="s">
        <v>718</v>
      </c>
      <c r="D81" s="251" t="s">
        <v>598</v>
      </c>
    </row>
    <row r="82" spans="1:4" ht="15.75" customHeight="1" x14ac:dyDescent="0.3">
      <c r="A82" s="241">
        <v>4527816896</v>
      </c>
      <c r="B82" s="7"/>
      <c r="C82" s="242" t="s">
        <v>720</v>
      </c>
      <c r="D82" s="251" t="s">
        <v>591</v>
      </c>
    </row>
    <row r="83" spans="1:4" ht="15.75" customHeight="1" x14ac:dyDescent="0.3">
      <c r="A83" s="241">
        <v>4381193342</v>
      </c>
      <c r="B83" s="7"/>
      <c r="C83" s="242" t="s">
        <v>722</v>
      </c>
      <c r="D83" s="251" t="s">
        <v>597</v>
      </c>
    </row>
    <row r="84" spans="1:4" ht="15.75" customHeight="1" x14ac:dyDescent="0.3">
      <c r="A84" s="241">
        <v>4849146376</v>
      </c>
      <c r="B84" s="7"/>
      <c r="C84" s="242" t="s">
        <v>724</v>
      </c>
      <c r="D84" s="251" t="s">
        <v>592</v>
      </c>
    </row>
    <row r="85" spans="1:4" ht="15.75" customHeight="1" x14ac:dyDescent="0.3">
      <c r="A85" s="241">
        <v>6285464847</v>
      </c>
      <c r="B85" s="7"/>
      <c r="C85" s="242" t="s">
        <v>727</v>
      </c>
      <c r="D85" s="251" t="s">
        <v>593</v>
      </c>
    </row>
    <row r="86" spans="1:4" ht="15.75" customHeight="1" x14ac:dyDescent="0.3">
      <c r="A86" s="241">
        <v>4330742578</v>
      </c>
      <c r="B86" s="7"/>
      <c r="C86" s="242" t="s">
        <v>729</v>
      </c>
      <c r="D86" s="251" t="s">
        <v>593</v>
      </c>
    </row>
    <row r="87" spans="1:4" ht="15.75" customHeight="1" x14ac:dyDescent="0.3">
      <c r="A87" s="241">
        <v>4581628261</v>
      </c>
      <c r="B87" s="7"/>
      <c r="C87" s="242" t="s">
        <v>731</v>
      </c>
      <c r="D87" s="251" t="s">
        <v>594</v>
      </c>
    </row>
    <row r="88" spans="1:4" ht="15.75" customHeight="1" x14ac:dyDescent="0.3">
      <c r="A88" s="241">
        <v>4507813875</v>
      </c>
      <c r="B88" s="7"/>
      <c r="C88" s="242" t="s">
        <v>734</v>
      </c>
      <c r="D88" s="251" t="s">
        <v>597</v>
      </c>
    </row>
    <row r="89" spans="1:4" ht="15.75" customHeight="1" x14ac:dyDescent="0.3">
      <c r="A89" s="241">
        <v>4388418994</v>
      </c>
      <c r="B89" s="7"/>
      <c r="C89" s="242" t="s">
        <v>736</v>
      </c>
      <c r="D89" s="251" t="s">
        <v>595</v>
      </c>
    </row>
    <row r="90" spans="1:4" ht="15.75" customHeight="1" x14ac:dyDescent="0.3">
      <c r="A90" s="252">
        <v>4381731344</v>
      </c>
      <c r="B90" s="31"/>
      <c r="C90" s="253" t="s">
        <v>737</v>
      </c>
      <c r="D90" s="254" t="s">
        <v>593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98EAE-EC97-4A1B-9BE0-3276209FBDD0}">
  <sheetPr codeName="Sheet5"/>
  <dimension ref="A1:NZ8"/>
  <sheetViews>
    <sheetView topLeftCell="Y1" workbookViewId="0">
      <selection activeCell="AB4" sqref="AB4:AN8"/>
    </sheetView>
  </sheetViews>
  <sheetFormatPr defaultColWidth="9.1796875" defaultRowHeight="13" outlineLevelCol="1" x14ac:dyDescent="0.3"/>
  <cols>
    <col min="1" max="1" width="12.453125" style="40" customWidth="1" outlineLevel="1"/>
    <col min="2" max="2" width="18.90625" style="40" customWidth="1" outlineLevel="1"/>
    <col min="3" max="3" width="28.1796875" style="40" customWidth="1" outlineLevel="1"/>
    <col min="4" max="4" width="22.08984375" style="40" customWidth="1" outlineLevel="1"/>
    <col min="5" max="5" width="28.81640625" style="40" customWidth="1" outlineLevel="1"/>
    <col min="6" max="7" width="22.453125" style="40" customWidth="1" outlineLevel="1"/>
    <col min="8" max="8" width="20" style="40" customWidth="1" outlineLevel="1"/>
    <col min="9" max="9" width="16.08984375" style="40" customWidth="1" outlineLevel="1"/>
    <col min="10" max="10" width="19.453125" style="40" customWidth="1" outlineLevel="1"/>
    <col min="11" max="11" width="19.1796875" style="40" customWidth="1" outlineLevel="1"/>
    <col min="12" max="12" width="18.08984375" style="40" customWidth="1" outlineLevel="1"/>
    <col min="13" max="13" width="26.36328125" style="40" customWidth="1" outlineLevel="1"/>
    <col min="14" max="14" width="25.54296875" style="40" customWidth="1" outlineLevel="1"/>
    <col min="15" max="15" width="17.6328125" style="40" customWidth="1" outlineLevel="1"/>
    <col min="16" max="16" width="25" style="40" customWidth="1" outlineLevel="1"/>
    <col min="17" max="17" width="32.453125" style="40" customWidth="1" outlineLevel="1"/>
    <col min="18" max="18" width="26.36328125" style="40" customWidth="1" outlineLevel="1"/>
    <col min="19" max="19" width="25.54296875" style="40" customWidth="1" outlineLevel="1"/>
    <col min="20" max="20" width="17.6328125" style="40" customWidth="1" outlineLevel="1"/>
    <col min="21" max="21" width="25" style="40" customWidth="1" outlineLevel="1"/>
    <col min="22" max="22" width="32.453125" style="40" customWidth="1" outlineLevel="1"/>
    <col min="23" max="23" width="25.36328125" style="40" customWidth="1" outlineLevel="1"/>
    <col min="24" max="24" width="31.7265625" style="40" customWidth="1" outlineLevel="1"/>
    <col min="25" max="25" width="23.81640625" style="40" customWidth="1" outlineLevel="1"/>
    <col min="26" max="26" width="31.1796875" style="40" customWidth="1" outlineLevel="1"/>
    <col min="27" max="27" width="33.7265625" style="40" customWidth="1" outlineLevel="1"/>
    <col min="28" max="28" width="16" style="40" customWidth="1" outlineLevel="1"/>
    <col min="29" max="29" width="16.7265625" style="40" customWidth="1" outlineLevel="1"/>
    <col min="30" max="30" width="17.1796875" style="40" customWidth="1" outlineLevel="1"/>
    <col min="31" max="31" width="15.81640625" style="40" customWidth="1" outlineLevel="1"/>
    <col min="32" max="32" width="27.08984375" style="40" customWidth="1" outlineLevel="1"/>
    <col min="33" max="33" width="28.6328125" style="40" customWidth="1" outlineLevel="1"/>
    <col min="34" max="34" width="21.1796875" style="40" customWidth="1" outlineLevel="1"/>
    <col min="35" max="38" width="6.1796875" style="40" customWidth="1" outlineLevel="1"/>
    <col min="39" max="39" width="16" style="40" customWidth="1" outlineLevel="1"/>
    <col min="40" max="40" width="7.453125" style="40" customWidth="1" outlineLevel="1"/>
    <col min="41" max="41" width="16.81640625" style="40" customWidth="1" outlineLevel="1"/>
    <col min="42" max="42" width="22.36328125" style="40" customWidth="1"/>
    <col min="43" max="43" width="37.36328125" style="40" customWidth="1"/>
    <col min="44" max="44" width="16" style="40" customWidth="1"/>
    <col min="45" max="45" width="20.6328125" style="40" customWidth="1"/>
    <col min="46" max="46" width="23.90625" style="40" customWidth="1"/>
    <col min="47" max="47" width="23.1796875" style="40" customWidth="1"/>
    <col min="48" max="48" width="29.54296875" style="40" customWidth="1" outlineLevel="1"/>
    <col min="49" max="49" width="16" style="40" customWidth="1" outlineLevel="1"/>
    <col min="50" max="50" width="20.6328125" style="40" customWidth="1" outlineLevel="1"/>
    <col min="51" max="51" width="23.90625" style="40" customWidth="1" outlineLevel="1"/>
    <col min="52" max="52" width="23.1796875" style="40" customWidth="1" outlineLevel="1"/>
    <col min="53" max="53" width="30" style="40" customWidth="1" outlineLevel="1"/>
    <col min="54" max="54" width="16" style="40" customWidth="1" outlineLevel="1"/>
    <col min="55" max="55" width="20.6328125" style="40" customWidth="1" outlineLevel="1"/>
    <col min="56" max="56" width="23.90625" style="40" customWidth="1" outlineLevel="1"/>
    <col min="57" max="57" width="23.1796875" style="40" customWidth="1" outlineLevel="1"/>
    <col min="58" max="58" width="30" style="40" customWidth="1" outlineLevel="1"/>
    <col min="59" max="59" width="16" style="40" customWidth="1" outlineLevel="1"/>
    <col min="60" max="60" width="20.6328125" style="40" customWidth="1" outlineLevel="1"/>
    <col min="61" max="61" width="23.90625" style="40" customWidth="1" outlineLevel="1"/>
    <col min="62" max="62" width="23.1796875" style="40" customWidth="1" outlineLevel="1"/>
    <col min="63" max="63" width="30" style="40" customWidth="1" outlineLevel="1"/>
    <col min="64" max="64" width="16" style="40" customWidth="1" outlineLevel="1"/>
    <col min="65" max="65" width="20.6328125" style="40" customWidth="1" outlineLevel="1"/>
    <col min="66" max="66" width="23.90625" style="40" customWidth="1" outlineLevel="1"/>
    <col min="67" max="67" width="23.1796875" style="40" customWidth="1" outlineLevel="1"/>
    <col min="68" max="68" width="30" style="40" customWidth="1" outlineLevel="1"/>
    <col min="69" max="69" width="16" style="40" customWidth="1" outlineLevel="1"/>
    <col min="70" max="70" width="20.6328125" style="40" customWidth="1" outlineLevel="1"/>
    <col min="71" max="71" width="23.90625" style="40" customWidth="1" outlineLevel="1"/>
    <col min="72" max="72" width="23.1796875" style="40" customWidth="1" outlineLevel="1"/>
    <col min="73" max="73" width="30" style="40" customWidth="1" outlineLevel="1"/>
    <col min="74" max="74" width="16" style="40" customWidth="1" outlineLevel="1"/>
    <col min="75" max="75" width="20.6328125" style="40" customWidth="1" outlineLevel="1"/>
    <col min="76" max="76" width="23.90625" style="40" customWidth="1" outlineLevel="1"/>
    <col min="77" max="77" width="23.1796875" style="40" customWidth="1" outlineLevel="1"/>
    <col min="78" max="78" width="30" style="40" customWidth="1" outlineLevel="1"/>
    <col min="79" max="79" width="16" style="40" customWidth="1" outlineLevel="1"/>
    <col min="80" max="80" width="20.6328125" style="40" customWidth="1" outlineLevel="1"/>
    <col min="81" max="81" width="23.90625" style="40" customWidth="1" outlineLevel="1"/>
    <col min="82" max="82" width="23.1796875" style="40" customWidth="1" outlineLevel="1"/>
    <col min="83" max="83" width="30" style="40" customWidth="1" outlineLevel="1"/>
    <col min="84" max="84" width="16" style="40" customWidth="1" outlineLevel="1"/>
    <col min="85" max="85" width="20.6328125" style="40" customWidth="1" outlineLevel="1"/>
    <col min="86" max="86" width="23.90625" style="40" customWidth="1" outlineLevel="1"/>
    <col min="87" max="87" width="23.1796875" style="40" customWidth="1" outlineLevel="1"/>
    <col min="88" max="88" width="30" style="40" customWidth="1" outlineLevel="1"/>
    <col min="89" max="89" width="16.6328125" style="40" customWidth="1" outlineLevel="1"/>
    <col min="90" max="90" width="21.54296875" style="40" customWidth="1" outlineLevel="1"/>
    <col min="91" max="91" width="24.81640625" style="40" customWidth="1" outlineLevel="1"/>
    <col min="92" max="92" width="24.08984375" style="40" customWidth="1" outlineLevel="1"/>
    <col min="93" max="93" width="30.453125" style="40" customWidth="1" outlineLevel="1"/>
    <col min="94" max="94" width="15.81640625" style="40" customWidth="1"/>
    <col min="95" max="95" width="17.7265625" style="40" customWidth="1"/>
    <col min="96" max="96" width="21" style="40" customWidth="1"/>
    <col min="97" max="97" width="20.26953125" style="40" customWidth="1"/>
    <col min="98" max="98" width="26.6328125" style="40" customWidth="1"/>
    <col min="99" max="99" width="15.81640625" style="40" customWidth="1" outlineLevel="1"/>
    <col min="100" max="100" width="17.7265625" style="40" customWidth="1" outlineLevel="1"/>
    <col min="101" max="101" width="21" style="40" customWidth="1" outlineLevel="1"/>
    <col min="102" max="102" width="20.26953125" style="40" customWidth="1" outlineLevel="1"/>
    <col min="103" max="103" width="27.08984375" style="40" customWidth="1" outlineLevel="1"/>
    <col min="104" max="104" width="15.81640625" style="40" customWidth="1" outlineLevel="1"/>
    <col min="105" max="105" width="17.7265625" style="40" customWidth="1" outlineLevel="1"/>
    <col min="106" max="106" width="21" style="40" customWidth="1" outlineLevel="1"/>
    <col min="107" max="107" width="20.26953125" style="40" customWidth="1" outlineLevel="1"/>
    <col min="108" max="108" width="27.08984375" style="40" customWidth="1" outlineLevel="1"/>
    <col min="109" max="109" width="15.81640625" style="40" customWidth="1" outlineLevel="1"/>
    <col min="110" max="110" width="17.7265625" style="40" customWidth="1" outlineLevel="1"/>
    <col min="111" max="111" width="21" style="40" customWidth="1" outlineLevel="1"/>
    <col min="112" max="112" width="20.26953125" style="40" customWidth="1" outlineLevel="1"/>
    <col min="113" max="113" width="27.08984375" style="40" customWidth="1" outlineLevel="1"/>
    <col min="114" max="114" width="15.81640625" style="40" customWidth="1" outlineLevel="1"/>
    <col min="115" max="115" width="17.7265625" style="40" customWidth="1" outlineLevel="1"/>
    <col min="116" max="116" width="21" style="40" customWidth="1" outlineLevel="1"/>
    <col min="117" max="117" width="20.26953125" style="40" customWidth="1" outlineLevel="1"/>
    <col min="118" max="118" width="27.08984375" style="40" customWidth="1" outlineLevel="1"/>
    <col min="119" max="119" width="15.81640625" style="40" customWidth="1" outlineLevel="1"/>
    <col min="120" max="120" width="17.7265625" style="40" customWidth="1" outlineLevel="1"/>
    <col min="121" max="121" width="21" style="40" customWidth="1" outlineLevel="1"/>
    <col min="122" max="122" width="20.26953125" style="40" customWidth="1" outlineLevel="1"/>
    <col min="123" max="123" width="27.08984375" style="40" customWidth="1" outlineLevel="1"/>
    <col min="124" max="124" width="15.81640625" style="40" customWidth="1" outlineLevel="1"/>
    <col min="125" max="125" width="17.7265625" style="40" customWidth="1" outlineLevel="1"/>
    <col min="126" max="126" width="21" style="40" customWidth="1" outlineLevel="1"/>
    <col min="127" max="127" width="20.26953125" style="40" customWidth="1" outlineLevel="1"/>
    <col min="128" max="128" width="27.08984375" style="40" customWidth="1" outlineLevel="1"/>
    <col min="129" max="129" width="15.81640625" style="40" customWidth="1" outlineLevel="1"/>
    <col min="130" max="130" width="17.7265625" style="40" customWidth="1" outlineLevel="1"/>
    <col min="131" max="131" width="21" style="40" customWidth="1" outlineLevel="1"/>
    <col min="132" max="132" width="20.26953125" style="40" customWidth="1" outlineLevel="1"/>
    <col min="133" max="133" width="27.08984375" style="40" customWidth="1" outlineLevel="1"/>
    <col min="134" max="134" width="15.81640625" style="40" customWidth="1" outlineLevel="1"/>
    <col min="135" max="135" width="17.7265625" style="40" customWidth="1" outlineLevel="1"/>
    <col min="136" max="136" width="21" style="40" customWidth="1" outlineLevel="1"/>
    <col min="137" max="137" width="20.26953125" style="40" customWidth="1" outlineLevel="1"/>
    <col min="138" max="138" width="27.08984375" style="40" customWidth="1" outlineLevel="1"/>
    <col min="139" max="139" width="15.81640625" style="40" customWidth="1" outlineLevel="1"/>
    <col min="140" max="140" width="18.6328125" style="40" customWidth="1" outlineLevel="1"/>
    <col min="141" max="141" width="21.90625" style="40" customWidth="1" outlineLevel="1"/>
    <col min="142" max="142" width="21.1796875" style="40" customWidth="1" outlineLevel="1"/>
    <col min="143" max="143" width="27.54296875" style="40" customWidth="1" outlineLevel="1"/>
    <col min="144" max="144" width="15.81640625" style="40" customWidth="1" outlineLevel="1"/>
    <col min="145" max="145" width="18.6328125" style="40" customWidth="1" outlineLevel="1"/>
    <col min="146" max="146" width="21.90625" style="40" customWidth="1" outlineLevel="1"/>
    <col min="147" max="147" width="21.1796875" style="40" customWidth="1" outlineLevel="1"/>
    <col min="148" max="148" width="27.54296875" style="40" customWidth="1" outlineLevel="1"/>
    <col min="149" max="149" width="15.81640625" style="40" customWidth="1" outlineLevel="1"/>
    <col min="150" max="150" width="18.6328125" style="40" customWidth="1" outlineLevel="1"/>
    <col min="151" max="151" width="21.90625" style="40" customWidth="1" outlineLevel="1"/>
    <col min="152" max="152" width="21.1796875" style="40" customWidth="1" outlineLevel="1"/>
    <col min="153" max="153" width="27.54296875" style="40" customWidth="1" outlineLevel="1"/>
    <col min="154" max="154" width="15.81640625" style="40" customWidth="1" outlineLevel="1"/>
    <col min="155" max="155" width="18.6328125" style="40" customWidth="1" outlineLevel="1"/>
    <col min="156" max="156" width="21.90625" style="40" customWidth="1" outlineLevel="1"/>
    <col min="157" max="157" width="21.1796875" style="40" customWidth="1" outlineLevel="1"/>
    <col min="158" max="158" width="27.54296875" style="40" customWidth="1" outlineLevel="1"/>
    <col min="159" max="159" width="15.81640625" style="40" customWidth="1" outlineLevel="1"/>
    <col min="160" max="160" width="18.6328125" style="40" customWidth="1" outlineLevel="1"/>
    <col min="161" max="161" width="21.90625" style="40" customWidth="1" outlineLevel="1"/>
    <col min="162" max="162" width="21.1796875" style="40" customWidth="1" outlineLevel="1"/>
    <col min="163" max="163" width="27.54296875" style="40" customWidth="1" outlineLevel="1"/>
    <col min="164" max="164" width="15.81640625" style="40" customWidth="1" outlineLevel="1"/>
    <col min="165" max="165" width="18.6328125" style="40" customWidth="1" outlineLevel="1"/>
    <col min="166" max="166" width="21.90625" style="40" customWidth="1" outlineLevel="1"/>
    <col min="167" max="167" width="21.1796875" style="40" customWidth="1" outlineLevel="1"/>
    <col min="168" max="168" width="26.54296875" style="40" customWidth="1"/>
    <col min="169" max="169" width="26.453125" style="40" customWidth="1"/>
    <col min="170" max="170" width="26.54296875" style="40" customWidth="1" outlineLevel="1"/>
    <col min="171" max="171" width="26.453125" style="40" customWidth="1" outlineLevel="1"/>
    <col min="172" max="172" width="26.54296875" style="40" customWidth="1" outlineLevel="1"/>
    <col min="173" max="173" width="26.453125" style="40" customWidth="1" outlineLevel="1"/>
    <col min="174" max="174" width="26.54296875" style="40" customWidth="1" outlineLevel="1"/>
    <col min="175" max="175" width="26.453125" style="40" customWidth="1" outlineLevel="1"/>
    <col min="176" max="176" width="26.54296875" style="40" customWidth="1" outlineLevel="1"/>
    <col min="177" max="177" width="26.453125" style="40" customWidth="1" outlineLevel="1"/>
    <col min="178" max="178" width="26.54296875" style="40" customWidth="1" outlineLevel="1"/>
    <col min="179" max="179" width="26.453125" style="40" customWidth="1" outlineLevel="1"/>
    <col min="180" max="180" width="26.54296875" style="40" customWidth="1" outlineLevel="1"/>
    <col min="181" max="181" width="26.453125" style="40" customWidth="1" outlineLevel="1"/>
    <col min="182" max="182" width="26.54296875" style="40" customWidth="1" outlineLevel="1"/>
    <col min="183" max="183" width="26.453125" style="40" customWidth="1" outlineLevel="1"/>
    <col min="184" max="184" width="26.54296875" style="40" customWidth="1" outlineLevel="1"/>
    <col min="185" max="185" width="26.453125" style="40" customWidth="1" outlineLevel="1"/>
    <col min="186" max="186" width="27.453125" style="40" customWidth="1" outlineLevel="1"/>
    <col min="187" max="187" width="27.36328125" style="40" customWidth="1" outlineLevel="1"/>
    <col min="188" max="188" width="27.453125" style="40" customWidth="1" outlineLevel="1"/>
    <col min="189" max="189" width="27.36328125" style="40" customWidth="1" outlineLevel="1"/>
    <col min="190" max="190" width="27.453125" style="40" customWidth="1" outlineLevel="1"/>
    <col min="191" max="191" width="27.36328125" style="40" customWidth="1" outlineLevel="1"/>
    <col min="192" max="192" width="27.453125" style="40" customWidth="1" outlineLevel="1"/>
    <col min="193" max="193" width="27.36328125" style="40" customWidth="1" outlineLevel="1"/>
    <col min="194" max="194" width="27.453125" style="40" customWidth="1" outlineLevel="1"/>
    <col min="195" max="195" width="27.36328125" style="40" customWidth="1" outlineLevel="1"/>
    <col min="196" max="196" width="27.453125" style="40" customWidth="1" outlineLevel="1"/>
    <col min="197" max="197" width="27.36328125" style="40" customWidth="1" outlineLevel="1"/>
    <col min="198" max="198" width="16" style="40" customWidth="1"/>
    <col min="199" max="199" width="19.81640625" style="40" customWidth="1"/>
    <col min="200" max="200" width="23.08984375" style="40" customWidth="1"/>
    <col min="201" max="201" width="23.90625" style="40" customWidth="1"/>
    <col min="202" max="202" width="30.81640625" style="40" customWidth="1" outlineLevel="1"/>
    <col min="203" max="203" width="16" style="40" customWidth="1" outlineLevel="1"/>
    <col min="204" max="204" width="19.81640625" style="40" customWidth="1" outlineLevel="1"/>
    <col min="205" max="205" width="23.08984375" style="40" customWidth="1" outlineLevel="1"/>
    <col min="206" max="206" width="23.90625" style="40" customWidth="1" outlineLevel="1"/>
    <col min="207" max="207" width="30.81640625" style="40" customWidth="1" outlineLevel="1"/>
    <col min="208" max="208" width="16" style="40" customWidth="1" outlineLevel="1"/>
    <col min="209" max="209" width="19.81640625" style="40" customWidth="1" outlineLevel="1"/>
    <col min="210" max="210" width="23.08984375" style="40" customWidth="1" outlineLevel="1"/>
    <col min="211" max="211" width="23.90625" style="40" customWidth="1" outlineLevel="1"/>
    <col min="212" max="212" width="30.81640625" style="40" customWidth="1" outlineLevel="1"/>
    <col min="213" max="213" width="16" style="40" customWidth="1" outlineLevel="1"/>
    <col min="214" max="214" width="19.81640625" style="40" customWidth="1" outlineLevel="1"/>
    <col min="215" max="215" width="23.08984375" style="40" customWidth="1" outlineLevel="1"/>
    <col min="216" max="216" width="23.90625" style="40" customWidth="1" outlineLevel="1"/>
    <col min="217" max="217" width="30.81640625" style="40" customWidth="1" outlineLevel="1"/>
    <col min="218" max="218" width="16" style="40" customWidth="1" outlineLevel="1"/>
    <col min="219" max="219" width="19.81640625" style="40" customWidth="1" outlineLevel="1"/>
    <col min="220" max="220" width="23.08984375" style="40" customWidth="1" outlineLevel="1"/>
    <col min="221" max="221" width="23.90625" style="40" customWidth="1" outlineLevel="1"/>
    <col min="222" max="222" width="30.81640625" style="40" customWidth="1" outlineLevel="1"/>
    <col min="223" max="223" width="16" style="40" customWidth="1" outlineLevel="1"/>
    <col min="224" max="224" width="19.81640625" style="40" customWidth="1" outlineLevel="1"/>
    <col min="225" max="225" width="23.08984375" style="40" customWidth="1" outlineLevel="1"/>
    <col min="226" max="226" width="23.90625" style="40" customWidth="1" outlineLevel="1"/>
    <col min="227" max="227" width="30.81640625" style="40" customWidth="1" outlineLevel="1"/>
    <col min="228" max="228" width="16" style="40" customWidth="1" outlineLevel="1"/>
    <col min="229" max="229" width="19.81640625" style="40" customWidth="1" outlineLevel="1"/>
    <col min="230" max="230" width="23.08984375" style="40" customWidth="1" outlineLevel="1"/>
    <col min="231" max="231" width="23.90625" style="40" customWidth="1" outlineLevel="1"/>
    <col min="232" max="232" width="30.81640625" style="40" customWidth="1" outlineLevel="1"/>
    <col min="233" max="233" width="16" style="40" customWidth="1" outlineLevel="1"/>
    <col min="234" max="234" width="19.81640625" style="40" customWidth="1" outlineLevel="1"/>
    <col min="235" max="235" width="23.08984375" style="40" customWidth="1" outlineLevel="1"/>
    <col min="236" max="236" width="23.90625" style="40" customWidth="1" outlineLevel="1"/>
    <col min="237" max="237" width="30.81640625" style="40" customWidth="1" outlineLevel="1"/>
    <col min="238" max="238" width="16" style="40" customWidth="1" outlineLevel="1"/>
    <col min="239" max="239" width="19.81640625" style="40" customWidth="1" outlineLevel="1"/>
    <col min="240" max="240" width="23.08984375" style="40" customWidth="1" outlineLevel="1"/>
    <col min="241" max="241" width="23.90625" style="40" customWidth="1" outlineLevel="1"/>
    <col min="242" max="242" width="30.81640625" style="40" customWidth="1" outlineLevel="1"/>
    <col min="243" max="243" width="16" style="40" customWidth="1" outlineLevel="1"/>
    <col min="244" max="244" width="20.7265625" style="40" customWidth="1" outlineLevel="1"/>
    <col min="245" max="245" width="24" style="40" customWidth="1" outlineLevel="1"/>
    <col min="246" max="246" width="24.81640625" style="40" customWidth="1" outlineLevel="1"/>
    <col min="247" max="247" width="31.7265625" style="40" customWidth="1" outlineLevel="1"/>
    <col min="248" max="248" width="16" style="40" customWidth="1" outlineLevel="1"/>
    <col min="249" max="249" width="20.7265625" style="40" customWidth="1" outlineLevel="1"/>
    <col min="250" max="250" width="24" style="40" customWidth="1" outlineLevel="1"/>
    <col min="251" max="251" width="24.81640625" style="40" customWidth="1" outlineLevel="1"/>
    <col min="252" max="252" width="31.7265625" style="40" customWidth="1" outlineLevel="1"/>
    <col min="253" max="253" width="16" style="40" customWidth="1" outlineLevel="1"/>
    <col min="254" max="254" width="20.7265625" style="40" customWidth="1" outlineLevel="1"/>
    <col min="255" max="255" width="24" style="40" customWidth="1" outlineLevel="1"/>
    <col min="256" max="256" width="24.81640625" style="40" customWidth="1" outlineLevel="1"/>
    <col min="257" max="257" width="31.7265625" style="40" customWidth="1" outlineLevel="1"/>
    <col min="258" max="258" width="16" style="40" customWidth="1" outlineLevel="1"/>
    <col min="259" max="259" width="20.7265625" style="40" customWidth="1" outlineLevel="1"/>
    <col min="260" max="260" width="24" style="40" customWidth="1" outlineLevel="1"/>
    <col min="261" max="261" width="24.81640625" style="40" customWidth="1" outlineLevel="1"/>
    <col min="262" max="262" width="31.7265625" style="40" customWidth="1" outlineLevel="1"/>
    <col min="263" max="263" width="16" style="40" customWidth="1" outlineLevel="1"/>
    <col min="264" max="264" width="20.7265625" style="40" customWidth="1" outlineLevel="1"/>
    <col min="265" max="265" width="24" style="40" customWidth="1" outlineLevel="1"/>
    <col min="266" max="266" width="24.81640625" style="40" customWidth="1" outlineLevel="1"/>
    <col min="267" max="267" width="31.7265625" style="40" customWidth="1" outlineLevel="1"/>
    <col min="268" max="268" width="16" style="40" customWidth="1" outlineLevel="1"/>
    <col min="269" max="269" width="20.7265625" style="40" customWidth="1" outlineLevel="1"/>
    <col min="270" max="270" width="24" style="40" customWidth="1" outlineLevel="1"/>
    <col min="271" max="271" width="24.81640625" style="40" customWidth="1" outlineLevel="1"/>
    <col min="272" max="272" width="31.7265625" style="40" customWidth="1" outlineLevel="1"/>
    <col min="273" max="273" width="13.81640625" style="40" customWidth="1"/>
    <col min="274" max="274" width="11.36328125" style="40" customWidth="1"/>
    <col min="275" max="275" width="19.54296875" style="40" customWidth="1"/>
    <col min="276" max="276" width="14.26953125" style="40" customWidth="1"/>
    <col min="277" max="277" width="17.453125" style="40" customWidth="1"/>
    <col min="278" max="278" width="14" style="40" customWidth="1"/>
    <col min="279" max="279" width="26.54296875" style="40" customWidth="1"/>
    <col min="280" max="280" width="25.08984375" style="40" customWidth="1"/>
    <col min="281" max="281" width="27.08984375" style="40" customWidth="1"/>
    <col min="282" max="282" width="26.36328125" style="40" customWidth="1" outlineLevel="1"/>
    <col min="283" max="283" width="27.08984375" style="40" customWidth="1" outlineLevel="1"/>
    <col min="284" max="284" width="26.36328125" style="40" customWidth="1" outlineLevel="1"/>
    <col min="285" max="285" width="27.08984375" style="40" customWidth="1" outlineLevel="1"/>
    <col min="286" max="286" width="26.36328125" style="40" customWidth="1" outlineLevel="1"/>
    <col min="287" max="287" width="27.08984375" style="40" customWidth="1" outlineLevel="1"/>
    <col min="288" max="288" width="26.36328125" style="40" customWidth="1" outlineLevel="1"/>
    <col min="289" max="289" width="27.08984375" style="40" customWidth="1" outlineLevel="1"/>
    <col min="290" max="290" width="26.36328125" style="40" customWidth="1" outlineLevel="1"/>
    <col min="291" max="291" width="27.08984375" style="40" customWidth="1" outlineLevel="1"/>
    <col min="292" max="292" width="26.36328125" style="40" customWidth="1" outlineLevel="1"/>
    <col min="293" max="293" width="27.08984375" style="40" customWidth="1" outlineLevel="1"/>
    <col min="294" max="294" width="26.36328125" style="40" customWidth="1" outlineLevel="1"/>
    <col min="295" max="295" width="27.08984375" style="40" customWidth="1" outlineLevel="1"/>
    <col min="296" max="296" width="26.36328125" style="40" customWidth="1" outlineLevel="1"/>
    <col min="297" max="297" width="27.08984375" style="40" customWidth="1" outlineLevel="1"/>
    <col min="298" max="298" width="26.36328125" style="40" customWidth="1" outlineLevel="1"/>
    <col min="299" max="299" width="28" style="40" customWidth="1" outlineLevel="1"/>
    <col min="300" max="300" width="27.26953125" style="40" customWidth="1" outlineLevel="1"/>
    <col min="301" max="301" width="23.1796875" style="40" customWidth="1" outlineLevel="1"/>
    <col min="302" max="302" width="22.36328125" style="40" customWidth="1" outlineLevel="1"/>
    <col min="303" max="304" width="28.1796875" style="40" customWidth="1" outlineLevel="1"/>
    <col min="305" max="305" width="34.36328125" style="40" customWidth="1" outlineLevel="1"/>
    <col min="306" max="306" width="24.1796875" style="40" customWidth="1" outlineLevel="1"/>
    <col min="307" max="307" width="23.453125" style="40" customWidth="1" outlineLevel="1"/>
    <col min="308" max="308" width="24.1796875" style="40" customWidth="1" outlineLevel="1"/>
    <col min="309" max="309" width="23.453125" style="40" customWidth="1" outlineLevel="1"/>
    <col min="310" max="310" width="24.1796875" style="40" customWidth="1" outlineLevel="1"/>
    <col min="311" max="311" width="23.453125" style="40" customWidth="1" outlineLevel="1"/>
    <col min="312" max="312" width="24.1796875" style="40" customWidth="1" outlineLevel="1"/>
    <col min="313" max="313" width="23.453125" style="40" customWidth="1" outlineLevel="1"/>
    <col min="314" max="314" width="24.1796875" style="40" customWidth="1" outlineLevel="1"/>
    <col min="315" max="315" width="23.453125" style="40" customWidth="1" outlineLevel="1"/>
    <col min="316" max="316" width="24.1796875" style="40" customWidth="1" outlineLevel="1"/>
    <col min="317" max="317" width="23.453125" style="40" customWidth="1" outlineLevel="1"/>
    <col min="318" max="318" width="24.1796875" style="40" customWidth="1" outlineLevel="1"/>
    <col min="319" max="319" width="23.453125" style="40" customWidth="1" outlineLevel="1"/>
    <col min="320" max="320" width="24.1796875" style="40" customWidth="1" outlineLevel="1"/>
    <col min="321" max="321" width="23.453125" style="40" customWidth="1" outlineLevel="1"/>
    <col min="322" max="322" width="24.1796875" style="40" customWidth="1" outlineLevel="1"/>
    <col min="323" max="323" width="23.453125" style="40" customWidth="1" outlineLevel="1"/>
    <col min="324" max="324" width="25.08984375" style="40" customWidth="1" outlineLevel="1"/>
    <col min="325" max="325" width="24.36328125" style="40" customWidth="1" outlineLevel="1"/>
    <col min="326" max="326" width="25.08984375" style="40" customWidth="1" outlineLevel="1"/>
    <col min="327" max="327" width="24.36328125" style="40" customWidth="1" outlineLevel="1"/>
    <col min="328" max="328" width="25.08984375" style="40" customWidth="1" outlineLevel="1"/>
    <col min="329" max="329" width="24.36328125" style="40" customWidth="1" outlineLevel="1"/>
    <col min="330" max="330" width="25.08984375" style="40" customWidth="1" outlineLevel="1"/>
    <col min="331" max="331" width="24.36328125" style="40" customWidth="1" outlineLevel="1"/>
    <col min="332" max="332" width="25.08984375" style="40" customWidth="1" outlineLevel="1"/>
    <col min="333" max="333" width="24.36328125" style="40" customWidth="1" outlineLevel="1"/>
    <col min="334" max="334" width="25.08984375" style="40" customWidth="1" outlineLevel="1"/>
    <col min="335" max="335" width="24.36328125" style="40" customWidth="1" outlineLevel="1"/>
    <col min="336" max="344" width="29.7265625" style="40" customWidth="1" outlineLevel="1"/>
    <col min="345" max="350" width="30.6328125" style="40" customWidth="1" outlineLevel="1"/>
    <col min="351" max="351" width="26.26953125" style="40" customWidth="1" outlineLevel="1"/>
    <col min="352" max="352" width="27.08984375" style="40" customWidth="1" outlineLevel="1"/>
    <col min="353" max="353" width="26.26953125" style="40" customWidth="1" outlineLevel="1"/>
    <col min="354" max="354" width="27.08984375" style="40" customWidth="1" outlineLevel="1"/>
    <col min="355" max="355" width="26.26953125" style="40" customWidth="1" outlineLevel="1"/>
    <col min="356" max="356" width="27.08984375" style="40" customWidth="1" outlineLevel="1"/>
    <col min="357" max="357" width="26.26953125" style="40" customWidth="1" outlineLevel="1"/>
    <col min="358" max="358" width="27.08984375" style="40" customWidth="1" outlineLevel="1"/>
    <col min="359" max="359" width="26.26953125" style="40" customWidth="1" outlineLevel="1"/>
    <col min="360" max="360" width="27.08984375" style="40" customWidth="1" outlineLevel="1"/>
    <col min="361" max="361" width="26.26953125" style="40" customWidth="1" outlineLevel="1"/>
    <col min="362" max="362" width="27.08984375" style="40" customWidth="1" outlineLevel="1"/>
    <col min="363" max="363" width="26.26953125" style="40" customWidth="1" outlineLevel="1"/>
    <col min="364" max="364" width="27.08984375" style="40" customWidth="1" outlineLevel="1"/>
    <col min="365" max="365" width="26.26953125" style="40" customWidth="1" outlineLevel="1"/>
    <col min="366" max="366" width="27.08984375" style="40" customWidth="1" outlineLevel="1"/>
    <col min="367" max="367" width="26.26953125" style="40" customWidth="1" outlineLevel="1"/>
    <col min="368" max="368" width="27.08984375" style="40" customWidth="1" outlineLevel="1"/>
    <col min="369" max="369" width="27.1796875" style="40" customWidth="1" outlineLevel="1"/>
    <col min="370" max="370" width="28" style="40" customWidth="1" outlineLevel="1"/>
    <col min="371" max="371" width="27.1796875" style="40" customWidth="1" outlineLevel="1"/>
    <col min="372" max="372" width="28" style="40" customWidth="1" outlineLevel="1"/>
    <col min="373" max="373" width="27.1796875" style="40" customWidth="1" outlineLevel="1"/>
    <col min="374" max="374" width="28" style="40" customWidth="1" outlineLevel="1"/>
    <col min="375" max="375" width="27.1796875" style="40" customWidth="1" outlineLevel="1"/>
    <col min="376" max="376" width="28" style="40" customWidth="1" outlineLevel="1"/>
    <col min="377" max="377" width="27.1796875" style="40" customWidth="1" outlineLevel="1"/>
    <col min="378" max="378" width="28" style="40" customWidth="1" outlineLevel="1"/>
    <col min="379" max="379" width="27.1796875" style="40" customWidth="1" outlineLevel="1"/>
    <col min="380" max="380" width="28" style="40" customWidth="1" outlineLevel="1"/>
    <col min="381" max="381" width="18.6328125" style="40" customWidth="1" outlineLevel="1"/>
    <col min="382" max="382" width="20.7265625" style="40" customWidth="1" outlineLevel="1"/>
    <col min="383" max="383" width="24.81640625" style="40" customWidth="1" outlineLevel="1"/>
    <col min="384" max="384" width="20.453125" style="40" customWidth="1" outlineLevel="1"/>
    <col min="385" max="385" width="29.54296875" style="40" customWidth="1" outlineLevel="1"/>
    <col min="386" max="386" width="37" style="40" customWidth="1" outlineLevel="1"/>
    <col min="387" max="387" width="26.453125" style="40" customWidth="1" outlineLevel="1"/>
    <col min="388" max="388" width="18.453125" style="40" customWidth="1" outlineLevel="1"/>
    <col min="389" max="389" width="21.36328125" style="40" customWidth="1" outlineLevel="1"/>
    <col min="390" max="390" width="29.08984375" style="40" customWidth="1" outlineLevel="1"/>
    <col min="391" max="16384" width="9.1796875" style="40"/>
  </cols>
  <sheetData>
    <row r="1" spans="1:390" ht="18" x14ac:dyDescent="0.4">
      <c r="A1" s="24" t="s">
        <v>0</v>
      </c>
    </row>
    <row r="2" spans="1:390" ht="18.5" x14ac:dyDescent="0.45">
      <c r="A2" s="39"/>
    </row>
    <row r="3" spans="1:390" ht="58.5" customHeight="1" x14ac:dyDescent="0.3">
      <c r="A3" s="41" t="s">
        <v>1</v>
      </c>
      <c r="B3" s="41" t="s">
        <v>2</v>
      </c>
      <c r="C3" s="41" t="s">
        <v>3</v>
      </c>
      <c r="D3" s="42" t="s">
        <v>4</v>
      </c>
      <c r="E3" s="42" t="s">
        <v>5</v>
      </c>
      <c r="F3" s="42" t="s">
        <v>6</v>
      </c>
      <c r="G3" s="42" t="s">
        <v>7</v>
      </c>
      <c r="H3" s="43" t="s">
        <v>8</v>
      </c>
      <c r="I3" s="44" t="s">
        <v>9</v>
      </c>
      <c r="J3" s="44" t="s">
        <v>10</v>
      </c>
      <c r="K3" s="42" t="s">
        <v>11</v>
      </c>
      <c r="L3" s="41" t="s">
        <v>12</v>
      </c>
      <c r="M3" s="45" t="s">
        <v>13</v>
      </c>
      <c r="N3" s="45" t="s">
        <v>14</v>
      </c>
      <c r="O3" s="45" t="s">
        <v>15</v>
      </c>
      <c r="P3" s="46" t="s">
        <v>16</v>
      </c>
      <c r="Q3" s="41" t="s">
        <v>17</v>
      </c>
      <c r="R3" s="45" t="s">
        <v>18</v>
      </c>
      <c r="S3" s="45" t="s">
        <v>19</v>
      </c>
      <c r="T3" s="45" t="s">
        <v>20</v>
      </c>
      <c r="U3" s="46" t="s">
        <v>21</v>
      </c>
      <c r="V3" s="41" t="s">
        <v>22</v>
      </c>
      <c r="W3" s="45" t="s">
        <v>23</v>
      </c>
      <c r="X3" s="45" t="s">
        <v>24</v>
      </c>
      <c r="Y3" s="45" t="s">
        <v>25</v>
      </c>
      <c r="Z3" s="46" t="s">
        <v>26</v>
      </c>
      <c r="AA3" s="41" t="s">
        <v>27</v>
      </c>
      <c r="AB3" s="42" t="s">
        <v>28</v>
      </c>
      <c r="AC3" s="47" t="s">
        <v>29</v>
      </c>
      <c r="AD3" s="48" t="s">
        <v>30</v>
      </c>
      <c r="AE3" s="49" t="s">
        <v>31</v>
      </c>
      <c r="AF3" s="50" t="s">
        <v>32</v>
      </c>
      <c r="AG3" s="51" t="s">
        <v>33</v>
      </c>
      <c r="AH3" s="52" t="s">
        <v>34</v>
      </c>
      <c r="AI3" s="49" t="s">
        <v>35</v>
      </c>
      <c r="AJ3" s="49" t="s">
        <v>36</v>
      </c>
      <c r="AK3" s="49" t="s">
        <v>37</v>
      </c>
      <c r="AL3" s="49" t="s">
        <v>38</v>
      </c>
      <c r="AM3" s="189" t="s">
        <v>39</v>
      </c>
      <c r="AN3" s="50" t="s">
        <v>40</v>
      </c>
      <c r="AO3" s="53" t="s">
        <v>41</v>
      </c>
      <c r="AP3" s="54" t="s">
        <v>42</v>
      </c>
      <c r="AQ3" s="179" t="s">
        <v>43</v>
      </c>
      <c r="AR3" s="55" t="s">
        <v>44</v>
      </c>
      <c r="AS3" s="55" t="s">
        <v>45</v>
      </c>
      <c r="AT3" s="56" t="s">
        <v>46</v>
      </c>
      <c r="AU3" s="56" t="s">
        <v>47</v>
      </c>
      <c r="AV3" s="55" t="s">
        <v>48</v>
      </c>
      <c r="AW3" s="55" t="s">
        <v>49</v>
      </c>
      <c r="AX3" s="55" t="s">
        <v>50</v>
      </c>
      <c r="AY3" s="56" t="s">
        <v>51</v>
      </c>
      <c r="AZ3" s="56" t="s">
        <v>52</v>
      </c>
      <c r="BA3" s="55" t="s">
        <v>53</v>
      </c>
      <c r="BB3" s="55" t="s">
        <v>54</v>
      </c>
      <c r="BC3" s="55" t="s">
        <v>55</v>
      </c>
      <c r="BD3" s="56" t="s">
        <v>56</v>
      </c>
      <c r="BE3" s="56" t="s">
        <v>57</v>
      </c>
      <c r="BF3" s="55" t="s">
        <v>58</v>
      </c>
      <c r="BG3" s="55" t="s">
        <v>59</v>
      </c>
      <c r="BH3" s="55" t="s">
        <v>60</v>
      </c>
      <c r="BI3" s="56" t="s">
        <v>61</v>
      </c>
      <c r="BJ3" s="56" t="s">
        <v>62</v>
      </c>
      <c r="BK3" s="55" t="s">
        <v>63</v>
      </c>
      <c r="BL3" s="55" t="s">
        <v>64</v>
      </c>
      <c r="BM3" s="55" t="s">
        <v>65</v>
      </c>
      <c r="BN3" s="56" t="s">
        <v>66</v>
      </c>
      <c r="BO3" s="56" t="s">
        <v>67</v>
      </c>
      <c r="BP3" s="55" t="s">
        <v>68</v>
      </c>
      <c r="BQ3" s="55" t="s">
        <v>69</v>
      </c>
      <c r="BR3" s="55" t="s">
        <v>70</v>
      </c>
      <c r="BS3" s="56" t="s">
        <v>71</v>
      </c>
      <c r="BT3" s="56" t="s">
        <v>72</v>
      </c>
      <c r="BU3" s="55" t="s">
        <v>73</v>
      </c>
      <c r="BV3" s="55" t="s">
        <v>74</v>
      </c>
      <c r="BW3" s="55" t="s">
        <v>75</v>
      </c>
      <c r="BX3" s="56" t="s">
        <v>76</v>
      </c>
      <c r="BY3" s="56" t="s">
        <v>77</v>
      </c>
      <c r="BZ3" s="55" t="s">
        <v>78</v>
      </c>
      <c r="CA3" s="55" t="s">
        <v>79</v>
      </c>
      <c r="CB3" s="55" t="s">
        <v>80</v>
      </c>
      <c r="CC3" s="56" t="s">
        <v>81</v>
      </c>
      <c r="CD3" s="56" t="s">
        <v>82</v>
      </c>
      <c r="CE3" s="55" t="s">
        <v>83</v>
      </c>
      <c r="CF3" s="55" t="s">
        <v>84</v>
      </c>
      <c r="CG3" s="55" t="s">
        <v>85</v>
      </c>
      <c r="CH3" s="56" t="s">
        <v>86</v>
      </c>
      <c r="CI3" s="56" t="s">
        <v>87</v>
      </c>
      <c r="CJ3" s="55" t="s">
        <v>88</v>
      </c>
      <c r="CK3" s="55" t="s">
        <v>89</v>
      </c>
      <c r="CL3" s="55" t="s">
        <v>90</v>
      </c>
      <c r="CM3" s="56" t="s">
        <v>91</v>
      </c>
      <c r="CN3" s="56" t="s">
        <v>92</v>
      </c>
      <c r="CO3" s="55" t="s">
        <v>93</v>
      </c>
      <c r="CP3" s="57" t="s">
        <v>94</v>
      </c>
      <c r="CQ3" s="57" t="s">
        <v>95</v>
      </c>
      <c r="CR3" s="58" t="s">
        <v>96</v>
      </c>
      <c r="CS3" s="58" t="s">
        <v>97</v>
      </c>
      <c r="CT3" s="57" t="s">
        <v>98</v>
      </c>
      <c r="CU3" s="57" t="s">
        <v>99</v>
      </c>
      <c r="CV3" s="57" t="s">
        <v>100</v>
      </c>
      <c r="CW3" s="58" t="s">
        <v>101</v>
      </c>
      <c r="CX3" s="58" t="s">
        <v>102</v>
      </c>
      <c r="CY3" s="57" t="s">
        <v>103</v>
      </c>
      <c r="CZ3" s="57" t="s">
        <v>104</v>
      </c>
      <c r="DA3" s="57" t="s">
        <v>105</v>
      </c>
      <c r="DB3" s="58" t="s">
        <v>106</v>
      </c>
      <c r="DC3" s="58" t="s">
        <v>107</v>
      </c>
      <c r="DD3" s="57" t="s">
        <v>108</v>
      </c>
      <c r="DE3" s="57" t="s">
        <v>109</v>
      </c>
      <c r="DF3" s="57" t="s">
        <v>110</v>
      </c>
      <c r="DG3" s="58" t="s">
        <v>111</v>
      </c>
      <c r="DH3" s="58" t="s">
        <v>112</v>
      </c>
      <c r="DI3" s="57" t="s">
        <v>113</v>
      </c>
      <c r="DJ3" s="57" t="s">
        <v>114</v>
      </c>
      <c r="DK3" s="57" t="s">
        <v>115</v>
      </c>
      <c r="DL3" s="58" t="s">
        <v>116</v>
      </c>
      <c r="DM3" s="58" t="s">
        <v>117</v>
      </c>
      <c r="DN3" s="57" t="s">
        <v>118</v>
      </c>
      <c r="DO3" s="57" t="s">
        <v>119</v>
      </c>
      <c r="DP3" s="57" t="s">
        <v>120</v>
      </c>
      <c r="DQ3" s="58" t="s">
        <v>121</v>
      </c>
      <c r="DR3" s="58" t="s">
        <v>122</v>
      </c>
      <c r="DS3" s="57" t="s">
        <v>123</v>
      </c>
      <c r="DT3" s="57" t="s">
        <v>124</v>
      </c>
      <c r="DU3" s="57" t="s">
        <v>125</v>
      </c>
      <c r="DV3" s="58" t="s">
        <v>126</v>
      </c>
      <c r="DW3" s="58" t="s">
        <v>127</v>
      </c>
      <c r="DX3" s="57" t="s">
        <v>128</v>
      </c>
      <c r="DY3" s="57" t="s">
        <v>129</v>
      </c>
      <c r="DZ3" s="57" t="s">
        <v>130</v>
      </c>
      <c r="EA3" s="58" t="s">
        <v>131</v>
      </c>
      <c r="EB3" s="58" t="s">
        <v>132</v>
      </c>
      <c r="EC3" s="57" t="s">
        <v>133</v>
      </c>
      <c r="ED3" s="57" t="s">
        <v>134</v>
      </c>
      <c r="EE3" s="57" t="s">
        <v>135</v>
      </c>
      <c r="EF3" s="58" t="s">
        <v>136</v>
      </c>
      <c r="EG3" s="58" t="s">
        <v>137</v>
      </c>
      <c r="EH3" s="57" t="s">
        <v>138</v>
      </c>
      <c r="EI3" s="57" t="s">
        <v>139</v>
      </c>
      <c r="EJ3" s="57" t="s">
        <v>140</v>
      </c>
      <c r="EK3" s="58" t="s">
        <v>141</v>
      </c>
      <c r="EL3" s="58" t="s">
        <v>142</v>
      </c>
      <c r="EM3" s="57" t="s">
        <v>143</v>
      </c>
      <c r="EN3" s="57" t="s">
        <v>144</v>
      </c>
      <c r="EO3" s="57" t="s">
        <v>145</v>
      </c>
      <c r="EP3" s="58" t="s">
        <v>146</v>
      </c>
      <c r="EQ3" s="58" t="s">
        <v>147</v>
      </c>
      <c r="ER3" s="57" t="s">
        <v>148</v>
      </c>
      <c r="ES3" s="57" t="s">
        <v>149</v>
      </c>
      <c r="ET3" s="57" t="s">
        <v>150</v>
      </c>
      <c r="EU3" s="58" t="s">
        <v>151</v>
      </c>
      <c r="EV3" s="58" t="s">
        <v>152</v>
      </c>
      <c r="EW3" s="57" t="s">
        <v>153</v>
      </c>
      <c r="EX3" s="57" t="s">
        <v>154</v>
      </c>
      <c r="EY3" s="57" t="s">
        <v>155</v>
      </c>
      <c r="EZ3" s="58" t="s">
        <v>156</v>
      </c>
      <c r="FA3" s="58" t="s">
        <v>157</v>
      </c>
      <c r="FB3" s="57" t="s">
        <v>158</v>
      </c>
      <c r="FC3" s="57" t="s">
        <v>159</v>
      </c>
      <c r="FD3" s="59" t="s">
        <v>160</v>
      </c>
      <c r="FE3" s="58" t="s">
        <v>161</v>
      </c>
      <c r="FF3" s="58" t="s">
        <v>162</v>
      </c>
      <c r="FG3" s="57" t="s">
        <v>163</v>
      </c>
      <c r="FH3" s="57" t="s">
        <v>164</v>
      </c>
      <c r="FI3" s="57" t="s">
        <v>165</v>
      </c>
      <c r="FJ3" s="58" t="s">
        <v>166</v>
      </c>
      <c r="FK3" s="58" t="s">
        <v>167</v>
      </c>
      <c r="FL3" s="60" t="s">
        <v>168</v>
      </c>
      <c r="FM3" s="61" t="s">
        <v>169</v>
      </c>
      <c r="FN3" s="60" t="s">
        <v>170</v>
      </c>
      <c r="FO3" s="61" t="s">
        <v>171</v>
      </c>
      <c r="FP3" s="60" t="s">
        <v>172</v>
      </c>
      <c r="FQ3" s="61" t="s">
        <v>173</v>
      </c>
      <c r="FR3" s="60" t="s">
        <v>174</v>
      </c>
      <c r="FS3" s="61" t="s">
        <v>175</v>
      </c>
      <c r="FT3" s="60" t="s">
        <v>176</v>
      </c>
      <c r="FU3" s="61" t="s">
        <v>177</v>
      </c>
      <c r="FV3" s="60" t="s">
        <v>178</v>
      </c>
      <c r="FW3" s="61" t="s">
        <v>179</v>
      </c>
      <c r="FX3" s="60" t="s">
        <v>180</v>
      </c>
      <c r="FY3" s="61" t="s">
        <v>181</v>
      </c>
      <c r="FZ3" s="60" t="s">
        <v>182</v>
      </c>
      <c r="GA3" s="61" t="s">
        <v>183</v>
      </c>
      <c r="GB3" s="60" t="s">
        <v>184</v>
      </c>
      <c r="GC3" s="61" t="s">
        <v>185</v>
      </c>
      <c r="GD3" s="60" t="s">
        <v>186</v>
      </c>
      <c r="GE3" s="61" t="s">
        <v>187</v>
      </c>
      <c r="GF3" s="60" t="s">
        <v>188</v>
      </c>
      <c r="GG3" s="61" t="s">
        <v>189</v>
      </c>
      <c r="GH3" s="60" t="s">
        <v>190</v>
      </c>
      <c r="GI3" s="61" t="s">
        <v>191</v>
      </c>
      <c r="GJ3" s="60" t="s">
        <v>192</v>
      </c>
      <c r="GK3" s="61" t="s">
        <v>193</v>
      </c>
      <c r="GL3" s="60" t="s">
        <v>194</v>
      </c>
      <c r="GM3" s="61" t="s">
        <v>195</v>
      </c>
      <c r="GN3" s="60" t="s">
        <v>196</v>
      </c>
      <c r="GO3" s="61" t="s">
        <v>197</v>
      </c>
      <c r="GP3" s="62" t="s">
        <v>198</v>
      </c>
      <c r="GQ3" s="62" t="s">
        <v>199</v>
      </c>
      <c r="GR3" s="63" t="s">
        <v>200</v>
      </c>
      <c r="GS3" s="64" t="s">
        <v>201</v>
      </c>
      <c r="GT3" s="65" t="s">
        <v>202</v>
      </c>
      <c r="GU3" s="62" t="s">
        <v>203</v>
      </c>
      <c r="GV3" s="62" t="s">
        <v>204</v>
      </c>
      <c r="GW3" s="63" t="s">
        <v>205</v>
      </c>
      <c r="GX3" s="64" t="s">
        <v>206</v>
      </c>
      <c r="GY3" s="65" t="s">
        <v>207</v>
      </c>
      <c r="GZ3" s="62" t="s">
        <v>208</v>
      </c>
      <c r="HA3" s="62" t="s">
        <v>209</v>
      </c>
      <c r="HB3" s="63" t="s">
        <v>210</v>
      </c>
      <c r="HC3" s="64" t="s">
        <v>211</v>
      </c>
      <c r="HD3" s="65" t="s">
        <v>212</v>
      </c>
      <c r="HE3" s="62" t="s">
        <v>213</v>
      </c>
      <c r="HF3" s="62" t="s">
        <v>214</v>
      </c>
      <c r="HG3" s="63" t="s">
        <v>215</v>
      </c>
      <c r="HH3" s="64" t="s">
        <v>216</v>
      </c>
      <c r="HI3" s="65" t="s">
        <v>217</v>
      </c>
      <c r="HJ3" s="62" t="s">
        <v>218</v>
      </c>
      <c r="HK3" s="62" t="s">
        <v>219</v>
      </c>
      <c r="HL3" s="63" t="s">
        <v>220</v>
      </c>
      <c r="HM3" s="64" t="s">
        <v>221</v>
      </c>
      <c r="HN3" s="65" t="s">
        <v>222</v>
      </c>
      <c r="HO3" s="62" t="s">
        <v>223</v>
      </c>
      <c r="HP3" s="62" t="s">
        <v>224</v>
      </c>
      <c r="HQ3" s="63" t="s">
        <v>225</v>
      </c>
      <c r="HR3" s="64" t="s">
        <v>226</v>
      </c>
      <c r="HS3" s="65" t="s">
        <v>227</v>
      </c>
      <c r="HT3" s="62" t="s">
        <v>228</v>
      </c>
      <c r="HU3" s="62" t="s">
        <v>229</v>
      </c>
      <c r="HV3" s="63" t="s">
        <v>230</v>
      </c>
      <c r="HW3" s="64" t="s">
        <v>231</v>
      </c>
      <c r="HX3" s="65" t="s">
        <v>232</v>
      </c>
      <c r="HY3" s="62" t="s">
        <v>233</v>
      </c>
      <c r="HZ3" s="62" t="s">
        <v>234</v>
      </c>
      <c r="IA3" s="63" t="s">
        <v>235</v>
      </c>
      <c r="IB3" s="64" t="s">
        <v>236</v>
      </c>
      <c r="IC3" s="65" t="s">
        <v>237</v>
      </c>
      <c r="ID3" s="62" t="s">
        <v>238</v>
      </c>
      <c r="IE3" s="62" t="s">
        <v>239</v>
      </c>
      <c r="IF3" s="63" t="s">
        <v>240</v>
      </c>
      <c r="IG3" s="64" t="s">
        <v>241</v>
      </c>
      <c r="IH3" s="65" t="s">
        <v>242</v>
      </c>
      <c r="II3" s="62" t="s">
        <v>243</v>
      </c>
      <c r="IJ3" s="62" t="s">
        <v>244</v>
      </c>
      <c r="IK3" s="63" t="s">
        <v>245</v>
      </c>
      <c r="IL3" s="64" t="s">
        <v>246</v>
      </c>
      <c r="IM3" s="65" t="s">
        <v>247</v>
      </c>
      <c r="IN3" s="62" t="s">
        <v>248</v>
      </c>
      <c r="IO3" s="62" t="s">
        <v>249</v>
      </c>
      <c r="IP3" s="63" t="s">
        <v>250</v>
      </c>
      <c r="IQ3" s="64" t="s">
        <v>251</v>
      </c>
      <c r="IR3" s="65" t="s">
        <v>252</v>
      </c>
      <c r="IS3" s="62" t="s">
        <v>253</v>
      </c>
      <c r="IT3" s="62" t="s">
        <v>254</v>
      </c>
      <c r="IU3" s="63" t="s">
        <v>255</v>
      </c>
      <c r="IV3" s="64" t="s">
        <v>256</v>
      </c>
      <c r="IW3" s="65" t="s">
        <v>257</v>
      </c>
      <c r="IX3" s="62" t="s">
        <v>258</v>
      </c>
      <c r="IY3" s="62" t="s">
        <v>259</v>
      </c>
      <c r="IZ3" s="63" t="s">
        <v>260</v>
      </c>
      <c r="JA3" s="64" t="s">
        <v>261</v>
      </c>
      <c r="JB3" s="65" t="s">
        <v>262</v>
      </c>
      <c r="JC3" s="62" t="s">
        <v>263</v>
      </c>
      <c r="JD3" s="62" t="s">
        <v>264</v>
      </c>
      <c r="JE3" s="63" t="s">
        <v>265</v>
      </c>
      <c r="JF3" s="64" t="s">
        <v>266</v>
      </c>
      <c r="JG3" s="65" t="s">
        <v>267</v>
      </c>
      <c r="JH3" s="66" t="s">
        <v>268</v>
      </c>
      <c r="JI3" s="62" t="s">
        <v>269</v>
      </c>
      <c r="JJ3" s="63" t="s">
        <v>270</v>
      </c>
      <c r="JK3" s="64" t="s">
        <v>271</v>
      </c>
      <c r="JL3" s="65" t="s">
        <v>272</v>
      </c>
      <c r="JM3" s="67" t="s">
        <v>273</v>
      </c>
      <c r="JN3" s="68" t="s">
        <v>274</v>
      </c>
      <c r="JO3" s="69" t="s">
        <v>275</v>
      </c>
      <c r="JP3" s="70" t="s">
        <v>276</v>
      </c>
      <c r="JQ3" s="68" t="s">
        <v>277</v>
      </c>
      <c r="JR3" s="68" t="s">
        <v>278</v>
      </c>
      <c r="JS3" s="71" t="s">
        <v>279</v>
      </c>
      <c r="JT3" s="72" t="s">
        <v>280</v>
      </c>
      <c r="JU3" s="73" t="s">
        <v>281</v>
      </c>
      <c r="JV3" s="74" t="s">
        <v>282</v>
      </c>
      <c r="JW3" s="74" t="s">
        <v>283</v>
      </c>
      <c r="JX3" s="74" t="s">
        <v>284</v>
      </c>
      <c r="JY3" s="74" t="s">
        <v>285</v>
      </c>
      <c r="JZ3" s="74" t="s">
        <v>286</v>
      </c>
      <c r="KA3" s="74" t="s">
        <v>287</v>
      </c>
      <c r="KB3" s="74" t="s">
        <v>288</v>
      </c>
      <c r="KC3" s="74" t="s">
        <v>289</v>
      </c>
      <c r="KD3" s="74" t="s">
        <v>290</v>
      </c>
      <c r="KE3" s="74" t="s">
        <v>291</v>
      </c>
      <c r="KF3" s="74" t="s">
        <v>292</v>
      </c>
      <c r="KG3" s="74" t="s">
        <v>293</v>
      </c>
      <c r="KH3" s="74" t="s">
        <v>294</v>
      </c>
      <c r="KI3" s="74" t="s">
        <v>295</v>
      </c>
      <c r="KJ3" s="74" t="s">
        <v>296</v>
      </c>
      <c r="KK3" s="74" t="s">
        <v>297</v>
      </c>
      <c r="KL3" s="74" t="s">
        <v>298</v>
      </c>
      <c r="KM3" s="74" t="s">
        <v>299</v>
      </c>
      <c r="KN3" s="74" t="s">
        <v>300</v>
      </c>
      <c r="KO3" s="74" t="s">
        <v>301</v>
      </c>
      <c r="KP3" s="74" t="s">
        <v>302</v>
      </c>
      <c r="KQ3" s="74" t="s">
        <v>303</v>
      </c>
      <c r="KR3" s="74" t="s">
        <v>304</v>
      </c>
      <c r="KS3" s="74" t="s">
        <v>305</v>
      </c>
      <c r="KT3" s="74" t="s">
        <v>306</v>
      </c>
      <c r="KU3" s="74" t="s">
        <v>307</v>
      </c>
      <c r="KV3" s="74" t="s">
        <v>308</v>
      </c>
      <c r="KW3" s="74" t="s">
        <v>309</v>
      </c>
      <c r="KX3" s="74" t="s">
        <v>310</v>
      </c>
      <c r="KY3" s="74" t="s">
        <v>311</v>
      </c>
      <c r="KZ3" s="74" t="s">
        <v>312</v>
      </c>
      <c r="LA3" s="74" t="s">
        <v>313</v>
      </c>
      <c r="LB3" s="74" t="s">
        <v>314</v>
      </c>
      <c r="LC3" s="74" t="s">
        <v>315</v>
      </c>
      <c r="LD3" s="74" t="s">
        <v>316</v>
      </c>
      <c r="LE3" s="74" t="s">
        <v>317</v>
      </c>
      <c r="LF3" s="74" t="s">
        <v>318</v>
      </c>
      <c r="LG3" s="74" t="s">
        <v>319</v>
      </c>
      <c r="LH3" s="74" t="s">
        <v>320</v>
      </c>
      <c r="LI3" s="74" t="s">
        <v>321</v>
      </c>
      <c r="LJ3" s="74" t="s">
        <v>322</v>
      </c>
      <c r="LK3" s="74" t="s">
        <v>323</v>
      </c>
      <c r="LL3" s="74" t="s">
        <v>324</v>
      </c>
      <c r="LM3" s="74" t="s">
        <v>325</v>
      </c>
      <c r="LN3" s="74" t="s">
        <v>326</v>
      </c>
      <c r="LO3" s="74" t="s">
        <v>327</v>
      </c>
      <c r="LP3" s="74" t="s">
        <v>328</v>
      </c>
      <c r="LQ3" s="74" t="s">
        <v>329</v>
      </c>
      <c r="LR3" s="74" t="s">
        <v>330</v>
      </c>
      <c r="LS3" s="74" t="s">
        <v>331</v>
      </c>
      <c r="LT3" s="74" t="s">
        <v>332</v>
      </c>
      <c r="LU3" s="74" t="s">
        <v>333</v>
      </c>
      <c r="LV3" s="74" t="s">
        <v>334</v>
      </c>
      <c r="LW3" s="74" t="s">
        <v>335</v>
      </c>
      <c r="LX3" s="74" t="s">
        <v>336</v>
      </c>
      <c r="LY3" s="74" t="s">
        <v>337</v>
      </c>
      <c r="LZ3" s="74" t="s">
        <v>338</v>
      </c>
      <c r="MA3" s="74" t="s">
        <v>339</v>
      </c>
      <c r="MB3" s="74" t="s">
        <v>340</v>
      </c>
      <c r="MC3" s="74" t="s">
        <v>341</v>
      </c>
      <c r="MD3" s="74" t="s">
        <v>342</v>
      </c>
      <c r="ME3" s="74" t="s">
        <v>343</v>
      </c>
      <c r="MF3" s="74" t="s">
        <v>344</v>
      </c>
      <c r="MG3" s="74" t="s">
        <v>345</v>
      </c>
      <c r="MH3" s="74" t="s">
        <v>346</v>
      </c>
      <c r="MI3" s="74" t="s">
        <v>347</v>
      </c>
      <c r="MJ3" s="74" t="s">
        <v>348</v>
      </c>
      <c r="MK3" s="74" t="s">
        <v>349</v>
      </c>
      <c r="ML3" s="74" t="s">
        <v>350</v>
      </c>
      <c r="MM3" s="74" t="s">
        <v>351</v>
      </c>
      <c r="MN3" s="74" t="s">
        <v>352</v>
      </c>
      <c r="MO3" s="74" t="s">
        <v>353</v>
      </c>
      <c r="MP3" s="74" t="s">
        <v>354</v>
      </c>
      <c r="MQ3" s="74" t="s">
        <v>355</v>
      </c>
      <c r="MR3" s="74" t="s">
        <v>356</v>
      </c>
      <c r="MS3" s="74" t="s">
        <v>357</v>
      </c>
      <c r="MT3" s="74" t="s">
        <v>358</v>
      </c>
      <c r="MU3" s="74" t="s">
        <v>359</v>
      </c>
      <c r="MV3" s="74" t="s">
        <v>360</v>
      </c>
      <c r="MW3" s="74" t="s">
        <v>361</v>
      </c>
      <c r="MX3" s="74" t="s">
        <v>362</v>
      </c>
      <c r="MY3" s="74" t="s">
        <v>363</v>
      </c>
      <c r="MZ3" s="74" t="s">
        <v>364</v>
      </c>
      <c r="NA3" s="74" t="s">
        <v>365</v>
      </c>
      <c r="NB3" s="74" t="s">
        <v>366</v>
      </c>
      <c r="NC3" s="74" t="s">
        <v>367</v>
      </c>
      <c r="ND3" s="74" t="s">
        <v>368</v>
      </c>
      <c r="NE3" s="74" t="s">
        <v>369</v>
      </c>
      <c r="NF3" s="74" t="s">
        <v>370</v>
      </c>
      <c r="NG3" s="74" t="s">
        <v>371</v>
      </c>
      <c r="NH3" s="74" t="s">
        <v>372</v>
      </c>
      <c r="NI3" s="74" t="s">
        <v>373</v>
      </c>
      <c r="NJ3" s="74" t="s">
        <v>374</v>
      </c>
      <c r="NK3" s="74" t="s">
        <v>375</v>
      </c>
      <c r="NL3" s="74" t="s">
        <v>376</v>
      </c>
      <c r="NM3" s="74" t="s">
        <v>377</v>
      </c>
      <c r="NN3" s="74" t="s">
        <v>378</v>
      </c>
      <c r="NO3" s="74" t="s">
        <v>379</v>
      </c>
      <c r="NP3" s="74" t="s">
        <v>380</v>
      </c>
      <c r="NQ3" s="74" t="s">
        <v>381</v>
      </c>
      <c r="NR3" s="74" t="s">
        <v>382</v>
      </c>
      <c r="NS3" s="74" t="s">
        <v>383</v>
      </c>
      <c r="NT3" s="74" t="s">
        <v>384</v>
      </c>
      <c r="NU3" s="75" t="s">
        <v>385</v>
      </c>
      <c r="NV3" s="76" t="s">
        <v>386</v>
      </c>
      <c r="NW3" s="77" t="s">
        <v>387</v>
      </c>
      <c r="NX3" s="78" t="s">
        <v>388</v>
      </c>
      <c r="NY3" s="75" t="s">
        <v>389</v>
      </c>
      <c r="NZ3" s="255" t="s">
        <v>390</v>
      </c>
    </row>
    <row r="4" spans="1:390" s="86" customFormat="1" ht="15.75" customHeight="1" x14ac:dyDescent="0.3">
      <c r="A4" s="37">
        <v>4387508752</v>
      </c>
      <c r="B4" s="171" t="s">
        <v>391</v>
      </c>
      <c r="C4" s="172" t="s">
        <v>392</v>
      </c>
      <c r="D4" s="173" t="s">
        <v>391</v>
      </c>
      <c r="E4" s="121" t="s">
        <v>739</v>
      </c>
      <c r="F4" s="121" t="s">
        <v>408</v>
      </c>
      <c r="G4" s="96" t="s">
        <v>395</v>
      </c>
      <c r="H4" s="182">
        <v>43266</v>
      </c>
      <c r="I4" s="174" t="s">
        <v>740</v>
      </c>
      <c r="J4" s="83" t="s">
        <v>741</v>
      </c>
      <c r="K4" s="83" t="s">
        <v>398</v>
      </c>
      <c r="L4" s="83" t="s">
        <v>398</v>
      </c>
      <c r="M4" s="175" t="s">
        <v>398</v>
      </c>
      <c r="N4" s="175" t="s">
        <v>398</v>
      </c>
      <c r="O4" s="175" t="s">
        <v>398</v>
      </c>
      <c r="P4" s="175" t="s">
        <v>398</v>
      </c>
      <c r="Q4" s="175" t="s">
        <v>398</v>
      </c>
      <c r="R4" s="175" t="s">
        <v>398</v>
      </c>
      <c r="S4" s="175" t="s">
        <v>398</v>
      </c>
      <c r="T4" s="175" t="s">
        <v>398</v>
      </c>
      <c r="U4" s="175" t="s">
        <v>398</v>
      </c>
      <c r="V4" s="175" t="s">
        <v>398</v>
      </c>
      <c r="W4" s="175" t="s">
        <v>398</v>
      </c>
      <c r="X4" s="175" t="s">
        <v>398</v>
      </c>
      <c r="Y4" s="175" t="s">
        <v>398</v>
      </c>
      <c r="Z4" s="175" t="s">
        <v>398</v>
      </c>
      <c r="AA4" s="175" t="s">
        <v>398</v>
      </c>
      <c r="AB4" s="120" t="s">
        <v>399</v>
      </c>
      <c r="AC4" s="111">
        <v>15882</v>
      </c>
      <c r="AD4" s="176">
        <v>43213</v>
      </c>
      <c r="AE4" s="108">
        <f>DATEDIF(AC4, AD4,"Y")</f>
        <v>74</v>
      </c>
      <c r="AF4" s="192" t="s">
        <v>742</v>
      </c>
      <c r="AG4" s="79" t="s">
        <v>401</v>
      </c>
      <c r="AH4" s="188" t="s">
        <v>402</v>
      </c>
      <c r="AI4" s="95" t="s">
        <v>455</v>
      </c>
      <c r="AJ4" s="193" t="s">
        <v>404</v>
      </c>
      <c r="AK4" s="95" t="s">
        <v>404</v>
      </c>
      <c r="AL4" s="190">
        <v>0</v>
      </c>
      <c r="AM4" s="79" t="s">
        <v>456</v>
      </c>
      <c r="AN4" s="95">
        <v>2</v>
      </c>
      <c r="AO4" s="177" t="s">
        <v>398</v>
      </c>
      <c r="AP4" s="79" t="s">
        <v>391</v>
      </c>
      <c r="AQ4" s="91" t="s">
        <v>398</v>
      </c>
      <c r="AR4" s="178"/>
      <c r="AS4" s="92"/>
      <c r="AT4" s="93"/>
      <c r="AU4" s="93"/>
      <c r="AV4" s="92"/>
      <c r="AW4" s="91"/>
      <c r="AX4" s="93"/>
      <c r="AY4" s="92"/>
      <c r="AZ4" s="93"/>
      <c r="BA4" s="93"/>
      <c r="BB4" s="91"/>
      <c r="BC4" s="93"/>
      <c r="BD4" s="93"/>
      <c r="BE4" s="92"/>
      <c r="BF4" s="93"/>
      <c r="BG4" s="91"/>
      <c r="BH4" s="92"/>
      <c r="BI4" s="93"/>
      <c r="BJ4" s="93"/>
      <c r="BK4" s="92"/>
      <c r="BL4" s="91"/>
      <c r="BM4" s="93"/>
      <c r="BN4" s="93"/>
      <c r="BO4" s="92"/>
      <c r="BP4" s="92"/>
      <c r="BQ4" s="91"/>
      <c r="BR4" s="93"/>
      <c r="BS4" s="92"/>
      <c r="BT4" s="92"/>
      <c r="BU4" s="92"/>
      <c r="BV4" s="91"/>
      <c r="BW4" s="92"/>
      <c r="BX4" s="92"/>
      <c r="BY4" s="92" t="s">
        <v>405</v>
      </c>
      <c r="BZ4" s="92"/>
      <c r="CA4" s="91"/>
      <c r="CB4" s="92"/>
      <c r="CC4" s="92"/>
      <c r="CD4" s="92"/>
      <c r="CE4" s="92"/>
      <c r="CF4" s="91"/>
      <c r="CG4" s="92"/>
      <c r="CH4" s="92"/>
      <c r="CI4" s="92"/>
      <c r="CJ4" s="92"/>
      <c r="CK4" s="91"/>
      <c r="CL4" s="92"/>
      <c r="CM4" s="92"/>
      <c r="CN4" s="92"/>
      <c r="CO4" s="92"/>
      <c r="CP4" s="91"/>
      <c r="CQ4" s="92"/>
      <c r="CR4" s="93"/>
      <c r="CS4" s="93"/>
      <c r="CT4" s="92"/>
      <c r="CU4" s="91"/>
      <c r="CV4" s="93"/>
      <c r="CW4" s="92"/>
      <c r="CX4" s="93"/>
      <c r="CY4" s="93"/>
      <c r="CZ4" s="91"/>
      <c r="DA4" s="93"/>
      <c r="DB4" s="93"/>
      <c r="DC4" s="92"/>
      <c r="DD4" s="93"/>
      <c r="DE4" s="91"/>
      <c r="DF4" s="92"/>
      <c r="DG4" s="93"/>
      <c r="DH4" s="93"/>
      <c r="DI4" s="92"/>
      <c r="DJ4" s="91"/>
      <c r="DK4" s="93"/>
      <c r="DL4" s="93"/>
      <c r="DM4" s="92"/>
      <c r="DN4" s="92"/>
      <c r="DO4" s="91"/>
      <c r="DP4" s="93"/>
      <c r="DQ4" s="92"/>
      <c r="DR4" s="92"/>
      <c r="DS4" s="92"/>
      <c r="DT4" s="91"/>
      <c r="DU4" s="92"/>
      <c r="DV4" s="92"/>
      <c r="DW4" s="92"/>
      <c r="DX4" s="92"/>
      <c r="DY4" s="91"/>
      <c r="DZ4" s="92"/>
      <c r="EA4" s="92"/>
      <c r="EB4" s="92"/>
      <c r="EC4" s="92"/>
      <c r="ED4" s="91"/>
      <c r="EE4" s="92"/>
      <c r="EF4" s="92"/>
      <c r="EG4" s="92"/>
      <c r="EH4" s="92"/>
      <c r="EI4" s="91"/>
      <c r="EJ4" s="92"/>
      <c r="EK4" s="92"/>
      <c r="EL4" s="92"/>
      <c r="EM4" s="92"/>
      <c r="EN4" s="91"/>
      <c r="EO4" s="92"/>
      <c r="EP4" s="92"/>
      <c r="EQ4" s="92"/>
      <c r="ER4" s="92"/>
      <c r="ES4" s="91"/>
      <c r="ET4" s="92"/>
      <c r="EU4" s="92"/>
      <c r="EV4" s="92"/>
      <c r="EW4" s="92"/>
      <c r="EX4" s="91"/>
      <c r="EY4" s="92"/>
      <c r="EZ4" s="92"/>
      <c r="FA4" s="92"/>
      <c r="FB4" s="92"/>
      <c r="FC4" s="91"/>
      <c r="FD4" s="84"/>
      <c r="FE4" s="90"/>
      <c r="FF4" s="92"/>
      <c r="FG4" s="92"/>
      <c r="FH4" s="91"/>
      <c r="FI4" s="92"/>
      <c r="FJ4" s="92"/>
      <c r="FK4" s="92"/>
      <c r="FL4" s="93"/>
      <c r="FM4" s="89"/>
      <c r="FN4" s="89"/>
      <c r="FO4" s="89"/>
      <c r="FP4" s="89"/>
      <c r="FQ4" s="89"/>
      <c r="FR4" s="89"/>
      <c r="FS4" s="89"/>
      <c r="FT4" s="89"/>
      <c r="FU4" s="89"/>
      <c r="FV4" s="89"/>
      <c r="FW4" s="89"/>
      <c r="FX4" s="89"/>
      <c r="FY4" s="89"/>
      <c r="FZ4" s="89"/>
      <c r="GA4" s="89"/>
      <c r="GB4" s="89"/>
      <c r="GC4" s="89"/>
      <c r="GD4" s="89"/>
      <c r="GE4" s="89"/>
      <c r="GF4" s="89"/>
      <c r="GG4" s="89"/>
      <c r="GH4" s="89"/>
      <c r="GI4" s="89"/>
      <c r="GJ4" s="89"/>
      <c r="GK4" s="89"/>
      <c r="GL4" s="89"/>
      <c r="GM4" s="89"/>
      <c r="GN4" s="89"/>
      <c r="GO4" s="89"/>
      <c r="GP4" s="91"/>
      <c r="GQ4" s="92"/>
      <c r="GR4" s="93"/>
      <c r="GS4" s="93"/>
      <c r="GT4" s="92"/>
      <c r="GU4" s="91"/>
      <c r="GV4" s="92"/>
      <c r="GW4" s="93"/>
      <c r="GX4" s="92"/>
      <c r="GY4" s="92"/>
      <c r="GZ4" s="91"/>
      <c r="HA4" s="92"/>
      <c r="HB4" s="93"/>
      <c r="HC4" s="92"/>
      <c r="HD4" s="92"/>
      <c r="HE4" s="91"/>
      <c r="HF4" s="92"/>
      <c r="HG4" s="93"/>
      <c r="HH4" s="92"/>
      <c r="HI4" s="92"/>
      <c r="HJ4" s="91"/>
      <c r="HK4" s="92"/>
      <c r="HL4" s="93"/>
      <c r="HM4" s="92"/>
      <c r="HN4" s="92"/>
      <c r="HO4" s="91"/>
      <c r="HP4" s="92"/>
      <c r="HQ4" s="93"/>
      <c r="HR4" s="92"/>
      <c r="HS4" s="92"/>
      <c r="HT4" s="91"/>
      <c r="HU4" s="92"/>
      <c r="HV4" s="93"/>
      <c r="HW4" s="92"/>
      <c r="HX4" s="92"/>
      <c r="HY4" s="91"/>
      <c r="HZ4" s="92"/>
      <c r="IA4" s="93"/>
      <c r="IB4" s="92"/>
      <c r="IC4" s="92"/>
      <c r="ID4" s="91"/>
      <c r="IE4" s="92"/>
      <c r="IF4" s="93"/>
      <c r="IG4" s="92"/>
      <c r="IH4" s="92"/>
      <c r="II4" s="91"/>
      <c r="IJ4" s="92"/>
      <c r="IK4" s="93"/>
      <c r="IL4" s="92"/>
      <c r="IM4" s="92"/>
      <c r="IN4" s="91"/>
      <c r="IO4" s="92"/>
      <c r="IP4" s="92"/>
      <c r="IQ4" s="92"/>
      <c r="IR4" s="92"/>
      <c r="IS4" s="91"/>
      <c r="IT4" s="92"/>
      <c r="IU4" s="92"/>
      <c r="IV4" s="92"/>
      <c r="IW4" s="92"/>
      <c r="IX4" s="91"/>
      <c r="IY4" s="92"/>
      <c r="IZ4" s="92"/>
      <c r="JA4" s="92"/>
      <c r="JB4" s="92"/>
      <c r="JC4" s="91"/>
      <c r="JD4" s="92"/>
      <c r="JE4" s="92"/>
      <c r="JF4" s="92"/>
      <c r="JG4" s="94"/>
      <c r="JH4" s="91"/>
      <c r="JI4" s="90"/>
      <c r="JJ4" s="92"/>
      <c r="JK4" s="92"/>
      <c r="JL4" s="94"/>
      <c r="JM4" s="95"/>
      <c r="JN4" s="85"/>
      <c r="JO4" s="79"/>
      <c r="JP4" s="96"/>
      <c r="JQ4" s="82"/>
      <c r="JR4" s="82"/>
      <c r="JS4" s="81" t="s">
        <v>406</v>
      </c>
      <c r="JT4" s="97"/>
      <c r="JU4" s="98">
        <f>IFERROR((YEARFRAC($AD4,$AT4)*12),"N/A")</f>
        <v>1419.7666666666667</v>
      </c>
      <c r="JV4" s="98">
        <f>IFERROR((YEARFRAC($AD4,$AU4)*12),"N/A")</f>
        <v>1419.7666666666667</v>
      </c>
      <c r="JW4" s="98">
        <f>IFERROR((YEARFRAC($AD4,$AY4)*12),"N/A")</f>
        <v>1419.7666666666667</v>
      </c>
      <c r="JX4" s="98">
        <f>IFERROR((YEARFRAC($AD4,$AZ4)*12),"N/A")</f>
        <v>1419.7666666666667</v>
      </c>
      <c r="JY4" s="98">
        <f>IFERROR((YEARFRAC($AD4,$BD4)*12),"N/A")</f>
        <v>1419.7666666666667</v>
      </c>
      <c r="JZ4" s="98">
        <f>IFERROR((YEARFRAC($AD4,$BE4)*12),"N/A")</f>
        <v>1419.7666666666667</v>
      </c>
      <c r="KA4" s="98">
        <f>IFERROR((YEARFRAC($AD4,$BI4)*12),"N/A")</f>
        <v>1419.7666666666667</v>
      </c>
      <c r="KB4" s="98">
        <f>IFERROR((YEARFRAC($AD4,$BJ4)*12),"N/A")</f>
        <v>1419.7666666666667</v>
      </c>
      <c r="KC4" s="98">
        <f>IFERROR((YEARFRAC($AD4,$BN4)*12),"N/A")</f>
        <v>1419.7666666666667</v>
      </c>
      <c r="KD4" s="98">
        <f>IFERROR((YEARFRAC($AD4,$BO4)*12),"N/A")</f>
        <v>1419.7666666666667</v>
      </c>
      <c r="KE4" s="98">
        <f>IFERROR((YEARFRAC($AD4,$BS4)*12),"N/A")</f>
        <v>1419.7666666666667</v>
      </c>
      <c r="KF4" s="98">
        <f>IFERROR((YEARFRAC($AD4,$BT4)*12),"N/A")</f>
        <v>1419.7666666666667</v>
      </c>
      <c r="KG4" s="98">
        <f>IFERROR((YEARFRAC($AD4,$BX4)*12),"N/A")</f>
        <v>1419.7666666666667</v>
      </c>
      <c r="KH4" s="98" t="str">
        <f>IFERROR((YEARFRAC($AD4,$BY4)*12),"N/A")</f>
        <v>N/A</v>
      </c>
      <c r="KI4" s="98">
        <f>IFERROR((YEARFRAC($AD4,$CC4)*12),"N/A")</f>
        <v>1419.7666666666667</v>
      </c>
      <c r="KJ4" s="98">
        <f>IFERROR((YEARFRAC($AD4,$CD4)*12),"N/A")</f>
        <v>1419.7666666666667</v>
      </c>
      <c r="KK4" s="98">
        <f>IFERROR((YEARFRAC($AD4,$CH4)*12),"N/A")</f>
        <v>1419.7666666666667</v>
      </c>
      <c r="KL4" s="98">
        <f>IFERROR((YEARFRAC($AD4,$CI4)*12),"N/A")</f>
        <v>1419.7666666666667</v>
      </c>
      <c r="KM4" s="98">
        <f>IFERROR((YEARFRAC($AD4,$CM4)*12),"N/A")</f>
        <v>1419.7666666666667</v>
      </c>
      <c r="KN4" s="98">
        <f>IFERROR((YEARFRAC($AD4,$CN4)*12),"N/A")</f>
        <v>1419.7666666666667</v>
      </c>
      <c r="KO4" s="98">
        <f>IFERROR((YEARFRAC($AD4,$H4)*12),"N/A")</f>
        <v>1.7333333333333332</v>
      </c>
      <c r="KP4" s="98" t="str">
        <f>IFERROR((YEARFRAC($AD4,$K4)*12),"N/A")</f>
        <v>N/A</v>
      </c>
      <c r="KQ4" s="98" t="str">
        <f>IFERROR((YEARFRAC($AD4,$P4)*12),"N/A")</f>
        <v>N/A</v>
      </c>
      <c r="KR4" s="98" t="str">
        <f>IFERROR((YEARFRAC($AD4,$U4)*12),"N/A")</f>
        <v>N/A</v>
      </c>
      <c r="KS4" s="98" t="str">
        <f>IFERROR((YEARFRAC($AD4,$Z4)*12),"N/A")</f>
        <v>N/A</v>
      </c>
      <c r="KT4" s="98">
        <f>IFERROR((YEARFRAC($AD4,$CR4)*12),"N/A")</f>
        <v>1419.7666666666667</v>
      </c>
      <c r="KU4" s="98">
        <f>IFERROR((YEARFRAC($AD4,$CS4)*12),"N/A")</f>
        <v>1419.7666666666667</v>
      </c>
      <c r="KV4" s="98">
        <f>IFERROR((YEARFRAC($AD4,$CW4)*12),"N/A")</f>
        <v>1419.7666666666667</v>
      </c>
      <c r="KW4" s="98">
        <f>IFERROR((YEARFRAC($AD4,$CX4)*12),"N/A")</f>
        <v>1419.7666666666667</v>
      </c>
      <c r="KX4" s="98">
        <f>IFERROR((YEARFRAC($AD4,$DB4)*12),"N/A")</f>
        <v>1419.7666666666667</v>
      </c>
      <c r="KY4" s="98">
        <f>IFERROR((YEARFRAC($AD4,$DC4)*12),"N/A")</f>
        <v>1419.7666666666667</v>
      </c>
      <c r="KZ4" s="98">
        <f>IFERROR((YEARFRAC($AD4,$DG4)*12),"N/A")</f>
        <v>1419.7666666666667</v>
      </c>
      <c r="LA4" s="98">
        <f>IFERROR((YEARFRAC($AD4,$DH4)*12),"N/A")</f>
        <v>1419.7666666666667</v>
      </c>
      <c r="LB4" s="98">
        <f>IFERROR((YEARFRAC($AD4,$DL4)*12),"N/A")</f>
        <v>1419.7666666666667</v>
      </c>
      <c r="LC4" s="98">
        <f>IFERROR((YEARFRAC($AD4,$DM4)*12),"N/A")</f>
        <v>1419.7666666666667</v>
      </c>
      <c r="LD4" s="98">
        <f>IFERROR((YEARFRAC($AD4,$DQ4)*12),"N/A")</f>
        <v>1419.7666666666667</v>
      </c>
      <c r="LE4" s="98">
        <f>IFERROR((YEARFRAC($AD4,$DR4)*12),"N/A")</f>
        <v>1419.7666666666667</v>
      </c>
      <c r="LF4" s="98">
        <f>IFERROR((YEARFRAC($AD4,$DV4)*12),"N/A")</f>
        <v>1419.7666666666667</v>
      </c>
      <c r="LG4" s="98">
        <f>IFERROR((YEARFRAC($AD4,$DW4)*12),"N/A")</f>
        <v>1419.7666666666667</v>
      </c>
      <c r="LH4" s="98">
        <f>IFERROR((YEARFRAC($AD4,$EA4)*12),"N/A")</f>
        <v>1419.7666666666667</v>
      </c>
      <c r="LI4" s="98">
        <f>IFERROR((YEARFRAC($AD4,$EB4)*12),"N/A")</f>
        <v>1419.7666666666667</v>
      </c>
      <c r="LJ4" s="98">
        <f>IFERROR((YEARFRAC($AD4,$EF4)*12),"N/A")</f>
        <v>1419.7666666666667</v>
      </c>
      <c r="LK4" s="98">
        <f>IFERROR((YEARFRAC($AD4,$EG4)*12),"N/A")</f>
        <v>1419.7666666666667</v>
      </c>
      <c r="LL4" s="98">
        <f>IFERROR((YEARFRAC($AD4,$EK4)*12),"N/A")</f>
        <v>1419.7666666666667</v>
      </c>
      <c r="LM4" s="98">
        <f>IFERROR((YEARFRAC($AD4,$EL4)*12),"N/A")</f>
        <v>1419.7666666666667</v>
      </c>
      <c r="LN4" s="98">
        <f>IFERROR((YEARFRAC($AD4,$EP4)*12),"N/A")</f>
        <v>1419.7666666666667</v>
      </c>
      <c r="LO4" s="98">
        <f>IFERROR((YEARFRAC($AD4,$EQ4)*12),"N/A")</f>
        <v>1419.7666666666667</v>
      </c>
      <c r="LP4" s="98">
        <f>IFERROR((YEARFRAC($AD4,$EU4)*12),"N/A")</f>
        <v>1419.7666666666667</v>
      </c>
      <c r="LQ4" s="98">
        <f>IFERROR((YEARFRAC($AD4,$EV4)*12),"N/A")</f>
        <v>1419.7666666666667</v>
      </c>
      <c r="LR4" s="98">
        <f>IFERROR((YEARFRAC($AD4,$EZ4)*12),"N/A")</f>
        <v>1419.7666666666667</v>
      </c>
      <c r="LS4" s="98">
        <f>IFERROR((YEARFRAC($AD4,$FA4)*12),"N/A")</f>
        <v>1419.7666666666667</v>
      </c>
      <c r="LT4" s="98">
        <f>IFERROR((YEARFRAC($AD4,$EE4)*12),"N/A")</f>
        <v>1419.7666666666667</v>
      </c>
      <c r="LU4" s="98">
        <f>IFERROR((YEARFRAC($AD4,$EF4)*12),"N/A")</f>
        <v>1419.7666666666667</v>
      </c>
      <c r="LV4" s="98">
        <f>IFERROR((YEARFRAC($AD4,$FJ4)*12),"N/A")</f>
        <v>1419.7666666666667</v>
      </c>
      <c r="LW4" s="98">
        <f>IFERROR((YEARFRAC($AD4,$FK4)*12),"N/A")</f>
        <v>1419.7666666666667</v>
      </c>
      <c r="LX4" s="98">
        <f>IFERROR((YEARFRAC($AD4,$FL4)*12),"N/A")</f>
        <v>1419.7666666666667</v>
      </c>
      <c r="LY4" s="98">
        <f>IFERROR((YEARFRAC($AD4,$FN4)*12),"N/A")</f>
        <v>1419.7666666666667</v>
      </c>
      <c r="LZ4" s="98">
        <f>IFERROR((YEARFRAC($AD4,$FP4)*12),"N/A")</f>
        <v>1419.7666666666667</v>
      </c>
      <c r="MA4" s="98">
        <f>IFERROR((YEARFRAC($AD4,$FR4)*12),"N/A")</f>
        <v>1419.7666666666667</v>
      </c>
      <c r="MB4" s="98">
        <f>IFERROR((YEARFRAC($AD4,$FT4)*12),"N/A")</f>
        <v>1419.7666666666667</v>
      </c>
      <c r="MC4" s="98">
        <f>IFERROR((YEARFRAC($AD4,$FV4)*12),"N/A")</f>
        <v>1419.7666666666667</v>
      </c>
      <c r="MD4" s="98">
        <f>IFERROR((YEARFRAC($AD4,$FX4)*12),"N/A")</f>
        <v>1419.7666666666667</v>
      </c>
      <c r="ME4" s="98">
        <f>IFERROR((YEARFRAC($AD4,$FZ4)*12),"N/A")</f>
        <v>1419.7666666666667</v>
      </c>
      <c r="MF4" s="98">
        <f>IFERROR((YEARFRAC($AD4,$GB4)*12),"N/A")</f>
        <v>1419.7666666666667</v>
      </c>
      <c r="MG4" s="98">
        <f>IFERROR((YEARFRAC($AD4,$GD4)*12),"N/A")</f>
        <v>1419.7666666666667</v>
      </c>
      <c r="MH4" s="98">
        <f>IFERROR((YEARFRAC($AD4,$GF4)*12),"N/A")</f>
        <v>1419.7666666666667</v>
      </c>
      <c r="MI4" s="98">
        <f>IFERROR((YEARFRAC($AD4,$GH4)*12),"N/A")</f>
        <v>1419.7666666666667</v>
      </c>
      <c r="MJ4" s="98">
        <f>IFERROR((YEARFRAC($AD4,$GJ4)*12),"N/A")</f>
        <v>1419.7666666666667</v>
      </c>
      <c r="MK4" s="98">
        <f>IFERROR((YEARFRAC($AD4,$GL4)*12),"N/A")</f>
        <v>1419.7666666666667</v>
      </c>
      <c r="ML4" s="98">
        <f>IFERROR((YEARFRAC($AD4,$GN4)*12),"N/A")</f>
        <v>1419.7666666666667</v>
      </c>
      <c r="MM4" s="98">
        <f>IFERROR((YEARFRAC($AD4,$GR4)*12),"N/A")</f>
        <v>1419.7666666666667</v>
      </c>
      <c r="MN4" s="98">
        <f>IFERROR((YEARFRAC($AD4,$GS4)*12),"N/A")</f>
        <v>1419.7666666666667</v>
      </c>
      <c r="MO4" s="98">
        <f>IFERROR((YEARFRAC($AD4,$GW4)*12),"N/A")</f>
        <v>1419.7666666666667</v>
      </c>
      <c r="MP4" s="98">
        <f>IFERROR((YEARFRAC($AD4,$GX4)*12),"N/A")</f>
        <v>1419.7666666666667</v>
      </c>
      <c r="MQ4" s="98">
        <f>IFERROR((YEARFRAC($AD4,$HB4)*12),"N/A")</f>
        <v>1419.7666666666667</v>
      </c>
      <c r="MR4" s="98">
        <f>IFERROR((YEARFRAC($AD4,$HC4)*12),"N/A")</f>
        <v>1419.7666666666667</v>
      </c>
      <c r="MS4" s="98">
        <f>IFERROR((YEARFRAC($AD4,$HG4)*12),"N/A")</f>
        <v>1419.7666666666667</v>
      </c>
      <c r="MT4" s="98">
        <f>IFERROR((YEARFRAC($AD4,$HH4)*12),"N/A")</f>
        <v>1419.7666666666667</v>
      </c>
      <c r="MU4" s="98">
        <f>IFERROR((YEARFRAC($AD4,$HL4)*12),"N/A")</f>
        <v>1419.7666666666667</v>
      </c>
      <c r="MV4" s="98">
        <f>IFERROR((YEARFRAC($AD4,$HM4)*12),"N/A")</f>
        <v>1419.7666666666667</v>
      </c>
      <c r="MW4" s="98">
        <f>IFERROR((YEARFRAC($AD4,$HQ4)*12),"N/A")</f>
        <v>1419.7666666666667</v>
      </c>
      <c r="MX4" s="98">
        <f>IFERROR((YEARFRAC($AD4,$HR4)*12),"N/A")</f>
        <v>1419.7666666666667</v>
      </c>
      <c r="MY4" s="98">
        <f>IFERROR((YEARFRAC($AD4,$HV4)*12),"N/A")</f>
        <v>1419.7666666666667</v>
      </c>
      <c r="MZ4" s="98">
        <f>IFERROR((YEARFRAC($AD4,$HW4)*12),"N/A")</f>
        <v>1419.7666666666667</v>
      </c>
      <c r="NA4" s="98">
        <f>IFERROR((YEARFRAC($AD4,$IA4)*12),"N/A")</f>
        <v>1419.7666666666667</v>
      </c>
      <c r="NB4" s="98">
        <f>IFERROR((YEARFRAC($AD4,$IB4)*12),"N/A")</f>
        <v>1419.7666666666667</v>
      </c>
      <c r="NC4" s="98">
        <f>IFERROR((YEARFRAC($AD4,$IF4)*12),"N/A")</f>
        <v>1419.7666666666667</v>
      </c>
      <c r="ND4" s="98">
        <f>IFERROR((YEARFRAC($AD4,$IG4)*12),"N/A")</f>
        <v>1419.7666666666667</v>
      </c>
      <c r="NE4" s="98">
        <f>IFERROR((YEARFRAC($AD4,$IK4)*12),"N/A")</f>
        <v>1419.7666666666667</v>
      </c>
      <c r="NF4" s="98">
        <f>IFERROR((YEARFRAC($AD4,$IL4)*12),"N/A")</f>
        <v>1419.7666666666667</v>
      </c>
      <c r="NG4" s="98">
        <f>IFERROR((YEARFRAC($AD4,$IP4)*12),"N/A")</f>
        <v>1419.7666666666667</v>
      </c>
      <c r="NH4" s="98">
        <f>IFERROR((YEARFRAC($AD4,$IQ4)*12),"N/A")</f>
        <v>1419.7666666666667</v>
      </c>
      <c r="NI4" s="98">
        <f>IFERROR((YEARFRAC($AD4,$IU4)*12),"N/A")</f>
        <v>1419.7666666666667</v>
      </c>
      <c r="NJ4" s="98">
        <f>IFERROR((YEARFRAC($AD4,$IV4)*12),"N/A")</f>
        <v>1419.7666666666667</v>
      </c>
      <c r="NK4" s="98">
        <f>IFERROR((YEARFRAC($AD4,$IZ4)*12),"N/A")</f>
        <v>1419.7666666666667</v>
      </c>
      <c r="NL4" s="98">
        <f>IFERROR((YEARFRAC($AD4,$JA4)*12),"N/A")</f>
        <v>1419.7666666666667</v>
      </c>
      <c r="NM4" s="98">
        <f>IFERROR((YEARFRAC($AD4,$JE4)*12),"N/A")</f>
        <v>1419.7666666666667</v>
      </c>
      <c r="NN4" s="98">
        <f>IFERROR((YEARFRAC($AD4,$JF4)*12),"N/A")</f>
        <v>1419.7666666666667</v>
      </c>
      <c r="NO4" s="98">
        <f>IFERROR((YEARFRAC($AD4,$JJ4)*12),"N/A")</f>
        <v>1419.7666666666667</v>
      </c>
      <c r="NP4" s="98">
        <f>IFERROR((YEARFRAC($AD4,$JK4)*12),"N/A")</f>
        <v>1419.7666666666667</v>
      </c>
      <c r="NQ4" s="99">
        <f>$LX4</f>
        <v>1419.7666666666667</v>
      </c>
      <c r="NR4" s="99">
        <f>IFERROR((YEARFRAC($AD4,$JN4)*12),"N/A")</f>
        <v>1419.7666666666667</v>
      </c>
      <c r="NS4" s="99">
        <f>IFERROR((YEARFRAC($AD4,$JQ4)*12),"N/A")</f>
        <v>1419.7666666666667</v>
      </c>
      <c r="NT4" s="99">
        <f>IFERROR((YEARFRAC($AD4,$JR4)*12),"N/A")</f>
        <v>1419.7666666666667</v>
      </c>
      <c r="NU4" s="100">
        <f>SUM($NR4,$NT4)</f>
        <v>2839.5333333333333</v>
      </c>
      <c r="NV4" s="100" cm="1">
        <f t="array" ref="NV4">INDEX($NQ4:$NS4,MATCH(TRUE,INDEX(ISNUMBER($NQ4:$NS4),0),0))</f>
        <v>1419.7666666666667</v>
      </c>
      <c r="NW4" s="101">
        <f>IF($NQ4="N/A",0,1)</f>
        <v>1</v>
      </c>
      <c r="NX4" s="101">
        <f>IF($JO4="Yes",1,0)</f>
        <v>0</v>
      </c>
      <c r="NY4" s="101">
        <f>IF($NR4="N/A",0,1)</f>
        <v>1</v>
      </c>
      <c r="NZ4" s="256" t="str">
        <f>IF(OR($NW4=1,$NX4=1),"1","0")</f>
        <v>1</v>
      </c>
    </row>
    <row r="5" spans="1:390" ht="15.75" customHeight="1" x14ac:dyDescent="0.3">
      <c r="A5" s="102">
        <v>4425695976</v>
      </c>
      <c r="B5" s="171" t="s">
        <v>391</v>
      </c>
      <c r="C5" s="172" t="s">
        <v>392</v>
      </c>
      <c r="D5" s="173" t="s">
        <v>391</v>
      </c>
      <c r="E5" s="121" t="s">
        <v>743</v>
      </c>
      <c r="F5" s="121" t="s">
        <v>465</v>
      </c>
      <c r="G5" s="175" t="s">
        <v>448</v>
      </c>
      <c r="H5" s="183">
        <v>43270</v>
      </c>
      <c r="I5" s="103" t="s">
        <v>744</v>
      </c>
      <c r="J5" s="83" t="s">
        <v>741</v>
      </c>
      <c r="K5" s="83" t="s">
        <v>398</v>
      </c>
      <c r="L5" s="83" t="s">
        <v>398</v>
      </c>
      <c r="M5" s="175" t="s">
        <v>398</v>
      </c>
      <c r="N5" s="175" t="s">
        <v>398</v>
      </c>
      <c r="O5" s="175" t="s">
        <v>398</v>
      </c>
      <c r="P5" s="175" t="s">
        <v>398</v>
      </c>
      <c r="Q5" s="175" t="s">
        <v>398</v>
      </c>
      <c r="R5" s="175" t="s">
        <v>398</v>
      </c>
      <c r="S5" s="175" t="s">
        <v>398</v>
      </c>
      <c r="T5" s="175" t="s">
        <v>398</v>
      </c>
      <c r="U5" s="175" t="s">
        <v>398</v>
      </c>
      <c r="V5" s="175" t="s">
        <v>398</v>
      </c>
      <c r="W5" s="175" t="s">
        <v>398</v>
      </c>
      <c r="X5" s="175" t="s">
        <v>398</v>
      </c>
      <c r="Y5" s="175" t="s">
        <v>398</v>
      </c>
      <c r="Z5" s="175" t="s">
        <v>398</v>
      </c>
      <c r="AA5" s="175" t="s">
        <v>398</v>
      </c>
      <c r="AB5" s="120" t="s">
        <v>399</v>
      </c>
      <c r="AC5" s="111">
        <v>15773</v>
      </c>
      <c r="AD5" s="180">
        <v>43270</v>
      </c>
      <c r="AE5" s="108">
        <f t="shared" ref="AE5:AE8" si="0">DATEDIF(AC5, AD5,"Y")</f>
        <v>75</v>
      </c>
      <c r="AF5" s="181" t="s">
        <v>411</v>
      </c>
      <c r="AG5" s="79" t="s">
        <v>401</v>
      </c>
      <c r="AH5" s="188" t="s">
        <v>402</v>
      </c>
      <c r="AI5" s="110">
        <v>2</v>
      </c>
      <c r="AJ5" s="110">
        <v>0</v>
      </c>
      <c r="AK5" s="95" t="s">
        <v>404</v>
      </c>
      <c r="AL5" s="191">
        <v>0</v>
      </c>
      <c r="AM5" s="79" t="s">
        <v>424</v>
      </c>
      <c r="AN5" s="95">
        <v>1</v>
      </c>
      <c r="AO5" s="177" t="s">
        <v>398</v>
      </c>
      <c r="AP5" s="79" t="s">
        <v>391</v>
      </c>
      <c r="AQ5" s="91" t="s">
        <v>398</v>
      </c>
      <c r="AR5" s="178"/>
      <c r="AS5" s="104"/>
      <c r="AT5" s="104"/>
      <c r="AU5" s="104"/>
      <c r="AV5" s="104"/>
      <c r="AW5" s="91"/>
      <c r="AX5" s="104"/>
      <c r="AY5" s="104"/>
      <c r="AZ5" s="104"/>
      <c r="BA5" s="104"/>
      <c r="BB5" s="91"/>
      <c r="BC5" s="104"/>
      <c r="BD5" s="104"/>
      <c r="BE5" s="104"/>
      <c r="BF5" s="104"/>
      <c r="BG5" s="91"/>
      <c r="BH5" s="104"/>
      <c r="BI5" s="104"/>
      <c r="BJ5" s="104"/>
      <c r="BK5" s="104"/>
      <c r="BL5" s="91"/>
      <c r="BM5" s="104"/>
      <c r="BN5" s="104"/>
      <c r="BO5" s="104"/>
      <c r="BP5" s="104"/>
      <c r="BQ5" s="91"/>
      <c r="BR5" s="104"/>
      <c r="BS5" s="104"/>
      <c r="BT5" s="104"/>
      <c r="BU5" s="104"/>
      <c r="BV5" s="91"/>
      <c r="BW5" s="104"/>
      <c r="BX5" s="104"/>
      <c r="BY5" s="104"/>
      <c r="BZ5" s="104"/>
      <c r="CA5" s="91"/>
      <c r="CB5" s="104"/>
      <c r="CC5" s="104"/>
      <c r="CD5" s="104"/>
      <c r="CE5" s="104"/>
      <c r="CF5" s="91"/>
      <c r="CG5" s="104"/>
      <c r="CH5" s="104"/>
      <c r="CI5" s="104"/>
      <c r="CJ5" s="104"/>
      <c r="CK5" s="91"/>
      <c r="CL5" s="104"/>
      <c r="CM5" s="104"/>
      <c r="CN5" s="104"/>
      <c r="CO5" s="104"/>
      <c r="CP5" s="91"/>
      <c r="CQ5" s="104"/>
      <c r="CR5" s="104"/>
      <c r="CS5" s="104"/>
      <c r="CT5" s="104"/>
      <c r="CU5" s="91"/>
      <c r="CV5" s="104"/>
      <c r="CW5" s="104"/>
      <c r="CX5" s="104"/>
      <c r="CY5" s="104"/>
      <c r="CZ5" s="91"/>
      <c r="DA5" s="104"/>
      <c r="DB5" s="104"/>
      <c r="DC5" s="104"/>
      <c r="DD5" s="104"/>
      <c r="DE5" s="91"/>
      <c r="DF5" s="104"/>
      <c r="DG5" s="104"/>
      <c r="DH5" s="104"/>
      <c r="DI5" s="104"/>
      <c r="DJ5" s="91"/>
      <c r="DK5" s="104"/>
      <c r="DL5" s="104"/>
      <c r="DM5" s="104"/>
      <c r="DN5" s="104"/>
      <c r="DO5" s="91"/>
      <c r="DP5" s="104"/>
      <c r="DQ5" s="104"/>
      <c r="DR5" s="104"/>
      <c r="DS5" s="104"/>
      <c r="DT5" s="91"/>
      <c r="DU5" s="104"/>
      <c r="DV5" s="104"/>
      <c r="DW5" s="104"/>
      <c r="DX5" s="104"/>
      <c r="DY5" s="91"/>
      <c r="DZ5" s="104"/>
      <c r="EA5" s="104"/>
      <c r="EB5" s="104"/>
      <c r="EC5" s="104"/>
      <c r="ED5" s="91"/>
      <c r="EE5" s="104"/>
      <c r="EF5" s="104"/>
      <c r="EG5" s="104"/>
      <c r="EH5" s="104"/>
      <c r="EI5" s="91"/>
      <c r="EJ5" s="104"/>
      <c r="EK5" s="104"/>
      <c r="EL5" s="104"/>
      <c r="EM5" s="104"/>
      <c r="EN5" s="91"/>
      <c r="EO5" s="104"/>
      <c r="EP5" s="104"/>
      <c r="EQ5" s="104"/>
      <c r="ER5" s="104"/>
      <c r="ES5" s="91"/>
      <c r="ET5" s="104"/>
      <c r="EU5" s="104"/>
      <c r="EV5" s="104"/>
      <c r="EW5" s="104"/>
      <c r="EX5" s="91"/>
      <c r="EY5" s="104"/>
      <c r="EZ5" s="104"/>
      <c r="FA5" s="104"/>
      <c r="FB5" s="104"/>
      <c r="FC5" s="91"/>
      <c r="FD5" s="104"/>
      <c r="FE5" s="104"/>
      <c r="FF5" s="104"/>
      <c r="FG5" s="104"/>
      <c r="FH5" s="91"/>
      <c r="FI5" s="104"/>
      <c r="FJ5" s="104"/>
      <c r="FK5" s="104"/>
      <c r="FL5" s="104"/>
      <c r="FM5" s="104"/>
      <c r="FN5" s="104"/>
      <c r="FO5" s="104"/>
      <c r="FP5" s="104"/>
      <c r="FQ5" s="104"/>
      <c r="FR5" s="104"/>
      <c r="FS5" s="104"/>
      <c r="FT5" s="104"/>
      <c r="FU5" s="104"/>
      <c r="FV5" s="104"/>
      <c r="FW5" s="104"/>
      <c r="FX5" s="104"/>
      <c r="FY5" s="104"/>
      <c r="FZ5" s="104"/>
      <c r="GA5" s="104"/>
      <c r="GB5" s="104"/>
      <c r="GC5" s="104"/>
      <c r="GD5" s="104"/>
      <c r="GE5" s="104"/>
      <c r="GF5" s="104"/>
      <c r="GG5" s="104"/>
      <c r="GH5" s="104"/>
      <c r="GI5" s="104"/>
      <c r="GJ5" s="104"/>
      <c r="GK5" s="104"/>
      <c r="GL5" s="104"/>
      <c r="GM5" s="104"/>
      <c r="GN5" s="104"/>
      <c r="GO5" s="104"/>
      <c r="GP5" s="91"/>
      <c r="GQ5" s="104"/>
      <c r="GR5" s="104"/>
      <c r="GS5" s="104"/>
      <c r="GT5" s="104"/>
      <c r="GU5" s="91"/>
      <c r="GV5" s="104"/>
      <c r="GW5" s="104"/>
      <c r="GX5" s="104"/>
      <c r="GY5" s="104"/>
      <c r="GZ5" s="91"/>
      <c r="HA5" s="104"/>
      <c r="HB5" s="104"/>
      <c r="HC5" s="104"/>
      <c r="HD5" s="104"/>
      <c r="HE5" s="91"/>
      <c r="HF5" s="104"/>
      <c r="HG5" s="104"/>
      <c r="HH5" s="104"/>
      <c r="HI5" s="104"/>
      <c r="HJ5" s="91"/>
      <c r="HK5" s="104"/>
      <c r="HL5" s="104"/>
      <c r="HM5" s="104"/>
      <c r="HN5" s="104"/>
      <c r="HO5" s="91"/>
      <c r="HP5" s="104"/>
      <c r="HQ5" s="104"/>
      <c r="HR5" s="104"/>
      <c r="HS5" s="104"/>
      <c r="HT5" s="91"/>
      <c r="HU5" s="104"/>
      <c r="HV5" s="104"/>
      <c r="HW5" s="104"/>
      <c r="HX5" s="104"/>
      <c r="HY5" s="91"/>
      <c r="HZ5" s="104"/>
      <c r="IA5" s="104"/>
      <c r="IB5" s="104"/>
      <c r="IC5" s="104"/>
      <c r="ID5" s="91"/>
      <c r="IE5" s="104"/>
      <c r="IF5" s="104"/>
      <c r="IG5" s="104"/>
      <c r="IH5" s="104"/>
      <c r="II5" s="91"/>
      <c r="IJ5" s="104"/>
      <c r="IK5" s="104"/>
      <c r="IL5" s="104"/>
      <c r="IM5" s="104"/>
      <c r="IN5" s="91"/>
      <c r="IO5" s="104"/>
      <c r="IP5" s="104"/>
      <c r="IQ5" s="104"/>
      <c r="IR5" s="104"/>
      <c r="IS5" s="91"/>
      <c r="IT5" s="104"/>
      <c r="IU5" s="104"/>
      <c r="IV5" s="104"/>
      <c r="IW5" s="104"/>
      <c r="IX5" s="91"/>
      <c r="IY5" s="104"/>
      <c r="IZ5" s="104"/>
      <c r="JA5" s="104"/>
      <c r="JB5" s="104"/>
      <c r="JC5" s="91"/>
      <c r="JD5" s="104"/>
      <c r="JE5" s="104"/>
      <c r="JF5" s="104"/>
      <c r="JG5" s="105"/>
      <c r="JH5" s="91"/>
      <c r="JI5" s="106"/>
      <c r="JJ5" s="104"/>
      <c r="JK5" s="104"/>
      <c r="JL5" s="105"/>
      <c r="JM5" s="95"/>
      <c r="JN5" s="107"/>
      <c r="JO5" s="79"/>
      <c r="JP5" s="106"/>
      <c r="JQ5" s="104"/>
      <c r="JR5" s="104"/>
      <c r="JS5" s="104"/>
      <c r="JT5" s="104"/>
      <c r="JU5" s="104"/>
      <c r="JV5" s="104"/>
      <c r="JW5" s="104"/>
      <c r="JX5" s="104"/>
      <c r="JY5" s="104"/>
      <c r="JZ5" s="104"/>
      <c r="KA5" s="104"/>
      <c r="KB5" s="104"/>
      <c r="KC5" s="104"/>
      <c r="KD5" s="104"/>
      <c r="KE5" s="104"/>
      <c r="KF5" s="104"/>
      <c r="KG5" s="104"/>
      <c r="KH5" s="104"/>
      <c r="KI5" s="104"/>
      <c r="KJ5" s="104"/>
      <c r="KK5" s="104"/>
      <c r="KL5" s="104"/>
      <c r="KM5" s="104"/>
      <c r="KN5" s="104"/>
      <c r="KO5" s="104"/>
      <c r="KP5" s="104"/>
      <c r="KQ5" s="104"/>
      <c r="KR5" s="104"/>
      <c r="KS5" s="104"/>
      <c r="KT5" s="104"/>
      <c r="KU5" s="104"/>
      <c r="KV5" s="104"/>
      <c r="KW5" s="104"/>
      <c r="KX5" s="104"/>
      <c r="KY5" s="104"/>
      <c r="KZ5" s="104"/>
      <c r="LA5" s="104"/>
      <c r="LB5" s="104"/>
      <c r="LC5" s="104"/>
      <c r="LD5" s="104"/>
      <c r="LE5" s="104"/>
      <c r="LF5" s="104"/>
      <c r="LG5" s="104"/>
      <c r="LH5" s="104"/>
      <c r="LI5" s="104"/>
      <c r="LJ5" s="104"/>
      <c r="LK5" s="104"/>
      <c r="LL5" s="104"/>
      <c r="LM5" s="104"/>
      <c r="LN5" s="104"/>
      <c r="LO5" s="104"/>
      <c r="LP5" s="104"/>
      <c r="LQ5" s="104"/>
      <c r="LR5" s="104"/>
      <c r="LS5" s="104"/>
      <c r="LT5" s="104"/>
      <c r="LU5" s="104"/>
      <c r="LV5" s="104"/>
      <c r="LW5" s="104"/>
      <c r="LX5" s="104"/>
      <c r="LY5" s="104"/>
      <c r="LZ5" s="104"/>
      <c r="MA5" s="104"/>
      <c r="MB5" s="104"/>
      <c r="MC5" s="104"/>
      <c r="MD5" s="103"/>
      <c r="ME5" s="103"/>
      <c r="MF5" s="103"/>
      <c r="MG5" s="103"/>
      <c r="MH5" s="103"/>
      <c r="MI5" s="103"/>
      <c r="MJ5" s="103"/>
      <c r="MK5" s="103"/>
      <c r="ML5" s="103"/>
      <c r="MM5" s="103"/>
      <c r="MN5" s="103"/>
      <c r="MO5" s="103"/>
      <c r="MP5" s="103"/>
      <c r="MQ5" s="103"/>
      <c r="MR5" s="103"/>
      <c r="MS5" s="103"/>
      <c r="MT5" s="103"/>
      <c r="MU5" s="103"/>
      <c r="MV5" s="103"/>
      <c r="MW5" s="103"/>
      <c r="MX5" s="103"/>
      <c r="MY5" s="103"/>
      <c r="MZ5" s="103"/>
      <c r="NA5" s="103"/>
      <c r="NB5" s="103"/>
      <c r="NC5" s="103"/>
      <c r="ND5" s="103"/>
      <c r="NE5" s="103"/>
      <c r="NF5" s="103"/>
      <c r="NG5" s="103"/>
      <c r="NH5" s="103"/>
      <c r="NI5" s="103"/>
      <c r="NJ5" s="103"/>
      <c r="NK5" s="103"/>
      <c r="NL5" s="103"/>
      <c r="NM5" s="103"/>
      <c r="NN5" s="103"/>
      <c r="NO5" s="103"/>
      <c r="NP5" s="103"/>
      <c r="NQ5" s="103"/>
      <c r="NR5" s="103"/>
      <c r="NS5" s="103"/>
      <c r="NT5" s="103"/>
      <c r="NU5" s="103"/>
      <c r="NV5" s="103"/>
      <c r="NW5" s="103"/>
      <c r="NX5" s="103"/>
      <c r="NY5" s="104"/>
      <c r="NZ5" s="105"/>
    </row>
    <row r="6" spans="1:390" ht="15.75" customHeight="1" x14ac:dyDescent="0.3">
      <c r="A6" s="110">
        <v>4381015940</v>
      </c>
      <c r="B6" s="171" t="s">
        <v>391</v>
      </c>
      <c r="C6" s="172" t="s">
        <v>392</v>
      </c>
      <c r="D6" s="173" t="s">
        <v>391</v>
      </c>
      <c r="E6" s="121" t="s">
        <v>745</v>
      </c>
      <c r="F6" s="121" t="s">
        <v>488</v>
      </c>
      <c r="G6" s="175" t="s">
        <v>422</v>
      </c>
      <c r="H6" s="182">
        <v>43279</v>
      </c>
      <c r="I6" s="103" t="s">
        <v>746</v>
      </c>
      <c r="J6" s="83" t="s">
        <v>747</v>
      </c>
      <c r="K6" s="83" t="s">
        <v>398</v>
      </c>
      <c r="L6" s="83" t="s">
        <v>398</v>
      </c>
      <c r="M6" s="175" t="s">
        <v>398</v>
      </c>
      <c r="N6" s="175" t="s">
        <v>398</v>
      </c>
      <c r="O6" s="175" t="s">
        <v>398</v>
      </c>
      <c r="P6" s="175" t="s">
        <v>398</v>
      </c>
      <c r="Q6" s="175" t="s">
        <v>398</v>
      </c>
      <c r="R6" s="175" t="s">
        <v>398</v>
      </c>
      <c r="S6" s="175" t="s">
        <v>398</v>
      </c>
      <c r="T6" s="175" t="s">
        <v>398</v>
      </c>
      <c r="U6" s="175" t="s">
        <v>398</v>
      </c>
      <c r="V6" s="175" t="s">
        <v>398</v>
      </c>
      <c r="W6" s="175" t="s">
        <v>398</v>
      </c>
      <c r="X6" s="175" t="s">
        <v>398</v>
      </c>
      <c r="Y6" s="175" t="s">
        <v>398</v>
      </c>
      <c r="Z6" s="175" t="s">
        <v>398</v>
      </c>
      <c r="AA6" s="175" t="s">
        <v>398</v>
      </c>
      <c r="AB6" s="113" t="s">
        <v>399</v>
      </c>
      <c r="AC6" s="111">
        <v>15162</v>
      </c>
      <c r="AD6" s="180">
        <v>43242</v>
      </c>
      <c r="AE6" s="108">
        <f t="shared" si="0"/>
        <v>76</v>
      </c>
      <c r="AF6" s="181" t="s">
        <v>477</v>
      </c>
      <c r="AG6" s="79" t="s">
        <v>401</v>
      </c>
      <c r="AH6" s="188" t="s">
        <v>404</v>
      </c>
      <c r="AI6" s="95" t="s">
        <v>455</v>
      </c>
      <c r="AJ6" s="193" t="s">
        <v>404</v>
      </c>
      <c r="AK6" s="95" t="s">
        <v>404</v>
      </c>
      <c r="AL6" s="190">
        <v>0</v>
      </c>
      <c r="AM6" s="79" t="s">
        <v>456</v>
      </c>
      <c r="AN6" s="95">
        <v>2</v>
      </c>
      <c r="AO6" s="175" t="s">
        <v>398</v>
      </c>
      <c r="AP6" s="79" t="s">
        <v>391</v>
      </c>
      <c r="AQ6" s="91" t="s">
        <v>398</v>
      </c>
      <c r="AR6" s="91"/>
      <c r="AS6" s="104"/>
      <c r="AT6" s="104"/>
      <c r="AU6" s="104"/>
      <c r="AV6" s="104"/>
      <c r="AW6" s="91"/>
      <c r="AX6" s="104"/>
      <c r="AY6" s="104"/>
      <c r="AZ6" s="104"/>
      <c r="BA6" s="104"/>
      <c r="BB6" s="91"/>
      <c r="BC6" s="104"/>
      <c r="BD6" s="104"/>
      <c r="BE6" s="104"/>
      <c r="BF6" s="104"/>
      <c r="BG6" s="91"/>
      <c r="BH6" s="104"/>
      <c r="BI6" s="104"/>
      <c r="BJ6" s="104"/>
      <c r="BK6" s="104"/>
      <c r="BL6" s="91"/>
      <c r="BM6" s="104"/>
      <c r="BN6" s="104"/>
      <c r="BO6" s="104"/>
      <c r="BP6" s="104"/>
      <c r="BQ6" s="91"/>
      <c r="BR6" s="104"/>
      <c r="BS6" s="104"/>
      <c r="BT6" s="104"/>
      <c r="BU6" s="104"/>
      <c r="BV6" s="91"/>
      <c r="BW6" s="104"/>
      <c r="BX6" s="104"/>
      <c r="BY6" s="104"/>
      <c r="BZ6" s="104"/>
      <c r="CA6" s="91"/>
      <c r="CB6" s="104"/>
      <c r="CC6" s="104"/>
      <c r="CD6" s="104"/>
      <c r="CE6" s="104"/>
      <c r="CF6" s="91"/>
      <c r="CG6" s="104"/>
      <c r="CH6" s="104"/>
      <c r="CI6" s="104"/>
      <c r="CJ6" s="104"/>
      <c r="CK6" s="91"/>
      <c r="CL6" s="104"/>
      <c r="CM6" s="104"/>
      <c r="CN6" s="104"/>
      <c r="CO6" s="104"/>
      <c r="CP6" s="91"/>
      <c r="CQ6" s="104"/>
      <c r="CR6" s="104"/>
      <c r="CS6" s="104"/>
      <c r="CT6" s="104"/>
      <c r="CU6" s="91"/>
      <c r="CV6" s="104"/>
      <c r="CW6" s="104"/>
      <c r="CX6" s="104"/>
      <c r="CY6" s="104"/>
      <c r="CZ6" s="91"/>
      <c r="DA6" s="104"/>
      <c r="DB6" s="104"/>
      <c r="DC6" s="104"/>
      <c r="DD6" s="104"/>
      <c r="DE6" s="91"/>
      <c r="DF6" s="104"/>
      <c r="DG6" s="104"/>
      <c r="DH6" s="104"/>
      <c r="DI6" s="104"/>
      <c r="DJ6" s="91"/>
      <c r="DK6" s="104"/>
      <c r="DL6" s="104"/>
      <c r="DM6" s="104"/>
      <c r="DN6" s="104"/>
      <c r="DO6" s="91"/>
      <c r="DP6" s="104"/>
      <c r="DQ6" s="104"/>
      <c r="DR6" s="104"/>
      <c r="DS6" s="104"/>
      <c r="DT6" s="91"/>
      <c r="DU6" s="104"/>
      <c r="DV6" s="104"/>
      <c r="DW6" s="104"/>
      <c r="DX6" s="104"/>
      <c r="DY6" s="91"/>
      <c r="DZ6" s="104"/>
      <c r="EA6" s="104"/>
      <c r="EB6" s="104"/>
      <c r="EC6" s="104"/>
      <c r="ED6" s="91"/>
      <c r="EE6" s="104"/>
      <c r="EF6" s="104"/>
      <c r="EG6" s="104"/>
      <c r="EH6" s="104"/>
      <c r="EI6" s="91"/>
      <c r="EJ6" s="104"/>
      <c r="EK6" s="104"/>
      <c r="EL6" s="104"/>
      <c r="EM6" s="104"/>
      <c r="EN6" s="91"/>
      <c r="EO6" s="104"/>
      <c r="EP6" s="104"/>
      <c r="EQ6" s="104"/>
      <c r="ER6" s="104"/>
      <c r="ES6" s="91"/>
      <c r="ET6" s="104"/>
      <c r="EU6" s="104"/>
      <c r="EV6" s="104"/>
      <c r="EW6" s="104"/>
      <c r="EX6" s="91"/>
      <c r="EY6" s="104"/>
      <c r="EZ6" s="104"/>
      <c r="FA6" s="104"/>
      <c r="FB6" s="104"/>
      <c r="FC6" s="91"/>
      <c r="FD6" s="104"/>
      <c r="FE6" s="104"/>
      <c r="FF6" s="104"/>
      <c r="FG6" s="104"/>
      <c r="FH6" s="91"/>
      <c r="FI6" s="104"/>
      <c r="FJ6" s="104"/>
      <c r="FK6" s="104"/>
      <c r="FL6" s="104"/>
      <c r="FM6" s="104"/>
      <c r="FN6" s="104"/>
      <c r="FO6" s="104"/>
      <c r="FP6" s="104"/>
      <c r="FQ6" s="104"/>
      <c r="FR6" s="104"/>
      <c r="FS6" s="104"/>
      <c r="FT6" s="104"/>
      <c r="FU6" s="104"/>
      <c r="FV6" s="104"/>
      <c r="FW6" s="104"/>
      <c r="FX6" s="104"/>
      <c r="FY6" s="104"/>
      <c r="FZ6" s="104"/>
      <c r="GA6" s="104"/>
      <c r="GB6" s="104"/>
      <c r="GC6" s="104"/>
      <c r="GD6" s="104"/>
      <c r="GE6" s="104"/>
      <c r="GF6" s="104"/>
      <c r="GG6" s="104"/>
      <c r="GH6" s="104"/>
      <c r="GI6" s="104"/>
      <c r="GJ6" s="104"/>
      <c r="GK6" s="104"/>
      <c r="GL6" s="104"/>
      <c r="GM6" s="104"/>
      <c r="GN6" s="104"/>
      <c r="GO6" s="104"/>
      <c r="GP6" s="91"/>
      <c r="GQ6" s="104"/>
      <c r="GR6" s="104"/>
      <c r="GS6" s="104"/>
      <c r="GT6" s="104"/>
      <c r="GU6" s="91"/>
      <c r="GV6" s="104"/>
      <c r="GW6" s="104"/>
      <c r="GX6" s="104"/>
      <c r="GY6" s="104"/>
      <c r="GZ6" s="91"/>
      <c r="HA6" s="104"/>
      <c r="HB6" s="104"/>
      <c r="HC6" s="104"/>
      <c r="HD6" s="104"/>
      <c r="HE6" s="91"/>
      <c r="HF6" s="104"/>
      <c r="HG6" s="104"/>
      <c r="HH6" s="104"/>
      <c r="HI6" s="104"/>
      <c r="HJ6" s="91"/>
      <c r="HK6" s="104"/>
      <c r="HL6" s="104"/>
      <c r="HM6" s="104"/>
      <c r="HN6" s="104"/>
      <c r="HO6" s="91"/>
      <c r="HP6" s="104"/>
      <c r="HQ6" s="104"/>
      <c r="HR6" s="104"/>
      <c r="HS6" s="104"/>
      <c r="HT6" s="91"/>
      <c r="HU6" s="104"/>
      <c r="HV6" s="104"/>
      <c r="HW6" s="104"/>
      <c r="HX6" s="104"/>
      <c r="HY6" s="91"/>
      <c r="HZ6" s="104"/>
      <c r="IA6" s="104"/>
      <c r="IB6" s="104"/>
      <c r="IC6" s="104"/>
      <c r="ID6" s="91"/>
      <c r="IE6" s="104"/>
      <c r="IF6" s="104"/>
      <c r="IG6" s="104"/>
      <c r="IH6" s="104"/>
      <c r="II6" s="91"/>
      <c r="IJ6" s="104"/>
      <c r="IK6" s="104"/>
      <c r="IL6" s="104"/>
      <c r="IM6" s="104"/>
      <c r="IN6" s="91"/>
      <c r="IO6" s="104"/>
      <c r="IP6" s="104"/>
      <c r="IQ6" s="104"/>
      <c r="IR6" s="104"/>
      <c r="IS6" s="91"/>
      <c r="IT6" s="104"/>
      <c r="IU6" s="104"/>
      <c r="IV6" s="104"/>
      <c r="IW6" s="104"/>
      <c r="IX6" s="91"/>
      <c r="IY6" s="104"/>
      <c r="IZ6" s="104"/>
      <c r="JA6" s="104"/>
      <c r="JB6" s="104"/>
      <c r="JC6" s="91"/>
      <c r="JD6" s="104"/>
      <c r="JE6" s="104"/>
      <c r="JF6" s="104"/>
      <c r="JG6" s="105"/>
      <c r="JH6" s="91"/>
      <c r="JI6" s="106"/>
      <c r="JJ6" s="104"/>
      <c r="JK6" s="104"/>
      <c r="JL6" s="105"/>
      <c r="JM6" s="95"/>
      <c r="JN6" s="107"/>
      <c r="JO6" s="79"/>
      <c r="JP6" s="106"/>
      <c r="JQ6" s="104"/>
      <c r="JR6" s="104"/>
      <c r="JS6" s="104"/>
      <c r="JT6" s="104"/>
      <c r="JU6" s="104"/>
      <c r="JV6" s="104"/>
      <c r="JW6" s="104"/>
      <c r="JX6" s="104"/>
      <c r="JY6" s="104"/>
      <c r="JZ6" s="104"/>
      <c r="KA6" s="104"/>
      <c r="KB6" s="104"/>
      <c r="KC6" s="104"/>
      <c r="KD6" s="104"/>
      <c r="KE6" s="104"/>
      <c r="KF6" s="104"/>
      <c r="KG6" s="104"/>
      <c r="KH6" s="104"/>
      <c r="KI6" s="104"/>
      <c r="KJ6" s="104"/>
      <c r="KK6" s="104"/>
      <c r="KL6" s="104"/>
      <c r="KM6" s="104"/>
      <c r="KN6" s="104"/>
      <c r="KO6" s="104"/>
      <c r="KP6" s="104"/>
      <c r="KQ6" s="104"/>
      <c r="KR6" s="104"/>
      <c r="KS6" s="104"/>
      <c r="KT6" s="104"/>
      <c r="KU6" s="104"/>
      <c r="KV6" s="104"/>
      <c r="KW6" s="104"/>
      <c r="KX6" s="104"/>
      <c r="KY6" s="104"/>
      <c r="KZ6" s="104"/>
      <c r="LA6" s="104"/>
      <c r="LB6" s="104"/>
      <c r="LC6" s="104"/>
      <c r="LD6" s="104"/>
      <c r="LE6" s="104"/>
      <c r="LF6" s="104"/>
      <c r="LG6" s="104"/>
      <c r="LH6" s="104"/>
      <c r="LI6" s="104"/>
      <c r="LJ6" s="104"/>
      <c r="LK6" s="104"/>
      <c r="LL6" s="104"/>
      <c r="LM6" s="104"/>
      <c r="LN6" s="104"/>
      <c r="LO6" s="104"/>
      <c r="LP6" s="104"/>
      <c r="LQ6" s="104"/>
      <c r="LR6" s="104"/>
      <c r="LS6" s="104"/>
      <c r="LT6" s="104"/>
      <c r="LU6" s="104"/>
      <c r="LV6" s="104"/>
      <c r="LW6" s="104"/>
      <c r="LX6" s="104"/>
      <c r="LY6" s="104"/>
      <c r="LZ6" s="104"/>
      <c r="MA6" s="104"/>
      <c r="MB6" s="104"/>
      <c r="MC6" s="104"/>
      <c r="MD6" s="103"/>
      <c r="ME6" s="103"/>
      <c r="MF6" s="103"/>
      <c r="MG6" s="103"/>
      <c r="MH6" s="103"/>
      <c r="MI6" s="103"/>
      <c r="MJ6" s="103"/>
      <c r="MK6" s="103"/>
      <c r="ML6" s="103"/>
      <c r="MM6" s="103"/>
      <c r="MN6" s="103"/>
      <c r="MO6" s="103"/>
      <c r="MP6" s="103"/>
      <c r="MQ6" s="103"/>
      <c r="MR6" s="103"/>
      <c r="MS6" s="103"/>
      <c r="MT6" s="103"/>
      <c r="MU6" s="103"/>
      <c r="MV6" s="103"/>
      <c r="MW6" s="103"/>
      <c r="MX6" s="103"/>
      <c r="MY6" s="103"/>
      <c r="MZ6" s="103"/>
      <c r="NA6" s="103"/>
      <c r="NB6" s="103"/>
      <c r="NC6" s="103"/>
      <c r="ND6" s="103"/>
      <c r="NE6" s="103"/>
      <c r="NF6" s="103"/>
      <c r="NG6" s="103"/>
      <c r="NH6" s="103"/>
      <c r="NI6" s="103"/>
      <c r="NJ6" s="103"/>
      <c r="NK6" s="103"/>
      <c r="NL6" s="103"/>
      <c r="NM6" s="103"/>
      <c r="NN6" s="103"/>
      <c r="NO6" s="103"/>
      <c r="NP6" s="103"/>
      <c r="NQ6" s="103"/>
      <c r="NR6" s="103"/>
      <c r="NS6" s="103"/>
      <c r="NT6" s="103"/>
      <c r="NU6" s="103"/>
      <c r="NV6" s="103"/>
      <c r="NW6" s="103"/>
      <c r="NX6" s="103"/>
      <c r="NY6" s="104"/>
      <c r="NZ6" s="105"/>
    </row>
    <row r="7" spans="1:390" ht="15.75" customHeight="1" x14ac:dyDescent="0.3">
      <c r="A7" s="110">
        <v>4269850612</v>
      </c>
      <c r="B7" s="171" t="s">
        <v>391</v>
      </c>
      <c r="C7" s="84" t="s">
        <v>392</v>
      </c>
      <c r="D7" s="173" t="s">
        <v>391</v>
      </c>
      <c r="E7" s="145" t="s">
        <v>748</v>
      </c>
      <c r="F7" s="145" t="s">
        <v>465</v>
      </c>
      <c r="G7" s="184" t="s">
        <v>395</v>
      </c>
      <c r="H7" s="185">
        <v>43285</v>
      </c>
      <c r="I7" s="186" t="s">
        <v>749</v>
      </c>
      <c r="J7" s="83" t="s">
        <v>741</v>
      </c>
      <c r="K7" s="83" t="s">
        <v>398</v>
      </c>
      <c r="L7" s="83" t="s">
        <v>398</v>
      </c>
      <c r="M7" s="184" t="s">
        <v>398</v>
      </c>
      <c r="N7" s="184" t="s">
        <v>398</v>
      </c>
      <c r="O7" s="184" t="s">
        <v>398</v>
      </c>
      <c r="P7" s="184" t="s">
        <v>398</v>
      </c>
      <c r="Q7" s="184" t="s">
        <v>398</v>
      </c>
      <c r="R7" s="184" t="s">
        <v>398</v>
      </c>
      <c r="S7" s="184" t="s">
        <v>398</v>
      </c>
      <c r="T7" s="184" t="s">
        <v>398</v>
      </c>
      <c r="U7" s="184" t="s">
        <v>398</v>
      </c>
      <c r="V7" s="184" t="s">
        <v>398</v>
      </c>
      <c r="W7" s="184" t="s">
        <v>398</v>
      </c>
      <c r="X7" s="184" t="s">
        <v>398</v>
      </c>
      <c r="Y7" s="184" t="s">
        <v>398</v>
      </c>
      <c r="Z7" s="184" t="s">
        <v>398</v>
      </c>
      <c r="AA7" s="184" t="s">
        <v>398</v>
      </c>
      <c r="AB7" s="243" t="s">
        <v>399</v>
      </c>
      <c r="AC7" s="162">
        <v>14880</v>
      </c>
      <c r="AD7" s="187">
        <v>43243</v>
      </c>
      <c r="AE7" s="108">
        <f t="shared" si="0"/>
        <v>77</v>
      </c>
      <c r="AF7" s="181" t="s">
        <v>750</v>
      </c>
      <c r="AG7" s="79" t="s">
        <v>401</v>
      </c>
      <c r="AH7" s="188" t="s">
        <v>402</v>
      </c>
      <c r="AI7" s="95" t="s">
        <v>455</v>
      </c>
      <c r="AJ7" s="193" t="s">
        <v>404</v>
      </c>
      <c r="AK7" s="95" t="s">
        <v>404</v>
      </c>
      <c r="AL7" s="190">
        <v>0</v>
      </c>
      <c r="AM7" s="79" t="s">
        <v>456</v>
      </c>
      <c r="AN7" s="95">
        <v>3</v>
      </c>
      <c r="AO7" s="175" t="s">
        <v>398</v>
      </c>
      <c r="AP7" s="79" t="s">
        <v>391</v>
      </c>
      <c r="AQ7" s="91" t="s">
        <v>398</v>
      </c>
      <c r="AR7" s="91"/>
      <c r="AS7" s="104"/>
      <c r="AT7" s="104"/>
      <c r="AU7" s="104"/>
      <c r="AV7" s="104"/>
      <c r="AW7" s="91"/>
      <c r="AX7" s="104"/>
      <c r="AY7" s="104"/>
      <c r="AZ7" s="104"/>
      <c r="BA7" s="104"/>
      <c r="BB7" s="91"/>
      <c r="BC7" s="104"/>
      <c r="BD7" s="104"/>
      <c r="BE7" s="104"/>
      <c r="BF7" s="104"/>
      <c r="BG7" s="91"/>
      <c r="BH7" s="104"/>
      <c r="BI7" s="104"/>
      <c r="BJ7" s="104"/>
      <c r="BK7" s="104"/>
      <c r="BL7" s="91"/>
      <c r="BM7" s="104"/>
      <c r="BN7" s="104"/>
      <c r="BO7" s="104"/>
      <c r="BP7" s="104"/>
      <c r="BQ7" s="91"/>
      <c r="BR7" s="104"/>
      <c r="BS7" s="104"/>
      <c r="BT7" s="104"/>
      <c r="BU7" s="104"/>
      <c r="BV7" s="91"/>
      <c r="BW7" s="104"/>
      <c r="BX7" s="104"/>
      <c r="BY7" s="104"/>
      <c r="BZ7" s="104"/>
      <c r="CA7" s="91"/>
      <c r="CB7" s="104"/>
      <c r="CC7" s="104"/>
      <c r="CD7" s="104"/>
      <c r="CE7" s="104"/>
      <c r="CF7" s="91"/>
      <c r="CG7" s="104"/>
      <c r="CH7" s="104"/>
      <c r="CI7" s="104"/>
      <c r="CJ7" s="104"/>
      <c r="CK7" s="91"/>
      <c r="CL7" s="104"/>
      <c r="CM7" s="104"/>
      <c r="CN7" s="104"/>
      <c r="CO7" s="104"/>
      <c r="CP7" s="91"/>
      <c r="CQ7" s="104"/>
      <c r="CR7" s="104"/>
      <c r="CS7" s="104"/>
      <c r="CT7" s="104"/>
      <c r="CU7" s="91"/>
      <c r="CV7" s="104"/>
      <c r="CW7" s="104"/>
      <c r="CX7" s="104"/>
      <c r="CY7" s="104"/>
      <c r="CZ7" s="91"/>
      <c r="DA7" s="104"/>
      <c r="DB7" s="104"/>
      <c r="DC7" s="104"/>
      <c r="DD7" s="104"/>
      <c r="DE7" s="91"/>
      <c r="DF7" s="104"/>
      <c r="DG7" s="104"/>
      <c r="DH7" s="104"/>
      <c r="DI7" s="104"/>
      <c r="DJ7" s="91"/>
      <c r="DK7" s="104"/>
      <c r="DL7" s="104"/>
      <c r="DM7" s="104"/>
      <c r="DN7" s="104"/>
      <c r="DO7" s="91"/>
      <c r="DP7" s="104"/>
      <c r="DQ7" s="104"/>
      <c r="DR7" s="104"/>
      <c r="DS7" s="104"/>
      <c r="DT7" s="91"/>
      <c r="DU7" s="104"/>
      <c r="DV7" s="104"/>
      <c r="DW7" s="104"/>
      <c r="DX7" s="104"/>
      <c r="DY7" s="91"/>
      <c r="DZ7" s="104"/>
      <c r="EA7" s="104"/>
      <c r="EB7" s="104"/>
      <c r="EC7" s="104"/>
      <c r="ED7" s="91"/>
      <c r="EE7" s="104"/>
      <c r="EF7" s="104"/>
      <c r="EG7" s="104"/>
      <c r="EH7" s="104"/>
      <c r="EI7" s="91"/>
      <c r="EJ7" s="104"/>
      <c r="EK7" s="104"/>
      <c r="EL7" s="104"/>
      <c r="EM7" s="104"/>
      <c r="EN7" s="91"/>
      <c r="EO7" s="104"/>
      <c r="EP7" s="104"/>
      <c r="EQ7" s="104"/>
      <c r="ER7" s="104"/>
      <c r="ES7" s="91"/>
      <c r="ET7" s="104"/>
      <c r="EU7" s="104"/>
      <c r="EV7" s="104"/>
      <c r="EW7" s="104"/>
      <c r="EX7" s="91"/>
      <c r="EY7" s="104"/>
      <c r="EZ7" s="104"/>
      <c r="FA7" s="104"/>
      <c r="FB7" s="104"/>
      <c r="FC7" s="91"/>
      <c r="FD7" s="104"/>
      <c r="FE7" s="104"/>
      <c r="FF7" s="104"/>
      <c r="FG7" s="104"/>
      <c r="FH7" s="91"/>
      <c r="FI7" s="104"/>
      <c r="FJ7" s="104"/>
      <c r="FK7" s="104"/>
      <c r="FL7" s="104"/>
      <c r="FM7" s="104"/>
      <c r="FN7" s="104"/>
      <c r="FO7" s="104"/>
      <c r="FP7" s="104"/>
      <c r="FQ7" s="104"/>
      <c r="FR7" s="104"/>
      <c r="FS7" s="104"/>
      <c r="FT7" s="104"/>
      <c r="FU7" s="104"/>
      <c r="FV7" s="104"/>
      <c r="FW7" s="104"/>
      <c r="FX7" s="104"/>
      <c r="FY7" s="104"/>
      <c r="FZ7" s="104"/>
      <c r="GA7" s="104"/>
      <c r="GB7" s="104"/>
      <c r="GC7" s="104"/>
      <c r="GD7" s="104"/>
      <c r="GE7" s="104"/>
      <c r="GF7" s="104"/>
      <c r="GG7" s="104"/>
      <c r="GH7" s="104"/>
      <c r="GI7" s="104"/>
      <c r="GJ7" s="104"/>
      <c r="GK7" s="104"/>
      <c r="GL7" s="104"/>
      <c r="GM7" s="104"/>
      <c r="GN7" s="104"/>
      <c r="GO7" s="104"/>
      <c r="GP7" s="91"/>
      <c r="GQ7" s="104"/>
      <c r="GR7" s="104"/>
      <c r="GS7" s="104"/>
      <c r="GT7" s="104"/>
      <c r="GU7" s="91"/>
      <c r="GV7" s="104"/>
      <c r="GW7" s="104"/>
      <c r="GX7" s="104"/>
      <c r="GY7" s="104"/>
      <c r="GZ7" s="91"/>
      <c r="HA7" s="104"/>
      <c r="HB7" s="104"/>
      <c r="HC7" s="104"/>
      <c r="HD7" s="104"/>
      <c r="HE7" s="91"/>
      <c r="HF7" s="104"/>
      <c r="HG7" s="104"/>
      <c r="HH7" s="104"/>
      <c r="HI7" s="104"/>
      <c r="HJ7" s="91"/>
      <c r="HK7" s="104"/>
      <c r="HL7" s="104"/>
      <c r="HM7" s="104"/>
      <c r="HN7" s="104"/>
      <c r="HO7" s="91"/>
      <c r="HP7" s="104"/>
      <c r="HQ7" s="104"/>
      <c r="HR7" s="104"/>
      <c r="HS7" s="104"/>
      <c r="HT7" s="91"/>
      <c r="HU7" s="104"/>
      <c r="HV7" s="104"/>
      <c r="HW7" s="104"/>
      <c r="HX7" s="104"/>
      <c r="HY7" s="91"/>
      <c r="HZ7" s="104"/>
      <c r="IA7" s="104"/>
      <c r="IB7" s="104"/>
      <c r="IC7" s="104"/>
      <c r="ID7" s="91"/>
      <c r="IE7" s="104"/>
      <c r="IF7" s="104"/>
      <c r="IG7" s="104"/>
      <c r="IH7" s="104"/>
      <c r="II7" s="91"/>
      <c r="IJ7" s="104"/>
      <c r="IK7" s="104"/>
      <c r="IL7" s="104"/>
      <c r="IM7" s="104"/>
      <c r="IN7" s="91"/>
      <c r="IO7" s="104"/>
      <c r="IP7" s="104"/>
      <c r="IQ7" s="104"/>
      <c r="IR7" s="104"/>
      <c r="IS7" s="91"/>
      <c r="IT7" s="104"/>
      <c r="IU7" s="104"/>
      <c r="IV7" s="104"/>
      <c r="IW7" s="104"/>
      <c r="IX7" s="91"/>
      <c r="IY7" s="104"/>
      <c r="IZ7" s="104"/>
      <c r="JA7" s="104"/>
      <c r="JB7" s="104"/>
      <c r="JC7" s="91"/>
      <c r="JD7" s="104"/>
      <c r="JE7" s="104"/>
      <c r="JF7" s="104"/>
      <c r="JG7" s="105"/>
      <c r="JH7" s="91"/>
      <c r="JI7" s="106"/>
      <c r="JJ7" s="104"/>
      <c r="JK7" s="104"/>
      <c r="JL7" s="105"/>
      <c r="JM7" s="95"/>
      <c r="JN7" s="107"/>
      <c r="JO7" s="79"/>
      <c r="JP7" s="106"/>
      <c r="JQ7" s="104"/>
      <c r="JR7" s="104"/>
      <c r="JS7" s="104"/>
      <c r="JT7" s="104"/>
      <c r="JU7" s="104"/>
      <c r="JV7" s="104"/>
      <c r="JW7" s="104"/>
      <c r="JX7" s="104"/>
      <c r="JY7" s="104"/>
      <c r="JZ7" s="104"/>
      <c r="KA7" s="104"/>
      <c r="KB7" s="104"/>
      <c r="KC7" s="104"/>
      <c r="KD7" s="104"/>
      <c r="KE7" s="104"/>
      <c r="KF7" s="104"/>
      <c r="KG7" s="104"/>
      <c r="KH7" s="104"/>
      <c r="KI7" s="104"/>
      <c r="KJ7" s="104"/>
      <c r="KK7" s="104"/>
      <c r="KL7" s="104"/>
      <c r="KM7" s="104"/>
      <c r="KN7" s="104"/>
      <c r="KO7" s="104"/>
      <c r="KP7" s="104"/>
      <c r="KQ7" s="104"/>
      <c r="KR7" s="104"/>
      <c r="KS7" s="104"/>
      <c r="KT7" s="104"/>
      <c r="KU7" s="104"/>
      <c r="KV7" s="104"/>
      <c r="KW7" s="104"/>
      <c r="KX7" s="104"/>
      <c r="KY7" s="104"/>
      <c r="KZ7" s="104"/>
      <c r="LA7" s="104"/>
      <c r="LB7" s="104"/>
      <c r="LC7" s="104"/>
      <c r="LD7" s="104"/>
      <c r="LE7" s="104"/>
      <c r="LF7" s="104"/>
      <c r="LG7" s="104"/>
      <c r="LH7" s="104"/>
      <c r="LI7" s="104"/>
      <c r="LJ7" s="104"/>
      <c r="LK7" s="104"/>
      <c r="LL7" s="104"/>
      <c r="LM7" s="104"/>
      <c r="LN7" s="104"/>
      <c r="LO7" s="104"/>
      <c r="LP7" s="104"/>
      <c r="LQ7" s="104"/>
      <c r="LR7" s="104"/>
      <c r="LS7" s="104"/>
      <c r="LT7" s="104"/>
      <c r="LU7" s="104"/>
      <c r="LV7" s="104"/>
      <c r="LW7" s="104"/>
      <c r="LX7" s="104"/>
      <c r="LY7" s="104"/>
      <c r="LZ7" s="104"/>
      <c r="MA7" s="104"/>
      <c r="MB7" s="104"/>
      <c r="MC7" s="104"/>
      <c r="MD7" s="103"/>
      <c r="ME7" s="103"/>
      <c r="MF7" s="103"/>
      <c r="MG7" s="103"/>
      <c r="MH7" s="103"/>
      <c r="MI7" s="103"/>
      <c r="MJ7" s="103"/>
      <c r="MK7" s="103"/>
      <c r="ML7" s="103"/>
      <c r="MM7" s="103"/>
      <c r="MN7" s="103"/>
      <c r="MO7" s="103"/>
      <c r="MP7" s="103"/>
      <c r="MQ7" s="103"/>
      <c r="MR7" s="103"/>
      <c r="MS7" s="103"/>
      <c r="MT7" s="103"/>
      <c r="MU7" s="103"/>
      <c r="MV7" s="103"/>
      <c r="MW7" s="103"/>
      <c r="MX7" s="103"/>
      <c r="MY7" s="103"/>
      <c r="MZ7" s="103"/>
      <c r="NA7" s="103"/>
      <c r="NB7" s="103"/>
      <c r="NC7" s="103"/>
      <c r="ND7" s="103"/>
      <c r="NE7" s="103"/>
      <c r="NF7" s="103"/>
      <c r="NG7" s="103"/>
      <c r="NH7" s="103"/>
      <c r="NI7" s="103"/>
      <c r="NJ7" s="103"/>
      <c r="NK7" s="103"/>
      <c r="NL7" s="103"/>
      <c r="NM7" s="103"/>
      <c r="NN7" s="103"/>
      <c r="NO7" s="103"/>
      <c r="NP7" s="103"/>
      <c r="NQ7" s="103"/>
      <c r="NR7" s="103"/>
      <c r="NS7" s="103"/>
      <c r="NT7" s="103"/>
      <c r="NU7" s="103"/>
      <c r="NV7" s="103"/>
      <c r="NW7" s="103"/>
      <c r="NX7" s="103"/>
      <c r="NY7" s="104"/>
      <c r="NZ7" s="105"/>
    </row>
    <row r="8" spans="1:390" ht="15.75" customHeight="1" x14ac:dyDescent="0.3">
      <c r="A8" s="257">
        <v>4387993316</v>
      </c>
      <c r="B8" s="83" t="s">
        <v>391</v>
      </c>
      <c r="C8" s="174" t="s">
        <v>392</v>
      </c>
      <c r="D8" s="83" t="s">
        <v>391</v>
      </c>
      <c r="E8" s="145" t="s">
        <v>751</v>
      </c>
      <c r="F8" s="145" t="s">
        <v>518</v>
      </c>
      <c r="G8" s="114" t="s">
        <v>398</v>
      </c>
      <c r="H8" s="258">
        <v>43286</v>
      </c>
      <c r="I8" s="186" t="s">
        <v>752</v>
      </c>
      <c r="J8" s="83" t="s">
        <v>741</v>
      </c>
      <c r="K8" s="83" t="s">
        <v>398</v>
      </c>
      <c r="L8" s="83" t="s">
        <v>398</v>
      </c>
      <c r="M8" s="114" t="s">
        <v>398</v>
      </c>
      <c r="N8" s="114" t="s">
        <v>398</v>
      </c>
      <c r="O8" s="114" t="s">
        <v>398</v>
      </c>
      <c r="P8" s="114" t="s">
        <v>398</v>
      </c>
      <c r="Q8" s="114" t="s">
        <v>398</v>
      </c>
      <c r="R8" s="114" t="s">
        <v>398</v>
      </c>
      <c r="S8" s="114" t="s">
        <v>398</v>
      </c>
      <c r="T8" s="114" t="s">
        <v>398</v>
      </c>
      <c r="U8" s="114" t="s">
        <v>398</v>
      </c>
      <c r="V8" s="114" t="s">
        <v>398</v>
      </c>
      <c r="W8" s="114" t="s">
        <v>398</v>
      </c>
      <c r="X8" s="114" t="s">
        <v>398</v>
      </c>
      <c r="Y8" s="114" t="s">
        <v>398</v>
      </c>
      <c r="Z8" s="114" t="s">
        <v>398</v>
      </c>
      <c r="AA8" s="114" t="s">
        <v>398</v>
      </c>
      <c r="AB8" s="243" t="s">
        <v>399</v>
      </c>
      <c r="AC8" s="162">
        <v>17265</v>
      </c>
      <c r="AD8" s="259">
        <v>43255</v>
      </c>
      <c r="AE8" s="260">
        <f t="shared" si="0"/>
        <v>71</v>
      </c>
      <c r="AF8" s="261" t="s">
        <v>477</v>
      </c>
      <c r="AG8" s="83" t="s">
        <v>401</v>
      </c>
      <c r="AH8" s="173" t="s">
        <v>404</v>
      </c>
      <c r="AI8" s="114" t="s">
        <v>412</v>
      </c>
      <c r="AJ8" s="262" t="s">
        <v>404</v>
      </c>
      <c r="AK8" s="81" t="s">
        <v>404</v>
      </c>
      <c r="AL8" s="257">
        <v>0</v>
      </c>
      <c r="AM8" s="83" t="s">
        <v>414</v>
      </c>
      <c r="AN8" s="81">
        <v>1</v>
      </c>
      <c r="AO8" s="184" t="s">
        <v>398</v>
      </c>
      <c r="AP8" s="83" t="s">
        <v>391</v>
      </c>
      <c r="AQ8" s="119" t="s">
        <v>398</v>
      </c>
      <c r="AR8" s="119"/>
      <c r="AS8" s="115"/>
      <c r="AT8" s="115"/>
      <c r="AU8" s="115"/>
      <c r="AV8" s="115"/>
      <c r="AW8" s="119"/>
      <c r="AX8" s="115"/>
      <c r="AY8" s="115"/>
      <c r="AZ8" s="115"/>
      <c r="BA8" s="115"/>
      <c r="BB8" s="119"/>
      <c r="BC8" s="115"/>
      <c r="BD8" s="115"/>
      <c r="BE8" s="115"/>
      <c r="BF8" s="115"/>
      <c r="BG8" s="119"/>
      <c r="BH8" s="115"/>
      <c r="BI8" s="115"/>
      <c r="BJ8" s="115"/>
      <c r="BK8" s="115"/>
      <c r="BL8" s="119"/>
      <c r="BM8" s="115"/>
      <c r="BN8" s="115"/>
      <c r="BO8" s="115"/>
      <c r="BP8" s="115"/>
      <c r="BQ8" s="119"/>
      <c r="BR8" s="115"/>
      <c r="BS8" s="115"/>
      <c r="BT8" s="115"/>
      <c r="BU8" s="115"/>
      <c r="BV8" s="119"/>
      <c r="BW8" s="115"/>
      <c r="BX8" s="115"/>
      <c r="BY8" s="115"/>
      <c r="BZ8" s="115"/>
      <c r="CA8" s="119"/>
      <c r="CB8" s="115"/>
      <c r="CC8" s="115"/>
      <c r="CD8" s="115"/>
      <c r="CE8" s="115"/>
      <c r="CF8" s="119"/>
      <c r="CG8" s="115"/>
      <c r="CH8" s="115"/>
      <c r="CI8" s="115"/>
      <c r="CJ8" s="115"/>
      <c r="CK8" s="119"/>
      <c r="CL8" s="115"/>
      <c r="CM8" s="115"/>
      <c r="CN8" s="115"/>
      <c r="CO8" s="115"/>
      <c r="CP8" s="119"/>
      <c r="CQ8" s="115"/>
      <c r="CR8" s="115"/>
      <c r="CS8" s="115"/>
      <c r="CT8" s="115"/>
      <c r="CU8" s="119"/>
      <c r="CV8" s="115"/>
      <c r="CW8" s="115"/>
      <c r="CX8" s="115"/>
      <c r="CY8" s="115"/>
      <c r="CZ8" s="119"/>
      <c r="DA8" s="115"/>
      <c r="DB8" s="115"/>
      <c r="DC8" s="115"/>
      <c r="DD8" s="115"/>
      <c r="DE8" s="119"/>
      <c r="DF8" s="115"/>
      <c r="DG8" s="115"/>
      <c r="DH8" s="115"/>
      <c r="DI8" s="115"/>
      <c r="DJ8" s="119"/>
      <c r="DK8" s="115"/>
      <c r="DL8" s="115"/>
      <c r="DM8" s="115"/>
      <c r="DN8" s="115"/>
      <c r="DO8" s="119"/>
      <c r="DP8" s="115"/>
      <c r="DQ8" s="115"/>
      <c r="DR8" s="115"/>
      <c r="DS8" s="115"/>
      <c r="DT8" s="119"/>
      <c r="DU8" s="115"/>
      <c r="DV8" s="115"/>
      <c r="DW8" s="115"/>
      <c r="DX8" s="115"/>
      <c r="DY8" s="119"/>
      <c r="DZ8" s="115"/>
      <c r="EA8" s="115"/>
      <c r="EB8" s="115"/>
      <c r="EC8" s="115"/>
      <c r="ED8" s="119"/>
      <c r="EE8" s="115"/>
      <c r="EF8" s="115"/>
      <c r="EG8" s="115"/>
      <c r="EH8" s="115"/>
      <c r="EI8" s="119"/>
      <c r="EJ8" s="115"/>
      <c r="EK8" s="115"/>
      <c r="EL8" s="115"/>
      <c r="EM8" s="115"/>
      <c r="EN8" s="119"/>
      <c r="EO8" s="115"/>
      <c r="EP8" s="115"/>
      <c r="EQ8" s="115"/>
      <c r="ER8" s="115"/>
      <c r="ES8" s="119"/>
      <c r="ET8" s="115"/>
      <c r="EU8" s="115"/>
      <c r="EV8" s="115"/>
      <c r="EW8" s="115"/>
      <c r="EX8" s="119"/>
      <c r="EY8" s="115"/>
      <c r="EZ8" s="115"/>
      <c r="FA8" s="115"/>
      <c r="FB8" s="115"/>
      <c r="FC8" s="119"/>
      <c r="FD8" s="115"/>
      <c r="FE8" s="115"/>
      <c r="FF8" s="115"/>
      <c r="FG8" s="115"/>
      <c r="FH8" s="119"/>
      <c r="FI8" s="115"/>
      <c r="FJ8" s="115"/>
      <c r="FK8" s="115"/>
      <c r="FL8" s="115"/>
      <c r="FM8" s="115"/>
      <c r="FN8" s="115"/>
      <c r="FO8" s="115"/>
      <c r="FP8" s="115"/>
      <c r="FQ8" s="115"/>
      <c r="FR8" s="115"/>
      <c r="FS8" s="115"/>
      <c r="FT8" s="115"/>
      <c r="FU8" s="115"/>
      <c r="FV8" s="115"/>
      <c r="FW8" s="115"/>
      <c r="FX8" s="115"/>
      <c r="FY8" s="115"/>
      <c r="FZ8" s="115"/>
      <c r="GA8" s="115"/>
      <c r="GB8" s="115"/>
      <c r="GC8" s="115"/>
      <c r="GD8" s="115"/>
      <c r="GE8" s="115"/>
      <c r="GF8" s="115"/>
      <c r="GG8" s="115"/>
      <c r="GH8" s="115"/>
      <c r="GI8" s="115"/>
      <c r="GJ8" s="115"/>
      <c r="GK8" s="115"/>
      <c r="GL8" s="115"/>
      <c r="GM8" s="115"/>
      <c r="GN8" s="115"/>
      <c r="GO8" s="115"/>
      <c r="GP8" s="119"/>
      <c r="GQ8" s="115"/>
      <c r="GR8" s="115"/>
      <c r="GS8" s="115"/>
      <c r="GT8" s="115"/>
      <c r="GU8" s="119"/>
      <c r="GV8" s="115"/>
      <c r="GW8" s="115"/>
      <c r="GX8" s="115"/>
      <c r="GY8" s="115"/>
      <c r="GZ8" s="119"/>
      <c r="HA8" s="115"/>
      <c r="HB8" s="115"/>
      <c r="HC8" s="115"/>
      <c r="HD8" s="115"/>
      <c r="HE8" s="119"/>
      <c r="HF8" s="115"/>
      <c r="HG8" s="115"/>
      <c r="HH8" s="115"/>
      <c r="HI8" s="115"/>
      <c r="HJ8" s="119"/>
      <c r="HK8" s="115"/>
      <c r="HL8" s="115"/>
      <c r="HM8" s="115"/>
      <c r="HN8" s="115"/>
      <c r="HO8" s="119"/>
      <c r="HP8" s="115"/>
      <c r="HQ8" s="115"/>
      <c r="HR8" s="115"/>
      <c r="HS8" s="115"/>
      <c r="HT8" s="119"/>
      <c r="HU8" s="115"/>
      <c r="HV8" s="115"/>
      <c r="HW8" s="115"/>
      <c r="HX8" s="115"/>
      <c r="HY8" s="119"/>
      <c r="HZ8" s="115"/>
      <c r="IA8" s="115"/>
      <c r="IB8" s="115"/>
      <c r="IC8" s="115"/>
      <c r="ID8" s="119"/>
      <c r="IE8" s="115"/>
      <c r="IF8" s="115"/>
      <c r="IG8" s="115"/>
      <c r="IH8" s="115"/>
      <c r="II8" s="119"/>
      <c r="IJ8" s="115"/>
      <c r="IK8" s="115"/>
      <c r="IL8" s="115"/>
      <c r="IM8" s="115"/>
      <c r="IN8" s="119"/>
      <c r="IO8" s="115"/>
      <c r="IP8" s="115"/>
      <c r="IQ8" s="115"/>
      <c r="IR8" s="115"/>
      <c r="IS8" s="119"/>
      <c r="IT8" s="115"/>
      <c r="IU8" s="115"/>
      <c r="IV8" s="115"/>
      <c r="IW8" s="115"/>
      <c r="IX8" s="119"/>
      <c r="IY8" s="115"/>
      <c r="IZ8" s="115"/>
      <c r="JA8" s="115"/>
      <c r="JB8" s="115"/>
      <c r="JC8" s="119"/>
      <c r="JD8" s="115"/>
      <c r="JE8" s="115"/>
      <c r="JF8" s="115"/>
      <c r="JG8" s="116"/>
      <c r="JH8" s="119"/>
      <c r="JI8" s="117"/>
      <c r="JJ8" s="115"/>
      <c r="JK8" s="115"/>
      <c r="JL8" s="116"/>
      <c r="JM8" s="81"/>
      <c r="JN8" s="118"/>
      <c r="JO8" s="83"/>
      <c r="JP8" s="117"/>
      <c r="JQ8" s="115"/>
      <c r="JR8" s="115"/>
      <c r="JS8" s="115"/>
      <c r="JT8" s="115"/>
      <c r="JU8" s="115"/>
      <c r="JV8" s="115"/>
      <c r="JW8" s="115"/>
      <c r="JX8" s="115"/>
      <c r="JY8" s="115"/>
      <c r="JZ8" s="115"/>
      <c r="KA8" s="115"/>
      <c r="KB8" s="115"/>
      <c r="KC8" s="115"/>
      <c r="KD8" s="115"/>
      <c r="KE8" s="115"/>
      <c r="KF8" s="115"/>
      <c r="KG8" s="115"/>
      <c r="KH8" s="115"/>
      <c r="KI8" s="115"/>
      <c r="KJ8" s="115"/>
      <c r="KK8" s="115"/>
      <c r="KL8" s="115"/>
      <c r="KM8" s="115"/>
      <c r="KN8" s="115"/>
      <c r="KO8" s="115"/>
      <c r="KP8" s="115"/>
      <c r="KQ8" s="115"/>
      <c r="KR8" s="115"/>
      <c r="KS8" s="115"/>
      <c r="KT8" s="115"/>
      <c r="KU8" s="115"/>
      <c r="KV8" s="115"/>
      <c r="KW8" s="115"/>
      <c r="KX8" s="115"/>
      <c r="KY8" s="115"/>
      <c r="KZ8" s="115"/>
      <c r="LA8" s="115"/>
      <c r="LB8" s="115"/>
      <c r="LC8" s="115"/>
      <c r="LD8" s="115"/>
      <c r="LE8" s="115"/>
      <c r="LF8" s="115"/>
      <c r="LG8" s="115"/>
      <c r="LH8" s="115"/>
      <c r="LI8" s="115"/>
      <c r="LJ8" s="115"/>
      <c r="LK8" s="115"/>
      <c r="LL8" s="115"/>
      <c r="LM8" s="115"/>
      <c r="LN8" s="115"/>
      <c r="LO8" s="115"/>
      <c r="LP8" s="115"/>
      <c r="LQ8" s="115"/>
      <c r="LR8" s="115"/>
      <c r="LS8" s="115"/>
      <c r="LT8" s="115"/>
      <c r="LU8" s="115"/>
      <c r="LV8" s="115"/>
      <c r="LW8" s="115"/>
      <c r="LX8" s="115"/>
      <c r="LY8" s="115"/>
      <c r="LZ8" s="115"/>
      <c r="MA8" s="115"/>
      <c r="MB8" s="115"/>
      <c r="MC8" s="115"/>
      <c r="MD8" s="186"/>
      <c r="ME8" s="186"/>
      <c r="MF8" s="186"/>
      <c r="MG8" s="186"/>
      <c r="MH8" s="186"/>
      <c r="MI8" s="186"/>
      <c r="MJ8" s="186"/>
      <c r="MK8" s="186"/>
      <c r="ML8" s="186"/>
      <c r="MM8" s="186"/>
      <c r="MN8" s="186"/>
      <c r="MO8" s="186"/>
      <c r="MP8" s="186"/>
      <c r="MQ8" s="186"/>
      <c r="MR8" s="186"/>
      <c r="MS8" s="186"/>
      <c r="MT8" s="186"/>
      <c r="MU8" s="186"/>
      <c r="MV8" s="186"/>
      <c r="MW8" s="186"/>
      <c r="MX8" s="186"/>
      <c r="MY8" s="186"/>
      <c r="MZ8" s="186"/>
      <c r="NA8" s="186"/>
      <c r="NB8" s="186"/>
      <c r="NC8" s="186"/>
      <c r="ND8" s="186"/>
      <c r="NE8" s="186"/>
      <c r="NF8" s="186"/>
      <c r="NG8" s="186"/>
      <c r="NH8" s="186"/>
      <c r="NI8" s="186"/>
      <c r="NJ8" s="186"/>
      <c r="NK8" s="186"/>
      <c r="NL8" s="186"/>
      <c r="NM8" s="186"/>
      <c r="NN8" s="186"/>
      <c r="NO8" s="186"/>
      <c r="NP8" s="186"/>
      <c r="NQ8" s="186"/>
      <c r="NR8" s="186"/>
      <c r="NS8" s="186"/>
      <c r="NT8" s="186"/>
      <c r="NU8" s="186"/>
      <c r="NV8" s="186"/>
      <c r="NW8" s="186"/>
      <c r="NX8" s="186"/>
      <c r="NY8" s="115"/>
      <c r="NZ8" s="116"/>
    </row>
  </sheetData>
  <conditionalFormatting sqref="A4">
    <cfRule type="duplicateValues" dxfId="1199" priority="2"/>
  </conditionalFormatting>
  <conditionalFormatting sqref="E4:E8">
    <cfRule type="duplicateValues" dxfId="1198" priority="13"/>
  </conditionalFormatting>
  <dataValidations count="2">
    <dataValidation type="list" allowBlank="1" showInputMessage="1" showErrorMessage="1" sqref="EJ4" xr:uid="{6B916031-D732-48E7-A95D-41DC2EB01402}">
      <formula1>"Radiotherapy, Chemotherapy, Immunotherapy, Other"</formula1>
    </dataValidation>
    <dataValidation type="list" allowBlank="1" showInputMessage="1" showErrorMessage="1" sqref="JM4:JM8" xr:uid="{368FA1D0-4DC6-4655-9025-7401DF2CF807}">
      <formula1>"Alive, Deceased"</formula1>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81F897D4-4A93-4ECF-B1CB-88EA8A10EB64}">
          <x14:formula1>
            <xm:f>'Calculations &amp; Lists'!$G$2:$G$7</xm:f>
          </x14:formula1>
          <xm:sqref>C4:C8</xm:sqref>
        </x14:dataValidation>
        <x14:dataValidation type="list" allowBlank="1" showInputMessage="1" showErrorMessage="1" xr:uid="{50504109-B94D-4DE1-877E-D01005E72C30}">
          <x14:formula1>
            <xm:f>'Calculations &amp; Lists'!$H$2:$H$5</xm:f>
          </x14:formula1>
          <xm:sqref>AG4:AG8</xm:sqref>
        </x14:dataValidation>
        <x14:dataValidation type="list" allowBlank="1" showInputMessage="1" showErrorMessage="1" xr:uid="{E5653BAD-F50D-4ED2-AC90-A0162B627CDF}">
          <x14:formula1>
            <xm:f>'Calculations &amp; Lists'!$F$2:$F$5</xm:f>
          </x14:formula1>
          <xm:sqref>JO4:JO8 D4:D8 AH4:AH8 B4:B8 AP4:AP8</xm:sqref>
        </x14:dataValidation>
        <x14:dataValidation type="list" allowBlank="1" showInputMessage="1" showErrorMessage="1" xr:uid="{D540002A-35AD-4937-89B9-71075289E45A}">
          <x14:formula1>
            <xm:f>'Calculations &amp; Lists'!$E$2:$E$8</xm:f>
          </x14:formula1>
          <xm:sqref>AW4:AW8 AR4:AR8 JH4:JH8 JC4:JC8 IX4:IX8 IS4:IS8 IN4:IN8 II4:II8 ID4:ID8 HY4:HY8 HT4:HT8 HO4:HO8 HJ4:HJ8 HE4:HE8 GZ4:GZ8 GU4:GU8 GP4:GP8 FH4:FH8 FC4:FC8 EX4:EX8 ES4:ES8 EN4:EN8 ED4:ED8 EI4:EI8 DY4:DY8 DT4:DT8 DO4:DO8 DJ4:DJ8 DE4:DE8 CZ4:CZ8 CU4:CU8 CP4:CP8 CK4:CK8 CF4:CF8 CA4:CA8 BV4:BV8 BQ4:BQ8 BL4:BL8 BG4:BG8 BB4:BB8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2933F-B547-4A4D-86E3-B4410F33EE55}">
  <sheetPr codeName="Sheet6"/>
  <dimension ref="A1:AN6"/>
  <sheetViews>
    <sheetView workbookViewId="0">
      <selection activeCell="AN2" sqref="AN2"/>
    </sheetView>
  </sheetViews>
  <sheetFormatPr defaultRowHeight="12.5" x14ac:dyDescent="0.25"/>
  <cols>
    <col min="1" max="1" width="11.1796875" bestFit="1" customWidth="1"/>
    <col min="5" max="5" width="19.453125" customWidth="1"/>
  </cols>
  <sheetData>
    <row r="1" spans="1:40" ht="65" x14ac:dyDescent="0.25">
      <c r="A1" s="41" t="s">
        <v>588</v>
      </c>
      <c r="B1" s="41" t="s">
        <v>2</v>
      </c>
      <c r="C1" s="41" t="s">
        <v>3</v>
      </c>
      <c r="D1" s="42" t="s">
        <v>4</v>
      </c>
      <c r="E1" s="42" t="s">
        <v>5</v>
      </c>
      <c r="F1" s="42" t="s">
        <v>6</v>
      </c>
      <c r="G1" s="42" t="s">
        <v>7</v>
      </c>
      <c r="H1" s="43" t="s">
        <v>8</v>
      </c>
      <c r="I1" s="44" t="s">
        <v>9</v>
      </c>
      <c r="J1" s="44" t="s">
        <v>10</v>
      </c>
      <c r="K1" s="42" t="s">
        <v>11</v>
      </c>
      <c r="L1" s="41" t="s">
        <v>12</v>
      </c>
      <c r="M1" s="194" t="s">
        <v>13</v>
      </c>
      <c r="N1" s="194" t="s">
        <v>14</v>
      </c>
      <c r="O1" s="194" t="s">
        <v>15</v>
      </c>
      <c r="P1" s="195" t="s">
        <v>16</v>
      </c>
      <c r="Q1" s="41" t="s">
        <v>17</v>
      </c>
      <c r="R1" s="194" t="s">
        <v>18</v>
      </c>
      <c r="S1" s="194" t="s">
        <v>19</v>
      </c>
      <c r="T1" s="194" t="s">
        <v>20</v>
      </c>
      <c r="U1" s="195" t="s">
        <v>21</v>
      </c>
      <c r="V1" s="41" t="s">
        <v>22</v>
      </c>
      <c r="W1" s="194" t="s">
        <v>23</v>
      </c>
      <c r="X1" s="194" t="s">
        <v>24</v>
      </c>
      <c r="Y1" s="194" t="s">
        <v>25</v>
      </c>
      <c r="Z1" s="195" t="s">
        <v>26</v>
      </c>
      <c r="AA1" s="41" t="s">
        <v>27</v>
      </c>
      <c r="AB1" s="42" t="s">
        <v>28</v>
      </c>
      <c r="AC1" s="48" t="s">
        <v>30</v>
      </c>
      <c r="AD1" s="49" t="s">
        <v>31</v>
      </c>
      <c r="AE1" s="51" t="s">
        <v>32</v>
      </c>
      <c r="AF1" s="51" t="s">
        <v>33</v>
      </c>
      <c r="AG1" s="49" t="s">
        <v>34</v>
      </c>
      <c r="AH1" s="49" t="s">
        <v>35</v>
      </c>
      <c r="AI1" s="49" t="s">
        <v>36</v>
      </c>
      <c r="AJ1" s="49" t="s">
        <v>37</v>
      </c>
      <c r="AK1" s="49" t="s">
        <v>38</v>
      </c>
      <c r="AL1" s="189" t="s">
        <v>39</v>
      </c>
      <c r="AM1" s="196" t="s">
        <v>40</v>
      </c>
      <c r="AN1" s="50" t="s">
        <v>41</v>
      </c>
    </row>
    <row r="2" spans="1:40" ht="13" x14ac:dyDescent="0.3">
      <c r="A2" s="113" t="s">
        <v>753</v>
      </c>
      <c r="B2" s="113" t="s">
        <v>391</v>
      </c>
      <c r="C2" s="113" t="s">
        <v>392</v>
      </c>
      <c r="D2" s="113" t="s">
        <v>391</v>
      </c>
      <c r="E2" s="113" t="s">
        <v>739</v>
      </c>
      <c r="F2" s="113" t="s">
        <v>408</v>
      </c>
      <c r="G2" s="113" t="s">
        <v>395</v>
      </c>
      <c r="H2" s="108" t="str">
        <f>IFERROR("Q" &amp;INT((MONTH('Follow up (Ship 3)'!H4)+2)/3) &amp; "-" &amp; YEAR('Follow up (Ship 3)'!H4),"N/A")</f>
        <v>Q2-2018</v>
      </c>
      <c r="I2" s="113" t="s">
        <v>740</v>
      </c>
      <c r="J2" s="113" t="s">
        <v>741</v>
      </c>
      <c r="K2" s="113" t="s">
        <v>398</v>
      </c>
      <c r="L2" s="113" t="s">
        <v>398</v>
      </c>
      <c r="M2" s="113" t="s">
        <v>398</v>
      </c>
      <c r="N2" s="113" t="s">
        <v>398</v>
      </c>
      <c r="O2" s="113" t="s">
        <v>398</v>
      </c>
      <c r="P2" s="113" t="s">
        <v>398</v>
      </c>
      <c r="Q2" s="113" t="s">
        <v>398</v>
      </c>
      <c r="R2" s="113" t="s">
        <v>398</v>
      </c>
      <c r="S2" s="113" t="s">
        <v>398</v>
      </c>
      <c r="T2" s="113" t="s">
        <v>398</v>
      </c>
      <c r="U2" s="113" t="s">
        <v>398</v>
      </c>
      <c r="V2" s="113" t="s">
        <v>398</v>
      </c>
      <c r="W2" s="113" t="s">
        <v>398</v>
      </c>
      <c r="X2" s="113" t="s">
        <v>398</v>
      </c>
      <c r="Y2" s="113" t="s">
        <v>398</v>
      </c>
      <c r="Z2" s="113" t="s">
        <v>398</v>
      </c>
      <c r="AA2" s="113" t="s">
        <v>398</v>
      </c>
      <c r="AB2" s="113" t="s">
        <v>399</v>
      </c>
      <c r="AC2" s="108" t="str">
        <f>IFERROR("Q" &amp;INT((MONTH('Follow up (Ship 3)'!AD4)+2)/3) &amp; "-" &amp; YEAR('Follow up (Ship 3)'!AD4),"N/A")</f>
        <v>Q2-2018</v>
      </c>
      <c r="AD2" s="113">
        <v>74</v>
      </c>
      <c r="AE2" s="113" t="s">
        <v>742</v>
      </c>
      <c r="AF2" s="113" t="s">
        <v>401</v>
      </c>
      <c r="AG2" s="113" t="s">
        <v>402</v>
      </c>
      <c r="AH2" s="113" t="s">
        <v>455</v>
      </c>
      <c r="AI2" s="113" t="s">
        <v>404</v>
      </c>
      <c r="AJ2" s="113" t="s">
        <v>404</v>
      </c>
      <c r="AK2" s="113">
        <v>0</v>
      </c>
      <c r="AL2" s="113" t="s">
        <v>456</v>
      </c>
      <c r="AM2" s="113">
        <v>2</v>
      </c>
      <c r="AN2" s="197" t="s">
        <v>398</v>
      </c>
    </row>
    <row r="3" spans="1:40" ht="13" x14ac:dyDescent="0.3">
      <c r="A3" s="113" t="s">
        <v>754</v>
      </c>
      <c r="B3" s="113" t="s">
        <v>391</v>
      </c>
      <c r="C3" s="113" t="s">
        <v>392</v>
      </c>
      <c r="D3" s="113" t="s">
        <v>391</v>
      </c>
      <c r="E3" s="113" t="s">
        <v>743</v>
      </c>
      <c r="F3" s="113" t="s">
        <v>465</v>
      </c>
      <c r="G3" s="113" t="s">
        <v>448</v>
      </c>
      <c r="H3" s="108" t="str">
        <f>IFERROR("Q" &amp;INT((MONTH('Follow up (Ship 3)'!H5)+2)/3) &amp; "-" &amp; YEAR('Follow up (Ship 3)'!H5),"N/A")</f>
        <v>Q2-2018</v>
      </c>
      <c r="I3" s="113" t="s">
        <v>744</v>
      </c>
      <c r="J3" s="113" t="s">
        <v>741</v>
      </c>
      <c r="K3" s="113" t="s">
        <v>398</v>
      </c>
      <c r="L3" s="113" t="s">
        <v>398</v>
      </c>
      <c r="M3" s="113" t="s">
        <v>398</v>
      </c>
      <c r="N3" s="113" t="s">
        <v>398</v>
      </c>
      <c r="O3" s="113" t="s">
        <v>398</v>
      </c>
      <c r="P3" s="113" t="s">
        <v>398</v>
      </c>
      <c r="Q3" s="113" t="s">
        <v>398</v>
      </c>
      <c r="R3" s="113" t="s">
        <v>398</v>
      </c>
      <c r="S3" s="113" t="s">
        <v>398</v>
      </c>
      <c r="T3" s="113" t="s">
        <v>398</v>
      </c>
      <c r="U3" s="113" t="s">
        <v>398</v>
      </c>
      <c r="V3" s="113" t="s">
        <v>398</v>
      </c>
      <c r="W3" s="113" t="s">
        <v>398</v>
      </c>
      <c r="X3" s="113" t="s">
        <v>398</v>
      </c>
      <c r="Y3" s="113" t="s">
        <v>398</v>
      </c>
      <c r="Z3" s="113" t="s">
        <v>398</v>
      </c>
      <c r="AA3" s="113" t="s">
        <v>398</v>
      </c>
      <c r="AB3" s="113" t="s">
        <v>399</v>
      </c>
      <c r="AC3" s="108" t="str">
        <f>IFERROR("Q" &amp;INT((MONTH('Follow up (Ship 3)'!AD5)+2)/3) &amp; "-" &amp; YEAR('Follow up (Ship 3)'!AD5),"N/A")</f>
        <v>Q2-2018</v>
      </c>
      <c r="AD3" s="113">
        <v>75</v>
      </c>
      <c r="AE3" s="113" t="s">
        <v>411</v>
      </c>
      <c r="AF3" s="113" t="s">
        <v>401</v>
      </c>
      <c r="AG3" s="113" t="s">
        <v>402</v>
      </c>
      <c r="AH3" s="113">
        <v>2</v>
      </c>
      <c r="AI3" s="113">
        <v>0</v>
      </c>
      <c r="AJ3" s="113" t="s">
        <v>404</v>
      </c>
      <c r="AK3" s="113">
        <v>0</v>
      </c>
      <c r="AL3" s="113" t="s">
        <v>424</v>
      </c>
      <c r="AM3" s="113">
        <v>1</v>
      </c>
      <c r="AN3" s="113" t="s">
        <v>398</v>
      </c>
    </row>
    <row r="4" spans="1:40" ht="13" x14ac:dyDescent="0.3">
      <c r="A4" s="113" t="s">
        <v>755</v>
      </c>
      <c r="B4" s="113" t="s">
        <v>391</v>
      </c>
      <c r="C4" s="113" t="s">
        <v>392</v>
      </c>
      <c r="D4" s="113" t="s">
        <v>391</v>
      </c>
      <c r="E4" s="113" t="s">
        <v>745</v>
      </c>
      <c r="F4" s="113" t="s">
        <v>488</v>
      </c>
      <c r="G4" s="113" t="s">
        <v>422</v>
      </c>
      <c r="H4" s="108" t="str">
        <f>IFERROR("Q" &amp;INT((MONTH('Follow up (Ship 3)'!H6)+2)/3) &amp; "-" &amp; YEAR('Follow up (Ship 3)'!H6),"N/A")</f>
        <v>Q2-2018</v>
      </c>
      <c r="I4" s="113" t="s">
        <v>746</v>
      </c>
      <c r="J4" s="113" t="s">
        <v>747</v>
      </c>
      <c r="K4" s="113" t="s">
        <v>398</v>
      </c>
      <c r="L4" s="113" t="s">
        <v>398</v>
      </c>
      <c r="M4" s="113" t="s">
        <v>398</v>
      </c>
      <c r="N4" s="113" t="s">
        <v>398</v>
      </c>
      <c r="O4" s="113" t="s">
        <v>398</v>
      </c>
      <c r="P4" s="113" t="s">
        <v>398</v>
      </c>
      <c r="Q4" s="113" t="s">
        <v>398</v>
      </c>
      <c r="R4" s="113" t="s">
        <v>398</v>
      </c>
      <c r="S4" s="113" t="s">
        <v>398</v>
      </c>
      <c r="T4" s="113" t="s">
        <v>398</v>
      </c>
      <c r="U4" s="113" t="s">
        <v>398</v>
      </c>
      <c r="V4" s="113" t="s">
        <v>398</v>
      </c>
      <c r="W4" s="113" t="s">
        <v>398</v>
      </c>
      <c r="X4" s="113" t="s">
        <v>398</v>
      </c>
      <c r="Y4" s="113" t="s">
        <v>398</v>
      </c>
      <c r="Z4" s="113" t="s">
        <v>398</v>
      </c>
      <c r="AA4" s="113" t="s">
        <v>398</v>
      </c>
      <c r="AB4" s="113" t="s">
        <v>399</v>
      </c>
      <c r="AC4" s="108" t="str">
        <f>IFERROR("Q" &amp;INT((MONTH('Follow up (Ship 3)'!AD6)+2)/3) &amp; "-" &amp; YEAR('Follow up (Ship 3)'!AD6),"N/A")</f>
        <v>Q2-2018</v>
      </c>
      <c r="AD4" s="113">
        <v>76</v>
      </c>
      <c r="AE4" s="113" t="s">
        <v>477</v>
      </c>
      <c r="AF4" s="113" t="s">
        <v>401</v>
      </c>
      <c r="AG4" s="113" t="s">
        <v>404</v>
      </c>
      <c r="AH4" s="113" t="s">
        <v>455</v>
      </c>
      <c r="AI4" s="113" t="s">
        <v>404</v>
      </c>
      <c r="AJ4" s="113" t="s">
        <v>404</v>
      </c>
      <c r="AK4" s="113">
        <v>0</v>
      </c>
      <c r="AL4" s="113" t="s">
        <v>456</v>
      </c>
      <c r="AM4" s="113">
        <v>2</v>
      </c>
      <c r="AN4" s="113" t="s">
        <v>398</v>
      </c>
    </row>
    <row r="5" spans="1:40" ht="13" x14ac:dyDescent="0.3">
      <c r="A5" s="113" t="s">
        <v>756</v>
      </c>
      <c r="B5" s="113" t="s">
        <v>391</v>
      </c>
      <c r="C5" s="113" t="s">
        <v>392</v>
      </c>
      <c r="D5" s="113" t="s">
        <v>391</v>
      </c>
      <c r="E5" s="113" t="s">
        <v>748</v>
      </c>
      <c r="F5" s="113" t="s">
        <v>465</v>
      </c>
      <c r="G5" s="113" t="s">
        <v>395</v>
      </c>
      <c r="H5" s="108" t="str">
        <f>IFERROR("Q" &amp;INT((MONTH('Follow up (Ship 3)'!H7)+2)/3) &amp; "-" &amp; YEAR('Follow up (Ship 3)'!H7),"N/A")</f>
        <v>Q3-2018</v>
      </c>
      <c r="I5" s="113" t="s">
        <v>749</v>
      </c>
      <c r="J5" s="113" t="s">
        <v>741</v>
      </c>
      <c r="K5" s="113" t="s">
        <v>398</v>
      </c>
      <c r="L5" s="113" t="s">
        <v>398</v>
      </c>
      <c r="M5" s="113" t="s">
        <v>398</v>
      </c>
      <c r="N5" s="113" t="s">
        <v>398</v>
      </c>
      <c r="O5" s="113" t="s">
        <v>398</v>
      </c>
      <c r="P5" s="113" t="s">
        <v>398</v>
      </c>
      <c r="Q5" s="113" t="s">
        <v>398</v>
      </c>
      <c r="R5" s="113" t="s">
        <v>398</v>
      </c>
      <c r="S5" s="113" t="s">
        <v>398</v>
      </c>
      <c r="T5" s="113" t="s">
        <v>398</v>
      </c>
      <c r="U5" s="113" t="s">
        <v>398</v>
      </c>
      <c r="V5" s="113" t="s">
        <v>398</v>
      </c>
      <c r="W5" s="113" t="s">
        <v>398</v>
      </c>
      <c r="X5" s="113" t="s">
        <v>398</v>
      </c>
      <c r="Y5" s="113" t="s">
        <v>398</v>
      </c>
      <c r="Z5" s="113" t="s">
        <v>398</v>
      </c>
      <c r="AA5" s="113" t="s">
        <v>398</v>
      </c>
      <c r="AB5" s="113" t="s">
        <v>399</v>
      </c>
      <c r="AC5" s="108" t="str">
        <f>IFERROR("Q" &amp;INT((MONTH('Follow up (Ship 3)'!AD7)+2)/3) &amp; "-" &amp; YEAR('Follow up (Ship 3)'!AD7),"N/A")</f>
        <v>Q2-2018</v>
      </c>
      <c r="AD5" s="113">
        <v>77</v>
      </c>
      <c r="AE5" s="113" t="s">
        <v>750</v>
      </c>
      <c r="AF5" s="113" t="s">
        <v>401</v>
      </c>
      <c r="AG5" s="113" t="s">
        <v>402</v>
      </c>
      <c r="AH5" s="113" t="s">
        <v>455</v>
      </c>
      <c r="AI5" s="113" t="s">
        <v>404</v>
      </c>
      <c r="AJ5" s="113" t="s">
        <v>404</v>
      </c>
      <c r="AK5" s="113">
        <v>0</v>
      </c>
      <c r="AL5" s="113" t="s">
        <v>456</v>
      </c>
      <c r="AM5" s="113">
        <v>3</v>
      </c>
      <c r="AN5" s="113" t="s">
        <v>398</v>
      </c>
    </row>
    <row r="6" spans="1:40" ht="13" x14ac:dyDescent="0.3">
      <c r="A6" s="113" t="s">
        <v>757</v>
      </c>
      <c r="B6" s="113" t="s">
        <v>391</v>
      </c>
      <c r="C6" s="113" t="s">
        <v>392</v>
      </c>
      <c r="D6" s="113" t="s">
        <v>391</v>
      </c>
      <c r="E6" s="113" t="s">
        <v>751</v>
      </c>
      <c r="F6" s="113" t="s">
        <v>518</v>
      </c>
      <c r="G6" s="113" t="s">
        <v>398</v>
      </c>
      <c r="H6" s="108" t="str">
        <f>IFERROR("Q" &amp;INT((MONTH('Follow up (Ship 3)'!H8)+2)/3) &amp; "-" &amp; YEAR('Follow up (Ship 3)'!H8),"N/A")</f>
        <v>Q3-2018</v>
      </c>
      <c r="I6" s="113" t="s">
        <v>752</v>
      </c>
      <c r="J6" s="113" t="s">
        <v>741</v>
      </c>
      <c r="K6" s="113" t="s">
        <v>398</v>
      </c>
      <c r="L6" s="113" t="s">
        <v>398</v>
      </c>
      <c r="M6" s="113" t="s">
        <v>398</v>
      </c>
      <c r="N6" s="113" t="s">
        <v>398</v>
      </c>
      <c r="O6" s="113" t="s">
        <v>398</v>
      </c>
      <c r="P6" s="113" t="s">
        <v>398</v>
      </c>
      <c r="Q6" s="113" t="s">
        <v>398</v>
      </c>
      <c r="R6" s="113" t="s">
        <v>398</v>
      </c>
      <c r="S6" s="113" t="s">
        <v>398</v>
      </c>
      <c r="T6" s="113" t="s">
        <v>398</v>
      </c>
      <c r="U6" s="113" t="s">
        <v>398</v>
      </c>
      <c r="V6" s="113" t="s">
        <v>398</v>
      </c>
      <c r="W6" s="113" t="s">
        <v>398</v>
      </c>
      <c r="X6" s="113" t="s">
        <v>398</v>
      </c>
      <c r="Y6" s="113" t="s">
        <v>398</v>
      </c>
      <c r="Z6" s="113" t="s">
        <v>398</v>
      </c>
      <c r="AA6" s="113" t="s">
        <v>398</v>
      </c>
      <c r="AB6" s="113" t="s">
        <v>399</v>
      </c>
      <c r="AC6" s="108" t="str">
        <f>IFERROR("Q" &amp;INT((MONTH('Follow up (Ship 3)'!AD8)+2)/3) &amp; "-" &amp; YEAR('Follow up (Ship 3)'!AD8),"N/A")</f>
        <v>Q2-2018</v>
      </c>
      <c r="AD6" s="113">
        <v>71</v>
      </c>
      <c r="AE6" s="113" t="s">
        <v>477</v>
      </c>
      <c r="AF6" s="113" t="s">
        <v>401</v>
      </c>
      <c r="AG6" s="113" t="s">
        <v>404</v>
      </c>
      <c r="AH6" s="113" t="s">
        <v>412</v>
      </c>
      <c r="AI6" s="113" t="s">
        <v>404</v>
      </c>
      <c r="AJ6" s="113" t="s">
        <v>404</v>
      </c>
      <c r="AK6" s="113">
        <v>0</v>
      </c>
      <c r="AL6" s="113" t="s">
        <v>414</v>
      </c>
      <c r="AM6" s="113">
        <v>1</v>
      </c>
      <c r="AN6" s="113" t="s">
        <v>398</v>
      </c>
    </row>
  </sheetData>
  <conditionalFormatting sqref="F15">
    <cfRule type="duplicateValues" dxfId="1197"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5B58B-E880-40D3-9D31-4296301089B4}">
  <sheetPr codeName="Sheet7"/>
  <dimension ref="A1:D6"/>
  <sheetViews>
    <sheetView tabSelected="1" workbookViewId="0">
      <selection activeCell="V17" sqref="V17"/>
    </sheetView>
  </sheetViews>
  <sheetFormatPr defaultColWidth="9.1796875" defaultRowHeight="13" x14ac:dyDescent="0.3"/>
  <cols>
    <col min="1" max="1" width="13" style="124" customWidth="1"/>
    <col min="2" max="2" width="13.453125" style="124" customWidth="1"/>
    <col min="3" max="3" width="17.453125" style="124" customWidth="1"/>
    <col min="4" max="4" width="13.1796875" style="124" customWidth="1"/>
    <col min="5" max="16384" width="9.1796875" style="124"/>
  </cols>
  <sheetData>
    <row r="1" spans="1:4" ht="58.5" customHeight="1" x14ac:dyDescent="0.3">
      <c r="A1" s="246" t="s">
        <v>1</v>
      </c>
      <c r="B1" s="246" t="s">
        <v>588</v>
      </c>
      <c r="C1" s="246" t="s">
        <v>589</v>
      </c>
      <c r="D1" s="263" t="s">
        <v>758</v>
      </c>
    </row>
    <row r="2" spans="1:4" ht="15.75" customHeight="1" x14ac:dyDescent="0.3">
      <c r="A2" s="170">
        <v>4387508752</v>
      </c>
      <c r="B2" s="121" t="s">
        <v>753</v>
      </c>
      <c r="C2" s="121" t="s">
        <v>739</v>
      </c>
      <c r="D2" s="121" t="s">
        <v>595</v>
      </c>
    </row>
    <row r="3" spans="1:4" ht="15.75" customHeight="1" x14ac:dyDescent="0.3">
      <c r="A3" s="113">
        <v>4425695976</v>
      </c>
      <c r="B3" s="121" t="s">
        <v>754</v>
      </c>
      <c r="C3" s="121" t="s">
        <v>743</v>
      </c>
      <c r="D3" s="121" t="s">
        <v>593</v>
      </c>
    </row>
    <row r="4" spans="1:4" ht="15.75" customHeight="1" x14ac:dyDescent="0.3">
      <c r="A4" s="125">
        <v>4381015940</v>
      </c>
      <c r="B4" s="121" t="s">
        <v>755</v>
      </c>
      <c r="C4" s="121" t="s">
        <v>745</v>
      </c>
      <c r="D4" s="121" t="s">
        <v>595</v>
      </c>
    </row>
    <row r="5" spans="1:4" ht="15.75" customHeight="1" x14ac:dyDescent="0.3">
      <c r="A5" s="125">
        <v>4269850612</v>
      </c>
      <c r="B5" s="121" t="s">
        <v>756</v>
      </c>
      <c r="C5" s="121" t="s">
        <v>748</v>
      </c>
      <c r="D5" s="121" t="s">
        <v>595</v>
      </c>
    </row>
    <row r="6" spans="1:4" ht="15.75" customHeight="1" x14ac:dyDescent="0.3">
      <c r="A6" s="140">
        <v>4387993316</v>
      </c>
      <c r="B6" s="145" t="s">
        <v>757</v>
      </c>
      <c r="C6" s="145" t="s">
        <v>751</v>
      </c>
      <c r="D6" s="145" t="s">
        <v>592</v>
      </c>
    </row>
  </sheetData>
  <conditionalFormatting sqref="A2">
    <cfRule type="duplicateValues" dxfId="1196" priority="2"/>
  </conditionalFormatting>
  <conditionalFormatting sqref="C2:C6">
    <cfRule type="duplicateValues" dxfId="1195" priority="1"/>
  </conditionalFormatting>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CDCDE-6648-41FE-8F0D-ADD710C198FB}">
  <sheetPr codeName="Sheet8"/>
  <dimension ref="B1:M386"/>
  <sheetViews>
    <sheetView workbookViewId="0">
      <selection activeCell="C7" sqref="C7"/>
    </sheetView>
  </sheetViews>
  <sheetFormatPr defaultRowHeight="12.5" x14ac:dyDescent="0.25"/>
  <cols>
    <col min="2" max="2" width="43.453125" bestFit="1" customWidth="1"/>
    <col min="3" max="3" width="112.81640625" customWidth="1"/>
    <col min="5" max="6" width="15.81640625" customWidth="1"/>
    <col min="7" max="7" width="37.26953125" bestFit="1" customWidth="1"/>
    <col min="8" max="8" width="31.81640625" bestFit="1" customWidth="1"/>
    <col min="11" max="11" width="42.7265625" bestFit="1" customWidth="1"/>
    <col min="12" max="12" width="12" hidden="1" customWidth="1"/>
    <col min="13" max="13" width="8" bestFit="1" customWidth="1"/>
  </cols>
  <sheetData>
    <row r="1" spans="2:13" ht="18.75" customHeight="1" x14ac:dyDescent="0.3">
      <c r="E1" s="2" t="s">
        <v>759</v>
      </c>
      <c r="F1" s="2" t="s">
        <v>760</v>
      </c>
      <c r="G1" s="2" t="s">
        <v>27</v>
      </c>
      <c r="H1" s="2" t="s">
        <v>33</v>
      </c>
      <c r="K1" t="s">
        <v>761</v>
      </c>
    </row>
    <row r="2" spans="2:13" x14ac:dyDescent="0.25">
      <c r="B2" s="15" t="s">
        <v>762</v>
      </c>
      <c r="C2" s="16"/>
      <c r="E2" t="s">
        <v>763</v>
      </c>
      <c r="F2" t="s">
        <v>402</v>
      </c>
      <c r="G2" t="s">
        <v>392</v>
      </c>
      <c r="H2" t="s">
        <v>401</v>
      </c>
    </row>
    <row r="3" spans="2:13" ht="13" x14ac:dyDescent="0.25">
      <c r="B3" s="17" t="s">
        <v>764</v>
      </c>
      <c r="C3" s="18"/>
      <c r="E3" t="s">
        <v>765</v>
      </c>
      <c r="F3" t="s">
        <v>391</v>
      </c>
      <c r="G3" t="s">
        <v>766</v>
      </c>
      <c r="H3" t="s">
        <v>767</v>
      </c>
      <c r="K3" s="3" t="s">
        <v>768</v>
      </c>
      <c r="L3" s="4" t="s">
        <v>769</v>
      </c>
      <c r="M3" s="3" t="s">
        <v>770</v>
      </c>
    </row>
    <row r="4" spans="2:13" ht="16.5" x14ac:dyDescent="0.45">
      <c r="B4" s="17"/>
      <c r="C4" s="18"/>
      <c r="E4" t="s">
        <v>771</v>
      </c>
      <c r="F4" t="s">
        <v>398</v>
      </c>
      <c r="G4" t="s">
        <v>772</v>
      </c>
      <c r="H4" t="s">
        <v>398</v>
      </c>
      <c r="J4" t="s">
        <v>769</v>
      </c>
      <c r="K4" s="5" t="s">
        <v>1</v>
      </c>
      <c r="L4" s="6" t="str">
        <f>LEFT(ADDRESS(1, ROW(L3), 4, TRUE), (ROW(L3)&gt;26)+1)</f>
        <v>C</v>
      </c>
      <c r="M4" s="7" t="s">
        <v>769</v>
      </c>
    </row>
    <row r="5" spans="2:13" ht="16.5" x14ac:dyDescent="0.45">
      <c r="B5" s="19"/>
      <c r="C5" s="18"/>
      <c r="E5" t="s">
        <v>773</v>
      </c>
      <c r="F5" t="s">
        <v>404</v>
      </c>
      <c r="G5" t="s">
        <v>774</v>
      </c>
      <c r="H5" t="s">
        <v>404</v>
      </c>
      <c r="J5" t="s">
        <v>775</v>
      </c>
      <c r="K5" s="5" t="s">
        <v>2</v>
      </c>
      <c r="L5" s="6" t="str">
        <f t="shared" ref="L5:L69" si="0">LEFT(ADDRESS(1, ROW(L4), 4, TRUE), (ROW(L4)&gt;26)+1)</f>
        <v>D</v>
      </c>
      <c r="M5" s="7" t="s">
        <v>775</v>
      </c>
    </row>
    <row r="6" spans="2:13" ht="16.5" x14ac:dyDescent="0.45">
      <c r="B6" s="20" t="s">
        <v>776</v>
      </c>
      <c r="C6" s="108" t="s">
        <v>777</v>
      </c>
      <c r="E6" t="s">
        <v>778</v>
      </c>
      <c r="G6" t="s">
        <v>398</v>
      </c>
      <c r="J6" t="s">
        <v>769</v>
      </c>
      <c r="K6" s="5" t="s">
        <v>3</v>
      </c>
      <c r="L6" s="6" t="str">
        <f t="shared" si="0"/>
        <v>E</v>
      </c>
      <c r="M6" s="7" t="s">
        <v>779</v>
      </c>
    </row>
    <row r="7" spans="2:13" ht="16.5" x14ac:dyDescent="0.45">
      <c r="B7" s="20" t="s">
        <v>780</v>
      </c>
      <c r="C7" s="108" t="s">
        <v>781</v>
      </c>
      <c r="E7" t="s">
        <v>398</v>
      </c>
      <c r="G7" t="s">
        <v>404</v>
      </c>
      <c r="J7" t="s">
        <v>775</v>
      </c>
      <c r="K7" s="8" t="s">
        <v>4</v>
      </c>
      <c r="L7" s="6" t="str">
        <f t="shared" si="0"/>
        <v>F</v>
      </c>
      <c r="M7" s="7" t="s">
        <v>782</v>
      </c>
    </row>
    <row r="8" spans="2:13" ht="16.5" x14ac:dyDescent="0.45">
      <c r="B8" s="21" t="s">
        <v>783</v>
      </c>
      <c r="C8" s="109" t="s">
        <v>784</v>
      </c>
      <c r="E8" t="s">
        <v>404</v>
      </c>
      <c r="J8" t="s">
        <v>769</v>
      </c>
      <c r="K8" s="8" t="s">
        <v>5</v>
      </c>
      <c r="L8" s="6" t="str">
        <f t="shared" si="0"/>
        <v>G</v>
      </c>
      <c r="M8" s="7" t="s">
        <v>785</v>
      </c>
    </row>
    <row r="9" spans="2:13" ht="16.5" x14ac:dyDescent="0.45">
      <c r="B9" s="21" t="s">
        <v>786</v>
      </c>
      <c r="C9" s="108" t="s">
        <v>787</v>
      </c>
      <c r="J9" t="s">
        <v>769</v>
      </c>
      <c r="K9" s="8" t="s">
        <v>6</v>
      </c>
      <c r="L9" s="6" t="str">
        <f t="shared" si="0"/>
        <v>H</v>
      </c>
      <c r="M9" s="7" t="s">
        <v>399</v>
      </c>
    </row>
    <row r="10" spans="2:13" ht="16.5" x14ac:dyDescent="0.45">
      <c r="B10" s="21" t="s">
        <v>788</v>
      </c>
      <c r="C10" s="108" t="s">
        <v>789</v>
      </c>
      <c r="J10" t="s">
        <v>769</v>
      </c>
      <c r="K10" s="8" t="s">
        <v>7</v>
      </c>
      <c r="L10" s="6" t="str">
        <f t="shared" si="0"/>
        <v>I</v>
      </c>
      <c r="M10" s="7" t="s">
        <v>790</v>
      </c>
    </row>
    <row r="11" spans="2:13" ht="16.5" x14ac:dyDescent="0.45">
      <c r="B11" s="22" t="s">
        <v>387</v>
      </c>
      <c r="C11" s="108" t="s">
        <v>791</v>
      </c>
      <c r="J11" t="s">
        <v>769</v>
      </c>
      <c r="K11" s="8" t="s">
        <v>8</v>
      </c>
      <c r="L11" s="6" t="str">
        <f t="shared" si="0"/>
        <v>J</v>
      </c>
      <c r="M11" s="7" t="s">
        <v>792</v>
      </c>
    </row>
    <row r="12" spans="2:13" ht="16.5" x14ac:dyDescent="0.45">
      <c r="B12" s="22" t="s">
        <v>388</v>
      </c>
      <c r="C12" s="108" t="s">
        <v>793</v>
      </c>
      <c r="J12" t="s">
        <v>769</v>
      </c>
      <c r="K12" s="8" t="s">
        <v>9</v>
      </c>
      <c r="L12" s="6" t="str">
        <f t="shared" si="0"/>
        <v>K</v>
      </c>
      <c r="M12" s="7" t="s">
        <v>794</v>
      </c>
    </row>
    <row r="13" spans="2:13" ht="16.5" x14ac:dyDescent="0.45">
      <c r="B13" s="22" t="s">
        <v>389</v>
      </c>
      <c r="C13" s="108" t="s">
        <v>795</v>
      </c>
      <c r="J13" t="s">
        <v>769</v>
      </c>
      <c r="K13" s="8" t="s">
        <v>10</v>
      </c>
      <c r="L13" s="6" t="str">
        <f t="shared" si="0"/>
        <v>L</v>
      </c>
      <c r="M13" s="7" t="s">
        <v>796</v>
      </c>
    </row>
    <row r="14" spans="2:13" ht="16.5" x14ac:dyDescent="0.45">
      <c r="B14" s="22" t="s">
        <v>390</v>
      </c>
      <c r="C14" s="108" t="s">
        <v>797</v>
      </c>
      <c r="J14" t="s">
        <v>769</v>
      </c>
      <c r="K14" s="8" t="s">
        <v>11</v>
      </c>
      <c r="L14" s="6" t="str">
        <f t="shared" si="0"/>
        <v>M</v>
      </c>
      <c r="M14" s="7" t="s">
        <v>798</v>
      </c>
    </row>
    <row r="15" spans="2:13" ht="16.5" x14ac:dyDescent="0.45">
      <c r="B15" s="22" t="s">
        <v>799</v>
      </c>
      <c r="C15" s="108" t="s">
        <v>800</v>
      </c>
      <c r="K15" s="8"/>
      <c r="L15" s="6"/>
      <c r="M15" s="7"/>
    </row>
    <row r="16" spans="2:13" ht="16.5" x14ac:dyDescent="0.45">
      <c r="B16" s="23" t="s">
        <v>801</v>
      </c>
      <c r="C16" s="108" t="s">
        <v>802</v>
      </c>
      <c r="J16" t="s">
        <v>769</v>
      </c>
      <c r="K16" s="5" t="s">
        <v>12</v>
      </c>
      <c r="L16" s="6" t="str">
        <f>LEFT(ADDRESS(1, ROW(L14), 4, TRUE), (ROW(L14)&gt;26)+1)</f>
        <v>N</v>
      </c>
      <c r="M16" s="7" t="s">
        <v>803</v>
      </c>
    </row>
    <row r="17" spans="3:13" ht="16.5" x14ac:dyDescent="0.45">
      <c r="J17" t="s">
        <v>769</v>
      </c>
      <c r="K17" s="5" t="s">
        <v>13</v>
      </c>
      <c r="L17" s="6" t="str">
        <f t="shared" si="0"/>
        <v>P</v>
      </c>
      <c r="M17" s="7" t="s">
        <v>804</v>
      </c>
    </row>
    <row r="18" spans="3:13" ht="16.5" x14ac:dyDescent="0.45">
      <c r="J18" t="s">
        <v>769</v>
      </c>
      <c r="K18" s="5" t="s">
        <v>14</v>
      </c>
      <c r="L18" s="6" t="str">
        <f t="shared" si="0"/>
        <v>Q</v>
      </c>
      <c r="M18" s="7" t="s">
        <v>805</v>
      </c>
    </row>
    <row r="19" spans="3:13" ht="16.5" x14ac:dyDescent="0.45">
      <c r="J19" t="s">
        <v>769</v>
      </c>
      <c r="K19" s="5" t="s">
        <v>15</v>
      </c>
      <c r="L19" s="6" t="str">
        <f t="shared" si="0"/>
        <v>R</v>
      </c>
      <c r="M19" s="7" t="s">
        <v>806</v>
      </c>
    </row>
    <row r="20" spans="3:13" ht="16.5" x14ac:dyDescent="0.45">
      <c r="C20" s="244" t="s">
        <v>807</v>
      </c>
      <c r="J20" t="s">
        <v>769</v>
      </c>
      <c r="K20" s="5" t="s">
        <v>16</v>
      </c>
      <c r="L20" s="6" t="str">
        <f t="shared" si="0"/>
        <v>S</v>
      </c>
      <c r="M20" s="7" t="s">
        <v>808</v>
      </c>
    </row>
    <row r="21" spans="3:13" ht="16.5" x14ac:dyDescent="0.45">
      <c r="C21" s="38"/>
      <c r="J21" t="s">
        <v>769</v>
      </c>
      <c r="K21" s="5" t="s">
        <v>17</v>
      </c>
      <c r="L21" s="6" t="str">
        <f t="shared" si="0"/>
        <v>T</v>
      </c>
      <c r="M21" s="7" t="s">
        <v>809</v>
      </c>
    </row>
    <row r="22" spans="3:13" ht="16.5" x14ac:dyDescent="0.45">
      <c r="J22" t="s">
        <v>769</v>
      </c>
      <c r="K22" s="5" t="s">
        <v>18</v>
      </c>
      <c r="L22" s="6" t="str">
        <f t="shared" si="0"/>
        <v>U</v>
      </c>
      <c r="M22" s="7" t="s">
        <v>810</v>
      </c>
    </row>
    <row r="23" spans="3:13" ht="16.5" x14ac:dyDescent="0.45">
      <c r="J23" t="s">
        <v>769</v>
      </c>
      <c r="K23" s="5" t="s">
        <v>19</v>
      </c>
      <c r="L23" s="6" t="str">
        <f t="shared" si="0"/>
        <v>V</v>
      </c>
      <c r="M23" s="7" t="s">
        <v>811</v>
      </c>
    </row>
    <row r="24" spans="3:13" ht="16.5" x14ac:dyDescent="0.45">
      <c r="J24" t="s">
        <v>769</v>
      </c>
      <c r="K24" s="5" t="s">
        <v>20</v>
      </c>
      <c r="L24" s="6" t="str">
        <f t="shared" si="0"/>
        <v>W</v>
      </c>
      <c r="M24" s="7" t="s">
        <v>812</v>
      </c>
    </row>
    <row r="25" spans="3:13" ht="16.5" x14ac:dyDescent="0.45">
      <c r="F25" s="1"/>
      <c r="J25" t="s">
        <v>769</v>
      </c>
      <c r="K25" s="5" t="s">
        <v>21</v>
      </c>
      <c r="L25" s="6" t="str">
        <f t="shared" si="0"/>
        <v>X</v>
      </c>
      <c r="M25" s="7" t="s">
        <v>813</v>
      </c>
    </row>
    <row r="26" spans="3:13" ht="16.5" x14ac:dyDescent="0.45">
      <c r="D26" s="1"/>
      <c r="E26" s="1"/>
      <c r="F26" s="1"/>
      <c r="G26" s="1"/>
      <c r="J26" t="s">
        <v>769</v>
      </c>
      <c r="K26" s="5" t="s">
        <v>22</v>
      </c>
      <c r="L26" s="6" t="str">
        <f t="shared" si="0"/>
        <v>Y</v>
      </c>
      <c r="M26" s="7" t="s">
        <v>814</v>
      </c>
    </row>
    <row r="27" spans="3:13" ht="16.5" x14ac:dyDescent="0.45">
      <c r="D27" s="1"/>
      <c r="E27" s="1"/>
      <c r="F27" s="1"/>
      <c r="G27" s="1"/>
      <c r="J27" t="s">
        <v>769</v>
      </c>
      <c r="K27" s="5" t="s">
        <v>23</v>
      </c>
      <c r="L27" s="6" t="str">
        <f t="shared" si="0"/>
        <v>Z</v>
      </c>
      <c r="M27" s="7" t="s">
        <v>815</v>
      </c>
    </row>
    <row r="28" spans="3:13" ht="16.5" x14ac:dyDescent="0.45">
      <c r="D28" s="1"/>
      <c r="E28" s="1"/>
      <c r="F28" s="1"/>
      <c r="G28" s="1"/>
      <c r="J28" t="s">
        <v>769</v>
      </c>
      <c r="K28" s="5" t="s">
        <v>24</v>
      </c>
      <c r="L28" s="6" t="str">
        <f t="shared" si="0"/>
        <v>AA</v>
      </c>
      <c r="M28" s="7" t="s">
        <v>816</v>
      </c>
    </row>
    <row r="29" spans="3:13" ht="16.5" x14ac:dyDescent="0.45">
      <c r="D29" s="1"/>
      <c r="E29" s="1"/>
      <c r="F29" s="1"/>
      <c r="G29" s="1"/>
      <c r="J29" t="s">
        <v>769</v>
      </c>
      <c r="K29" s="5" t="s">
        <v>25</v>
      </c>
      <c r="L29" s="6" t="str">
        <f t="shared" si="0"/>
        <v>AB</v>
      </c>
      <c r="M29" s="7" t="s">
        <v>817</v>
      </c>
    </row>
    <row r="30" spans="3:13" ht="16.5" x14ac:dyDescent="0.45">
      <c r="D30" s="1"/>
      <c r="E30" s="1"/>
      <c r="F30" s="1"/>
      <c r="G30" s="1"/>
      <c r="J30" t="s">
        <v>769</v>
      </c>
      <c r="K30" s="5" t="s">
        <v>26</v>
      </c>
      <c r="L30" s="6" t="str">
        <f t="shared" si="0"/>
        <v>AC</v>
      </c>
      <c r="M30" s="7" t="s">
        <v>818</v>
      </c>
    </row>
    <row r="31" spans="3:13" ht="16.5" x14ac:dyDescent="0.45">
      <c r="D31" s="1"/>
      <c r="E31" s="1"/>
      <c r="F31" s="1"/>
      <c r="G31" s="1"/>
      <c r="J31" t="s">
        <v>769</v>
      </c>
      <c r="K31" s="5" t="s">
        <v>27</v>
      </c>
      <c r="L31" s="6" t="str">
        <f t="shared" si="0"/>
        <v>AD</v>
      </c>
      <c r="M31" s="7" t="s">
        <v>819</v>
      </c>
    </row>
    <row r="32" spans="3:13" ht="16.5" x14ac:dyDescent="0.45">
      <c r="D32" s="1"/>
      <c r="E32" s="1"/>
      <c r="F32" s="1"/>
      <c r="G32" s="1"/>
      <c r="J32" t="s">
        <v>769</v>
      </c>
      <c r="K32" s="8" t="s">
        <v>28</v>
      </c>
      <c r="L32" s="6" t="str">
        <f t="shared" si="0"/>
        <v>AE</v>
      </c>
      <c r="M32" s="7" t="s">
        <v>820</v>
      </c>
    </row>
    <row r="33" spans="4:13" ht="16.5" x14ac:dyDescent="0.45">
      <c r="D33" s="1"/>
      <c r="E33" s="1"/>
      <c r="J33" t="s">
        <v>769</v>
      </c>
      <c r="K33" s="8" t="s">
        <v>29</v>
      </c>
      <c r="L33" s="6" t="str">
        <f t="shared" si="0"/>
        <v>AF</v>
      </c>
      <c r="M33" s="7" t="s">
        <v>821</v>
      </c>
    </row>
    <row r="34" spans="4:13" ht="16.5" x14ac:dyDescent="0.45">
      <c r="D34" s="1"/>
      <c r="E34" s="1"/>
      <c r="F34" s="1"/>
      <c r="J34" t="s">
        <v>769</v>
      </c>
      <c r="K34" s="8" t="s">
        <v>30</v>
      </c>
      <c r="L34" s="6" t="str">
        <f t="shared" si="0"/>
        <v>AG</v>
      </c>
      <c r="M34" s="7" t="s">
        <v>822</v>
      </c>
    </row>
    <row r="35" spans="4:13" ht="16.5" x14ac:dyDescent="0.45">
      <c r="D35" s="1"/>
      <c r="E35" s="1"/>
      <c r="F35" s="1"/>
      <c r="G35" s="1"/>
      <c r="J35" t="s">
        <v>769</v>
      </c>
      <c r="K35" s="8" t="s">
        <v>31</v>
      </c>
      <c r="L35" s="6" t="str">
        <f t="shared" si="0"/>
        <v>AH</v>
      </c>
      <c r="M35" s="7" t="s">
        <v>823</v>
      </c>
    </row>
    <row r="36" spans="4:13" ht="16.5" x14ac:dyDescent="0.45">
      <c r="D36" s="1"/>
      <c r="E36" s="1"/>
      <c r="F36" s="1"/>
      <c r="G36" s="1"/>
      <c r="J36" t="s">
        <v>769</v>
      </c>
      <c r="K36" s="8" t="s">
        <v>32</v>
      </c>
      <c r="L36" s="6" t="str">
        <f t="shared" si="0"/>
        <v>AI</v>
      </c>
      <c r="M36" s="7" t="s">
        <v>824</v>
      </c>
    </row>
    <row r="37" spans="4:13" ht="16.5" x14ac:dyDescent="0.45">
      <c r="D37" s="1"/>
      <c r="E37" s="1"/>
      <c r="F37" s="1"/>
      <c r="G37" s="1"/>
      <c r="J37" t="s">
        <v>769</v>
      </c>
      <c r="K37" s="8" t="s">
        <v>33</v>
      </c>
      <c r="L37" s="6" t="str">
        <f t="shared" si="0"/>
        <v>AJ</v>
      </c>
      <c r="M37" s="7" t="s">
        <v>825</v>
      </c>
    </row>
    <row r="38" spans="4:13" ht="16.5" x14ac:dyDescent="0.45">
      <c r="D38" s="1"/>
      <c r="E38" s="1"/>
      <c r="F38" s="1"/>
      <c r="G38" s="1"/>
      <c r="J38" t="s">
        <v>769</v>
      </c>
      <c r="K38" s="8" t="s">
        <v>34</v>
      </c>
      <c r="L38" s="6" t="str">
        <f t="shared" si="0"/>
        <v>AK</v>
      </c>
      <c r="M38" s="7" t="s">
        <v>826</v>
      </c>
    </row>
    <row r="39" spans="4:13" ht="16.5" x14ac:dyDescent="0.45">
      <c r="D39" s="1"/>
      <c r="E39" s="1"/>
      <c r="F39" s="1"/>
      <c r="G39" s="1"/>
      <c r="J39" t="s">
        <v>769</v>
      </c>
      <c r="K39" s="8" t="s">
        <v>35</v>
      </c>
      <c r="L39" s="6" t="str">
        <f t="shared" si="0"/>
        <v>AL</v>
      </c>
      <c r="M39" s="7" t="s">
        <v>827</v>
      </c>
    </row>
    <row r="40" spans="4:13" ht="16.5" x14ac:dyDescent="0.45">
      <c r="D40" s="1"/>
      <c r="E40" s="1"/>
      <c r="F40" s="1"/>
      <c r="G40" s="1"/>
      <c r="J40" t="s">
        <v>769</v>
      </c>
      <c r="K40" s="8" t="s">
        <v>36</v>
      </c>
      <c r="L40" s="6" t="str">
        <f t="shared" si="0"/>
        <v>AM</v>
      </c>
      <c r="M40" s="7" t="s">
        <v>828</v>
      </c>
    </row>
    <row r="41" spans="4:13" ht="16.5" x14ac:dyDescent="0.45">
      <c r="D41" s="1"/>
      <c r="E41" s="1"/>
      <c r="J41" t="s">
        <v>769</v>
      </c>
      <c r="K41" s="8" t="s">
        <v>37</v>
      </c>
      <c r="L41" s="6" t="str">
        <f t="shared" si="0"/>
        <v>AN</v>
      </c>
      <c r="M41" s="7" t="s">
        <v>829</v>
      </c>
    </row>
    <row r="42" spans="4:13" ht="16.5" x14ac:dyDescent="0.45">
      <c r="D42" s="1"/>
      <c r="E42" s="1"/>
      <c r="F42" s="1"/>
      <c r="J42" t="s">
        <v>769</v>
      </c>
      <c r="K42" s="8" t="s">
        <v>38</v>
      </c>
      <c r="L42" s="6" t="str">
        <f t="shared" si="0"/>
        <v>AO</v>
      </c>
      <c r="M42" s="7" t="s">
        <v>830</v>
      </c>
    </row>
    <row r="43" spans="4:13" ht="16.5" x14ac:dyDescent="0.45">
      <c r="D43" s="1"/>
      <c r="E43" s="1"/>
      <c r="F43" s="1"/>
      <c r="J43" t="s">
        <v>779</v>
      </c>
      <c r="K43" s="8" t="s">
        <v>39</v>
      </c>
      <c r="L43" s="6" t="str">
        <f t="shared" si="0"/>
        <v>AP</v>
      </c>
      <c r="M43" s="7" t="s">
        <v>831</v>
      </c>
    </row>
    <row r="44" spans="4:13" ht="16.5" x14ac:dyDescent="0.45">
      <c r="D44" s="1"/>
      <c r="E44" s="1"/>
      <c r="F44" s="1"/>
      <c r="J44" t="s">
        <v>769</v>
      </c>
      <c r="K44" s="8" t="s">
        <v>40</v>
      </c>
      <c r="L44" s="6" t="str">
        <f t="shared" si="0"/>
        <v>AQ</v>
      </c>
      <c r="M44" s="7" t="s">
        <v>832</v>
      </c>
    </row>
    <row r="45" spans="4:13" ht="16.5" x14ac:dyDescent="0.45">
      <c r="F45" s="1"/>
      <c r="J45" t="s">
        <v>779</v>
      </c>
      <c r="K45" s="8" t="s">
        <v>41</v>
      </c>
      <c r="L45" s="6" t="str">
        <f t="shared" si="0"/>
        <v>AR</v>
      </c>
      <c r="M45" s="7" t="s">
        <v>833</v>
      </c>
    </row>
    <row r="46" spans="4:13" ht="16.5" x14ac:dyDescent="0.45">
      <c r="J46" t="s">
        <v>775</v>
      </c>
      <c r="K46" s="9" t="s">
        <v>42</v>
      </c>
      <c r="L46" s="6" t="str">
        <f t="shared" si="0"/>
        <v>AS</v>
      </c>
      <c r="M46" s="7" t="s">
        <v>834</v>
      </c>
    </row>
    <row r="47" spans="4:13" ht="16.5" x14ac:dyDescent="0.45">
      <c r="J47" t="s">
        <v>775</v>
      </c>
      <c r="K47" s="9" t="s">
        <v>43</v>
      </c>
      <c r="L47" s="6" t="str">
        <f t="shared" si="0"/>
        <v>AT</v>
      </c>
      <c r="M47" s="7" t="s">
        <v>835</v>
      </c>
    </row>
    <row r="48" spans="4:13" ht="16.5" x14ac:dyDescent="0.45">
      <c r="J48" t="s">
        <v>775</v>
      </c>
      <c r="K48" s="9" t="s">
        <v>44</v>
      </c>
      <c r="L48" s="6" t="str">
        <f t="shared" si="0"/>
        <v>AU</v>
      </c>
      <c r="M48" s="7" t="s">
        <v>836</v>
      </c>
    </row>
    <row r="49" spans="10:13" ht="16.5" x14ac:dyDescent="0.45">
      <c r="J49" t="s">
        <v>775</v>
      </c>
      <c r="K49" s="9" t="s">
        <v>45</v>
      </c>
      <c r="L49" s="6" t="str">
        <f t="shared" si="0"/>
        <v>AV</v>
      </c>
      <c r="M49" s="7" t="s">
        <v>837</v>
      </c>
    </row>
    <row r="50" spans="10:13" ht="16.5" x14ac:dyDescent="0.45">
      <c r="J50" t="s">
        <v>775</v>
      </c>
      <c r="K50" s="9" t="s">
        <v>46</v>
      </c>
      <c r="L50" s="6" t="str">
        <f t="shared" si="0"/>
        <v>AW</v>
      </c>
      <c r="M50" s="7" t="s">
        <v>838</v>
      </c>
    </row>
    <row r="51" spans="10:13" ht="16.5" x14ac:dyDescent="0.45">
      <c r="J51" t="s">
        <v>775</v>
      </c>
      <c r="K51" s="9" t="s">
        <v>47</v>
      </c>
      <c r="L51" s="6" t="str">
        <f t="shared" si="0"/>
        <v>AX</v>
      </c>
      <c r="M51" s="7" t="s">
        <v>839</v>
      </c>
    </row>
    <row r="52" spans="10:13" ht="16.5" x14ac:dyDescent="0.45">
      <c r="J52" t="s">
        <v>775</v>
      </c>
      <c r="K52" s="9" t="s">
        <v>48</v>
      </c>
      <c r="L52" s="6" t="str">
        <f t="shared" si="0"/>
        <v>AY</v>
      </c>
      <c r="M52" s="7" t="s">
        <v>840</v>
      </c>
    </row>
    <row r="53" spans="10:13" ht="16.5" x14ac:dyDescent="0.45">
      <c r="J53" t="s">
        <v>775</v>
      </c>
      <c r="K53" s="9" t="s">
        <v>49</v>
      </c>
      <c r="L53" s="6" t="str">
        <f t="shared" si="0"/>
        <v>AZ</v>
      </c>
      <c r="M53" s="7" t="s">
        <v>841</v>
      </c>
    </row>
    <row r="54" spans="10:13" ht="16.5" x14ac:dyDescent="0.45">
      <c r="J54" t="s">
        <v>775</v>
      </c>
      <c r="K54" s="9" t="s">
        <v>50</v>
      </c>
      <c r="L54" s="6" t="str">
        <f t="shared" si="0"/>
        <v>BA</v>
      </c>
      <c r="M54" s="7" t="s">
        <v>842</v>
      </c>
    </row>
    <row r="55" spans="10:13" ht="16.5" x14ac:dyDescent="0.45">
      <c r="J55" t="s">
        <v>775</v>
      </c>
      <c r="K55" s="9" t="s">
        <v>51</v>
      </c>
      <c r="L55" s="6" t="str">
        <f t="shared" si="0"/>
        <v>BB</v>
      </c>
      <c r="M55" s="7" t="s">
        <v>843</v>
      </c>
    </row>
    <row r="56" spans="10:13" ht="16.5" x14ac:dyDescent="0.45">
      <c r="J56" t="s">
        <v>775</v>
      </c>
      <c r="K56" s="9" t="s">
        <v>52</v>
      </c>
      <c r="L56" s="6" t="str">
        <f t="shared" si="0"/>
        <v>BC</v>
      </c>
      <c r="M56" s="7" t="s">
        <v>844</v>
      </c>
    </row>
    <row r="57" spans="10:13" ht="16.5" x14ac:dyDescent="0.45">
      <c r="J57" t="s">
        <v>775</v>
      </c>
      <c r="K57" s="9" t="s">
        <v>53</v>
      </c>
      <c r="L57" s="6" t="str">
        <f t="shared" si="0"/>
        <v>BD</v>
      </c>
      <c r="M57" s="7" t="s">
        <v>845</v>
      </c>
    </row>
    <row r="58" spans="10:13" ht="16.5" x14ac:dyDescent="0.45">
      <c r="J58" t="s">
        <v>775</v>
      </c>
      <c r="K58" s="9" t="s">
        <v>54</v>
      </c>
      <c r="L58" s="6" t="str">
        <f t="shared" si="0"/>
        <v>BE</v>
      </c>
      <c r="M58" s="7" t="s">
        <v>846</v>
      </c>
    </row>
    <row r="59" spans="10:13" ht="16.5" x14ac:dyDescent="0.45">
      <c r="J59" t="s">
        <v>775</v>
      </c>
      <c r="K59" s="9" t="s">
        <v>55</v>
      </c>
      <c r="L59" s="6" t="str">
        <f t="shared" si="0"/>
        <v>BF</v>
      </c>
      <c r="M59" s="7" t="s">
        <v>847</v>
      </c>
    </row>
    <row r="60" spans="10:13" ht="16.5" x14ac:dyDescent="0.45">
      <c r="J60" t="s">
        <v>775</v>
      </c>
      <c r="K60" s="9" t="s">
        <v>56</v>
      </c>
      <c r="L60" s="6" t="str">
        <f t="shared" si="0"/>
        <v>BG</v>
      </c>
      <c r="M60" s="7" t="s">
        <v>848</v>
      </c>
    </row>
    <row r="61" spans="10:13" ht="16.5" x14ac:dyDescent="0.45">
      <c r="J61" t="s">
        <v>775</v>
      </c>
      <c r="K61" s="9" t="s">
        <v>57</v>
      </c>
      <c r="L61" s="6" t="str">
        <f t="shared" si="0"/>
        <v>BH</v>
      </c>
      <c r="M61" s="7" t="s">
        <v>849</v>
      </c>
    </row>
    <row r="62" spans="10:13" ht="16.5" x14ac:dyDescent="0.45">
      <c r="J62" t="s">
        <v>775</v>
      </c>
      <c r="K62" s="9" t="s">
        <v>58</v>
      </c>
      <c r="L62" s="6" t="str">
        <f t="shared" si="0"/>
        <v>BI</v>
      </c>
      <c r="M62" s="7" t="s">
        <v>850</v>
      </c>
    </row>
    <row r="63" spans="10:13" ht="16.5" x14ac:dyDescent="0.45">
      <c r="J63" t="s">
        <v>775</v>
      </c>
      <c r="K63" s="9" t="s">
        <v>59</v>
      </c>
      <c r="L63" s="6" t="str">
        <f t="shared" si="0"/>
        <v>BJ</v>
      </c>
      <c r="M63" s="7" t="s">
        <v>851</v>
      </c>
    </row>
    <row r="64" spans="10:13" ht="16.5" x14ac:dyDescent="0.45">
      <c r="J64" t="s">
        <v>775</v>
      </c>
      <c r="K64" s="9" t="s">
        <v>60</v>
      </c>
      <c r="L64" s="6" t="str">
        <f t="shared" si="0"/>
        <v>BK</v>
      </c>
      <c r="M64" s="7" t="s">
        <v>852</v>
      </c>
    </row>
    <row r="65" spans="10:13" ht="16.5" x14ac:dyDescent="0.45">
      <c r="J65" t="s">
        <v>775</v>
      </c>
      <c r="K65" s="9" t="s">
        <v>61</v>
      </c>
      <c r="L65" s="6" t="str">
        <f t="shared" si="0"/>
        <v>BL</v>
      </c>
      <c r="M65" s="7" t="s">
        <v>853</v>
      </c>
    </row>
    <row r="66" spans="10:13" ht="16.5" x14ac:dyDescent="0.45">
      <c r="J66" t="s">
        <v>775</v>
      </c>
      <c r="K66" s="9" t="s">
        <v>62</v>
      </c>
      <c r="L66" s="6" t="str">
        <f t="shared" si="0"/>
        <v>BM</v>
      </c>
      <c r="M66" s="7" t="s">
        <v>854</v>
      </c>
    </row>
    <row r="67" spans="10:13" ht="16.5" x14ac:dyDescent="0.45">
      <c r="J67" t="s">
        <v>775</v>
      </c>
      <c r="K67" s="9" t="s">
        <v>63</v>
      </c>
      <c r="L67" s="6" t="str">
        <f t="shared" si="0"/>
        <v>BN</v>
      </c>
      <c r="M67" s="7" t="s">
        <v>855</v>
      </c>
    </row>
    <row r="68" spans="10:13" ht="16.5" x14ac:dyDescent="0.45">
      <c r="J68" t="s">
        <v>775</v>
      </c>
      <c r="K68" s="9" t="s">
        <v>64</v>
      </c>
      <c r="L68" s="6" t="str">
        <f t="shared" si="0"/>
        <v>BO</v>
      </c>
      <c r="M68" s="7" t="s">
        <v>856</v>
      </c>
    </row>
    <row r="69" spans="10:13" ht="16.5" x14ac:dyDescent="0.45">
      <c r="J69" t="s">
        <v>775</v>
      </c>
      <c r="K69" s="9" t="s">
        <v>65</v>
      </c>
      <c r="L69" s="6" t="str">
        <f t="shared" si="0"/>
        <v>BP</v>
      </c>
      <c r="M69" s="7" t="s">
        <v>857</v>
      </c>
    </row>
    <row r="70" spans="10:13" ht="16.5" x14ac:dyDescent="0.45">
      <c r="J70" t="s">
        <v>775</v>
      </c>
      <c r="K70" s="9" t="s">
        <v>66</v>
      </c>
      <c r="L70" s="6" t="str">
        <f t="shared" ref="L70:L133" si="1">LEFT(ADDRESS(1, ROW(L69), 4, TRUE), (ROW(L69)&gt;26)+1)</f>
        <v>BQ</v>
      </c>
      <c r="M70" s="7" t="s">
        <v>858</v>
      </c>
    </row>
    <row r="71" spans="10:13" ht="16.5" x14ac:dyDescent="0.45">
      <c r="J71" t="s">
        <v>775</v>
      </c>
      <c r="K71" s="9" t="s">
        <v>67</v>
      </c>
      <c r="L71" s="6" t="str">
        <f t="shared" si="1"/>
        <v>BR</v>
      </c>
      <c r="M71" s="7" t="s">
        <v>859</v>
      </c>
    </row>
    <row r="72" spans="10:13" ht="16.5" x14ac:dyDescent="0.45">
      <c r="J72" t="s">
        <v>775</v>
      </c>
      <c r="K72" s="9" t="s">
        <v>68</v>
      </c>
      <c r="L72" s="6" t="str">
        <f t="shared" si="1"/>
        <v>BS</v>
      </c>
      <c r="M72" s="7" t="s">
        <v>860</v>
      </c>
    </row>
    <row r="73" spans="10:13" ht="16.5" x14ac:dyDescent="0.45">
      <c r="J73" t="s">
        <v>775</v>
      </c>
      <c r="K73" s="9" t="s">
        <v>69</v>
      </c>
      <c r="L73" s="6" t="str">
        <f t="shared" si="1"/>
        <v>BT</v>
      </c>
      <c r="M73" s="7" t="s">
        <v>861</v>
      </c>
    </row>
    <row r="74" spans="10:13" ht="16.5" x14ac:dyDescent="0.45">
      <c r="J74" t="s">
        <v>775</v>
      </c>
      <c r="K74" s="9" t="s">
        <v>70</v>
      </c>
      <c r="L74" s="6" t="str">
        <f t="shared" si="1"/>
        <v>BU</v>
      </c>
      <c r="M74" s="7" t="s">
        <v>862</v>
      </c>
    </row>
    <row r="75" spans="10:13" ht="16.5" x14ac:dyDescent="0.45">
      <c r="J75" t="s">
        <v>775</v>
      </c>
      <c r="K75" s="9" t="s">
        <v>71</v>
      </c>
      <c r="L75" s="6" t="str">
        <f t="shared" si="1"/>
        <v>BV</v>
      </c>
      <c r="M75" s="7" t="s">
        <v>863</v>
      </c>
    </row>
    <row r="76" spans="10:13" ht="16.5" x14ac:dyDescent="0.45">
      <c r="J76" t="s">
        <v>775</v>
      </c>
      <c r="K76" s="9" t="s">
        <v>72</v>
      </c>
      <c r="L76" s="6" t="str">
        <f t="shared" si="1"/>
        <v>BW</v>
      </c>
      <c r="M76" s="7" t="s">
        <v>864</v>
      </c>
    </row>
    <row r="77" spans="10:13" ht="16.5" x14ac:dyDescent="0.45">
      <c r="J77" t="s">
        <v>775</v>
      </c>
      <c r="K77" s="9" t="s">
        <v>73</v>
      </c>
      <c r="L77" s="6" t="str">
        <f t="shared" si="1"/>
        <v>BX</v>
      </c>
      <c r="M77" s="7" t="s">
        <v>865</v>
      </c>
    </row>
    <row r="78" spans="10:13" ht="16.5" x14ac:dyDescent="0.45">
      <c r="J78" t="s">
        <v>775</v>
      </c>
      <c r="K78" s="9" t="s">
        <v>74</v>
      </c>
      <c r="L78" s="6" t="str">
        <f t="shared" si="1"/>
        <v>BY</v>
      </c>
      <c r="M78" s="7" t="s">
        <v>866</v>
      </c>
    </row>
    <row r="79" spans="10:13" ht="16.5" x14ac:dyDescent="0.45">
      <c r="J79" t="s">
        <v>775</v>
      </c>
      <c r="K79" s="9" t="s">
        <v>75</v>
      </c>
      <c r="L79" s="6" t="str">
        <f t="shared" si="1"/>
        <v>BZ</v>
      </c>
      <c r="M79" s="7" t="s">
        <v>867</v>
      </c>
    </row>
    <row r="80" spans="10:13" ht="16.5" x14ac:dyDescent="0.45">
      <c r="J80" t="s">
        <v>775</v>
      </c>
      <c r="K80" s="9" t="s">
        <v>76</v>
      </c>
      <c r="L80" s="6" t="str">
        <f t="shared" si="1"/>
        <v>CA</v>
      </c>
      <c r="M80" s="7" t="s">
        <v>868</v>
      </c>
    </row>
    <row r="81" spans="10:13" ht="16.5" x14ac:dyDescent="0.45">
      <c r="J81" t="s">
        <v>775</v>
      </c>
      <c r="K81" s="9" t="s">
        <v>77</v>
      </c>
      <c r="L81" s="6" t="str">
        <f t="shared" si="1"/>
        <v>CB</v>
      </c>
      <c r="M81" s="7" t="s">
        <v>869</v>
      </c>
    </row>
    <row r="82" spans="10:13" ht="16.5" x14ac:dyDescent="0.45">
      <c r="J82" t="s">
        <v>775</v>
      </c>
      <c r="K82" s="9" t="s">
        <v>78</v>
      </c>
      <c r="L82" s="6" t="str">
        <f t="shared" si="1"/>
        <v>CC</v>
      </c>
      <c r="M82" s="7" t="s">
        <v>870</v>
      </c>
    </row>
    <row r="83" spans="10:13" ht="16.5" x14ac:dyDescent="0.45">
      <c r="J83" t="s">
        <v>775</v>
      </c>
      <c r="K83" s="9" t="s">
        <v>79</v>
      </c>
      <c r="L83" s="6" t="str">
        <f t="shared" si="1"/>
        <v>CD</v>
      </c>
      <c r="M83" s="7" t="s">
        <v>871</v>
      </c>
    </row>
    <row r="84" spans="10:13" ht="16.5" x14ac:dyDescent="0.45">
      <c r="J84" t="s">
        <v>775</v>
      </c>
      <c r="K84" s="9" t="s">
        <v>80</v>
      </c>
      <c r="L84" s="6" t="str">
        <f t="shared" si="1"/>
        <v>CE</v>
      </c>
      <c r="M84" s="7" t="s">
        <v>872</v>
      </c>
    </row>
    <row r="85" spans="10:13" ht="16.5" x14ac:dyDescent="0.45">
      <c r="J85" t="s">
        <v>775</v>
      </c>
      <c r="K85" s="9" t="s">
        <v>81</v>
      </c>
      <c r="L85" s="6" t="str">
        <f t="shared" si="1"/>
        <v>CF</v>
      </c>
      <c r="M85" s="7" t="s">
        <v>873</v>
      </c>
    </row>
    <row r="86" spans="10:13" ht="16.5" x14ac:dyDescent="0.45">
      <c r="J86" t="s">
        <v>775</v>
      </c>
      <c r="K86" s="9" t="s">
        <v>82</v>
      </c>
      <c r="L86" s="6" t="str">
        <f t="shared" si="1"/>
        <v>CG</v>
      </c>
      <c r="M86" s="7" t="s">
        <v>874</v>
      </c>
    </row>
    <row r="87" spans="10:13" ht="16.5" x14ac:dyDescent="0.45">
      <c r="J87" t="s">
        <v>775</v>
      </c>
      <c r="K87" s="9" t="s">
        <v>83</v>
      </c>
      <c r="L87" s="6" t="str">
        <f t="shared" si="1"/>
        <v>CH</v>
      </c>
      <c r="M87" s="7" t="s">
        <v>875</v>
      </c>
    </row>
    <row r="88" spans="10:13" ht="16.5" x14ac:dyDescent="0.45">
      <c r="J88" t="s">
        <v>775</v>
      </c>
      <c r="K88" s="9" t="s">
        <v>84</v>
      </c>
      <c r="L88" s="6" t="str">
        <f t="shared" si="1"/>
        <v>CI</v>
      </c>
      <c r="M88" s="7" t="s">
        <v>876</v>
      </c>
    </row>
    <row r="89" spans="10:13" ht="16.5" x14ac:dyDescent="0.45">
      <c r="J89" t="s">
        <v>775</v>
      </c>
      <c r="K89" s="9" t="s">
        <v>85</v>
      </c>
      <c r="L89" s="6" t="str">
        <f t="shared" si="1"/>
        <v>CJ</v>
      </c>
      <c r="M89" s="7" t="s">
        <v>877</v>
      </c>
    </row>
    <row r="90" spans="10:13" ht="16.5" x14ac:dyDescent="0.45">
      <c r="J90" t="s">
        <v>775</v>
      </c>
      <c r="K90" s="9" t="s">
        <v>86</v>
      </c>
      <c r="L90" s="6" t="str">
        <f t="shared" si="1"/>
        <v>CK</v>
      </c>
      <c r="M90" s="7" t="s">
        <v>878</v>
      </c>
    </row>
    <row r="91" spans="10:13" ht="16.5" x14ac:dyDescent="0.45">
      <c r="J91" t="s">
        <v>775</v>
      </c>
      <c r="K91" s="9" t="s">
        <v>87</v>
      </c>
      <c r="L91" s="6" t="str">
        <f t="shared" si="1"/>
        <v>CL</v>
      </c>
      <c r="M91" s="7" t="s">
        <v>879</v>
      </c>
    </row>
    <row r="92" spans="10:13" ht="16.5" x14ac:dyDescent="0.45">
      <c r="J92" t="s">
        <v>775</v>
      </c>
      <c r="K92" s="9" t="s">
        <v>88</v>
      </c>
      <c r="L92" s="6" t="str">
        <f t="shared" si="1"/>
        <v>CM</v>
      </c>
      <c r="M92" s="7" t="s">
        <v>880</v>
      </c>
    </row>
    <row r="93" spans="10:13" ht="16.5" x14ac:dyDescent="0.45">
      <c r="J93" t="s">
        <v>775</v>
      </c>
      <c r="K93" s="9" t="s">
        <v>89</v>
      </c>
      <c r="L93" s="6" t="str">
        <f t="shared" si="1"/>
        <v>CN</v>
      </c>
      <c r="M93" s="7" t="s">
        <v>881</v>
      </c>
    </row>
    <row r="94" spans="10:13" ht="16.5" x14ac:dyDescent="0.45">
      <c r="J94" t="s">
        <v>775</v>
      </c>
      <c r="K94" s="9" t="s">
        <v>90</v>
      </c>
      <c r="L94" s="6" t="str">
        <f t="shared" si="1"/>
        <v>CO</v>
      </c>
      <c r="M94" s="7" t="s">
        <v>882</v>
      </c>
    </row>
    <row r="95" spans="10:13" ht="16.5" x14ac:dyDescent="0.45">
      <c r="J95" t="s">
        <v>775</v>
      </c>
      <c r="K95" s="9" t="s">
        <v>91</v>
      </c>
      <c r="L95" s="6" t="str">
        <f t="shared" si="1"/>
        <v>CP</v>
      </c>
      <c r="M95" s="7" t="s">
        <v>883</v>
      </c>
    </row>
    <row r="96" spans="10:13" ht="16.5" x14ac:dyDescent="0.45">
      <c r="J96" t="s">
        <v>775</v>
      </c>
      <c r="K96" s="9" t="s">
        <v>92</v>
      </c>
      <c r="L96" s="6" t="str">
        <f t="shared" si="1"/>
        <v>CQ</v>
      </c>
      <c r="M96" s="7" t="s">
        <v>884</v>
      </c>
    </row>
    <row r="97" spans="10:13" ht="16.5" x14ac:dyDescent="0.45">
      <c r="J97" t="s">
        <v>775</v>
      </c>
      <c r="K97" s="9" t="s">
        <v>93</v>
      </c>
      <c r="L97" s="6" t="str">
        <f t="shared" si="1"/>
        <v>CR</v>
      </c>
      <c r="M97" s="7" t="s">
        <v>885</v>
      </c>
    </row>
    <row r="98" spans="10:13" ht="16.5" x14ac:dyDescent="0.45">
      <c r="J98" t="s">
        <v>775</v>
      </c>
      <c r="K98" s="10" t="s">
        <v>94</v>
      </c>
      <c r="L98" s="6" t="str">
        <f t="shared" si="1"/>
        <v>CS</v>
      </c>
      <c r="M98" s="7" t="s">
        <v>886</v>
      </c>
    </row>
    <row r="99" spans="10:13" ht="16.5" x14ac:dyDescent="0.45">
      <c r="J99" t="s">
        <v>775</v>
      </c>
      <c r="K99" s="10" t="s">
        <v>95</v>
      </c>
      <c r="L99" s="6" t="str">
        <f t="shared" si="1"/>
        <v>CT</v>
      </c>
      <c r="M99" s="7" t="s">
        <v>887</v>
      </c>
    </row>
    <row r="100" spans="10:13" ht="16.5" x14ac:dyDescent="0.45">
      <c r="J100" t="s">
        <v>775</v>
      </c>
      <c r="K100" s="10" t="s">
        <v>96</v>
      </c>
      <c r="L100" s="6" t="str">
        <f t="shared" si="1"/>
        <v>CU</v>
      </c>
      <c r="M100" s="7" t="s">
        <v>888</v>
      </c>
    </row>
    <row r="101" spans="10:13" ht="16.5" x14ac:dyDescent="0.45">
      <c r="J101" t="s">
        <v>775</v>
      </c>
      <c r="K101" s="10" t="s">
        <v>97</v>
      </c>
      <c r="L101" s="6" t="str">
        <f t="shared" si="1"/>
        <v>CV</v>
      </c>
      <c r="M101" s="7" t="s">
        <v>889</v>
      </c>
    </row>
    <row r="102" spans="10:13" ht="16.5" x14ac:dyDescent="0.45">
      <c r="J102" t="s">
        <v>775</v>
      </c>
      <c r="K102" s="10" t="s">
        <v>98</v>
      </c>
      <c r="L102" s="6" t="str">
        <f t="shared" si="1"/>
        <v>CW</v>
      </c>
      <c r="M102" s="7" t="s">
        <v>890</v>
      </c>
    </row>
    <row r="103" spans="10:13" ht="16.5" x14ac:dyDescent="0.45">
      <c r="J103" t="s">
        <v>775</v>
      </c>
      <c r="K103" s="10" t="s">
        <v>99</v>
      </c>
      <c r="L103" s="6" t="str">
        <f t="shared" si="1"/>
        <v>CX</v>
      </c>
      <c r="M103" s="7" t="s">
        <v>891</v>
      </c>
    </row>
    <row r="104" spans="10:13" ht="16.5" x14ac:dyDescent="0.45">
      <c r="J104" t="s">
        <v>775</v>
      </c>
      <c r="K104" s="10" t="s">
        <v>100</v>
      </c>
      <c r="L104" s="6" t="str">
        <f t="shared" si="1"/>
        <v>CY</v>
      </c>
      <c r="M104" s="7" t="s">
        <v>892</v>
      </c>
    </row>
    <row r="105" spans="10:13" ht="16.5" x14ac:dyDescent="0.45">
      <c r="J105" t="s">
        <v>775</v>
      </c>
      <c r="K105" s="10" t="s">
        <v>101</v>
      </c>
      <c r="L105" s="6" t="str">
        <f t="shared" si="1"/>
        <v>CZ</v>
      </c>
      <c r="M105" s="7" t="s">
        <v>893</v>
      </c>
    </row>
    <row r="106" spans="10:13" ht="16.5" x14ac:dyDescent="0.45">
      <c r="J106" t="s">
        <v>775</v>
      </c>
      <c r="K106" s="10" t="s">
        <v>102</v>
      </c>
      <c r="L106" s="6" t="str">
        <f t="shared" si="1"/>
        <v>DA</v>
      </c>
      <c r="M106" s="7" t="s">
        <v>894</v>
      </c>
    </row>
    <row r="107" spans="10:13" ht="16.5" x14ac:dyDescent="0.45">
      <c r="J107" t="s">
        <v>775</v>
      </c>
      <c r="K107" s="10" t="s">
        <v>103</v>
      </c>
      <c r="L107" s="6" t="str">
        <f t="shared" si="1"/>
        <v>DB</v>
      </c>
      <c r="M107" s="7" t="s">
        <v>895</v>
      </c>
    </row>
    <row r="108" spans="10:13" ht="16.5" x14ac:dyDescent="0.45">
      <c r="J108" t="s">
        <v>775</v>
      </c>
      <c r="K108" s="10" t="s">
        <v>104</v>
      </c>
      <c r="L108" s="6" t="str">
        <f t="shared" si="1"/>
        <v>DC</v>
      </c>
      <c r="M108" s="7" t="s">
        <v>896</v>
      </c>
    </row>
    <row r="109" spans="10:13" ht="16.5" x14ac:dyDescent="0.45">
      <c r="J109" t="s">
        <v>775</v>
      </c>
      <c r="K109" s="10" t="s">
        <v>105</v>
      </c>
      <c r="L109" s="6" t="str">
        <f t="shared" si="1"/>
        <v>DD</v>
      </c>
      <c r="M109" s="7" t="s">
        <v>897</v>
      </c>
    </row>
    <row r="110" spans="10:13" ht="16.5" x14ac:dyDescent="0.45">
      <c r="J110" t="s">
        <v>775</v>
      </c>
      <c r="K110" s="10" t="s">
        <v>106</v>
      </c>
      <c r="L110" s="6" t="str">
        <f t="shared" si="1"/>
        <v>DE</v>
      </c>
      <c r="M110" s="7" t="s">
        <v>898</v>
      </c>
    </row>
    <row r="111" spans="10:13" ht="16.5" x14ac:dyDescent="0.45">
      <c r="J111" t="s">
        <v>775</v>
      </c>
      <c r="K111" s="10" t="s">
        <v>107</v>
      </c>
      <c r="L111" s="6" t="str">
        <f t="shared" si="1"/>
        <v>DF</v>
      </c>
      <c r="M111" s="7" t="s">
        <v>899</v>
      </c>
    </row>
    <row r="112" spans="10:13" ht="16.5" x14ac:dyDescent="0.45">
      <c r="J112" t="s">
        <v>775</v>
      </c>
      <c r="K112" s="10" t="s">
        <v>108</v>
      </c>
      <c r="L112" s="6" t="str">
        <f t="shared" si="1"/>
        <v>DG</v>
      </c>
      <c r="M112" s="7" t="s">
        <v>900</v>
      </c>
    </row>
    <row r="113" spans="10:13" ht="16.5" x14ac:dyDescent="0.45">
      <c r="J113" t="s">
        <v>775</v>
      </c>
      <c r="K113" s="10" t="s">
        <v>109</v>
      </c>
      <c r="L113" s="6" t="str">
        <f t="shared" si="1"/>
        <v>DH</v>
      </c>
      <c r="M113" s="7" t="s">
        <v>901</v>
      </c>
    </row>
    <row r="114" spans="10:13" ht="16.5" x14ac:dyDescent="0.45">
      <c r="J114" t="s">
        <v>775</v>
      </c>
      <c r="K114" s="10" t="s">
        <v>110</v>
      </c>
      <c r="L114" s="6" t="str">
        <f t="shared" si="1"/>
        <v>DI</v>
      </c>
      <c r="M114" s="7" t="s">
        <v>902</v>
      </c>
    </row>
    <row r="115" spans="10:13" ht="16.5" x14ac:dyDescent="0.45">
      <c r="J115" t="s">
        <v>775</v>
      </c>
      <c r="K115" s="10" t="s">
        <v>111</v>
      </c>
      <c r="L115" s="6" t="str">
        <f t="shared" si="1"/>
        <v>DJ</v>
      </c>
      <c r="M115" s="7" t="s">
        <v>903</v>
      </c>
    </row>
    <row r="116" spans="10:13" ht="16.5" x14ac:dyDescent="0.45">
      <c r="J116" t="s">
        <v>775</v>
      </c>
      <c r="K116" s="10" t="s">
        <v>112</v>
      </c>
      <c r="L116" s="6" t="str">
        <f t="shared" si="1"/>
        <v>DK</v>
      </c>
      <c r="M116" s="7" t="s">
        <v>904</v>
      </c>
    </row>
    <row r="117" spans="10:13" ht="16.5" x14ac:dyDescent="0.45">
      <c r="J117" t="s">
        <v>775</v>
      </c>
      <c r="K117" s="10" t="s">
        <v>113</v>
      </c>
      <c r="L117" s="6" t="str">
        <f t="shared" si="1"/>
        <v>DL</v>
      </c>
      <c r="M117" s="7" t="s">
        <v>905</v>
      </c>
    </row>
    <row r="118" spans="10:13" ht="16.5" x14ac:dyDescent="0.45">
      <c r="J118" t="s">
        <v>775</v>
      </c>
      <c r="K118" s="10" t="s">
        <v>114</v>
      </c>
      <c r="L118" s="6" t="str">
        <f t="shared" si="1"/>
        <v>DM</v>
      </c>
      <c r="M118" s="7" t="s">
        <v>906</v>
      </c>
    </row>
    <row r="119" spans="10:13" ht="16.5" x14ac:dyDescent="0.45">
      <c r="J119" t="s">
        <v>775</v>
      </c>
      <c r="K119" s="10" t="s">
        <v>115</v>
      </c>
      <c r="L119" s="6" t="str">
        <f t="shared" si="1"/>
        <v>DN</v>
      </c>
      <c r="M119" s="7" t="s">
        <v>907</v>
      </c>
    </row>
    <row r="120" spans="10:13" ht="16.5" x14ac:dyDescent="0.45">
      <c r="J120" t="s">
        <v>775</v>
      </c>
      <c r="K120" s="10" t="s">
        <v>116</v>
      </c>
      <c r="L120" s="6" t="str">
        <f t="shared" si="1"/>
        <v>DO</v>
      </c>
      <c r="M120" s="7" t="s">
        <v>908</v>
      </c>
    </row>
    <row r="121" spans="10:13" ht="16.5" x14ac:dyDescent="0.45">
      <c r="J121" t="s">
        <v>775</v>
      </c>
      <c r="K121" s="10" t="s">
        <v>117</v>
      </c>
      <c r="L121" s="6" t="str">
        <f t="shared" si="1"/>
        <v>DP</v>
      </c>
      <c r="M121" s="7" t="s">
        <v>909</v>
      </c>
    </row>
    <row r="122" spans="10:13" ht="16.5" x14ac:dyDescent="0.45">
      <c r="J122" t="s">
        <v>775</v>
      </c>
      <c r="K122" s="10" t="s">
        <v>118</v>
      </c>
      <c r="L122" s="6" t="str">
        <f t="shared" si="1"/>
        <v>DQ</v>
      </c>
      <c r="M122" s="7" t="s">
        <v>910</v>
      </c>
    </row>
    <row r="123" spans="10:13" ht="16.5" x14ac:dyDescent="0.45">
      <c r="J123" t="s">
        <v>775</v>
      </c>
      <c r="K123" s="10" t="s">
        <v>119</v>
      </c>
      <c r="L123" s="6" t="str">
        <f t="shared" si="1"/>
        <v>DR</v>
      </c>
      <c r="M123" s="7" t="s">
        <v>911</v>
      </c>
    </row>
    <row r="124" spans="10:13" ht="16.5" x14ac:dyDescent="0.45">
      <c r="J124" t="s">
        <v>775</v>
      </c>
      <c r="K124" s="10" t="s">
        <v>120</v>
      </c>
      <c r="L124" s="6" t="str">
        <f t="shared" si="1"/>
        <v>DS</v>
      </c>
      <c r="M124" s="7" t="s">
        <v>912</v>
      </c>
    </row>
    <row r="125" spans="10:13" ht="16.5" x14ac:dyDescent="0.45">
      <c r="J125" t="s">
        <v>775</v>
      </c>
      <c r="K125" s="10" t="s">
        <v>121</v>
      </c>
      <c r="L125" s="6" t="str">
        <f t="shared" si="1"/>
        <v>DT</v>
      </c>
      <c r="M125" s="7" t="s">
        <v>913</v>
      </c>
    </row>
    <row r="126" spans="10:13" ht="16.5" x14ac:dyDescent="0.45">
      <c r="J126" t="s">
        <v>775</v>
      </c>
      <c r="K126" s="10" t="s">
        <v>122</v>
      </c>
      <c r="L126" s="6" t="str">
        <f t="shared" si="1"/>
        <v>DU</v>
      </c>
      <c r="M126" s="7" t="s">
        <v>914</v>
      </c>
    </row>
    <row r="127" spans="10:13" ht="16.5" x14ac:dyDescent="0.45">
      <c r="J127" t="s">
        <v>775</v>
      </c>
      <c r="K127" s="10" t="s">
        <v>123</v>
      </c>
      <c r="L127" s="6" t="str">
        <f t="shared" si="1"/>
        <v>DV</v>
      </c>
      <c r="M127" s="7" t="s">
        <v>915</v>
      </c>
    </row>
    <row r="128" spans="10:13" ht="16.5" x14ac:dyDescent="0.45">
      <c r="J128" t="s">
        <v>775</v>
      </c>
      <c r="K128" s="10" t="s">
        <v>124</v>
      </c>
      <c r="L128" s="6" t="str">
        <f t="shared" si="1"/>
        <v>DW</v>
      </c>
      <c r="M128" s="7" t="s">
        <v>916</v>
      </c>
    </row>
    <row r="129" spans="10:13" ht="16.5" x14ac:dyDescent="0.45">
      <c r="J129" t="s">
        <v>775</v>
      </c>
      <c r="K129" s="10" t="s">
        <v>125</v>
      </c>
      <c r="L129" s="6" t="str">
        <f t="shared" si="1"/>
        <v>DX</v>
      </c>
      <c r="M129" s="7" t="s">
        <v>917</v>
      </c>
    </row>
    <row r="130" spans="10:13" ht="16.5" x14ac:dyDescent="0.45">
      <c r="J130" t="s">
        <v>775</v>
      </c>
      <c r="K130" s="10" t="s">
        <v>126</v>
      </c>
      <c r="L130" s="6" t="str">
        <f t="shared" si="1"/>
        <v>DY</v>
      </c>
      <c r="M130" s="7" t="s">
        <v>918</v>
      </c>
    </row>
    <row r="131" spans="10:13" ht="16.5" x14ac:dyDescent="0.45">
      <c r="J131" t="s">
        <v>775</v>
      </c>
      <c r="K131" s="10" t="s">
        <v>127</v>
      </c>
      <c r="L131" s="6" t="str">
        <f t="shared" si="1"/>
        <v>DZ</v>
      </c>
      <c r="M131" s="7" t="s">
        <v>919</v>
      </c>
    </row>
    <row r="132" spans="10:13" ht="16.5" x14ac:dyDescent="0.45">
      <c r="J132" t="s">
        <v>775</v>
      </c>
      <c r="K132" s="10" t="s">
        <v>128</v>
      </c>
      <c r="L132" s="6" t="str">
        <f t="shared" si="1"/>
        <v>EA</v>
      </c>
      <c r="M132" s="7" t="s">
        <v>920</v>
      </c>
    </row>
    <row r="133" spans="10:13" ht="16.5" x14ac:dyDescent="0.45">
      <c r="J133" t="s">
        <v>775</v>
      </c>
      <c r="K133" s="10" t="s">
        <v>129</v>
      </c>
      <c r="L133" s="6" t="str">
        <f t="shared" si="1"/>
        <v>EB</v>
      </c>
      <c r="M133" s="7" t="s">
        <v>921</v>
      </c>
    </row>
    <row r="134" spans="10:13" ht="16.5" x14ac:dyDescent="0.45">
      <c r="J134" t="s">
        <v>775</v>
      </c>
      <c r="K134" s="10" t="s">
        <v>130</v>
      </c>
      <c r="L134" s="6" t="str">
        <f t="shared" ref="L134:L197" si="2">LEFT(ADDRESS(1, ROW(L133), 4, TRUE), (ROW(L133)&gt;26)+1)</f>
        <v>EC</v>
      </c>
      <c r="M134" s="7" t="s">
        <v>922</v>
      </c>
    </row>
    <row r="135" spans="10:13" ht="16.5" x14ac:dyDescent="0.45">
      <c r="J135" t="s">
        <v>775</v>
      </c>
      <c r="K135" s="10" t="s">
        <v>131</v>
      </c>
      <c r="L135" s="6" t="str">
        <f t="shared" si="2"/>
        <v>ED</v>
      </c>
      <c r="M135" s="7" t="s">
        <v>923</v>
      </c>
    </row>
    <row r="136" spans="10:13" ht="16.5" x14ac:dyDescent="0.45">
      <c r="J136" t="s">
        <v>775</v>
      </c>
      <c r="K136" s="10" t="s">
        <v>132</v>
      </c>
      <c r="L136" s="6" t="str">
        <f t="shared" si="2"/>
        <v>EE</v>
      </c>
      <c r="M136" s="7" t="s">
        <v>924</v>
      </c>
    </row>
    <row r="137" spans="10:13" ht="16.5" x14ac:dyDescent="0.45">
      <c r="J137" t="s">
        <v>775</v>
      </c>
      <c r="K137" s="10" t="s">
        <v>133</v>
      </c>
      <c r="L137" s="6" t="str">
        <f t="shared" si="2"/>
        <v>EF</v>
      </c>
      <c r="M137" s="7" t="s">
        <v>925</v>
      </c>
    </row>
    <row r="138" spans="10:13" ht="16.5" x14ac:dyDescent="0.45">
      <c r="J138" t="s">
        <v>775</v>
      </c>
      <c r="K138" s="10" t="s">
        <v>134</v>
      </c>
      <c r="L138" s="6" t="str">
        <f t="shared" si="2"/>
        <v>EG</v>
      </c>
      <c r="M138" s="7" t="s">
        <v>926</v>
      </c>
    </row>
    <row r="139" spans="10:13" ht="16.5" x14ac:dyDescent="0.45">
      <c r="J139" t="s">
        <v>775</v>
      </c>
      <c r="K139" s="10" t="s">
        <v>135</v>
      </c>
      <c r="L139" s="6" t="str">
        <f t="shared" si="2"/>
        <v>EH</v>
      </c>
      <c r="M139" s="7" t="s">
        <v>927</v>
      </c>
    </row>
    <row r="140" spans="10:13" ht="16.5" x14ac:dyDescent="0.45">
      <c r="J140" t="s">
        <v>775</v>
      </c>
      <c r="K140" s="10" t="s">
        <v>136</v>
      </c>
      <c r="L140" s="6" t="str">
        <f t="shared" si="2"/>
        <v>EI</v>
      </c>
      <c r="M140" s="7" t="s">
        <v>928</v>
      </c>
    </row>
    <row r="141" spans="10:13" ht="16.5" x14ac:dyDescent="0.45">
      <c r="J141" t="s">
        <v>775</v>
      </c>
      <c r="K141" s="10" t="s">
        <v>137</v>
      </c>
      <c r="L141" s="6" t="str">
        <f t="shared" si="2"/>
        <v>EJ</v>
      </c>
      <c r="M141" s="7" t="s">
        <v>929</v>
      </c>
    </row>
    <row r="142" spans="10:13" ht="16.5" x14ac:dyDescent="0.45">
      <c r="J142" t="s">
        <v>775</v>
      </c>
      <c r="K142" s="10" t="s">
        <v>138</v>
      </c>
      <c r="L142" s="6" t="str">
        <f t="shared" si="2"/>
        <v>EK</v>
      </c>
      <c r="M142" s="7" t="s">
        <v>930</v>
      </c>
    </row>
    <row r="143" spans="10:13" ht="16.5" x14ac:dyDescent="0.45">
      <c r="J143" t="s">
        <v>775</v>
      </c>
      <c r="K143" s="10" t="s">
        <v>139</v>
      </c>
      <c r="L143" s="6" t="str">
        <f t="shared" si="2"/>
        <v>EL</v>
      </c>
      <c r="M143" s="7" t="s">
        <v>931</v>
      </c>
    </row>
    <row r="144" spans="10:13" ht="16.5" x14ac:dyDescent="0.45">
      <c r="J144" t="s">
        <v>775</v>
      </c>
      <c r="K144" s="10" t="s">
        <v>140</v>
      </c>
      <c r="L144" s="6" t="str">
        <f t="shared" si="2"/>
        <v>EM</v>
      </c>
      <c r="M144" s="7" t="s">
        <v>932</v>
      </c>
    </row>
    <row r="145" spans="10:13" ht="16.5" x14ac:dyDescent="0.45">
      <c r="J145" t="s">
        <v>775</v>
      </c>
      <c r="K145" s="10" t="s">
        <v>141</v>
      </c>
      <c r="L145" s="6" t="str">
        <f t="shared" si="2"/>
        <v>EN</v>
      </c>
      <c r="M145" s="7" t="s">
        <v>933</v>
      </c>
    </row>
    <row r="146" spans="10:13" ht="16.5" x14ac:dyDescent="0.45">
      <c r="J146" t="s">
        <v>775</v>
      </c>
      <c r="K146" s="10" t="s">
        <v>142</v>
      </c>
      <c r="L146" s="6" t="str">
        <f t="shared" si="2"/>
        <v>EO</v>
      </c>
      <c r="M146" s="7" t="s">
        <v>934</v>
      </c>
    </row>
    <row r="147" spans="10:13" ht="16.5" x14ac:dyDescent="0.45">
      <c r="J147" t="s">
        <v>775</v>
      </c>
      <c r="K147" s="10" t="s">
        <v>143</v>
      </c>
      <c r="L147" s="6" t="str">
        <f t="shared" si="2"/>
        <v>EP</v>
      </c>
      <c r="M147" s="7" t="s">
        <v>935</v>
      </c>
    </row>
    <row r="148" spans="10:13" ht="16.5" x14ac:dyDescent="0.45">
      <c r="J148" t="s">
        <v>775</v>
      </c>
      <c r="K148" s="10" t="s">
        <v>144</v>
      </c>
      <c r="L148" s="6" t="str">
        <f t="shared" si="2"/>
        <v>EQ</v>
      </c>
      <c r="M148" s="7" t="s">
        <v>936</v>
      </c>
    </row>
    <row r="149" spans="10:13" ht="16.5" x14ac:dyDescent="0.45">
      <c r="J149" t="s">
        <v>775</v>
      </c>
      <c r="K149" s="10" t="s">
        <v>145</v>
      </c>
      <c r="L149" s="6" t="str">
        <f t="shared" si="2"/>
        <v>ER</v>
      </c>
      <c r="M149" s="7" t="s">
        <v>937</v>
      </c>
    </row>
    <row r="150" spans="10:13" ht="16.5" x14ac:dyDescent="0.45">
      <c r="J150" t="s">
        <v>775</v>
      </c>
      <c r="K150" s="10" t="s">
        <v>146</v>
      </c>
      <c r="L150" s="6" t="str">
        <f t="shared" si="2"/>
        <v>ES</v>
      </c>
      <c r="M150" s="7" t="s">
        <v>938</v>
      </c>
    </row>
    <row r="151" spans="10:13" ht="16.5" x14ac:dyDescent="0.45">
      <c r="J151" t="s">
        <v>775</v>
      </c>
      <c r="K151" s="10" t="s">
        <v>147</v>
      </c>
      <c r="L151" s="6" t="str">
        <f t="shared" si="2"/>
        <v>ET</v>
      </c>
      <c r="M151" s="7" t="s">
        <v>939</v>
      </c>
    </row>
    <row r="152" spans="10:13" ht="16.5" x14ac:dyDescent="0.45">
      <c r="J152" t="s">
        <v>775</v>
      </c>
      <c r="K152" s="10" t="s">
        <v>148</v>
      </c>
      <c r="L152" s="6" t="str">
        <f t="shared" si="2"/>
        <v>EU</v>
      </c>
      <c r="M152" s="7" t="s">
        <v>940</v>
      </c>
    </row>
    <row r="153" spans="10:13" ht="16.5" x14ac:dyDescent="0.45">
      <c r="J153" t="s">
        <v>775</v>
      </c>
      <c r="K153" s="10" t="s">
        <v>149</v>
      </c>
      <c r="L153" s="6" t="str">
        <f t="shared" si="2"/>
        <v>EV</v>
      </c>
      <c r="M153" s="7" t="s">
        <v>941</v>
      </c>
    </row>
    <row r="154" spans="10:13" ht="16.5" x14ac:dyDescent="0.45">
      <c r="J154" t="s">
        <v>775</v>
      </c>
      <c r="K154" s="10" t="s">
        <v>150</v>
      </c>
      <c r="L154" s="6" t="str">
        <f t="shared" si="2"/>
        <v>EW</v>
      </c>
      <c r="M154" s="7" t="s">
        <v>942</v>
      </c>
    </row>
    <row r="155" spans="10:13" ht="16.5" x14ac:dyDescent="0.45">
      <c r="J155" t="s">
        <v>775</v>
      </c>
      <c r="K155" s="10" t="s">
        <v>151</v>
      </c>
      <c r="L155" s="6" t="str">
        <f t="shared" si="2"/>
        <v>EX</v>
      </c>
      <c r="M155" s="7" t="s">
        <v>943</v>
      </c>
    </row>
    <row r="156" spans="10:13" ht="16.5" x14ac:dyDescent="0.45">
      <c r="J156" t="s">
        <v>775</v>
      </c>
      <c r="K156" s="10" t="s">
        <v>152</v>
      </c>
      <c r="L156" s="6" t="str">
        <f t="shared" si="2"/>
        <v>EY</v>
      </c>
      <c r="M156" s="7" t="s">
        <v>944</v>
      </c>
    </row>
    <row r="157" spans="10:13" ht="16.5" x14ac:dyDescent="0.45">
      <c r="J157" t="s">
        <v>775</v>
      </c>
      <c r="K157" s="10" t="s">
        <v>153</v>
      </c>
      <c r="L157" s="6" t="str">
        <f t="shared" si="2"/>
        <v>EZ</v>
      </c>
      <c r="M157" s="7" t="s">
        <v>945</v>
      </c>
    </row>
    <row r="158" spans="10:13" ht="16.5" x14ac:dyDescent="0.45">
      <c r="J158" t="s">
        <v>775</v>
      </c>
      <c r="K158" s="10" t="s">
        <v>154</v>
      </c>
      <c r="L158" s="6" t="str">
        <f t="shared" si="2"/>
        <v>FA</v>
      </c>
      <c r="M158" s="7" t="s">
        <v>946</v>
      </c>
    </row>
    <row r="159" spans="10:13" ht="16.5" x14ac:dyDescent="0.45">
      <c r="J159" t="s">
        <v>775</v>
      </c>
      <c r="K159" s="10" t="s">
        <v>155</v>
      </c>
      <c r="L159" s="6" t="str">
        <f t="shared" si="2"/>
        <v>FB</v>
      </c>
      <c r="M159" s="7" t="s">
        <v>947</v>
      </c>
    </row>
    <row r="160" spans="10:13" ht="16.5" x14ac:dyDescent="0.45">
      <c r="J160" t="s">
        <v>775</v>
      </c>
      <c r="K160" s="10" t="s">
        <v>156</v>
      </c>
      <c r="L160" s="6" t="str">
        <f t="shared" si="2"/>
        <v>FC</v>
      </c>
      <c r="M160" s="7" t="s">
        <v>948</v>
      </c>
    </row>
    <row r="161" spans="10:13" ht="16.5" x14ac:dyDescent="0.45">
      <c r="J161" t="s">
        <v>775</v>
      </c>
      <c r="K161" s="10" t="s">
        <v>157</v>
      </c>
      <c r="L161" s="6" t="str">
        <f t="shared" si="2"/>
        <v>FD</v>
      </c>
      <c r="M161" s="7" t="s">
        <v>949</v>
      </c>
    </row>
    <row r="162" spans="10:13" ht="16.5" x14ac:dyDescent="0.45">
      <c r="J162" t="s">
        <v>775</v>
      </c>
      <c r="K162" s="10" t="s">
        <v>158</v>
      </c>
      <c r="L162" s="6" t="str">
        <f t="shared" si="2"/>
        <v>FE</v>
      </c>
      <c r="M162" s="7" t="s">
        <v>950</v>
      </c>
    </row>
    <row r="163" spans="10:13" ht="16.5" x14ac:dyDescent="0.45">
      <c r="J163" t="s">
        <v>775</v>
      </c>
      <c r="K163" s="10" t="s">
        <v>159</v>
      </c>
      <c r="L163" s="6" t="str">
        <f t="shared" si="2"/>
        <v>FF</v>
      </c>
      <c r="M163" s="7" t="s">
        <v>951</v>
      </c>
    </row>
    <row r="164" spans="10:13" ht="16.5" x14ac:dyDescent="0.45">
      <c r="J164" t="s">
        <v>775</v>
      </c>
      <c r="K164" s="10" t="s">
        <v>160</v>
      </c>
      <c r="L164" s="6" t="str">
        <f t="shared" si="2"/>
        <v>FG</v>
      </c>
      <c r="M164" s="7" t="s">
        <v>952</v>
      </c>
    </row>
    <row r="165" spans="10:13" ht="16.5" x14ac:dyDescent="0.45">
      <c r="J165" t="s">
        <v>775</v>
      </c>
      <c r="K165" s="10" t="s">
        <v>161</v>
      </c>
      <c r="L165" s="6" t="str">
        <f t="shared" si="2"/>
        <v>FH</v>
      </c>
      <c r="M165" s="7" t="s">
        <v>953</v>
      </c>
    </row>
    <row r="166" spans="10:13" ht="16.5" x14ac:dyDescent="0.45">
      <c r="J166" t="s">
        <v>775</v>
      </c>
      <c r="K166" s="10" t="s">
        <v>162</v>
      </c>
      <c r="L166" s="6" t="str">
        <f t="shared" si="2"/>
        <v>FI</v>
      </c>
      <c r="M166" s="7" t="s">
        <v>954</v>
      </c>
    </row>
    <row r="167" spans="10:13" ht="16.5" x14ac:dyDescent="0.45">
      <c r="J167" t="s">
        <v>775</v>
      </c>
      <c r="K167" s="10" t="s">
        <v>163</v>
      </c>
      <c r="L167" s="6" t="str">
        <f t="shared" si="2"/>
        <v>FJ</v>
      </c>
      <c r="M167" s="7" t="s">
        <v>955</v>
      </c>
    </row>
    <row r="168" spans="10:13" ht="16.5" x14ac:dyDescent="0.45">
      <c r="J168" t="s">
        <v>775</v>
      </c>
      <c r="K168" s="10" t="s">
        <v>164</v>
      </c>
      <c r="L168" s="6" t="str">
        <f t="shared" si="2"/>
        <v>FK</v>
      </c>
      <c r="M168" s="7" t="s">
        <v>956</v>
      </c>
    </row>
    <row r="169" spans="10:13" ht="16.5" x14ac:dyDescent="0.45">
      <c r="J169" t="s">
        <v>775</v>
      </c>
      <c r="K169" s="10" t="s">
        <v>165</v>
      </c>
      <c r="L169" s="6" t="str">
        <f t="shared" si="2"/>
        <v>FL</v>
      </c>
      <c r="M169" s="7" t="s">
        <v>957</v>
      </c>
    </row>
    <row r="170" spans="10:13" ht="16.5" x14ac:dyDescent="0.45">
      <c r="J170" t="s">
        <v>775</v>
      </c>
      <c r="K170" s="10" t="s">
        <v>166</v>
      </c>
      <c r="L170" s="6" t="str">
        <f t="shared" si="2"/>
        <v>FM</v>
      </c>
      <c r="M170" s="7" t="s">
        <v>958</v>
      </c>
    </row>
    <row r="171" spans="10:13" ht="16.5" x14ac:dyDescent="0.45">
      <c r="J171" t="s">
        <v>775</v>
      </c>
      <c r="K171" s="10" t="s">
        <v>167</v>
      </c>
      <c r="L171" s="6" t="str">
        <f t="shared" si="2"/>
        <v>FN</v>
      </c>
      <c r="M171" s="7" t="s">
        <v>959</v>
      </c>
    </row>
    <row r="172" spans="10:13" ht="16.5" x14ac:dyDescent="0.45">
      <c r="J172" t="s">
        <v>775</v>
      </c>
      <c r="K172" s="11" t="s">
        <v>168</v>
      </c>
      <c r="L172" s="6" t="str">
        <f t="shared" si="2"/>
        <v>FO</v>
      </c>
      <c r="M172" s="7" t="s">
        <v>960</v>
      </c>
    </row>
    <row r="173" spans="10:13" ht="16.5" x14ac:dyDescent="0.45">
      <c r="J173" t="s">
        <v>775</v>
      </c>
      <c r="K173" s="11" t="s">
        <v>169</v>
      </c>
      <c r="L173" s="6" t="str">
        <f t="shared" si="2"/>
        <v>FP</v>
      </c>
      <c r="M173" s="7" t="s">
        <v>961</v>
      </c>
    </row>
    <row r="174" spans="10:13" ht="16.5" x14ac:dyDescent="0.45">
      <c r="J174" t="s">
        <v>775</v>
      </c>
      <c r="K174" s="11" t="s">
        <v>170</v>
      </c>
      <c r="L174" s="6" t="str">
        <f t="shared" si="2"/>
        <v>FQ</v>
      </c>
      <c r="M174" s="7" t="s">
        <v>962</v>
      </c>
    </row>
    <row r="175" spans="10:13" ht="16.5" x14ac:dyDescent="0.45">
      <c r="J175" t="s">
        <v>775</v>
      </c>
      <c r="K175" s="11" t="s">
        <v>171</v>
      </c>
      <c r="L175" s="6" t="str">
        <f t="shared" si="2"/>
        <v>FR</v>
      </c>
      <c r="M175" s="7" t="s">
        <v>963</v>
      </c>
    </row>
    <row r="176" spans="10:13" ht="16.5" x14ac:dyDescent="0.45">
      <c r="J176" t="s">
        <v>775</v>
      </c>
      <c r="K176" s="11" t="s">
        <v>172</v>
      </c>
      <c r="L176" s="6" t="str">
        <f t="shared" si="2"/>
        <v>FS</v>
      </c>
      <c r="M176" s="7" t="s">
        <v>964</v>
      </c>
    </row>
    <row r="177" spans="10:13" ht="16.5" x14ac:dyDescent="0.45">
      <c r="J177" t="s">
        <v>775</v>
      </c>
      <c r="K177" s="11" t="s">
        <v>173</v>
      </c>
      <c r="L177" s="6" t="str">
        <f t="shared" si="2"/>
        <v>FT</v>
      </c>
      <c r="M177" s="7" t="s">
        <v>965</v>
      </c>
    </row>
    <row r="178" spans="10:13" ht="16.5" x14ac:dyDescent="0.45">
      <c r="J178" t="s">
        <v>775</v>
      </c>
      <c r="K178" s="11" t="s">
        <v>174</v>
      </c>
      <c r="L178" s="6" t="str">
        <f t="shared" si="2"/>
        <v>FU</v>
      </c>
      <c r="M178" s="7" t="s">
        <v>966</v>
      </c>
    </row>
    <row r="179" spans="10:13" ht="16.5" x14ac:dyDescent="0.45">
      <c r="J179" t="s">
        <v>775</v>
      </c>
      <c r="K179" s="11" t="s">
        <v>175</v>
      </c>
      <c r="L179" s="6" t="str">
        <f t="shared" si="2"/>
        <v>FV</v>
      </c>
      <c r="M179" s="7" t="s">
        <v>967</v>
      </c>
    </row>
    <row r="180" spans="10:13" ht="16.5" x14ac:dyDescent="0.45">
      <c r="J180" t="s">
        <v>775</v>
      </c>
      <c r="K180" s="11" t="s">
        <v>176</v>
      </c>
      <c r="L180" s="6" t="str">
        <f t="shared" si="2"/>
        <v>FW</v>
      </c>
      <c r="M180" s="7" t="s">
        <v>968</v>
      </c>
    </row>
    <row r="181" spans="10:13" ht="16.5" x14ac:dyDescent="0.45">
      <c r="J181" t="s">
        <v>775</v>
      </c>
      <c r="K181" s="11" t="s">
        <v>177</v>
      </c>
      <c r="L181" s="6" t="str">
        <f t="shared" si="2"/>
        <v>FX</v>
      </c>
      <c r="M181" s="7" t="s">
        <v>969</v>
      </c>
    </row>
    <row r="182" spans="10:13" ht="16.5" x14ac:dyDescent="0.45">
      <c r="J182" t="s">
        <v>775</v>
      </c>
      <c r="K182" s="11" t="s">
        <v>178</v>
      </c>
      <c r="L182" s="6" t="str">
        <f t="shared" si="2"/>
        <v>FY</v>
      </c>
      <c r="M182" s="7" t="s">
        <v>970</v>
      </c>
    </row>
    <row r="183" spans="10:13" ht="16.5" x14ac:dyDescent="0.45">
      <c r="J183" t="s">
        <v>775</v>
      </c>
      <c r="K183" s="11" t="s">
        <v>179</v>
      </c>
      <c r="L183" s="6" t="str">
        <f t="shared" si="2"/>
        <v>FZ</v>
      </c>
      <c r="M183" s="7" t="s">
        <v>971</v>
      </c>
    </row>
    <row r="184" spans="10:13" ht="16.5" x14ac:dyDescent="0.45">
      <c r="J184" t="s">
        <v>775</v>
      </c>
      <c r="K184" s="11" t="s">
        <v>180</v>
      </c>
      <c r="L184" s="6" t="str">
        <f t="shared" si="2"/>
        <v>GA</v>
      </c>
      <c r="M184" s="7" t="s">
        <v>972</v>
      </c>
    </row>
    <row r="185" spans="10:13" ht="16.5" x14ac:dyDescent="0.45">
      <c r="J185" t="s">
        <v>775</v>
      </c>
      <c r="K185" s="11" t="s">
        <v>181</v>
      </c>
      <c r="L185" s="6" t="str">
        <f t="shared" si="2"/>
        <v>GB</v>
      </c>
      <c r="M185" s="7" t="s">
        <v>973</v>
      </c>
    </row>
    <row r="186" spans="10:13" ht="16.5" x14ac:dyDescent="0.45">
      <c r="J186" t="s">
        <v>775</v>
      </c>
      <c r="K186" s="11" t="s">
        <v>182</v>
      </c>
      <c r="L186" s="6" t="str">
        <f t="shared" si="2"/>
        <v>GC</v>
      </c>
      <c r="M186" s="7" t="s">
        <v>974</v>
      </c>
    </row>
    <row r="187" spans="10:13" ht="16.5" x14ac:dyDescent="0.45">
      <c r="J187" t="s">
        <v>775</v>
      </c>
      <c r="K187" s="11" t="s">
        <v>183</v>
      </c>
      <c r="L187" s="6" t="str">
        <f t="shared" si="2"/>
        <v>GD</v>
      </c>
      <c r="M187" s="7" t="s">
        <v>975</v>
      </c>
    </row>
    <row r="188" spans="10:13" ht="16.5" x14ac:dyDescent="0.45">
      <c r="J188" t="s">
        <v>775</v>
      </c>
      <c r="K188" s="11" t="s">
        <v>184</v>
      </c>
      <c r="L188" s="6" t="str">
        <f t="shared" si="2"/>
        <v>GE</v>
      </c>
      <c r="M188" s="7" t="s">
        <v>976</v>
      </c>
    </row>
    <row r="189" spans="10:13" ht="16.5" x14ac:dyDescent="0.45">
      <c r="J189" t="s">
        <v>775</v>
      </c>
      <c r="K189" s="11" t="s">
        <v>185</v>
      </c>
      <c r="L189" s="6" t="str">
        <f t="shared" si="2"/>
        <v>GF</v>
      </c>
      <c r="M189" s="7" t="s">
        <v>977</v>
      </c>
    </row>
    <row r="190" spans="10:13" ht="16.5" x14ac:dyDescent="0.45">
      <c r="J190" t="s">
        <v>775</v>
      </c>
      <c r="K190" s="11" t="s">
        <v>186</v>
      </c>
      <c r="L190" s="6" t="str">
        <f t="shared" si="2"/>
        <v>GG</v>
      </c>
      <c r="M190" s="7" t="s">
        <v>978</v>
      </c>
    </row>
    <row r="191" spans="10:13" ht="16.5" x14ac:dyDescent="0.45">
      <c r="J191" t="s">
        <v>775</v>
      </c>
      <c r="K191" s="11" t="s">
        <v>187</v>
      </c>
      <c r="L191" s="6" t="str">
        <f t="shared" si="2"/>
        <v>GH</v>
      </c>
      <c r="M191" s="7" t="s">
        <v>979</v>
      </c>
    </row>
    <row r="192" spans="10:13" ht="16.5" x14ac:dyDescent="0.45">
      <c r="J192" t="s">
        <v>775</v>
      </c>
      <c r="K192" s="11" t="s">
        <v>188</v>
      </c>
      <c r="L192" s="6" t="str">
        <f t="shared" si="2"/>
        <v>GI</v>
      </c>
      <c r="M192" s="7" t="s">
        <v>980</v>
      </c>
    </row>
    <row r="193" spans="10:13" ht="16.5" x14ac:dyDescent="0.45">
      <c r="J193" t="s">
        <v>775</v>
      </c>
      <c r="K193" s="11" t="s">
        <v>189</v>
      </c>
      <c r="L193" s="6" t="str">
        <f t="shared" si="2"/>
        <v>GJ</v>
      </c>
      <c r="M193" s="7" t="s">
        <v>981</v>
      </c>
    </row>
    <row r="194" spans="10:13" ht="16.5" x14ac:dyDescent="0.45">
      <c r="J194" t="s">
        <v>775</v>
      </c>
      <c r="K194" s="11" t="s">
        <v>190</v>
      </c>
      <c r="L194" s="6" t="str">
        <f t="shared" si="2"/>
        <v>GK</v>
      </c>
      <c r="M194" s="7" t="s">
        <v>982</v>
      </c>
    </row>
    <row r="195" spans="10:13" ht="16.5" x14ac:dyDescent="0.45">
      <c r="J195" t="s">
        <v>775</v>
      </c>
      <c r="K195" s="11" t="s">
        <v>191</v>
      </c>
      <c r="L195" s="6" t="str">
        <f t="shared" si="2"/>
        <v>GL</v>
      </c>
      <c r="M195" s="7" t="s">
        <v>983</v>
      </c>
    </row>
    <row r="196" spans="10:13" ht="16.5" x14ac:dyDescent="0.45">
      <c r="J196" t="s">
        <v>775</v>
      </c>
      <c r="K196" s="11" t="s">
        <v>192</v>
      </c>
      <c r="L196" s="6" t="str">
        <f t="shared" si="2"/>
        <v>GM</v>
      </c>
      <c r="M196" s="7" t="s">
        <v>984</v>
      </c>
    </row>
    <row r="197" spans="10:13" ht="16.5" x14ac:dyDescent="0.45">
      <c r="J197" t="s">
        <v>775</v>
      </c>
      <c r="K197" s="11" t="s">
        <v>193</v>
      </c>
      <c r="L197" s="6" t="str">
        <f t="shared" si="2"/>
        <v>GN</v>
      </c>
      <c r="M197" s="7" t="s">
        <v>985</v>
      </c>
    </row>
    <row r="198" spans="10:13" ht="16.5" x14ac:dyDescent="0.45">
      <c r="J198" t="s">
        <v>775</v>
      </c>
      <c r="K198" s="11" t="s">
        <v>194</v>
      </c>
      <c r="L198" s="6" t="str">
        <f t="shared" ref="L198:L261" si="3">LEFT(ADDRESS(1, ROW(L197), 4, TRUE), (ROW(L197)&gt;26)+1)</f>
        <v>GO</v>
      </c>
      <c r="M198" s="7" t="s">
        <v>986</v>
      </c>
    </row>
    <row r="199" spans="10:13" ht="16.5" x14ac:dyDescent="0.45">
      <c r="J199" t="s">
        <v>775</v>
      </c>
      <c r="K199" s="11" t="s">
        <v>195</v>
      </c>
      <c r="L199" s="6" t="str">
        <f t="shared" si="3"/>
        <v>GP</v>
      </c>
      <c r="M199" s="7" t="s">
        <v>987</v>
      </c>
    </row>
    <row r="200" spans="10:13" ht="16.5" x14ac:dyDescent="0.45">
      <c r="J200" t="s">
        <v>775</v>
      </c>
      <c r="K200" s="11" t="s">
        <v>196</v>
      </c>
      <c r="L200" s="6" t="str">
        <f t="shared" si="3"/>
        <v>GQ</v>
      </c>
      <c r="M200" s="7" t="s">
        <v>988</v>
      </c>
    </row>
    <row r="201" spans="10:13" ht="16.5" x14ac:dyDescent="0.45">
      <c r="J201" t="s">
        <v>775</v>
      </c>
      <c r="K201" s="11" t="s">
        <v>197</v>
      </c>
      <c r="L201" s="6" t="str">
        <f t="shared" si="3"/>
        <v>GR</v>
      </c>
      <c r="M201" s="7" t="s">
        <v>989</v>
      </c>
    </row>
    <row r="202" spans="10:13" ht="16.5" x14ac:dyDescent="0.45">
      <c r="J202" t="s">
        <v>775</v>
      </c>
      <c r="K202" s="12" t="s">
        <v>198</v>
      </c>
      <c r="L202" s="6" t="str">
        <f t="shared" si="3"/>
        <v>GS</v>
      </c>
      <c r="M202" s="7" t="s">
        <v>990</v>
      </c>
    </row>
    <row r="203" spans="10:13" ht="16.5" x14ac:dyDescent="0.45">
      <c r="J203" t="s">
        <v>775</v>
      </c>
      <c r="K203" s="12" t="s">
        <v>199</v>
      </c>
      <c r="L203" s="6" t="str">
        <f t="shared" si="3"/>
        <v>GT</v>
      </c>
      <c r="M203" s="7" t="s">
        <v>991</v>
      </c>
    </row>
    <row r="204" spans="10:13" ht="16.5" x14ac:dyDescent="0.45">
      <c r="J204" t="s">
        <v>775</v>
      </c>
      <c r="K204" s="12" t="s">
        <v>200</v>
      </c>
      <c r="L204" s="6" t="str">
        <f t="shared" si="3"/>
        <v>GU</v>
      </c>
      <c r="M204" s="7" t="s">
        <v>992</v>
      </c>
    </row>
    <row r="205" spans="10:13" ht="16.5" x14ac:dyDescent="0.45">
      <c r="J205" t="s">
        <v>775</v>
      </c>
      <c r="K205" s="12" t="s">
        <v>201</v>
      </c>
      <c r="L205" s="6" t="str">
        <f t="shared" si="3"/>
        <v>GV</v>
      </c>
      <c r="M205" s="7" t="s">
        <v>993</v>
      </c>
    </row>
    <row r="206" spans="10:13" ht="16.5" x14ac:dyDescent="0.45">
      <c r="J206" t="s">
        <v>775</v>
      </c>
      <c r="K206" s="12" t="s">
        <v>202</v>
      </c>
      <c r="L206" s="6" t="str">
        <f t="shared" si="3"/>
        <v>GW</v>
      </c>
      <c r="M206" s="7" t="s">
        <v>994</v>
      </c>
    </row>
    <row r="207" spans="10:13" ht="16.5" x14ac:dyDescent="0.45">
      <c r="J207" t="s">
        <v>775</v>
      </c>
      <c r="K207" s="12" t="s">
        <v>203</v>
      </c>
      <c r="L207" s="6" t="str">
        <f t="shared" si="3"/>
        <v>GX</v>
      </c>
      <c r="M207" s="7" t="s">
        <v>995</v>
      </c>
    </row>
    <row r="208" spans="10:13" ht="16.5" x14ac:dyDescent="0.45">
      <c r="J208" t="s">
        <v>775</v>
      </c>
      <c r="K208" s="12" t="s">
        <v>204</v>
      </c>
      <c r="L208" s="6" t="str">
        <f t="shared" si="3"/>
        <v>GY</v>
      </c>
      <c r="M208" s="7" t="s">
        <v>996</v>
      </c>
    </row>
    <row r="209" spans="10:13" ht="16.5" x14ac:dyDescent="0.45">
      <c r="J209" t="s">
        <v>775</v>
      </c>
      <c r="K209" s="12" t="s">
        <v>205</v>
      </c>
      <c r="L209" s="6" t="str">
        <f t="shared" si="3"/>
        <v>GZ</v>
      </c>
      <c r="M209" s="7" t="s">
        <v>997</v>
      </c>
    </row>
    <row r="210" spans="10:13" ht="16.5" x14ac:dyDescent="0.45">
      <c r="J210" t="s">
        <v>775</v>
      </c>
      <c r="K210" s="12" t="s">
        <v>206</v>
      </c>
      <c r="L210" s="6" t="str">
        <f t="shared" si="3"/>
        <v>HA</v>
      </c>
      <c r="M210" s="7" t="s">
        <v>998</v>
      </c>
    </row>
    <row r="211" spans="10:13" ht="16.5" x14ac:dyDescent="0.45">
      <c r="J211" t="s">
        <v>775</v>
      </c>
      <c r="K211" s="12" t="s">
        <v>207</v>
      </c>
      <c r="L211" s="6" t="str">
        <f t="shared" si="3"/>
        <v>HB</v>
      </c>
      <c r="M211" s="7" t="s">
        <v>999</v>
      </c>
    </row>
    <row r="212" spans="10:13" ht="16.5" x14ac:dyDescent="0.45">
      <c r="J212" t="s">
        <v>775</v>
      </c>
      <c r="K212" s="12" t="s">
        <v>208</v>
      </c>
      <c r="L212" s="6" t="str">
        <f t="shared" si="3"/>
        <v>HC</v>
      </c>
      <c r="M212" s="7" t="s">
        <v>1000</v>
      </c>
    </row>
    <row r="213" spans="10:13" ht="16.5" x14ac:dyDescent="0.45">
      <c r="J213" t="s">
        <v>775</v>
      </c>
      <c r="K213" s="12" t="s">
        <v>209</v>
      </c>
      <c r="L213" s="6" t="str">
        <f t="shared" si="3"/>
        <v>HD</v>
      </c>
      <c r="M213" s="7" t="s">
        <v>1001</v>
      </c>
    </row>
    <row r="214" spans="10:13" ht="16.5" x14ac:dyDescent="0.45">
      <c r="J214" t="s">
        <v>775</v>
      </c>
      <c r="K214" s="12" t="s">
        <v>210</v>
      </c>
      <c r="L214" s="6" t="str">
        <f t="shared" si="3"/>
        <v>HE</v>
      </c>
      <c r="M214" s="7" t="s">
        <v>1002</v>
      </c>
    </row>
    <row r="215" spans="10:13" ht="16.5" x14ac:dyDescent="0.45">
      <c r="J215" t="s">
        <v>775</v>
      </c>
      <c r="K215" s="12" t="s">
        <v>211</v>
      </c>
      <c r="L215" s="6" t="str">
        <f t="shared" si="3"/>
        <v>HF</v>
      </c>
      <c r="M215" s="7" t="s">
        <v>1003</v>
      </c>
    </row>
    <row r="216" spans="10:13" ht="16.5" x14ac:dyDescent="0.45">
      <c r="J216" t="s">
        <v>775</v>
      </c>
      <c r="K216" s="12" t="s">
        <v>212</v>
      </c>
      <c r="L216" s="6" t="str">
        <f t="shared" si="3"/>
        <v>HG</v>
      </c>
      <c r="M216" s="7" t="s">
        <v>1004</v>
      </c>
    </row>
    <row r="217" spans="10:13" ht="16.5" x14ac:dyDescent="0.45">
      <c r="J217" t="s">
        <v>775</v>
      </c>
      <c r="K217" s="12" t="s">
        <v>213</v>
      </c>
      <c r="L217" s="6" t="str">
        <f t="shared" si="3"/>
        <v>HH</v>
      </c>
      <c r="M217" s="7" t="s">
        <v>1005</v>
      </c>
    </row>
    <row r="218" spans="10:13" ht="16.5" x14ac:dyDescent="0.45">
      <c r="J218" t="s">
        <v>775</v>
      </c>
      <c r="K218" s="12" t="s">
        <v>214</v>
      </c>
      <c r="L218" s="6" t="str">
        <f t="shared" si="3"/>
        <v>HI</v>
      </c>
      <c r="M218" s="7" t="s">
        <v>1006</v>
      </c>
    </row>
    <row r="219" spans="10:13" ht="16.5" x14ac:dyDescent="0.45">
      <c r="J219" t="s">
        <v>775</v>
      </c>
      <c r="K219" s="12" t="s">
        <v>215</v>
      </c>
      <c r="L219" s="6" t="str">
        <f t="shared" si="3"/>
        <v>HJ</v>
      </c>
      <c r="M219" s="7" t="s">
        <v>1007</v>
      </c>
    </row>
    <row r="220" spans="10:13" ht="16.5" x14ac:dyDescent="0.45">
      <c r="J220" t="s">
        <v>775</v>
      </c>
      <c r="K220" s="12" t="s">
        <v>216</v>
      </c>
      <c r="L220" s="6" t="str">
        <f t="shared" si="3"/>
        <v>HK</v>
      </c>
      <c r="M220" s="7" t="s">
        <v>1008</v>
      </c>
    </row>
    <row r="221" spans="10:13" ht="16.5" x14ac:dyDescent="0.45">
      <c r="J221" t="s">
        <v>775</v>
      </c>
      <c r="K221" s="12" t="s">
        <v>217</v>
      </c>
      <c r="L221" s="6" t="str">
        <f t="shared" si="3"/>
        <v>HL</v>
      </c>
      <c r="M221" s="7" t="s">
        <v>1009</v>
      </c>
    </row>
    <row r="222" spans="10:13" ht="16.5" x14ac:dyDescent="0.45">
      <c r="J222" t="s">
        <v>775</v>
      </c>
      <c r="K222" s="12" t="s">
        <v>218</v>
      </c>
      <c r="L222" s="6" t="str">
        <f t="shared" si="3"/>
        <v>HM</v>
      </c>
      <c r="M222" s="7" t="s">
        <v>1010</v>
      </c>
    </row>
    <row r="223" spans="10:13" ht="16.5" x14ac:dyDescent="0.45">
      <c r="J223" t="s">
        <v>775</v>
      </c>
      <c r="K223" s="12" t="s">
        <v>219</v>
      </c>
      <c r="L223" s="6" t="str">
        <f t="shared" si="3"/>
        <v>HN</v>
      </c>
      <c r="M223" s="7" t="s">
        <v>1011</v>
      </c>
    </row>
    <row r="224" spans="10:13" ht="16.5" x14ac:dyDescent="0.45">
      <c r="J224" t="s">
        <v>775</v>
      </c>
      <c r="K224" s="12" t="s">
        <v>220</v>
      </c>
      <c r="L224" s="6" t="str">
        <f t="shared" si="3"/>
        <v>HO</v>
      </c>
      <c r="M224" s="7" t="s">
        <v>1012</v>
      </c>
    </row>
    <row r="225" spans="10:13" ht="16.5" x14ac:dyDescent="0.45">
      <c r="J225" t="s">
        <v>775</v>
      </c>
      <c r="K225" s="12" t="s">
        <v>221</v>
      </c>
      <c r="L225" s="6" t="str">
        <f t="shared" si="3"/>
        <v>HP</v>
      </c>
      <c r="M225" s="7" t="s">
        <v>1013</v>
      </c>
    </row>
    <row r="226" spans="10:13" ht="16.5" x14ac:dyDescent="0.45">
      <c r="J226" t="s">
        <v>775</v>
      </c>
      <c r="K226" s="12" t="s">
        <v>222</v>
      </c>
      <c r="L226" s="6" t="str">
        <f t="shared" si="3"/>
        <v>HQ</v>
      </c>
      <c r="M226" s="7" t="s">
        <v>1014</v>
      </c>
    </row>
    <row r="227" spans="10:13" ht="16.5" x14ac:dyDescent="0.45">
      <c r="J227" t="s">
        <v>775</v>
      </c>
      <c r="K227" s="12" t="s">
        <v>223</v>
      </c>
      <c r="L227" s="6" t="str">
        <f t="shared" si="3"/>
        <v>HR</v>
      </c>
      <c r="M227" s="7" t="s">
        <v>1015</v>
      </c>
    </row>
    <row r="228" spans="10:13" ht="16.5" x14ac:dyDescent="0.45">
      <c r="J228" t="s">
        <v>775</v>
      </c>
      <c r="K228" s="12" t="s">
        <v>224</v>
      </c>
      <c r="L228" s="6" t="str">
        <f t="shared" si="3"/>
        <v>HS</v>
      </c>
      <c r="M228" s="7" t="s">
        <v>1016</v>
      </c>
    </row>
    <row r="229" spans="10:13" ht="16.5" x14ac:dyDescent="0.45">
      <c r="J229" t="s">
        <v>775</v>
      </c>
      <c r="K229" s="12" t="s">
        <v>225</v>
      </c>
      <c r="L229" s="6" t="str">
        <f t="shared" si="3"/>
        <v>HT</v>
      </c>
      <c r="M229" s="7" t="s">
        <v>1017</v>
      </c>
    </row>
    <row r="230" spans="10:13" ht="16.5" x14ac:dyDescent="0.45">
      <c r="J230" t="s">
        <v>775</v>
      </c>
      <c r="K230" s="12" t="s">
        <v>226</v>
      </c>
      <c r="L230" s="6" t="str">
        <f t="shared" si="3"/>
        <v>HU</v>
      </c>
      <c r="M230" s="7" t="s">
        <v>1018</v>
      </c>
    </row>
    <row r="231" spans="10:13" ht="16.5" x14ac:dyDescent="0.45">
      <c r="J231" t="s">
        <v>775</v>
      </c>
      <c r="K231" s="12" t="s">
        <v>227</v>
      </c>
      <c r="L231" s="6" t="str">
        <f t="shared" si="3"/>
        <v>HV</v>
      </c>
      <c r="M231" s="7" t="s">
        <v>1019</v>
      </c>
    </row>
    <row r="232" spans="10:13" ht="16.5" x14ac:dyDescent="0.45">
      <c r="J232" t="s">
        <v>775</v>
      </c>
      <c r="K232" s="12" t="s">
        <v>228</v>
      </c>
      <c r="L232" s="6" t="str">
        <f t="shared" si="3"/>
        <v>HW</v>
      </c>
      <c r="M232" s="7" t="s">
        <v>1020</v>
      </c>
    </row>
    <row r="233" spans="10:13" ht="16.5" x14ac:dyDescent="0.45">
      <c r="J233" t="s">
        <v>775</v>
      </c>
      <c r="K233" s="12" t="s">
        <v>229</v>
      </c>
      <c r="L233" s="6" t="str">
        <f t="shared" si="3"/>
        <v>HX</v>
      </c>
      <c r="M233" s="7" t="s">
        <v>1021</v>
      </c>
    </row>
    <row r="234" spans="10:13" ht="16.5" x14ac:dyDescent="0.45">
      <c r="J234" t="s">
        <v>775</v>
      </c>
      <c r="K234" s="12" t="s">
        <v>230</v>
      </c>
      <c r="L234" s="6" t="str">
        <f t="shared" si="3"/>
        <v>HY</v>
      </c>
      <c r="M234" s="7" t="s">
        <v>1022</v>
      </c>
    </row>
    <row r="235" spans="10:13" ht="16.5" x14ac:dyDescent="0.45">
      <c r="J235" t="s">
        <v>775</v>
      </c>
      <c r="K235" s="12" t="s">
        <v>231</v>
      </c>
      <c r="L235" s="6" t="str">
        <f t="shared" si="3"/>
        <v>HZ</v>
      </c>
      <c r="M235" s="7" t="s">
        <v>1023</v>
      </c>
    </row>
    <row r="236" spans="10:13" ht="16.5" x14ac:dyDescent="0.45">
      <c r="J236" t="s">
        <v>775</v>
      </c>
      <c r="K236" s="12" t="s">
        <v>232</v>
      </c>
      <c r="L236" s="6" t="str">
        <f t="shared" si="3"/>
        <v>IA</v>
      </c>
      <c r="M236" s="7" t="s">
        <v>1024</v>
      </c>
    </row>
    <row r="237" spans="10:13" ht="16.5" x14ac:dyDescent="0.45">
      <c r="J237" t="s">
        <v>775</v>
      </c>
      <c r="K237" s="12" t="s">
        <v>233</v>
      </c>
      <c r="L237" s="6" t="str">
        <f t="shared" si="3"/>
        <v>IB</v>
      </c>
      <c r="M237" s="7" t="s">
        <v>1025</v>
      </c>
    </row>
    <row r="238" spans="10:13" ht="16.5" x14ac:dyDescent="0.45">
      <c r="J238" t="s">
        <v>775</v>
      </c>
      <c r="K238" s="12" t="s">
        <v>234</v>
      </c>
      <c r="L238" s="6" t="str">
        <f t="shared" si="3"/>
        <v>IC</v>
      </c>
      <c r="M238" s="7" t="s">
        <v>1026</v>
      </c>
    </row>
    <row r="239" spans="10:13" ht="16.5" x14ac:dyDescent="0.45">
      <c r="J239" t="s">
        <v>775</v>
      </c>
      <c r="K239" s="12" t="s">
        <v>235</v>
      </c>
      <c r="L239" s="6" t="str">
        <f t="shared" si="3"/>
        <v>ID</v>
      </c>
      <c r="M239" s="7" t="s">
        <v>595</v>
      </c>
    </row>
    <row r="240" spans="10:13" ht="16.5" x14ac:dyDescent="0.45">
      <c r="J240" t="s">
        <v>775</v>
      </c>
      <c r="K240" s="12" t="s">
        <v>236</v>
      </c>
      <c r="L240" s="6" t="str">
        <f t="shared" si="3"/>
        <v>IE</v>
      </c>
      <c r="M240" s="7" t="s">
        <v>592</v>
      </c>
    </row>
    <row r="241" spans="10:13" ht="16.5" x14ac:dyDescent="0.45">
      <c r="J241" t="s">
        <v>775</v>
      </c>
      <c r="K241" s="12" t="s">
        <v>237</v>
      </c>
      <c r="L241" s="6" t="str">
        <f t="shared" si="3"/>
        <v>IF</v>
      </c>
      <c r="M241" s="7" t="s">
        <v>1027</v>
      </c>
    </row>
    <row r="242" spans="10:13" ht="16.5" x14ac:dyDescent="0.45">
      <c r="J242" t="s">
        <v>775</v>
      </c>
      <c r="K242" s="12" t="s">
        <v>238</v>
      </c>
      <c r="L242" s="6" t="str">
        <f t="shared" si="3"/>
        <v>IG</v>
      </c>
      <c r="M242" s="7" t="s">
        <v>1028</v>
      </c>
    </row>
    <row r="243" spans="10:13" ht="16.5" x14ac:dyDescent="0.45">
      <c r="J243" t="s">
        <v>775</v>
      </c>
      <c r="K243" s="12" t="s">
        <v>239</v>
      </c>
      <c r="L243" s="6" t="str">
        <f t="shared" si="3"/>
        <v>IH</v>
      </c>
      <c r="M243" s="7" t="s">
        <v>1029</v>
      </c>
    </row>
    <row r="244" spans="10:13" ht="16.5" x14ac:dyDescent="0.45">
      <c r="J244" t="s">
        <v>775</v>
      </c>
      <c r="K244" s="12" t="s">
        <v>240</v>
      </c>
      <c r="L244" s="6" t="str">
        <f t="shared" si="3"/>
        <v>II</v>
      </c>
      <c r="M244" s="7" t="s">
        <v>1030</v>
      </c>
    </row>
    <row r="245" spans="10:13" ht="16.5" x14ac:dyDescent="0.45">
      <c r="J245" t="s">
        <v>775</v>
      </c>
      <c r="K245" s="12" t="s">
        <v>241</v>
      </c>
      <c r="L245" s="6" t="str">
        <f t="shared" si="3"/>
        <v>IJ</v>
      </c>
      <c r="M245" s="7" t="s">
        <v>1031</v>
      </c>
    </row>
    <row r="246" spans="10:13" ht="16.5" x14ac:dyDescent="0.45">
      <c r="J246" t="s">
        <v>775</v>
      </c>
      <c r="K246" s="12" t="s">
        <v>242</v>
      </c>
      <c r="L246" s="6" t="str">
        <f t="shared" si="3"/>
        <v>IK</v>
      </c>
      <c r="M246" s="7" t="s">
        <v>1032</v>
      </c>
    </row>
    <row r="247" spans="10:13" ht="16.5" x14ac:dyDescent="0.45">
      <c r="J247" t="s">
        <v>775</v>
      </c>
      <c r="K247" s="12" t="s">
        <v>243</v>
      </c>
      <c r="L247" s="6" t="str">
        <f t="shared" si="3"/>
        <v>IL</v>
      </c>
      <c r="M247" s="7" t="s">
        <v>593</v>
      </c>
    </row>
    <row r="248" spans="10:13" ht="16.5" x14ac:dyDescent="0.45">
      <c r="J248" t="s">
        <v>775</v>
      </c>
      <c r="K248" s="12" t="s">
        <v>244</v>
      </c>
      <c r="L248" s="6" t="str">
        <f t="shared" si="3"/>
        <v>IM</v>
      </c>
      <c r="M248" s="7" t="s">
        <v>1033</v>
      </c>
    </row>
    <row r="249" spans="10:13" ht="16.5" x14ac:dyDescent="0.45">
      <c r="J249" t="s">
        <v>775</v>
      </c>
      <c r="K249" s="12" t="s">
        <v>245</v>
      </c>
      <c r="L249" s="6" t="str">
        <f t="shared" si="3"/>
        <v>IN</v>
      </c>
      <c r="M249" s="7" t="s">
        <v>1034</v>
      </c>
    </row>
    <row r="250" spans="10:13" ht="16.5" x14ac:dyDescent="0.45">
      <c r="J250" t="s">
        <v>775</v>
      </c>
      <c r="K250" s="12" t="s">
        <v>246</v>
      </c>
      <c r="L250" s="6" t="str">
        <f t="shared" si="3"/>
        <v>IO</v>
      </c>
      <c r="M250" s="7" t="s">
        <v>1035</v>
      </c>
    </row>
    <row r="251" spans="10:13" ht="16.5" x14ac:dyDescent="0.45">
      <c r="J251" t="s">
        <v>775</v>
      </c>
      <c r="K251" s="12" t="s">
        <v>247</v>
      </c>
      <c r="L251" s="6" t="str">
        <f t="shared" si="3"/>
        <v>IP</v>
      </c>
      <c r="M251" s="7" t="s">
        <v>1036</v>
      </c>
    </row>
    <row r="252" spans="10:13" ht="16.5" x14ac:dyDescent="0.45">
      <c r="J252" t="s">
        <v>775</v>
      </c>
      <c r="K252" s="12" t="s">
        <v>248</v>
      </c>
      <c r="L252" s="6" t="str">
        <f t="shared" si="3"/>
        <v>IQ</v>
      </c>
      <c r="M252" s="7" t="s">
        <v>1037</v>
      </c>
    </row>
    <row r="253" spans="10:13" ht="16.5" x14ac:dyDescent="0.45">
      <c r="J253" t="s">
        <v>775</v>
      </c>
      <c r="K253" s="12" t="s">
        <v>249</v>
      </c>
      <c r="L253" s="6" t="str">
        <f t="shared" si="3"/>
        <v>IR</v>
      </c>
      <c r="M253" s="7" t="s">
        <v>1038</v>
      </c>
    </row>
    <row r="254" spans="10:13" ht="16.5" x14ac:dyDescent="0.45">
      <c r="J254" t="s">
        <v>775</v>
      </c>
      <c r="K254" s="12" t="s">
        <v>250</v>
      </c>
      <c r="L254" s="6" t="str">
        <f t="shared" si="3"/>
        <v>IS</v>
      </c>
      <c r="M254" s="7" t="s">
        <v>1039</v>
      </c>
    </row>
    <row r="255" spans="10:13" ht="16.5" x14ac:dyDescent="0.45">
      <c r="J255" t="s">
        <v>775</v>
      </c>
      <c r="K255" s="12" t="s">
        <v>251</v>
      </c>
      <c r="L255" s="6" t="str">
        <f t="shared" si="3"/>
        <v>IT</v>
      </c>
      <c r="M255" s="7" t="s">
        <v>1040</v>
      </c>
    </row>
    <row r="256" spans="10:13" ht="16.5" x14ac:dyDescent="0.45">
      <c r="J256" t="s">
        <v>775</v>
      </c>
      <c r="K256" s="12" t="s">
        <v>252</v>
      </c>
      <c r="L256" s="6" t="str">
        <f t="shared" si="3"/>
        <v>IU</v>
      </c>
      <c r="M256" s="7" t="s">
        <v>1041</v>
      </c>
    </row>
    <row r="257" spans="10:13" ht="16.5" x14ac:dyDescent="0.45">
      <c r="J257" t="s">
        <v>775</v>
      </c>
      <c r="K257" s="12" t="s">
        <v>253</v>
      </c>
      <c r="L257" s="6" t="str">
        <f t="shared" si="3"/>
        <v>IV</v>
      </c>
      <c r="M257" s="7" t="s">
        <v>1042</v>
      </c>
    </row>
    <row r="258" spans="10:13" ht="16.5" x14ac:dyDescent="0.45">
      <c r="J258" t="s">
        <v>775</v>
      </c>
      <c r="K258" s="12" t="s">
        <v>254</v>
      </c>
      <c r="L258" s="6" t="str">
        <f t="shared" si="3"/>
        <v>IW</v>
      </c>
      <c r="M258" s="7" t="s">
        <v>1043</v>
      </c>
    </row>
    <row r="259" spans="10:13" ht="16.5" x14ac:dyDescent="0.45">
      <c r="J259" t="s">
        <v>775</v>
      </c>
      <c r="K259" s="12" t="s">
        <v>255</v>
      </c>
      <c r="L259" s="6" t="str">
        <f t="shared" si="3"/>
        <v>IX</v>
      </c>
      <c r="M259" s="7" t="s">
        <v>1044</v>
      </c>
    </row>
    <row r="260" spans="10:13" ht="16.5" x14ac:dyDescent="0.45">
      <c r="J260" t="s">
        <v>775</v>
      </c>
      <c r="K260" s="12" t="s">
        <v>256</v>
      </c>
      <c r="L260" s="6" t="str">
        <f t="shared" si="3"/>
        <v>IY</v>
      </c>
      <c r="M260" s="7" t="s">
        <v>1045</v>
      </c>
    </row>
    <row r="261" spans="10:13" ht="16.5" x14ac:dyDescent="0.45">
      <c r="J261" t="s">
        <v>775</v>
      </c>
      <c r="K261" s="12" t="s">
        <v>257</v>
      </c>
      <c r="L261" s="6" t="str">
        <f t="shared" si="3"/>
        <v>IZ</v>
      </c>
      <c r="M261" s="7" t="s">
        <v>1046</v>
      </c>
    </row>
    <row r="262" spans="10:13" ht="16.5" x14ac:dyDescent="0.45">
      <c r="J262" t="s">
        <v>775</v>
      </c>
      <c r="K262" s="12" t="s">
        <v>258</v>
      </c>
      <c r="L262" s="6" t="str">
        <f t="shared" ref="L262:L325" si="4">LEFT(ADDRESS(1, ROW(L261), 4, TRUE), (ROW(L261)&gt;26)+1)</f>
        <v>JA</v>
      </c>
      <c r="M262" s="7" t="s">
        <v>1047</v>
      </c>
    </row>
    <row r="263" spans="10:13" ht="16.5" x14ac:dyDescent="0.45">
      <c r="J263" t="s">
        <v>775</v>
      </c>
      <c r="K263" s="12" t="s">
        <v>259</v>
      </c>
      <c r="L263" s="6" t="str">
        <f t="shared" si="4"/>
        <v>JB</v>
      </c>
      <c r="M263" s="7" t="s">
        <v>1048</v>
      </c>
    </row>
    <row r="264" spans="10:13" ht="16.5" x14ac:dyDescent="0.45">
      <c r="J264" t="s">
        <v>775</v>
      </c>
      <c r="K264" s="12" t="s">
        <v>260</v>
      </c>
      <c r="L264" s="6" t="str">
        <f t="shared" si="4"/>
        <v>JC</v>
      </c>
      <c r="M264" s="7" t="s">
        <v>1049</v>
      </c>
    </row>
    <row r="265" spans="10:13" ht="16.5" x14ac:dyDescent="0.45">
      <c r="J265" t="s">
        <v>775</v>
      </c>
      <c r="K265" s="12" t="s">
        <v>261</v>
      </c>
      <c r="L265" s="6" t="str">
        <f t="shared" si="4"/>
        <v>JD</v>
      </c>
      <c r="M265" s="7" t="s">
        <v>1050</v>
      </c>
    </row>
    <row r="266" spans="10:13" ht="16.5" x14ac:dyDescent="0.45">
      <c r="J266" t="s">
        <v>775</v>
      </c>
      <c r="K266" s="12" t="s">
        <v>262</v>
      </c>
      <c r="L266" s="6" t="str">
        <f t="shared" si="4"/>
        <v>JE</v>
      </c>
      <c r="M266" s="7" t="s">
        <v>1051</v>
      </c>
    </row>
    <row r="267" spans="10:13" ht="16.5" x14ac:dyDescent="0.45">
      <c r="J267" t="s">
        <v>775</v>
      </c>
      <c r="K267" s="12" t="s">
        <v>263</v>
      </c>
      <c r="L267" s="6" t="str">
        <f t="shared" si="4"/>
        <v>JF</v>
      </c>
      <c r="M267" s="7" t="s">
        <v>1052</v>
      </c>
    </row>
    <row r="268" spans="10:13" ht="16.5" x14ac:dyDescent="0.45">
      <c r="J268" t="s">
        <v>775</v>
      </c>
      <c r="K268" s="12" t="s">
        <v>264</v>
      </c>
      <c r="L268" s="6" t="str">
        <f t="shared" si="4"/>
        <v>JG</v>
      </c>
      <c r="M268" s="7" t="s">
        <v>1053</v>
      </c>
    </row>
    <row r="269" spans="10:13" ht="16.5" x14ac:dyDescent="0.45">
      <c r="J269" t="s">
        <v>775</v>
      </c>
      <c r="K269" s="12" t="s">
        <v>265</v>
      </c>
      <c r="L269" s="6" t="str">
        <f t="shared" si="4"/>
        <v>JH</v>
      </c>
      <c r="M269" s="7" t="s">
        <v>1054</v>
      </c>
    </row>
    <row r="270" spans="10:13" ht="16.5" x14ac:dyDescent="0.45">
      <c r="J270" t="s">
        <v>775</v>
      </c>
      <c r="K270" s="12" t="s">
        <v>266</v>
      </c>
      <c r="L270" s="6" t="str">
        <f t="shared" si="4"/>
        <v>JI</v>
      </c>
      <c r="M270" s="7" t="s">
        <v>1055</v>
      </c>
    </row>
    <row r="271" spans="10:13" ht="16.5" x14ac:dyDescent="0.45">
      <c r="J271" t="s">
        <v>775</v>
      </c>
      <c r="K271" s="12" t="s">
        <v>267</v>
      </c>
      <c r="L271" s="6" t="str">
        <f t="shared" si="4"/>
        <v>JJ</v>
      </c>
      <c r="M271" s="7" t="s">
        <v>1056</v>
      </c>
    </row>
    <row r="272" spans="10:13" ht="16.5" x14ac:dyDescent="0.45">
      <c r="J272" t="s">
        <v>775</v>
      </c>
      <c r="K272" s="12" t="s">
        <v>268</v>
      </c>
      <c r="L272" s="6" t="str">
        <f t="shared" si="4"/>
        <v>JK</v>
      </c>
      <c r="M272" s="7" t="s">
        <v>1057</v>
      </c>
    </row>
    <row r="273" spans="10:13" ht="16.5" x14ac:dyDescent="0.45">
      <c r="J273" t="s">
        <v>775</v>
      </c>
      <c r="K273" s="12" t="s">
        <v>269</v>
      </c>
      <c r="L273" s="6" t="str">
        <f t="shared" si="4"/>
        <v>JL</v>
      </c>
      <c r="M273" s="7" t="s">
        <v>1058</v>
      </c>
    </row>
    <row r="274" spans="10:13" ht="16.5" x14ac:dyDescent="0.45">
      <c r="J274" t="s">
        <v>775</v>
      </c>
      <c r="K274" s="12" t="s">
        <v>270</v>
      </c>
      <c r="L274" s="6" t="str">
        <f t="shared" si="4"/>
        <v>JM</v>
      </c>
      <c r="M274" s="7" t="s">
        <v>1059</v>
      </c>
    </row>
    <row r="275" spans="10:13" ht="16.5" x14ac:dyDescent="0.45">
      <c r="J275" t="s">
        <v>775</v>
      </c>
      <c r="K275" s="12" t="s">
        <v>271</v>
      </c>
      <c r="L275" s="6" t="str">
        <f t="shared" si="4"/>
        <v>JN</v>
      </c>
      <c r="M275" s="7" t="s">
        <v>1060</v>
      </c>
    </row>
    <row r="276" spans="10:13" ht="16.5" x14ac:dyDescent="0.45">
      <c r="J276" t="s">
        <v>775</v>
      </c>
      <c r="K276" s="12" t="s">
        <v>272</v>
      </c>
      <c r="L276" s="6" t="str">
        <f t="shared" si="4"/>
        <v>JO</v>
      </c>
      <c r="M276" s="7" t="s">
        <v>1061</v>
      </c>
    </row>
    <row r="277" spans="10:13" ht="16.5" x14ac:dyDescent="0.45">
      <c r="J277" t="s">
        <v>769</v>
      </c>
      <c r="K277" s="10" t="s">
        <v>273</v>
      </c>
      <c r="L277" s="6" t="str">
        <f t="shared" si="4"/>
        <v>JP</v>
      </c>
      <c r="M277" s="7" t="s">
        <v>1062</v>
      </c>
    </row>
    <row r="278" spans="10:13" ht="16.5" x14ac:dyDescent="0.45">
      <c r="J278" t="s">
        <v>769</v>
      </c>
      <c r="K278" s="10" t="s">
        <v>274</v>
      </c>
      <c r="L278" s="6" t="str">
        <f t="shared" si="4"/>
        <v>JQ</v>
      </c>
      <c r="M278" s="7" t="s">
        <v>1063</v>
      </c>
    </row>
    <row r="279" spans="10:13" ht="16.5" x14ac:dyDescent="0.45">
      <c r="J279" t="s">
        <v>779</v>
      </c>
      <c r="K279" s="13" t="s">
        <v>275</v>
      </c>
      <c r="L279" s="6" t="str">
        <f t="shared" si="4"/>
        <v>JR</v>
      </c>
      <c r="M279" s="7" t="s">
        <v>1064</v>
      </c>
    </row>
    <row r="280" spans="10:13" ht="16.5" x14ac:dyDescent="0.45">
      <c r="J280" t="s">
        <v>769</v>
      </c>
      <c r="K280" s="10" t="s">
        <v>276</v>
      </c>
      <c r="L280" s="6" t="str">
        <f t="shared" si="4"/>
        <v>JS</v>
      </c>
      <c r="M280" s="7" t="s">
        <v>1065</v>
      </c>
    </row>
    <row r="281" spans="10:13" ht="16.5" x14ac:dyDescent="0.45">
      <c r="J281" t="s">
        <v>769</v>
      </c>
      <c r="K281" s="10" t="s">
        <v>277</v>
      </c>
      <c r="L281" s="6" t="str">
        <f t="shared" si="4"/>
        <v>JT</v>
      </c>
      <c r="M281" s="7" t="s">
        <v>1066</v>
      </c>
    </row>
    <row r="282" spans="10:13" ht="16.5" x14ac:dyDescent="0.45">
      <c r="J282" t="s">
        <v>769</v>
      </c>
      <c r="K282" s="10" t="s">
        <v>278</v>
      </c>
      <c r="L282" s="6" t="str">
        <f t="shared" si="4"/>
        <v>JU</v>
      </c>
      <c r="M282" s="7" t="s">
        <v>1067</v>
      </c>
    </row>
    <row r="283" spans="10:13" ht="16.5" x14ac:dyDescent="0.45">
      <c r="J283" t="s">
        <v>769</v>
      </c>
      <c r="K283" s="10" t="s">
        <v>279</v>
      </c>
      <c r="L283" s="6" t="str">
        <f t="shared" si="4"/>
        <v>JV</v>
      </c>
      <c r="M283" s="7" t="s">
        <v>1068</v>
      </c>
    </row>
    <row r="284" spans="10:13" ht="16.5" x14ac:dyDescent="0.45">
      <c r="J284" t="s">
        <v>779</v>
      </c>
      <c r="K284" s="14" t="s">
        <v>281</v>
      </c>
      <c r="L284" s="6" t="str">
        <f t="shared" si="4"/>
        <v>JW</v>
      </c>
      <c r="M284" s="7" t="s">
        <v>1069</v>
      </c>
    </row>
    <row r="285" spans="10:13" ht="16.5" x14ac:dyDescent="0.45">
      <c r="J285" t="s">
        <v>779</v>
      </c>
      <c r="K285" s="14" t="s">
        <v>282</v>
      </c>
      <c r="L285" s="6" t="str">
        <f t="shared" si="4"/>
        <v>JX</v>
      </c>
      <c r="M285" s="7" t="s">
        <v>1070</v>
      </c>
    </row>
    <row r="286" spans="10:13" ht="16.5" x14ac:dyDescent="0.45">
      <c r="J286" t="s">
        <v>779</v>
      </c>
      <c r="K286" s="14" t="s">
        <v>283</v>
      </c>
      <c r="L286" s="6" t="str">
        <f t="shared" si="4"/>
        <v>JY</v>
      </c>
      <c r="M286" s="7" t="s">
        <v>1071</v>
      </c>
    </row>
    <row r="287" spans="10:13" ht="16.5" x14ac:dyDescent="0.45">
      <c r="J287" t="s">
        <v>779</v>
      </c>
      <c r="K287" s="14" t="s">
        <v>284</v>
      </c>
      <c r="L287" s="6" t="str">
        <f t="shared" si="4"/>
        <v>JZ</v>
      </c>
      <c r="M287" s="7" t="s">
        <v>1072</v>
      </c>
    </row>
    <row r="288" spans="10:13" ht="16.5" x14ac:dyDescent="0.45">
      <c r="J288" t="s">
        <v>779</v>
      </c>
      <c r="K288" s="14" t="s">
        <v>285</v>
      </c>
      <c r="L288" s="6" t="str">
        <f t="shared" si="4"/>
        <v>KA</v>
      </c>
      <c r="M288" s="7" t="s">
        <v>1073</v>
      </c>
    </row>
    <row r="289" spans="10:13" ht="16.5" x14ac:dyDescent="0.45">
      <c r="J289" t="s">
        <v>779</v>
      </c>
      <c r="K289" s="14" t="s">
        <v>286</v>
      </c>
      <c r="L289" s="6" t="str">
        <f t="shared" si="4"/>
        <v>KB</v>
      </c>
      <c r="M289" s="7" t="s">
        <v>1074</v>
      </c>
    </row>
    <row r="290" spans="10:13" ht="16.5" x14ac:dyDescent="0.45">
      <c r="J290" t="s">
        <v>779</v>
      </c>
      <c r="K290" s="14" t="s">
        <v>287</v>
      </c>
      <c r="L290" s="6" t="str">
        <f t="shared" si="4"/>
        <v>KC</v>
      </c>
      <c r="M290" s="7" t="s">
        <v>1075</v>
      </c>
    </row>
    <row r="291" spans="10:13" ht="16.5" x14ac:dyDescent="0.45">
      <c r="J291" t="s">
        <v>779</v>
      </c>
      <c r="K291" s="14" t="s">
        <v>288</v>
      </c>
      <c r="L291" s="6" t="str">
        <f t="shared" si="4"/>
        <v>KD</v>
      </c>
      <c r="M291" s="7" t="s">
        <v>1076</v>
      </c>
    </row>
    <row r="292" spans="10:13" ht="16.5" x14ac:dyDescent="0.45">
      <c r="J292" t="s">
        <v>779</v>
      </c>
      <c r="K292" s="14" t="s">
        <v>289</v>
      </c>
      <c r="L292" s="6" t="str">
        <f t="shared" si="4"/>
        <v>KE</v>
      </c>
      <c r="M292" s="7" t="s">
        <v>1077</v>
      </c>
    </row>
    <row r="293" spans="10:13" ht="16.5" x14ac:dyDescent="0.45">
      <c r="J293" t="s">
        <v>779</v>
      </c>
      <c r="K293" s="14" t="s">
        <v>290</v>
      </c>
      <c r="L293" s="6" t="str">
        <f t="shared" si="4"/>
        <v>KF</v>
      </c>
      <c r="M293" s="7" t="s">
        <v>1078</v>
      </c>
    </row>
    <row r="294" spans="10:13" ht="16.5" x14ac:dyDescent="0.45">
      <c r="J294" t="s">
        <v>779</v>
      </c>
      <c r="K294" s="14" t="s">
        <v>291</v>
      </c>
      <c r="L294" s="6" t="str">
        <f t="shared" si="4"/>
        <v>KG</v>
      </c>
      <c r="M294" s="7" t="s">
        <v>1079</v>
      </c>
    </row>
    <row r="295" spans="10:13" ht="16.5" x14ac:dyDescent="0.45">
      <c r="J295" t="s">
        <v>779</v>
      </c>
      <c r="K295" s="14" t="s">
        <v>292</v>
      </c>
      <c r="L295" s="6" t="str">
        <f t="shared" si="4"/>
        <v>KH</v>
      </c>
      <c r="M295" s="7" t="s">
        <v>1080</v>
      </c>
    </row>
    <row r="296" spans="10:13" ht="16.5" x14ac:dyDescent="0.45">
      <c r="J296" t="s">
        <v>779</v>
      </c>
      <c r="K296" s="14" t="s">
        <v>293</v>
      </c>
      <c r="L296" s="6" t="str">
        <f t="shared" si="4"/>
        <v>KI</v>
      </c>
      <c r="M296" s="7" t="s">
        <v>1081</v>
      </c>
    </row>
    <row r="297" spans="10:13" ht="16.5" x14ac:dyDescent="0.45">
      <c r="J297" t="s">
        <v>779</v>
      </c>
      <c r="K297" s="14" t="s">
        <v>294</v>
      </c>
      <c r="L297" s="6" t="str">
        <f t="shared" si="4"/>
        <v>KJ</v>
      </c>
      <c r="M297" s="7" t="s">
        <v>1082</v>
      </c>
    </row>
    <row r="298" spans="10:13" ht="16.5" x14ac:dyDescent="0.45">
      <c r="J298" t="s">
        <v>779</v>
      </c>
      <c r="K298" s="14" t="s">
        <v>295</v>
      </c>
      <c r="L298" s="6" t="str">
        <f t="shared" si="4"/>
        <v>KK</v>
      </c>
      <c r="M298" s="7" t="s">
        <v>1083</v>
      </c>
    </row>
    <row r="299" spans="10:13" ht="16.5" x14ac:dyDescent="0.45">
      <c r="J299" t="s">
        <v>779</v>
      </c>
      <c r="K299" s="14" t="s">
        <v>296</v>
      </c>
      <c r="L299" s="6" t="str">
        <f t="shared" si="4"/>
        <v>KL</v>
      </c>
      <c r="M299" s="7" t="s">
        <v>1084</v>
      </c>
    </row>
    <row r="300" spans="10:13" ht="16.5" x14ac:dyDescent="0.45">
      <c r="J300" t="s">
        <v>779</v>
      </c>
      <c r="K300" s="14" t="s">
        <v>297</v>
      </c>
      <c r="L300" s="6" t="str">
        <f t="shared" si="4"/>
        <v>KM</v>
      </c>
      <c r="M300" s="7" t="s">
        <v>1085</v>
      </c>
    </row>
    <row r="301" spans="10:13" ht="16.5" x14ac:dyDescent="0.45">
      <c r="J301" t="s">
        <v>779</v>
      </c>
      <c r="K301" s="14" t="s">
        <v>298</v>
      </c>
      <c r="L301" s="6" t="str">
        <f t="shared" si="4"/>
        <v>KN</v>
      </c>
      <c r="M301" s="7" t="s">
        <v>1086</v>
      </c>
    </row>
    <row r="302" spans="10:13" ht="16.5" x14ac:dyDescent="0.45">
      <c r="J302" t="s">
        <v>779</v>
      </c>
      <c r="K302" s="14" t="s">
        <v>299</v>
      </c>
      <c r="L302" s="6" t="str">
        <f t="shared" si="4"/>
        <v>KO</v>
      </c>
      <c r="M302" s="7" t="s">
        <v>1087</v>
      </c>
    </row>
    <row r="303" spans="10:13" ht="16.5" x14ac:dyDescent="0.45">
      <c r="J303" t="s">
        <v>779</v>
      </c>
      <c r="K303" s="14" t="s">
        <v>300</v>
      </c>
      <c r="L303" s="6" t="str">
        <f t="shared" si="4"/>
        <v>KP</v>
      </c>
      <c r="M303" s="7" t="s">
        <v>1088</v>
      </c>
    </row>
    <row r="304" spans="10:13" ht="16.5" x14ac:dyDescent="0.45">
      <c r="J304" t="s">
        <v>779</v>
      </c>
      <c r="K304" s="14" t="s">
        <v>301</v>
      </c>
      <c r="L304" s="6" t="str">
        <f t="shared" si="4"/>
        <v>KQ</v>
      </c>
      <c r="M304" s="7" t="s">
        <v>1089</v>
      </c>
    </row>
    <row r="305" spans="10:13" ht="16.5" x14ac:dyDescent="0.45">
      <c r="J305" t="s">
        <v>779</v>
      </c>
      <c r="K305" s="14" t="s">
        <v>302</v>
      </c>
      <c r="L305" s="6" t="str">
        <f t="shared" si="4"/>
        <v>KR</v>
      </c>
      <c r="M305" s="7" t="s">
        <v>1090</v>
      </c>
    </row>
    <row r="306" spans="10:13" ht="16.5" x14ac:dyDescent="0.45">
      <c r="J306" t="s">
        <v>779</v>
      </c>
      <c r="K306" s="14" t="s">
        <v>303</v>
      </c>
      <c r="L306" s="6" t="str">
        <f t="shared" si="4"/>
        <v>KS</v>
      </c>
      <c r="M306" s="7" t="s">
        <v>1091</v>
      </c>
    </row>
    <row r="307" spans="10:13" ht="16.5" x14ac:dyDescent="0.45">
      <c r="J307" t="s">
        <v>779</v>
      </c>
      <c r="K307" s="14" t="s">
        <v>304</v>
      </c>
      <c r="L307" s="6" t="str">
        <f t="shared" si="4"/>
        <v>KT</v>
      </c>
      <c r="M307" s="7" t="s">
        <v>1092</v>
      </c>
    </row>
    <row r="308" spans="10:13" ht="16.5" x14ac:dyDescent="0.45">
      <c r="J308" t="s">
        <v>779</v>
      </c>
      <c r="K308" s="14" t="s">
        <v>305</v>
      </c>
      <c r="L308" s="6" t="str">
        <f t="shared" si="4"/>
        <v>KU</v>
      </c>
      <c r="M308" s="7" t="s">
        <v>1093</v>
      </c>
    </row>
    <row r="309" spans="10:13" ht="16.5" x14ac:dyDescent="0.45">
      <c r="J309" t="s">
        <v>779</v>
      </c>
      <c r="K309" s="14" t="s">
        <v>306</v>
      </c>
      <c r="L309" s="6" t="str">
        <f t="shared" si="4"/>
        <v>KV</v>
      </c>
      <c r="M309" s="7" t="s">
        <v>1094</v>
      </c>
    </row>
    <row r="310" spans="10:13" ht="16.5" x14ac:dyDescent="0.45">
      <c r="J310" t="s">
        <v>779</v>
      </c>
      <c r="K310" s="14" t="s">
        <v>307</v>
      </c>
      <c r="L310" s="6" t="str">
        <f t="shared" si="4"/>
        <v>KW</v>
      </c>
      <c r="M310" s="7" t="s">
        <v>1095</v>
      </c>
    </row>
    <row r="311" spans="10:13" ht="16.5" x14ac:dyDescent="0.45">
      <c r="J311" t="s">
        <v>779</v>
      </c>
      <c r="K311" s="14" t="s">
        <v>308</v>
      </c>
      <c r="L311" s="6" t="str">
        <f t="shared" si="4"/>
        <v>KX</v>
      </c>
      <c r="M311" s="7" t="s">
        <v>1096</v>
      </c>
    </row>
    <row r="312" spans="10:13" ht="16.5" x14ac:dyDescent="0.45">
      <c r="J312" t="s">
        <v>779</v>
      </c>
      <c r="K312" s="14" t="s">
        <v>309</v>
      </c>
      <c r="L312" s="6" t="str">
        <f t="shared" si="4"/>
        <v>KY</v>
      </c>
      <c r="M312" s="7" t="s">
        <v>1097</v>
      </c>
    </row>
    <row r="313" spans="10:13" ht="16.5" x14ac:dyDescent="0.45">
      <c r="J313" t="s">
        <v>779</v>
      </c>
      <c r="K313" s="14" t="s">
        <v>310</v>
      </c>
      <c r="L313" s="6" t="str">
        <f t="shared" si="4"/>
        <v>KZ</v>
      </c>
      <c r="M313" s="7" t="s">
        <v>1098</v>
      </c>
    </row>
    <row r="314" spans="10:13" ht="16.5" x14ac:dyDescent="0.45">
      <c r="J314" t="s">
        <v>779</v>
      </c>
      <c r="K314" s="14" t="s">
        <v>311</v>
      </c>
      <c r="L314" s="6" t="str">
        <f t="shared" si="4"/>
        <v>LA</v>
      </c>
      <c r="M314" s="7" t="s">
        <v>1099</v>
      </c>
    </row>
    <row r="315" spans="10:13" ht="16.5" x14ac:dyDescent="0.45">
      <c r="J315" t="s">
        <v>779</v>
      </c>
      <c r="K315" s="14" t="s">
        <v>312</v>
      </c>
      <c r="L315" s="6" t="str">
        <f t="shared" si="4"/>
        <v>LB</v>
      </c>
      <c r="M315" s="7" t="s">
        <v>1100</v>
      </c>
    </row>
    <row r="316" spans="10:13" ht="16.5" x14ac:dyDescent="0.45">
      <c r="J316" t="s">
        <v>779</v>
      </c>
      <c r="K316" s="14" t="s">
        <v>313</v>
      </c>
      <c r="L316" s="6" t="str">
        <f t="shared" si="4"/>
        <v>LC</v>
      </c>
      <c r="M316" s="7" t="s">
        <v>1101</v>
      </c>
    </row>
    <row r="317" spans="10:13" ht="16.5" x14ac:dyDescent="0.45">
      <c r="J317" t="s">
        <v>779</v>
      </c>
      <c r="K317" s="14" t="s">
        <v>314</v>
      </c>
      <c r="L317" s="6" t="str">
        <f t="shared" si="4"/>
        <v>LD</v>
      </c>
      <c r="M317" s="7" t="s">
        <v>1102</v>
      </c>
    </row>
    <row r="318" spans="10:13" ht="16.5" x14ac:dyDescent="0.45">
      <c r="J318" t="s">
        <v>779</v>
      </c>
      <c r="K318" s="14" t="s">
        <v>315</v>
      </c>
      <c r="L318" s="6" t="str">
        <f t="shared" si="4"/>
        <v>LE</v>
      </c>
      <c r="M318" s="7" t="s">
        <v>1103</v>
      </c>
    </row>
    <row r="319" spans="10:13" ht="16.5" x14ac:dyDescent="0.45">
      <c r="J319" t="s">
        <v>779</v>
      </c>
      <c r="K319" s="14" t="s">
        <v>316</v>
      </c>
      <c r="L319" s="6" t="str">
        <f t="shared" si="4"/>
        <v>LF</v>
      </c>
      <c r="M319" s="7" t="s">
        <v>1104</v>
      </c>
    </row>
    <row r="320" spans="10:13" ht="16.5" x14ac:dyDescent="0.45">
      <c r="J320" t="s">
        <v>779</v>
      </c>
      <c r="K320" s="14" t="s">
        <v>317</v>
      </c>
      <c r="L320" s="6" t="str">
        <f t="shared" si="4"/>
        <v>LG</v>
      </c>
      <c r="M320" s="7" t="s">
        <v>1105</v>
      </c>
    </row>
    <row r="321" spans="10:13" ht="16.5" x14ac:dyDescent="0.45">
      <c r="J321" t="s">
        <v>779</v>
      </c>
      <c r="K321" s="14" t="s">
        <v>318</v>
      </c>
      <c r="L321" s="6" t="str">
        <f t="shared" si="4"/>
        <v>LH</v>
      </c>
      <c r="M321" s="7" t="s">
        <v>1106</v>
      </c>
    </row>
    <row r="322" spans="10:13" ht="16.5" x14ac:dyDescent="0.45">
      <c r="J322" t="s">
        <v>779</v>
      </c>
      <c r="K322" s="14" t="s">
        <v>319</v>
      </c>
      <c r="L322" s="6" t="str">
        <f t="shared" si="4"/>
        <v>LI</v>
      </c>
      <c r="M322" s="7" t="s">
        <v>1107</v>
      </c>
    </row>
    <row r="323" spans="10:13" ht="16.5" x14ac:dyDescent="0.45">
      <c r="J323" t="s">
        <v>779</v>
      </c>
      <c r="K323" s="14" t="s">
        <v>320</v>
      </c>
      <c r="L323" s="6" t="str">
        <f t="shared" si="4"/>
        <v>LJ</v>
      </c>
      <c r="M323" s="7" t="s">
        <v>1108</v>
      </c>
    </row>
    <row r="324" spans="10:13" ht="16.5" x14ac:dyDescent="0.45">
      <c r="J324" t="s">
        <v>779</v>
      </c>
      <c r="K324" s="14" t="s">
        <v>321</v>
      </c>
      <c r="L324" s="6" t="str">
        <f t="shared" si="4"/>
        <v>LK</v>
      </c>
      <c r="M324" s="7" t="s">
        <v>1109</v>
      </c>
    </row>
    <row r="325" spans="10:13" ht="16.5" x14ac:dyDescent="0.45">
      <c r="J325" t="s">
        <v>779</v>
      </c>
      <c r="K325" s="14" t="s">
        <v>322</v>
      </c>
      <c r="L325" s="6" t="str">
        <f t="shared" si="4"/>
        <v>LL</v>
      </c>
      <c r="M325" s="7" t="s">
        <v>1110</v>
      </c>
    </row>
    <row r="326" spans="10:13" ht="16.5" x14ac:dyDescent="0.45">
      <c r="J326" t="s">
        <v>779</v>
      </c>
      <c r="K326" s="14" t="s">
        <v>323</v>
      </c>
      <c r="L326" s="6" t="str">
        <f t="shared" ref="L326:L383" si="5">LEFT(ADDRESS(1, ROW(L325), 4, TRUE), (ROW(L325)&gt;26)+1)</f>
        <v>LM</v>
      </c>
      <c r="M326" s="7" t="s">
        <v>1111</v>
      </c>
    </row>
    <row r="327" spans="10:13" ht="16.5" x14ac:dyDescent="0.45">
      <c r="J327" t="s">
        <v>779</v>
      </c>
      <c r="K327" s="14" t="s">
        <v>324</v>
      </c>
      <c r="L327" s="6" t="str">
        <f t="shared" si="5"/>
        <v>LN</v>
      </c>
      <c r="M327" s="7" t="s">
        <v>1112</v>
      </c>
    </row>
    <row r="328" spans="10:13" ht="16.5" x14ac:dyDescent="0.45">
      <c r="J328" t="s">
        <v>779</v>
      </c>
      <c r="K328" s="14" t="s">
        <v>325</v>
      </c>
      <c r="L328" s="6" t="str">
        <f t="shared" si="5"/>
        <v>LO</v>
      </c>
      <c r="M328" s="7" t="s">
        <v>1113</v>
      </c>
    </row>
    <row r="329" spans="10:13" ht="16.5" x14ac:dyDescent="0.45">
      <c r="J329" t="s">
        <v>779</v>
      </c>
      <c r="K329" s="14" t="s">
        <v>326</v>
      </c>
      <c r="L329" s="6" t="str">
        <f t="shared" si="5"/>
        <v>LP</v>
      </c>
      <c r="M329" s="7" t="s">
        <v>1114</v>
      </c>
    </row>
    <row r="330" spans="10:13" ht="16.5" x14ac:dyDescent="0.45">
      <c r="J330" t="s">
        <v>779</v>
      </c>
      <c r="K330" s="14" t="s">
        <v>327</v>
      </c>
      <c r="L330" s="6" t="str">
        <f t="shared" si="5"/>
        <v>LQ</v>
      </c>
      <c r="M330" s="7" t="s">
        <v>1115</v>
      </c>
    </row>
    <row r="331" spans="10:13" ht="16.5" x14ac:dyDescent="0.45">
      <c r="J331" t="s">
        <v>779</v>
      </c>
      <c r="K331" s="14" t="s">
        <v>328</v>
      </c>
      <c r="L331" s="6" t="str">
        <f t="shared" si="5"/>
        <v>LR</v>
      </c>
      <c r="M331" s="7" t="s">
        <v>1116</v>
      </c>
    </row>
    <row r="332" spans="10:13" ht="16.5" x14ac:dyDescent="0.45">
      <c r="J332" t="s">
        <v>779</v>
      </c>
      <c r="K332" s="14" t="s">
        <v>329</v>
      </c>
      <c r="L332" s="6" t="str">
        <f t="shared" si="5"/>
        <v>LS</v>
      </c>
      <c r="M332" s="7" t="s">
        <v>1117</v>
      </c>
    </row>
    <row r="333" spans="10:13" ht="16.5" x14ac:dyDescent="0.45">
      <c r="J333" t="s">
        <v>779</v>
      </c>
      <c r="K333" s="14" t="s">
        <v>330</v>
      </c>
      <c r="L333" s="6" t="str">
        <f t="shared" si="5"/>
        <v>LT</v>
      </c>
      <c r="M333" s="7" t="s">
        <v>1118</v>
      </c>
    </row>
    <row r="334" spans="10:13" ht="16.5" x14ac:dyDescent="0.45">
      <c r="J334" t="s">
        <v>779</v>
      </c>
      <c r="K334" s="14" t="s">
        <v>331</v>
      </c>
      <c r="L334" s="6" t="str">
        <f t="shared" si="5"/>
        <v>LU</v>
      </c>
      <c r="M334" s="7" t="s">
        <v>1119</v>
      </c>
    </row>
    <row r="335" spans="10:13" ht="16.5" x14ac:dyDescent="0.45">
      <c r="J335" t="s">
        <v>779</v>
      </c>
      <c r="K335" s="14" t="s">
        <v>332</v>
      </c>
      <c r="L335" s="6" t="str">
        <f t="shared" si="5"/>
        <v>LV</v>
      </c>
      <c r="M335" s="7" t="s">
        <v>1120</v>
      </c>
    </row>
    <row r="336" spans="10:13" ht="16.5" x14ac:dyDescent="0.45">
      <c r="J336" t="s">
        <v>779</v>
      </c>
      <c r="K336" s="14" t="s">
        <v>333</v>
      </c>
      <c r="L336" s="6" t="str">
        <f t="shared" si="5"/>
        <v>LW</v>
      </c>
      <c r="M336" s="7" t="s">
        <v>1121</v>
      </c>
    </row>
    <row r="337" spans="10:13" ht="16.5" x14ac:dyDescent="0.45">
      <c r="J337" t="s">
        <v>779</v>
      </c>
      <c r="K337" s="14" t="s">
        <v>334</v>
      </c>
      <c r="L337" s="6" t="str">
        <f t="shared" si="5"/>
        <v>LX</v>
      </c>
      <c r="M337" s="7" t="s">
        <v>1122</v>
      </c>
    </row>
    <row r="338" spans="10:13" ht="16.5" x14ac:dyDescent="0.45">
      <c r="J338" t="s">
        <v>779</v>
      </c>
      <c r="K338" s="14" t="s">
        <v>335</v>
      </c>
      <c r="L338" s="6" t="str">
        <f t="shared" si="5"/>
        <v>LY</v>
      </c>
      <c r="M338" s="7" t="s">
        <v>1123</v>
      </c>
    </row>
    <row r="339" spans="10:13" ht="16.5" x14ac:dyDescent="0.45">
      <c r="J339" t="s">
        <v>779</v>
      </c>
      <c r="K339" s="14" t="s">
        <v>336</v>
      </c>
      <c r="L339" s="6" t="str">
        <f t="shared" si="5"/>
        <v>LZ</v>
      </c>
      <c r="M339" s="7" t="s">
        <v>1124</v>
      </c>
    </row>
    <row r="340" spans="10:13" ht="16.5" x14ac:dyDescent="0.45">
      <c r="J340" t="s">
        <v>779</v>
      </c>
      <c r="K340" s="14" t="s">
        <v>337</v>
      </c>
      <c r="L340" s="6" t="str">
        <f t="shared" si="5"/>
        <v>MA</v>
      </c>
      <c r="M340" s="7" t="s">
        <v>1125</v>
      </c>
    </row>
    <row r="341" spans="10:13" ht="16.5" x14ac:dyDescent="0.45">
      <c r="J341" t="s">
        <v>779</v>
      </c>
      <c r="K341" s="14" t="s">
        <v>338</v>
      </c>
      <c r="L341" s="6" t="str">
        <f t="shared" si="5"/>
        <v>MB</v>
      </c>
      <c r="M341" s="7" t="s">
        <v>1126</v>
      </c>
    </row>
    <row r="342" spans="10:13" ht="16.5" x14ac:dyDescent="0.45">
      <c r="J342" t="s">
        <v>779</v>
      </c>
      <c r="K342" s="14" t="s">
        <v>339</v>
      </c>
      <c r="L342" s="6" t="str">
        <f t="shared" si="5"/>
        <v>MC</v>
      </c>
      <c r="M342" s="7" t="s">
        <v>1127</v>
      </c>
    </row>
    <row r="343" spans="10:13" ht="16.5" x14ac:dyDescent="0.45">
      <c r="J343" t="s">
        <v>779</v>
      </c>
      <c r="K343" s="14" t="s">
        <v>340</v>
      </c>
      <c r="L343" s="6" t="str">
        <f t="shared" si="5"/>
        <v>MD</v>
      </c>
      <c r="M343" s="7" t="s">
        <v>1128</v>
      </c>
    </row>
    <row r="344" spans="10:13" ht="16.5" x14ac:dyDescent="0.45">
      <c r="J344" t="s">
        <v>779</v>
      </c>
      <c r="K344" s="14" t="s">
        <v>341</v>
      </c>
      <c r="L344" s="6" t="str">
        <f t="shared" si="5"/>
        <v>ME</v>
      </c>
      <c r="M344" s="7" t="s">
        <v>1129</v>
      </c>
    </row>
    <row r="345" spans="10:13" ht="16.5" x14ac:dyDescent="0.45">
      <c r="J345" t="s">
        <v>779</v>
      </c>
      <c r="K345" s="14" t="s">
        <v>342</v>
      </c>
      <c r="L345" s="6" t="str">
        <f t="shared" si="5"/>
        <v>MF</v>
      </c>
      <c r="M345" s="7" t="s">
        <v>1130</v>
      </c>
    </row>
    <row r="346" spans="10:13" ht="16.5" x14ac:dyDescent="0.45">
      <c r="J346" t="s">
        <v>779</v>
      </c>
      <c r="K346" s="14" t="s">
        <v>343</v>
      </c>
      <c r="L346" s="6" t="str">
        <f t="shared" si="5"/>
        <v>MG</v>
      </c>
      <c r="M346" s="7" t="s">
        <v>1131</v>
      </c>
    </row>
    <row r="347" spans="10:13" ht="16.5" x14ac:dyDescent="0.45">
      <c r="J347" t="s">
        <v>779</v>
      </c>
      <c r="K347" s="14" t="s">
        <v>344</v>
      </c>
      <c r="L347" s="6" t="str">
        <f t="shared" si="5"/>
        <v>MH</v>
      </c>
      <c r="M347" s="7" t="s">
        <v>1132</v>
      </c>
    </row>
    <row r="348" spans="10:13" ht="16.5" x14ac:dyDescent="0.45">
      <c r="J348" t="s">
        <v>779</v>
      </c>
      <c r="K348" s="14" t="s">
        <v>345</v>
      </c>
      <c r="L348" s="6" t="str">
        <f t="shared" si="5"/>
        <v>MI</v>
      </c>
      <c r="M348" s="7" t="s">
        <v>1133</v>
      </c>
    </row>
    <row r="349" spans="10:13" ht="16.5" x14ac:dyDescent="0.45">
      <c r="J349" t="s">
        <v>779</v>
      </c>
      <c r="K349" s="14" t="s">
        <v>346</v>
      </c>
      <c r="L349" s="6" t="str">
        <f t="shared" si="5"/>
        <v>MJ</v>
      </c>
      <c r="M349" s="7" t="s">
        <v>1134</v>
      </c>
    </row>
    <row r="350" spans="10:13" ht="16.5" x14ac:dyDescent="0.45">
      <c r="J350" t="s">
        <v>779</v>
      </c>
      <c r="K350" s="14" t="s">
        <v>347</v>
      </c>
      <c r="L350" s="6" t="str">
        <f t="shared" si="5"/>
        <v>MK</v>
      </c>
      <c r="M350" s="7" t="s">
        <v>1135</v>
      </c>
    </row>
    <row r="351" spans="10:13" ht="16.5" x14ac:dyDescent="0.45">
      <c r="J351" t="s">
        <v>779</v>
      </c>
      <c r="K351" s="14" t="s">
        <v>348</v>
      </c>
      <c r="L351" s="6" t="str">
        <f t="shared" si="5"/>
        <v>ML</v>
      </c>
      <c r="M351" s="7" t="s">
        <v>1136</v>
      </c>
    </row>
    <row r="352" spans="10:13" ht="16.5" x14ac:dyDescent="0.45">
      <c r="J352" t="s">
        <v>779</v>
      </c>
      <c r="K352" s="14" t="s">
        <v>349</v>
      </c>
      <c r="L352" s="6" t="str">
        <f t="shared" si="5"/>
        <v>MM</v>
      </c>
      <c r="M352" s="7" t="s">
        <v>1137</v>
      </c>
    </row>
    <row r="353" spans="10:13" ht="16.5" x14ac:dyDescent="0.45">
      <c r="J353" t="s">
        <v>779</v>
      </c>
      <c r="K353" s="14" t="s">
        <v>350</v>
      </c>
      <c r="L353" s="6" t="str">
        <f t="shared" si="5"/>
        <v>MN</v>
      </c>
      <c r="M353" s="7" t="s">
        <v>1138</v>
      </c>
    </row>
    <row r="354" spans="10:13" ht="16.5" x14ac:dyDescent="0.45">
      <c r="J354" t="s">
        <v>779</v>
      </c>
      <c r="K354" s="14" t="s">
        <v>1139</v>
      </c>
      <c r="L354" s="6" t="str">
        <f t="shared" si="5"/>
        <v>MO</v>
      </c>
      <c r="M354" s="7" t="s">
        <v>1140</v>
      </c>
    </row>
    <row r="355" spans="10:13" ht="16.5" x14ac:dyDescent="0.45">
      <c r="J355" t="s">
        <v>779</v>
      </c>
      <c r="K355" s="14" t="s">
        <v>1141</v>
      </c>
      <c r="L355" s="6" t="str">
        <f t="shared" si="5"/>
        <v>MP</v>
      </c>
      <c r="M355" s="7" t="s">
        <v>1142</v>
      </c>
    </row>
    <row r="356" spans="10:13" ht="16.5" x14ac:dyDescent="0.45">
      <c r="J356" t="s">
        <v>779</v>
      </c>
      <c r="K356" s="14" t="s">
        <v>1143</v>
      </c>
      <c r="L356" s="6" t="str">
        <f t="shared" si="5"/>
        <v>MQ</v>
      </c>
      <c r="M356" s="7" t="s">
        <v>1144</v>
      </c>
    </row>
    <row r="357" spans="10:13" ht="16.5" x14ac:dyDescent="0.45">
      <c r="J357" t="s">
        <v>779</v>
      </c>
      <c r="K357" s="14" t="s">
        <v>1145</v>
      </c>
      <c r="L357" s="6" t="str">
        <f t="shared" si="5"/>
        <v>MR</v>
      </c>
      <c r="M357" s="7" t="s">
        <v>1146</v>
      </c>
    </row>
    <row r="358" spans="10:13" ht="16.5" x14ac:dyDescent="0.45">
      <c r="J358" t="s">
        <v>779</v>
      </c>
      <c r="K358" s="14" t="s">
        <v>1143</v>
      </c>
      <c r="L358" s="6" t="str">
        <f t="shared" si="5"/>
        <v>MS</v>
      </c>
      <c r="M358" s="7" t="s">
        <v>1147</v>
      </c>
    </row>
    <row r="359" spans="10:13" ht="16.5" x14ac:dyDescent="0.45">
      <c r="J359" t="s">
        <v>779</v>
      </c>
      <c r="K359" s="14" t="s">
        <v>1148</v>
      </c>
      <c r="L359" s="6" t="str">
        <f t="shared" si="5"/>
        <v>MT</v>
      </c>
      <c r="M359" s="7" t="s">
        <v>1149</v>
      </c>
    </row>
    <row r="360" spans="10:13" ht="16.5" x14ac:dyDescent="0.45">
      <c r="J360" t="s">
        <v>779</v>
      </c>
      <c r="K360" s="14" t="s">
        <v>1150</v>
      </c>
      <c r="L360" s="6" t="str">
        <f t="shared" si="5"/>
        <v>MU</v>
      </c>
      <c r="M360" s="7" t="s">
        <v>1151</v>
      </c>
    </row>
    <row r="361" spans="10:13" ht="16.5" x14ac:dyDescent="0.45">
      <c r="J361" t="s">
        <v>779</v>
      </c>
      <c r="K361" s="14" t="s">
        <v>1152</v>
      </c>
      <c r="L361" s="6" t="str">
        <f t="shared" si="5"/>
        <v>MV</v>
      </c>
      <c r="M361" s="7" t="s">
        <v>1153</v>
      </c>
    </row>
    <row r="362" spans="10:13" ht="16.5" x14ac:dyDescent="0.45">
      <c r="J362" t="s">
        <v>779</v>
      </c>
      <c r="K362" s="14" t="s">
        <v>1154</v>
      </c>
      <c r="L362" s="6" t="str">
        <f t="shared" si="5"/>
        <v>MW</v>
      </c>
      <c r="M362" s="7" t="s">
        <v>1155</v>
      </c>
    </row>
    <row r="363" spans="10:13" ht="16.5" x14ac:dyDescent="0.45">
      <c r="J363" t="s">
        <v>779</v>
      </c>
      <c r="K363" s="14" t="s">
        <v>1156</v>
      </c>
      <c r="L363" s="6" t="str">
        <f t="shared" si="5"/>
        <v>MX</v>
      </c>
      <c r="M363" s="7" t="s">
        <v>1157</v>
      </c>
    </row>
    <row r="364" spans="10:13" ht="16.5" x14ac:dyDescent="0.45">
      <c r="J364" t="s">
        <v>779</v>
      </c>
      <c r="K364" s="14" t="s">
        <v>1158</v>
      </c>
      <c r="L364" s="6" t="str">
        <f t="shared" si="5"/>
        <v>MY</v>
      </c>
      <c r="M364" s="7" t="s">
        <v>1159</v>
      </c>
    </row>
    <row r="365" spans="10:13" ht="16.5" x14ac:dyDescent="0.45">
      <c r="J365" t="s">
        <v>779</v>
      </c>
      <c r="K365" s="14" t="s">
        <v>1160</v>
      </c>
      <c r="L365" s="6" t="str">
        <f t="shared" si="5"/>
        <v>MZ</v>
      </c>
      <c r="M365" s="7" t="s">
        <v>1161</v>
      </c>
    </row>
    <row r="366" spans="10:13" ht="16.5" x14ac:dyDescent="0.45">
      <c r="J366" t="s">
        <v>779</v>
      </c>
      <c r="K366" s="14" t="s">
        <v>1162</v>
      </c>
      <c r="L366" s="6" t="str">
        <f t="shared" si="5"/>
        <v>NA</v>
      </c>
      <c r="M366" s="7" t="s">
        <v>1163</v>
      </c>
    </row>
    <row r="367" spans="10:13" ht="16.5" x14ac:dyDescent="0.45">
      <c r="J367" t="s">
        <v>779</v>
      </c>
      <c r="K367" s="14" t="s">
        <v>1164</v>
      </c>
      <c r="L367" s="6" t="str">
        <f t="shared" si="5"/>
        <v>NB</v>
      </c>
      <c r="M367" s="7" t="s">
        <v>1165</v>
      </c>
    </row>
    <row r="368" spans="10:13" ht="16.5" x14ac:dyDescent="0.45">
      <c r="J368" t="s">
        <v>779</v>
      </c>
      <c r="K368" s="14" t="s">
        <v>1166</v>
      </c>
      <c r="L368" s="6" t="str">
        <f t="shared" si="5"/>
        <v>NC</v>
      </c>
      <c r="M368" s="7" t="s">
        <v>1167</v>
      </c>
    </row>
    <row r="369" spans="10:13" ht="16.5" x14ac:dyDescent="0.45">
      <c r="J369" t="s">
        <v>779</v>
      </c>
      <c r="K369" s="14" t="s">
        <v>1168</v>
      </c>
      <c r="L369" s="6" t="str">
        <f t="shared" si="5"/>
        <v>ND</v>
      </c>
      <c r="M369" s="7" t="s">
        <v>1169</v>
      </c>
    </row>
    <row r="370" spans="10:13" ht="16.5" x14ac:dyDescent="0.45">
      <c r="J370" t="s">
        <v>779</v>
      </c>
      <c r="K370" s="14" t="s">
        <v>1170</v>
      </c>
      <c r="L370" s="6" t="str">
        <f t="shared" si="5"/>
        <v>NE</v>
      </c>
      <c r="M370" s="7" t="s">
        <v>1171</v>
      </c>
    </row>
    <row r="371" spans="10:13" ht="16.5" x14ac:dyDescent="0.45">
      <c r="J371" t="s">
        <v>779</v>
      </c>
      <c r="K371" s="14" t="s">
        <v>1172</v>
      </c>
      <c r="L371" s="6" t="str">
        <f t="shared" si="5"/>
        <v>NF</v>
      </c>
      <c r="M371" s="7" t="s">
        <v>1173</v>
      </c>
    </row>
    <row r="372" spans="10:13" ht="16.5" x14ac:dyDescent="0.45">
      <c r="J372" t="s">
        <v>779</v>
      </c>
      <c r="K372" s="14" t="s">
        <v>1139</v>
      </c>
      <c r="L372" s="6" t="str">
        <f t="shared" si="5"/>
        <v>NG</v>
      </c>
      <c r="M372" s="7" t="s">
        <v>1174</v>
      </c>
    </row>
    <row r="373" spans="10:13" ht="16.5" x14ac:dyDescent="0.45">
      <c r="J373" t="s">
        <v>779</v>
      </c>
      <c r="K373" s="14" t="s">
        <v>1175</v>
      </c>
      <c r="L373" s="6" t="str">
        <f t="shared" si="5"/>
        <v>NH</v>
      </c>
      <c r="M373" s="7" t="s">
        <v>1176</v>
      </c>
    </row>
    <row r="374" spans="10:13" ht="16.5" x14ac:dyDescent="0.45">
      <c r="J374" t="s">
        <v>779</v>
      </c>
      <c r="K374" s="14" t="s">
        <v>1177</v>
      </c>
      <c r="L374" s="6" t="str">
        <f t="shared" si="5"/>
        <v>NI</v>
      </c>
      <c r="M374" s="7" t="s">
        <v>1178</v>
      </c>
    </row>
    <row r="375" spans="10:13" ht="16.5" x14ac:dyDescent="0.45">
      <c r="J375" t="s">
        <v>779</v>
      </c>
      <c r="K375" s="14" t="s">
        <v>1179</v>
      </c>
      <c r="L375" s="6" t="str">
        <f t="shared" si="5"/>
        <v>NJ</v>
      </c>
      <c r="M375" s="7" t="s">
        <v>1180</v>
      </c>
    </row>
    <row r="376" spans="10:13" ht="16.5" x14ac:dyDescent="0.45">
      <c r="J376" t="s">
        <v>779</v>
      </c>
      <c r="K376" s="14" t="s">
        <v>1181</v>
      </c>
      <c r="L376" s="6" t="str">
        <f t="shared" si="5"/>
        <v>NK</v>
      </c>
      <c r="M376" s="7" t="s">
        <v>1182</v>
      </c>
    </row>
    <row r="377" spans="10:13" ht="16.5" x14ac:dyDescent="0.45">
      <c r="J377" t="s">
        <v>779</v>
      </c>
      <c r="K377" s="14" t="s">
        <v>1183</v>
      </c>
      <c r="L377" s="6" t="str">
        <f t="shared" si="5"/>
        <v>NL</v>
      </c>
      <c r="M377" s="7" t="s">
        <v>1184</v>
      </c>
    </row>
    <row r="378" spans="10:13" ht="16.5" x14ac:dyDescent="0.45">
      <c r="J378" t="s">
        <v>779</v>
      </c>
      <c r="K378" s="14" t="s">
        <v>1185</v>
      </c>
      <c r="L378" s="6" t="str">
        <f t="shared" si="5"/>
        <v>NM</v>
      </c>
      <c r="M378" s="7" t="s">
        <v>1186</v>
      </c>
    </row>
    <row r="379" spans="10:13" ht="16.5" x14ac:dyDescent="0.45">
      <c r="J379" t="s">
        <v>779</v>
      </c>
      <c r="K379" s="14" t="s">
        <v>1187</v>
      </c>
      <c r="L379" s="6" t="str">
        <f t="shared" si="5"/>
        <v>NN</v>
      </c>
      <c r="M379" s="7" t="s">
        <v>1188</v>
      </c>
    </row>
    <row r="380" spans="10:13" ht="16.5" x14ac:dyDescent="0.45">
      <c r="J380" t="s">
        <v>779</v>
      </c>
      <c r="K380" s="14" t="s">
        <v>1189</v>
      </c>
      <c r="L380" s="6" t="str">
        <f t="shared" si="5"/>
        <v>NO</v>
      </c>
      <c r="M380" s="7" t="s">
        <v>1190</v>
      </c>
    </row>
    <row r="381" spans="10:13" ht="16.5" x14ac:dyDescent="0.45">
      <c r="J381" t="s">
        <v>779</v>
      </c>
      <c r="K381" s="14" t="s">
        <v>1191</v>
      </c>
      <c r="L381" s="6" t="str">
        <f t="shared" si="5"/>
        <v>NP</v>
      </c>
      <c r="M381" s="7" t="s">
        <v>1192</v>
      </c>
    </row>
    <row r="382" spans="10:13" ht="16.5" x14ac:dyDescent="0.45">
      <c r="J382" t="s">
        <v>779</v>
      </c>
      <c r="K382" s="14" t="s">
        <v>1193</v>
      </c>
      <c r="L382" s="6" t="str">
        <f t="shared" si="5"/>
        <v>NQ</v>
      </c>
      <c r="M382" s="7" t="s">
        <v>1194</v>
      </c>
    </row>
    <row r="383" spans="10:13" ht="16.5" x14ac:dyDescent="0.45">
      <c r="J383" t="s">
        <v>779</v>
      </c>
      <c r="K383" s="29" t="s">
        <v>1195</v>
      </c>
      <c r="L383" s="30" t="str">
        <f t="shared" si="5"/>
        <v>NR</v>
      </c>
      <c r="M383" s="31" t="s">
        <v>1196</v>
      </c>
    </row>
    <row r="384" spans="10:13" ht="15.75" customHeight="1" x14ac:dyDescent="0.25">
      <c r="J384" s="26" t="s">
        <v>779</v>
      </c>
      <c r="K384" s="32" t="s">
        <v>1197</v>
      </c>
      <c r="L384" s="26"/>
      <c r="M384" s="26"/>
    </row>
    <row r="385" spans="10:13" ht="15.75" customHeight="1" x14ac:dyDescent="0.25">
      <c r="J385" s="33" t="s">
        <v>779</v>
      </c>
      <c r="K385" s="34" t="s">
        <v>1198</v>
      </c>
      <c r="L385" s="33"/>
      <c r="M385" s="33"/>
    </row>
    <row r="386" spans="10:13" ht="15.75" customHeight="1" x14ac:dyDescent="0.3">
      <c r="J386" s="36" t="s">
        <v>775</v>
      </c>
      <c r="K386" s="35" t="s">
        <v>1199</v>
      </c>
      <c r="L386" s="35"/>
      <c r="M386" s="35"/>
    </row>
  </sheetData>
  <conditionalFormatting sqref="J1:J1048576">
    <cfRule type="cellIs" dxfId="1194" priority="1" operator="equal">
      <formula>"C"</formula>
    </cfRule>
    <cfRule type="cellIs" dxfId="1193" priority="2" operator="equal">
      <formula>"B"</formula>
    </cfRule>
    <cfRule type="cellIs" dxfId="1192" priority="3" operator="equal">
      <formula>"A"</formula>
    </cfRule>
  </conditionalFormatting>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6CF1B-FABB-4C78-8CF8-060362CF2C71}">
  <sheetPr codeName="Sheet9"/>
  <dimension ref="A1:D10"/>
  <sheetViews>
    <sheetView workbookViewId="0">
      <selection activeCell="B11" sqref="B11"/>
    </sheetView>
  </sheetViews>
  <sheetFormatPr defaultRowHeight="12.5" x14ac:dyDescent="0.25"/>
  <cols>
    <col min="1" max="1" width="19.7265625" bestFit="1" customWidth="1"/>
    <col min="2" max="2" width="19.453125" bestFit="1" customWidth="1"/>
    <col min="3" max="3" width="20.26953125" bestFit="1" customWidth="1"/>
    <col min="4" max="4" width="18.26953125" bestFit="1" customWidth="1"/>
  </cols>
  <sheetData>
    <row r="1" spans="1:4" ht="25.5" customHeight="1" x14ac:dyDescent="0.3">
      <c r="A1" s="27" t="s">
        <v>1200</v>
      </c>
      <c r="B1" s="2" t="s">
        <v>1201</v>
      </c>
      <c r="C1" s="2" t="s">
        <v>1202</v>
      </c>
      <c r="D1" s="2" t="s">
        <v>1203</v>
      </c>
    </row>
    <row r="2" spans="1:4" x14ac:dyDescent="0.25">
      <c r="A2" t="s">
        <v>1204</v>
      </c>
      <c r="B2" t="s">
        <v>1205</v>
      </c>
      <c r="D2" t="s">
        <v>1206</v>
      </c>
    </row>
    <row r="3" spans="1:4" x14ac:dyDescent="0.25">
      <c r="A3" s="25" t="s">
        <v>1207</v>
      </c>
      <c r="D3" t="s">
        <v>1208</v>
      </c>
    </row>
    <row r="4" spans="1:4" x14ac:dyDescent="0.25">
      <c r="A4" t="s">
        <v>1209</v>
      </c>
      <c r="D4" t="s">
        <v>1210</v>
      </c>
    </row>
    <row r="5" spans="1:4" ht="14.5" x14ac:dyDescent="0.35">
      <c r="A5" s="28" t="s">
        <v>1211</v>
      </c>
      <c r="D5" t="s">
        <v>1212</v>
      </c>
    </row>
    <row r="6" spans="1:4" x14ac:dyDescent="0.25">
      <c r="A6" s="38" t="s">
        <v>1213</v>
      </c>
      <c r="D6" t="s">
        <v>1214</v>
      </c>
    </row>
    <row r="7" spans="1:4" x14ac:dyDescent="0.25">
      <c r="A7" s="38" t="s">
        <v>1215</v>
      </c>
      <c r="D7" t="s">
        <v>1216</v>
      </c>
    </row>
    <row r="8" spans="1:4" x14ac:dyDescent="0.25">
      <c r="A8" t="s">
        <v>1217</v>
      </c>
      <c r="D8" t="s">
        <v>1218</v>
      </c>
    </row>
    <row r="9" spans="1:4" x14ac:dyDescent="0.25">
      <c r="D9" t="s">
        <v>1219</v>
      </c>
    </row>
    <row r="10" spans="1:4" x14ac:dyDescent="0.25">
      <c r="D10" t="s">
        <v>1220</v>
      </c>
    </row>
  </sheetData>
  <sortState xmlns:xlrd2="http://schemas.microsoft.com/office/spreadsheetml/2017/richdata2" ref="D2:D9">
    <sortCondition ref="D2:D9"/>
  </sortState>
  <pageMargins left="0.7" right="0.7" top="0.75" bottom="0.75" header="0.3" footer="0.3"/>
</worksheet>
</file>

<file path=docMetadata/LabelInfo.xml><?xml version="1.0" encoding="utf-8"?>
<clbl:labelList xmlns:clbl="http://schemas.microsoft.com/office/2020/mipLabelMetadata">
  <clbl:label id="{bdeaeda8-c81d-45ce-863e-5232a535b7cb}" enabled="0" method="" siteId="{bdeaeda8-c81d-45ce-863e-5232a535b7c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Follow up (ship 1)</vt:lpstr>
      <vt:lpstr>Supplementary (ship 1)</vt:lpstr>
      <vt:lpstr>Follow up (ship 2)</vt:lpstr>
      <vt:lpstr>Supplementary (ship 2)</vt:lpstr>
      <vt:lpstr>Follow up (Ship 3)</vt:lpstr>
      <vt:lpstr>Ship 3 anonymized</vt:lpstr>
      <vt:lpstr>Supplementary (ship 3)</vt:lpstr>
      <vt:lpstr>Calculations &amp; Lists</vt:lpstr>
      <vt:lpstr>Treatments</vt:lpstr>
    </vt:vector>
  </TitlesOfParts>
  <Manager/>
  <Company>University of Leeds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Clare Freer</dc:creator>
  <cp:keywords/>
  <dc:description/>
  <cp:lastModifiedBy>Ahmad Ammash</cp:lastModifiedBy>
  <cp:revision/>
  <dcterms:created xsi:type="dcterms:W3CDTF">2022-11-11T10:11:47Z</dcterms:created>
  <dcterms:modified xsi:type="dcterms:W3CDTF">2026-10-22T09:45:58Z</dcterms:modified>
  <cp:category/>
  <cp:contentStatus/>
</cp:coreProperties>
</file>