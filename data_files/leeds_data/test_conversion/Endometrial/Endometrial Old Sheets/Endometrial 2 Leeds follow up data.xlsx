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tables/table2.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codeName="ThisWorkbook"/>
  <mc:AlternateContent xmlns:mc="http://schemas.openxmlformats.org/markup-compatibility/2006">
    <mc:Choice Requires="x15">
      <x15ac:absPath xmlns:x15ac="http://schemas.microsoft.com/office/spreadsheetml/2010/11/ac" url="https://leeds365-my.sharepoint.com/personal/medaamm_leeds_ac_uk/Documents/UOL Data Manager/database_management/data_files/leeds_data/test_conversion/Endometrial/Endometrial Old Sheets/"/>
    </mc:Choice>
  </mc:AlternateContent>
  <xr:revisionPtr revIDLastSave="4546" documentId="13_ncr:1_{0B6FB1E5-2E64-4C6D-9364-B9B6B108584C}" xr6:coauthVersionLast="47" xr6:coauthVersionMax="47" xr10:uidLastSave="{04FE10BF-3212-487F-957E-6A5C5DC4F00D}"/>
  <bookViews>
    <workbookView xWindow="-110" yWindow="-110" windowWidth="38620" windowHeight="21820" activeTab="5" xr2:uid="{00000000-000D-0000-FFFF-FFFF00000000}"/>
  </bookViews>
  <sheets>
    <sheet name="MMR proficient" sheetId="1" r:id="rId1"/>
    <sheet name="Proficient anonymized" sheetId="7" r:id="rId2"/>
    <sheet name="Proficient supplementary" sheetId="5" r:id="rId3"/>
    <sheet name="MMR deficient" sheetId="4" r:id="rId4"/>
    <sheet name="Deficient anonymized" sheetId="8" r:id="rId5"/>
    <sheet name="Deficient supplementary" sheetId="6" r:id="rId6"/>
    <sheet name="Calculations &amp; Lists" sheetId="2" r:id="rId7"/>
    <sheet name="Treatments" sheetId="3"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3" i="8" l="1"/>
  <c r="AC4" i="8"/>
  <c r="AC5" i="8"/>
  <c r="AC6" i="8"/>
  <c r="AC7" i="8"/>
  <c r="AC8" i="8"/>
  <c r="AC9" i="8"/>
  <c r="AC10" i="8"/>
  <c r="AC11" i="8"/>
  <c r="AC12" i="8"/>
  <c r="AC13" i="8"/>
  <c r="AC14" i="8"/>
  <c r="AC15" i="8"/>
  <c r="AC16" i="8"/>
  <c r="AC17" i="8"/>
  <c r="AC18" i="8"/>
  <c r="AC19" i="8"/>
  <c r="AC20" i="8"/>
  <c r="AC21" i="8"/>
  <c r="AC22" i="8"/>
  <c r="AC23" i="8"/>
  <c r="AC24" i="8"/>
  <c r="AC25" i="8"/>
  <c r="AC26" i="8"/>
  <c r="AC27" i="8"/>
  <c r="AC28" i="8"/>
  <c r="AC29" i="8"/>
  <c r="AC30" i="8"/>
  <c r="AC31" i="8"/>
  <c r="AC32" i="8"/>
  <c r="AC33" i="8"/>
  <c r="AC34" i="8"/>
  <c r="AC35" i="8"/>
  <c r="AC36" i="8"/>
  <c r="AC37" i="8"/>
  <c r="AC38" i="8"/>
  <c r="AC39" i="8"/>
  <c r="AC40" i="8"/>
  <c r="AC41" i="8"/>
  <c r="AC42" i="8"/>
  <c r="AC43" i="8"/>
  <c r="AC2" i="8"/>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2"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2" i="8"/>
  <c r="AC3" i="7"/>
  <c r="AC4" i="7"/>
  <c r="AC5" i="7"/>
  <c r="AC6" i="7"/>
  <c r="AC7" i="7"/>
  <c r="AC8" i="7"/>
  <c r="AC9" i="7"/>
  <c r="AC10" i="7"/>
  <c r="AC11" i="7"/>
  <c r="AC12" i="7"/>
  <c r="AC13" i="7"/>
  <c r="AC14" i="7"/>
  <c r="AC15" i="7"/>
  <c r="AC16" i="7"/>
  <c r="AC17" i="7"/>
  <c r="AC18" i="7"/>
  <c r="AC19" i="7"/>
  <c r="AC20" i="7"/>
  <c r="AC21" i="7"/>
  <c r="AC22" i="7"/>
  <c r="AC23" i="7"/>
  <c r="AC24" i="7"/>
  <c r="AC25" i="7"/>
  <c r="AC26" i="7"/>
  <c r="AC27" i="7"/>
  <c r="AC28" i="7"/>
  <c r="AC29" i="7"/>
  <c r="AC30" i="7"/>
  <c r="AC31" i="7"/>
  <c r="AC32" i="7"/>
  <c r="AC33" i="7"/>
  <c r="AC34" i="7"/>
  <c r="AC35" i="7"/>
  <c r="AC36" i="7"/>
  <c r="AC37" i="7"/>
  <c r="AC38" i="7"/>
  <c r="AC39" i="7"/>
  <c r="AC40" i="7"/>
  <c r="AC41" i="7"/>
  <c r="AC42" i="7"/>
  <c r="AC43" i="7"/>
  <c r="AC44" i="7"/>
  <c r="AC45" i="7"/>
  <c r="AC46" i="7"/>
  <c r="AC47" i="7"/>
  <c r="AC2"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2" i="7"/>
  <c r="AE4" i="1"/>
  <c r="AE5" i="1"/>
  <c r="AE6" i="1"/>
  <c r="AE7" i="1"/>
  <c r="AE8" i="1"/>
  <c r="AE4" i="4"/>
  <c r="AE5" i="4"/>
  <c r="AE6" i="4"/>
  <c r="AE7" i="4"/>
  <c r="AE45" i="4"/>
  <c r="AE44" i="4"/>
  <c r="AE43" i="4"/>
  <c r="AE42" i="4"/>
  <c r="AE41" i="4"/>
  <c r="AE40" i="4"/>
  <c r="AE39" i="4"/>
  <c r="AE38" i="4"/>
  <c r="AE37" i="4"/>
  <c r="AE36" i="4"/>
  <c r="AE35" i="4"/>
  <c r="AE34" i="4"/>
  <c r="AE33" i="4"/>
  <c r="AE32" i="4"/>
  <c r="AE31" i="4"/>
  <c r="AE30" i="4"/>
  <c r="AE29" i="4"/>
  <c r="AE28" i="4"/>
  <c r="AE27" i="4"/>
  <c r="AE26" i="4"/>
  <c r="AE25" i="4"/>
  <c r="AE24" i="4"/>
  <c r="AE23" i="4"/>
  <c r="AE22" i="4"/>
  <c r="AE21" i="4"/>
  <c r="AE20" i="4"/>
  <c r="AE19" i="4"/>
  <c r="AE18" i="4"/>
  <c r="AE17" i="4"/>
  <c r="AE16" i="4"/>
  <c r="AE15" i="4"/>
  <c r="AE14" i="4"/>
  <c r="AE13" i="4"/>
  <c r="AE12" i="4"/>
  <c r="AE11" i="4"/>
  <c r="AE10" i="4"/>
  <c r="AE9" i="4"/>
  <c r="NX8" i="4"/>
  <c r="NT8" i="4"/>
  <c r="NS8" i="4"/>
  <c r="NR8" i="4"/>
  <c r="NP8" i="4"/>
  <c r="NO8" i="4"/>
  <c r="NN8" i="4"/>
  <c r="NM8" i="4"/>
  <c r="NL8" i="4"/>
  <c r="NK8" i="4"/>
  <c r="NJ8" i="4"/>
  <c r="NI8" i="4"/>
  <c r="NH8" i="4"/>
  <c r="NG8" i="4"/>
  <c r="NF8" i="4"/>
  <c r="NE8" i="4"/>
  <c r="ND8" i="4"/>
  <c r="NC8" i="4"/>
  <c r="NB8" i="4"/>
  <c r="NA8" i="4"/>
  <c r="MZ8" i="4"/>
  <c r="MY8" i="4"/>
  <c r="MX8" i="4"/>
  <c r="MW8" i="4"/>
  <c r="MV8" i="4"/>
  <c r="MU8" i="4"/>
  <c r="MT8" i="4"/>
  <c r="MS8" i="4"/>
  <c r="MR8" i="4"/>
  <c r="MQ8" i="4"/>
  <c r="MP8" i="4"/>
  <c r="MO8" i="4"/>
  <c r="MN8" i="4"/>
  <c r="MM8" i="4"/>
  <c r="ML8" i="4"/>
  <c r="MK8" i="4"/>
  <c r="MJ8" i="4"/>
  <c r="MI8" i="4"/>
  <c r="MH8" i="4"/>
  <c r="MG8" i="4"/>
  <c r="MF8" i="4"/>
  <c r="ME8" i="4"/>
  <c r="MD8" i="4"/>
  <c r="MC8" i="4"/>
  <c r="MB8" i="4"/>
  <c r="MA8" i="4"/>
  <c r="LZ8" i="4"/>
  <c r="LY8" i="4"/>
  <c r="LX8" i="4"/>
  <c r="NQ8" i="4" s="1"/>
  <c r="LW8" i="4"/>
  <c r="LV8" i="4"/>
  <c r="LU8" i="4"/>
  <c r="LT8" i="4"/>
  <c r="LS8" i="4"/>
  <c r="LR8" i="4"/>
  <c r="LQ8" i="4"/>
  <c r="LP8" i="4"/>
  <c r="LO8" i="4"/>
  <c r="LN8" i="4"/>
  <c r="LM8" i="4"/>
  <c r="LL8" i="4"/>
  <c r="LK8" i="4"/>
  <c r="LJ8" i="4"/>
  <c r="LI8" i="4"/>
  <c r="LH8" i="4"/>
  <c r="LG8" i="4"/>
  <c r="LF8" i="4"/>
  <c r="LE8" i="4"/>
  <c r="LD8" i="4"/>
  <c r="LC8" i="4"/>
  <c r="LB8" i="4"/>
  <c r="LA8" i="4"/>
  <c r="KZ8" i="4"/>
  <c r="KY8" i="4"/>
  <c r="KX8" i="4"/>
  <c r="KW8" i="4"/>
  <c r="KV8" i="4"/>
  <c r="KU8" i="4"/>
  <c r="KT8" i="4"/>
  <c r="KS8" i="4"/>
  <c r="KR8" i="4"/>
  <c r="KQ8" i="4"/>
  <c r="KP8" i="4"/>
  <c r="KO8" i="4"/>
  <c r="KN8" i="4"/>
  <c r="KM8" i="4"/>
  <c r="KL8" i="4"/>
  <c r="KK8" i="4"/>
  <c r="KJ8" i="4"/>
  <c r="KI8" i="4"/>
  <c r="KH8" i="4"/>
  <c r="KG8" i="4"/>
  <c r="KF8" i="4"/>
  <c r="KE8" i="4"/>
  <c r="KD8" i="4"/>
  <c r="KC8" i="4"/>
  <c r="KB8" i="4"/>
  <c r="KA8" i="4"/>
  <c r="JZ8" i="4"/>
  <c r="JY8" i="4"/>
  <c r="JX8" i="4"/>
  <c r="JW8" i="4"/>
  <c r="JV8" i="4"/>
  <c r="JU8" i="4"/>
  <c r="AE8" i="4"/>
  <c r="AE10" i="1"/>
  <c r="AE11" i="1"/>
  <c r="AE12" i="1"/>
  <c r="AE13" i="1"/>
  <c r="AE14" i="1"/>
  <c r="AE15" i="1"/>
  <c r="AE16" i="1"/>
  <c r="AE17" i="1"/>
  <c r="AE23" i="1"/>
  <c r="AE18" i="1"/>
  <c r="AE19" i="1"/>
  <c r="AE20" i="1"/>
  <c r="AE21" i="1"/>
  <c r="AE22"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9" i="1"/>
  <c r="L5" i="2"/>
  <c r="L6" i="2"/>
  <c r="L7" i="2"/>
  <c r="L8" i="2"/>
  <c r="L9" i="2"/>
  <c r="L10" i="2"/>
  <c r="L11" i="2"/>
  <c r="L12" i="2"/>
  <c r="L13" i="2"/>
  <c r="L14"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4" i="2"/>
  <c r="NX9" i="1"/>
  <c r="NT9" i="1"/>
  <c r="NS9" i="1"/>
  <c r="NR9" i="1"/>
  <c r="NP9" i="1"/>
  <c r="NO9" i="1"/>
  <c r="NN9" i="1"/>
  <c r="NM9" i="1"/>
  <c r="NL9" i="1"/>
  <c r="NK9" i="1"/>
  <c r="NJ9" i="1"/>
  <c r="NI9" i="1"/>
  <c r="NH9" i="1"/>
  <c r="NG9" i="1"/>
  <c r="NF9" i="1"/>
  <c r="NE9" i="1"/>
  <c r="ND9" i="1"/>
  <c r="NC9" i="1"/>
  <c r="NB9" i="1"/>
  <c r="NA9" i="1"/>
  <c r="MZ9" i="1"/>
  <c r="MY9" i="1"/>
  <c r="MX9" i="1"/>
  <c r="MW9" i="1"/>
  <c r="MV9" i="1"/>
  <c r="MU9" i="1"/>
  <c r="MT9" i="1"/>
  <c r="MS9" i="1"/>
  <c r="MR9" i="1"/>
  <c r="MQ9" i="1"/>
  <c r="MP9" i="1"/>
  <c r="MO9" i="1"/>
  <c r="MN9" i="1"/>
  <c r="MM9" i="1"/>
  <c r="ML9" i="1"/>
  <c r="MK9" i="1"/>
  <c r="MJ9" i="1"/>
  <c r="MI9" i="1"/>
  <c r="MH9" i="1"/>
  <c r="MG9" i="1"/>
  <c r="MF9" i="1"/>
  <c r="ME9" i="1"/>
  <c r="MD9" i="1"/>
  <c r="MC9" i="1"/>
  <c r="MB9" i="1"/>
  <c r="MA9" i="1"/>
  <c r="LZ9" i="1"/>
  <c r="LY9" i="1"/>
  <c r="LX9" i="1"/>
  <c r="NQ9" i="1" s="1"/>
  <c r="LW9" i="1"/>
  <c r="LV9" i="1"/>
  <c r="LU9" i="1"/>
  <c r="LT9" i="1"/>
  <c r="LS9" i="1"/>
  <c r="LR9" i="1"/>
  <c r="LQ9" i="1"/>
  <c r="LP9" i="1"/>
  <c r="LO9" i="1"/>
  <c r="LN9" i="1"/>
  <c r="LM9" i="1"/>
  <c r="LL9" i="1"/>
  <c r="LK9" i="1"/>
  <c r="LJ9" i="1"/>
  <c r="LI9" i="1"/>
  <c r="LH9" i="1"/>
  <c r="LG9" i="1"/>
  <c r="LF9" i="1"/>
  <c r="LE9" i="1"/>
  <c r="LD9" i="1"/>
  <c r="LC9" i="1"/>
  <c r="LB9" i="1"/>
  <c r="LA9" i="1"/>
  <c r="KZ9" i="1"/>
  <c r="KY9" i="1"/>
  <c r="KX9" i="1"/>
  <c r="KW9" i="1"/>
  <c r="KV9" i="1"/>
  <c r="KU9" i="1"/>
  <c r="KT9" i="1"/>
  <c r="KR9" i="1"/>
  <c r="KQ9" i="1"/>
  <c r="KP9" i="1"/>
  <c r="KO9" i="1"/>
  <c r="KN9" i="1"/>
  <c r="KM9" i="1"/>
  <c r="KL9" i="1"/>
  <c r="KK9" i="1"/>
  <c r="KJ9" i="1"/>
  <c r="KI9" i="1"/>
  <c r="KH9" i="1"/>
  <c r="KG9" i="1"/>
  <c r="KF9" i="1"/>
  <c r="KE9" i="1"/>
  <c r="KD9" i="1"/>
  <c r="KC9" i="1"/>
  <c r="KB9" i="1"/>
  <c r="KA9" i="1"/>
  <c r="JZ9" i="1"/>
  <c r="JY9" i="1"/>
  <c r="JX9" i="1"/>
  <c r="JW9" i="1"/>
  <c r="JV9" i="1"/>
  <c r="JU9" i="1"/>
  <c r="KS9" i="1"/>
  <c r="NW8" i="4" l="1"/>
  <c r="NZ8" i="4" s="1"/>
  <c r="NV8" i="4" a="1"/>
  <c r="NY8" i="4"/>
  <c r="NU8" i="4"/>
  <c r="NW9" i="1"/>
  <c r="NZ9" i="1" s="1"/>
  <c r="NV9" i="1" a="1"/>
  <c r="NY9" i="1"/>
  <c r="NU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tc={93DA5552-99E8-4A8A-B0EA-4307C3D928E0}</author>
    <author>tc={1F0A4C0D-D2F1-45F5-A2C7-93F48AFFE38E}</author>
    <author>tc={7B2265CD-0C12-40BB-97B9-27A05239D2DE}</author>
    <author>tc={28CEBB19-C70E-4D56-89C2-369B86EF73F5}</author>
    <author>tc={D4FE840D-3E16-4D22-ACA4-43BE295A3332}</author>
    <author>tc={28DB8576-656F-4111-B3C7-09DB6D6B82A9}</author>
    <author>tc={99E53430-5057-47E0-9CC6-12D094526C38}</author>
    <author>tc={CE44C29A-100C-4D22-BB28-2A393812D484}</author>
    <author>tc={B09693BC-FAF7-4F44-B4ED-90D59B9DE3E1}</author>
    <author>tc={EFDCF5C6-4838-409A-9CF4-9CC33E58E1D7}</author>
    <author>tc={65B41FBF-67E7-40B2-9A5C-56503C6A54E1}</author>
    <author>tc={648A89C0-8F1E-48B4-B750-FBC0FE55E5F8}</author>
    <author>tc={69771B99-9142-4F22-9482-026ED10ED004}</author>
    <author>tc={1B4E59A0-2C00-44FD-8A3A-F6249BA8E510}</author>
    <author>tc={97116969-D480-48D8-8817-EA0A9DA3250E}</author>
    <author>tc={698F497F-C31D-4A5C-BFEA-A1E250A60096}</author>
    <author>tc={5FA56F82-1EA6-49F1-B52F-D69B233895DE}</author>
    <author>tc={8883D876-93FA-4F21-B9CE-ADCD978492EC}</author>
    <author>tc={F55335EA-D108-4866-B104-157F269173D9}</author>
    <author>tc={391D3AE6-C705-4460-92CD-A49A54F3C717}</author>
    <author>tc={70E906B4-014F-43BF-9EED-A0792182F54F}</author>
    <author>tc={8EFBDFBB-4375-4744-8000-0D85D73FC622}</author>
    <author>tc={F8427469-E294-4A22-BFEC-88D77C5E0827}</author>
    <author>tc={E1FB7766-36C0-4D7A-9AA7-C8A3ADD7BC0E}</author>
    <author>tc={D6DE0267-A0F6-4E9C-8C37-D03A167EABB4}</author>
    <author>tc={9ADDC1C7-80A8-41CD-9D0C-02DA36B5D562}</author>
    <author>tc={83EB4A6F-B0D1-46F1-9FE6-522EA504347D}</author>
    <author>tc={8EA4F894-777E-45FA-8199-431DC953CDFC}</author>
    <author>tc={9E1E1B84-BECF-4747-914D-8714FD837727}</author>
    <author>tc={B52D06FF-81C5-4AB5-AE2E-FC4F0C38741A}</author>
    <author>tc={DF19E145-7230-45C2-AD4E-70C98A36F12A}</author>
    <author>tc={CB0F4F19-2332-493A-8C96-4EF548002125}</author>
    <author>tc={7DE4D283-1AAC-4408-BCF7-D07DF65A2383}</author>
    <author>tc={42792310-EF43-472B-841A-02D802D41D3C}</author>
    <author>tc={FF2A4D6A-A573-4DE7-B594-BDE988A376A2}</author>
    <author>tc={F2253339-3D6D-40C2-A6B0-B53BA0DD058E}</author>
    <author>tc={A42AECCA-498F-4973-9A00-526254A51776}</author>
    <author>tc={E2CCF868-AC0F-482C-81E7-DE33BAE153C7}</author>
    <author>tc={23292E45-44C6-4F78-87F6-0F6624086618}</author>
  </authors>
  <commentList>
    <comment ref="C3" authorId="0" shapeId="0" xr:uid="{93DA5552-99E8-4A8A-B0EA-4307C3D928E0}">
      <text>
        <t>[Threaded comment]
Your version of Excel allows you to read this threaded comment; however, any edits to it will get removed if the file is opened in a newer version of Excel. Learn more: https://go.microsoft.com/fwlink/?linkid=870924
Comment:
    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
      </text>
    </comment>
    <comment ref="Q3" authorId="1" shapeId="0" xr:uid="{1F0A4C0D-D2F1-45F5-A2C7-93F48AFFE38E}">
      <text>
        <t>[Threaded comment]
Your version of Excel allows you to read this threaded comment; however, any edits to it will get removed if the file is opened in a newer version of Excel. Learn more: https://go.microsoft.com/fwlink/?linkid=870924
Comment:
    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
      </text>
    </comment>
    <comment ref="V3" authorId="2" shapeId="0" xr:uid="{7B2265CD-0C12-40BB-97B9-27A05239D2DE}">
      <text>
        <t>[Threaded comment]
Your version of Excel allows you to read this threaded comment; however, any edits to it will get removed if the file is opened in a newer version of Excel. Learn more: https://go.microsoft.com/fwlink/?linkid=870924
Comment:
    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
      </text>
    </comment>
    <comment ref="AA3" authorId="3" shapeId="0" xr:uid="{28CEBB19-C70E-4D56-89C2-369B86EF73F5}">
      <text>
        <t>[Threaded comment]
Your version of Excel allows you to read this threaded comment; however, any edits to it will get removed if the file is opened in a newer version of Excel. Learn more: https://go.microsoft.com/fwlink/?linkid=870924
Comment:
    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
      </text>
    </comment>
    <comment ref="AD3" authorId="4" shapeId="0" xr:uid="{D4FE840D-3E16-4D22-ACA4-43BE295A3332}">
      <text>
        <t>[Threaded comment]
Your version of Excel allows you to read this threaded comment; however, any edits to it will get removed if the file is opened in a newer version of Excel. Learn more: https://go.microsoft.com/fwlink/?linkid=870924
Comment:
    Date of first pathological confirmation (biopsy, resection etc)</t>
      </text>
    </comment>
    <comment ref="AG3" authorId="5" shapeId="0" xr:uid="{28DB8576-656F-4111-B3C7-09DB6D6B82A9}">
      <text>
        <t>[Threaded comment]
Your version of Excel allows you to read this threaded comment; however, any edits to it will get removed if the file is opened in a newer version of Excel. Learn more: https://go.microsoft.com/fwlink/?linkid=870924
Comment:
    Where information has come from - this specimen or the primary tumour if a recurrence. Specimen information can also be used if no information has been provided for the primary tumour</t>
      </text>
    </comment>
    <comment ref="AR3" authorId="6" shapeId="0" xr:uid="{99E53430-5057-47E0-9CC6-12D094526C38}">
      <text>
        <t>[Threaded comment]
Your version of Excel allows you to read this threaded comment; however, any edits to it will get removed if the file is opened in a newer version of Excel. Learn more: https://go.microsoft.com/fwlink/?linkid=870924
Comment:
    Specify type of treatment: Radiotherapy, Chemotherapy, Immunotherapy, Other. Other encompasses treatments such as hormone therapy.</t>
      </text>
    </comment>
    <comment ref="AS3" authorId="7" shapeId="0" xr:uid="{CE44C29A-100C-4D22-BB28-2A393812D484}">
      <text>
        <t>[Threaded comment]
Your version of Excel allows you to read this threaded comment; however, any edits to it will get removed if the file is opened in a newer version of Excel. Learn more: https://go.microsoft.com/fwlink/?linkid=870924
Comment:
    Specify name of agent used for treatment and number of cycles (if applicable) e.g. for chemotherapy: Cisplatin (4 cycles) or 40Gy in 15# for radiotherapy</t>
      </text>
    </comment>
    <comment ref="CP3" authorId="8" shapeId="0" xr:uid="{B09693BC-FAF7-4F44-B4ED-90D59B9DE3E1}">
      <text>
        <t>[Threaded comment]
Your version of Excel allows you to read this threaded comment; however, any edits to it will get removed if the file is opened in a newer version of Excel. Learn more: https://go.microsoft.com/fwlink/?linkid=870924
Comment:
    Specify type of treatment: Radiotherapy, Chemotherapy, Immunotherapy, Other. Other encompasses treatments such as hormone therapy.</t>
      </text>
    </comment>
    <comment ref="CQ3" authorId="9" shapeId="0" xr:uid="{EFDCF5C6-4838-409A-9CF4-9CC33E58E1D7}">
      <text>
        <t>[Threaded comment]
Your version of Excel allows you to read this threaded comment; however, any edits to it will get removed if the file is opened in a newer version of Excel. Learn more: https://go.microsoft.com/fwlink/?linkid=870924
Comment:
    Specify name of agent used for treatment and number of cycles (if applicable) e.g. for chemotherapy: Cisplatin (4 cycles) or 40Gy in 15# for radiotherapy</t>
      </text>
    </comment>
    <comment ref="GP3" authorId="10" shapeId="0" xr:uid="{65B41FBF-67E7-40B2-9A5C-56503C6A54E1}">
      <text>
        <t>[Threaded comment]
Your version of Excel allows you to read this threaded comment; however, any edits to it will get removed if the file is opened in a newer version of Excel. Learn more: https://go.microsoft.com/fwlink/?linkid=870924
Comment:
    Specify type of treatment: Radiotherapy, Chemotherapy, Immunotherapy, Other. Other encompasses treatments such as hormone therapy.</t>
      </text>
    </comment>
    <comment ref="GQ3" authorId="11" shapeId="0" xr:uid="{648A89C0-8F1E-48B4-B750-FBC0FE55E5F8}">
      <text>
        <t>[Threaded comment]
Your version of Excel allows you to read this threaded comment; however, any edits to it will get removed if the file is opened in a newer version of Excel. Learn more: https://go.microsoft.com/fwlink/?linkid=870924
Comment:
    Specify name of agent used for treatment and number of cycles (if applicable) e.g. for chemotherapy: Cisplatin (4 cycles) or 40Gy in 15# for radiotherapy</t>
      </text>
    </comment>
    <comment ref="F4" authorId="12" shapeId="0" xr:uid="{69771B99-9142-4F22-9482-026ED10ED004}">
      <text>
        <t>[Threaded comment]
Your version of Excel allows you to read this threaded comment; however, any edits to it will get removed if the file is opened in a newer version of Excel. Learn more: https://go.microsoft.com/fwlink/?linkid=870924
Comment:
    Not in path report</t>
      </text>
    </comment>
    <comment ref="G4" authorId="13" shapeId="0" xr:uid="{1B4E59A0-2C00-44FD-8A3A-F6249BA8E510}">
      <text>
        <t>[Threaded comment]
Your version of Excel allows you to read this threaded comment; however, any edits to it will get removed if the file is opened in a newer version of Excel. Learn more: https://go.microsoft.com/fwlink/?linkid=870924
Comment:
    Not in path report</t>
      </text>
    </comment>
    <comment ref="I4" authorId="14" shapeId="0" xr:uid="{97116969-D480-48D8-8817-EA0A9DA3250E}">
      <text>
        <t>[Threaded comment]
Your version of Excel allows you to read this threaded comment; however, any edits to it will get removed if the file is opened in a newer version of Excel. Learn more: https://go.microsoft.com/fwlink/?linkid=870924
Comment:
    sparse details but worked out surgery from the path specimen</t>
      </text>
    </comment>
    <comment ref="F5" authorId="15" shapeId="0" xr:uid="{698F497F-C31D-4A5C-BFEA-A1E250A60096}">
      <text>
        <t>[Threaded comment]
Your version of Excel allows you to read this threaded comment; however, any edits to it will get removed if the file is opened in a newer version of Excel. Learn more: https://go.microsoft.com/fwlink/?linkid=870924
Comment:
    Not in path report</t>
      </text>
    </comment>
    <comment ref="G5" authorId="16" shapeId="0" xr:uid="{5FA56F82-1EA6-49F1-B52F-D69B233895DE}">
      <text>
        <t>[Threaded comment]
Your version of Excel allows you to read this threaded comment; however, any edits to it will get removed if the file is opened in a newer version of Excel. Learn more: https://go.microsoft.com/fwlink/?linkid=870924
Comment:
    Not in path report</t>
      </text>
    </comment>
    <comment ref="J5" authorId="17" shapeId="0" xr:uid="{8883D876-93FA-4F21-B9CE-ADCD978492EC}">
      <text>
        <t>[Threaded comment]
Your version of Excel allows you to read this threaded comment; however, any edits to it will get removed if the file is opened in a newer version of Excel. Learn more: https://go.microsoft.com/fwlink/?linkid=870924
Comment:
    I am going to assume that the synchronous ovarian tumour was not selected as this would be a met. I will put endometrium/myometrium</t>
      </text>
    </comment>
    <comment ref="AJ8" authorId="18" shapeId="0" xr:uid="{F55335EA-D108-4866-B104-157F269173D9}">
      <text>
        <t>[Threaded comment]
Your version of Excel allows you to read this threaded comment; however, any edits to it will get removed if the file is opened in a newer version of Excel. Learn more: https://go.microsoft.com/fwlink/?linkid=870924
Comment:
    Lymph nodes not sampled so no pN</t>
      </text>
    </comment>
    <comment ref="J10" authorId="19" shapeId="0" xr:uid="{391D3AE6-C705-4460-92CD-A49A54F3C717}">
      <text>
        <t>[Threaded comment]
Your version of Excel allows you to read this threaded comment; however, any edits to it will get removed if the file is opened in a newer version of Excel. Learn more: https://go.microsoft.com/fwlink/?linkid=870924
Comment:
    stage IB so can only be in the endometrium and myometrium</t>
      </text>
    </comment>
    <comment ref="AJ10" authorId="20" shapeId="0" xr:uid="{70E906B4-014F-43BF-9EED-A0792182F54F}">
      <text>
        <t>[Threaded comment]
Your version of Excel allows you to read this threaded comment; however, any edits to it will get removed if the file is opened in a newer version of Excel. Learn more: https://go.microsoft.com/fwlink/?linkid=870924
Comment:
    Is stage 3C1 on path report and on PPM</t>
      </text>
    </comment>
    <comment ref="J11" authorId="21" shapeId="0" xr:uid="{8EFBDFBB-4375-4744-8000-0D85D73FC622}">
      <text>
        <t>[Threaded comment]
Your version of Excel allows you to read this threaded comment; however, any edits to it will get removed if the file is opened in a newer version of Excel. Learn more: https://go.microsoft.com/fwlink/?linkid=870924
Comment:
    I'm changing endomeyometrium to endometrium and myometrium as it means the same thing (I don't think Nic likes endomyometrium anyway!)</t>
      </text>
    </comment>
    <comment ref="F18" authorId="22" shapeId="0" xr:uid="{F8427469-E294-4A22-BFEC-88D77C5E0827}">
      <text>
        <t>[Threaded comment]
Your version of Excel allows you to read this threaded comment; however, any edits to it will get removed if the file is opened in a newer version of Excel. Learn more: https://go.microsoft.com/fwlink/?linkid=870924
Comment:
    Not in path report
Reply:
    Block A18 used for testing, to be swapped</t>
      </text>
    </comment>
    <comment ref="G18" authorId="23" shapeId="0" xr:uid="{E1FB7766-36C0-4D7A-9AA7-C8A3ADD7BC0E}">
      <text>
        <t>[Threaded comment]
Your version of Excel allows you to read this threaded comment; however, any edits to it will get removed if the file is opened in a newer version of Excel. Learn more: https://go.microsoft.com/fwlink/?linkid=870924
Comment:
    Not in path report</t>
      </text>
    </comment>
    <comment ref="F20" authorId="24" shapeId="0" xr:uid="{D6DE0267-A0F6-4E9C-8C37-D03A167EABB4}">
      <text>
        <t>[Threaded comment]
Your version of Excel allows you to read this threaded comment; however, any edits to it will get removed if the file is opened in a newer version of Excel. Learn more: https://go.microsoft.com/fwlink/?linkid=870924
Comment:
    Not in path report</t>
      </text>
    </comment>
    <comment ref="G20" authorId="25" shapeId="0" xr:uid="{9ADDC1C7-80A8-41CD-9D0C-02DA36B5D562}">
      <text>
        <t>[Threaded comment]
Your version of Excel allows you to read this threaded comment; however, any edits to it will get removed if the file is opened in a newer version of Excel. Learn more: https://go.microsoft.com/fwlink/?linkid=870924
Comment:
    Not in path report</t>
      </text>
    </comment>
    <comment ref="J22" authorId="26" shapeId="0" xr:uid="{83EB4A6F-B0D1-46F1-9FE6-522EA504347D}">
      <text>
        <t>[Threaded comment]
Your version of Excel allows you to read this threaded comment; however, any edits to it will get removed if the file is opened in a newer version of Excel. Learn more: https://go.microsoft.com/fwlink/?linkid=870924
Comment:
    I don't know what the acronyms are in the path report but it has to be the uterus!</t>
      </text>
    </comment>
    <comment ref="F23" authorId="27" shapeId="0" xr:uid="{8EA4F894-777E-45FA-8199-431DC953CDFC}">
      <text>
        <t>[Threaded comment]
Your version of Excel allows you to read this threaded comment; however, any edits to it will get removed if the file is opened in a newer version of Excel. Learn more: https://go.microsoft.com/fwlink/?linkid=870924
Comment:
    Not in path report</t>
      </text>
    </comment>
    <comment ref="F24" authorId="28" shapeId="0" xr:uid="{9E1E1B84-BECF-4747-914D-8714FD837727}">
      <text>
        <t>[Threaded comment]
Your version of Excel allows you to read this threaded comment; however, any edits to it will get removed if the file is opened in a newer version of Excel. Learn more: https://go.microsoft.com/fwlink/?linkid=870924
Comment:
    Block A6 used for testing, needs swapping</t>
      </text>
    </comment>
    <comment ref="G24" authorId="29" shapeId="0" xr:uid="{B52D06FF-81C5-4AB5-AE2E-FC4F0C38741A}">
      <text>
        <t>[Threaded comment]
Your version of Excel allows you to read this threaded comment; however, any edits to it will get removed if the file is opened in a newer version of Excel. Learn more: https://go.microsoft.com/fwlink/?linkid=870924
Comment:
    Block A7 used for testing, needs swapping</t>
      </text>
    </comment>
    <comment ref="F25" authorId="30" shapeId="0" xr:uid="{DF19E145-7230-45C2-AD4E-70C98A36F12A}">
      <text>
        <t>[Threaded comment]
Your version of Excel allows you to read this threaded comment; however, any edits to it will get removed if the file is opened in a newer version of Excel. Learn more: https://go.microsoft.com/fwlink/?linkid=870924
Comment:
    Block A16 used for testing, to be swapped</t>
      </text>
    </comment>
    <comment ref="F26" authorId="31" shapeId="0" xr:uid="{CB0F4F19-2332-493A-8C96-4EF548002125}">
      <text>
        <t>[Threaded comment]
Your version of Excel allows you to read this threaded comment; however, any edits to it will get removed if the file is opened in a newer version of Excel. Learn more: https://go.microsoft.com/fwlink/?linkid=870924
Comment:
    Block A10 used for testing, needs swapping</t>
      </text>
    </comment>
    <comment ref="G29" authorId="32" shapeId="0" xr:uid="{7DE4D283-1AAC-4408-BCF7-D07DF65A2383}">
      <text>
        <t>[Threaded comment]
Your version of Excel allows you to read this threaded comment; however, any edits to it will get removed if the file is opened in a newer version of Excel. Learn more: https://go.microsoft.com/fwlink/?linkid=870924
Comment:
    A12 is a bit of the R ovary (which is a metastatic site). Therefore I have moved it to the met section</t>
      </text>
    </comment>
    <comment ref="AD29" authorId="33" shapeId="0" xr:uid="{42792310-EF43-472B-841A-02D802D41D3C}">
      <text>
        <t>[Threaded comment]
Your version of Excel allows you to read this threaded comment; however, any edits to it will get removed if the file is opened in a newer version of Excel. Learn more: https://go.microsoft.com/fwlink/?linkid=870924
Comment:
    No file link but mentioned in following EPRO's and on home page</t>
      </text>
    </comment>
    <comment ref="C36" authorId="34" shapeId="0" xr:uid="{FF2A4D6A-A573-4DE7-B594-BDE988A376A2}">
      <text>
        <t>[Threaded comment]
Your version of Excel allows you to read this threaded comment; however, any edits to it will get removed if the file is opened in a newer version of Excel. Learn more: https://go.microsoft.com/fwlink/?linkid=870924
Comment:
    Had received treatment for ovarian cancer not endometrial</t>
      </text>
    </comment>
    <comment ref="JT36" authorId="35" shapeId="0" xr:uid="{F2253339-3D6D-40C2-A6B0-B53BA0DD058E}">
      <text>
        <t>[Threaded comment]
Your version of Excel allows you to read this threaded comment; however, any edits to it will get removed if the file is opened in a newer version of Excel. Learn more: https://go.microsoft.com/fwlink/?linkid=870924
Comment:
    just added a few more details re treatment of ovarian cancer</t>
      </text>
    </comment>
    <comment ref="AF37" authorId="36" shapeId="0" xr:uid="{A42AECCA-498F-4973-9A00-526254A51776}">
      <text>
        <t>[Threaded comment]
Your version of Excel allows you to read this threaded comment; however, any edits to it will get removed if the file is opened in a newer version of Excel. Learn more: https://go.microsoft.com/fwlink/?linkid=870924
Comment:
    Just nitpicking :)</t>
      </text>
    </comment>
    <comment ref="AJ37" authorId="37" shapeId="0" xr:uid="{E2CCF868-AC0F-482C-81E7-DE33BAE153C7}">
      <text>
        <t>[Threaded comment]
Your version of Excel allows you to read this threaded comment; however, any edits to it will get removed if the file is opened in a newer version of Excel. Learn more: https://go.microsoft.com/fwlink/?linkid=870924
Comment:
    Lymph nodes not sampled so pN is NR</t>
      </text>
    </comment>
    <comment ref="AI49" authorId="38" shapeId="0" xr:uid="{23292E45-44C6-4F78-87F6-0F6624086618}">
      <text>
        <t>[Threaded comment]
Your version of Excel allows you to read this threaded comment; however, any edits to it will get removed if the file is opened in a newer version of Excel. Learn more: https://go.microsoft.com/fwlink/?linkid=870924
Comment:
    LN positive so cannot be determined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tc={F71C70DB-89A5-4B3F-A059-0AF343D521EB}</author>
    <author>tc={A3BAE042-A751-46C7-BD0B-FF64736DFA82}</author>
    <author>tc={9DE542FB-B99F-4042-82C6-3E0647875E0C}</author>
    <author>tc={FC7FA7A5-A965-499A-B488-0D395583E495}</author>
    <author>tc={E1E05622-69E7-432A-A61A-980F356C79CC}</author>
  </authors>
  <commentList>
    <comment ref="K8" authorId="0" shapeId="0" xr:uid="{F71C70DB-89A5-4B3F-A059-0AF343D521EB}">
      <text>
        <t>[Threaded comment]
Your version of Excel allows you to read this threaded comment; however, any edits to it will get removed if the file is opened in a newer version of Excel. Learn more: https://go.microsoft.com/fwlink/?linkid=870924
Comment:
    pelvic LN pos</t>
      </text>
    </comment>
    <comment ref="E16" authorId="1" shapeId="0" xr:uid="{A3BAE042-A751-46C7-BD0B-FF64736DFA82}">
      <text>
        <t>[Threaded comment]
Your version of Excel allows you to read this threaded comment; however, any edits to it will get removed if the file is opened in a newer version of Excel. Learn more: https://go.microsoft.com/fwlink/?linkid=870924
Comment:
    Selected block</t>
      </text>
    </comment>
    <comment ref="E22" authorId="2" shapeId="0" xr:uid="{9DE542FB-B99F-4042-82C6-3E0647875E0C}">
      <text>
        <t>[Threaded comment]
Your version of Excel allows you to read this threaded comment; however, any edits to it will get removed if the file is opened in a newer version of Excel. Learn more: https://go.microsoft.com/fwlink/?linkid=870924
Comment:
    Selected blocks</t>
      </text>
    </comment>
    <comment ref="E23" authorId="3" shapeId="0" xr:uid="{FC7FA7A5-A965-499A-B488-0D395583E495}">
      <text>
        <t>[Threaded comment]
Your version of Excel allows you to read this threaded comment; however, any edits to it will get removed if the file is opened in a newer version of Excel. Learn more: https://go.microsoft.com/fwlink/?linkid=870924
Comment:
    Selected blocks</t>
      </text>
    </comment>
    <comment ref="E24" authorId="4" shapeId="0" xr:uid="{E1E05622-69E7-432A-A61A-980F356C79CC}">
      <text>
        <t>[Threaded comment]
Your version of Excel allows you to read this threaded comment; however, any edits to it will get removed if the file is opened in a newer version of Excel. Learn more: https://go.microsoft.com/fwlink/?linkid=870924
Comment:
    Selected block, needs swapping</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tc={33DCB922-41B0-43E4-8AE0-87046411BE38}</author>
    <author>tc={E5315E38-F309-482B-99C0-FF5EFC5EBE7B}</author>
    <author>tc={626A001C-8575-4B6E-97CD-3566E53E8512}</author>
    <author>tc={615CCC1C-A373-42A7-876E-533945083F6D}</author>
    <author>tc={6A9CDBAB-E13C-4C65-9766-AD34B137D9F8}</author>
    <author>tc={2D0FBB50-9C60-4583-BEFA-46D03A318453}</author>
    <author>tc={2B96D8DB-67CE-41F9-BB58-489AFA891681}</author>
    <author>tc={49C0D0DE-E5E3-46AA-BFC0-6BAEC88FA947}</author>
    <author>tc={0C5B2A5A-8162-478D-9FD6-B03BE4E61D0B}</author>
    <author>tc={1368E81A-44FF-4131-85C4-A67F8DC0E8F0}</author>
    <author>tc={399F2528-C949-4223-8ACB-1E3BE1602C1E}</author>
    <author>tc={73E81773-5119-49E2-9BC8-A98D202BBB61}</author>
    <author>tc={A7C6B72B-1D64-4038-8FE6-792AB1CAA393}</author>
    <author>tc={0E4AD8A1-3B44-4AC0-8436-FA0E9BB3183C}</author>
    <author>tc={174016F6-DCCD-422D-ACFD-4310F9F6623C}</author>
    <author>tc={70494BDD-5F49-4B0F-A0ED-F9794639DEE9}</author>
    <author>tc={59152074-6853-48DB-B793-30787072BCFD}</author>
    <author>tc={F38A7B0E-AB36-4684-AC22-41FEC9AA281C}</author>
    <author>tc={3412204D-CED2-4EC1-A7CA-27680F11BD54}</author>
    <author>tc={9DBFEDCE-3023-43B1-944D-9AB98B466C5F}</author>
    <author>tc={32987CC1-4B2D-42AA-BB6A-0335A78E953E}</author>
    <author>tc={9ED01EB5-86A6-4FA9-9671-EE41B90FD120}</author>
    <author>tc={3874E9FE-3F61-40C6-BFEB-06E324C0F525}</author>
    <author>tc={B5810FC5-1024-440E-A591-3996FD73CA71}</author>
    <author>tc={1927A0D7-B806-4452-BC60-0B1039017DFD}</author>
    <author>tc={36C90FF7-0992-4C6D-9DF2-3968768795A6}</author>
  </authors>
  <commentList>
    <comment ref="C3" authorId="0" shapeId="0" xr:uid="{33DCB922-41B0-43E4-8AE0-87046411BE38}">
      <text>
        <t>[Threaded comment]
Your version of Excel allows you to read this threaded comment; however, any edits to it will get removed if the file is opened in a newer version of Excel. Learn more: https://go.microsoft.com/fwlink/?linkid=870924
Comment:
    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
      </text>
    </comment>
    <comment ref="Q3" authorId="1" shapeId="0" xr:uid="{E5315E38-F309-482B-99C0-FF5EFC5EBE7B}">
      <text>
        <t>[Threaded comment]
Your version of Excel allows you to read this threaded comment; however, any edits to it will get removed if the file is opened in a newer version of Excel. Learn more: https://go.microsoft.com/fwlink/?linkid=870924
Comment:
    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
      </text>
    </comment>
    <comment ref="V3" authorId="2" shapeId="0" xr:uid="{626A001C-8575-4B6E-97CD-3566E53E8512}">
      <text>
        <t>[Threaded comment]
Your version of Excel allows you to read this threaded comment; however, any edits to it will get removed if the file is opened in a newer version of Excel. Learn more: https://go.microsoft.com/fwlink/?linkid=870924
Comment:
    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
      </text>
    </comment>
    <comment ref="AA3" authorId="3" shapeId="0" xr:uid="{615CCC1C-A373-42A7-876E-533945083F6D}">
      <text>
        <t>[Threaded comment]
Your version of Excel allows you to read this threaded comment; however, any edits to it will get removed if the file is opened in a newer version of Excel. Learn more: https://go.microsoft.com/fwlink/?linkid=870924
Comment:
    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
      </text>
    </comment>
    <comment ref="AD3" authorId="4" shapeId="0" xr:uid="{6A9CDBAB-E13C-4C65-9766-AD34B137D9F8}">
      <text>
        <t>[Threaded comment]
Your version of Excel allows you to read this threaded comment; however, any edits to it will get removed if the file is opened in a newer version of Excel. Learn more: https://go.microsoft.com/fwlink/?linkid=870924
Comment:
    Date of first pathological confirmation (biopsy, resection etc)</t>
      </text>
    </comment>
    <comment ref="AG3" authorId="5" shapeId="0" xr:uid="{2D0FBB50-9C60-4583-BEFA-46D03A318453}">
      <text>
        <t>[Threaded comment]
Your version of Excel allows you to read this threaded comment; however, any edits to it will get removed if the file is opened in a newer version of Excel. Learn more: https://go.microsoft.com/fwlink/?linkid=870924
Comment:
    Where information has come from - this specimen or the primary tumour if a recurrence. Specimen information can also be used if no information has been provided for the primary tumour</t>
      </text>
    </comment>
    <comment ref="AR3" authorId="6" shapeId="0" xr:uid="{2B96D8DB-67CE-41F9-BB58-489AFA891681}">
      <text>
        <t>[Threaded comment]
Your version of Excel allows you to read this threaded comment; however, any edits to it will get removed if the file is opened in a newer version of Excel. Learn more: https://go.microsoft.com/fwlink/?linkid=870924
Comment:
    Specify type of treatment: Radiotherapy, Chemotherapy, Immunotherapy, Other. Other encompasses treatments such as hormone therapy.</t>
      </text>
    </comment>
    <comment ref="AS3" authorId="7" shapeId="0" xr:uid="{49C0D0DE-E5E3-46AA-BFC0-6BAEC88FA947}">
      <text>
        <t>[Threaded comment]
Your version of Excel allows you to read this threaded comment; however, any edits to it will get removed if the file is opened in a newer version of Excel. Learn more: https://go.microsoft.com/fwlink/?linkid=870924
Comment:
    Specify name of agent used for treatment and number of cycles (if applicable) e.g. for chemotherapy: Cisplatin (4 cycles) or 40Gy in 15# for radiotherapy</t>
      </text>
    </comment>
    <comment ref="CP3" authorId="8" shapeId="0" xr:uid="{0C5B2A5A-8162-478D-9FD6-B03BE4E61D0B}">
      <text>
        <t>[Threaded comment]
Your version of Excel allows you to read this threaded comment; however, any edits to it will get removed if the file is opened in a newer version of Excel. Learn more: https://go.microsoft.com/fwlink/?linkid=870924
Comment:
    Specify type of treatment: Radiotherapy, Chemotherapy, Immunotherapy, Other. Other encompasses treatments such as hormone therapy.</t>
      </text>
    </comment>
    <comment ref="CQ3" authorId="9" shapeId="0" xr:uid="{1368E81A-44FF-4131-85C4-A67F8DC0E8F0}">
      <text>
        <t>[Threaded comment]
Your version of Excel allows you to read this threaded comment; however, any edits to it will get removed if the file is opened in a newer version of Excel. Learn more: https://go.microsoft.com/fwlink/?linkid=870924
Comment:
    Specify name of agent used for treatment and number of cycles (if applicable) e.g. for chemotherapy: Cisplatin (4 cycles) or 40Gy in 15# for radiotherapy</t>
      </text>
    </comment>
    <comment ref="GP3" authorId="10" shapeId="0" xr:uid="{399F2528-C949-4223-8ACB-1E3BE1602C1E}">
      <text>
        <t>[Threaded comment]
Your version of Excel allows you to read this threaded comment; however, any edits to it will get removed if the file is opened in a newer version of Excel. Learn more: https://go.microsoft.com/fwlink/?linkid=870924
Comment:
    Specify type of treatment: Radiotherapy, Chemotherapy, Immunotherapy, Other. Other encompasses treatments such as hormone therapy.</t>
      </text>
    </comment>
    <comment ref="GQ3" authorId="11" shapeId="0" xr:uid="{73E81773-5119-49E2-9BC8-A98D202BBB61}">
      <text>
        <t>[Threaded comment]
Your version of Excel allows you to read this threaded comment; however, any edits to it will get removed if the file is opened in a newer version of Excel. Learn more: https://go.microsoft.com/fwlink/?linkid=870924
Comment:
    Specify name of agent used for treatment and number of cycles (if applicable) e.g. for chemotherapy: Cisplatin (4 cycles) or 40Gy in 15# for radiotherapy</t>
      </text>
    </comment>
    <comment ref="AJ4" authorId="12" shapeId="0" xr:uid="{A7C6B72B-1D64-4038-8FE6-792AB1CAA393}">
      <text>
        <t>[Threaded comment]
Your version of Excel allows you to read this threaded comment; however, any edits to it will get removed if the file is opened in a newer version of Excel. Learn more: https://go.microsoft.com/fwlink/?linkid=870924
Comment:
    No LNs removed so no pN score</t>
      </text>
    </comment>
    <comment ref="F5" authorId="13" shapeId="0" xr:uid="{0E4AD8A1-3B44-4AC0-8436-FA0E9BB3183C}">
      <text>
        <t>[Threaded comment]
Your version of Excel allows you to read this threaded comment; however, any edits to it will get removed if the file is opened in a newer version of Excel. Learn more: https://go.microsoft.com/fwlink/?linkid=870924
Comment:
    Not in path report</t>
      </text>
    </comment>
    <comment ref="G5" authorId="14" shapeId="0" xr:uid="{174016F6-DCCD-422D-ACFD-4310F9F6623C}">
      <text>
        <t>[Threaded comment]
Your version of Excel allows you to read this threaded comment; however, any edits to it will get removed if the file is opened in a newer version of Excel. Learn more: https://go.microsoft.com/fwlink/?linkid=870924
Comment:
    Not in path report</t>
      </text>
    </comment>
    <comment ref="AJ9" authorId="15" shapeId="0" xr:uid="{70494BDD-5F49-4B0F-A0ED-F9794639DEE9}">
      <text>
        <t>[Threaded comment]
Your version of Excel allows you to read this threaded comment; however, any edits to it will get removed if the file is opened in a newer version of Excel. Learn more: https://go.microsoft.com/fwlink/?linkid=870924
Comment:
    para aortic node involved</t>
      </text>
    </comment>
    <comment ref="A15" authorId="16" shapeId="0" xr:uid="{59152074-6853-48DB-B793-30787072BCFD}">
      <text>
        <t>[Threaded comment]
Your version of Excel allows you to read this threaded comment; however, any edits to it will get removed if the file is opened in a newer version of Excel. Learn more: https://go.microsoft.com/fwlink/?linkid=870924
Comment:
    A12 used for further testing- include?</t>
      </text>
    </comment>
    <comment ref="F15" authorId="17" shapeId="0" xr:uid="{F38A7B0E-AB36-4684-AC22-41FEC9AA281C}">
      <text>
        <t>[Threaded comment]
Your version of Excel allows you to read this threaded comment; however, any edits to it will get removed if the file is opened in a newer version of Excel. Learn more: https://go.microsoft.com/fwlink/?linkid=870924
Comment:
    A14 used for further testing</t>
      </text>
    </comment>
    <comment ref="AL15" authorId="18" shapeId="0" xr:uid="{3412204D-CED2-4EC1-A7CA-27680F11BD54}">
      <text>
        <t>[Threaded comment]
Your version of Excel allows you to read this threaded comment; however, any edits to it will get removed if the file is opened in a newer version of Excel. Learn more: https://go.microsoft.com/fwlink/?linkid=870924
Comment:
    I'm not sure the mesenteric tumour is considered direct invasion rather than a met since the tumour has been staged as 3C1</t>
      </text>
    </comment>
    <comment ref="A17" authorId="19" shapeId="0" xr:uid="{9DBFEDCE-3023-43B1-944D-9AB98B466C5F}">
      <text>
        <t>[Threaded comment]
Your version of Excel allows you to read this threaded comment; however, any edits to it will get removed if the file is opened in a newer version of Excel. Learn more: https://go.microsoft.com/fwlink/?linkid=870924
Comment:
    A9 used for IHC - send?</t>
      </text>
    </comment>
    <comment ref="F17" authorId="20" shapeId="0" xr:uid="{32987CC1-4B2D-42AA-BB6A-0335A78E953E}">
      <text>
        <t>[Threaded comment]
Your version of Excel allows you to read this threaded comment; however, any edits to it will get removed if the file is opened in a newer version of Excel. Learn more: https://go.microsoft.com/fwlink/?linkid=870924
Comment:
    A8 Used for IHC</t>
      </text>
    </comment>
    <comment ref="A18" authorId="21" shapeId="0" xr:uid="{9ED01EB5-86A6-4FA9-9671-EE41B90FD120}">
      <text>
        <t>[Threaded comment]
Your version of Excel allows you to read this threaded comment; however, any edits to it will get removed if the file is opened in a newer version of Excel. Learn more: https://go.microsoft.com/fwlink/?linkid=870924
Comment:
    A15 used for further testing</t>
      </text>
    </comment>
    <comment ref="G18" authorId="22" shapeId="0" xr:uid="{3874E9FE-3F61-40C6-BFEB-06E324C0F525}">
      <text>
        <t>[Threaded comment]
Your version of Excel allows you to read this threaded comment; however, any edits to it will get removed if the file is opened in a newer version of Excel. Learn more: https://go.microsoft.com/fwlink/?linkid=870924
Comment:
    A11 used for further testing</t>
      </text>
    </comment>
    <comment ref="F20" authorId="23" shapeId="0" xr:uid="{B5810FC5-1024-440E-A591-3996FD73CA71}">
      <text>
        <t>[Threaded comment]
Your version of Excel allows you to read this threaded comment; however, any edits to it will get removed if the file is opened in a newer version of Excel. Learn more: https://go.microsoft.com/fwlink/?linkid=870924
Comment:
    A2 used for further testing
Reply:
    No block to replace with, remove cohort</t>
      </text>
    </comment>
    <comment ref="F33" authorId="24" shapeId="0" xr:uid="{1927A0D7-B806-4452-BC60-0B1039017DFD}">
      <text>
        <t>[Threaded comment]
Your version of Excel allows you to read this threaded comment; however, any edits to it will get removed if the file is opened in a newer version of Excel. Learn more: https://go.microsoft.com/fwlink/?linkid=870924
Comment:
    Not in path report</t>
      </text>
    </comment>
    <comment ref="N38" authorId="25" shapeId="0" xr:uid="{36C90FF7-0992-4C6D-9DF2-3968768795A6}">
      <text>
        <t>[Threaded comment]
Your version of Excel allows you to read this threaded comment; however, any edits to it will get removed if the file is opened in a newer version of Excel. Learn more: https://go.microsoft.com/fwlink/?linkid=870924
Comment:
    Not in path report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tc={C886DC95-A884-4E51-9BBF-2CEE46DE245F}</author>
    <author>tc={28EE2319-1D63-49D0-9F6E-20BCA1AA53AE}</author>
    <author>tc={6ABD228A-C486-44BB-9397-1790220C670E}</author>
    <author>tc={93D888F5-FEE1-436D-9199-9F4B42EA0744}</author>
    <author>tc={8EB21BDE-9D46-4134-BB77-EB6A688E1035}</author>
    <author>tc={5F14BFB7-B7C8-4AF9-A0CF-9C3978DAD33C}</author>
    <author>tc={7252A1F7-BB7D-4AF4-A027-8F2912747696}</author>
    <author>tc={2A643FD5-1DD3-44A1-83E6-D7BA5F52FC02}</author>
    <author>tc={1C0EC7C1-1EF2-4A69-AE3C-693CC0B74803}</author>
    <author>tc={91A53004-7B16-4A71-99A0-16AB72D556CE}</author>
    <author>tc={8FE2E596-37BB-4A01-BC78-E23267B1546D}</author>
    <author>tc={EE8C54E7-75E7-4504-9D98-802885BF94E4}</author>
    <author>tc={96CE635E-EFC4-495C-96DE-C6EE74829F74}</author>
    <author>tc={B787FB37-6105-444B-A8B4-927B326AB480}</author>
  </authors>
  <commentList>
    <comment ref="F1" authorId="0" shapeId="0" xr:uid="{C886DC95-A884-4E51-9BBF-2CEE46DE245F}">
      <text>
        <t>[Threaded comment]
Your version of Excel allows you to read this threaded comment; however, any edits to it will get removed if the file is opened in a newer version of Excel. Learn more: https://go.microsoft.com/fwlink/?linkid=870924
Comment:
    dMMR/pMMR</t>
      </text>
    </comment>
    <comment ref="L4" authorId="1" shapeId="0" xr:uid="{28EE2319-1D63-49D0-9F6E-20BCA1AA53AE}">
      <text>
        <t>[Threaded comment]
Your version of Excel allows you to read this threaded comment; however, any edits to it will get removed if the file is opened in a newer version of Excel. Learn more: https://go.microsoft.com/fwlink/?linkid=870924
Comment:
    I'm putting this in as if MLH1 methylation, unlikely Lynch</t>
      </text>
    </comment>
    <comment ref="F8" authorId="2" shapeId="0" xr:uid="{6ABD228A-C486-44BB-9397-1790220C670E}">
      <text>
        <t>[Threaded comment]
Your version of Excel allows you to read this threaded comment; however, any edits to it will get removed if the file is opened in a newer version of Excel. Learn more: https://go.microsoft.com/fwlink/?linkid=870924
Comment:
    dMMR</t>
      </text>
    </comment>
    <comment ref="I9" authorId="3" shapeId="0" xr:uid="{93D888F5-FEE1-436D-9199-9F4B42EA0744}">
      <text>
        <t>[Threaded comment]
Your version of Excel allows you to read this threaded comment; however, any edits to it will get removed if the file is opened in a newer version of Excel. Learn more: https://go.microsoft.com/fwlink/?linkid=870924
Comment:
    Performed at different trust. No results on PPM or CoPath</t>
      </text>
    </comment>
    <comment ref="J9" authorId="4" shapeId="0" xr:uid="{8EB21BDE-9D46-4134-BB77-EB6A688E1035}">
      <text>
        <t>[Threaded comment]
Your version of Excel allows you to read this threaded comment; however, any edits to it will get removed if the file is opened in a newer version of Excel. Learn more: https://go.microsoft.com/fwlink/?linkid=870924
Comment:
    Performed at different trust. No results on PPM or CoPath</t>
      </text>
    </comment>
    <comment ref="E13" authorId="5" shapeId="0" xr:uid="{5F14BFB7-B7C8-4AF9-A0CF-9C3978DAD33C}">
      <text>
        <t>[Threaded comment]
Your version of Excel allows you to read this threaded comment; however, any edits to it will get removed if the file is opened in a newer version of Excel. Learn more: https://go.microsoft.com/fwlink/?linkid=870924
Comment:
    Block collected</t>
      </text>
    </comment>
    <comment ref="E15" authorId="6" shapeId="0" xr:uid="{7252A1F7-BB7D-4AF4-A027-8F2912747696}">
      <text>
        <t>[Threaded comment]
Your version of Excel allows you to read this threaded comment; however, any edits to it will get removed if the file is opened in a newer version of Excel. Learn more: https://go.microsoft.com/fwlink/?linkid=870924
Comment:
    Block collected</t>
      </text>
    </comment>
    <comment ref="L15" authorId="7" shapeId="0" xr:uid="{2A643FD5-1DD3-44A1-83E6-D7BA5F52FC02}">
      <text>
        <t>[Threaded comment]
Your version of Excel allows you to read this threaded comment; however, any edits to it will get removed if the file is opened in a newer version of Excel. Learn more: https://go.microsoft.com/fwlink/?linkid=870924
Comment:
    as per letter from clinical genetics</t>
      </text>
    </comment>
    <comment ref="E16" authorId="8" shapeId="0" xr:uid="{1C0EC7C1-1EF2-4A69-AE3C-693CC0B74803}">
      <text>
        <t>[Threaded comment]
Your version of Excel allows you to read this threaded comment; however, any edits to it will get removed if the file is opened in a newer version of Excel. Learn more: https://go.microsoft.com/fwlink/?linkid=870924
Comment:
    Block collected</t>
      </text>
    </comment>
    <comment ref="M16" authorId="9" shapeId="0" xr:uid="{91A53004-7B16-4A71-99A0-16AB72D556CE}">
      <text>
        <t>[Threaded comment]
Your version of Excel allows you to read this threaded comment; however, any edits to it will get removed if the file is opened in a newer version of Excel. Learn more: https://go.microsoft.com/fwlink/?linkid=870924
Comment:
    metastases actually from synchronous pancreatic cancer so stage IB endometrial cancer not stage IVB. I have put this in the notes from clinical team</t>
      </text>
    </comment>
    <comment ref="E18" authorId="10" shapeId="0" xr:uid="{8FE2E596-37BB-4A01-BC78-E23267B1546D}">
      <text>
        <t>[Threaded comment]
Your version of Excel allows you to read this threaded comment; however, any edits to it will get removed if the file is opened in a newer version of Excel. Learn more: https://go.microsoft.com/fwlink/?linkid=870924
Comment:
    Block collected
Reply:
    No block to replace with</t>
      </text>
    </comment>
    <comment ref="M21" authorId="11" shapeId="0" xr:uid="{EE8C54E7-75E7-4504-9D98-802885BF94E4}">
      <text>
        <t>[Threaded comment]
Your version of Excel allows you to read this threaded comment; however, any edits to it will get removed if the file is opened in a newer version of Excel. Learn more: https://go.microsoft.com/fwlink/?linkid=870924
Comment:
    invades cervical stroma &amp; is stage II on PPM (diagnosis)</t>
      </text>
    </comment>
    <comment ref="M24" authorId="12" shapeId="0" xr:uid="{96CE635E-EFC4-495C-96DE-C6EE74829F74}">
      <text>
        <t>[Threaded comment]
Your version of Excel allows you to read this threaded comment; however, any edits to it will get removed if the file is opened in a newer version of Excel. Learn more: https://go.microsoft.com/fwlink/?linkid=870924
Comment:
    involves cervical stroma</t>
      </text>
    </comment>
    <comment ref="L30" authorId="13" shapeId="0" xr:uid="{B787FB37-6105-444B-A8B4-927B326AB480}">
      <text>
        <t>[Threaded comment]
Your version of Excel allows you to read this threaded comment; however, any edits to it will get removed if the file is opened in a newer version of Excel. Learn more: https://go.microsoft.com/fwlink/?linkid=870924
Comment:
    clinical genetics letter says gremlin mutation in MSH6</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<sst xmlns="http://schemas.openxmlformats.org/spreadsheetml/2006/main" count="9016" uniqueCount="1253">
  <si>
    <t>PLEASE BE AWARE COLUMNS MAY BE 'HIDDEN' OR 'COLLAPSED'</t>
  </si>
  <si>
    <t>Not in path report</t>
  </si>
  <si>
    <t>NHS number</t>
  </si>
  <si>
    <t xml:space="preserve">Any Immunotherapy </t>
  </si>
  <si>
    <t>Specimen treatment subgrouping</t>
  </si>
  <si>
    <t xml:space="preserve">Specimen is a recurrence </t>
  </si>
  <si>
    <t>Selected specimen Anonymised ID</t>
  </si>
  <si>
    <t>Specimen Block number 1</t>
  </si>
  <si>
    <t>Specimen Block number 2</t>
  </si>
  <si>
    <t>Specimen surgery date</t>
  </si>
  <si>
    <t>Specimen surgery</t>
  </si>
  <si>
    <t>Specimen tumour site</t>
  </si>
  <si>
    <t xml:space="preserve">Primary Surgery date </t>
  </si>
  <si>
    <t>Primary tumour site</t>
  </si>
  <si>
    <t>Anonymized ID Matched met 1</t>
  </si>
  <si>
    <t>Matched met 1 Block Number</t>
  </si>
  <si>
    <t>Matched met 1 Site</t>
  </si>
  <si>
    <t xml:space="preserve">Matched met 1 Surgery Date </t>
  </si>
  <si>
    <t>Matched met 1 treatment subgrouping</t>
  </si>
  <si>
    <t>Anonymized ID Matched met 2</t>
  </si>
  <si>
    <t>Matched met 2 Block Number</t>
  </si>
  <si>
    <t>Matched met 2 Site</t>
  </si>
  <si>
    <t xml:space="preserve">Matched met 2 Surgery Date </t>
  </si>
  <si>
    <t>Matched met 2 treatment subgrouping</t>
  </si>
  <si>
    <t>Anonymized ID Normal tissue</t>
  </si>
  <si>
    <t>Matched Normal tissue Block Number</t>
  </si>
  <si>
    <t>Matched Normal tissue Site</t>
  </si>
  <si>
    <t xml:space="preserve">Matched Normal tissue Surgery Date </t>
  </si>
  <si>
    <t>Matched Normal treatment subgrouping</t>
  </si>
  <si>
    <t>Gender</t>
  </si>
  <si>
    <t xml:space="preserve">DOB </t>
  </si>
  <si>
    <t>Date of DX</t>
  </si>
  <si>
    <t xml:space="preserve">Age at Diagnosis </t>
  </si>
  <si>
    <t>Specimen Histological Diagnosis</t>
  </si>
  <si>
    <t>Staging/grading info provided for:</t>
  </si>
  <si>
    <t xml:space="preserve">Resection margins clear </t>
  </si>
  <si>
    <t>pT</t>
  </si>
  <si>
    <t>pN</t>
  </si>
  <si>
    <t>pM</t>
  </si>
  <si>
    <t>cM</t>
  </si>
  <si>
    <t>TNM stage</t>
  </si>
  <si>
    <t>Grade</t>
  </si>
  <si>
    <t>Stage at DX (AJCC)</t>
  </si>
  <si>
    <t>Any Neoadjuvant therapy</t>
  </si>
  <si>
    <t>Response to neoadjuvant therapy (TRS score)</t>
  </si>
  <si>
    <t>Neoadjuvant Tx1</t>
  </si>
  <si>
    <t>Neoadjuvant Tx1 Agent</t>
  </si>
  <si>
    <t>Neoadjuvant Tx1 Start Date</t>
  </si>
  <si>
    <t>Neoadjuvant Tx1 End Date</t>
  </si>
  <si>
    <t>Tumour response Neoadjuvant Tx1</t>
  </si>
  <si>
    <t>Neoadjuvant Tx2</t>
  </si>
  <si>
    <t>Neoadjuvant Tx2 Agent</t>
  </si>
  <si>
    <t>Neoadjuvant Tx2 Start Date</t>
  </si>
  <si>
    <t>Neoadjuvant Tx2 End Date</t>
  </si>
  <si>
    <t>Tumour response Neoadjuvant  Tx2</t>
  </si>
  <si>
    <t>Neoadjuvant Tx3</t>
  </si>
  <si>
    <t>Neoadjuvant Tx3 Agent</t>
  </si>
  <si>
    <t>Neoadjuvant Tx3 Start Date</t>
  </si>
  <si>
    <t>Neoadjuvant Tx3 End Date</t>
  </si>
  <si>
    <t>Tumour response Neoadjuvant  Tx3</t>
  </si>
  <si>
    <t>Neoadjuvant Tx4</t>
  </si>
  <si>
    <t>Neoadjuvant Tx4 Agent</t>
  </si>
  <si>
    <t>Neoadjuvant Tx4 Start Date</t>
  </si>
  <si>
    <t>Neoadjuvant Tx4 End Date</t>
  </si>
  <si>
    <t>Tumour response Neoadjuvant  Tx4</t>
  </si>
  <si>
    <t>Neoadjuvant Tx5</t>
  </si>
  <si>
    <t>Neoadjuvant Tx5 Agent</t>
  </si>
  <si>
    <t>Neoadjuvant Tx5 Start Date</t>
  </si>
  <si>
    <t>Neoadjuvant Tx5 End Date</t>
  </si>
  <si>
    <t>Tumour response Neoadjuvant  Tx5</t>
  </si>
  <si>
    <t>Neoadjuvant Tx6</t>
  </si>
  <si>
    <t>Neoadjuvant Tx6 Agent</t>
  </si>
  <si>
    <t>Neoadjuvant Tx6 Start Date</t>
  </si>
  <si>
    <t>Neoadjuvant Tx6 End Date</t>
  </si>
  <si>
    <t>Tumour response Neoadjuvant  Tx6</t>
  </si>
  <si>
    <t>Neoadjuvant Tx7</t>
  </si>
  <si>
    <t>Neoadjuvant Tx7 Agent</t>
  </si>
  <si>
    <t>Neoadjuvant Tx7 Start Date</t>
  </si>
  <si>
    <t>Neoadjuvant Tx7 End Date</t>
  </si>
  <si>
    <t>Tumour response Neoadjuvant  Tx7</t>
  </si>
  <si>
    <t>Neoadjuvant Tx8</t>
  </si>
  <si>
    <t>Neoadjuvant Tx8 Agent</t>
  </si>
  <si>
    <t>Neoadjuvant Tx8 Start Date</t>
  </si>
  <si>
    <t>Neoadjuvant Tx8 End Date</t>
  </si>
  <si>
    <t>Tumour response Neoadjuvant  Tx8</t>
  </si>
  <si>
    <t>Neoadjuvant Tx9</t>
  </si>
  <si>
    <t>Neoadjuvant Tx9 Agent</t>
  </si>
  <si>
    <t>Neoadjuvant Tx9 Start Date</t>
  </si>
  <si>
    <t>Neoadjuvant Tx9 End Date</t>
  </si>
  <si>
    <t>Tumour response Neoadjuvant  Tx9</t>
  </si>
  <si>
    <t>Neoadjuvant Tx10</t>
  </si>
  <si>
    <t>Neoadjuvant Tx10 Agent</t>
  </si>
  <si>
    <t>Neoadjuvant Tx10 Start Date</t>
  </si>
  <si>
    <t>Neoadjuvant Tx10 End Date</t>
  </si>
  <si>
    <t>Tumour response Neoadjuvant Tx10</t>
  </si>
  <si>
    <t>Adjuvant Tx1</t>
  </si>
  <si>
    <t>Adjuvant Tx1 Agent</t>
  </si>
  <si>
    <t>Adjuvant Tx1 Start Date</t>
  </si>
  <si>
    <t>Adjuvant Tx1 End Date</t>
  </si>
  <si>
    <t>Tumour response Adjuvant Tx1</t>
  </si>
  <si>
    <t>Adjuvant Tx2</t>
  </si>
  <si>
    <t>Adjuvant Tx2 Agent</t>
  </si>
  <si>
    <t>Adjuvant Tx2 Start Date</t>
  </si>
  <si>
    <t>Adjuvant Tx2 End Date</t>
  </si>
  <si>
    <t>Tumour response Adjuvant  Tx2</t>
  </si>
  <si>
    <t>Adjuvant Tx3</t>
  </si>
  <si>
    <t>Adjuvant Tx3 Agent</t>
  </si>
  <si>
    <t>Adjuvant Tx3 Start Date</t>
  </si>
  <si>
    <t>Adjuvant Tx3 End Date</t>
  </si>
  <si>
    <t>Tumour response Adjuvant  Tx3</t>
  </si>
  <si>
    <t>Adjuvant Tx4</t>
  </si>
  <si>
    <t>Adjuvant Tx4 Agent</t>
  </si>
  <si>
    <t>Adjuvant Tx4 Start Date</t>
  </si>
  <si>
    <t>Adjuvant Tx4 End Date</t>
  </si>
  <si>
    <t>Tumour response Adjuvant  Tx4</t>
  </si>
  <si>
    <t>Adjuvant Tx5</t>
  </si>
  <si>
    <t>Adjuvant Tx5 Agent</t>
  </si>
  <si>
    <t>Adjuvant Tx5 Start Date</t>
  </si>
  <si>
    <t>Adjuvant Tx5 End Date</t>
  </si>
  <si>
    <t>Tumour response Adjuvant  Tx5</t>
  </si>
  <si>
    <t>Adjuvant Tx6</t>
  </si>
  <si>
    <t>Adjuvant Tx6 Agent</t>
  </si>
  <si>
    <t>Adjuvant Tx6 Start Date</t>
  </si>
  <si>
    <t>Adjuvant Tx6 End Date</t>
  </si>
  <si>
    <t>Tumour response Adjuvant  Tx6</t>
  </si>
  <si>
    <t>Adjuvant Tx7</t>
  </si>
  <si>
    <t>Adjuvant Tx7 Agent</t>
  </si>
  <si>
    <t>Adjuvant Tx7 Start Date</t>
  </si>
  <si>
    <t>Adjuvant Tx7 End Date</t>
  </si>
  <si>
    <t>Tumour response Adjuvant  Tx7</t>
  </si>
  <si>
    <t>Adjuvant Tx8</t>
  </si>
  <si>
    <t>Adjuvant Tx8 Agent</t>
  </si>
  <si>
    <t>Adjuvant Tx8 Start Date</t>
  </si>
  <si>
    <t>Adjuvant Tx8 End Date</t>
  </si>
  <si>
    <t>Tumour response Adjuvant  Tx8</t>
  </si>
  <si>
    <t>Adjuvant Tx9</t>
  </si>
  <si>
    <t>Adjuvant Tx9 Agent</t>
  </si>
  <si>
    <t>Adjuvant Tx9 Start Date</t>
  </si>
  <si>
    <t>Adjuvant Tx9 End Date</t>
  </si>
  <si>
    <t>Tumour response Adjuvant  Tx9</t>
  </si>
  <si>
    <t>Adjuvant Tx10</t>
  </si>
  <si>
    <t>Adjuvant Tx10 Agent</t>
  </si>
  <si>
    <t>Adjuvant Tx10 Start Date</t>
  </si>
  <si>
    <t>Adjuvant Tx10 End Date</t>
  </si>
  <si>
    <t>Tumour response Adjuvant Tx10</t>
  </si>
  <si>
    <t>Adjuvant Tx11</t>
  </si>
  <si>
    <t>Adjuvant Tx11 Agent</t>
  </si>
  <si>
    <t>Adjuvant Tx11 Start Date</t>
  </si>
  <si>
    <t>Adjuvant Tx11 End Date</t>
  </si>
  <si>
    <t>Tumour response Adjuvant Tx11</t>
  </si>
  <si>
    <t>Adjuvant Tx12</t>
  </si>
  <si>
    <t>Adjuvant Tx12 Agent</t>
  </si>
  <si>
    <t>Adjuvant Tx12 Start Date</t>
  </si>
  <si>
    <t>Adjuvant Tx12 End Date</t>
  </si>
  <si>
    <t>Tumour response Adjuvant Tx12</t>
  </si>
  <si>
    <t>Adjuvant Tx13</t>
  </si>
  <si>
    <t>Adjuvant Tx13 Agent</t>
  </si>
  <si>
    <t>Adjuvant Tx13 Start Date</t>
  </si>
  <si>
    <t>Adjuvant Tx13 End Date</t>
  </si>
  <si>
    <t>Tumour response Adjuvant Tx13</t>
  </si>
  <si>
    <t>Adjuvant Tx14</t>
  </si>
  <si>
    <t>Adjuvant Tx14 Agent</t>
  </si>
  <si>
    <t>Adjuvant Tx14 Start Date</t>
  </si>
  <si>
    <t>Adjuvant Tx14 End Date</t>
  </si>
  <si>
    <t>Tumour response Adjuvant Tx14</t>
  </si>
  <si>
    <t>Adjuvant Tx15</t>
  </si>
  <si>
    <t>Adjuvant Tx15 Agent</t>
  </si>
  <si>
    <t>Adjuvant Tx15 Start Date</t>
  </si>
  <si>
    <t>Adjuvant Tx15 End Date</t>
  </si>
  <si>
    <t>Date recurrence/ progression 1</t>
  </si>
  <si>
    <t>Sites recurrence/ progression 1</t>
  </si>
  <si>
    <t>Date recurrence/ progression 2</t>
  </si>
  <si>
    <t>Sites recurrence/ progression 2</t>
  </si>
  <si>
    <t>Date recurrence/ progression 3</t>
  </si>
  <si>
    <t>Sites recurrence/ progression 3</t>
  </si>
  <si>
    <t>Date recurrence/ progression 4</t>
  </si>
  <si>
    <t>Sites recurrence/ progression 4</t>
  </si>
  <si>
    <t>Date recurrence/ progression 5</t>
  </si>
  <si>
    <t>Sites recurrence/ progression 5</t>
  </si>
  <si>
    <t>Date recurrence/ progression 6</t>
  </si>
  <si>
    <t>Sites recurrence/ progression 6</t>
  </si>
  <si>
    <t>Date recurrence/ progression 7</t>
  </si>
  <si>
    <t>Sites recurrence/ progression 7</t>
  </si>
  <si>
    <t>Date recurrence/ progression 8</t>
  </si>
  <si>
    <t>Sites recurrence/ progression 8</t>
  </si>
  <si>
    <t>Date recurrence/ progression 9</t>
  </si>
  <si>
    <t>Sites recurrence/ progression 9</t>
  </si>
  <si>
    <t>Date recurrence/ progression 10</t>
  </si>
  <si>
    <t>Sites recurrence/ progression 10</t>
  </si>
  <si>
    <t>Date recurrence/ progression 11</t>
  </si>
  <si>
    <t>Sites recurrence/ progression 11</t>
  </si>
  <si>
    <t>Date recurrence/ progression 12</t>
  </si>
  <si>
    <t>Sites recurrence/ progression 12</t>
  </si>
  <si>
    <t>Date recurrence/ progression 13</t>
  </si>
  <si>
    <t>Sites recurrence/ progression 13</t>
  </si>
  <si>
    <t>Date recurrence/ progression 14</t>
  </si>
  <si>
    <t>Sites recurrence/ progression 14</t>
  </si>
  <si>
    <t>Date recurrence/ progression 15</t>
  </si>
  <si>
    <t>Sites recurrence/ progression 15</t>
  </si>
  <si>
    <t>Subsequent Tx1</t>
  </si>
  <si>
    <t>Subsequent Tx1 Agent</t>
  </si>
  <si>
    <t>Subsequent Tx1 Start Date</t>
  </si>
  <si>
    <t>Subsequent Tx1 Finish Date</t>
  </si>
  <si>
    <t>Tumour response to Subsequent Tx1</t>
  </si>
  <si>
    <t>Subsequent Tx2</t>
  </si>
  <si>
    <t>Subsequent Tx2 Agent</t>
  </si>
  <si>
    <t>Subsequent Tx2 Start Date</t>
  </si>
  <si>
    <t>Subsequent Tx2 Finish Date</t>
  </si>
  <si>
    <t>Tumour response to Subsequent Tx2</t>
  </si>
  <si>
    <t>Subsequent Tx3</t>
  </si>
  <si>
    <t>Subsequent Tx3 Agent</t>
  </si>
  <si>
    <t>Subsequent Tx3 Start Date</t>
  </si>
  <si>
    <t>Subsequent Tx3 Finish Date</t>
  </si>
  <si>
    <t>Tumour response to Subsequent Tx3</t>
  </si>
  <si>
    <t>Subsequent Tx4</t>
  </si>
  <si>
    <t>Subsequent Tx4 Agent</t>
  </si>
  <si>
    <t>Subsequent Tx4 Start Date</t>
  </si>
  <si>
    <t>Subsequent Tx4 Finish Date</t>
  </si>
  <si>
    <t>Tumour response to Subsequent Tx4</t>
  </si>
  <si>
    <t>Subsequent Tx5</t>
  </si>
  <si>
    <t>Subsequent Tx5 Agent</t>
  </si>
  <si>
    <t>Subsequent Tx5 Start Date</t>
  </si>
  <si>
    <t>Subsequent Tx5 Finish Date</t>
  </si>
  <si>
    <t>Tumour response to Subsequent Tx5</t>
  </si>
  <si>
    <t>Subsequent Tx6</t>
  </si>
  <si>
    <t>Subsequent Tx6 Agent</t>
  </si>
  <si>
    <t>Subsequent Tx6 Start Date</t>
  </si>
  <si>
    <t>Subsequent Tx6 Finish Date</t>
  </si>
  <si>
    <t>Tumour response to Subsequent Tx6</t>
  </si>
  <si>
    <t>Subsequent Tx7</t>
  </si>
  <si>
    <t>Subsequent Tx7 Agent</t>
  </si>
  <si>
    <t>Subsequent Tx7 Start Date</t>
  </si>
  <si>
    <t>Subsequent Tx7 Finish Date</t>
  </si>
  <si>
    <t>Tumour response to Subsequent Tx7</t>
  </si>
  <si>
    <t>Subsequent Tx8</t>
  </si>
  <si>
    <t>Subsequent Tx8 Agent</t>
  </si>
  <si>
    <t>Subsequent Tx8 Start Date</t>
  </si>
  <si>
    <t>Subsequent Tx8 Finish Date</t>
  </si>
  <si>
    <t>Tumour response to Subsequent Tx8</t>
  </si>
  <si>
    <t>Subsequent Tx9</t>
  </si>
  <si>
    <t>Subsequent Tx9 Agent</t>
  </si>
  <si>
    <t>Subsequent Tx9 Start Date</t>
  </si>
  <si>
    <t>Subsequent Tx9 Finish Date</t>
  </si>
  <si>
    <t>Tumour response to Subsequent Tx9</t>
  </si>
  <si>
    <t>Subsequent Tx10</t>
  </si>
  <si>
    <t>Subsequent Tx10 Agent</t>
  </si>
  <si>
    <t>Subsequent Tx10 Start Date</t>
  </si>
  <si>
    <t>Subsequent Tx10 Finish Date</t>
  </si>
  <si>
    <t>Tumour response to Subsequent Tx10</t>
  </si>
  <si>
    <t>Subsequent Tx11</t>
  </si>
  <si>
    <t>Subsequent Tx11 Agent</t>
  </si>
  <si>
    <t>Subsequent Tx11 Start Date</t>
  </si>
  <si>
    <t>Subsequent Tx11 Finish Date</t>
  </si>
  <si>
    <t>Tumour response to Subsequent Tx11</t>
  </si>
  <si>
    <t>Subsequent Tx12</t>
  </si>
  <si>
    <t>Subsequent Tx12 Agent</t>
  </si>
  <si>
    <t>Subsequent Tx12 Start Date</t>
  </si>
  <si>
    <t>Subsequent Tx12 Finish Date</t>
  </si>
  <si>
    <t>Tumour response to Subsequent Tx12</t>
  </si>
  <si>
    <t>Subsequent Tx13</t>
  </si>
  <si>
    <t>Subsequent Tx13 Agent</t>
  </si>
  <si>
    <t>Subsequent Tx13 Start Date</t>
  </si>
  <si>
    <t>Subsequent Tx13 Finish Date</t>
  </si>
  <si>
    <t>Tumour response to Subsequent Tx13</t>
  </si>
  <si>
    <t>Subsequent Tx14</t>
  </si>
  <si>
    <t>Subsequent Tx14 Agent</t>
  </si>
  <si>
    <t>Subsequent Tx14 Start Date</t>
  </si>
  <si>
    <t>Subsequent Tx14 Finish Date</t>
  </si>
  <si>
    <t>Tumour response to Subsequent Tx14</t>
  </si>
  <si>
    <t>Subsequent Tx15</t>
  </si>
  <si>
    <t>Subsequent Tx15 Agent</t>
  </si>
  <si>
    <t>Subsequent Tx15 Start Date</t>
  </si>
  <si>
    <t>Subsequent Tx15 Finish Date</t>
  </si>
  <si>
    <t>Tumour response to Subsequent Tx15</t>
  </si>
  <si>
    <t>Current Status</t>
  </si>
  <si>
    <t>Death date</t>
  </si>
  <si>
    <t>Death tumour related</t>
  </si>
  <si>
    <t>Cause of death</t>
  </si>
  <si>
    <t>Date last follow-up</t>
  </si>
  <si>
    <t>Date Last Seen</t>
  </si>
  <si>
    <t>Concurrent Medical Conditions</t>
  </si>
  <si>
    <t>Comments from clinical team</t>
  </si>
  <si>
    <t>TTE Neoadjuvant Tx1 Start Date</t>
  </si>
  <si>
    <t>TTE Neoadjuvant Tx1 End Date</t>
  </si>
  <si>
    <t>TTE Neoadjuvant Tx2 Start Date</t>
  </si>
  <si>
    <t>TTE Neoadjuvant Tx2 End Date</t>
  </si>
  <si>
    <t>TTE Neoadjuvant Tx3 Start Date</t>
  </si>
  <si>
    <t>TTE Neoadjuvant Tx3 End Date</t>
  </si>
  <si>
    <t>TTE Neoadjuvant Tx4 Start Date</t>
  </si>
  <si>
    <t>TTE Neoadjuvant Tx4 End Date</t>
  </si>
  <si>
    <t>TTE Neoadjuvant Tx5 Start Date</t>
  </si>
  <si>
    <t>TTE Neoadjuvant Tx5 End Date</t>
  </si>
  <si>
    <t>TTE Neoadjuvant Tx6 Start Date</t>
  </si>
  <si>
    <t>TTE Neoadjuvant Tx6 End Date</t>
  </si>
  <si>
    <t>TTE Neoadjuvant Tx7 Start Date</t>
  </si>
  <si>
    <t>TTE Neoadjuvant Tx7 End Date</t>
  </si>
  <si>
    <t>TTE Neoadjuvant Tx8 Start Date</t>
  </si>
  <si>
    <t>TTE Neoadjuvant Tx8 End Date</t>
  </si>
  <si>
    <t>TTE Neoadjuvant Tx9 Start Date</t>
  </si>
  <si>
    <t>TTE Neoadjuvant Tx9 End Date</t>
  </si>
  <si>
    <t>TTE Neoadjuvant Tx10 Start Date</t>
  </si>
  <si>
    <t>TTE Neoadjuvant Tx10 End Date</t>
  </si>
  <si>
    <t>TTE Specimen surgery date</t>
  </si>
  <si>
    <t xml:space="preserve">TTE Primary Surgery date </t>
  </si>
  <si>
    <t xml:space="preserve">TTE Matched met 1 Surgery Date </t>
  </si>
  <si>
    <t xml:space="preserve">TTE Matched met 2 Surgery Date </t>
  </si>
  <si>
    <t xml:space="preserve">TTE Matched Normal tissue Surgery Date </t>
  </si>
  <si>
    <t>TTE Adjuvant Tx1 Start Date</t>
  </si>
  <si>
    <t>TTE Adjuvant Tx1 End Date</t>
  </si>
  <si>
    <t>TTE Adjuvant Tx2 Start Date</t>
  </si>
  <si>
    <t>TTE Adjuvant Tx2 End Date</t>
  </si>
  <si>
    <t>TTE Adjuvant Tx3 Start Date</t>
  </si>
  <si>
    <t>TTE Adjuvant Tx3 End Date</t>
  </si>
  <si>
    <t>TTE Adjuvant Tx4 Start Date</t>
  </si>
  <si>
    <t>TTE Adjuvant Tx4 End Date</t>
  </si>
  <si>
    <t>TTE Adjuvant Tx5 Start Date</t>
  </si>
  <si>
    <t>TTE Adjuvant Tx5 End Date</t>
  </si>
  <si>
    <t>TTE Adjuvant Tx6 Start Date</t>
  </si>
  <si>
    <t>TTE Adjuvant Tx6 End Date</t>
  </si>
  <si>
    <t>TTE Adjuvant Tx7 Start Date</t>
  </si>
  <si>
    <t>TTE Adjuvant Tx7 End Date</t>
  </si>
  <si>
    <t>TTE Adjuvant Tx8 Start Date</t>
  </si>
  <si>
    <t>TTE Adjuvant Tx8 End Date</t>
  </si>
  <si>
    <t>TTE Adjuvant Tx9 Start Date</t>
  </si>
  <si>
    <t>TTE Adjuvant Tx9 End Date</t>
  </si>
  <si>
    <t>TTE Adjuvant Tx10 Start Date</t>
  </si>
  <si>
    <t>TTE Adjuvant Tx10 End Date</t>
  </si>
  <si>
    <t>TTE Adjuvant Tx11 Start Date</t>
  </si>
  <si>
    <t>TTE Adjuvant Tx11 End Date</t>
  </si>
  <si>
    <t>TTE Adjuvant Tx12 Start Date</t>
  </si>
  <si>
    <t>TTE Adjuvant Tx12 End Date</t>
  </si>
  <si>
    <t>TTE Adjuvant Tx13 Start Date</t>
  </si>
  <si>
    <t>TTE Adjuvant Tx13 End Date</t>
  </si>
  <si>
    <t>TTE Adjuvant Tx14 Start Date</t>
  </si>
  <si>
    <t>TTE Adjuvant Tx14 End Date</t>
  </si>
  <si>
    <t>TTE Adjuvant Tx15 Start Date</t>
  </si>
  <si>
    <t>TTE Adjuvant Tx15 End Date</t>
  </si>
  <si>
    <t>TTE Date recurrence/ progression 1</t>
  </si>
  <si>
    <t>TTE Date recurrence/ progression 2</t>
  </si>
  <si>
    <t>TTE Date recurrence/ progression 3</t>
  </si>
  <si>
    <t>TTE Date recurrence/ progression 4</t>
  </si>
  <si>
    <t>TTE Date recurrence/ progression 5</t>
  </si>
  <si>
    <t>TTE Date recurrence/ progression 6</t>
  </si>
  <si>
    <t>TTE Date recurrence/ progression 7</t>
  </si>
  <si>
    <t>TTE Date recurrence/ progression 8</t>
  </si>
  <si>
    <t>TTE Date recurrence/ progression 9</t>
  </si>
  <si>
    <t>TTE Date recurrence/ progression 10</t>
  </si>
  <si>
    <t>TTE Date recurrence/ progression 11</t>
  </si>
  <si>
    <t>TTE Date recurrence/ progression 12</t>
  </si>
  <si>
    <t>TTE Date recurrence/ progression 13</t>
  </si>
  <si>
    <t>TTE Date recurrence/ progression 14</t>
  </si>
  <si>
    <t>TTE Date recurrence/ progression 15</t>
  </si>
  <si>
    <t>TTE Subsequent Tx1 Start Date</t>
  </si>
  <si>
    <t>TTE Subsequent Tx1 Finish Date</t>
  </si>
  <si>
    <t>TTE Subsequent Tx2 Start Date</t>
  </si>
  <si>
    <t>TTE Subsequent Tx2 Finish Date</t>
  </si>
  <si>
    <t>TTE Subsequent Tx3 Start Date</t>
  </si>
  <si>
    <t>TTE Subsequent Tx3 Finish Date</t>
  </si>
  <si>
    <t>TTE Subsequent Tx4 Start Date</t>
  </si>
  <si>
    <t>TTE Subsequent Tx4 Finish Date</t>
  </si>
  <si>
    <t>TTE Subsequent Tx5 Start Date</t>
  </si>
  <si>
    <t>TTE Subsequent Tx5 Finish Date</t>
  </si>
  <si>
    <t>TTE Subsequent Tx6 Start Date</t>
  </si>
  <si>
    <t>TTE Subsequent Tx6 Finish Date</t>
  </si>
  <si>
    <t>TTE Subsequent Tx7 Start Date</t>
  </si>
  <si>
    <t>TTE Subsequent Tx7 Finish Date</t>
  </si>
  <si>
    <t>TTE Subsequent Tx8 Start Date</t>
  </si>
  <si>
    <t>TTE Subsequent Tx8 Finish Date</t>
  </si>
  <si>
    <t>TTE Subsequent Tx9 Start Date</t>
  </si>
  <si>
    <t>TTE Subsequent Tx9 Finish Date</t>
  </si>
  <si>
    <t>TTE Subsequent Tx10 Start Date</t>
  </si>
  <si>
    <t>TTE Subsequent Tx10 Finish Date</t>
  </si>
  <si>
    <t>TTE Subsequent Tx11 Start Date</t>
  </si>
  <si>
    <t>TTE Subsequent Tx11 Finish Date</t>
  </si>
  <si>
    <t>TTE Subsequent Tx12 Start Date</t>
  </si>
  <si>
    <t>TTE Subsequent Tx12 Finish Date</t>
  </si>
  <si>
    <t>TTE Subsequent Tx13 Start Date</t>
  </si>
  <si>
    <t>TTE Subsequent Tx13 Finish Date</t>
  </si>
  <si>
    <t>TTE Subsequent Tx14 Start Date</t>
  </si>
  <si>
    <t>TTE Subsequent Tx14 Finish Date</t>
  </si>
  <si>
    <t>TTE Subsequent Tx15 Start Date</t>
  </si>
  <si>
    <t>TTE Subsequent Tx15 Finish Date</t>
  </si>
  <si>
    <t>TTE Recurrence (PFS)</t>
  </si>
  <si>
    <t>TTE Death (OS and PFS)</t>
  </si>
  <si>
    <t>TTE Date last follow-up (PFS)</t>
  </si>
  <si>
    <t>TTE Date last seen (OS)</t>
  </si>
  <si>
    <t>TTE Overall survival (OS) in months</t>
  </si>
  <si>
    <t>TTE Progression free survival (PFS) in months</t>
  </si>
  <si>
    <t>Event (recurrence/progression)</t>
  </si>
  <si>
    <t>Event (cancer death)</t>
  </si>
  <si>
    <t>Event (death; all causes)</t>
  </si>
  <si>
    <t>Event (recurrence or cancer death)</t>
  </si>
  <si>
    <t>No</t>
  </si>
  <si>
    <t>Treatment naïve</t>
  </si>
  <si>
    <t>LH15-23319</t>
  </si>
  <si>
    <t>C10</t>
  </si>
  <si>
    <t>C7</t>
  </si>
  <si>
    <t>Laparotomy with total abdominal hysterectomy, bilateral salpingo-oophorectomy, peritoneal washings and bilateral pelvic lymphadenectomy</t>
  </si>
  <si>
    <t>Uterine corpus</t>
  </si>
  <si>
    <t>N/A</t>
  </si>
  <si>
    <t>F</t>
  </si>
  <si>
    <t>Endometrioid adenocarcinoma</t>
  </si>
  <si>
    <t>Specimen</t>
  </si>
  <si>
    <t>Yes</t>
  </si>
  <si>
    <t>1A</t>
  </si>
  <si>
    <t>NR</t>
  </si>
  <si>
    <t>T1AN0M0</t>
  </si>
  <si>
    <t>LH16-14222</t>
  </si>
  <si>
    <t>A4</t>
  </si>
  <si>
    <t>A11</t>
  </si>
  <si>
    <t>Laparotomy with total abdominal hysterectomy, bilateral salpingo-oophorectomy, supracolic omentectomy, bilateral pelvic lymphadenectomy and para-aortic lymph node sampling</t>
  </si>
  <si>
    <t>3B</t>
  </si>
  <si>
    <t>T3BN0M0</t>
  </si>
  <si>
    <t>Synchronous IIA endometrioid adenocarcinoma in ovary (grade 1)</t>
  </si>
  <si>
    <t>LH17-12064</t>
  </si>
  <si>
    <t>A8</t>
  </si>
  <si>
    <t>A9</t>
  </si>
  <si>
    <t>Total laparoscopic hysterectomy, bilateral salpingo-oophorectomy, adhesiolysis, peritoneal washings and bilateral pelvic lymphadenectomy</t>
  </si>
  <si>
    <t>1B</t>
  </si>
  <si>
    <t>T1BN0M0</t>
  </si>
  <si>
    <t>LH17-18561</t>
  </si>
  <si>
    <t>Adhesiolysis, Total laparoscopic hysterectomy, bilateral salpingo-oophorectomy, pelvic lymphnode dissection, Para-aortal lymphnode dissection, paracaval lymphnode sampling</t>
  </si>
  <si>
    <t>Cervix, upper endocervical canal (tumour arising in lower uterine segment)</t>
  </si>
  <si>
    <t>T2N0M0</t>
  </si>
  <si>
    <t>LH17-31445</t>
  </si>
  <si>
    <t>A5</t>
  </si>
  <si>
    <t>A6</t>
  </si>
  <si>
    <t>Total laparoscopic hysterectomy, bilateral salpingo-oophorectomy, adhesiolysis</t>
  </si>
  <si>
    <t>LH18-18494</t>
  </si>
  <si>
    <t>A27</t>
  </si>
  <si>
    <t>Total laparoscopic hysterectomy/Bilateral salpingo-oophorectomy</t>
  </si>
  <si>
    <t>LH19-15431</t>
  </si>
  <si>
    <t>A16</t>
  </si>
  <si>
    <t>A18</t>
  </si>
  <si>
    <t>Total Robotic Hysterectomy/Bilateral salpingo-oophorectomy/Pelvic Lymphadenectomy</t>
  </si>
  <si>
    <t>Endometrioid carcinoma</t>
  </si>
  <si>
    <t>LH19-26760</t>
  </si>
  <si>
    <t>A10(L)</t>
  </si>
  <si>
    <t>A12(L)</t>
  </si>
  <si>
    <t>Total Laparoscopic Hysterectomy; Bilateral Salpingo-oophorectomy; Bilateral Pelvic Node Sampling; Peritoneal washings</t>
  </si>
  <si>
    <t>LH19-26931</t>
  </si>
  <si>
    <t>A12</t>
  </si>
  <si>
    <t>LH19-34016</t>
  </si>
  <si>
    <t>A15</t>
  </si>
  <si>
    <t xml:space="preserve">A12 </t>
  </si>
  <si>
    <t>Total abdominal hysterectomy, Bilateral salpingo-ophorectomy, Omentectomy, Pelvic lymph node sampling, Paraaortic lymph node sampling</t>
  </si>
  <si>
    <t>3A</t>
  </si>
  <si>
    <t>T3AN0M0</t>
  </si>
  <si>
    <t>LH19-34659</t>
  </si>
  <si>
    <t>A7</t>
  </si>
  <si>
    <t>Total robotic hysterectomy, bilateral salpingo-oophorectomy and bilateral pelvic lymphadenectomy</t>
  </si>
  <si>
    <t>LH19-47908</t>
  </si>
  <si>
    <t>A10</t>
  </si>
  <si>
    <t>Total laparoscopic hysterectomy, bilateral salpingo-oophorectomy and bilateral pelvic lymphadenectomy</t>
  </si>
  <si>
    <t>LH19-50535</t>
  </si>
  <si>
    <t>A14(L)</t>
  </si>
  <si>
    <t>LH19-55935</t>
  </si>
  <si>
    <t>Laparotomy/Total abdominal hysterectomy/Bilateral salpingo-oophorectomy/Omentectomy/Pelvic and para-aortic lymphadenectomy</t>
  </si>
  <si>
    <t>LH20-05949</t>
  </si>
  <si>
    <t>A17</t>
  </si>
  <si>
    <t>LH20-05951</t>
  </si>
  <si>
    <t>laparoscopically assisted total hysterectomy, bilateral salpingo-oophorectomy</t>
  </si>
  <si>
    <t>LH20-10372</t>
  </si>
  <si>
    <t>Total Laparoscopic Hysterectomy; Bilateral Salpingo-oophorectomy.</t>
  </si>
  <si>
    <t>LH20-10590</t>
  </si>
  <si>
    <t>LH20-14746</t>
  </si>
  <si>
    <t>Total Abdominal Hysterectomy; Bilateral Salpingo-oophorectomy; Bilateral Pelvic Node Sampling; Peritoneal washings.</t>
  </si>
  <si>
    <t>LH20-16019</t>
  </si>
  <si>
    <t>A26</t>
  </si>
  <si>
    <t>LH20-20082</t>
  </si>
  <si>
    <t>Laparoscopic converted to open Adhesiolysis/Total abdominal hysterectomy/Bilateral salpingo-oophorectomy/Pelvic lymphadenectomy/Omental biopsy</t>
  </si>
  <si>
    <t>LH20-24870</t>
  </si>
  <si>
    <t>Total Abdominal Hysterectomy; Bilateral Salpingo-oophorectomy; and washings</t>
  </si>
  <si>
    <t>LH20-27121</t>
  </si>
  <si>
    <t>A13</t>
  </si>
  <si>
    <t>LH20-29696</t>
  </si>
  <si>
    <t>A21</t>
  </si>
  <si>
    <t>TAH, BSO, Omentectomy, Pelvic and para-aortal LND</t>
  </si>
  <si>
    <t>LH20-30294</t>
  </si>
  <si>
    <t>Total laparoscopic hysterectomy, bilateral salpingo-oophorectomy and bilateral pelvic lymphadenectomy with adhesiolysis</t>
  </si>
  <si>
    <t>LH21-05633</t>
  </si>
  <si>
    <t>Laparotomy, total abdominal hysterectomy, bilateral salpingo-oophorectomy, pelvic lymphadenectomy, para-aortic lymph node sampling, infracolic omentectomy</t>
  </si>
  <si>
    <t>R Ovary</t>
  </si>
  <si>
    <t>LH21-05989</t>
  </si>
  <si>
    <t>Total Abdominal Hysterectomy; Bilateral Salpingo-oophorectomy; Bilateral Pelvic and Para-aortic Node sampling; Infracolic Omental Biopsy; Peritoneal Washings; Insertion of On-Q pain catheters.</t>
  </si>
  <si>
    <t>LH21-09144</t>
  </si>
  <si>
    <t>Laparotomy with total abdominal hysterectomy, bilateral salpingo-oophorectomy, infracolic omentectomy, bilateral pelvic lymphadenectomy and para-aortic lymph node sampling</t>
  </si>
  <si>
    <t>LH21-10715</t>
  </si>
  <si>
    <t>Total laparoscopic hysterectomy, bilateral salpingo-oophorectomy</t>
  </si>
  <si>
    <t>LH21-16894</t>
  </si>
  <si>
    <t>A19</t>
  </si>
  <si>
    <t>LH21-18821</t>
  </si>
  <si>
    <t>Total laparoscopic hysterectomy, bilateral salpingo-oophorectomy, pelvic lymphadenectomy</t>
  </si>
  <si>
    <t>LH21-25455</t>
  </si>
  <si>
    <t>A20</t>
  </si>
  <si>
    <t>Staging TAH, BSO, Lymphadenectomy, infracolic omentectomy, excision hernia, washings</t>
  </si>
  <si>
    <t>LH21-32594</t>
  </si>
  <si>
    <t>A3</t>
  </si>
  <si>
    <t>Interval debulking surgery, TAH, BSO, Omentectomy, Bladder peritoneum biopsy</t>
  </si>
  <si>
    <t>Endometrial polyp</t>
  </si>
  <si>
    <t>Synchronous stage IVB low grade serous ovarian cancer; patient treated with 3 cycles carboplatin plus paclitaxel prior to interval debulking surgery</t>
  </si>
  <si>
    <t>Immunotherapy naïve</t>
  </si>
  <si>
    <t>LH21-34655</t>
  </si>
  <si>
    <t>A1</t>
  </si>
  <si>
    <t>Total Abdominal Hysterectomy; Bilateral Salpingo-oophorectomy; Supracolic Omentectomy; Appendicectomy; Peritoneal Biopsies; Removal of Portec drain Left side of abdomen.</t>
  </si>
  <si>
    <t>B15</t>
  </si>
  <si>
    <t>Ovary</t>
  </si>
  <si>
    <t>Endometrioid carcinoma with prominent mucinous metaplasia</t>
  </si>
  <si>
    <t>LH21-36998</t>
  </si>
  <si>
    <t>Robotic hysterectomy, RSO and pelvic lymphadenectomy</t>
  </si>
  <si>
    <t>LH21-42424</t>
  </si>
  <si>
    <t>A17(L)</t>
  </si>
  <si>
    <t>Lap Total Abdominal Hysterectomy; Bilateral Salpingo-oophorectomy</t>
  </si>
  <si>
    <t>LH21-43784</t>
  </si>
  <si>
    <t>A14</t>
  </si>
  <si>
    <t>Total laparoscopic hysterectomy, bilateral salpingo-oophorectomy,</t>
  </si>
  <si>
    <t>LH22-03117</t>
  </si>
  <si>
    <t>A24</t>
  </si>
  <si>
    <t>laparoscopic converted to open total abdominal hysterectomy and bilateral salpingo-oopherectomy and pelvic and paraaortic lymphadenectomy and omental biopsy</t>
  </si>
  <si>
    <t>LH22-08832</t>
  </si>
  <si>
    <t>A25</t>
  </si>
  <si>
    <t>Robotic hysterectomy, bilateral salpingo-oophorectomy and pelvic lymphadenectomy</t>
  </si>
  <si>
    <t>LH22-09726</t>
  </si>
  <si>
    <t>1a</t>
  </si>
  <si>
    <t>x</t>
  </si>
  <si>
    <t>LH22-13156</t>
  </si>
  <si>
    <t>Total robotic hysterectomy, bilateral salpingo-oophorectomy and pelvic lymphadenectomy</t>
  </si>
  <si>
    <t>LH22-30932</t>
  </si>
  <si>
    <t>hysterectomy and BSO (removal of tubes and ovaries)</t>
  </si>
  <si>
    <t>LH22-39796</t>
  </si>
  <si>
    <t>vaginal hysterectomy + BSO</t>
  </si>
  <si>
    <t>LH22-41745</t>
  </si>
  <si>
    <t>Total laparoscopic hysterectomy</t>
  </si>
  <si>
    <t>Synchronous colorectal cancer</t>
  </si>
  <si>
    <t>LH22-41785</t>
  </si>
  <si>
    <t>A13(L)</t>
  </si>
  <si>
    <t>hysterectomy and BSO</t>
  </si>
  <si>
    <t>LH22-42642</t>
  </si>
  <si>
    <t>A2</t>
  </si>
  <si>
    <t xml:space="preserve">A1 </t>
  </si>
  <si>
    <t>Staging laparotomy modified radical hysterectomy + BSO, omentectomy, pelvic and PA lymph node dissection</t>
  </si>
  <si>
    <t>Cervix (endometrial tumour invades cervical stroma)</t>
  </si>
  <si>
    <t>T2N2M0</t>
  </si>
  <si>
    <t>Donor ID</t>
  </si>
  <si>
    <t>LDS0002771</t>
  </si>
  <si>
    <t>LDS0002772</t>
  </si>
  <si>
    <t>LDS0002773</t>
  </si>
  <si>
    <t>LDS0002774</t>
  </si>
  <si>
    <t>LDS0002775</t>
  </si>
  <si>
    <t>LDS0002776</t>
  </si>
  <si>
    <t>LDS0002777</t>
  </si>
  <si>
    <t>LDS0002778</t>
  </si>
  <si>
    <t>LDS0002779</t>
  </si>
  <si>
    <t>LDS0002780</t>
  </si>
  <si>
    <t>LDS0002781</t>
  </si>
  <si>
    <t>LDS0002782</t>
  </si>
  <si>
    <t>LDS0002783</t>
  </si>
  <si>
    <t>LDS0002784</t>
  </si>
  <si>
    <t>LDS0002785</t>
  </si>
  <si>
    <t>LDS0002786</t>
  </si>
  <si>
    <t>LDS0002787</t>
  </si>
  <si>
    <t>LDS0002788</t>
  </si>
  <si>
    <t>LDS0002789</t>
  </si>
  <si>
    <t>LDS0002790</t>
  </si>
  <si>
    <t>LDS0002791</t>
  </si>
  <si>
    <t>LDS0002792</t>
  </si>
  <si>
    <t>LDS0002793</t>
  </si>
  <si>
    <t>LDS0002794</t>
  </si>
  <si>
    <t>LDS0002795</t>
  </si>
  <si>
    <t>LDS0002796</t>
  </si>
  <si>
    <t>LDS0002797</t>
  </si>
  <si>
    <t>LDS0002798</t>
  </si>
  <si>
    <t>LDS0002799</t>
  </si>
  <si>
    <t>LDS0002800</t>
  </si>
  <si>
    <t>LDS0002801</t>
  </si>
  <si>
    <t>LDS0002802</t>
  </si>
  <si>
    <t>LDS0002803</t>
  </si>
  <si>
    <t>LDS0002804</t>
  </si>
  <si>
    <t>LDS0002805</t>
  </si>
  <si>
    <t>LDS0002806</t>
  </si>
  <si>
    <t>LDS0002807</t>
  </si>
  <si>
    <t>LDS0002808</t>
  </si>
  <si>
    <t>LDS0002809</t>
  </si>
  <si>
    <t>LDS0002810</t>
  </si>
  <si>
    <t>LDS0002811</t>
  </si>
  <si>
    <t>LDS0002812</t>
  </si>
  <si>
    <t>LDS0002813</t>
  </si>
  <si>
    <t>LDS0002814</t>
  </si>
  <si>
    <t>LDS0002815</t>
  </si>
  <si>
    <t>LDS0002816</t>
  </si>
  <si>
    <t>Specimen number used for screening (if different)</t>
  </si>
  <si>
    <t>Block used for MMR IHC</t>
  </si>
  <si>
    <t>MMR result (normal/abnormal)</t>
  </si>
  <si>
    <t>MLH1 IHC (pos / neg / clonal neg)</t>
  </si>
  <si>
    <t>PMS2 IHC (pos/ neg / clonal neg</t>
  </si>
  <si>
    <t>MSH2 IHC (pos/ neg / clonal neg</t>
  </si>
  <si>
    <t>MSH6 IHC (pos/ neg/ clonal neg)</t>
  </si>
  <si>
    <t>FIGO staging</t>
  </si>
  <si>
    <t>Normal</t>
  </si>
  <si>
    <t>Pos</t>
  </si>
  <si>
    <t>IA</t>
  </si>
  <si>
    <t>IIIB</t>
  </si>
  <si>
    <t>IB</t>
  </si>
  <si>
    <t>II</t>
  </si>
  <si>
    <t>3C1</t>
  </si>
  <si>
    <t>IIIA</t>
  </si>
  <si>
    <t>IIIC2</t>
  </si>
  <si>
    <t>LH19-36754</t>
  </si>
  <si>
    <t>A6, A7 and A10</t>
  </si>
  <si>
    <t>A14, A16</t>
  </si>
  <si>
    <t>LH20-23509</t>
  </si>
  <si>
    <t>IIIC1</t>
  </si>
  <si>
    <t>A4 &amp; A14</t>
  </si>
  <si>
    <t>LH20-40011</t>
  </si>
  <si>
    <t>LH20-31331</t>
  </si>
  <si>
    <t>LH21-9892</t>
  </si>
  <si>
    <t>LH21-16486</t>
  </si>
  <si>
    <t>LH21-35662</t>
  </si>
  <si>
    <t>LH21-33030</t>
  </si>
  <si>
    <t>LH22-00334</t>
  </si>
  <si>
    <t>LH22-2566</t>
  </si>
  <si>
    <t>LH22-18606</t>
  </si>
  <si>
    <t>LH22-30799</t>
  </si>
  <si>
    <t>LH22-19045</t>
  </si>
  <si>
    <t>LH22-32654</t>
  </si>
  <si>
    <t>LH22-30470</t>
  </si>
  <si>
    <t>LH14-10711</t>
  </si>
  <si>
    <t>Total Laparoscopic Hysterectomy; Bilateral Salpingo-oophorectomy; Peritoneal Washings.</t>
  </si>
  <si>
    <t>LH15-23944</t>
  </si>
  <si>
    <t>Laparotomy, TAH,BSO,Omentectomy, pelvic para-aortic lymph node sampling, adhesiolysis</t>
  </si>
  <si>
    <t>De-differentiated endometrioid adenocarcinoma plus grade 1 endometrioid adenocarcinoma</t>
  </si>
  <si>
    <t>see histological diagnosis</t>
  </si>
  <si>
    <t>LH16-50384</t>
  </si>
  <si>
    <t>Laparoscopic converted to open total abdominal hysterectomy, bilateral salpingo-oophorectomy, infracolic omentectomy, pelvic lymphadenectomy, para-aortic lymphadenectomy, right hemicolectomy, ureterolysis</t>
  </si>
  <si>
    <t>LH17-23872</t>
  </si>
  <si>
    <t>Uterine isthmus and parametrium</t>
  </si>
  <si>
    <t>LH18-57568</t>
  </si>
  <si>
    <t>Total robotic Hysterectomy and bilateral salpingo-oophorectomy and pelvic lymphadenectomy</t>
  </si>
  <si>
    <t>Uterine corpus (Right cornua, Right lateral wall with tumour)</t>
  </si>
  <si>
    <t>LH19-00842</t>
  </si>
  <si>
    <t>Laparotomy with total abdominal hysterectomy, bilateral salpingo-oophorectomy, supracolic omentectomy, bilateral pelvic and para-aortic lymph node sampling, excision of left groin node and excision of vaginal nodule with adhesiolysis</t>
  </si>
  <si>
    <t>B1</t>
  </si>
  <si>
    <t>Omental fat</t>
  </si>
  <si>
    <t>LH19-16201</t>
  </si>
  <si>
    <t>Total abdominal hysterectomy and bilateral salpingo-oophorectomy</t>
  </si>
  <si>
    <t>Uterine corpus (Right cornua), parametrium</t>
  </si>
  <si>
    <t>LH19-44272</t>
  </si>
  <si>
    <t>NA</t>
  </si>
  <si>
    <t xml:space="preserve"> Endometrioid adenocarcinoma</t>
  </si>
  <si>
    <t>LH19-46994</t>
  </si>
  <si>
    <t>Total laparoscopic hysterectomy + bilateral salpingo-oophorectomy</t>
  </si>
  <si>
    <t>LH19-48726</t>
  </si>
  <si>
    <t>Total Laparoscopic Hysterectomy+BSO</t>
  </si>
  <si>
    <t>LH19-51493</t>
  </si>
  <si>
    <t>Laparotomy with total abdominal hysterectomy, bilateral salpingo-oophorectomy, infracolic omentectomy, bilateral pelvic lymphadenectomy and excision of tumour from sigmoid mesentery.</t>
  </si>
  <si>
    <t>C5</t>
  </si>
  <si>
    <t>Right pelvic node</t>
  </si>
  <si>
    <t>LH19-55773</t>
  </si>
  <si>
    <t>TAH and BSO and pelvic and paraaortic lymphadenectomy and omentectomy and peritoneal biopsy and adhesiolysis</t>
  </si>
  <si>
    <t>LH19-55776</t>
  </si>
  <si>
    <t>Total laparoscopic hysterectomy and bilateral salpingo-oophorectomy</t>
  </si>
  <si>
    <t>LH20-02467</t>
  </si>
  <si>
    <t>LH20-04733</t>
  </si>
  <si>
    <t>Laparotomy with total abdominal hysterectomy, bilateral salpingo-oophoretomy, peritoneal biopsies and omentectomy</t>
  </si>
  <si>
    <t>see notes from clinical team</t>
  </si>
  <si>
    <t>Synchronous metastatic pancreatic adenocarcinoma (stage T4N1M1)</t>
  </si>
  <si>
    <t>endometrial cancer originally clinically staged as IVB but metastases found to be of pancreatic origin on pathological examination so restaged to IB</t>
  </si>
  <si>
    <t>LH20-11489</t>
  </si>
  <si>
    <t>TAH &amp; BSO</t>
  </si>
  <si>
    <t>LH20-13233</t>
  </si>
  <si>
    <t>TAH and Bso and omenctomy and pelvic and paraaortic lymphadenectomy and omentectomy</t>
  </si>
  <si>
    <t>Endomyometrium both walls</t>
  </si>
  <si>
    <t>LH20-13539</t>
  </si>
  <si>
    <t>TAH, BSO, pelvic and paraaortic lymph node sampling, infracolic omentectomy</t>
  </si>
  <si>
    <t>LH20-20367</t>
  </si>
  <si>
    <t>Uterine corpus (lower uterine segment)</t>
  </si>
  <si>
    <t>LH20-21078</t>
  </si>
  <si>
    <t>TRH, BSO + pelvic lymph node dissection, omental biopsy, adhesiolysis</t>
  </si>
  <si>
    <t>Parametrium, uterine corpus</t>
  </si>
  <si>
    <t>LH20-28234</t>
  </si>
  <si>
    <t>Laparotomy, total abdominal hysterectomy, bilateral salpingo-oophorectomy, bilateral pelvic node dissection and infracolic omentectomy</t>
  </si>
  <si>
    <t>LH20-30563</t>
  </si>
  <si>
    <t>A22</t>
  </si>
  <si>
    <t>Laparoscopy converted to open adhesiolysis, total abdominal hysterectomy, bilateral salpingo-oophorectomy, pelvic lymphadenectomy and omental biopsy</t>
  </si>
  <si>
    <t>Uterine corpus (Left cornua), Right parametrium</t>
  </si>
  <si>
    <t>LH21-08017</t>
  </si>
  <si>
    <t>Robotic hysterectomy, bilateral salpingo-oophorectomy and bilateral pelvic lymphadenectomy</t>
  </si>
  <si>
    <t>LH21-08798</t>
  </si>
  <si>
    <t>LH21-09194</t>
  </si>
  <si>
    <t>A23</t>
  </si>
  <si>
    <t>Total Laparoscopic Hysterectomy plus Bilateral Salpingo-ophorectomy</t>
  </si>
  <si>
    <t>LH21-21851</t>
  </si>
  <si>
    <t>A8(L)</t>
  </si>
  <si>
    <t>Laparotomy/Drainage of ascites/Extensive adhesiolysis/Total abdominal hysterectomy/Bilateral salpingo-oophorectomy/Pelvic and Para-aortic lymphadenectomy/Total omentectomy/Appendicectomy</t>
  </si>
  <si>
    <t>LH21-24685</t>
  </si>
  <si>
    <t>Total laparoscopic hysterectomy and R salpingo-oophorectomy</t>
  </si>
  <si>
    <t>LH21-28788</t>
  </si>
  <si>
    <t>Laparotomy/Total abdominal hysterectomy/Bilateral salpingo-oophorectomy/Pelvic and Para-aortic lymphadenectomy/Omentectomy</t>
  </si>
  <si>
    <t>Right and left parametrium</t>
  </si>
  <si>
    <t>LH21-30451</t>
  </si>
  <si>
    <t>TLH &amp; BSO</t>
  </si>
  <si>
    <t>Uterine corpus (R cornua)</t>
  </si>
  <si>
    <t>LH21-37118</t>
  </si>
  <si>
    <t>Laparotomy/TAH/BSO/Omentectomy/Pelvic and para-aortic lymph node sampling/peritoneal washings</t>
  </si>
  <si>
    <t>LH21-38962</t>
  </si>
  <si>
    <t>TRH and BSO and Pelvic lymphdenectomy and omental biopsy</t>
  </si>
  <si>
    <t>Endometrium, Cervix</t>
  </si>
  <si>
    <t>LH22-04761</t>
  </si>
  <si>
    <t>Total robotic hysterectomy and bilateral salpingo-oophorecomy</t>
  </si>
  <si>
    <t>LH22-06036</t>
  </si>
  <si>
    <t>LH22-11424</t>
  </si>
  <si>
    <t>LH22-13562</t>
  </si>
  <si>
    <t>Total abdominal hysterectomy, bilateral salpingo-oophorectomy, washings, omentectomy and removal of peritoneal nodules</t>
  </si>
  <si>
    <t>C1</t>
  </si>
  <si>
    <t>Left paracolic gutter peritoneum</t>
  </si>
  <si>
    <t>1 (peritoneal metastases)</t>
  </si>
  <si>
    <t>LH22-14651</t>
  </si>
  <si>
    <t>LH22-23825</t>
  </si>
  <si>
    <t>LH22-33269</t>
  </si>
  <si>
    <t>A6(L)</t>
  </si>
  <si>
    <t>LH22-36561</t>
  </si>
  <si>
    <t>Total Robotic Hysterectomy/Bilateral Salpingo-oophorectomy</t>
  </si>
  <si>
    <t>LH22-46291</t>
  </si>
  <si>
    <t>Total Laparoscopic Hysterectomy; Bilateral Salpingo-oophorectomy; Bilateral Sentinel and bilateral pelvic node sampling; Peritoneal Washings.</t>
  </si>
  <si>
    <t>Cervix</t>
  </si>
  <si>
    <t>LH22-48130</t>
  </si>
  <si>
    <t xml:space="preserve">Staging laparotomy: TAH BSO pelvic and para-aortic lymphadenectomy and omentectomy plus washings. </t>
  </si>
  <si>
    <t>LH22-48610</t>
  </si>
  <si>
    <t>TAH, BSO, pelvic LND, omentectomy, and washings for endometrial cancer.</t>
  </si>
  <si>
    <t>Cervix, Lower uterine segment</t>
  </si>
  <si>
    <t>LDS0002817</t>
  </si>
  <si>
    <t>LDS0002818</t>
  </si>
  <si>
    <t>LDS0002819</t>
  </si>
  <si>
    <t>LDS0002820</t>
  </si>
  <si>
    <t>LDS0002821</t>
  </si>
  <si>
    <t>LDS0002822</t>
  </si>
  <si>
    <t>LDS0002823</t>
  </si>
  <si>
    <t>LDS0002824</t>
  </si>
  <si>
    <t>LDS0002825</t>
  </si>
  <si>
    <t>LDS0002826</t>
  </si>
  <si>
    <t>LDS0002827</t>
  </si>
  <si>
    <t>LDS0002828</t>
  </si>
  <si>
    <t>LDS0002829</t>
  </si>
  <si>
    <t>LDS0002830</t>
  </si>
  <si>
    <t>LDS0002831</t>
  </si>
  <si>
    <t>LDS0002832</t>
  </si>
  <si>
    <t>LDS0002833</t>
  </si>
  <si>
    <t>LDS0002834</t>
  </si>
  <si>
    <t>LDS0002835</t>
  </si>
  <si>
    <t>LDS0002836</t>
  </si>
  <si>
    <t>LDS0002837</t>
  </si>
  <si>
    <t>LDS0002838</t>
  </si>
  <si>
    <t>LDS0002839</t>
  </si>
  <si>
    <t>LDS0002840</t>
  </si>
  <si>
    <t>LDS0002841</t>
  </si>
  <si>
    <t>LDS0002842</t>
  </si>
  <si>
    <t>LDS0002843</t>
  </si>
  <si>
    <t>LDS0002844</t>
  </si>
  <si>
    <t>LDS0002845</t>
  </si>
  <si>
    <t>LDS0002846</t>
  </si>
  <si>
    <t>LDS0002847</t>
  </si>
  <si>
    <t>LDS0002848</t>
  </si>
  <si>
    <t>LDS0002849</t>
  </si>
  <si>
    <t>LDS0002850</t>
  </si>
  <si>
    <t>LDS0002851</t>
  </si>
  <si>
    <t>LDS0002852</t>
  </si>
  <si>
    <t>LDS0002853</t>
  </si>
  <si>
    <t>LDS0002854</t>
  </si>
  <si>
    <t>LDS0002855</t>
  </si>
  <si>
    <t>LDS0002856</t>
  </si>
  <si>
    <t>LDS0002857</t>
  </si>
  <si>
    <t>MLH1 promoter hypermethylation (Detected/not detected/not tested)</t>
  </si>
  <si>
    <t>Lynch Syndrome</t>
  </si>
  <si>
    <t>Abnormal</t>
  </si>
  <si>
    <t>Neg</t>
  </si>
  <si>
    <t>Detected</t>
  </si>
  <si>
    <t>Unlikely</t>
  </si>
  <si>
    <t>A7, B2</t>
  </si>
  <si>
    <t>IVB</t>
  </si>
  <si>
    <t>Clonal neg</t>
  </si>
  <si>
    <t>PH19295-19</t>
  </si>
  <si>
    <t>LH20-04656</t>
  </si>
  <si>
    <t>LH20-05228</t>
  </si>
  <si>
    <t>LH21-1646</t>
  </si>
  <si>
    <t>LH21-19360</t>
  </si>
  <si>
    <t>LH21-26147</t>
  </si>
  <si>
    <t>Biopsy</t>
  </si>
  <si>
    <t>LH21-48980</t>
  </si>
  <si>
    <t>LH22-6055</t>
  </si>
  <si>
    <t>LH22-04631</t>
  </si>
  <si>
    <t>LH22-06678</t>
  </si>
  <si>
    <t>LH22-39633</t>
  </si>
  <si>
    <t>LH22-37219</t>
  </si>
  <si>
    <t>Therapy type</t>
  </si>
  <si>
    <t>Yes/No</t>
  </si>
  <si>
    <t>A= grade 3+, B = grade 4+, C= Grade 6+</t>
  </si>
  <si>
    <r>
      <rPr>
        <sz val="10"/>
        <color rgb="FFFF0000"/>
        <rFont val="Arial"/>
        <family val="2"/>
      </rPr>
      <t>Red text</t>
    </r>
    <r>
      <rPr>
        <sz val="10"/>
        <color rgb="FF000000"/>
        <rFont val="Arial"/>
        <family val="2"/>
      </rPr>
      <t xml:space="preserve"> = cells to select for formula</t>
    </r>
  </si>
  <si>
    <t>Radiotherapy</t>
  </si>
  <si>
    <t>When copying and pasting formulas, you need to delete the ' before the =</t>
  </si>
  <si>
    <t>Chemotherapy</t>
  </si>
  <si>
    <t>Primary tumour</t>
  </si>
  <si>
    <t>Header</t>
  </si>
  <si>
    <t>A</t>
  </si>
  <si>
    <t>Column</t>
  </si>
  <si>
    <t>Immunotherapy</t>
  </si>
  <si>
    <t>Immunotherapy only</t>
  </si>
  <si>
    <t>Mixed therapy</t>
  </si>
  <si>
    <t>Mixed treatment</t>
  </si>
  <si>
    <t>B</t>
  </si>
  <si>
    <t>Age at diagnosis</t>
  </si>
  <si>
    <t>=DATEDIF(DOB, DODx,"Y")</t>
  </si>
  <si>
    <t>Other</t>
  </si>
  <si>
    <t>C</t>
  </si>
  <si>
    <t>Quarter formula</t>
  </si>
  <si>
    <t>=IFERROR("Q" &amp;INT((MONTH(cell with date)+2)/3) &amp; "-" &amp; YEAR(same cell with date),"N/A")</t>
  </si>
  <si>
    <t>D</t>
  </si>
  <si>
    <t>The months between two dates in decimals</t>
  </si>
  <si>
    <t>=IFERROR((YEARFRAC(DODx,cell with date)*12),"N/A")</t>
  </si>
  <si>
    <t>E</t>
  </si>
  <si>
    <t>OS</t>
  </si>
  <si>
    <r>
      <t>=SUM(</t>
    </r>
    <r>
      <rPr>
        <sz val="10"/>
        <color rgb="FFFF0000"/>
        <rFont val="Arial"/>
        <family val="2"/>
      </rPr>
      <t>time to event death</t>
    </r>
    <r>
      <rPr>
        <sz val="10"/>
        <color rgb="FF000000"/>
        <rFont val="Arial"/>
        <family val="2"/>
      </rPr>
      <t>,Time to event date last seen)</t>
    </r>
  </si>
  <si>
    <t>PFS</t>
  </si>
  <si>
    <t>=INDEX(Time to event recurrence;time to event death;Time to event date last follow-up,MATCH(TRUE,INDEX(ISNUMBER(),0),0))</t>
  </si>
  <si>
    <t>G</t>
  </si>
  <si>
    <r>
      <t>=IF(</t>
    </r>
    <r>
      <rPr>
        <sz val="10"/>
        <color rgb="FFFF0000"/>
        <rFont val="Arial"/>
        <family val="2"/>
      </rPr>
      <t>Time to event recurrence</t>
    </r>
    <r>
      <rPr>
        <sz val="10"/>
        <color rgb="FF000000"/>
        <rFont val="Arial"/>
        <family val="2"/>
      </rPr>
      <t>="N/A",0,1)</t>
    </r>
  </si>
  <si>
    <t>H</t>
  </si>
  <si>
    <r>
      <t>=IF(=</t>
    </r>
    <r>
      <rPr>
        <sz val="10"/>
        <color rgb="FFFF0000"/>
        <rFont val="Arial"/>
        <family val="2"/>
      </rPr>
      <t>Death due to tumour/ assumed tumour related</t>
    </r>
    <r>
      <rPr>
        <sz val="10"/>
        <color rgb="FF000000"/>
        <rFont val="Arial"/>
        <family val="2"/>
      </rPr>
      <t xml:space="preserve"> Yes/No"Yes",1,0)</t>
    </r>
  </si>
  <si>
    <t>I</t>
  </si>
  <si>
    <r>
      <t>=IF(</t>
    </r>
    <r>
      <rPr>
        <sz val="10"/>
        <color rgb="FFFF0000"/>
        <rFont val="Arial"/>
        <family val="2"/>
      </rPr>
      <t>time to event death</t>
    </r>
    <r>
      <rPr>
        <sz val="10"/>
        <color rgb="FF000000"/>
        <rFont val="Arial"/>
        <family val="2"/>
      </rPr>
      <t>="N/A",0,1)</t>
    </r>
  </si>
  <si>
    <t>J</t>
  </si>
  <si>
    <r>
      <t>=IF(OR(</t>
    </r>
    <r>
      <rPr>
        <sz val="10"/>
        <color rgb="FFFF0000"/>
        <rFont val="Arial"/>
        <family val="2"/>
      </rPr>
      <t>Event recurrence/progression</t>
    </r>
    <r>
      <rPr>
        <sz val="10"/>
        <color rgb="FF000000"/>
        <rFont val="Arial"/>
        <family val="2"/>
      </rPr>
      <t>=1,</t>
    </r>
    <r>
      <rPr>
        <sz val="10"/>
        <color rgb="FFFF0000"/>
        <rFont val="Arial"/>
        <family val="2"/>
      </rPr>
      <t>Event cancer death</t>
    </r>
    <r>
      <rPr>
        <sz val="10"/>
        <color rgb="FF000000"/>
        <rFont val="Arial"/>
        <family val="2"/>
      </rPr>
      <t>=1),"1","0")</t>
    </r>
  </si>
  <si>
    <t>K</t>
  </si>
  <si>
    <t>Combine TNM</t>
  </si>
  <si>
    <r>
      <rPr>
        <sz val="10"/>
        <color rgb="FF000000"/>
        <rFont val="Arial"/>
      </rPr>
      <t>=CONCATENATE("T",</t>
    </r>
    <r>
      <rPr>
        <sz val="10"/>
        <color rgb="FFFF0000"/>
        <rFont val="Arial"/>
      </rPr>
      <t>cell with pT,</t>
    </r>
    <r>
      <rPr>
        <sz val="10"/>
        <color rgb="FF000000"/>
        <rFont val="Arial"/>
      </rPr>
      <t>"N",</t>
    </r>
    <r>
      <rPr>
        <sz val="10"/>
        <color rgb="FFFF0000"/>
        <rFont val="Arial"/>
      </rPr>
      <t>cell with pN</t>
    </r>
    <r>
      <rPr>
        <sz val="10"/>
        <color rgb="FF000000"/>
        <rFont val="Arial"/>
      </rPr>
      <t>,"M",</t>
    </r>
    <r>
      <rPr>
        <sz val="10"/>
        <color rgb="FFFF0000"/>
        <rFont val="Arial"/>
      </rPr>
      <t>cell with cM</t>
    </r>
    <r>
      <rPr>
        <sz val="10"/>
        <color rgb="FF000000"/>
        <rFont val="Arial"/>
      </rPr>
      <t>)</t>
    </r>
  </si>
  <si>
    <t>Combine text from 2 cells</t>
  </si>
  <si>
    <r>
      <t>=</t>
    </r>
    <r>
      <rPr>
        <sz val="10"/>
        <color rgb="FFFF0000"/>
        <rFont val="Arial"/>
        <family val="2"/>
      </rPr>
      <t>cell number</t>
    </r>
    <r>
      <rPr>
        <sz val="10"/>
        <color rgb="FF000000"/>
        <rFont val="Arial"/>
        <family val="2"/>
      </rPr>
      <t>&amp;" "&amp;</t>
    </r>
    <r>
      <rPr>
        <sz val="10"/>
        <color rgb="FFFF0000"/>
        <rFont val="Arial"/>
        <family val="2"/>
      </rPr>
      <t>second cell</t>
    </r>
  </si>
  <si>
    <t>L</t>
  </si>
  <si>
    <t>M</t>
  </si>
  <si>
    <t>N</t>
  </si>
  <si>
    <t>O</t>
  </si>
  <si>
    <t>=DATEDIF(DODx, DOD,"d"),OR DATEDIF(DODx,DLS,"d")</t>
  </si>
  <si>
    <t>P</t>
  </si>
  <si>
    <t>Q</t>
  </si>
  <si>
    <t>R</t>
  </si>
  <si>
    <t>S</t>
  </si>
  <si>
    <t>T</t>
  </si>
  <si>
    <t>U</t>
  </si>
  <si>
    <t>V</t>
  </si>
  <si>
    <t>W</t>
  </si>
  <si>
    <t>X</t>
  </si>
  <si>
    <t>Y</t>
  </si>
  <si>
    <t>Z</t>
  </si>
  <si>
    <t>AA</t>
  </si>
  <si>
    <t>AB</t>
  </si>
  <si>
    <t>AC</t>
  </si>
  <si>
    <t>AD</t>
  </si>
  <si>
    <t>AE</t>
  </si>
  <si>
    <t>AF</t>
  </si>
  <si>
    <t>AG</t>
  </si>
  <si>
    <t>AH</t>
  </si>
  <si>
    <t>AI</t>
  </si>
  <si>
    <t>AJ</t>
  </si>
  <si>
    <t>AK</t>
  </si>
  <si>
    <t>AL</t>
  </si>
  <si>
    <t>AM</t>
  </si>
  <si>
    <t>AN</t>
  </si>
  <si>
    <t>AO</t>
  </si>
  <si>
    <t>AP</t>
  </si>
  <si>
    <t>AQ</t>
  </si>
  <si>
    <t>AR</t>
  </si>
  <si>
    <t>AS</t>
  </si>
  <si>
    <t>AT</t>
  </si>
  <si>
    <t>AU</t>
  </si>
  <si>
    <t>AV</t>
  </si>
  <si>
    <t>AW</t>
  </si>
  <si>
    <t>AX</t>
  </si>
  <si>
    <t>AY</t>
  </si>
  <si>
    <t>AZ</t>
  </si>
  <si>
    <t>BA</t>
  </si>
  <si>
    <t>BB</t>
  </si>
  <si>
    <t>BC</t>
  </si>
  <si>
    <t>BD</t>
  </si>
  <si>
    <t>BE</t>
  </si>
  <si>
    <t>BF</t>
  </si>
  <si>
    <t>BG</t>
  </si>
  <si>
    <t>BH</t>
  </si>
  <si>
    <t>BI</t>
  </si>
  <si>
    <t>BJ</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</si>
  <si>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</si>
  <si>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</si>
  <si>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</si>
  <si>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</si>
  <si>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</si>
  <si>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</si>
  <si>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</si>
  <si>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</si>
  <si>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</si>
  <si>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</si>
  <si>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</si>
  <si>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</si>
  <si>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</si>
  <si>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</si>
  <si>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</si>
  <si>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</si>
  <si>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</si>
  <si>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</si>
  <si>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</si>
  <si>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</si>
  <si>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</si>
  <si>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</si>
  <si>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</si>
  <si>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</si>
  <si>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</si>
  <si>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CJ</t>
  </si>
  <si>
    <t>CK</t>
  </si>
  <si>
    <t>CL</t>
  </si>
  <si>
    <t>CM</t>
  </si>
  <si>
    <t>CN</t>
  </si>
  <si>
    <t>CO</t>
  </si>
  <si>
    <t>CP</t>
  </si>
  <si>
    <t>CQ</t>
  </si>
  <si>
    <t>CR</t>
  </si>
  <si>
    <t>CS</t>
  </si>
  <si>
    <t>CT</t>
  </si>
  <si>
    <t>CU</t>
  </si>
  <si>
    <t>CV</t>
  </si>
  <si>
    <t>CW</t>
  </si>
  <si>
    <t>CX</t>
  </si>
  <si>
    <t>CY</t>
  </si>
  <si>
    <t>CZ</t>
  </si>
  <si>
    <t>DA</t>
  </si>
  <si>
    <t>DB</t>
  </si>
  <si>
    <t>DC</t>
  </si>
  <si>
    <t>DD</t>
  </si>
  <si>
    <t>DE</t>
  </si>
  <si>
    <t>DF</t>
  </si>
  <si>
    <t>DG</t>
  </si>
  <si>
    <t>DH</t>
  </si>
  <si>
    <t>DI</t>
  </si>
  <si>
    <t>DJ</t>
  </si>
  <si>
    <t>DK</t>
  </si>
  <si>
    <t>DL</t>
  </si>
  <si>
    <t>DM</t>
  </si>
  <si>
    <t>DN</t>
  </si>
  <si>
    <t>DO</t>
  </si>
  <si>
    <t>DP</t>
  </si>
  <si>
    <t>DQ</t>
  </si>
  <si>
    <t>DR</t>
  </si>
  <si>
    <t>DS</t>
  </si>
  <si>
    <t>DT</t>
  </si>
  <si>
    <t>DU</t>
  </si>
  <si>
    <t>DV</t>
  </si>
  <si>
    <t>DW</t>
  </si>
  <si>
    <t>DX</t>
  </si>
  <si>
    <t>DY</t>
  </si>
  <si>
    <t>DZ</t>
  </si>
  <si>
    <t>EA</t>
  </si>
  <si>
    <t>EB</t>
  </si>
  <si>
    <t>EC</t>
  </si>
  <si>
    <t>ED</t>
  </si>
  <si>
    <t>EE</t>
  </si>
  <si>
    <t>EF</t>
  </si>
  <si>
    <t>EG</t>
  </si>
  <si>
    <t>EH</t>
  </si>
  <si>
    <t>EI</t>
  </si>
  <si>
    <t>EJ</t>
  </si>
  <si>
    <t>EK</t>
  </si>
  <si>
    <t>EL</t>
  </si>
  <si>
    <t>EM</t>
  </si>
  <si>
    <t>EN</t>
  </si>
  <si>
    <t>EO</t>
  </si>
  <si>
    <t>EP</t>
  </si>
  <si>
    <t>EQ</t>
  </si>
  <si>
    <t>ER</t>
  </si>
  <si>
    <t>ES</t>
  </si>
  <si>
    <t>ET</t>
  </si>
  <si>
    <t>EU</t>
  </si>
  <si>
    <t>EV</t>
  </si>
  <si>
    <t>EW</t>
  </si>
  <si>
    <t>EX</t>
  </si>
  <si>
    <t>EY</t>
  </si>
  <si>
    <t>EZ</t>
  </si>
  <si>
    <t>FA</t>
  </si>
  <si>
    <t>FB</t>
  </si>
  <si>
    <t>FC</t>
  </si>
  <si>
    <t>FD</t>
  </si>
  <si>
    <t>FE</t>
  </si>
  <si>
    <t>FF</t>
  </si>
  <si>
    <t>FG</t>
  </si>
  <si>
    <t>FH</t>
  </si>
  <si>
    <t>FI</t>
  </si>
  <si>
    <t>FJ</t>
  </si>
  <si>
    <t>FK</t>
  </si>
  <si>
    <t>FL</t>
  </si>
  <si>
    <t>FM</t>
  </si>
  <si>
    <t>FN</t>
  </si>
  <si>
    <t>FO</t>
  </si>
  <si>
    <t>FP</t>
  </si>
  <si>
    <t>FQ</t>
  </si>
  <si>
    <t>FR</t>
  </si>
  <si>
    <t>FS</t>
  </si>
  <si>
    <t>FT</t>
  </si>
  <si>
    <t>FU</t>
  </si>
  <si>
    <t>FV</t>
  </si>
  <si>
    <t>FW</t>
  </si>
  <si>
    <t>FX</t>
  </si>
  <si>
    <t>FY</t>
  </si>
  <si>
    <t>FZ</t>
  </si>
  <si>
    <t>GA</t>
  </si>
  <si>
    <t>GB</t>
  </si>
  <si>
    <t>GC</t>
  </si>
  <si>
    <t>GD</t>
  </si>
  <si>
    <t>GE</t>
  </si>
  <si>
    <t>GF</t>
  </si>
  <si>
    <t>GG</t>
  </si>
  <si>
    <t>GH</t>
  </si>
  <si>
    <t>GI</t>
  </si>
  <si>
    <t>GJ</t>
  </si>
  <si>
    <t>GK</t>
  </si>
  <si>
    <t>GL</t>
  </si>
  <si>
    <t>GM</t>
  </si>
  <si>
    <t>GN</t>
  </si>
  <si>
    <t>GO</t>
  </si>
  <si>
    <t>GP</t>
  </si>
  <si>
    <t>GQ</t>
  </si>
  <si>
    <t>GR</t>
  </si>
  <si>
    <t>GS</t>
  </si>
  <si>
    <t>GT</t>
  </si>
  <si>
    <t>GU</t>
  </si>
  <si>
    <t>GV</t>
  </si>
  <si>
    <t>GW</t>
  </si>
  <si>
    <t>GX</t>
  </si>
  <si>
    <t>GY</t>
  </si>
  <si>
    <t>GZ</t>
  </si>
  <si>
    <t>HA</t>
  </si>
  <si>
    <t>HB</t>
  </si>
  <si>
    <t>HC</t>
  </si>
  <si>
    <t>HD</t>
  </si>
  <si>
    <t>HE</t>
  </si>
  <si>
    <t>HF</t>
  </si>
  <si>
    <t>HG</t>
  </si>
  <si>
    <t>HH</t>
  </si>
  <si>
    <t>HI</t>
  </si>
  <si>
    <t>HJ</t>
  </si>
  <si>
    <t>HK</t>
  </si>
  <si>
    <t>HL</t>
  </si>
  <si>
    <t>HM</t>
  </si>
  <si>
    <t>HN</t>
  </si>
  <si>
    <t>HO</t>
  </si>
  <si>
    <t>HP</t>
  </si>
  <si>
    <t>HQ</t>
  </si>
  <si>
    <t>HR</t>
  </si>
  <si>
    <t>HS</t>
  </si>
  <si>
    <t>HT</t>
  </si>
  <si>
    <t>HU</t>
  </si>
  <si>
    <t>HV</t>
  </si>
  <si>
    <t>HW</t>
  </si>
  <si>
    <t>HX</t>
  </si>
  <si>
    <t>HY</t>
  </si>
  <si>
    <t>HZ</t>
  </si>
  <si>
    <t>IC</t>
  </si>
  <si>
    <t>ID</t>
  </si>
  <si>
    <t>IE</t>
  </si>
  <si>
    <t>IF</t>
  </si>
  <si>
    <t>IG</t>
  </si>
  <si>
    <t>IH</t>
  </si>
  <si>
    <t>IJ</t>
  </si>
  <si>
    <t>IK</t>
  </si>
  <si>
    <t>IL</t>
  </si>
  <si>
    <t>IM</t>
  </si>
  <si>
    <t>IN</t>
  </si>
  <si>
    <t>IO</t>
  </si>
  <si>
    <t>IP</t>
  </si>
  <si>
    <t>IQ</t>
  </si>
  <si>
    <t>IR</t>
  </si>
  <si>
    <t>IS</t>
  </si>
  <si>
    <t>IT</t>
  </si>
  <si>
    <t>IU</t>
  </si>
  <si>
    <t>IV</t>
  </si>
  <si>
    <t>IW</t>
  </si>
  <si>
    <t>IX</t>
  </si>
  <si>
    <t>IY</t>
  </si>
  <si>
    <t>IZ</t>
  </si>
  <si>
    <t>JA</t>
  </si>
  <si>
    <t>JB</t>
  </si>
  <si>
    <t>JC</t>
  </si>
  <si>
    <t>JD</t>
  </si>
  <si>
    <t>JE</t>
  </si>
  <si>
    <t>JF</t>
  </si>
  <si>
    <t>JG</t>
  </si>
  <si>
    <t>JH</t>
  </si>
  <si>
    <t>JI</t>
  </si>
  <si>
    <t>JJ</t>
  </si>
  <si>
    <t>JK</t>
  </si>
  <si>
    <t>JL</t>
  </si>
  <si>
    <t>JM</t>
  </si>
  <si>
    <t>JN</t>
  </si>
  <si>
    <t>JO</t>
  </si>
  <si>
    <t>JP</t>
  </si>
  <si>
    <t>JQ</t>
  </si>
  <si>
    <t>JR</t>
  </si>
  <si>
    <t>JS</t>
  </si>
  <si>
    <t>JT</t>
  </si>
  <si>
    <t>JU</t>
  </si>
  <si>
    <t>JV</t>
  </si>
  <si>
    <t>JW</t>
  </si>
  <si>
    <t>JX</t>
  </si>
  <si>
    <t>JY</t>
  </si>
  <si>
    <t>JZ</t>
  </si>
  <si>
    <t>KA</t>
  </si>
  <si>
    <t>KB</t>
  </si>
  <si>
    <t>KC</t>
  </si>
  <si>
    <t>KD</t>
  </si>
  <si>
    <t>KE</t>
  </si>
  <si>
    <t>KF</t>
  </si>
  <si>
    <t>KG</t>
  </si>
  <si>
    <t>KH</t>
  </si>
  <si>
    <t>KI</t>
  </si>
  <si>
    <t>KJ</t>
  </si>
  <si>
    <t>KK</t>
  </si>
  <si>
    <t>KL</t>
  </si>
  <si>
    <t>KM</t>
  </si>
  <si>
    <t>KN</t>
  </si>
  <si>
    <t>KO</t>
  </si>
  <si>
    <t>KP</t>
  </si>
  <si>
    <t>KQ</t>
  </si>
  <si>
    <t>KR</t>
  </si>
  <si>
    <t>KS</t>
  </si>
  <si>
    <t>KT</t>
  </si>
  <si>
    <t>KU</t>
  </si>
  <si>
    <t>KV</t>
  </si>
  <si>
    <t>KW</t>
  </si>
  <si>
    <t>KX</t>
  </si>
  <si>
    <t>KY</t>
  </si>
  <si>
    <t>KZ</t>
  </si>
  <si>
    <t>LA</t>
  </si>
  <si>
    <t>LB</t>
  </si>
  <si>
    <t>LC</t>
  </si>
  <si>
    <t>LD</t>
  </si>
  <si>
    <t>LE</t>
  </si>
  <si>
    <t>LF</t>
  </si>
  <si>
    <t>LG</t>
  </si>
  <si>
    <t>LH</t>
  </si>
  <si>
    <t>LI</t>
  </si>
  <si>
    <t>LJ</t>
  </si>
  <si>
    <t>LK</t>
  </si>
  <si>
    <t>LL</t>
  </si>
  <si>
    <t>LM</t>
  </si>
  <si>
    <t>LN</t>
  </si>
  <si>
    <t>LO</t>
  </si>
  <si>
    <t>LP</t>
  </si>
  <si>
    <t>LQ</t>
  </si>
  <si>
    <t>LR</t>
  </si>
  <si>
    <t>LS</t>
  </si>
  <si>
    <t>LT</t>
  </si>
  <si>
    <t>LU</t>
  </si>
  <si>
    <t>LV</t>
  </si>
  <si>
    <t>LW</t>
  </si>
  <si>
    <t>LX</t>
  </si>
  <si>
    <t>LY</t>
  </si>
  <si>
    <t>LZ</t>
  </si>
  <si>
    <t>MA</t>
  </si>
  <si>
    <t>MB</t>
  </si>
  <si>
    <t>MC</t>
  </si>
  <si>
    <t>MD</t>
  </si>
  <si>
    <t>ME</t>
  </si>
  <si>
    <t>MF</t>
  </si>
  <si>
    <t>MG</t>
  </si>
  <si>
    <t>MH</t>
  </si>
  <si>
    <t>MI</t>
  </si>
  <si>
    <t>MJ</t>
  </si>
  <si>
    <t>MK</t>
  </si>
  <si>
    <t>TTE Subsequent Tx 1 Start Date</t>
  </si>
  <si>
    <t>ML</t>
  </si>
  <si>
    <t>TTE Subsequent Tx 1 Finish Date</t>
  </si>
  <si>
    <t>MM</t>
  </si>
  <si>
    <t>TTE Subsequent Tx 2 Start Date</t>
  </si>
  <si>
    <t>MN</t>
  </si>
  <si>
    <t>TTE Subsequent Tx 2 Finish Date</t>
  </si>
  <si>
    <t>MO</t>
  </si>
  <si>
    <t>MP</t>
  </si>
  <si>
    <t>TTE Subsequent Tx 3 Finish Date</t>
  </si>
  <si>
    <t>MQ</t>
  </si>
  <si>
    <t>TTE Subsequent Tx 4 Start Date</t>
  </si>
  <si>
    <t>MR</t>
  </si>
  <si>
    <t>TTE Subsequent Tx 4 Finish Date</t>
  </si>
  <si>
    <t>MS</t>
  </si>
  <si>
    <t>TTE Subsequent Tx 5 Start Date</t>
  </si>
  <si>
    <t>MT</t>
  </si>
  <si>
    <t>TTE Subsequent Tx 5 Finish Date</t>
  </si>
  <si>
    <t>MU</t>
  </si>
  <si>
    <t>TTE Subsequent Tx 6 Start Date</t>
  </si>
  <si>
    <t>MV</t>
  </si>
  <si>
    <t>TTE Subsequent Tx 6 Finish Date</t>
  </si>
  <si>
    <t>MW</t>
  </si>
  <si>
    <t>TTE Subsequent Tx 7 Start Date</t>
  </si>
  <si>
    <t>MX</t>
  </si>
  <si>
    <t>TTE Subsequent Tx 7 Finish Date</t>
  </si>
  <si>
    <t>MY</t>
  </si>
  <si>
    <t>TTE Subsequent Tx 8 Start Date</t>
  </si>
  <si>
    <t>MZ</t>
  </si>
  <si>
    <t>TTE Subsequent Tx 8 Finish Date</t>
  </si>
  <si>
    <t>TTE Subsequent Tx 9 Start Date</t>
  </si>
  <si>
    <t>NB</t>
  </si>
  <si>
    <t>TTE Subsequent Tx 9 Finish Date</t>
  </si>
  <si>
    <t>NC</t>
  </si>
  <si>
    <t>ND</t>
  </si>
  <si>
    <t>TTE Subsequent Tx 10 Finish Date</t>
  </si>
  <si>
    <t>NE</t>
  </si>
  <si>
    <t>TTE Subsequent Tx 11 Start Date</t>
  </si>
  <si>
    <t>NF</t>
  </si>
  <si>
    <t>TTE Subsequent Tx 11 Finish Date</t>
  </si>
  <si>
    <t>NG</t>
  </si>
  <si>
    <t>TTE Subsequent Tx 12 Start Date</t>
  </si>
  <si>
    <t>NH</t>
  </si>
  <si>
    <t>TTE Subsequent Tx 12 Finish Date</t>
  </si>
  <si>
    <t>NI</t>
  </si>
  <si>
    <t>TTE Subsequent Tx 13 Start Date</t>
  </si>
  <si>
    <t>NJ</t>
  </si>
  <si>
    <t>TTE Subsequent Tx 13 Finish Date</t>
  </si>
  <si>
    <t>NK</t>
  </si>
  <si>
    <t>TTE Subsequent Tx 14 Start Date</t>
  </si>
  <si>
    <t>NL</t>
  </si>
  <si>
    <t>TTE Subsequent Tx 14 Finish Date</t>
  </si>
  <si>
    <t>NM</t>
  </si>
  <si>
    <t>TTE Subsequent Tx 15 Start Date</t>
  </si>
  <si>
    <t>NN</t>
  </si>
  <si>
    <t>TTE Subsequent Tx 15 Finish Date</t>
  </si>
  <si>
    <t>NO</t>
  </si>
  <si>
    <t>Final case review</t>
  </si>
  <si>
    <t>Sending data</t>
  </si>
  <si>
    <t>Sending blocks</t>
  </si>
  <si>
    <t>Chemotherapy agents</t>
  </si>
  <si>
    <t>Immunotherapy agent</t>
  </si>
  <si>
    <t>Hormal therapy agents</t>
  </si>
  <si>
    <t>Non-therapy agents</t>
  </si>
  <si>
    <t>ETOPOSIDE</t>
  </si>
  <si>
    <t>ATEZOLIZUMAB</t>
  </si>
  <si>
    <t>CIPROFLOXACIN</t>
  </si>
  <si>
    <t>CARBOPLATIN</t>
  </si>
  <si>
    <t>DEXAMETHASONE</t>
  </si>
  <si>
    <t>CAPECITABINE</t>
  </si>
  <si>
    <t>FILGRASTIM</t>
  </si>
  <si>
    <t>GEMCITABINE</t>
  </si>
  <si>
    <t>LOPERAMIDE</t>
  </si>
  <si>
    <t>DOCETAXEL</t>
  </si>
  <si>
    <t>METOCLOPRAMIDE</t>
  </si>
  <si>
    <t>CETUXIMAB</t>
  </si>
  <si>
    <t>ONDANSETRON</t>
  </si>
  <si>
    <t>CISPLATIN</t>
  </si>
  <si>
    <t>SODIUM CHLORIDE</t>
  </si>
  <si>
    <t>ZEROBASE</t>
  </si>
  <si>
    <t>LINE FLUSH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</si>
</sst>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809]dd\ mmmm\ yyyy;@"/>
    <numFmt numFmtId="166" formatCode="0.0"/>
    <numFmt numFmtId="167" formatCode="[$-409]mmm\-yy;@"/>
  </numFmts>
  <fonts count="36" x14ac:knownFonts="1">
    <font>
      <sz val="10"/>
      <color theme="1"/>
      <name val="Arial"/>
      <family val="2"/>
    </font>
    <font>
      <sz val="11"/>
      <color theme="1"/>
      <name val="Calibri"/>
      <family val="2"/>
      <scheme val="minor"/>
    </font>
    <font>
      <sz val="12"/>
      <color rgb="FF000000"/>
      <name val="Calibri"/>
      <family val="2"/>
    </font>
    <font>
      <sz val="10"/>
      <color rgb="FFFF0000"/>
      <name val="Arial"/>
      <family val="2"/>
    </font>
    <font>
      <sz val="10"/>
      <color rgb="FF000000"/>
      <name val="Arial"/>
      <family val="2"/>
    </font>
    <font>
      <sz val="10"/>
      <color theme="1"/>
      <name val="Arial"/>
      <family val="2"/>
    </font>
    <font>
      <b/>
      <u/>
      <sz val="10"/>
      <color theme="1"/>
      <name val="Arial"/>
      <family val="2"/>
    </font>
    <font>
      <b/>
      <sz val="10"/>
      <color theme="1"/>
      <name val="Arial"/>
      <family val="2"/>
    </font>
    <font>
      <b/>
      <sz val="10"/>
      <color rgb="FF000000"/>
      <name val="Arial"/>
      <family val="2"/>
    </font>
    <font>
      <b/>
      <sz val="11"/>
      <color rgb="FF000000"/>
      <name val="Calibri"/>
      <family val="2"/>
      <scheme val="minor"/>
    </font>
    <font>
      <sz val="11"/>
      <color rgb="FF141414"/>
      <name val="Segoe UI"/>
      <family val="2"/>
    </font>
    <font>
      <b/>
      <sz val="11"/>
      <name val="Calibri"/>
      <family val="2"/>
      <scheme val="minor"/>
    </font>
    <font>
      <b/>
      <sz val="12"/>
      <color rgb="FF000000"/>
      <name val="Calibri"/>
      <family val="2"/>
      <scheme val="minor"/>
    </font>
    <font>
      <b/>
      <sz val="14"/>
      <color rgb="FFFF0000"/>
      <name val="Arial"/>
      <family val="2"/>
    </font>
    <font>
      <sz val="11"/>
      <color rgb="FF444444"/>
      <name val="Calibri"/>
      <family val="2"/>
      <charset val="1"/>
    </font>
    <font>
      <sz val="10"/>
      <color rgb="FF000000"/>
      <name val="Arial"/>
      <charset val="1"/>
    </font>
    <font>
      <sz val="10"/>
      <color rgb="FF000000"/>
      <name val="Calibri"/>
    </font>
    <font>
      <b/>
      <sz val="14"/>
      <color rgb="FFFF0000"/>
      <name val="Calibri"/>
    </font>
    <font>
      <sz val="10"/>
      <color theme="1"/>
      <name val="Calibri"/>
    </font>
    <font>
      <b/>
      <sz val="10"/>
      <color rgb="FF000000"/>
      <name val="Calibri"/>
    </font>
    <font>
      <b/>
      <sz val="10"/>
      <name val="Calibri"/>
    </font>
    <font>
      <b/>
      <sz val="10"/>
      <color theme="1"/>
      <name val="Calibri"/>
    </font>
    <font>
      <sz val="10"/>
      <color rgb="FF000000"/>
      <name val="Arial"/>
    </font>
    <font>
      <sz val="10"/>
      <color rgb="FFFF0000"/>
      <name val="Arial"/>
    </font>
    <font>
      <sz val="10"/>
      <color theme="1"/>
      <name val="Calibri Light"/>
      <scheme val="major"/>
    </font>
    <font>
      <sz val="10"/>
      <color rgb="FFFF0000"/>
      <name val="Calibri"/>
    </font>
    <font>
      <sz val="10"/>
      <color theme="0"/>
      <name val="Calibri"/>
    </font>
    <font>
      <sz val="10"/>
      <color rgb="FF000000"/>
      <name val="Calibri"/>
      <scheme val="minor"/>
    </font>
    <font>
      <sz val="10"/>
      <color theme="1"/>
      <name val="Calibri"/>
      <scheme val="minor"/>
    </font>
    <font>
      <sz val="10"/>
      <color rgb="FFFF0000"/>
      <name val="Calibri"/>
      <scheme val="minor"/>
    </font>
    <font>
      <sz val="9"/>
      <color rgb="FF333333"/>
      <name val="Segoe UI"/>
      <charset val="1"/>
    </font>
    <font>
      <sz val="10"/>
      <color rgb="FF000000"/>
      <name val="Calibri"/>
      <family val="2"/>
      <scheme val="minor"/>
    </font>
    <font>
      <sz val="10"/>
      <color rgb="FFFF0000"/>
      <name val="Calibri"/>
      <family val="2"/>
      <scheme val="minor"/>
    </font>
    <font>
      <sz val="10"/>
      <color rgb="FF000000"/>
      <name val="Calibri"/>
      <family val="2"/>
      <charset val="1"/>
    </font>
    <font>
      <sz val="10"/>
      <color rgb="FFFF0000"/>
      <name val="Calibri Light"/>
      <scheme val="major"/>
    </font>
    <font>
      <sz val="10"/>
      <color rgb="FF000000"/>
      <name val="Calibri Light"/>
      <scheme val="major"/>
    </font>
  </fonts>
  <fills count="18">
    <fill>
      <patternFill patternType="none"/>
    </fill>
    <fill>
      <patternFill patternType="gray125"/>
    </fill>
    <fill>
      <patternFill patternType="solid">
        <fgColor rgb="FFF8CBAD"/>
        <bgColor indexed="64"/>
      </patternFill>
    </fill>
    <fill>
      <patternFill patternType="solid">
        <fgColor rgb="FF9BC2E6"/>
        <bgColor indexed="64"/>
      </patternFill>
    </fill>
    <fill>
      <patternFill patternType="solid">
        <fgColor rgb="FFFFFF00"/>
        <bgColor indexed="64"/>
      </patternFill>
    </fill>
    <fill>
      <patternFill patternType="solid">
        <fgColor rgb="FFE7E6E6"/>
        <bgColor indexed="64"/>
      </patternFill>
    </fill>
    <fill>
      <patternFill patternType="solid">
        <fgColor rgb="FFFF8AD8"/>
        <bgColor rgb="FF000000"/>
      </patternFill>
    </fill>
    <fill>
      <patternFill patternType="solid">
        <fgColor rgb="FFA9D08E"/>
        <bgColor rgb="FF000000"/>
      </patternFill>
    </fill>
    <fill>
      <patternFill patternType="solid">
        <fgColor rgb="FFFFC000"/>
        <bgColor indexed="64"/>
      </patternFill>
    </fill>
    <fill>
      <patternFill patternType="solid">
        <fgColor rgb="FFFFD966"/>
        <bgColor indexed="64"/>
      </patternFill>
    </fill>
    <fill>
      <patternFill patternType="solid">
        <fgColor rgb="FFACB9CA"/>
        <bgColor indexed="64"/>
      </patternFill>
    </fill>
    <fill>
      <patternFill patternType="solid">
        <fgColor rgb="FFFFFF00"/>
        <bgColor rgb="FF000000"/>
      </patternFill>
    </fill>
    <fill>
      <patternFill patternType="solid">
        <fgColor rgb="FFE7E6E6"/>
        <bgColor rgb="FF000000"/>
      </patternFill>
    </fill>
    <fill>
      <patternFill patternType="solid">
        <fgColor rgb="FF9BC2E6"/>
        <bgColor rgb="FF000000"/>
      </patternFill>
    </fill>
    <fill>
      <patternFill patternType="solid">
        <fgColor rgb="FFF8CBAD"/>
        <bgColor rgb="FF000000"/>
      </patternFill>
    </fill>
    <fill>
      <patternFill patternType="solid">
        <fgColor rgb="FFFFD966"/>
        <bgColor rgb="FF000000"/>
      </patternFill>
    </fill>
    <fill>
      <patternFill patternType="solid">
        <fgColor rgb="FFFF0000"/>
        <bgColor indexed="64"/>
      </patternFill>
    </fill>
    <fill>
      <patternFill patternType="solid">
        <fgColor rgb="FF92D050"/>
        <bgColor indexed="64"/>
      </patternFill>
    </fill>
  </fills>
  <borders count="26">
    <border>
      <left/>
      <right/>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diagonal/>
    </border>
    <border>
      <left style="thin">
        <color rgb="FF000000"/>
      </left>
      <right style="thin">
        <color rgb="FF000000"/>
      </right>
      <top style="thin">
        <color rgb="FF000000"/>
      </top>
      <bottom/>
      <diagonal/>
    </border>
    <border>
      <left style="thin">
        <color auto="1"/>
      </left>
      <right/>
      <top style="thin">
        <color auto="1"/>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auto="1"/>
      </right>
      <top/>
      <bottom/>
      <diagonal/>
    </border>
  </borders>
  <cellStyleXfs count="3">
    <xf numFmtId="0" fontId="0" fillId="0" borderId="0"/>
    <xf numFmtId="0" fontId="1" fillId="0" borderId="0"/>
    <xf numFmtId="0" fontId="1" fillId="0" borderId="0"/>
  </cellStyleXfs>
  <cellXfs count="279">
    <xf numFmtId="0" fontId="0" fillId="0" borderId="0" xfId="0"/>
    <xf numFmtId="0" fontId="2" fillId="0" borderId="0" xfId="0" applyFont="1"/>
    <xf numFmtId="0" fontId="6" fillId="0" borderId="0" xfId="0" applyFont="1"/>
    <xf numFmtId="0" fontId="6" fillId="0" borderId="0" xfId="0" applyFont="1" applyAlignment="1">
      <alignment horizontal="center" vertical="center"/>
    </xf>
    <xf numFmtId="0" fontId="0" fillId="0" borderId="0" xfId="0" applyAlignment="1">
      <alignment horizontal="center" vertical="center"/>
    </xf>
    <xf numFmtId="0" fontId="9" fillId="11" borderId="9" xfId="0" applyFont="1" applyFill="1" applyBorder="1" applyAlignment="1">
      <alignment horizontal="center" vertical="center"/>
    </xf>
    <xf numFmtId="0" fontId="10" fillId="0" borderId="9" xfId="0" applyFont="1" applyBorder="1"/>
    <xf numFmtId="0" fontId="0" fillId="0" borderId="9" xfId="0" applyBorder="1"/>
    <xf numFmtId="0" fontId="11" fillId="11" borderId="9" xfId="0" applyFont="1" applyFill="1" applyBorder="1" applyAlignment="1">
      <alignment horizontal="center" vertical="center"/>
    </xf>
    <xf numFmtId="0" fontId="11" fillId="12" borderId="9" xfId="0" applyFont="1" applyFill="1" applyBorder="1" applyAlignment="1">
      <alignment horizontal="center" vertical="center"/>
    </xf>
    <xf numFmtId="0" fontId="11" fillId="13" borderId="9" xfId="0" applyFont="1" applyFill="1" applyBorder="1" applyAlignment="1">
      <alignment horizontal="center" vertical="center"/>
    </xf>
    <xf numFmtId="0" fontId="9" fillId="14" borderId="9" xfId="0" applyFont="1" applyFill="1" applyBorder="1" applyAlignment="1">
      <alignment horizontal="center" vertical="center"/>
    </xf>
    <xf numFmtId="0" fontId="11" fillId="15" borderId="9" xfId="0" applyFont="1" applyFill="1" applyBorder="1" applyAlignment="1">
      <alignment horizontal="center" vertical="center"/>
    </xf>
    <xf numFmtId="0" fontId="9" fillId="13" borderId="9" xfId="0" applyFont="1" applyFill="1" applyBorder="1" applyAlignment="1">
      <alignment horizontal="center" vertical="center"/>
    </xf>
    <xf numFmtId="0" fontId="12" fillId="12" borderId="9" xfId="0" applyFont="1" applyFill="1" applyBorder="1" applyAlignment="1">
      <alignment horizontal="center" vertical="center"/>
    </xf>
    <xf numFmtId="0" fontId="5" fillId="0" borderId="10" xfId="0" applyFont="1" applyBorder="1"/>
    <xf numFmtId="0" fontId="0" fillId="0" borderId="11" xfId="0" applyBorder="1"/>
    <xf numFmtId="0" fontId="5" fillId="0" borderId="12" xfId="0" applyFont="1" applyBorder="1"/>
    <xf numFmtId="0" fontId="0" fillId="0" borderId="13" xfId="0" applyBorder="1"/>
    <xf numFmtId="0" fontId="0" fillId="0" borderId="12" xfId="0" applyBorder="1"/>
    <xf numFmtId="0" fontId="7" fillId="0" borderId="12" xfId="1" applyFont="1" applyBorder="1" applyAlignment="1">
      <alignment horizontal="left"/>
    </xf>
    <xf numFmtId="0" fontId="4" fillId="0" borderId="13" xfId="0" quotePrefix="1" applyFont="1" applyBorder="1"/>
    <xf numFmtId="0" fontId="7" fillId="0" borderId="12" xfId="0" applyFont="1" applyBorder="1"/>
    <xf numFmtId="0" fontId="4" fillId="0" borderId="13" xfId="1" quotePrefix="1" applyFont="1" applyBorder="1" applyAlignment="1">
      <alignment horizontal="left"/>
    </xf>
    <xf numFmtId="0" fontId="8" fillId="0" borderId="12" xfId="0" applyFont="1" applyBorder="1"/>
    <xf numFmtId="0" fontId="8" fillId="0" borderId="14" xfId="0" applyFont="1" applyBorder="1"/>
    <xf numFmtId="0" fontId="4" fillId="0" borderId="15" xfId="0" quotePrefix="1" applyFont="1" applyBorder="1"/>
    <xf numFmtId="0" fontId="13" fillId="0" borderId="0" xfId="0" applyFont="1"/>
    <xf numFmtId="20" fontId="0" fillId="0" borderId="0" xfId="0" applyNumberFormat="1"/>
    <xf numFmtId="0" fontId="0" fillId="0" borderId="7" xfId="0" applyBorder="1"/>
    <xf numFmtId="14" fontId="6" fillId="0" borderId="0" xfId="0" applyNumberFormat="1" applyFont="1"/>
    <xf numFmtId="0" fontId="14" fillId="0" borderId="0" xfId="0" applyFont="1"/>
    <xf numFmtId="0" fontId="12" fillId="12" borderId="2" xfId="0" applyFont="1" applyFill="1" applyBorder="1" applyAlignment="1">
      <alignment horizontal="center" vertical="center"/>
    </xf>
    <xf numFmtId="0" fontId="10" fillId="0" borderId="2" xfId="0" applyFont="1" applyBorder="1"/>
    <xf numFmtId="0" fontId="0" fillId="0" borderId="2" xfId="0" applyBorder="1"/>
    <xf numFmtId="0" fontId="7" fillId="0" borderId="7" xfId="0" applyFont="1" applyBorder="1" applyAlignment="1">
      <alignment horizontal="center" vertical="center"/>
    </xf>
    <xf numFmtId="0" fontId="0" fillId="0" borderId="4" xfId="0" applyBorder="1"/>
    <xf numFmtId="0" fontId="7" fillId="0" borderId="4" xfId="0" applyFont="1" applyBorder="1" applyAlignment="1">
      <alignment horizontal="center" vertical="center"/>
    </xf>
    <xf numFmtId="0" fontId="7" fillId="0" borderId="7" xfId="0" applyFont="1" applyBorder="1" applyAlignment="1">
      <alignment horizontal="center"/>
    </xf>
    <xf numFmtId="0" fontId="0" fillId="0" borderId="7" xfId="0" applyBorder="1" applyAlignment="1">
      <alignment horizontal="left"/>
    </xf>
    <xf numFmtId="0" fontId="15" fillId="0" borderId="0" xfId="0" applyFont="1"/>
    <xf numFmtId="0" fontId="15" fillId="0" borderId="0" xfId="0" quotePrefix="1" applyFont="1"/>
    <xf numFmtId="0" fontId="4" fillId="0" borderId="0" xfId="0" applyFont="1"/>
    <xf numFmtId="0" fontId="17" fillId="0" borderId="0" xfId="0" applyFont="1"/>
    <xf numFmtId="0" fontId="18" fillId="0" borderId="0" xfId="0" applyFont="1" applyAlignment="1">
      <alignment wrapText="1"/>
    </xf>
    <xf numFmtId="164" fontId="19" fillId="4" borderId="1" xfId="1" applyNumberFormat="1" applyFont="1" applyFill="1" applyBorder="1" applyAlignment="1">
      <alignment horizontal="center" vertical="center" wrapText="1"/>
    </xf>
    <xf numFmtId="164" fontId="20" fillId="4" borderId="1" xfId="1" applyNumberFormat="1" applyFont="1" applyFill="1" applyBorder="1" applyAlignment="1">
      <alignment horizontal="center" vertical="center" wrapText="1"/>
    </xf>
    <xf numFmtId="165" fontId="20" fillId="4" borderId="1" xfId="1" applyNumberFormat="1" applyFont="1" applyFill="1" applyBorder="1" applyAlignment="1">
      <alignment horizontal="center" vertical="center" wrapText="1"/>
    </xf>
    <xf numFmtId="164" fontId="20" fillId="4" borderId="2" xfId="1" applyNumberFormat="1" applyFont="1" applyFill="1" applyBorder="1" applyAlignment="1">
      <alignment horizontal="center" vertical="center" wrapText="1"/>
    </xf>
    <xf numFmtId="167" fontId="19" fillId="4" borderId="7" xfId="1" applyNumberFormat="1" applyFont="1" applyFill="1" applyBorder="1" applyAlignment="1">
      <alignment horizontal="center" vertical="center" wrapText="1"/>
    </xf>
    <xf numFmtId="164" fontId="19" fillId="4" borderId="7" xfId="1" applyNumberFormat="1" applyFont="1" applyFill="1" applyBorder="1" applyAlignment="1">
      <alignment horizontal="center" vertical="center" wrapText="1"/>
    </xf>
    <xf numFmtId="165" fontId="20" fillId="4" borderId="3" xfId="1" applyNumberFormat="1" applyFont="1" applyFill="1" applyBorder="1" applyAlignment="1">
      <alignment horizontal="center" vertical="center" wrapText="1"/>
    </xf>
    <xf numFmtId="165" fontId="20" fillId="4" borderId="4" xfId="1" applyNumberFormat="1" applyFont="1" applyFill="1" applyBorder="1" applyAlignment="1">
      <alignment horizontal="center" vertical="center" wrapText="1"/>
    </xf>
    <xf numFmtId="0" fontId="20" fillId="4" borderId="4" xfId="1" applyFont="1" applyFill="1" applyBorder="1" applyAlignment="1">
      <alignment horizontal="center" vertical="center" wrapText="1"/>
    </xf>
    <xf numFmtId="164" fontId="20" fillId="4" borderId="7" xfId="1" applyNumberFormat="1" applyFont="1" applyFill="1" applyBorder="1" applyAlignment="1">
      <alignment horizontal="center" vertical="center" wrapText="1"/>
    </xf>
    <xf numFmtId="164" fontId="20" fillId="4" borderId="4" xfId="1" applyNumberFormat="1" applyFont="1" applyFill="1" applyBorder="1" applyAlignment="1">
      <alignment horizontal="center" vertical="center" wrapText="1"/>
    </xf>
    <xf numFmtId="0" fontId="20" fillId="4" borderId="7" xfId="1" applyFont="1" applyFill="1" applyBorder="1" applyAlignment="1">
      <alignment horizontal="center" vertical="center" wrapText="1"/>
    </xf>
    <xf numFmtId="164" fontId="20" fillId="4" borderId="3" xfId="1" applyNumberFormat="1" applyFont="1" applyFill="1" applyBorder="1" applyAlignment="1">
      <alignment horizontal="center" vertical="center" wrapText="1"/>
    </xf>
    <xf numFmtId="164" fontId="20" fillId="5" borderId="4" xfId="1" applyNumberFormat="1" applyFont="1" applyFill="1" applyBorder="1" applyAlignment="1">
      <alignment horizontal="center" vertical="center" wrapText="1"/>
    </xf>
    <xf numFmtId="0" fontId="20" fillId="5" borderId="7" xfId="1" applyFont="1" applyFill="1" applyBorder="1" applyAlignment="1">
      <alignment horizontal="center" vertical="center" wrapText="1"/>
    </xf>
    <xf numFmtId="165" fontId="20" fillId="5" borderId="7" xfId="1" applyNumberFormat="1" applyFont="1" applyFill="1" applyBorder="1" applyAlignment="1">
      <alignment horizontal="center" vertical="center" wrapText="1"/>
    </xf>
    <xf numFmtId="0" fontId="20" fillId="3" borderId="7" xfId="1" applyFont="1" applyFill="1" applyBorder="1" applyAlignment="1">
      <alignment horizontal="center" vertical="center" wrapText="1"/>
    </xf>
    <xf numFmtId="165" fontId="20" fillId="3" borderId="7" xfId="1" applyNumberFormat="1" applyFont="1" applyFill="1" applyBorder="1" applyAlignment="1">
      <alignment horizontal="center" vertical="center" wrapText="1"/>
    </xf>
    <xf numFmtId="0" fontId="20" fillId="3" borderId="4" xfId="1" applyFont="1" applyFill="1" applyBorder="1" applyAlignment="1">
      <alignment horizontal="center" vertical="center" wrapText="1"/>
    </xf>
    <xf numFmtId="165" fontId="19" fillId="2" borderId="7" xfId="1" applyNumberFormat="1" applyFont="1" applyFill="1" applyBorder="1" applyAlignment="1">
      <alignment horizontal="center" vertical="center" wrapText="1"/>
    </xf>
    <xf numFmtId="164" fontId="19" fillId="2" borderId="7" xfId="1" applyNumberFormat="1" applyFont="1" applyFill="1" applyBorder="1" applyAlignment="1">
      <alignment horizontal="center" vertical="center" wrapText="1"/>
    </xf>
    <xf numFmtId="0" fontId="20" fillId="9" borderId="7" xfId="1" applyFont="1" applyFill="1" applyBorder="1" applyAlignment="1">
      <alignment horizontal="center" vertical="center" wrapText="1"/>
    </xf>
    <xf numFmtId="165" fontId="20" fillId="9" borderId="7" xfId="1" applyNumberFormat="1" applyFont="1" applyFill="1" applyBorder="1" applyAlignment="1">
      <alignment horizontal="center" vertical="center" wrapText="1"/>
    </xf>
    <xf numFmtId="165" fontId="20" fillId="9" borderId="7" xfId="1" quotePrefix="1" applyNumberFormat="1" applyFont="1" applyFill="1" applyBorder="1" applyAlignment="1">
      <alignment horizontal="center" vertical="center" wrapText="1"/>
    </xf>
    <xf numFmtId="0" fontId="20" fillId="9" borderId="7" xfId="1" quotePrefix="1" applyFont="1" applyFill="1" applyBorder="1" applyAlignment="1">
      <alignment horizontal="center" vertical="center" wrapText="1"/>
    </xf>
    <xf numFmtId="0" fontId="20" fillId="9" borderId="4" xfId="1" applyFont="1" applyFill="1" applyBorder="1" applyAlignment="1">
      <alignment horizontal="center" vertical="center" wrapText="1"/>
    </xf>
    <xf numFmtId="0" fontId="20" fillId="3" borderId="1" xfId="1" applyFont="1" applyFill="1" applyBorder="1" applyAlignment="1">
      <alignment horizontal="center" vertical="center" wrapText="1"/>
    </xf>
    <xf numFmtId="165" fontId="20" fillId="3" borderId="2" xfId="1" applyNumberFormat="1" applyFont="1" applyFill="1" applyBorder="1" applyAlignment="1">
      <alignment horizontal="center" vertical="center" wrapText="1"/>
    </xf>
    <xf numFmtId="0" fontId="19" fillId="3" borderId="2" xfId="1" applyFont="1" applyFill="1" applyBorder="1" applyAlignment="1">
      <alignment horizontal="center" vertical="center" wrapText="1"/>
    </xf>
    <xf numFmtId="0" fontId="20" fillId="3" borderId="2" xfId="1" applyFont="1" applyFill="1" applyBorder="1" applyAlignment="1">
      <alignment horizontal="center" vertical="center" wrapText="1"/>
    </xf>
    <xf numFmtId="0" fontId="20" fillId="3" borderId="5" xfId="1" applyFont="1" applyFill="1" applyBorder="1" applyAlignment="1">
      <alignment horizontal="center" vertical="center" wrapText="1"/>
    </xf>
    <xf numFmtId="164" fontId="19" fillId="8" borderId="7" xfId="2" applyNumberFormat="1" applyFont="1" applyFill="1" applyBorder="1" applyAlignment="1">
      <alignment horizontal="center" vertical="center" wrapText="1"/>
    </xf>
    <xf numFmtId="0" fontId="21" fillId="10" borderId="6" xfId="0" applyFont="1" applyFill="1" applyBorder="1" applyAlignment="1">
      <alignment horizontal="center" vertical="center" wrapText="1"/>
    </xf>
    <xf numFmtId="0" fontId="21" fillId="10" borderId="7" xfId="0" applyFont="1" applyFill="1" applyBorder="1" applyAlignment="1">
      <alignment horizontal="center" vertical="center" wrapText="1"/>
    </xf>
    <xf numFmtId="164" fontId="19" fillId="6" borderId="4" xfId="0" applyNumberFormat="1" applyFont="1" applyFill="1" applyBorder="1" applyAlignment="1">
      <alignment horizontal="center" vertical="center" wrapText="1"/>
    </xf>
    <xf numFmtId="164" fontId="19" fillId="7" borderId="4" xfId="0" applyNumberFormat="1" applyFont="1" applyFill="1" applyBorder="1" applyAlignment="1">
      <alignment horizontal="center" vertical="center" wrapText="1"/>
    </xf>
    <xf numFmtId="164" fontId="19" fillId="5" borderId="4" xfId="1" applyNumberFormat="1" applyFont="1" applyFill="1" applyBorder="1" applyAlignment="1">
      <alignment horizontal="center" vertical="center" wrapText="1"/>
    </xf>
    <xf numFmtId="164" fontId="19" fillId="5" borderId="1" xfId="1" applyNumberFormat="1" applyFont="1" applyFill="1" applyBorder="1" applyAlignment="1">
      <alignment horizontal="center" vertical="center" wrapText="1"/>
    </xf>
    <xf numFmtId="0" fontId="16" fillId="0" borderId="17" xfId="0" applyFont="1" applyBorder="1" applyAlignment="1">
      <alignment wrapText="1"/>
    </xf>
    <xf numFmtId="0" fontId="16" fillId="0" borderId="7" xfId="0" applyFont="1" applyBorder="1" applyAlignment="1">
      <alignment wrapText="1"/>
    </xf>
    <xf numFmtId="0" fontId="16" fillId="0" borderId="4" xfId="0" applyFont="1" applyBorder="1" applyAlignment="1">
      <alignment horizontal="left" wrapText="1"/>
    </xf>
    <xf numFmtId="0" fontId="16" fillId="0" borderId="7" xfId="0" quotePrefix="1" applyFont="1" applyBorder="1"/>
    <xf numFmtId="0" fontId="16" fillId="0" borderId="8" xfId="0" applyFont="1" applyBorder="1" applyAlignment="1">
      <alignment wrapText="1"/>
    </xf>
    <xf numFmtId="164" fontId="16" fillId="0" borderId="7" xfId="0" applyNumberFormat="1" applyFont="1" applyBorder="1" applyAlignment="1">
      <alignment wrapText="1"/>
    </xf>
    <xf numFmtId="0" fontId="16" fillId="0" borderId="7" xfId="0" applyFont="1" applyBorder="1" applyAlignment="1">
      <alignment horizontal="left" wrapText="1"/>
    </xf>
    <xf numFmtId="0" fontId="18" fillId="0" borderId="7" xfId="0" applyFont="1" applyBorder="1" applyAlignment="1">
      <alignment horizontal="left"/>
    </xf>
    <xf numFmtId="0" fontId="16" fillId="0" borderId="7" xfId="0" applyFont="1" applyBorder="1"/>
    <xf numFmtId="0" fontId="18" fillId="0" borderId="7" xfId="0" applyFont="1" applyBorder="1"/>
    <xf numFmtId="0" fontId="18" fillId="0" borderId="7" xfId="0" applyFont="1" applyBorder="1" applyAlignment="1">
      <alignment wrapText="1"/>
    </xf>
    <xf numFmtId="0" fontId="18" fillId="0" borderId="22" xfId="0" applyFont="1" applyBorder="1" applyAlignment="1">
      <alignment wrapText="1"/>
    </xf>
    <xf numFmtId="0" fontId="18" fillId="0" borderId="8" xfId="0" applyFont="1" applyBorder="1" applyAlignment="1">
      <alignment wrapText="1"/>
    </xf>
    <xf numFmtId="0" fontId="18" fillId="0" borderId="21" xfId="0" applyFont="1" applyBorder="1" applyAlignment="1">
      <alignment wrapText="1"/>
    </xf>
    <xf numFmtId="0" fontId="22" fillId="0" borderId="13" xfId="0" quotePrefix="1" applyFont="1" applyBorder="1"/>
    <xf numFmtId="0" fontId="18" fillId="0" borderId="7" xfId="0" applyFont="1" applyBorder="1" applyAlignment="1">
      <alignment horizontal="left" wrapText="1"/>
    </xf>
    <xf numFmtId="164" fontId="20" fillId="5" borderId="1" xfId="1" applyNumberFormat="1" applyFont="1" applyFill="1" applyBorder="1" applyAlignment="1">
      <alignment horizontal="center" vertical="center" wrapText="1"/>
    </xf>
    <xf numFmtId="165" fontId="18" fillId="0" borderId="0" xfId="0" applyNumberFormat="1" applyFont="1" applyAlignment="1">
      <alignment wrapText="1"/>
    </xf>
    <xf numFmtId="165" fontId="18" fillId="0" borderId="7" xfId="0" applyNumberFormat="1" applyFont="1" applyBorder="1" applyAlignment="1">
      <alignment wrapText="1"/>
    </xf>
    <xf numFmtId="165" fontId="18" fillId="0" borderId="0" xfId="0" applyNumberFormat="1" applyFont="1" applyAlignment="1">
      <alignment horizontal="right" wrapText="1"/>
    </xf>
    <xf numFmtId="165" fontId="19" fillId="4" borderId="7" xfId="1" applyNumberFormat="1" applyFont="1" applyFill="1" applyBorder="1" applyAlignment="1">
      <alignment horizontal="center" vertical="center" wrapText="1"/>
    </xf>
    <xf numFmtId="0" fontId="18" fillId="0" borderId="0" xfId="0" applyFont="1" applyAlignment="1">
      <alignment horizontal="right" wrapText="1"/>
    </xf>
    <xf numFmtId="164" fontId="20" fillId="4" borderId="6" xfId="1" applyNumberFormat="1" applyFont="1" applyFill="1" applyBorder="1" applyAlignment="1">
      <alignment horizontal="center" vertical="center" wrapText="1"/>
    </xf>
    <xf numFmtId="0" fontId="26" fillId="0" borderId="0" xfId="0" applyFont="1" applyAlignment="1">
      <alignment horizontal="center" wrapText="1"/>
    </xf>
    <xf numFmtId="164" fontId="20" fillId="5" borderId="3" xfId="1" applyNumberFormat="1" applyFont="1" applyFill="1" applyBorder="1" applyAlignment="1">
      <alignment horizontal="center" vertical="center" wrapText="1"/>
    </xf>
    <xf numFmtId="0" fontId="18" fillId="0" borderId="21" xfId="0" applyFont="1" applyBorder="1"/>
    <xf numFmtId="0" fontId="16" fillId="0" borderId="17" xfId="0" applyFont="1" applyBorder="1" applyAlignment="1">
      <alignment horizontal="left" wrapText="1"/>
    </xf>
    <xf numFmtId="0" fontId="28" fillId="0" borderId="7" xfId="0" applyFont="1" applyBorder="1" applyAlignment="1">
      <alignment horizontal="left"/>
    </xf>
    <xf numFmtId="0" fontId="28" fillId="0" borderId="7" xfId="0" applyFont="1" applyBorder="1"/>
    <xf numFmtId="0" fontId="27" fillId="0" borderId="7" xfId="0" applyFont="1" applyBorder="1"/>
    <xf numFmtId="0" fontId="28" fillId="0" borderId="22" xfId="0" applyFont="1" applyBorder="1"/>
    <xf numFmtId="0" fontId="28" fillId="0" borderId="7" xfId="0" applyFont="1" applyBorder="1" applyAlignment="1">
      <alignment horizontal="left" wrapText="1"/>
    </xf>
    <xf numFmtId="0" fontId="30" fillId="0" borderId="0" xfId="0" applyFont="1"/>
    <xf numFmtId="0" fontId="25" fillId="0" borderId="7" xfId="0" applyFont="1" applyBorder="1" applyAlignment="1">
      <alignment wrapText="1"/>
    </xf>
    <xf numFmtId="0" fontId="27" fillId="0" borderId="7" xfId="0" applyFont="1" applyBorder="1" applyAlignment="1" applyProtection="1">
      <alignment horizontal="left"/>
      <protection locked="0"/>
    </xf>
    <xf numFmtId="0" fontId="29" fillId="0" borderId="22" xfId="0" applyFont="1" applyBorder="1"/>
    <xf numFmtId="0" fontId="28" fillId="16" borderId="7" xfId="0" applyFont="1" applyFill="1" applyBorder="1" applyAlignment="1">
      <alignment horizontal="left" wrapText="1"/>
    </xf>
    <xf numFmtId="0" fontId="28" fillId="16" borderId="7" xfId="0" applyFont="1" applyFill="1" applyBorder="1"/>
    <xf numFmtId="0" fontId="27" fillId="16" borderId="22" xfId="0" applyFont="1" applyFill="1" applyBorder="1"/>
    <xf numFmtId="0" fontId="18" fillId="16" borderId="7" xfId="0" applyFont="1" applyFill="1" applyBorder="1" applyAlignment="1">
      <alignment horizontal="left" wrapText="1"/>
    </xf>
    <xf numFmtId="0" fontId="16" fillId="16" borderId="22" xfId="0" applyFont="1" applyFill="1" applyBorder="1" applyAlignment="1">
      <alignment wrapText="1"/>
    </xf>
    <xf numFmtId="0" fontId="16" fillId="16" borderId="7" xfId="0" applyFont="1" applyFill="1" applyBorder="1" applyAlignment="1">
      <alignment wrapText="1"/>
    </xf>
    <xf numFmtId="0" fontId="16" fillId="16" borderId="8" xfId="0" applyFont="1" applyFill="1" applyBorder="1" applyAlignment="1">
      <alignment wrapText="1"/>
    </xf>
    <xf numFmtId="0" fontId="18" fillId="16" borderId="7" xfId="0" applyFont="1" applyFill="1" applyBorder="1" applyAlignment="1">
      <alignment wrapText="1"/>
    </xf>
    <xf numFmtId="165" fontId="18" fillId="16" borderId="7" xfId="0" applyNumberFormat="1" applyFont="1" applyFill="1" applyBorder="1" applyAlignment="1">
      <alignment wrapText="1"/>
    </xf>
    <xf numFmtId="0" fontId="18" fillId="16" borderId="7" xfId="0" applyFont="1" applyFill="1" applyBorder="1"/>
    <xf numFmtId="165" fontId="18" fillId="16" borderId="22" xfId="0" applyNumberFormat="1" applyFont="1" applyFill="1" applyBorder="1" applyAlignment="1">
      <alignment wrapText="1"/>
    </xf>
    <xf numFmtId="165" fontId="16" fillId="16" borderId="6" xfId="0" applyNumberFormat="1" applyFont="1" applyFill="1" applyBorder="1" applyAlignment="1">
      <alignment horizontal="left" wrapText="1"/>
    </xf>
    <xf numFmtId="165" fontId="16" fillId="16" borderId="16" xfId="0" applyNumberFormat="1" applyFont="1" applyFill="1" applyBorder="1" applyAlignment="1">
      <alignment horizontal="left" wrapText="1"/>
    </xf>
    <xf numFmtId="164" fontId="16" fillId="16" borderId="6" xfId="0" applyNumberFormat="1" applyFont="1" applyFill="1" applyBorder="1" applyAlignment="1">
      <alignment wrapText="1"/>
    </xf>
    <xf numFmtId="165" fontId="18" fillId="16" borderId="7" xfId="0" applyNumberFormat="1" applyFont="1" applyFill="1" applyBorder="1" applyAlignment="1">
      <alignment horizontal="right" wrapText="1"/>
    </xf>
    <xf numFmtId="0" fontId="16" fillId="16" borderId="7" xfId="0" quotePrefix="1" applyFont="1" applyFill="1" applyBorder="1"/>
    <xf numFmtId="0" fontId="18" fillId="16" borderId="21" xfId="0" applyFont="1" applyFill="1" applyBorder="1"/>
    <xf numFmtId="0" fontId="16" fillId="16" borderId="4" xfId="0" applyFont="1" applyFill="1" applyBorder="1" applyAlignment="1">
      <alignment horizontal="left" wrapText="1"/>
    </xf>
    <xf numFmtId="0" fontId="16" fillId="16" borderId="17" xfId="0" applyFont="1" applyFill="1" applyBorder="1" applyAlignment="1">
      <alignment horizontal="left" wrapText="1"/>
    </xf>
    <xf numFmtId="0" fontId="18" fillId="16" borderId="8" xfId="0" applyFont="1" applyFill="1" applyBorder="1" applyAlignment="1">
      <alignment horizontal="right" wrapText="1"/>
    </xf>
    <xf numFmtId="0" fontId="16" fillId="16" borderId="17" xfId="0" applyFont="1" applyFill="1" applyBorder="1" applyAlignment="1">
      <alignment wrapText="1"/>
    </xf>
    <xf numFmtId="0" fontId="18" fillId="16" borderId="8" xfId="0" applyFont="1" applyFill="1" applyBorder="1" applyAlignment="1">
      <alignment wrapText="1"/>
    </xf>
    <xf numFmtId="164" fontId="16" fillId="16" borderId="7" xfId="0" applyNumberFormat="1" applyFont="1" applyFill="1" applyBorder="1" applyAlignment="1">
      <alignment wrapText="1"/>
    </xf>
    <xf numFmtId="0" fontId="18" fillId="16" borderId="22" xfId="0" applyFont="1" applyFill="1" applyBorder="1" applyAlignment="1">
      <alignment wrapText="1"/>
    </xf>
    <xf numFmtId="0" fontId="16" fillId="16" borderId="7" xfId="0" applyFont="1" applyFill="1" applyBorder="1" applyAlignment="1">
      <alignment horizontal="left" wrapText="1"/>
    </xf>
    <xf numFmtId="0" fontId="18" fillId="16" borderId="21" xfId="0" applyFont="1" applyFill="1" applyBorder="1" applyAlignment="1">
      <alignment wrapText="1"/>
    </xf>
    <xf numFmtId="0" fontId="16" fillId="0" borderId="8" xfId="0" applyFont="1" applyBorder="1" applyAlignment="1">
      <alignment horizontal="left" wrapText="1"/>
    </xf>
    <xf numFmtId="0" fontId="28" fillId="0" borderId="4" xfId="0" applyFont="1" applyBorder="1"/>
    <xf numFmtId="0" fontId="28" fillId="0" borderId="17" xfId="0" applyFont="1" applyBorder="1"/>
    <xf numFmtId="0" fontId="16" fillId="0" borderId="7" xfId="0" applyFont="1" applyBorder="1" applyAlignment="1" applyProtection="1">
      <alignment horizontal="left"/>
      <protection locked="0"/>
    </xf>
    <xf numFmtId="49" fontId="16" fillId="0" borderId="7" xfId="0" applyNumberFormat="1" applyFont="1" applyBorder="1" applyAlignment="1">
      <alignment horizontal="left"/>
    </xf>
    <xf numFmtId="165" fontId="16" fillId="0" borderId="7" xfId="0" applyNumberFormat="1" applyFont="1" applyBorder="1" applyAlignment="1">
      <alignment horizontal="left" wrapText="1"/>
    </xf>
    <xf numFmtId="165" fontId="16" fillId="0" borderId="22" xfId="0" applyNumberFormat="1" applyFont="1" applyBorder="1" applyAlignment="1">
      <alignment horizontal="left" wrapText="1"/>
    </xf>
    <xf numFmtId="164" fontId="16" fillId="0" borderId="8" xfId="0" applyNumberFormat="1" applyFont="1" applyBorder="1" applyAlignment="1">
      <alignment wrapText="1"/>
    </xf>
    <xf numFmtId="165" fontId="16" fillId="0" borderId="7" xfId="0" applyNumberFormat="1" applyFont="1" applyBorder="1" applyAlignment="1">
      <alignment wrapText="1"/>
    </xf>
    <xf numFmtId="164" fontId="16" fillId="0" borderId="22" xfId="0" applyNumberFormat="1" applyFont="1" applyBorder="1" applyAlignment="1">
      <alignment wrapText="1"/>
    </xf>
    <xf numFmtId="165" fontId="16" fillId="0" borderId="21" xfId="0" applyNumberFormat="1" applyFont="1" applyBorder="1" applyAlignment="1">
      <alignment horizontal="left" wrapText="1"/>
    </xf>
    <xf numFmtId="0" fontId="16" fillId="0" borderId="7" xfId="1" applyFont="1" applyBorder="1" applyAlignment="1">
      <alignment horizontal="left" wrapText="1"/>
    </xf>
    <xf numFmtId="166" fontId="16" fillId="0" borderId="7" xfId="1" applyNumberFormat="1" applyFont="1" applyBorder="1" applyAlignment="1">
      <alignment horizontal="left" wrapText="1"/>
    </xf>
    <xf numFmtId="0" fontId="16" fillId="0" borderId="21" xfId="0" applyFont="1" applyBorder="1"/>
    <xf numFmtId="0" fontId="28" fillId="0" borderId="22" xfId="0" applyFont="1" applyBorder="1" applyAlignment="1">
      <alignment horizontal="left" wrapText="1"/>
    </xf>
    <xf numFmtId="0" fontId="16" fillId="0" borderId="0" xfId="0" applyFont="1" applyAlignment="1">
      <alignment wrapText="1"/>
    </xf>
    <xf numFmtId="0" fontId="24" fillId="0" borderId="7" xfId="0" applyFont="1" applyBorder="1"/>
    <xf numFmtId="0" fontId="24" fillId="0" borderId="22" xfId="0" applyFont="1" applyBorder="1"/>
    <xf numFmtId="0" fontId="24" fillId="0" borderId="8" xfId="0" applyFont="1" applyBorder="1"/>
    <xf numFmtId="0" fontId="16" fillId="0" borderId="22" xfId="0" quotePrefix="1" applyFont="1" applyBorder="1"/>
    <xf numFmtId="0" fontId="31" fillId="0" borderId="16" xfId="0" applyFont="1" applyBorder="1" applyAlignment="1">
      <alignment horizontal="left"/>
    </xf>
    <xf numFmtId="165" fontId="18" fillId="0" borderId="7" xfId="0" applyNumberFormat="1" applyFont="1" applyBorder="1" applyAlignment="1">
      <alignment horizontal="left" wrapText="1"/>
    </xf>
    <xf numFmtId="165" fontId="18" fillId="0" borderId="22" xfId="0" applyNumberFormat="1" applyFont="1" applyBorder="1" applyAlignment="1">
      <alignment horizontal="left" wrapText="1"/>
    </xf>
    <xf numFmtId="0" fontId="31" fillId="0" borderId="7" xfId="0" applyFont="1" applyBorder="1" applyAlignment="1">
      <alignment horizontal="left"/>
    </xf>
    <xf numFmtId="0" fontId="16" fillId="0" borderId="23" xfId="0" applyFont="1" applyBorder="1" applyAlignment="1">
      <alignment wrapText="1"/>
    </xf>
    <xf numFmtId="0" fontId="18" fillId="0" borderId="8" xfId="0" applyFont="1" applyBorder="1" applyAlignment="1">
      <alignment horizontal="left" wrapText="1"/>
    </xf>
    <xf numFmtId="0" fontId="34" fillId="0" borderId="8" xfId="0" applyFont="1" applyBorder="1" applyAlignment="1">
      <alignment horizontal="left"/>
    </xf>
    <xf numFmtId="0" fontId="24" fillId="0" borderId="8" xfId="0" applyFont="1" applyBorder="1" applyAlignment="1">
      <alignment horizontal="left"/>
    </xf>
    <xf numFmtId="0" fontId="34" fillId="0" borderId="8" xfId="0" applyFont="1" applyBorder="1"/>
    <xf numFmtId="0" fontId="35" fillId="0" borderId="7" xfId="0" applyFont="1" applyBorder="1"/>
    <xf numFmtId="0" fontId="35" fillId="0" borderId="22" xfId="0" applyFont="1" applyBorder="1"/>
    <xf numFmtId="0" fontId="35" fillId="0" borderId="8" xfId="0" applyFont="1" applyBorder="1"/>
    <xf numFmtId="0" fontId="18" fillId="0" borderId="4" xfId="0" applyFont="1" applyBorder="1" applyAlignment="1">
      <alignment horizontal="left" wrapText="1"/>
    </xf>
    <xf numFmtId="0" fontId="18" fillId="0" borderId="4" xfId="0" applyFont="1" applyBorder="1" applyAlignment="1">
      <alignment wrapText="1"/>
    </xf>
    <xf numFmtId="0" fontId="18" fillId="0" borderId="6" xfId="0" applyFont="1" applyBorder="1" applyAlignment="1">
      <alignment wrapText="1"/>
    </xf>
    <xf numFmtId="0" fontId="18" fillId="0" borderId="16" xfId="0" applyFont="1" applyBorder="1" applyAlignment="1">
      <alignment wrapText="1"/>
    </xf>
    <xf numFmtId="0" fontId="18" fillId="0" borderId="16" xfId="0" applyFont="1" applyBorder="1" applyAlignment="1">
      <alignment horizontal="left" wrapText="1"/>
    </xf>
    <xf numFmtId="0" fontId="16" fillId="0" borderId="22" xfId="0" applyFont="1" applyBorder="1" applyAlignment="1">
      <alignment wrapText="1"/>
    </xf>
    <xf numFmtId="0" fontId="16" fillId="0" borderId="6" xfId="0" applyFont="1" applyBorder="1" applyAlignment="1">
      <alignment wrapText="1"/>
    </xf>
    <xf numFmtId="165" fontId="18" fillId="0" borderId="4" xfId="0" applyNumberFormat="1" applyFont="1" applyBorder="1" applyAlignment="1">
      <alignment wrapText="1"/>
    </xf>
    <xf numFmtId="0" fontId="18" fillId="0" borderId="6" xfId="0" applyFont="1" applyBorder="1"/>
    <xf numFmtId="165" fontId="18" fillId="0" borderId="17" xfId="0" applyNumberFormat="1" applyFont="1" applyBorder="1" applyAlignment="1">
      <alignment horizontal="right" wrapText="1"/>
    </xf>
    <xf numFmtId="165" fontId="18" fillId="0" borderId="17" xfId="0" applyNumberFormat="1" applyFont="1" applyBorder="1" applyAlignment="1">
      <alignment wrapText="1"/>
    </xf>
    <xf numFmtId="0" fontId="18" fillId="0" borderId="18" xfId="0" applyFont="1" applyBorder="1" applyAlignment="1">
      <alignment horizontal="right" wrapText="1"/>
    </xf>
    <xf numFmtId="0" fontId="18" fillId="0" borderId="18" xfId="0" applyFont="1" applyBorder="1" applyAlignment="1">
      <alignment wrapText="1"/>
    </xf>
    <xf numFmtId="0" fontId="18" fillId="0" borderId="19" xfId="0" applyFont="1" applyBorder="1" applyAlignment="1">
      <alignment wrapText="1"/>
    </xf>
    <xf numFmtId="0" fontId="18" fillId="0" borderId="20" xfId="0" applyFont="1" applyBorder="1" applyAlignment="1">
      <alignment wrapText="1"/>
    </xf>
    <xf numFmtId="0" fontId="25" fillId="0" borderId="7" xfId="0" applyFont="1" applyBorder="1" applyAlignment="1">
      <alignment horizontal="left" wrapText="1"/>
    </xf>
    <xf numFmtId="165" fontId="18" fillId="0" borderId="7" xfId="0" applyNumberFormat="1" applyFont="1" applyBorder="1" applyAlignment="1">
      <alignment horizontal="right" wrapText="1"/>
    </xf>
    <xf numFmtId="165" fontId="18" fillId="0" borderId="22" xfId="0" applyNumberFormat="1" applyFont="1" applyBorder="1" applyAlignment="1">
      <alignment wrapText="1"/>
    </xf>
    <xf numFmtId="0" fontId="18" fillId="0" borderId="8" xfId="0" applyFont="1" applyBorder="1" applyAlignment="1">
      <alignment horizontal="right" wrapText="1"/>
    </xf>
    <xf numFmtId="165" fontId="16" fillId="0" borderId="7" xfId="0" applyNumberFormat="1" applyFont="1" applyBorder="1" applyAlignment="1">
      <alignment horizontal="right" wrapText="1"/>
    </xf>
    <xf numFmtId="165" fontId="16" fillId="0" borderId="6" xfId="0" applyNumberFormat="1" applyFont="1" applyBorder="1" applyAlignment="1">
      <alignment horizontal="left" wrapText="1"/>
    </xf>
    <xf numFmtId="165" fontId="16" fillId="0" borderId="16" xfId="0" applyNumberFormat="1" applyFont="1" applyBorder="1" applyAlignment="1">
      <alignment horizontal="left" wrapText="1"/>
    </xf>
    <xf numFmtId="164" fontId="16" fillId="0" borderId="6" xfId="0" applyNumberFormat="1" applyFont="1" applyBorder="1" applyAlignment="1">
      <alignment wrapText="1"/>
    </xf>
    <xf numFmtId="165" fontId="16" fillId="0" borderId="22" xfId="0" quotePrefix="1" applyNumberFormat="1" applyFont="1" applyBorder="1"/>
    <xf numFmtId="0" fontId="16" fillId="0" borderId="8" xfId="0" applyFont="1" applyBorder="1" applyAlignment="1">
      <alignment horizontal="right" wrapText="1"/>
    </xf>
    <xf numFmtId="0" fontId="18" fillId="0" borderId="0" xfId="0" applyFont="1"/>
    <xf numFmtId="165" fontId="16" fillId="0" borderId="8" xfId="0" applyNumberFormat="1" applyFont="1" applyBorder="1" applyAlignment="1">
      <alignment horizontal="left" wrapText="1"/>
    </xf>
    <xf numFmtId="0" fontId="18" fillId="0" borderId="7" xfId="0" applyFont="1" applyBorder="1" applyAlignment="1">
      <alignment horizontal="right" wrapText="1"/>
    </xf>
    <xf numFmtId="0" fontId="16" fillId="0" borderId="22" xfId="0" applyFont="1" applyBorder="1" applyAlignment="1">
      <alignment horizontal="left" wrapText="1"/>
    </xf>
    <xf numFmtId="0" fontId="31" fillId="0" borderId="4" xfId="0" applyFont="1" applyBorder="1" applyAlignment="1">
      <alignment horizontal="left"/>
    </xf>
    <xf numFmtId="0" fontId="32" fillId="0" borderId="4" xfId="0" applyFont="1" applyBorder="1" applyAlignment="1">
      <alignment horizontal="left"/>
    </xf>
    <xf numFmtId="165" fontId="16" fillId="0" borderId="4" xfId="0" applyNumberFormat="1" applyFont="1" applyBorder="1" applyAlignment="1">
      <alignment horizontal="left" wrapText="1"/>
    </xf>
    <xf numFmtId="165" fontId="16" fillId="0" borderId="17" xfId="0" applyNumberFormat="1" applyFont="1" applyBorder="1" applyAlignment="1">
      <alignment horizontal="left" wrapText="1"/>
    </xf>
    <xf numFmtId="0" fontId="16" fillId="0" borderId="7" xfId="0" applyFont="1" applyBorder="1" applyAlignment="1">
      <alignment horizontal="left"/>
    </xf>
    <xf numFmtId="0" fontId="16" fillId="0" borderId="18" xfId="0" applyFont="1" applyBorder="1" applyAlignment="1">
      <alignment horizontal="left" wrapText="1"/>
    </xf>
    <xf numFmtId="0" fontId="16" fillId="0" borderId="19" xfId="0" applyFont="1" applyBorder="1" applyAlignment="1">
      <alignment horizontal="left" wrapText="1"/>
    </xf>
    <xf numFmtId="0" fontId="16" fillId="0" borderId="20" xfId="0" applyFont="1" applyBorder="1" applyAlignment="1">
      <alignment horizontal="left" wrapText="1"/>
    </xf>
    <xf numFmtId="0" fontId="16" fillId="0" borderId="16" xfId="0" applyFont="1" applyBorder="1" applyAlignment="1">
      <alignment horizontal="left" wrapText="1"/>
    </xf>
    <xf numFmtId="0" fontId="16" fillId="0" borderId="6" xfId="0" applyFont="1" applyBorder="1" applyAlignment="1">
      <alignment horizontal="left" wrapText="1"/>
    </xf>
    <xf numFmtId="0" fontId="32" fillId="0" borderId="7" xfId="0" applyFont="1" applyBorder="1" applyAlignment="1">
      <alignment horizontal="left"/>
    </xf>
    <xf numFmtId="0" fontId="16" fillId="0" borderId="21" xfId="0" applyFont="1" applyBorder="1" applyAlignment="1">
      <alignment horizontal="left" wrapText="1"/>
    </xf>
    <xf numFmtId="165" fontId="16" fillId="0" borderId="7" xfId="0" applyNumberFormat="1" applyFont="1" applyBorder="1" applyAlignment="1">
      <alignment horizontal="left" vertical="center" wrapText="1"/>
    </xf>
    <xf numFmtId="165" fontId="16" fillId="0" borderId="22" xfId="0" quotePrefix="1" applyNumberFormat="1" applyFont="1" applyBorder="1" applyAlignment="1">
      <alignment horizontal="left"/>
    </xf>
    <xf numFmtId="165" fontId="18" fillId="0" borderId="7" xfId="0" applyNumberFormat="1" applyFont="1" applyBorder="1" applyAlignment="1">
      <alignment horizontal="left" vertical="center" wrapText="1"/>
    </xf>
    <xf numFmtId="165" fontId="18" fillId="0" borderId="22" xfId="0" applyNumberFormat="1" applyFont="1" applyBorder="1" applyAlignment="1">
      <alignment horizontal="left" vertical="center" wrapText="1"/>
    </xf>
    <xf numFmtId="0" fontId="33" fillId="0" borderId="0" xfId="0" applyFont="1"/>
    <xf numFmtId="0" fontId="16" fillId="0" borderId="4" xfId="0" applyFont="1" applyBorder="1" applyAlignment="1">
      <alignment wrapText="1"/>
    </xf>
    <xf numFmtId="165" fontId="18" fillId="0" borderId="4" xfId="0" applyNumberFormat="1" applyFont="1" applyBorder="1" applyAlignment="1">
      <alignment horizontal="left" wrapText="1"/>
    </xf>
    <xf numFmtId="165" fontId="18" fillId="0" borderId="17" xfId="0" applyNumberFormat="1" applyFont="1" applyBorder="1" applyAlignment="1">
      <alignment horizontal="left" wrapText="1"/>
    </xf>
    <xf numFmtId="0" fontId="16" fillId="0" borderId="17" xfId="0" quotePrefix="1" applyFont="1" applyBorder="1"/>
    <xf numFmtId="0" fontId="18" fillId="0" borderId="6" xfId="0" applyFont="1" applyBorder="1" applyAlignment="1">
      <alignment horizontal="left" wrapText="1"/>
    </xf>
    <xf numFmtId="164" fontId="16" fillId="0" borderId="4" xfId="0" applyNumberFormat="1" applyFont="1" applyBorder="1" applyAlignment="1">
      <alignment wrapText="1"/>
    </xf>
    <xf numFmtId="0" fontId="18" fillId="0" borderId="17" xfId="0" applyFont="1" applyBorder="1" applyAlignment="1">
      <alignment wrapText="1"/>
    </xf>
    <xf numFmtId="0" fontId="18" fillId="17" borderId="22" xfId="0" applyFont="1" applyFill="1" applyBorder="1" applyAlignment="1">
      <alignment wrapText="1"/>
    </xf>
    <xf numFmtId="0" fontId="16" fillId="17" borderId="7" xfId="0" applyFont="1" applyFill="1" applyBorder="1" applyAlignment="1">
      <alignment horizontal="left"/>
    </xf>
    <xf numFmtId="0" fontId="24" fillId="17" borderId="8" xfId="0" applyFont="1" applyFill="1" applyBorder="1"/>
    <xf numFmtId="0" fontId="18" fillId="17" borderId="7" xfId="0" applyFont="1" applyFill="1" applyBorder="1" applyAlignment="1">
      <alignment horizontal="left"/>
    </xf>
    <xf numFmtId="0" fontId="18" fillId="17" borderId="7" xfId="0" applyFont="1" applyFill="1" applyBorder="1" applyAlignment="1">
      <alignment wrapText="1"/>
    </xf>
    <xf numFmtId="0" fontId="16" fillId="17" borderId="4" xfId="0" applyFont="1" applyFill="1" applyBorder="1" applyAlignment="1">
      <alignment horizontal="left" wrapText="1"/>
    </xf>
    <xf numFmtId="0" fontId="16" fillId="17" borderId="4" xfId="0" applyFont="1" applyFill="1" applyBorder="1" applyAlignment="1">
      <alignment horizontal="left"/>
    </xf>
    <xf numFmtId="0" fontId="16" fillId="17" borderId="7" xfId="0" applyFont="1" applyFill="1" applyBorder="1" applyAlignment="1">
      <alignment wrapText="1"/>
    </xf>
    <xf numFmtId="0" fontId="18" fillId="17" borderId="4" xfId="0" applyFont="1" applyFill="1" applyBorder="1" applyAlignment="1">
      <alignment wrapText="1"/>
    </xf>
    <xf numFmtId="0" fontId="28" fillId="17" borderId="22" xfId="0" applyFont="1" applyFill="1" applyBorder="1" applyAlignment="1">
      <alignment horizontal="left" wrapText="1"/>
    </xf>
    <xf numFmtId="0" fontId="18" fillId="17" borderId="7" xfId="0" applyFont="1" applyFill="1" applyBorder="1"/>
    <xf numFmtId="0" fontId="16" fillId="17" borderId="17" xfId="0" applyFont="1" applyFill="1" applyBorder="1" applyAlignment="1">
      <alignment horizontal="left" wrapText="1"/>
    </xf>
    <xf numFmtId="0" fontId="16" fillId="17" borderId="8" xfId="0" applyFont="1" applyFill="1" applyBorder="1" applyAlignment="1">
      <alignment wrapText="1"/>
    </xf>
    <xf numFmtId="0" fontId="18" fillId="17" borderId="8" xfId="0" applyFont="1" applyFill="1" applyBorder="1" applyAlignment="1">
      <alignment horizontal="right" wrapText="1"/>
    </xf>
    <xf numFmtId="0" fontId="18" fillId="17" borderId="21" xfId="0" applyFont="1" applyFill="1" applyBorder="1" applyAlignment="1">
      <alignment wrapText="1"/>
    </xf>
    <xf numFmtId="0" fontId="18" fillId="4" borderId="7" xfId="0" applyFont="1" applyFill="1" applyBorder="1" applyAlignment="1">
      <alignment horizontal="left" wrapText="1"/>
    </xf>
    <xf numFmtId="0" fontId="16" fillId="17" borderId="7" xfId="0" applyFont="1" applyFill="1" applyBorder="1"/>
    <xf numFmtId="0" fontId="16" fillId="17" borderId="7" xfId="0" applyFont="1" applyFill="1" applyBorder="1" applyAlignment="1">
      <alignment horizontal="left" wrapText="1"/>
    </xf>
    <xf numFmtId="0" fontId="24" fillId="0" borderId="7" xfId="0" applyFont="1" applyBorder="1" applyAlignment="1">
      <alignment horizontal="left"/>
    </xf>
    <xf numFmtId="167" fontId="19" fillId="4" borderId="4" xfId="1" applyNumberFormat="1" applyFont="1" applyFill="1" applyBorder="1" applyAlignment="1">
      <alignment horizontal="center" vertical="center" wrapText="1"/>
    </xf>
    <xf numFmtId="164" fontId="19" fillId="4" borderId="4" xfId="1" applyNumberFormat="1" applyFont="1" applyFill="1" applyBorder="1" applyAlignment="1">
      <alignment horizontal="center" vertical="center" wrapText="1"/>
    </xf>
    <xf numFmtId="0" fontId="35" fillId="0" borderId="7" xfId="0" quotePrefix="1" applyFont="1" applyBorder="1"/>
    <xf numFmtId="0" fontId="24" fillId="0" borderId="22" xfId="0" applyFont="1" applyBorder="1" applyAlignment="1">
      <alignment horizontal="left"/>
    </xf>
    <xf numFmtId="164" fontId="20" fillId="4" borderId="17" xfId="1" applyNumberFormat="1" applyFont="1" applyFill="1" applyBorder="1" applyAlignment="1">
      <alignment horizontal="center" vertical="center" wrapText="1"/>
    </xf>
    <xf numFmtId="0" fontId="24" fillId="0" borderId="21" xfId="0" applyFont="1" applyBorder="1"/>
    <xf numFmtId="0" fontId="35" fillId="0" borderId="21" xfId="0" applyFont="1" applyBorder="1"/>
    <xf numFmtId="164" fontId="19" fillId="8" borderId="4" xfId="2" applyNumberFormat="1" applyFont="1" applyFill="1" applyBorder="1" applyAlignment="1">
      <alignment horizontal="center" vertical="center" wrapText="1"/>
    </xf>
    <xf numFmtId="165" fontId="19" fillId="4" borderId="4" xfId="1" applyNumberFormat="1" applyFont="1" applyFill="1" applyBorder="1" applyAlignment="1">
      <alignment horizontal="center" vertical="center" wrapText="1"/>
    </xf>
    <xf numFmtId="0" fontId="24" fillId="0" borderId="24" xfId="0" applyFont="1" applyBorder="1" applyAlignment="1">
      <alignment horizontal="left"/>
    </xf>
    <xf numFmtId="164" fontId="20" fillId="4" borderId="22" xfId="1" applyNumberFormat="1" applyFont="1" applyFill="1" applyBorder="1" applyAlignment="1">
      <alignment horizontal="center" vertical="center" wrapText="1"/>
    </xf>
    <xf numFmtId="0" fontId="24" fillId="16" borderId="7" xfId="0" applyFont="1" applyFill="1" applyBorder="1" applyAlignment="1">
      <alignment horizontal="left"/>
    </xf>
    <xf numFmtId="0" fontId="35" fillId="16" borderId="7" xfId="0" quotePrefix="1" applyFont="1" applyFill="1" applyBorder="1"/>
    <xf numFmtId="0" fontId="24" fillId="16" borderId="8" xfId="0" applyFont="1" applyFill="1" applyBorder="1"/>
    <xf numFmtId="0" fontId="0" fillId="16" borderId="0" xfId="0" applyFill="1"/>
    <xf numFmtId="0" fontId="28" fillId="17" borderId="17" xfId="0" applyFont="1" applyFill="1" applyBorder="1" applyAlignment="1">
      <alignment horizontal="left" wrapText="1"/>
    </xf>
    <xf numFmtId="0" fontId="28" fillId="0" borderId="24" xfId="0" applyFont="1" applyBorder="1"/>
    <xf numFmtId="0" fontId="28" fillId="17" borderId="22" xfId="0" applyFont="1" applyFill="1" applyBorder="1"/>
    <xf numFmtId="0" fontId="28" fillId="16" borderId="22" xfId="0" applyFont="1" applyFill="1" applyBorder="1"/>
    <xf numFmtId="0" fontId="28" fillId="17" borderId="17" xfId="0" applyFont="1" applyFill="1" applyBorder="1"/>
    <xf numFmtId="164" fontId="20" fillId="5" borderId="22" xfId="1" applyNumberFormat="1" applyFont="1" applyFill="1" applyBorder="1" applyAlignment="1">
      <alignment horizontal="center" vertical="center" wrapText="1"/>
    </xf>
    <xf numFmtId="0" fontId="16" fillId="17" borderId="22" xfId="0" applyFont="1" applyFill="1" applyBorder="1" applyAlignment="1">
      <alignment horizontal="left" wrapText="1"/>
    </xf>
    <xf numFmtId="0" fontId="24" fillId="0" borderId="4" xfId="0" applyFont="1" applyBorder="1"/>
    <xf numFmtId="0" fontId="35" fillId="0" borderId="6" xfId="0" applyFont="1" applyBorder="1"/>
    <xf numFmtId="0" fontId="24" fillId="0" borderId="6" xfId="0" applyFont="1" applyBorder="1"/>
    <xf numFmtId="0" fontId="24" fillId="0" borderId="16" xfId="0" applyFont="1" applyBorder="1"/>
    <xf numFmtId="164" fontId="19" fillId="5" borderId="25" xfId="1" applyNumberFormat="1" applyFont="1" applyFill="1" applyBorder="1" applyAlignment="1">
      <alignment horizontal="center" vertical="center" wrapText="1"/>
    </xf>
    <xf numFmtId="164" fontId="20" fillId="5" borderId="25" xfId="1" applyNumberFormat="1" applyFont="1" applyFill="1" applyBorder="1" applyAlignment="1">
      <alignment horizontal="center" vertical="center" wrapText="1"/>
    </xf>
    <xf numFmtId="0" fontId="28" fillId="0" borderId="4" xfId="0" applyFont="1" applyBorder="1" applyAlignment="1">
      <alignment horizontal="left" wrapText="1"/>
    </xf>
    <xf numFmtId="164" fontId="20" fillId="5" borderId="0" xfId="1" applyNumberFormat="1" applyFont="1" applyFill="1" applyBorder="1" applyAlignment="1">
      <alignment horizontal="center" vertical="center" wrapText="1"/>
    </xf>
  </cellXfs>
  <cellStyles count="3">
    <cellStyle name="Normal" xfId="0" builtinId="0"/>
    <cellStyle name="Normal 2" xfId="1" xr:uid="{00000000-0005-0000-0000-000001000000}"/>
    <cellStyle name="Normal 2 2" xfId="2" xr:uid="{00000000-0005-0000-0000-000002000000}"/>
  </cellStyles>
  <dxfs count="38">
    <dxf>
      <font>
        <b/>
        <i val="0"/>
        <strike val="0"/>
        <condense val="0"/>
        <extend val="0"/>
        <outline val="0"/>
        <shadow val="0"/>
        <u val="none"/>
        <vertAlign val="baseline"/>
        <sz val="10"/>
        <color auto="1"/>
        <name val="Calibri"/>
        <scheme val="none"/>
      </font>
      <numFmt numFmtId="164" formatCode="dd/mm/yyyy;@"/>
      <fill>
        <patternFill patternType="solid">
          <fgColor indexed="64"/>
          <bgColor rgb="FFE7E6E6"/>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rgb="FF000000"/>
        <name val="Calibri"/>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auto="1"/>
        </top>
        <bottom style="thin">
          <color rgb="FF000000"/>
        </bottom>
      </border>
    </dxf>
    <dxf>
      <font>
        <b/>
        <i val="0"/>
        <strike val="0"/>
        <condense val="0"/>
        <extend val="0"/>
        <outline val="0"/>
        <shadow val="0"/>
        <u val="none"/>
        <vertAlign val="baseline"/>
        <sz val="10"/>
        <color auto="1"/>
        <name val="Calibri"/>
        <scheme val="none"/>
      </font>
      <numFmt numFmtId="164" formatCode="dd/mm/yyyy;@"/>
      <fill>
        <patternFill patternType="solid">
          <fgColor indexed="64"/>
          <bgColor rgb="FFE7E6E6"/>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rgb="FF000000"/>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Light"/>
        <scheme val="major"/>
      </font>
      <border diagonalUp="0" diagonalDown="0">
        <left/>
        <right/>
        <top style="thin">
          <color rgb="FF000000"/>
        </top>
        <bottom style="thin">
          <color rgb="FF000000"/>
        </bottom>
        <vertical/>
        <horizontal/>
      </border>
    </dxf>
    <dxf>
      <font>
        <b val="0"/>
        <i val="0"/>
        <strike val="0"/>
        <condense val="0"/>
        <extend val="0"/>
        <outline val="0"/>
        <shadow val="0"/>
        <u val="none"/>
        <vertAlign val="baseline"/>
        <sz val="10"/>
        <color theme="1"/>
        <name val="Calibri Light"/>
        <scheme val="major"/>
      </font>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scheme val="major"/>
      </font>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scheme val="major"/>
      </font>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scheme val="major"/>
      </font>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scheme val="major"/>
      </font>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Light"/>
        <scheme val="major"/>
      </font>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scheme val="maj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scheme val="maj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right style="thin">
          <color rgb="FF000000"/>
        </right>
        <bottom style="thin">
          <color rgb="FF000000"/>
        </bottom>
      </border>
    </dxf>
    <dxf>
      <fill>
        <patternFill patternType="solid">
          <bgColor rgb="FFC6EFCE"/>
        </patternFill>
      </fill>
    </dxf>
    <dxf>
      <fill>
        <patternFill patternType="solid">
          <bgColor rgb="FF9BC2E6"/>
        </patternFill>
      </fill>
    </dxf>
    <dxf>
      <fill>
        <patternFill patternType="solid">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ertAlign val="baseline"/>
        <sz val="10"/>
        <color theme="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CUMMINGS, Michele (LEEDS TEACHING HOSPITALS NHS TRUST)" id="{A81D62B4-FC01-4B9B-AC04-992845BFECC4}" userId="S::m.cummings3@nhs.net::464af9cb-2ac6-4a60-90d5-810b97c47694" providerId="AD"/>
  <person displayName="MISTRY, Bejal (LEEDS TEACHING HOSPITALS NHS TRUST)" id="{75443D61-B518-4DC3-B685-CCA8FFF9528E}" userId="S::bejal.mistry@nhs.net::712afec3-5ad3-47db-9e27-212df6cf6495" providerId="AD"/>
  <person displayName="FREER, Clare (LEEDS TEACHING HOSPITALS NHS TRUST)" id="{A3521B82-4AB3-41F7-9E1A-936392F99007}" userId="S::clare.freer2@nhs.net::38188dba-d054-4eda-9019-5e8a7b85df14" providerId="AD"/>
  <person displayName="ALLEN, Katie (LEEDS TEACHING HOSPITALS NHS TRUST)" id="{652A302E-D765-4309-848C-06A57B986B6E}" userId="S::katie.allen4@nhs.net::a1d85871-937c-453d-a671-ff1948ef2c8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14B668-CF6D-497F-B4B5-2BA1C99B9025}" name="Supplementary_1" displayName="Supplementary_1" ref="A1:K47" totalsRowShown="0" headerRowDxfId="16" dataDxfId="17" tableBorderDxfId="29" headerRowCellStyle="Normal 2">
  <autoFilter ref="A1:K47" xr:uid="{5C14B668-CF6D-497F-B4B5-2BA1C99B9025}"/>
  <tableColumns count="11">
    <tableColumn id="1" xr3:uid="{F537415A-0C82-4EBA-AAA0-671C83A06322}" name="NHS number" dataDxfId="28"/>
    <tableColumn id="2" xr3:uid="{1270523E-80C9-4350-BA04-067CAFF7892F}" name="Donor ID" dataDxfId="27"/>
    <tableColumn id="3" xr3:uid="{854A756C-64F2-462D-A19C-0D31C1FAC733}" name="Selected specimen Anonymised ID" dataDxfId="26"/>
    <tableColumn id="4" xr3:uid="{EEB88746-1BFB-45DE-B87B-916E028AEA75}" name="Specimen number used for screening (if different)" dataDxfId="25"/>
    <tableColumn id="5" xr3:uid="{4ABC20A9-0FFA-45D3-A157-83E4E067D0BB}" name="Block used for MMR IHC" dataDxfId="24"/>
    <tableColumn id="6" xr3:uid="{5F28C95E-D415-49B7-AE15-20FECFFBD2CB}" name="MMR result (normal/abnormal)" dataDxfId="23"/>
    <tableColumn id="7" xr3:uid="{C0FDF583-4F88-4022-B71E-34023093F285}" name="MLH1 IHC (pos / neg / clonal neg)" dataDxfId="22"/>
    <tableColumn id="8" xr3:uid="{9F261EC3-38CB-4EB5-8294-755AAA613769}" name="PMS2 IHC (pos/ neg / clonal neg" dataDxfId="21"/>
    <tableColumn id="9" xr3:uid="{6A48B163-E02B-4018-9765-2418311D2EE9}" name="MSH2 IHC (pos/ neg / clonal neg" dataDxfId="20"/>
    <tableColumn id="10" xr3:uid="{C4677EB3-41E9-422A-8B1C-61D9E0AC015E}" name="MSH6 IHC (pos/ neg/ clonal neg)" dataDxfId="19"/>
    <tableColumn id="11" xr3:uid="{C2EBC631-3A9E-4BC7-90A2-999FAF0DF89A}" name="FIGO staging" dataDxfId="18"/>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D03C39-B28D-482C-9FAD-C67E5844A3A0}" name="Supplementary_2" displayName="Supplementary_2" ref="A1:M43" totalsRowShown="0" headerRowDxfId="0" dataDxfId="1" tableBorderDxfId="15" headerRowCellStyle="Normal 2">
  <autoFilter ref="A1:M43" xr:uid="{18D03C39-B28D-482C-9FAD-C67E5844A3A0}"/>
  <tableColumns count="13">
    <tableColumn id="1" xr3:uid="{D8D8551C-65AC-46F2-99F9-390952ECE0A4}" name="NHS number" dataDxfId="14"/>
    <tableColumn id="2" xr3:uid="{7A095CF0-E47E-4668-A3F9-ADCB171B3981}" name="Donor ID" dataDxfId="13"/>
    <tableColumn id="3" xr3:uid="{A19A4DBD-4D63-4C76-A348-0D6195A29A0E}" name="Selected specimen Anonymised ID" dataDxfId="12"/>
    <tableColumn id="4" xr3:uid="{468C33B3-E17C-4BCA-8A93-80586344DFFA}" name="Specimen number used for screening (if different)" dataDxfId="11"/>
    <tableColumn id="5" xr3:uid="{F3EE66E9-BE45-40E7-899F-B3401FB87DF3}" name="Block used for MMR IHC" dataDxfId="10"/>
    <tableColumn id="6" xr3:uid="{03D6E0B2-1C7B-4A28-9C6B-C1C8D933E289}" name="MMR result (normal/abnormal)" dataDxfId="9"/>
    <tableColumn id="7" xr3:uid="{FD68CEE5-5518-4DD0-AE4B-9DEBD15E7CEE}" name="MLH1 IHC (pos / neg / clonal neg)" dataDxfId="8"/>
    <tableColumn id="8" xr3:uid="{F16B64BA-9CC1-4823-913D-16E57CBF4416}" name="PMS2 IHC (pos/ neg / clonal neg" dataDxfId="7"/>
    <tableColumn id="9" xr3:uid="{C4867160-8348-4333-8FA7-2960CBFD1086}" name="MSH2 IHC (pos/ neg / clonal neg" dataDxfId="6"/>
    <tableColumn id="10" xr3:uid="{69ACB2BC-F7EB-48DD-955B-C51C50F48B08}" name="MSH6 IHC (pos/ neg/ clonal neg)" dataDxfId="5"/>
    <tableColumn id="11" xr3:uid="{86E015AD-2635-4CD5-AD5A-54BA474247C3}" name="MLH1 promoter hypermethylation (Detected/not detected/not tested)" dataDxfId="4"/>
    <tableColumn id="12" xr3:uid="{8A48F2A4-3D0A-4AB9-B93F-DDCB86A315D2}" name="Lynch Syndrome" dataDxfId="3"/>
    <tableColumn id="13" xr3:uid="{305A05C7-35E7-4492-BDCC-0C014F9B26AE}" name="FIGO staging" dataDxfId="2"/>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CB22BC-1695-4F56-9502-53B227EFDF84}" name="Table1" displayName="Table1" ref="E1:H8" totalsRowShown="0" headerRowDxfId="37">
  <autoFilter ref="E1:H8" xr:uid="{D6CB22BC-1695-4F56-9502-53B227EFDF84}"/>
  <tableColumns count="4">
    <tableColumn id="1" xr3:uid="{63272864-20E5-4A7C-8D58-41CB534C8CC6}" name="Therapy type"/>
    <tableColumn id="2" xr3:uid="{B73E30ED-C9DE-48F0-B683-FC8FE9EC3B63}" name="Yes/No"/>
    <tableColumn id="3" xr3:uid="{03246ABE-255C-4892-868D-F0AEF1FAC5E9}" name="Matched Normal treatment subgrouping"/>
    <tableColumn id="4" xr3:uid="{85936DCB-2C5F-44AE-84FF-5D7F3DD5CA45}" name="Staging/grading info provided for:"/>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 dT="2023-01-26T11:41:29.72" personId="{A3521B82-4AB3-41F7-9E1A-936392F99007}" id="{93DA5552-99E8-4A8A-B0EA-4307C3D928E0}">
    <text>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ext>
  </threadedComment>
  <threadedComment ref="Q3" dT="2023-01-26T11:41:29.72" personId="{A3521B82-4AB3-41F7-9E1A-936392F99007}" id="{1F0A4C0D-D2F1-45F5-A2C7-93F48AFFE38E}">
    <text>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ext>
  </threadedComment>
  <threadedComment ref="V3" dT="2023-01-26T11:41:29.72" personId="{A3521B82-4AB3-41F7-9E1A-936392F99007}" id="{7B2265CD-0C12-40BB-97B9-27A05239D2DE}">
    <text>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ext>
  </threadedComment>
  <threadedComment ref="AA3" dT="2023-01-26T11:41:29.72" personId="{A3521B82-4AB3-41F7-9E1A-936392F99007}" id="{28CEBB19-C70E-4D56-89C2-369B86EF73F5}">
    <text>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ext>
  </threadedComment>
  <threadedComment ref="AD3" dT="2023-04-24T09:27:55.04" personId="{A3521B82-4AB3-41F7-9E1A-936392F99007}" id="{D4FE840D-3E16-4D22-ACA4-43BE295A3332}">
    <text>Date of first pathological confirmation (biopsy, resection etc)</text>
  </threadedComment>
  <threadedComment ref="AG3" dT="2023-04-24T09:29:37.22" personId="{A3521B82-4AB3-41F7-9E1A-936392F99007}" id="{28DB8576-656F-4111-B3C7-09DB6D6B82A9}">
    <text>Where information has come from - this specimen or the primary tumour if a recurrence. Specimen information can also be used if no information has been provided for the primary tumour</text>
  </threadedComment>
  <threadedComment ref="AR3" dT="2023-04-26T09:53:01.26" personId="{A3521B82-4AB3-41F7-9E1A-936392F99007}" id="{99E53430-5057-47E0-9CC6-12D094526C38}">
    <text>Specify type of treatment: Radiotherapy, Chemotherapy, Immunotherapy, Other. Other encompasses treatments such as hormone therapy.</text>
  </threadedComment>
  <threadedComment ref="AS3" dT="2023-04-26T09:48:52.12" personId="{A3521B82-4AB3-41F7-9E1A-936392F99007}" id="{CE44C29A-100C-4D22-BB28-2A393812D484}">
    <text>Specify name of agent used for treatment and number of cycles (if applicable) e.g. for chemotherapy: Cisplatin (4 cycles) or 40Gy in 15# for radiotherapy</text>
  </threadedComment>
  <threadedComment ref="CP3" dT="2023-04-26T09:53:01.26" personId="{A3521B82-4AB3-41F7-9E1A-936392F99007}" id="{B09693BC-FAF7-4F44-B4ED-90D59B9DE3E1}">
    <text>Specify type of treatment: Radiotherapy, Chemotherapy, Immunotherapy, Other. Other encompasses treatments such as hormone therapy.</text>
  </threadedComment>
  <threadedComment ref="CQ3" dT="2023-04-26T09:48:52.12" personId="{A3521B82-4AB3-41F7-9E1A-936392F99007}" id="{EFDCF5C6-4838-409A-9CF4-9CC33E58E1D7}">
    <text>Specify name of agent used for treatment and number of cycles (if applicable) e.g. for chemotherapy: Cisplatin (4 cycles) or 40Gy in 15# for radiotherapy</text>
  </threadedComment>
  <threadedComment ref="GP3" dT="2023-04-26T10:19:41.00" personId="{A3521B82-4AB3-41F7-9E1A-936392F99007}" id="{65B41FBF-67E7-40B2-9A5C-56503C6A54E1}">
    <text>Specify type of treatment: Radiotherapy, Chemotherapy, Immunotherapy, Other. Other encompasses treatments such as hormone therapy.</text>
  </threadedComment>
  <threadedComment ref="GQ3" dT="2023-04-26T10:19:41.00" personId="{A3521B82-4AB3-41F7-9E1A-936392F99007}" id="{648A89C0-8F1E-48B4-B750-FBC0FE55E5F8}">
    <text>Specify name of agent used for treatment and number of cycles (if applicable) e.g. for chemotherapy: Cisplatin (4 cycles) or 40Gy in 15# for radiotherapy</text>
  </threadedComment>
  <threadedComment ref="F4" dT="2023-10-04T14:07:36.09" personId="{A3521B82-4AB3-41F7-9E1A-936392F99007}" id="{69771B99-9142-4F22-9482-026ED10ED004}">
    <text>Not in path report</text>
  </threadedComment>
  <threadedComment ref="G4" dT="2023-10-04T14:07:41.09" personId="{A3521B82-4AB3-41F7-9E1A-936392F99007}" id="{1B4E59A0-2C00-44FD-8A3A-F6249BA8E510}">
    <text>Not in path report</text>
  </threadedComment>
  <threadedComment ref="I4" dT="2023-10-10T16:29:27.67" personId="{A81D62B4-FC01-4B9B-AC04-992845BFECC4}" id="{97116969-D480-48D8-8817-EA0A9DA3250E}">
    <text>sparse details but worked out surgery from the path specimen</text>
  </threadedComment>
  <threadedComment ref="F5" dT="2023-10-04T14:12:25.44" personId="{A3521B82-4AB3-41F7-9E1A-936392F99007}" id="{698F497F-C31D-4A5C-BFEA-A1E250A60096}">
    <text>Not in path report</text>
  </threadedComment>
  <threadedComment ref="G5" dT="2023-10-04T14:12:33.03" personId="{A3521B82-4AB3-41F7-9E1A-936392F99007}" id="{5FA56F82-1EA6-49F1-B52F-D69B233895DE}">
    <text>Not in path report</text>
  </threadedComment>
  <threadedComment ref="J5" dT="2023-10-11T15:36:51.20" personId="{A81D62B4-FC01-4B9B-AC04-992845BFECC4}" id="{8883D876-93FA-4F21-B9CE-ADCD978492EC}">
    <text>I am going to assume that the synchronous ovarian tumour was not selected as this would be a met. I will put endometrium/myometrium</text>
  </threadedComment>
  <threadedComment ref="AJ8" dT="2023-10-11T14:47:18.53" personId="{A81D62B4-FC01-4B9B-AC04-992845BFECC4}" id="{F55335EA-D108-4866-B104-157F269173D9}">
    <text>Lymph nodes not sampled so no pN</text>
  </threadedComment>
  <threadedComment ref="J10" dT="2023-10-11T15:55:08.31" personId="{A81D62B4-FC01-4B9B-AC04-992845BFECC4}" id="{391D3AE6-C705-4460-92CD-A49A54F3C717}">
    <text>stage IB so can only be in the endometrium and myometrium</text>
  </threadedComment>
  <threadedComment ref="AJ10" dT="2023-10-15T21:08:01.83" personId="{A81D62B4-FC01-4B9B-AC04-992845BFECC4}" id="{70E906B4-014F-43BF-9EED-A0792182F54F}">
    <text>Is stage 3C1 on path report and on PPM</text>
  </threadedComment>
  <threadedComment ref="J11" dT="2023-10-11T15:51:05.77" personId="{A81D62B4-FC01-4B9B-AC04-992845BFECC4}" id="{8EFBDFBB-4375-4744-8000-0D85D73FC622}">
    <text>I'm changing endomeyometrium to endometrium and myometrium as it means the same thing (I don't think Nic likes endomyometrium anyway!)</text>
  </threadedComment>
  <threadedComment ref="F18" dT="2023-10-04T14:51:48.81" personId="{A3521B82-4AB3-41F7-9E1A-936392F99007}" id="{F8427469-E294-4A22-BFEC-88D77C5E0827}">
    <text>Not in path report</text>
  </threadedComment>
  <threadedComment ref="F18" dT="2023-10-04T14:56:37.08" personId="{A3521B82-4AB3-41F7-9E1A-936392F99007}" id="{C9C340A2-8B2F-40EF-8E53-27125F360BE9}" parentId="{F8427469-E294-4A22-BFEC-88D77C5E0827}">
    <text>Block A18 used for testing, to be swapped</text>
  </threadedComment>
  <threadedComment ref="G18" dT="2023-10-04T14:51:42.45" personId="{A3521B82-4AB3-41F7-9E1A-936392F99007}" id="{E1FB7766-36C0-4D7A-9AA7-C8A3ADD7BC0E}">
    <text>Not in path report</text>
  </threadedComment>
  <threadedComment ref="F20" dT="2023-10-04T14:59:22.28" personId="{A3521B82-4AB3-41F7-9E1A-936392F99007}" id="{D6DE0267-A0F6-4E9C-8C37-D03A167EABB4}">
    <text>Not in path report</text>
  </threadedComment>
  <threadedComment ref="G20" dT="2023-10-04T14:59:27.12" personId="{A3521B82-4AB3-41F7-9E1A-936392F99007}" id="{9ADDC1C7-80A8-41CD-9D0C-02DA36B5D562}">
    <text>Not in path report</text>
  </threadedComment>
  <threadedComment ref="J22" dT="2023-10-11T16:21:15.55" personId="{A81D62B4-FC01-4B9B-AC04-992845BFECC4}" id="{83EB4A6F-B0D1-46F1-9FE6-522EA504347D}">
    <text>I don't know what the acronyms are in the path report but it has to be the uterus!</text>
  </threadedComment>
  <threadedComment ref="F23" dT="2023-10-04T15:07:46.66" personId="{A3521B82-4AB3-41F7-9E1A-936392F99007}" id="{8EA4F894-777E-45FA-8199-431DC953CDFC}">
    <text>Not in path report</text>
  </threadedComment>
  <threadedComment ref="F24" dT="2023-10-04T15:14:01.73" personId="{A3521B82-4AB3-41F7-9E1A-936392F99007}" id="{9E1E1B84-BECF-4747-914D-8714FD837727}">
    <text>Block A6 used for testing, needs swapping</text>
  </threadedComment>
  <threadedComment ref="G24" dT="2023-10-04T15:14:27.80" personId="{A3521B82-4AB3-41F7-9E1A-936392F99007}" id="{B52D06FF-81C5-4AB5-AE2E-FC4F0C38741A}">
    <text>Block A7 used for testing, needs swapping</text>
  </threadedComment>
  <threadedComment ref="F25" dT="2023-10-04T15:21:04.15" personId="{A3521B82-4AB3-41F7-9E1A-936392F99007}" id="{DF19E145-7230-45C2-AD4E-70C98A36F12A}">
    <text>Block A16 used for testing, to be swapped</text>
  </threadedComment>
  <threadedComment ref="F26" dT="2023-10-04T15:32:34.73" personId="{A3521B82-4AB3-41F7-9E1A-936392F99007}" id="{CB0F4F19-2332-493A-8C96-4EF548002125}">
    <text>Block A10 used for testing, needs swapping</text>
  </threadedComment>
  <threadedComment ref="G29" dT="2023-10-11T16:38:19.14" personId="{A81D62B4-FC01-4B9B-AC04-992845BFECC4}" id="{7DE4D283-1AAC-4408-BCF7-D07DF65A2383}">
    <text>A12 is a bit of the R ovary (which is a metastatic site). Therefore I have moved it to the met section</text>
  </threadedComment>
  <threadedComment ref="AD29" dT="2023-10-05T08:11:44.07" personId="{A3521B82-4AB3-41F7-9E1A-936392F99007}" id="{42792310-EF43-472B-841A-02D802D41D3C}">
    <text>No file link but mentioned in following EPRO's and on home page</text>
  </threadedComment>
  <threadedComment ref="C36" dT="2023-10-05T08:59:19.47" personId="{A3521B82-4AB3-41F7-9E1A-936392F99007}" id="{FF2A4D6A-A573-4DE7-B594-BDE988A376A2}">
    <text>Had received treatment for ovarian cancer not endometrial</text>
  </threadedComment>
  <threadedComment ref="JT36" dT="2023-10-11T15:21:12.32" personId="{A81D62B4-FC01-4B9B-AC04-992845BFECC4}" id="{F2253339-3D6D-40C2-A6B0-B53BA0DD058E}">
    <text>just added a few more details re treatment of ovarian cancer</text>
  </threadedComment>
  <threadedComment ref="AF37" dT="2023-10-10T16:23:54.15" personId="{A81D62B4-FC01-4B9B-AC04-992845BFECC4}" id="{A42AECCA-498F-4973-9A00-526254A51776}">
    <text>Just nitpicking :)</text>
  </threadedComment>
  <threadedComment ref="AJ37" dT="2023-10-11T14:40:23.81" personId="{A81D62B4-FC01-4B9B-AC04-992845BFECC4}" id="{E2CCF868-AC0F-482C-81E7-DE33BAE153C7}">
    <text>Lymph nodes not sampled so pN is NR</text>
  </threadedComment>
  <threadedComment ref="AI49" dT="2023-10-11T16:56:35.27" personId="{A81D62B4-FC01-4B9B-AC04-992845BFECC4}" id="{23292E45-44C6-4F78-87F6-0F6624086618}">
    <text>LN positive so cannot be determined</text>
  </threadedComment>
</ThreadedComments>
</file>

<file path=xl/threadedComments/threadedComment2.xml><?xml version="1.0" encoding="utf-8"?>
<ThreadedComments xmlns="http://schemas.microsoft.com/office/spreadsheetml/2018/threadedcomments" xmlns:x="http://schemas.openxmlformats.org/spreadsheetml/2006/main">
  <threadedComment ref="K8" dT="2023-10-15T21:05:16.36" personId="{A81D62B4-FC01-4B9B-AC04-992845BFECC4}" id="{F71C70DB-89A5-4B3F-A059-0AF343D521EB}">
    <text>pelvic LN pos</text>
  </threadedComment>
  <threadedComment ref="E16" dT="2023-10-04T14:55:49.63" personId="{A3521B82-4AB3-41F7-9E1A-936392F99007}" id="{A3BAE042-A751-46C7-BD0B-FF64736DFA82}">
    <text>Selected block</text>
  </threadedComment>
  <threadedComment ref="E22" dT="2023-10-04T15:13:41.11" personId="{A3521B82-4AB3-41F7-9E1A-936392F99007}" id="{9DE542FB-B99F-4042-82C6-3E0647875E0C}">
    <text>Selected blocks</text>
  </threadedComment>
  <threadedComment ref="E23" dT="2023-10-04T15:31:04.63" personId="{A3521B82-4AB3-41F7-9E1A-936392F99007}" id="{FC7FA7A5-A965-499A-B488-0D395583E495}">
    <text>Selected blocks</text>
  </threadedComment>
  <threadedComment ref="E24" dT="2023-10-04T15:37:00.37" personId="{A3521B82-4AB3-41F7-9E1A-936392F99007}" id="{E1E05622-69E7-432A-A61A-980F356C79CC}">
    <text>Selected block, needs swapping</text>
  </threadedComment>
</ThreadedComments>
</file>

<file path=xl/threadedComments/threadedComment3.xml><?xml version="1.0" encoding="utf-8"?>
<ThreadedComments xmlns="http://schemas.microsoft.com/office/spreadsheetml/2018/threadedcomments" xmlns:x="http://schemas.openxmlformats.org/spreadsheetml/2006/main">
  <threadedComment ref="C3" dT="2023-01-26T11:41:29.72" personId="{A3521B82-4AB3-41F7-9E1A-936392F99007}" id="{33DCB922-41B0-43E4-8AE0-87046411BE38}">
    <text>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ext>
  </threadedComment>
  <threadedComment ref="Q3" dT="2023-01-26T11:41:29.72" personId="{A3521B82-4AB3-41F7-9E1A-936392F99007}" id="{E5315E38-F309-482B-99C0-FF5EFC5EBE7B}">
    <text>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ext>
  </threadedComment>
  <threadedComment ref="V3" dT="2023-01-26T11:41:29.72" personId="{A3521B82-4AB3-41F7-9E1A-936392F99007}" id="{626A001C-8575-4B6E-97CD-3566E53E8512}">
    <text>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ext>
  </threadedComment>
  <threadedComment ref="AA3" dT="2023-01-26T11:41:29.72" personId="{A3521B82-4AB3-41F7-9E1A-936392F99007}" id="{615CCC1C-A373-42A7-876E-533945083F6D}">
    <text>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ext>
  </threadedComment>
  <threadedComment ref="AD3" dT="2023-04-24T09:27:55.04" personId="{A3521B82-4AB3-41F7-9E1A-936392F99007}" id="{6A9CDBAB-E13C-4C65-9766-AD34B137D9F8}">
    <text>Date of first pathological confirmation (biopsy, resection etc)</text>
  </threadedComment>
  <threadedComment ref="AG3" dT="2023-04-24T09:29:37.22" personId="{A3521B82-4AB3-41F7-9E1A-936392F99007}" id="{2D0FBB50-9C60-4583-BEFA-46D03A318453}">
    <text>Where information has come from - this specimen or the primary tumour if a recurrence. Specimen information can also be used if no information has been provided for the primary tumour</text>
  </threadedComment>
  <threadedComment ref="AR3" dT="2023-04-26T09:53:01.26" personId="{A3521B82-4AB3-41F7-9E1A-936392F99007}" id="{2B96D8DB-67CE-41F9-BB58-489AFA891681}">
    <text>Specify type of treatment: Radiotherapy, Chemotherapy, Immunotherapy, Other. Other encompasses treatments such as hormone therapy.</text>
  </threadedComment>
  <threadedComment ref="AS3" dT="2023-04-26T09:48:52.12" personId="{A3521B82-4AB3-41F7-9E1A-936392F99007}" id="{49C0D0DE-E5E3-46AA-BFC0-6BAEC88FA947}">
    <text>Specify name of agent used for treatment and number of cycles (if applicable) e.g. for chemotherapy: Cisplatin (4 cycles) or 40Gy in 15# for radiotherapy</text>
  </threadedComment>
  <threadedComment ref="CP3" dT="2023-04-26T09:53:01.26" personId="{A3521B82-4AB3-41F7-9E1A-936392F99007}" id="{0C5B2A5A-8162-478D-9FD6-B03BE4E61D0B}">
    <text>Specify type of treatment: Radiotherapy, Chemotherapy, Immunotherapy, Other. Other encompasses treatments such as hormone therapy.</text>
  </threadedComment>
  <threadedComment ref="CQ3" dT="2023-04-26T09:48:52.12" personId="{A3521B82-4AB3-41F7-9E1A-936392F99007}" id="{1368E81A-44FF-4131-85C4-A67F8DC0E8F0}">
    <text>Specify name of agent used for treatment and number of cycles (if applicable) e.g. for chemotherapy: Cisplatin (4 cycles) or 40Gy in 15# for radiotherapy</text>
  </threadedComment>
  <threadedComment ref="GP3" dT="2023-04-26T10:19:41.00" personId="{A3521B82-4AB3-41F7-9E1A-936392F99007}" id="{399F2528-C949-4223-8ACB-1E3BE1602C1E}">
    <text>Specify type of treatment: Radiotherapy, Chemotherapy, Immunotherapy, Other. Other encompasses treatments such as hormone therapy.</text>
  </threadedComment>
  <threadedComment ref="GQ3" dT="2023-04-26T10:19:41.00" personId="{A3521B82-4AB3-41F7-9E1A-936392F99007}" id="{73E81773-5119-49E2-9BC8-A98D202BBB61}">
    <text>Specify name of agent used for treatment and number of cycles (if applicable) e.g. for chemotherapy: Cisplatin (4 cycles) or 40Gy in 15# for radiotherapy</text>
  </threadedComment>
  <threadedComment ref="AJ4" dT="2023-10-12T14:55:35.04" personId="{A81D62B4-FC01-4B9B-AC04-992845BFECC4}" id="{A7C6B72B-1D64-4038-8FE6-792AB1CAA393}">
    <text>No LNs removed so no pN score</text>
  </threadedComment>
  <threadedComment ref="F5" dT="2023-10-04T13:30:07.34" personId="{A3521B82-4AB3-41F7-9E1A-936392F99007}" id="{0E4AD8A1-3B44-4AC0-8436-FA0E9BB3183C}">
    <text>Not in path report</text>
  </threadedComment>
  <threadedComment ref="G5" dT="2023-10-04T13:30:12.10" personId="{A3521B82-4AB3-41F7-9E1A-936392F99007}" id="{174016F6-DCCD-422D-ACFD-4310F9F6623C}">
    <text>Not in path report</text>
  </threadedComment>
  <threadedComment ref="AJ9" dT="2023-10-13T13:29:38.59" personId="{A81D62B4-FC01-4B9B-AC04-992845BFECC4}" id="{70494BDD-5F49-4B0F-A0ED-F9794639DEE9}">
    <text>para aortic node involved</text>
  </threadedComment>
  <threadedComment ref="A15" dT="2023-10-15T19:57:49.51" personId="{A81D62B4-FC01-4B9B-AC04-992845BFECC4}" id="{59152074-6853-48DB-B793-30787072BCFD}">
    <text>A12 used for further testing- include?</text>
  </threadedComment>
  <threadedComment ref="F15" dT="2023-09-20T09:48:25.69" personId="{75443D61-B518-4DC3-B685-CCA8FFF9528E}" id="{F38A7B0E-AB36-4684-AC22-41FEC9AA281C}">
    <text>A14 used for further testing</text>
  </threadedComment>
  <threadedComment ref="AL15" dT="2023-10-14T17:09:29.36" personId="{A81D62B4-FC01-4B9B-AC04-992845BFECC4}" id="{3412204D-CED2-4EC1-A7CA-27680F11BD54}">
    <text>I'm not sure the mesenteric tumour is considered direct invasion rather than a met since the tumour has been staged as 3C1</text>
  </threadedComment>
  <threadedComment ref="A17" dT="2023-10-15T21:29:57.12" personId="{A81D62B4-FC01-4B9B-AC04-992845BFECC4}" id="{9DBFEDCE-3023-43B1-944D-9AB98B466C5F}">
    <text>A9 used for IHC - send?</text>
  </threadedComment>
  <threadedComment ref="F17" dT="2023-09-18T12:31:39.38" personId="{75443D61-B518-4DC3-B685-CCA8FFF9528E}" id="{32987CC1-4B2D-42AA-BB6A-0335A78E953E}">
    <text>A8 Used for IHC</text>
  </threadedComment>
  <threadedComment ref="A18" dT="2023-10-15T21:30:26.72" personId="{A81D62B4-FC01-4B9B-AC04-992845BFECC4}" id="{9ED01EB5-86A6-4FA9-9671-EE41B90FD120}">
    <text>A15 used for further testing</text>
  </threadedComment>
  <threadedComment ref="G18" dT="2023-09-20T11:04:20.55" personId="{75443D61-B518-4DC3-B685-CCA8FFF9528E}" id="{3874E9FE-3F61-40C6-BFEB-06E324C0F525}">
    <text>A11 used for further testing</text>
  </threadedComment>
  <threadedComment ref="F20" dT="2023-09-20T11:11:19.34" personId="{75443D61-B518-4DC3-B685-CCA8FFF9528E}" id="{B5810FC5-1024-440E-A591-3996FD73CA71}">
    <text>A2 used for further testing</text>
  </threadedComment>
  <threadedComment ref="F20" dT="2023-10-04T11:44:47.28" personId="{A3521B82-4AB3-41F7-9E1A-936392F99007}" id="{E30552FE-10CE-467F-97EC-C6C6D0AA5AF2}" parentId="{B5810FC5-1024-440E-A591-3996FD73CA71}">
    <text>No block to replace with, remove cohort</text>
  </threadedComment>
  <threadedComment ref="F33" dT="2023-10-04T11:56:25.41" personId="{A3521B82-4AB3-41F7-9E1A-936392F99007}" id="{1927A0D7-B806-4452-BC60-0B1039017DFD}">
    <text>Not in path report</text>
  </threadedComment>
  <threadedComment ref="N38" dT="2023-10-04T11:31:24.50" personId="{A3521B82-4AB3-41F7-9E1A-936392F99007}" id="{36C90FF7-0992-4C6D-9DF2-3968768795A6}">
    <text>Not in path report</text>
  </threadedComment>
</ThreadedComments>
</file>

<file path=xl/threadedComments/threadedComment4.xml><?xml version="1.0" encoding="utf-8"?>
<ThreadedComments xmlns="http://schemas.microsoft.com/office/spreadsheetml/2018/threadedcomments" xmlns:x="http://schemas.openxmlformats.org/spreadsheetml/2006/main">
  <threadedComment ref="F1" dT="2023-09-25T12:05:24.31" personId="{652A302E-D765-4309-848C-06A57B986B6E}" id="{C886DC95-A884-4E51-9BBF-2CEE46DE245F}">
    <text>dMMR/pMMR</text>
  </threadedComment>
  <threadedComment ref="L4" dT="2023-10-12T15:07:45.64" personId="{A81D62B4-FC01-4B9B-AC04-992845BFECC4}" id="{28EE2319-1D63-49D0-9F6E-20BCA1AA53AE}">
    <text>I'm putting this in as if MLH1 methylation, unlikely Lynch</text>
  </threadedComment>
  <threadedComment ref="F8" dT="2023-09-25T12:05:14.94" personId="{652A302E-D765-4309-848C-06A57B986B6E}" id="{6ABD228A-C486-44BB-9397-1790220C670E}">
    <text>dMMR</text>
  </threadedComment>
  <threadedComment ref="I9" dT="2023-10-02T06:17:15.21" personId="{75443D61-B518-4DC3-B685-CCA8FFF9528E}" id="{93D888F5-FEE1-436D-9199-9F4B42EA0744}">
    <text>Performed at different trust. No results on PPM or CoPath</text>
  </threadedComment>
  <threadedComment ref="J9" dT="2023-10-02T06:17:26.16" personId="{75443D61-B518-4DC3-B685-CCA8FFF9528E}" id="{8EB21BDE-9D46-4134-BB77-EB6A688E1035}">
    <text>Performed at different trust. No results on PPM or CoPath</text>
  </threadedComment>
  <threadedComment ref="E13" dT="2023-10-02T06:29:55.07" personId="{75443D61-B518-4DC3-B685-CCA8FFF9528E}" id="{5F14BFB7-B7C8-4AF9-A0CF-9C3978DAD33C}">
    <text>Block collected</text>
  </threadedComment>
  <threadedComment ref="E15" dT="2023-10-02T06:29:58.49" personId="{75443D61-B518-4DC3-B685-CCA8FFF9528E}" id="{7252A1F7-BB7D-4AF4-A027-8F2912747696}">
    <text>Block collected</text>
  </threadedComment>
  <threadedComment ref="L15" dT="2023-10-12T15:22:18.21" personId="{A81D62B4-FC01-4B9B-AC04-992845BFECC4}" id="{2A643FD5-1DD3-44A1-83E6-D7BA5F52FC02}">
    <text>as per letter from clinical genetics</text>
  </threadedComment>
  <threadedComment ref="E16" dT="2023-10-02T06:30:02.04" personId="{75443D61-B518-4DC3-B685-CCA8FFF9528E}" id="{1C0EC7C1-1EF2-4A69-AE3C-693CC0B74803}">
    <text>Block collected</text>
  </threadedComment>
  <threadedComment ref="M16" dT="2023-10-13T15:28:34.06" personId="{A81D62B4-FC01-4B9B-AC04-992845BFECC4}" id="{91A53004-7B16-4A71-99A0-16AB72D556CE}">
    <text>metastases actually from synchronous pancreatic cancer so stage IB endometrial cancer not stage IVB. I have put this in the notes from clinical team</text>
  </threadedComment>
  <threadedComment ref="E18" dT="2023-10-02T06:30:06.44" personId="{75443D61-B518-4DC3-B685-CCA8FFF9528E}" id="{8FE2E596-37BB-4A01-BC78-E23267B1546D}">
    <text>Block collected</text>
  </threadedComment>
  <threadedComment ref="E18" dT="2023-10-04T11:44:18.58" personId="{A3521B82-4AB3-41F7-9E1A-936392F99007}" id="{9FCCC520-67E5-46EB-923D-18B15A62BBE4}" parentId="{8FE2E596-37BB-4A01-BC78-E23267B1546D}">
    <text>No block to replace with</text>
  </threadedComment>
  <threadedComment ref="M21" dT="2023-10-15T20:07:48.01" personId="{A81D62B4-FC01-4B9B-AC04-992845BFECC4}" id="{EE8C54E7-75E7-4504-9D98-802885BF94E4}">
    <text>invades cervical stroma &amp; is stage II on PPM (diagnosis)</text>
  </threadedComment>
  <threadedComment ref="M24" dT="2023-10-15T20:44:15.49" personId="{A81D62B4-FC01-4B9B-AC04-992845BFECC4}" id="{96CE635E-EFC4-495C-96DE-C6EE74829F74}">
    <text>involves cervical stroma</text>
  </threadedComment>
  <threadedComment ref="L30" dT="2023-10-12T15:36:14.43" personId="{A81D62B4-FC01-4B9B-AC04-992845BFECC4}" id="{B787FB37-6105-444B-A8B4-927B326AB480}">
    <text>clinical genetics letter says gremlin mutation in MSH6</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2.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Z49"/>
  <sheetViews>
    <sheetView topLeftCell="AE17" zoomScale="120" zoomScaleNormal="120" workbookViewId="0">
      <selection activeCell="AB4" sqref="AB4:AN49"/>
    </sheetView>
  </sheetViews>
  <sheetFormatPr defaultColWidth="9.1796875" defaultRowHeight="13" outlineLevelCol="1" x14ac:dyDescent="0.3"/>
  <cols>
    <col min="1" max="1" width="12.26953125" style="44" customWidth="1" outlineLevel="1"/>
    <col min="2" max="5" width="16" style="44" customWidth="1" outlineLevel="1"/>
    <col min="6" max="7" width="8.81640625" style="44" customWidth="1" outlineLevel="1"/>
    <col min="8" max="8" width="16.7265625" style="44" customWidth="1" outlineLevel="1"/>
    <col min="9" max="21" width="16" style="44" customWidth="1" outlineLevel="1"/>
    <col min="22" max="22" width="18.81640625" style="44" customWidth="1" outlineLevel="1"/>
    <col min="23" max="29" width="16" style="44" customWidth="1" outlineLevel="1"/>
    <col min="30" max="30" width="15.7265625" style="44" customWidth="1" outlineLevel="1"/>
    <col min="31" max="31" width="9.26953125" style="44" customWidth="1" outlineLevel="1"/>
    <col min="32" max="32" width="19.7265625" style="44" customWidth="1" outlineLevel="1"/>
    <col min="33" max="33" width="16" style="44" customWidth="1" outlineLevel="1"/>
    <col min="34" max="34" width="8.81640625" style="44" customWidth="1" outlineLevel="1"/>
    <col min="35" max="38" width="6" style="44" customWidth="1" outlineLevel="1"/>
    <col min="39" max="40" width="11.26953125" style="44" customWidth="1" outlineLevel="1"/>
    <col min="41" max="41" width="16" style="44" customWidth="1" outlineLevel="1"/>
    <col min="42" max="43" width="16" style="44"/>
    <col min="44" max="47" width="16" style="44" customWidth="1"/>
    <col min="48" max="93" width="16" style="44" customWidth="1" outlineLevel="1"/>
    <col min="94" max="98" width="15.81640625" style="44" customWidth="1"/>
    <col min="99" max="167" width="15.81640625" style="44" customWidth="1" outlineLevel="1"/>
    <col min="168" max="169" width="16" style="44" customWidth="1"/>
    <col min="170" max="197" width="16" style="44" customWidth="1" outlineLevel="1"/>
    <col min="198" max="201" width="16" style="44" customWidth="1"/>
    <col min="202" max="272" width="16" style="44" customWidth="1" outlineLevel="1"/>
    <col min="273" max="280" width="16" style="44"/>
    <col min="281" max="281" width="16" style="44" customWidth="1"/>
    <col min="282" max="390" width="16" style="44" customWidth="1" outlineLevel="1"/>
    <col min="391" max="16384" width="9.1796875" style="44"/>
  </cols>
  <sheetData>
    <row r="1" spans="1:390" ht="18" x14ac:dyDescent="0.4">
      <c r="A1" s="27" t="s">
        <v>0</v>
      </c>
    </row>
    <row r="2" spans="1:390" ht="18.5" x14ac:dyDescent="0.45">
      <c r="A2" s="43"/>
      <c r="F2" s="115" t="s">
        <v>1</v>
      </c>
    </row>
    <row r="3" spans="1:390" ht="58.5" customHeight="1" x14ac:dyDescent="0.3">
      <c r="A3" s="45" t="s">
        <v>2</v>
      </c>
      <c r="B3" s="45" t="s">
        <v>3</v>
      </c>
      <c r="C3" s="45" t="s">
        <v>4</v>
      </c>
      <c r="D3" s="46" t="s">
        <v>5</v>
      </c>
      <c r="E3" s="46" t="s">
        <v>6</v>
      </c>
      <c r="F3" s="46" t="s">
        <v>7</v>
      </c>
      <c r="G3" s="46" t="s">
        <v>8</v>
      </c>
      <c r="H3" s="47" t="s">
        <v>9</v>
      </c>
      <c r="I3" s="48" t="s">
        <v>10</v>
      </c>
      <c r="J3" s="48" t="s">
        <v>11</v>
      </c>
      <c r="K3" s="46" t="s">
        <v>12</v>
      </c>
      <c r="L3" s="45" t="s">
        <v>13</v>
      </c>
      <c r="M3" s="49" t="s">
        <v>14</v>
      </c>
      <c r="N3" s="49" t="s">
        <v>15</v>
      </c>
      <c r="O3" s="49" t="s">
        <v>16</v>
      </c>
      <c r="P3" s="50" t="s">
        <v>17</v>
      </c>
      <c r="Q3" s="45" t="s">
        <v>18</v>
      </c>
      <c r="R3" s="49" t="s">
        <v>19</v>
      </c>
      <c r="S3" s="49" t="s">
        <v>20</v>
      </c>
      <c r="T3" s="49" t="s">
        <v>21</v>
      </c>
      <c r="U3" s="50" t="s">
        <v>22</v>
      </c>
      <c r="V3" s="45" t="s">
        <v>23</v>
      </c>
      <c r="W3" s="49" t="s">
        <v>24</v>
      </c>
      <c r="X3" s="49" t="s">
        <v>25</v>
      </c>
      <c r="Y3" s="49" t="s">
        <v>26</v>
      </c>
      <c r="Z3" s="50" t="s">
        <v>27</v>
      </c>
      <c r="AA3" s="45" t="s">
        <v>28</v>
      </c>
      <c r="AB3" s="46" t="s">
        <v>29</v>
      </c>
      <c r="AC3" s="51" t="s">
        <v>30</v>
      </c>
      <c r="AD3" s="52" t="s">
        <v>31</v>
      </c>
      <c r="AE3" s="53" t="s">
        <v>32</v>
      </c>
      <c r="AF3" s="55" t="s">
        <v>33</v>
      </c>
      <c r="AG3" s="55" t="s">
        <v>34</v>
      </c>
      <c r="AH3" s="56" t="s">
        <v>35</v>
      </c>
      <c r="AI3" s="56" t="s">
        <v>36</v>
      </c>
      <c r="AJ3" s="56" t="s">
        <v>37</v>
      </c>
      <c r="AK3" s="56" t="s">
        <v>38</v>
      </c>
      <c r="AL3" s="56" t="s">
        <v>39</v>
      </c>
      <c r="AM3" s="105" t="s">
        <v>40</v>
      </c>
      <c r="AN3" s="54" t="s">
        <v>41</v>
      </c>
      <c r="AO3" s="57" t="s">
        <v>42</v>
      </c>
      <c r="AP3" s="58" t="s">
        <v>43</v>
      </c>
      <c r="AQ3" s="59" t="s">
        <v>44</v>
      </c>
      <c r="AR3" s="59" t="s">
        <v>45</v>
      </c>
      <c r="AS3" s="59" t="s">
        <v>46</v>
      </c>
      <c r="AT3" s="60" t="s">
        <v>47</v>
      </c>
      <c r="AU3" s="60" t="s">
        <v>48</v>
      </c>
      <c r="AV3" s="59" t="s">
        <v>49</v>
      </c>
      <c r="AW3" s="59" t="s">
        <v>50</v>
      </c>
      <c r="AX3" s="59" t="s">
        <v>51</v>
      </c>
      <c r="AY3" s="60" t="s">
        <v>52</v>
      </c>
      <c r="AZ3" s="60" t="s">
        <v>53</v>
      </c>
      <c r="BA3" s="59" t="s">
        <v>54</v>
      </c>
      <c r="BB3" s="59" t="s">
        <v>55</v>
      </c>
      <c r="BC3" s="59" t="s">
        <v>56</v>
      </c>
      <c r="BD3" s="60" t="s">
        <v>57</v>
      </c>
      <c r="BE3" s="60" t="s">
        <v>58</v>
      </c>
      <c r="BF3" s="59" t="s">
        <v>59</v>
      </c>
      <c r="BG3" s="59" t="s">
        <v>60</v>
      </c>
      <c r="BH3" s="59" t="s">
        <v>61</v>
      </c>
      <c r="BI3" s="60" t="s">
        <v>62</v>
      </c>
      <c r="BJ3" s="60" t="s">
        <v>63</v>
      </c>
      <c r="BK3" s="59" t="s">
        <v>64</v>
      </c>
      <c r="BL3" s="59" t="s">
        <v>65</v>
      </c>
      <c r="BM3" s="59" t="s">
        <v>66</v>
      </c>
      <c r="BN3" s="60" t="s">
        <v>67</v>
      </c>
      <c r="BO3" s="60" t="s">
        <v>68</v>
      </c>
      <c r="BP3" s="59" t="s">
        <v>69</v>
      </c>
      <c r="BQ3" s="59" t="s">
        <v>70</v>
      </c>
      <c r="BR3" s="59" t="s">
        <v>71</v>
      </c>
      <c r="BS3" s="60" t="s">
        <v>72</v>
      </c>
      <c r="BT3" s="60" t="s">
        <v>73</v>
      </c>
      <c r="BU3" s="59" t="s">
        <v>74</v>
      </c>
      <c r="BV3" s="59" t="s">
        <v>75</v>
      </c>
      <c r="BW3" s="59" t="s">
        <v>76</v>
      </c>
      <c r="BX3" s="60" t="s">
        <v>77</v>
      </c>
      <c r="BY3" s="60" t="s">
        <v>78</v>
      </c>
      <c r="BZ3" s="59" t="s">
        <v>79</v>
      </c>
      <c r="CA3" s="59" t="s">
        <v>80</v>
      </c>
      <c r="CB3" s="59" t="s">
        <v>81</v>
      </c>
      <c r="CC3" s="60" t="s">
        <v>82</v>
      </c>
      <c r="CD3" s="60" t="s">
        <v>83</v>
      </c>
      <c r="CE3" s="59" t="s">
        <v>84</v>
      </c>
      <c r="CF3" s="59" t="s">
        <v>85</v>
      </c>
      <c r="CG3" s="59" t="s">
        <v>86</v>
      </c>
      <c r="CH3" s="60" t="s">
        <v>87</v>
      </c>
      <c r="CI3" s="60" t="s">
        <v>88</v>
      </c>
      <c r="CJ3" s="59" t="s">
        <v>89</v>
      </c>
      <c r="CK3" s="59" t="s">
        <v>90</v>
      </c>
      <c r="CL3" s="59" t="s">
        <v>91</v>
      </c>
      <c r="CM3" s="60" t="s">
        <v>92</v>
      </c>
      <c r="CN3" s="60" t="s">
        <v>93</v>
      </c>
      <c r="CO3" s="59" t="s">
        <v>94</v>
      </c>
      <c r="CP3" s="61" t="s">
        <v>95</v>
      </c>
      <c r="CQ3" s="61" t="s">
        <v>96</v>
      </c>
      <c r="CR3" s="62" t="s">
        <v>97</v>
      </c>
      <c r="CS3" s="62" t="s">
        <v>98</v>
      </c>
      <c r="CT3" s="61" t="s">
        <v>99</v>
      </c>
      <c r="CU3" s="61" t="s">
        <v>100</v>
      </c>
      <c r="CV3" s="61" t="s">
        <v>101</v>
      </c>
      <c r="CW3" s="62" t="s">
        <v>102</v>
      </c>
      <c r="CX3" s="62" t="s">
        <v>103</v>
      </c>
      <c r="CY3" s="61" t="s">
        <v>104</v>
      </c>
      <c r="CZ3" s="61" t="s">
        <v>105</v>
      </c>
      <c r="DA3" s="61" t="s">
        <v>106</v>
      </c>
      <c r="DB3" s="62" t="s">
        <v>107</v>
      </c>
      <c r="DC3" s="62" t="s">
        <v>108</v>
      </c>
      <c r="DD3" s="61" t="s">
        <v>109</v>
      </c>
      <c r="DE3" s="61" t="s">
        <v>110</v>
      </c>
      <c r="DF3" s="61" t="s">
        <v>111</v>
      </c>
      <c r="DG3" s="62" t="s">
        <v>112</v>
      </c>
      <c r="DH3" s="62" t="s">
        <v>113</v>
      </c>
      <c r="DI3" s="61" t="s">
        <v>114</v>
      </c>
      <c r="DJ3" s="61" t="s">
        <v>115</v>
      </c>
      <c r="DK3" s="61" t="s">
        <v>116</v>
      </c>
      <c r="DL3" s="62" t="s">
        <v>117</v>
      </c>
      <c r="DM3" s="62" t="s">
        <v>118</v>
      </c>
      <c r="DN3" s="61" t="s">
        <v>119</v>
      </c>
      <c r="DO3" s="61" t="s">
        <v>120</v>
      </c>
      <c r="DP3" s="61" t="s">
        <v>121</v>
      </c>
      <c r="DQ3" s="62" t="s">
        <v>122</v>
      </c>
      <c r="DR3" s="62" t="s">
        <v>123</v>
      </c>
      <c r="DS3" s="61" t="s">
        <v>124</v>
      </c>
      <c r="DT3" s="61" t="s">
        <v>125</v>
      </c>
      <c r="DU3" s="61" t="s">
        <v>126</v>
      </c>
      <c r="DV3" s="62" t="s">
        <v>127</v>
      </c>
      <c r="DW3" s="62" t="s">
        <v>128</v>
      </c>
      <c r="DX3" s="61" t="s">
        <v>129</v>
      </c>
      <c r="DY3" s="61" t="s">
        <v>130</v>
      </c>
      <c r="DZ3" s="61" t="s">
        <v>131</v>
      </c>
      <c r="EA3" s="62" t="s">
        <v>132</v>
      </c>
      <c r="EB3" s="62" t="s">
        <v>133</v>
      </c>
      <c r="EC3" s="61" t="s">
        <v>134</v>
      </c>
      <c r="ED3" s="61" t="s">
        <v>135</v>
      </c>
      <c r="EE3" s="61" t="s">
        <v>136</v>
      </c>
      <c r="EF3" s="62" t="s">
        <v>137</v>
      </c>
      <c r="EG3" s="62" t="s">
        <v>138</v>
      </c>
      <c r="EH3" s="61" t="s">
        <v>139</v>
      </c>
      <c r="EI3" s="61" t="s">
        <v>140</v>
      </c>
      <c r="EJ3" s="61" t="s">
        <v>141</v>
      </c>
      <c r="EK3" s="62" t="s">
        <v>142</v>
      </c>
      <c r="EL3" s="62" t="s">
        <v>143</v>
      </c>
      <c r="EM3" s="61" t="s">
        <v>144</v>
      </c>
      <c r="EN3" s="61" t="s">
        <v>145</v>
      </c>
      <c r="EO3" s="61" t="s">
        <v>146</v>
      </c>
      <c r="EP3" s="62" t="s">
        <v>147</v>
      </c>
      <c r="EQ3" s="62" t="s">
        <v>148</v>
      </c>
      <c r="ER3" s="61" t="s">
        <v>149</v>
      </c>
      <c r="ES3" s="61" t="s">
        <v>150</v>
      </c>
      <c r="ET3" s="61" t="s">
        <v>151</v>
      </c>
      <c r="EU3" s="62" t="s">
        <v>152</v>
      </c>
      <c r="EV3" s="62" t="s">
        <v>153</v>
      </c>
      <c r="EW3" s="61" t="s">
        <v>154</v>
      </c>
      <c r="EX3" s="61" t="s">
        <v>155</v>
      </c>
      <c r="EY3" s="61" t="s">
        <v>156</v>
      </c>
      <c r="EZ3" s="62" t="s">
        <v>157</v>
      </c>
      <c r="FA3" s="62" t="s">
        <v>158</v>
      </c>
      <c r="FB3" s="61" t="s">
        <v>159</v>
      </c>
      <c r="FC3" s="61" t="s">
        <v>160</v>
      </c>
      <c r="FD3" s="63" t="s">
        <v>161</v>
      </c>
      <c r="FE3" s="62" t="s">
        <v>162</v>
      </c>
      <c r="FF3" s="62" t="s">
        <v>163</v>
      </c>
      <c r="FG3" s="61" t="s">
        <v>164</v>
      </c>
      <c r="FH3" s="61" t="s">
        <v>165</v>
      </c>
      <c r="FI3" s="61" t="s">
        <v>166</v>
      </c>
      <c r="FJ3" s="62" t="s">
        <v>167</v>
      </c>
      <c r="FK3" s="62" t="s">
        <v>168</v>
      </c>
      <c r="FL3" s="64" t="s">
        <v>169</v>
      </c>
      <c r="FM3" s="65" t="s">
        <v>170</v>
      </c>
      <c r="FN3" s="64" t="s">
        <v>171</v>
      </c>
      <c r="FO3" s="65" t="s">
        <v>172</v>
      </c>
      <c r="FP3" s="64" t="s">
        <v>173</v>
      </c>
      <c r="FQ3" s="65" t="s">
        <v>174</v>
      </c>
      <c r="FR3" s="64" t="s">
        <v>175</v>
      </c>
      <c r="FS3" s="65" t="s">
        <v>176</v>
      </c>
      <c r="FT3" s="64" t="s">
        <v>177</v>
      </c>
      <c r="FU3" s="65" t="s">
        <v>178</v>
      </c>
      <c r="FV3" s="64" t="s">
        <v>179</v>
      </c>
      <c r="FW3" s="65" t="s">
        <v>180</v>
      </c>
      <c r="FX3" s="64" t="s">
        <v>181</v>
      </c>
      <c r="FY3" s="65" t="s">
        <v>182</v>
      </c>
      <c r="FZ3" s="64" t="s">
        <v>183</v>
      </c>
      <c r="GA3" s="65" t="s">
        <v>184</v>
      </c>
      <c r="GB3" s="64" t="s">
        <v>185</v>
      </c>
      <c r="GC3" s="65" t="s">
        <v>186</v>
      </c>
      <c r="GD3" s="64" t="s">
        <v>187</v>
      </c>
      <c r="GE3" s="65" t="s">
        <v>188</v>
      </c>
      <c r="GF3" s="64" t="s">
        <v>189</v>
      </c>
      <c r="GG3" s="65" t="s">
        <v>190</v>
      </c>
      <c r="GH3" s="64" t="s">
        <v>191</v>
      </c>
      <c r="GI3" s="65" t="s">
        <v>192</v>
      </c>
      <c r="GJ3" s="64" t="s">
        <v>193</v>
      </c>
      <c r="GK3" s="65" t="s">
        <v>194</v>
      </c>
      <c r="GL3" s="64" t="s">
        <v>195</v>
      </c>
      <c r="GM3" s="65" t="s">
        <v>196</v>
      </c>
      <c r="GN3" s="64" t="s">
        <v>197</v>
      </c>
      <c r="GO3" s="65" t="s">
        <v>198</v>
      </c>
      <c r="GP3" s="66" t="s">
        <v>199</v>
      </c>
      <c r="GQ3" s="66" t="s">
        <v>200</v>
      </c>
      <c r="GR3" s="67" t="s">
        <v>201</v>
      </c>
      <c r="GS3" s="68" t="s">
        <v>202</v>
      </c>
      <c r="GT3" s="69" t="s">
        <v>203</v>
      </c>
      <c r="GU3" s="66" t="s">
        <v>204</v>
      </c>
      <c r="GV3" s="66" t="s">
        <v>205</v>
      </c>
      <c r="GW3" s="67" t="s">
        <v>206</v>
      </c>
      <c r="GX3" s="68" t="s">
        <v>207</v>
      </c>
      <c r="GY3" s="69" t="s">
        <v>208</v>
      </c>
      <c r="GZ3" s="66" t="s">
        <v>209</v>
      </c>
      <c r="HA3" s="66" t="s">
        <v>210</v>
      </c>
      <c r="HB3" s="67" t="s">
        <v>211</v>
      </c>
      <c r="HC3" s="68" t="s">
        <v>212</v>
      </c>
      <c r="HD3" s="69" t="s">
        <v>213</v>
      </c>
      <c r="HE3" s="66" t="s">
        <v>214</v>
      </c>
      <c r="HF3" s="66" t="s">
        <v>215</v>
      </c>
      <c r="HG3" s="67" t="s">
        <v>216</v>
      </c>
      <c r="HH3" s="68" t="s">
        <v>217</v>
      </c>
      <c r="HI3" s="69" t="s">
        <v>218</v>
      </c>
      <c r="HJ3" s="66" t="s">
        <v>219</v>
      </c>
      <c r="HK3" s="66" t="s">
        <v>220</v>
      </c>
      <c r="HL3" s="67" t="s">
        <v>221</v>
      </c>
      <c r="HM3" s="68" t="s">
        <v>222</v>
      </c>
      <c r="HN3" s="69" t="s">
        <v>223</v>
      </c>
      <c r="HO3" s="66" t="s">
        <v>224</v>
      </c>
      <c r="HP3" s="66" t="s">
        <v>225</v>
      </c>
      <c r="HQ3" s="67" t="s">
        <v>226</v>
      </c>
      <c r="HR3" s="68" t="s">
        <v>227</v>
      </c>
      <c r="HS3" s="69" t="s">
        <v>228</v>
      </c>
      <c r="HT3" s="66" t="s">
        <v>229</v>
      </c>
      <c r="HU3" s="66" t="s">
        <v>230</v>
      </c>
      <c r="HV3" s="67" t="s">
        <v>231</v>
      </c>
      <c r="HW3" s="68" t="s">
        <v>232</v>
      </c>
      <c r="HX3" s="69" t="s">
        <v>233</v>
      </c>
      <c r="HY3" s="66" t="s">
        <v>234</v>
      </c>
      <c r="HZ3" s="66" t="s">
        <v>235</v>
      </c>
      <c r="IA3" s="67" t="s">
        <v>236</v>
      </c>
      <c r="IB3" s="68" t="s">
        <v>237</v>
      </c>
      <c r="IC3" s="69" t="s">
        <v>238</v>
      </c>
      <c r="ID3" s="66" t="s">
        <v>239</v>
      </c>
      <c r="IE3" s="66" t="s">
        <v>240</v>
      </c>
      <c r="IF3" s="67" t="s">
        <v>241</v>
      </c>
      <c r="IG3" s="68" t="s">
        <v>242</v>
      </c>
      <c r="IH3" s="69" t="s">
        <v>243</v>
      </c>
      <c r="II3" s="66" t="s">
        <v>244</v>
      </c>
      <c r="IJ3" s="66" t="s">
        <v>245</v>
      </c>
      <c r="IK3" s="67" t="s">
        <v>246</v>
      </c>
      <c r="IL3" s="68" t="s">
        <v>247</v>
      </c>
      <c r="IM3" s="69" t="s">
        <v>248</v>
      </c>
      <c r="IN3" s="66" t="s">
        <v>249</v>
      </c>
      <c r="IO3" s="66" t="s">
        <v>250</v>
      </c>
      <c r="IP3" s="67" t="s">
        <v>251</v>
      </c>
      <c r="IQ3" s="68" t="s">
        <v>252</v>
      </c>
      <c r="IR3" s="69" t="s">
        <v>253</v>
      </c>
      <c r="IS3" s="66" t="s">
        <v>254</v>
      </c>
      <c r="IT3" s="66" t="s">
        <v>255</v>
      </c>
      <c r="IU3" s="67" t="s">
        <v>256</v>
      </c>
      <c r="IV3" s="68" t="s">
        <v>257</v>
      </c>
      <c r="IW3" s="69" t="s">
        <v>258</v>
      </c>
      <c r="IX3" s="66" t="s">
        <v>259</v>
      </c>
      <c r="IY3" s="66" t="s">
        <v>260</v>
      </c>
      <c r="IZ3" s="67" t="s">
        <v>261</v>
      </c>
      <c r="JA3" s="68" t="s">
        <v>262</v>
      </c>
      <c r="JB3" s="69" t="s">
        <v>263</v>
      </c>
      <c r="JC3" s="66" t="s">
        <v>264</v>
      </c>
      <c r="JD3" s="66" t="s">
        <v>265</v>
      </c>
      <c r="JE3" s="67" t="s">
        <v>266</v>
      </c>
      <c r="JF3" s="68" t="s">
        <v>267</v>
      </c>
      <c r="JG3" s="69" t="s">
        <v>268</v>
      </c>
      <c r="JH3" s="70" t="s">
        <v>269</v>
      </c>
      <c r="JI3" s="66" t="s">
        <v>270</v>
      </c>
      <c r="JJ3" s="67" t="s">
        <v>271</v>
      </c>
      <c r="JK3" s="68" t="s">
        <v>272</v>
      </c>
      <c r="JL3" s="69" t="s">
        <v>273</v>
      </c>
      <c r="JM3" s="71" t="s">
        <v>274</v>
      </c>
      <c r="JN3" s="72" t="s">
        <v>275</v>
      </c>
      <c r="JO3" s="73" t="s">
        <v>276</v>
      </c>
      <c r="JP3" s="74" t="s">
        <v>277</v>
      </c>
      <c r="JQ3" s="72" t="s">
        <v>278</v>
      </c>
      <c r="JR3" s="72" t="s">
        <v>279</v>
      </c>
      <c r="JS3" s="75" t="s">
        <v>280</v>
      </c>
      <c r="JT3" s="76" t="s">
        <v>281</v>
      </c>
      <c r="JU3" s="77" t="s">
        <v>282</v>
      </c>
      <c r="JV3" s="78" t="s">
        <v>283</v>
      </c>
      <c r="JW3" s="78" t="s">
        <v>284</v>
      </c>
      <c r="JX3" s="78" t="s">
        <v>285</v>
      </c>
      <c r="JY3" s="78" t="s">
        <v>286</v>
      </c>
      <c r="JZ3" s="78" t="s">
        <v>287</v>
      </c>
      <c r="KA3" s="78" t="s">
        <v>288</v>
      </c>
      <c r="KB3" s="78" t="s">
        <v>289</v>
      </c>
      <c r="KC3" s="78" t="s">
        <v>290</v>
      </c>
      <c r="KD3" s="78" t="s">
        <v>291</v>
      </c>
      <c r="KE3" s="78" t="s">
        <v>292</v>
      </c>
      <c r="KF3" s="78" t="s">
        <v>293</v>
      </c>
      <c r="KG3" s="78" t="s">
        <v>294</v>
      </c>
      <c r="KH3" s="78" t="s">
        <v>295</v>
      </c>
      <c r="KI3" s="78" t="s">
        <v>296</v>
      </c>
      <c r="KJ3" s="78" t="s">
        <v>297</v>
      </c>
      <c r="KK3" s="78" t="s">
        <v>298</v>
      </c>
      <c r="KL3" s="78" t="s">
        <v>299</v>
      </c>
      <c r="KM3" s="78" t="s">
        <v>300</v>
      </c>
      <c r="KN3" s="78" t="s">
        <v>301</v>
      </c>
      <c r="KO3" s="78" t="s">
        <v>302</v>
      </c>
      <c r="KP3" s="78" t="s">
        <v>303</v>
      </c>
      <c r="KQ3" s="78" t="s">
        <v>304</v>
      </c>
      <c r="KR3" s="78" t="s">
        <v>305</v>
      </c>
      <c r="KS3" s="78" t="s">
        <v>306</v>
      </c>
      <c r="KT3" s="78" t="s">
        <v>307</v>
      </c>
      <c r="KU3" s="78" t="s">
        <v>308</v>
      </c>
      <c r="KV3" s="78" t="s">
        <v>309</v>
      </c>
      <c r="KW3" s="78" t="s">
        <v>310</v>
      </c>
      <c r="KX3" s="78" t="s">
        <v>311</v>
      </c>
      <c r="KY3" s="78" t="s">
        <v>312</v>
      </c>
      <c r="KZ3" s="78" t="s">
        <v>313</v>
      </c>
      <c r="LA3" s="78" t="s">
        <v>314</v>
      </c>
      <c r="LB3" s="78" t="s">
        <v>315</v>
      </c>
      <c r="LC3" s="78" t="s">
        <v>316</v>
      </c>
      <c r="LD3" s="78" t="s">
        <v>317</v>
      </c>
      <c r="LE3" s="78" t="s">
        <v>318</v>
      </c>
      <c r="LF3" s="78" t="s">
        <v>319</v>
      </c>
      <c r="LG3" s="78" t="s">
        <v>320</v>
      </c>
      <c r="LH3" s="78" t="s">
        <v>321</v>
      </c>
      <c r="LI3" s="78" t="s">
        <v>322</v>
      </c>
      <c r="LJ3" s="78" t="s">
        <v>323</v>
      </c>
      <c r="LK3" s="78" t="s">
        <v>324</v>
      </c>
      <c r="LL3" s="78" t="s">
        <v>325</v>
      </c>
      <c r="LM3" s="78" t="s">
        <v>326</v>
      </c>
      <c r="LN3" s="78" t="s">
        <v>327</v>
      </c>
      <c r="LO3" s="78" t="s">
        <v>328</v>
      </c>
      <c r="LP3" s="78" t="s">
        <v>329</v>
      </c>
      <c r="LQ3" s="78" t="s">
        <v>330</v>
      </c>
      <c r="LR3" s="78" t="s">
        <v>331</v>
      </c>
      <c r="LS3" s="78" t="s">
        <v>332</v>
      </c>
      <c r="LT3" s="78" t="s">
        <v>333</v>
      </c>
      <c r="LU3" s="78" t="s">
        <v>334</v>
      </c>
      <c r="LV3" s="78" t="s">
        <v>335</v>
      </c>
      <c r="LW3" s="78" t="s">
        <v>336</v>
      </c>
      <c r="LX3" s="78" t="s">
        <v>337</v>
      </c>
      <c r="LY3" s="78" t="s">
        <v>338</v>
      </c>
      <c r="LZ3" s="78" t="s">
        <v>339</v>
      </c>
      <c r="MA3" s="78" t="s">
        <v>340</v>
      </c>
      <c r="MB3" s="78" t="s">
        <v>341</v>
      </c>
      <c r="MC3" s="78" t="s">
        <v>342</v>
      </c>
      <c r="MD3" s="78" t="s">
        <v>343</v>
      </c>
      <c r="ME3" s="78" t="s">
        <v>344</v>
      </c>
      <c r="MF3" s="78" t="s">
        <v>345</v>
      </c>
      <c r="MG3" s="78" t="s">
        <v>346</v>
      </c>
      <c r="MH3" s="78" t="s">
        <v>347</v>
      </c>
      <c r="MI3" s="78" t="s">
        <v>348</v>
      </c>
      <c r="MJ3" s="78" t="s">
        <v>349</v>
      </c>
      <c r="MK3" s="78" t="s">
        <v>350</v>
      </c>
      <c r="ML3" s="78" t="s">
        <v>351</v>
      </c>
      <c r="MM3" s="78" t="s">
        <v>352</v>
      </c>
      <c r="MN3" s="78" t="s">
        <v>353</v>
      </c>
      <c r="MO3" s="78" t="s">
        <v>354</v>
      </c>
      <c r="MP3" s="78" t="s">
        <v>355</v>
      </c>
      <c r="MQ3" s="78" t="s">
        <v>356</v>
      </c>
      <c r="MR3" s="78" t="s">
        <v>357</v>
      </c>
      <c r="MS3" s="78" t="s">
        <v>358</v>
      </c>
      <c r="MT3" s="78" t="s">
        <v>359</v>
      </c>
      <c r="MU3" s="78" t="s">
        <v>360</v>
      </c>
      <c r="MV3" s="78" t="s">
        <v>361</v>
      </c>
      <c r="MW3" s="78" t="s">
        <v>362</v>
      </c>
      <c r="MX3" s="78" t="s">
        <v>363</v>
      </c>
      <c r="MY3" s="78" t="s">
        <v>364</v>
      </c>
      <c r="MZ3" s="78" t="s">
        <v>365</v>
      </c>
      <c r="NA3" s="78" t="s">
        <v>366</v>
      </c>
      <c r="NB3" s="78" t="s">
        <v>367</v>
      </c>
      <c r="NC3" s="78" t="s">
        <v>368</v>
      </c>
      <c r="ND3" s="78" t="s">
        <v>369</v>
      </c>
      <c r="NE3" s="78" t="s">
        <v>370</v>
      </c>
      <c r="NF3" s="78" t="s">
        <v>371</v>
      </c>
      <c r="NG3" s="78" t="s">
        <v>372</v>
      </c>
      <c r="NH3" s="78" t="s">
        <v>373</v>
      </c>
      <c r="NI3" s="78" t="s">
        <v>374</v>
      </c>
      <c r="NJ3" s="78" t="s">
        <v>375</v>
      </c>
      <c r="NK3" s="78" t="s">
        <v>376</v>
      </c>
      <c r="NL3" s="78" t="s">
        <v>377</v>
      </c>
      <c r="NM3" s="78" t="s">
        <v>378</v>
      </c>
      <c r="NN3" s="78" t="s">
        <v>379</v>
      </c>
      <c r="NO3" s="78" t="s">
        <v>380</v>
      </c>
      <c r="NP3" s="78" t="s">
        <v>381</v>
      </c>
      <c r="NQ3" s="78" t="s">
        <v>382</v>
      </c>
      <c r="NR3" s="78" t="s">
        <v>383</v>
      </c>
      <c r="NS3" s="78" t="s">
        <v>384</v>
      </c>
      <c r="NT3" s="78" t="s">
        <v>385</v>
      </c>
      <c r="NU3" s="79" t="s">
        <v>386</v>
      </c>
      <c r="NV3" s="80" t="s">
        <v>387</v>
      </c>
      <c r="NW3" s="81" t="s">
        <v>388</v>
      </c>
      <c r="NX3" s="82" t="s">
        <v>389</v>
      </c>
      <c r="NY3" s="79" t="s">
        <v>390</v>
      </c>
      <c r="NZ3" s="80" t="s">
        <v>391</v>
      </c>
    </row>
    <row r="4" spans="1:390" s="160" customFormat="1" ht="15.75" customHeight="1" x14ac:dyDescent="0.3">
      <c r="A4" s="165">
        <v>4849515096</v>
      </c>
      <c r="B4" s="84" t="s">
        <v>392</v>
      </c>
      <c r="C4" s="84" t="s">
        <v>393</v>
      </c>
      <c r="D4" s="87" t="s">
        <v>392</v>
      </c>
      <c r="E4" s="206" t="s">
        <v>394</v>
      </c>
      <c r="F4" s="207" t="s">
        <v>395</v>
      </c>
      <c r="G4" s="207" t="s">
        <v>396</v>
      </c>
      <c r="H4" s="208">
        <v>42159</v>
      </c>
      <c r="I4" s="231" t="s">
        <v>397</v>
      </c>
      <c r="J4" s="236" t="s">
        <v>398</v>
      </c>
      <c r="K4" s="93" t="s">
        <v>399</v>
      </c>
      <c r="L4" s="93" t="s">
        <v>399</v>
      </c>
      <c r="M4" s="93" t="s">
        <v>399</v>
      </c>
      <c r="N4" s="93" t="s">
        <v>399</v>
      </c>
      <c r="O4" s="93" t="s">
        <v>399</v>
      </c>
      <c r="P4" s="93" t="s">
        <v>399</v>
      </c>
      <c r="Q4" s="93" t="s">
        <v>399</v>
      </c>
      <c r="R4" s="93" t="s">
        <v>399</v>
      </c>
      <c r="S4" s="93" t="s">
        <v>399</v>
      </c>
      <c r="T4" s="93" t="s">
        <v>399</v>
      </c>
      <c r="U4" s="93" t="s">
        <v>399</v>
      </c>
      <c r="V4" s="93" t="s">
        <v>399</v>
      </c>
      <c r="W4" s="93" t="s">
        <v>399</v>
      </c>
      <c r="X4" s="93" t="s">
        <v>399</v>
      </c>
      <c r="Y4" s="93" t="s">
        <v>399</v>
      </c>
      <c r="Z4" s="93" t="s">
        <v>399</v>
      </c>
      <c r="AA4" s="93" t="s">
        <v>399</v>
      </c>
      <c r="AB4" s="152" t="s">
        <v>400</v>
      </c>
      <c r="AC4" s="209">
        <v>22788</v>
      </c>
      <c r="AD4" s="209">
        <v>42129</v>
      </c>
      <c r="AE4" s="164">
        <f t="shared" ref="AE4:AE8" si="0">DATEDIF(AC4, AD4,"Y")</f>
        <v>52</v>
      </c>
      <c r="AF4" s="210" t="s">
        <v>401</v>
      </c>
      <c r="AG4" s="87" t="s">
        <v>402</v>
      </c>
      <c r="AH4" s="163" t="s">
        <v>403</v>
      </c>
      <c r="AI4" s="163" t="s">
        <v>404</v>
      </c>
      <c r="AJ4" s="163">
        <v>0</v>
      </c>
      <c r="AK4" s="163" t="s">
        <v>405</v>
      </c>
      <c r="AL4" s="172">
        <v>0</v>
      </c>
      <c r="AM4" s="89" t="s">
        <v>406</v>
      </c>
      <c r="AN4" s="211">
        <v>2</v>
      </c>
      <c r="AO4" s="109" t="s">
        <v>399</v>
      </c>
      <c r="AP4" s="89"/>
      <c r="AQ4" s="211"/>
      <c r="AR4" s="89"/>
      <c r="AS4" s="212"/>
      <c r="AT4" s="212"/>
      <c r="AU4" s="212"/>
      <c r="AV4" s="212"/>
      <c r="AW4" s="89"/>
      <c r="AX4" s="212"/>
      <c r="AY4" s="212"/>
      <c r="AZ4" s="212"/>
      <c r="BA4" s="212"/>
      <c r="BB4" s="89"/>
      <c r="BC4" s="212"/>
      <c r="BD4" s="212"/>
      <c r="BE4" s="212"/>
      <c r="BF4" s="212"/>
      <c r="BG4" s="89"/>
      <c r="BH4" s="212"/>
      <c r="BI4" s="212"/>
      <c r="BJ4" s="212"/>
      <c r="BK4" s="212"/>
      <c r="BL4" s="89"/>
      <c r="BM4" s="212"/>
      <c r="BN4" s="212"/>
      <c r="BO4" s="212"/>
      <c r="BP4" s="212"/>
      <c r="BQ4" s="89"/>
      <c r="BR4" s="212"/>
      <c r="BS4" s="212"/>
      <c r="BT4" s="212"/>
      <c r="BU4" s="212"/>
      <c r="BV4" s="89"/>
      <c r="BW4" s="212"/>
      <c r="BX4" s="212"/>
      <c r="BY4" s="212"/>
      <c r="BZ4" s="212"/>
      <c r="CA4" s="89"/>
      <c r="CB4" s="212"/>
      <c r="CC4" s="212"/>
      <c r="CD4" s="212"/>
      <c r="CE4" s="212"/>
      <c r="CF4" s="89"/>
      <c r="CG4" s="212"/>
      <c r="CH4" s="212"/>
      <c r="CI4" s="212"/>
      <c r="CJ4" s="212"/>
      <c r="CK4" s="89"/>
      <c r="CL4" s="212"/>
      <c r="CM4" s="212"/>
      <c r="CN4" s="212"/>
      <c r="CO4" s="212"/>
      <c r="CP4" s="89"/>
      <c r="CQ4" s="212"/>
      <c r="CR4" s="212"/>
      <c r="CS4" s="212"/>
      <c r="CT4" s="212"/>
      <c r="CU4" s="89"/>
      <c r="CV4" s="212"/>
      <c r="CW4" s="212"/>
      <c r="CX4" s="212"/>
      <c r="CY4" s="212"/>
      <c r="CZ4" s="89"/>
      <c r="DA4" s="212"/>
      <c r="DB4" s="212"/>
      <c r="DC4" s="212"/>
      <c r="DD4" s="212"/>
      <c r="DE4" s="89"/>
      <c r="DF4" s="212"/>
      <c r="DG4" s="212"/>
      <c r="DH4" s="212"/>
      <c r="DI4" s="212"/>
      <c r="DJ4" s="89"/>
      <c r="DK4" s="212"/>
      <c r="DL4" s="212"/>
      <c r="DM4" s="212"/>
      <c r="DN4" s="212"/>
      <c r="DO4" s="89"/>
      <c r="DP4" s="212"/>
      <c r="DQ4" s="212"/>
      <c r="DR4" s="212"/>
      <c r="DS4" s="212"/>
      <c r="DT4" s="89"/>
      <c r="DU4" s="212"/>
      <c r="DV4" s="212"/>
      <c r="DW4" s="212"/>
      <c r="DX4" s="212"/>
      <c r="DY4" s="89"/>
      <c r="DZ4" s="212"/>
      <c r="EA4" s="212"/>
      <c r="EB4" s="212"/>
      <c r="EC4" s="212"/>
      <c r="ED4" s="89"/>
      <c r="EE4" s="212"/>
      <c r="EF4" s="212"/>
      <c r="EG4" s="212"/>
      <c r="EH4" s="212"/>
      <c r="EI4" s="89"/>
      <c r="EJ4" s="212"/>
      <c r="EK4" s="212"/>
      <c r="EL4" s="212"/>
      <c r="EM4" s="212"/>
      <c r="EN4" s="89"/>
      <c r="EO4" s="212"/>
      <c r="EP4" s="212"/>
      <c r="EQ4" s="212"/>
      <c r="ER4" s="212"/>
      <c r="ES4" s="89"/>
      <c r="ET4" s="212"/>
      <c r="EU4" s="212"/>
      <c r="EV4" s="212"/>
      <c r="EW4" s="212"/>
      <c r="EX4" s="89"/>
      <c r="EY4" s="212"/>
      <c r="EZ4" s="212"/>
      <c r="FA4" s="212"/>
      <c r="FB4" s="212"/>
      <c r="FC4" s="89"/>
      <c r="FD4" s="85"/>
      <c r="FE4" s="211"/>
      <c r="FF4" s="212"/>
      <c r="FG4" s="212"/>
      <c r="FH4" s="89"/>
      <c r="FI4" s="212"/>
      <c r="FJ4" s="212"/>
      <c r="FK4" s="212"/>
      <c r="FL4" s="212"/>
      <c r="FM4" s="212"/>
      <c r="FN4" s="212"/>
      <c r="FO4" s="212"/>
      <c r="FP4" s="212"/>
      <c r="FQ4" s="212"/>
      <c r="FR4" s="212"/>
      <c r="FS4" s="212"/>
      <c r="FT4" s="212"/>
      <c r="FU4" s="212"/>
      <c r="FV4" s="212"/>
      <c r="FW4" s="212"/>
      <c r="FX4" s="212"/>
      <c r="FY4" s="212"/>
      <c r="FZ4" s="212"/>
      <c r="GA4" s="212"/>
      <c r="GB4" s="212"/>
      <c r="GC4" s="212"/>
      <c r="GD4" s="212"/>
      <c r="GE4" s="212"/>
      <c r="GF4" s="212"/>
      <c r="GG4" s="212"/>
      <c r="GH4" s="212"/>
      <c r="GI4" s="212"/>
      <c r="GJ4" s="212"/>
      <c r="GK4" s="212"/>
      <c r="GL4" s="212"/>
      <c r="GM4" s="212"/>
      <c r="GN4" s="212"/>
      <c r="GO4" s="212"/>
      <c r="GP4" s="89"/>
      <c r="GQ4" s="212"/>
      <c r="GR4" s="212"/>
      <c r="GS4" s="212"/>
      <c r="GT4" s="212"/>
      <c r="GU4" s="89"/>
      <c r="GV4" s="212"/>
      <c r="GW4" s="212"/>
      <c r="GX4" s="212"/>
      <c r="GY4" s="212"/>
      <c r="GZ4" s="89"/>
      <c r="HA4" s="212"/>
      <c r="HB4" s="212"/>
      <c r="HC4" s="212"/>
      <c r="HD4" s="212"/>
      <c r="HE4" s="89"/>
      <c r="HF4" s="212"/>
      <c r="HG4" s="212"/>
      <c r="HH4" s="212"/>
      <c r="HI4" s="212"/>
      <c r="HJ4" s="89"/>
      <c r="HK4" s="212"/>
      <c r="HL4" s="212"/>
      <c r="HM4" s="212"/>
      <c r="HN4" s="212"/>
      <c r="HO4" s="89"/>
      <c r="HP4" s="212"/>
      <c r="HQ4" s="212"/>
      <c r="HR4" s="212"/>
      <c r="HS4" s="212"/>
      <c r="HT4" s="89"/>
      <c r="HU4" s="212"/>
      <c r="HV4" s="212"/>
      <c r="HW4" s="212"/>
      <c r="HX4" s="212"/>
      <c r="HY4" s="89"/>
      <c r="HZ4" s="212"/>
      <c r="IA4" s="212"/>
      <c r="IB4" s="212"/>
      <c r="IC4" s="212"/>
      <c r="ID4" s="89"/>
      <c r="IE4" s="212"/>
      <c r="IF4" s="212"/>
      <c r="IG4" s="212"/>
      <c r="IH4" s="212"/>
      <c r="II4" s="89"/>
      <c r="IJ4" s="212"/>
      <c r="IK4" s="212"/>
      <c r="IL4" s="212"/>
      <c r="IM4" s="212"/>
      <c r="IN4" s="89"/>
      <c r="IO4" s="212"/>
      <c r="IP4" s="212"/>
      <c r="IQ4" s="212"/>
      <c r="IR4" s="212"/>
      <c r="IS4" s="89"/>
      <c r="IT4" s="212"/>
      <c r="IU4" s="212"/>
      <c r="IV4" s="212"/>
      <c r="IW4" s="212"/>
      <c r="IX4" s="89"/>
      <c r="IY4" s="212"/>
      <c r="IZ4" s="212"/>
      <c r="JA4" s="212"/>
      <c r="JB4" s="212"/>
      <c r="JC4" s="89"/>
      <c r="JD4" s="212"/>
      <c r="JE4" s="212"/>
      <c r="JF4" s="212"/>
      <c r="JG4" s="213"/>
      <c r="JH4" s="89"/>
      <c r="JI4" s="211"/>
      <c r="JJ4" s="212"/>
      <c r="JK4" s="212"/>
      <c r="JL4" s="213"/>
      <c r="JM4" s="89"/>
      <c r="JN4" s="214"/>
      <c r="JO4" s="89"/>
      <c r="JP4" s="215"/>
      <c r="JQ4" s="85"/>
      <c r="JR4" s="85"/>
      <c r="JS4" s="85"/>
      <c r="JT4" s="213"/>
      <c r="JU4" s="85"/>
      <c r="JV4" s="85"/>
      <c r="JW4" s="85"/>
      <c r="JX4" s="85"/>
      <c r="JY4" s="85"/>
      <c r="JZ4" s="85"/>
      <c r="KA4" s="85"/>
      <c r="KB4" s="85"/>
      <c r="KC4" s="85"/>
      <c r="KD4" s="85"/>
      <c r="KE4" s="85"/>
      <c r="KF4" s="85"/>
      <c r="KG4" s="85"/>
      <c r="KH4" s="85"/>
      <c r="KI4" s="85"/>
      <c r="KJ4" s="85"/>
      <c r="KK4" s="85"/>
      <c r="KL4" s="85"/>
      <c r="KM4" s="85"/>
      <c r="KN4" s="85"/>
      <c r="KO4" s="85"/>
      <c r="KP4" s="85"/>
      <c r="KQ4" s="85"/>
      <c r="KR4" s="85"/>
      <c r="KS4" s="85"/>
      <c r="KT4" s="85"/>
      <c r="KU4" s="85"/>
      <c r="KV4" s="85"/>
      <c r="KW4" s="85"/>
      <c r="KX4" s="85"/>
      <c r="KY4" s="85"/>
      <c r="KZ4" s="85"/>
      <c r="LA4" s="85"/>
      <c r="LB4" s="85"/>
      <c r="LC4" s="85"/>
      <c r="LD4" s="85"/>
      <c r="LE4" s="85"/>
      <c r="LF4" s="85"/>
      <c r="LG4" s="85"/>
      <c r="LH4" s="85"/>
      <c r="LI4" s="85"/>
      <c r="LJ4" s="85"/>
      <c r="LK4" s="85"/>
      <c r="LL4" s="85"/>
      <c r="LM4" s="85"/>
      <c r="LN4" s="85"/>
      <c r="LO4" s="85"/>
      <c r="LP4" s="85"/>
      <c r="LQ4" s="85"/>
      <c r="LR4" s="85"/>
      <c r="LS4" s="85"/>
      <c r="LT4" s="85"/>
      <c r="LU4" s="85"/>
      <c r="LV4" s="85"/>
      <c r="LW4" s="85"/>
      <c r="LX4" s="85"/>
      <c r="LY4" s="85"/>
      <c r="LZ4" s="85"/>
      <c r="MA4" s="85"/>
      <c r="MB4" s="85"/>
      <c r="MC4" s="85"/>
      <c r="MD4" s="85"/>
      <c r="ME4" s="85"/>
      <c r="MF4" s="85"/>
      <c r="MG4" s="85"/>
      <c r="MH4" s="85"/>
      <c r="MI4" s="85"/>
      <c r="MJ4" s="85"/>
      <c r="MK4" s="85"/>
      <c r="ML4" s="85"/>
      <c r="MM4" s="85"/>
      <c r="MN4" s="85"/>
      <c r="MO4" s="85"/>
      <c r="MP4" s="85"/>
      <c r="MQ4" s="85"/>
      <c r="MR4" s="85"/>
      <c r="MS4" s="85"/>
      <c r="MT4" s="85"/>
      <c r="MU4" s="85"/>
      <c r="MV4" s="85"/>
      <c r="MW4" s="85"/>
      <c r="MX4" s="85"/>
      <c r="MY4" s="85"/>
      <c r="MZ4" s="85"/>
      <c r="NA4" s="85"/>
      <c r="NB4" s="85"/>
      <c r="NC4" s="85"/>
      <c r="ND4" s="85"/>
      <c r="NE4" s="85"/>
      <c r="NF4" s="85"/>
      <c r="NG4" s="85"/>
      <c r="NH4" s="85"/>
      <c r="NI4" s="85"/>
      <c r="NJ4" s="85"/>
      <c r="NK4" s="85"/>
      <c r="NL4" s="85"/>
      <c r="NM4" s="85"/>
      <c r="NN4" s="85"/>
      <c r="NO4" s="85"/>
      <c r="NP4" s="85"/>
      <c r="NQ4" s="212"/>
      <c r="NR4" s="212"/>
      <c r="NS4" s="212"/>
      <c r="NT4" s="212"/>
      <c r="NU4" s="85"/>
      <c r="NV4" s="85"/>
      <c r="NW4" s="85"/>
      <c r="NX4" s="85"/>
      <c r="NY4" s="85"/>
      <c r="NZ4" s="85"/>
    </row>
    <row r="5" spans="1:390" ht="15.75" customHeight="1" x14ac:dyDescent="0.3">
      <c r="A5" s="168">
        <v>4760475672</v>
      </c>
      <c r="B5" s="169" t="s">
        <v>392</v>
      </c>
      <c r="C5" s="84" t="s">
        <v>393</v>
      </c>
      <c r="D5" s="87" t="s">
        <v>392</v>
      </c>
      <c r="E5" s="168" t="s">
        <v>407</v>
      </c>
      <c r="F5" s="216" t="s">
        <v>408</v>
      </c>
      <c r="G5" s="216" t="s">
        <v>409</v>
      </c>
      <c r="H5" s="150">
        <v>42464</v>
      </c>
      <c r="I5" s="210" t="s">
        <v>410</v>
      </c>
      <c r="J5" s="231" t="s">
        <v>398</v>
      </c>
      <c r="K5" s="93" t="s">
        <v>399</v>
      </c>
      <c r="L5" s="93" t="s">
        <v>399</v>
      </c>
      <c r="M5" s="93" t="s">
        <v>399</v>
      </c>
      <c r="N5" s="93" t="s">
        <v>399</v>
      </c>
      <c r="O5" s="93" t="s">
        <v>399</v>
      </c>
      <c r="P5" s="93" t="s">
        <v>399</v>
      </c>
      <c r="Q5" s="93" t="s">
        <v>399</v>
      </c>
      <c r="R5" s="93" t="s">
        <v>399</v>
      </c>
      <c r="S5" s="93" t="s">
        <v>399</v>
      </c>
      <c r="T5" s="93" t="s">
        <v>399</v>
      </c>
      <c r="U5" s="93" t="s">
        <v>399</v>
      </c>
      <c r="V5" s="93" t="s">
        <v>399</v>
      </c>
      <c r="W5" s="93" t="s">
        <v>399</v>
      </c>
      <c r="X5" s="93" t="s">
        <v>399</v>
      </c>
      <c r="Y5" s="93" t="s">
        <v>399</v>
      </c>
      <c r="Z5" s="93" t="s">
        <v>399</v>
      </c>
      <c r="AA5" s="93" t="s">
        <v>399</v>
      </c>
      <c r="AB5" s="152" t="s">
        <v>400</v>
      </c>
      <c r="AC5" s="150">
        <v>23553</v>
      </c>
      <c r="AD5" s="151">
        <v>42409</v>
      </c>
      <c r="AE5" s="164">
        <f t="shared" si="0"/>
        <v>51</v>
      </c>
      <c r="AF5" s="210" t="s">
        <v>401</v>
      </c>
      <c r="AG5" s="87" t="s">
        <v>402</v>
      </c>
      <c r="AH5" s="163" t="s">
        <v>405</v>
      </c>
      <c r="AI5" s="163" t="s">
        <v>411</v>
      </c>
      <c r="AJ5" s="163">
        <v>0</v>
      </c>
      <c r="AK5" s="163" t="s">
        <v>405</v>
      </c>
      <c r="AL5" s="172">
        <v>0</v>
      </c>
      <c r="AM5" s="89" t="s">
        <v>412</v>
      </c>
      <c r="AN5" s="145">
        <v>1</v>
      </c>
      <c r="AO5" s="109" t="s">
        <v>399</v>
      </c>
      <c r="AP5" s="89"/>
      <c r="AQ5" s="145"/>
      <c r="AR5" s="89"/>
      <c r="AS5" s="89"/>
      <c r="AT5" s="89"/>
      <c r="AU5" s="89"/>
      <c r="AV5" s="89"/>
      <c r="AW5" s="89"/>
      <c r="AX5" s="89"/>
      <c r="AY5" s="89"/>
      <c r="AZ5" s="89"/>
      <c r="BA5" s="89"/>
      <c r="BB5" s="89"/>
      <c r="BC5" s="89"/>
      <c r="BD5" s="89"/>
      <c r="BE5" s="89"/>
      <c r="BF5" s="89"/>
      <c r="BG5" s="89"/>
      <c r="BH5" s="89"/>
      <c r="BI5" s="89"/>
      <c r="BJ5" s="89"/>
      <c r="BK5" s="89"/>
      <c r="BL5" s="89"/>
      <c r="BM5" s="89"/>
      <c r="BN5" s="89"/>
      <c r="BO5" s="89"/>
      <c r="BP5" s="89"/>
      <c r="BQ5" s="89"/>
      <c r="BR5" s="89"/>
      <c r="BS5" s="89"/>
      <c r="BT5" s="89"/>
      <c r="BU5" s="89"/>
      <c r="BV5" s="89"/>
      <c r="BW5" s="89"/>
      <c r="BX5" s="89"/>
      <c r="BY5" s="89"/>
      <c r="BZ5" s="89"/>
      <c r="CA5" s="89"/>
      <c r="CB5" s="89"/>
      <c r="CC5" s="89"/>
      <c r="CD5" s="89"/>
      <c r="CE5" s="89"/>
      <c r="CF5" s="89"/>
      <c r="CG5" s="89"/>
      <c r="CH5" s="89"/>
      <c r="CI5" s="89"/>
      <c r="CJ5" s="89"/>
      <c r="CK5" s="89"/>
      <c r="CL5" s="89"/>
      <c r="CM5" s="89"/>
      <c r="CN5" s="89"/>
      <c r="CO5" s="89"/>
      <c r="CP5" s="89"/>
      <c r="CQ5" s="89"/>
      <c r="CR5" s="89"/>
      <c r="CS5" s="89"/>
      <c r="CT5" s="89"/>
      <c r="CU5" s="89"/>
      <c r="CV5" s="89"/>
      <c r="CW5" s="89"/>
      <c r="CX5" s="89"/>
      <c r="CY5" s="89"/>
      <c r="CZ5" s="89"/>
      <c r="DA5" s="89"/>
      <c r="DB5" s="89"/>
      <c r="DC5" s="89"/>
      <c r="DD5" s="89"/>
      <c r="DE5" s="89"/>
      <c r="DF5" s="89"/>
      <c r="DG5" s="89"/>
      <c r="DH5" s="89"/>
      <c r="DI5" s="89"/>
      <c r="DJ5" s="89"/>
      <c r="DK5" s="89"/>
      <c r="DL5" s="89"/>
      <c r="DM5" s="89"/>
      <c r="DN5" s="89"/>
      <c r="DO5" s="89"/>
      <c r="DP5" s="89"/>
      <c r="DQ5" s="89"/>
      <c r="DR5" s="89"/>
      <c r="DS5" s="89"/>
      <c r="DT5" s="89"/>
      <c r="DU5" s="89"/>
      <c r="DV5" s="89"/>
      <c r="DW5" s="89"/>
      <c r="DX5" s="89"/>
      <c r="DY5" s="89"/>
      <c r="DZ5" s="89"/>
      <c r="EA5" s="89"/>
      <c r="EB5" s="89"/>
      <c r="EC5" s="89"/>
      <c r="ED5" s="89"/>
      <c r="EE5" s="89"/>
      <c r="EF5" s="89"/>
      <c r="EG5" s="89"/>
      <c r="EH5" s="89"/>
      <c r="EI5" s="89"/>
      <c r="EJ5" s="89"/>
      <c r="EK5" s="89"/>
      <c r="EL5" s="89"/>
      <c r="EM5" s="89"/>
      <c r="EN5" s="89"/>
      <c r="EO5" s="89"/>
      <c r="EP5" s="89"/>
      <c r="EQ5" s="89"/>
      <c r="ER5" s="89"/>
      <c r="ES5" s="89"/>
      <c r="ET5" s="89"/>
      <c r="EU5" s="89"/>
      <c r="EV5" s="89"/>
      <c r="EW5" s="89"/>
      <c r="EX5" s="89"/>
      <c r="EY5" s="89"/>
      <c r="EZ5" s="89"/>
      <c r="FA5" s="89"/>
      <c r="FB5" s="89"/>
      <c r="FC5" s="89"/>
      <c r="FD5" s="89"/>
      <c r="FE5" s="89"/>
      <c r="FF5" s="89"/>
      <c r="FG5" s="89"/>
      <c r="FH5" s="89"/>
      <c r="FI5" s="89"/>
      <c r="FJ5" s="89"/>
      <c r="FK5" s="89"/>
      <c r="FL5" s="89"/>
      <c r="FM5" s="89"/>
      <c r="FN5" s="89"/>
      <c r="FO5" s="89"/>
      <c r="FP5" s="89"/>
      <c r="FQ5" s="89"/>
      <c r="FR5" s="89"/>
      <c r="FS5" s="89"/>
      <c r="FT5" s="89"/>
      <c r="FU5" s="89"/>
      <c r="FV5" s="89"/>
      <c r="FW5" s="89"/>
      <c r="FX5" s="89"/>
      <c r="FY5" s="89"/>
      <c r="FZ5" s="89"/>
      <c r="GA5" s="89"/>
      <c r="GB5" s="89"/>
      <c r="GC5" s="89"/>
      <c r="GD5" s="89"/>
      <c r="GE5" s="89"/>
      <c r="GF5" s="89"/>
      <c r="GG5" s="89"/>
      <c r="GH5" s="89"/>
      <c r="GI5" s="89"/>
      <c r="GJ5" s="89"/>
      <c r="GK5" s="89"/>
      <c r="GL5" s="89"/>
      <c r="GM5" s="89"/>
      <c r="GN5" s="89"/>
      <c r="GO5" s="89"/>
      <c r="GP5" s="89"/>
      <c r="GQ5" s="89"/>
      <c r="GR5" s="89"/>
      <c r="GS5" s="89"/>
      <c r="GT5" s="89"/>
      <c r="GU5" s="89"/>
      <c r="GV5" s="89"/>
      <c r="GW5" s="89"/>
      <c r="GX5" s="89"/>
      <c r="GY5" s="89"/>
      <c r="GZ5" s="89"/>
      <c r="HA5" s="89"/>
      <c r="HB5" s="89"/>
      <c r="HC5" s="89"/>
      <c r="HD5" s="89"/>
      <c r="HE5" s="89"/>
      <c r="HF5" s="89"/>
      <c r="HG5" s="89"/>
      <c r="HH5" s="89"/>
      <c r="HI5" s="89"/>
      <c r="HJ5" s="89"/>
      <c r="HK5" s="89"/>
      <c r="HL5" s="89"/>
      <c r="HM5" s="89"/>
      <c r="HN5" s="89"/>
      <c r="HO5" s="89"/>
      <c r="HP5" s="89"/>
      <c r="HQ5" s="89"/>
      <c r="HR5" s="89"/>
      <c r="HS5" s="89"/>
      <c r="HT5" s="89"/>
      <c r="HU5" s="89"/>
      <c r="HV5" s="89"/>
      <c r="HW5" s="89"/>
      <c r="HX5" s="89"/>
      <c r="HY5" s="89"/>
      <c r="HZ5" s="89"/>
      <c r="IA5" s="89"/>
      <c r="IB5" s="89"/>
      <c r="IC5" s="89"/>
      <c r="ID5" s="89"/>
      <c r="IE5" s="89"/>
      <c r="IF5" s="89"/>
      <c r="IG5" s="89"/>
      <c r="IH5" s="89"/>
      <c r="II5" s="89"/>
      <c r="IJ5" s="89"/>
      <c r="IK5" s="89"/>
      <c r="IL5" s="89"/>
      <c r="IM5" s="89"/>
      <c r="IN5" s="89"/>
      <c r="IO5" s="89"/>
      <c r="IP5" s="89"/>
      <c r="IQ5" s="89"/>
      <c r="IR5" s="89"/>
      <c r="IS5" s="89"/>
      <c r="IT5" s="89"/>
      <c r="IU5" s="89"/>
      <c r="IV5" s="89"/>
      <c r="IW5" s="89"/>
      <c r="IX5" s="89"/>
      <c r="IY5" s="89"/>
      <c r="IZ5" s="89"/>
      <c r="JA5" s="89"/>
      <c r="JB5" s="89"/>
      <c r="JC5" s="89"/>
      <c r="JD5" s="89"/>
      <c r="JE5" s="89"/>
      <c r="JF5" s="89"/>
      <c r="JG5" s="205"/>
      <c r="JH5" s="89"/>
      <c r="JI5" s="145"/>
      <c r="JJ5" s="89"/>
      <c r="JK5" s="89"/>
      <c r="JL5" s="205"/>
      <c r="JM5" s="89"/>
      <c r="JN5" s="217"/>
      <c r="JO5" s="89"/>
      <c r="JP5" s="145"/>
      <c r="JQ5" s="89"/>
      <c r="JR5" s="89"/>
      <c r="JS5" s="89"/>
      <c r="JT5" s="89" t="s">
        <v>413</v>
      </c>
      <c r="JU5" s="89"/>
      <c r="JV5" s="89"/>
      <c r="JW5" s="89"/>
      <c r="JX5" s="89"/>
      <c r="JY5" s="89"/>
      <c r="JZ5" s="89"/>
      <c r="KA5" s="89"/>
      <c r="KB5" s="89"/>
      <c r="KC5" s="89"/>
      <c r="KD5" s="89"/>
      <c r="KE5" s="89"/>
      <c r="KF5" s="89"/>
      <c r="KG5" s="89"/>
      <c r="KH5" s="89"/>
      <c r="KI5" s="89"/>
      <c r="KJ5" s="89"/>
      <c r="KK5" s="89"/>
      <c r="KL5" s="89"/>
      <c r="KM5" s="89"/>
      <c r="KN5" s="89"/>
      <c r="KO5" s="89"/>
      <c r="KP5" s="89"/>
      <c r="KQ5" s="89"/>
      <c r="KR5" s="89"/>
      <c r="KS5" s="89"/>
      <c r="KT5" s="89"/>
      <c r="KU5" s="89"/>
      <c r="KV5" s="89"/>
      <c r="KW5" s="89"/>
      <c r="KX5" s="89"/>
      <c r="KY5" s="89"/>
      <c r="KZ5" s="89"/>
      <c r="LA5" s="89"/>
      <c r="LB5" s="89"/>
      <c r="LC5" s="89"/>
      <c r="LD5" s="89"/>
      <c r="LE5" s="89"/>
      <c r="LF5" s="89"/>
      <c r="LG5" s="89"/>
      <c r="LH5" s="89"/>
      <c r="LI5" s="89"/>
      <c r="LJ5" s="89"/>
      <c r="LK5" s="89"/>
      <c r="LL5" s="89"/>
      <c r="LM5" s="89"/>
      <c r="LN5" s="89"/>
      <c r="LO5" s="89"/>
      <c r="LP5" s="89"/>
      <c r="LQ5" s="89"/>
      <c r="LR5" s="89"/>
      <c r="LS5" s="89"/>
      <c r="LT5" s="89"/>
      <c r="LU5" s="89"/>
      <c r="LV5" s="89"/>
      <c r="LW5" s="89"/>
      <c r="LX5" s="89"/>
      <c r="LY5" s="89"/>
      <c r="LZ5" s="89"/>
      <c r="MA5" s="89"/>
      <c r="MB5" s="89"/>
      <c r="MC5" s="89"/>
      <c r="MD5" s="89"/>
      <c r="ME5" s="89"/>
      <c r="MF5" s="89"/>
      <c r="MG5" s="89"/>
      <c r="MH5" s="89"/>
      <c r="MI5" s="89"/>
      <c r="MJ5" s="89"/>
      <c r="MK5" s="89"/>
      <c r="ML5" s="89"/>
      <c r="MM5" s="89"/>
      <c r="MN5" s="89"/>
      <c r="MO5" s="89"/>
      <c r="MP5" s="89"/>
      <c r="MQ5" s="89"/>
      <c r="MR5" s="89"/>
      <c r="MS5" s="89"/>
      <c r="MT5" s="89"/>
      <c r="MU5" s="89"/>
      <c r="MV5" s="89"/>
      <c r="MW5" s="89"/>
      <c r="MX5" s="89"/>
      <c r="MY5" s="89"/>
      <c r="MZ5" s="89"/>
      <c r="NA5" s="89"/>
      <c r="NB5" s="89"/>
      <c r="NC5" s="89"/>
      <c r="ND5" s="89"/>
      <c r="NE5" s="89"/>
      <c r="NF5" s="89"/>
      <c r="NG5" s="89"/>
      <c r="NH5" s="89"/>
      <c r="NI5" s="89"/>
      <c r="NJ5" s="89"/>
      <c r="NK5" s="89"/>
      <c r="NL5" s="89"/>
      <c r="NM5" s="89"/>
      <c r="NN5" s="89"/>
      <c r="NO5" s="89"/>
      <c r="NP5" s="89"/>
      <c r="NQ5" s="89"/>
      <c r="NR5" s="89"/>
      <c r="NS5" s="89"/>
      <c r="NT5" s="89"/>
      <c r="NU5" s="89"/>
      <c r="NV5" s="89"/>
      <c r="NW5" s="89"/>
      <c r="NX5" s="89"/>
      <c r="NY5" s="89"/>
      <c r="NZ5" s="89"/>
    </row>
    <row r="6" spans="1:390" ht="15.75" customHeight="1" x14ac:dyDescent="0.3">
      <c r="A6" s="168">
        <v>4363568348</v>
      </c>
      <c r="B6" s="87" t="s">
        <v>392</v>
      </c>
      <c r="C6" s="84" t="s">
        <v>393</v>
      </c>
      <c r="D6" s="87" t="s">
        <v>392</v>
      </c>
      <c r="E6" s="168" t="s">
        <v>414</v>
      </c>
      <c r="F6" s="168" t="s">
        <v>415</v>
      </c>
      <c r="G6" s="168" t="s">
        <v>416</v>
      </c>
      <c r="H6" s="150">
        <v>42815</v>
      </c>
      <c r="I6" s="210" t="s">
        <v>417</v>
      </c>
      <c r="J6" s="234" t="s">
        <v>398</v>
      </c>
      <c r="K6" s="93" t="s">
        <v>399</v>
      </c>
      <c r="L6" s="93" t="s">
        <v>399</v>
      </c>
      <c r="M6" s="93" t="s">
        <v>399</v>
      </c>
      <c r="N6" s="93" t="s">
        <v>399</v>
      </c>
      <c r="O6" s="93" t="s">
        <v>399</v>
      </c>
      <c r="P6" s="93" t="s">
        <v>399</v>
      </c>
      <c r="Q6" s="93" t="s">
        <v>399</v>
      </c>
      <c r="R6" s="93" t="s">
        <v>399</v>
      </c>
      <c r="S6" s="93" t="s">
        <v>399</v>
      </c>
      <c r="T6" s="93" t="s">
        <v>399</v>
      </c>
      <c r="U6" s="93" t="s">
        <v>399</v>
      </c>
      <c r="V6" s="93" t="s">
        <v>399</v>
      </c>
      <c r="W6" s="93" t="s">
        <v>399</v>
      </c>
      <c r="X6" s="93" t="s">
        <v>399</v>
      </c>
      <c r="Y6" s="93" t="s">
        <v>399</v>
      </c>
      <c r="Z6" s="93" t="s">
        <v>399</v>
      </c>
      <c r="AA6" s="93" t="s">
        <v>399</v>
      </c>
      <c r="AB6" s="152" t="s">
        <v>400</v>
      </c>
      <c r="AC6" s="150">
        <v>13593</v>
      </c>
      <c r="AD6" s="150">
        <v>42815</v>
      </c>
      <c r="AE6" s="86">
        <f t="shared" si="0"/>
        <v>80</v>
      </c>
      <c r="AF6" s="210" t="s">
        <v>401</v>
      </c>
      <c r="AG6" s="84" t="s">
        <v>402</v>
      </c>
      <c r="AH6" s="163" t="s">
        <v>403</v>
      </c>
      <c r="AI6" s="163" t="s">
        <v>418</v>
      </c>
      <c r="AJ6" s="163">
        <v>0</v>
      </c>
      <c r="AK6" s="163" t="s">
        <v>405</v>
      </c>
      <c r="AL6" s="172">
        <v>0</v>
      </c>
      <c r="AM6" s="89" t="s">
        <v>419</v>
      </c>
      <c r="AN6" s="145">
        <v>1</v>
      </c>
      <c r="AO6" s="109" t="s">
        <v>399</v>
      </c>
      <c r="AP6" s="89"/>
      <c r="AQ6" s="145"/>
      <c r="AR6" s="89"/>
      <c r="AS6" s="89"/>
      <c r="AT6" s="89"/>
      <c r="AU6" s="89"/>
      <c r="AV6" s="89"/>
      <c r="AW6" s="89"/>
      <c r="AX6" s="89"/>
      <c r="AY6" s="89"/>
      <c r="AZ6" s="89"/>
      <c r="BA6" s="89"/>
      <c r="BB6" s="89"/>
      <c r="BC6" s="89"/>
      <c r="BD6" s="89"/>
      <c r="BE6" s="89"/>
      <c r="BF6" s="89"/>
      <c r="BG6" s="89"/>
      <c r="BH6" s="89"/>
      <c r="BI6" s="89"/>
      <c r="BJ6" s="89"/>
      <c r="BK6" s="89"/>
      <c r="BL6" s="89"/>
      <c r="BM6" s="89"/>
      <c r="BN6" s="89"/>
      <c r="BO6" s="89"/>
      <c r="BP6" s="89"/>
      <c r="BQ6" s="89"/>
      <c r="BR6" s="89"/>
      <c r="BS6" s="89"/>
      <c r="BT6" s="89"/>
      <c r="BU6" s="89"/>
      <c r="BV6" s="89"/>
      <c r="BW6" s="89"/>
      <c r="BX6" s="89"/>
      <c r="BY6" s="89"/>
      <c r="BZ6" s="89"/>
      <c r="CA6" s="89"/>
      <c r="CB6" s="89"/>
      <c r="CC6" s="89"/>
      <c r="CD6" s="89"/>
      <c r="CE6" s="89"/>
      <c r="CF6" s="89"/>
      <c r="CG6" s="89"/>
      <c r="CH6" s="89"/>
      <c r="CI6" s="89"/>
      <c r="CJ6" s="89"/>
      <c r="CK6" s="89"/>
      <c r="CL6" s="89"/>
      <c r="CM6" s="89"/>
      <c r="CN6" s="89"/>
      <c r="CO6" s="89"/>
      <c r="CP6" s="89"/>
      <c r="CQ6" s="89"/>
      <c r="CR6" s="89"/>
      <c r="CS6" s="89"/>
      <c r="CT6" s="89"/>
      <c r="CU6" s="89"/>
      <c r="CV6" s="89"/>
      <c r="CW6" s="89"/>
      <c r="CX6" s="89"/>
      <c r="CY6" s="89"/>
      <c r="CZ6" s="89"/>
      <c r="DA6" s="89"/>
      <c r="DB6" s="89"/>
      <c r="DC6" s="89"/>
      <c r="DD6" s="89"/>
      <c r="DE6" s="89"/>
      <c r="DF6" s="89"/>
      <c r="DG6" s="89"/>
      <c r="DH6" s="89"/>
      <c r="DI6" s="89"/>
      <c r="DJ6" s="89"/>
      <c r="DK6" s="89"/>
      <c r="DL6" s="89"/>
      <c r="DM6" s="89"/>
      <c r="DN6" s="89"/>
      <c r="DO6" s="89"/>
      <c r="DP6" s="89"/>
      <c r="DQ6" s="89"/>
      <c r="DR6" s="89"/>
      <c r="DS6" s="89"/>
      <c r="DT6" s="89"/>
      <c r="DU6" s="89"/>
      <c r="DV6" s="89"/>
      <c r="DW6" s="89"/>
      <c r="DX6" s="89"/>
      <c r="DY6" s="89"/>
      <c r="DZ6" s="89"/>
      <c r="EA6" s="89"/>
      <c r="EB6" s="89"/>
      <c r="EC6" s="89"/>
      <c r="ED6" s="89"/>
      <c r="EE6" s="89"/>
      <c r="EF6" s="89"/>
      <c r="EG6" s="89"/>
      <c r="EH6" s="89"/>
      <c r="EI6" s="89"/>
      <c r="EJ6" s="89"/>
      <c r="EK6" s="89"/>
      <c r="EL6" s="89"/>
      <c r="EM6" s="89"/>
      <c r="EN6" s="89"/>
      <c r="EO6" s="89"/>
      <c r="EP6" s="89"/>
      <c r="EQ6" s="89"/>
      <c r="ER6" s="89"/>
      <c r="ES6" s="89"/>
      <c r="ET6" s="89"/>
      <c r="EU6" s="89"/>
      <c r="EV6" s="89"/>
      <c r="EW6" s="89"/>
      <c r="EX6" s="89"/>
      <c r="EY6" s="89"/>
      <c r="EZ6" s="89"/>
      <c r="FA6" s="89"/>
      <c r="FB6" s="89"/>
      <c r="FC6" s="89"/>
      <c r="FD6" s="89"/>
      <c r="FE6" s="89"/>
      <c r="FF6" s="89"/>
      <c r="FG6" s="89"/>
      <c r="FH6" s="89"/>
      <c r="FI6" s="89"/>
      <c r="FJ6" s="89"/>
      <c r="FK6" s="89"/>
      <c r="FL6" s="89"/>
      <c r="FM6" s="89"/>
      <c r="FN6" s="89"/>
      <c r="FO6" s="89"/>
      <c r="FP6" s="89"/>
      <c r="FQ6" s="89"/>
      <c r="FR6" s="89"/>
      <c r="FS6" s="89"/>
      <c r="FT6" s="89"/>
      <c r="FU6" s="89"/>
      <c r="FV6" s="89"/>
      <c r="FW6" s="89"/>
      <c r="FX6" s="89"/>
      <c r="FY6" s="89"/>
      <c r="FZ6" s="89"/>
      <c r="GA6" s="89"/>
      <c r="GB6" s="89"/>
      <c r="GC6" s="89"/>
      <c r="GD6" s="89"/>
      <c r="GE6" s="89"/>
      <c r="GF6" s="89"/>
      <c r="GG6" s="89"/>
      <c r="GH6" s="89"/>
      <c r="GI6" s="89"/>
      <c r="GJ6" s="89"/>
      <c r="GK6" s="89"/>
      <c r="GL6" s="89"/>
      <c r="GM6" s="89"/>
      <c r="GN6" s="89"/>
      <c r="GO6" s="89"/>
      <c r="GP6" s="89"/>
      <c r="GQ6" s="89"/>
      <c r="GR6" s="89"/>
      <c r="GS6" s="89"/>
      <c r="GT6" s="89"/>
      <c r="GU6" s="89"/>
      <c r="GV6" s="89"/>
      <c r="GW6" s="89"/>
      <c r="GX6" s="89"/>
      <c r="GY6" s="89"/>
      <c r="GZ6" s="89"/>
      <c r="HA6" s="89"/>
      <c r="HB6" s="89"/>
      <c r="HC6" s="89"/>
      <c r="HD6" s="89"/>
      <c r="HE6" s="89"/>
      <c r="HF6" s="89"/>
      <c r="HG6" s="89"/>
      <c r="HH6" s="89"/>
      <c r="HI6" s="89"/>
      <c r="HJ6" s="89"/>
      <c r="HK6" s="89"/>
      <c r="HL6" s="89"/>
      <c r="HM6" s="89"/>
      <c r="HN6" s="89"/>
      <c r="HO6" s="89"/>
      <c r="HP6" s="89"/>
      <c r="HQ6" s="89"/>
      <c r="HR6" s="89"/>
      <c r="HS6" s="89"/>
      <c r="HT6" s="89"/>
      <c r="HU6" s="89"/>
      <c r="HV6" s="89"/>
      <c r="HW6" s="89"/>
      <c r="HX6" s="89"/>
      <c r="HY6" s="89"/>
      <c r="HZ6" s="89"/>
      <c r="IA6" s="89"/>
      <c r="IB6" s="89"/>
      <c r="IC6" s="89"/>
      <c r="ID6" s="89"/>
      <c r="IE6" s="89"/>
      <c r="IF6" s="89"/>
      <c r="IG6" s="89"/>
      <c r="IH6" s="89"/>
      <c r="II6" s="89"/>
      <c r="IJ6" s="89"/>
      <c r="IK6" s="89"/>
      <c r="IL6" s="89"/>
      <c r="IM6" s="89"/>
      <c r="IN6" s="89"/>
      <c r="IO6" s="89"/>
      <c r="IP6" s="89"/>
      <c r="IQ6" s="89"/>
      <c r="IR6" s="89"/>
      <c r="IS6" s="89"/>
      <c r="IT6" s="89"/>
      <c r="IU6" s="89"/>
      <c r="IV6" s="89"/>
      <c r="IW6" s="89"/>
      <c r="IX6" s="89"/>
      <c r="IY6" s="89"/>
      <c r="IZ6" s="89"/>
      <c r="JA6" s="89"/>
      <c r="JB6" s="89"/>
      <c r="JC6" s="89"/>
      <c r="JD6" s="89"/>
      <c r="JE6" s="89"/>
      <c r="JF6" s="89"/>
      <c r="JG6" s="205"/>
      <c r="JH6" s="89"/>
      <c r="JI6" s="145"/>
      <c r="JJ6" s="89"/>
      <c r="JK6" s="89"/>
      <c r="JL6" s="205"/>
      <c r="JM6" s="89"/>
      <c r="JN6" s="217"/>
      <c r="JO6" s="89"/>
      <c r="JP6" s="145"/>
      <c r="JQ6" s="89"/>
      <c r="JR6" s="89"/>
      <c r="JS6" s="89"/>
      <c r="JT6" s="89"/>
      <c r="JU6" s="89"/>
      <c r="JV6" s="89"/>
      <c r="JW6" s="89"/>
      <c r="JX6" s="89"/>
      <c r="JY6" s="89"/>
      <c r="JZ6" s="89"/>
      <c r="KA6" s="89"/>
      <c r="KB6" s="89"/>
      <c r="KC6" s="89"/>
      <c r="KD6" s="89"/>
      <c r="KE6" s="89"/>
      <c r="KF6" s="89"/>
      <c r="KG6" s="89"/>
      <c r="KH6" s="89"/>
      <c r="KI6" s="89"/>
      <c r="KJ6" s="89"/>
      <c r="KK6" s="89"/>
      <c r="KL6" s="89"/>
      <c r="KM6" s="89"/>
      <c r="KN6" s="89"/>
      <c r="KO6" s="89"/>
      <c r="KP6" s="89"/>
      <c r="KQ6" s="89"/>
      <c r="KR6" s="89"/>
      <c r="KS6" s="89"/>
      <c r="KT6" s="89"/>
      <c r="KU6" s="89"/>
      <c r="KV6" s="89"/>
      <c r="KW6" s="89"/>
      <c r="KX6" s="89"/>
      <c r="KY6" s="89"/>
      <c r="KZ6" s="89"/>
      <c r="LA6" s="89"/>
      <c r="LB6" s="89"/>
      <c r="LC6" s="89"/>
      <c r="LD6" s="89"/>
      <c r="LE6" s="89"/>
      <c r="LF6" s="89"/>
      <c r="LG6" s="89"/>
      <c r="LH6" s="89"/>
      <c r="LI6" s="89"/>
      <c r="LJ6" s="89"/>
      <c r="LK6" s="89"/>
      <c r="LL6" s="89"/>
      <c r="LM6" s="89"/>
      <c r="LN6" s="89"/>
      <c r="LO6" s="89"/>
      <c r="LP6" s="89"/>
      <c r="LQ6" s="89"/>
      <c r="LR6" s="89"/>
      <c r="LS6" s="89"/>
      <c r="LT6" s="89"/>
      <c r="LU6" s="89"/>
      <c r="LV6" s="89"/>
      <c r="LW6" s="89"/>
      <c r="LX6" s="89"/>
      <c r="LY6" s="89"/>
      <c r="LZ6" s="89"/>
      <c r="MA6" s="89"/>
      <c r="MB6" s="89"/>
      <c r="MC6" s="89"/>
      <c r="MD6" s="89"/>
      <c r="ME6" s="89"/>
      <c r="MF6" s="89"/>
      <c r="MG6" s="89"/>
      <c r="MH6" s="89"/>
      <c r="MI6" s="89"/>
      <c r="MJ6" s="89"/>
      <c r="MK6" s="89"/>
      <c r="ML6" s="89"/>
      <c r="MM6" s="89"/>
      <c r="MN6" s="89"/>
      <c r="MO6" s="89"/>
      <c r="MP6" s="89"/>
      <c r="MQ6" s="89"/>
      <c r="MR6" s="89"/>
      <c r="MS6" s="89"/>
      <c r="MT6" s="89"/>
      <c r="MU6" s="89"/>
      <c r="MV6" s="89"/>
      <c r="MW6" s="89"/>
      <c r="MX6" s="89"/>
      <c r="MY6" s="89"/>
      <c r="MZ6" s="89"/>
      <c r="NA6" s="89"/>
      <c r="NB6" s="89"/>
      <c r="NC6" s="89"/>
      <c r="ND6" s="89"/>
      <c r="NE6" s="89"/>
      <c r="NF6" s="89"/>
      <c r="NG6" s="89"/>
      <c r="NH6" s="89"/>
      <c r="NI6" s="89"/>
      <c r="NJ6" s="89"/>
      <c r="NK6" s="89"/>
      <c r="NL6" s="89"/>
      <c r="NM6" s="89"/>
      <c r="NN6" s="89"/>
      <c r="NO6" s="89"/>
      <c r="NP6" s="89"/>
      <c r="NQ6" s="89"/>
      <c r="NR6" s="89"/>
      <c r="NS6" s="89"/>
      <c r="NT6" s="89"/>
      <c r="NU6" s="89"/>
      <c r="NV6" s="89"/>
      <c r="NW6" s="89"/>
      <c r="NX6" s="89"/>
      <c r="NY6" s="89"/>
      <c r="NZ6" s="89"/>
    </row>
    <row r="7" spans="1:390" ht="15.75" customHeight="1" x14ac:dyDescent="0.3">
      <c r="A7" s="168">
        <v>4862097049</v>
      </c>
      <c r="B7" s="87" t="s">
        <v>392</v>
      </c>
      <c r="C7" s="84" t="s">
        <v>393</v>
      </c>
      <c r="D7" s="87" t="s">
        <v>392</v>
      </c>
      <c r="E7" s="168" t="s">
        <v>420</v>
      </c>
      <c r="F7" s="168" t="s">
        <v>415</v>
      </c>
      <c r="G7" s="168" t="s">
        <v>408</v>
      </c>
      <c r="H7" s="150">
        <v>42858</v>
      </c>
      <c r="I7" s="210" t="s">
        <v>421</v>
      </c>
      <c r="J7" s="231" t="s">
        <v>422</v>
      </c>
      <c r="K7" s="93" t="s">
        <v>399</v>
      </c>
      <c r="L7" s="93" t="s">
        <v>399</v>
      </c>
      <c r="M7" s="93" t="s">
        <v>399</v>
      </c>
      <c r="N7" s="93" t="s">
        <v>399</v>
      </c>
      <c r="O7" s="93" t="s">
        <v>399</v>
      </c>
      <c r="P7" s="93" t="s">
        <v>399</v>
      </c>
      <c r="Q7" s="93" t="s">
        <v>399</v>
      </c>
      <c r="R7" s="93" t="s">
        <v>399</v>
      </c>
      <c r="S7" s="93" t="s">
        <v>399</v>
      </c>
      <c r="T7" s="93" t="s">
        <v>399</v>
      </c>
      <c r="U7" s="93" t="s">
        <v>399</v>
      </c>
      <c r="V7" s="93" t="s">
        <v>399</v>
      </c>
      <c r="W7" s="93" t="s">
        <v>399</v>
      </c>
      <c r="X7" s="93" t="s">
        <v>399</v>
      </c>
      <c r="Y7" s="93" t="s">
        <v>399</v>
      </c>
      <c r="Z7" s="93" t="s">
        <v>399</v>
      </c>
      <c r="AA7" s="93" t="s">
        <v>399</v>
      </c>
      <c r="AB7" s="152" t="s">
        <v>400</v>
      </c>
      <c r="AC7" s="150">
        <v>23118</v>
      </c>
      <c r="AD7" s="151">
        <v>42810</v>
      </c>
      <c r="AE7" s="86">
        <f t="shared" si="0"/>
        <v>53</v>
      </c>
      <c r="AF7" s="210" t="s">
        <v>401</v>
      </c>
      <c r="AG7" s="84" t="s">
        <v>402</v>
      </c>
      <c r="AH7" s="163" t="s">
        <v>403</v>
      </c>
      <c r="AI7" s="172">
        <v>2</v>
      </c>
      <c r="AJ7" s="163">
        <v>0</v>
      </c>
      <c r="AK7" s="163" t="s">
        <v>405</v>
      </c>
      <c r="AL7" s="172">
        <v>0</v>
      </c>
      <c r="AM7" s="89" t="s">
        <v>423</v>
      </c>
      <c r="AN7" s="145">
        <v>2</v>
      </c>
      <c r="AO7" s="109" t="s">
        <v>399</v>
      </c>
      <c r="AP7" s="89"/>
      <c r="AQ7" s="145"/>
      <c r="AR7" s="89"/>
      <c r="AS7" s="89"/>
      <c r="AT7" s="89"/>
      <c r="AU7" s="89"/>
      <c r="AV7" s="89"/>
      <c r="AW7" s="89"/>
      <c r="AX7" s="89"/>
      <c r="AY7" s="89"/>
      <c r="AZ7" s="89"/>
      <c r="BA7" s="89"/>
      <c r="BB7" s="89"/>
      <c r="BC7" s="89"/>
      <c r="BD7" s="89"/>
      <c r="BE7" s="89"/>
      <c r="BF7" s="89"/>
      <c r="BG7" s="89"/>
      <c r="BH7" s="89"/>
      <c r="BI7" s="89"/>
      <c r="BJ7" s="89"/>
      <c r="BK7" s="89"/>
      <c r="BL7" s="89"/>
      <c r="BM7" s="89"/>
      <c r="BN7" s="89"/>
      <c r="BO7" s="89"/>
      <c r="BP7" s="89"/>
      <c r="BQ7" s="89"/>
      <c r="BR7" s="89"/>
      <c r="BS7" s="89"/>
      <c r="BT7" s="89"/>
      <c r="BU7" s="89"/>
      <c r="BV7" s="89"/>
      <c r="BW7" s="89"/>
      <c r="BX7" s="89"/>
      <c r="BY7" s="89"/>
      <c r="BZ7" s="89"/>
      <c r="CA7" s="89"/>
      <c r="CB7" s="89"/>
      <c r="CC7" s="89"/>
      <c r="CD7" s="89"/>
      <c r="CE7" s="89"/>
      <c r="CF7" s="89"/>
      <c r="CG7" s="89"/>
      <c r="CH7" s="89"/>
      <c r="CI7" s="89"/>
      <c r="CJ7" s="89"/>
      <c r="CK7" s="89"/>
      <c r="CL7" s="89"/>
      <c r="CM7" s="89"/>
      <c r="CN7" s="89"/>
      <c r="CO7" s="89"/>
      <c r="CP7" s="89"/>
      <c r="CQ7" s="89"/>
      <c r="CR7" s="89"/>
      <c r="CS7" s="89"/>
      <c r="CT7" s="89"/>
      <c r="CU7" s="89"/>
      <c r="CV7" s="89"/>
      <c r="CW7" s="89"/>
      <c r="CX7" s="89"/>
      <c r="CY7" s="89"/>
      <c r="CZ7" s="89"/>
      <c r="DA7" s="89"/>
      <c r="DB7" s="89"/>
      <c r="DC7" s="89"/>
      <c r="DD7" s="89"/>
      <c r="DE7" s="89"/>
      <c r="DF7" s="89"/>
      <c r="DG7" s="89"/>
      <c r="DH7" s="89"/>
      <c r="DI7" s="89"/>
      <c r="DJ7" s="89"/>
      <c r="DK7" s="89"/>
      <c r="DL7" s="89"/>
      <c r="DM7" s="89"/>
      <c r="DN7" s="89"/>
      <c r="DO7" s="89"/>
      <c r="DP7" s="89"/>
      <c r="DQ7" s="89"/>
      <c r="DR7" s="89"/>
      <c r="DS7" s="89"/>
      <c r="DT7" s="89"/>
      <c r="DU7" s="89"/>
      <c r="DV7" s="89"/>
      <c r="DW7" s="89"/>
      <c r="DX7" s="89"/>
      <c r="DY7" s="89"/>
      <c r="DZ7" s="89"/>
      <c r="EA7" s="89"/>
      <c r="EB7" s="89"/>
      <c r="EC7" s="89"/>
      <c r="ED7" s="89"/>
      <c r="EE7" s="89"/>
      <c r="EF7" s="89"/>
      <c r="EG7" s="89"/>
      <c r="EH7" s="89"/>
      <c r="EI7" s="89"/>
      <c r="EJ7" s="89"/>
      <c r="EK7" s="89"/>
      <c r="EL7" s="89"/>
      <c r="EM7" s="89"/>
      <c r="EN7" s="89"/>
      <c r="EO7" s="89"/>
      <c r="EP7" s="89"/>
      <c r="EQ7" s="89"/>
      <c r="ER7" s="89"/>
      <c r="ES7" s="89"/>
      <c r="ET7" s="89"/>
      <c r="EU7" s="89"/>
      <c r="EV7" s="89"/>
      <c r="EW7" s="89"/>
      <c r="EX7" s="89"/>
      <c r="EY7" s="89"/>
      <c r="EZ7" s="89"/>
      <c r="FA7" s="89"/>
      <c r="FB7" s="89"/>
      <c r="FC7" s="89"/>
      <c r="FD7" s="89"/>
      <c r="FE7" s="89"/>
      <c r="FF7" s="89"/>
      <c r="FG7" s="89"/>
      <c r="FH7" s="89"/>
      <c r="FI7" s="89"/>
      <c r="FJ7" s="89"/>
      <c r="FK7" s="89"/>
      <c r="FL7" s="89"/>
      <c r="FM7" s="89"/>
      <c r="FN7" s="89"/>
      <c r="FO7" s="89"/>
      <c r="FP7" s="89"/>
      <c r="FQ7" s="89"/>
      <c r="FR7" s="89"/>
      <c r="FS7" s="89"/>
      <c r="FT7" s="89"/>
      <c r="FU7" s="89"/>
      <c r="FV7" s="89"/>
      <c r="FW7" s="89"/>
      <c r="FX7" s="89"/>
      <c r="FY7" s="89"/>
      <c r="FZ7" s="89"/>
      <c r="GA7" s="89"/>
      <c r="GB7" s="89"/>
      <c r="GC7" s="89"/>
      <c r="GD7" s="89"/>
      <c r="GE7" s="89"/>
      <c r="GF7" s="89"/>
      <c r="GG7" s="89"/>
      <c r="GH7" s="89"/>
      <c r="GI7" s="89"/>
      <c r="GJ7" s="89"/>
      <c r="GK7" s="89"/>
      <c r="GL7" s="89"/>
      <c r="GM7" s="89"/>
      <c r="GN7" s="89"/>
      <c r="GO7" s="89"/>
      <c r="GP7" s="89"/>
      <c r="GQ7" s="89"/>
      <c r="GR7" s="89"/>
      <c r="GS7" s="89"/>
      <c r="GT7" s="89"/>
      <c r="GU7" s="89"/>
      <c r="GV7" s="89"/>
      <c r="GW7" s="89"/>
      <c r="GX7" s="89"/>
      <c r="GY7" s="89"/>
      <c r="GZ7" s="89"/>
      <c r="HA7" s="89"/>
      <c r="HB7" s="89"/>
      <c r="HC7" s="89"/>
      <c r="HD7" s="89"/>
      <c r="HE7" s="89"/>
      <c r="HF7" s="89"/>
      <c r="HG7" s="89"/>
      <c r="HH7" s="89"/>
      <c r="HI7" s="89"/>
      <c r="HJ7" s="89"/>
      <c r="HK7" s="89"/>
      <c r="HL7" s="89"/>
      <c r="HM7" s="89"/>
      <c r="HN7" s="89"/>
      <c r="HO7" s="89"/>
      <c r="HP7" s="89"/>
      <c r="HQ7" s="89"/>
      <c r="HR7" s="89"/>
      <c r="HS7" s="89"/>
      <c r="HT7" s="89"/>
      <c r="HU7" s="89"/>
      <c r="HV7" s="89"/>
      <c r="HW7" s="89"/>
      <c r="HX7" s="89"/>
      <c r="HY7" s="89"/>
      <c r="HZ7" s="89"/>
      <c r="IA7" s="89"/>
      <c r="IB7" s="89"/>
      <c r="IC7" s="89"/>
      <c r="ID7" s="89"/>
      <c r="IE7" s="89"/>
      <c r="IF7" s="89"/>
      <c r="IG7" s="89"/>
      <c r="IH7" s="89"/>
      <c r="II7" s="89"/>
      <c r="IJ7" s="89"/>
      <c r="IK7" s="89"/>
      <c r="IL7" s="89"/>
      <c r="IM7" s="89"/>
      <c r="IN7" s="89"/>
      <c r="IO7" s="89"/>
      <c r="IP7" s="89"/>
      <c r="IQ7" s="89"/>
      <c r="IR7" s="89"/>
      <c r="IS7" s="89"/>
      <c r="IT7" s="89"/>
      <c r="IU7" s="89"/>
      <c r="IV7" s="89"/>
      <c r="IW7" s="89"/>
      <c r="IX7" s="89"/>
      <c r="IY7" s="89"/>
      <c r="IZ7" s="89"/>
      <c r="JA7" s="89"/>
      <c r="JB7" s="89"/>
      <c r="JC7" s="89"/>
      <c r="JD7" s="89"/>
      <c r="JE7" s="89"/>
      <c r="JF7" s="89"/>
      <c r="JG7" s="205"/>
      <c r="JH7" s="89"/>
      <c r="JI7" s="145"/>
      <c r="JJ7" s="89"/>
      <c r="JK7" s="89"/>
      <c r="JL7" s="205"/>
      <c r="JM7" s="89"/>
      <c r="JN7" s="217"/>
      <c r="JO7" s="89"/>
      <c r="JP7" s="145"/>
      <c r="JQ7" s="89"/>
      <c r="JR7" s="89"/>
      <c r="JS7" s="89"/>
      <c r="JT7" s="89"/>
      <c r="JU7" s="89"/>
      <c r="JV7" s="89"/>
      <c r="JW7" s="89"/>
      <c r="JX7" s="89"/>
      <c r="JY7" s="89"/>
      <c r="JZ7" s="89"/>
      <c r="KA7" s="89"/>
      <c r="KB7" s="89"/>
      <c r="KC7" s="89"/>
      <c r="KD7" s="89"/>
      <c r="KE7" s="89"/>
      <c r="KF7" s="89"/>
      <c r="KG7" s="89"/>
      <c r="KH7" s="89"/>
      <c r="KI7" s="89"/>
      <c r="KJ7" s="89"/>
      <c r="KK7" s="89"/>
      <c r="KL7" s="89"/>
      <c r="KM7" s="89"/>
      <c r="KN7" s="89"/>
      <c r="KO7" s="89"/>
      <c r="KP7" s="89"/>
      <c r="KQ7" s="89"/>
      <c r="KR7" s="89"/>
      <c r="KS7" s="89"/>
      <c r="KT7" s="89"/>
      <c r="KU7" s="89"/>
      <c r="KV7" s="89"/>
      <c r="KW7" s="89"/>
      <c r="KX7" s="89"/>
      <c r="KY7" s="89"/>
      <c r="KZ7" s="89"/>
      <c r="LA7" s="89"/>
      <c r="LB7" s="89"/>
      <c r="LC7" s="89"/>
      <c r="LD7" s="89"/>
      <c r="LE7" s="89"/>
      <c r="LF7" s="89"/>
      <c r="LG7" s="89"/>
      <c r="LH7" s="89"/>
      <c r="LI7" s="89"/>
      <c r="LJ7" s="89"/>
      <c r="LK7" s="89"/>
      <c r="LL7" s="89"/>
      <c r="LM7" s="89"/>
      <c r="LN7" s="89"/>
      <c r="LO7" s="89"/>
      <c r="LP7" s="89"/>
      <c r="LQ7" s="89"/>
      <c r="LR7" s="89"/>
      <c r="LS7" s="89"/>
      <c r="LT7" s="89"/>
      <c r="LU7" s="89"/>
      <c r="LV7" s="89"/>
      <c r="LW7" s="89"/>
      <c r="LX7" s="89"/>
      <c r="LY7" s="89"/>
      <c r="LZ7" s="89"/>
      <c r="MA7" s="89"/>
      <c r="MB7" s="89"/>
      <c r="MC7" s="89"/>
      <c r="MD7" s="89"/>
      <c r="ME7" s="89"/>
      <c r="MF7" s="89"/>
      <c r="MG7" s="89"/>
      <c r="MH7" s="89"/>
      <c r="MI7" s="89"/>
      <c r="MJ7" s="89"/>
      <c r="MK7" s="89"/>
      <c r="ML7" s="89"/>
      <c r="MM7" s="89"/>
      <c r="MN7" s="89"/>
      <c r="MO7" s="89"/>
      <c r="MP7" s="89"/>
      <c r="MQ7" s="89"/>
      <c r="MR7" s="89"/>
      <c r="MS7" s="89"/>
      <c r="MT7" s="89"/>
      <c r="MU7" s="89"/>
      <c r="MV7" s="89"/>
      <c r="MW7" s="89"/>
      <c r="MX7" s="89"/>
      <c r="MY7" s="89"/>
      <c r="MZ7" s="89"/>
      <c r="NA7" s="89"/>
      <c r="NB7" s="89"/>
      <c r="NC7" s="89"/>
      <c r="ND7" s="89"/>
      <c r="NE7" s="89"/>
      <c r="NF7" s="89"/>
      <c r="NG7" s="89"/>
      <c r="NH7" s="89"/>
      <c r="NI7" s="89"/>
      <c r="NJ7" s="89"/>
      <c r="NK7" s="89"/>
      <c r="NL7" s="89"/>
      <c r="NM7" s="89"/>
      <c r="NN7" s="89"/>
      <c r="NO7" s="89"/>
      <c r="NP7" s="89"/>
      <c r="NQ7" s="89"/>
      <c r="NR7" s="89"/>
      <c r="NS7" s="89"/>
      <c r="NT7" s="89"/>
      <c r="NU7" s="89"/>
      <c r="NV7" s="89"/>
      <c r="NW7" s="89"/>
      <c r="NX7" s="89"/>
      <c r="NY7" s="89"/>
      <c r="NZ7" s="89"/>
    </row>
    <row r="8" spans="1:390" ht="15.75" customHeight="1" x14ac:dyDescent="0.3">
      <c r="A8" s="168">
        <v>4124075219</v>
      </c>
      <c r="B8" s="87" t="s">
        <v>392</v>
      </c>
      <c r="C8" s="84" t="s">
        <v>393</v>
      </c>
      <c r="D8" s="87" t="s">
        <v>392</v>
      </c>
      <c r="E8" s="168" t="s">
        <v>424</v>
      </c>
      <c r="F8" s="168" t="s">
        <v>425</v>
      </c>
      <c r="G8" s="168" t="s">
        <v>426</v>
      </c>
      <c r="H8" s="150">
        <v>42941</v>
      </c>
      <c r="I8" s="210" t="s">
        <v>427</v>
      </c>
      <c r="J8" s="231" t="s">
        <v>398</v>
      </c>
      <c r="K8" s="93" t="s">
        <v>399</v>
      </c>
      <c r="L8" s="93" t="s">
        <v>399</v>
      </c>
      <c r="M8" s="93" t="s">
        <v>399</v>
      </c>
      <c r="N8" s="93" t="s">
        <v>399</v>
      </c>
      <c r="O8" s="93" t="s">
        <v>399</v>
      </c>
      <c r="P8" s="93" t="s">
        <v>399</v>
      </c>
      <c r="Q8" s="93" t="s">
        <v>399</v>
      </c>
      <c r="R8" s="93" t="s">
        <v>399</v>
      </c>
      <c r="S8" s="93" t="s">
        <v>399</v>
      </c>
      <c r="T8" s="93" t="s">
        <v>399</v>
      </c>
      <c r="U8" s="93" t="s">
        <v>399</v>
      </c>
      <c r="V8" s="93" t="s">
        <v>399</v>
      </c>
      <c r="W8" s="93" t="s">
        <v>399</v>
      </c>
      <c r="X8" s="93" t="s">
        <v>399</v>
      </c>
      <c r="Y8" s="93" t="s">
        <v>399</v>
      </c>
      <c r="Z8" s="93" t="s">
        <v>399</v>
      </c>
      <c r="AA8" s="93" t="s">
        <v>399</v>
      </c>
      <c r="AB8" s="152" t="s">
        <v>400</v>
      </c>
      <c r="AC8" s="150">
        <v>25388</v>
      </c>
      <c r="AD8" s="151">
        <v>42880</v>
      </c>
      <c r="AE8" s="86">
        <f t="shared" si="0"/>
        <v>47</v>
      </c>
      <c r="AF8" s="210" t="s">
        <v>401</v>
      </c>
      <c r="AG8" s="84" t="s">
        <v>402</v>
      </c>
      <c r="AH8" s="163" t="s">
        <v>403</v>
      </c>
      <c r="AI8" s="163" t="s">
        <v>404</v>
      </c>
      <c r="AJ8" s="232" t="s">
        <v>405</v>
      </c>
      <c r="AK8" s="163" t="s">
        <v>405</v>
      </c>
      <c r="AL8" s="172">
        <v>0</v>
      </c>
      <c r="AM8" s="89" t="s">
        <v>406</v>
      </c>
      <c r="AN8" s="145">
        <v>1</v>
      </c>
      <c r="AO8" s="109" t="s">
        <v>399</v>
      </c>
      <c r="AP8" s="89"/>
      <c r="AQ8" s="145"/>
      <c r="AR8" s="89"/>
      <c r="AS8" s="89"/>
      <c r="AT8" s="89"/>
      <c r="AU8" s="89"/>
      <c r="AV8" s="89"/>
      <c r="AW8" s="89"/>
      <c r="AX8" s="89"/>
      <c r="AY8" s="89"/>
      <c r="AZ8" s="89"/>
      <c r="BA8" s="89"/>
      <c r="BB8" s="89"/>
      <c r="BC8" s="89"/>
      <c r="BD8" s="89"/>
      <c r="BE8" s="89"/>
      <c r="BF8" s="89"/>
      <c r="BG8" s="89"/>
      <c r="BH8" s="89"/>
      <c r="BI8" s="89"/>
      <c r="BJ8" s="89"/>
      <c r="BK8" s="89"/>
      <c r="BL8" s="89"/>
      <c r="BM8" s="89"/>
      <c r="BN8" s="89"/>
      <c r="BO8" s="89"/>
      <c r="BP8" s="89"/>
      <c r="BQ8" s="89"/>
      <c r="BR8" s="89"/>
      <c r="BS8" s="89"/>
      <c r="BT8" s="89"/>
      <c r="BU8" s="89"/>
      <c r="BV8" s="89"/>
      <c r="BW8" s="89"/>
      <c r="BX8" s="89"/>
      <c r="BY8" s="89"/>
      <c r="BZ8" s="89"/>
      <c r="CA8" s="89"/>
      <c r="CB8" s="89"/>
      <c r="CC8" s="89"/>
      <c r="CD8" s="89"/>
      <c r="CE8" s="89"/>
      <c r="CF8" s="89"/>
      <c r="CG8" s="89"/>
      <c r="CH8" s="89"/>
      <c r="CI8" s="89"/>
      <c r="CJ8" s="89"/>
      <c r="CK8" s="89"/>
      <c r="CL8" s="89"/>
      <c r="CM8" s="89"/>
      <c r="CN8" s="89"/>
      <c r="CO8" s="89"/>
      <c r="CP8" s="89"/>
      <c r="CQ8" s="89"/>
      <c r="CR8" s="89"/>
      <c r="CS8" s="89"/>
      <c r="CT8" s="89"/>
      <c r="CU8" s="89"/>
      <c r="CV8" s="89"/>
      <c r="CW8" s="89"/>
      <c r="CX8" s="89"/>
      <c r="CY8" s="89"/>
      <c r="CZ8" s="89"/>
      <c r="DA8" s="89"/>
      <c r="DB8" s="89"/>
      <c r="DC8" s="89"/>
      <c r="DD8" s="89"/>
      <c r="DE8" s="89"/>
      <c r="DF8" s="89"/>
      <c r="DG8" s="89"/>
      <c r="DH8" s="89"/>
      <c r="DI8" s="89"/>
      <c r="DJ8" s="89"/>
      <c r="DK8" s="89"/>
      <c r="DL8" s="89"/>
      <c r="DM8" s="89"/>
      <c r="DN8" s="89"/>
      <c r="DO8" s="89"/>
      <c r="DP8" s="89"/>
      <c r="DQ8" s="89"/>
      <c r="DR8" s="89"/>
      <c r="DS8" s="89"/>
      <c r="DT8" s="89"/>
      <c r="DU8" s="89"/>
      <c r="DV8" s="89"/>
      <c r="DW8" s="89"/>
      <c r="DX8" s="89"/>
      <c r="DY8" s="89"/>
      <c r="DZ8" s="89"/>
      <c r="EA8" s="89"/>
      <c r="EB8" s="89"/>
      <c r="EC8" s="89"/>
      <c r="ED8" s="89"/>
      <c r="EE8" s="89"/>
      <c r="EF8" s="89"/>
      <c r="EG8" s="89"/>
      <c r="EH8" s="89"/>
      <c r="EI8" s="89"/>
      <c r="EJ8" s="89"/>
      <c r="EK8" s="89"/>
      <c r="EL8" s="89"/>
      <c r="EM8" s="89"/>
      <c r="EN8" s="89"/>
      <c r="EO8" s="89"/>
      <c r="EP8" s="89"/>
      <c r="EQ8" s="89"/>
      <c r="ER8" s="89"/>
      <c r="ES8" s="89"/>
      <c r="ET8" s="89"/>
      <c r="EU8" s="89"/>
      <c r="EV8" s="89"/>
      <c r="EW8" s="89"/>
      <c r="EX8" s="89"/>
      <c r="EY8" s="89"/>
      <c r="EZ8" s="89"/>
      <c r="FA8" s="89"/>
      <c r="FB8" s="89"/>
      <c r="FC8" s="89"/>
      <c r="FD8" s="89"/>
      <c r="FE8" s="89"/>
      <c r="FF8" s="89"/>
      <c r="FG8" s="89"/>
      <c r="FH8" s="89"/>
      <c r="FI8" s="89"/>
      <c r="FJ8" s="89"/>
      <c r="FK8" s="89"/>
      <c r="FL8" s="89"/>
      <c r="FM8" s="89"/>
      <c r="FN8" s="89"/>
      <c r="FO8" s="89"/>
      <c r="FP8" s="89"/>
      <c r="FQ8" s="89"/>
      <c r="FR8" s="89"/>
      <c r="FS8" s="89"/>
      <c r="FT8" s="89"/>
      <c r="FU8" s="89"/>
      <c r="FV8" s="89"/>
      <c r="FW8" s="89"/>
      <c r="FX8" s="89"/>
      <c r="FY8" s="89"/>
      <c r="FZ8" s="89"/>
      <c r="GA8" s="89"/>
      <c r="GB8" s="89"/>
      <c r="GC8" s="89"/>
      <c r="GD8" s="89"/>
      <c r="GE8" s="89"/>
      <c r="GF8" s="89"/>
      <c r="GG8" s="89"/>
      <c r="GH8" s="89"/>
      <c r="GI8" s="89"/>
      <c r="GJ8" s="89"/>
      <c r="GK8" s="89"/>
      <c r="GL8" s="89"/>
      <c r="GM8" s="89"/>
      <c r="GN8" s="89"/>
      <c r="GO8" s="89"/>
      <c r="GP8" s="89"/>
      <c r="GQ8" s="89"/>
      <c r="GR8" s="89"/>
      <c r="GS8" s="89"/>
      <c r="GT8" s="89"/>
      <c r="GU8" s="89"/>
      <c r="GV8" s="89"/>
      <c r="GW8" s="89"/>
      <c r="GX8" s="89"/>
      <c r="GY8" s="89"/>
      <c r="GZ8" s="89"/>
      <c r="HA8" s="89"/>
      <c r="HB8" s="89"/>
      <c r="HC8" s="89"/>
      <c r="HD8" s="89"/>
      <c r="HE8" s="89"/>
      <c r="HF8" s="89"/>
      <c r="HG8" s="89"/>
      <c r="HH8" s="89"/>
      <c r="HI8" s="89"/>
      <c r="HJ8" s="89"/>
      <c r="HK8" s="89"/>
      <c r="HL8" s="89"/>
      <c r="HM8" s="89"/>
      <c r="HN8" s="89"/>
      <c r="HO8" s="89"/>
      <c r="HP8" s="89"/>
      <c r="HQ8" s="89"/>
      <c r="HR8" s="89"/>
      <c r="HS8" s="89"/>
      <c r="HT8" s="89"/>
      <c r="HU8" s="89"/>
      <c r="HV8" s="89"/>
      <c r="HW8" s="89"/>
      <c r="HX8" s="89"/>
      <c r="HY8" s="89"/>
      <c r="HZ8" s="89"/>
      <c r="IA8" s="89"/>
      <c r="IB8" s="89"/>
      <c r="IC8" s="89"/>
      <c r="ID8" s="89"/>
      <c r="IE8" s="89"/>
      <c r="IF8" s="89"/>
      <c r="IG8" s="89"/>
      <c r="IH8" s="89"/>
      <c r="II8" s="89"/>
      <c r="IJ8" s="89"/>
      <c r="IK8" s="89"/>
      <c r="IL8" s="89"/>
      <c r="IM8" s="89"/>
      <c r="IN8" s="89"/>
      <c r="IO8" s="89"/>
      <c r="IP8" s="89"/>
      <c r="IQ8" s="89"/>
      <c r="IR8" s="89"/>
      <c r="IS8" s="89"/>
      <c r="IT8" s="89"/>
      <c r="IU8" s="89"/>
      <c r="IV8" s="89"/>
      <c r="IW8" s="89"/>
      <c r="IX8" s="89"/>
      <c r="IY8" s="89"/>
      <c r="IZ8" s="89"/>
      <c r="JA8" s="89"/>
      <c r="JB8" s="89"/>
      <c r="JC8" s="89"/>
      <c r="JD8" s="89"/>
      <c r="JE8" s="89"/>
      <c r="JF8" s="89"/>
      <c r="JG8" s="205"/>
      <c r="JH8" s="89"/>
      <c r="JI8" s="145"/>
      <c r="JJ8" s="89"/>
      <c r="JK8" s="89"/>
      <c r="JL8" s="205"/>
      <c r="JM8" s="89"/>
      <c r="JN8" s="217"/>
      <c r="JO8" s="89"/>
      <c r="JP8" s="145"/>
      <c r="JQ8" s="89"/>
      <c r="JR8" s="89"/>
      <c r="JS8" s="89"/>
      <c r="JT8" s="89"/>
      <c r="JU8" s="89"/>
      <c r="JV8" s="89"/>
      <c r="JW8" s="89"/>
      <c r="JX8" s="89"/>
      <c r="JY8" s="89"/>
      <c r="JZ8" s="89"/>
      <c r="KA8" s="89"/>
      <c r="KB8" s="89"/>
      <c r="KC8" s="89"/>
      <c r="KD8" s="89"/>
      <c r="KE8" s="89"/>
      <c r="KF8" s="89"/>
      <c r="KG8" s="89"/>
      <c r="KH8" s="89"/>
      <c r="KI8" s="89"/>
      <c r="KJ8" s="89"/>
      <c r="KK8" s="89"/>
      <c r="KL8" s="89"/>
      <c r="KM8" s="89"/>
      <c r="KN8" s="89"/>
      <c r="KO8" s="89"/>
      <c r="KP8" s="89"/>
      <c r="KQ8" s="89"/>
      <c r="KR8" s="89"/>
      <c r="KS8" s="89"/>
      <c r="KT8" s="89"/>
      <c r="KU8" s="89"/>
      <c r="KV8" s="89"/>
      <c r="KW8" s="89"/>
      <c r="KX8" s="89"/>
      <c r="KY8" s="89"/>
      <c r="KZ8" s="89"/>
      <c r="LA8" s="89"/>
      <c r="LB8" s="89"/>
      <c r="LC8" s="89"/>
      <c r="LD8" s="89"/>
      <c r="LE8" s="89"/>
      <c r="LF8" s="89"/>
      <c r="LG8" s="89"/>
      <c r="LH8" s="89"/>
      <c r="LI8" s="89"/>
      <c r="LJ8" s="89"/>
      <c r="LK8" s="89"/>
      <c r="LL8" s="89"/>
      <c r="LM8" s="89"/>
      <c r="LN8" s="89"/>
      <c r="LO8" s="89"/>
      <c r="LP8" s="89"/>
      <c r="LQ8" s="89"/>
      <c r="LR8" s="89"/>
      <c r="LS8" s="89"/>
      <c r="LT8" s="89"/>
      <c r="LU8" s="89"/>
      <c r="LV8" s="89"/>
      <c r="LW8" s="89"/>
      <c r="LX8" s="89"/>
      <c r="LY8" s="89"/>
      <c r="LZ8" s="89"/>
      <c r="MA8" s="89"/>
      <c r="MB8" s="89"/>
      <c r="MC8" s="89"/>
      <c r="MD8" s="89"/>
      <c r="ME8" s="89"/>
      <c r="MF8" s="89"/>
      <c r="MG8" s="89"/>
      <c r="MH8" s="89"/>
      <c r="MI8" s="89"/>
      <c r="MJ8" s="89"/>
      <c r="MK8" s="89"/>
      <c r="ML8" s="89"/>
      <c r="MM8" s="89"/>
      <c r="MN8" s="89"/>
      <c r="MO8" s="89"/>
      <c r="MP8" s="89"/>
      <c r="MQ8" s="89"/>
      <c r="MR8" s="89"/>
      <c r="MS8" s="89"/>
      <c r="MT8" s="89"/>
      <c r="MU8" s="89"/>
      <c r="MV8" s="89"/>
      <c r="MW8" s="89"/>
      <c r="MX8" s="89"/>
      <c r="MY8" s="89"/>
      <c r="MZ8" s="89"/>
      <c r="NA8" s="89"/>
      <c r="NB8" s="89"/>
      <c r="NC8" s="89"/>
      <c r="ND8" s="89"/>
      <c r="NE8" s="89"/>
      <c r="NF8" s="89"/>
      <c r="NG8" s="89"/>
      <c r="NH8" s="89"/>
      <c r="NI8" s="89"/>
      <c r="NJ8" s="89"/>
      <c r="NK8" s="89"/>
      <c r="NL8" s="89"/>
      <c r="NM8" s="89"/>
      <c r="NN8" s="89"/>
      <c r="NO8" s="89"/>
      <c r="NP8" s="89"/>
      <c r="NQ8" s="89"/>
      <c r="NR8" s="89"/>
      <c r="NS8" s="89"/>
      <c r="NT8" s="89"/>
      <c r="NU8" s="89"/>
      <c r="NV8" s="89"/>
      <c r="NW8" s="89"/>
      <c r="NX8" s="89"/>
      <c r="NY8" s="89"/>
      <c r="NZ8" s="89"/>
    </row>
    <row r="9" spans="1:390" ht="15.75" customHeight="1" x14ac:dyDescent="0.3">
      <c r="A9" s="148">
        <v>4120037274</v>
      </c>
      <c r="B9" s="87" t="s">
        <v>392</v>
      </c>
      <c r="C9" s="84" t="s">
        <v>393</v>
      </c>
      <c r="D9" s="87" t="s">
        <v>392</v>
      </c>
      <c r="E9" s="148" t="s">
        <v>428</v>
      </c>
      <c r="F9" s="149" t="s">
        <v>429</v>
      </c>
      <c r="G9" s="89" t="s">
        <v>415</v>
      </c>
      <c r="H9" s="218">
        <v>43220</v>
      </c>
      <c r="I9" s="91" t="s">
        <v>430</v>
      </c>
      <c r="J9" s="237" t="s">
        <v>398</v>
      </c>
      <c r="K9" s="93" t="s">
        <v>399</v>
      </c>
      <c r="L9" s="93" t="s">
        <v>399</v>
      </c>
      <c r="M9" s="93" t="s">
        <v>399</v>
      </c>
      <c r="N9" s="93" t="s">
        <v>399</v>
      </c>
      <c r="O9" s="93" t="s">
        <v>399</v>
      </c>
      <c r="P9" s="93" t="s">
        <v>399</v>
      </c>
      <c r="Q9" s="93" t="s">
        <v>399</v>
      </c>
      <c r="R9" s="93" t="s">
        <v>399</v>
      </c>
      <c r="S9" s="93" t="s">
        <v>399</v>
      </c>
      <c r="T9" s="93" t="s">
        <v>399</v>
      </c>
      <c r="U9" s="93" t="s">
        <v>399</v>
      </c>
      <c r="V9" s="93" t="s">
        <v>399</v>
      </c>
      <c r="W9" s="93" t="s">
        <v>399</v>
      </c>
      <c r="X9" s="93" t="s">
        <v>399</v>
      </c>
      <c r="Y9" s="93" t="s">
        <v>399</v>
      </c>
      <c r="Z9" s="93" t="s">
        <v>399</v>
      </c>
      <c r="AA9" s="93" t="s">
        <v>399</v>
      </c>
      <c r="AB9" s="152" t="s">
        <v>400</v>
      </c>
      <c r="AC9" s="218">
        <v>25795</v>
      </c>
      <c r="AD9" s="219">
        <v>43133</v>
      </c>
      <c r="AE9" s="86">
        <f t="shared" ref="AE9:AE49" si="1">DATEDIF(AC9, AD9,"Y")</f>
        <v>47</v>
      </c>
      <c r="AF9" s="158" t="s">
        <v>401</v>
      </c>
      <c r="AG9" s="84" t="s">
        <v>402</v>
      </c>
      <c r="AH9" s="163" t="s">
        <v>403</v>
      </c>
      <c r="AI9" s="163" t="s">
        <v>418</v>
      </c>
      <c r="AJ9" s="232" t="s">
        <v>405</v>
      </c>
      <c r="AK9" s="163" t="s">
        <v>405</v>
      </c>
      <c r="AL9" s="172">
        <v>0</v>
      </c>
      <c r="AM9" s="89" t="s">
        <v>419</v>
      </c>
      <c r="AN9" s="145">
        <v>1</v>
      </c>
      <c r="AO9" s="109" t="s">
        <v>399</v>
      </c>
      <c r="AP9" s="88"/>
      <c r="AQ9" s="152"/>
      <c r="AR9" s="88"/>
      <c r="AS9" s="88"/>
      <c r="AT9" s="153"/>
      <c r="AU9" s="153"/>
      <c r="AV9" s="88"/>
      <c r="AW9" s="88"/>
      <c r="AX9" s="153"/>
      <c r="AY9" s="88"/>
      <c r="AZ9" s="153"/>
      <c r="BA9" s="153"/>
      <c r="BB9" s="88"/>
      <c r="BC9" s="153"/>
      <c r="BD9" s="153"/>
      <c r="BE9" s="88"/>
      <c r="BF9" s="153"/>
      <c r="BG9" s="88"/>
      <c r="BH9" s="88"/>
      <c r="BI9" s="153"/>
      <c r="BJ9" s="153"/>
      <c r="BK9" s="88"/>
      <c r="BL9" s="88"/>
      <c r="BM9" s="153"/>
      <c r="BN9" s="153"/>
      <c r="BO9" s="88"/>
      <c r="BP9" s="88"/>
      <c r="BQ9" s="88"/>
      <c r="BR9" s="153"/>
      <c r="BS9" s="88"/>
      <c r="BT9" s="88"/>
      <c r="BU9" s="88"/>
      <c r="BV9" s="88"/>
      <c r="BW9" s="88"/>
      <c r="BX9" s="88"/>
      <c r="BY9" s="88"/>
      <c r="BZ9" s="88"/>
      <c r="CA9" s="88"/>
      <c r="CB9" s="88"/>
      <c r="CC9" s="88"/>
      <c r="CD9" s="88"/>
      <c r="CE9" s="88"/>
      <c r="CF9" s="88"/>
      <c r="CG9" s="88"/>
      <c r="CH9" s="88"/>
      <c r="CI9" s="88"/>
      <c r="CJ9" s="88"/>
      <c r="CK9" s="88"/>
      <c r="CL9" s="88"/>
      <c r="CM9" s="88"/>
      <c r="CN9" s="88"/>
      <c r="CO9" s="88"/>
      <c r="CP9" s="88"/>
      <c r="CQ9" s="88"/>
      <c r="CR9" s="153"/>
      <c r="CS9" s="153"/>
      <c r="CT9" s="88"/>
      <c r="CU9" s="88"/>
      <c r="CV9" s="153"/>
      <c r="CW9" s="88"/>
      <c r="CX9" s="153"/>
      <c r="CY9" s="153"/>
      <c r="CZ9" s="88"/>
      <c r="DA9" s="153"/>
      <c r="DB9" s="153"/>
      <c r="DC9" s="88"/>
      <c r="DD9" s="153"/>
      <c r="DE9" s="88"/>
      <c r="DF9" s="88"/>
      <c r="DG9" s="153"/>
      <c r="DH9" s="153"/>
      <c r="DI9" s="88"/>
      <c r="DJ9" s="88"/>
      <c r="DK9" s="153"/>
      <c r="DL9" s="153"/>
      <c r="DM9" s="88"/>
      <c r="DN9" s="88"/>
      <c r="DO9" s="88"/>
      <c r="DP9" s="153"/>
      <c r="DQ9" s="88"/>
      <c r="DR9" s="88"/>
      <c r="DS9" s="88"/>
      <c r="DT9" s="88"/>
      <c r="DU9" s="88"/>
      <c r="DV9" s="88"/>
      <c r="DW9" s="88"/>
      <c r="DX9" s="88"/>
      <c r="DY9" s="88"/>
      <c r="DZ9" s="88"/>
      <c r="EA9" s="88"/>
      <c r="EB9" s="88"/>
      <c r="EC9" s="88"/>
      <c r="ED9" s="88"/>
      <c r="EE9" s="88"/>
      <c r="EF9" s="88"/>
      <c r="EG9" s="88"/>
      <c r="EH9" s="88"/>
      <c r="EI9" s="88"/>
      <c r="EJ9" s="88"/>
      <c r="EK9" s="88"/>
      <c r="EL9" s="88"/>
      <c r="EM9" s="88"/>
      <c r="EN9" s="88"/>
      <c r="EO9" s="88"/>
      <c r="EP9" s="88"/>
      <c r="EQ9" s="88"/>
      <c r="ER9" s="88"/>
      <c r="ES9" s="88"/>
      <c r="ET9" s="88"/>
      <c r="EU9" s="88"/>
      <c r="EV9" s="88"/>
      <c r="EW9" s="88"/>
      <c r="EX9" s="88"/>
      <c r="EY9" s="88"/>
      <c r="EZ9" s="88"/>
      <c r="FA9" s="88"/>
      <c r="FB9" s="88"/>
      <c r="FC9" s="88"/>
      <c r="FD9" s="91"/>
      <c r="FE9" s="88"/>
      <c r="FF9" s="88"/>
      <c r="FG9" s="88"/>
      <c r="FH9" s="88"/>
      <c r="FI9" s="88"/>
      <c r="FJ9" s="88"/>
      <c r="FK9" s="88"/>
      <c r="FL9" s="153"/>
      <c r="FM9" s="84"/>
      <c r="FN9" s="84"/>
      <c r="FO9" s="84"/>
      <c r="FP9" s="84"/>
      <c r="FQ9" s="84"/>
      <c r="FR9" s="84"/>
      <c r="FS9" s="84"/>
      <c r="FT9" s="84"/>
      <c r="FU9" s="84"/>
      <c r="FV9" s="84"/>
      <c r="FW9" s="84"/>
      <c r="FX9" s="84"/>
      <c r="FY9" s="84"/>
      <c r="FZ9" s="84"/>
      <c r="GA9" s="84"/>
      <c r="GB9" s="84"/>
      <c r="GC9" s="84"/>
      <c r="GD9" s="84"/>
      <c r="GE9" s="84"/>
      <c r="GF9" s="84"/>
      <c r="GG9" s="84"/>
      <c r="GH9" s="84"/>
      <c r="GI9" s="84"/>
      <c r="GJ9" s="84"/>
      <c r="GK9" s="84"/>
      <c r="GL9" s="84"/>
      <c r="GM9" s="84"/>
      <c r="GN9" s="84"/>
      <c r="GO9" s="84"/>
      <c r="GP9" s="88"/>
      <c r="GQ9" s="88"/>
      <c r="GR9" s="153"/>
      <c r="GS9" s="153"/>
      <c r="GT9" s="88"/>
      <c r="GU9" s="88"/>
      <c r="GV9" s="88"/>
      <c r="GW9" s="153"/>
      <c r="GX9" s="88"/>
      <c r="GY9" s="88"/>
      <c r="GZ9" s="88"/>
      <c r="HA9" s="88"/>
      <c r="HB9" s="153"/>
      <c r="HC9" s="88"/>
      <c r="HD9" s="88"/>
      <c r="HE9" s="88"/>
      <c r="HF9" s="88"/>
      <c r="HG9" s="153"/>
      <c r="HH9" s="88"/>
      <c r="HI9" s="88"/>
      <c r="HJ9" s="88"/>
      <c r="HK9" s="88"/>
      <c r="HL9" s="153"/>
      <c r="HM9" s="88"/>
      <c r="HN9" s="88"/>
      <c r="HO9" s="88"/>
      <c r="HP9" s="88"/>
      <c r="HQ9" s="153"/>
      <c r="HR9" s="88"/>
      <c r="HS9" s="88"/>
      <c r="HT9" s="88"/>
      <c r="HU9" s="88"/>
      <c r="HV9" s="153"/>
      <c r="HW9" s="88"/>
      <c r="HX9" s="88"/>
      <c r="HY9" s="88"/>
      <c r="HZ9" s="88"/>
      <c r="IA9" s="153"/>
      <c r="IB9" s="88"/>
      <c r="IC9" s="88"/>
      <c r="ID9" s="88"/>
      <c r="IE9" s="88"/>
      <c r="IF9" s="153"/>
      <c r="IG9" s="88"/>
      <c r="IH9" s="88"/>
      <c r="II9" s="88"/>
      <c r="IJ9" s="88"/>
      <c r="IK9" s="153"/>
      <c r="IL9" s="88"/>
      <c r="IM9" s="88"/>
      <c r="IN9" s="88"/>
      <c r="IO9" s="88"/>
      <c r="IP9" s="88"/>
      <c r="IQ9" s="88"/>
      <c r="IR9" s="88"/>
      <c r="IS9" s="88"/>
      <c r="IT9" s="88"/>
      <c r="IU9" s="88"/>
      <c r="IV9" s="88"/>
      <c r="IW9" s="88"/>
      <c r="IX9" s="88"/>
      <c r="IY9" s="88"/>
      <c r="IZ9" s="88"/>
      <c r="JA9" s="88"/>
      <c r="JB9" s="88"/>
      <c r="JC9" s="88"/>
      <c r="JD9" s="88"/>
      <c r="JE9" s="88"/>
      <c r="JF9" s="88"/>
      <c r="JG9" s="154"/>
      <c r="JH9" s="88"/>
      <c r="JI9" s="152"/>
      <c r="JJ9" s="88"/>
      <c r="JK9" s="88"/>
      <c r="JL9" s="154"/>
      <c r="JM9" s="89"/>
      <c r="JN9" s="155"/>
      <c r="JO9" s="84"/>
      <c r="JP9" s="145"/>
      <c r="JQ9" s="150"/>
      <c r="JR9" s="150"/>
      <c r="JS9" s="89"/>
      <c r="JT9" s="156"/>
      <c r="JU9" s="86">
        <f>IFERROR((YEARFRAC($AD9,$AT9)*12),"N/A")</f>
        <v>1417.0666666666666</v>
      </c>
      <c r="JV9" s="86">
        <f>IFERROR((YEARFRAC($AD9,$AU9)*12),"N/A")</f>
        <v>1417.0666666666666</v>
      </c>
      <c r="JW9" s="86">
        <f>IFERROR((YEARFRAC($AD9,$AY9)*12),"N/A")</f>
        <v>1417.0666666666666</v>
      </c>
      <c r="JX9" s="86">
        <f>IFERROR((YEARFRAC($AD9,$AZ9)*12),"N/A")</f>
        <v>1417.0666666666666</v>
      </c>
      <c r="JY9" s="86">
        <f>IFERROR((YEARFRAC($AD9,$BD9)*12),"N/A")</f>
        <v>1417.0666666666666</v>
      </c>
      <c r="JZ9" s="86">
        <f>IFERROR((YEARFRAC($AD9,$BE9)*12),"N/A")</f>
        <v>1417.0666666666666</v>
      </c>
      <c r="KA9" s="86">
        <f>IFERROR((YEARFRAC($AD9,$BI9)*12),"N/A")</f>
        <v>1417.0666666666666</v>
      </c>
      <c r="KB9" s="86">
        <f>IFERROR((YEARFRAC($AD9,$BJ9)*12),"N/A")</f>
        <v>1417.0666666666666</v>
      </c>
      <c r="KC9" s="86">
        <f>IFERROR((YEARFRAC($AD9,$BN9)*12),"N/A")</f>
        <v>1417.0666666666666</v>
      </c>
      <c r="KD9" s="86">
        <f>IFERROR((YEARFRAC($AD9,$BO9)*12),"N/A")</f>
        <v>1417.0666666666666</v>
      </c>
      <c r="KE9" s="86">
        <f>IFERROR((YEARFRAC($AD9,$BS9)*12),"N/A")</f>
        <v>1417.0666666666666</v>
      </c>
      <c r="KF9" s="86">
        <f>IFERROR((YEARFRAC($AD9,$BT9)*12),"N/A")</f>
        <v>1417.0666666666666</v>
      </c>
      <c r="KG9" s="86">
        <f>IFERROR((YEARFRAC($AD9,$BX9)*12),"N/A")</f>
        <v>1417.0666666666666</v>
      </c>
      <c r="KH9" s="86">
        <f>IFERROR((YEARFRAC($AD9,$BY9)*12),"N/A")</f>
        <v>1417.0666666666666</v>
      </c>
      <c r="KI9" s="86">
        <f>IFERROR((YEARFRAC($AD9,$CC9)*12),"N/A")</f>
        <v>1417.0666666666666</v>
      </c>
      <c r="KJ9" s="86">
        <f>IFERROR((YEARFRAC($AD9,$CD9)*12),"N/A")</f>
        <v>1417.0666666666666</v>
      </c>
      <c r="KK9" s="86">
        <f>IFERROR((YEARFRAC($AD9,$CH9)*12),"N/A")</f>
        <v>1417.0666666666666</v>
      </c>
      <c r="KL9" s="86">
        <f>IFERROR((YEARFRAC($AD9,$CI9)*12),"N/A")</f>
        <v>1417.0666666666666</v>
      </c>
      <c r="KM9" s="86">
        <f>IFERROR((YEARFRAC($AD9,$CM9)*12),"N/A")</f>
        <v>1417.0666666666666</v>
      </c>
      <c r="KN9" s="86">
        <f>IFERROR((YEARFRAC($AD9,$CN9)*12),"N/A")</f>
        <v>1417.0666666666666</v>
      </c>
      <c r="KO9" s="86">
        <f>IFERROR((YEARFRAC($AD9,$H9)*12),"N/A")</f>
        <v>2.9333333333333331</v>
      </c>
      <c r="KP9" s="86" t="str">
        <f>IFERROR((YEARFRAC($AD9,$K9)*12),"N/A")</f>
        <v>N/A</v>
      </c>
      <c r="KQ9" s="86" t="str">
        <f>IFERROR((YEARFRAC($AD9,$P9)*12),"N/A")</f>
        <v>N/A</v>
      </c>
      <c r="KR9" s="86" t="str">
        <f>IFERROR((YEARFRAC($AD9,$U9)*12),"N/A")</f>
        <v>N/A</v>
      </c>
      <c r="KS9" s="86" t="str">
        <f>IFERROR((YEARFRAC($AD9,$Z9)*12),"N/A")</f>
        <v>N/A</v>
      </c>
      <c r="KT9" s="86">
        <f>IFERROR((YEARFRAC($AD9,$CR9)*12),"N/A")</f>
        <v>1417.0666666666666</v>
      </c>
      <c r="KU9" s="86">
        <f>IFERROR((YEARFRAC($AD9,$CS9)*12),"N/A")</f>
        <v>1417.0666666666666</v>
      </c>
      <c r="KV9" s="86">
        <f>IFERROR((YEARFRAC($AD9,$CW9)*12),"N/A")</f>
        <v>1417.0666666666666</v>
      </c>
      <c r="KW9" s="86">
        <f>IFERROR((YEARFRAC($AD9,$CX9)*12),"N/A")</f>
        <v>1417.0666666666666</v>
      </c>
      <c r="KX9" s="86">
        <f>IFERROR((YEARFRAC($AD9,$DB9)*12),"N/A")</f>
        <v>1417.0666666666666</v>
      </c>
      <c r="KY9" s="86">
        <f>IFERROR((YEARFRAC($AD9,$DC9)*12),"N/A")</f>
        <v>1417.0666666666666</v>
      </c>
      <c r="KZ9" s="86">
        <f>IFERROR((YEARFRAC($AD9,$DG9)*12),"N/A")</f>
        <v>1417.0666666666666</v>
      </c>
      <c r="LA9" s="86">
        <f>IFERROR((YEARFRAC($AD9,$DH9)*12),"N/A")</f>
        <v>1417.0666666666666</v>
      </c>
      <c r="LB9" s="86">
        <f>IFERROR((YEARFRAC($AD9,$DL9)*12),"N/A")</f>
        <v>1417.0666666666666</v>
      </c>
      <c r="LC9" s="86">
        <f>IFERROR((YEARFRAC($AD9,$DM9)*12),"N/A")</f>
        <v>1417.0666666666666</v>
      </c>
      <c r="LD9" s="86">
        <f>IFERROR((YEARFRAC($AD9,$DQ9)*12),"N/A")</f>
        <v>1417.0666666666666</v>
      </c>
      <c r="LE9" s="86">
        <f>IFERROR((YEARFRAC($AD9,$DR9)*12),"N/A")</f>
        <v>1417.0666666666666</v>
      </c>
      <c r="LF9" s="86">
        <f>IFERROR((YEARFRAC($AD9,$DV9)*12),"N/A")</f>
        <v>1417.0666666666666</v>
      </c>
      <c r="LG9" s="86">
        <f>IFERROR((YEARFRAC($AD9,$DW9)*12),"N/A")</f>
        <v>1417.0666666666666</v>
      </c>
      <c r="LH9" s="86">
        <f>IFERROR((YEARFRAC($AD9,$EA9)*12),"N/A")</f>
        <v>1417.0666666666666</v>
      </c>
      <c r="LI9" s="86">
        <f>IFERROR((YEARFRAC($AD9,$EB9)*12),"N/A")</f>
        <v>1417.0666666666666</v>
      </c>
      <c r="LJ9" s="86">
        <f>IFERROR((YEARFRAC($AD9,$EF9)*12),"N/A")</f>
        <v>1417.0666666666666</v>
      </c>
      <c r="LK9" s="86">
        <f>IFERROR((YEARFRAC($AD9,$EG9)*12),"N/A")</f>
        <v>1417.0666666666666</v>
      </c>
      <c r="LL9" s="86">
        <f>IFERROR((YEARFRAC($AD9,$EK9)*12),"N/A")</f>
        <v>1417.0666666666666</v>
      </c>
      <c r="LM9" s="86">
        <f>IFERROR((YEARFRAC($AD9,$EL9)*12),"N/A")</f>
        <v>1417.0666666666666</v>
      </c>
      <c r="LN9" s="86">
        <f>IFERROR((YEARFRAC($AD9,$EP9)*12),"N/A")</f>
        <v>1417.0666666666666</v>
      </c>
      <c r="LO9" s="86">
        <f>IFERROR((YEARFRAC($AD9,$EQ9)*12),"N/A")</f>
        <v>1417.0666666666666</v>
      </c>
      <c r="LP9" s="86">
        <f>IFERROR((YEARFRAC($AD9,$EU9)*12),"N/A")</f>
        <v>1417.0666666666666</v>
      </c>
      <c r="LQ9" s="86">
        <f>IFERROR((YEARFRAC($AD9,$EV9)*12),"N/A")</f>
        <v>1417.0666666666666</v>
      </c>
      <c r="LR9" s="86">
        <f>IFERROR((YEARFRAC($AD9,$EZ9)*12),"N/A")</f>
        <v>1417.0666666666666</v>
      </c>
      <c r="LS9" s="86">
        <f>IFERROR((YEARFRAC($AD9,$FA9)*12),"N/A")</f>
        <v>1417.0666666666666</v>
      </c>
      <c r="LT9" s="86">
        <f>IFERROR((YEARFRAC($AD9,$EE9)*12),"N/A")</f>
        <v>1417.0666666666666</v>
      </c>
      <c r="LU9" s="86">
        <f>IFERROR((YEARFRAC($AD9,$EF9)*12),"N/A")</f>
        <v>1417.0666666666666</v>
      </c>
      <c r="LV9" s="86">
        <f>IFERROR((YEARFRAC($AD9,$FJ9)*12),"N/A")</f>
        <v>1417.0666666666666</v>
      </c>
      <c r="LW9" s="86">
        <f>IFERROR((YEARFRAC($AD9,$FK9)*12),"N/A")</f>
        <v>1417.0666666666666</v>
      </c>
      <c r="LX9" s="86">
        <f>IFERROR((YEARFRAC($AD9,$FL9)*12),"N/A")</f>
        <v>1417.0666666666666</v>
      </c>
      <c r="LY9" s="86">
        <f>IFERROR((YEARFRAC($AD9,$FN9)*12),"N/A")</f>
        <v>1417.0666666666666</v>
      </c>
      <c r="LZ9" s="86">
        <f>IFERROR((YEARFRAC($AD9,$FP9)*12),"N/A")</f>
        <v>1417.0666666666666</v>
      </c>
      <c r="MA9" s="86">
        <f>IFERROR((YEARFRAC($AD9,$FR9)*12),"N/A")</f>
        <v>1417.0666666666666</v>
      </c>
      <c r="MB9" s="86">
        <f>IFERROR((YEARFRAC($AD9,$FT9)*12),"N/A")</f>
        <v>1417.0666666666666</v>
      </c>
      <c r="MC9" s="86">
        <f>IFERROR((YEARFRAC($AD9,$FV9)*12),"N/A")</f>
        <v>1417.0666666666666</v>
      </c>
      <c r="MD9" s="86">
        <f>IFERROR((YEARFRAC($AD9,$FX9)*12),"N/A")</f>
        <v>1417.0666666666666</v>
      </c>
      <c r="ME9" s="86">
        <f>IFERROR((YEARFRAC($AD9,$FZ9)*12),"N/A")</f>
        <v>1417.0666666666666</v>
      </c>
      <c r="MF9" s="86">
        <f>IFERROR((YEARFRAC($AD9,$GB9)*12),"N/A")</f>
        <v>1417.0666666666666</v>
      </c>
      <c r="MG9" s="86">
        <f>IFERROR((YEARFRAC($AD9,$GD9)*12),"N/A")</f>
        <v>1417.0666666666666</v>
      </c>
      <c r="MH9" s="86">
        <f>IFERROR((YEARFRAC($AD9,$GF9)*12),"N/A")</f>
        <v>1417.0666666666666</v>
      </c>
      <c r="MI9" s="86">
        <f>IFERROR((YEARFRAC($AD9,$GH9)*12),"N/A")</f>
        <v>1417.0666666666666</v>
      </c>
      <c r="MJ9" s="86">
        <f>IFERROR((YEARFRAC($AD9,$GJ9)*12),"N/A")</f>
        <v>1417.0666666666666</v>
      </c>
      <c r="MK9" s="86">
        <f>IFERROR((YEARFRAC($AD9,$GL9)*12),"N/A")</f>
        <v>1417.0666666666666</v>
      </c>
      <c r="ML9" s="86">
        <f>IFERROR((YEARFRAC($AD9,$GN9)*12),"N/A")</f>
        <v>1417.0666666666666</v>
      </c>
      <c r="MM9" s="86">
        <f>IFERROR((YEARFRAC($AD9,$GR9)*12),"N/A")</f>
        <v>1417.0666666666666</v>
      </c>
      <c r="MN9" s="86">
        <f>IFERROR((YEARFRAC($AD9,$GS9)*12),"N/A")</f>
        <v>1417.0666666666666</v>
      </c>
      <c r="MO9" s="86">
        <f>IFERROR((YEARFRAC($AD9,$GW9)*12),"N/A")</f>
        <v>1417.0666666666666</v>
      </c>
      <c r="MP9" s="86">
        <f>IFERROR((YEARFRAC($AD9,$GX9)*12),"N/A")</f>
        <v>1417.0666666666666</v>
      </c>
      <c r="MQ9" s="86">
        <f>IFERROR((YEARFRAC($AD9,$HB9)*12),"N/A")</f>
        <v>1417.0666666666666</v>
      </c>
      <c r="MR9" s="86">
        <f>IFERROR((YEARFRAC($AD9,$HC9)*12),"N/A")</f>
        <v>1417.0666666666666</v>
      </c>
      <c r="MS9" s="86">
        <f>IFERROR((YEARFRAC($AD9,$HG9)*12),"N/A")</f>
        <v>1417.0666666666666</v>
      </c>
      <c r="MT9" s="86">
        <f>IFERROR((YEARFRAC($AD9,$HH9)*12),"N/A")</f>
        <v>1417.0666666666666</v>
      </c>
      <c r="MU9" s="86">
        <f>IFERROR((YEARFRAC($AD9,$HL9)*12),"N/A")</f>
        <v>1417.0666666666666</v>
      </c>
      <c r="MV9" s="86">
        <f>IFERROR((YEARFRAC($AD9,$HM9)*12),"N/A")</f>
        <v>1417.0666666666666</v>
      </c>
      <c r="MW9" s="86">
        <f>IFERROR((YEARFRAC($AD9,$HQ9)*12),"N/A")</f>
        <v>1417.0666666666666</v>
      </c>
      <c r="MX9" s="86">
        <f>IFERROR((YEARFRAC($AD9,$HR9)*12),"N/A")</f>
        <v>1417.0666666666666</v>
      </c>
      <c r="MY9" s="86">
        <f>IFERROR((YEARFRAC($AD9,$HV9)*12),"N/A")</f>
        <v>1417.0666666666666</v>
      </c>
      <c r="MZ9" s="86">
        <f>IFERROR((YEARFRAC($AD9,$HW9)*12),"N/A")</f>
        <v>1417.0666666666666</v>
      </c>
      <c r="NA9" s="86">
        <f>IFERROR((YEARFRAC($AD9,$IA9)*12),"N/A")</f>
        <v>1417.0666666666666</v>
      </c>
      <c r="NB9" s="86">
        <f>IFERROR((YEARFRAC($AD9,$IB9)*12),"N/A")</f>
        <v>1417.0666666666666</v>
      </c>
      <c r="NC9" s="86">
        <f>IFERROR((YEARFRAC($AD9,$IF9)*12),"N/A")</f>
        <v>1417.0666666666666</v>
      </c>
      <c r="ND9" s="86">
        <f>IFERROR((YEARFRAC($AD9,$IG9)*12),"N/A")</f>
        <v>1417.0666666666666</v>
      </c>
      <c r="NE9" s="86">
        <f>IFERROR((YEARFRAC($AD9,$IK9)*12),"N/A")</f>
        <v>1417.0666666666666</v>
      </c>
      <c r="NF9" s="86">
        <f>IFERROR((YEARFRAC($AD9,$IL9)*12),"N/A")</f>
        <v>1417.0666666666666</v>
      </c>
      <c r="NG9" s="86">
        <f>IFERROR((YEARFRAC($AD9,$IP9)*12),"N/A")</f>
        <v>1417.0666666666666</v>
      </c>
      <c r="NH9" s="86">
        <f>IFERROR((YEARFRAC($AD9,$IQ9)*12),"N/A")</f>
        <v>1417.0666666666666</v>
      </c>
      <c r="NI9" s="86">
        <f>IFERROR((YEARFRAC($AD9,$IU9)*12),"N/A")</f>
        <v>1417.0666666666666</v>
      </c>
      <c r="NJ9" s="86">
        <f>IFERROR((YEARFRAC($AD9,$IV9)*12),"N/A")</f>
        <v>1417.0666666666666</v>
      </c>
      <c r="NK9" s="86">
        <f>IFERROR((YEARFRAC($AD9,$IZ9)*12),"N/A")</f>
        <v>1417.0666666666666</v>
      </c>
      <c r="NL9" s="86">
        <f>IFERROR((YEARFRAC($AD9,$JA9)*12),"N/A")</f>
        <v>1417.0666666666666</v>
      </c>
      <c r="NM9" s="86">
        <f>IFERROR((YEARFRAC($AD9,$JE9)*12),"N/A")</f>
        <v>1417.0666666666666</v>
      </c>
      <c r="NN9" s="86">
        <f>IFERROR((YEARFRAC($AD9,$JF9)*12),"N/A")</f>
        <v>1417.0666666666666</v>
      </c>
      <c r="NO9" s="86">
        <f>IFERROR((YEARFRAC($AD9,$JJ9)*12),"N/A")</f>
        <v>1417.0666666666666</v>
      </c>
      <c r="NP9" s="86">
        <f>IFERROR((YEARFRAC($AD9,$JK9)*12),"N/A")</f>
        <v>1417.0666666666666</v>
      </c>
      <c r="NQ9" s="157">
        <f>$LX9</f>
        <v>1417.0666666666666</v>
      </c>
      <c r="NR9" s="157">
        <f>IFERROR((YEARFRAC($AD9,$JN9)*12),"N/A")</f>
        <v>1417.0666666666666</v>
      </c>
      <c r="NS9" s="157">
        <f>IFERROR((YEARFRAC($AD9,$JQ9)*12),"N/A")</f>
        <v>1417.0666666666666</v>
      </c>
      <c r="NT9" s="157">
        <f>IFERROR((YEARFRAC($AD9,$JR9)*12),"N/A")</f>
        <v>1417.0666666666666</v>
      </c>
      <c r="NU9" s="157">
        <f>SUM($NR9,$NT9)</f>
        <v>2834.1333333333332</v>
      </c>
      <c r="NV9" s="157" cm="1">
        <f t="array" ref="NV9">INDEX($NQ9:$NS9,MATCH(TRUE,INDEX(ISNUMBER($NQ9:$NS9),0),0))</f>
        <v>1417.0666666666666</v>
      </c>
      <c r="NW9" s="156">
        <f>IF($NQ9="N/A",0,1)</f>
        <v>1</v>
      </c>
      <c r="NX9" s="156">
        <f>IF($JO9="Yes",1,0)</f>
        <v>0</v>
      </c>
      <c r="NY9" s="156">
        <f>IF($NR9="N/A",0,1)</f>
        <v>1</v>
      </c>
      <c r="NZ9" s="156" t="str">
        <f>IF(OR($NW9=1,$NX9=1),"1","0")</f>
        <v>1</v>
      </c>
    </row>
    <row r="10" spans="1:390" ht="15.75" customHeight="1" x14ac:dyDescent="0.3">
      <c r="A10" s="90">
        <v>4582887899</v>
      </c>
      <c r="B10" s="87" t="s">
        <v>392</v>
      </c>
      <c r="C10" s="84" t="s">
        <v>393</v>
      </c>
      <c r="D10" s="87" t="s">
        <v>392</v>
      </c>
      <c r="E10" s="91" t="s">
        <v>431</v>
      </c>
      <c r="F10" s="92" t="s">
        <v>432</v>
      </c>
      <c r="G10" s="93" t="s">
        <v>433</v>
      </c>
      <c r="H10" s="166">
        <v>43560</v>
      </c>
      <c r="I10" s="92" t="s">
        <v>434</v>
      </c>
      <c r="J10" s="234" t="s">
        <v>398</v>
      </c>
      <c r="K10" s="93" t="s">
        <v>399</v>
      </c>
      <c r="L10" s="93" t="s">
        <v>399</v>
      </c>
      <c r="M10" s="93" t="s">
        <v>399</v>
      </c>
      <c r="N10" s="93" t="s">
        <v>399</v>
      </c>
      <c r="O10" s="93" t="s">
        <v>399</v>
      </c>
      <c r="P10" s="93" t="s">
        <v>399</v>
      </c>
      <c r="Q10" s="93" t="s">
        <v>399</v>
      </c>
      <c r="R10" s="93" t="s">
        <v>399</v>
      </c>
      <c r="S10" s="93" t="s">
        <v>399</v>
      </c>
      <c r="T10" s="93" t="s">
        <v>399</v>
      </c>
      <c r="U10" s="93" t="s">
        <v>399</v>
      </c>
      <c r="V10" s="93" t="s">
        <v>399</v>
      </c>
      <c r="W10" s="93" t="s">
        <v>399</v>
      </c>
      <c r="X10" s="93" t="s">
        <v>399</v>
      </c>
      <c r="Y10" s="93" t="s">
        <v>399</v>
      </c>
      <c r="Z10" s="93" t="s">
        <v>399</v>
      </c>
      <c r="AA10" s="93" t="s">
        <v>399</v>
      </c>
      <c r="AB10" s="152" t="s">
        <v>400</v>
      </c>
      <c r="AC10" s="220">
        <v>21867</v>
      </c>
      <c r="AD10" s="167">
        <v>43515</v>
      </c>
      <c r="AE10" s="86">
        <f t="shared" si="1"/>
        <v>59</v>
      </c>
      <c r="AF10" s="108" t="s">
        <v>435</v>
      </c>
      <c r="AG10" s="84" t="s">
        <v>402</v>
      </c>
      <c r="AH10" s="163" t="s">
        <v>403</v>
      </c>
      <c r="AI10" s="232" t="s">
        <v>405</v>
      </c>
      <c r="AJ10" s="232">
        <v>1</v>
      </c>
      <c r="AK10" s="163" t="s">
        <v>405</v>
      </c>
      <c r="AL10" s="172">
        <v>0</v>
      </c>
      <c r="AM10" s="247" t="s">
        <v>399</v>
      </c>
      <c r="AN10" s="170">
        <v>2</v>
      </c>
      <c r="AO10" s="109" t="s">
        <v>399</v>
      </c>
      <c r="AP10" s="88"/>
      <c r="AQ10" s="95"/>
      <c r="AR10" s="88"/>
      <c r="AS10" s="93"/>
      <c r="AT10" s="93"/>
      <c r="AU10" s="93"/>
      <c r="AV10" s="93"/>
      <c r="AW10" s="88"/>
      <c r="AX10" s="93"/>
      <c r="AY10" s="93"/>
      <c r="AZ10" s="93"/>
      <c r="BA10" s="93"/>
      <c r="BB10" s="88"/>
      <c r="BC10" s="93"/>
      <c r="BD10" s="93"/>
      <c r="BE10" s="93"/>
      <c r="BF10" s="93"/>
      <c r="BG10" s="88"/>
      <c r="BH10" s="93"/>
      <c r="BI10" s="93"/>
      <c r="BJ10" s="93"/>
      <c r="BK10" s="93"/>
      <c r="BL10" s="88"/>
      <c r="BM10" s="93"/>
      <c r="BN10" s="93"/>
      <c r="BO10" s="93"/>
      <c r="BP10" s="93"/>
      <c r="BQ10" s="88"/>
      <c r="BR10" s="93"/>
      <c r="BS10" s="93"/>
      <c r="BT10" s="93"/>
      <c r="BU10" s="93"/>
      <c r="BV10" s="88"/>
      <c r="BW10" s="93"/>
      <c r="BX10" s="93"/>
      <c r="BY10" s="93"/>
      <c r="BZ10" s="93"/>
      <c r="CA10" s="88"/>
      <c r="CB10" s="93"/>
      <c r="CC10" s="93"/>
      <c r="CD10" s="93"/>
      <c r="CE10" s="93"/>
      <c r="CF10" s="88"/>
      <c r="CG10" s="93"/>
      <c r="CH10" s="93"/>
      <c r="CI10" s="93"/>
      <c r="CJ10" s="93"/>
      <c r="CK10" s="88"/>
      <c r="CL10" s="93"/>
      <c r="CM10" s="93"/>
      <c r="CN10" s="93"/>
      <c r="CO10" s="93"/>
      <c r="CP10" s="88"/>
      <c r="CQ10" s="93"/>
      <c r="CR10" s="93"/>
      <c r="CS10" s="93"/>
      <c r="CT10" s="93"/>
      <c r="CU10" s="88"/>
      <c r="CV10" s="93"/>
      <c r="CW10" s="93"/>
      <c r="CX10" s="93"/>
      <c r="CY10" s="93"/>
      <c r="CZ10" s="88"/>
      <c r="DA10" s="93"/>
      <c r="DB10" s="93"/>
      <c r="DC10" s="93"/>
      <c r="DD10" s="93"/>
      <c r="DE10" s="88"/>
      <c r="DF10" s="93"/>
      <c r="DG10" s="93"/>
      <c r="DH10" s="93"/>
      <c r="DI10" s="93"/>
      <c r="DJ10" s="88"/>
      <c r="DK10" s="93"/>
      <c r="DL10" s="93"/>
      <c r="DM10" s="93"/>
      <c r="DN10" s="93"/>
      <c r="DO10" s="88"/>
      <c r="DP10" s="93"/>
      <c r="DQ10" s="93"/>
      <c r="DR10" s="93"/>
      <c r="DS10" s="93"/>
      <c r="DT10" s="88"/>
      <c r="DU10" s="93"/>
      <c r="DV10" s="93"/>
      <c r="DW10" s="93"/>
      <c r="DX10" s="93"/>
      <c r="DY10" s="88"/>
      <c r="DZ10" s="93"/>
      <c r="EA10" s="93"/>
      <c r="EB10" s="93"/>
      <c r="EC10" s="93"/>
      <c r="ED10" s="88"/>
      <c r="EE10" s="93"/>
      <c r="EF10" s="93"/>
      <c r="EG10" s="93"/>
      <c r="EH10" s="93"/>
      <c r="EI10" s="88"/>
      <c r="EJ10" s="93"/>
      <c r="EK10" s="93"/>
      <c r="EL10" s="93"/>
      <c r="EM10" s="93"/>
      <c r="EN10" s="88"/>
      <c r="EO10" s="93"/>
      <c r="EP10" s="93"/>
      <c r="EQ10" s="93"/>
      <c r="ER10" s="93"/>
      <c r="ES10" s="88"/>
      <c r="ET10" s="93"/>
      <c r="EU10" s="93"/>
      <c r="EV10" s="93"/>
      <c r="EW10" s="93"/>
      <c r="EX10" s="88"/>
      <c r="EY10" s="93"/>
      <c r="EZ10" s="93"/>
      <c r="FA10" s="93"/>
      <c r="FB10" s="93"/>
      <c r="FC10" s="88"/>
      <c r="FD10" s="93"/>
      <c r="FE10" s="93"/>
      <c r="FF10" s="93"/>
      <c r="FG10" s="93"/>
      <c r="FH10" s="88"/>
      <c r="FI10" s="93"/>
      <c r="FJ10" s="93"/>
      <c r="FK10" s="93"/>
      <c r="FL10" s="93"/>
      <c r="FM10" s="93"/>
      <c r="FN10" s="93"/>
      <c r="FO10" s="93"/>
      <c r="FP10" s="93"/>
      <c r="FQ10" s="93"/>
      <c r="FR10" s="93"/>
      <c r="FS10" s="93"/>
      <c r="FT10" s="93"/>
      <c r="FU10" s="93"/>
      <c r="FV10" s="93"/>
      <c r="FW10" s="93"/>
      <c r="FX10" s="93"/>
      <c r="FY10" s="93"/>
      <c r="FZ10" s="93"/>
      <c r="GA10" s="93"/>
      <c r="GB10" s="93"/>
      <c r="GC10" s="93"/>
      <c r="GD10" s="93"/>
      <c r="GE10" s="93"/>
      <c r="GF10" s="93"/>
      <c r="GG10" s="93"/>
      <c r="GH10" s="93"/>
      <c r="GI10" s="93"/>
      <c r="GJ10" s="93"/>
      <c r="GK10" s="93"/>
      <c r="GL10" s="93"/>
      <c r="GM10" s="93"/>
      <c r="GN10" s="93"/>
      <c r="GO10" s="93"/>
      <c r="GP10" s="88"/>
      <c r="GQ10" s="93"/>
      <c r="GR10" s="93"/>
      <c r="GS10" s="93"/>
      <c r="GT10" s="93"/>
      <c r="GU10" s="88"/>
      <c r="GV10" s="93"/>
      <c r="GW10" s="93"/>
      <c r="GX10" s="93"/>
      <c r="GY10" s="93"/>
      <c r="GZ10" s="88"/>
      <c r="HA10" s="93"/>
      <c r="HB10" s="93"/>
      <c r="HC10" s="93"/>
      <c r="HD10" s="93"/>
      <c r="HE10" s="88"/>
      <c r="HF10" s="93"/>
      <c r="HG10" s="93"/>
      <c r="HH10" s="93"/>
      <c r="HI10" s="93"/>
      <c r="HJ10" s="88"/>
      <c r="HK10" s="93"/>
      <c r="HL10" s="93"/>
      <c r="HM10" s="93"/>
      <c r="HN10" s="93"/>
      <c r="HO10" s="88"/>
      <c r="HP10" s="93"/>
      <c r="HQ10" s="93"/>
      <c r="HR10" s="93"/>
      <c r="HS10" s="93"/>
      <c r="HT10" s="88"/>
      <c r="HU10" s="93"/>
      <c r="HV10" s="93"/>
      <c r="HW10" s="93"/>
      <c r="HX10" s="93"/>
      <c r="HY10" s="88"/>
      <c r="HZ10" s="93"/>
      <c r="IA10" s="93"/>
      <c r="IB10" s="93"/>
      <c r="IC10" s="93"/>
      <c r="ID10" s="88"/>
      <c r="IE10" s="93"/>
      <c r="IF10" s="93"/>
      <c r="IG10" s="93"/>
      <c r="IH10" s="93"/>
      <c r="II10" s="88"/>
      <c r="IJ10" s="93"/>
      <c r="IK10" s="93"/>
      <c r="IL10" s="93"/>
      <c r="IM10" s="93"/>
      <c r="IN10" s="88"/>
      <c r="IO10" s="93"/>
      <c r="IP10" s="93"/>
      <c r="IQ10" s="93"/>
      <c r="IR10" s="93"/>
      <c r="IS10" s="88"/>
      <c r="IT10" s="93"/>
      <c r="IU10" s="93"/>
      <c r="IV10" s="93"/>
      <c r="IW10" s="93"/>
      <c r="IX10" s="88"/>
      <c r="IY10" s="93"/>
      <c r="IZ10" s="93"/>
      <c r="JA10" s="93"/>
      <c r="JB10" s="93"/>
      <c r="JC10" s="88"/>
      <c r="JD10" s="93"/>
      <c r="JE10" s="93"/>
      <c r="JF10" s="93"/>
      <c r="JG10" s="94"/>
      <c r="JH10" s="88"/>
      <c r="JI10" s="95"/>
      <c r="JJ10" s="93"/>
      <c r="JK10" s="93"/>
      <c r="JL10" s="94"/>
      <c r="JM10" s="89"/>
      <c r="JN10" s="96"/>
      <c r="JO10" s="84"/>
      <c r="JP10" s="95"/>
      <c r="JQ10" s="93"/>
      <c r="JR10" s="93"/>
      <c r="JS10" s="93"/>
      <c r="JT10" s="93"/>
      <c r="JU10" s="93"/>
      <c r="JV10" s="93"/>
      <c r="JW10" s="93"/>
      <c r="JX10" s="93"/>
      <c r="JY10" s="93"/>
      <c r="JZ10" s="93"/>
      <c r="KA10" s="93"/>
      <c r="KB10" s="93"/>
      <c r="KC10" s="93"/>
      <c r="KD10" s="93"/>
      <c r="KE10" s="93"/>
      <c r="KF10" s="93"/>
      <c r="KG10" s="93"/>
      <c r="KH10" s="93"/>
      <c r="KI10" s="93"/>
      <c r="KJ10" s="93"/>
      <c r="KK10" s="93"/>
      <c r="KL10" s="93"/>
      <c r="KM10" s="93"/>
      <c r="KN10" s="93"/>
      <c r="KO10" s="93"/>
      <c r="KP10" s="93"/>
      <c r="KQ10" s="93"/>
      <c r="KR10" s="93"/>
      <c r="KS10" s="93"/>
      <c r="KT10" s="93"/>
      <c r="KU10" s="93"/>
      <c r="KV10" s="93"/>
      <c r="KW10" s="93"/>
      <c r="KX10" s="93"/>
      <c r="KY10" s="93"/>
      <c r="KZ10" s="93"/>
      <c r="LA10" s="93"/>
      <c r="LB10" s="93"/>
      <c r="LC10" s="93"/>
      <c r="LD10" s="93"/>
      <c r="LE10" s="93"/>
      <c r="LF10" s="93"/>
      <c r="LG10" s="93"/>
      <c r="LH10" s="93"/>
      <c r="LI10" s="93"/>
      <c r="LJ10" s="93"/>
      <c r="LK10" s="93"/>
      <c r="LL10" s="93"/>
      <c r="LM10" s="93"/>
      <c r="LN10" s="93"/>
      <c r="LO10" s="93"/>
      <c r="LP10" s="93"/>
      <c r="LQ10" s="93"/>
      <c r="LR10" s="93"/>
      <c r="LS10" s="93"/>
      <c r="LT10" s="93"/>
      <c r="LU10" s="93"/>
      <c r="LV10" s="93"/>
      <c r="LW10" s="93"/>
      <c r="LX10" s="93"/>
      <c r="LY10" s="93"/>
      <c r="LZ10" s="93"/>
      <c r="MA10" s="93"/>
      <c r="MB10" s="93"/>
      <c r="MC10" s="93"/>
      <c r="MD10" s="92"/>
      <c r="ME10" s="92"/>
      <c r="MF10" s="92"/>
      <c r="MG10" s="92"/>
      <c r="MH10" s="92"/>
      <c r="MI10" s="92"/>
      <c r="MJ10" s="92"/>
      <c r="MK10" s="92"/>
      <c r="ML10" s="92"/>
      <c r="MM10" s="92"/>
      <c r="MN10" s="92"/>
      <c r="MO10" s="92"/>
      <c r="MP10" s="92"/>
      <c r="MQ10" s="92"/>
      <c r="MR10" s="92"/>
      <c r="MS10" s="92"/>
      <c r="MT10" s="92"/>
      <c r="MU10" s="92"/>
      <c r="MV10" s="92"/>
      <c r="MW10" s="92"/>
      <c r="MX10" s="92"/>
      <c r="MY10" s="92"/>
      <c r="MZ10" s="92"/>
      <c r="NA10" s="92"/>
      <c r="NB10" s="92"/>
      <c r="NC10" s="92"/>
      <c r="ND10" s="92"/>
      <c r="NE10" s="92"/>
      <c r="NF10" s="92"/>
      <c r="NG10" s="92"/>
      <c r="NH10" s="92"/>
      <c r="NI10" s="92"/>
      <c r="NJ10" s="92"/>
      <c r="NK10" s="92"/>
      <c r="NL10" s="92"/>
      <c r="NM10" s="92"/>
      <c r="NN10" s="92"/>
      <c r="NO10" s="92"/>
      <c r="NP10" s="92"/>
      <c r="NQ10" s="92"/>
      <c r="NR10" s="92"/>
      <c r="NS10" s="92"/>
      <c r="NT10" s="92"/>
      <c r="NU10" s="92"/>
      <c r="NV10" s="92"/>
      <c r="NW10" s="92"/>
      <c r="NX10" s="92"/>
      <c r="NY10" s="93"/>
      <c r="NZ10" s="93"/>
    </row>
    <row r="11" spans="1:390" ht="15.75" customHeight="1" x14ac:dyDescent="0.3">
      <c r="A11" s="98">
        <v>4862084389</v>
      </c>
      <c r="B11" s="87" t="s">
        <v>392</v>
      </c>
      <c r="C11" s="84" t="s">
        <v>393</v>
      </c>
      <c r="D11" s="87" t="s">
        <v>392</v>
      </c>
      <c r="E11" s="93" t="s">
        <v>436</v>
      </c>
      <c r="F11" s="93" t="s">
        <v>437</v>
      </c>
      <c r="G11" s="93" t="s">
        <v>438</v>
      </c>
      <c r="H11" s="220">
        <v>43636</v>
      </c>
      <c r="I11" s="92" t="s">
        <v>439</v>
      </c>
      <c r="J11" s="234" t="s">
        <v>398</v>
      </c>
      <c r="K11" s="93" t="s">
        <v>399</v>
      </c>
      <c r="L11" s="93" t="s">
        <v>399</v>
      </c>
      <c r="M11" s="93" t="s">
        <v>399</v>
      </c>
      <c r="N11" s="93" t="s">
        <v>399</v>
      </c>
      <c r="O11" s="93" t="s">
        <v>399</v>
      </c>
      <c r="P11" s="93" t="s">
        <v>399</v>
      </c>
      <c r="Q11" s="93" t="s">
        <v>399</v>
      </c>
      <c r="R11" s="93" t="s">
        <v>399</v>
      </c>
      <c r="S11" s="93" t="s">
        <v>399</v>
      </c>
      <c r="T11" s="93" t="s">
        <v>399</v>
      </c>
      <c r="U11" s="93" t="s">
        <v>399</v>
      </c>
      <c r="V11" s="93" t="s">
        <v>399</v>
      </c>
      <c r="W11" s="93" t="s">
        <v>399</v>
      </c>
      <c r="X11" s="93" t="s">
        <v>399</v>
      </c>
      <c r="Y11" s="93" t="s">
        <v>399</v>
      </c>
      <c r="Z11" s="93" t="s">
        <v>399</v>
      </c>
      <c r="AA11" s="93" t="s">
        <v>399</v>
      </c>
      <c r="AB11" s="152" t="s">
        <v>400</v>
      </c>
      <c r="AC11" s="220">
        <v>23329</v>
      </c>
      <c r="AD11" s="221">
        <v>43566</v>
      </c>
      <c r="AE11" s="86">
        <f t="shared" si="1"/>
        <v>55</v>
      </c>
      <c r="AF11" s="108" t="s">
        <v>401</v>
      </c>
      <c r="AG11" s="84" t="s">
        <v>402</v>
      </c>
      <c r="AH11" s="163" t="s">
        <v>403</v>
      </c>
      <c r="AI11" s="163" t="s">
        <v>418</v>
      </c>
      <c r="AJ11" s="163">
        <v>0</v>
      </c>
      <c r="AK11" s="163" t="s">
        <v>405</v>
      </c>
      <c r="AL11" s="172">
        <v>0</v>
      </c>
      <c r="AM11" s="89" t="s">
        <v>419</v>
      </c>
      <c r="AN11" s="170">
        <v>1</v>
      </c>
      <c r="AO11" s="109" t="s">
        <v>399</v>
      </c>
      <c r="AP11" s="88"/>
      <c r="AQ11" s="95"/>
      <c r="AR11" s="88"/>
      <c r="AS11" s="93"/>
      <c r="AT11" s="93"/>
      <c r="AU11" s="93"/>
      <c r="AV11" s="93"/>
      <c r="AW11" s="88"/>
      <c r="AX11" s="93"/>
      <c r="AY11" s="93"/>
      <c r="AZ11" s="93"/>
      <c r="BA11" s="93"/>
      <c r="BB11" s="88"/>
      <c r="BC11" s="93"/>
      <c r="BD11" s="93"/>
      <c r="BE11" s="93"/>
      <c r="BF11" s="93"/>
      <c r="BG11" s="88"/>
      <c r="BH11" s="93"/>
      <c r="BI11" s="93"/>
      <c r="BJ11" s="93"/>
      <c r="BK11" s="93"/>
      <c r="BL11" s="88"/>
      <c r="BM11" s="93"/>
      <c r="BN11" s="93"/>
      <c r="BO11" s="93"/>
      <c r="BP11" s="93"/>
      <c r="BQ11" s="88"/>
      <c r="BR11" s="93"/>
      <c r="BS11" s="93"/>
      <c r="BT11" s="93"/>
      <c r="BU11" s="93"/>
      <c r="BV11" s="88"/>
      <c r="BW11" s="93"/>
      <c r="BX11" s="93"/>
      <c r="BY11" s="93"/>
      <c r="BZ11" s="93"/>
      <c r="CA11" s="88"/>
      <c r="CB11" s="93"/>
      <c r="CC11" s="93"/>
      <c r="CD11" s="93"/>
      <c r="CE11" s="93"/>
      <c r="CF11" s="88"/>
      <c r="CG11" s="93"/>
      <c r="CH11" s="93"/>
      <c r="CI11" s="93"/>
      <c r="CJ11" s="93"/>
      <c r="CK11" s="88"/>
      <c r="CL11" s="93"/>
      <c r="CM11" s="93"/>
      <c r="CN11" s="93"/>
      <c r="CO11" s="93"/>
      <c r="CP11" s="88"/>
      <c r="CQ11" s="93"/>
      <c r="CR11" s="93"/>
      <c r="CS11" s="93"/>
      <c r="CT11" s="93"/>
      <c r="CU11" s="88"/>
      <c r="CV11" s="93"/>
      <c r="CW11" s="93"/>
      <c r="CX11" s="93"/>
      <c r="CY11" s="93"/>
      <c r="CZ11" s="88"/>
      <c r="DA11" s="93"/>
      <c r="DB11" s="93"/>
      <c r="DC11" s="93"/>
      <c r="DD11" s="93"/>
      <c r="DE11" s="88"/>
      <c r="DF11" s="93"/>
      <c r="DG11" s="93"/>
      <c r="DH11" s="93"/>
      <c r="DI11" s="93"/>
      <c r="DJ11" s="88"/>
      <c r="DK11" s="93"/>
      <c r="DL11" s="93"/>
      <c r="DM11" s="93"/>
      <c r="DN11" s="93"/>
      <c r="DO11" s="88"/>
      <c r="DP11" s="93"/>
      <c r="DQ11" s="93"/>
      <c r="DR11" s="93"/>
      <c r="DS11" s="93"/>
      <c r="DT11" s="88"/>
      <c r="DU11" s="93"/>
      <c r="DV11" s="93"/>
      <c r="DW11" s="93"/>
      <c r="DX11" s="93"/>
      <c r="DY11" s="88"/>
      <c r="DZ11" s="93"/>
      <c r="EA11" s="93"/>
      <c r="EB11" s="93"/>
      <c r="EC11" s="93"/>
      <c r="ED11" s="88"/>
      <c r="EE11" s="93"/>
      <c r="EF11" s="93"/>
      <c r="EG11" s="93"/>
      <c r="EH11" s="93"/>
      <c r="EI11" s="88"/>
      <c r="EJ11" s="93"/>
      <c r="EK11" s="93"/>
      <c r="EL11" s="93"/>
      <c r="EM11" s="93"/>
      <c r="EN11" s="88"/>
      <c r="EO11" s="93"/>
      <c r="EP11" s="93"/>
      <c r="EQ11" s="93"/>
      <c r="ER11" s="93"/>
      <c r="ES11" s="88"/>
      <c r="ET11" s="93"/>
      <c r="EU11" s="93"/>
      <c r="EV11" s="93"/>
      <c r="EW11" s="93"/>
      <c r="EX11" s="88"/>
      <c r="EY11" s="93"/>
      <c r="EZ11" s="93"/>
      <c r="FA11" s="93"/>
      <c r="FB11" s="93"/>
      <c r="FC11" s="88"/>
      <c r="FD11" s="93"/>
      <c r="FE11" s="93"/>
      <c r="FF11" s="93"/>
      <c r="FG11" s="93"/>
      <c r="FH11" s="88"/>
      <c r="FI11" s="93"/>
      <c r="FJ11" s="93"/>
      <c r="FK11" s="93"/>
      <c r="FL11" s="93"/>
      <c r="FM11" s="93"/>
      <c r="FN11" s="93"/>
      <c r="FO11" s="93"/>
      <c r="FP11" s="93"/>
      <c r="FQ11" s="93"/>
      <c r="FR11" s="93"/>
      <c r="FS11" s="93"/>
      <c r="FT11" s="93"/>
      <c r="FU11" s="93"/>
      <c r="FV11" s="93"/>
      <c r="FW11" s="93"/>
      <c r="FX11" s="93"/>
      <c r="FY11" s="93"/>
      <c r="FZ11" s="93"/>
      <c r="GA11" s="93"/>
      <c r="GB11" s="93"/>
      <c r="GC11" s="93"/>
      <c r="GD11" s="93"/>
      <c r="GE11" s="93"/>
      <c r="GF11" s="93"/>
      <c r="GG11" s="93"/>
      <c r="GH11" s="93"/>
      <c r="GI11" s="93"/>
      <c r="GJ11" s="93"/>
      <c r="GK11" s="93"/>
      <c r="GL11" s="93"/>
      <c r="GM11" s="93"/>
      <c r="GN11" s="93"/>
      <c r="GO11" s="93"/>
      <c r="GP11" s="88"/>
      <c r="GQ11" s="93"/>
      <c r="GR11" s="93"/>
      <c r="GS11" s="93"/>
      <c r="GT11" s="93"/>
      <c r="GU11" s="88"/>
      <c r="GV11" s="93"/>
      <c r="GW11" s="93"/>
      <c r="GX11" s="93"/>
      <c r="GY11" s="93"/>
      <c r="GZ11" s="88"/>
      <c r="HA11" s="93"/>
      <c r="HB11" s="93"/>
      <c r="HC11" s="93"/>
      <c r="HD11" s="93"/>
      <c r="HE11" s="88"/>
      <c r="HF11" s="93"/>
      <c r="HG11" s="93"/>
      <c r="HH11" s="93"/>
      <c r="HI11" s="93"/>
      <c r="HJ11" s="88"/>
      <c r="HK11" s="93"/>
      <c r="HL11" s="93"/>
      <c r="HM11" s="93"/>
      <c r="HN11" s="93"/>
      <c r="HO11" s="88"/>
      <c r="HP11" s="93"/>
      <c r="HQ11" s="93"/>
      <c r="HR11" s="93"/>
      <c r="HS11" s="93"/>
      <c r="HT11" s="88"/>
      <c r="HU11" s="93"/>
      <c r="HV11" s="93"/>
      <c r="HW11" s="93"/>
      <c r="HX11" s="93"/>
      <c r="HY11" s="88"/>
      <c r="HZ11" s="93"/>
      <c r="IA11" s="93"/>
      <c r="IB11" s="93"/>
      <c r="IC11" s="93"/>
      <c r="ID11" s="88"/>
      <c r="IE11" s="93"/>
      <c r="IF11" s="93"/>
      <c r="IG11" s="93"/>
      <c r="IH11" s="93"/>
      <c r="II11" s="88"/>
      <c r="IJ11" s="93"/>
      <c r="IK11" s="93"/>
      <c r="IL11" s="93"/>
      <c r="IM11" s="93"/>
      <c r="IN11" s="88"/>
      <c r="IO11" s="93"/>
      <c r="IP11" s="93"/>
      <c r="IQ11" s="93"/>
      <c r="IR11" s="93"/>
      <c r="IS11" s="88"/>
      <c r="IT11" s="93"/>
      <c r="IU11" s="93"/>
      <c r="IV11" s="93"/>
      <c r="IW11" s="93"/>
      <c r="IX11" s="88"/>
      <c r="IY11" s="93"/>
      <c r="IZ11" s="93"/>
      <c r="JA11" s="93"/>
      <c r="JB11" s="93"/>
      <c r="JC11" s="88"/>
      <c r="JD11" s="93"/>
      <c r="JE11" s="93"/>
      <c r="JF11" s="93"/>
      <c r="JG11" s="94"/>
      <c r="JH11" s="88"/>
      <c r="JI11" s="95"/>
      <c r="JJ11" s="93"/>
      <c r="JK11" s="93"/>
      <c r="JL11" s="94"/>
      <c r="JM11" s="89"/>
      <c r="JN11" s="96"/>
      <c r="JO11" s="84"/>
      <c r="JP11" s="95"/>
      <c r="JQ11" s="93"/>
      <c r="JR11" s="93"/>
      <c r="JS11" s="93"/>
      <c r="JT11" s="93"/>
      <c r="JU11" s="93"/>
      <c r="JV11" s="93"/>
      <c r="JW11" s="93"/>
      <c r="JX11" s="93"/>
      <c r="JY11" s="93"/>
      <c r="JZ11" s="93"/>
      <c r="KA11" s="93"/>
      <c r="KB11" s="93"/>
      <c r="KC11" s="93"/>
      <c r="KD11" s="93"/>
      <c r="KE11" s="93"/>
      <c r="KF11" s="93"/>
      <c r="KG11" s="93"/>
      <c r="KH11" s="93"/>
      <c r="KI11" s="93"/>
      <c r="KJ11" s="93"/>
      <c r="KK11" s="93"/>
      <c r="KL11" s="93"/>
      <c r="KM11" s="93"/>
      <c r="KN11" s="93"/>
      <c r="KO11" s="93"/>
      <c r="KP11" s="93"/>
      <c r="KQ11" s="93"/>
      <c r="KR11" s="93"/>
      <c r="KS11" s="93"/>
      <c r="KT11" s="93"/>
      <c r="KU11" s="93"/>
      <c r="KV11" s="93"/>
      <c r="KW11" s="93"/>
      <c r="KX11" s="93"/>
      <c r="KY11" s="93"/>
      <c r="KZ11" s="93"/>
      <c r="LA11" s="93"/>
      <c r="LB11" s="93"/>
      <c r="LC11" s="93"/>
      <c r="LD11" s="93"/>
      <c r="LE11" s="93"/>
      <c r="LF11" s="93"/>
      <c r="LG11" s="93"/>
      <c r="LH11" s="93"/>
      <c r="LI11" s="93"/>
      <c r="LJ11" s="93"/>
      <c r="LK11" s="93"/>
      <c r="LL11" s="93"/>
      <c r="LM11" s="93"/>
      <c r="LN11" s="93"/>
      <c r="LO11" s="93"/>
      <c r="LP11" s="93"/>
      <c r="LQ11" s="93"/>
      <c r="LR11" s="93"/>
      <c r="LS11" s="93"/>
      <c r="LT11" s="93"/>
      <c r="LU11" s="93"/>
      <c r="LV11" s="93"/>
      <c r="LW11" s="93"/>
      <c r="LX11" s="93"/>
      <c r="LY11" s="93"/>
      <c r="LZ11" s="93"/>
      <c r="MA11" s="93"/>
      <c r="MB11" s="93"/>
      <c r="MC11" s="93"/>
      <c r="MD11" s="92"/>
      <c r="ME11" s="92"/>
      <c r="MF11" s="92"/>
      <c r="MG11" s="92"/>
      <c r="MH11" s="92"/>
      <c r="MI11" s="92"/>
      <c r="MJ11" s="92"/>
      <c r="MK11" s="92"/>
      <c r="ML11" s="92"/>
      <c r="MM11" s="92"/>
      <c r="MN11" s="92"/>
      <c r="MO11" s="92"/>
      <c r="MP11" s="92"/>
      <c r="MQ11" s="92"/>
      <c r="MR11" s="92"/>
      <c r="MS11" s="92"/>
      <c r="MT11" s="92"/>
      <c r="MU11" s="92"/>
      <c r="MV11" s="92"/>
      <c r="MW11" s="92"/>
      <c r="MX11" s="92"/>
      <c r="MY11" s="92"/>
      <c r="MZ11" s="92"/>
      <c r="NA11" s="92"/>
      <c r="NB11" s="92"/>
      <c r="NC11" s="92"/>
      <c r="ND11" s="92"/>
      <c r="NE11" s="92"/>
      <c r="NF11" s="92"/>
      <c r="NG11" s="92"/>
      <c r="NH11" s="92"/>
      <c r="NI11" s="92"/>
      <c r="NJ11" s="92"/>
      <c r="NK11" s="92"/>
      <c r="NL11" s="92"/>
      <c r="NM11" s="92"/>
      <c r="NN11" s="92"/>
      <c r="NO11" s="92"/>
      <c r="NP11" s="92"/>
      <c r="NQ11" s="92"/>
      <c r="NR11" s="92"/>
      <c r="NS11" s="92"/>
      <c r="NT11" s="92"/>
      <c r="NU11" s="92"/>
      <c r="NV11" s="92"/>
      <c r="NW11" s="92"/>
      <c r="NX11" s="92"/>
      <c r="NY11" s="93"/>
      <c r="NZ11" s="93"/>
    </row>
    <row r="12" spans="1:390" ht="15.75" customHeight="1" x14ac:dyDescent="0.3">
      <c r="A12" s="98">
        <v>4505997235</v>
      </c>
      <c r="B12" s="87" t="s">
        <v>392</v>
      </c>
      <c r="C12" s="84" t="s">
        <v>393</v>
      </c>
      <c r="D12" s="87" t="s">
        <v>392</v>
      </c>
      <c r="E12" s="93" t="s">
        <v>440</v>
      </c>
      <c r="F12" s="93" t="s">
        <v>441</v>
      </c>
      <c r="G12" s="93" t="s">
        <v>399</v>
      </c>
      <c r="H12" s="220">
        <v>43637</v>
      </c>
      <c r="I12" s="222" t="s">
        <v>430</v>
      </c>
      <c r="J12" s="234" t="s">
        <v>398</v>
      </c>
      <c r="K12" s="93" t="s">
        <v>399</v>
      </c>
      <c r="L12" s="93" t="s">
        <v>399</v>
      </c>
      <c r="M12" s="93" t="s">
        <v>399</v>
      </c>
      <c r="N12" s="93" t="s">
        <v>399</v>
      </c>
      <c r="O12" s="93" t="s">
        <v>399</v>
      </c>
      <c r="P12" s="93" t="s">
        <v>399</v>
      </c>
      <c r="Q12" s="93" t="s">
        <v>399</v>
      </c>
      <c r="R12" s="93" t="s">
        <v>399</v>
      </c>
      <c r="S12" s="93" t="s">
        <v>399</v>
      </c>
      <c r="T12" s="93" t="s">
        <v>399</v>
      </c>
      <c r="U12" s="93" t="s">
        <v>399</v>
      </c>
      <c r="V12" s="93" t="s">
        <v>399</v>
      </c>
      <c r="W12" s="93" t="s">
        <v>399</v>
      </c>
      <c r="X12" s="93" t="s">
        <v>399</v>
      </c>
      <c r="Y12" s="93" t="s">
        <v>399</v>
      </c>
      <c r="Z12" s="93" t="s">
        <v>399</v>
      </c>
      <c r="AA12" s="93" t="s">
        <v>399</v>
      </c>
      <c r="AB12" s="152" t="s">
        <v>400</v>
      </c>
      <c r="AC12" s="220">
        <v>21498</v>
      </c>
      <c r="AD12" s="221">
        <v>43598</v>
      </c>
      <c r="AE12" s="86">
        <f t="shared" si="1"/>
        <v>60</v>
      </c>
      <c r="AF12" s="108" t="s">
        <v>401</v>
      </c>
      <c r="AG12" s="84" t="s">
        <v>402</v>
      </c>
      <c r="AH12" s="163" t="s">
        <v>403</v>
      </c>
      <c r="AI12" s="163" t="s">
        <v>404</v>
      </c>
      <c r="AJ12" s="232" t="s">
        <v>405</v>
      </c>
      <c r="AK12" s="163" t="s">
        <v>405</v>
      </c>
      <c r="AL12" s="172">
        <v>0</v>
      </c>
      <c r="AM12" s="89" t="s">
        <v>406</v>
      </c>
      <c r="AN12" s="170">
        <v>1</v>
      </c>
      <c r="AO12" s="109" t="s">
        <v>399</v>
      </c>
      <c r="AP12" s="88"/>
      <c r="AQ12" s="95"/>
      <c r="AR12" s="88"/>
      <c r="AS12" s="93"/>
      <c r="AT12" s="93"/>
      <c r="AU12" s="93"/>
      <c r="AV12" s="93"/>
      <c r="AW12" s="88"/>
      <c r="AX12" s="93"/>
      <c r="AY12" s="93"/>
      <c r="AZ12" s="93"/>
      <c r="BA12" s="93"/>
      <c r="BB12" s="88"/>
      <c r="BC12" s="93"/>
      <c r="BD12" s="93"/>
      <c r="BE12" s="93"/>
      <c r="BF12" s="93"/>
      <c r="BG12" s="88"/>
      <c r="BH12" s="93"/>
      <c r="BI12" s="93"/>
      <c r="BJ12" s="93"/>
      <c r="BK12" s="93"/>
      <c r="BL12" s="88"/>
      <c r="BM12" s="93"/>
      <c r="BN12" s="93"/>
      <c r="BO12" s="93"/>
      <c r="BP12" s="93"/>
      <c r="BQ12" s="88"/>
      <c r="BR12" s="93"/>
      <c r="BS12" s="93"/>
      <c r="BT12" s="93"/>
      <c r="BU12" s="93"/>
      <c r="BV12" s="88"/>
      <c r="BW12" s="93"/>
      <c r="BX12" s="93"/>
      <c r="BY12" s="93"/>
      <c r="BZ12" s="93"/>
      <c r="CA12" s="88"/>
      <c r="CB12" s="93"/>
      <c r="CC12" s="93"/>
      <c r="CD12" s="93"/>
      <c r="CE12" s="93"/>
      <c r="CF12" s="88"/>
      <c r="CG12" s="93"/>
      <c r="CH12" s="93"/>
      <c r="CI12" s="93"/>
      <c r="CJ12" s="93"/>
      <c r="CK12" s="88"/>
      <c r="CL12" s="93"/>
      <c r="CM12" s="93"/>
      <c r="CN12" s="93"/>
      <c r="CO12" s="93"/>
      <c r="CP12" s="88"/>
      <c r="CQ12" s="93"/>
      <c r="CR12" s="93"/>
      <c r="CS12" s="93"/>
      <c r="CT12" s="93"/>
      <c r="CU12" s="88"/>
      <c r="CV12" s="93"/>
      <c r="CW12" s="93"/>
      <c r="CX12" s="93"/>
      <c r="CY12" s="93"/>
      <c r="CZ12" s="88"/>
      <c r="DA12" s="93"/>
      <c r="DB12" s="93"/>
      <c r="DC12" s="93"/>
      <c r="DD12" s="93"/>
      <c r="DE12" s="88"/>
      <c r="DF12" s="93"/>
      <c r="DG12" s="93"/>
      <c r="DH12" s="93"/>
      <c r="DI12" s="93"/>
      <c r="DJ12" s="88"/>
      <c r="DK12" s="93"/>
      <c r="DL12" s="93"/>
      <c r="DM12" s="93"/>
      <c r="DN12" s="93"/>
      <c r="DO12" s="88"/>
      <c r="DP12" s="93"/>
      <c r="DQ12" s="93"/>
      <c r="DR12" s="93"/>
      <c r="DS12" s="93"/>
      <c r="DT12" s="88"/>
      <c r="DU12" s="93"/>
      <c r="DV12" s="93"/>
      <c r="DW12" s="93"/>
      <c r="DX12" s="93"/>
      <c r="DY12" s="88"/>
      <c r="DZ12" s="93"/>
      <c r="EA12" s="93"/>
      <c r="EB12" s="93"/>
      <c r="EC12" s="93"/>
      <c r="ED12" s="88"/>
      <c r="EE12" s="93"/>
      <c r="EF12" s="93"/>
      <c r="EG12" s="93"/>
      <c r="EH12" s="93"/>
      <c r="EI12" s="88"/>
      <c r="EJ12" s="93"/>
      <c r="EK12" s="93"/>
      <c r="EL12" s="93"/>
      <c r="EM12" s="93"/>
      <c r="EN12" s="88"/>
      <c r="EO12" s="93"/>
      <c r="EP12" s="93"/>
      <c r="EQ12" s="93"/>
      <c r="ER12" s="93"/>
      <c r="ES12" s="88"/>
      <c r="ET12" s="93"/>
      <c r="EU12" s="93"/>
      <c r="EV12" s="93"/>
      <c r="EW12" s="93"/>
      <c r="EX12" s="88"/>
      <c r="EY12" s="93"/>
      <c r="EZ12" s="93"/>
      <c r="FA12" s="93"/>
      <c r="FB12" s="93"/>
      <c r="FC12" s="88"/>
      <c r="FD12" s="93"/>
      <c r="FE12" s="93"/>
      <c r="FF12" s="93"/>
      <c r="FG12" s="93"/>
      <c r="FH12" s="88"/>
      <c r="FI12" s="93"/>
      <c r="FJ12" s="93"/>
      <c r="FK12" s="93"/>
      <c r="FL12" s="93"/>
      <c r="FM12" s="93"/>
      <c r="FN12" s="93"/>
      <c r="FO12" s="93"/>
      <c r="FP12" s="93"/>
      <c r="FQ12" s="93"/>
      <c r="FR12" s="93"/>
      <c r="FS12" s="93"/>
      <c r="FT12" s="93"/>
      <c r="FU12" s="93"/>
      <c r="FV12" s="93"/>
      <c r="FW12" s="93"/>
      <c r="FX12" s="93"/>
      <c r="FY12" s="93"/>
      <c r="FZ12" s="93"/>
      <c r="GA12" s="93"/>
      <c r="GB12" s="93"/>
      <c r="GC12" s="93"/>
      <c r="GD12" s="93"/>
      <c r="GE12" s="93"/>
      <c r="GF12" s="93"/>
      <c r="GG12" s="93"/>
      <c r="GH12" s="93"/>
      <c r="GI12" s="93"/>
      <c r="GJ12" s="93"/>
      <c r="GK12" s="93"/>
      <c r="GL12" s="93"/>
      <c r="GM12" s="93"/>
      <c r="GN12" s="93"/>
      <c r="GO12" s="93"/>
      <c r="GP12" s="88"/>
      <c r="GQ12" s="93"/>
      <c r="GR12" s="93"/>
      <c r="GS12" s="93"/>
      <c r="GT12" s="93"/>
      <c r="GU12" s="88"/>
      <c r="GV12" s="93"/>
      <c r="GW12" s="93"/>
      <c r="GX12" s="93"/>
      <c r="GY12" s="93"/>
      <c r="GZ12" s="88"/>
      <c r="HA12" s="93"/>
      <c r="HB12" s="93"/>
      <c r="HC12" s="93"/>
      <c r="HD12" s="93"/>
      <c r="HE12" s="88"/>
      <c r="HF12" s="93"/>
      <c r="HG12" s="93"/>
      <c r="HH12" s="93"/>
      <c r="HI12" s="93"/>
      <c r="HJ12" s="88"/>
      <c r="HK12" s="93"/>
      <c r="HL12" s="93"/>
      <c r="HM12" s="93"/>
      <c r="HN12" s="93"/>
      <c r="HO12" s="88"/>
      <c r="HP12" s="93"/>
      <c r="HQ12" s="93"/>
      <c r="HR12" s="93"/>
      <c r="HS12" s="93"/>
      <c r="HT12" s="88"/>
      <c r="HU12" s="93"/>
      <c r="HV12" s="93"/>
      <c r="HW12" s="93"/>
      <c r="HX12" s="93"/>
      <c r="HY12" s="88"/>
      <c r="HZ12" s="93"/>
      <c r="IA12" s="93"/>
      <c r="IB12" s="93"/>
      <c r="IC12" s="93"/>
      <c r="ID12" s="88"/>
      <c r="IE12" s="93"/>
      <c r="IF12" s="93"/>
      <c r="IG12" s="93"/>
      <c r="IH12" s="93"/>
      <c r="II12" s="88"/>
      <c r="IJ12" s="93"/>
      <c r="IK12" s="93"/>
      <c r="IL12" s="93"/>
      <c r="IM12" s="93"/>
      <c r="IN12" s="88"/>
      <c r="IO12" s="93"/>
      <c r="IP12" s="93"/>
      <c r="IQ12" s="93"/>
      <c r="IR12" s="93"/>
      <c r="IS12" s="88"/>
      <c r="IT12" s="93"/>
      <c r="IU12" s="93"/>
      <c r="IV12" s="93"/>
      <c r="IW12" s="93"/>
      <c r="IX12" s="88"/>
      <c r="IY12" s="93"/>
      <c r="IZ12" s="93"/>
      <c r="JA12" s="93"/>
      <c r="JB12" s="93"/>
      <c r="JC12" s="88"/>
      <c r="JD12" s="93"/>
      <c r="JE12" s="93"/>
      <c r="JF12" s="93"/>
      <c r="JG12" s="94"/>
      <c r="JH12" s="88"/>
      <c r="JI12" s="95"/>
      <c r="JJ12" s="93"/>
      <c r="JK12" s="93"/>
      <c r="JL12" s="94"/>
      <c r="JM12" s="89"/>
      <c r="JN12" s="96"/>
      <c r="JO12" s="84"/>
      <c r="JP12" s="95"/>
      <c r="JQ12" s="93"/>
      <c r="JR12" s="93"/>
      <c r="JS12" s="93"/>
      <c r="JT12" s="93"/>
      <c r="JU12" s="93"/>
      <c r="JV12" s="93"/>
      <c r="JW12" s="93"/>
      <c r="JX12" s="93"/>
      <c r="JY12" s="93"/>
      <c r="JZ12" s="93"/>
      <c r="KA12" s="93"/>
      <c r="KB12" s="93"/>
      <c r="KC12" s="93"/>
      <c r="KD12" s="93"/>
      <c r="KE12" s="93"/>
      <c r="KF12" s="93"/>
      <c r="KG12" s="93"/>
      <c r="KH12" s="93"/>
      <c r="KI12" s="93"/>
      <c r="KJ12" s="93"/>
      <c r="KK12" s="93"/>
      <c r="KL12" s="93"/>
      <c r="KM12" s="93"/>
      <c r="KN12" s="93"/>
      <c r="KO12" s="93"/>
      <c r="KP12" s="93"/>
      <c r="KQ12" s="93"/>
      <c r="KR12" s="93"/>
      <c r="KS12" s="93"/>
      <c r="KT12" s="93"/>
      <c r="KU12" s="93"/>
      <c r="KV12" s="93"/>
      <c r="KW12" s="93"/>
      <c r="KX12" s="93"/>
      <c r="KY12" s="93"/>
      <c r="KZ12" s="93"/>
      <c r="LA12" s="93"/>
      <c r="LB12" s="93"/>
      <c r="LC12" s="93"/>
      <c r="LD12" s="93"/>
      <c r="LE12" s="93"/>
      <c r="LF12" s="93"/>
      <c r="LG12" s="93"/>
      <c r="LH12" s="93"/>
      <c r="LI12" s="93"/>
      <c r="LJ12" s="93"/>
      <c r="LK12" s="93"/>
      <c r="LL12" s="93"/>
      <c r="LM12" s="93"/>
      <c r="LN12" s="93"/>
      <c r="LO12" s="93"/>
      <c r="LP12" s="93"/>
      <c r="LQ12" s="93"/>
      <c r="LR12" s="93"/>
      <c r="LS12" s="93"/>
      <c r="LT12" s="93"/>
      <c r="LU12" s="93"/>
      <c r="LV12" s="93"/>
      <c r="LW12" s="93"/>
      <c r="LX12" s="93"/>
      <c r="LY12" s="93"/>
      <c r="LZ12" s="93"/>
      <c r="MA12" s="93"/>
      <c r="MB12" s="93"/>
      <c r="MC12" s="93"/>
      <c r="MD12" s="92"/>
      <c r="ME12" s="92"/>
      <c r="MF12" s="92"/>
      <c r="MG12" s="92"/>
      <c r="MH12" s="92"/>
      <c r="MI12" s="92"/>
      <c r="MJ12" s="92"/>
      <c r="MK12" s="92"/>
      <c r="ML12" s="92"/>
      <c r="MM12" s="92"/>
      <c r="MN12" s="92"/>
      <c r="MO12" s="92"/>
      <c r="MP12" s="92"/>
      <c r="MQ12" s="92"/>
      <c r="MR12" s="92"/>
      <c r="MS12" s="92"/>
      <c r="MT12" s="92"/>
      <c r="MU12" s="92"/>
      <c r="MV12" s="92"/>
      <c r="MW12" s="92"/>
      <c r="MX12" s="92"/>
      <c r="MY12" s="92"/>
      <c r="MZ12" s="92"/>
      <c r="NA12" s="92"/>
      <c r="NB12" s="92"/>
      <c r="NC12" s="92"/>
      <c r="ND12" s="92"/>
      <c r="NE12" s="92"/>
      <c r="NF12" s="92"/>
      <c r="NG12" s="92"/>
      <c r="NH12" s="92"/>
      <c r="NI12" s="92"/>
      <c r="NJ12" s="92"/>
      <c r="NK12" s="92"/>
      <c r="NL12" s="92"/>
      <c r="NM12" s="92"/>
      <c r="NN12" s="92"/>
      <c r="NO12" s="92"/>
      <c r="NP12" s="92"/>
      <c r="NQ12" s="92"/>
      <c r="NR12" s="92"/>
      <c r="NS12" s="92"/>
      <c r="NT12" s="92"/>
      <c r="NU12" s="92"/>
      <c r="NV12" s="92"/>
      <c r="NW12" s="92"/>
      <c r="NX12" s="92"/>
      <c r="NY12" s="93"/>
      <c r="NZ12" s="93"/>
    </row>
    <row r="13" spans="1:390" ht="15.75" customHeight="1" x14ac:dyDescent="0.3">
      <c r="A13" s="98">
        <v>4800798418</v>
      </c>
      <c r="B13" s="87" t="s">
        <v>392</v>
      </c>
      <c r="C13" s="84" t="s">
        <v>393</v>
      </c>
      <c r="D13" s="87" t="s">
        <v>392</v>
      </c>
      <c r="E13" s="93" t="s">
        <v>442</v>
      </c>
      <c r="F13" s="93" t="s">
        <v>443</v>
      </c>
      <c r="G13" s="93" t="s">
        <v>444</v>
      </c>
      <c r="H13" s="166">
        <v>43683</v>
      </c>
      <c r="I13" s="233" t="s">
        <v>445</v>
      </c>
      <c r="J13" s="234" t="s">
        <v>398</v>
      </c>
      <c r="K13" s="93" t="s">
        <v>399</v>
      </c>
      <c r="L13" s="93" t="s">
        <v>399</v>
      </c>
      <c r="M13" s="93" t="s">
        <v>399</v>
      </c>
      <c r="N13" s="93" t="s">
        <v>399</v>
      </c>
      <c r="O13" s="93" t="s">
        <v>399</v>
      </c>
      <c r="P13" s="93" t="s">
        <v>399</v>
      </c>
      <c r="Q13" s="93" t="s">
        <v>399</v>
      </c>
      <c r="R13" s="93" t="s">
        <v>399</v>
      </c>
      <c r="S13" s="93" t="s">
        <v>399</v>
      </c>
      <c r="T13" s="93" t="s">
        <v>399</v>
      </c>
      <c r="U13" s="93" t="s">
        <v>399</v>
      </c>
      <c r="V13" s="93" t="s">
        <v>399</v>
      </c>
      <c r="W13" s="93" t="s">
        <v>399</v>
      </c>
      <c r="X13" s="93" t="s">
        <v>399</v>
      </c>
      <c r="Y13" s="93" t="s">
        <v>399</v>
      </c>
      <c r="Z13" s="93" t="s">
        <v>399</v>
      </c>
      <c r="AA13" s="93" t="s">
        <v>399</v>
      </c>
      <c r="AB13" s="152" t="s">
        <v>400</v>
      </c>
      <c r="AC13" s="220">
        <v>22802</v>
      </c>
      <c r="AD13" s="167">
        <v>43696</v>
      </c>
      <c r="AE13" s="86">
        <f t="shared" si="1"/>
        <v>57</v>
      </c>
      <c r="AF13" s="108" t="s">
        <v>401</v>
      </c>
      <c r="AG13" s="84" t="s">
        <v>402</v>
      </c>
      <c r="AH13" s="163" t="s">
        <v>403</v>
      </c>
      <c r="AI13" s="163" t="s">
        <v>446</v>
      </c>
      <c r="AJ13" s="163">
        <v>0</v>
      </c>
      <c r="AK13" s="163" t="s">
        <v>405</v>
      </c>
      <c r="AL13" s="172">
        <v>0</v>
      </c>
      <c r="AM13" s="89" t="s">
        <v>447</v>
      </c>
      <c r="AN13" s="170">
        <v>1</v>
      </c>
      <c r="AO13" s="109" t="s">
        <v>399</v>
      </c>
      <c r="AP13" s="88"/>
      <c r="AQ13" s="95"/>
      <c r="AR13" s="88"/>
      <c r="AS13" s="93"/>
      <c r="AT13" s="93"/>
      <c r="AU13" s="93"/>
      <c r="AV13" s="93"/>
      <c r="AW13" s="88"/>
      <c r="AX13" s="93"/>
      <c r="AY13" s="93"/>
      <c r="AZ13" s="93"/>
      <c r="BA13" s="93"/>
      <c r="BB13" s="88"/>
      <c r="BC13" s="93"/>
      <c r="BD13" s="93"/>
      <c r="BE13" s="93"/>
      <c r="BF13" s="93"/>
      <c r="BG13" s="88"/>
      <c r="BH13" s="93"/>
      <c r="BI13" s="93"/>
      <c r="BJ13" s="93"/>
      <c r="BK13" s="93"/>
      <c r="BL13" s="88"/>
      <c r="BM13" s="93"/>
      <c r="BN13" s="93"/>
      <c r="BO13" s="93"/>
      <c r="BP13" s="93"/>
      <c r="BQ13" s="88"/>
      <c r="BR13" s="93"/>
      <c r="BS13" s="93"/>
      <c r="BT13" s="93"/>
      <c r="BU13" s="93"/>
      <c r="BV13" s="88"/>
      <c r="BW13" s="93"/>
      <c r="BX13" s="93"/>
      <c r="BY13" s="93"/>
      <c r="BZ13" s="93"/>
      <c r="CA13" s="88"/>
      <c r="CB13" s="93"/>
      <c r="CC13" s="93"/>
      <c r="CD13" s="93"/>
      <c r="CE13" s="93"/>
      <c r="CF13" s="88"/>
      <c r="CG13" s="93"/>
      <c r="CH13" s="93"/>
      <c r="CI13" s="93"/>
      <c r="CJ13" s="93"/>
      <c r="CK13" s="88"/>
      <c r="CL13" s="93"/>
      <c r="CM13" s="93"/>
      <c r="CN13" s="93"/>
      <c r="CO13" s="93"/>
      <c r="CP13" s="88"/>
      <c r="CQ13" s="93"/>
      <c r="CR13" s="93"/>
      <c r="CS13" s="93"/>
      <c r="CT13" s="93"/>
      <c r="CU13" s="88"/>
      <c r="CV13" s="93"/>
      <c r="CW13" s="93"/>
      <c r="CX13" s="93"/>
      <c r="CY13" s="93"/>
      <c r="CZ13" s="88"/>
      <c r="DA13" s="93"/>
      <c r="DB13" s="93"/>
      <c r="DC13" s="93"/>
      <c r="DD13" s="93"/>
      <c r="DE13" s="88"/>
      <c r="DF13" s="93"/>
      <c r="DG13" s="93"/>
      <c r="DH13" s="93"/>
      <c r="DI13" s="93"/>
      <c r="DJ13" s="88"/>
      <c r="DK13" s="93"/>
      <c r="DL13" s="93"/>
      <c r="DM13" s="93"/>
      <c r="DN13" s="93"/>
      <c r="DO13" s="88"/>
      <c r="DP13" s="93"/>
      <c r="DQ13" s="93"/>
      <c r="DR13" s="93"/>
      <c r="DS13" s="93"/>
      <c r="DT13" s="88"/>
      <c r="DU13" s="93"/>
      <c r="DV13" s="93"/>
      <c r="DW13" s="93"/>
      <c r="DX13" s="93"/>
      <c r="DY13" s="88"/>
      <c r="DZ13" s="93"/>
      <c r="EA13" s="93"/>
      <c r="EB13" s="93"/>
      <c r="EC13" s="93"/>
      <c r="ED13" s="88"/>
      <c r="EE13" s="93"/>
      <c r="EF13" s="93"/>
      <c r="EG13" s="93"/>
      <c r="EH13" s="93"/>
      <c r="EI13" s="88"/>
      <c r="EJ13" s="93"/>
      <c r="EK13" s="93"/>
      <c r="EL13" s="93"/>
      <c r="EM13" s="93"/>
      <c r="EN13" s="88"/>
      <c r="EO13" s="93"/>
      <c r="EP13" s="93"/>
      <c r="EQ13" s="93"/>
      <c r="ER13" s="93"/>
      <c r="ES13" s="88"/>
      <c r="ET13" s="93"/>
      <c r="EU13" s="93"/>
      <c r="EV13" s="93"/>
      <c r="EW13" s="93"/>
      <c r="EX13" s="88"/>
      <c r="EY13" s="93"/>
      <c r="EZ13" s="93"/>
      <c r="FA13" s="93"/>
      <c r="FB13" s="93"/>
      <c r="FC13" s="88"/>
      <c r="FD13" s="93"/>
      <c r="FE13" s="93"/>
      <c r="FF13" s="93"/>
      <c r="FG13" s="93"/>
      <c r="FH13" s="88"/>
      <c r="FI13" s="93"/>
      <c r="FJ13" s="93"/>
      <c r="FK13" s="93"/>
      <c r="FL13" s="93"/>
      <c r="FM13" s="93"/>
      <c r="FN13" s="93"/>
      <c r="FO13" s="93"/>
      <c r="FP13" s="93"/>
      <c r="FQ13" s="93"/>
      <c r="FR13" s="93"/>
      <c r="FS13" s="93"/>
      <c r="FT13" s="93"/>
      <c r="FU13" s="93"/>
      <c r="FV13" s="93"/>
      <c r="FW13" s="93"/>
      <c r="FX13" s="93"/>
      <c r="FY13" s="93"/>
      <c r="FZ13" s="93"/>
      <c r="GA13" s="93"/>
      <c r="GB13" s="93"/>
      <c r="GC13" s="93"/>
      <c r="GD13" s="93"/>
      <c r="GE13" s="93"/>
      <c r="GF13" s="93"/>
      <c r="GG13" s="93"/>
      <c r="GH13" s="93"/>
      <c r="GI13" s="93"/>
      <c r="GJ13" s="93"/>
      <c r="GK13" s="93"/>
      <c r="GL13" s="93"/>
      <c r="GM13" s="93"/>
      <c r="GN13" s="93"/>
      <c r="GO13" s="93"/>
      <c r="GP13" s="88"/>
      <c r="GQ13" s="93"/>
      <c r="GR13" s="93"/>
      <c r="GS13" s="93"/>
      <c r="GT13" s="93"/>
      <c r="GU13" s="88"/>
      <c r="GV13" s="93"/>
      <c r="GW13" s="93"/>
      <c r="GX13" s="93"/>
      <c r="GY13" s="93"/>
      <c r="GZ13" s="88"/>
      <c r="HA13" s="93"/>
      <c r="HB13" s="93"/>
      <c r="HC13" s="93"/>
      <c r="HD13" s="93"/>
      <c r="HE13" s="88"/>
      <c r="HF13" s="93"/>
      <c r="HG13" s="93"/>
      <c r="HH13" s="93"/>
      <c r="HI13" s="93"/>
      <c r="HJ13" s="88"/>
      <c r="HK13" s="93"/>
      <c r="HL13" s="93"/>
      <c r="HM13" s="93"/>
      <c r="HN13" s="93"/>
      <c r="HO13" s="88"/>
      <c r="HP13" s="93"/>
      <c r="HQ13" s="93"/>
      <c r="HR13" s="93"/>
      <c r="HS13" s="93"/>
      <c r="HT13" s="88"/>
      <c r="HU13" s="93"/>
      <c r="HV13" s="93"/>
      <c r="HW13" s="93"/>
      <c r="HX13" s="93"/>
      <c r="HY13" s="88"/>
      <c r="HZ13" s="93"/>
      <c r="IA13" s="93"/>
      <c r="IB13" s="93"/>
      <c r="IC13" s="93"/>
      <c r="ID13" s="88"/>
      <c r="IE13" s="93"/>
      <c r="IF13" s="93"/>
      <c r="IG13" s="93"/>
      <c r="IH13" s="93"/>
      <c r="II13" s="88"/>
      <c r="IJ13" s="93"/>
      <c r="IK13" s="93"/>
      <c r="IL13" s="93"/>
      <c r="IM13" s="93"/>
      <c r="IN13" s="88"/>
      <c r="IO13" s="93"/>
      <c r="IP13" s="93"/>
      <c r="IQ13" s="93"/>
      <c r="IR13" s="93"/>
      <c r="IS13" s="88"/>
      <c r="IT13" s="93"/>
      <c r="IU13" s="93"/>
      <c r="IV13" s="93"/>
      <c r="IW13" s="93"/>
      <c r="IX13" s="88"/>
      <c r="IY13" s="93"/>
      <c r="IZ13" s="93"/>
      <c r="JA13" s="93"/>
      <c r="JB13" s="93"/>
      <c r="JC13" s="88"/>
      <c r="JD13" s="93"/>
      <c r="JE13" s="93"/>
      <c r="JF13" s="93"/>
      <c r="JG13" s="94"/>
      <c r="JH13" s="88"/>
      <c r="JI13" s="95"/>
      <c r="JJ13" s="93"/>
      <c r="JK13" s="93"/>
      <c r="JL13" s="94"/>
      <c r="JM13" s="89"/>
      <c r="JN13" s="96"/>
      <c r="JO13" s="84"/>
      <c r="JP13" s="95"/>
      <c r="JQ13" s="93"/>
      <c r="JR13" s="93"/>
      <c r="JS13" s="93"/>
      <c r="JT13" s="93"/>
      <c r="JU13" s="93"/>
      <c r="JV13" s="93"/>
      <c r="JW13" s="93"/>
      <c r="JX13" s="93"/>
      <c r="JY13" s="93"/>
      <c r="JZ13" s="93"/>
      <c r="KA13" s="93"/>
      <c r="KB13" s="93"/>
      <c r="KC13" s="93"/>
      <c r="KD13" s="93"/>
      <c r="KE13" s="93"/>
      <c r="KF13" s="93"/>
      <c r="KG13" s="93"/>
      <c r="KH13" s="93"/>
      <c r="KI13" s="93"/>
      <c r="KJ13" s="93"/>
      <c r="KK13" s="93"/>
      <c r="KL13" s="93"/>
      <c r="KM13" s="93"/>
      <c r="KN13" s="93"/>
      <c r="KO13" s="93"/>
      <c r="KP13" s="93"/>
      <c r="KQ13" s="93"/>
      <c r="KR13" s="93"/>
      <c r="KS13" s="93"/>
      <c r="KT13" s="93"/>
      <c r="KU13" s="93"/>
      <c r="KV13" s="93"/>
      <c r="KW13" s="93"/>
      <c r="KX13" s="93"/>
      <c r="KY13" s="93"/>
      <c r="KZ13" s="93"/>
      <c r="LA13" s="93"/>
      <c r="LB13" s="93"/>
      <c r="LC13" s="93"/>
      <c r="LD13" s="93"/>
      <c r="LE13" s="93"/>
      <c r="LF13" s="93"/>
      <c r="LG13" s="93"/>
      <c r="LH13" s="93"/>
      <c r="LI13" s="93"/>
      <c r="LJ13" s="93"/>
      <c r="LK13" s="93"/>
      <c r="LL13" s="93"/>
      <c r="LM13" s="93"/>
      <c r="LN13" s="93"/>
      <c r="LO13" s="93"/>
      <c r="LP13" s="93"/>
      <c r="LQ13" s="93"/>
      <c r="LR13" s="93"/>
      <c r="LS13" s="93"/>
      <c r="LT13" s="93"/>
      <c r="LU13" s="93"/>
      <c r="LV13" s="93"/>
      <c r="LW13" s="93"/>
      <c r="LX13" s="93"/>
      <c r="LY13" s="93"/>
      <c r="LZ13" s="93"/>
      <c r="MA13" s="93"/>
      <c r="MB13" s="93"/>
      <c r="MC13" s="93"/>
      <c r="MD13" s="92"/>
      <c r="ME13" s="92"/>
      <c r="MF13" s="92"/>
      <c r="MG13" s="92"/>
      <c r="MH13" s="92"/>
      <c r="MI13" s="92"/>
      <c r="MJ13" s="92"/>
      <c r="MK13" s="92"/>
      <c r="ML13" s="92"/>
      <c r="MM13" s="92"/>
      <c r="MN13" s="92"/>
      <c r="MO13" s="92"/>
      <c r="MP13" s="92"/>
      <c r="MQ13" s="92"/>
      <c r="MR13" s="92"/>
      <c r="MS13" s="92"/>
      <c r="MT13" s="92"/>
      <c r="MU13" s="92"/>
      <c r="MV13" s="92"/>
      <c r="MW13" s="92"/>
      <c r="MX13" s="92"/>
      <c r="MY13" s="92"/>
      <c r="MZ13" s="92"/>
      <c r="NA13" s="92"/>
      <c r="NB13" s="92"/>
      <c r="NC13" s="92"/>
      <c r="ND13" s="92"/>
      <c r="NE13" s="92"/>
      <c r="NF13" s="92"/>
      <c r="NG13" s="92"/>
      <c r="NH13" s="92"/>
      <c r="NI13" s="92"/>
      <c r="NJ13" s="92"/>
      <c r="NK13" s="92"/>
      <c r="NL13" s="92"/>
      <c r="NM13" s="92"/>
      <c r="NN13" s="92"/>
      <c r="NO13" s="92"/>
      <c r="NP13" s="92"/>
      <c r="NQ13" s="92"/>
      <c r="NR13" s="92"/>
      <c r="NS13" s="92"/>
      <c r="NT13" s="92"/>
      <c r="NU13" s="92"/>
      <c r="NV13" s="92"/>
      <c r="NW13" s="92"/>
      <c r="NX13" s="92"/>
      <c r="NY13" s="93"/>
      <c r="NZ13" s="93"/>
    </row>
    <row r="14" spans="1:390" ht="15.75" customHeight="1" x14ac:dyDescent="0.3">
      <c r="A14" s="98">
        <v>4860443551</v>
      </c>
      <c r="B14" s="87" t="s">
        <v>392</v>
      </c>
      <c r="C14" s="84" t="s">
        <v>393</v>
      </c>
      <c r="D14" s="87" t="s">
        <v>392</v>
      </c>
      <c r="E14" s="93" t="s">
        <v>448</v>
      </c>
      <c r="F14" s="93" t="s">
        <v>415</v>
      </c>
      <c r="G14" s="93" t="s">
        <v>449</v>
      </c>
      <c r="H14" s="166">
        <v>43686</v>
      </c>
      <c r="I14" s="93" t="s">
        <v>450</v>
      </c>
      <c r="J14" s="234" t="s">
        <v>398</v>
      </c>
      <c r="K14" s="93" t="s">
        <v>399</v>
      </c>
      <c r="L14" s="93" t="s">
        <v>399</v>
      </c>
      <c r="M14" s="93" t="s">
        <v>399</v>
      </c>
      <c r="N14" s="93" t="s">
        <v>399</v>
      </c>
      <c r="O14" s="93" t="s">
        <v>399</v>
      </c>
      <c r="P14" s="93" t="s">
        <v>399</v>
      </c>
      <c r="Q14" s="93" t="s">
        <v>399</v>
      </c>
      <c r="R14" s="93" t="s">
        <v>399</v>
      </c>
      <c r="S14" s="93" t="s">
        <v>399</v>
      </c>
      <c r="T14" s="93" t="s">
        <v>399</v>
      </c>
      <c r="U14" s="93" t="s">
        <v>399</v>
      </c>
      <c r="V14" s="93" t="s">
        <v>399</v>
      </c>
      <c r="W14" s="93" t="s">
        <v>399</v>
      </c>
      <c r="X14" s="93" t="s">
        <v>399</v>
      </c>
      <c r="Y14" s="93" t="s">
        <v>399</v>
      </c>
      <c r="Z14" s="93" t="s">
        <v>399</v>
      </c>
      <c r="AA14" s="93" t="s">
        <v>399</v>
      </c>
      <c r="AB14" s="152" t="s">
        <v>400</v>
      </c>
      <c r="AC14" s="166">
        <v>21371</v>
      </c>
      <c r="AD14" s="167">
        <v>43668</v>
      </c>
      <c r="AE14" s="86">
        <f t="shared" si="1"/>
        <v>61</v>
      </c>
      <c r="AF14" s="108" t="s">
        <v>401</v>
      </c>
      <c r="AG14" s="84" t="s">
        <v>402</v>
      </c>
      <c r="AH14" s="163" t="s">
        <v>392</v>
      </c>
      <c r="AI14" s="163" t="s">
        <v>418</v>
      </c>
      <c r="AJ14" s="163">
        <v>0</v>
      </c>
      <c r="AK14" s="163" t="s">
        <v>405</v>
      </c>
      <c r="AL14" s="172">
        <v>0</v>
      </c>
      <c r="AM14" s="89" t="s">
        <v>419</v>
      </c>
      <c r="AN14" s="170">
        <v>3</v>
      </c>
      <c r="AO14" s="109" t="s">
        <v>399</v>
      </c>
      <c r="AP14" s="88"/>
      <c r="AQ14" s="95"/>
      <c r="AR14" s="88"/>
      <c r="AS14" s="93"/>
      <c r="AT14" s="93"/>
      <c r="AU14" s="93"/>
      <c r="AV14" s="93"/>
      <c r="AW14" s="88"/>
      <c r="AX14" s="93"/>
      <c r="AY14" s="93"/>
      <c r="AZ14" s="93"/>
      <c r="BA14" s="93"/>
      <c r="BB14" s="88"/>
      <c r="BC14" s="93"/>
      <c r="BD14" s="93"/>
      <c r="BE14" s="93"/>
      <c r="BF14" s="93"/>
      <c r="BG14" s="88"/>
      <c r="BH14" s="93"/>
      <c r="BI14" s="93"/>
      <c r="BJ14" s="93"/>
      <c r="BK14" s="93"/>
      <c r="BL14" s="88"/>
      <c r="BM14" s="93"/>
      <c r="BN14" s="93"/>
      <c r="BO14" s="93"/>
      <c r="BP14" s="93"/>
      <c r="BQ14" s="88"/>
      <c r="BR14" s="93"/>
      <c r="BS14" s="93"/>
      <c r="BT14" s="93"/>
      <c r="BU14" s="93"/>
      <c r="BV14" s="88"/>
      <c r="BW14" s="93"/>
      <c r="BX14" s="93"/>
      <c r="BY14" s="93"/>
      <c r="BZ14" s="93"/>
      <c r="CA14" s="88"/>
      <c r="CB14" s="93"/>
      <c r="CC14" s="93"/>
      <c r="CD14" s="93"/>
      <c r="CE14" s="93"/>
      <c r="CF14" s="88"/>
      <c r="CG14" s="93"/>
      <c r="CH14" s="93"/>
      <c r="CI14" s="93"/>
      <c r="CJ14" s="93"/>
      <c r="CK14" s="88"/>
      <c r="CL14" s="93"/>
      <c r="CM14" s="93"/>
      <c r="CN14" s="93"/>
      <c r="CO14" s="93"/>
      <c r="CP14" s="88"/>
      <c r="CQ14" s="93"/>
      <c r="CR14" s="93"/>
      <c r="CS14" s="93"/>
      <c r="CT14" s="93"/>
      <c r="CU14" s="88"/>
      <c r="CV14" s="93"/>
      <c r="CW14" s="93"/>
      <c r="CX14" s="93"/>
      <c r="CY14" s="93"/>
      <c r="CZ14" s="88"/>
      <c r="DA14" s="93"/>
      <c r="DB14" s="93"/>
      <c r="DC14" s="93"/>
      <c r="DD14" s="93"/>
      <c r="DE14" s="88"/>
      <c r="DF14" s="93"/>
      <c r="DG14" s="93"/>
      <c r="DH14" s="93"/>
      <c r="DI14" s="93"/>
      <c r="DJ14" s="88"/>
      <c r="DK14" s="93"/>
      <c r="DL14" s="93"/>
      <c r="DM14" s="93"/>
      <c r="DN14" s="93"/>
      <c r="DO14" s="88"/>
      <c r="DP14" s="93"/>
      <c r="DQ14" s="93"/>
      <c r="DR14" s="93"/>
      <c r="DS14" s="93"/>
      <c r="DT14" s="88"/>
      <c r="DU14" s="93"/>
      <c r="DV14" s="93"/>
      <c r="DW14" s="93"/>
      <c r="DX14" s="93"/>
      <c r="DY14" s="88"/>
      <c r="DZ14" s="93"/>
      <c r="EA14" s="93"/>
      <c r="EB14" s="93"/>
      <c r="EC14" s="93"/>
      <c r="ED14" s="88"/>
      <c r="EE14" s="93"/>
      <c r="EF14" s="93"/>
      <c r="EG14" s="93"/>
      <c r="EH14" s="93"/>
      <c r="EI14" s="88"/>
      <c r="EJ14" s="93"/>
      <c r="EK14" s="93"/>
      <c r="EL14" s="93"/>
      <c r="EM14" s="93"/>
      <c r="EN14" s="88"/>
      <c r="EO14" s="93"/>
      <c r="EP14" s="93"/>
      <c r="EQ14" s="93"/>
      <c r="ER14" s="93"/>
      <c r="ES14" s="88"/>
      <c r="ET14" s="93"/>
      <c r="EU14" s="93"/>
      <c r="EV14" s="93"/>
      <c r="EW14" s="93"/>
      <c r="EX14" s="88"/>
      <c r="EY14" s="93"/>
      <c r="EZ14" s="93"/>
      <c r="FA14" s="93"/>
      <c r="FB14" s="93"/>
      <c r="FC14" s="88"/>
      <c r="FD14" s="93"/>
      <c r="FE14" s="93"/>
      <c r="FF14" s="93"/>
      <c r="FG14" s="93"/>
      <c r="FH14" s="88"/>
      <c r="FI14" s="93"/>
      <c r="FJ14" s="93"/>
      <c r="FK14" s="93"/>
      <c r="FL14" s="93"/>
      <c r="FM14" s="93"/>
      <c r="FN14" s="93"/>
      <c r="FO14" s="93"/>
      <c r="FP14" s="93"/>
      <c r="FQ14" s="93"/>
      <c r="FR14" s="93"/>
      <c r="FS14" s="93"/>
      <c r="FT14" s="93"/>
      <c r="FU14" s="93"/>
      <c r="FV14" s="93"/>
      <c r="FW14" s="93"/>
      <c r="FX14" s="93"/>
      <c r="FY14" s="93"/>
      <c r="FZ14" s="93"/>
      <c r="GA14" s="93"/>
      <c r="GB14" s="93"/>
      <c r="GC14" s="93"/>
      <c r="GD14" s="93"/>
      <c r="GE14" s="93"/>
      <c r="GF14" s="93"/>
      <c r="GG14" s="93"/>
      <c r="GH14" s="93"/>
      <c r="GI14" s="93"/>
      <c r="GJ14" s="93"/>
      <c r="GK14" s="93"/>
      <c r="GL14" s="93"/>
      <c r="GM14" s="93"/>
      <c r="GN14" s="93"/>
      <c r="GO14" s="93"/>
      <c r="GP14" s="88"/>
      <c r="GQ14" s="93"/>
      <c r="GR14" s="93"/>
      <c r="GS14" s="93"/>
      <c r="GT14" s="93"/>
      <c r="GU14" s="88"/>
      <c r="GV14" s="93"/>
      <c r="GW14" s="93"/>
      <c r="GX14" s="93"/>
      <c r="GY14" s="93"/>
      <c r="GZ14" s="88"/>
      <c r="HA14" s="93"/>
      <c r="HB14" s="93"/>
      <c r="HC14" s="93"/>
      <c r="HD14" s="93"/>
      <c r="HE14" s="88"/>
      <c r="HF14" s="93"/>
      <c r="HG14" s="93"/>
      <c r="HH14" s="93"/>
      <c r="HI14" s="93"/>
      <c r="HJ14" s="88"/>
      <c r="HK14" s="93"/>
      <c r="HL14" s="93"/>
      <c r="HM14" s="93"/>
      <c r="HN14" s="93"/>
      <c r="HO14" s="88"/>
      <c r="HP14" s="93"/>
      <c r="HQ14" s="93"/>
      <c r="HR14" s="93"/>
      <c r="HS14" s="93"/>
      <c r="HT14" s="88"/>
      <c r="HU14" s="93"/>
      <c r="HV14" s="93"/>
      <c r="HW14" s="93"/>
      <c r="HX14" s="93"/>
      <c r="HY14" s="88"/>
      <c r="HZ14" s="93"/>
      <c r="IA14" s="93"/>
      <c r="IB14" s="93"/>
      <c r="IC14" s="93"/>
      <c r="ID14" s="88"/>
      <c r="IE14" s="93"/>
      <c r="IF14" s="93"/>
      <c r="IG14" s="93"/>
      <c r="IH14" s="93"/>
      <c r="II14" s="88"/>
      <c r="IJ14" s="93"/>
      <c r="IK14" s="93"/>
      <c r="IL14" s="93"/>
      <c r="IM14" s="93"/>
      <c r="IN14" s="88"/>
      <c r="IO14" s="93"/>
      <c r="IP14" s="93"/>
      <c r="IQ14" s="93"/>
      <c r="IR14" s="93"/>
      <c r="IS14" s="88"/>
      <c r="IT14" s="93"/>
      <c r="IU14" s="93"/>
      <c r="IV14" s="93"/>
      <c r="IW14" s="93"/>
      <c r="IX14" s="88"/>
      <c r="IY14" s="93"/>
      <c r="IZ14" s="93"/>
      <c r="JA14" s="93"/>
      <c r="JB14" s="93"/>
      <c r="JC14" s="88"/>
      <c r="JD14" s="93"/>
      <c r="JE14" s="93"/>
      <c r="JF14" s="93"/>
      <c r="JG14" s="94"/>
      <c r="JH14" s="88"/>
      <c r="JI14" s="95"/>
      <c r="JJ14" s="93"/>
      <c r="JK14" s="93"/>
      <c r="JL14" s="94"/>
      <c r="JM14" s="89"/>
      <c r="JN14" s="96"/>
      <c r="JO14" s="84"/>
      <c r="JP14" s="95"/>
      <c r="JQ14" s="93"/>
      <c r="JR14" s="93"/>
      <c r="JS14" s="93"/>
      <c r="JT14" s="93"/>
      <c r="JU14" s="93"/>
      <c r="JV14" s="93"/>
      <c r="JW14" s="93"/>
      <c r="JX14" s="93"/>
      <c r="JY14" s="93"/>
      <c r="JZ14" s="93"/>
      <c r="KA14" s="93"/>
      <c r="KB14" s="93"/>
      <c r="KC14" s="93"/>
      <c r="KD14" s="93"/>
      <c r="KE14" s="93"/>
      <c r="KF14" s="93"/>
      <c r="KG14" s="93"/>
      <c r="KH14" s="93"/>
      <c r="KI14" s="93"/>
      <c r="KJ14" s="93"/>
      <c r="KK14" s="93"/>
      <c r="KL14" s="93"/>
      <c r="KM14" s="93"/>
      <c r="KN14" s="93"/>
      <c r="KO14" s="93"/>
      <c r="KP14" s="93"/>
      <c r="KQ14" s="93"/>
      <c r="KR14" s="93"/>
      <c r="KS14" s="93"/>
      <c r="KT14" s="93"/>
      <c r="KU14" s="93"/>
      <c r="KV14" s="93"/>
      <c r="KW14" s="93"/>
      <c r="KX14" s="93"/>
      <c r="KY14" s="93"/>
      <c r="KZ14" s="93"/>
      <c r="LA14" s="93"/>
      <c r="LB14" s="93"/>
      <c r="LC14" s="93"/>
      <c r="LD14" s="93"/>
      <c r="LE14" s="93"/>
      <c r="LF14" s="93"/>
      <c r="LG14" s="93"/>
      <c r="LH14" s="93"/>
      <c r="LI14" s="93"/>
      <c r="LJ14" s="93"/>
      <c r="LK14" s="93"/>
      <c r="LL14" s="93"/>
      <c r="LM14" s="93"/>
      <c r="LN14" s="93"/>
      <c r="LO14" s="93"/>
      <c r="LP14" s="93"/>
      <c r="LQ14" s="93"/>
      <c r="LR14" s="93"/>
      <c r="LS14" s="93"/>
      <c r="LT14" s="93"/>
      <c r="LU14" s="93"/>
      <c r="LV14" s="93"/>
      <c r="LW14" s="93"/>
      <c r="LX14" s="93"/>
      <c r="LY14" s="93"/>
      <c r="LZ14" s="93"/>
      <c r="MA14" s="93"/>
      <c r="MB14" s="93"/>
      <c r="MC14" s="93"/>
      <c r="MD14" s="92"/>
      <c r="ME14" s="92"/>
      <c r="MF14" s="92"/>
      <c r="MG14" s="92"/>
      <c r="MH14" s="92"/>
      <c r="MI14" s="92"/>
      <c r="MJ14" s="92"/>
      <c r="MK14" s="92"/>
      <c r="ML14" s="92"/>
      <c r="MM14" s="92"/>
      <c r="MN14" s="92"/>
      <c r="MO14" s="92"/>
      <c r="MP14" s="92"/>
      <c r="MQ14" s="92"/>
      <c r="MR14" s="92"/>
      <c r="MS14" s="92"/>
      <c r="MT14" s="92"/>
      <c r="MU14" s="92"/>
      <c r="MV14" s="92"/>
      <c r="MW14" s="92"/>
      <c r="MX14" s="92"/>
      <c r="MY14" s="92"/>
      <c r="MZ14" s="92"/>
      <c r="NA14" s="92"/>
      <c r="NB14" s="92"/>
      <c r="NC14" s="92"/>
      <c r="ND14" s="92"/>
      <c r="NE14" s="92"/>
      <c r="NF14" s="92"/>
      <c r="NG14" s="92"/>
      <c r="NH14" s="92"/>
      <c r="NI14" s="92"/>
      <c r="NJ14" s="92"/>
      <c r="NK14" s="92"/>
      <c r="NL14" s="92"/>
      <c r="NM14" s="92"/>
      <c r="NN14" s="92"/>
      <c r="NO14" s="92"/>
      <c r="NP14" s="92"/>
      <c r="NQ14" s="92"/>
      <c r="NR14" s="92"/>
      <c r="NS14" s="92"/>
      <c r="NT14" s="92"/>
      <c r="NU14" s="92"/>
      <c r="NV14" s="92"/>
      <c r="NW14" s="92"/>
      <c r="NX14" s="92"/>
      <c r="NY14" s="93"/>
      <c r="NZ14" s="93"/>
    </row>
    <row r="15" spans="1:390" ht="15.75" customHeight="1" x14ac:dyDescent="0.3">
      <c r="A15" s="98">
        <v>6163514831</v>
      </c>
      <c r="B15" s="87" t="s">
        <v>392</v>
      </c>
      <c r="C15" s="84" t="s">
        <v>393</v>
      </c>
      <c r="D15" s="87" t="s">
        <v>392</v>
      </c>
      <c r="E15" s="93" t="s">
        <v>451</v>
      </c>
      <c r="F15" s="93" t="s">
        <v>443</v>
      </c>
      <c r="G15" s="93" t="s">
        <v>452</v>
      </c>
      <c r="H15" s="166">
        <v>43773</v>
      </c>
      <c r="I15" s="93" t="s">
        <v>453</v>
      </c>
      <c r="J15" s="234" t="s">
        <v>398</v>
      </c>
      <c r="K15" s="93" t="s">
        <v>399</v>
      </c>
      <c r="L15" s="93" t="s">
        <v>399</v>
      </c>
      <c r="M15" s="93" t="s">
        <v>399</v>
      </c>
      <c r="N15" s="93" t="s">
        <v>399</v>
      </c>
      <c r="O15" s="93" t="s">
        <v>399</v>
      </c>
      <c r="P15" s="93" t="s">
        <v>399</v>
      </c>
      <c r="Q15" s="93" t="s">
        <v>399</v>
      </c>
      <c r="R15" s="93" t="s">
        <v>399</v>
      </c>
      <c r="S15" s="93" t="s">
        <v>399</v>
      </c>
      <c r="T15" s="93" t="s">
        <v>399</v>
      </c>
      <c r="U15" s="93" t="s">
        <v>399</v>
      </c>
      <c r="V15" s="93" t="s">
        <v>399</v>
      </c>
      <c r="W15" s="93" t="s">
        <v>399</v>
      </c>
      <c r="X15" s="93" t="s">
        <v>399</v>
      </c>
      <c r="Y15" s="93" t="s">
        <v>399</v>
      </c>
      <c r="Z15" s="93" t="s">
        <v>399</v>
      </c>
      <c r="AA15" s="93" t="s">
        <v>399</v>
      </c>
      <c r="AB15" s="152" t="s">
        <v>400</v>
      </c>
      <c r="AC15" s="166">
        <v>16253</v>
      </c>
      <c r="AD15" s="167">
        <v>43739</v>
      </c>
      <c r="AE15" s="86">
        <f t="shared" si="1"/>
        <v>75</v>
      </c>
      <c r="AF15" s="108" t="s">
        <v>401</v>
      </c>
      <c r="AG15" s="84" t="s">
        <v>402</v>
      </c>
      <c r="AH15" s="163" t="s">
        <v>403</v>
      </c>
      <c r="AI15" s="232">
        <v>2</v>
      </c>
      <c r="AJ15" s="163">
        <v>0</v>
      </c>
      <c r="AK15" s="163" t="s">
        <v>405</v>
      </c>
      <c r="AL15" s="172">
        <v>0</v>
      </c>
      <c r="AM15" s="247" t="s">
        <v>423</v>
      </c>
      <c r="AN15" s="170">
        <v>3</v>
      </c>
      <c r="AO15" s="109" t="s">
        <v>399</v>
      </c>
      <c r="AP15" s="88"/>
      <c r="AQ15" s="95"/>
      <c r="AR15" s="88"/>
      <c r="AS15" s="93"/>
      <c r="AT15" s="93"/>
      <c r="AU15" s="93"/>
      <c r="AV15" s="93"/>
      <c r="AW15" s="88"/>
      <c r="AX15" s="93"/>
      <c r="AY15" s="93"/>
      <c r="AZ15" s="93"/>
      <c r="BA15" s="93"/>
      <c r="BB15" s="88"/>
      <c r="BC15" s="93"/>
      <c r="BD15" s="93"/>
      <c r="BE15" s="93"/>
      <c r="BF15" s="93"/>
      <c r="BG15" s="88"/>
      <c r="BH15" s="93"/>
      <c r="BI15" s="93"/>
      <c r="BJ15" s="93"/>
      <c r="BK15" s="93"/>
      <c r="BL15" s="88"/>
      <c r="BM15" s="93"/>
      <c r="BN15" s="93"/>
      <c r="BO15" s="93"/>
      <c r="BP15" s="93"/>
      <c r="BQ15" s="88"/>
      <c r="BR15" s="93"/>
      <c r="BS15" s="93"/>
      <c r="BT15" s="93"/>
      <c r="BU15" s="93"/>
      <c r="BV15" s="88"/>
      <c r="BW15" s="93"/>
      <c r="BX15" s="93"/>
      <c r="BY15" s="93"/>
      <c r="BZ15" s="93"/>
      <c r="CA15" s="88"/>
      <c r="CB15" s="93"/>
      <c r="CC15" s="93"/>
      <c r="CD15" s="93"/>
      <c r="CE15" s="93"/>
      <c r="CF15" s="88"/>
      <c r="CG15" s="93"/>
      <c r="CH15" s="93"/>
      <c r="CI15" s="93"/>
      <c r="CJ15" s="93"/>
      <c r="CK15" s="88"/>
      <c r="CL15" s="93"/>
      <c r="CM15" s="93"/>
      <c r="CN15" s="93"/>
      <c r="CO15" s="93"/>
      <c r="CP15" s="88"/>
      <c r="CQ15" s="93"/>
      <c r="CR15" s="93"/>
      <c r="CS15" s="93"/>
      <c r="CT15" s="93"/>
      <c r="CU15" s="88"/>
      <c r="CV15" s="93"/>
      <c r="CW15" s="93"/>
      <c r="CX15" s="93"/>
      <c r="CY15" s="93"/>
      <c r="CZ15" s="88"/>
      <c r="DA15" s="93"/>
      <c r="DB15" s="93"/>
      <c r="DC15" s="93"/>
      <c r="DD15" s="93"/>
      <c r="DE15" s="88"/>
      <c r="DF15" s="93"/>
      <c r="DG15" s="93"/>
      <c r="DH15" s="93"/>
      <c r="DI15" s="93"/>
      <c r="DJ15" s="88"/>
      <c r="DK15" s="93"/>
      <c r="DL15" s="93"/>
      <c r="DM15" s="93"/>
      <c r="DN15" s="93"/>
      <c r="DO15" s="88"/>
      <c r="DP15" s="93"/>
      <c r="DQ15" s="93"/>
      <c r="DR15" s="93"/>
      <c r="DS15" s="93"/>
      <c r="DT15" s="88"/>
      <c r="DU15" s="93"/>
      <c r="DV15" s="93"/>
      <c r="DW15" s="93"/>
      <c r="DX15" s="93"/>
      <c r="DY15" s="88"/>
      <c r="DZ15" s="93"/>
      <c r="EA15" s="93"/>
      <c r="EB15" s="93"/>
      <c r="EC15" s="93"/>
      <c r="ED15" s="88"/>
      <c r="EE15" s="93"/>
      <c r="EF15" s="93"/>
      <c r="EG15" s="93"/>
      <c r="EH15" s="93"/>
      <c r="EI15" s="88"/>
      <c r="EJ15" s="93"/>
      <c r="EK15" s="93"/>
      <c r="EL15" s="93"/>
      <c r="EM15" s="93"/>
      <c r="EN15" s="88"/>
      <c r="EO15" s="93"/>
      <c r="EP15" s="93"/>
      <c r="EQ15" s="93"/>
      <c r="ER15" s="93"/>
      <c r="ES15" s="88"/>
      <c r="ET15" s="93"/>
      <c r="EU15" s="93"/>
      <c r="EV15" s="93"/>
      <c r="EW15" s="93"/>
      <c r="EX15" s="88"/>
      <c r="EY15" s="93"/>
      <c r="EZ15" s="93"/>
      <c r="FA15" s="93"/>
      <c r="FB15" s="93"/>
      <c r="FC15" s="88"/>
      <c r="FD15" s="93"/>
      <c r="FE15" s="93"/>
      <c r="FF15" s="93"/>
      <c r="FG15" s="93"/>
      <c r="FH15" s="88"/>
      <c r="FI15" s="93"/>
      <c r="FJ15" s="93"/>
      <c r="FK15" s="93"/>
      <c r="FL15" s="93"/>
      <c r="FM15" s="93"/>
      <c r="FN15" s="93"/>
      <c r="FO15" s="93"/>
      <c r="FP15" s="93"/>
      <c r="FQ15" s="93"/>
      <c r="FR15" s="93"/>
      <c r="FS15" s="93"/>
      <c r="FT15" s="93"/>
      <c r="FU15" s="93"/>
      <c r="FV15" s="93"/>
      <c r="FW15" s="93"/>
      <c r="FX15" s="93"/>
      <c r="FY15" s="93"/>
      <c r="FZ15" s="93"/>
      <c r="GA15" s="93"/>
      <c r="GB15" s="93"/>
      <c r="GC15" s="93"/>
      <c r="GD15" s="93"/>
      <c r="GE15" s="93"/>
      <c r="GF15" s="93"/>
      <c r="GG15" s="93"/>
      <c r="GH15" s="93"/>
      <c r="GI15" s="93"/>
      <c r="GJ15" s="93"/>
      <c r="GK15" s="93"/>
      <c r="GL15" s="93"/>
      <c r="GM15" s="93"/>
      <c r="GN15" s="93"/>
      <c r="GO15" s="93"/>
      <c r="GP15" s="88"/>
      <c r="GQ15" s="93"/>
      <c r="GR15" s="93"/>
      <c r="GS15" s="93"/>
      <c r="GT15" s="93"/>
      <c r="GU15" s="88"/>
      <c r="GV15" s="93"/>
      <c r="GW15" s="93"/>
      <c r="GX15" s="93"/>
      <c r="GY15" s="93"/>
      <c r="GZ15" s="88"/>
      <c r="HA15" s="93"/>
      <c r="HB15" s="93"/>
      <c r="HC15" s="93"/>
      <c r="HD15" s="93"/>
      <c r="HE15" s="88"/>
      <c r="HF15" s="93"/>
      <c r="HG15" s="93"/>
      <c r="HH15" s="93"/>
      <c r="HI15" s="93"/>
      <c r="HJ15" s="88"/>
      <c r="HK15" s="93"/>
      <c r="HL15" s="93"/>
      <c r="HM15" s="93"/>
      <c r="HN15" s="93"/>
      <c r="HO15" s="88"/>
      <c r="HP15" s="93"/>
      <c r="HQ15" s="93"/>
      <c r="HR15" s="93"/>
      <c r="HS15" s="93"/>
      <c r="HT15" s="88"/>
      <c r="HU15" s="93"/>
      <c r="HV15" s="93"/>
      <c r="HW15" s="93"/>
      <c r="HX15" s="93"/>
      <c r="HY15" s="88"/>
      <c r="HZ15" s="93"/>
      <c r="IA15" s="93"/>
      <c r="IB15" s="93"/>
      <c r="IC15" s="93"/>
      <c r="ID15" s="88"/>
      <c r="IE15" s="93"/>
      <c r="IF15" s="93"/>
      <c r="IG15" s="93"/>
      <c r="IH15" s="93"/>
      <c r="II15" s="88"/>
      <c r="IJ15" s="93"/>
      <c r="IK15" s="93"/>
      <c r="IL15" s="93"/>
      <c r="IM15" s="93"/>
      <c r="IN15" s="88"/>
      <c r="IO15" s="93"/>
      <c r="IP15" s="93"/>
      <c r="IQ15" s="93"/>
      <c r="IR15" s="93"/>
      <c r="IS15" s="88"/>
      <c r="IT15" s="93"/>
      <c r="IU15" s="93"/>
      <c r="IV15" s="93"/>
      <c r="IW15" s="93"/>
      <c r="IX15" s="88"/>
      <c r="IY15" s="93"/>
      <c r="IZ15" s="93"/>
      <c r="JA15" s="93"/>
      <c r="JB15" s="93"/>
      <c r="JC15" s="88"/>
      <c r="JD15" s="93"/>
      <c r="JE15" s="93"/>
      <c r="JF15" s="93"/>
      <c r="JG15" s="94"/>
      <c r="JH15" s="88"/>
      <c r="JI15" s="95"/>
      <c r="JJ15" s="93"/>
      <c r="JK15" s="93"/>
      <c r="JL15" s="94"/>
      <c r="JM15" s="89"/>
      <c r="JN15" s="96"/>
      <c r="JO15" s="84"/>
      <c r="JP15" s="95"/>
      <c r="JQ15" s="93"/>
      <c r="JR15" s="93"/>
      <c r="JS15" s="93"/>
      <c r="JT15" s="93"/>
      <c r="JU15" s="93"/>
      <c r="JV15" s="93"/>
      <c r="JW15" s="93"/>
      <c r="JX15" s="93"/>
      <c r="JY15" s="93"/>
      <c r="JZ15" s="93"/>
      <c r="KA15" s="93"/>
      <c r="KB15" s="93"/>
      <c r="KC15" s="93"/>
      <c r="KD15" s="93"/>
      <c r="KE15" s="93"/>
      <c r="KF15" s="93"/>
      <c r="KG15" s="93"/>
      <c r="KH15" s="93"/>
      <c r="KI15" s="93"/>
      <c r="KJ15" s="93"/>
      <c r="KK15" s="93"/>
      <c r="KL15" s="93"/>
      <c r="KM15" s="93"/>
      <c r="KN15" s="93"/>
      <c r="KO15" s="93"/>
      <c r="KP15" s="93"/>
      <c r="KQ15" s="93"/>
      <c r="KR15" s="93"/>
      <c r="KS15" s="93"/>
      <c r="KT15" s="93"/>
      <c r="KU15" s="93"/>
      <c r="KV15" s="93"/>
      <c r="KW15" s="93"/>
      <c r="KX15" s="93"/>
      <c r="KY15" s="93"/>
      <c r="KZ15" s="93"/>
      <c r="LA15" s="93"/>
      <c r="LB15" s="93"/>
      <c r="LC15" s="93"/>
      <c r="LD15" s="93"/>
      <c r="LE15" s="93"/>
      <c r="LF15" s="93"/>
      <c r="LG15" s="93"/>
      <c r="LH15" s="93"/>
      <c r="LI15" s="93"/>
      <c r="LJ15" s="93"/>
      <c r="LK15" s="93"/>
      <c r="LL15" s="93"/>
      <c r="LM15" s="93"/>
      <c r="LN15" s="93"/>
      <c r="LO15" s="93"/>
      <c r="LP15" s="93"/>
      <c r="LQ15" s="93"/>
      <c r="LR15" s="93"/>
      <c r="LS15" s="93"/>
      <c r="LT15" s="93"/>
      <c r="LU15" s="93"/>
      <c r="LV15" s="93"/>
      <c r="LW15" s="93"/>
      <c r="LX15" s="93"/>
      <c r="LY15" s="93"/>
      <c r="LZ15" s="93"/>
      <c r="MA15" s="93"/>
      <c r="MB15" s="93"/>
      <c r="MC15" s="93"/>
      <c r="MD15" s="92"/>
      <c r="ME15" s="92"/>
      <c r="MF15" s="92"/>
      <c r="MG15" s="92"/>
      <c r="MH15" s="92"/>
      <c r="MI15" s="92"/>
      <c r="MJ15" s="92"/>
      <c r="MK15" s="92"/>
      <c r="ML15" s="92"/>
      <c r="MM15" s="92"/>
      <c r="MN15" s="92"/>
      <c r="MO15" s="92"/>
      <c r="MP15" s="92"/>
      <c r="MQ15" s="92"/>
      <c r="MR15" s="92"/>
      <c r="MS15" s="92"/>
      <c r="MT15" s="92"/>
      <c r="MU15" s="92"/>
      <c r="MV15" s="92"/>
      <c r="MW15" s="92"/>
      <c r="MX15" s="92"/>
      <c r="MY15" s="92"/>
      <c r="MZ15" s="92"/>
      <c r="NA15" s="92"/>
      <c r="NB15" s="92"/>
      <c r="NC15" s="92"/>
      <c r="ND15" s="92"/>
      <c r="NE15" s="92"/>
      <c r="NF15" s="92"/>
      <c r="NG15" s="92"/>
      <c r="NH15" s="92"/>
      <c r="NI15" s="92"/>
      <c r="NJ15" s="92"/>
      <c r="NK15" s="92"/>
      <c r="NL15" s="92"/>
      <c r="NM15" s="92"/>
      <c r="NN15" s="92"/>
      <c r="NO15" s="92"/>
      <c r="NP15" s="92"/>
      <c r="NQ15" s="92"/>
      <c r="NR15" s="92"/>
      <c r="NS15" s="92"/>
      <c r="NT15" s="92"/>
      <c r="NU15" s="92"/>
      <c r="NV15" s="92"/>
      <c r="NW15" s="92"/>
      <c r="NX15" s="92"/>
      <c r="NY15" s="93"/>
      <c r="NZ15" s="93"/>
    </row>
    <row r="16" spans="1:390" ht="15.75" customHeight="1" x14ac:dyDescent="0.3">
      <c r="A16" s="98">
        <v>4807687875</v>
      </c>
      <c r="B16" s="87" t="s">
        <v>392</v>
      </c>
      <c r="C16" s="84" t="s">
        <v>393</v>
      </c>
      <c r="D16" s="87" t="s">
        <v>392</v>
      </c>
      <c r="E16" s="93" t="s">
        <v>454</v>
      </c>
      <c r="F16" s="93" t="s">
        <v>455</v>
      </c>
      <c r="G16" s="93" t="s">
        <v>399</v>
      </c>
      <c r="H16" s="166">
        <v>43788</v>
      </c>
      <c r="I16" s="92" t="s">
        <v>430</v>
      </c>
      <c r="J16" s="234" t="s">
        <v>398</v>
      </c>
      <c r="K16" s="93" t="s">
        <v>399</v>
      </c>
      <c r="L16" s="93" t="s">
        <v>399</v>
      </c>
      <c r="M16" s="93" t="s">
        <v>399</v>
      </c>
      <c r="N16" s="93" t="s">
        <v>399</v>
      </c>
      <c r="O16" s="93" t="s">
        <v>399</v>
      </c>
      <c r="P16" s="93" t="s">
        <v>399</v>
      </c>
      <c r="Q16" s="93" t="s">
        <v>399</v>
      </c>
      <c r="R16" s="93" t="s">
        <v>399</v>
      </c>
      <c r="S16" s="93" t="s">
        <v>399</v>
      </c>
      <c r="T16" s="93" t="s">
        <v>399</v>
      </c>
      <c r="U16" s="93" t="s">
        <v>399</v>
      </c>
      <c r="V16" s="93" t="s">
        <v>399</v>
      </c>
      <c r="W16" s="93" t="s">
        <v>399</v>
      </c>
      <c r="X16" s="93" t="s">
        <v>399</v>
      </c>
      <c r="Y16" s="93" t="s">
        <v>399</v>
      </c>
      <c r="Z16" s="93" t="s">
        <v>399</v>
      </c>
      <c r="AA16" s="93" t="s">
        <v>399</v>
      </c>
      <c r="AB16" s="152" t="s">
        <v>400</v>
      </c>
      <c r="AC16" s="166">
        <v>23149</v>
      </c>
      <c r="AD16" s="167">
        <v>43739</v>
      </c>
      <c r="AE16" s="86">
        <f t="shared" si="1"/>
        <v>56</v>
      </c>
      <c r="AF16" s="108" t="s">
        <v>401</v>
      </c>
      <c r="AG16" s="84" t="s">
        <v>402</v>
      </c>
      <c r="AH16" s="163" t="s">
        <v>403</v>
      </c>
      <c r="AI16" s="163" t="s">
        <v>404</v>
      </c>
      <c r="AJ16" s="232" t="s">
        <v>405</v>
      </c>
      <c r="AK16" s="163" t="s">
        <v>405</v>
      </c>
      <c r="AL16" s="172">
        <v>0</v>
      </c>
      <c r="AM16" s="89" t="s">
        <v>406</v>
      </c>
      <c r="AN16" s="170">
        <v>1</v>
      </c>
      <c r="AO16" s="109" t="s">
        <v>399</v>
      </c>
      <c r="AP16" s="88"/>
      <c r="AQ16" s="95"/>
      <c r="AR16" s="88"/>
      <c r="AS16" s="93"/>
      <c r="AT16" s="93"/>
      <c r="AU16" s="93"/>
      <c r="AV16" s="93"/>
      <c r="AW16" s="88"/>
      <c r="AX16" s="93"/>
      <c r="AY16" s="93"/>
      <c r="AZ16" s="93"/>
      <c r="BA16" s="93"/>
      <c r="BB16" s="88"/>
      <c r="BC16" s="93"/>
      <c r="BD16" s="93"/>
      <c r="BE16" s="93"/>
      <c r="BF16" s="93"/>
      <c r="BG16" s="88"/>
      <c r="BH16" s="93"/>
      <c r="BI16" s="93"/>
      <c r="BJ16" s="93"/>
      <c r="BK16" s="93"/>
      <c r="BL16" s="88"/>
      <c r="BM16" s="93"/>
      <c r="BN16" s="93"/>
      <c r="BO16" s="93"/>
      <c r="BP16" s="93"/>
      <c r="BQ16" s="88"/>
      <c r="BR16" s="93"/>
      <c r="BS16" s="93"/>
      <c r="BT16" s="93"/>
      <c r="BU16" s="93"/>
      <c r="BV16" s="88"/>
      <c r="BW16" s="93"/>
      <c r="BX16" s="93"/>
      <c r="BY16" s="93"/>
      <c r="BZ16" s="93"/>
      <c r="CA16" s="88"/>
      <c r="CB16" s="93"/>
      <c r="CC16" s="93"/>
      <c r="CD16" s="93"/>
      <c r="CE16" s="93"/>
      <c r="CF16" s="88"/>
      <c r="CG16" s="93"/>
      <c r="CH16" s="93"/>
      <c r="CI16" s="93"/>
      <c r="CJ16" s="93"/>
      <c r="CK16" s="88"/>
      <c r="CL16" s="93"/>
      <c r="CM16" s="93"/>
      <c r="CN16" s="93"/>
      <c r="CO16" s="93"/>
      <c r="CP16" s="88"/>
      <c r="CQ16" s="93"/>
      <c r="CR16" s="93"/>
      <c r="CS16" s="93"/>
      <c r="CT16" s="93"/>
      <c r="CU16" s="88"/>
      <c r="CV16" s="93"/>
      <c r="CW16" s="93"/>
      <c r="CX16" s="93"/>
      <c r="CY16" s="93"/>
      <c r="CZ16" s="88"/>
      <c r="DA16" s="93"/>
      <c r="DB16" s="93"/>
      <c r="DC16" s="93"/>
      <c r="DD16" s="93"/>
      <c r="DE16" s="88"/>
      <c r="DF16" s="93"/>
      <c r="DG16" s="93"/>
      <c r="DH16" s="93"/>
      <c r="DI16" s="93"/>
      <c r="DJ16" s="88"/>
      <c r="DK16" s="93"/>
      <c r="DL16" s="93"/>
      <c r="DM16" s="93"/>
      <c r="DN16" s="93"/>
      <c r="DO16" s="88"/>
      <c r="DP16" s="93"/>
      <c r="DQ16" s="93"/>
      <c r="DR16" s="93"/>
      <c r="DS16" s="93"/>
      <c r="DT16" s="88"/>
      <c r="DU16" s="93"/>
      <c r="DV16" s="93"/>
      <c r="DW16" s="93"/>
      <c r="DX16" s="93"/>
      <c r="DY16" s="88"/>
      <c r="DZ16" s="93"/>
      <c r="EA16" s="93"/>
      <c r="EB16" s="93"/>
      <c r="EC16" s="93"/>
      <c r="ED16" s="88"/>
      <c r="EE16" s="93"/>
      <c r="EF16" s="93"/>
      <c r="EG16" s="93"/>
      <c r="EH16" s="93"/>
      <c r="EI16" s="88"/>
      <c r="EJ16" s="93"/>
      <c r="EK16" s="93"/>
      <c r="EL16" s="93"/>
      <c r="EM16" s="93"/>
      <c r="EN16" s="88"/>
      <c r="EO16" s="93"/>
      <c r="EP16" s="93"/>
      <c r="EQ16" s="93"/>
      <c r="ER16" s="93"/>
      <c r="ES16" s="88"/>
      <c r="ET16" s="93"/>
      <c r="EU16" s="93"/>
      <c r="EV16" s="93"/>
      <c r="EW16" s="93"/>
      <c r="EX16" s="88"/>
      <c r="EY16" s="93"/>
      <c r="EZ16" s="93"/>
      <c r="FA16" s="93"/>
      <c r="FB16" s="93"/>
      <c r="FC16" s="88"/>
      <c r="FD16" s="93"/>
      <c r="FE16" s="93"/>
      <c r="FF16" s="93"/>
      <c r="FG16" s="93"/>
      <c r="FH16" s="88"/>
      <c r="FI16" s="93"/>
      <c r="FJ16" s="93"/>
      <c r="FK16" s="93"/>
      <c r="FL16" s="93"/>
      <c r="FM16" s="93"/>
      <c r="FN16" s="93"/>
      <c r="FO16" s="93"/>
      <c r="FP16" s="93"/>
      <c r="FQ16" s="93"/>
      <c r="FR16" s="93"/>
      <c r="FS16" s="93"/>
      <c r="FT16" s="93"/>
      <c r="FU16" s="93"/>
      <c r="FV16" s="93"/>
      <c r="FW16" s="93"/>
      <c r="FX16" s="93"/>
      <c r="FY16" s="93"/>
      <c r="FZ16" s="93"/>
      <c r="GA16" s="93"/>
      <c r="GB16" s="93"/>
      <c r="GC16" s="93"/>
      <c r="GD16" s="93"/>
      <c r="GE16" s="93"/>
      <c r="GF16" s="93"/>
      <c r="GG16" s="93"/>
      <c r="GH16" s="93"/>
      <c r="GI16" s="93"/>
      <c r="GJ16" s="93"/>
      <c r="GK16" s="93"/>
      <c r="GL16" s="93"/>
      <c r="GM16" s="93"/>
      <c r="GN16" s="93"/>
      <c r="GO16" s="93"/>
      <c r="GP16" s="88"/>
      <c r="GQ16" s="93"/>
      <c r="GR16" s="93"/>
      <c r="GS16" s="93"/>
      <c r="GT16" s="93"/>
      <c r="GU16" s="88"/>
      <c r="GV16" s="93"/>
      <c r="GW16" s="93"/>
      <c r="GX16" s="93"/>
      <c r="GY16" s="93"/>
      <c r="GZ16" s="88"/>
      <c r="HA16" s="93"/>
      <c r="HB16" s="93"/>
      <c r="HC16" s="93"/>
      <c r="HD16" s="93"/>
      <c r="HE16" s="88"/>
      <c r="HF16" s="93"/>
      <c r="HG16" s="93"/>
      <c r="HH16" s="93"/>
      <c r="HI16" s="93"/>
      <c r="HJ16" s="88"/>
      <c r="HK16" s="93"/>
      <c r="HL16" s="93"/>
      <c r="HM16" s="93"/>
      <c r="HN16" s="93"/>
      <c r="HO16" s="88"/>
      <c r="HP16" s="93"/>
      <c r="HQ16" s="93"/>
      <c r="HR16" s="93"/>
      <c r="HS16" s="93"/>
      <c r="HT16" s="88"/>
      <c r="HU16" s="93"/>
      <c r="HV16" s="93"/>
      <c r="HW16" s="93"/>
      <c r="HX16" s="93"/>
      <c r="HY16" s="88"/>
      <c r="HZ16" s="93"/>
      <c r="IA16" s="93"/>
      <c r="IB16" s="93"/>
      <c r="IC16" s="93"/>
      <c r="ID16" s="88"/>
      <c r="IE16" s="93"/>
      <c r="IF16" s="93"/>
      <c r="IG16" s="93"/>
      <c r="IH16" s="93"/>
      <c r="II16" s="88"/>
      <c r="IJ16" s="93"/>
      <c r="IK16" s="93"/>
      <c r="IL16" s="93"/>
      <c r="IM16" s="93"/>
      <c r="IN16" s="88"/>
      <c r="IO16" s="93"/>
      <c r="IP16" s="93"/>
      <c r="IQ16" s="93"/>
      <c r="IR16" s="93"/>
      <c r="IS16" s="88"/>
      <c r="IT16" s="93"/>
      <c r="IU16" s="93"/>
      <c r="IV16" s="93"/>
      <c r="IW16" s="93"/>
      <c r="IX16" s="88"/>
      <c r="IY16" s="93"/>
      <c r="IZ16" s="93"/>
      <c r="JA16" s="93"/>
      <c r="JB16" s="93"/>
      <c r="JC16" s="88"/>
      <c r="JD16" s="93"/>
      <c r="JE16" s="93"/>
      <c r="JF16" s="93"/>
      <c r="JG16" s="94"/>
      <c r="JH16" s="88"/>
      <c r="JI16" s="95"/>
      <c r="JJ16" s="93"/>
      <c r="JK16" s="93"/>
      <c r="JL16" s="94"/>
      <c r="JM16" s="89"/>
      <c r="JN16" s="96"/>
      <c r="JO16" s="84"/>
      <c r="JP16" s="95"/>
      <c r="JQ16" s="93"/>
      <c r="JR16" s="93"/>
      <c r="JS16" s="93"/>
      <c r="JT16" s="93"/>
      <c r="JU16" s="93"/>
      <c r="JV16" s="93"/>
      <c r="JW16" s="93"/>
      <c r="JX16" s="93"/>
      <c r="JY16" s="93"/>
      <c r="JZ16" s="93"/>
      <c r="KA16" s="93"/>
      <c r="KB16" s="93"/>
      <c r="KC16" s="93"/>
      <c r="KD16" s="93"/>
      <c r="KE16" s="93"/>
      <c r="KF16" s="93"/>
      <c r="KG16" s="93"/>
      <c r="KH16" s="93"/>
      <c r="KI16" s="93"/>
      <c r="KJ16" s="93"/>
      <c r="KK16" s="93"/>
      <c r="KL16" s="93"/>
      <c r="KM16" s="93"/>
      <c r="KN16" s="93"/>
      <c r="KO16" s="93"/>
      <c r="KP16" s="93"/>
      <c r="KQ16" s="93"/>
      <c r="KR16" s="93"/>
      <c r="KS16" s="93"/>
      <c r="KT16" s="93"/>
      <c r="KU16" s="93"/>
      <c r="KV16" s="93"/>
      <c r="KW16" s="93"/>
      <c r="KX16" s="93"/>
      <c r="KY16" s="93"/>
      <c r="KZ16" s="93"/>
      <c r="LA16" s="93"/>
      <c r="LB16" s="93"/>
      <c r="LC16" s="93"/>
      <c r="LD16" s="93"/>
      <c r="LE16" s="93"/>
      <c r="LF16" s="93"/>
      <c r="LG16" s="93"/>
      <c r="LH16" s="93"/>
      <c r="LI16" s="93"/>
      <c r="LJ16" s="93"/>
      <c r="LK16" s="93"/>
      <c r="LL16" s="93"/>
      <c r="LM16" s="93"/>
      <c r="LN16" s="93"/>
      <c r="LO16" s="93"/>
      <c r="LP16" s="93"/>
      <c r="LQ16" s="93"/>
      <c r="LR16" s="93"/>
      <c r="LS16" s="93"/>
      <c r="LT16" s="93"/>
      <c r="LU16" s="93"/>
      <c r="LV16" s="93"/>
      <c r="LW16" s="93"/>
      <c r="LX16" s="93"/>
      <c r="LY16" s="93"/>
      <c r="LZ16" s="93"/>
      <c r="MA16" s="93"/>
      <c r="MB16" s="93"/>
      <c r="MC16" s="93"/>
      <c r="MD16" s="92"/>
      <c r="ME16" s="92"/>
      <c r="MF16" s="92"/>
      <c r="MG16" s="92"/>
      <c r="MH16" s="92"/>
      <c r="MI16" s="92"/>
      <c r="MJ16" s="92"/>
      <c r="MK16" s="92"/>
      <c r="ML16" s="92"/>
      <c r="MM16" s="92"/>
      <c r="MN16" s="92"/>
      <c r="MO16" s="92"/>
      <c r="MP16" s="92"/>
      <c r="MQ16" s="92"/>
      <c r="MR16" s="92"/>
      <c r="MS16" s="92"/>
      <c r="MT16" s="92"/>
      <c r="MU16" s="92"/>
      <c r="MV16" s="92"/>
      <c r="MW16" s="92"/>
      <c r="MX16" s="92"/>
      <c r="MY16" s="92"/>
      <c r="MZ16" s="92"/>
      <c r="NA16" s="92"/>
      <c r="NB16" s="92"/>
      <c r="NC16" s="92"/>
      <c r="ND16" s="92"/>
      <c r="NE16" s="92"/>
      <c r="NF16" s="92"/>
      <c r="NG16" s="92"/>
      <c r="NH16" s="92"/>
      <c r="NI16" s="92"/>
      <c r="NJ16" s="92"/>
      <c r="NK16" s="92"/>
      <c r="NL16" s="92"/>
      <c r="NM16" s="92"/>
      <c r="NN16" s="92"/>
      <c r="NO16" s="92"/>
      <c r="NP16" s="92"/>
      <c r="NQ16" s="92"/>
      <c r="NR16" s="92"/>
      <c r="NS16" s="92"/>
      <c r="NT16" s="92"/>
      <c r="NU16" s="92"/>
      <c r="NV16" s="92"/>
      <c r="NW16" s="92"/>
      <c r="NX16" s="92"/>
      <c r="NY16" s="93"/>
      <c r="NZ16" s="93"/>
    </row>
    <row r="17" spans="1:390" ht="15.75" customHeight="1" x14ac:dyDescent="0.3">
      <c r="A17" s="98">
        <v>4109356563</v>
      </c>
      <c r="B17" s="87" t="s">
        <v>392</v>
      </c>
      <c r="C17" s="84" t="s">
        <v>393</v>
      </c>
      <c r="D17" s="87" t="s">
        <v>392</v>
      </c>
      <c r="E17" s="93" t="s">
        <v>456</v>
      </c>
      <c r="F17" s="93" t="s">
        <v>426</v>
      </c>
      <c r="G17" s="93" t="s">
        <v>425</v>
      </c>
      <c r="H17" s="166">
        <v>43819</v>
      </c>
      <c r="I17" s="93" t="s">
        <v>457</v>
      </c>
      <c r="J17" s="234" t="s">
        <v>398</v>
      </c>
      <c r="K17" s="93" t="s">
        <v>399</v>
      </c>
      <c r="L17" s="93" t="s">
        <v>399</v>
      </c>
      <c r="M17" s="93" t="s">
        <v>399</v>
      </c>
      <c r="N17" s="93" t="s">
        <v>399</v>
      </c>
      <c r="O17" s="93" t="s">
        <v>399</v>
      </c>
      <c r="P17" s="93" t="s">
        <v>399</v>
      </c>
      <c r="Q17" s="93" t="s">
        <v>399</v>
      </c>
      <c r="R17" s="93" t="s">
        <v>399</v>
      </c>
      <c r="S17" s="93" t="s">
        <v>399</v>
      </c>
      <c r="T17" s="93" t="s">
        <v>399</v>
      </c>
      <c r="U17" s="93" t="s">
        <v>399</v>
      </c>
      <c r="V17" s="93" t="s">
        <v>399</v>
      </c>
      <c r="W17" s="93" t="s">
        <v>399</v>
      </c>
      <c r="X17" s="93" t="s">
        <v>399</v>
      </c>
      <c r="Y17" s="93" t="s">
        <v>399</v>
      </c>
      <c r="Z17" s="93" t="s">
        <v>399</v>
      </c>
      <c r="AA17" s="93" t="s">
        <v>399</v>
      </c>
      <c r="AB17" s="152" t="s">
        <v>400</v>
      </c>
      <c r="AC17" s="166">
        <v>24603</v>
      </c>
      <c r="AD17" s="167">
        <v>43788</v>
      </c>
      <c r="AE17" s="86">
        <f t="shared" si="1"/>
        <v>52</v>
      </c>
      <c r="AF17" s="108" t="s">
        <v>401</v>
      </c>
      <c r="AG17" s="84" t="s">
        <v>402</v>
      </c>
      <c r="AH17" s="163" t="s">
        <v>403</v>
      </c>
      <c r="AI17" s="163" t="s">
        <v>405</v>
      </c>
      <c r="AJ17" s="163">
        <v>2</v>
      </c>
      <c r="AK17" s="163" t="s">
        <v>405</v>
      </c>
      <c r="AL17" s="172">
        <v>0</v>
      </c>
      <c r="AM17" s="89" t="s">
        <v>399</v>
      </c>
      <c r="AN17" s="170">
        <v>3</v>
      </c>
      <c r="AO17" s="109" t="s">
        <v>399</v>
      </c>
      <c r="AP17" s="88"/>
      <c r="AQ17" s="95"/>
      <c r="AR17" s="88"/>
      <c r="AS17" s="93"/>
      <c r="AT17" s="93"/>
      <c r="AU17" s="93"/>
      <c r="AV17" s="93"/>
      <c r="AW17" s="88"/>
      <c r="AX17" s="93"/>
      <c r="AY17" s="93"/>
      <c r="AZ17" s="93"/>
      <c r="BA17" s="93"/>
      <c r="BB17" s="88"/>
      <c r="BC17" s="93"/>
      <c r="BD17" s="93"/>
      <c r="BE17" s="93"/>
      <c r="BF17" s="93"/>
      <c r="BG17" s="88"/>
      <c r="BH17" s="93"/>
      <c r="BI17" s="93"/>
      <c r="BJ17" s="93"/>
      <c r="BK17" s="93"/>
      <c r="BL17" s="88"/>
      <c r="BM17" s="93"/>
      <c r="BN17" s="93"/>
      <c r="BO17" s="93"/>
      <c r="BP17" s="93"/>
      <c r="BQ17" s="88"/>
      <c r="BR17" s="93"/>
      <c r="BS17" s="93"/>
      <c r="BT17" s="93"/>
      <c r="BU17" s="93"/>
      <c r="BV17" s="88"/>
      <c r="BW17" s="93"/>
      <c r="BX17" s="93"/>
      <c r="BY17" s="93"/>
      <c r="BZ17" s="93"/>
      <c r="CA17" s="88"/>
      <c r="CB17" s="93"/>
      <c r="CC17" s="93"/>
      <c r="CD17" s="93"/>
      <c r="CE17" s="93"/>
      <c r="CF17" s="88"/>
      <c r="CG17" s="93"/>
      <c r="CH17" s="93"/>
      <c r="CI17" s="93"/>
      <c r="CJ17" s="93"/>
      <c r="CK17" s="88"/>
      <c r="CL17" s="93"/>
      <c r="CM17" s="93"/>
      <c r="CN17" s="93"/>
      <c r="CO17" s="93"/>
      <c r="CP17" s="88"/>
      <c r="CQ17" s="93"/>
      <c r="CR17" s="93"/>
      <c r="CS17" s="93"/>
      <c r="CT17" s="93"/>
      <c r="CU17" s="88"/>
      <c r="CV17" s="93"/>
      <c r="CW17" s="93"/>
      <c r="CX17" s="93"/>
      <c r="CY17" s="93"/>
      <c r="CZ17" s="88"/>
      <c r="DA17" s="93"/>
      <c r="DB17" s="93"/>
      <c r="DC17" s="93"/>
      <c r="DD17" s="93"/>
      <c r="DE17" s="88"/>
      <c r="DF17" s="93"/>
      <c r="DG17" s="93"/>
      <c r="DH17" s="93"/>
      <c r="DI17" s="93"/>
      <c r="DJ17" s="88"/>
      <c r="DK17" s="93"/>
      <c r="DL17" s="93"/>
      <c r="DM17" s="93"/>
      <c r="DN17" s="93"/>
      <c r="DO17" s="88"/>
      <c r="DP17" s="93"/>
      <c r="DQ17" s="93"/>
      <c r="DR17" s="93"/>
      <c r="DS17" s="93"/>
      <c r="DT17" s="88"/>
      <c r="DU17" s="93"/>
      <c r="DV17" s="93"/>
      <c r="DW17" s="93"/>
      <c r="DX17" s="93"/>
      <c r="DY17" s="88"/>
      <c r="DZ17" s="93"/>
      <c r="EA17" s="93"/>
      <c r="EB17" s="93"/>
      <c r="EC17" s="93"/>
      <c r="ED17" s="88"/>
      <c r="EE17" s="93"/>
      <c r="EF17" s="93"/>
      <c r="EG17" s="93"/>
      <c r="EH17" s="93"/>
      <c r="EI17" s="88"/>
      <c r="EJ17" s="93"/>
      <c r="EK17" s="93"/>
      <c r="EL17" s="93"/>
      <c r="EM17" s="93"/>
      <c r="EN17" s="88"/>
      <c r="EO17" s="93"/>
      <c r="EP17" s="93"/>
      <c r="EQ17" s="93"/>
      <c r="ER17" s="93"/>
      <c r="ES17" s="88"/>
      <c r="ET17" s="93"/>
      <c r="EU17" s="93"/>
      <c r="EV17" s="93"/>
      <c r="EW17" s="93"/>
      <c r="EX17" s="88"/>
      <c r="EY17" s="93"/>
      <c r="EZ17" s="93"/>
      <c r="FA17" s="93"/>
      <c r="FB17" s="93"/>
      <c r="FC17" s="88"/>
      <c r="FD17" s="93"/>
      <c r="FE17" s="93"/>
      <c r="FF17" s="93"/>
      <c r="FG17" s="93"/>
      <c r="FH17" s="88"/>
      <c r="FI17" s="93"/>
      <c r="FJ17" s="93"/>
      <c r="FK17" s="93"/>
      <c r="FL17" s="93"/>
      <c r="FM17" s="93"/>
      <c r="FN17" s="93"/>
      <c r="FO17" s="93"/>
      <c r="FP17" s="93"/>
      <c r="FQ17" s="93"/>
      <c r="FR17" s="93"/>
      <c r="FS17" s="93"/>
      <c r="FT17" s="93"/>
      <c r="FU17" s="93"/>
      <c r="FV17" s="93"/>
      <c r="FW17" s="93"/>
      <c r="FX17" s="93"/>
      <c r="FY17" s="93"/>
      <c r="FZ17" s="93"/>
      <c r="GA17" s="93"/>
      <c r="GB17" s="93"/>
      <c r="GC17" s="93"/>
      <c r="GD17" s="93"/>
      <c r="GE17" s="93"/>
      <c r="GF17" s="93"/>
      <c r="GG17" s="93"/>
      <c r="GH17" s="93"/>
      <c r="GI17" s="93"/>
      <c r="GJ17" s="93"/>
      <c r="GK17" s="93"/>
      <c r="GL17" s="93"/>
      <c r="GM17" s="93"/>
      <c r="GN17" s="93"/>
      <c r="GO17" s="93"/>
      <c r="GP17" s="88"/>
      <c r="GQ17" s="93"/>
      <c r="GR17" s="93"/>
      <c r="GS17" s="93"/>
      <c r="GT17" s="93"/>
      <c r="GU17" s="88"/>
      <c r="GV17" s="93"/>
      <c r="GW17" s="93"/>
      <c r="GX17" s="93"/>
      <c r="GY17" s="93"/>
      <c r="GZ17" s="88"/>
      <c r="HA17" s="93"/>
      <c r="HB17" s="93"/>
      <c r="HC17" s="93"/>
      <c r="HD17" s="93"/>
      <c r="HE17" s="88"/>
      <c r="HF17" s="93"/>
      <c r="HG17" s="93"/>
      <c r="HH17" s="93"/>
      <c r="HI17" s="93"/>
      <c r="HJ17" s="88"/>
      <c r="HK17" s="93"/>
      <c r="HL17" s="93"/>
      <c r="HM17" s="93"/>
      <c r="HN17" s="93"/>
      <c r="HO17" s="88"/>
      <c r="HP17" s="93"/>
      <c r="HQ17" s="93"/>
      <c r="HR17" s="93"/>
      <c r="HS17" s="93"/>
      <c r="HT17" s="88"/>
      <c r="HU17" s="93"/>
      <c r="HV17" s="93"/>
      <c r="HW17" s="93"/>
      <c r="HX17" s="93"/>
      <c r="HY17" s="88"/>
      <c r="HZ17" s="93"/>
      <c r="IA17" s="93"/>
      <c r="IB17" s="93"/>
      <c r="IC17" s="93"/>
      <c r="ID17" s="88"/>
      <c r="IE17" s="93"/>
      <c r="IF17" s="93"/>
      <c r="IG17" s="93"/>
      <c r="IH17" s="93"/>
      <c r="II17" s="88"/>
      <c r="IJ17" s="93"/>
      <c r="IK17" s="93"/>
      <c r="IL17" s="93"/>
      <c r="IM17" s="93"/>
      <c r="IN17" s="88"/>
      <c r="IO17" s="93"/>
      <c r="IP17" s="93"/>
      <c r="IQ17" s="93"/>
      <c r="IR17" s="93"/>
      <c r="IS17" s="88"/>
      <c r="IT17" s="93"/>
      <c r="IU17" s="93"/>
      <c r="IV17" s="93"/>
      <c r="IW17" s="93"/>
      <c r="IX17" s="88"/>
      <c r="IY17" s="93"/>
      <c r="IZ17" s="93"/>
      <c r="JA17" s="93"/>
      <c r="JB17" s="93"/>
      <c r="JC17" s="88"/>
      <c r="JD17" s="93"/>
      <c r="JE17" s="93"/>
      <c r="JF17" s="93"/>
      <c r="JG17" s="94"/>
      <c r="JH17" s="88"/>
      <c r="JI17" s="95"/>
      <c r="JJ17" s="93"/>
      <c r="JK17" s="93"/>
      <c r="JL17" s="94"/>
      <c r="JM17" s="89"/>
      <c r="JN17" s="96"/>
      <c r="JO17" s="84"/>
      <c r="JP17" s="95"/>
      <c r="JQ17" s="93"/>
      <c r="JR17" s="93"/>
      <c r="JS17" s="93"/>
      <c r="JT17" s="93"/>
      <c r="JU17" s="93"/>
      <c r="JV17" s="93"/>
      <c r="JW17" s="93"/>
      <c r="JX17" s="93"/>
      <c r="JY17" s="93"/>
      <c r="JZ17" s="93"/>
      <c r="KA17" s="93"/>
      <c r="KB17" s="93"/>
      <c r="KC17" s="93"/>
      <c r="KD17" s="93"/>
      <c r="KE17" s="93"/>
      <c r="KF17" s="93"/>
      <c r="KG17" s="93"/>
      <c r="KH17" s="93"/>
      <c r="KI17" s="93"/>
      <c r="KJ17" s="93"/>
      <c r="KK17" s="93"/>
      <c r="KL17" s="93"/>
      <c r="KM17" s="93"/>
      <c r="KN17" s="93"/>
      <c r="KO17" s="93"/>
      <c r="KP17" s="93"/>
      <c r="KQ17" s="93"/>
      <c r="KR17" s="93"/>
      <c r="KS17" s="93"/>
      <c r="KT17" s="93"/>
      <c r="KU17" s="93"/>
      <c r="KV17" s="93"/>
      <c r="KW17" s="93"/>
      <c r="KX17" s="93"/>
      <c r="KY17" s="93"/>
      <c r="KZ17" s="93"/>
      <c r="LA17" s="93"/>
      <c r="LB17" s="93"/>
      <c r="LC17" s="93"/>
      <c r="LD17" s="93"/>
      <c r="LE17" s="93"/>
      <c r="LF17" s="93"/>
      <c r="LG17" s="93"/>
      <c r="LH17" s="93"/>
      <c r="LI17" s="93"/>
      <c r="LJ17" s="93"/>
      <c r="LK17" s="93"/>
      <c r="LL17" s="93"/>
      <c r="LM17" s="93"/>
      <c r="LN17" s="93"/>
      <c r="LO17" s="93"/>
      <c r="LP17" s="93"/>
      <c r="LQ17" s="93"/>
      <c r="LR17" s="93"/>
      <c r="LS17" s="93"/>
      <c r="LT17" s="93"/>
      <c r="LU17" s="93"/>
      <c r="LV17" s="93"/>
      <c r="LW17" s="93"/>
      <c r="LX17" s="93"/>
      <c r="LY17" s="93"/>
      <c r="LZ17" s="93"/>
      <c r="MA17" s="93"/>
      <c r="MB17" s="93"/>
      <c r="MC17" s="93"/>
      <c r="MD17" s="92"/>
      <c r="ME17" s="92"/>
      <c r="MF17" s="92"/>
      <c r="MG17" s="92"/>
      <c r="MH17" s="92"/>
      <c r="MI17" s="92"/>
      <c r="MJ17" s="92"/>
      <c r="MK17" s="92"/>
      <c r="ML17" s="92"/>
      <c r="MM17" s="92"/>
      <c r="MN17" s="92"/>
      <c r="MO17" s="92"/>
      <c r="MP17" s="92"/>
      <c r="MQ17" s="92"/>
      <c r="MR17" s="92"/>
      <c r="MS17" s="92"/>
      <c r="MT17" s="92"/>
      <c r="MU17" s="92"/>
      <c r="MV17" s="92"/>
      <c r="MW17" s="92"/>
      <c r="MX17" s="92"/>
      <c r="MY17" s="92"/>
      <c r="MZ17" s="92"/>
      <c r="NA17" s="92"/>
      <c r="NB17" s="92"/>
      <c r="NC17" s="92"/>
      <c r="ND17" s="92"/>
      <c r="NE17" s="92"/>
      <c r="NF17" s="92"/>
      <c r="NG17" s="92"/>
      <c r="NH17" s="92"/>
      <c r="NI17" s="92"/>
      <c r="NJ17" s="92"/>
      <c r="NK17" s="92"/>
      <c r="NL17" s="92"/>
      <c r="NM17" s="92"/>
      <c r="NN17" s="92"/>
      <c r="NO17" s="92"/>
      <c r="NP17" s="92"/>
      <c r="NQ17" s="92"/>
      <c r="NR17" s="92"/>
      <c r="NS17" s="92"/>
      <c r="NT17" s="92"/>
      <c r="NU17" s="92"/>
      <c r="NV17" s="92"/>
      <c r="NW17" s="92"/>
      <c r="NX17" s="92"/>
      <c r="NY17" s="93"/>
      <c r="NZ17" s="93"/>
    </row>
    <row r="18" spans="1:390" ht="15.75" customHeight="1" x14ac:dyDescent="0.3">
      <c r="A18" s="245">
        <v>6289334077</v>
      </c>
      <c r="B18" s="87" t="s">
        <v>392</v>
      </c>
      <c r="C18" s="84" t="s">
        <v>393</v>
      </c>
      <c r="D18" s="87" t="s">
        <v>392</v>
      </c>
      <c r="E18" s="93" t="s">
        <v>458</v>
      </c>
      <c r="F18" s="116" t="s">
        <v>449</v>
      </c>
      <c r="G18" s="116" t="s">
        <v>459</v>
      </c>
      <c r="H18" s="166">
        <v>43867</v>
      </c>
      <c r="I18" s="92" t="s">
        <v>430</v>
      </c>
      <c r="J18" s="234" t="s">
        <v>398</v>
      </c>
      <c r="K18" s="93" t="s">
        <v>399</v>
      </c>
      <c r="L18" s="93" t="s">
        <v>399</v>
      </c>
      <c r="M18" s="93" t="s">
        <v>399</v>
      </c>
      <c r="N18" s="93" t="s">
        <v>399</v>
      </c>
      <c r="O18" s="93" t="s">
        <v>399</v>
      </c>
      <c r="P18" s="93" t="s">
        <v>399</v>
      </c>
      <c r="Q18" s="93" t="s">
        <v>399</v>
      </c>
      <c r="R18" s="93" t="s">
        <v>399</v>
      </c>
      <c r="S18" s="93" t="s">
        <v>399</v>
      </c>
      <c r="T18" s="93" t="s">
        <v>399</v>
      </c>
      <c r="U18" s="93" t="s">
        <v>399</v>
      </c>
      <c r="V18" s="93" t="s">
        <v>399</v>
      </c>
      <c r="W18" s="93" t="s">
        <v>399</v>
      </c>
      <c r="X18" s="93" t="s">
        <v>399</v>
      </c>
      <c r="Y18" s="93" t="s">
        <v>399</v>
      </c>
      <c r="Z18" s="93" t="s">
        <v>399</v>
      </c>
      <c r="AA18" s="93" t="s">
        <v>399</v>
      </c>
      <c r="AB18" s="152" t="s">
        <v>400</v>
      </c>
      <c r="AC18" s="166">
        <v>20012</v>
      </c>
      <c r="AD18" s="167">
        <v>43822</v>
      </c>
      <c r="AE18" s="86">
        <f t="shared" si="1"/>
        <v>65</v>
      </c>
      <c r="AF18" s="108" t="s">
        <v>401</v>
      </c>
      <c r="AG18" s="84" t="s">
        <v>402</v>
      </c>
      <c r="AH18" s="163" t="s">
        <v>403</v>
      </c>
      <c r="AI18" s="163" t="s">
        <v>404</v>
      </c>
      <c r="AJ18" s="232" t="s">
        <v>405</v>
      </c>
      <c r="AK18" s="163" t="s">
        <v>405</v>
      </c>
      <c r="AL18" s="172">
        <v>0</v>
      </c>
      <c r="AM18" s="89" t="s">
        <v>406</v>
      </c>
      <c r="AN18" s="170">
        <v>1</v>
      </c>
      <c r="AO18" s="109" t="s">
        <v>399</v>
      </c>
      <c r="AP18" s="88"/>
      <c r="AQ18" s="95"/>
      <c r="AR18" s="88"/>
      <c r="AS18" s="93"/>
      <c r="AT18" s="93"/>
      <c r="AU18" s="93"/>
      <c r="AV18" s="93"/>
      <c r="AW18" s="88"/>
      <c r="AX18" s="93"/>
      <c r="AY18" s="93"/>
      <c r="AZ18" s="93"/>
      <c r="BA18" s="93"/>
      <c r="BB18" s="88"/>
      <c r="BC18" s="93"/>
      <c r="BD18" s="93"/>
      <c r="BE18" s="93"/>
      <c r="BF18" s="93"/>
      <c r="BG18" s="88"/>
      <c r="BH18" s="93"/>
      <c r="BI18" s="93"/>
      <c r="BJ18" s="93"/>
      <c r="BK18" s="93"/>
      <c r="BL18" s="88"/>
      <c r="BM18" s="93"/>
      <c r="BN18" s="93"/>
      <c r="BO18" s="93"/>
      <c r="BP18" s="93"/>
      <c r="BQ18" s="88"/>
      <c r="BR18" s="93"/>
      <c r="BS18" s="93"/>
      <c r="BT18" s="93"/>
      <c r="BU18" s="93"/>
      <c r="BV18" s="88"/>
      <c r="BW18" s="93"/>
      <c r="BX18" s="93"/>
      <c r="BY18" s="93"/>
      <c r="BZ18" s="93"/>
      <c r="CA18" s="88"/>
      <c r="CB18" s="93"/>
      <c r="CC18" s="93"/>
      <c r="CD18" s="93"/>
      <c r="CE18" s="93"/>
      <c r="CF18" s="88"/>
      <c r="CG18" s="93"/>
      <c r="CH18" s="93"/>
      <c r="CI18" s="93"/>
      <c r="CJ18" s="93"/>
      <c r="CK18" s="88"/>
      <c r="CL18" s="93"/>
      <c r="CM18" s="93"/>
      <c r="CN18" s="93"/>
      <c r="CO18" s="93"/>
      <c r="CP18" s="88"/>
      <c r="CQ18" s="93"/>
      <c r="CR18" s="93"/>
      <c r="CS18" s="93"/>
      <c r="CT18" s="93"/>
      <c r="CU18" s="88"/>
      <c r="CV18" s="93"/>
      <c r="CW18" s="93"/>
      <c r="CX18" s="93"/>
      <c r="CY18" s="93"/>
      <c r="CZ18" s="88"/>
      <c r="DA18" s="93"/>
      <c r="DB18" s="93"/>
      <c r="DC18" s="93"/>
      <c r="DD18" s="93"/>
      <c r="DE18" s="88"/>
      <c r="DF18" s="93"/>
      <c r="DG18" s="93"/>
      <c r="DH18" s="93"/>
      <c r="DI18" s="93"/>
      <c r="DJ18" s="88"/>
      <c r="DK18" s="93"/>
      <c r="DL18" s="93"/>
      <c r="DM18" s="93"/>
      <c r="DN18" s="93"/>
      <c r="DO18" s="88"/>
      <c r="DP18" s="93"/>
      <c r="DQ18" s="93"/>
      <c r="DR18" s="93"/>
      <c r="DS18" s="93"/>
      <c r="DT18" s="88"/>
      <c r="DU18" s="93"/>
      <c r="DV18" s="93"/>
      <c r="DW18" s="93"/>
      <c r="DX18" s="93"/>
      <c r="DY18" s="88"/>
      <c r="DZ18" s="93"/>
      <c r="EA18" s="93"/>
      <c r="EB18" s="93"/>
      <c r="EC18" s="93"/>
      <c r="ED18" s="88"/>
      <c r="EE18" s="93"/>
      <c r="EF18" s="93"/>
      <c r="EG18" s="93"/>
      <c r="EH18" s="93"/>
      <c r="EI18" s="88"/>
      <c r="EJ18" s="93"/>
      <c r="EK18" s="93"/>
      <c r="EL18" s="93"/>
      <c r="EM18" s="93"/>
      <c r="EN18" s="88"/>
      <c r="EO18" s="93"/>
      <c r="EP18" s="93"/>
      <c r="EQ18" s="93"/>
      <c r="ER18" s="93"/>
      <c r="ES18" s="88"/>
      <c r="ET18" s="93"/>
      <c r="EU18" s="93"/>
      <c r="EV18" s="93"/>
      <c r="EW18" s="93"/>
      <c r="EX18" s="88"/>
      <c r="EY18" s="93"/>
      <c r="EZ18" s="93"/>
      <c r="FA18" s="93"/>
      <c r="FB18" s="93"/>
      <c r="FC18" s="88"/>
      <c r="FD18" s="93"/>
      <c r="FE18" s="93"/>
      <c r="FF18" s="93"/>
      <c r="FG18" s="93"/>
      <c r="FH18" s="88"/>
      <c r="FI18" s="93"/>
      <c r="FJ18" s="93"/>
      <c r="FK18" s="93"/>
      <c r="FL18" s="93"/>
      <c r="FM18" s="93"/>
      <c r="FN18" s="93"/>
      <c r="FO18" s="93"/>
      <c r="FP18" s="93"/>
      <c r="FQ18" s="93"/>
      <c r="FR18" s="93"/>
      <c r="FS18" s="93"/>
      <c r="FT18" s="93"/>
      <c r="FU18" s="93"/>
      <c r="FV18" s="93"/>
      <c r="FW18" s="93"/>
      <c r="FX18" s="93"/>
      <c r="FY18" s="93"/>
      <c r="FZ18" s="93"/>
      <c r="GA18" s="93"/>
      <c r="GB18" s="93"/>
      <c r="GC18" s="93"/>
      <c r="GD18" s="93"/>
      <c r="GE18" s="93"/>
      <c r="GF18" s="93"/>
      <c r="GG18" s="93"/>
      <c r="GH18" s="93"/>
      <c r="GI18" s="93"/>
      <c r="GJ18" s="93"/>
      <c r="GK18" s="93"/>
      <c r="GL18" s="93"/>
      <c r="GM18" s="93"/>
      <c r="GN18" s="93"/>
      <c r="GO18" s="93"/>
      <c r="GP18" s="88"/>
      <c r="GQ18" s="93"/>
      <c r="GR18" s="93"/>
      <c r="GS18" s="93"/>
      <c r="GT18" s="93"/>
      <c r="GU18" s="88"/>
      <c r="GV18" s="93"/>
      <c r="GW18" s="93"/>
      <c r="GX18" s="93"/>
      <c r="GY18" s="93"/>
      <c r="GZ18" s="88"/>
      <c r="HA18" s="93"/>
      <c r="HB18" s="93"/>
      <c r="HC18" s="93"/>
      <c r="HD18" s="93"/>
      <c r="HE18" s="88"/>
      <c r="HF18" s="93"/>
      <c r="HG18" s="93"/>
      <c r="HH18" s="93"/>
      <c r="HI18" s="93"/>
      <c r="HJ18" s="88"/>
      <c r="HK18" s="93"/>
      <c r="HL18" s="93"/>
      <c r="HM18" s="93"/>
      <c r="HN18" s="93"/>
      <c r="HO18" s="88"/>
      <c r="HP18" s="93"/>
      <c r="HQ18" s="93"/>
      <c r="HR18" s="93"/>
      <c r="HS18" s="93"/>
      <c r="HT18" s="88"/>
      <c r="HU18" s="93"/>
      <c r="HV18" s="93"/>
      <c r="HW18" s="93"/>
      <c r="HX18" s="93"/>
      <c r="HY18" s="88"/>
      <c r="HZ18" s="93"/>
      <c r="IA18" s="93"/>
      <c r="IB18" s="93"/>
      <c r="IC18" s="93"/>
      <c r="ID18" s="88"/>
      <c r="IE18" s="93"/>
      <c r="IF18" s="93"/>
      <c r="IG18" s="93"/>
      <c r="IH18" s="93"/>
      <c r="II18" s="88"/>
      <c r="IJ18" s="93"/>
      <c r="IK18" s="93"/>
      <c r="IL18" s="93"/>
      <c r="IM18" s="93"/>
      <c r="IN18" s="88"/>
      <c r="IO18" s="93"/>
      <c r="IP18" s="93"/>
      <c r="IQ18" s="93"/>
      <c r="IR18" s="93"/>
      <c r="IS18" s="88"/>
      <c r="IT18" s="93"/>
      <c r="IU18" s="93"/>
      <c r="IV18" s="93"/>
      <c r="IW18" s="93"/>
      <c r="IX18" s="88"/>
      <c r="IY18" s="93"/>
      <c r="IZ18" s="93"/>
      <c r="JA18" s="93"/>
      <c r="JB18" s="93"/>
      <c r="JC18" s="88"/>
      <c r="JD18" s="93"/>
      <c r="JE18" s="93"/>
      <c r="JF18" s="93"/>
      <c r="JG18" s="94"/>
      <c r="JH18" s="88"/>
      <c r="JI18" s="95"/>
      <c r="JJ18" s="93"/>
      <c r="JK18" s="93"/>
      <c r="JL18" s="94"/>
      <c r="JM18" s="89"/>
      <c r="JN18" s="96"/>
      <c r="JO18" s="84"/>
      <c r="JP18" s="95"/>
      <c r="JQ18" s="93"/>
      <c r="JR18" s="93"/>
      <c r="JS18" s="93"/>
      <c r="JT18" s="93"/>
      <c r="JU18" s="93"/>
      <c r="JV18" s="93"/>
      <c r="JW18" s="93"/>
      <c r="JX18" s="93"/>
      <c r="JY18" s="93"/>
      <c r="JZ18" s="93"/>
      <c r="KA18" s="93"/>
      <c r="KB18" s="93"/>
      <c r="KC18" s="93"/>
      <c r="KD18" s="93"/>
      <c r="KE18" s="93"/>
      <c r="KF18" s="93"/>
      <c r="KG18" s="93"/>
      <c r="KH18" s="93"/>
      <c r="KI18" s="93"/>
      <c r="KJ18" s="93"/>
      <c r="KK18" s="93"/>
      <c r="KL18" s="93"/>
      <c r="KM18" s="93"/>
      <c r="KN18" s="93"/>
      <c r="KO18" s="93"/>
      <c r="KP18" s="93"/>
      <c r="KQ18" s="93"/>
      <c r="KR18" s="93"/>
      <c r="KS18" s="93"/>
      <c r="KT18" s="93"/>
      <c r="KU18" s="93"/>
      <c r="KV18" s="93"/>
      <c r="KW18" s="93"/>
      <c r="KX18" s="93"/>
      <c r="KY18" s="93"/>
      <c r="KZ18" s="93"/>
      <c r="LA18" s="93"/>
      <c r="LB18" s="93"/>
      <c r="LC18" s="93"/>
      <c r="LD18" s="93"/>
      <c r="LE18" s="93"/>
      <c r="LF18" s="93"/>
      <c r="LG18" s="93"/>
      <c r="LH18" s="93"/>
      <c r="LI18" s="93"/>
      <c r="LJ18" s="93"/>
      <c r="LK18" s="93"/>
      <c r="LL18" s="93"/>
      <c r="LM18" s="93"/>
      <c r="LN18" s="93"/>
      <c r="LO18" s="93"/>
      <c r="LP18" s="93"/>
      <c r="LQ18" s="93"/>
      <c r="LR18" s="93"/>
      <c r="LS18" s="93"/>
      <c r="LT18" s="93"/>
      <c r="LU18" s="93"/>
      <c r="LV18" s="93"/>
      <c r="LW18" s="93"/>
      <c r="LX18" s="93"/>
      <c r="LY18" s="93"/>
      <c r="LZ18" s="93"/>
      <c r="MA18" s="93"/>
      <c r="MB18" s="93"/>
      <c r="MC18" s="93"/>
      <c r="MD18" s="93"/>
      <c r="ME18" s="93"/>
      <c r="MF18" s="93"/>
      <c r="MG18" s="93"/>
      <c r="MH18" s="93"/>
      <c r="MI18" s="93"/>
      <c r="MJ18" s="93"/>
      <c r="MK18" s="93"/>
      <c r="ML18" s="93"/>
      <c r="MM18" s="93"/>
      <c r="MN18" s="93"/>
      <c r="MO18" s="93"/>
      <c r="MP18" s="93"/>
      <c r="MQ18" s="93"/>
      <c r="MR18" s="93"/>
      <c r="MS18" s="93"/>
      <c r="MT18" s="93"/>
      <c r="MU18" s="93"/>
      <c r="MV18" s="93"/>
      <c r="MW18" s="93"/>
      <c r="MX18" s="93"/>
      <c r="MY18" s="93"/>
      <c r="MZ18" s="93"/>
      <c r="NA18" s="93"/>
      <c r="NB18" s="93"/>
      <c r="NC18" s="93"/>
      <c r="ND18" s="93"/>
      <c r="NE18" s="93"/>
      <c r="NF18" s="93"/>
      <c r="NG18" s="93"/>
      <c r="NH18" s="93"/>
      <c r="NI18" s="93"/>
      <c r="NJ18" s="93"/>
      <c r="NK18" s="93"/>
      <c r="NL18" s="93"/>
      <c r="NM18" s="93"/>
      <c r="NN18" s="93"/>
      <c r="NO18" s="93"/>
      <c r="NP18" s="93"/>
      <c r="NQ18" s="93"/>
      <c r="NR18" s="93"/>
      <c r="NS18" s="93"/>
      <c r="NT18" s="93"/>
      <c r="NU18" s="93"/>
      <c r="NV18" s="93"/>
      <c r="NW18" s="93"/>
      <c r="NX18" s="93"/>
      <c r="NY18" s="93"/>
      <c r="NZ18" s="93"/>
    </row>
    <row r="19" spans="1:390" ht="15.75" customHeight="1" x14ac:dyDescent="0.3">
      <c r="A19" s="98">
        <v>4506314042</v>
      </c>
      <c r="B19" s="87" t="s">
        <v>392</v>
      </c>
      <c r="C19" s="84" t="s">
        <v>393</v>
      </c>
      <c r="D19" s="87" t="s">
        <v>392</v>
      </c>
      <c r="E19" s="93" t="s">
        <v>460</v>
      </c>
      <c r="F19" s="93" t="s">
        <v>416</v>
      </c>
      <c r="G19" s="93" t="s">
        <v>415</v>
      </c>
      <c r="H19" s="166">
        <v>43867</v>
      </c>
      <c r="I19" s="234" t="s">
        <v>461</v>
      </c>
      <c r="J19" s="234" t="s">
        <v>398</v>
      </c>
      <c r="K19" s="93" t="s">
        <v>399</v>
      </c>
      <c r="L19" s="93" t="s">
        <v>399</v>
      </c>
      <c r="M19" s="93" t="s">
        <v>399</v>
      </c>
      <c r="N19" s="93" t="s">
        <v>399</v>
      </c>
      <c r="O19" s="93" t="s">
        <v>399</v>
      </c>
      <c r="P19" s="93" t="s">
        <v>399</v>
      </c>
      <c r="Q19" s="93" t="s">
        <v>399</v>
      </c>
      <c r="R19" s="93" t="s">
        <v>399</v>
      </c>
      <c r="S19" s="93" t="s">
        <v>399</v>
      </c>
      <c r="T19" s="93" t="s">
        <v>399</v>
      </c>
      <c r="U19" s="93" t="s">
        <v>399</v>
      </c>
      <c r="V19" s="93" t="s">
        <v>399</v>
      </c>
      <c r="W19" s="93" t="s">
        <v>399</v>
      </c>
      <c r="X19" s="93" t="s">
        <v>399</v>
      </c>
      <c r="Y19" s="93" t="s">
        <v>399</v>
      </c>
      <c r="Z19" s="93" t="s">
        <v>399</v>
      </c>
      <c r="AA19" s="93" t="s">
        <v>399</v>
      </c>
      <c r="AB19" s="152" t="s">
        <v>400</v>
      </c>
      <c r="AC19" s="166">
        <v>21295</v>
      </c>
      <c r="AD19" s="166">
        <v>43867</v>
      </c>
      <c r="AE19" s="86">
        <f t="shared" si="1"/>
        <v>61</v>
      </c>
      <c r="AF19" s="108" t="s">
        <v>401</v>
      </c>
      <c r="AG19" s="84" t="s">
        <v>402</v>
      </c>
      <c r="AH19" s="163" t="s">
        <v>403</v>
      </c>
      <c r="AI19" s="163" t="s">
        <v>418</v>
      </c>
      <c r="AJ19" s="232" t="s">
        <v>405</v>
      </c>
      <c r="AK19" s="163" t="s">
        <v>405</v>
      </c>
      <c r="AL19" s="172">
        <v>0</v>
      </c>
      <c r="AM19" s="89" t="s">
        <v>419</v>
      </c>
      <c r="AN19" s="170">
        <v>1</v>
      </c>
      <c r="AO19" s="109" t="s">
        <v>399</v>
      </c>
      <c r="AP19" s="88"/>
      <c r="AQ19" s="95"/>
      <c r="AR19" s="88"/>
      <c r="AS19" s="93"/>
      <c r="AT19" s="93"/>
      <c r="AU19" s="93"/>
      <c r="AV19" s="93"/>
      <c r="AW19" s="88"/>
      <c r="AX19" s="93"/>
      <c r="AY19" s="93"/>
      <c r="AZ19" s="93"/>
      <c r="BA19" s="93"/>
      <c r="BB19" s="88"/>
      <c r="BC19" s="93"/>
      <c r="BD19" s="93"/>
      <c r="BE19" s="93"/>
      <c r="BF19" s="93"/>
      <c r="BG19" s="88"/>
      <c r="BH19" s="93"/>
      <c r="BI19" s="93"/>
      <c r="BJ19" s="93"/>
      <c r="BK19" s="93"/>
      <c r="BL19" s="88"/>
      <c r="BM19" s="93"/>
      <c r="BN19" s="93"/>
      <c r="BO19" s="93"/>
      <c r="BP19" s="93"/>
      <c r="BQ19" s="88"/>
      <c r="BR19" s="93"/>
      <c r="BS19" s="93"/>
      <c r="BT19" s="93"/>
      <c r="BU19" s="93"/>
      <c r="BV19" s="88"/>
      <c r="BW19" s="93"/>
      <c r="BX19" s="93"/>
      <c r="BY19" s="93"/>
      <c r="BZ19" s="93"/>
      <c r="CA19" s="88"/>
      <c r="CB19" s="93"/>
      <c r="CC19" s="93"/>
      <c r="CD19" s="93"/>
      <c r="CE19" s="93"/>
      <c r="CF19" s="88"/>
      <c r="CG19" s="93"/>
      <c r="CH19" s="93"/>
      <c r="CI19" s="93"/>
      <c r="CJ19" s="93"/>
      <c r="CK19" s="88"/>
      <c r="CL19" s="93"/>
      <c r="CM19" s="93"/>
      <c r="CN19" s="93"/>
      <c r="CO19" s="93"/>
      <c r="CP19" s="88"/>
      <c r="CQ19" s="93"/>
      <c r="CR19" s="93"/>
      <c r="CS19" s="93"/>
      <c r="CT19" s="93"/>
      <c r="CU19" s="88"/>
      <c r="CV19" s="93"/>
      <c r="CW19" s="93"/>
      <c r="CX19" s="93"/>
      <c r="CY19" s="93"/>
      <c r="CZ19" s="88"/>
      <c r="DA19" s="93"/>
      <c r="DB19" s="93"/>
      <c r="DC19" s="93"/>
      <c r="DD19" s="93"/>
      <c r="DE19" s="88"/>
      <c r="DF19" s="93"/>
      <c r="DG19" s="93"/>
      <c r="DH19" s="93"/>
      <c r="DI19" s="93"/>
      <c r="DJ19" s="88"/>
      <c r="DK19" s="93"/>
      <c r="DL19" s="93"/>
      <c r="DM19" s="93"/>
      <c r="DN19" s="93"/>
      <c r="DO19" s="88"/>
      <c r="DP19" s="93"/>
      <c r="DQ19" s="93"/>
      <c r="DR19" s="93"/>
      <c r="DS19" s="93"/>
      <c r="DT19" s="88"/>
      <c r="DU19" s="93"/>
      <c r="DV19" s="93"/>
      <c r="DW19" s="93"/>
      <c r="DX19" s="93"/>
      <c r="DY19" s="88"/>
      <c r="DZ19" s="93"/>
      <c r="EA19" s="93"/>
      <c r="EB19" s="93"/>
      <c r="EC19" s="93"/>
      <c r="ED19" s="88"/>
      <c r="EE19" s="93"/>
      <c r="EF19" s="93"/>
      <c r="EG19" s="93"/>
      <c r="EH19" s="93"/>
      <c r="EI19" s="88"/>
      <c r="EJ19" s="93"/>
      <c r="EK19" s="93"/>
      <c r="EL19" s="93"/>
      <c r="EM19" s="93"/>
      <c r="EN19" s="88"/>
      <c r="EO19" s="93"/>
      <c r="EP19" s="93"/>
      <c r="EQ19" s="93"/>
      <c r="ER19" s="93"/>
      <c r="ES19" s="88"/>
      <c r="ET19" s="93"/>
      <c r="EU19" s="93"/>
      <c r="EV19" s="93"/>
      <c r="EW19" s="93"/>
      <c r="EX19" s="88"/>
      <c r="EY19" s="93"/>
      <c r="EZ19" s="93"/>
      <c r="FA19" s="93"/>
      <c r="FB19" s="93"/>
      <c r="FC19" s="88"/>
      <c r="FD19" s="93"/>
      <c r="FE19" s="93"/>
      <c r="FF19" s="93"/>
      <c r="FG19" s="93"/>
      <c r="FH19" s="88"/>
      <c r="FI19" s="93"/>
      <c r="FJ19" s="93"/>
      <c r="FK19" s="93"/>
      <c r="FL19" s="93"/>
      <c r="FM19" s="93"/>
      <c r="FN19" s="93"/>
      <c r="FO19" s="93"/>
      <c r="FP19" s="93"/>
      <c r="FQ19" s="93"/>
      <c r="FR19" s="93"/>
      <c r="FS19" s="93"/>
      <c r="FT19" s="93"/>
      <c r="FU19" s="93"/>
      <c r="FV19" s="93"/>
      <c r="FW19" s="93"/>
      <c r="FX19" s="93"/>
      <c r="FY19" s="93"/>
      <c r="FZ19" s="93"/>
      <c r="GA19" s="93"/>
      <c r="GB19" s="93"/>
      <c r="GC19" s="93"/>
      <c r="GD19" s="93"/>
      <c r="GE19" s="93"/>
      <c r="GF19" s="93"/>
      <c r="GG19" s="93"/>
      <c r="GH19" s="93"/>
      <c r="GI19" s="93"/>
      <c r="GJ19" s="93"/>
      <c r="GK19" s="93"/>
      <c r="GL19" s="93"/>
      <c r="GM19" s="93"/>
      <c r="GN19" s="93"/>
      <c r="GO19" s="93"/>
      <c r="GP19" s="88"/>
      <c r="GQ19" s="93"/>
      <c r="GR19" s="93"/>
      <c r="GS19" s="93"/>
      <c r="GT19" s="93"/>
      <c r="GU19" s="88"/>
      <c r="GV19" s="93"/>
      <c r="GW19" s="93"/>
      <c r="GX19" s="93"/>
      <c r="GY19" s="93"/>
      <c r="GZ19" s="88"/>
      <c r="HA19" s="93"/>
      <c r="HB19" s="93"/>
      <c r="HC19" s="93"/>
      <c r="HD19" s="93"/>
      <c r="HE19" s="88"/>
      <c r="HF19" s="93"/>
      <c r="HG19" s="93"/>
      <c r="HH19" s="93"/>
      <c r="HI19" s="93"/>
      <c r="HJ19" s="88"/>
      <c r="HK19" s="93"/>
      <c r="HL19" s="93"/>
      <c r="HM19" s="93"/>
      <c r="HN19" s="93"/>
      <c r="HO19" s="88"/>
      <c r="HP19" s="93"/>
      <c r="HQ19" s="93"/>
      <c r="HR19" s="93"/>
      <c r="HS19" s="93"/>
      <c r="HT19" s="88"/>
      <c r="HU19" s="93"/>
      <c r="HV19" s="93"/>
      <c r="HW19" s="93"/>
      <c r="HX19" s="93"/>
      <c r="HY19" s="88"/>
      <c r="HZ19" s="93"/>
      <c r="IA19" s="93"/>
      <c r="IB19" s="93"/>
      <c r="IC19" s="93"/>
      <c r="ID19" s="88"/>
      <c r="IE19" s="93"/>
      <c r="IF19" s="93"/>
      <c r="IG19" s="93"/>
      <c r="IH19" s="93"/>
      <c r="II19" s="88"/>
      <c r="IJ19" s="93"/>
      <c r="IK19" s="93"/>
      <c r="IL19" s="93"/>
      <c r="IM19" s="93"/>
      <c r="IN19" s="88"/>
      <c r="IO19" s="93"/>
      <c r="IP19" s="93"/>
      <c r="IQ19" s="93"/>
      <c r="IR19" s="93"/>
      <c r="IS19" s="88"/>
      <c r="IT19" s="93"/>
      <c r="IU19" s="93"/>
      <c r="IV19" s="93"/>
      <c r="IW19" s="93"/>
      <c r="IX19" s="88"/>
      <c r="IY19" s="93"/>
      <c r="IZ19" s="93"/>
      <c r="JA19" s="93"/>
      <c r="JB19" s="93"/>
      <c r="JC19" s="88"/>
      <c r="JD19" s="93"/>
      <c r="JE19" s="93"/>
      <c r="JF19" s="93"/>
      <c r="JG19" s="94"/>
      <c r="JH19" s="88"/>
      <c r="JI19" s="95"/>
      <c r="JJ19" s="93"/>
      <c r="JK19" s="93"/>
      <c r="JL19" s="94"/>
      <c r="JM19" s="89"/>
      <c r="JN19" s="96"/>
      <c r="JO19" s="84"/>
      <c r="JP19" s="95"/>
      <c r="JQ19" s="93"/>
      <c r="JR19" s="93"/>
      <c r="JS19" s="93"/>
      <c r="JT19" s="93"/>
      <c r="JU19" s="93"/>
      <c r="JV19" s="93"/>
      <c r="JW19" s="93"/>
      <c r="JX19" s="93"/>
      <c r="JY19" s="93"/>
      <c r="JZ19" s="93"/>
      <c r="KA19" s="93"/>
      <c r="KB19" s="93"/>
      <c r="KC19" s="93"/>
      <c r="KD19" s="93"/>
      <c r="KE19" s="93"/>
      <c r="KF19" s="93"/>
      <c r="KG19" s="93"/>
      <c r="KH19" s="93"/>
      <c r="KI19" s="93"/>
      <c r="KJ19" s="93"/>
      <c r="KK19" s="93"/>
      <c r="KL19" s="93"/>
      <c r="KM19" s="93"/>
      <c r="KN19" s="93"/>
      <c r="KO19" s="93"/>
      <c r="KP19" s="93"/>
      <c r="KQ19" s="93"/>
      <c r="KR19" s="93"/>
      <c r="KS19" s="93"/>
      <c r="KT19" s="93"/>
      <c r="KU19" s="93"/>
      <c r="KV19" s="93"/>
      <c r="KW19" s="93"/>
      <c r="KX19" s="93"/>
      <c r="KY19" s="93"/>
      <c r="KZ19" s="93"/>
      <c r="LA19" s="93"/>
      <c r="LB19" s="93"/>
      <c r="LC19" s="93"/>
      <c r="LD19" s="93"/>
      <c r="LE19" s="93"/>
      <c r="LF19" s="93"/>
      <c r="LG19" s="93"/>
      <c r="LH19" s="93"/>
      <c r="LI19" s="93"/>
      <c r="LJ19" s="93"/>
      <c r="LK19" s="93"/>
      <c r="LL19" s="93"/>
      <c r="LM19" s="93"/>
      <c r="LN19" s="93"/>
      <c r="LO19" s="93"/>
      <c r="LP19" s="93"/>
      <c r="LQ19" s="93"/>
      <c r="LR19" s="93"/>
      <c r="LS19" s="93"/>
      <c r="LT19" s="93"/>
      <c r="LU19" s="93"/>
      <c r="LV19" s="93"/>
      <c r="LW19" s="93"/>
      <c r="LX19" s="93"/>
      <c r="LY19" s="93"/>
      <c r="LZ19" s="93"/>
      <c r="MA19" s="93"/>
      <c r="MB19" s="93"/>
      <c r="MC19" s="93"/>
      <c r="MD19" s="93"/>
      <c r="ME19" s="93"/>
      <c r="MF19" s="93"/>
      <c r="MG19" s="93"/>
      <c r="MH19" s="93"/>
      <c r="MI19" s="93"/>
      <c r="MJ19" s="93"/>
      <c r="MK19" s="93"/>
      <c r="ML19" s="93"/>
      <c r="MM19" s="93"/>
      <c r="MN19" s="93"/>
      <c r="MO19" s="93"/>
      <c r="MP19" s="93"/>
      <c r="MQ19" s="93"/>
      <c r="MR19" s="93"/>
      <c r="MS19" s="93"/>
      <c r="MT19" s="93"/>
      <c r="MU19" s="93"/>
      <c r="MV19" s="93"/>
      <c r="MW19" s="93"/>
      <c r="MX19" s="93"/>
      <c r="MY19" s="93"/>
      <c r="MZ19" s="93"/>
      <c r="NA19" s="93"/>
      <c r="NB19" s="93"/>
      <c r="NC19" s="93"/>
      <c r="ND19" s="93"/>
      <c r="NE19" s="93"/>
      <c r="NF19" s="93"/>
      <c r="NG19" s="93"/>
      <c r="NH19" s="93"/>
      <c r="NI19" s="93"/>
      <c r="NJ19" s="93"/>
      <c r="NK19" s="93"/>
      <c r="NL19" s="93"/>
      <c r="NM19" s="93"/>
      <c r="NN19" s="93"/>
      <c r="NO19" s="93"/>
      <c r="NP19" s="93"/>
      <c r="NQ19" s="93"/>
      <c r="NR19" s="93"/>
      <c r="NS19" s="93"/>
      <c r="NT19" s="93"/>
      <c r="NU19" s="93"/>
      <c r="NV19" s="93"/>
      <c r="NW19" s="93"/>
      <c r="NX19" s="93"/>
      <c r="NY19" s="93"/>
      <c r="NZ19" s="93"/>
    </row>
    <row r="20" spans="1:390" ht="15.75" customHeight="1" x14ac:dyDescent="0.3">
      <c r="A20" s="98">
        <v>4364284998</v>
      </c>
      <c r="B20" s="87" t="s">
        <v>392</v>
      </c>
      <c r="C20" s="84" t="s">
        <v>393</v>
      </c>
      <c r="D20" s="87" t="s">
        <v>392</v>
      </c>
      <c r="E20" s="93" t="s">
        <v>462</v>
      </c>
      <c r="F20" s="116" t="s">
        <v>426</v>
      </c>
      <c r="G20" s="116" t="s">
        <v>449</v>
      </c>
      <c r="H20" s="166">
        <v>43895</v>
      </c>
      <c r="I20" s="93" t="s">
        <v>463</v>
      </c>
      <c r="J20" s="234" t="s">
        <v>398</v>
      </c>
      <c r="K20" s="93" t="s">
        <v>399</v>
      </c>
      <c r="L20" s="93" t="s">
        <v>399</v>
      </c>
      <c r="M20" s="93" t="s">
        <v>399</v>
      </c>
      <c r="N20" s="93" t="s">
        <v>399</v>
      </c>
      <c r="O20" s="93" t="s">
        <v>399</v>
      </c>
      <c r="P20" s="93" t="s">
        <v>399</v>
      </c>
      <c r="Q20" s="93" t="s">
        <v>399</v>
      </c>
      <c r="R20" s="93" t="s">
        <v>399</v>
      </c>
      <c r="S20" s="93" t="s">
        <v>399</v>
      </c>
      <c r="T20" s="93" t="s">
        <v>399</v>
      </c>
      <c r="U20" s="93" t="s">
        <v>399</v>
      </c>
      <c r="V20" s="93" t="s">
        <v>399</v>
      </c>
      <c r="W20" s="93" t="s">
        <v>399</v>
      </c>
      <c r="X20" s="93" t="s">
        <v>399</v>
      </c>
      <c r="Y20" s="93" t="s">
        <v>399</v>
      </c>
      <c r="Z20" s="93" t="s">
        <v>399</v>
      </c>
      <c r="AA20" s="93" t="s">
        <v>399</v>
      </c>
      <c r="AB20" s="152" t="s">
        <v>400</v>
      </c>
      <c r="AC20" s="166">
        <v>13734</v>
      </c>
      <c r="AD20" s="167">
        <v>43823</v>
      </c>
      <c r="AE20" s="86">
        <f t="shared" si="1"/>
        <v>82</v>
      </c>
      <c r="AF20" s="108" t="s">
        <v>401</v>
      </c>
      <c r="AG20" s="84" t="s">
        <v>402</v>
      </c>
      <c r="AH20" s="163" t="s">
        <v>403</v>
      </c>
      <c r="AI20" s="232">
        <v>2</v>
      </c>
      <c r="AJ20" s="232" t="s">
        <v>405</v>
      </c>
      <c r="AK20" s="163" t="s">
        <v>405</v>
      </c>
      <c r="AL20" s="172">
        <v>0</v>
      </c>
      <c r="AM20" s="247" t="s">
        <v>423</v>
      </c>
      <c r="AN20" s="170">
        <v>2</v>
      </c>
      <c r="AO20" s="109" t="s">
        <v>399</v>
      </c>
      <c r="AP20" s="88"/>
      <c r="AQ20" s="95"/>
      <c r="AR20" s="88"/>
      <c r="AS20" s="93"/>
      <c r="AT20" s="93"/>
      <c r="AU20" s="93"/>
      <c r="AV20" s="93"/>
      <c r="AW20" s="88"/>
      <c r="AX20" s="93"/>
      <c r="AY20" s="93"/>
      <c r="AZ20" s="93"/>
      <c r="BA20" s="93"/>
      <c r="BB20" s="88"/>
      <c r="BC20" s="93"/>
      <c r="BD20" s="93"/>
      <c r="BE20" s="93"/>
      <c r="BF20" s="93"/>
      <c r="BG20" s="88"/>
      <c r="BH20" s="93"/>
      <c r="BI20" s="93"/>
      <c r="BJ20" s="93"/>
      <c r="BK20" s="93"/>
      <c r="BL20" s="88"/>
      <c r="BM20" s="93"/>
      <c r="BN20" s="93"/>
      <c r="BO20" s="93"/>
      <c r="BP20" s="93"/>
      <c r="BQ20" s="88"/>
      <c r="BR20" s="93"/>
      <c r="BS20" s="93"/>
      <c r="BT20" s="93"/>
      <c r="BU20" s="93"/>
      <c r="BV20" s="88"/>
      <c r="BW20" s="93"/>
      <c r="BX20" s="93"/>
      <c r="BY20" s="93"/>
      <c r="BZ20" s="93"/>
      <c r="CA20" s="88"/>
      <c r="CB20" s="93"/>
      <c r="CC20" s="93"/>
      <c r="CD20" s="93"/>
      <c r="CE20" s="93"/>
      <c r="CF20" s="88"/>
      <c r="CG20" s="93"/>
      <c r="CH20" s="93"/>
      <c r="CI20" s="93"/>
      <c r="CJ20" s="93"/>
      <c r="CK20" s="88"/>
      <c r="CL20" s="93"/>
      <c r="CM20" s="93"/>
      <c r="CN20" s="93"/>
      <c r="CO20" s="93"/>
      <c r="CP20" s="88"/>
      <c r="CQ20" s="93"/>
      <c r="CR20" s="93"/>
      <c r="CS20" s="93"/>
      <c r="CT20" s="93"/>
      <c r="CU20" s="88"/>
      <c r="CV20" s="93"/>
      <c r="CW20" s="93"/>
      <c r="CX20" s="93"/>
      <c r="CY20" s="93"/>
      <c r="CZ20" s="88"/>
      <c r="DA20" s="93"/>
      <c r="DB20" s="93"/>
      <c r="DC20" s="93"/>
      <c r="DD20" s="93"/>
      <c r="DE20" s="88"/>
      <c r="DF20" s="93"/>
      <c r="DG20" s="93"/>
      <c r="DH20" s="93"/>
      <c r="DI20" s="93"/>
      <c r="DJ20" s="88"/>
      <c r="DK20" s="93"/>
      <c r="DL20" s="93"/>
      <c r="DM20" s="93"/>
      <c r="DN20" s="93"/>
      <c r="DO20" s="88"/>
      <c r="DP20" s="93"/>
      <c r="DQ20" s="93"/>
      <c r="DR20" s="93"/>
      <c r="DS20" s="93"/>
      <c r="DT20" s="88"/>
      <c r="DU20" s="93"/>
      <c r="DV20" s="93"/>
      <c r="DW20" s="93"/>
      <c r="DX20" s="93"/>
      <c r="DY20" s="88"/>
      <c r="DZ20" s="93"/>
      <c r="EA20" s="93"/>
      <c r="EB20" s="93"/>
      <c r="EC20" s="93"/>
      <c r="ED20" s="88"/>
      <c r="EE20" s="93"/>
      <c r="EF20" s="93"/>
      <c r="EG20" s="93"/>
      <c r="EH20" s="93"/>
      <c r="EI20" s="88"/>
      <c r="EJ20" s="93"/>
      <c r="EK20" s="93"/>
      <c r="EL20" s="93"/>
      <c r="EM20" s="93"/>
      <c r="EN20" s="88"/>
      <c r="EO20" s="93"/>
      <c r="EP20" s="93"/>
      <c r="EQ20" s="93"/>
      <c r="ER20" s="93"/>
      <c r="ES20" s="88"/>
      <c r="ET20" s="93"/>
      <c r="EU20" s="93"/>
      <c r="EV20" s="93"/>
      <c r="EW20" s="93"/>
      <c r="EX20" s="88"/>
      <c r="EY20" s="93"/>
      <c r="EZ20" s="93"/>
      <c r="FA20" s="93"/>
      <c r="FB20" s="93"/>
      <c r="FC20" s="88"/>
      <c r="FD20" s="93"/>
      <c r="FE20" s="93"/>
      <c r="FF20" s="93"/>
      <c r="FG20" s="93"/>
      <c r="FH20" s="88"/>
      <c r="FI20" s="93"/>
      <c r="FJ20" s="93"/>
      <c r="FK20" s="93"/>
      <c r="FL20" s="93"/>
      <c r="FM20" s="93"/>
      <c r="FN20" s="93"/>
      <c r="FO20" s="93"/>
      <c r="FP20" s="93"/>
      <c r="FQ20" s="93"/>
      <c r="FR20" s="93"/>
      <c r="FS20" s="93"/>
      <c r="FT20" s="93"/>
      <c r="FU20" s="93"/>
      <c r="FV20" s="93"/>
      <c r="FW20" s="93"/>
      <c r="FX20" s="93"/>
      <c r="FY20" s="93"/>
      <c r="FZ20" s="93"/>
      <c r="GA20" s="93"/>
      <c r="GB20" s="93"/>
      <c r="GC20" s="93"/>
      <c r="GD20" s="93"/>
      <c r="GE20" s="93"/>
      <c r="GF20" s="93"/>
      <c r="GG20" s="93"/>
      <c r="GH20" s="93"/>
      <c r="GI20" s="93"/>
      <c r="GJ20" s="93"/>
      <c r="GK20" s="93"/>
      <c r="GL20" s="93"/>
      <c r="GM20" s="93"/>
      <c r="GN20" s="93"/>
      <c r="GO20" s="93"/>
      <c r="GP20" s="88"/>
      <c r="GQ20" s="93"/>
      <c r="GR20" s="93"/>
      <c r="GS20" s="93"/>
      <c r="GT20" s="93"/>
      <c r="GU20" s="88"/>
      <c r="GV20" s="93"/>
      <c r="GW20" s="93"/>
      <c r="GX20" s="93"/>
      <c r="GY20" s="93"/>
      <c r="GZ20" s="88"/>
      <c r="HA20" s="93"/>
      <c r="HB20" s="93"/>
      <c r="HC20" s="93"/>
      <c r="HD20" s="93"/>
      <c r="HE20" s="88"/>
      <c r="HF20" s="93"/>
      <c r="HG20" s="93"/>
      <c r="HH20" s="93"/>
      <c r="HI20" s="93"/>
      <c r="HJ20" s="88"/>
      <c r="HK20" s="93"/>
      <c r="HL20" s="93"/>
      <c r="HM20" s="93"/>
      <c r="HN20" s="93"/>
      <c r="HO20" s="88"/>
      <c r="HP20" s="93"/>
      <c r="HQ20" s="93"/>
      <c r="HR20" s="93"/>
      <c r="HS20" s="93"/>
      <c r="HT20" s="88"/>
      <c r="HU20" s="93"/>
      <c r="HV20" s="93"/>
      <c r="HW20" s="93"/>
      <c r="HX20" s="93"/>
      <c r="HY20" s="88"/>
      <c r="HZ20" s="93"/>
      <c r="IA20" s="93"/>
      <c r="IB20" s="93"/>
      <c r="IC20" s="93"/>
      <c r="ID20" s="88"/>
      <c r="IE20" s="93"/>
      <c r="IF20" s="93"/>
      <c r="IG20" s="93"/>
      <c r="IH20" s="93"/>
      <c r="II20" s="88"/>
      <c r="IJ20" s="93"/>
      <c r="IK20" s="93"/>
      <c r="IL20" s="93"/>
      <c r="IM20" s="93"/>
      <c r="IN20" s="88"/>
      <c r="IO20" s="93"/>
      <c r="IP20" s="93"/>
      <c r="IQ20" s="93"/>
      <c r="IR20" s="93"/>
      <c r="IS20" s="88"/>
      <c r="IT20" s="93"/>
      <c r="IU20" s="93"/>
      <c r="IV20" s="93"/>
      <c r="IW20" s="93"/>
      <c r="IX20" s="88"/>
      <c r="IY20" s="93"/>
      <c r="IZ20" s="93"/>
      <c r="JA20" s="93"/>
      <c r="JB20" s="93"/>
      <c r="JC20" s="88"/>
      <c r="JD20" s="93"/>
      <c r="JE20" s="93"/>
      <c r="JF20" s="93"/>
      <c r="JG20" s="94"/>
      <c r="JH20" s="88"/>
      <c r="JI20" s="95"/>
      <c r="JJ20" s="93"/>
      <c r="JK20" s="93"/>
      <c r="JL20" s="94"/>
      <c r="JM20" s="89"/>
      <c r="JN20" s="96"/>
      <c r="JO20" s="84"/>
      <c r="JP20" s="95"/>
      <c r="JQ20" s="93"/>
      <c r="JR20" s="93"/>
      <c r="JS20" s="93"/>
      <c r="JT20" s="93"/>
      <c r="JU20" s="93"/>
      <c r="JV20" s="93"/>
      <c r="JW20" s="93"/>
      <c r="JX20" s="93"/>
      <c r="JY20" s="93"/>
      <c r="JZ20" s="93"/>
      <c r="KA20" s="93"/>
      <c r="KB20" s="93"/>
      <c r="KC20" s="93"/>
      <c r="KD20" s="93"/>
      <c r="KE20" s="93"/>
      <c r="KF20" s="93"/>
      <c r="KG20" s="93"/>
      <c r="KH20" s="93"/>
      <c r="KI20" s="93"/>
      <c r="KJ20" s="93"/>
      <c r="KK20" s="93"/>
      <c r="KL20" s="93"/>
      <c r="KM20" s="93"/>
      <c r="KN20" s="93"/>
      <c r="KO20" s="93"/>
      <c r="KP20" s="93"/>
      <c r="KQ20" s="93"/>
      <c r="KR20" s="93"/>
      <c r="KS20" s="93"/>
      <c r="KT20" s="93"/>
      <c r="KU20" s="93"/>
      <c r="KV20" s="93"/>
      <c r="KW20" s="93"/>
      <c r="KX20" s="93"/>
      <c r="KY20" s="93"/>
      <c r="KZ20" s="93"/>
      <c r="LA20" s="93"/>
      <c r="LB20" s="93"/>
      <c r="LC20" s="93"/>
      <c r="LD20" s="93"/>
      <c r="LE20" s="93"/>
      <c r="LF20" s="93"/>
      <c r="LG20" s="93"/>
      <c r="LH20" s="93"/>
      <c r="LI20" s="93"/>
      <c r="LJ20" s="93"/>
      <c r="LK20" s="93"/>
      <c r="LL20" s="93"/>
      <c r="LM20" s="93"/>
      <c r="LN20" s="93"/>
      <c r="LO20" s="93"/>
      <c r="LP20" s="93"/>
      <c r="LQ20" s="93"/>
      <c r="LR20" s="93"/>
      <c r="LS20" s="93"/>
      <c r="LT20" s="93"/>
      <c r="LU20" s="93"/>
      <c r="LV20" s="93"/>
      <c r="LW20" s="93"/>
      <c r="LX20" s="93"/>
      <c r="LY20" s="93"/>
      <c r="LZ20" s="93"/>
      <c r="MA20" s="93"/>
      <c r="MB20" s="93"/>
      <c r="MC20" s="93"/>
      <c r="MD20" s="93"/>
      <c r="ME20" s="93"/>
      <c r="MF20" s="93"/>
      <c r="MG20" s="93"/>
      <c r="MH20" s="93"/>
      <c r="MI20" s="93"/>
      <c r="MJ20" s="93"/>
      <c r="MK20" s="93"/>
      <c r="ML20" s="93"/>
      <c r="MM20" s="93"/>
      <c r="MN20" s="93"/>
      <c r="MO20" s="93"/>
      <c r="MP20" s="93"/>
      <c r="MQ20" s="93"/>
      <c r="MR20" s="93"/>
      <c r="MS20" s="93"/>
      <c r="MT20" s="93"/>
      <c r="MU20" s="93"/>
      <c r="MV20" s="93"/>
      <c r="MW20" s="93"/>
      <c r="MX20" s="93"/>
      <c r="MY20" s="93"/>
      <c r="MZ20" s="93"/>
      <c r="NA20" s="93"/>
      <c r="NB20" s="93"/>
      <c r="NC20" s="93"/>
      <c r="ND20" s="93"/>
      <c r="NE20" s="93"/>
      <c r="NF20" s="93"/>
      <c r="NG20" s="93"/>
      <c r="NH20" s="93"/>
      <c r="NI20" s="93"/>
      <c r="NJ20" s="93"/>
      <c r="NK20" s="93"/>
      <c r="NL20" s="93"/>
      <c r="NM20" s="93"/>
      <c r="NN20" s="93"/>
      <c r="NO20" s="93"/>
      <c r="NP20" s="93"/>
      <c r="NQ20" s="93"/>
      <c r="NR20" s="93"/>
      <c r="NS20" s="93"/>
      <c r="NT20" s="93"/>
      <c r="NU20" s="93"/>
      <c r="NV20" s="93"/>
      <c r="NW20" s="93"/>
      <c r="NX20" s="93"/>
      <c r="NY20" s="93"/>
      <c r="NZ20" s="93"/>
    </row>
    <row r="21" spans="1:390" ht="15.75" customHeight="1" x14ac:dyDescent="0.3">
      <c r="A21" s="98">
        <v>4583302967</v>
      </c>
      <c r="B21" s="87" t="s">
        <v>392</v>
      </c>
      <c r="C21" s="84" t="s">
        <v>393</v>
      </c>
      <c r="D21" s="87" t="s">
        <v>392</v>
      </c>
      <c r="E21" s="93" t="s">
        <v>464</v>
      </c>
      <c r="F21" s="93" t="s">
        <v>459</v>
      </c>
      <c r="G21" s="93" t="s">
        <v>416</v>
      </c>
      <c r="H21" s="166">
        <v>43896</v>
      </c>
      <c r="I21" s="93" t="s">
        <v>430</v>
      </c>
      <c r="J21" s="234" t="s">
        <v>398</v>
      </c>
      <c r="K21" s="93" t="s">
        <v>399</v>
      </c>
      <c r="L21" s="93" t="s">
        <v>399</v>
      </c>
      <c r="M21" s="93" t="s">
        <v>399</v>
      </c>
      <c r="N21" s="93" t="s">
        <v>399</v>
      </c>
      <c r="O21" s="93" t="s">
        <v>399</v>
      </c>
      <c r="P21" s="93" t="s">
        <v>399</v>
      </c>
      <c r="Q21" s="93" t="s">
        <v>399</v>
      </c>
      <c r="R21" s="93" t="s">
        <v>399</v>
      </c>
      <c r="S21" s="93" t="s">
        <v>399</v>
      </c>
      <c r="T21" s="93" t="s">
        <v>399</v>
      </c>
      <c r="U21" s="93" t="s">
        <v>399</v>
      </c>
      <c r="V21" s="93" t="s">
        <v>399</v>
      </c>
      <c r="W21" s="93" t="s">
        <v>399</v>
      </c>
      <c r="X21" s="93" t="s">
        <v>399</v>
      </c>
      <c r="Y21" s="93" t="s">
        <v>399</v>
      </c>
      <c r="Z21" s="93" t="s">
        <v>399</v>
      </c>
      <c r="AA21" s="93" t="s">
        <v>399</v>
      </c>
      <c r="AB21" s="152" t="s">
        <v>400</v>
      </c>
      <c r="AC21" s="166">
        <v>20193</v>
      </c>
      <c r="AD21" s="167">
        <v>43864</v>
      </c>
      <c r="AE21" s="86">
        <f t="shared" si="1"/>
        <v>64</v>
      </c>
      <c r="AF21" s="108" t="s">
        <v>401</v>
      </c>
      <c r="AG21" s="84" t="s">
        <v>402</v>
      </c>
      <c r="AH21" s="163" t="s">
        <v>403</v>
      </c>
      <c r="AI21" s="163" t="s">
        <v>404</v>
      </c>
      <c r="AJ21" s="232" t="s">
        <v>405</v>
      </c>
      <c r="AK21" s="163" t="s">
        <v>405</v>
      </c>
      <c r="AL21" s="172">
        <v>0</v>
      </c>
      <c r="AM21" s="89" t="s">
        <v>406</v>
      </c>
      <c r="AN21" s="170">
        <v>2</v>
      </c>
      <c r="AO21" s="109" t="s">
        <v>399</v>
      </c>
      <c r="AP21" s="88"/>
      <c r="AQ21" s="95"/>
      <c r="AR21" s="88"/>
      <c r="AS21" s="93"/>
      <c r="AT21" s="93"/>
      <c r="AU21" s="93"/>
      <c r="AV21" s="93"/>
      <c r="AW21" s="88"/>
      <c r="AX21" s="93"/>
      <c r="AY21" s="93"/>
      <c r="AZ21" s="93"/>
      <c r="BA21" s="93"/>
      <c r="BB21" s="88"/>
      <c r="BC21" s="93"/>
      <c r="BD21" s="93"/>
      <c r="BE21" s="93"/>
      <c r="BF21" s="93"/>
      <c r="BG21" s="88"/>
      <c r="BH21" s="93"/>
      <c r="BI21" s="93"/>
      <c r="BJ21" s="93"/>
      <c r="BK21" s="93"/>
      <c r="BL21" s="88"/>
      <c r="BM21" s="93"/>
      <c r="BN21" s="93"/>
      <c r="BO21" s="93"/>
      <c r="BP21" s="93"/>
      <c r="BQ21" s="88"/>
      <c r="BR21" s="93"/>
      <c r="BS21" s="93"/>
      <c r="BT21" s="93"/>
      <c r="BU21" s="93"/>
      <c r="BV21" s="88"/>
      <c r="BW21" s="93"/>
      <c r="BX21" s="93"/>
      <c r="BY21" s="93"/>
      <c r="BZ21" s="93"/>
      <c r="CA21" s="88"/>
      <c r="CB21" s="93"/>
      <c r="CC21" s="93"/>
      <c r="CD21" s="93"/>
      <c r="CE21" s="93"/>
      <c r="CF21" s="88"/>
      <c r="CG21" s="93"/>
      <c r="CH21" s="93"/>
      <c r="CI21" s="93"/>
      <c r="CJ21" s="93"/>
      <c r="CK21" s="88"/>
      <c r="CL21" s="93"/>
      <c r="CM21" s="93"/>
      <c r="CN21" s="93"/>
      <c r="CO21" s="93"/>
      <c r="CP21" s="88"/>
      <c r="CQ21" s="93"/>
      <c r="CR21" s="93"/>
      <c r="CS21" s="93"/>
      <c r="CT21" s="93"/>
      <c r="CU21" s="88"/>
      <c r="CV21" s="93"/>
      <c r="CW21" s="93"/>
      <c r="CX21" s="93"/>
      <c r="CY21" s="93"/>
      <c r="CZ21" s="88"/>
      <c r="DA21" s="93"/>
      <c r="DB21" s="93"/>
      <c r="DC21" s="93"/>
      <c r="DD21" s="93"/>
      <c r="DE21" s="88"/>
      <c r="DF21" s="93"/>
      <c r="DG21" s="93"/>
      <c r="DH21" s="93"/>
      <c r="DI21" s="93"/>
      <c r="DJ21" s="88"/>
      <c r="DK21" s="93"/>
      <c r="DL21" s="93"/>
      <c r="DM21" s="93"/>
      <c r="DN21" s="93"/>
      <c r="DO21" s="88"/>
      <c r="DP21" s="93"/>
      <c r="DQ21" s="93"/>
      <c r="DR21" s="93"/>
      <c r="DS21" s="93"/>
      <c r="DT21" s="88"/>
      <c r="DU21" s="93"/>
      <c r="DV21" s="93"/>
      <c r="DW21" s="93"/>
      <c r="DX21" s="93"/>
      <c r="DY21" s="88"/>
      <c r="DZ21" s="93"/>
      <c r="EA21" s="93"/>
      <c r="EB21" s="93"/>
      <c r="EC21" s="93"/>
      <c r="ED21" s="88"/>
      <c r="EE21" s="93"/>
      <c r="EF21" s="93"/>
      <c r="EG21" s="93"/>
      <c r="EH21" s="93"/>
      <c r="EI21" s="88"/>
      <c r="EJ21" s="93"/>
      <c r="EK21" s="93"/>
      <c r="EL21" s="93"/>
      <c r="EM21" s="93"/>
      <c r="EN21" s="88"/>
      <c r="EO21" s="93"/>
      <c r="EP21" s="93"/>
      <c r="EQ21" s="93"/>
      <c r="ER21" s="93"/>
      <c r="ES21" s="88"/>
      <c r="ET21" s="93"/>
      <c r="EU21" s="93"/>
      <c r="EV21" s="93"/>
      <c r="EW21" s="93"/>
      <c r="EX21" s="88"/>
      <c r="EY21" s="93"/>
      <c r="EZ21" s="93"/>
      <c r="FA21" s="93"/>
      <c r="FB21" s="93"/>
      <c r="FC21" s="88"/>
      <c r="FD21" s="93"/>
      <c r="FE21" s="93"/>
      <c r="FF21" s="93"/>
      <c r="FG21" s="93"/>
      <c r="FH21" s="88"/>
      <c r="FI21" s="93"/>
      <c r="FJ21" s="93"/>
      <c r="FK21" s="93"/>
      <c r="FL21" s="93"/>
      <c r="FM21" s="93"/>
      <c r="FN21" s="93"/>
      <c r="FO21" s="93"/>
      <c r="FP21" s="93"/>
      <c r="FQ21" s="93"/>
      <c r="FR21" s="93"/>
      <c r="FS21" s="93"/>
      <c r="FT21" s="93"/>
      <c r="FU21" s="93"/>
      <c r="FV21" s="93"/>
      <c r="FW21" s="93"/>
      <c r="FX21" s="93"/>
      <c r="FY21" s="93"/>
      <c r="FZ21" s="93"/>
      <c r="GA21" s="93"/>
      <c r="GB21" s="93"/>
      <c r="GC21" s="93"/>
      <c r="GD21" s="93"/>
      <c r="GE21" s="93"/>
      <c r="GF21" s="93"/>
      <c r="GG21" s="93"/>
      <c r="GH21" s="93"/>
      <c r="GI21" s="93"/>
      <c r="GJ21" s="93"/>
      <c r="GK21" s="93"/>
      <c r="GL21" s="93"/>
      <c r="GM21" s="93"/>
      <c r="GN21" s="93"/>
      <c r="GO21" s="93"/>
      <c r="GP21" s="88"/>
      <c r="GQ21" s="93"/>
      <c r="GR21" s="93"/>
      <c r="GS21" s="93"/>
      <c r="GT21" s="93"/>
      <c r="GU21" s="88"/>
      <c r="GV21" s="93"/>
      <c r="GW21" s="93"/>
      <c r="GX21" s="93"/>
      <c r="GY21" s="93"/>
      <c r="GZ21" s="88"/>
      <c r="HA21" s="93"/>
      <c r="HB21" s="93"/>
      <c r="HC21" s="93"/>
      <c r="HD21" s="93"/>
      <c r="HE21" s="88"/>
      <c r="HF21" s="93"/>
      <c r="HG21" s="93"/>
      <c r="HH21" s="93"/>
      <c r="HI21" s="93"/>
      <c r="HJ21" s="88"/>
      <c r="HK21" s="93"/>
      <c r="HL21" s="93"/>
      <c r="HM21" s="93"/>
      <c r="HN21" s="93"/>
      <c r="HO21" s="88"/>
      <c r="HP21" s="93"/>
      <c r="HQ21" s="93"/>
      <c r="HR21" s="93"/>
      <c r="HS21" s="93"/>
      <c r="HT21" s="88"/>
      <c r="HU21" s="93"/>
      <c r="HV21" s="93"/>
      <c r="HW21" s="93"/>
      <c r="HX21" s="93"/>
      <c r="HY21" s="88"/>
      <c r="HZ21" s="93"/>
      <c r="IA21" s="93"/>
      <c r="IB21" s="93"/>
      <c r="IC21" s="93"/>
      <c r="ID21" s="88"/>
      <c r="IE21" s="93"/>
      <c r="IF21" s="93"/>
      <c r="IG21" s="93"/>
      <c r="IH21" s="93"/>
      <c r="II21" s="88"/>
      <c r="IJ21" s="93"/>
      <c r="IK21" s="93"/>
      <c r="IL21" s="93"/>
      <c r="IM21" s="93"/>
      <c r="IN21" s="88"/>
      <c r="IO21" s="93"/>
      <c r="IP21" s="93"/>
      <c r="IQ21" s="93"/>
      <c r="IR21" s="93"/>
      <c r="IS21" s="88"/>
      <c r="IT21" s="93"/>
      <c r="IU21" s="93"/>
      <c r="IV21" s="93"/>
      <c r="IW21" s="93"/>
      <c r="IX21" s="88"/>
      <c r="IY21" s="93"/>
      <c r="IZ21" s="93"/>
      <c r="JA21" s="93"/>
      <c r="JB21" s="93"/>
      <c r="JC21" s="88"/>
      <c r="JD21" s="93"/>
      <c r="JE21" s="93"/>
      <c r="JF21" s="93"/>
      <c r="JG21" s="94"/>
      <c r="JH21" s="88"/>
      <c r="JI21" s="95"/>
      <c r="JJ21" s="93"/>
      <c r="JK21" s="93"/>
      <c r="JL21" s="94"/>
      <c r="JM21" s="89"/>
      <c r="JN21" s="96"/>
      <c r="JO21" s="84"/>
      <c r="JP21" s="95"/>
      <c r="JQ21" s="93"/>
      <c r="JR21" s="93"/>
      <c r="JS21" s="93"/>
      <c r="JT21" s="93"/>
      <c r="JU21" s="93"/>
      <c r="JV21" s="93"/>
      <c r="JW21" s="93"/>
      <c r="JX21" s="93"/>
      <c r="JY21" s="93"/>
      <c r="JZ21" s="93"/>
      <c r="KA21" s="93"/>
      <c r="KB21" s="93"/>
      <c r="KC21" s="93"/>
      <c r="KD21" s="93"/>
      <c r="KE21" s="93"/>
      <c r="KF21" s="93"/>
      <c r="KG21" s="93"/>
      <c r="KH21" s="93"/>
      <c r="KI21" s="93"/>
      <c r="KJ21" s="93"/>
      <c r="KK21" s="93"/>
      <c r="KL21" s="93"/>
      <c r="KM21" s="93"/>
      <c r="KN21" s="93"/>
      <c r="KO21" s="93"/>
      <c r="KP21" s="93"/>
      <c r="KQ21" s="93"/>
      <c r="KR21" s="93"/>
      <c r="KS21" s="93"/>
      <c r="KT21" s="93"/>
      <c r="KU21" s="93"/>
      <c r="KV21" s="93"/>
      <c r="KW21" s="93"/>
      <c r="KX21" s="93"/>
      <c r="KY21" s="93"/>
      <c r="KZ21" s="93"/>
      <c r="LA21" s="93"/>
      <c r="LB21" s="93"/>
      <c r="LC21" s="93"/>
      <c r="LD21" s="93"/>
      <c r="LE21" s="93"/>
      <c r="LF21" s="93"/>
      <c r="LG21" s="93"/>
      <c r="LH21" s="93"/>
      <c r="LI21" s="93"/>
      <c r="LJ21" s="93"/>
      <c r="LK21" s="93"/>
      <c r="LL21" s="93"/>
      <c r="LM21" s="93"/>
      <c r="LN21" s="93"/>
      <c r="LO21" s="93"/>
      <c r="LP21" s="93"/>
      <c r="LQ21" s="93"/>
      <c r="LR21" s="93"/>
      <c r="LS21" s="93"/>
      <c r="LT21" s="93"/>
      <c r="LU21" s="93"/>
      <c r="LV21" s="93"/>
      <c r="LW21" s="93"/>
      <c r="LX21" s="93"/>
      <c r="LY21" s="93"/>
      <c r="LZ21" s="93"/>
      <c r="MA21" s="93"/>
      <c r="MB21" s="93"/>
      <c r="MC21" s="93"/>
      <c r="MD21" s="93"/>
      <c r="ME21" s="93"/>
      <c r="MF21" s="93"/>
      <c r="MG21" s="93"/>
      <c r="MH21" s="93"/>
      <c r="MI21" s="93"/>
      <c r="MJ21" s="93"/>
      <c r="MK21" s="93"/>
      <c r="ML21" s="93"/>
      <c r="MM21" s="93"/>
      <c r="MN21" s="93"/>
      <c r="MO21" s="93"/>
      <c r="MP21" s="93"/>
      <c r="MQ21" s="93"/>
      <c r="MR21" s="93"/>
      <c r="MS21" s="93"/>
      <c r="MT21" s="93"/>
      <c r="MU21" s="93"/>
      <c r="MV21" s="93"/>
      <c r="MW21" s="93"/>
      <c r="MX21" s="93"/>
      <c r="MY21" s="93"/>
      <c r="MZ21" s="93"/>
      <c r="NA21" s="93"/>
      <c r="NB21" s="93"/>
      <c r="NC21" s="93"/>
      <c r="ND21" s="93"/>
      <c r="NE21" s="93"/>
      <c r="NF21" s="93"/>
      <c r="NG21" s="93"/>
      <c r="NH21" s="93"/>
      <c r="NI21" s="93"/>
      <c r="NJ21" s="93"/>
      <c r="NK21" s="93"/>
      <c r="NL21" s="93"/>
      <c r="NM21" s="93"/>
      <c r="NN21" s="93"/>
      <c r="NO21" s="93"/>
      <c r="NP21" s="93"/>
      <c r="NQ21" s="93"/>
      <c r="NR21" s="93"/>
      <c r="NS21" s="93"/>
      <c r="NT21" s="93"/>
      <c r="NU21" s="93"/>
      <c r="NV21" s="93"/>
      <c r="NW21" s="93"/>
      <c r="NX21" s="93"/>
      <c r="NY21" s="93"/>
      <c r="NZ21" s="93"/>
    </row>
    <row r="22" spans="1:390" ht="15.75" customHeight="1" x14ac:dyDescent="0.3">
      <c r="A22" s="98">
        <v>4086856999</v>
      </c>
      <c r="B22" s="87" t="s">
        <v>392</v>
      </c>
      <c r="C22" s="84" t="s">
        <v>393</v>
      </c>
      <c r="D22" s="87" t="s">
        <v>392</v>
      </c>
      <c r="E22" s="93" t="s">
        <v>465</v>
      </c>
      <c r="F22" s="93" t="s">
        <v>432</v>
      </c>
      <c r="G22" s="93" t="s">
        <v>441</v>
      </c>
      <c r="H22" s="166">
        <v>43950</v>
      </c>
      <c r="I22" s="93" t="s">
        <v>466</v>
      </c>
      <c r="J22" s="234" t="s">
        <v>398</v>
      </c>
      <c r="K22" s="93" t="s">
        <v>399</v>
      </c>
      <c r="L22" s="93" t="s">
        <v>399</v>
      </c>
      <c r="M22" s="93" t="s">
        <v>399</v>
      </c>
      <c r="N22" s="93" t="s">
        <v>399</v>
      </c>
      <c r="O22" s="93" t="s">
        <v>399</v>
      </c>
      <c r="P22" s="93" t="s">
        <v>399</v>
      </c>
      <c r="Q22" s="93" t="s">
        <v>399</v>
      </c>
      <c r="R22" s="93" t="s">
        <v>399</v>
      </c>
      <c r="S22" s="93" t="s">
        <v>399</v>
      </c>
      <c r="T22" s="93" t="s">
        <v>399</v>
      </c>
      <c r="U22" s="93" t="s">
        <v>399</v>
      </c>
      <c r="V22" s="93" t="s">
        <v>399</v>
      </c>
      <c r="W22" s="93" t="s">
        <v>399</v>
      </c>
      <c r="X22" s="93" t="s">
        <v>399</v>
      </c>
      <c r="Y22" s="93" t="s">
        <v>399</v>
      </c>
      <c r="Z22" s="93" t="s">
        <v>399</v>
      </c>
      <c r="AA22" s="93" t="s">
        <v>399</v>
      </c>
      <c r="AB22" s="152" t="s">
        <v>400</v>
      </c>
      <c r="AC22" s="166">
        <v>24070</v>
      </c>
      <c r="AD22" s="167">
        <v>43922</v>
      </c>
      <c r="AE22" s="86">
        <f t="shared" si="1"/>
        <v>54</v>
      </c>
      <c r="AF22" s="108" t="s">
        <v>401</v>
      </c>
      <c r="AG22" s="84" t="s">
        <v>402</v>
      </c>
      <c r="AH22" s="163" t="s">
        <v>405</v>
      </c>
      <c r="AI22" s="172">
        <v>2</v>
      </c>
      <c r="AJ22" s="163">
        <v>0</v>
      </c>
      <c r="AK22" s="163" t="s">
        <v>405</v>
      </c>
      <c r="AL22" s="172">
        <v>0</v>
      </c>
      <c r="AM22" s="89" t="s">
        <v>423</v>
      </c>
      <c r="AN22" s="145">
        <v>2</v>
      </c>
      <c r="AO22" s="109" t="s">
        <v>399</v>
      </c>
      <c r="AP22" s="88"/>
      <c r="AQ22" s="95"/>
      <c r="AR22" s="88"/>
      <c r="AS22" s="93"/>
      <c r="AT22" s="93"/>
      <c r="AU22" s="93"/>
      <c r="AV22" s="93"/>
      <c r="AW22" s="88"/>
      <c r="AX22" s="93"/>
      <c r="AY22" s="93"/>
      <c r="AZ22" s="93"/>
      <c r="BA22" s="93"/>
      <c r="BB22" s="88"/>
      <c r="BC22" s="93"/>
      <c r="BD22" s="93"/>
      <c r="BE22" s="93"/>
      <c r="BF22" s="93"/>
      <c r="BG22" s="88"/>
      <c r="BH22" s="93"/>
      <c r="BI22" s="93"/>
      <c r="BJ22" s="93"/>
      <c r="BK22" s="93"/>
      <c r="BL22" s="88"/>
      <c r="BM22" s="93"/>
      <c r="BN22" s="93"/>
      <c r="BO22" s="93"/>
      <c r="BP22" s="93"/>
      <c r="BQ22" s="88"/>
      <c r="BR22" s="93"/>
      <c r="BS22" s="93"/>
      <c r="BT22" s="93"/>
      <c r="BU22" s="93"/>
      <c r="BV22" s="88"/>
      <c r="BW22" s="93"/>
      <c r="BX22" s="93"/>
      <c r="BY22" s="93"/>
      <c r="BZ22" s="93"/>
      <c r="CA22" s="88"/>
      <c r="CB22" s="93"/>
      <c r="CC22" s="93"/>
      <c r="CD22" s="93"/>
      <c r="CE22" s="93"/>
      <c r="CF22" s="88"/>
      <c r="CG22" s="93"/>
      <c r="CH22" s="93"/>
      <c r="CI22" s="93"/>
      <c r="CJ22" s="93"/>
      <c r="CK22" s="88"/>
      <c r="CL22" s="93"/>
      <c r="CM22" s="93"/>
      <c r="CN22" s="93"/>
      <c r="CO22" s="93"/>
      <c r="CP22" s="88"/>
      <c r="CQ22" s="93"/>
      <c r="CR22" s="93"/>
      <c r="CS22" s="93"/>
      <c r="CT22" s="93"/>
      <c r="CU22" s="88"/>
      <c r="CV22" s="93"/>
      <c r="CW22" s="93"/>
      <c r="CX22" s="93"/>
      <c r="CY22" s="93"/>
      <c r="CZ22" s="88"/>
      <c r="DA22" s="93"/>
      <c r="DB22" s="93"/>
      <c r="DC22" s="93"/>
      <c r="DD22" s="93"/>
      <c r="DE22" s="88"/>
      <c r="DF22" s="93"/>
      <c r="DG22" s="93"/>
      <c r="DH22" s="93"/>
      <c r="DI22" s="93"/>
      <c r="DJ22" s="88"/>
      <c r="DK22" s="93"/>
      <c r="DL22" s="93"/>
      <c r="DM22" s="93"/>
      <c r="DN22" s="93"/>
      <c r="DO22" s="88"/>
      <c r="DP22" s="93"/>
      <c r="DQ22" s="93"/>
      <c r="DR22" s="93"/>
      <c r="DS22" s="93"/>
      <c r="DT22" s="88"/>
      <c r="DU22" s="93"/>
      <c r="DV22" s="93"/>
      <c r="DW22" s="93"/>
      <c r="DX22" s="93"/>
      <c r="DY22" s="88"/>
      <c r="DZ22" s="93"/>
      <c r="EA22" s="93"/>
      <c r="EB22" s="93"/>
      <c r="EC22" s="93"/>
      <c r="ED22" s="88"/>
      <c r="EE22" s="93"/>
      <c r="EF22" s="93"/>
      <c r="EG22" s="93"/>
      <c r="EH22" s="93"/>
      <c r="EI22" s="88"/>
      <c r="EJ22" s="93"/>
      <c r="EK22" s="93"/>
      <c r="EL22" s="93"/>
      <c r="EM22" s="93"/>
      <c r="EN22" s="88"/>
      <c r="EO22" s="93"/>
      <c r="EP22" s="93"/>
      <c r="EQ22" s="93"/>
      <c r="ER22" s="93"/>
      <c r="ES22" s="88"/>
      <c r="ET22" s="93"/>
      <c r="EU22" s="93"/>
      <c r="EV22" s="93"/>
      <c r="EW22" s="93"/>
      <c r="EX22" s="88"/>
      <c r="EY22" s="93"/>
      <c r="EZ22" s="93"/>
      <c r="FA22" s="93"/>
      <c r="FB22" s="93"/>
      <c r="FC22" s="88"/>
      <c r="FD22" s="93"/>
      <c r="FE22" s="93"/>
      <c r="FF22" s="93"/>
      <c r="FG22" s="93"/>
      <c r="FH22" s="88"/>
      <c r="FI22" s="93"/>
      <c r="FJ22" s="93"/>
      <c r="FK22" s="93"/>
      <c r="FL22" s="93"/>
      <c r="FM22" s="93"/>
      <c r="FN22" s="93"/>
      <c r="FO22" s="93"/>
      <c r="FP22" s="93"/>
      <c r="FQ22" s="93"/>
      <c r="FR22" s="93"/>
      <c r="FS22" s="93"/>
      <c r="FT22" s="93"/>
      <c r="FU22" s="93"/>
      <c r="FV22" s="93"/>
      <c r="FW22" s="93"/>
      <c r="FX22" s="93"/>
      <c r="FY22" s="93"/>
      <c r="FZ22" s="93"/>
      <c r="GA22" s="93"/>
      <c r="GB22" s="93"/>
      <c r="GC22" s="93"/>
      <c r="GD22" s="93"/>
      <c r="GE22" s="93"/>
      <c r="GF22" s="93"/>
      <c r="GG22" s="93"/>
      <c r="GH22" s="93"/>
      <c r="GI22" s="93"/>
      <c r="GJ22" s="93"/>
      <c r="GK22" s="93"/>
      <c r="GL22" s="93"/>
      <c r="GM22" s="93"/>
      <c r="GN22" s="93"/>
      <c r="GO22" s="93"/>
      <c r="GP22" s="88"/>
      <c r="GQ22" s="93"/>
      <c r="GR22" s="93"/>
      <c r="GS22" s="93"/>
      <c r="GT22" s="93"/>
      <c r="GU22" s="88"/>
      <c r="GV22" s="93"/>
      <c r="GW22" s="93"/>
      <c r="GX22" s="93"/>
      <c r="GY22" s="93"/>
      <c r="GZ22" s="88"/>
      <c r="HA22" s="93"/>
      <c r="HB22" s="93"/>
      <c r="HC22" s="93"/>
      <c r="HD22" s="93"/>
      <c r="HE22" s="88"/>
      <c r="HF22" s="93"/>
      <c r="HG22" s="93"/>
      <c r="HH22" s="93"/>
      <c r="HI22" s="93"/>
      <c r="HJ22" s="88"/>
      <c r="HK22" s="93"/>
      <c r="HL22" s="93"/>
      <c r="HM22" s="93"/>
      <c r="HN22" s="93"/>
      <c r="HO22" s="88"/>
      <c r="HP22" s="93"/>
      <c r="HQ22" s="93"/>
      <c r="HR22" s="93"/>
      <c r="HS22" s="93"/>
      <c r="HT22" s="88"/>
      <c r="HU22" s="93"/>
      <c r="HV22" s="93"/>
      <c r="HW22" s="93"/>
      <c r="HX22" s="93"/>
      <c r="HY22" s="88"/>
      <c r="HZ22" s="93"/>
      <c r="IA22" s="93"/>
      <c r="IB22" s="93"/>
      <c r="IC22" s="93"/>
      <c r="ID22" s="88"/>
      <c r="IE22" s="93"/>
      <c r="IF22" s="93"/>
      <c r="IG22" s="93"/>
      <c r="IH22" s="93"/>
      <c r="II22" s="88"/>
      <c r="IJ22" s="93"/>
      <c r="IK22" s="93"/>
      <c r="IL22" s="93"/>
      <c r="IM22" s="93"/>
      <c r="IN22" s="88"/>
      <c r="IO22" s="93"/>
      <c r="IP22" s="93"/>
      <c r="IQ22" s="93"/>
      <c r="IR22" s="93"/>
      <c r="IS22" s="88"/>
      <c r="IT22" s="93"/>
      <c r="IU22" s="93"/>
      <c r="IV22" s="93"/>
      <c r="IW22" s="93"/>
      <c r="IX22" s="88"/>
      <c r="IY22" s="93"/>
      <c r="IZ22" s="93"/>
      <c r="JA22" s="93"/>
      <c r="JB22" s="93"/>
      <c r="JC22" s="88"/>
      <c r="JD22" s="93"/>
      <c r="JE22" s="93"/>
      <c r="JF22" s="93"/>
      <c r="JG22" s="94"/>
      <c r="JH22" s="88"/>
      <c r="JI22" s="95"/>
      <c r="JJ22" s="93"/>
      <c r="JK22" s="93"/>
      <c r="JL22" s="94"/>
      <c r="JM22" s="89"/>
      <c r="JN22" s="96"/>
      <c r="JO22" s="84"/>
      <c r="JP22" s="95"/>
      <c r="JQ22" s="93"/>
      <c r="JR22" s="93"/>
      <c r="JS22" s="93"/>
      <c r="JT22" s="93"/>
      <c r="JU22" s="93"/>
      <c r="JV22" s="93"/>
      <c r="JW22" s="93"/>
      <c r="JX22" s="93"/>
      <c r="JY22" s="93"/>
      <c r="JZ22" s="93"/>
      <c r="KA22" s="93"/>
      <c r="KB22" s="93"/>
      <c r="KC22" s="93"/>
      <c r="KD22" s="93"/>
      <c r="KE22" s="93"/>
      <c r="KF22" s="93"/>
      <c r="KG22" s="93"/>
      <c r="KH22" s="93"/>
      <c r="KI22" s="93"/>
      <c r="KJ22" s="93"/>
      <c r="KK22" s="93"/>
      <c r="KL22" s="93"/>
      <c r="KM22" s="93"/>
      <c r="KN22" s="93"/>
      <c r="KO22" s="93"/>
      <c r="KP22" s="93"/>
      <c r="KQ22" s="93"/>
      <c r="KR22" s="93"/>
      <c r="KS22" s="93"/>
      <c r="KT22" s="93"/>
      <c r="KU22" s="93"/>
      <c r="KV22" s="93"/>
      <c r="KW22" s="93"/>
      <c r="KX22" s="93"/>
      <c r="KY22" s="93"/>
      <c r="KZ22" s="93"/>
      <c r="LA22" s="93"/>
      <c r="LB22" s="93"/>
      <c r="LC22" s="93"/>
      <c r="LD22" s="93"/>
      <c r="LE22" s="93"/>
      <c r="LF22" s="93"/>
      <c r="LG22" s="93"/>
      <c r="LH22" s="93"/>
      <c r="LI22" s="93"/>
      <c r="LJ22" s="93"/>
      <c r="LK22" s="93"/>
      <c r="LL22" s="93"/>
      <c r="LM22" s="93"/>
      <c r="LN22" s="93"/>
      <c r="LO22" s="93"/>
      <c r="LP22" s="93"/>
      <c r="LQ22" s="93"/>
      <c r="LR22" s="93"/>
      <c r="LS22" s="93"/>
      <c r="LT22" s="93"/>
      <c r="LU22" s="93"/>
      <c r="LV22" s="93"/>
      <c r="LW22" s="93"/>
      <c r="LX22" s="93"/>
      <c r="LY22" s="93"/>
      <c r="LZ22" s="93"/>
      <c r="MA22" s="93"/>
      <c r="MB22" s="93"/>
      <c r="MC22" s="93"/>
      <c r="MD22" s="93"/>
      <c r="ME22" s="93"/>
      <c r="MF22" s="93"/>
      <c r="MG22" s="93"/>
      <c r="MH22" s="93"/>
      <c r="MI22" s="93"/>
      <c r="MJ22" s="93"/>
      <c r="MK22" s="93"/>
      <c r="ML22" s="93"/>
      <c r="MM22" s="93"/>
      <c r="MN22" s="93"/>
      <c r="MO22" s="93"/>
      <c r="MP22" s="93"/>
      <c r="MQ22" s="93"/>
      <c r="MR22" s="93"/>
      <c r="MS22" s="93"/>
      <c r="MT22" s="93"/>
      <c r="MU22" s="93"/>
      <c r="MV22" s="93"/>
      <c r="MW22" s="93"/>
      <c r="MX22" s="93"/>
      <c r="MY22" s="93"/>
      <c r="MZ22" s="93"/>
      <c r="NA22" s="93"/>
      <c r="NB22" s="93"/>
      <c r="NC22" s="93"/>
      <c r="ND22" s="93"/>
      <c r="NE22" s="93"/>
      <c r="NF22" s="93"/>
      <c r="NG22" s="93"/>
      <c r="NH22" s="93"/>
      <c r="NI22" s="93"/>
      <c r="NJ22" s="93"/>
      <c r="NK22" s="93"/>
      <c r="NL22" s="93"/>
      <c r="NM22" s="93"/>
      <c r="NN22" s="93"/>
      <c r="NO22" s="93"/>
      <c r="NP22" s="93"/>
      <c r="NQ22" s="93"/>
      <c r="NR22" s="93"/>
      <c r="NS22" s="93"/>
      <c r="NT22" s="93"/>
      <c r="NU22" s="93"/>
      <c r="NV22" s="93"/>
      <c r="NW22" s="93"/>
      <c r="NX22" s="93"/>
      <c r="NY22" s="93"/>
      <c r="NZ22" s="93"/>
    </row>
    <row r="23" spans="1:390" ht="15.75" customHeight="1" x14ac:dyDescent="0.3">
      <c r="A23" s="98">
        <v>4087362620</v>
      </c>
      <c r="B23" s="87" t="s">
        <v>392</v>
      </c>
      <c r="C23" s="84" t="s">
        <v>393</v>
      </c>
      <c r="D23" s="87" t="s">
        <v>392</v>
      </c>
      <c r="E23" s="93" t="s">
        <v>467</v>
      </c>
      <c r="F23" s="116" t="s">
        <v>468</v>
      </c>
      <c r="G23" s="93" t="s">
        <v>443</v>
      </c>
      <c r="H23" s="166">
        <v>43978</v>
      </c>
      <c r="I23" s="93" t="s">
        <v>430</v>
      </c>
      <c r="J23" s="234" t="s">
        <v>398</v>
      </c>
      <c r="K23" s="93" t="s">
        <v>399</v>
      </c>
      <c r="L23" s="93" t="s">
        <v>399</v>
      </c>
      <c r="M23" s="93" t="s">
        <v>399</v>
      </c>
      <c r="N23" s="93" t="s">
        <v>399</v>
      </c>
      <c r="O23" s="93" t="s">
        <v>399</v>
      </c>
      <c r="P23" s="93" t="s">
        <v>399</v>
      </c>
      <c r="Q23" s="93" t="s">
        <v>399</v>
      </c>
      <c r="R23" s="93" t="s">
        <v>399</v>
      </c>
      <c r="S23" s="93" t="s">
        <v>399</v>
      </c>
      <c r="T23" s="93" t="s">
        <v>399</v>
      </c>
      <c r="U23" s="93" t="s">
        <v>399</v>
      </c>
      <c r="V23" s="93" t="s">
        <v>399</v>
      </c>
      <c r="W23" s="93" t="s">
        <v>399</v>
      </c>
      <c r="X23" s="93" t="s">
        <v>399</v>
      </c>
      <c r="Y23" s="93" t="s">
        <v>399</v>
      </c>
      <c r="Z23" s="93" t="s">
        <v>399</v>
      </c>
      <c r="AA23" s="93" t="s">
        <v>399</v>
      </c>
      <c r="AB23" s="152" t="s">
        <v>400</v>
      </c>
      <c r="AC23" s="166">
        <v>27734</v>
      </c>
      <c r="AD23" s="167">
        <v>43700</v>
      </c>
      <c r="AE23" s="86">
        <f t="shared" si="1"/>
        <v>43</v>
      </c>
      <c r="AF23" s="108" t="s">
        <v>401</v>
      </c>
      <c r="AG23" s="84" t="s">
        <v>402</v>
      </c>
      <c r="AH23" s="163" t="s">
        <v>403</v>
      </c>
      <c r="AI23" s="163" t="s">
        <v>404</v>
      </c>
      <c r="AJ23" s="232" t="s">
        <v>405</v>
      </c>
      <c r="AK23" s="163" t="s">
        <v>405</v>
      </c>
      <c r="AL23" s="172">
        <v>0</v>
      </c>
      <c r="AM23" s="89" t="s">
        <v>406</v>
      </c>
      <c r="AN23" s="170">
        <v>2</v>
      </c>
      <c r="AO23" s="109" t="s">
        <v>399</v>
      </c>
      <c r="AP23" s="88"/>
      <c r="AQ23" s="95"/>
      <c r="AR23" s="88"/>
      <c r="AS23" s="93"/>
      <c r="AT23" s="93"/>
      <c r="AU23" s="93"/>
      <c r="AV23" s="93"/>
      <c r="AW23" s="88"/>
      <c r="AX23" s="93"/>
      <c r="AY23" s="93"/>
      <c r="AZ23" s="93"/>
      <c r="BA23" s="93"/>
      <c r="BB23" s="88"/>
      <c r="BC23" s="93"/>
      <c r="BD23" s="93"/>
      <c r="BE23" s="93"/>
      <c r="BF23" s="93"/>
      <c r="BG23" s="88"/>
      <c r="BH23" s="93"/>
      <c r="BI23" s="93"/>
      <c r="BJ23" s="93"/>
      <c r="BK23" s="93"/>
      <c r="BL23" s="88"/>
      <c r="BM23" s="93"/>
      <c r="BN23" s="93"/>
      <c r="BO23" s="93"/>
      <c r="BP23" s="93"/>
      <c r="BQ23" s="88"/>
      <c r="BR23" s="93"/>
      <c r="BS23" s="93"/>
      <c r="BT23" s="93"/>
      <c r="BU23" s="93"/>
      <c r="BV23" s="88"/>
      <c r="BW23" s="93"/>
      <c r="BX23" s="93"/>
      <c r="BY23" s="93"/>
      <c r="BZ23" s="93"/>
      <c r="CA23" s="88"/>
      <c r="CB23" s="93"/>
      <c r="CC23" s="93"/>
      <c r="CD23" s="93"/>
      <c r="CE23" s="93"/>
      <c r="CF23" s="88"/>
      <c r="CG23" s="93"/>
      <c r="CH23" s="93"/>
      <c r="CI23" s="93"/>
      <c r="CJ23" s="93"/>
      <c r="CK23" s="88"/>
      <c r="CL23" s="93"/>
      <c r="CM23" s="93"/>
      <c r="CN23" s="93"/>
      <c r="CO23" s="93"/>
      <c r="CP23" s="88"/>
      <c r="CQ23" s="93"/>
      <c r="CR23" s="93"/>
      <c r="CS23" s="93"/>
      <c r="CT23" s="93"/>
      <c r="CU23" s="88"/>
      <c r="CV23" s="93"/>
      <c r="CW23" s="93"/>
      <c r="CX23" s="93"/>
      <c r="CY23" s="93"/>
      <c r="CZ23" s="88"/>
      <c r="DA23" s="93"/>
      <c r="DB23" s="93"/>
      <c r="DC23" s="93"/>
      <c r="DD23" s="93"/>
      <c r="DE23" s="88"/>
      <c r="DF23" s="93"/>
      <c r="DG23" s="93"/>
      <c r="DH23" s="93"/>
      <c r="DI23" s="93"/>
      <c r="DJ23" s="88"/>
      <c r="DK23" s="93"/>
      <c r="DL23" s="93"/>
      <c r="DM23" s="93"/>
      <c r="DN23" s="93"/>
      <c r="DO23" s="88"/>
      <c r="DP23" s="93"/>
      <c r="DQ23" s="93"/>
      <c r="DR23" s="93"/>
      <c r="DS23" s="93"/>
      <c r="DT23" s="88"/>
      <c r="DU23" s="93"/>
      <c r="DV23" s="93"/>
      <c r="DW23" s="93"/>
      <c r="DX23" s="93"/>
      <c r="DY23" s="88"/>
      <c r="DZ23" s="93"/>
      <c r="EA23" s="93"/>
      <c r="EB23" s="93"/>
      <c r="EC23" s="93"/>
      <c r="ED23" s="88"/>
      <c r="EE23" s="93"/>
      <c r="EF23" s="93"/>
      <c r="EG23" s="93"/>
      <c r="EH23" s="93"/>
      <c r="EI23" s="88"/>
      <c r="EJ23" s="93"/>
      <c r="EK23" s="93"/>
      <c r="EL23" s="93"/>
      <c r="EM23" s="93"/>
      <c r="EN23" s="88"/>
      <c r="EO23" s="93"/>
      <c r="EP23" s="93"/>
      <c r="EQ23" s="93"/>
      <c r="ER23" s="93"/>
      <c r="ES23" s="88"/>
      <c r="ET23" s="93"/>
      <c r="EU23" s="93"/>
      <c r="EV23" s="93"/>
      <c r="EW23" s="93"/>
      <c r="EX23" s="88"/>
      <c r="EY23" s="93"/>
      <c r="EZ23" s="93"/>
      <c r="FA23" s="93"/>
      <c r="FB23" s="93"/>
      <c r="FC23" s="88"/>
      <c r="FD23" s="93"/>
      <c r="FE23" s="93"/>
      <c r="FF23" s="93"/>
      <c r="FG23" s="93"/>
      <c r="FH23" s="88"/>
      <c r="FI23" s="93"/>
      <c r="FJ23" s="93"/>
      <c r="FK23" s="93"/>
      <c r="FL23" s="93"/>
      <c r="FM23" s="93"/>
      <c r="FN23" s="93"/>
      <c r="FO23" s="93"/>
      <c r="FP23" s="93"/>
      <c r="FQ23" s="93"/>
      <c r="FR23" s="93"/>
      <c r="FS23" s="93"/>
      <c r="FT23" s="93"/>
      <c r="FU23" s="93"/>
      <c r="FV23" s="93"/>
      <c r="FW23" s="93"/>
      <c r="FX23" s="93"/>
      <c r="FY23" s="93"/>
      <c r="FZ23" s="93"/>
      <c r="GA23" s="93"/>
      <c r="GB23" s="93"/>
      <c r="GC23" s="93"/>
      <c r="GD23" s="93"/>
      <c r="GE23" s="93"/>
      <c r="GF23" s="93"/>
      <c r="GG23" s="93"/>
      <c r="GH23" s="93"/>
      <c r="GI23" s="93"/>
      <c r="GJ23" s="93"/>
      <c r="GK23" s="93"/>
      <c r="GL23" s="93"/>
      <c r="GM23" s="93"/>
      <c r="GN23" s="93"/>
      <c r="GO23" s="93"/>
      <c r="GP23" s="88"/>
      <c r="GQ23" s="93"/>
      <c r="GR23" s="93"/>
      <c r="GS23" s="93"/>
      <c r="GT23" s="93"/>
      <c r="GU23" s="88"/>
      <c r="GV23" s="93"/>
      <c r="GW23" s="93"/>
      <c r="GX23" s="93"/>
      <c r="GY23" s="93"/>
      <c r="GZ23" s="88"/>
      <c r="HA23" s="93"/>
      <c r="HB23" s="93"/>
      <c r="HC23" s="93"/>
      <c r="HD23" s="93"/>
      <c r="HE23" s="88"/>
      <c r="HF23" s="93"/>
      <c r="HG23" s="93"/>
      <c r="HH23" s="93"/>
      <c r="HI23" s="93"/>
      <c r="HJ23" s="88"/>
      <c r="HK23" s="93"/>
      <c r="HL23" s="93"/>
      <c r="HM23" s="93"/>
      <c r="HN23" s="93"/>
      <c r="HO23" s="88"/>
      <c r="HP23" s="93"/>
      <c r="HQ23" s="93"/>
      <c r="HR23" s="93"/>
      <c r="HS23" s="93"/>
      <c r="HT23" s="88"/>
      <c r="HU23" s="93"/>
      <c r="HV23" s="93"/>
      <c r="HW23" s="93"/>
      <c r="HX23" s="93"/>
      <c r="HY23" s="88"/>
      <c r="HZ23" s="93"/>
      <c r="IA23" s="93"/>
      <c r="IB23" s="93"/>
      <c r="IC23" s="93"/>
      <c r="ID23" s="88"/>
      <c r="IE23" s="93"/>
      <c r="IF23" s="93"/>
      <c r="IG23" s="93"/>
      <c r="IH23" s="93"/>
      <c r="II23" s="88"/>
      <c r="IJ23" s="93"/>
      <c r="IK23" s="93"/>
      <c r="IL23" s="93"/>
      <c r="IM23" s="93"/>
      <c r="IN23" s="88"/>
      <c r="IO23" s="93"/>
      <c r="IP23" s="93"/>
      <c r="IQ23" s="93"/>
      <c r="IR23" s="93"/>
      <c r="IS23" s="88"/>
      <c r="IT23" s="93"/>
      <c r="IU23" s="93"/>
      <c r="IV23" s="93"/>
      <c r="IW23" s="93"/>
      <c r="IX23" s="88"/>
      <c r="IY23" s="93"/>
      <c r="IZ23" s="93"/>
      <c r="JA23" s="93"/>
      <c r="JB23" s="93"/>
      <c r="JC23" s="88"/>
      <c r="JD23" s="93"/>
      <c r="JE23" s="93"/>
      <c r="JF23" s="93"/>
      <c r="JG23" s="94"/>
      <c r="JH23" s="88"/>
      <c r="JI23" s="95"/>
      <c r="JJ23" s="93"/>
      <c r="JK23" s="93"/>
      <c r="JL23" s="94"/>
      <c r="JM23" s="89"/>
      <c r="JN23" s="96"/>
      <c r="JO23" s="84"/>
      <c r="JP23" s="95"/>
      <c r="JQ23" s="93"/>
      <c r="JR23" s="93"/>
      <c r="JS23" s="93"/>
      <c r="JT23" s="93"/>
      <c r="JU23" s="93"/>
      <c r="JV23" s="93"/>
      <c r="JW23" s="93"/>
      <c r="JX23" s="93"/>
      <c r="JY23" s="93"/>
      <c r="JZ23" s="93"/>
      <c r="KA23" s="93"/>
      <c r="KB23" s="93"/>
      <c r="KC23" s="93"/>
      <c r="KD23" s="93"/>
      <c r="KE23" s="93"/>
      <c r="KF23" s="93"/>
      <c r="KG23" s="93"/>
      <c r="KH23" s="93"/>
      <c r="KI23" s="93"/>
      <c r="KJ23" s="93"/>
      <c r="KK23" s="93"/>
      <c r="KL23" s="93"/>
      <c r="KM23" s="93"/>
      <c r="KN23" s="93"/>
      <c r="KO23" s="93"/>
      <c r="KP23" s="93"/>
      <c r="KQ23" s="93"/>
      <c r="KR23" s="93"/>
      <c r="KS23" s="93"/>
      <c r="KT23" s="93"/>
      <c r="KU23" s="93"/>
      <c r="KV23" s="93"/>
      <c r="KW23" s="93"/>
      <c r="KX23" s="93"/>
      <c r="KY23" s="93"/>
      <c r="KZ23" s="93"/>
      <c r="LA23" s="93"/>
      <c r="LB23" s="93"/>
      <c r="LC23" s="93"/>
      <c r="LD23" s="93"/>
      <c r="LE23" s="93"/>
      <c r="LF23" s="93"/>
      <c r="LG23" s="93"/>
      <c r="LH23" s="93"/>
      <c r="LI23" s="93"/>
      <c r="LJ23" s="93"/>
      <c r="LK23" s="93"/>
      <c r="LL23" s="93"/>
      <c r="LM23" s="93"/>
      <c r="LN23" s="93"/>
      <c r="LO23" s="93"/>
      <c r="LP23" s="93"/>
      <c r="LQ23" s="93"/>
      <c r="LR23" s="93"/>
      <c r="LS23" s="93"/>
      <c r="LT23" s="93"/>
      <c r="LU23" s="93"/>
      <c r="LV23" s="93"/>
      <c r="LW23" s="93"/>
      <c r="LX23" s="93"/>
      <c r="LY23" s="93"/>
      <c r="LZ23" s="93"/>
      <c r="MA23" s="93"/>
      <c r="MB23" s="93"/>
      <c r="MC23" s="93"/>
      <c r="MD23" s="92"/>
      <c r="ME23" s="92"/>
      <c r="MF23" s="92"/>
      <c r="MG23" s="92"/>
      <c r="MH23" s="92"/>
      <c r="MI23" s="92"/>
      <c r="MJ23" s="92"/>
      <c r="MK23" s="92"/>
      <c r="ML23" s="92"/>
      <c r="MM23" s="92"/>
      <c r="MN23" s="92"/>
      <c r="MO23" s="92"/>
      <c r="MP23" s="92"/>
      <c r="MQ23" s="92"/>
      <c r="MR23" s="92"/>
      <c r="MS23" s="92"/>
      <c r="MT23" s="92"/>
      <c r="MU23" s="92"/>
      <c r="MV23" s="92"/>
      <c r="MW23" s="92"/>
      <c r="MX23" s="92"/>
      <c r="MY23" s="92"/>
      <c r="MZ23" s="92"/>
      <c r="NA23" s="92"/>
      <c r="NB23" s="92"/>
      <c r="NC23" s="92"/>
      <c r="ND23" s="92"/>
      <c r="NE23" s="92"/>
      <c r="NF23" s="92"/>
      <c r="NG23" s="92"/>
      <c r="NH23" s="92"/>
      <c r="NI23" s="92"/>
      <c r="NJ23" s="92"/>
      <c r="NK23" s="92"/>
      <c r="NL23" s="92"/>
      <c r="NM23" s="92"/>
      <c r="NN23" s="92"/>
      <c r="NO23" s="92"/>
      <c r="NP23" s="92"/>
      <c r="NQ23" s="92"/>
      <c r="NR23" s="92"/>
      <c r="NS23" s="92"/>
      <c r="NT23" s="92"/>
      <c r="NU23" s="92"/>
      <c r="NV23" s="92"/>
      <c r="NW23" s="92"/>
      <c r="NX23" s="92"/>
      <c r="NY23" s="93"/>
      <c r="NZ23" s="93"/>
    </row>
    <row r="24" spans="1:390" ht="15.75" customHeight="1" x14ac:dyDescent="0.3">
      <c r="A24" s="245">
        <v>4387969776</v>
      </c>
      <c r="B24" s="87" t="s">
        <v>392</v>
      </c>
      <c r="C24" s="84" t="s">
        <v>393</v>
      </c>
      <c r="D24" s="87" t="s">
        <v>392</v>
      </c>
      <c r="E24" s="93" t="s">
        <v>469</v>
      </c>
      <c r="F24" s="116" t="s">
        <v>452</v>
      </c>
      <c r="G24" s="116" t="s">
        <v>416</v>
      </c>
      <c r="H24" s="166">
        <v>44025</v>
      </c>
      <c r="I24" s="93" t="s">
        <v>470</v>
      </c>
      <c r="J24" s="234" t="s">
        <v>398</v>
      </c>
      <c r="K24" s="93" t="s">
        <v>399</v>
      </c>
      <c r="L24" s="93" t="s">
        <v>399</v>
      </c>
      <c r="M24" s="93" t="s">
        <v>399</v>
      </c>
      <c r="N24" s="93" t="s">
        <v>399</v>
      </c>
      <c r="O24" s="93" t="s">
        <v>399</v>
      </c>
      <c r="P24" s="93" t="s">
        <v>399</v>
      </c>
      <c r="Q24" s="93" t="s">
        <v>399</v>
      </c>
      <c r="R24" s="93" t="s">
        <v>399</v>
      </c>
      <c r="S24" s="93" t="s">
        <v>399</v>
      </c>
      <c r="T24" s="93" t="s">
        <v>399</v>
      </c>
      <c r="U24" s="93" t="s">
        <v>399</v>
      </c>
      <c r="V24" s="93" t="s">
        <v>399</v>
      </c>
      <c r="W24" s="93" t="s">
        <v>399</v>
      </c>
      <c r="X24" s="93" t="s">
        <v>399</v>
      </c>
      <c r="Y24" s="93" t="s">
        <v>399</v>
      </c>
      <c r="Z24" s="93" t="s">
        <v>399</v>
      </c>
      <c r="AA24" s="93" t="s">
        <v>399</v>
      </c>
      <c r="AB24" s="152" t="s">
        <v>400</v>
      </c>
      <c r="AC24" s="166">
        <v>16948</v>
      </c>
      <c r="AD24" s="167">
        <v>43990</v>
      </c>
      <c r="AE24" s="86">
        <f t="shared" si="1"/>
        <v>74</v>
      </c>
      <c r="AF24" s="108" t="s">
        <v>401</v>
      </c>
      <c r="AG24" s="84" t="s">
        <v>402</v>
      </c>
      <c r="AH24" s="163" t="s">
        <v>403</v>
      </c>
      <c r="AI24" s="232" t="s">
        <v>404</v>
      </c>
      <c r="AJ24" s="163">
        <v>0</v>
      </c>
      <c r="AK24" s="163" t="s">
        <v>405</v>
      </c>
      <c r="AL24" s="172">
        <v>0</v>
      </c>
      <c r="AM24" s="247" t="s">
        <v>406</v>
      </c>
      <c r="AN24" s="170">
        <v>2</v>
      </c>
      <c r="AO24" s="109" t="s">
        <v>399</v>
      </c>
      <c r="AP24" s="88"/>
      <c r="AQ24" s="95"/>
      <c r="AR24" s="88"/>
      <c r="AS24" s="93"/>
      <c r="AT24" s="93"/>
      <c r="AU24" s="93"/>
      <c r="AV24" s="93"/>
      <c r="AW24" s="88"/>
      <c r="AX24" s="93"/>
      <c r="AY24" s="93"/>
      <c r="AZ24" s="93"/>
      <c r="BA24" s="93"/>
      <c r="BB24" s="88"/>
      <c r="BC24" s="93"/>
      <c r="BD24" s="93"/>
      <c r="BE24" s="93"/>
      <c r="BF24" s="93"/>
      <c r="BG24" s="88"/>
      <c r="BH24" s="93"/>
      <c r="BI24" s="93"/>
      <c r="BJ24" s="93"/>
      <c r="BK24" s="93"/>
      <c r="BL24" s="88"/>
      <c r="BM24" s="93"/>
      <c r="BN24" s="93"/>
      <c r="BO24" s="93"/>
      <c r="BP24" s="93"/>
      <c r="BQ24" s="88"/>
      <c r="BR24" s="93"/>
      <c r="BS24" s="93"/>
      <c r="BT24" s="93"/>
      <c r="BU24" s="93"/>
      <c r="BV24" s="88"/>
      <c r="BW24" s="93"/>
      <c r="BX24" s="93"/>
      <c r="BY24" s="93"/>
      <c r="BZ24" s="93"/>
      <c r="CA24" s="88"/>
      <c r="CB24" s="93"/>
      <c r="CC24" s="93"/>
      <c r="CD24" s="93"/>
      <c r="CE24" s="93"/>
      <c r="CF24" s="88"/>
      <c r="CG24" s="93"/>
      <c r="CH24" s="93"/>
      <c r="CI24" s="93"/>
      <c r="CJ24" s="93"/>
      <c r="CK24" s="88"/>
      <c r="CL24" s="93"/>
      <c r="CM24" s="93"/>
      <c r="CN24" s="93"/>
      <c r="CO24" s="93"/>
      <c r="CP24" s="88"/>
      <c r="CQ24" s="93"/>
      <c r="CR24" s="93"/>
      <c r="CS24" s="93"/>
      <c r="CT24" s="93"/>
      <c r="CU24" s="88"/>
      <c r="CV24" s="93"/>
      <c r="CW24" s="93"/>
      <c r="CX24" s="93"/>
      <c r="CY24" s="93"/>
      <c r="CZ24" s="88"/>
      <c r="DA24" s="93"/>
      <c r="DB24" s="93"/>
      <c r="DC24" s="93"/>
      <c r="DD24" s="93"/>
      <c r="DE24" s="88"/>
      <c r="DF24" s="93"/>
      <c r="DG24" s="93"/>
      <c r="DH24" s="93"/>
      <c r="DI24" s="93"/>
      <c r="DJ24" s="88"/>
      <c r="DK24" s="93"/>
      <c r="DL24" s="93"/>
      <c r="DM24" s="93"/>
      <c r="DN24" s="93"/>
      <c r="DO24" s="88"/>
      <c r="DP24" s="93"/>
      <c r="DQ24" s="93"/>
      <c r="DR24" s="93"/>
      <c r="DS24" s="93"/>
      <c r="DT24" s="88"/>
      <c r="DU24" s="93"/>
      <c r="DV24" s="93"/>
      <c r="DW24" s="93"/>
      <c r="DX24" s="93"/>
      <c r="DY24" s="88"/>
      <c r="DZ24" s="93"/>
      <c r="EA24" s="93"/>
      <c r="EB24" s="93"/>
      <c r="EC24" s="93"/>
      <c r="ED24" s="88"/>
      <c r="EE24" s="93"/>
      <c r="EF24" s="93"/>
      <c r="EG24" s="93"/>
      <c r="EH24" s="93"/>
      <c r="EI24" s="88"/>
      <c r="EJ24" s="93"/>
      <c r="EK24" s="93"/>
      <c r="EL24" s="93"/>
      <c r="EM24" s="93"/>
      <c r="EN24" s="88"/>
      <c r="EO24" s="93"/>
      <c r="EP24" s="93"/>
      <c r="EQ24" s="93"/>
      <c r="ER24" s="93"/>
      <c r="ES24" s="88"/>
      <c r="ET24" s="93"/>
      <c r="EU24" s="93"/>
      <c r="EV24" s="93"/>
      <c r="EW24" s="93"/>
      <c r="EX24" s="88"/>
      <c r="EY24" s="93"/>
      <c r="EZ24" s="93"/>
      <c r="FA24" s="93"/>
      <c r="FB24" s="93"/>
      <c r="FC24" s="88"/>
      <c r="FD24" s="93"/>
      <c r="FE24" s="93"/>
      <c r="FF24" s="93"/>
      <c r="FG24" s="93"/>
      <c r="FH24" s="88"/>
      <c r="FI24" s="93"/>
      <c r="FJ24" s="93"/>
      <c r="FK24" s="93"/>
      <c r="FL24" s="93"/>
      <c r="FM24" s="93"/>
      <c r="FN24" s="93"/>
      <c r="FO24" s="93"/>
      <c r="FP24" s="93"/>
      <c r="FQ24" s="93"/>
      <c r="FR24" s="93"/>
      <c r="FS24" s="93"/>
      <c r="FT24" s="93"/>
      <c r="FU24" s="93"/>
      <c r="FV24" s="93"/>
      <c r="FW24" s="93"/>
      <c r="FX24" s="93"/>
      <c r="FY24" s="93"/>
      <c r="FZ24" s="93"/>
      <c r="GA24" s="93"/>
      <c r="GB24" s="93"/>
      <c r="GC24" s="93"/>
      <c r="GD24" s="93"/>
      <c r="GE24" s="93"/>
      <c r="GF24" s="93"/>
      <c r="GG24" s="93"/>
      <c r="GH24" s="93"/>
      <c r="GI24" s="93"/>
      <c r="GJ24" s="93"/>
      <c r="GK24" s="93"/>
      <c r="GL24" s="93"/>
      <c r="GM24" s="93"/>
      <c r="GN24" s="93"/>
      <c r="GO24" s="93"/>
      <c r="GP24" s="88"/>
      <c r="GQ24" s="93"/>
      <c r="GR24" s="93"/>
      <c r="GS24" s="93"/>
      <c r="GT24" s="93"/>
      <c r="GU24" s="88"/>
      <c r="GV24" s="93"/>
      <c r="GW24" s="93"/>
      <c r="GX24" s="93"/>
      <c r="GY24" s="93"/>
      <c r="GZ24" s="88"/>
      <c r="HA24" s="93"/>
      <c r="HB24" s="93"/>
      <c r="HC24" s="93"/>
      <c r="HD24" s="93"/>
      <c r="HE24" s="88"/>
      <c r="HF24" s="93"/>
      <c r="HG24" s="93"/>
      <c r="HH24" s="93"/>
      <c r="HI24" s="93"/>
      <c r="HJ24" s="88"/>
      <c r="HK24" s="93"/>
      <c r="HL24" s="93"/>
      <c r="HM24" s="93"/>
      <c r="HN24" s="93"/>
      <c r="HO24" s="88"/>
      <c r="HP24" s="93"/>
      <c r="HQ24" s="93"/>
      <c r="HR24" s="93"/>
      <c r="HS24" s="93"/>
      <c r="HT24" s="88"/>
      <c r="HU24" s="93"/>
      <c r="HV24" s="93"/>
      <c r="HW24" s="93"/>
      <c r="HX24" s="93"/>
      <c r="HY24" s="88"/>
      <c r="HZ24" s="93"/>
      <c r="IA24" s="93"/>
      <c r="IB24" s="93"/>
      <c r="IC24" s="93"/>
      <c r="ID24" s="88"/>
      <c r="IE24" s="93"/>
      <c r="IF24" s="93"/>
      <c r="IG24" s="93"/>
      <c r="IH24" s="93"/>
      <c r="II24" s="88"/>
      <c r="IJ24" s="93"/>
      <c r="IK24" s="93"/>
      <c r="IL24" s="93"/>
      <c r="IM24" s="93"/>
      <c r="IN24" s="88"/>
      <c r="IO24" s="93"/>
      <c r="IP24" s="93"/>
      <c r="IQ24" s="93"/>
      <c r="IR24" s="93"/>
      <c r="IS24" s="88"/>
      <c r="IT24" s="93"/>
      <c r="IU24" s="93"/>
      <c r="IV24" s="93"/>
      <c r="IW24" s="93"/>
      <c r="IX24" s="88"/>
      <c r="IY24" s="93"/>
      <c r="IZ24" s="93"/>
      <c r="JA24" s="93"/>
      <c r="JB24" s="93"/>
      <c r="JC24" s="88"/>
      <c r="JD24" s="93"/>
      <c r="JE24" s="93"/>
      <c r="JF24" s="93"/>
      <c r="JG24" s="94"/>
      <c r="JH24" s="88"/>
      <c r="JI24" s="95"/>
      <c r="JJ24" s="93"/>
      <c r="JK24" s="93"/>
      <c r="JL24" s="94"/>
      <c r="JM24" s="89"/>
      <c r="JN24" s="96"/>
      <c r="JO24" s="84"/>
      <c r="JP24" s="95"/>
      <c r="JQ24" s="93"/>
      <c r="JR24" s="93"/>
      <c r="JS24" s="93"/>
      <c r="JT24" s="93"/>
      <c r="JU24" s="93"/>
      <c r="JV24" s="93"/>
      <c r="JW24" s="93"/>
      <c r="JX24" s="93"/>
      <c r="JY24" s="93"/>
      <c r="JZ24" s="93"/>
      <c r="KA24" s="93"/>
      <c r="KB24" s="93"/>
      <c r="KC24" s="93"/>
      <c r="KD24" s="93"/>
      <c r="KE24" s="93"/>
      <c r="KF24" s="93"/>
      <c r="KG24" s="93"/>
      <c r="KH24" s="93"/>
      <c r="KI24" s="93"/>
      <c r="KJ24" s="93"/>
      <c r="KK24" s="93"/>
      <c r="KL24" s="93"/>
      <c r="KM24" s="93"/>
      <c r="KN24" s="93"/>
      <c r="KO24" s="93"/>
      <c r="KP24" s="93"/>
      <c r="KQ24" s="93"/>
      <c r="KR24" s="93"/>
      <c r="KS24" s="93"/>
      <c r="KT24" s="93"/>
      <c r="KU24" s="93"/>
      <c r="KV24" s="93"/>
      <c r="KW24" s="93"/>
      <c r="KX24" s="93"/>
      <c r="KY24" s="93"/>
      <c r="KZ24" s="93"/>
      <c r="LA24" s="93"/>
      <c r="LB24" s="93"/>
      <c r="LC24" s="93"/>
      <c r="LD24" s="93"/>
      <c r="LE24" s="93"/>
      <c r="LF24" s="93"/>
      <c r="LG24" s="93"/>
      <c r="LH24" s="93"/>
      <c r="LI24" s="93"/>
      <c r="LJ24" s="93"/>
      <c r="LK24" s="93"/>
      <c r="LL24" s="93"/>
      <c r="LM24" s="93"/>
      <c r="LN24" s="93"/>
      <c r="LO24" s="93"/>
      <c r="LP24" s="93"/>
      <c r="LQ24" s="93"/>
      <c r="LR24" s="93"/>
      <c r="LS24" s="93"/>
      <c r="LT24" s="93"/>
      <c r="LU24" s="93"/>
      <c r="LV24" s="93"/>
      <c r="LW24" s="93"/>
      <c r="LX24" s="93"/>
      <c r="LY24" s="93"/>
      <c r="LZ24" s="93"/>
      <c r="MA24" s="93"/>
      <c r="MB24" s="93"/>
      <c r="MC24" s="93"/>
      <c r="MD24" s="93"/>
      <c r="ME24" s="93"/>
      <c r="MF24" s="93"/>
      <c r="MG24" s="93"/>
      <c r="MH24" s="93"/>
      <c r="MI24" s="93"/>
      <c r="MJ24" s="93"/>
      <c r="MK24" s="93"/>
      <c r="ML24" s="93"/>
      <c r="MM24" s="93"/>
      <c r="MN24" s="93"/>
      <c r="MO24" s="93"/>
      <c r="MP24" s="93"/>
      <c r="MQ24" s="93"/>
      <c r="MR24" s="93"/>
      <c r="MS24" s="93"/>
      <c r="MT24" s="93"/>
      <c r="MU24" s="93"/>
      <c r="MV24" s="93"/>
      <c r="MW24" s="93"/>
      <c r="MX24" s="93"/>
      <c r="MY24" s="93"/>
      <c r="MZ24" s="93"/>
      <c r="NA24" s="93"/>
      <c r="NB24" s="93"/>
      <c r="NC24" s="93"/>
      <c r="ND24" s="93"/>
      <c r="NE24" s="93"/>
      <c r="NF24" s="93"/>
      <c r="NG24" s="93"/>
      <c r="NH24" s="93"/>
      <c r="NI24" s="93"/>
      <c r="NJ24" s="93"/>
      <c r="NK24" s="93"/>
      <c r="NL24" s="93"/>
      <c r="NM24" s="93"/>
      <c r="NN24" s="93"/>
      <c r="NO24" s="93"/>
      <c r="NP24" s="93"/>
      <c r="NQ24" s="93"/>
      <c r="NR24" s="93"/>
      <c r="NS24" s="93"/>
      <c r="NT24" s="93"/>
      <c r="NU24" s="93"/>
      <c r="NV24" s="93"/>
      <c r="NW24" s="93"/>
      <c r="NX24" s="93"/>
      <c r="NY24" s="93"/>
      <c r="NZ24" s="93"/>
    </row>
    <row r="25" spans="1:390" ht="15.75" customHeight="1" x14ac:dyDescent="0.3">
      <c r="A25" s="245">
        <v>4382038278</v>
      </c>
      <c r="B25" s="87" t="s">
        <v>392</v>
      </c>
      <c r="C25" s="84" t="s">
        <v>393</v>
      </c>
      <c r="D25" s="87" t="s">
        <v>392</v>
      </c>
      <c r="E25" s="93" t="s">
        <v>471</v>
      </c>
      <c r="F25" s="116" t="s">
        <v>441</v>
      </c>
      <c r="G25" s="93" t="s">
        <v>443</v>
      </c>
      <c r="H25" s="166">
        <v>44069</v>
      </c>
      <c r="I25" s="222" t="s">
        <v>472</v>
      </c>
      <c r="J25" s="234" t="s">
        <v>398</v>
      </c>
      <c r="K25" s="93" t="s">
        <v>399</v>
      </c>
      <c r="L25" s="93" t="s">
        <v>399</v>
      </c>
      <c r="M25" s="93" t="s">
        <v>399</v>
      </c>
      <c r="N25" s="93" t="s">
        <v>399</v>
      </c>
      <c r="O25" s="93" t="s">
        <v>399</v>
      </c>
      <c r="P25" s="93" t="s">
        <v>399</v>
      </c>
      <c r="Q25" s="93" t="s">
        <v>399</v>
      </c>
      <c r="R25" s="93" t="s">
        <v>399</v>
      </c>
      <c r="S25" s="93" t="s">
        <v>399</v>
      </c>
      <c r="T25" s="93" t="s">
        <v>399</v>
      </c>
      <c r="U25" s="93" t="s">
        <v>399</v>
      </c>
      <c r="V25" s="93" t="s">
        <v>399</v>
      </c>
      <c r="W25" s="93" t="s">
        <v>399</v>
      </c>
      <c r="X25" s="93" t="s">
        <v>399</v>
      </c>
      <c r="Y25" s="93" t="s">
        <v>399</v>
      </c>
      <c r="Z25" s="93" t="s">
        <v>399</v>
      </c>
      <c r="AA25" s="93" t="s">
        <v>399</v>
      </c>
      <c r="AB25" s="152" t="s">
        <v>400</v>
      </c>
      <c r="AC25" s="166">
        <v>15672</v>
      </c>
      <c r="AD25" s="167">
        <v>44006</v>
      </c>
      <c r="AE25" s="86">
        <f t="shared" si="1"/>
        <v>77</v>
      </c>
      <c r="AF25" s="108" t="s">
        <v>401</v>
      </c>
      <c r="AG25" s="223" t="s">
        <v>402</v>
      </c>
      <c r="AH25" s="163" t="s">
        <v>392</v>
      </c>
      <c r="AI25" s="163" t="s">
        <v>418</v>
      </c>
      <c r="AJ25" s="232" t="s">
        <v>405</v>
      </c>
      <c r="AK25" s="163" t="s">
        <v>405</v>
      </c>
      <c r="AL25" s="172">
        <v>0</v>
      </c>
      <c r="AM25" s="89" t="s">
        <v>419</v>
      </c>
      <c r="AN25" s="170">
        <v>1</v>
      </c>
      <c r="AO25" s="109" t="s">
        <v>399</v>
      </c>
      <c r="AP25" s="88"/>
      <c r="AQ25" s="95"/>
      <c r="AR25" s="88"/>
      <c r="AS25" s="93"/>
      <c r="AT25" s="93"/>
      <c r="AU25" s="93"/>
      <c r="AV25" s="93"/>
      <c r="AW25" s="88"/>
      <c r="AX25" s="93"/>
      <c r="AY25" s="93"/>
      <c r="AZ25" s="93"/>
      <c r="BA25" s="93"/>
      <c r="BB25" s="88"/>
      <c r="BC25" s="93"/>
      <c r="BD25" s="93"/>
      <c r="BE25" s="93"/>
      <c r="BF25" s="93"/>
      <c r="BG25" s="88"/>
      <c r="BH25" s="93"/>
      <c r="BI25" s="93"/>
      <c r="BJ25" s="93"/>
      <c r="BK25" s="93"/>
      <c r="BL25" s="88"/>
      <c r="BM25" s="93"/>
      <c r="BN25" s="93"/>
      <c r="BO25" s="93"/>
      <c r="BP25" s="93"/>
      <c r="BQ25" s="88"/>
      <c r="BR25" s="93"/>
      <c r="BS25" s="93"/>
      <c r="BT25" s="93"/>
      <c r="BU25" s="93"/>
      <c r="BV25" s="88"/>
      <c r="BW25" s="93"/>
      <c r="BX25" s="93"/>
      <c r="BY25" s="93"/>
      <c r="BZ25" s="93"/>
      <c r="CA25" s="88"/>
      <c r="CB25" s="93"/>
      <c r="CC25" s="93"/>
      <c r="CD25" s="93"/>
      <c r="CE25" s="93"/>
      <c r="CF25" s="88"/>
      <c r="CG25" s="93"/>
      <c r="CH25" s="93"/>
      <c r="CI25" s="93"/>
      <c r="CJ25" s="93"/>
      <c r="CK25" s="88"/>
      <c r="CL25" s="93"/>
      <c r="CM25" s="93"/>
      <c r="CN25" s="93"/>
      <c r="CO25" s="93"/>
      <c r="CP25" s="88"/>
      <c r="CQ25" s="93"/>
      <c r="CR25" s="93"/>
      <c r="CS25" s="93"/>
      <c r="CT25" s="93"/>
      <c r="CU25" s="88"/>
      <c r="CV25" s="93"/>
      <c r="CW25" s="93"/>
      <c r="CX25" s="93"/>
      <c r="CY25" s="93"/>
      <c r="CZ25" s="88"/>
      <c r="DA25" s="93"/>
      <c r="DB25" s="93"/>
      <c r="DC25" s="93"/>
      <c r="DD25" s="93"/>
      <c r="DE25" s="88"/>
      <c r="DF25" s="93"/>
      <c r="DG25" s="93"/>
      <c r="DH25" s="93"/>
      <c r="DI25" s="93"/>
      <c r="DJ25" s="88"/>
      <c r="DK25" s="93"/>
      <c r="DL25" s="93"/>
      <c r="DM25" s="93"/>
      <c r="DN25" s="93"/>
      <c r="DO25" s="88"/>
      <c r="DP25" s="93"/>
      <c r="DQ25" s="93"/>
      <c r="DR25" s="93"/>
      <c r="DS25" s="93"/>
      <c r="DT25" s="88"/>
      <c r="DU25" s="93"/>
      <c r="DV25" s="93"/>
      <c r="DW25" s="93"/>
      <c r="DX25" s="93"/>
      <c r="DY25" s="88"/>
      <c r="DZ25" s="93"/>
      <c r="EA25" s="93"/>
      <c r="EB25" s="93"/>
      <c r="EC25" s="93"/>
      <c r="ED25" s="88"/>
      <c r="EE25" s="93"/>
      <c r="EF25" s="93"/>
      <c r="EG25" s="93"/>
      <c r="EH25" s="93"/>
      <c r="EI25" s="88"/>
      <c r="EJ25" s="93"/>
      <c r="EK25" s="93"/>
      <c r="EL25" s="93"/>
      <c r="EM25" s="93"/>
      <c r="EN25" s="88"/>
      <c r="EO25" s="93"/>
      <c r="EP25" s="93"/>
      <c r="EQ25" s="93"/>
      <c r="ER25" s="93"/>
      <c r="ES25" s="88"/>
      <c r="ET25" s="93"/>
      <c r="EU25" s="93"/>
      <c r="EV25" s="93"/>
      <c r="EW25" s="93"/>
      <c r="EX25" s="88"/>
      <c r="EY25" s="93"/>
      <c r="EZ25" s="93"/>
      <c r="FA25" s="93"/>
      <c r="FB25" s="93"/>
      <c r="FC25" s="88"/>
      <c r="FD25" s="93"/>
      <c r="FE25" s="93"/>
      <c r="FF25" s="93"/>
      <c r="FG25" s="93"/>
      <c r="FH25" s="88"/>
      <c r="FI25" s="93"/>
      <c r="FJ25" s="93"/>
      <c r="FK25" s="93"/>
      <c r="FL25" s="93"/>
      <c r="FM25" s="93"/>
      <c r="FN25" s="93"/>
      <c r="FO25" s="93"/>
      <c r="FP25" s="93"/>
      <c r="FQ25" s="93"/>
      <c r="FR25" s="93"/>
      <c r="FS25" s="93"/>
      <c r="FT25" s="93"/>
      <c r="FU25" s="93"/>
      <c r="FV25" s="93"/>
      <c r="FW25" s="93"/>
      <c r="FX25" s="93"/>
      <c r="FY25" s="93"/>
      <c r="FZ25" s="93"/>
      <c r="GA25" s="93"/>
      <c r="GB25" s="93"/>
      <c r="GC25" s="93"/>
      <c r="GD25" s="93"/>
      <c r="GE25" s="93"/>
      <c r="GF25" s="93"/>
      <c r="GG25" s="93"/>
      <c r="GH25" s="93"/>
      <c r="GI25" s="93"/>
      <c r="GJ25" s="93"/>
      <c r="GK25" s="93"/>
      <c r="GL25" s="93"/>
      <c r="GM25" s="93"/>
      <c r="GN25" s="93"/>
      <c r="GO25" s="93"/>
      <c r="GP25" s="88"/>
      <c r="GQ25" s="93"/>
      <c r="GR25" s="93"/>
      <c r="GS25" s="93"/>
      <c r="GT25" s="93"/>
      <c r="GU25" s="88"/>
      <c r="GV25" s="93"/>
      <c r="GW25" s="93"/>
      <c r="GX25" s="93"/>
      <c r="GY25" s="93"/>
      <c r="GZ25" s="88"/>
      <c r="HA25" s="93"/>
      <c r="HB25" s="93"/>
      <c r="HC25" s="93"/>
      <c r="HD25" s="93"/>
      <c r="HE25" s="88"/>
      <c r="HF25" s="93"/>
      <c r="HG25" s="93"/>
      <c r="HH25" s="93"/>
      <c r="HI25" s="93"/>
      <c r="HJ25" s="88"/>
      <c r="HK25" s="93"/>
      <c r="HL25" s="93"/>
      <c r="HM25" s="93"/>
      <c r="HN25" s="93"/>
      <c r="HO25" s="88"/>
      <c r="HP25" s="93"/>
      <c r="HQ25" s="93"/>
      <c r="HR25" s="93"/>
      <c r="HS25" s="93"/>
      <c r="HT25" s="88"/>
      <c r="HU25" s="93"/>
      <c r="HV25" s="93"/>
      <c r="HW25" s="93"/>
      <c r="HX25" s="93"/>
      <c r="HY25" s="88"/>
      <c r="HZ25" s="93"/>
      <c r="IA25" s="93"/>
      <c r="IB25" s="93"/>
      <c r="IC25" s="93"/>
      <c r="ID25" s="88"/>
      <c r="IE25" s="93"/>
      <c r="IF25" s="93"/>
      <c r="IG25" s="93"/>
      <c r="IH25" s="93"/>
      <c r="II25" s="88"/>
      <c r="IJ25" s="93"/>
      <c r="IK25" s="93"/>
      <c r="IL25" s="93"/>
      <c r="IM25" s="93"/>
      <c r="IN25" s="88"/>
      <c r="IO25" s="93"/>
      <c r="IP25" s="93"/>
      <c r="IQ25" s="93"/>
      <c r="IR25" s="93"/>
      <c r="IS25" s="88"/>
      <c r="IT25" s="93"/>
      <c r="IU25" s="93"/>
      <c r="IV25" s="93"/>
      <c r="IW25" s="93"/>
      <c r="IX25" s="88"/>
      <c r="IY25" s="93"/>
      <c r="IZ25" s="93"/>
      <c r="JA25" s="93"/>
      <c r="JB25" s="93"/>
      <c r="JC25" s="88"/>
      <c r="JD25" s="93"/>
      <c r="JE25" s="93"/>
      <c r="JF25" s="93"/>
      <c r="JG25" s="94"/>
      <c r="JH25" s="88"/>
      <c r="JI25" s="95"/>
      <c r="JJ25" s="93"/>
      <c r="JK25" s="93"/>
      <c r="JL25" s="94"/>
      <c r="JM25" s="89"/>
      <c r="JN25" s="96"/>
      <c r="JO25" s="84"/>
      <c r="JP25" s="95"/>
      <c r="JQ25" s="93"/>
      <c r="JR25" s="93"/>
      <c r="JS25" s="93"/>
      <c r="JT25" s="93"/>
      <c r="JU25" s="93"/>
      <c r="JV25" s="93"/>
      <c r="JW25" s="93"/>
      <c r="JX25" s="93"/>
      <c r="JY25" s="93"/>
      <c r="JZ25" s="93"/>
      <c r="KA25" s="93"/>
      <c r="KB25" s="93"/>
      <c r="KC25" s="93"/>
      <c r="KD25" s="93"/>
      <c r="KE25" s="93"/>
      <c r="KF25" s="93"/>
      <c r="KG25" s="93"/>
      <c r="KH25" s="93"/>
      <c r="KI25" s="93"/>
      <c r="KJ25" s="93"/>
      <c r="KK25" s="93"/>
      <c r="KL25" s="93"/>
      <c r="KM25" s="93"/>
      <c r="KN25" s="93"/>
      <c r="KO25" s="93"/>
      <c r="KP25" s="93"/>
      <c r="KQ25" s="93"/>
      <c r="KR25" s="93"/>
      <c r="KS25" s="93"/>
      <c r="KT25" s="93"/>
      <c r="KU25" s="93"/>
      <c r="KV25" s="93"/>
      <c r="KW25" s="93"/>
      <c r="KX25" s="93"/>
      <c r="KY25" s="93"/>
      <c r="KZ25" s="93"/>
      <c r="LA25" s="93"/>
      <c r="LB25" s="93"/>
      <c r="LC25" s="93"/>
      <c r="LD25" s="93"/>
      <c r="LE25" s="93"/>
      <c r="LF25" s="93"/>
      <c r="LG25" s="93"/>
      <c r="LH25" s="93"/>
      <c r="LI25" s="93"/>
      <c r="LJ25" s="93"/>
      <c r="LK25" s="93"/>
      <c r="LL25" s="93"/>
      <c r="LM25" s="93"/>
      <c r="LN25" s="93"/>
      <c r="LO25" s="93"/>
      <c r="LP25" s="93"/>
      <c r="LQ25" s="93"/>
      <c r="LR25" s="93"/>
      <c r="LS25" s="93"/>
      <c r="LT25" s="93"/>
      <c r="LU25" s="93"/>
      <c r="LV25" s="93"/>
      <c r="LW25" s="93"/>
      <c r="LX25" s="93"/>
      <c r="LY25" s="93"/>
      <c r="LZ25" s="93"/>
      <c r="MA25" s="93"/>
      <c r="MB25" s="93"/>
      <c r="MC25" s="93"/>
      <c r="MD25" s="93"/>
      <c r="ME25" s="93"/>
      <c r="MF25" s="93"/>
      <c r="MG25" s="93"/>
      <c r="MH25" s="93"/>
      <c r="MI25" s="93"/>
      <c r="MJ25" s="93"/>
      <c r="MK25" s="93"/>
      <c r="ML25" s="93"/>
      <c r="MM25" s="93"/>
      <c r="MN25" s="93"/>
      <c r="MO25" s="93"/>
      <c r="MP25" s="93"/>
      <c r="MQ25" s="93"/>
      <c r="MR25" s="93"/>
      <c r="MS25" s="93"/>
      <c r="MT25" s="93"/>
      <c r="MU25" s="93"/>
      <c r="MV25" s="93"/>
      <c r="MW25" s="93"/>
      <c r="MX25" s="93"/>
      <c r="MY25" s="93"/>
      <c r="MZ25" s="93"/>
      <c r="NA25" s="93"/>
      <c r="NB25" s="93"/>
      <c r="NC25" s="93"/>
      <c r="ND25" s="93"/>
      <c r="NE25" s="93"/>
      <c r="NF25" s="93"/>
      <c r="NG25" s="93"/>
      <c r="NH25" s="93"/>
      <c r="NI25" s="93"/>
      <c r="NJ25" s="93"/>
      <c r="NK25" s="93"/>
      <c r="NL25" s="93"/>
      <c r="NM25" s="93"/>
      <c r="NN25" s="93"/>
      <c r="NO25" s="93"/>
      <c r="NP25" s="93"/>
      <c r="NQ25" s="93"/>
      <c r="NR25" s="93"/>
      <c r="NS25" s="93"/>
      <c r="NT25" s="93"/>
      <c r="NU25" s="93"/>
      <c r="NV25" s="93"/>
      <c r="NW25" s="93"/>
      <c r="NX25" s="93"/>
      <c r="NY25" s="93"/>
      <c r="NZ25" s="93"/>
    </row>
    <row r="26" spans="1:390" ht="15.75" customHeight="1" x14ac:dyDescent="0.3">
      <c r="A26" s="245">
        <v>4508985181</v>
      </c>
      <c r="B26" s="87" t="s">
        <v>392</v>
      </c>
      <c r="C26" s="84" t="s">
        <v>393</v>
      </c>
      <c r="D26" s="87" t="s">
        <v>392</v>
      </c>
      <c r="E26" s="93" t="s">
        <v>473</v>
      </c>
      <c r="F26" s="116" t="s">
        <v>474</v>
      </c>
      <c r="G26" s="93" t="s">
        <v>443</v>
      </c>
      <c r="H26" s="166">
        <v>44090</v>
      </c>
      <c r="I26" s="93" t="s">
        <v>453</v>
      </c>
      <c r="J26" s="234" t="s">
        <v>398</v>
      </c>
      <c r="K26" s="93" t="s">
        <v>399</v>
      </c>
      <c r="L26" s="93" t="s">
        <v>399</v>
      </c>
      <c r="M26" s="93" t="s">
        <v>399</v>
      </c>
      <c r="N26" s="93" t="s">
        <v>399</v>
      </c>
      <c r="O26" s="93" t="s">
        <v>399</v>
      </c>
      <c r="P26" s="93" t="s">
        <v>399</v>
      </c>
      <c r="Q26" s="93" t="s">
        <v>399</v>
      </c>
      <c r="R26" s="93" t="s">
        <v>399</v>
      </c>
      <c r="S26" s="93" t="s">
        <v>399</v>
      </c>
      <c r="T26" s="93" t="s">
        <v>399</v>
      </c>
      <c r="U26" s="93" t="s">
        <v>399</v>
      </c>
      <c r="V26" s="93" t="s">
        <v>399</v>
      </c>
      <c r="W26" s="93" t="s">
        <v>399</v>
      </c>
      <c r="X26" s="93" t="s">
        <v>399</v>
      </c>
      <c r="Y26" s="93" t="s">
        <v>399</v>
      </c>
      <c r="Z26" s="93" t="s">
        <v>399</v>
      </c>
      <c r="AA26" s="93" t="s">
        <v>399</v>
      </c>
      <c r="AB26" s="152" t="s">
        <v>400</v>
      </c>
      <c r="AC26" s="166">
        <v>17760</v>
      </c>
      <c r="AD26" s="167">
        <v>44041</v>
      </c>
      <c r="AE26" s="86">
        <f t="shared" si="1"/>
        <v>71</v>
      </c>
      <c r="AF26" s="108" t="s">
        <v>401</v>
      </c>
      <c r="AG26" s="84" t="s">
        <v>402</v>
      </c>
      <c r="AH26" s="163" t="s">
        <v>403</v>
      </c>
      <c r="AI26" s="163" t="s">
        <v>418</v>
      </c>
      <c r="AJ26" s="163">
        <v>0</v>
      </c>
      <c r="AK26" s="163" t="s">
        <v>405</v>
      </c>
      <c r="AL26" s="172">
        <v>0</v>
      </c>
      <c r="AM26" s="89" t="s">
        <v>419</v>
      </c>
      <c r="AN26" s="170">
        <v>1</v>
      </c>
      <c r="AO26" s="109" t="s">
        <v>399</v>
      </c>
      <c r="AP26" s="88"/>
      <c r="AQ26" s="95"/>
      <c r="AR26" s="88"/>
      <c r="AS26" s="93"/>
      <c r="AT26" s="93"/>
      <c r="AU26" s="93"/>
      <c r="AV26" s="93"/>
      <c r="AW26" s="88"/>
      <c r="AX26" s="93"/>
      <c r="AY26" s="93"/>
      <c r="AZ26" s="93"/>
      <c r="BA26" s="93"/>
      <c r="BB26" s="88"/>
      <c r="BC26" s="93"/>
      <c r="BD26" s="93"/>
      <c r="BE26" s="93"/>
      <c r="BF26" s="93"/>
      <c r="BG26" s="88"/>
      <c r="BH26" s="93"/>
      <c r="BI26" s="93"/>
      <c r="BJ26" s="93"/>
      <c r="BK26" s="93"/>
      <c r="BL26" s="88"/>
      <c r="BM26" s="93"/>
      <c r="BN26" s="93"/>
      <c r="BO26" s="93"/>
      <c r="BP26" s="93"/>
      <c r="BQ26" s="88"/>
      <c r="BR26" s="93"/>
      <c r="BS26" s="93"/>
      <c r="BT26" s="93"/>
      <c r="BU26" s="93"/>
      <c r="BV26" s="88"/>
      <c r="BW26" s="93"/>
      <c r="BX26" s="93"/>
      <c r="BY26" s="93"/>
      <c r="BZ26" s="93"/>
      <c r="CA26" s="88"/>
      <c r="CB26" s="93"/>
      <c r="CC26" s="93"/>
      <c r="CD26" s="93"/>
      <c r="CE26" s="93"/>
      <c r="CF26" s="88"/>
      <c r="CG26" s="93"/>
      <c r="CH26" s="93"/>
      <c r="CI26" s="93"/>
      <c r="CJ26" s="93"/>
      <c r="CK26" s="88"/>
      <c r="CL26" s="93"/>
      <c r="CM26" s="93"/>
      <c r="CN26" s="93"/>
      <c r="CO26" s="93"/>
      <c r="CP26" s="88"/>
      <c r="CQ26" s="93"/>
      <c r="CR26" s="93"/>
      <c r="CS26" s="93"/>
      <c r="CT26" s="93"/>
      <c r="CU26" s="88"/>
      <c r="CV26" s="93"/>
      <c r="CW26" s="93"/>
      <c r="CX26" s="93"/>
      <c r="CY26" s="93"/>
      <c r="CZ26" s="88"/>
      <c r="DA26" s="93"/>
      <c r="DB26" s="93"/>
      <c r="DC26" s="93"/>
      <c r="DD26" s="93"/>
      <c r="DE26" s="88"/>
      <c r="DF26" s="93"/>
      <c r="DG26" s="93"/>
      <c r="DH26" s="93"/>
      <c r="DI26" s="93"/>
      <c r="DJ26" s="88"/>
      <c r="DK26" s="93"/>
      <c r="DL26" s="93"/>
      <c r="DM26" s="93"/>
      <c r="DN26" s="93"/>
      <c r="DO26" s="88"/>
      <c r="DP26" s="93"/>
      <c r="DQ26" s="93"/>
      <c r="DR26" s="93"/>
      <c r="DS26" s="93"/>
      <c r="DT26" s="88"/>
      <c r="DU26" s="93"/>
      <c r="DV26" s="93"/>
      <c r="DW26" s="93"/>
      <c r="DX26" s="93"/>
      <c r="DY26" s="88"/>
      <c r="DZ26" s="93"/>
      <c r="EA26" s="93"/>
      <c r="EB26" s="93"/>
      <c r="EC26" s="93"/>
      <c r="ED26" s="88"/>
      <c r="EE26" s="93"/>
      <c r="EF26" s="93"/>
      <c r="EG26" s="93"/>
      <c r="EH26" s="93"/>
      <c r="EI26" s="88"/>
      <c r="EJ26" s="93"/>
      <c r="EK26" s="93"/>
      <c r="EL26" s="93"/>
      <c r="EM26" s="93"/>
      <c r="EN26" s="88"/>
      <c r="EO26" s="93"/>
      <c r="EP26" s="93"/>
      <c r="EQ26" s="93"/>
      <c r="ER26" s="93"/>
      <c r="ES26" s="88"/>
      <c r="ET26" s="93"/>
      <c r="EU26" s="93"/>
      <c r="EV26" s="93"/>
      <c r="EW26" s="93"/>
      <c r="EX26" s="88"/>
      <c r="EY26" s="93"/>
      <c r="EZ26" s="93"/>
      <c r="FA26" s="93"/>
      <c r="FB26" s="93"/>
      <c r="FC26" s="88"/>
      <c r="FD26" s="93"/>
      <c r="FE26" s="93"/>
      <c r="FF26" s="93"/>
      <c r="FG26" s="93"/>
      <c r="FH26" s="88"/>
      <c r="FI26" s="93"/>
      <c r="FJ26" s="93"/>
      <c r="FK26" s="93"/>
      <c r="FL26" s="93"/>
      <c r="FM26" s="93"/>
      <c r="FN26" s="93"/>
      <c r="FO26" s="93"/>
      <c r="FP26" s="93"/>
      <c r="FQ26" s="93"/>
      <c r="FR26" s="93"/>
      <c r="FS26" s="93"/>
      <c r="FT26" s="93"/>
      <c r="FU26" s="93"/>
      <c r="FV26" s="93"/>
      <c r="FW26" s="93"/>
      <c r="FX26" s="93"/>
      <c r="FY26" s="93"/>
      <c r="FZ26" s="93"/>
      <c r="GA26" s="93"/>
      <c r="GB26" s="93"/>
      <c r="GC26" s="93"/>
      <c r="GD26" s="93"/>
      <c r="GE26" s="93"/>
      <c r="GF26" s="93"/>
      <c r="GG26" s="93"/>
      <c r="GH26" s="93"/>
      <c r="GI26" s="93"/>
      <c r="GJ26" s="93"/>
      <c r="GK26" s="93"/>
      <c r="GL26" s="93"/>
      <c r="GM26" s="93"/>
      <c r="GN26" s="93"/>
      <c r="GO26" s="93"/>
      <c r="GP26" s="88"/>
      <c r="GQ26" s="93"/>
      <c r="GR26" s="93"/>
      <c r="GS26" s="93"/>
      <c r="GT26" s="93"/>
      <c r="GU26" s="88"/>
      <c r="GV26" s="93"/>
      <c r="GW26" s="93"/>
      <c r="GX26" s="93"/>
      <c r="GY26" s="93"/>
      <c r="GZ26" s="88"/>
      <c r="HA26" s="93"/>
      <c r="HB26" s="93"/>
      <c r="HC26" s="93"/>
      <c r="HD26" s="93"/>
      <c r="HE26" s="88"/>
      <c r="HF26" s="93"/>
      <c r="HG26" s="93"/>
      <c r="HH26" s="93"/>
      <c r="HI26" s="93"/>
      <c r="HJ26" s="88"/>
      <c r="HK26" s="93"/>
      <c r="HL26" s="93"/>
      <c r="HM26" s="93"/>
      <c r="HN26" s="93"/>
      <c r="HO26" s="88"/>
      <c r="HP26" s="93"/>
      <c r="HQ26" s="93"/>
      <c r="HR26" s="93"/>
      <c r="HS26" s="93"/>
      <c r="HT26" s="88"/>
      <c r="HU26" s="93"/>
      <c r="HV26" s="93"/>
      <c r="HW26" s="93"/>
      <c r="HX26" s="93"/>
      <c r="HY26" s="88"/>
      <c r="HZ26" s="93"/>
      <c r="IA26" s="93"/>
      <c r="IB26" s="93"/>
      <c r="IC26" s="93"/>
      <c r="ID26" s="88"/>
      <c r="IE26" s="93"/>
      <c r="IF26" s="93"/>
      <c r="IG26" s="93"/>
      <c r="IH26" s="93"/>
      <c r="II26" s="88"/>
      <c r="IJ26" s="93"/>
      <c r="IK26" s="93"/>
      <c r="IL26" s="93"/>
      <c r="IM26" s="93"/>
      <c r="IN26" s="88"/>
      <c r="IO26" s="93"/>
      <c r="IP26" s="93"/>
      <c r="IQ26" s="93"/>
      <c r="IR26" s="93"/>
      <c r="IS26" s="88"/>
      <c r="IT26" s="93"/>
      <c r="IU26" s="93"/>
      <c r="IV26" s="93"/>
      <c r="IW26" s="93"/>
      <c r="IX26" s="88"/>
      <c r="IY26" s="93"/>
      <c r="IZ26" s="93"/>
      <c r="JA26" s="93"/>
      <c r="JB26" s="93"/>
      <c r="JC26" s="88"/>
      <c r="JD26" s="93"/>
      <c r="JE26" s="93"/>
      <c r="JF26" s="93"/>
      <c r="JG26" s="94"/>
      <c r="JH26" s="88"/>
      <c r="JI26" s="95"/>
      <c r="JJ26" s="93"/>
      <c r="JK26" s="93"/>
      <c r="JL26" s="94"/>
      <c r="JM26" s="89"/>
      <c r="JN26" s="96"/>
      <c r="JO26" s="84"/>
      <c r="JP26" s="95"/>
      <c r="JQ26" s="93"/>
      <c r="JR26" s="93"/>
      <c r="JS26" s="93"/>
      <c r="JT26" s="93"/>
      <c r="JU26" s="93"/>
      <c r="JV26" s="93"/>
      <c r="JW26" s="93"/>
      <c r="JX26" s="93"/>
      <c r="JY26" s="93"/>
      <c r="JZ26" s="93"/>
      <c r="KA26" s="93"/>
      <c r="KB26" s="93"/>
      <c r="KC26" s="93"/>
      <c r="KD26" s="93"/>
      <c r="KE26" s="93"/>
      <c r="KF26" s="93"/>
      <c r="KG26" s="93"/>
      <c r="KH26" s="93"/>
      <c r="KI26" s="93"/>
      <c r="KJ26" s="93"/>
      <c r="KK26" s="93"/>
      <c r="KL26" s="93"/>
      <c r="KM26" s="93"/>
      <c r="KN26" s="93"/>
      <c r="KO26" s="93"/>
      <c r="KP26" s="93"/>
      <c r="KQ26" s="93"/>
      <c r="KR26" s="93"/>
      <c r="KS26" s="93"/>
      <c r="KT26" s="93"/>
      <c r="KU26" s="93"/>
      <c r="KV26" s="93"/>
      <c r="KW26" s="93"/>
      <c r="KX26" s="93"/>
      <c r="KY26" s="93"/>
      <c r="KZ26" s="93"/>
      <c r="LA26" s="93"/>
      <c r="LB26" s="93"/>
      <c r="LC26" s="93"/>
      <c r="LD26" s="93"/>
      <c r="LE26" s="93"/>
      <c r="LF26" s="93"/>
      <c r="LG26" s="93"/>
      <c r="LH26" s="93"/>
      <c r="LI26" s="93"/>
      <c r="LJ26" s="93"/>
      <c r="LK26" s="93"/>
      <c r="LL26" s="93"/>
      <c r="LM26" s="93"/>
      <c r="LN26" s="93"/>
      <c r="LO26" s="93"/>
      <c r="LP26" s="93"/>
      <c r="LQ26" s="93"/>
      <c r="LR26" s="93"/>
      <c r="LS26" s="93"/>
      <c r="LT26" s="93"/>
      <c r="LU26" s="93"/>
      <c r="LV26" s="93"/>
      <c r="LW26" s="93"/>
      <c r="LX26" s="93"/>
      <c r="LY26" s="93"/>
      <c r="LZ26" s="93"/>
      <c r="MA26" s="93"/>
      <c r="MB26" s="93"/>
      <c r="MC26" s="93"/>
      <c r="MD26" s="93"/>
      <c r="ME26" s="93"/>
      <c r="MF26" s="93"/>
      <c r="MG26" s="93"/>
      <c r="MH26" s="93"/>
      <c r="MI26" s="93"/>
      <c r="MJ26" s="93"/>
      <c r="MK26" s="93"/>
      <c r="ML26" s="93"/>
      <c r="MM26" s="93"/>
      <c r="MN26" s="93"/>
      <c r="MO26" s="93"/>
      <c r="MP26" s="93"/>
      <c r="MQ26" s="93"/>
      <c r="MR26" s="93"/>
      <c r="MS26" s="93"/>
      <c r="MT26" s="93"/>
      <c r="MU26" s="93"/>
      <c r="MV26" s="93"/>
      <c r="MW26" s="93"/>
      <c r="MX26" s="93"/>
      <c r="MY26" s="93"/>
      <c r="MZ26" s="93"/>
      <c r="NA26" s="93"/>
      <c r="NB26" s="93"/>
      <c r="NC26" s="93"/>
      <c r="ND26" s="93"/>
      <c r="NE26" s="93"/>
      <c r="NF26" s="93"/>
      <c r="NG26" s="93"/>
      <c r="NH26" s="93"/>
      <c r="NI26" s="93"/>
      <c r="NJ26" s="93"/>
      <c r="NK26" s="93"/>
      <c r="NL26" s="93"/>
      <c r="NM26" s="93"/>
      <c r="NN26" s="93"/>
      <c r="NO26" s="93"/>
      <c r="NP26" s="93"/>
      <c r="NQ26" s="93"/>
      <c r="NR26" s="93"/>
      <c r="NS26" s="93"/>
      <c r="NT26" s="93"/>
      <c r="NU26" s="93"/>
      <c r="NV26" s="93"/>
      <c r="NW26" s="93"/>
      <c r="NX26" s="93"/>
      <c r="NY26" s="93"/>
      <c r="NZ26" s="93"/>
    </row>
    <row r="27" spans="1:390" ht="15.75" customHeight="1" x14ac:dyDescent="0.3">
      <c r="A27" s="98">
        <v>4581844045</v>
      </c>
      <c r="B27" s="87" t="s">
        <v>392</v>
      </c>
      <c r="C27" s="84" t="s">
        <v>393</v>
      </c>
      <c r="D27" s="87" t="s">
        <v>392</v>
      </c>
      <c r="E27" s="93" t="s">
        <v>475</v>
      </c>
      <c r="F27" s="93" t="s">
        <v>476</v>
      </c>
      <c r="G27" s="93" t="s">
        <v>433</v>
      </c>
      <c r="H27" s="166">
        <v>44110</v>
      </c>
      <c r="I27" s="93" t="s">
        <v>477</v>
      </c>
      <c r="J27" s="234" t="s">
        <v>398</v>
      </c>
      <c r="K27" s="93" t="s">
        <v>399</v>
      </c>
      <c r="L27" s="93" t="s">
        <v>399</v>
      </c>
      <c r="M27" s="93" t="s">
        <v>399</v>
      </c>
      <c r="N27" s="93" t="s">
        <v>399</v>
      </c>
      <c r="O27" s="93" t="s">
        <v>399</v>
      </c>
      <c r="P27" s="93" t="s">
        <v>399</v>
      </c>
      <c r="Q27" s="93" t="s">
        <v>399</v>
      </c>
      <c r="R27" s="93" t="s">
        <v>399</v>
      </c>
      <c r="S27" s="93" t="s">
        <v>399</v>
      </c>
      <c r="T27" s="93" t="s">
        <v>399</v>
      </c>
      <c r="U27" s="93" t="s">
        <v>399</v>
      </c>
      <c r="V27" s="93" t="s">
        <v>399</v>
      </c>
      <c r="W27" s="93" t="s">
        <v>399</v>
      </c>
      <c r="X27" s="93" t="s">
        <v>399</v>
      </c>
      <c r="Y27" s="93" t="s">
        <v>399</v>
      </c>
      <c r="Z27" s="93" t="s">
        <v>399</v>
      </c>
      <c r="AA27" s="93" t="s">
        <v>399</v>
      </c>
      <c r="AB27" s="152" t="s">
        <v>400</v>
      </c>
      <c r="AC27" s="166">
        <v>19269</v>
      </c>
      <c r="AD27" s="167">
        <v>44056</v>
      </c>
      <c r="AE27" s="86">
        <f t="shared" si="1"/>
        <v>67</v>
      </c>
      <c r="AF27" s="108" t="s">
        <v>401</v>
      </c>
      <c r="AG27" s="84" t="s">
        <v>402</v>
      </c>
      <c r="AH27" s="163" t="s">
        <v>403</v>
      </c>
      <c r="AI27" s="163" t="s">
        <v>405</v>
      </c>
      <c r="AJ27" s="163">
        <v>1</v>
      </c>
      <c r="AK27" s="163" t="s">
        <v>405</v>
      </c>
      <c r="AL27" s="172">
        <v>0</v>
      </c>
      <c r="AM27" s="89" t="s">
        <v>399</v>
      </c>
      <c r="AN27" s="170">
        <v>2</v>
      </c>
      <c r="AO27" s="109" t="s">
        <v>399</v>
      </c>
      <c r="AP27" s="88"/>
      <c r="AQ27" s="95"/>
      <c r="AR27" s="88"/>
      <c r="AS27" s="93"/>
      <c r="AT27" s="93"/>
      <c r="AU27" s="93"/>
      <c r="AV27" s="93"/>
      <c r="AW27" s="88"/>
      <c r="AX27" s="93"/>
      <c r="AY27" s="93"/>
      <c r="AZ27" s="93"/>
      <c r="BA27" s="93"/>
      <c r="BB27" s="88"/>
      <c r="BC27" s="93"/>
      <c r="BD27" s="93"/>
      <c r="BE27" s="93"/>
      <c r="BF27" s="93"/>
      <c r="BG27" s="88"/>
      <c r="BH27" s="93"/>
      <c r="BI27" s="93"/>
      <c r="BJ27" s="93"/>
      <c r="BK27" s="93"/>
      <c r="BL27" s="88"/>
      <c r="BM27" s="93"/>
      <c r="BN27" s="93"/>
      <c r="BO27" s="93"/>
      <c r="BP27" s="93"/>
      <c r="BQ27" s="88"/>
      <c r="BR27" s="93"/>
      <c r="BS27" s="93"/>
      <c r="BT27" s="93"/>
      <c r="BU27" s="93"/>
      <c r="BV27" s="88"/>
      <c r="BW27" s="93"/>
      <c r="BX27" s="93"/>
      <c r="BY27" s="93"/>
      <c r="BZ27" s="93"/>
      <c r="CA27" s="88"/>
      <c r="CB27" s="93"/>
      <c r="CC27" s="93"/>
      <c r="CD27" s="93"/>
      <c r="CE27" s="93"/>
      <c r="CF27" s="88"/>
      <c r="CG27" s="93"/>
      <c r="CH27" s="93"/>
      <c r="CI27" s="93"/>
      <c r="CJ27" s="93"/>
      <c r="CK27" s="88"/>
      <c r="CL27" s="93"/>
      <c r="CM27" s="93"/>
      <c r="CN27" s="93"/>
      <c r="CO27" s="93"/>
      <c r="CP27" s="88"/>
      <c r="CQ27" s="93"/>
      <c r="CR27" s="93"/>
      <c r="CS27" s="93"/>
      <c r="CT27" s="93"/>
      <c r="CU27" s="88"/>
      <c r="CV27" s="93"/>
      <c r="CW27" s="93"/>
      <c r="CX27" s="93"/>
      <c r="CY27" s="93"/>
      <c r="CZ27" s="88"/>
      <c r="DA27" s="93"/>
      <c r="DB27" s="93"/>
      <c r="DC27" s="93"/>
      <c r="DD27" s="93"/>
      <c r="DE27" s="88"/>
      <c r="DF27" s="93"/>
      <c r="DG27" s="93"/>
      <c r="DH27" s="93"/>
      <c r="DI27" s="93"/>
      <c r="DJ27" s="88"/>
      <c r="DK27" s="93"/>
      <c r="DL27" s="93"/>
      <c r="DM27" s="93"/>
      <c r="DN27" s="93"/>
      <c r="DO27" s="88"/>
      <c r="DP27" s="93"/>
      <c r="DQ27" s="93"/>
      <c r="DR27" s="93"/>
      <c r="DS27" s="93"/>
      <c r="DT27" s="88"/>
      <c r="DU27" s="93"/>
      <c r="DV27" s="93"/>
      <c r="DW27" s="93"/>
      <c r="DX27" s="93"/>
      <c r="DY27" s="88"/>
      <c r="DZ27" s="93"/>
      <c r="EA27" s="93"/>
      <c r="EB27" s="93"/>
      <c r="EC27" s="93"/>
      <c r="ED27" s="88"/>
      <c r="EE27" s="93"/>
      <c r="EF27" s="93"/>
      <c r="EG27" s="93"/>
      <c r="EH27" s="93"/>
      <c r="EI27" s="88"/>
      <c r="EJ27" s="93"/>
      <c r="EK27" s="93"/>
      <c r="EL27" s="93"/>
      <c r="EM27" s="93"/>
      <c r="EN27" s="88"/>
      <c r="EO27" s="93"/>
      <c r="EP27" s="93"/>
      <c r="EQ27" s="93"/>
      <c r="ER27" s="93"/>
      <c r="ES27" s="88"/>
      <c r="ET27" s="93"/>
      <c r="EU27" s="93"/>
      <c r="EV27" s="93"/>
      <c r="EW27" s="93"/>
      <c r="EX27" s="88"/>
      <c r="EY27" s="93"/>
      <c r="EZ27" s="93"/>
      <c r="FA27" s="93"/>
      <c r="FB27" s="93"/>
      <c r="FC27" s="88"/>
      <c r="FD27" s="93"/>
      <c r="FE27" s="93"/>
      <c r="FF27" s="93"/>
      <c r="FG27" s="93"/>
      <c r="FH27" s="88"/>
      <c r="FI27" s="93"/>
      <c r="FJ27" s="93"/>
      <c r="FK27" s="93"/>
      <c r="FL27" s="93"/>
      <c r="FM27" s="93"/>
      <c r="FN27" s="93"/>
      <c r="FO27" s="93"/>
      <c r="FP27" s="93"/>
      <c r="FQ27" s="93"/>
      <c r="FR27" s="93"/>
      <c r="FS27" s="93"/>
      <c r="FT27" s="93"/>
      <c r="FU27" s="93"/>
      <c r="FV27" s="93"/>
      <c r="FW27" s="93"/>
      <c r="FX27" s="93"/>
      <c r="FY27" s="93"/>
      <c r="FZ27" s="93"/>
      <c r="GA27" s="93"/>
      <c r="GB27" s="93"/>
      <c r="GC27" s="93"/>
      <c r="GD27" s="93"/>
      <c r="GE27" s="93"/>
      <c r="GF27" s="93"/>
      <c r="GG27" s="93"/>
      <c r="GH27" s="93"/>
      <c r="GI27" s="93"/>
      <c r="GJ27" s="93"/>
      <c r="GK27" s="93"/>
      <c r="GL27" s="93"/>
      <c r="GM27" s="93"/>
      <c r="GN27" s="93"/>
      <c r="GO27" s="93"/>
      <c r="GP27" s="88"/>
      <c r="GQ27" s="93"/>
      <c r="GR27" s="93"/>
      <c r="GS27" s="93"/>
      <c r="GT27" s="93"/>
      <c r="GU27" s="88"/>
      <c r="GV27" s="93"/>
      <c r="GW27" s="93"/>
      <c r="GX27" s="93"/>
      <c r="GY27" s="93"/>
      <c r="GZ27" s="88"/>
      <c r="HA27" s="93"/>
      <c r="HB27" s="93"/>
      <c r="HC27" s="93"/>
      <c r="HD27" s="93"/>
      <c r="HE27" s="88"/>
      <c r="HF27" s="93"/>
      <c r="HG27" s="93"/>
      <c r="HH27" s="93"/>
      <c r="HI27" s="93"/>
      <c r="HJ27" s="88"/>
      <c r="HK27" s="93"/>
      <c r="HL27" s="93"/>
      <c r="HM27" s="93"/>
      <c r="HN27" s="93"/>
      <c r="HO27" s="88"/>
      <c r="HP27" s="93"/>
      <c r="HQ27" s="93"/>
      <c r="HR27" s="93"/>
      <c r="HS27" s="93"/>
      <c r="HT27" s="88"/>
      <c r="HU27" s="93"/>
      <c r="HV27" s="93"/>
      <c r="HW27" s="93"/>
      <c r="HX27" s="93"/>
      <c r="HY27" s="88"/>
      <c r="HZ27" s="93"/>
      <c r="IA27" s="93"/>
      <c r="IB27" s="93"/>
      <c r="IC27" s="93"/>
      <c r="ID27" s="88"/>
      <c r="IE27" s="93"/>
      <c r="IF27" s="93"/>
      <c r="IG27" s="93"/>
      <c r="IH27" s="93"/>
      <c r="II27" s="88"/>
      <c r="IJ27" s="93"/>
      <c r="IK27" s="93"/>
      <c r="IL27" s="93"/>
      <c r="IM27" s="93"/>
      <c r="IN27" s="88"/>
      <c r="IO27" s="93"/>
      <c r="IP27" s="93"/>
      <c r="IQ27" s="93"/>
      <c r="IR27" s="93"/>
      <c r="IS27" s="88"/>
      <c r="IT27" s="93"/>
      <c r="IU27" s="93"/>
      <c r="IV27" s="93"/>
      <c r="IW27" s="93"/>
      <c r="IX27" s="88"/>
      <c r="IY27" s="93"/>
      <c r="IZ27" s="93"/>
      <c r="JA27" s="93"/>
      <c r="JB27" s="93"/>
      <c r="JC27" s="88"/>
      <c r="JD27" s="93"/>
      <c r="JE27" s="93"/>
      <c r="JF27" s="93"/>
      <c r="JG27" s="94"/>
      <c r="JH27" s="88"/>
      <c r="JI27" s="95"/>
      <c r="JJ27" s="93"/>
      <c r="JK27" s="93"/>
      <c r="JL27" s="94"/>
      <c r="JM27" s="89"/>
      <c r="JN27" s="96"/>
      <c r="JO27" s="84"/>
      <c r="JP27" s="95"/>
      <c r="JQ27" s="93"/>
      <c r="JR27" s="93"/>
      <c r="JS27" s="93"/>
      <c r="JT27" s="93"/>
      <c r="JU27" s="93"/>
      <c r="JV27" s="93"/>
      <c r="JW27" s="93"/>
      <c r="JX27" s="93"/>
      <c r="JY27" s="93"/>
      <c r="JZ27" s="93"/>
      <c r="KA27" s="93"/>
      <c r="KB27" s="93"/>
      <c r="KC27" s="93"/>
      <c r="KD27" s="93"/>
      <c r="KE27" s="93"/>
      <c r="KF27" s="93"/>
      <c r="KG27" s="93"/>
      <c r="KH27" s="93"/>
      <c r="KI27" s="93"/>
      <c r="KJ27" s="93"/>
      <c r="KK27" s="93"/>
      <c r="KL27" s="93"/>
      <c r="KM27" s="93"/>
      <c r="KN27" s="93"/>
      <c r="KO27" s="93"/>
      <c r="KP27" s="93"/>
      <c r="KQ27" s="93"/>
      <c r="KR27" s="93"/>
      <c r="KS27" s="93"/>
      <c r="KT27" s="93"/>
      <c r="KU27" s="93"/>
      <c r="KV27" s="93"/>
      <c r="KW27" s="93"/>
      <c r="KX27" s="93"/>
      <c r="KY27" s="93"/>
      <c r="KZ27" s="93"/>
      <c r="LA27" s="93"/>
      <c r="LB27" s="93"/>
      <c r="LC27" s="93"/>
      <c r="LD27" s="93"/>
      <c r="LE27" s="93"/>
      <c r="LF27" s="93"/>
      <c r="LG27" s="93"/>
      <c r="LH27" s="93"/>
      <c r="LI27" s="93"/>
      <c r="LJ27" s="93"/>
      <c r="LK27" s="93"/>
      <c r="LL27" s="93"/>
      <c r="LM27" s="93"/>
      <c r="LN27" s="93"/>
      <c r="LO27" s="93"/>
      <c r="LP27" s="93"/>
      <c r="LQ27" s="93"/>
      <c r="LR27" s="93"/>
      <c r="LS27" s="93"/>
      <c r="LT27" s="93"/>
      <c r="LU27" s="93"/>
      <c r="LV27" s="93"/>
      <c r="LW27" s="93"/>
      <c r="LX27" s="93"/>
      <c r="LY27" s="93"/>
      <c r="LZ27" s="93"/>
      <c r="MA27" s="93"/>
      <c r="MB27" s="93"/>
      <c r="MC27" s="93"/>
      <c r="MD27" s="93"/>
      <c r="ME27" s="93"/>
      <c r="MF27" s="93"/>
      <c r="MG27" s="93"/>
      <c r="MH27" s="93"/>
      <c r="MI27" s="93"/>
      <c r="MJ27" s="93"/>
      <c r="MK27" s="93"/>
      <c r="ML27" s="93"/>
      <c r="MM27" s="93"/>
      <c r="MN27" s="93"/>
      <c r="MO27" s="93"/>
      <c r="MP27" s="93"/>
      <c r="MQ27" s="93"/>
      <c r="MR27" s="93"/>
      <c r="MS27" s="93"/>
      <c r="MT27" s="93"/>
      <c r="MU27" s="93"/>
      <c r="MV27" s="93"/>
      <c r="MW27" s="93"/>
      <c r="MX27" s="93"/>
      <c r="MY27" s="93"/>
      <c r="MZ27" s="93"/>
      <c r="NA27" s="93"/>
      <c r="NB27" s="93"/>
      <c r="NC27" s="93"/>
      <c r="ND27" s="93"/>
      <c r="NE27" s="93"/>
      <c r="NF27" s="93"/>
      <c r="NG27" s="93"/>
      <c r="NH27" s="93"/>
      <c r="NI27" s="93"/>
      <c r="NJ27" s="93"/>
      <c r="NK27" s="93"/>
      <c r="NL27" s="93"/>
      <c r="NM27" s="93"/>
      <c r="NN27" s="93"/>
      <c r="NO27" s="93"/>
      <c r="NP27" s="93"/>
      <c r="NQ27" s="93"/>
      <c r="NR27" s="93"/>
      <c r="NS27" s="93"/>
      <c r="NT27" s="93"/>
      <c r="NU27" s="93"/>
      <c r="NV27" s="93"/>
      <c r="NW27" s="93"/>
      <c r="NX27" s="93"/>
      <c r="NY27" s="93"/>
      <c r="NZ27" s="93"/>
    </row>
    <row r="28" spans="1:390" ht="15.75" customHeight="1" x14ac:dyDescent="0.3">
      <c r="A28" s="98">
        <v>4125738122</v>
      </c>
      <c r="B28" s="87" t="s">
        <v>392</v>
      </c>
      <c r="C28" s="84" t="s">
        <v>393</v>
      </c>
      <c r="D28" s="87" t="s">
        <v>392</v>
      </c>
      <c r="E28" s="93" t="s">
        <v>478</v>
      </c>
      <c r="F28" s="93" t="s">
        <v>449</v>
      </c>
      <c r="G28" s="93" t="s">
        <v>415</v>
      </c>
      <c r="H28" s="166">
        <v>44116</v>
      </c>
      <c r="I28" s="93" t="s">
        <v>479</v>
      </c>
      <c r="J28" s="234" t="s">
        <v>398</v>
      </c>
      <c r="K28" s="93" t="s">
        <v>399</v>
      </c>
      <c r="L28" s="93" t="s">
        <v>399</v>
      </c>
      <c r="M28" s="93" t="s">
        <v>399</v>
      </c>
      <c r="N28" s="93" t="s">
        <v>399</v>
      </c>
      <c r="O28" s="93" t="s">
        <v>399</v>
      </c>
      <c r="P28" s="93" t="s">
        <v>399</v>
      </c>
      <c r="Q28" s="93" t="s">
        <v>399</v>
      </c>
      <c r="R28" s="93" t="s">
        <v>399</v>
      </c>
      <c r="S28" s="93" t="s">
        <v>399</v>
      </c>
      <c r="T28" s="93" t="s">
        <v>399</v>
      </c>
      <c r="U28" s="93" t="s">
        <v>399</v>
      </c>
      <c r="V28" s="93" t="s">
        <v>399</v>
      </c>
      <c r="W28" s="93" t="s">
        <v>399</v>
      </c>
      <c r="X28" s="93" t="s">
        <v>399</v>
      </c>
      <c r="Y28" s="93" t="s">
        <v>399</v>
      </c>
      <c r="Z28" s="93" t="s">
        <v>399</v>
      </c>
      <c r="AA28" s="93" t="s">
        <v>399</v>
      </c>
      <c r="AB28" s="152" t="s">
        <v>400</v>
      </c>
      <c r="AC28" s="166">
        <v>25385</v>
      </c>
      <c r="AD28" s="167">
        <v>44081</v>
      </c>
      <c r="AE28" s="164">
        <f t="shared" si="1"/>
        <v>51</v>
      </c>
      <c r="AF28" s="108" t="s">
        <v>401</v>
      </c>
      <c r="AG28" s="84" t="s">
        <v>402</v>
      </c>
      <c r="AH28" s="163" t="s">
        <v>403</v>
      </c>
      <c r="AI28" s="163" t="s">
        <v>404</v>
      </c>
      <c r="AJ28" s="163">
        <v>0</v>
      </c>
      <c r="AK28" s="163" t="s">
        <v>405</v>
      </c>
      <c r="AL28" s="172">
        <v>0</v>
      </c>
      <c r="AM28" s="89" t="s">
        <v>406</v>
      </c>
      <c r="AN28" s="170">
        <v>2</v>
      </c>
      <c r="AO28" s="109" t="s">
        <v>399</v>
      </c>
      <c r="AP28" s="88"/>
      <c r="AQ28" s="95"/>
      <c r="AR28" s="88"/>
      <c r="AS28" s="93"/>
      <c r="AT28" s="93"/>
      <c r="AU28" s="93"/>
      <c r="AV28" s="93"/>
      <c r="AW28" s="88"/>
      <c r="AX28" s="93"/>
      <c r="AY28" s="93"/>
      <c r="AZ28" s="93"/>
      <c r="BA28" s="93"/>
      <c r="BB28" s="88"/>
      <c r="BC28" s="93"/>
      <c r="BD28" s="93"/>
      <c r="BE28" s="93"/>
      <c r="BF28" s="93"/>
      <c r="BG28" s="88"/>
      <c r="BH28" s="93"/>
      <c r="BI28" s="93"/>
      <c r="BJ28" s="93"/>
      <c r="BK28" s="93"/>
      <c r="BL28" s="88"/>
      <c r="BM28" s="93"/>
      <c r="BN28" s="93"/>
      <c r="BO28" s="93"/>
      <c r="BP28" s="93"/>
      <c r="BQ28" s="88"/>
      <c r="BR28" s="93"/>
      <c r="BS28" s="93"/>
      <c r="BT28" s="93"/>
      <c r="BU28" s="93"/>
      <c r="BV28" s="88"/>
      <c r="BW28" s="93"/>
      <c r="BX28" s="93"/>
      <c r="BY28" s="93"/>
      <c r="BZ28" s="93"/>
      <c r="CA28" s="88"/>
      <c r="CB28" s="93"/>
      <c r="CC28" s="93"/>
      <c r="CD28" s="93"/>
      <c r="CE28" s="93"/>
      <c r="CF28" s="88"/>
      <c r="CG28" s="93"/>
      <c r="CH28" s="93"/>
      <c r="CI28" s="93"/>
      <c r="CJ28" s="93"/>
      <c r="CK28" s="88"/>
      <c r="CL28" s="93"/>
      <c r="CM28" s="93"/>
      <c r="CN28" s="93"/>
      <c r="CO28" s="93"/>
      <c r="CP28" s="88"/>
      <c r="CQ28" s="93"/>
      <c r="CR28" s="93"/>
      <c r="CS28" s="93"/>
      <c r="CT28" s="93"/>
      <c r="CU28" s="88"/>
      <c r="CV28" s="93"/>
      <c r="CW28" s="93"/>
      <c r="CX28" s="93"/>
      <c r="CY28" s="93"/>
      <c r="CZ28" s="88"/>
      <c r="DA28" s="93"/>
      <c r="DB28" s="93"/>
      <c r="DC28" s="93"/>
      <c r="DD28" s="93"/>
      <c r="DE28" s="88"/>
      <c r="DF28" s="93"/>
      <c r="DG28" s="93"/>
      <c r="DH28" s="93"/>
      <c r="DI28" s="93"/>
      <c r="DJ28" s="88"/>
      <c r="DK28" s="93"/>
      <c r="DL28" s="93"/>
      <c r="DM28" s="93"/>
      <c r="DN28" s="93"/>
      <c r="DO28" s="88"/>
      <c r="DP28" s="93"/>
      <c r="DQ28" s="93"/>
      <c r="DR28" s="93"/>
      <c r="DS28" s="93"/>
      <c r="DT28" s="88"/>
      <c r="DU28" s="93"/>
      <c r="DV28" s="93"/>
      <c r="DW28" s="93"/>
      <c r="DX28" s="93"/>
      <c r="DY28" s="88"/>
      <c r="DZ28" s="93"/>
      <c r="EA28" s="93"/>
      <c r="EB28" s="93"/>
      <c r="EC28" s="93"/>
      <c r="ED28" s="88"/>
      <c r="EE28" s="93"/>
      <c r="EF28" s="93"/>
      <c r="EG28" s="93"/>
      <c r="EH28" s="93"/>
      <c r="EI28" s="88"/>
      <c r="EJ28" s="93"/>
      <c r="EK28" s="93"/>
      <c r="EL28" s="93"/>
      <c r="EM28" s="93"/>
      <c r="EN28" s="88"/>
      <c r="EO28" s="93"/>
      <c r="EP28" s="93"/>
      <c r="EQ28" s="93"/>
      <c r="ER28" s="93"/>
      <c r="ES28" s="88"/>
      <c r="ET28" s="93"/>
      <c r="EU28" s="93"/>
      <c r="EV28" s="93"/>
      <c r="EW28" s="93"/>
      <c r="EX28" s="88"/>
      <c r="EY28" s="93"/>
      <c r="EZ28" s="93"/>
      <c r="FA28" s="93"/>
      <c r="FB28" s="93"/>
      <c r="FC28" s="88"/>
      <c r="FD28" s="93"/>
      <c r="FE28" s="93"/>
      <c r="FF28" s="93"/>
      <c r="FG28" s="93"/>
      <c r="FH28" s="88"/>
      <c r="FI28" s="93"/>
      <c r="FJ28" s="93"/>
      <c r="FK28" s="93"/>
      <c r="FL28" s="93"/>
      <c r="FM28" s="93"/>
      <c r="FN28" s="93"/>
      <c r="FO28" s="93"/>
      <c r="FP28" s="93"/>
      <c r="FQ28" s="93"/>
      <c r="FR28" s="93"/>
      <c r="FS28" s="93"/>
      <c r="FT28" s="93"/>
      <c r="FU28" s="93"/>
      <c r="FV28" s="93"/>
      <c r="FW28" s="93"/>
      <c r="FX28" s="93"/>
      <c r="FY28" s="93"/>
      <c r="FZ28" s="93"/>
      <c r="GA28" s="93"/>
      <c r="GB28" s="93"/>
      <c r="GC28" s="93"/>
      <c r="GD28" s="93"/>
      <c r="GE28" s="93"/>
      <c r="GF28" s="93"/>
      <c r="GG28" s="93"/>
      <c r="GH28" s="93"/>
      <c r="GI28" s="93"/>
      <c r="GJ28" s="93"/>
      <c r="GK28" s="93"/>
      <c r="GL28" s="93"/>
      <c r="GM28" s="93"/>
      <c r="GN28" s="93"/>
      <c r="GO28" s="93"/>
      <c r="GP28" s="88"/>
      <c r="GQ28" s="93"/>
      <c r="GR28" s="93"/>
      <c r="GS28" s="93"/>
      <c r="GT28" s="93"/>
      <c r="GU28" s="88"/>
      <c r="GV28" s="93"/>
      <c r="GW28" s="93"/>
      <c r="GX28" s="93"/>
      <c r="GY28" s="93"/>
      <c r="GZ28" s="88"/>
      <c r="HA28" s="93"/>
      <c r="HB28" s="93"/>
      <c r="HC28" s="93"/>
      <c r="HD28" s="93"/>
      <c r="HE28" s="88"/>
      <c r="HF28" s="93"/>
      <c r="HG28" s="93"/>
      <c r="HH28" s="93"/>
      <c r="HI28" s="93"/>
      <c r="HJ28" s="88"/>
      <c r="HK28" s="93"/>
      <c r="HL28" s="93"/>
      <c r="HM28" s="93"/>
      <c r="HN28" s="93"/>
      <c r="HO28" s="88"/>
      <c r="HP28" s="93"/>
      <c r="HQ28" s="93"/>
      <c r="HR28" s="93"/>
      <c r="HS28" s="93"/>
      <c r="HT28" s="88"/>
      <c r="HU28" s="93"/>
      <c r="HV28" s="93"/>
      <c r="HW28" s="93"/>
      <c r="HX28" s="93"/>
      <c r="HY28" s="88"/>
      <c r="HZ28" s="93"/>
      <c r="IA28" s="93"/>
      <c r="IB28" s="93"/>
      <c r="IC28" s="93"/>
      <c r="ID28" s="88"/>
      <c r="IE28" s="93"/>
      <c r="IF28" s="93"/>
      <c r="IG28" s="93"/>
      <c r="IH28" s="93"/>
      <c r="II28" s="88"/>
      <c r="IJ28" s="93"/>
      <c r="IK28" s="93"/>
      <c r="IL28" s="93"/>
      <c r="IM28" s="93"/>
      <c r="IN28" s="88"/>
      <c r="IO28" s="93"/>
      <c r="IP28" s="93"/>
      <c r="IQ28" s="93"/>
      <c r="IR28" s="93"/>
      <c r="IS28" s="88"/>
      <c r="IT28" s="93"/>
      <c r="IU28" s="93"/>
      <c r="IV28" s="93"/>
      <c r="IW28" s="93"/>
      <c r="IX28" s="88"/>
      <c r="IY28" s="93"/>
      <c r="IZ28" s="93"/>
      <c r="JA28" s="93"/>
      <c r="JB28" s="93"/>
      <c r="JC28" s="88"/>
      <c r="JD28" s="93"/>
      <c r="JE28" s="93"/>
      <c r="JF28" s="93"/>
      <c r="JG28" s="94"/>
      <c r="JH28" s="88"/>
      <c r="JI28" s="95"/>
      <c r="JJ28" s="93"/>
      <c r="JK28" s="93"/>
      <c r="JL28" s="94"/>
      <c r="JM28" s="89"/>
      <c r="JN28" s="96"/>
      <c r="JO28" s="84"/>
      <c r="JP28" s="95"/>
      <c r="JQ28" s="93"/>
      <c r="JR28" s="93"/>
      <c r="JS28" s="93"/>
      <c r="JT28" s="93"/>
      <c r="JU28" s="93"/>
      <c r="JV28" s="93"/>
      <c r="JW28" s="93"/>
      <c r="JX28" s="93"/>
      <c r="JY28" s="93"/>
      <c r="JZ28" s="93"/>
      <c r="KA28" s="93"/>
      <c r="KB28" s="93"/>
      <c r="KC28" s="93"/>
      <c r="KD28" s="93"/>
      <c r="KE28" s="93"/>
      <c r="KF28" s="93"/>
      <c r="KG28" s="93"/>
      <c r="KH28" s="93"/>
      <c r="KI28" s="93"/>
      <c r="KJ28" s="93"/>
      <c r="KK28" s="93"/>
      <c r="KL28" s="93"/>
      <c r="KM28" s="93"/>
      <c r="KN28" s="93"/>
      <c r="KO28" s="93"/>
      <c r="KP28" s="93"/>
      <c r="KQ28" s="93"/>
      <c r="KR28" s="93"/>
      <c r="KS28" s="93"/>
      <c r="KT28" s="93"/>
      <c r="KU28" s="93"/>
      <c r="KV28" s="93"/>
      <c r="KW28" s="93"/>
      <c r="KX28" s="93"/>
      <c r="KY28" s="93"/>
      <c r="KZ28" s="93"/>
      <c r="LA28" s="93"/>
      <c r="LB28" s="93"/>
      <c r="LC28" s="93"/>
      <c r="LD28" s="93"/>
      <c r="LE28" s="93"/>
      <c r="LF28" s="93"/>
      <c r="LG28" s="93"/>
      <c r="LH28" s="93"/>
      <c r="LI28" s="93"/>
      <c r="LJ28" s="93"/>
      <c r="LK28" s="93"/>
      <c r="LL28" s="93"/>
      <c r="LM28" s="93"/>
      <c r="LN28" s="93"/>
      <c r="LO28" s="93"/>
      <c r="LP28" s="93"/>
      <c r="LQ28" s="93"/>
      <c r="LR28" s="93"/>
      <c r="LS28" s="93"/>
      <c r="LT28" s="93"/>
      <c r="LU28" s="93"/>
      <c r="LV28" s="93"/>
      <c r="LW28" s="93"/>
      <c r="LX28" s="93"/>
      <c r="LY28" s="93"/>
      <c r="LZ28" s="93"/>
      <c r="MA28" s="93"/>
      <c r="MB28" s="93"/>
      <c r="MC28" s="93"/>
      <c r="MD28" s="93"/>
      <c r="ME28" s="93"/>
      <c r="MF28" s="93"/>
      <c r="MG28" s="93"/>
      <c r="MH28" s="93"/>
      <c r="MI28" s="93"/>
      <c r="MJ28" s="93"/>
      <c r="MK28" s="93"/>
      <c r="ML28" s="93"/>
      <c r="MM28" s="93"/>
      <c r="MN28" s="93"/>
      <c r="MO28" s="93"/>
      <c r="MP28" s="93"/>
      <c r="MQ28" s="93"/>
      <c r="MR28" s="93"/>
      <c r="MS28" s="93"/>
      <c r="MT28" s="93"/>
      <c r="MU28" s="93"/>
      <c r="MV28" s="93"/>
      <c r="MW28" s="93"/>
      <c r="MX28" s="93"/>
      <c r="MY28" s="93"/>
      <c r="MZ28" s="93"/>
      <c r="NA28" s="93"/>
      <c r="NB28" s="93"/>
      <c r="NC28" s="93"/>
      <c r="ND28" s="93"/>
      <c r="NE28" s="93"/>
      <c r="NF28" s="93"/>
      <c r="NG28" s="93"/>
      <c r="NH28" s="93"/>
      <c r="NI28" s="93"/>
      <c r="NJ28" s="93"/>
      <c r="NK28" s="93"/>
      <c r="NL28" s="93"/>
      <c r="NM28" s="93"/>
      <c r="NN28" s="93"/>
      <c r="NO28" s="93"/>
      <c r="NP28" s="93"/>
      <c r="NQ28" s="93"/>
      <c r="NR28" s="93"/>
      <c r="NS28" s="93"/>
      <c r="NT28" s="93"/>
      <c r="NU28" s="93"/>
      <c r="NV28" s="93"/>
      <c r="NW28" s="93"/>
      <c r="NX28" s="93"/>
      <c r="NY28" s="93"/>
      <c r="NZ28" s="93"/>
    </row>
    <row r="29" spans="1:390" ht="15.75" customHeight="1" x14ac:dyDescent="0.3">
      <c r="A29" s="98">
        <v>4083306041</v>
      </c>
      <c r="B29" s="87" t="s">
        <v>392</v>
      </c>
      <c r="C29" s="84" t="s">
        <v>393</v>
      </c>
      <c r="D29" s="87" t="s">
        <v>392</v>
      </c>
      <c r="E29" s="93" t="s">
        <v>480</v>
      </c>
      <c r="F29" s="93" t="s">
        <v>415</v>
      </c>
      <c r="G29" s="234" t="s">
        <v>399</v>
      </c>
      <c r="H29" s="166">
        <v>44243</v>
      </c>
      <c r="I29" s="93" t="s">
        <v>481</v>
      </c>
      <c r="J29" s="234" t="s">
        <v>398</v>
      </c>
      <c r="K29" s="93" t="s">
        <v>399</v>
      </c>
      <c r="L29" s="93" t="s">
        <v>399</v>
      </c>
      <c r="M29" s="234" t="s">
        <v>480</v>
      </c>
      <c r="N29" s="234" t="s">
        <v>441</v>
      </c>
      <c r="O29" s="234" t="s">
        <v>482</v>
      </c>
      <c r="P29" s="166">
        <v>44243</v>
      </c>
      <c r="Q29" s="84" t="s">
        <v>393</v>
      </c>
      <c r="R29" s="93" t="s">
        <v>399</v>
      </c>
      <c r="S29" s="93" t="s">
        <v>399</v>
      </c>
      <c r="T29" s="93" t="s">
        <v>399</v>
      </c>
      <c r="U29" s="93" t="s">
        <v>399</v>
      </c>
      <c r="V29" s="93" t="s">
        <v>399</v>
      </c>
      <c r="W29" s="93" t="s">
        <v>399</v>
      </c>
      <c r="X29" s="93" t="s">
        <v>399</v>
      </c>
      <c r="Y29" s="93" t="s">
        <v>399</v>
      </c>
      <c r="Z29" s="93" t="s">
        <v>399</v>
      </c>
      <c r="AA29" s="93" t="s">
        <v>399</v>
      </c>
      <c r="AB29" s="152" t="s">
        <v>400</v>
      </c>
      <c r="AC29" s="166">
        <v>30498</v>
      </c>
      <c r="AD29" s="167">
        <v>44203</v>
      </c>
      <c r="AE29" s="164">
        <f t="shared" si="1"/>
        <v>37</v>
      </c>
      <c r="AF29" s="108" t="s">
        <v>435</v>
      </c>
      <c r="AG29" s="84" t="s">
        <v>402</v>
      </c>
      <c r="AH29" s="163" t="s">
        <v>403</v>
      </c>
      <c r="AI29" s="163" t="s">
        <v>446</v>
      </c>
      <c r="AJ29" s="163">
        <v>0</v>
      </c>
      <c r="AK29" s="163" t="s">
        <v>405</v>
      </c>
      <c r="AL29" s="172">
        <v>0</v>
      </c>
      <c r="AM29" s="89" t="s">
        <v>447</v>
      </c>
      <c r="AN29" s="170">
        <v>1</v>
      </c>
      <c r="AO29" s="109" t="s">
        <v>399</v>
      </c>
      <c r="AP29" s="88"/>
      <c r="AQ29" s="95"/>
      <c r="AR29" s="88"/>
      <c r="AS29" s="93"/>
      <c r="AT29" s="93"/>
      <c r="AU29" s="93"/>
      <c r="AV29" s="93"/>
      <c r="AW29" s="88"/>
      <c r="AX29" s="93"/>
      <c r="AY29" s="93"/>
      <c r="AZ29" s="93"/>
      <c r="BA29" s="93"/>
      <c r="BB29" s="88"/>
      <c r="BC29" s="93"/>
      <c r="BD29" s="93"/>
      <c r="BE29" s="93"/>
      <c r="BF29" s="93"/>
      <c r="BG29" s="88"/>
      <c r="BH29" s="93"/>
      <c r="BI29" s="93"/>
      <c r="BJ29" s="93"/>
      <c r="BK29" s="93"/>
      <c r="BL29" s="88"/>
      <c r="BM29" s="93"/>
      <c r="BN29" s="93"/>
      <c r="BO29" s="93"/>
      <c r="BP29" s="93"/>
      <c r="BQ29" s="88"/>
      <c r="BR29" s="93"/>
      <c r="BS29" s="93"/>
      <c r="BT29" s="93"/>
      <c r="BU29" s="93"/>
      <c r="BV29" s="88"/>
      <c r="BW29" s="93"/>
      <c r="BX29" s="93"/>
      <c r="BY29" s="93"/>
      <c r="BZ29" s="93"/>
      <c r="CA29" s="88"/>
      <c r="CB29" s="93"/>
      <c r="CC29" s="93"/>
      <c r="CD29" s="93"/>
      <c r="CE29" s="93"/>
      <c r="CF29" s="88"/>
      <c r="CG29" s="93"/>
      <c r="CH29" s="93"/>
      <c r="CI29" s="93"/>
      <c r="CJ29" s="93"/>
      <c r="CK29" s="88"/>
      <c r="CL29" s="93"/>
      <c r="CM29" s="93"/>
      <c r="CN29" s="93"/>
      <c r="CO29" s="93"/>
      <c r="CP29" s="88"/>
      <c r="CQ29" s="93"/>
      <c r="CR29" s="93"/>
      <c r="CS29" s="93"/>
      <c r="CT29" s="93"/>
      <c r="CU29" s="88"/>
      <c r="CV29" s="93"/>
      <c r="CW29" s="93"/>
      <c r="CX29" s="93"/>
      <c r="CY29" s="93"/>
      <c r="CZ29" s="88"/>
      <c r="DA29" s="93"/>
      <c r="DB29" s="93"/>
      <c r="DC29" s="93"/>
      <c r="DD29" s="93"/>
      <c r="DE29" s="88"/>
      <c r="DF29" s="93"/>
      <c r="DG29" s="93"/>
      <c r="DH29" s="93"/>
      <c r="DI29" s="93"/>
      <c r="DJ29" s="88"/>
      <c r="DK29" s="93"/>
      <c r="DL29" s="93"/>
      <c r="DM29" s="93"/>
      <c r="DN29" s="93"/>
      <c r="DO29" s="88"/>
      <c r="DP29" s="93"/>
      <c r="DQ29" s="93"/>
      <c r="DR29" s="93"/>
      <c r="DS29" s="93"/>
      <c r="DT29" s="88"/>
      <c r="DU29" s="93"/>
      <c r="DV29" s="93"/>
      <c r="DW29" s="93"/>
      <c r="DX29" s="93"/>
      <c r="DY29" s="88"/>
      <c r="DZ29" s="93"/>
      <c r="EA29" s="93"/>
      <c r="EB29" s="93"/>
      <c r="EC29" s="93"/>
      <c r="ED29" s="88"/>
      <c r="EE29" s="93"/>
      <c r="EF29" s="93"/>
      <c r="EG29" s="93"/>
      <c r="EH29" s="93"/>
      <c r="EI29" s="88"/>
      <c r="EJ29" s="93"/>
      <c r="EK29" s="93"/>
      <c r="EL29" s="93"/>
      <c r="EM29" s="93"/>
      <c r="EN29" s="88"/>
      <c r="EO29" s="93"/>
      <c r="EP29" s="93"/>
      <c r="EQ29" s="93"/>
      <c r="ER29" s="93"/>
      <c r="ES29" s="88"/>
      <c r="ET29" s="93"/>
      <c r="EU29" s="93"/>
      <c r="EV29" s="93"/>
      <c r="EW29" s="93"/>
      <c r="EX29" s="88"/>
      <c r="EY29" s="93"/>
      <c r="EZ29" s="93"/>
      <c r="FA29" s="93"/>
      <c r="FB29" s="93"/>
      <c r="FC29" s="88"/>
      <c r="FD29" s="93"/>
      <c r="FE29" s="93"/>
      <c r="FF29" s="93"/>
      <c r="FG29" s="93"/>
      <c r="FH29" s="88"/>
      <c r="FI29" s="93"/>
      <c r="FJ29" s="93"/>
      <c r="FK29" s="93"/>
      <c r="FL29" s="93"/>
      <c r="FM29" s="93"/>
      <c r="FN29" s="93"/>
      <c r="FO29" s="93"/>
      <c r="FP29" s="93"/>
      <c r="FQ29" s="93"/>
      <c r="FR29" s="93"/>
      <c r="FS29" s="93"/>
      <c r="FT29" s="93"/>
      <c r="FU29" s="93"/>
      <c r="FV29" s="93"/>
      <c r="FW29" s="93"/>
      <c r="FX29" s="93"/>
      <c r="FY29" s="93"/>
      <c r="FZ29" s="93"/>
      <c r="GA29" s="93"/>
      <c r="GB29" s="93"/>
      <c r="GC29" s="93"/>
      <c r="GD29" s="93"/>
      <c r="GE29" s="93"/>
      <c r="GF29" s="93"/>
      <c r="GG29" s="93"/>
      <c r="GH29" s="93"/>
      <c r="GI29" s="93"/>
      <c r="GJ29" s="93"/>
      <c r="GK29" s="93"/>
      <c r="GL29" s="93"/>
      <c r="GM29" s="93"/>
      <c r="GN29" s="93"/>
      <c r="GO29" s="93"/>
      <c r="GP29" s="88"/>
      <c r="GQ29" s="93"/>
      <c r="GR29" s="93"/>
      <c r="GS29" s="93"/>
      <c r="GT29" s="93"/>
      <c r="GU29" s="88"/>
      <c r="GV29" s="93"/>
      <c r="GW29" s="93"/>
      <c r="GX29" s="93"/>
      <c r="GY29" s="93"/>
      <c r="GZ29" s="88"/>
      <c r="HA29" s="93"/>
      <c r="HB29" s="93"/>
      <c r="HC29" s="93"/>
      <c r="HD29" s="93"/>
      <c r="HE29" s="88"/>
      <c r="HF29" s="93"/>
      <c r="HG29" s="93"/>
      <c r="HH29" s="93"/>
      <c r="HI29" s="93"/>
      <c r="HJ29" s="88"/>
      <c r="HK29" s="93"/>
      <c r="HL29" s="93"/>
      <c r="HM29" s="93"/>
      <c r="HN29" s="93"/>
      <c r="HO29" s="88"/>
      <c r="HP29" s="93"/>
      <c r="HQ29" s="93"/>
      <c r="HR29" s="93"/>
      <c r="HS29" s="93"/>
      <c r="HT29" s="88"/>
      <c r="HU29" s="93"/>
      <c r="HV29" s="93"/>
      <c r="HW29" s="93"/>
      <c r="HX29" s="93"/>
      <c r="HY29" s="88"/>
      <c r="HZ29" s="93"/>
      <c r="IA29" s="93"/>
      <c r="IB29" s="93"/>
      <c r="IC29" s="93"/>
      <c r="ID29" s="88"/>
      <c r="IE29" s="93"/>
      <c r="IF29" s="93"/>
      <c r="IG29" s="93"/>
      <c r="IH29" s="93"/>
      <c r="II29" s="88"/>
      <c r="IJ29" s="93"/>
      <c r="IK29" s="93"/>
      <c r="IL29" s="93"/>
      <c r="IM29" s="93"/>
      <c r="IN29" s="88"/>
      <c r="IO29" s="93"/>
      <c r="IP29" s="93"/>
      <c r="IQ29" s="93"/>
      <c r="IR29" s="93"/>
      <c r="IS29" s="88"/>
      <c r="IT29" s="93"/>
      <c r="IU29" s="93"/>
      <c r="IV29" s="93"/>
      <c r="IW29" s="93"/>
      <c r="IX29" s="88"/>
      <c r="IY29" s="93"/>
      <c r="IZ29" s="93"/>
      <c r="JA29" s="93"/>
      <c r="JB29" s="93"/>
      <c r="JC29" s="88"/>
      <c r="JD29" s="93"/>
      <c r="JE29" s="93"/>
      <c r="JF29" s="93"/>
      <c r="JG29" s="94"/>
      <c r="JH29" s="88"/>
      <c r="JI29" s="95"/>
      <c r="JJ29" s="93"/>
      <c r="JK29" s="93"/>
      <c r="JL29" s="94"/>
      <c r="JM29" s="89"/>
      <c r="JN29" s="96"/>
      <c r="JO29" s="84"/>
      <c r="JP29" s="95"/>
      <c r="JQ29" s="93"/>
      <c r="JR29" s="93"/>
      <c r="JS29" s="93"/>
      <c r="JT29" s="93"/>
      <c r="JU29" s="93"/>
      <c r="JV29" s="93"/>
      <c r="JW29" s="93"/>
      <c r="JX29" s="93"/>
      <c r="JY29" s="93"/>
      <c r="JZ29" s="93"/>
      <c r="KA29" s="93"/>
      <c r="KB29" s="93"/>
      <c r="KC29" s="93"/>
      <c r="KD29" s="93"/>
      <c r="KE29" s="93"/>
      <c r="KF29" s="93"/>
      <c r="KG29" s="93"/>
      <c r="KH29" s="93"/>
      <c r="KI29" s="93"/>
      <c r="KJ29" s="93"/>
      <c r="KK29" s="93"/>
      <c r="KL29" s="93"/>
      <c r="KM29" s="93"/>
      <c r="KN29" s="93"/>
      <c r="KO29" s="93"/>
      <c r="KP29" s="93"/>
      <c r="KQ29" s="93"/>
      <c r="KR29" s="93"/>
      <c r="KS29" s="93"/>
      <c r="KT29" s="93"/>
      <c r="KU29" s="93"/>
      <c r="KV29" s="93"/>
      <c r="KW29" s="93"/>
      <c r="KX29" s="93"/>
      <c r="KY29" s="93"/>
      <c r="KZ29" s="93"/>
      <c r="LA29" s="93"/>
      <c r="LB29" s="93"/>
      <c r="LC29" s="93"/>
      <c r="LD29" s="93"/>
      <c r="LE29" s="93"/>
      <c r="LF29" s="93"/>
      <c r="LG29" s="93"/>
      <c r="LH29" s="93"/>
      <c r="LI29" s="93"/>
      <c r="LJ29" s="93"/>
      <c r="LK29" s="93"/>
      <c r="LL29" s="93"/>
      <c r="LM29" s="93"/>
      <c r="LN29" s="93"/>
      <c r="LO29" s="93"/>
      <c r="LP29" s="93"/>
      <c r="LQ29" s="93"/>
      <c r="LR29" s="93"/>
      <c r="LS29" s="93"/>
      <c r="LT29" s="93"/>
      <c r="LU29" s="93"/>
      <c r="LV29" s="93"/>
      <c r="LW29" s="93"/>
      <c r="LX29" s="93"/>
      <c r="LY29" s="93"/>
      <c r="LZ29" s="93"/>
      <c r="MA29" s="93"/>
      <c r="MB29" s="93"/>
      <c r="MC29" s="93"/>
      <c r="MD29" s="93"/>
      <c r="ME29" s="93"/>
      <c r="MF29" s="93"/>
      <c r="MG29" s="93"/>
      <c r="MH29" s="93"/>
      <c r="MI29" s="93"/>
      <c r="MJ29" s="93"/>
      <c r="MK29" s="93"/>
      <c r="ML29" s="93"/>
      <c r="MM29" s="93"/>
      <c r="MN29" s="93"/>
      <c r="MO29" s="93"/>
      <c r="MP29" s="93"/>
      <c r="MQ29" s="93"/>
      <c r="MR29" s="93"/>
      <c r="MS29" s="93"/>
      <c r="MT29" s="93"/>
      <c r="MU29" s="93"/>
      <c r="MV29" s="93"/>
      <c r="MW29" s="93"/>
      <c r="MX29" s="93"/>
      <c r="MY29" s="93"/>
      <c r="MZ29" s="93"/>
      <c r="NA29" s="93"/>
      <c r="NB29" s="93"/>
      <c r="NC29" s="93"/>
      <c r="ND29" s="93"/>
      <c r="NE29" s="93"/>
      <c r="NF29" s="93"/>
      <c r="NG29" s="93"/>
      <c r="NH29" s="93"/>
      <c r="NI29" s="93"/>
      <c r="NJ29" s="93"/>
      <c r="NK29" s="93"/>
      <c r="NL29" s="93"/>
      <c r="NM29" s="93"/>
      <c r="NN29" s="93"/>
      <c r="NO29" s="93"/>
      <c r="NP29" s="93"/>
      <c r="NQ29" s="93"/>
      <c r="NR29" s="93"/>
      <c r="NS29" s="93"/>
      <c r="NT29" s="93"/>
      <c r="NU29" s="93"/>
      <c r="NV29" s="93"/>
      <c r="NW29" s="93"/>
      <c r="NX29" s="93"/>
      <c r="NY29" s="93"/>
      <c r="NZ29" s="93"/>
    </row>
    <row r="30" spans="1:390" ht="15.75" customHeight="1" x14ac:dyDescent="0.3">
      <c r="A30" s="98">
        <v>4124649371</v>
      </c>
      <c r="B30" s="87" t="s">
        <v>392</v>
      </c>
      <c r="C30" s="84" t="s">
        <v>393</v>
      </c>
      <c r="D30" s="87" t="s">
        <v>392</v>
      </c>
      <c r="E30" s="93" t="s">
        <v>483</v>
      </c>
      <c r="F30" s="93" t="s">
        <v>415</v>
      </c>
      <c r="G30" s="93" t="s">
        <v>426</v>
      </c>
      <c r="H30" s="166">
        <v>44245</v>
      </c>
      <c r="I30" s="93" t="s">
        <v>484</v>
      </c>
      <c r="J30" s="234" t="s">
        <v>398</v>
      </c>
      <c r="K30" s="93" t="s">
        <v>399</v>
      </c>
      <c r="L30" s="93" t="s">
        <v>399</v>
      </c>
      <c r="M30" s="93" t="s">
        <v>399</v>
      </c>
      <c r="N30" s="93" t="s">
        <v>399</v>
      </c>
      <c r="O30" s="93" t="s">
        <v>399</v>
      </c>
      <c r="P30" s="93" t="s">
        <v>399</v>
      </c>
      <c r="Q30" s="93" t="s">
        <v>399</v>
      </c>
      <c r="R30" s="93" t="s">
        <v>399</v>
      </c>
      <c r="S30" s="93" t="s">
        <v>399</v>
      </c>
      <c r="T30" s="93" t="s">
        <v>399</v>
      </c>
      <c r="U30" s="93" t="s">
        <v>399</v>
      </c>
      <c r="V30" s="93" t="s">
        <v>399</v>
      </c>
      <c r="W30" s="93" t="s">
        <v>399</v>
      </c>
      <c r="X30" s="93" t="s">
        <v>399</v>
      </c>
      <c r="Y30" s="93" t="s">
        <v>399</v>
      </c>
      <c r="Z30" s="93" t="s">
        <v>399</v>
      </c>
      <c r="AA30" s="93" t="s">
        <v>399</v>
      </c>
      <c r="AB30" s="152" t="s">
        <v>400</v>
      </c>
      <c r="AC30" s="166">
        <v>27482</v>
      </c>
      <c r="AD30" s="167">
        <v>44188</v>
      </c>
      <c r="AE30" s="164">
        <f t="shared" si="1"/>
        <v>45</v>
      </c>
      <c r="AF30" s="108" t="s">
        <v>435</v>
      </c>
      <c r="AG30" s="84" t="s">
        <v>402</v>
      </c>
      <c r="AH30" s="163" t="s">
        <v>403</v>
      </c>
      <c r="AI30" s="163" t="s">
        <v>404</v>
      </c>
      <c r="AJ30" s="163">
        <v>0</v>
      </c>
      <c r="AK30" s="163" t="s">
        <v>405</v>
      </c>
      <c r="AL30" s="172">
        <v>0</v>
      </c>
      <c r="AM30" s="89" t="s">
        <v>406</v>
      </c>
      <c r="AN30" s="170">
        <v>3</v>
      </c>
      <c r="AO30" s="109" t="s">
        <v>399</v>
      </c>
      <c r="AP30" s="88"/>
      <c r="AQ30" s="95"/>
      <c r="AR30" s="88"/>
      <c r="AS30" s="93"/>
      <c r="AT30" s="93"/>
      <c r="AU30" s="93"/>
      <c r="AV30" s="93"/>
      <c r="AW30" s="88"/>
      <c r="AX30" s="93"/>
      <c r="AY30" s="93"/>
      <c r="AZ30" s="93"/>
      <c r="BA30" s="93"/>
      <c r="BB30" s="88"/>
      <c r="BC30" s="93"/>
      <c r="BD30" s="93"/>
      <c r="BE30" s="93"/>
      <c r="BF30" s="93"/>
      <c r="BG30" s="88"/>
      <c r="BH30" s="93"/>
      <c r="BI30" s="93"/>
      <c r="BJ30" s="93"/>
      <c r="BK30" s="93"/>
      <c r="BL30" s="88"/>
      <c r="BM30" s="93"/>
      <c r="BN30" s="93"/>
      <c r="BO30" s="93"/>
      <c r="BP30" s="93"/>
      <c r="BQ30" s="88"/>
      <c r="BR30" s="93"/>
      <c r="BS30" s="93"/>
      <c r="BT30" s="93"/>
      <c r="BU30" s="93"/>
      <c r="BV30" s="88"/>
      <c r="BW30" s="93"/>
      <c r="BX30" s="93"/>
      <c r="BY30" s="93"/>
      <c r="BZ30" s="93"/>
      <c r="CA30" s="88"/>
      <c r="CB30" s="93"/>
      <c r="CC30" s="93"/>
      <c r="CD30" s="93"/>
      <c r="CE30" s="93"/>
      <c r="CF30" s="88"/>
      <c r="CG30" s="93"/>
      <c r="CH30" s="93"/>
      <c r="CI30" s="93"/>
      <c r="CJ30" s="93"/>
      <c r="CK30" s="88"/>
      <c r="CL30" s="93"/>
      <c r="CM30" s="93"/>
      <c r="CN30" s="93"/>
      <c r="CO30" s="93"/>
      <c r="CP30" s="88"/>
      <c r="CQ30" s="93"/>
      <c r="CR30" s="93"/>
      <c r="CS30" s="93"/>
      <c r="CT30" s="93"/>
      <c r="CU30" s="88"/>
      <c r="CV30" s="93"/>
      <c r="CW30" s="93"/>
      <c r="CX30" s="93"/>
      <c r="CY30" s="93"/>
      <c r="CZ30" s="88"/>
      <c r="DA30" s="93"/>
      <c r="DB30" s="93"/>
      <c r="DC30" s="93"/>
      <c r="DD30" s="93"/>
      <c r="DE30" s="88"/>
      <c r="DF30" s="93"/>
      <c r="DG30" s="93"/>
      <c r="DH30" s="93"/>
      <c r="DI30" s="93"/>
      <c r="DJ30" s="88"/>
      <c r="DK30" s="93"/>
      <c r="DL30" s="93"/>
      <c r="DM30" s="93"/>
      <c r="DN30" s="93"/>
      <c r="DO30" s="88"/>
      <c r="DP30" s="93"/>
      <c r="DQ30" s="93"/>
      <c r="DR30" s="93"/>
      <c r="DS30" s="93"/>
      <c r="DT30" s="88"/>
      <c r="DU30" s="93"/>
      <c r="DV30" s="93"/>
      <c r="DW30" s="93"/>
      <c r="DX30" s="93"/>
      <c r="DY30" s="88"/>
      <c r="DZ30" s="93"/>
      <c r="EA30" s="93"/>
      <c r="EB30" s="93"/>
      <c r="EC30" s="93"/>
      <c r="ED30" s="88"/>
      <c r="EE30" s="93"/>
      <c r="EF30" s="93"/>
      <c r="EG30" s="93"/>
      <c r="EH30" s="93"/>
      <c r="EI30" s="88"/>
      <c r="EJ30" s="93"/>
      <c r="EK30" s="93"/>
      <c r="EL30" s="93"/>
      <c r="EM30" s="93"/>
      <c r="EN30" s="88"/>
      <c r="EO30" s="93"/>
      <c r="EP30" s="93"/>
      <c r="EQ30" s="93"/>
      <c r="ER30" s="93"/>
      <c r="ES30" s="88"/>
      <c r="ET30" s="93"/>
      <c r="EU30" s="93"/>
      <c r="EV30" s="93"/>
      <c r="EW30" s="93"/>
      <c r="EX30" s="88"/>
      <c r="EY30" s="93"/>
      <c r="EZ30" s="93"/>
      <c r="FA30" s="93"/>
      <c r="FB30" s="93"/>
      <c r="FC30" s="88"/>
      <c r="FD30" s="93"/>
      <c r="FE30" s="93"/>
      <c r="FF30" s="93"/>
      <c r="FG30" s="93"/>
      <c r="FH30" s="88"/>
      <c r="FI30" s="93"/>
      <c r="FJ30" s="93"/>
      <c r="FK30" s="93"/>
      <c r="FL30" s="93"/>
      <c r="FM30" s="93"/>
      <c r="FN30" s="93"/>
      <c r="FO30" s="93"/>
      <c r="FP30" s="93"/>
      <c r="FQ30" s="93"/>
      <c r="FR30" s="93"/>
      <c r="FS30" s="93"/>
      <c r="FT30" s="93"/>
      <c r="FU30" s="93"/>
      <c r="FV30" s="93"/>
      <c r="FW30" s="93"/>
      <c r="FX30" s="93"/>
      <c r="FY30" s="93"/>
      <c r="FZ30" s="93"/>
      <c r="GA30" s="93"/>
      <c r="GB30" s="93"/>
      <c r="GC30" s="93"/>
      <c r="GD30" s="93"/>
      <c r="GE30" s="93"/>
      <c r="GF30" s="93"/>
      <c r="GG30" s="93"/>
      <c r="GH30" s="93"/>
      <c r="GI30" s="93"/>
      <c r="GJ30" s="93"/>
      <c r="GK30" s="93"/>
      <c r="GL30" s="93"/>
      <c r="GM30" s="93"/>
      <c r="GN30" s="93"/>
      <c r="GO30" s="93"/>
      <c r="GP30" s="88"/>
      <c r="GQ30" s="93"/>
      <c r="GR30" s="93"/>
      <c r="GS30" s="93"/>
      <c r="GT30" s="93"/>
      <c r="GU30" s="88"/>
      <c r="GV30" s="93"/>
      <c r="GW30" s="93"/>
      <c r="GX30" s="93"/>
      <c r="GY30" s="93"/>
      <c r="GZ30" s="88"/>
      <c r="HA30" s="93"/>
      <c r="HB30" s="93"/>
      <c r="HC30" s="93"/>
      <c r="HD30" s="93"/>
      <c r="HE30" s="88"/>
      <c r="HF30" s="93"/>
      <c r="HG30" s="93"/>
      <c r="HH30" s="93"/>
      <c r="HI30" s="93"/>
      <c r="HJ30" s="88"/>
      <c r="HK30" s="93"/>
      <c r="HL30" s="93"/>
      <c r="HM30" s="93"/>
      <c r="HN30" s="93"/>
      <c r="HO30" s="88"/>
      <c r="HP30" s="93"/>
      <c r="HQ30" s="93"/>
      <c r="HR30" s="93"/>
      <c r="HS30" s="93"/>
      <c r="HT30" s="88"/>
      <c r="HU30" s="93"/>
      <c r="HV30" s="93"/>
      <c r="HW30" s="93"/>
      <c r="HX30" s="93"/>
      <c r="HY30" s="88"/>
      <c r="HZ30" s="93"/>
      <c r="IA30" s="93"/>
      <c r="IB30" s="93"/>
      <c r="IC30" s="93"/>
      <c r="ID30" s="88"/>
      <c r="IE30" s="93"/>
      <c r="IF30" s="93"/>
      <c r="IG30" s="93"/>
      <c r="IH30" s="93"/>
      <c r="II30" s="88"/>
      <c r="IJ30" s="93"/>
      <c r="IK30" s="93"/>
      <c r="IL30" s="93"/>
      <c r="IM30" s="93"/>
      <c r="IN30" s="88"/>
      <c r="IO30" s="93"/>
      <c r="IP30" s="93"/>
      <c r="IQ30" s="93"/>
      <c r="IR30" s="93"/>
      <c r="IS30" s="88"/>
      <c r="IT30" s="93"/>
      <c r="IU30" s="93"/>
      <c r="IV30" s="93"/>
      <c r="IW30" s="93"/>
      <c r="IX30" s="88"/>
      <c r="IY30" s="93"/>
      <c r="IZ30" s="93"/>
      <c r="JA30" s="93"/>
      <c r="JB30" s="93"/>
      <c r="JC30" s="88"/>
      <c r="JD30" s="93"/>
      <c r="JE30" s="93"/>
      <c r="JF30" s="93"/>
      <c r="JG30" s="94"/>
      <c r="JH30" s="88"/>
      <c r="JI30" s="95"/>
      <c r="JJ30" s="93"/>
      <c r="JK30" s="93"/>
      <c r="JL30" s="94"/>
      <c r="JM30" s="89"/>
      <c r="JN30" s="96"/>
      <c r="JO30" s="84"/>
      <c r="JP30" s="95"/>
      <c r="JQ30" s="93"/>
      <c r="JR30" s="93"/>
      <c r="JS30" s="93"/>
      <c r="JT30" s="93"/>
      <c r="JU30" s="93"/>
      <c r="JV30" s="93"/>
      <c r="JW30" s="93"/>
      <c r="JX30" s="93"/>
      <c r="JY30" s="93"/>
      <c r="JZ30" s="93"/>
      <c r="KA30" s="93"/>
      <c r="KB30" s="93"/>
      <c r="KC30" s="93"/>
      <c r="KD30" s="93"/>
      <c r="KE30" s="93"/>
      <c r="KF30" s="93"/>
      <c r="KG30" s="93"/>
      <c r="KH30" s="93"/>
      <c r="KI30" s="93"/>
      <c r="KJ30" s="93"/>
      <c r="KK30" s="93"/>
      <c r="KL30" s="93"/>
      <c r="KM30" s="93"/>
      <c r="KN30" s="93"/>
      <c r="KO30" s="93"/>
      <c r="KP30" s="93"/>
      <c r="KQ30" s="93"/>
      <c r="KR30" s="93"/>
      <c r="KS30" s="93"/>
      <c r="KT30" s="93"/>
      <c r="KU30" s="93"/>
      <c r="KV30" s="93"/>
      <c r="KW30" s="93"/>
      <c r="KX30" s="93"/>
      <c r="KY30" s="93"/>
      <c r="KZ30" s="93"/>
      <c r="LA30" s="93"/>
      <c r="LB30" s="93"/>
      <c r="LC30" s="93"/>
      <c r="LD30" s="93"/>
      <c r="LE30" s="93"/>
      <c r="LF30" s="93"/>
      <c r="LG30" s="93"/>
      <c r="LH30" s="93"/>
      <c r="LI30" s="93"/>
      <c r="LJ30" s="93"/>
      <c r="LK30" s="93"/>
      <c r="LL30" s="93"/>
      <c r="LM30" s="93"/>
      <c r="LN30" s="93"/>
      <c r="LO30" s="93"/>
      <c r="LP30" s="93"/>
      <c r="LQ30" s="93"/>
      <c r="LR30" s="93"/>
      <c r="LS30" s="93"/>
      <c r="LT30" s="93"/>
      <c r="LU30" s="93"/>
      <c r="LV30" s="93"/>
      <c r="LW30" s="93"/>
      <c r="LX30" s="93"/>
      <c r="LY30" s="93"/>
      <c r="LZ30" s="93"/>
      <c r="MA30" s="93"/>
      <c r="MB30" s="93"/>
      <c r="MC30" s="93"/>
      <c r="MD30" s="93"/>
      <c r="ME30" s="93"/>
      <c r="MF30" s="93"/>
      <c r="MG30" s="93"/>
      <c r="MH30" s="93"/>
      <c r="MI30" s="93"/>
      <c r="MJ30" s="93"/>
      <c r="MK30" s="93"/>
      <c r="ML30" s="93"/>
      <c r="MM30" s="93"/>
      <c r="MN30" s="93"/>
      <c r="MO30" s="93"/>
      <c r="MP30" s="93"/>
      <c r="MQ30" s="93"/>
      <c r="MR30" s="93"/>
      <c r="MS30" s="93"/>
      <c r="MT30" s="93"/>
      <c r="MU30" s="93"/>
      <c r="MV30" s="93"/>
      <c r="MW30" s="93"/>
      <c r="MX30" s="93"/>
      <c r="MY30" s="93"/>
      <c r="MZ30" s="93"/>
      <c r="NA30" s="93"/>
      <c r="NB30" s="93"/>
      <c r="NC30" s="93"/>
      <c r="ND30" s="93"/>
      <c r="NE30" s="93"/>
      <c r="NF30" s="93"/>
      <c r="NG30" s="93"/>
      <c r="NH30" s="93"/>
      <c r="NI30" s="93"/>
      <c r="NJ30" s="93"/>
      <c r="NK30" s="93"/>
      <c r="NL30" s="93"/>
      <c r="NM30" s="93"/>
      <c r="NN30" s="93"/>
      <c r="NO30" s="93"/>
      <c r="NP30" s="93"/>
      <c r="NQ30" s="93"/>
      <c r="NR30" s="93"/>
      <c r="NS30" s="93"/>
      <c r="NT30" s="93"/>
      <c r="NU30" s="93"/>
      <c r="NV30" s="93"/>
      <c r="NW30" s="93"/>
      <c r="NX30" s="93"/>
      <c r="NY30" s="93"/>
      <c r="NZ30" s="93"/>
    </row>
    <row r="31" spans="1:390" ht="15.75" customHeight="1" x14ac:dyDescent="0.3">
      <c r="A31" s="98">
        <v>4382721598</v>
      </c>
      <c r="B31" s="87" t="s">
        <v>392</v>
      </c>
      <c r="C31" s="84" t="s">
        <v>393</v>
      </c>
      <c r="D31" s="87" t="s">
        <v>392</v>
      </c>
      <c r="E31" s="93" t="s">
        <v>485</v>
      </c>
      <c r="F31" s="93" t="s">
        <v>449</v>
      </c>
      <c r="G31" s="93" t="s">
        <v>452</v>
      </c>
      <c r="H31" s="166">
        <v>44270</v>
      </c>
      <c r="I31" s="93" t="s">
        <v>486</v>
      </c>
      <c r="J31" s="234" t="s">
        <v>398</v>
      </c>
      <c r="K31" s="93" t="s">
        <v>399</v>
      </c>
      <c r="L31" s="93" t="s">
        <v>399</v>
      </c>
      <c r="M31" s="93" t="s">
        <v>399</v>
      </c>
      <c r="N31" s="93" t="s">
        <v>399</v>
      </c>
      <c r="O31" s="93" t="s">
        <v>399</v>
      </c>
      <c r="P31" s="93" t="s">
        <v>399</v>
      </c>
      <c r="Q31" s="93" t="s">
        <v>399</v>
      </c>
      <c r="R31" s="93" t="s">
        <v>399</v>
      </c>
      <c r="S31" s="93" t="s">
        <v>399</v>
      </c>
      <c r="T31" s="93" t="s">
        <v>399</v>
      </c>
      <c r="U31" s="93" t="s">
        <v>399</v>
      </c>
      <c r="V31" s="93" t="s">
        <v>399</v>
      </c>
      <c r="W31" s="93" t="s">
        <v>399</v>
      </c>
      <c r="X31" s="93" t="s">
        <v>399</v>
      </c>
      <c r="Y31" s="93" t="s">
        <v>399</v>
      </c>
      <c r="Z31" s="93" t="s">
        <v>399</v>
      </c>
      <c r="AA31" s="93" t="s">
        <v>399</v>
      </c>
      <c r="AB31" s="152" t="s">
        <v>400</v>
      </c>
      <c r="AC31" s="166">
        <v>17341</v>
      </c>
      <c r="AD31" s="167">
        <v>44244</v>
      </c>
      <c r="AE31" s="164">
        <f t="shared" si="1"/>
        <v>73</v>
      </c>
      <c r="AF31" s="108" t="s">
        <v>435</v>
      </c>
      <c r="AG31" s="84" t="s">
        <v>402</v>
      </c>
      <c r="AH31" s="163" t="s">
        <v>392</v>
      </c>
      <c r="AI31" s="163" t="s">
        <v>418</v>
      </c>
      <c r="AJ31" s="163">
        <v>0</v>
      </c>
      <c r="AK31" s="163" t="s">
        <v>405</v>
      </c>
      <c r="AL31" s="172">
        <v>0</v>
      </c>
      <c r="AM31" s="89" t="s">
        <v>419</v>
      </c>
      <c r="AN31" s="170">
        <v>2</v>
      </c>
      <c r="AO31" s="109" t="s">
        <v>399</v>
      </c>
      <c r="AP31" s="88"/>
      <c r="AQ31" s="95"/>
      <c r="AR31" s="88"/>
      <c r="AS31" s="93"/>
      <c r="AT31" s="93"/>
      <c r="AU31" s="93"/>
      <c r="AV31" s="93"/>
      <c r="AW31" s="88"/>
      <c r="AX31" s="93"/>
      <c r="AY31" s="93"/>
      <c r="AZ31" s="93"/>
      <c r="BA31" s="93"/>
      <c r="BB31" s="88"/>
      <c r="BC31" s="93"/>
      <c r="BD31" s="93"/>
      <c r="BE31" s="93"/>
      <c r="BF31" s="93"/>
      <c r="BG31" s="88"/>
      <c r="BH31" s="93"/>
      <c r="BI31" s="93"/>
      <c r="BJ31" s="93"/>
      <c r="BK31" s="93"/>
      <c r="BL31" s="88"/>
      <c r="BM31" s="93"/>
      <c r="BN31" s="93"/>
      <c r="BO31" s="93"/>
      <c r="BP31" s="93"/>
      <c r="BQ31" s="88"/>
      <c r="BR31" s="93"/>
      <c r="BS31" s="93"/>
      <c r="BT31" s="93"/>
      <c r="BU31" s="93"/>
      <c r="BV31" s="88"/>
      <c r="BW31" s="93"/>
      <c r="BX31" s="93"/>
      <c r="BY31" s="93"/>
      <c r="BZ31" s="93"/>
      <c r="CA31" s="88"/>
      <c r="CB31" s="93"/>
      <c r="CC31" s="93"/>
      <c r="CD31" s="93"/>
      <c r="CE31" s="93"/>
      <c r="CF31" s="88"/>
      <c r="CG31" s="93"/>
      <c r="CH31" s="93"/>
      <c r="CI31" s="93"/>
      <c r="CJ31" s="93"/>
      <c r="CK31" s="88"/>
      <c r="CL31" s="93"/>
      <c r="CM31" s="93"/>
      <c r="CN31" s="93"/>
      <c r="CO31" s="93"/>
      <c r="CP31" s="88"/>
      <c r="CQ31" s="93"/>
      <c r="CR31" s="93"/>
      <c r="CS31" s="93"/>
      <c r="CT31" s="93"/>
      <c r="CU31" s="88"/>
      <c r="CV31" s="93"/>
      <c r="CW31" s="93"/>
      <c r="CX31" s="93"/>
      <c r="CY31" s="93"/>
      <c r="CZ31" s="88"/>
      <c r="DA31" s="93"/>
      <c r="DB31" s="93"/>
      <c r="DC31" s="93"/>
      <c r="DD31" s="93"/>
      <c r="DE31" s="88"/>
      <c r="DF31" s="93"/>
      <c r="DG31" s="93"/>
      <c r="DH31" s="93"/>
      <c r="DI31" s="93"/>
      <c r="DJ31" s="88"/>
      <c r="DK31" s="93"/>
      <c r="DL31" s="93"/>
      <c r="DM31" s="93"/>
      <c r="DN31" s="93"/>
      <c r="DO31" s="88"/>
      <c r="DP31" s="93"/>
      <c r="DQ31" s="93"/>
      <c r="DR31" s="93"/>
      <c r="DS31" s="93"/>
      <c r="DT31" s="88"/>
      <c r="DU31" s="93"/>
      <c r="DV31" s="93"/>
      <c r="DW31" s="93"/>
      <c r="DX31" s="93"/>
      <c r="DY31" s="88"/>
      <c r="DZ31" s="93"/>
      <c r="EA31" s="93"/>
      <c r="EB31" s="93"/>
      <c r="EC31" s="93"/>
      <c r="ED31" s="88"/>
      <c r="EE31" s="93"/>
      <c r="EF31" s="93"/>
      <c r="EG31" s="93"/>
      <c r="EH31" s="93"/>
      <c r="EI31" s="88"/>
      <c r="EJ31" s="93"/>
      <c r="EK31" s="93"/>
      <c r="EL31" s="93"/>
      <c r="EM31" s="93"/>
      <c r="EN31" s="88"/>
      <c r="EO31" s="93"/>
      <c r="EP31" s="93"/>
      <c r="EQ31" s="93"/>
      <c r="ER31" s="93"/>
      <c r="ES31" s="88"/>
      <c r="ET31" s="93"/>
      <c r="EU31" s="93"/>
      <c r="EV31" s="93"/>
      <c r="EW31" s="93"/>
      <c r="EX31" s="88"/>
      <c r="EY31" s="93"/>
      <c r="EZ31" s="93"/>
      <c r="FA31" s="93"/>
      <c r="FB31" s="93"/>
      <c r="FC31" s="88"/>
      <c r="FD31" s="93"/>
      <c r="FE31" s="93"/>
      <c r="FF31" s="93"/>
      <c r="FG31" s="93"/>
      <c r="FH31" s="88"/>
      <c r="FI31" s="93"/>
      <c r="FJ31" s="93"/>
      <c r="FK31" s="93"/>
      <c r="FL31" s="93"/>
      <c r="FM31" s="93"/>
      <c r="FN31" s="93"/>
      <c r="FO31" s="93"/>
      <c r="FP31" s="93"/>
      <c r="FQ31" s="93"/>
      <c r="FR31" s="93"/>
      <c r="FS31" s="93"/>
      <c r="FT31" s="93"/>
      <c r="FU31" s="93"/>
      <c r="FV31" s="93"/>
      <c r="FW31" s="93"/>
      <c r="FX31" s="93"/>
      <c r="FY31" s="93"/>
      <c r="FZ31" s="93"/>
      <c r="GA31" s="93"/>
      <c r="GB31" s="93"/>
      <c r="GC31" s="93"/>
      <c r="GD31" s="93"/>
      <c r="GE31" s="93"/>
      <c r="GF31" s="93"/>
      <c r="GG31" s="93"/>
      <c r="GH31" s="93"/>
      <c r="GI31" s="93"/>
      <c r="GJ31" s="93"/>
      <c r="GK31" s="93"/>
      <c r="GL31" s="93"/>
      <c r="GM31" s="93"/>
      <c r="GN31" s="93"/>
      <c r="GO31" s="93"/>
      <c r="GP31" s="88"/>
      <c r="GQ31" s="93"/>
      <c r="GR31" s="93"/>
      <c r="GS31" s="93"/>
      <c r="GT31" s="93"/>
      <c r="GU31" s="88"/>
      <c r="GV31" s="93"/>
      <c r="GW31" s="93"/>
      <c r="GX31" s="93"/>
      <c r="GY31" s="93"/>
      <c r="GZ31" s="88"/>
      <c r="HA31" s="93"/>
      <c r="HB31" s="93"/>
      <c r="HC31" s="93"/>
      <c r="HD31" s="93"/>
      <c r="HE31" s="88"/>
      <c r="HF31" s="93"/>
      <c r="HG31" s="93"/>
      <c r="HH31" s="93"/>
      <c r="HI31" s="93"/>
      <c r="HJ31" s="88"/>
      <c r="HK31" s="93"/>
      <c r="HL31" s="93"/>
      <c r="HM31" s="93"/>
      <c r="HN31" s="93"/>
      <c r="HO31" s="88"/>
      <c r="HP31" s="93"/>
      <c r="HQ31" s="93"/>
      <c r="HR31" s="93"/>
      <c r="HS31" s="93"/>
      <c r="HT31" s="88"/>
      <c r="HU31" s="93"/>
      <c r="HV31" s="93"/>
      <c r="HW31" s="93"/>
      <c r="HX31" s="93"/>
      <c r="HY31" s="88"/>
      <c r="HZ31" s="93"/>
      <c r="IA31" s="93"/>
      <c r="IB31" s="93"/>
      <c r="IC31" s="93"/>
      <c r="ID31" s="88"/>
      <c r="IE31" s="93"/>
      <c r="IF31" s="93"/>
      <c r="IG31" s="93"/>
      <c r="IH31" s="93"/>
      <c r="II31" s="88"/>
      <c r="IJ31" s="93"/>
      <c r="IK31" s="93"/>
      <c r="IL31" s="93"/>
      <c r="IM31" s="93"/>
      <c r="IN31" s="88"/>
      <c r="IO31" s="93"/>
      <c r="IP31" s="93"/>
      <c r="IQ31" s="93"/>
      <c r="IR31" s="93"/>
      <c r="IS31" s="88"/>
      <c r="IT31" s="93"/>
      <c r="IU31" s="93"/>
      <c r="IV31" s="93"/>
      <c r="IW31" s="93"/>
      <c r="IX31" s="88"/>
      <c r="IY31" s="93"/>
      <c r="IZ31" s="93"/>
      <c r="JA31" s="93"/>
      <c r="JB31" s="93"/>
      <c r="JC31" s="88"/>
      <c r="JD31" s="93"/>
      <c r="JE31" s="93"/>
      <c r="JF31" s="93"/>
      <c r="JG31" s="94"/>
      <c r="JH31" s="88"/>
      <c r="JI31" s="95"/>
      <c r="JJ31" s="93"/>
      <c r="JK31" s="93"/>
      <c r="JL31" s="94"/>
      <c r="JM31" s="89"/>
      <c r="JN31" s="96"/>
      <c r="JO31" s="84"/>
      <c r="JP31" s="95"/>
      <c r="JQ31" s="93"/>
      <c r="JR31" s="93"/>
      <c r="JS31" s="93"/>
      <c r="JT31" s="93"/>
      <c r="JU31" s="93"/>
      <c r="JV31" s="93"/>
      <c r="JW31" s="93"/>
      <c r="JX31" s="93"/>
      <c r="JY31" s="93"/>
      <c r="JZ31" s="93"/>
      <c r="KA31" s="93"/>
      <c r="KB31" s="93"/>
      <c r="KC31" s="93"/>
      <c r="KD31" s="93"/>
      <c r="KE31" s="93"/>
      <c r="KF31" s="93"/>
      <c r="KG31" s="93"/>
      <c r="KH31" s="93"/>
      <c r="KI31" s="93"/>
      <c r="KJ31" s="93"/>
      <c r="KK31" s="93"/>
      <c r="KL31" s="93"/>
      <c r="KM31" s="93"/>
      <c r="KN31" s="93"/>
      <c r="KO31" s="93"/>
      <c r="KP31" s="93"/>
      <c r="KQ31" s="93"/>
      <c r="KR31" s="93"/>
      <c r="KS31" s="93"/>
      <c r="KT31" s="93"/>
      <c r="KU31" s="93"/>
      <c r="KV31" s="93"/>
      <c r="KW31" s="93"/>
      <c r="KX31" s="93"/>
      <c r="KY31" s="93"/>
      <c r="KZ31" s="93"/>
      <c r="LA31" s="93"/>
      <c r="LB31" s="93"/>
      <c r="LC31" s="93"/>
      <c r="LD31" s="93"/>
      <c r="LE31" s="93"/>
      <c r="LF31" s="93"/>
      <c r="LG31" s="93"/>
      <c r="LH31" s="93"/>
      <c r="LI31" s="93"/>
      <c r="LJ31" s="93"/>
      <c r="LK31" s="93"/>
      <c r="LL31" s="93"/>
      <c r="LM31" s="93"/>
      <c r="LN31" s="93"/>
      <c r="LO31" s="93"/>
      <c r="LP31" s="93"/>
      <c r="LQ31" s="93"/>
      <c r="LR31" s="93"/>
      <c r="LS31" s="93"/>
      <c r="LT31" s="93"/>
      <c r="LU31" s="93"/>
      <c r="LV31" s="93"/>
      <c r="LW31" s="93"/>
      <c r="LX31" s="93"/>
      <c r="LY31" s="93"/>
      <c r="LZ31" s="93"/>
      <c r="MA31" s="93"/>
      <c r="MB31" s="93"/>
      <c r="MC31" s="93"/>
      <c r="MD31" s="93"/>
      <c r="ME31" s="93"/>
      <c r="MF31" s="93"/>
      <c r="MG31" s="93"/>
      <c r="MH31" s="93"/>
      <c r="MI31" s="93"/>
      <c r="MJ31" s="93"/>
      <c r="MK31" s="93"/>
      <c r="ML31" s="93"/>
      <c r="MM31" s="93"/>
      <c r="MN31" s="93"/>
      <c r="MO31" s="93"/>
      <c r="MP31" s="93"/>
      <c r="MQ31" s="93"/>
      <c r="MR31" s="93"/>
      <c r="MS31" s="93"/>
      <c r="MT31" s="93"/>
      <c r="MU31" s="93"/>
      <c r="MV31" s="93"/>
      <c r="MW31" s="93"/>
      <c r="MX31" s="93"/>
      <c r="MY31" s="93"/>
      <c r="MZ31" s="93"/>
      <c r="NA31" s="93"/>
      <c r="NB31" s="93"/>
      <c r="NC31" s="93"/>
      <c r="ND31" s="93"/>
      <c r="NE31" s="93"/>
      <c r="NF31" s="93"/>
      <c r="NG31" s="93"/>
      <c r="NH31" s="93"/>
      <c r="NI31" s="93"/>
      <c r="NJ31" s="93"/>
      <c r="NK31" s="93"/>
      <c r="NL31" s="93"/>
      <c r="NM31" s="93"/>
      <c r="NN31" s="93"/>
      <c r="NO31" s="93"/>
      <c r="NP31" s="93"/>
      <c r="NQ31" s="93"/>
      <c r="NR31" s="93"/>
      <c r="NS31" s="93"/>
      <c r="NT31" s="93"/>
      <c r="NU31" s="93"/>
      <c r="NV31" s="93"/>
      <c r="NW31" s="93"/>
      <c r="NX31" s="93"/>
      <c r="NY31" s="93"/>
      <c r="NZ31" s="93"/>
    </row>
    <row r="32" spans="1:390" ht="15.75" customHeight="1" x14ac:dyDescent="0.3">
      <c r="A32" s="98">
        <v>4861789648</v>
      </c>
      <c r="B32" s="87" t="s">
        <v>392</v>
      </c>
      <c r="C32" s="84" t="s">
        <v>393</v>
      </c>
      <c r="D32" s="87" t="s">
        <v>392</v>
      </c>
      <c r="E32" s="93" t="s">
        <v>487</v>
      </c>
      <c r="F32" s="93" t="s">
        <v>425</v>
      </c>
      <c r="G32" s="93" t="s">
        <v>426</v>
      </c>
      <c r="H32" s="166">
        <v>44280</v>
      </c>
      <c r="I32" s="93" t="s">
        <v>488</v>
      </c>
      <c r="J32" s="234" t="s">
        <v>398</v>
      </c>
      <c r="K32" s="93" t="s">
        <v>399</v>
      </c>
      <c r="L32" s="93" t="s">
        <v>399</v>
      </c>
      <c r="M32" s="93" t="s">
        <v>399</v>
      </c>
      <c r="N32" s="93" t="s">
        <v>399</v>
      </c>
      <c r="O32" s="93" t="s">
        <v>399</v>
      </c>
      <c r="P32" s="93" t="s">
        <v>399</v>
      </c>
      <c r="Q32" s="93" t="s">
        <v>399</v>
      </c>
      <c r="R32" s="93" t="s">
        <v>399</v>
      </c>
      <c r="S32" s="93" t="s">
        <v>399</v>
      </c>
      <c r="T32" s="93" t="s">
        <v>399</v>
      </c>
      <c r="U32" s="93" t="s">
        <v>399</v>
      </c>
      <c r="V32" s="93" t="s">
        <v>399</v>
      </c>
      <c r="W32" s="93" t="s">
        <v>399</v>
      </c>
      <c r="X32" s="93" t="s">
        <v>399</v>
      </c>
      <c r="Y32" s="93" t="s">
        <v>399</v>
      </c>
      <c r="Z32" s="93" t="s">
        <v>399</v>
      </c>
      <c r="AA32" s="93" t="s">
        <v>399</v>
      </c>
      <c r="AB32" s="152" t="s">
        <v>400</v>
      </c>
      <c r="AC32" s="166">
        <v>22505</v>
      </c>
      <c r="AD32" s="167">
        <v>44123</v>
      </c>
      <c r="AE32" s="164">
        <f t="shared" si="1"/>
        <v>59</v>
      </c>
      <c r="AF32" s="108" t="s">
        <v>435</v>
      </c>
      <c r="AG32" s="84" t="s">
        <v>402</v>
      </c>
      <c r="AH32" s="163" t="s">
        <v>403</v>
      </c>
      <c r="AI32" s="163" t="s">
        <v>404</v>
      </c>
      <c r="AJ32" s="232" t="s">
        <v>405</v>
      </c>
      <c r="AK32" s="163" t="s">
        <v>405</v>
      </c>
      <c r="AL32" s="172">
        <v>0</v>
      </c>
      <c r="AM32" s="89" t="s">
        <v>406</v>
      </c>
      <c r="AN32" s="170">
        <v>1</v>
      </c>
      <c r="AO32" s="109" t="s">
        <v>399</v>
      </c>
      <c r="AP32" s="88"/>
      <c r="AQ32" s="95"/>
      <c r="AR32" s="88"/>
      <c r="AS32" s="93"/>
      <c r="AT32" s="93"/>
      <c r="AU32" s="93"/>
      <c r="AV32" s="93"/>
      <c r="AW32" s="88"/>
      <c r="AX32" s="93"/>
      <c r="AY32" s="93"/>
      <c r="AZ32" s="93"/>
      <c r="BA32" s="93"/>
      <c r="BB32" s="88"/>
      <c r="BC32" s="93"/>
      <c r="BD32" s="93"/>
      <c r="BE32" s="93"/>
      <c r="BF32" s="93"/>
      <c r="BG32" s="88"/>
      <c r="BH32" s="93"/>
      <c r="BI32" s="93"/>
      <c r="BJ32" s="93"/>
      <c r="BK32" s="93"/>
      <c r="BL32" s="88"/>
      <c r="BM32" s="93"/>
      <c r="BN32" s="93"/>
      <c r="BO32" s="93"/>
      <c r="BP32" s="93"/>
      <c r="BQ32" s="88"/>
      <c r="BR32" s="93"/>
      <c r="BS32" s="93"/>
      <c r="BT32" s="93"/>
      <c r="BU32" s="93"/>
      <c r="BV32" s="88"/>
      <c r="BW32" s="93"/>
      <c r="BX32" s="93"/>
      <c r="BY32" s="93"/>
      <c r="BZ32" s="93"/>
      <c r="CA32" s="88"/>
      <c r="CB32" s="93"/>
      <c r="CC32" s="93"/>
      <c r="CD32" s="93"/>
      <c r="CE32" s="93"/>
      <c r="CF32" s="88"/>
      <c r="CG32" s="93"/>
      <c r="CH32" s="93"/>
      <c r="CI32" s="93"/>
      <c r="CJ32" s="93"/>
      <c r="CK32" s="88"/>
      <c r="CL32" s="93"/>
      <c r="CM32" s="93"/>
      <c r="CN32" s="93"/>
      <c r="CO32" s="93"/>
      <c r="CP32" s="88"/>
      <c r="CQ32" s="93"/>
      <c r="CR32" s="93"/>
      <c r="CS32" s="93"/>
      <c r="CT32" s="93"/>
      <c r="CU32" s="88"/>
      <c r="CV32" s="93"/>
      <c r="CW32" s="93"/>
      <c r="CX32" s="93"/>
      <c r="CY32" s="93"/>
      <c r="CZ32" s="88"/>
      <c r="DA32" s="93"/>
      <c r="DB32" s="93"/>
      <c r="DC32" s="93"/>
      <c r="DD32" s="93"/>
      <c r="DE32" s="88"/>
      <c r="DF32" s="93"/>
      <c r="DG32" s="93"/>
      <c r="DH32" s="93"/>
      <c r="DI32" s="93"/>
      <c r="DJ32" s="88"/>
      <c r="DK32" s="93"/>
      <c r="DL32" s="93"/>
      <c r="DM32" s="93"/>
      <c r="DN32" s="93"/>
      <c r="DO32" s="88"/>
      <c r="DP32" s="93"/>
      <c r="DQ32" s="93"/>
      <c r="DR32" s="93"/>
      <c r="DS32" s="93"/>
      <c r="DT32" s="88"/>
      <c r="DU32" s="93"/>
      <c r="DV32" s="93"/>
      <c r="DW32" s="93"/>
      <c r="DX32" s="93"/>
      <c r="DY32" s="88"/>
      <c r="DZ32" s="93"/>
      <c r="EA32" s="93"/>
      <c r="EB32" s="93"/>
      <c r="EC32" s="93"/>
      <c r="ED32" s="88"/>
      <c r="EE32" s="93"/>
      <c r="EF32" s="93"/>
      <c r="EG32" s="93"/>
      <c r="EH32" s="93"/>
      <c r="EI32" s="88"/>
      <c r="EJ32" s="93"/>
      <c r="EK32" s="93"/>
      <c r="EL32" s="93"/>
      <c r="EM32" s="93"/>
      <c r="EN32" s="88"/>
      <c r="EO32" s="93"/>
      <c r="EP32" s="93"/>
      <c r="EQ32" s="93"/>
      <c r="ER32" s="93"/>
      <c r="ES32" s="88"/>
      <c r="ET32" s="93"/>
      <c r="EU32" s="93"/>
      <c r="EV32" s="93"/>
      <c r="EW32" s="93"/>
      <c r="EX32" s="88"/>
      <c r="EY32" s="93"/>
      <c r="EZ32" s="93"/>
      <c r="FA32" s="93"/>
      <c r="FB32" s="93"/>
      <c r="FC32" s="88"/>
      <c r="FD32" s="93"/>
      <c r="FE32" s="93"/>
      <c r="FF32" s="93"/>
      <c r="FG32" s="93"/>
      <c r="FH32" s="88"/>
      <c r="FI32" s="93"/>
      <c r="FJ32" s="93"/>
      <c r="FK32" s="93"/>
      <c r="FL32" s="93"/>
      <c r="FM32" s="93"/>
      <c r="FN32" s="93"/>
      <c r="FO32" s="93"/>
      <c r="FP32" s="93"/>
      <c r="FQ32" s="93"/>
      <c r="FR32" s="93"/>
      <c r="FS32" s="93"/>
      <c r="FT32" s="93"/>
      <c r="FU32" s="93"/>
      <c r="FV32" s="93"/>
      <c r="FW32" s="93"/>
      <c r="FX32" s="93"/>
      <c r="FY32" s="93"/>
      <c r="FZ32" s="93"/>
      <c r="GA32" s="93"/>
      <c r="GB32" s="93"/>
      <c r="GC32" s="93"/>
      <c r="GD32" s="93"/>
      <c r="GE32" s="93"/>
      <c r="GF32" s="93"/>
      <c r="GG32" s="93"/>
      <c r="GH32" s="93"/>
      <c r="GI32" s="93"/>
      <c r="GJ32" s="93"/>
      <c r="GK32" s="93"/>
      <c r="GL32" s="93"/>
      <c r="GM32" s="93"/>
      <c r="GN32" s="93"/>
      <c r="GO32" s="93"/>
      <c r="GP32" s="88"/>
      <c r="GQ32" s="93"/>
      <c r="GR32" s="93"/>
      <c r="GS32" s="93"/>
      <c r="GT32" s="93"/>
      <c r="GU32" s="88"/>
      <c r="GV32" s="93"/>
      <c r="GW32" s="93"/>
      <c r="GX32" s="93"/>
      <c r="GY32" s="93"/>
      <c r="GZ32" s="88"/>
      <c r="HA32" s="93"/>
      <c r="HB32" s="93"/>
      <c r="HC32" s="93"/>
      <c r="HD32" s="93"/>
      <c r="HE32" s="88"/>
      <c r="HF32" s="93"/>
      <c r="HG32" s="93"/>
      <c r="HH32" s="93"/>
      <c r="HI32" s="93"/>
      <c r="HJ32" s="88"/>
      <c r="HK32" s="93"/>
      <c r="HL32" s="93"/>
      <c r="HM32" s="93"/>
      <c r="HN32" s="93"/>
      <c r="HO32" s="88"/>
      <c r="HP32" s="93"/>
      <c r="HQ32" s="93"/>
      <c r="HR32" s="93"/>
      <c r="HS32" s="93"/>
      <c r="HT32" s="88"/>
      <c r="HU32" s="93"/>
      <c r="HV32" s="93"/>
      <c r="HW32" s="93"/>
      <c r="HX32" s="93"/>
      <c r="HY32" s="88"/>
      <c r="HZ32" s="93"/>
      <c r="IA32" s="93"/>
      <c r="IB32" s="93"/>
      <c r="IC32" s="93"/>
      <c r="ID32" s="88"/>
      <c r="IE32" s="93"/>
      <c r="IF32" s="93"/>
      <c r="IG32" s="93"/>
      <c r="IH32" s="93"/>
      <c r="II32" s="88"/>
      <c r="IJ32" s="93"/>
      <c r="IK32" s="93"/>
      <c r="IL32" s="93"/>
      <c r="IM32" s="93"/>
      <c r="IN32" s="88"/>
      <c r="IO32" s="93"/>
      <c r="IP32" s="93"/>
      <c r="IQ32" s="93"/>
      <c r="IR32" s="93"/>
      <c r="IS32" s="88"/>
      <c r="IT32" s="93"/>
      <c r="IU32" s="93"/>
      <c r="IV32" s="93"/>
      <c r="IW32" s="93"/>
      <c r="IX32" s="88"/>
      <c r="IY32" s="93"/>
      <c r="IZ32" s="93"/>
      <c r="JA32" s="93"/>
      <c r="JB32" s="93"/>
      <c r="JC32" s="88"/>
      <c r="JD32" s="93"/>
      <c r="JE32" s="93"/>
      <c r="JF32" s="93"/>
      <c r="JG32" s="94"/>
      <c r="JH32" s="88"/>
      <c r="JI32" s="95"/>
      <c r="JJ32" s="93"/>
      <c r="JK32" s="93"/>
      <c r="JL32" s="94"/>
      <c r="JM32" s="89"/>
      <c r="JN32" s="96"/>
      <c r="JO32" s="84"/>
      <c r="JP32" s="95"/>
      <c r="JQ32" s="93"/>
      <c r="JR32" s="93"/>
      <c r="JS32" s="93"/>
      <c r="JT32" s="93"/>
      <c r="JU32" s="93"/>
      <c r="JV32" s="93"/>
      <c r="JW32" s="93"/>
      <c r="JX32" s="93"/>
      <c r="JY32" s="93"/>
      <c r="JZ32" s="93"/>
      <c r="KA32" s="93"/>
      <c r="KB32" s="93"/>
      <c r="KC32" s="93"/>
      <c r="KD32" s="93"/>
      <c r="KE32" s="93"/>
      <c r="KF32" s="93"/>
      <c r="KG32" s="93"/>
      <c r="KH32" s="93"/>
      <c r="KI32" s="93"/>
      <c r="KJ32" s="93"/>
      <c r="KK32" s="93"/>
      <c r="KL32" s="93"/>
      <c r="KM32" s="93"/>
      <c r="KN32" s="93"/>
      <c r="KO32" s="93"/>
      <c r="KP32" s="93"/>
      <c r="KQ32" s="93"/>
      <c r="KR32" s="93"/>
      <c r="KS32" s="93"/>
      <c r="KT32" s="93"/>
      <c r="KU32" s="93"/>
      <c r="KV32" s="93"/>
      <c r="KW32" s="93"/>
      <c r="KX32" s="93"/>
      <c r="KY32" s="93"/>
      <c r="KZ32" s="93"/>
      <c r="LA32" s="93"/>
      <c r="LB32" s="93"/>
      <c r="LC32" s="93"/>
      <c r="LD32" s="93"/>
      <c r="LE32" s="93"/>
      <c r="LF32" s="93"/>
      <c r="LG32" s="93"/>
      <c r="LH32" s="93"/>
      <c r="LI32" s="93"/>
      <c r="LJ32" s="93"/>
      <c r="LK32" s="93"/>
      <c r="LL32" s="93"/>
      <c r="LM32" s="93"/>
      <c r="LN32" s="93"/>
      <c r="LO32" s="93"/>
      <c r="LP32" s="93"/>
      <c r="LQ32" s="93"/>
      <c r="LR32" s="93"/>
      <c r="LS32" s="93"/>
      <c r="LT32" s="93"/>
      <c r="LU32" s="93"/>
      <c r="LV32" s="93"/>
      <c r="LW32" s="93"/>
      <c r="LX32" s="93"/>
      <c r="LY32" s="93"/>
      <c r="LZ32" s="93"/>
      <c r="MA32" s="93"/>
      <c r="MB32" s="93"/>
      <c r="MC32" s="93"/>
      <c r="MD32" s="93"/>
      <c r="ME32" s="93"/>
      <c r="MF32" s="93"/>
      <c r="MG32" s="93"/>
      <c r="MH32" s="93"/>
      <c r="MI32" s="93"/>
      <c r="MJ32" s="93"/>
      <c r="MK32" s="93"/>
      <c r="ML32" s="93"/>
      <c r="MM32" s="93"/>
      <c r="MN32" s="93"/>
      <c r="MO32" s="93"/>
      <c r="MP32" s="93"/>
      <c r="MQ32" s="93"/>
      <c r="MR32" s="93"/>
      <c r="MS32" s="93"/>
      <c r="MT32" s="93"/>
      <c r="MU32" s="93"/>
      <c r="MV32" s="93"/>
      <c r="MW32" s="93"/>
      <c r="MX32" s="93"/>
      <c r="MY32" s="93"/>
      <c r="MZ32" s="93"/>
      <c r="NA32" s="93"/>
      <c r="NB32" s="93"/>
      <c r="NC32" s="93"/>
      <c r="ND32" s="93"/>
      <c r="NE32" s="93"/>
      <c r="NF32" s="93"/>
      <c r="NG32" s="93"/>
      <c r="NH32" s="93"/>
      <c r="NI32" s="93"/>
      <c r="NJ32" s="93"/>
      <c r="NK32" s="93"/>
      <c r="NL32" s="93"/>
      <c r="NM32" s="93"/>
      <c r="NN32" s="93"/>
      <c r="NO32" s="93"/>
      <c r="NP32" s="93"/>
      <c r="NQ32" s="93"/>
      <c r="NR32" s="93"/>
      <c r="NS32" s="93"/>
      <c r="NT32" s="93"/>
      <c r="NU32" s="93"/>
      <c r="NV32" s="93"/>
      <c r="NW32" s="93"/>
      <c r="NX32" s="93"/>
      <c r="NY32" s="93"/>
      <c r="NZ32" s="93"/>
    </row>
    <row r="33" spans="1:390" ht="15.75" customHeight="1" x14ac:dyDescent="0.3">
      <c r="A33" s="98">
        <v>4848989531</v>
      </c>
      <c r="B33" s="87" t="s">
        <v>392</v>
      </c>
      <c r="C33" s="84" t="s">
        <v>393</v>
      </c>
      <c r="D33" s="87" t="s">
        <v>392</v>
      </c>
      <c r="E33" s="93" t="s">
        <v>489</v>
      </c>
      <c r="F33" s="93" t="s">
        <v>490</v>
      </c>
      <c r="G33" s="93" t="s">
        <v>476</v>
      </c>
      <c r="H33" s="166">
        <v>44322</v>
      </c>
      <c r="I33" s="93" t="s">
        <v>488</v>
      </c>
      <c r="J33" s="234" t="s">
        <v>398</v>
      </c>
      <c r="K33" s="93" t="s">
        <v>399</v>
      </c>
      <c r="L33" s="93" t="s">
        <v>399</v>
      </c>
      <c r="M33" s="93" t="s">
        <v>399</v>
      </c>
      <c r="N33" s="93" t="s">
        <v>399</v>
      </c>
      <c r="O33" s="93" t="s">
        <v>399</v>
      </c>
      <c r="P33" s="93" t="s">
        <v>399</v>
      </c>
      <c r="Q33" s="93" t="s">
        <v>399</v>
      </c>
      <c r="R33" s="93" t="s">
        <v>399</v>
      </c>
      <c r="S33" s="93" t="s">
        <v>399</v>
      </c>
      <c r="T33" s="93" t="s">
        <v>399</v>
      </c>
      <c r="U33" s="93" t="s">
        <v>399</v>
      </c>
      <c r="V33" s="93" t="s">
        <v>399</v>
      </c>
      <c r="W33" s="93" t="s">
        <v>399</v>
      </c>
      <c r="X33" s="93" t="s">
        <v>399</v>
      </c>
      <c r="Y33" s="93" t="s">
        <v>399</v>
      </c>
      <c r="Z33" s="93" t="s">
        <v>399</v>
      </c>
      <c r="AA33" s="93" t="s">
        <v>399</v>
      </c>
      <c r="AB33" s="152" t="s">
        <v>400</v>
      </c>
      <c r="AC33" s="166">
        <v>21894</v>
      </c>
      <c r="AD33" s="167">
        <v>44273</v>
      </c>
      <c r="AE33" s="164">
        <f t="shared" si="1"/>
        <v>61</v>
      </c>
      <c r="AF33" s="108" t="s">
        <v>435</v>
      </c>
      <c r="AG33" s="84" t="s">
        <v>402</v>
      </c>
      <c r="AH33" s="163" t="s">
        <v>403</v>
      </c>
      <c r="AI33" s="163" t="s">
        <v>418</v>
      </c>
      <c r="AJ33" s="232" t="s">
        <v>405</v>
      </c>
      <c r="AK33" s="163" t="s">
        <v>405</v>
      </c>
      <c r="AL33" s="172">
        <v>0</v>
      </c>
      <c r="AM33" s="89" t="s">
        <v>419</v>
      </c>
      <c r="AN33" s="170">
        <v>1</v>
      </c>
      <c r="AO33" s="109" t="s">
        <v>399</v>
      </c>
      <c r="AP33" s="88"/>
      <c r="AQ33" s="95"/>
      <c r="AR33" s="88"/>
      <c r="AS33" s="93"/>
      <c r="AT33" s="93"/>
      <c r="AU33" s="93"/>
      <c r="AV33" s="93"/>
      <c r="AW33" s="88"/>
      <c r="AX33" s="93"/>
      <c r="AY33" s="93"/>
      <c r="AZ33" s="93"/>
      <c r="BA33" s="93"/>
      <c r="BB33" s="88"/>
      <c r="BC33" s="93"/>
      <c r="BD33" s="93"/>
      <c r="BE33" s="93"/>
      <c r="BF33" s="93"/>
      <c r="BG33" s="88"/>
      <c r="BH33" s="93"/>
      <c r="BI33" s="93"/>
      <c r="BJ33" s="93"/>
      <c r="BK33" s="93"/>
      <c r="BL33" s="88"/>
      <c r="BM33" s="93"/>
      <c r="BN33" s="93"/>
      <c r="BO33" s="93"/>
      <c r="BP33" s="93"/>
      <c r="BQ33" s="88"/>
      <c r="BR33" s="93"/>
      <c r="BS33" s="93"/>
      <c r="BT33" s="93"/>
      <c r="BU33" s="93"/>
      <c r="BV33" s="88"/>
      <c r="BW33" s="93"/>
      <c r="BX33" s="93"/>
      <c r="BY33" s="93"/>
      <c r="BZ33" s="93"/>
      <c r="CA33" s="88"/>
      <c r="CB33" s="93"/>
      <c r="CC33" s="93"/>
      <c r="CD33" s="93"/>
      <c r="CE33" s="93"/>
      <c r="CF33" s="88"/>
      <c r="CG33" s="93"/>
      <c r="CH33" s="93"/>
      <c r="CI33" s="93"/>
      <c r="CJ33" s="93"/>
      <c r="CK33" s="88"/>
      <c r="CL33" s="93"/>
      <c r="CM33" s="93"/>
      <c r="CN33" s="93"/>
      <c r="CO33" s="93"/>
      <c r="CP33" s="88"/>
      <c r="CQ33" s="93"/>
      <c r="CR33" s="93"/>
      <c r="CS33" s="93"/>
      <c r="CT33" s="93"/>
      <c r="CU33" s="88"/>
      <c r="CV33" s="93"/>
      <c r="CW33" s="93"/>
      <c r="CX33" s="93"/>
      <c r="CY33" s="93"/>
      <c r="CZ33" s="88"/>
      <c r="DA33" s="93"/>
      <c r="DB33" s="93"/>
      <c r="DC33" s="93"/>
      <c r="DD33" s="93"/>
      <c r="DE33" s="88"/>
      <c r="DF33" s="93"/>
      <c r="DG33" s="93"/>
      <c r="DH33" s="93"/>
      <c r="DI33" s="93"/>
      <c r="DJ33" s="88"/>
      <c r="DK33" s="93"/>
      <c r="DL33" s="93"/>
      <c r="DM33" s="93"/>
      <c r="DN33" s="93"/>
      <c r="DO33" s="88"/>
      <c r="DP33" s="93"/>
      <c r="DQ33" s="93"/>
      <c r="DR33" s="93"/>
      <c r="DS33" s="93"/>
      <c r="DT33" s="88"/>
      <c r="DU33" s="93"/>
      <c r="DV33" s="93"/>
      <c r="DW33" s="93"/>
      <c r="DX33" s="93"/>
      <c r="DY33" s="88"/>
      <c r="DZ33" s="93"/>
      <c r="EA33" s="93"/>
      <c r="EB33" s="93"/>
      <c r="EC33" s="93"/>
      <c r="ED33" s="88"/>
      <c r="EE33" s="93"/>
      <c r="EF33" s="93"/>
      <c r="EG33" s="93"/>
      <c r="EH33" s="93"/>
      <c r="EI33" s="88"/>
      <c r="EJ33" s="93"/>
      <c r="EK33" s="93"/>
      <c r="EL33" s="93"/>
      <c r="EM33" s="93"/>
      <c r="EN33" s="88"/>
      <c r="EO33" s="93"/>
      <c r="EP33" s="93"/>
      <c r="EQ33" s="93"/>
      <c r="ER33" s="93"/>
      <c r="ES33" s="88"/>
      <c r="ET33" s="93"/>
      <c r="EU33" s="93"/>
      <c r="EV33" s="93"/>
      <c r="EW33" s="93"/>
      <c r="EX33" s="88"/>
      <c r="EY33" s="93"/>
      <c r="EZ33" s="93"/>
      <c r="FA33" s="93"/>
      <c r="FB33" s="93"/>
      <c r="FC33" s="88"/>
      <c r="FD33" s="93"/>
      <c r="FE33" s="93"/>
      <c r="FF33" s="93"/>
      <c r="FG33" s="93"/>
      <c r="FH33" s="88"/>
      <c r="FI33" s="93"/>
      <c r="FJ33" s="93"/>
      <c r="FK33" s="93"/>
      <c r="FL33" s="93"/>
      <c r="FM33" s="93"/>
      <c r="FN33" s="93"/>
      <c r="FO33" s="93"/>
      <c r="FP33" s="93"/>
      <c r="FQ33" s="93"/>
      <c r="FR33" s="93"/>
      <c r="FS33" s="93"/>
      <c r="FT33" s="93"/>
      <c r="FU33" s="93"/>
      <c r="FV33" s="93"/>
      <c r="FW33" s="93"/>
      <c r="FX33" s="93"/>
      <c r="FY33" s="93"/>
      <c r="FZ33" s="93"/>
      <c r="GA33" s="93"/>
      <c r="GB33" s="93"/>
      <c r="GC33" s="93"/>
      <c r="GD33" s="93"/>
      <c r="GE33" s="93"/>
      <c r="GF33" s="93"/>
      <c r="GG33" s="93"/>
      <c r="GH33" s="93"/>
      <c r="GI33" s="93"/>
      <c r="GJ33" s="93"/>
      <c r="GK33" s="93"/>
      <c r="GL33" s="93"/>
      <c r="GM33" s="93"/>
      <c r="GN33" s="93"/>
      <c r="GO33" s="93"/>
      <c r="GP33" s="88"/>
      <c r="GQ33" s="93"/>
      <c r="GR33" s="93"/>
      <c r="GS33" s="93"/>
      <c r="GT33" s="93"/>
      <c r="GU33" s="88"/>
      <c r="GV33" s="93"/>
      <c r="GW33" s="93"/>
      <c r="GX33" s="93"/>
      <c r="GY33" s="93"/>
      <c r="GZ33" s="88"/>
      <c r="HA33" s="93"/>
      <c r="HB33" s="93"/>
      <c r="HC33" s="93"/>
      <c r="HD33" s="93"/>
      <c r="HE33" s="88"/>
      <c r="HF33" s="93"/>
      <c r="HG33" s="93"/>
      <c r="HH33" s="93"/>
      <c r="HI33" s="93"/>
      <c r="HJ33" s="88"/>
      <c r="HK33" s="93"/>
      <c r="HL33" s="93"/>
      <c r="HM33" s="93"/>
      <c r="HN33" s="93"/>
      <c r="HO33" s="88"/>
      <c r="HP33" s="93"/>
      <c r="HQ33" s="93"/>
      <c r="HR33" s="93"/>
      <c r="HS33" s="93"/>
      <c r="HT33" s="88"/>
      <c r="HU33" s="93"/>
      <c r="HV33" s="93"/>
      <c r="HW33" s="93"/>
      <c r="HX33" s="93"/>
      <c r="HY33" s="88"/>
      <c r="HZ33" s="93"/>
      <c r="IA33" s="93"/>
      <c r="IB33" s="93"/>
      <c r="IC33" s="93"/>
      <c r="ID33" s="88"/>
      <c r="IE33" s="93"/>
      <c r="IF33" s="93"/>
      <c r="IG33" s="93"/>
      <c r="IH33" s="93"/>
      <c r="II33" s="88"/>
      <c r="IJ33" s="93"/>
      <c r="IK33" s="93"/>
      <c r="IL33" s="93"/>
      <c r="IM33" s="93"/>
      <c r="IN33" s="88"/>
      <c r="IO33" s="93"/>
      <c r="IP33" s="93"/>
      <c r="IQ33" s="93"/>
      <c r="IR33" s="93"/>
      <c r="IS33" s="88"/>
      <c r="IT33" s="93"/>
      <c r="IU33" s="93"/>
      <c r="IV33" s="93"/>
      <c r="IW33" s="93"/>
      <c r="IX33" s="88"/>
      <c r="IY33" s="93"/>
      <c r="IZ33" s="93"/>
      <c r="JA33" s="93"/>
      <c r="JB33" s="93"/>
      <c r="JC33" s="88"/>
      <c r="JD33" s="93"/>
      <c r="JE33" s="93"/>
      <c r="JF33" s="93"/>
      <c r="JG33" s="94"/>
      <c r="JH33" s="88"/>
      <c r="JI33" s="95"/>
      <c r="JJ33" s="93"/>
      <c r="JK33" s="93"/>
      <c r="JL33" s="94"/>
      <c r="JM33" s="89"/>
      <c r="JN33" s="96"/>
      <c r="JO33" s="84"/>
      <c r="JP33" s="95"/>
      <c r="JQ33" s="93"/>
      <c r="JR33" s="93"/>
      <c r="JS33" s="93"/>
      <c r="JT33" s="93"/>
      <c r="JU33" s="93"/>
      <c r="JV33" s="93"/>
      <c r="JW33" s="93"/>
      <c r="JX33" s="93"/>
      <c r="JY33" s="93"/>
      <c r="JZ33" s="93"/>
      <c r="KA33" s="93"/>
      <c r="KB33" s="93"/>
      <c r="KC33" s="93"/>
      <c r="KD33" s="93"/>
      <c r="KE33" s="93"/>
      <c r="KF33" s="93"/>
      <c r="KG33" s="93"/>
      <c r="KH33" s="93"/>
      <c r="KI33" s="93"/>
      <c r="KJ33" s="93"/>
      <c r="KK33" s="93"/>
      <c r="KL33" s="93"/>
      <c r="KM33" s="93"/>
      <c r="KN33" s="93"/>
      <c r="KO33" s="93"/>
      <c r="KP33" s="93"/>
      <c r="KQ33" s="93"/>
      <c r="KR33" s="93"/>
      <c r="KS33" s="93"/>
      <c r="KT33" s="93"/>
      <c r="KU33" s="93"/>
      <c r="KV33" s="93"/>
      <c r="KW33" s="93"/>
      <c r="KX33" s="93"/>
      <c r="KY33" s="93"/>
      <c r="KZ33" s="93"/>
      <c r="LA33" s="93"/>
      <c r="LB33" s="93"/>
      <c r="LC33" s="93"/>
      <c r="LD33" s="93"/>
      <c r="LE33" s="93"/>
      <c r="LF33" s="93"/>
      <c r="LG33" s="93"/>
      <c r="LH33" s="93"/>
      <c r="LI33" s="93"/>
      <c r="LJ33" s="93"/>
      <c r="LK33" s="93"/>
      <c r="LL33" s="93"/>
      <c r="LM33" s="93"/>
      <c r="LN33" s="93"/>
      <c r="LO33" s="93"/>
      <c r="LP33" s="93"/>
      <c r="LQ33" s="93"/>
      <c r="LR33" s="93"/>
      <c r="LS33" s="93"/>
      <c r="LT33" s="93"/>
      <c r="LU33" s="93"/>
      <c r="LV33" s="93"/>
      <c r="LW33" s="93"/>
      <c r="LX33" s="93"/>
      <c r="LY33" s="93"/>
      <c r="LZ33" s="93"/>
      <c r="MA33" s="93"/>
      <c r="MB33" s="93"/>
      <c r="MC33" s="93"/>
      <c r="MD33" s="93"/>
      <c r="ME33" s="93"/>
      <c r="MF33" s="93"/>
      <c r="MG33" s="93"/>
      <c r="MH33" s="93"/>
      <c r="MI33" s="93"/>
      <c r="MJ33" s="93"/>
      <c r="MK33" s="93"/>
      <c r="ML33" s="93"/>
      <c r="MM33" s="93"/>
      <c r="MN33" s="93"/>
      <c r="MO33" s="93"/>
      <c r="MP33" s="93"/>
      <c r="MQ33" s="93"/>
      <c r="MR33" s="93"/>
      <c r="MS33" s="93"/>
      <c r="MT33" s="93"/>
      <c r="MU33" s="93"/>
      <c r="MV33" s="93"/>
      <c r="MW33" s="93"/>
      <c r="MX33" s="93"/>
      <c r="MY33" s="93"/>
      <c r="MZ33" s="93"/>
      <c r="NA33" s="93"/>
      <c r="NB33" s="93"/>
      <c r="NC33" s="93"/>
      <c r="ND33" s="93"/>
      <c r="NE33" s="93"/>
      <c r="NF33" s="93"/>
      <c r="NG33" s="93"/>
      <c r="NH33" s="93"/>
      <c r="NI33" s="93"/>
      <c r="NJ33" s="93"/>
      <c r="NK33" s="93"/>
      <c r="NL33" s="93"/>
      <c r="NM33" s="93"/>
      <c r="NN33" s="93"/>
      <c r="NO33" s="93"/>
      <c r="NP33" s="93"/>
      <c r="NQ33" s="93"/>
      <c r="NR33" s="93"/>
      <c r="NS33" s="93"/>
      <c r="NT33" s="93"/>
      <c r="NU33" s="93"/>
      <c r="NV33" s="93"/>
      <c r="NW33" s="93"/>
      <c r="NX33" s="93"/>
      <c r="NY33" s="93"/>
      <c r="NZ33" s="93"/>
    </row>
    <row r="34" spans="1:390" ht="15.75" customHeight="1" x14ac:dyDescent="0.3">
      <c r="A34" s="98">
        <v>6145366486</v>
      </c>
      <c r="B34" s="87" t="s">
        <v>392</v>
      </c>
      <c r="C34" s="84" t="s">
        <v>393</v>
      </c>
      <c r="D34" s="87" t="s">
        <v>392</v>
      </c>
      <c r="E34" s="93" t="s">
        <v>491</v>
      </c>
      <c r="F34" s="93" t="s">
        <v>474</v>
      </c>
      <c r="G34" s="93" t="s">
        <v>452</v>
      </c>
      <c r="H34" s="166">
        <v>44336</v>
      </c>
      <c r="I34" s="93" t="s">
        <v>492</v>
      </c>
      <c r="J34" s="234" t="s">
        <v>398</v>
      </c>
      <c r="K34" s="93" t="s">
        <v>399</v>
      </c>
      <c r="L34" s="93" t="s">
        <v>399</v>
      </c>
      <c r="M34" s="93" t="s">
        <v>399</v>
      </c>
      <c r="N34" s="93" t="s">
        <v>399</v>
      </c>
      <c r="O34" s="93" t="s">
        <v>399</v>
      </c>
      <c r="P34" s="93" t="s">
        <v>399</v>
      </c>
      <c r="Q34" s="93" t="s">
        <v>399</v>
      </c>
      <c r="R34" s="93" t="s">
        <v>399</v>
      </c>
      <c r="S34" s="93" t="s">
        <v>399</v>
      </c>
      <c r="T34" s="93" t="s">
        <v>399</v>
      </c>
      <c r="U34" s="93" t="s">
        <v>399</v>
      </c>
      <c r="V34" s="93" t="s">
        <v>399</v>
      </c>
      <c r="W34" s="93" t="s">
        <v>399</v>
      </c>
      <c r="X34" s="93" t="s">
        <v>399</v>
      </c>
      <c r="Y34" s="93" t="s">
        <v>399</v>
      </c>
      <c r="Z34" s="93" t="s">
        <v>399</v>
      </c>
      <c r="AA34" s="93" t="s">
        <v>399</v>
      </c>
      <c r="AB34" s="152" t="s">
        <v>400</v>
      </c>
      <c r="AC34" s="166">
        <v>27990</v>
      </c>
      <c r="AD34" s="167">
        <v>44250</v>
      </c>
      <c r="AE34" s="164">
        <f t="shared" si="1"/>
        <v>44</v>
      </c>
      <c r="AF34" s="108" t="s">
        <v>435</v>
      </c>
      <c r="AG34" s="84" t="s">
        <v>402</v>
      </c>
      <c r="AH34" s="163" t="s">
        <v>403</v>
      </c>
      <c r="AI34" s="163" t="s">
        <v>446</v>
      </c>
      <c r="AJ34" s="163">
        <v>0</v>
      </c>
      <c r="AK34" s="163" t="s">
        <v>405</v>
      </c>
      <c r="AL34" s="172">
        <v>0</v>
      </c>
      <c r="AM34" s="89" t="s">
        <v>447</v>
      </c>
      <c r="AN34" s="170">
        <v>2</v>
      </c>
      <c r="AO34" s="109" t="s">
        <v>399</v>
      </c>
      <c r="AP34" s="88"/>
      <c r="AQ34" s="95"/>
      <c r="AR34" s="88"/>
      <c r="AS34" s="93"/>
      <c r="AT34" s="93"/>
      <c r="AU34" s="93"/>
      <c r="AV34" s="93"/>
      <c r="AW34" s="88"/>
      <c r="AX34" s="93"/>
      <c r="AY34" s="93"/>
      <c r="AZ34" s="93"/>
      <c r="BA34" s="93"/>
      <c r="BB34" s="88"/>
      <c r="BC34" s="93"/>
      <c r="BD34" s="93"/>
      <c r="BE34" s="93"/>
      <c r="BF34" s="93"/>
      <c r="BG34" s="88"/>
      <c r="BH34" s="93"/>
      <c r="BI34" s="93"/>
      <c r="BJ34" s="93"/>
      <c r="BK34" s="93"/>
      <c r="BL34" s="88"/>
      <c r="BM34" s="93"/>
      <c r="BN34" s="93"/>
      <c r="BO34" s="93"/>
      <c r="BP34" s="93"/>
      <c r="BQ34" s="88"/>
      <c r="BR34" s="93"/>
      <c r="BS34" s="93"/>
      <c r="BT34" s="93"/>
      <c r="BU34" s="93"/>
      <c r="BV34" s="88"/>
      <c r="BW34" s="93"/>
      <c r="BX34" s="93"/>
      <c r="BY34" s="93"/>
      <c r="BZ34" s="93"/>
      <c r="CA34" s="88"/>
      <c r="CB34" s="93"/>
      <c r="CC34" s="93"/>
      <c r="CD34" s="93"/>
      <c r="CE34" s="93"/>
      <c r="CF34" s="88"/>
      <c r="CG34" s="93"/>
      <c r="CH34" s="93"/>
      <c r="CI34" s="93"/>
      <c r="CJ34" s="93"/>
      <c r="CK34" s="88"/>
      <c r="CL34" s="93"/>
      <c r="CM34" s="93"/>
      <c r="CN34" s="93"/>
      <c r="CO34" s="93"/>
      <c r="CP34" s="88"/>
      <c r="CQ34" s="93"/>
      <c r="CR34" s="93"/>
      <c r="CS34" s="93"/>
      <c r="CT34" s="93"/>
      <c r="CU34" s="88"/>
      <c r="CV34" s="93"/>
      <c r="CW34" s="93"/>
      <c r="CX34" s="93"/>
      <c r="CY34" s="93"/>
      <c r="CZ34" s="88"/>
      <c r="DA34" s="93"/>
      <c r="DB34" s="93"/>
      <c r="DC34" s="93"/>
      <c r="DD34" s="93"/>
      <c r="DE34" s="88"/>
      <c r="DF34" s="93"/>
      <c r="DG34" s="93"/>
      <c r="DH34" s="93"/>
      <c r="DI34" s="93"/>
      <c r="DJ34" s="88"/>
      <c r="DK34" s="93"/>
      <c r="DL34" s="93"/>
      <c r="DM34" s="93"/>
      <c r="DN34" s="93"/>
      <c r="DO34" s="88"/>
      <c r="DP34" s="93"/>
      <c r="DQ34" s="93"/>
      <c r="DR34" s="93"/>
      <c r="DS34" s="93"/>
      <c r="DT34" s="88"/>
      <c r="DU34" s="93"/>
      <c r="DV34" s="93"/>
      <c r="DW34" s="93"/>
      <c r="DX34" s="93"/>
      <c r="DY34" s="88"/>
      <c r="DZ34" s="93"/>
      <c r="EA34" s="93"/>
      <c r="EB34" s="93"/>
      <c r="EC34" s="93"/>
      <c r="ED34" s="88"/>
      <c r="EE34" s="93"/>
      <c r="EF34" s="93"/>
      <c r="EG34" s="93"/>
      <c r="EH34" s="93"/>
      <c r="EI34" s="88"/>
      <c r="EJ34" s="93"/>
      <c r="EK34" s="93"/>
      <c r="EL34" s="93"/>
      <c r="EM34" s="93"/>
      <c r="EN34" s="88"/>
      <c r="EO34" s="93"/>
      <c r="EP34" s="93"/>
      <c r="EQ34" s="93"/>
      <c r="ER34" s="93"/>
      <c r="ES34" s="88"/>
      <c r="ET34" s="93"/>
      <c r="EU34" s="93"/>
      <c r="EV34" s="93"/>
      <c r="EW34" s="93"/>
      <c r="EX34" s="88"/>
      <c r="EY34" s="93"/>
      <c r="EZ34" s="93"/>
      <c r="FA34" s="93"/>
      <c r="FB34" s="93"/>
      <c r="FC34" s="88"/>
      <c r="FD34" s="93"/>
      <c r="FE34" s="93"/>
      <c r="FF34" s="93"/>
      <c r="FG34" s="93"/>
      <c r="FH34" s="88"/>
      <c r="FI34" s="93"/>
      <c r="FJ34" s="93"/>
      <c r="FK34" s="93"/>
      <c r="FL34" s="93"/>
      <c r="FM34" s="93"/>
      <c r="FN34" s="93"/>
      <c r="FO34" s="93"/>
      <c r="FP34" s="93"/>
      <c r="FQ34" s="93"/>
      <c r="FR34" s="93"/>
      <c r="FS34" s="93"/>
      <c r="FT34" s="93"/>
      <c r="FU34" s="93"/>
      <c r="FV34" s="93"/>
      <c r="FW34" s="93"/>
      <c r="FX34" s="93"/>
      <c r="FY34" s="93"/>
      <c r="FZ34" s="93"/>
      <c r="GA34" s="93"/>
      <c r="GB34" s="93"/>
      <c r="GC34" s="93"/>
      <c r="GD34" s="93"/>
      <c r="GE34" s="93"/>
      <c r="GF34" s="93"/>
      <c r="GG34" s="93"/>
      <c r="GH34" s="93"/>
      <c r="GI34" s="93"/>
      <c r="GJ34" s="93"/>
      <c r="GK34" s="93"/>
      <c r="GL34" s="93"/>
      <c r="GM34" s="93"/>
      <c r="GN34" s="93"/>
      <c r="GO34" s="93"/>
      <c r="GP34" s="88"/>
      <c r="GQ34" s="93"/>
      <c r="GR34" s="93"/>
      <c r="GS34" s="93"/>
      <c r="GT34" s="93"/>
      <c r="GU34" s="88"/>
      <c r="GV34" s="93"/>
      <c r="GW34" s="93"/>
      <c r="GX34" s="93"/>
      <c r="GY34" s="93"/>
      <c r="GZ34" s="88"/>
      <c r="HA34" s="93"/>
      <c r="HB34" s="93"/>
      <c r="HC34" s="93"/>
      <c r="HD34" s="93"/>
      <c r="HE34" s="88"/>
      <c r="HF34" s="93"/>
      <c r="HG34" s="93"/>
      <c r="HH34" s="93"/>
      <c r="HI34" s="93"/>
      <c r="HJ34" s="88"/>
      <c r="HK34" s="93"/>
      <c r="HL34" s="93"/>
      <c r="HM34" s="93"/>
      <c r="HN34" s="93"/>
      <c r="HO34" s="88"/>
      <c r="HP34" s="93"/>
      <c r="HQ34" s="93"/>
      <c r="HR34" s="93"/>
      <c r="HS34" s="93"/>
      <c r="HT34" s="88"/>
      <c r="HU34" s="93"/>
      <c r="HV34" s="93"/>
      <c r="HW34" s="93"/>
      <c r="HX34" s="93"/>
      <c r="HY34" s="88"/>
      <c r="HZ34" s="93"/>
      <c r="IA34" s="93"/>
      <c r="IB34" s="93"/>
      <c r="IC34" s="93"/>
      <c r="ID34" s="88"/>
      <c r="IE34" s="93"/>
      <c r="IF34" s="93"/>
      <c r="IG34" s="93"/>
      <c r="IH34" s="93"/>
      <c r="II34" s="88"/>
      <c r="IJ34" s="93"/>
      <c r="IK34" s="93"/>
      <c r="IL34" s="93"/>
      <c r="IM34" s="93"/>
      <c r="IN34" s="88"/>
      <c r="IO34" s="93"/>
      <c r="IP34" s="93"/>
      <c r="IQ34" s="93"/>
      <c r="IR34" s="93"/>
      <c r="IS34" s="88"/>
      <c r="IT34" s="93"/>
      <c r="IU34" s="93"/>
      <c r="IV34" s="93"/>
      <c r="IW34" s="93"/>
      <c r="IX34" s="88"/>
      <c r="IY34" s="93"/>
      <c r="IZ34" s="93"/>
      <c r="JA34" s="93"/>
      <c r="JB34" s="93"/>
      <c r="JC34" s="88"/>
      <c r="JD34" s="93"/>
      <c r="JE34" s="93"/>
      <c r="JF34" s="93"/>
      <c r="JG34" s="94"/>
      <c r="JH34" s="88"/>
      <c r="JI34" s="95"/>
      <c r="JJ34" s="93"/>
      <c r="JK34" s="93"/>
      <c r="JL34" s="94"/>
      <c r="JM34" s="89"/>
      <c r="JN34" s="96"/>
      <c r="JO34" s="84"/>
      <c r="JP34" s="95"/>
      <c r="JQ34" s="93"/>
      <c r="JR34" s="93"/>
      <c r="JS34" s="93"/>
      <c r="JT34" s="93"/>
      <c r="JU34" s="93"/>
      <c r="JV34" s="93"/>
      <c r="JW34" s="93"/>
      <c r="JX34" s="93"/>
      <c r="JY34" s="93"/>
      <c r="JZ34" s="93"/>
      <c r="KA34" s="93"/>
      <c r="KB34" s="93"/>
      <c r="KC34" s="93"/>
      <c r="KD34" s="93"/>
      <c r="KE34" s="93"/>
      <c r="KF34" s="93"/>
      <c r="KG34" s="93"/>
      <c r="KH34" s="93"/>
      <c r="KI34" s="93"/>
      <c r="KJ34" s="93"/>
      <c r="KK34" s="93"/>
      <c r="KL34" s="93"/>
      <c r="KM34" s="93"/>
      <c r="KN34" s="93"/>
      <c r="KO34" s="93"/>
      <c r="KP34" s="93"/>
      <c r="KQ34" s="93"/>
      <c r="KR34" s="93"/>
      <c r="KS34" s="93"/>
      <c r="KT34" s="93"/>
      <c r="KU34" s="93"/>
      <c r="KV34" s="93"/>
      <c r="KW34" s="93"/>
      <c r="KX34" s="93"/>
      <c r="KY34" s="93"/>
      <c r="KZ34" s="93"/>
      <c r="LA34" s="93"/>
      <c r="LB34" s="93"/>
      <c r="LC34" s="93"/>
      <c r="LD34" s="93"/>
      <c r="LE34" s="93"/>
      <c r="LF34" s="93"/>
      <c r="LG34" s="93"/>
      <c r="LH34" s="93"/>
      <c r="LI34" s="93"/>
      <c r="LJ34" s="93"/>
      <c r="LK34" s="93"/>
      <c r="LL34" s="93"/>
      <c r="LM34" s="93"/>
      <c r="LN34" s="93"/>
      <c r="LO34" s="93"/>
      <c r="LP34" s="93"/>
      <c r="LQ34" s="93"/>
      <c r="LR34" s="93"/>
      <c r="LS34" s="93"/>
      <c r="LT34" s="93"/>
      <c r="LU34" s="93"/>
      <c r="LV34" s="93"/>
      <c r="LW34" s="93"/>
      <c r="LX34" s="93"/>
      <c r="LY34" s="93"/>
      <c r="LZ34" s="93"/>
      <c r="MA34" s="93"/>
      <c r="MB34" s="93"/>
      <c r="MC34" s="93"/>
      <c r="MD34" s="93"/>
      <c r="ME34" s="93"/>
      <c r="MF34" s="93"/>
      <c r="MG34" s="93"/>
      <c r="MH34" s="93"/>
      <c r="MI34" s="93"/>
      <c r="MJ34" s="93"/>
      <c r="MK34" s="93"/>
      <c r="ML34" s="93"/>
      <c r="MM34" s="93"/>
      <c r="MN34" s="93"/>
      <c r="MO34" s="93"/>
      <c r="MP34" s="93"/>
      <c r="MQ34" s="93"/>
      <c r="MR34" s="93"/>
      <c r="MS34" s="93"/>
      <c r="MT34" s="93"/>
      <c r="MU34" s="93"/>
      <c r="MV34" s="93"/>
      <c r="MW34" s="93"/>
      <c r="MX34" s="93"/>
      <c r="MY34" s="93"/>
      <c r="MZ34" s="93"/>
      <c r="NA34" s="93"/>
      <c r="NB34" s="93"/>
      <c r="NC34" s="93"/>
      <c r="ND34" s="93"/>
      <c r="NE34" s="93"/>
      <c r="NF34" s="93"/>
      <c r="NG34" s="93"/>
      <c r="NH34" s="93"/>
      <c r="NI34" s="93"/>
      <c r="NJ34" s="93"/>
      <c r="NK34" s="93"/>
      <c r="NL34" s="93"/>
      <c r="NM34" s="93"/>
      <c r="NN34" s="93"/>
      <c r="NO34" s="93"/>
      <c r="NP34" s="93"/>
      <c r="NQ34" s="93"/>
      <c r="NR34" s="93"/>
      <c r="NS34" s="93"/>
      <c r="NT34" s="93"/>
      <c r="NU34" s="93"/>
      <c r="NV34" s="93"/>
      <c r="NW34" s="93"/>
      <c r="NX34" s="93"/>
      <c r="NY34" s="93"/>
      <c r="NZ34" s="93"/>
    </row>
    <row r="35" spans="1:390" ht="15.75" customHeight="1" x14ac:dyDescent="0.3">
      <c r="A35" s="98">
        <v>4861720087</v>
      </c>
      <c r="B35" s="87" t="s">
        <v>392</v>
      </c>
      <c r="C35" s="84" t="s">
        <v>393</v>
      </c>
      <c r="D35" s="87" t="s">
        <v>392</v>
      </c>
      <c r="E35" s="93" t="s">
        <v>493</v>
      </c>
      <c r="F35" s="84" t="s">
        <v>443</v>
      </c>
      <c r="G35" s="93" t="s">
        <v>494</v>
      </c>
      <c r="H35" s="166">
        <v>44384</v>
      </c>
      <c r="I35" s="93" t="s">
        <v>495</v>
      </c>
      <c r="J35" s="234" t="s">
        <v>398</v>
      </c>
      <c r="K35" s="93" t="s">
        <v>399</v>
      </c>
      <c r="L35" s="93" t="s">
        <v>399</v>
      </c>
      <c r="M35" s="93" t="s">
        <v>399</v>
      </c>
      <c r="N35" s="93" t="s">
        <v>399</v>
      </c>
      <c r="O35" s="93" t="s">
        <v>399</v>
      </c>
      <c r="P35" s="93" t="s">
        <v>399</v>
      </c>
      <c r="Q35" s="93" t="s">
        <v>399</v>
      </c>
      <c r="R35" s="93" t="s">
        <v>399</v>
      </c>
      <c r="S35" s="93" t="s">
        <v>399</v>
      </c>
      <c r="T35" s="93" t="s">
        <v>399</v>
      </c>
      <c r="U35" s="93" t="s">
        <v>399</v>
      </c>
      <c r="V35" s="93" t="s">
        <v>399</v>
      </c>
      <c r="W35" s="93" t="s">
        <v>399</v>
      </c>
      <c r="X35" s="93" t="s">
        <v>399</v>
      </c>
      <c r="Y35" s="93" t="s">
        <v>399</v>
      </c>
      <c r="Z35" s="93" t="s">
        <v>399</v>
      </c>
      <c r="AA35" s="93" t="s">
        <v>399</v>
      </c>
      <c r="AB35" s="152" t="s">
        <v>400</v>
      </c>
      <c r="AC35" s="166">
        <v>21798</v>
      </c>
      <c r="AD35" s="167">
        <v>44320</v>
      </c>
      <c r="AE35" s="164">
        <f t="shared" si="1"/>
        <v>61</v>
      </c>
      <c r="AF35" s="108" t="s">
        <v>435</v>
      </c>
      <c r="AG35" s="84" t="s">
        <v>402</v>
      </c>
      <c r="AH35" s="163" t="s">
        <v>403</v>
      </c>
      <c r="AI35" s="172">
        <v>2</v>
      </c>
      <c r="AJ35" s="163">
        <v>0</v>
      </c>
      <c r="AK35" s="163" t="s">
        <v>405</v>
      </c>
      <c r="AL35" s="172">
        <v>0</v>
      </c>
      <c r="AM35" s="89" t="s">
        <v>423</v>
      </c>
      <c r="AN35" s="170">
        <v>1</v>
      </c>
      <c r="AO35" s="109" t="s">
        <v>399</v>
      </c>
      <c r="AP35" s="88"/>
      <c r="AQ35" s="95"/>
      <c r="AR35" s="88"/>
      <c r="AS35" s="93"/>
      <c r="AT35" s="93"/>
      <c r="AU35" s="93"/>
      <c r="AV35" s="93"/>
      <c r="AW35" s="88"/>
      <c r="AX35" s="93"/>
      <c r="AY35" s="93"/>
      <c r="AZ35" s="93"/>
      <c r="BA35" s="93"/>
      <c r="BB35" s="88"/>
      <c r="BC35" s="93"/>
      <c r="BD35" s="93"/>
      <c r="BE35" s="93"/>
      <c r="BF35" s="93"/>
      <c r="BG35" s="88"/>
      <c r="BH35" s="93"/>
      <c r="BI35" s="93"/>
      <c r="BJ35" s="93"/>
      <c r="BK35" s="93"/>
      <c r="BL35" s="88"/>
      <c r="BM35" s="93"/>
      <c r="BN35" s="93"/>
      <c r="BO35" s="93"/>
      <c r="BP35" s="93"/>
      <c r="BQ35" s="88"/>
      <c r="BR35" s="93"/>
      <c r="BS35" s="93"/>
      <c r="BT35" s="93"/>
      <c r="BU35" s="93"/>
      <c r="BV35" s="88"/>
      <c r="BW35" s="93"/>
      <c r="BX35" s="93"/>
      <c r="BY35" s="93"/>
      <c r="BZ35" s="93"/>
      <c r="CA35" s="88"/>
      <c r="CB35" s="93"/>
      <c r="CC35" s="93"/>
      <c r="CD35" s="93"/>
      <c r="CE35" s="93"/>
      <c r="CF35" s="88"/>
      <c r="CG35" s="93"/>
      <c r="CH35" s="93"/>
      <c r="CI35" s="93"/>
      <c r="CJ35" s="93"/>
      <c r="CK35" s="88"/>
      <c r="CL35" s="93"/>
      <c r="CM35" s="93"/>
      <c r="CN35" s="93"/>
      <c r="CO35" s="93"/>
      <c r="CP35" s="88"/>
      <c r="CQ35" s="93"/>
      <c r="CR35" s="93"/>
      <c r="CS35" s="93"/>
      <c r="CT35" s="93"/>
      <c r="CU35" s="88"/>
      <c r="CV35" s="93"/>
      <c r="CW35" s="93"/>
      <c r="CX35" s="93"/>
      <c r="CY35" s="93"/>
      <c r="CZ35" s="88"/>
      <c r="DA35" s="93"/>
      <c r="DB35" s="93"/>
      <c r="DC35" s="93"/>
      <c r="DD35" s="93"/>
      <c r="DE35" s="88"/>
      <c r="DF35" s="93"/>
      <c r="DG35" s="93"/>
      <c r="DH35" s="93"/>
      <c r="DI35" s="93"/>
      <c r="DJ35" s="88"/>
      <c r="DK35" s="93"/>
      <c r="DL35" s="93"/>
      <c r="DM35" s="93"/>
      <c r="DN35" s="93"/>
      <c r="DO35" s="88"/>
      <c r="DP35" s="93"/>
      <c r="DQ35" s="93"/>
      <c r="DR35" s="93"/>
      <c r="DS35" s="93"/>
      <c r="DT35" s="88"/>
      <c r="DU35" s="93"/>
      <c r="DV35" s="93"/>
      <c r="DW35" s="93"/>
      <c r="DX35" s="93"/>
      <c r="DY35" s="88"/>
      <c r="DZ35" s="93"/>
      <c r="EA35" s="93"/>
      <c r="EB35" s="93"/>
      <c r="EC35" s="93"/>
      <c r="ED35" s="88"/>
      <c r="EE35" s="93"/>
      <c r="EF35" s="93"/>
      <c r="EG35" s="93"/>
      <c r="EH35" s="93"/>
      <c r="EI35" s="88"/>
      <c r="EJ35" s="93"/>
      <c r="EK35" s="93"/>
      <c r="EL35" s="93"/>
      <c r="EM35" s="93"/>
      <c r="EN35" s="88"/>
      <c r="EO35" s="93"/>
      <c r="EP35" s="93"/>
      <c r="EQ35" s="93"/>
      <c r="ER35" s="93"/>
      <c r="ES35" s="88"/>
      <c r="ET35" s="93"/>
      <c r="EU35" s="93"/>
      <c r="EV35" s="93"/>
      <c r="EW35" s="93"/>
      <c r="EX35" s="88"/>
      <c r="EY35" s="93"/>
      <c r="EZ35" s="93"/>
      <c r="FA35" s="93"/>
      <c r="FB35" s="93"/>
      <c r="FC35" s="88"/>
      <c r="FD35" s="93"/>
      <c r="FE35" s="93"/>
      <c r="FF35" s="93"/>
      <c r="FG35" s="93"/>
      <c r="FH35" s="88"/>
      <c r="FI35" s="93"/>
      <c r="FJ35" s="93"/>
      <c r="FK35" s="93"/>
      <c r="FL35" s="93"/>
      <c r="FM35" s="93"/>
      <c r="FN35" s="93"/>
      <c r="FO35" s="93"/>
      <c r="FP35" s="93"/>
      <c r="FQ35" s="93"/>
      <c r="FR35" s="93"/>
      <c r="FS35" s="93"/>
      <c r="FT35" s="93"/>
      <c r="FU35" s="93"/>
      <c r="FV35" s="93"/>
      <c r="FW35" s="93"/>
      <c r="FX35" s="93"/>
      <c r="FY35" s="93"/>
      <c r="FZ35" s="93"/>
      <c r="GA35" s="93"/>
      <c r="GB35" s="93"/>
      <c r="GC35" s="93"/>
      <c r="GD35" s="93"/>
      <c r="GE35" s="93"/>
      <c r="GF35" s="93"/>
      <c r="GG35" s="93"/>
      <c r="GH35" s="93"/>
      <c r="GI35" s="93"/>
      <c r="GJ35" s="93"/>
      <c r="GK35" s="93"/>
      <c r="GL35" s="93"/>
      <c r="GM35" s="93"/>
      <c r="GN35" s="93"/>
      <c r="GO35" s="93"/>
      <c r="GP35" s="88"/>
      <c r="GQ35" s="93"/>
      <c r="GR35" s="93"/>
      <c r="GS35" s="93"/>
      <c r="GT35" s="93"/>
      <c r="GU35" s="88"/>
      <c r="GV35" s="93"/>
      <c r="GW35" s="93"/>
      <c r="GX35" s="93"/>
      <c r="GY35" s="93"/>
      <c r="GZ35" s="88"/>
      <c r="HA35" s="93"/>
      <c r="HB35" s="93"/>
      <c r="HC35" s="93"/>
      <c r="HD35" s="93"/>
      <c r="HE35" s="88"/>
      <c r="HF35" s="93"/>
      <c r="HG35" s="93"/>
      <c r="HH35" s="93"/>
      <c r="HI35" s="93"/>
      <c r="HJ35" s="88"/>
      <c r="HK35" s="93"/>
      <c r="HL35" s="93"/>
      <c r="HM35" s="93"/>
      <c r="HN35" s="93"/>
      <c r="HO35" s="88"/>
      <c r="HP35" s="93"/>
      <c r="HQ35" s="93"/>
      <c r="HR35" s="93"/>
      <c r="HS35" s="93"/>
      <c r="HT35" s="88"/>
      <c r="HU35" s="93"/>
      <c r="HV35" s="93"/>
      <c r="HW35" s="93"/>
      <c r="HX35" s="93"/>
      <c r="HY35" s="88"/>
      <c r="HZ35" s="93"/>
      <c r="IA35" s="93"/>
      <c r="IB35" s="93"/>
      <c r="IC35" s="93"/>
      <c r="ID35" s="88"/>
      <c r="IE35" s="93"/>
      <c r="IF35" s="93"/>
      <c r="IG35" s="93"/>
      <c r="IH35" s="93"/>
      <c r="II35" s="88"/>
      <c r="IJ35" s="93"/>
      <c r="IK35" s="93"/>
      <c r="IL35" s="93"/>
      <c r="IM35" s="93"/>
      <c r="IN35" s="88"/>
      <c r="IO35" s="93"/>
      <c r="IP35" s="93"/>
      <c r="IQ35" s="93"/>
      <c r="IR35" s="93"/>
      <c r="IS35" s="88"/>
      <c r="IT35" s="93"/>
      <c r="IU35" s="93"/>
      <c r="IV35" s="93"/>
      <c r="IW35" s="93"/>
      <c r="IX35" s="88"/>
      <c r="IY35" s="93"/>
      <c r="IZ35" s="93"/>
      <c r="JA35" s="93"/>
      <c r="JB35" s="93"/>
      <c r="JC35" s="88"/>
      <c r="JD35" s="93"/>
      <c r="JE35" s="93"/>
      <c r="JF35" s="93"/>
      <c r="JG35" s="94"/>
      <c r="JH35" s="88"/>
      <c r="JI35" s="95"/>
      <c r="JJ35" s="93"/>
      <c r="JK35" s="93"/>
      <c r="JL35" s="94"/>
      <c r="JM35" s="89"/>
      <c r="JN35" s="96"/>
      <c r="JO35" s="84"/>
      <c r="JP35" s="95"/>
      <c r="JQ35" s="93"/>
      <c r="JR35" s="93"/>
      <c r="JS35" s="93"/>
      <c r="JT35" s="93"/>
      <c r="JU35" s="93"/>
      <c r="JV35" s="93"/>
      <c r="JW35" s="93"/>
      <c r="JX35" s="93"/>
      <c r="JY35" s="93"/>
      <c r="JZ35" s="93"/>
      <c r="KA35" s="93"/>
      <c r="KB35" s="93"/>
      <c r="KC35" s="93"/>
      <c r="KD35" s="93"/>
      <c r="KE35" s="93"/>
      <c r="KF35" s="93"/>
      <c r="KG35" s="93"/>
      <c r="KH35" s="93"/>
      <c r="KI35" s="93"/>
      <c r="KJ35" s="93"/>
      <c r="KK35" s="93"/>
      <c r="KL35" s="93"/>
      <c r="KM35" s="93"/>
      <c r="KN35" s="93"/>
      <c r="KO35" s="93"/>
      <c r="KP35" s="93"/>
      <c r="KQ35" s="93"/>
      <c r="KR35" s="93"/>
      <c r="KS35" s="93"/>
      <c r="KT35" s="93"/>
      <c r="KU35" s="93"/>
      <c r="KV35" s="93"/>
      <c r="KW35" s="93"/>
      <c r="KX35" s="93"/>
      <c r="KY35" s="93"/>
      <c r="KZ35" s="93"/>
      <c r="LA35" s="93"/>
      <c r="LB35" s="93"/>
      <c r="LC35" s="93"/>
      <c r="LD35" s="93"/>
      <c r="LE35" s="93"/>
      <c r="LF35" s="93"/>
      <c r="LG35" s="93"/>
      <c r="LH35" s="93"/>
      <c r="LI35" s="93"/>
      <c r="LJ35" s="93"/>
      <c r="LK35" s="93"/>
      <c r="LL35" s="93"/>
      <c r="LM35" s="93"/>
      <c r="LN35" s="93"/>
      <c r="LO35" s="93"/>
      <c r="LP35" s="93"/>
      <c r="LQ35" s="93"/>
      <c r="LR35" s="93"/>
      <c r="LS35" s="93"/>
      <c r="LT35" s="93"/>
      <c r="LU35" s="93"/>
      <c r="LV35" s="93"/>
      <c r="LW35" s="93"/>
      <c r="LX35" s="93"/>
      <c r="LY35" s="93"/>
      <c r="LZ35" s="93"/>
      <c r="MA35" s="93"/>
      <c r="MB35" s="93"/>
      <c r="MC35" s="93"/>
      <c r="MD35" s="93"/>
      <c r="ME35" s="93"/>
      <c r="MF35" s="93"/>
      <c r="MG35" s="93"/>
      <c r="MH35" s="93"/>
      <c r="MI35" s="93"/>
      <c r="MJ35" s="93"/>
      <c r="MK35" s="93"/>
      <c r="ML35" s="93"/>
      <c r="MM35" s="93"/>
      <c r="MN35" s="93"/>
      <c r="MO35" s="93"/>
      <c r="MP35" s="93"/>
      <c r="MQ35" s="93"/>
      <c r="MR35" s="93"/>
      <c r="MS35" s="93"/>
      <c r="MT35" s="93"/>
      <c r="MU35" s="93"/>
      <c r="MV35" s="93"/>
      <c r="MW35" s="93"/>
      <c r="MX35" s="93"/>
      <c r="MY35" s="93"/>
      <c r="MZ35" s="93"/>
      <c r="NA35" s="93"/>
      <c r="NB35" s="93"/>
      <c r="NC35" s="93"/>
      <c r="ND35" s="93"/>
      <c r="NE35" s="93"/>
      <c r="NF35" s="93"/>
      <c r="NG35" s="93"/>
      <c r="NH35" s="93"/>
      <c r="NI35" s="93"/>
      <c r="NJ35" s="93"/>
      <c r="NK35" s="93"/>
      <c r="NL35" s="93"/>
      <c r="NM35" s="93"/>
      <c r="NN35" s="93"/>
      <c r="NO35" s="93"/>
      <c r="NP35" s="93"/>
      <c r="NQ35" s="93"/>
      <c r="NR35" s="93"/>
      <c r="NS35" s="93"/>
      <c r="NT35" s="93"/>
      <c r="NU35" s="93"/>
      <c r="NV35" s="93"/>
      <c r="NW35" s="93"/>
      <c r="NX35" s="93"/>
      <c r="NY35" s="93"/>
      <c r="NZ35" s="93"/>
    </row>
    <row r="36" spans="1:390" ht="15.75" customHeight="1" x14ac:dyDescent="0.3">
      <c r="A36" s="98">
        <v>6327986404</v>
      </c>
      <c r="B36" s="87" t="s">
        <v>392</v>
      </c>
      <c r="C36" s="84" t="s">
        <v>393</v>
      </c>
      <c r="D36" s="87" t="s">
        <v>392</v>
      </c>
      <c r="E36" s="93" t="s">
        <v>496</v>
      </c>
      <c r="F36" s="93" t="s">
        <v>497</v>
      </c>
      <c r="G36" s="93" t="s">
        <v>399</v>
      </c>
      <c r="H36" s="166">
        <v>44439</v>
      </c>
      <c r="I36" s="93" t="s">
        <v>498</v>
      </c>
      <c r="J36" s="234" t="s">
        <v>499</v>
      </c>
      <c r="K36" s="93" t="s">
        <v>399</v>
      </c>
      <c r="L36" s="93" t="s">
        <v>399</v>
      </c>
      <c r="M36" s="93" t="s">
        <v>399</v>
      </c>
      <c r="N36" s="93" t="s">
        <v>399</v>
      </c>
      <c r="O36" s="93" t="s">
        <v>399</v>
      </c>
      <c r="P36" s="93" t="s">
        <v>399</v>
      </c>
      <c r="Q36" s="93" t="s">
        <v>399</v>
      </c>
      <c r="R36" s="93" t="s">
        <v>399</v>
      </c>
      <c r="S36" s="93" t="s">
        <v>399</v>
      </c>
      <c r="T36" s="93" t="s">
        <v>399</v>
      </c>
      <c r="U36" s="93" t="s">
        <v>399</v>
      </c>
      <c r="V36" s="93" t="s">
        <v>399</v>
      </c>
      <c r="W36" s="93" t="s">
        <v>399</v>
      </c>
      <c r="X36" s="93" t="s">
        <v>399</v>
      </c>
      <c r="Y36" s="93" t="s">
        <v>399</v>
      </c>
      <c r="Z36" s="93" t="s">
        <v>399</v>
      </c>
      <c r="AA36" s="93" t="s">
        <v>399</v>
      </c>
      <c r="AB36" s="152" t="s">
        <v>400</v>
      </c>
      <c r="AC36" s="166">
        <v>17463</v>
      </c>
      <c r="AD36" s="167">
        <v>44348</v>
      </c>
      <c r="AE36" s="164">
        <f t="shared" si="1"/>
        <v>73</v>
      </c>
      <c r="AF36" s="108" t="s">
        <v>435</v>
      </c>
      <c r="AG36" s="84" t="s">
        <v>402</v>
      </c>
      <c r="AH36" s="163" t="s">
        <v>403</v>
      </c>
      <c r="AI36" s="163" t="s">
        <v>404</v>
      </c>
      <c r="AJ36" s="163">
        <v>0</v>
      </c>
      <c r="AK36" s="163" t="s">
        <v>405</v>
      </c>
      <c r="AL36" s="172">
        <v>0</v>
      </c>
      <c r="AM36" s="89" t="s">
        <v>406</v>
      </c>
      <c r="AN36" s="170">
        <v>1</v>
      </c>
      <c r="AO36" s="109" t="s">
        <v>399</v>
      </c>
      <c r="AP36" s="88"/>
      <c r="AQ36" s="95"/>
      <c r="AR36" s="88"/>
      <c r="AS36" s="93"/>
      <c r="AT36" s="93"/>
      <c r="AU36" s="93"/>
      <c r="AV36" s="93"/>
      <c r="AW36" s="88"/>
      <c r="AX36" s="93"/>
      <c r="AY36" s="93"/>
      <c r="AZ36" s="93"/>
      <c r="BA36" s="93"/>
      <c r="BB36" s="88"/>
      <c r="BC36" s="93"/>
      <c r="BD36" s="93"/>
      <c r="BE36" s="93"/>
      <c r="BF36" s="93"/>
      <c r="BG36" s="88"/>
      <c r="BH36" s="93"/>
      <c r="BI36" s="93"/>
      <c r="BJ36" s="93"/>
      <c r="BK36" s="93"/>
      <c r="BL36" s="88"/>
      <c r="BM36" s="93"/>
      <c r="BN36" s="93"/>
      <c r="BO36" s="93"/>
      <c r="BP36" s="93"/>
      <c r="BQ36" s="88"/>
      <c r="BR36" s="93"/>
      <c r="BS36" s="93"/>
      <c r="BT36" s="93"/>
      <c r="BU36" s="93"/>
      <c r="BV36" s="88"/>
      <c r="BW36" s="93"/>
      <c r="BX36" s="93"/>
      <c r="BY36" s="93"/>
      <c r="BZ36" s="93"/>
      <c r="CA36" s="88"/>
      <c r="CB36" s="93"/>
      <c r="CC36" s="93"/>
      <c r="CD36" s="93"/>
      <c r="CE36" s="93"/>
      <c r="CF36" s="88"/>
      <c r="CG36" s="93"/>
      <c r="CH36" s="93"/>
      <c r="CI36" s="93"/>
      <c r="CJ36" s="93"/>
      <c r="CK36" s="88"/>
      <c r="CL36" s="93"/>
      <c r="CM36" s="93"/>
      <c r="CN36" s="93"/>
      <c r="CO36" s="93"/>
      <c r="CP36" s="88"/>
      <c r="CQ36" s="93"/>
      <c r="CR36" s="93"/>
      <c r="CS36" s="93"/>
      <c r="CT36" s="93"/>
      <c r="CU36" s="88"/>
      <c r="CV36" s="93"/>
      <c r="CW36" s="93"/>
      <c r="CX36" s="93"/>
      <c r="CY36" s="93"/>
      <c r="CZ36" s="88"/>
      <c r="DA36" s="93"/>
      <c r="DB36" s="93"/>
      <c r="DC36" s="93"/>
      <c r="DD36" s="93"/>
      <c r="DE36" s="88"/>
      <c r="DF36" s="93"/>
      <c r="DG36" s="93"/>
      <c r="DH36" s="93"/>
      <c r="DI36" s="93"/>
      <c r="DJ36" s="88"/>
      <c r="DK36" s="93"/>
      <c r="DL36" s="93"/>
      <c r="DM36" s="93"/>
      <c r="DN36" s="93"/>
      <c r="DO36" s="88"/>
      <c r="DP36" s="93"/>
      <c r="DQ36" s="93"/>
      <c r="DR36" s="93"/>
      <c r="DS36" s="93"/>
      <c r="DT36" s="88"/>
      <c r="DU36" s="93"/>
      <c r="DV36" s="93"/>
      <c r="DW36" s="93"/>
      <c r="DX36" s="93"/>
      <c r="DY36" s="88"/>
      <c r="DZ36" s="93"/>
      <c r="EA36" s="93"/>
      <c r="EB36" s="93"/>
      <c r="EC36" s="93"/>
      <c r="ED36" s="88"/>
      <c r="EE36" s="93"/>
      <c r="EF36" s="93"/>
      <c r="EG36" s="93"/>
      <c r="EH36" s="93"/>
      <c r="EI36" s="88"/>
      <c r="EJ36" s="93"/>
      <c r="EK36" s="93"/>
      <c r="EL36" s="93"/>
      <c r="EM36" s="93"/>
      <c r="EN36" s="88"/>
      <c r="EO36" s="93"/>
      <c r="EP36" s="93"/>
      <c r="EQ36" s="93"/>
      <c r="ER36" s="93"/>
      <c r="ES36" s="88"/>
      <c r="ET36" s="93"/>
      <c r="EU36" s="93"/>
      <c r="EV36" s="93"/>
      <c r="EW36" s="93"/>
      <c r="EX36" s="88"/>
      <c r="EY36" s="93"/>
      <c r="EZ36" s="93"/>
      <c r="FA36" s="93"/>
      <c r="FB36" s="93"/>
      <c r="FC36" s="88"/>
      <c r="FD36" s="93"/>
      <c r="FE36" s="93"/>
      <c r="FF36" s="93"/>
      <c r="FG36" s="93"/>
      <c r="FH36" s="88"/>
      <c r="FI36" s="93"/>
      <c r="FJ36" s="93"/>
      <c r="FK36" s="93"/>
      <c r="FL36" s="93"/>
      <c r="FM36" s="93"/>
      <c r="FN36" s="93"/>
      <c r="FO36" s="93"/>
      <c r="FP36" s="93"/>
      <c r="FQ36" s="93"/>
      <c r="FR36" s="93"/>
      <c r="FS36" s="93"/>
      <c r="FT36" s="93"/>
      <c r="FU36" s="93"/>
      <c r="FV36" s="93"/>
      <c r="FW36" s="93"/>
      <c r="FX36" s="93"/>
      <c r="FY36" s="93"/>
      <c r="FZ36" s="93"/>
      <c r="GA36" s="93"/>
      <c r="GB36" s="93"/>
      <c r="GC36" s="93"/>
      <c r="GD36" s="93"/>
      <c r="GE36" s="93"/>
      <c r="GF36" s="93"/>
      <c r="GG36" s="93"/>
      <c r="GH36" s="93"/>
      <c r="GI36" s="93"/>
      <c r="GJ36" s="93"/>
      <c r="GK36" s="93"/>
      <c r="GL36" s="93"/>
      <c r="GM36" s="93"/>
      <c r="GN36" s="93"/>
      <c r="GO36" s="93"/>
      <c r="GP36" s="88"/>
      <c r="GQ36" s="93"/>
      <c r="GR36" s="93"/>
      <c r="GS36" s="93"/>
      <c r="GT36" s="93"/>
      <c r="GU36" s="88"/>
      <c r="GV36" s="93"/>
      <c r="GW36" s="93"/>
      <c r="GX36" s="93"/>
      <c r="GY36" s="93"/>
      <c r="GZ36" s="88"/>
      <c r="HA36" s="93"/>
      <c r="HB36" s="93"/>
      <c r="HC36" s="93"/>
      <c r="HD36" s="93"/>
      <c r="HE36" s="88"/>
      <c r="HF36" s="93"/>
      <c r="HG36" s="93"/>
      <c r="HH36" s="93"/>
      <c r="HI36" s="93"/>
      <c r="HJ36" s="88"/>
      <c r="HK36" s="93"/>
      <c r="HL36" s="93"/>
      <c r="HM36" s="93"/>
      <c r="HN36" s="93"/>
      <c r="HO36" s="88"/>
      <c r="HP36" s="93"/>
      <c r="HQ36" s="93"/>
      <c r="HR36" s="93"/>
      <c r="HS36" s="93"/>
      <c r="HT36" s="88"/>
      <c r="HU36" s="93"/>
      <c r="HV36" s="93"/>
      <c r="HW36" s="93"/>
      <c r="HX36" s="93"/>
      <c r="HY36" s="88"/>
      <c r="HZ36" s="93"/>
      <c r="IA36" s="93"/>
      <c r="IB36" s="93"/>
      <c r="IC36" s="93"/>
      <c r="ID36" s="88"/>
      <c r="IE36" s="93"/>
      <c r="IF36" s="93"/>
      <c r="IG36" s="93"/>
      <c r="IH36" s="93"/>
      <c r="II36" s="88"/>
      <c r="IJ36" s="93"/>
      <c r="IK36" s="93"/>
      <c r="IL36" s="93"/>
      <c r="IM36" s="93"/>
      <c r="IN36" s="88"/>
      <c r="IO36" s="93"/>
      <c r="IP36" s="93"/>
      <c r="IQ36" s="93"/>
      <c r="IR36" s="93"/>
      <c r="IS36" s="88"/>
      <c r="IT36" s="93"/>
      <c r="IU36" s="93"/>
      <c r="IV36" s="93"/>
      <c r="IW36" s="93"/>
      <c r="IX36" s="88"/>
      <c r="IY36" s="93"/>
      <c r="IZ36" s="93"/>
      <c r="JA36" s="93"/>
      <c r="JB36" s="93"/>
      <c r="JC36" s="88"/>
      <c r="JD36" s="93"/>
      <c r="JE36" s="93"/>
      <c r="JF36" s="93"/>
      <c r="JG36" s="94"/>
      <c r="JH36" s="88"/>
      <c r="JI36" s="95"/>
      <c r="JJ36" s="93"/>
      <c r="JK36" s="93"/>
      <c r="JL36" s="94"/>
      <c r="JM36" s="89"/>
      <c r="JN36" s="96"/>
      <c r="JO36" s="84"/>
      <c r="JP36" s="95"/>
      <c r="JQ36" s="93"/>
      <c r="JR36" s="93"/>
      <c r="JS36" s="93"/>
      <c r="JT36" s="234" t="s">
        <v>500</v>
      </c>
      <c r="JU36" s="93"/>
      <c r="JV36" s="93"/>
      <c r="JW36" s="93"/>
      <c r="JX36" s="93"/>
      <c r="JY36" s="93"/>
      <c r="JZ36" s="93"/>
      <c r="KA36" s="93"/>
      <c r="KB36" s="93"/>
      <c r="KC36" s="93"/>
      <c r="KD36" s="93"/>
      <c r="KE36" s="93"/>
      <c r="KF36" s="93"/>
      <c r="KG36" s="93"/>
      <c r="KH36" s="93"/>
      <c r="KI36" s="93"/>
      <c r="KJ36" s="93"/>
      <c r="KK36" s="93"/>
      <c r="KL36" s="93"/>
      <c r="KM36" s="93"/>
      <c r="KN36" s="93"/>
      <c r="KO36" s="93"/>
      <c r="KP36" s="93"/>
      <c r="KQ36" s="93"/>
      <c r="KR36" s="93"/>
      <c r="KS36" s="93"/>
      <c r="KT36" s="93"/>
      <c r="KU36" s="93"/>
      <c r="KV36" s="93"/>
      <c r="KW36" s="93"/>
      <c r="KX36" s="93"/>
      <c r="KY36" s="93"/>
      <c r="KZ36" s="93"/>
      <c r="LA36" s="93"/>
      <c r="LB36" s="93"/>
      <c r="LC36" s="93"/>
      <c r="LD36" s="93"/>
      <c r="LE36" s="93"/>
      <c r="LF36" s="93"/>
      <c r="LG36" s="93"/>
      <c r="LH36" s="93"/>
      <c r="LI36" s="93"/>
      <c r="LJ36" s="93"/>
      <c r="LK36" s="93"/>
      <c r="LL36" s="93"/>
      <c r="LM36" s="93"/>
      <c r="LN36" s="93"/>
      <c r="LO36" s="93"/>
      <c r="LP36" s="93"/>
      <c r="LQ36" s="93"/>
      <c r="LR36" s="93"/>
      <c r="LS36" s="93"/>
      <c r="LT36" s="93"/>
      <c r="LU36" s="93"/>
      <c r="LV36" s="93"/>
      <c r="LW36" s="93"/>
      <c r="LX36" s="93"/>
      <c r="LY36" s="93"/>
      <c r="LZ36" s="93"/>
      <c r="MA36" s="93"/>
      <c r="MB36" s="93"/>
      <c r="MC36" s="93"/>
      <c r="MD36" s="93"/>
      <c r="ME36" s="93"/>
      <c r="MF36" s="93"/>
      <c r="MG36" s="93"/>
      <c r="MH36" s="93"/>
      <c r="MI36" s="93"/>
      <c r="MJ36" s="93"/>
      <c r="MK36" s="93"/>
      <c r="ML36" s="93"/>
      <c r="MM36" s="93"/>
      <c r="MN36" s="93"/>
      <c r="MO36" s="93"/>
      <c r="MP36" s="93"/>
      <c r="MQ36" s="93"/>
      <c r="MR36" s="93"/>
      <c r="MS36" s="93"/>
      <c r="MT36" s="93"/>
      <c r="MU36" s="93"/>
      <c r="MV36" s="93"/>
      <c r="MW36" s="93"/>
      <c r="MX36" s="93"/>
      <c r="MY36" s="93"/>
      <c r="MZ36" s="93"/>
      <c r="NA36" s="93"/>
      <c r="NB36" s="93"/>
      <c r="NC36" s="93"/>
      <c r="ND36" s="93"/>
      <c r="NE36" s="93"/>
      <c r="NF36" s="93"/>
      <c r="NG36" s="93"/>
      <c r="NH36" s="93"/>
      <c r="NI36" s="93"/>
      <c r="NJ36" s="93"/>
      <c r="NK36" s="93"/>
      <c r="NL36" s="93"/>
      <c r="NM36" s="93"/>
      <c r="NN36" s="93"/>
      <c r="NO36" s="93"/>
      <c r="NP36" s="93"/>
      <c r="NQ36" s="93"/>
      <c r="NR36" s="93"/>
      <c r="NS36" s="93"/>
      <c r="NT36" s="93"/>
      <c r="NU36" s="93"/>
      <c r="NV36" s="93"/>
      <c r="NW36" s="93"/>
      <c r="NX36" s="93"/>
      <c r="NY36" s="93"/>
      <c r="NZ36" s="93"/>
    </row>
    <row r="37" spans="1:390" ht="15.75" customHeight="1" x14ac:dyDescent="0.3">
      <c r="A37" s="98">
        <v>4087924513</v>
      </c>
      <c r="B37" s="87" t="s">
        <v>392</v>
      </c>
      <c r="C37" s="91" t="s">
        <v>501</v>
      </c>
      <c r="D37" s="87" t="s">
        <v>392</v>
      </c>
      <c r="E37" s="93" t="s">
        <v>502</v>
      </c>
      <c r="F37" s="93" t="s">
        <v>503</v>
      </c>
      <c r="G37" s="93" t="s">
        <v>399</v>
      </c>
      <c r="H37" s="166">
        <v>44454</v>
      </c>
      <c r="I37" s="92" t="s">
        <v>504</v>
      </c>
      <c r="J37" s="234" t="s">
        <v>398</v>
      </c>
      <c r="K37" s="93" t="s">
        <v>399</v>
      </c>
      <c r="L37" s="93" t="s">
        <v>399</v>
      </c>
      <c r="M37" s="93" t="s">
        <v>502</v>
      </c>
      <c r="N37" s="93" t="s">
        <v>505</v>
      </c>
      <c r="O37" s="93" t="s">
        <v>506</v>
      </c>
      <c r="P37" s="101">
        <v>44454</v>
      </c>
      <c r="Q37" s="91" t="s">
        <v>501</v>
      </c>
      <c r="R37" s="93" t="s">
        <v>399</v>
      </c>
      <c r="S37" s="93" t="s">
        <v>399</v>
      </c>
      <c r="T37" s="93" t="s">
        <v>399</v>
      </c>
      <c r="U37" s="93" t="s">
        <v>399</v>
      </c>
      <c r="V37" s="93" t="s">
        <v>399</v>
      </c>
      <c r="W37" s="93" t="s">
        <v>399</v>
      </c>
      <c r="X37" s="93" t="s">
        <v>399</v>
      </c>
      <c r="Y37" s="93" t="s">
        <v>399</v>
      </c>
      <c r="Z37" s="93" t="s">
        <v>399</v>
      </c>
      <c r="AA37" s="93" t="s">
        <v>399</v>
      </c>
      <c r="AB37" s="152" t="s">
        <v>400</v>
      </c>
      <c r="AC37" s="166">
        <v>24683</v>
      </c>
      <c r="AD37" s="167">
        <v>44215</v>
      </c>
      <c r="AE37" s="164">
        <f t="shared" si="1"/>
        <v>53</v>
      </c>
      <c r="AF37" s="230" t="s">
        <v>507</v>
      </c>
      <c r="AG37" s="84" t="s">
        <v>402</v>
      </c>
      <c r="AH37" s="163" t="s">
        <v>392</v>
      </c>
      <c r="AI37" s="163" t="s">
        <v>411</v>
      </c>
      <c r="AJ37" s="232" t="s">
        <v>405</v>
      </c>
      <c r="AK37" s="163" t="s">
        <v>405</v>
      </c>
      <c r="AL37" s="172">
        <v>0</v>
      </c>
      <c r="AM37" s="89" t="s">
        <v>412</v>
      </c>
      <c r="AN37" s="170">
        <v>2</v>
      </c>
      <c r="AO37" s="109" t="s">
        <v>399</v>
      </c>
      <c r="AP37" s="88"/>
      <c r="AQ37" s="95"/>
      <c r="AR37" s="88"/>
      <c r="AS37" s="93"/>
      <c r="AT37" s="93"/>
      <c r="AU37" s="93"/>
      <c r="AV37" s="93"/>
      <c r="AW37" s="88"/>
      <c r="AX37" s="93"/>
      <c r="AY37" s="93"/>
      <c r="AZ37" s="93"/>
      <c r="BA37" s="93"/>
      <c r="BB37" s="88"/>
      <c r="BC37" s="93"/>
      <c r="BD37" s="93"/>
      <c r="BE37" s="93"/>
      <c r="BF37" s="93"/>
      <c r="BG37" s="88"/>
      <c r="BH37" s="93"/>
      <c r="BI37" s="93"/>
      <c r="BJ37" s="93"/>
      <c r="BK37" s="93"/>
      <c r="BL37" s="88"/>
      <c r="BM37" s="93"/>
      <c r="BN37" s="93"/>
      <c r="BO37" s="93"/>
      <c r="BP37" s="93"/>
      <c r="BQ37" s="88"/>
      <c r="BR37" s="93"/>
      <c r="BS37" s="93"/>
      <c r="BT37" s="93"/>
      <c r="BU37" s="93"/>
      <c r="BV37" s="88"/>
      <c r="BW37" s="93"/>
      <c r="BX37" s="93"/>
      <c r="BY37" s="93"/>
      <c r="BZ37" s="93"/>
      <c r="CA37" s="88"/>
      <c r="CB37" s="93"/>
      <c r="CC37" s="93"/>
      <c r="CD37" s="93"/>
      <c r="CE37" s="93"/>
      <c r="CF37" s="88"/>
      <c r="CG37" s="93"/>
      <c r="CH37" s="93"/>
      <c r="CI37" s="93"/>
      <c r="CJ37" s="93"/>
      <c r="CK37" s="88"/>
      <c r="CL37" s="93"/>
      <c r="CM37" s="93"/>
      <c r="CN37" s="93"/>
      <c r="CO37" s="93"/>
      <c r="CP37" s="88"/>
      <c r="CQ37" s="93"/>
      <c r="CR37" s="93"/>
      <c r="CS37" s="93"/>
      <c r="CT37" s="93"/>
      <c r="CU37" s="88"/>
      <c r="CV37" s="93"/>
      <c r="CW37" s="93"/>
      <c r="CX37" s="93"/>
      <c r="CY37" s="93"/>
      <c r="CZ37" s="88"/>
      <c r="DA37" s="93"/>
      <c r="DB37" s="93"/>
      <c r="DC37" s="93"/>
      <c r="DD37" s="93"/>
      <c r="DE37" s="88"/>
      <c r="DF37" s="93"/>
      <c r="DG37" s="93"/>
      <c r="DH37" s="93"/>
      <c r="DI37" s="93"/>
      <c r="DJ37" s="88"/>
      <c r="DK37" s="93"/>
      <c r="DL37" s="93"/>
      <c r="DM37" s="93"/>
      <c r="DN37" s="93"/>
      <c r="DO37" s="88"/>
      <c r="DP37" s="93"/>
      <c r="DQ37" s="93"/>
      <c r="DR37" s="93"/>
      <c r="DS37" s="93"/>
      <c r="DT37" s="88"/>
      <c r="DU37" s="93"/>
      <c r="DV37" s="93"/>
      <c r="DW37" s="93"/>
      <c r="DX37" s="93"/>
      <c r="DY37" s="88"/>
      <c r="DZ37" s="93"/>
      <c r="EA37" s="93"/>
      <c r="EB37" s="93"/>
      <c r="EC37" s="93"/>
      <c r="ED37" s="88"/>
      <c r="EE37" s="93"/>
      <c r="EF37" s="93"/>
      <c r="EG37" s="93"/>
      <c r="EH37" s="93"/>
      <c r="EI37" s="88"/>
      <c r="EJ37" s="93"/>
      <c r="EK37" s="93"/>
      <c r="EL37" s="93"/>
      <c r="EM37" s="93"/>
      <c r="EN37" s="88"/>
      <c r="EO37" s="93"/>
      <c r="EP37" s="93"/>
      <c r="EQ37" s="93"/>
      <c r="ER37" s="93"/>
      <c r="ES37" s="88"/>
      <c r="ET37" s="93"/>
      <c r="EU37" s="93"/>
      <c r="EV37" s="93"/>
      <c r="EW37" s="93"/>
      <c r="EX37" s="88"/>
      <c r="EY37" s="93"/>
      <c r="EZ37" s="93"/>
      <c r="FA37" s="93"/>
      <c r="FB37" s="93"/>
      <c r="FC37" s="88"/>
      <c r="FD37" s="93"/>
      <c r="FE37" s="93"/>
      <c r="FF37" s="93"/>
      <c r="FG37" s="93"/>
      <c r="FH37" s="88"/>
      <c r="FI37" s="93"/>
      <c r="FJ37" s="93"/>
      <c r="FK37" s="93"/>
      <c r="FL37" s="93"/>
      <c r="FM37" s="93"/>
      <c r="FN37" s="93"/>
      <c r="FO37" s="93"/>
      <c r="FP37" s="93"/>
      <c r="FQ37" s="93"/>
      <c r="FR37" s="93"/>
      <c r="FS37" s="93"/>
      <c r="FT37" s="93"/>
      <c r="FU37" s="93"/>
      <c r="FV37" s="93"/>
      <c r="FW37" s="93"/>
      <c r="FX37" s="93"/>
      <c r="FY37" s="93"/>
      <c r="FZ37" s="93"/>
      <c r="GA37" s="93"/>
      <c r="GB37" s="93"/>
      <c r="GC37" s="93"/>
      <c r="GD37" s="93"/>
      <c r="GE37" s="93"/>
      <c r="GF37" s="93"/>
      <c r="GG37" s="93"/>
      <c r="GH37" s="93"/>
      <c r="GI37" s="93"/>
      <c r="GJ37" s="93"/>
      <c r="GK37" s="93"/>
      <c r="GL37" s="93"/>
      <c r="GM37" s="93"/>
      <c r="GN37" s="93"/>
      <c r="GO37" s="93"/>
      <c r="GP37" s="88"/>
      <c r="GQ37" s="93"/>
      <c r="GR37" s="93"/>
      <c r="GS37" s="93"/>
      <c r="GT37" s="93"/>
      <c r="GU37" s="88"/>
      <c r="GV37" s="93"/>
      <c r="GW37" s="93"/>
      <c r="GX37" s="93"/>
      <c r="GY37" s="93"/>
      <c r="GZ37" s="88"/>
      <c r="HA37" s="93"/>
      <c r="HB37" s="93"/>
      <c r="HC37" s="93"/>
      <c r="HD37" s="93"/>
      <c r="HE37" s="88"/>
      <c r="HF37" s="93"/>
      <c r="HG37" s="93"/>
      <c r="HH37" s="93"/>
      <c r="HI37" s="93"/>
      <c r="HJ37" s="88"/>
      <c r="HK37" s="93"/>
      <c r="HL37" s="93"/>
      <c r="HM37" s="93"/>
      <c r="HN37" s="93"/>
      <c r="HO37" s="88"/>
      <c r="HP37" s="93"/>
      <c r="HQ37" s="93"/>
      <c r="HR37" s="93"/>
      <c r="HS37" s="93"/>
      <c r="HT37" s="88"/>
      <c r="HU37" s="93"/>
      <c r="HV37" s="93"/>
      <c r="HW37" s="93"/>
      <c r="HX37" s="93"/>
      <c r="HY37" s="88"/>
      <c r="HZ37" s="93"/>
      <c r="IA37" s="93"/>
      <c r="IB37" s="93"/>
      <c r="IC37" s="93"/>
      <c r="ID37" s="88"/>
      <c r="IE37" s="93"/>
      <c r="IF37" s="93"/>
      <c r="IG37" s="93"/>
      <c r="IH37" s="93"/>
      <c r="II37" s="88"/>
      <c r="IJ37" s="93"/>
      <c r="IK37" s="93"/>
      <c r="IL37" s="93"/>
      <c r="IM37" s="93"/>
      <c r="IN37" s="88"/>
      <c r="IO37" s="93"/>
      <c r="IP37" s="93"/>
      <c r="IQ37" s="93"/>
      <c r="IR37" s="93"/>
      <c r="IS37" s="88"/>
      <c r="IT37" s="93"/>
      <c r="IU37" s="93"/>
      <c r="IV37" s="93"/>
      <c r="IW37" s="93"/>
      <c r="IX37" s="88"/>
      <c r="IY37" s="93"/>
      <c r="IZ37" s="93"/>
      <c r="JA37" s="93"/>
      <c r="JB37" s="93"/>
      <c r="JC37" s="88"/>
      <c r="JD37" s="93"/>
      <c r="JE37" s="93"/>
      <c r="JF37" s="93"/>
      <c r="JG37" s="94"/>
      <c r="JH37" s="88"/>
      <c r="JI37" s="95"/>
      <c r="JJ37" s="93"/>
      <c r="JK37" s="93"/>
      <c r="JL37" s="94"/>
      <c r="JM37" s="89"/>
      <c r="JN37" s="96"/>
      <c r="JO37" s="84"/>
      <c r="JP37" s="95"/>
      <c r="JQ37" s="93"/>
      <c r="JR37" s="93"/>
      <c r="JS37" s="93"/>
      <c r="JT37" s="93"/>
      <c r="JU37" s="93"/>
      <c r="JV37" s="93"/>
      <c r="JW37" s="93"/>
      <c r="JX37" s="93"/>
      <c r="JY37" s="93"/>
      <c r="JZ37" s="93"/>
      <c r="KA37" s="93"/>
      <c r="KB37" s="93"/>
      <c r="KC37" s="93"/>
      <c r="KD37" s="93"/>
      <c r="KE37" s="93"/>
      <c r="KF37" s="93"/>
      <c r="KG37" s="93"/>
      <c r="KH37" s="93"/>
      <c r="KI37" s="93"/>
      <c r="KJ37" s="93"/>
      <c r="KK37" s="93"/>
      <c r="KL37" s="93"/>
      <c r="KM37" s="93"/>
      <c r="KN37" s="93"/>
      <c r="KO37" s="93"/>
      <c r="KP37" s="93"/>
      <c r="KQ37" s="93"/>
      <c r="KR37" s="93"/>
      <c r="KS37" s="93"/>
      <c r="KT37" s="93"/>
      <c r="KU37" s="93"/>
      <c r="KV37" s="93"/>
      <c r="KW37" s="93"/>
      <c r="KX37" s="93"/>
      <c r="KY37" s="93"/>
      <c r="KZ37" s="93"/>
      <c r="LA37" s="93"/>
      <c r="LB37" s="93"/>
      <c r="LC37" s="93"/>
      <c r="LD37" s="93"/>
      <c r="LE37" s="93"/>
      <c r="LF37" s="93"/>
      <c r="LG37" s="93"/>
      <c r="LH37" s="93"/>
      <c r="LI37" s="93"/>
      <c r="LJ37" s="93"/>
      <c r="LK37" s="93"/>
      <c r="LL37" s="93"/>
      <c r="LM37" s="93"/>
      <c r="LN37" s="93"/>
      <c r="LO37" s="93"/>
      <c r="LP37" s="93"/>
      <c r="LQ37" s="93"/>
      <c r="LR37" s="93"/>
      <c r="LS37" s="93"/>
      <c r="LT37" s="93"/>
      <c r="LU37" s="93"/>
      <c r="LV37" s="93"/>
      <c r="LW37" s="93"/>
      <c r="LX37" s="93"/>
      <c r="LY37" s="93"/>
      <c r="LZ37" s="93"/>
      <c r="MA37" s="93"/>
      <c r="MB37" s="93"/>
      <c r="MC37" s="93"/>
      <c r="MD37" s="93"/>
      <c r="ME37" s="93"/>
      <c r="MF37" s="93"/>
      <c r="MG37" s="93"/>
      <c r="MH37" s="93"/>
      <c r="MI37" s="93"/>
      <c r="MJ37" s="93"/>
      <c r="MK37" s="93"/>
      <c r="ML37" s="93"/>
      <c r="MM37" s="93"/>
      <c r="MN37" s="93"/>
      <c r="MO37" s="93"/>
      <c r="MP37" s="93"/>
      <c r="MQ37" s="93"/>
      <c r="MR37" s="93"/>
      <c r="MS37" s="93"/>
      <c r="MT37" s="93"/>
      <c r="MU37" s="93"/>
      <c r="MV37" s="93"/>
      <c r="MW37" s="93"/>
      <c r="MX37" s="93"/>
      <c r="MY37" s="93"/>
      <c r="MZ37" s="93"/>
      <c r="NA37" s="93"/>
      <c r="NB37" s="93"/>
      <c r="NC37" s="93"/>
      <c r="ND37" s="93"/>
      <c r="NE37" s="93"/>
      <c r="NF37" s="93"/>
      <c r="NG37" s="93"/>
      <c r="NH37" s="93"/>
      <c r="NI37" s="93"/>
      <c r="NJ37" s="93"/>
      <c r="NK37" s="93"/>
      <c r="NL37" s="93"/>
      <c r="NM37" s="93"/>
      <c r="NN37" s="93"/>
      <c r="NO37" s="93"/>
      <c r="NP37" s="93"/>
      <c r="NQ37" s="93"/>
      <c r="NR37" s="93"/>
      <c r="NS37" s="93"/>
      <c r="NT37" s="93"/>
      <c r="NU37" s="93"/>
      <c r="NV37" s="93"/>
      <c r="NW37" s="93"/>
      <c r="NX37" s="93"/>
      <c r="NY37" s="93"/>
      <c r="NZ37" s="93"/>
    </row>
    <row r="38" spans="1:390" ht="15.75" customHeight="1" x14ac:dyDescent="0.3">
      <c r="A38" s="98">
        <v>6163529707</v>
      </c>
      <c r="B38" s="87" t="s">
        <v>392</v>
      </c>
      <c r="C38" s="84" t="s">
        <v>393</v>
      </c>
      <c r="D38" s="87" t="s">
        <v>392</v>
      </c>
      <c r="E38" s="93" t="s">
        <v>508</v>
      </c>
      <c r="F38" s="93" t="s">
        <v>425</v>
      </c>
      <c r="G38" s="93" t="s">
        <v>441</v>
      </c>
      <c r="H38" s="166">
        <v>44470</v>
      </c>
      <c r="I38" s="93" t="s">
        <v>509</v>
      </c>
      <c r="J38" s="234" t="s">
        <v>398</v>
      </c>
      <c r="K38" s="93" t="s">
        <v>399</v>
      </c>
      <c r="L38" s="93" t="s">
        <v>399</v>
      </c>
      <c r="M38" s="93" t="s">
        <v>399</v>
      </c>
      <c r="N38" s="93" t="s">
        <v>399</v>
      </c>
      <c r="O38" s="93" t="s">
        <v>399</v>
      </c>
      <c r="P38" s="93" t="s">
        <v>399</v>
      </c>
      <c r="Q38" s="93" t="s">
        <v>399</v>
      </c>
      <c r="R38" s="93" t="s">
        <v>399</v>
      </c>
      <c r="S38" s="93" t="s">
        <v>399</v>
      </c>
      <c r="T38" s="93" t="s">
        <v>399</v>
      </c>
      <c r="U38" s="93" t="s">
        <v>399</v>
      </c>
      <c r="V38" s="93" t="s">
        <v>399</v>
      </c>
      <c r="W38" s="93" t="s">
        <v>399</v>
      </c>
      <c r="X38" s="93" t="s">
        <v>399</v>
      </c>
      <c r="Y38" s="93" t="s">
        <v>399</v>
      </c>
      <c r="Z38" s="93" t="s">
        <v>399</v>
      </c>
      <c r="AA38" s="93" t="s">
        <v>399</v>
      </c>
      <c r="AB38" s="152" t="s">
        <v>400</v>
      </c>
      <c r="AC38" s="166">
        <v>16431</v>
      </c>
      <c r="AD38" s="167">
        <v>44435</v>
      </c>
      <c r="AE38" s="164">
        <f t="shared" si="1"/>
        <v>76</v>
      </c>
      <c r="AF38" s="108" t="s">
        <v>435</v>
      </c>
      <c r="AG38" s="169" t="s">
        <v>402</v>
      </c>
      <c r="AH38" s="163" t="s">
        <v>403</v>
      </c>
      <c r="AI38" s="163" t="s">
        <v>418</v>
      </c>
      <c r="AJ38" s="163">
        <v>0</v>
      </c>
      <c r="AK38" s="163" t="s">
        <v>405</v>
      </c>
      <c r="AL38" s="172">
        <v>0</v>
      </c>
      <c r="AM38" s="89" t="s">
        <v>419</v>
      </c>
      <c r="AN38" s="170">
        <v>2</v>
      </c>
      <c r="AO38" s="109" t="s">
        <v>399</v>
      </c>
      <c r="AP38" s="88"/>
      <c r="AQ38" s="95"/>
      <c r="AR38" s="88"/>
      <c r="AS38" s="93"/>
      <c r="AT38" s="93"/>
      <c r="AU38" s="93"/>
      <c r="AV38" s="93"/>
      <c r="AW38" s="88"/>
      <c r="AX38" s="93"/>
      <c r="AY38" s="93"/>
      <c r="AZ38" s="93"/>
      <c r="BA38" s="93"/>
      <c r="BB38" s="88"/>
      <c r="BC38" s="93"/>
      <c r="BD38" s="93"/>
      <c r="BE38" s="93"/>
      <c r="BF38" s="93"/>
      <c r="BG38" s="88"/>
      <c r="BH38" s="93"/>
      <c r="BI38" s="93"/>
      <c r="BJ38" s="93"/>
      <c r="BK38" s="93"/>
      <c r="BL38" s="88"/>
      <c r="BM38" s="93"/>
      <c r="BN38" s="93"/>
      <c r="BO38" s="93"/>
      <c r="BP38" s="93"/>
      <c r="BQ38" s="88"/>
      <c r="BR38" s="93"/>
      <c r="BS38" s="93"/>
      <c r="BT38" s="93"/>
      <c r="BU38" s="93"/>
      <c r="BV38" s="88"/>
      <c r="BW38" s="93"/>
      <c r="BX38" s="93"/>
      <c r="BY38" s="93"/>
      <c r="BZ38" s="93"/>
      <c r="CA38" s="88"/>
      <c r="CB38" s="93"/>
      <c r="CC38" s="93"/>
      <c r="CD38" s="93"/>
      <c r="CE38" s="93"/>
      <c r="CF38" s="88"/>
      <c r="CG38" s="93"/>
      <c r="CH38" s="93"/>
      <c r="CI38" s="93"/>
      <c r="CJ38" s="93"/>
      <c r="CK38" s="88"/>
      <c r="CL38" s="93"/>
      <c r="CM38" s="93"/>
      <c r="CN38" s="93"/>
      <c r="CO38" s="93"/>
      <c r="CP38" s="88"/>
      <c r="CQ38" s="93"/>
      <c r="CR38" s="93"/>
      <c r="CS38" s="93"/>
      <c r="CT38" s="93"/>
      <c r="CU38" s="88"/>
      <c r="CV38" s="93"/>
      <c r="CW38" s="93"/>
      <c r="CX38" s="93"/>
      <c r="CY38" s="93"/>
      <c r="CZ38" s="88"/>
      <c r="DA38" s="93"/>
      <c r="DB38" s="93"/>
      <c r="DC38" s="93"/>
      <c r="DD38" s="93"/>
      <c r="DE38" s="88"/>
      <c r="DF38" s="93"/>
      <c r="DG38" s="93"/>
      <c r="DH38" s="93"/>
      <c r="DI38" s="93"/>
      <c r="DJ38" s="88"/>
      <c r="DK38" s="93"/>
      <c r="DL38" s="93"/>
      <c r="DM38" s="93"/>
      <c r="DN38" s="93"/>
      <c r="DO38" s="88"/>
      <c r="DP38" s="93"/>
      <c r="DQ38" s="93"/>
      <c r="DR38" s="93"/>
      <c r="DS38" s="93"/>
      <c r="DT38" s="88"/>
      <c r="DU38" s="93"/>
      <c r="DV38" s="93"/>
      <c r="DW38" s="93"/>
      <c r="DX38" s="93"/>
      <c r="DY38" s="88"/>
      <c r="DZ38" s="93"/>
      <c r="EA38" s="93"/>
      <c r="EB38" s="93"/>
      <c r="EC38" s="93"/>
      <c r="ED38" s="88"/>
      <c r="EE38" s="93"/>
      <c r="EF38" s="93"/>
      <c r="EG38" s="93"/>
      <c r="EH38" s="93"/>
      <c r="EI38" s="88"/>
      <c r="EJ38" s="93"/>
      <c r="EK38" s="93"/>
      <c r="EL38" s="93"/>
      <c r="EM38" s="93"/>
      <c r="EN38" s="88"/>
      <c r="EO38" s="93"/>
      <c r="EP38" s="93"/>
      <c r="EQ38" s="93"/>
      <c r="ER38" s="93"/>
      <c r="ES38" s="88"/>
      <c r="ET38" s="93"/>
      <c r="EU38" s="93"/>
      <c r="EV38" s="93"/>
      <c r="EW38" s="93"/>
      <c r="EX38" s="88"/>
      <c r="EY38" s="93"/>
      <c r="EZ38" s="93"/>
      <c r="FA38" s="93"/>
      <c r="FB38" s="93"/>
      <c r="FC38" s="88"/>
      <c r="FD38" s="93"/>
      <c r="FE38" s="93"/>
      <c r="FF38" s="93"/>
      <c r="FG38" s="93"/>
      <c r="FH38" s="88"/>
      <c r="FI38" s="93"/>
      <c r="FJ38" s="93"/>
      <c r="FK38" s="93"/>
      <c r="FL38" s="93"/>
      <c r="FM38" s="93"/>
      <c r="FN38" s="93"/>
      <c r="FO38" s="93"/>
      <c r="FP38" s="93"/>
      <c r="FQ38" s="93"/>
      <c r="FR38" s="93"/>
      <c r="FS38" s="93"/>
      <c r="FT38" s="93"/>
      <c r="FU38" s="93"/>
      <c r="FV38" s="93"/>
      <c r="FW38" s="93"/>
      <c r="FX38" s="93"/>
      <c r="FY38" s="93"/>
      <c r="FZ38" s="93"/>
      <c r="GA38" s="93"/>
      <c r="GB38" s="93"/>
      <c r="GC38" s="93"/>
      <c r="GD38" s="93"/>
      <c r="GE38" s="93"/>
      <c r="GF38" s="93"/>
      <c r="GG38" s="93"/>
      <c r="GH38" s="93"/>
      <c r="GI38" s="93"/>
      <c r="GJ38" s="93"/>
      <c r="GK38" s="93"/>
      <c r="GL38" s="93"/>
      <c r="GM38" s="93"/>
      <c r="GN38" s="93"/>
      <c r="GO38" s="93"/>
      <c r="GP38" s="88"/>
      <c r="GQ38" s="93"/>
      <c r="GR38" s="93"/>
      <c r="GS38" s="93"/>
      <c r="GT38" s="93"/>
      <c r="GU38" s="88"/>
      <c r="GV38" s="93"/>
      <c r="GW38" s="93"/>
      <c r="GX38" s="93"/>
      <c r="GY38" s="93"/>
      <c r="GZ38" s="88"/>
      <c r="HA38" s="93"/>
      <c r="HB38" s="93"/>
      <c r="HC38" s="93"/>
      <c r="HD38" s="93"/>
      <c r="HE38" s="88"/>
      <c r="HF38" s="93"/>
      <c r="HG38" s="93"/>
      <c r="HH38" s="93"/>
      <c r="HI38" s="93"/>
      <c r="HJ38" s="88"/>
      <c r="HK38" s="93"/>
      <c r="HL38" s="93"/>
      <c r="HM38" s="93"/>
      <c r="HN38" s="93"/>
      <c r="HO38" s="88"/>
      <c r="HP38" s="93"/>
      <c r="HQ38" s="93"/>
      <c r="HR38" s="93"/>
      <c r="HS38" s="93"/>
      <c r="HT38" s="88"/>
      <c r="HU38" s="93"/>
      <c r="HV38" s="93"/>
      <c r="HW38" s="93"/>
      <c r="HX38" s="93"/>
      <c r="HY38" s="88"/>
      <c r="HZ38" s="93"/>
      <c r="IA38" s="93"/>
      <c r="IB38" s="93"/>
      <c r="IC38" s="93"/>
      <c r="ID38" s="88"/>
      <c r="IE38" s="93"/>
      <c r="IF38" s="93"/>
      <c r="IG38" s="93"/>
      <c r="IH38" s="93"/>
      <c r="II38" s="88"/>
      <c r="IJ38" s="93"/>
      <c r="IK38" s="93"/>
      <c r="IL38" s="93"/>
      <c r="IM38" s="93"/>
      <c r="IN38" s="88"/>
      <c r="IO38" s="93"/>
      <c r="IP38" s="93"/>
      <c r="IQ38" s="93"/>
      <c r="IR38" s="93"/>
      <c r="IS38" s="88"/>
      <c r="IT38" s="93"/>
      <c r="IU38" s="93"/>
      <c r="IV38" s="93"/>
      <c r="IW38" s="93"/>
      <c r="IX38" s="88"/>
      <c r="IY38" s="93"/>
      <c r="IZ38" s="93"/>
      <c r="JA38" s="93"/>
      <c r="JB38" s="93"/>
      <c r="JC38" s="88"/>
      <c r="JD38" s="93"/>
      <c r="JE38" s="93"/>
      <c r="JF38" s="93"/>
      <c r="JG38" s="94"/>
      <c r="JH38" s="88"/>
      <c r="JI38" s="95"/>
      <c r="JJ38" s="93"/>
      <c r="JK38" s="93"/>
      <c r="JL38" s="94"/>
      <c r="JM38" s="89"/>
      <c r="JN38" s="96"/>
      <c r="JO38" s="84"/>
      <c r="JP38" s="95"/>
      <c r="JQ38" s="93"/>
      <c r="JR38" s="93"/>
      <c r="JS38" s="93"/>
      <c r="JT38" s="93"/>
      <c r="JU38" s="93"/>
      <c r="JV38" s="93"/>
      <c r="JW38" s="93"/>
      <c r="JX38" s="93"/>
      <c r="JY38" s="93"/>
      <c r="JZ38" s="93"/>
      <c r="KA38" s="93"/>
      <c r="KB38" s="93"/>
      <c r="KC38" s="93"/>
      <c r="KD38" s="93"/>
      <c r="KE38" s="93"/>
      <c r="KF38" s="93"/>
      <c r="KG38" s="93"/>
      <c r="KH38" s="93"/>
      <c r="KI38" s="93"/>
      <c r="KJ38" s="93"/>
      <c r="KK38" s="93"/>
      <c r="KL38" s="93"/>
      <c r="KM38" s="93"/>
      <c r="KN38" s="93"/>
      <c r="KO38" s="93"/>
      <c r="KP38" s="93"/>
      <c r="KQ38" s="93"/>
      <c r="KR38" s="93"/>
      <c r="KS38" s="93"/>
      <c r="KT38" s="93"/>
      <c r="KU38" s="93"/>
      <c r="KV38" s="93"/>
      <c r="KW38" s="93"/>
      <c r="KX38" s="93"/>
      <c r="KY38" s="93"/>
      <c r="KZ38" s="93"/>
      <c r="LA38" s="93"/>
      <c r="LB38" s="93"/>
      <c r="LC38" s="93"/>
      <c r="LD38" s="93"/>
      <c r="LE38" s="93"/>
      <c r="LF38" s="93"/>
      <c r="LG38" s="93"/>
      <c r="LH38" s="93"/>
      <c r="LI38" s="93"/>
      <c r="LJ38" s="93"/>
      <c r="LK38" s="93"/>
      <c r="LL38" s="93"/>
      <c r="LM38" s="93"/>
      <c r="LN38" s="93"/>
      <c r="LO38" s="93"/>
      <c r="LP38" s="93"/>
      <c r="LQ38" s="93"/>
      <c r="LR38" s="93"/>
      <c r="LS38" s="93"/>
      <c r="LT38" s="93"/>
      <c r="LU38" s="93"/>
      <c r="LV38" s="93"/>
      <c r="LW38" s="93"/>
      <c r="LX38" s="93"/>
      <c r="LY38" s="93"/>
      <c r="LZ38" s="93"/>
      <c r="MA38" s="93"/>
      <c r="MB38" s="93"/>
      <c r="MC38" s="93"/>
      <c r="MD38" s="93"/>
      <c r="ME38" s="93"/>
      <c r="MF38" s="93"/>
      <c r="MG38" s="93"/>
      <c r="MH38" s="93"/>
      <c r="MI38" s="93"/>
      <c r="MJ38" s="93"/>
      <c r="MK38" s="93"/>
      <c r="ML38" s="93"/>
      <c r="MM38" s="93"/>
      <c r="MN38" s="93"/>
      <c r="MO38" s="93"/>
      <c r="MP38" s="93"/>
      <c r="MQ38" s="93"/>
      <c r="MR38" s="93"/>
      <c r="MS38" s="93"/>
      <c r="MT38" s="93"/>
      <c r="MU38" s="93"/>
      <c r="MV38" s="93"/>
      <c r="MW38" s="93"/>
      <c r="MX38" s="93"/>
      <c r="MY38" s="93"/>
      <c r="MZ38" s="93"/>
      <c r="NA38" s="93"/>
      <c r="NB38" s="93"/>
      <c r="NC38" s="93"/>
      <c r="ND38" s="93"/>
      <c r="NE38" s="93"/>
      <c r="NF38" s="93"/>
      <c r="NG38" s="93"/>
      <c r="NH38" s="93"/>
      <c r="NI38" s="93"/>
      <c r="NJ38" s="93"/>
      <c r="NK38" s="93"/>
      <c r="NL38" s="93"/>
      <c r="NM38" s="93"/>
      <c r="NN38" s="93"/>
      <c r="NO38" s="93"/>
      <c r="NP38" s="93"/>
      <c r="NQ38" s="93"/>
      <c r="NR38" s="93"/>
      <c r="NS38" s="93"/>
      <c r="NT38" s="93"/>
      <c r="NU38" s="93"/>
      <c r="NV38" s="93"/>
      <c r="NW38" s="93"/>
      <c r="NX38" s="93"/>
      <c r="NY38" s="93"/>
      <c r="NZ38" s="93"/>
    </row>
    <row r="39" spans="1:390" ht="15.75" customHeight="1" x14ac:dyDescent="0.3">
      <c r="A39" s="98">
        <v>4861644011</v>
      </c>
      <c r="B39" s="87" t="s">
        <v>392</v>
      </c>
      <c r="C39" s="84" t="s">
        <v>393</v>
      </c>
      <c r="D39" s="87" t="s">
        <v>392</v>
      </c>
      <c r="E39" s="93" t="s">
        <v>510</v>
      </c>
      <c r="F39" s="93" t="s">
        <v>511</v>
      </c>
      <c r="G39" s="93" t="s">
        <v>443</v>
      </c>
      <c r="H39" s="166">
        <v>44510</v>
      </c>
      <c r="I39" s="93" t="s">
        <v>512</v>
      </c>
      <c r="J39" s="234" t="s">
        <v>398</v>
      </c>
      <c r="K39" s="93" t="s">
        <v>399</v>
      </c>
      <c r="L39" s="93" t="s">
        <v>399</v>
      </c>
      <c r="M39" s="93" t="s">
        <v>399</v>
      </c>
      <c r="N39" s="93" t="s">
        <v>399</v>
      </c>
      <c r="O39" s="93" t="s">
        <v>399</v>
      </c>
      <c r="P39" s="93" t="s">
        <v>399</v>
      </c>
      <c r="Q39" s="93" t="s">
        <v>399</v>
      </c>
      <c r="R39" s="93" t="s">
        <v>399</v>
      </c>
      <c r="S39" s="93" t="s">
        <v>399</v>
      </c>
      <c r="T39" s="93" t="s">
        <v>399</v>
      </c>
      <c r="U39" s="93" t="s">
        <v>399</v>
      </c>
      <c r="V39" s="93" t="s">
        <v>399</v>
      </c>
      <c r="W39" s="93" t="s">
        <v>399</v>
      </c>
      <c r="X39" s="93" t="s">
        <v>399</v>
      </c>
      <c r="Y39" s="93" t="s">
        <v>399</v>
      </c>
      <c r="Z39" s="93" t="s">
        <v>399</v>
      </c>
      <c r="AA39" s="93" t="s">
        <v>399</v>
      </c>
      <c r="AB39" s="152" t="s">
        <v>400</v>
      </c>
      <c r="AC39" s="166">
        <v>21539</v>
      </c>
      <c r="AD39" s="167">
        <v>44461</v>
      </c>
      <c r="AE39" s="164">
        <f t="shared" si="1"/>
        <v>62</v>
      </c>
      <c r="AF39" s="108" t="s">
        <v>401</v>
      </c>
      <c r="AG39" s="87" t="s">
        <v>402</v>
      </c>
      <c r="AH39" s="163" t="s">
        <v>405</v>
      </c>
      <c r="AI39" s="163" t="s">
        <v>418</v>
      </c>
      <c r="AJ39" s="163">
        <v>0</v>
      </c>
      <c r="AK39" s="163" t="s">
        <v>405</v>
      </c>
      <c r="AL39" s="172">
        <v>0</v>
      </c>
      <c r="AM39" s="89" t="s">
        <v>419</v>
      </c>
      <c r="AN39" s="170">
        <v>1</v>
      </c>
      <c r="AO39" s="109" t="s">
        <v>399</v>
      </c>
      <c r="AP39" s="88"/>
      <c r="AQ39" s="95"/>
      <c r="AR39" s="88"/>
      <c r="AS39" s="93"/>
      <c r="AT39" s="93"/>
      <c r="AU39" s="93"/>
      <c r="AV39" s="93"/>
      <c r="AW39" s="88"/>
      <c r="AX39" s="93"/>
      <c r="AY39" s="93"/>
      <c r="AZ39" s="93"/>
      <c r="BA39" s="93"/>
      <c r="BB39" s="88"/>
      <c r="BC39" s="93"/>
      <c r="BD39" s="93"/>
      <c r="BE39" s="93"/>
      <c r="BF39" s="93"/>
      <c r="BG39" s="88"/>
      <c r="BH39" s="93"/>
      <c r="BI39" s="93"/>
      <c r="BJ39" s="93"/>
      <c r="BK39" s="93"/>
      <c r="BL39" s="88"/>
      <c r="BM39" s="93"/>
      <c r="BN39" s="93"/>
      <c r="BO39" s="93"/>
      <c r="BP39" s="93"/>
      <c r="BQ39" s="88"/>
      <c r="BR39" s="93"/>
      <c r="BS39" s="93"/>
      <c r="BT39" s="93"/>
      <c r="BU39" s="93"/>
      <c r="BV39" s="88"/>
      <c r="BW39" s="93"/>
      <c r="BX39" s="93"/>
      <c r="BY39" s="93"/>
      <c r="BZ39" s="93"/>
      <c r="CA39" s="88"/>
      <c r="CB39" s="93"/>
      <c r="CC39" s="93"/>
      <c r="CD39" s="93"/>
      <c r="CE39" s="93"/>
      <c r="CF39" s="88"/>
      <c r="CG39" s="93"/>
      <c r="CH39" s="93"/>
      <c r="CI39" s="93"/>
      <c r="CJ39" s="93"/>
      <c r="CK39" s="88"/>
      <c r="CL39" s="93"/>
      <c r="CM39" s="93"/>
      <c r="CN39" s="93"/>
      <c r="CO39" s="93"/>
      <c r="CP39" s="88"/>
      <c r="CQ39" s="93"/>
      <c r="CR39" s="93"/>
      <c r="CS39" s="93"/>
      <c r="CT39" s="93"/>
      <c r="CU39" s="88"/>
      <c r="CV39" s="93"/>
      <c r="CW39" s="93"/>
      <c r="CX39" s="93"/>
      <c r="CY39" s="93"/>
      <c r="CZ39" s="88"/>
      <c r="DA39" s="93"/>
      <c r="DB39" s="93"/>
      <c r="DC39" s="93"/>
      <c r="DD39" s="93"/>
      <c r="DE39" s="88"/>
      <c r="DF39" s="93"/>
      <c r="DG39" s="93"/>
      <c r="DH39" s="93"/>
      <c r="DI39" s="93"/>
      <c r="DJ39" s="88"/>
      <c r="DK39" s="93"/>
      <c r="DL39" s="93"/>
      <c r="DM39" s="93"/>
      <c r="DN39" s="93"/>
      <c r="DO39" s="88"/>
      <c r="DP39" s="93"/>
      <c r="DQ39" s="93"/>
      <c r="DR39" s="93"/>
      <c r="DS39" s="93"/>
      <c r="DT39" s="88"/>
      <c r="DU39" s="93"/>
      <c r="DV39" s="93"/>
      <c r="DW39" s="93"/>
      <c r="DX39" s="93"/>
      <c r="DY39" s="88"/>
      <c r="DZ39" s="93"/>
      <c r="EA39" s="93"/>
      <c r="EB39" s="93"/>
      <c r="EC39" s="93"/>
      <c r="ED39" s="88"/>
      <c r="EE39" s="93"/>
      <c r="EF39" s="93"/>
      <c r="EG39" s="93"/>
      <c r="EH39" s="93"/>
      <c r="EI39" s="88"/>
      <c r="EJ39" s="93"/>
      <c r="EK39" s="93"/>
      <c r="EL39" s="93"/>
      <c r="EM39" s="93"/>
      <c r="EN39" s="88"/>
      <c r="EO39" s="93"/>
      <c r="EP39" s="93"/>
      <c r="EQ39" s="93"/>
      <c r="ER39" s="93"/>
      <c r="ES39" s="88"/>
      <c r="ET39" s="93"/>
      <c r="EU39" s="93"/>
      <c r="EV39" s="93"/>
      <c r="EW39" s="93"/>
      <c r="EX39" s="88"/>
      <c r="EY39" s="93"/>
      <c r="EZ39" s="93"/>
      <c r="FA39" s="93"/>
      <c r="FB39" s="93"/>
      <c r="FC39" s="88"/>
      <c r="FD39" s="93"/>
      <c r="FE39" s="93"/>
      <c r="FF39" s="93"/>
      <c r="FG39" s="93"/>
      <c r="FH39" s="88"/>
      <c r="FI39" s="93"/>
      <c r="FJ39" s="93"/>
      <c r="FK39" s="93"/>
      <c r="FL39" s="93"/>
      <c r="FM39" s="93"/>
      <c r="FN39" s="93"/>
      <c r="FO39" s="93"/>
      <c r="FP39" s="93"/>
      <c r="FQ39" s="93"/>
      <c r="FR39" s="93"/>
      <c r="FS39" s="93"/>
      <c r="FT39" s="93"/>
      <c r="FU39" s="93"/>
      <c r="FV39" s="93"/>
      <c r="FW39" s="93"/>
      <c r="FX39" s="93"/>
      <c r="FY39" s="93"/>
      <c r="FZ39" s="93"/>
      <c r="GA39" s="93"/>
      <c r="GB39" s="93"/>
      <c r="GC39" s="93"/>
      <c r="GD39" s="93"/>
      <c r="GE39" s="93"/>
      <c r="GF39" s="93"/>
      <c r="GG39" s="93"/>
      <c r="GH39" s="93"/>
      <c r="GI39" s="93"/>
      <c r="GJ39" s="93"/>
      <c r="GK39" s="93"/>
      <c r="GL39" s="93"/>
      <c r="GM39" s="93"/>
      <c r="GN39" s="93"/>
      <c r="GO39" s="93"/>
      <c r="GP39" s="88"/>
      <c r="GQ39" s="93"/>
      <c r="GR39" s="93"/>
      <c r="GS39" s="93"/>
      <c r="GT39" s="93"/>
      <c r="GU39" s="88"/>
      <c r="GV39" s="93"/>
      <c r="GW39" s="93"/>
      <c r="GX39" s="93"/>
      <c r="GY39" s="93"/>
      <c r="GZ39" s="88"/>
      <c r="HA39" s="93"/>
      <c r="HB39" s="93"/>
      <c r="HC39" s="93"/>
      <c r="HD39" s="93"/>
      <c r="HE39" s="88"/>
      <c r="HF39" s="93"/>
      <c r="HG39" s="93"/>
      <c r="HH39" s="93"/>
      <c r="HI39" s="93"/>
      <c r="HJ39" s="88"/>
      <c r="HK39" s="93"/>
      <c r="HL39" s="93"/>
      <c r="HM39" s="93"/>
      <c r="HN39" s="93"/>
      <c r="HO39" s="88"/>
      <c r="HP39" s="93"/>
      <c r="HQ39" s="93"/>
      <c r="HR39" s="93"/>
      <c r="HS39" s="93"/>
      <c r="HT39" s="88"/>
      <c r="HU39" s="93"/>
      <c r="HV39" s="93"/>
      <c r="HW39" s="93"/>
      <c r="HX39" s="93"/>
      <c r="HY39" s="88"/>
      <c r="HZ39" s="93"/>
      <c r="IA39" s="93"/>
      <c r="IB39" s="93"/>
      <c r="IC39" s="93"/>
      <c r="ID39" s="88"/>
      <c r="IE39" s="93"/>
      <c r="IF39" s="93"/>
      <c r="IG39" s="93"/>
      <c r="IH39" s="93"/>
      <c r="II39" s="88"/>
      <c r="IJ39" s="93"/>
      <c r="IK39" s="93"/>
      <c r="IL39" s="93"/>
      <c r="IM39" s="93"/>
      <c r="IN39" s="88"/>
      <c r="IO39" s="93"/>
      <c r="IP39" s="93"/>
      <c r="IQ39" s="93"/>
      <c r="IR39" s="93"/>
      <c r="IS39" s="88"/>
      <c r="IT39" s="93"/>
      <c r="IU39" s="93"/>
      <c r="IV39" s="93"/>
      <c r="IW39" s="93"/>
      <c r="IX39" s="88"/>
      <c r="IY39" s="93"/>
      <c r="IZ39" s="93"/>
      <c r="JA39" s="93"/>
      <c r="JB39" s="93"/>
      <c r="JC39" s="88"/>
      <c r="JD39" s="93"/>
      <c r="JE39" s="93"/>
      <c r="JF39" s="93"/>
      <c r="JG39" s="94"/>
      <c r="JH39" s="88"/>
      <c r="JI39" s="95"/>
      <c r="JJ39" s="93"/>
      <c r="JK39" s="93"/>
      <c r="JL39" s="94"/>
      <c r="JM39" s="89"/>
      <c r="JN39" s="96"/>
      <c r="JO39" s="84"/>
      <c r="JP39" s="95"/>
      <c r="JQ39" s="93"/>
      <c r="JR39" s="93"/>
      <c r="JS39" s="93"/>
      <c r="JT39" s="93"/>
      <c r="JU39" s="93"/>
      <c r="JV39" s="93"/>
      <c r="JW39" s="93"/>
      <c r="JX39" s="93"/>
      <c r="JY39" s="93"/>
      <c r="JZ39" s="93"/>
      <c r="KA39" s="93"/>
      <c r="KB39" s="93"/>
      <c r="KC39" s="93"/>
      <c r="KD39" s="93"/>
      <c r="KE39" s="93"/>
      <c r="KF39" s="93"/>
      <c r="KG39" s="93"/>
      <c r="KH39" s="93"/>
      <c r="KI39" s="93"/>
      <c r="KJ39" s="93"/>
      <c r="KK39" s="93"/>
      <c r="KL39" s="93"/>
      <c r="KM39" s="93"/>
      <c r="KN39" s="93"/>
      <c r="KO39" s="93"/>
      <c r="KP39" s="93"/>
      <c r="KQ39" s="93"/>
      <c r="KR39" s="93"/>
      <c r="KS39" s="93"/>
      <c r="KT39" s="93"/>
      <c r="KU39" s="93"/>
      <c r="KV39" s="93"/>
      <c r="KW39" s="93"/>
      <c r="KX39" s="93"/>
      <c r="KY39" s="93"/>
      <c r="KZ39" s="93"/>
      <c r="LA39" s="93"/>
      <c r="LB39" s="93"/>
      <c r="LC39" s="93"/>
      <c r="LD39" s="93"/>
      <c r="LE39" s="93"/>
      <c r="LF39" s="93"/>
      <c r="LG39" s="93"/>
      <c r="LH39" s="93"/>
      <c r="LI39" s="93"/>
      <c r="LJ39" s="93"/>
      <c r="LK39" s="93"/>
      <c r="LL39" s="93"/>
      <c r="LM39" s="93"/>
      <c r="LN39" s="93"/>
      <c r="LO39" s="93"/>
      <c r="LP39" s="93"/>
      <c r="LQ39" s="93"/>
      <c r="LR39" s="93"/>
      <c r="LS39" s="93"/>
      <c r="LT39" s="93"/>
      <c r="LU39" s="93"/>
      <c r="LV39" s="93"/>
      <c r="LW39" s="93"/>
      <c r="LX39" s="93"/>
      <c r="LY39" s="93"/>
      <c r="LZ39" s="93"/>
      <c r="MA39" s="93"/>
      <c r="MB39" s="93"/>
      <c r="MC39" s="93"/>
      <c r="MD39" s="93"/>
      <c r="ME39" s="93"/>
      <c r="MF39" s="93"/>
      <c r="MG39" s="93"/>
      <c r="MH39" s="93"/>
      <c r="MI39" s="93"/>
      <c r="MJ39" s="93"/>
      <c r="MK39" s="93"/>
      <c r="ML39" s="93"/>
      <c r="MM39" s="93"/>
      <c r="MN39" s="93"/>
      <c r="MO39" s="93"/>
      <c r="MP39" s="93"/>
      <c r="MQ39" s="93"/>
      <c r="MR39" s="93"/>
      <c r="MS39" s="93"/>
      <c r="MT39" s="93"/>
      <c r="MU39" s="93"/>
      <c r="MV39" s="93"/>
      <c r="MW39" s="93"/>
      <c r="MX39" s="93"/>
      <c r="MY39" s="93"/>
      <c r="MZ39" s="93"/>
      <c r="NA39" s="93"/>
      <c r="NB39" s="93"/>
      <c r="NC39" s="93"/>
      <c r="ND39" s="93"/>
      <c r="NE39" s="93"/>
      <c r="NF39" s="93"/>
      <c r="NG39" s="93"/>
      <c r="NH39" s="93"/>
      <c r="NI39" s="93"/>
      <c r="NJ39" s="93"/>
      <c r="NK39" s="93"/>
      <c r="NL39" s="93"/>
      <c r="NM39" s="93"/>
      <c r="NN39" s="93"/>
      <c r="NO39" s="93"/>
      <c r="NP39" s="93"/>
      <c r="NQ39" s="93"/>
      <c r="NR39" s="93"/>
      <c r="NS39" s="93"/>
      <c r="NT39" s="93"/>
      <c r="NU39" s="93"/>
      <c r="NV39" s="93"/>
      <c r="NW39" s="93"/>
      <c r="NX39" s="93"/>
      <c r="NY39" s="93"/>
      <c r="NZ39" s="93"/>
    </row>
    <row r="40" spans="1:390" ht="15.75" customHeight="1" x14ac:dyDescent="0.3">
      <c r="A40" s="98">
        <v>4584217416</v>
      </c>
      <c r="B40" s="87" t="s">
        <v>392</v>
      </c>
      <c r="C40" s="84" t="s">
        <v>393</v>
      </c>
      <c r="D40" s="87" t="s">
        <v>392</v>
      </c>
      <c r="E40" s="93" t="s">
        <v>513</v>
      </c>
      <c r="F40" s="93" t="s">
        <v>432</v>
      </c>
      <c r="G40" s="93" t="s">
        <v>514</v>
      </c>
      <c r="H40" s="166">
        <v>44487</v>
      </c>
      <c r="I40" s="93" t="s">
        <v>515</v>
      </c>
      <c r="J40" s="234" t="s">
        <v>398</v>
      </c>
      <c r="K40" s="93" t="s">
        <v>399</v>
      </c>
      <c r="L40" s="93" t="s">
        <v>399</v>
      </c>
      <c r="M40" s="93" t="s">
        <v>399</v>
      </c>
      <c r="N40" s="93" t="s">
        <v>399</v>
      </c>
      <c r="O40" s="93" t="s">
        <v>399</v>
      </c>
      <c r="P40" s="93" t="s">
        <v>399</v>
      </c>
      <c r="Q40" s="93" t="s">
        <v>399</v>
      </c>
      <c r="R40" s="93" t="s">
        <v>399</v>
      </c>
      <c r="S40" s="93" t="s">
        <v>399</v>
      </c>
      <c r="T40" s="93" t="s">
        <v>399</v>
      </c>
      <c r="U40" s="93" t="s">
        <v>399</v>
      </c>
      <c r="V40" s="93" t="s">
        <v>399</v>
      </c>
      <c r="W40" s="93" t="s">
        <v>399</v>
      </c>
      <c r="X40" s="93" t="s">
        <v>399</v>
      </c>
      <c r="Y40" s="93" t="s">
        <v>399</v>
      </c>
      <c r="Z40" s="93" t="s">
        <v>399</v>
      </c>
      <c r="AA40" s="93" t="s">
        <v>399</v>
      </c>
      <c r="AB40" s="152" t="s">
        <v>400</v>
      </c>
      <c r="AC40" s="166">
        <v>21012</v>
      </c>
      <c r="AD40" s="167">
        <v>44442</v>
      </c>
      <c r="AE40" s="164">
        <f t="shared" si="1"/>
        <v>64</v>
      </c>
      <c r="AF40" s="108" t="s">
        <v>401</v>
      </c>
      <c r="AG40" s="87" t="s">
        <v>402</v>
      </c>
      <c r="AH40" s="163" t="s">
        <v>403</v>
      </c>
      <c r="AI40" s="163" t="s">
        <v>404</v>
      </c>
      <c r="AJ40" s="163">
        <v>0</v>
      </c>
      <c r="AK40" s="163" t="s">
        <v>405</v>
      </c>
      <c r="AL40" s="172">
        <v>0</v>
      </c>
      <c r="AM40" s="89" t="s">
        <v>406</v>
      </c>
      <c r="AN40" s="170">
        <v>2</v>
      </c>
      <c r="AO40" s="109" t="s">
        <v>399</v>
      </c>
      <c r="AP40" s="88"/>
      <c r="AQ40" s="95"/>
      <c r="AR40" s="88"/>
      <c r="AS40" s="93"/>
      <c r="AT40" s="93"/>
      <c r="AU40" s="93"/>
      <c r="AV40" s="93"/>
      <c r="AW40" s="88"/>
      <c r="AX40" s="93"/>
      <c r="AY40" s="93"/>
      <c r="AZ40" s="93"/>
      <c r="BA40" s="93"/>
      <c r="BB40" s="88"/>
      <c r="BC40" s="93"/>
      <c r="BD40" s="93"/>
      <c r="BE40" s="93"/>
      <c r="BF40" s="93"/>
      <c r="BG40" s="88"/>
      <c r="BH40" s="93"/>
      <c r="BI40" s="93"/>
      <c r="BJ40" s="93"/>
      <c r="BK40" s="93"/>
      <c r="BL40" s="88"/>
      <c r="BM40" s="93"/>
      <c r="BN40" s="93"/>
      <c r="BO40" s="93"/>
      <c r="BP40" s="93"/>
      <c r="BQ40" s="88"/>
      <c r="BR40" s="93"/>
      <c r="BS40" s="93"/>
      <c r="BT40" s="93"/>
      <c r="BU40" s="93"/>
      <c r="BV40" s="88"/>
      <c r="BW40" s="93"/>
      <c r="BX40" s="93"/>
      <c r="BY40" s="93"/>
      <c r="BZ40" s="93"/>
      <c r="CA40" s="88"/>
      <c r="CB40" s="93"/>
      <c r="CC40" s="93"/>
      <c r="CD40" s="93"/>
      <c r="CE40" s="93"/>
      <c r="CF40" s="88"/>
      <c r="CG40" s="93"/>
      <c r="CH40" s="93"/>
      <c r="CI40" s="93"/>
      <c r="CJ40" s="93"/>
      <c r="CK40" s="88"/>
      <c r="CL40" s="93"/>
      <c r="CM40" s="93"/>
      <c r="CN40" s="93"/>
      <c r="CO40" s="93"/>
      <c r="CP40" s="88"/>
      <c r="CQ40" s="93"/>
      <c r="CR40" s="93"/>
      <c r="CS40" s="93"/>
      <c r="CT40" s="93"/>
      <c r="CU40" s="88"/>
      <c r="CV40" s="93"/>
      <c r="CW40" s="93"/>
      <c r="CX40" s="93"/>
      <c r="CY40" s="93"/>
      <c r="CZ40" s="88"/>
      <c r="DA40" s="93"/>
      <c r="DB40" s="93"/>
      <c r="DC40" s="93"/>
      <c r="DD40" s="93"/>
      <c r="DE40" s="88"/>
      <c r="DF40" s="93"/>
      <c r="DG40" s="93"/>
      <c r="DH40" s="93"/>
      <c r="DI40" s="93"/>
      <c r="DJ40" s="88"/>
      <c r="DK40" s="93"/>
      <c r="DL40" s="93"/>
      <c r="DM40" s="93"/>
      <c r="DN40" s="93"/>
      <c r="DO40" s="88"/>
      <c r="DP40" s="93"/>
      <c r="DQ40" s="93"/>
      <c r="DR40" s="93"/>
      <c r="DS40" s="93"/>
      <c r="DT40" s="88"/>
      <c r="DU40" s="93"/>
      <c r="DV40" s="93"/>
      <c r="DW40" s="93"/>
      <c r="DX40" s="93"/>
      <c r="DY40" s="88"/>
      <c r="DZ40" s="93"/>
      <c r="EA40" s="93"/>
      <c r="EB40" s="93"/>
      <c r="EC40" s="93"/>
      <c r="ED40" s="88"/>
      <c r="EE40" s="93"/>
      <c r="EF40" s="93"/>
      <c r="EG40" s="93"/>
      <c r="EH40" s="93"/>
      <c r="EI40" s="88"/>
      <c r="EJ40" s="93"/>
      <c r="EK40" s="93"/>
      <c r="EL40" s="93"/>
      <c r="EM40" s="93"/>
      <c r="EN40" s="88"/>
      <c r="EO40" s="93"/>
      <c r="EP40" s="93"/>
      <c r="EQ40" s="93"/>
      <c r="ER40" s="93"/>
      <c r="ES40" s="88"/>
      <c r="ET40" s="93"/>
      <c r="EU40" s="93"/>
      <c r="EV40" s="93"/>
      <c r="EW40" s="93"/>
      <c r="EX40" s="88"/>
      <c r="EY40" s="93"/>
      <c r="EZ40" s="93"/>
      <c r="FA40" s="93"/>
      <c r="FB40" s="93"/>
      <c r="FC40" s="88"/>
      <c r="FD40" s="93"/>
      <c r="FE40" s="93"/>
      <c r="FF40" s="93"/>
      <c r="FG40" s="93"/>
      <c r="FH40" s="88"/>
      <c r="FI40" s="93"/>
      <c r="FJ40" s="93"/>
      <c r="FK40" s="93"/>
      <c r="FL40" s="93"/>
      <c r="FM40" s="93"/>
      <c r="FN40" s="93"/>
      <c r="FO40" s="93"/>
      <c r="FP40" s="93"/>
      <c r="FQ40" s="93"/>
      <c r="FR40" s="93"/>
      <c r="FS40" s="93"/>
      <c r="FT40" s="93"/>
      <c r="FU40" s="93"/>
      <c r="FV40" s="93"/>
      <c r="FW40" s="93"/>
      <c r="FX40" s="93"/>
      <c r="FY40" s="93"/>
      <c r="FZ40" s="93"/>
      <c r="GA40" s="93"/>
      <c r="GB40" s="93"/>
      <c r="GC40" s="93"/>
      <c r="GD40" s="93"/>
      <c r="GE40" s="93"/>
      <c r="GF40" s="93"/>
      <c r="GG40" s="93"/>
      <c r="GH40" s="93"/>
      <c r="GI40" s="93"/>
      <c r="GJ40" s="93"/>
      <c r="GK40" s="93"/>
      <c r="GL40" s="93"/>
      <c r="GM40" s="93"/>
      <c r="GN40" s="93"/>
      <c r="GO40" s="93"/>
      <c r="GP40" s="88"/>
      <c r="GQ40" s="93"/>
      <c r="GR40" s="93"/>
      <c r="GS40" s="93"/>
      <c r="GT40" s="93"/>
      <c r="GU40" s="88"/>
      <c r="GV40" s="93"/>
      <c r="GW40" s="93"/>
      <c r="GX40" s="93"/>
      <c r="GY40" s="93"/>
      <c r="GZ40" s="88"/>
      <c r="HA40" s="93"/>
      <c r="HB40" s="93"/>
      <c r="HC40" s="93"/>
      <c r="HD40" s="93"/>
      <c r="HE40" s="88"/>
      <c r="HF40" s="93"/>
      <c r="HG40" s="93"/>
      <c r="HH40" s="93"/>
      <c r="HI40" s="93"/>
      <c r="HJ40" s="88"/>
      <c r="HK40" s="93"/>
      <c r="HL40" s="93"/>
      <c r="HM40" s="93"/>
      <c r="HN40" s="93"/>
      <c r="HO40" s="88"/>
      <c r="HP40" s="93"/>
      <c r="HQ40" s="93"/>
      <c r="HR40" s="93"/>
      <c r="HS40" s="93"/>
      <c r="HT40" s="88"/>
      <c r="HU40" s="93"/>
      <c r="HV40" s="93"/>
      <c r="HW40" s="93"/>
      <c r="HX40" s="93"/>
      <c r="HY40" s="88"/>
      <c r="HZ40" s="93"/>
      <c r="IA40" s="93"/>
      <c r="IB40" s="93"/>
      <c r="IC40" s="93"/>
      <c r="ID40" s="88"/>
      <c r="IE40" s="93"/>
      <c r="IF40" s="93"/>
      <c r="IG40" s="93"/>
      <c r="IH40" s="93"/>
      <c r="II40" s="88"/>
      <c r="IJ40" s="93"/>
      <c r="IK40" s="93"/>
      <c r="IL40" s="93"/>
      <c r="IM40" s="93"/>
      <c r="IN40" s="88"/>
      <c r="IO40" s="93"/>
      <c r="IP40" s="93"/>
      <c r="IQ40" s="93"/>
      <c r="IR40" s="93"/>
      <c r="IS40" s="88"/>
      <c r="IT40" s="93"/>
      <c r="IU40" s="93"/>
      <c r="IV40" s="93"/>
      <c r="IW40" s="93"/>
      <c r="IX40" s="88"/>
      <c r="IY40" s="93"/>
      <c r="IZ40" s="93"/>
      <c r="JA40" s="93"/>
      <c r="JB40" s="93"/>
      <c r="JC40" s="88"/>
      <c r="JD40" s="93"/>
      <c r="JE40" s="93"/>
      <c r="JF40" s="93"/>
      <c r="JG40" s="94"/>
      <c r="JH40" s="88"/>
      <c r="JI40" s="95"/>
      <c r="JJ40" s="93"/>
      <c r="JK40" s="93"/>
      <c r="JL40" s="94"/>
      <c r="JM40" s="89"/>
      <c r="JN40" s="96"/>
      <c r="JO40" s="84"/>
      <c r="JP40" s="95"/>
      <c r="JQ40" s="93"/>
      <c r="JR40" s="93"/>
      <c r="JS40" s="93"/>
      <c r="JT40" s="93"/>
      <c r="JU40" s="93"/>
      <c r="JV40" s="93"/>
      <c r="JW40" s="93"/>
      <c r="JX40" s="93"/>
      <c r="JY40" s="93"/>
      <c r="JZ40" s="93"/>
      <c r="KA40" s="93"/>
      <c r="KB40" s="93"/>
      <c r="KC40" s="93"/>
      <c r="KD40" s="93"/>
      <c r="KE40" s="93"/>
      <c r="KF40" s="93"/>
      <c r="KG40" s="93"/>
      <c r="KH40" s="93"/>
      <c r="KI40" s="93"/>
      <c r="KJ40" s="93"/>
      <c r="KK40" s="93"/>
      <c r="KL40" s="93"/>
      <c r="KM40" s="93"/>
      <c r="KN40" s="93"/>
      <c r="KO40" s="93"/>
      <c r="KP40" s="93"/>
      <c r="KQ40" s="93"/>
      <c r="KR40" s="93"/>
      <c r="KS40" s="93"/>
      <c r="KT40" s="93"/>
      <c r="KU40" s="93"/>
      <c r="KV40" s="93"/>
      <c r="KW40" s="93"/>
      <c r="KX40" s="93"/>
      <c r="KY40" s="93"/>
      <c r="KZ40" s="93"/>
      <c r="LA40" s="93"/>
      <c r="LB40" s="93"/>
      <c r="LC40" s="93"/>
      <c r="LD40" s="93"/>
      <c r="LE40" s="93"/>
      <c r="LF40" s="93"/>
      <c r="LG40" s="93"/>
      <c r="LH40" s="93"/>
      <c r="LI40" s="93"/>
      <c r="LJ40" s="93"/>
      <c r="LK40" s="93"/>
      <c r="LL40" s="93"/>
      <c r="LM40" s="93"/>
      <c r="LN40" s="93"/>
      <c r="LO40" s="93"/>
      <c r="LP40" s="93"/>
      <c r="LQ40" s="93"/>
      <c r="LR40" s="93"/>
      <c r="LS40" s="93"/>
      <c r="LT40" s="93"/>
      <c r="LU40" s="93"/>
      <c r="LV40" s="93"/>
      <c r="LW40" s="93"/>
      <c r="LX40" s="93"/>
      <c r="LY40" s="93"/>
      <c r="LZ40" s="93"/>
      <c r="MA40" s="93"/>
      <c r="MB40" s="93"/>
      <c r="MC40" s="93"/>
      <c r="MD40" s="93"/>
      <c r="ME40" s="93"/>
      <c r="MF40" s="93"/>
      <c r="MG40" s="93"/>
      <c r="MH40" s="93"/>
      <c r="MI40" s="93"/>
      <c r="MJ40" s="93"/>
      <c r="MK40" s="93"/>
      <c r="ML40" s="93"/>
      <c r="MM40" s="93"/>
      <c r="MN40" s="93"/>
      <c r="MO40" s="93"/>
      <c r="MP40" s="93"/>
      <c r="MQ40" s="93"/>
      <c r="MR40" s="93"/>
      <c r="MS40" s="93"/>
      <c r="MT40" s="93"/>
      <c r="MU40" s="93"/>
      <c r="MV40" s="93"/>
      <c r="MW40" s="93"/>
      <c r="MX40" s="93"/>
      <c r="MY40" s="93"/>
      <c r="MZ40" s="93"/>
      <c r="NA40" s="93"/>
      <c r="NB40" s="93"/>
      <c r="NC40" s="93"/>
      <c r="ND40" s="93"/>
      <c r="NE40" s="93"/>
      <c r="NF40" s="93"/>
      <c r="NG40" s="93"/>
      <c r="NH40" s="93"/>
      <c r="NI40" s="93"/>
      <c r="NJ40" s="93"/>
      <c r="NK40" s="93"/>
      <c r="NL40" s="93"/>
      <c r="NM40" s="93"/>
      <c r="NN40" s="93"/>
      <c r="NO40" s="93"/>
      <c r="NP40" s="93"/>
      <c r="NQ40" s="93"/>
      <c r="NR40" s="93"/>
      <c r="NS40" s="93"/>
      <c r="NT40" s="93"/>
      <c r="NU40" s="93"/>
      <c r="NV40" s="93"/>
      <c r="NW40" s="93"/>
      <c r="NX40" s="93"/>
      <c r="NY40" s="93"/>
      <c r="NZ40" s="93"/>
    </row>
    <row r="41" spans="1:390" ht="15.75" customHeight="1" x14ac:dyDescent="0.3">
      <c r="A41" s="98">
        <v>6289443755</v>
      </c>
      <c r="B41" s="87" t="s">
        <v>392</v>
      </c>
      <c r="C41" s="84" t="s">
        <v>393</v>
      </c>
      <c r="D41" s="87" t="s">
        <v>392</v>
      </c>
      <c r="E41" s="93" t="s">
        <v>516</v>
      </c>
      <c r="F41" s="93" t="s">
        <v>517</v>
      </c>
      <c r="G41" s="93" t="s">
        <v>474</v>
      </c>
      <c r="H41" s="166">
        <v>44586</v>
      </c>
      <c r="I41" s="93" t="s">
        <v>518</v>
      </c>
      <c r="J41" s="234" t="s">
        <v>398</v>
      </c>
      <c r="K41" s="93" t="s">
        <v>399</v>
      </c>
      <c r="L41" s="93" t="s">
        <v>399</v>
      </c>
      <c r="M41" s="93" t="s">
        <v>399</v>
      </c>
      <c r="N41" s="93" t="s">
        <v>399</v>
      </c>
      <c r="O41" s="93" t="s">
        <v>399</v>
      </c>
      <c r="P41" s="93" t="s">
        <v>399</v>
      </c>
      <c r="Q41" s="93" t="s">
        <v>399</v>
      </c>
      <c r="R41" s="93" t="s">
        <v>399</v>
      </c>
      <c r="S41" s="93" t="s">
        <v>399</v>
      </c>
      <c r="T41" s="93" t="s">
        <v>399</v>
      </c>
      <c r="U41" s="93" t="s">
        <v>399</v>
      </c>
      <c r="V41" s="93" t="s">
        <v>399</v>
      </c>
      <c r="W41" s="93" t="s">
        <v>399</v>
      </c>
      <c r="X41" s="93" t="s">
        <v>399</v>
      </c>
      <c r="Y41" s="93" t="s">
        <v>399</v>
      </c>
      <c r="Z41" s="93" t="s">
        <v>399</v>
      </c>
      <c r="AA41" s="93" t="s">
        <v>399</v>
      </c>
      <c r="AB41" s="152" t="s">
        <v>400</v>
      </c>
      <c r="AC41" s="166">
        <v>19793</v>
      </c>
      <c r="AD41" s="167">
        <v>44483</v>
      </c>
      <c r="AE41" s="164">
        <f t="shared" si="1"/>
        <v>67</v>
      </c>
      <c r="AF41" s="108" t="s">
        <v>401</v>
      </c>
      <c r="AG41" s="87" t="s">
        <v>402</v>
      </c>
      <c r="AH41" s="163" t="s">
        <v>403</v>
      </c>
      <c r="AI41" s="163" t="s">
        <v>404</v>
      </c>
      <c r="AJ41" s="163">
        <v>0</v>
      </c>
      <c r="AK41" s="163" t="s">
        <v>405</v>
      </c>
      <c r="AL41" s="172">
        <v>0</v>
      </c>
      <c r="AM41" s="89" t="s">
        <v>406</v>
      </c>
      <c r="AN41" s="170">
        <v>3</v>
      </c>
      <c r="AO41" s="109" t="s">
        <v>399</v>
      </c>
      <c r="AP41" s="88"/>
      <c r="AQ41" s="95"/>
      <c r="AR41" s="88"/>
      <c r="AS41" s="93"/>
      <c r="AT41" s="93"/>
      <c r="AU41" s="93"/>
      <c r="AV41" s="93"/>
      <c r="AW41" s="88"/>
      <c r="AX41" s="93"/>
      <c r="AY41" s="93"/>
      <c r="AZ41" s="93"/>
      <c r="BA41" s="93"/>
      <c r="BB41" s="88"/>
      <c r="BC41" s="93"/>
      <c r="BD41" s="93"/>
      <c r="BE41" s="93"/>
      <c r="BF41" s="93"/>
      <c r="BG41" s="88"/>
      <c r="BH41" s="93"/>
      <c r="BI41" s="93"/>
      <c r="BJ41" s="93"/>
      <c r="BK41" s="93"/>
      <c r="BL41" s="88"/>
      <c r="BM41" s="93"/>
      <c r="BN41" s="93"/>
      <c r="BO41" s="93"/>
      <c r="BP41" s="93"/>
      <c r="BQ41" s="88"/>
      <c r="BR41" s="93"/>
      <c r="BS41" s="93"/>
      <c r="BT41" s="93"/>
      <c r="BU41" s="93"/>
      <c r="BV41" s="88"/>
      <c r="BW41" s="93"/>
      <c r="BX41" s="93"/>
      <c r="BY41" s="93"/>
      <c r="BZ41" s="93"/>
      <c r="CA41" s="88"/>
      <c r="CB41" s="93"/>
      <c r="CC41" s="93"/>
      <c r="CD41" s="93"/>
      <c r="CE41" s="93"/>
      <c r="CF41" s="88"/>
      <c r="CG41" s="93"/>
      <c r="CH41" s="93"/>
      <c r="CI41" s="93"/>
      <c r="CJ41" s="93"/>
      <c r="CK41" s="88"/>
      <c r="CL41" s="93"/>
      <c r="CM41" s="93"/>
      <c r="CN41" s="93"/>
      <c r="CO41" s="93"/>
      <c r="CP41" s="88"/>
      <c r="CQ41" s="93"/>
      <c r="CR41" s="93"/>
      <c r="CS41" s="93"/>
      <c r="CT41" s="93"/>
      <c r="CU41" s="88"/>
      <c r="CV41" s="93"/>
      <c r="CW41" s="93"/>
      <c r="CX41" s="93"/>
      <c r="CY41" s="93"/>
      <c r="CZ41" s="88"/>
      <c r="DA41" s="93"/>
      <c r="DB41" s="93"/>
      <c r="DC41" s="93"/>
      <c r="DD41" s="93"/>
      <c r="DE41" s="88"/>
      <c r="DF41" s="93"/>
      <c r="DG41" s="93"/>
      <c r="DH41" s="93"/>
      <c r="DI41" s="93"/>
      <c r="DJ41" s="88"/>
      <c r="DK41" s="93"/>
      <c r="DL41" s="93"/>
      <c r="DM41" s="93"/>
      <c r="DN41" s="93"/>
      <c r="DO41" s="88"/>
      <c r="DP41" s="93"/>
      <c r="DQ41" s="93"/>
      <c r="DR41" s="93"/>
      <c r="DS41" s="93"/>
      <c r="DT41" s="88"/>
      <c r="DU41" s="93"/>
      <c r="DV41" s="93"/>
      <c r="DW41" s="93"/>
      <c r="DX41" s="93"/>
      <c r="DY41" s="88"/>
      <c r="DZ41" s="93"/>
      <c r="EA41" s="93"/>
      <c r="EB41" s="93"/>
      <c r="EC41" s="93"/>
      <c r="ED41" s="88"/>
      <c r="EE41" s="93"/>
      <c r="EF41" s="93"/>
      <c r="EG41" s="93"/>
      <c r="EH41" s="93"/>
      <c r="EI41" s="88"/>
      <c r="EJ41" s="93"/>
      <c r="EK41" s="93"/>
      <c r="EL41" s="93"/>
      <c r="EM41" s="93"/>
      <c r="EN41" s="88"/>
      <c r="EO41" s="93"/>
      <c r="EP41" s="93"/>
      <c r="EQ41" s="93"/>
      <c r="ER41" s="93"/>
      <c r="ES41" s="88"/>
      <c r="ET41" s="93"/>
      <c r="EU41" s="93"/>
      <c r="EV41" s="93"/>
      <c r="EW41" s="93"/>
      <c r="EX41" s="88"/>
      <c r="EY41" s="93"/>
      <c r="EZ41" s="93"/>
      <c r="FA41" s="93"/>
      <c r="FB41" s="93"/>
      <c r="FC41" s="88"/>
      <c r="FD41" s="93"/>
      <c r="FE41" s="93"/>
      <c r="FF41" s="93"/>
      <c r="FG41" s="93"/>
      <c r="FH41" s="88"/>
      <c r="FI41" s="93"/>
      <c r="FJ41" s="93"/>
      <c r="FK41" s="93"/>
      <c r="FL41" s="93"/>
      <c r="FM41" s="93"/>
      <c r="FN41" s="93"/>
      <c r="FO41" s="93"/>
      <c r="FP41" s="93"/>
      <c r="FQ41" s="93"/>
      <c r="FR41" s="93"/>
      <c r="FS41" s="93"/>
      <c r="FT41" s="93"/>
      <c r="FU41" s="93"/>
      <c r="FV41" s="93"/>
      <c r="FW41" s="93"/>
      <c r="FX41" s="93"/>
      <c r="FY41" s="93"/>
      <c r="FZ41" s="93"/>
      <c r="GA41" s="93"/>
      <c r="GB41" s="93"/>
      <c r="GC41" s="93"/>
      <c r="GD41" s="93"/>
      <c r="GE41" s="93"/>
      <c r="GF41" s="93"/>
      <c r="GG41" s="93"/>
      <c r="GH41" s="93"/>
      <c r="GI41" s="93"/>
      <c r="GJ41" s="93"/>
      <c r="GK41" s="93"/>
      <c r="GL41" s="93"/>
      <c r="GM41" s="93"/>
      <c r="GN41" s="93"/>
      <c r="GO41" s="93"/>
      <c r="GP41" s="88"/>
      <c r="GQ41" s="93"/>
      <c r="GR41" s="93"/>
      <c r="GS41" s="93"/>
      <c r="GT41" s="93"/>
      <c r="GU41" s="88"/>
      <c r="GV41" s="93"/>
      <c r="GW41" s="93"/>
      <c r="GX41" s="93"/>
      <c r="GY41" s="93"/>
      <c r="GZ41" s="88"/>
      <c r="HA41" s="93"/>
      <c r="HB41" s="93"/>
      <c r="HC41" s="93"/>
      <c r="HD41" s="93"/>
      <c r="HE41" s="88"/>
      <c r="HF41" s="93"/>
      <c r="HG41" s="93"/>
      <c r="HH41" s="93"/>
      <c r="HI41" s="93"/>
      <c r="HJ41" s="88"/>
      <c r="HK41" s="93"/>
      <c r="HL41" s="93"/>
      <c r="HM41" s="93"/>
      <c r="HN41" s="93"/>
      <c r="HO41" s="88"/>
      <c r="HP41" s="93"/>
      <c r="HQ41" s="93"/>
      <c r="HR41" s="93"/>
      <c r="HS41" s="93"/>
      <c r="HT41" s="88"/>
      <c r="HU41" s="93"/>
      <c r="HV41" s="93"/>
      <c r="HW41" s="93"/>
      <c r="HX41" s="93"/>
      <c r="HY41" s="88"/>
      <c r="HZ41" s="93"/>
      <c r="IA41" s="93"/>
      <c r="IB41" s="93"/>
      <c r="IC41" s="93"/>
      <c r="ID41" s="88"/>
      <c r="IE41" s="93"/>
      <c r="IF41" s="93"/>
      <c r="IG41" s="93"/>
      <c r="IH41" s="93"/>
      <c r="II41" s="88"/>
      <c r="IJ41" s="93"/>
      <c r="IK41" s="93"/>
      <c r="IL41" s="93"/>
      <c r="IM41" s="93"/>
      <c r="IN41" s="88"/>
      <c r="IO41" s="93"/>
      <c r="IP41" s="93"/>
      <c r="IQ41" s="93"/>
      <c r="IR41" s="93"/>
      <c r="IS41" s="88"/>
      <c r="IT41" s="93"/>
      <c r="IU41" s="93"/>
      <c r="IV41" s="93"/>
      <c r="IW41" s="93"/>
      <c r="IX41" s="88"/>
      <c r="IY41" s="93"/>
      <c r="IZ41" s="93"/>
      <c r="JA41" s="93"/>
      <c r="JB41" s="93"/>
      <c r="JC41" s="88"/>
      <c r="JD41" s="93"/>
      <c r="JE41" s="93"/>
      <c r="JF41" s="93"/>
      <c r="JG41" s="94"/>
      <c r="JH41" s="88"/>
      <c r="JI41" s="95"/>
      <c r="JJ41" s="93"/>
      <c r="JK41" s="93"/>
      <c r="JL41" s="94"/>
      <c r="JM41" s="89"/>
      <c r="JN41" s="96"/>
      <c r="JO41" s="84"/>
      <c r="JP41" s="95"/>
      <c r="JQ41" s="93"/>
      <c r="JR41" s="93"/>
      <c r="JS41" s="93"/>
      <c r="JT41" s="93"/>
      <c r="JU41" s="93"/>
      <c r="JV41" s="93"/>
      <c r="JW41" s="93"/>
      <c r="JX41" s="93"/>
      <c r="JY41" s="93"/>
      <c r="JZ41" s="93"/>
      <c r="KA41" s="93"/>
      <c r="KB41" s="93"/>
      <c r="KC41" s="93"/>
      <c r="KD41" s="93"/>
      <c r="KE41" s="93"/>
      <c r="KF41" s="93"/>
      <c r="KG41" s="93"/>
      <c r="KH41" s="93"/>
      <c r="KI41" s="93"/>
      <c r="KJ41" s="93"/>
      <c r="KK41" s="93"/>
      <c r="KL41" s="93"/>
      <c r="KM41" s="93"/>
      <c r="KN41" s="93"/>
      <c r="KO41" s="93"/>
      <c r="KP41" s="93"/>
      <c r="KQ41" s="93"/>
      <c r="KR41" s="93"/>
      <c r="KS41" s="93"/>
      <c r="KT41" s="93"/>
      <c r="KU41" s="93"/>
      <c r="KV41" s="93"/>
      <c r="KW41" s="93"/>
      <c r="KX41" s="93"/>
      <c r="KY41" s="93"/>
      <c r="KZ41" s="93"/>
      <c r="LA41" s="93"/>
      <c r="LB41" s="93"/>
      <c r="LC41" s="93"/>
      <c r="LD41" s="93"/>
      <c r="LE41" s="93"/>
      <c r="LF41" s="93"/>
      <c r="LG41" s="93"/>
      <c r="LH41" s="93"/>
      <c r="LI41" s="93"/>
      <c r="LJ41" s="93"/>
      <c r="LK41" s="93"/>
      <c r="LL41" s="93"/>
      <c r="LM41" s="93"/>
      <c r="LN41" s="93"/>
      <c r="LO41" s="93"/>
      <c r="LP41" s="93"/>
      <c r="LQ41" s="93"/>
      <c r="LR41" s="93"/>
      <c r="LS41" s="93"/>
      <c r="LT41" s="93"/>
      <c r="LU41" s="93"/>
      <c r="LV41" s="93"/>
      <c r="LW41" s="93"/>
      <c r="LX41" s="93"/>
      <c r="LY41" s="93"/>
      <c r="LZ41" s="93"/>
      <c r="MA41" s="93"/>
      <c r="MB41" s="93"/>
      <c r="MC41" s="93"/>
      <c r="MD41" s="93"/>
      <c r="ME41" s="93"/>
      <c r="MF41" s="93"/>
      <c r="MG41" s="93"/>
      <c r="MH41" s="93"/>
      <c r="MI41" s="93"/>
      <c r="MJ41" s="93"/>
      <c r="MK41" s="93"/>
      <c r="ML41" s="93"/>
      <c r="MM41" s="93"/>
      <c r="MN41" s="93"/>
      <c r="MO41" s="93"/>
      <c r="MP41" s="93"/>
      <c r="MQ41" s="93"/>
      <c r="MR41" s="93"/>
      <c r="MS41" s="93"/>
      <c r="MT41" s="93"/>
      <c r="MU41" s="93"/>
      <c r="MV41" s="93"/>
      <c r="MW41" s="93"/>
      <c r="MX41" s="93"/>
      <c r="MY41" s="93"/>
      <c r="MZ41" s="93"/>
      <c r="NA41" s="93"/>
      <c r="NB41" s="93"/>
      <c r="NC41" s="93"/>
      <c r="ND41" s="93"/>
      <c r="NE41" s="93"/>
      <c r="NF41" s="93"/>
      <c r="NG41" s="93"/>
      <c r="NH41" s="93"/>
      <c r="NI41" s="93"/>
      <c r="NJ41" s="93"/>
      <c r="NK41" s="93"/>
      <c r="NL41" s="93"/>
      <c r="NM41" s="93"/>
      <c r="NN41" s="93"/>
      <c r="NO41" s="93"/>
      <c r="NP41" s="93"/>
      <c r="NQ41" s="93"/>
      <c r="NR41" s="93"/>
      <c r="NS41" s="93"/>
      <c r="NT41" s="93"/>
      <c r="NU41" s="93"/>
      <c r="NV41" s="93"/>
      <c r="NW41" s="93"/>
      <c r="NX41" s="93"/>
      <c r="NY41" s="93"/>
      <c r="NZ41" s="93"/>
    </row>
    <row r="42" spans="1:390" ht="15.75" customHeight="1" x14ac:dyDescent="0.3">
      <c r="A42" s="98">
        <v>4981796587</v>
      </c>
      <c r="B42" s="87" t="s">
        <v>392</v>
      </c>
      <c r="C42" s="84" t="s">
        <v>393</v>
      </c>
      <c r="D42" s="87" t="s">
        <v>392</v>
      </c>
      <c r="E42" s="93" t="s">
        <v>519</v>
      </c>
      <c r="F42" s="93" t="s">
        <v>474</v>
      </c>
      <c r="G42" s="93" t="s">
        <v>520</v>
      </c>
      <c r="H42" s="166">
        <v>44624</v>
      </c>
      <c r="I42" s="93" t="s">
        <v>521</v>
      </c>
      <c r="J42" s="234" t="s">
        <v>398</v>
      </c>
      <c r="K42" s="93" t="s">
        <v>399</v>
      </c>
      <c r="L42" s="93" t="s">
        <v>399</v>
      </c>
      <c r="M42" s="93" t="s">
        <v>399</v>
      </c>
      <c r="N42" s="93" t="s">
        <v>399</v>
      </c>
      <c r="O42" s="93" t="s">
        <v>399</v>
      </c>
      <c r="P42" s="93" t="s">
        <v>399</v>
      </c>
      <c r="Q42" s="93" t="s">
        <v>399</v>
      </c>
      <c r="R42" s="93" t="s">
        <v>399</v>
      </c>
      <c r="S42" s="93" t="s">
        <v>399</v>
      </c>
      <c r="T42" s="93" t="s">
        <v>399</v>
      </c>
      <c r="U42" s="93" t="s">
        <v>399</v>
      </c>
      <c r="V42" s="93" t="s">
        <v>399</v>
      </c>
      <c r="W42" s="93" t="s">
        <v>399</v>
      </c>
      <c r="X42" s="93" t="s">
        <v>399</v>
      </c>
      <c r="Y42" s="93" t="s">
        <v>399</v>
      </c>
      <c r="Z42" s="93" t="s">
        <v>399</v>
      </c>
      <c r="AA42" s="93" t="s">
        <v>399</v>
      </c>
      <c r="AB42" s="152" t="s">
        <v>400</v>
      </c>
      <c r="AC42" s="166">
        <v>19745</v>
      </c>
      <c r="AD42" s="167">
        <v>44567</v>
      </c>
      <c r="AE42" s="164">
        <f t="shared" si="1"/>
        <v>67</v>
      </c>
      <c r="AF42" s="108" t="s">
        <v>435</v>
      </c>
      <c r="AG42" s="87" t="s">
        <v>402</v>
      </c>
      <c r="AH42" s="163" t="s">
        <v>405</v>
      </c>
      <c r="AI42" s="163" t="s">
        <v>405</v>
      </c>
      <c r="AJ42" s="163">
        <v>1</v>
      </c>
      <c r="AK42" s="163" t="s">
        <v>405</v>
      </c>
      <c r="AL42" s="172">
        <v>0</v>
      </c>
      <c r="AM42" s="89" t="s">
        <v>399</v>
      </c>
      <c r="AN42" s="170">
        <v>2</v>
      </c>
      <c r="AO42" s="109" t="s">
        <v>399</v>
      </c>
      <c r="AP42" s="88"/>
      <c r="AQ42" s="95"/>
      <c r="AR42" s="88"/>
      <c r="AS42" s="93"/>
      <c r="AT42" s="93"/>
      <c r="AU42" s="93"/>
      <c r="AV42" s="93"/>
      <c r="AW42" s="88"/>
      <c r="AX42" s="93"/>
      <c r="AY42" s="93"/>
      <c r="AZ42" s="93"/>
      <c r="BA42" s="93"/>
      <c r="BB42" s="88"/>
      <c r="BC42" s="93"/>
      <c r="BD42" s="93"/>
      <c r="BE42" s="93"/>
      <c r="BF42" s="93"/>
      <c r="BG42" s="88"/>
      <c r="BH42" s="93"/>
      <c r="BI42" s="93"/>
      <c r="BJ42" s="93"/>
      <c r="BK42" s="93"/>
      <c r="BL42" s="88"/>
      <c r="BM42" s="93"/>
      <c r="BN42" s="93"/>
      <c r="BO42" s="93"/>
      <c r="BP42" s="93"/>
      <c r="BQ42" s="88"/>
      <c r="BR42" s="93"/>
      <c r="BS42" s="93"/>
      <c r="BT42" s="93"/>
      <c r="BU42" s="93"/>
      <c r="BV42" s="88"/>
      <c r="BW42" s="93"/>
      <c r="BX42" s="93"/>
      <c r="BY42" s="93"/>
      <c r="BZ42" s="93"/>
      <c r="CA42" s="88"/>
      <c r="CB42" s="93"/>
      <c r="CC42" s="93"/>
      <c r="CD42" s="93"/>
      <c r="CE42" s="93"/>
      <c r="CF42" s="88"/>
      <c r="CG42" s="93"/>
      <c r="CH42" s="93"/>
      <c r="CI42" s="93"/>
      <c r="CJ42" s="93"/>
      <c r="CK42" s="88"/>
      <c r="CL42" s="93"/>
      <c r="CM42" s="93"/>
      <c r="CN42" s="93"/>
      <c r="CO42" s="93"/>
      <c r="CP42" s="88"/>
      <c r="CQ42" s="93"/>
      <c r="CR42" s="93"/>
      <c r="CS42" s="93"/>
      <c r="CT42" s="93"/>
      <c r="CU42" s="88"/>
      <c r="CV42" s="93"/>
      <c r="CW42" s="93"/>
      <c r="CX42" s="93"/>
      <c r="CY42" s="93"/>
      <c r="CZ42" s="88"/>
      <c r="DA42" s="93"/>
      <c r="DB42" s="93"/>
      <c r="DC42" s="93"/>
      <c r="DD42" s="93"/>
      <c r="DE42" s="88"/>
      <c r="DF42" s="93"/>
      <c r="DG42" s="93"/>
      <c r="DH42" s="93"/>
      <c r="DI42" s="93"/>
      <c r="DJ42" s="88"/>
      <c r="DK42" s="93"/>
      <c r="DL42" s="93"/>
      <c r="DM42" s="93"/>
      <c r="DN42" s="93"/>
      <c r="DO42" s="88"/>
      <c r="DP42" s="93"/>
      <c r="DQ42" s="93"/>
      <c r="DR42" s="93"/>
      <c r="DS42" s="93"/>
      <c r="DT42" s="88"/>
      <c r="DU42" s="93"/>
      <c r="DV42" s="93"/>
      <c r="DW42" s="93"/>
      <c r="DX42" s="93"/>
      <c r="DY42" s="88"/>
      <c r="DZ42" s="93"/>
      <c r="EA42" s="93"/>
      <c r="EB42" s="93"/>
      <c r="EC42" s="93"/>
      <c r="ED42" s="88"/>
      <c r="EE42" s="93"/>
      <c r="EF42" s="93"/>
      <c r="EG42" s="93"/>
      <c r="EH42" s="93"/>
      <c r="EI42" s="88"/>
      <c r="EJ42" s="93"/>
      <c r="EK42" s="93"/>
      <c r="EL42" s="93"/>
      <c r="EM42" s="93"/>
      <c r="EN42" s="88"/>
      <c r="EO42" s="93"/>
      <c r="EP42" s="93"/>
      <c r="EQ42" s="93"/>
      <c r="ER42" s="93"/>
      <c r="ES42" s="88"/>
      <c r="ET42" s="93"/>
      <c r="EU42" s="93"/>
      <c r="EV42" s="93"/>
      <c r="EW42" s="93"/>
      <c r="EX42" s="88"/>
      <c r="EY42" s="93"/>
      <c r="EZ42" s="93"/>
      <c r="FA42" s="93"/>
      <c r="FB42" s="93"/>
      <c r="FC42" s="88"/>
      <c r="FD42" s="93"/>
      <c r="FE42" s="93"/>
      <c r="FF42" s="93"/>
      <c r="FG42" s="93"/>
      <c r="FH42" s="88"/>
      <c r="FI42" s="93"/>
      <c r="FJ42" s="93"/>
      <c r="FK42" s="93"/>
      <c r="FL42" s="93"/>
      <c r="FM42" s="93"/>
      <c r="FN42" s="93"/>
      <c r="FO42" s="93"/>
      <c r="FP42" s="93"/>
      <c r="FQ42" s="93"/>
      <c r="FR42" s="93"/>
      <c r="FS42" s="93"/>
      <c r="FT42" s="93"/>
      <c r="FU42" s="93"/>
      <c r="FV42" s="93"/>
      <c r="FW42" s="93"/>
      <c r="FX42" s="93"/>
      <c r="FY42" s="93"/>
      <c r="FZ42" s="93"/>
      <c r="GA42" s="93"/>
      <c r="GB42" s="93"/>
      <c r="GC42" s="93"/>
      <c r="GD42" s="93"/>
      <c r="GE42" s="93"/>
      <c r="GF42" s="93"/>
      <c r="GG42" s="93"/>
      <c r="GH42" s="93"/>
      <c r="GI42" s="93"/>
      <c r="GJ42" s="93"/>
      <c r="GK42" s="93"/>
      <c r="GL42" s="93"/>
      <c r="GM42" s="93"/>
      <c r="GN42" s="93"/>
      <c r="GO42" s="93"/>
      <c r="GP42" s="88"/>
      <c r="GQ42" s="93"/>
      <c r="GR42" s="93"/>
      <c r="GS42" s="93"/>
      <c r="GT42" s="93"/>
      <c r="GU42" s="88"/>
      <c r="GV42" s="93"/>
      <c r="GW42" s="93"/>
      <c r="GX42" s="93"/>
      <c r="GY42" s="93"/>
      <c r="GZ42" s="88"/>
      <c r="HA42" s="93"/>
      <c r="HB42" s="93"/>
      <c r="HC42" s="93"/>
      <c r="HD42" s="93"/>
      <c r="HE42" s="88"/>
      <c r="HF42" s="93"/>
      <c r="HG42" s="93"/>
      <c r="HH42" s="93"/>
      <c r="HI42" s="93"/>
      <c r="HJ42" s="88"/>
      <c r="HK42" s="93"/>
      <c r="HL42" s="93"/>
      <c r="HM42" s="93"/>
      <c r="HN42" s="93"/>
      <c r="HO42" s="88"/>
      <c r="HP42" s="93"/>
      <c r="HQ42" s="93"/>
      <c r="HR42" s="93"/>
      <c r="HS42" s="93"/>
      <c r="HT42" s="88"/>
      <c r="HU42" s="93"/>
      <c r="HV42" s="93"/>
      <c r="HW42" s="93"/>
      <c r="HX42" s="93"/>
      <c r="HY42" s="88"/>
      <c r="HZ42" s="93"/>
      <c r="IA42" s="93"/>
      <c r="IB42" s="93"/>
      <c r="IC42" s="93"/>
      <c r="ID42" s="88"/>
      <c r="IE42" s="93"/>
      <c r="IF42" s="93"/>
      <c r="IG42" s="93"/>
      <c r="IH42" s="93"/>
      <c r="II42" s="88"/>
      <c r="IJ42" s="93"/>
      <c r="IK42" s="93"/>
      <c r="IL42" s="93"/>
      <c r="IM42" s="93"/>
      <c r="IN42" s="88"/>
      <c r="IO42" s="93"/>
      <c r="IP42" s="93"/>
      <c r="IQ42" s="93"/>
      <c r="IR42" s="93"/>
      <c r="IS42" s="88"/>
      <c r="IT42" s="93"/>
      <c r="IU42" s="93"/>
      <c r="IV42" s="93"/>
      <c r="IW42" s="93"/>
      <c r="IX42" s="88"/>
      <c r="IY42" s="93"/>
      <c r="IZ42" s="93"/>
      <c r="JA42" s="93"/>
      <c r="JB42" s="93"/>
      <c r="JC42" s="88"/>
      <c r="JD42" s="93"/>
      <c r="JE42" s="93"/>
      <c r="JF42" s="93"/>
      <c r="JG42" s="94"/>
      <c r="JH42" s="88"/>
      <c r="JI42" s="95"/>
      <c r="JJ42" s="93"/>
      <c r="JK42" s="93"/>
      <c r="JL42" s="94"/>
      <c r="JM42" s="89"/>
      <c r="JN42" s="96"/>
      <c r="JO42" s="84"/>
      <c r="JP42" s="95"/>
      <c r="JQ42" s="93"/>
      <c r="JR42" s="93"/>
      <c r="JS42" s="93"/>
      <c r="JT42" s="93"/>
      <c r="JU42" s="93"/>
      <c r="JV42" s="93"/>
      <c r="JW42" s="93"/>
      <c r="JX42" s="93"/>
      <c r="JY42" s="93"/>
      <c r="JZ42" s="93"/>
      <c r="KA42" s="93"/>
      <c r="KB42" s="93"/>
      <c r="KC42" s="93"/>
      <c r="KD42" s="93"/>
      <c r="KE42" s="93"/>
      <c r="KF42" s="93"/>
      <c r="KG42" s="93"/>
      <c r="KH42" s="93"/>
      <c r="KI42" s="93"/>
      <c r="KJ42" s="93"/>
      <c r="KK42" s="93"/>
      <c r="KL42" s="93"/>
      <c r="KM42" s="93"/>
      <c r="KN42" s="93"/>
      <c r="KO42" s="93"/>
      <c r="KP42" s="93"/>
      <c r="KQ42" s="93"/>
      <c r="KR42" s="93"/>
      <c r="KS42" s="93"/>
      <c r="KT42" s="93"/>
      <c r="KU42" s="93"/>
      <c r="KV42" s="93"/>
      <c r="KW42" s="93"/>
      <c r="KX42" s="93"/>
      <c r="KY42" s="93"/>
      <c r="KZ42" s="93"/>
      <c r="LA42" s="93"/>
      <c r="LB42" s="93"/>
      <c r="LC42" s="93"/>
      <c r="LD42" s="93"/>
      <c r="LE42" s="93"/>
      <c r="LF42" s="93"/>
      <c r="LG42" s="93"/>
      <c r="LH42" s="93"/>
      <c r="LI42" s="93"/>
      <c r="LJ42" s="93"/>
      <c r="LK42" s="93"/>
      <c r="LL42" s="93"/>
      <c r="LM42" s="93"/>
      <c r="LN42" s="93"/>
      <c r="LO42" s="93"/>
      <c r="LP42" s="93"/>
      <c r="LQ42" s="93"/>
      <c r="LR42" s="93"/>
      <c r="LS42" s="93"/>
      <c r="LT42" s="93"/>
      <c r="LU42" s="93"/>
      <c r="LV42" s="93"/>
      <c r="LW42" s="93"/>
      <c r="LX42" s="93"/>
      <c r="LY42" s="93"/>
      <c r="LZ42" s="93"/>
      <c r="MA42" s="93"/>
      <c r="MB42" s="93"/>
      <c r="MC42" s="93"/>
      <c r="MD42" s="93"/>
      <c r="ME42" s="93"/>
      <c r="MF42" s="93"/>
      <c r="MG42" s="93"/>
      <c r="MH42" s="93"/>
      <c r="MI42" s="93"/>
      <c r="MJ42" s="93"/>
      <c r="MK42" s="93"/>
      <c r="ML42" s="93"/>
      <c r="MM42" s="93"/>
      <c r="MN42" s="93"/>
      <c r="MO42" s="93"/>
      <c r="MP42" s="93"/>
      <c r="MQ42" s="93"/>
      <c r="MR42" s="93"/>
      <c r="MS42" s="93"/>
      <c r="MT42" s="93"/>
      <c r="MU42" s="93"/>
      <c r="MV42" s="93"/>
      <c r="MW42" s="93"/>
      <c r="MX42" s="93"/>
      <c r="MY42" s="93"/>
      <c r="MZ42" s="93"/>
      <c r="NA42" s="93"/>
      <c r="NB42" s="93"/>
      <c r="NC42" s="93"/>
      <c r="ND42" s="93"/>
      <c r="NE42" s="93"/>
      <c r="NF42" s="93"/>
      <c r="NG42" s="93"/>
      <c r="NH42" s="93"/>
      <c r="NI42" s="93"/>
      <c r="NJ42" s="93"/>
      <c r="NK42" s="93"/>
      <c r="NL42" s="93"/>
      <c r="NM42" s="93"/>
      <c r="NN42" s="93"/>
      <c r="NO42" s="93"/>
      <c r="NP42" s="93"/>
      <c r="NQ42" s="93"/>
      <c r="NR42" s="93"/>
      <c r="NS42" s="93"/>
      <c r="NT42" s="93"/>
      <c r="NU42" s="93"/>
      <c r="NV42" s="93"/>
      <c r="NW42" s="93"/>
      <c r="NX42" s="93"/>
      <c r="NY42" s="93"/>
      <c r="NZ42" s="93"/>
    </row>
    <row r="43" spans="1:390" ht="15.75" customHeight="1" x14ac:dyDescent="0.3">
      <c r="A43" s="98">
        <v>6331698655</v>
      </c>
      <c r="B43" s="87" t="s">
        <v>392</v>
      </c>
      <c r="C43" s="84" t="s">
        <v>393</v>
      </c>
      <c r="D43" s="87" t="s">
        <v>392</v>
      </c>
      <c r="E43" s="93" t="s">
        <v>522</v>
      </c>
      <c r="F43" s="93" t="s">
        <v>416</v>
      </c>
      <c r="G43" s="93" t="s">
        <v>452</v>
      </c>
      <c r="H43" s="166">
        <v>44630</v>
      </c>
      <c r="I43" s="93" t="s">
        <v>515</v>
      </c>
      <c r="J43" s="234" t="s">
        <v>398</v>
      </c>
      <c r="K43" s="93" t="s">
        <v>399</v>
      </c>
      <c r="L43" s="93" t="s">
        <v>399</v>
      </c>
      <c r="M43" s="93" t="s">
        <v>399</v>
      </c>
      <c r="N43" s="93" t="s">
        <v>399</v>
      </c>
      <c r="O43" s="93" t="s">
        <v>399</v>
      </c>
      <c r="P43" s="93" t="s">
        <v>399</v>
      </c>
      <c r="Q43" s="93" t="s">
        <v>399</v>
      </c>
      <c r="R43" s="93" t="s">
        <v>399</v>
      </c>
      <c r="S43" s="93" t="s">
        <v>399</v>
      </c>
      <c r="T43" s="93" t="s">
        <v>399</v>
      </c>
      <c r="U43" s="93" t="s">
        <v>399</v>
      </c>
      <c r="V43" s="93" t="s">
        <v>399</v>
      </c>
      <c r="W43" s="93" t="s">
        <v>399</v>
      </c>
      <c r="X43" s="93" t="s">
        <v>399</v>
      </c>
      <c r="Y43" s="93" t="s">
        <v>399</v>
      </c>
      <c r="Z43" s="93" t="s">
        <v>399</v>
      </c>
      <c r="AA43" s="93" t="s">
        <v>399</v>
      </c>
      <c r="AB43" s="152" t="s">
        <v>400</v>
      </c>
      <c r="AC43" s="166">
        <v>26147</v>
      </c>
      <c r="AD43" s="167">
        <v>44581</v>
      </c>
      <c r="AE43" s="164">
        <f t="shared" si="1"/>
        <v>50</v>
      </c>
      <c r="AF43" s="108" t="s">
        <v>401</v>
      </c>
      <c r="AG43" s="87" t="s">
        <v>402</v>
      </c>
      <c r="AH43" s="163" t="s">
        <v>405</v>
      </c>
      <c r="AI43" s="163" t="s">
        <v>523</v>
      </c>
      <c r="AJ43" s="163" t="s">
        <v>524</v>
      </c>
      <c r="AK43" s="163" t="s">
        <v>405</v>
      </c>
      <c r="AL43" s="172">
        <v>0</v>
      </c>
      <c r="AM43" s="89" t="s">
        <v>406</v>
      </c>
      <c r="AN43" s="170">
        <v>1</v>
      </c>
      <c r="AO43" s="109" t="s">
        <v>399</v>
      </c>
      <c r="AP43" s="88"/>
      <c r="AQ43" s="95"/>
      <c r="AR43" s="88"/>
      <c r="AS43" s="93"/>
      <c r="AT43" s="93"/>
      <c r="AU43" s="93"/>
      <c r="AV43" s="93"/>
      <c r="AW43" s="88"/>
      <c r="AX43" s="93"/>
      <c r="AY43" s="93"/>
      <c r="AZ43" s="93"/>
      <c r="BA43" s="93"/>
      <c r="BB43" s="88"/>
      <c r="BC43" s="93"/>
      <c r="BD43" s="93"/>
      <c r="BE43" s="93"/>
      <c r="BF43" s="93"/>
      <c r="BG43" s="88"/>
      <c r="BH43" s="93"/>
      <c r="BI43" s="93"/>
      <c r="BJ43" s="93"/>
      <c r="BK43" s="93"/>
      <c r="BL43" s="88"/>
      <c r="BM43" s="93"/>
      <c r="BN43" s="93"/>
      <c r="BO43" s="93"/>
      <c r="BP43" s="93"/>
      <c r="BQ43" s="88"/>
      <c r="BR43" s="93"/>
      <c r="BS43" s="93"/>
      <c r="BT43" s="93"/>
      <c r="BU43" s="93"/>
      <c r="BV43" s="88"/>
      <c r="BW43" s="93"/>
      <c r="BX43" s="93"/>
      <c r="BY43" s="93"/>
      <c r="BZ43" s="93"/>
      <c r="CA43" s="88"/>
      <c r="CB43" s="93"/>
      <c r="CC43" s="93"/>
      <c r="CD43" s="93"/>
      <c r="CE43" s="93"/>
      <c r="CF43" s="88"/>
      <c r="CG43" s="93"/>
      <c r="CH43" s="93"/>
      <c r="CI43" s="93"/>
      <c r="CJ43" s="93"/>
      <c r="CK43" s="88"/>
      <c r="CL43" s="93"/>
      <c r="CM43" s="93"/>
      <c r="CN43" s="93"/>
      <c r="CO43" s="93"/>
      <c r="CP43" s="88"/>
      <c r="CQ43" s="93"/>
      <c r="CR43" s="93"/>
      <c r="CS43" s="93"/>
      <c r="CT43" s="93"/>
      <c r="CU43" s="88"/>
      <c r="CV43" s="93"/>
      <c r="CW43" s="93"/>
      <c r="CX43" s="93"/>
      <c r="CY43" s="93"/>
      <c r="CZ43" s="88"/>
      <c r="DA43" s="93"/>
      <c r="DB43" s="93"/>
      <c r="DC43" s="93"/>
      <c r="DD43" s="93"/>
      <c r="DE43" s="88"/>
      <c r="DF43" s="93"/>
      <c r="DG43" s="93"/>
      <c r="DH43" s="93"/>
      <c r="DI43" s="93"/>
      <c r="DJ43" s="88"/>
      <c r="DK43" s="93"/>
      <c r="DL43" s="93"/>
      <c r="DM43" s="93"/>
      <c r="DN43" s="93"/>
      <c r="DO43" s="88"/>
      <c r="DP43" s="93"/>
      <c r="DQ43" s="93"/>
      <c r="DR43" s="93"/>
      <c r="DS43" s="93"/>
      <c r="DT43" s="88"/>
      <c r="DU43" s="93"/>
      <c r="DV43" s="93"/>
      <c r="DW43" s="93"/>
      <c r="DX43" s="93"/>
      <c r="DY43" s="88"/>
      <c r="DZ43" s="93"/>
      <c r="EA43" s="93"/>
      <c r="EB43" s="93"/>
      <c r="EC43" s="93"/>
      <c r="ED43" s="88"/>
      <c r="EE43" s="93"/>
      <c r="EF43" s="93"/>
      <c r="EG43" s="93"/>
      <c r="EH43" s="93"/>
      <c r="EI43" s="88"/>
      <c r="EJ43" s="93"/>
      <c r="EK43" s="93"/>
      <c r="EL43" s="93"/>
      <c r="EM43" s="93"/>
      <c r="EN43" s="88"/>
      <c r="EO43" s="93"/>
      <c r="EP43" s="93"/>
      <c r="EQ43" s="93"/>
      <c r="ER43" s="93"/>
      <c r="ES43" s="88"/>
      <c r="ET43" s="93"/>
      <c r="EU43" s="93"/>
      <c r="EV43" s="93"/>
      <c r="EW43" s="93"/>
      <c r="EX43" s="88"/>
      <c r="EY43" s="93"/>
      <c r="EZ43" s="93"/>
      <c r="FA43" s="93"/>
      <c r="FB43" s="93"/>
      <c r="FC43" s="88"/>
      <c r="FD43" s="93"/>
      <c r="FE43" s="93"/>
      <c r="FF43" s="93"/>
      <c r="FG43" s="93"/>
      <c r="FH43" s="88"/>
      <c r="FI43" s="93"/>
      <c r="FJ43" s="93"/>
      <c r="FK43" s="93"/>
      <c r="FL43" s="93"/>
      <c r="FM43" s="93"/>
      <c r="FN43" s="93"/>
      <c r="FO43" s="93"/>
      <c r="FP43" s="93"/>
      <c r="FQ43" s="93"/>
      <c r="FR43" s="93"/>
      <c r="FS43" s="93"/>
      <c r="FT43" s="93"/>
      <c r="FU43" s="93"/>
      <c r="FV43" s="93"/>
      <c r="FW43" s="93"/>
      <c r="FX43" s="93"/>
      <c r="FY43" s="93"/>
      <c r="FZ43" s="93"/>
      <c r="GA43" s="93"/>
      <c r="GB43" s="93"/>
      <c r="GC43" s="93"/>
      <c r="GD43" s="93"/>
      <c r="GE43" s="93"/>
      <c r="GF43" s="93"/>
      <c r="GG43" s="93"/>
      <c r="GH43" s="93"/>
      <c r="GI43" s="93"/>
      <c r="GJ43" s="93"/>
      <c r="GK43" s="93"/>
      <c r="GL43" s="93"/>
      <c r="GM43" s="93"/>
      <c r="GN43" s="93"/>
      <c r="GO43" s="93"/>
      <c r="GP43" s="88"/>
      <c r="GQ43" s="93"/>
      <c r="GR43" s="93"/>
      <c r="GS43" s="93"/>
      <c r="GT43" s="93"/>
      <c r="GU43" s="88"/>
      <c r="GV43" s="93"/>
      <c r="GW43" s="93"/>
      <c r="GX43" s="93"/>
      <c r="GY43" s="93"/>
      <c r="GZ43" s="88"/>
      <c r="HA43" s="93"/>
      <c r="HB43" s="93"/>
      <c r="HC43" s="93"/>
      <c r="HD43" s="93"/>
      <c r="HE43" s="88"/>
      <c r="HF43" s="93"/>
      <c r="HG43" s="93"/>
      <c r="HH43" s="93"/>
      <c r="HI43" s="93"/>
      <c r="HJ43" s="88"/>
      <c r="HK43" s="93"/>
      <c r="HL43" s="93"/>
      <c r="HM43" s="93"/>
      <c r="HN43" s="93"/>
      <c r="HO43" s="88"/>
      <c r="HP43" s="93"/>
      <c r="HQ43" s="93"/>
      <c r="HR43" s="93"/>
      <c r="HS43" s="93"/>
      <c r="HT43" s="88"/>
      <c r="HU43" s="93"/>
      <c r="HV43" s="93"/>
      <c r="HW43" s="93"/>
      <c r="HX43" s="93"/>
      <c r="HY43" s="88"/>
      <c r="HZ43" s="93"/>
      <c r="IA43" s="93"/>
      <c r="IB43" s="93"/>
      <c r="IC43" s="93"/>
      <c r="ID43" s="88"/>
      <c r="IE43" s="93"/>
      <c r="IF43" s="93"/>
      <c r="IG43" s="93"/>
      <c r="IH43" s="93"/>
      <c r="II43" s="88"/>
      <c r="IJ43" s="93"/>
      <c r="IK43" s="93"/>
      <c r="IL43" s="93"/>
      <c r="IM43" s="93"/>
      <c r="IN43" s="88"/>
      <c r="IO43" s="93"/>
      <c r="IP43" s="93"/>
      <c r="IQ43" s="93"/>
      <c r="IR43" s="93"/>
      <c r="IS43" s="88"/>
      <c r="IT43" s="93"/>
      <c r="IU43" s="93"/>
      <c r="IV43" s="93"/>
      <c r="IW43" s="93"/>
      <c r="IX43" s="88"/>
      <c r="IY43" s="93"/>
      <c r="IZ43" s="93"/>
      <c r="JA43" s="93"/>
      <c r="JB43" s="93"/>
      <c r="JC43" s="88"/>
      <c r="JD43" s="93"/>
      <c r="JE43" s="93"/>
      <c r="JF43" s="93"/>
      <c r="JG43" s="94"/>
      <c r="JH43" s="88"/>
      <c r="JI43" s="95"/>
      <c r="JJ43" s="93"/>
      <c r="JK43" s="93"/>
      <c r="JL43" s="94"/>
      <c r="JM43" s="89"/>
      <c r="JN43" s="96"/>
      <c r="JO43" s="84"/>
      <c r="JP43" s="95"/>
      <c r="JQ43" s="93"/>
      <c r="JR43" s="93"/>
      <c r="JS43" s="93"/>
      <c r="JT43" s="93"/>
      <c r="JU43" s="93"/>
      <c r="JV43" s="93"/>
      <c r="JW43" s="93"/>
      <c r="JX43" s="93"/>
      <c r="JY43" s="93"/>
      <c r="JZ43" s="93"/>
      <c r="KA43" s="93"/>
      <c r="KB43" s="93"/>
      <c r="KC43" s="93"/>
      <c r="KD43" s="93"/>
      <c r="KE43" s="93"/>
      <c r="KF43" s="93"/>
      <c r="KG43" s="93"/>
      <c r="KH43" s="93"/>
      <c r="KI43" s="93"/>
      <c r="KJ43" s="93"/>
      <c r="KK43" s="93"/>
      <c r="KL43" s="93"/>
      <c r="KM43" s="93"/>
      <c r="KN43" s="93"/>
      <c r="KO43" s="93"/>
      <c r="KP43" s="93"/>
      <c r="KQ43" s="93"/>
      <c r="KR43" s="93"/>
      <c r="KS43" s="93"/>
      <c r="KT43" s="93"/>
      <c r="KU43" s="93"/>
      <c r="KV43" s="93"/>
      <c r="KW43" s="93"/>
      <c r="KX43" s="93"/>
      <c r="KY43" s="93"/>
      <c r="KZ43" s="93"/>
      <c r="LA43" s="93"/>
      <c r="LB43" s="93"/>
      <c r="LC43" s="93"/>
      <c r="LD43" s="93"/>
      <c r="LE43" s="93"/>
      <c r="LF43" s="93"/>
      <c r="LG43" s="93"/>
      <c r="LH43" s="93"/>
      <c r="LI43" s="93"/>
      <c r="LJ43" s="93"/>
      <c r="LK43" s="93"/>
      <c r="LL43" s="93"/>
      <c r="LM43" s="93"/>
      <c r="LN43" s="93"/>
      <c r="LO43" s="93"/>
      <c r="LP43" s="93"/>
      <c r="LQ43" s="93"/>
      <c r="LR43" s="93"/>
      <c r="LS43" s="93"/>
      <c r="LT43" s="93"/>
      <c r="LU43" s="93"/>
      <c r="LV43" s="93"/>
      <c r="LW43" s="93"/>
      <c r="LX43" s="93"/>
      <c r="LY43" s="93"/>
      <c r="LZ43" s="93"/>
      <c r="MA43" s="93"/>
      <c r="MB43" s="93"/>
      <c r="MC43" s="93"/>
      <c r="MD43" s="93"/>
      <c r="ME43" s="93"/>
      <c r="MF43" s="93"/>
      <c r="MG43" s="93"/>
      <c r="MH43" s="93"/>
      <c r="MI43" s="93"/>
      <c r="MJ43" s="93"/>
      <c r="MK43" s="93"/>
      <c r="ML43" s="93"/>
      <c r="MM43" s="93"/>
      <c r="MN43" s="93"/>
      <c r="MO43" s="93"/>
      <c r="MP43" s="93"/>
      <c r="MQ43" s="93"/>
      <c r="MR43" s="93"/>
      <c r="MS43" s="93"/>
      <c r="MT43" s="93"/>
      <c r="MU43" s="93"/>
      <c r="MV43" s="93"/>
      <c r="MW43" s="93"/>
      <c r="MX43" s="93"/>
      <c r="MY43" s="93"/>
      <c r="MZ43" s="93"/>
      <c r="NA43" s="93"/>
      <c r="NB43" s="93"/>
      <c r="NC43" s="93"/>
      <c r="ND43" s="93"/>
      <c r="NE43" s="93"/>
      <c r="NF43" s="93"/>
      <c r="NG43" s="93"/>
      <c r="NH43" s="93"/>
      <c r="NI43" s="93"/>
      <c r="NJ43" s="93"/>
      <c r="NK43" s="93"/>
      <c r="NL43" s="93"/>
      <c r="NM43" s="93"/>
      <c r="NN43" s="93"/>
      <c r="NO43" s="93"/>
      <c r="NP43" s="93"/>
      <c r="NQ43" s="93"/>
      <c r="NR43" s="93"/>
      <c r="NS43" s="93"/>
      <c r="NT43" s="93"/>
      <c r="NU43" s="93"/>
      <c r="NV43" s="93"/>
      <c r="NW43" s="93"/>
      <c r="NX43" s="93"/>
      <c r="NY43" s="93"/>
      <c r="NZ43" s="93"/>
    </row>
    <row r="44" spans="1:390" ht="15.75" customHeight="1" x14ac:dyDescent="0.3">
      <c r="A44" s="177">
        <v>4529305074</v>
      </c>
      <c r="B44" s="87" t="s">
        <v>392</v>
      </c>
      <c r="C44" s="84" t="s">
        <v>393</v>
      </c>
      <c r="D44" s="87" t="s">
        <v>392</v>
      </c>
      <c r="E44" s="178" t="s">
        <v>525</v>
      </c>
      <c r="F44" s="178" t="s">
        <v>416</v>
      </c>
      <c r="G44" s="178" t="s">
        <v>474</v>
      </c>
      <c r="H44" s="224">
        <v>44652</v>
      </c>
      <c r="I44" s="178" t="s">
        <v>526</v>
      </c>
      <c r="J44" s="234" t="s">
        <v>398</v>
      </c>
      <c r="K44" s="93" t="s">
        <v>399</v>
      </c>
      <c r="L44" s="93" t="s">
        <v>399</v>
      </c>
      <c r="M44" s="93" t="s">
        <v>399</v>
      </c>
      <c r="N44" s="93" t="s">
        <v>399</v>
      </c>
      <c r="O44" s="93" t="s">
        <v>399</v>
      </c>
      <c r="P44" s="93" t="s">
        <v>399</v>
      </c>
      <c r="Q44" s="93" t="s">
        <v>399</v>
      </c>
      <c r="R44" s="93" t="s">
        <v>399</v>
      </c>
      <c r="S44" s="93" t="s">
        <v>399</v>
      </c>
      <c r="T44" s="93" t="s">
        <v>399</v>
      </c>
      <c r="U44" s="93" t="s">
        <v>399</v>
      </c>
      <c r="V44" s="93" t="s">
        <v>399</v>
      </c>
      <c r="W44" s="93" t="s">
        <v>399</v>
      </c>
      <c r="X44" s="93" t="s">
        <v>399</v>
      </c>
      <c r="Y44" s="93" t="s">
        <v>399</v>
      </c>
      <c r="Z44" s="93" t="s">
        <v>399</v>
      </c>
      <c r="AA44" s="93" t="s">
        <v>399</v>
      </c>
      <c r="AB44" s="152" t="s">
        <v>400</v>
      </c>
      <c r="AC44" s="224">
        <v>18191</v>
      </c>
      <c r="AD44" s="225">
        <v>44606</v>
      </c>
      <c r="AE44" s="226">
        <f t="shared" si="1"/>
        <v>72</v>
      </c>
      <c r="AF44" s="108" t="s">
        <v>401</v>
      </c>
      <c r="AG44" s="87" t="s">
        <v>402</v>
      </c>
      <c r="AH44" s="163" t="s">
        <v>403</v>
      </c>
      <c r="AI44" s="163" t="s">
        <v>418</v>
      </c>
      <c r="AJ44" s="163">
        <v>0</v>
      </c>
      <c r="AK44" s="163" t="s">
        <v>405</v>
      </c>
      <c r="AL44" s="172">
        <v>0</v>
      </c>
      <c r="AM44" s="89" t="s">
        <v>419</v>
      </c>
      <c r="AN44" s="227">
        <v>3</v>
      </c>
      <c r="AO44" s="109" t="s">
        <v>399</v>
      </c>
      <c r="AP44" s="228"/>
      <c r="AQ44" s="179"/>
      <c r="AR44" s="228"/>
      <c r="AS44" s="178"/>
      <c r="AT44" s="178"/>
      <c r="AU44" s="178"/>
      <c r="AV44" s="178"/>
      <c r="AW44" s="228"/>
      <c r="AX44" s="178"/>
      <c r="AY44" s="178"/>
      <c r="AZ44" s="178"/>
      <c r="BA44" s="178"/>
      <c r="BB44" s="228"/>
      <c r="BC44" s="178"/>
      <c r="BD44" s="178"/>
      <c r="BE44" s="178"/>
      <c r="BF44" s="178"/>
      <c r="BG44" s="228"/>
      <c r="BH44" s="178"/>
      <c r="BI44" s="178"/>
      <c r="BJ44" s="178"/>
      <c r="BK44" s="178"/>
      <c r="BL44" s="228"/>
      <c r="BM44" s="178"/>
      <c r="BN44" s="178"/>
      <c r="BO44" s="178"/>
      <c r="BP44" s="178"/>
      <c r="BQ44" s="228"/>
      <c r="BR44" s="178"/>
      <c r="BS44" s="178"/>
      <c r="BT44" s="178"/>
      <c r="BU44" s="178"/>
      <c r="BV44" s="228"/>
      <c r="BW44" s="178"/>
      <c r="BX44" s="178"/>
      <c r="BY44" s="178"/>
      <c r="BZ44" s="178"/>
      <c r="CA44" s="228"/>
      <c r="CB44" s="178"/>
      <c r="CC44" s="178"/>
      <c r="CD44" s="178"/>
      <c r="CE44" s="178"/>
      <c r="CF44" s="228"/>
      <c r="CG44" s="178"/>
      <c r="CH44" s="178"/>
      <c r="CI44" s="178"/>
      <c r="CJ44" s="178"/>
      <c r="CK44" s="228"/>
      <c r="CL44" s="178"/>
      <c r="CM44" s="178"/>
      <c r="CN44" s="178"/>
      <c r="CO44" s="178"/>
      <c r="CP44" s="228"/>
      <c r="CQ44" s="178"/>
      <c r="CR44" s="178"/>
      <c r="CS44" s="178"/>
      <c r="CT44" s="178"/>
      <c r="CU44" s="228"/>
      <c r="CV44" s="178"/>
      <c r="CW44" s="178"/>
      <c r="CX44" s="178"/>
      <c r="CY44" s="178"/>
      <c r="CZ44" s="228"/>
      <c r="DA44" s="178"/>
      <c r="DB44" s="178"/>
      <c r="DC44" s="178"/>
      <c r="DD44" s="178"/>
      <c r="DE44" s="228"/>
      <c r="DF44" s="178"/>
      <c r="DG44" s="178"/>
      <c r="DH44" s="178"/>
      <c r="DI44" s="178"/>
      <c r="DJ44" s="228"/>
      <c r="DK44" s="178"/>
      <c r="DL44" s="178"/>
      <c r="DM44" s="178"/>
      <c r="DN44" s="178"/>
      <c r="DO44" s="228"/>
      <c r="DP44" s="178"/>
      <c r="DQ44" s="178"/>
      <c r="DR44" s="178"/>
      <c r="DS44" s="178"/>
      <c r="DT44" s="228"/>
      <c r="DU44" s="178"/>
      <c r="DV44" s="178"/>
      <c r="DW44" s="178"/>
      <c r="DX44" s="178"/>
      <c r="DY44" s="228"/>
      <c r="DZ44" s="178"/>
      <c r="EA44" s="178"/>
      <c r="EB44" s="178"/>
      <c r="EC44" s="178"/>
      <c r="ED44" s="228"/>
      <c r="EE44" s="178"/>
      <c r="EF44" s="178"/>
      <c r="EG44" s="178"/>
      <c r="EH44" s="178"/>
      <c r="EI44" s="228"/>
      <c r="EJ44" s="178"/>
      <c r="EK44" s="178"/>
      <c r="EL44" s="178"/>
      <c r="EM44" s="178"/>
      <c r="EN44" s="228"/>
      <c r="EO44" s="178"/>
      <c r="EP44" s="178"/>
      <c r="EQ44" s="178"/>
      <c r="ER44" s="178"/>
      <c r="ES44" s="228"/>
      <c r="ET44" s="178"/>
      <c r="EU44" s="178"/>
      <c r="EV44" s="178"/>
      <c r="EW44" s="178"/>
      <c r="EX44" s="228"/>
      <c r="EY44" s="178"/>
      <c r="EZ44" s="178"/>
      <c r="FA44" s="178"/>
      <c r="FB44" s="178"/>
      <c r="FC44" s="228"/>
      <c r="FD44" s="178"/>
      <c r="FE44" s="178"/>
      <c r="FF44" s="178"/>
      <c r="FG44" s="178"/>
      <c r="FH44" s="228"/>
      <c r="FI44" s="178"/>
      <c r="FJ44" s="178"/>
      <c r="FK44" s="178"/>
      <c r="FL44" s="178"/>
      <c r="FM44" s="178"/>
      <c r="FN44" s="178"/>
      <c r="FO44" s="178"/>
      <c r="FP44" s="178"/>
      <c r="FQ44" s="178"/>
      <c r="FR44" s="178"/>
      <c r="FS44" s="178"/>
      <c r="FT44" s="178"/>
      <c r="FU44" s="178"/>
      <c r="FV44" s="178"/>
      <c r="FW44" s="178"/>
      <c r="FX44" s="178"/>
      <c r="FY44" s="178"/>
      <c r="FZ44" s="178"/>
      <c r="GA44" s="178"/>
      <c r="GB44" s="178"/>
      <c r="GC44" s="178"/>
      <c r="GD44" s="178"/>
      <c r="GE44" s="178"/>
      <c r="GF44" s="178"/>
      <c r="GG44" s="178"/>
      <c r="GH44" s="178"/>
      <c r="GI44" s="178"/>
      <c r="GJ44" s="178"/>
      <c r="GK44" s="178"/>
      <c r="GL44" s="178"/>
      <c r="GM44" s="178"/>
      <c r="GN44" s="178"/>
      <c r="GO44" s="178"/>
      <c r="GP44" s="228"/>
      <c r="GQ44" s="178"/>
      <c r="GR44" s="178"/>
      <c r="GS44" s="178"/>
      <c r="GT44" s="178"/>
      <c r="GU44" s="228"/>
      <c r="GV44" s="178"/>
      <c r="GW44" s="178"/>
      <c r="GX44" s="178"/>
      <c r="GY44" s="178"/>
      <c r="GZ44" s="228"/>
      <c r="HA44" s="178"/>
      <c r="HB44" s="178"/>
      <c r="HC44" s="178"/>
      <c r="HD44" s="178"/>
      <c r="HE44" s="228"/>
      <c r="HF44" s="178"/>
      <c r="HG44" s="178"/>
      <c r="HH44" s="178"/>
      <c r="HI44" s="178"/>
      <c r="HJ44" s="228"/>
      <c r="HK44" s="178"/>
      <c r="HL44" s="178"/>
      <c r="HM44" s="178"/>
      <c r="HN44" s="178"/>
      <c r="HO44" s="228"/>
      <c r="HP44" s="178"/>
      <c r="HQ44" s="178"/>
      <c r="HR44" s="178"/>
      <c r="HS44" s="178"/>
      <c r="HT44" s="228"/>
      <c r="HU44" s="178"/>
      <c r="HV44" s="178"/>
      <c r="HW44" s="178"/>
      <c r="HX44" s="178"/>
      <c r="HY44" s="228"/>
      <c r="HZ44" s="178"/>
      <c r="IA44" s="178"/>
      <c r="IB44" s="178"/>
      <c r="IC44" s="178"/>
      <c r="ID44" s="228"/>
      <c r="IE44" s="178"/>
      <c r="IF44" s="178"/>
      <c r="IG44" s="178"/>
      <c r="IH44" s="178"/>
      <c r="II44" s="228"/>
      <c r="IJ44" s="178"/>
      <c r="IK44" s="178"/>
      <c r="IL44" s="178"/>
      <c r="IM44" s="178"/>
      <c r="IN44" s="228"/>
      <c r="IO44" s="178"/>
      <c r="IP44" s="178"/>
      <c r="IQ44" s="178"/>
      <c r="IR44" s="178"/>
      <c r="IS44" s="228"/>
      <c r="IT44" s="178"/>
      <c r="IU44" s="178"/>
      <c r="IV44" s="178"/>
      <c r="IW44" s="178"/>
      <c r="IX44" s="228"/>
      <c r="IY44" s="178"/>
      <c r="IZ44" s="178"/>
      <c r="JA44" s="178"/>
      <c r="JB44" s="178"/>
      <c r="JC44" s="228"/>
      <c r="JD44" s="178"/>
      <c r="JE44" s="178"/>
      <c r="JF44" s="178"/>
      <c r="JG44" s="229"/>
      <c r="JH44" s="228"/>
      <c r="JI44" s="179"/>
      <c r="JJ44" s="178"/>
      <c r="JK44" s="178"/>
      <c r="JL44" s="229"/>
      <c r="JM44" s="85"/>
      <c r="JN44" s="180"/>
      <c r="JO44" s="223"/>
      <c r="JP44" s="179"/>
      <c r="JQ44" s="178"/>
      <c r="JR44" s="178"/>
      <c r="JS44" s="178"/>
      <c r="JT44" s="178"/>
      <c r="JU44" s="178"/>
      <c r="JV44" s="178"/>
      <c r="JW44" s="178"/>
      <c r="JX44" s="178"/>
      <c r="JY44" s="178"/>
      <c r="JZ44" s="178"/>
      <c r="KA44" s="178"/>
      <c r="KB44" s="178"/>
      <c r="KC44" s="178"/>
      <c r="KD44" s="178"/>
      <c r="KE44" s="178"/>
      <c r="KF44" s="178"/>
      <c r="KG44" s="178"/>
      <c r="KH44" s="178"/>
      <c r="KI44" s="178"/>
      <c r="KJ44" s="178"/>
      <c r="KK44" s="178"/>
      <c r="KL44" s="178"/>
      <c r="KM44" s="178"/>
      <c r="KN44" s="178"/>
      <c r="KO44" s="178"/>
      <c r="KP44" s="178"/>
      <c r="KQ44" s="178"/>
      <c r="KR44" s="178"/>
      <c r="KS44" s="178"/>
      <c r="KT44" s="178"/>
      <c r="KU44" s="178"/>
      <c r="KV44" s="178"/>
      <c r="KW44" s="178"/>
      <c r="KX44" s="178"/>
      <c r="KY44" s="178"/>
      <c r="KZ44" s="178"/>
      <c r="LA44" s="178"/>
      <c r="LB44" s="178"/>
      <c r="LC44" s="178"/>
      <c r="LD44" s="178"/>
      <c r="LE44" s="178"/>
      <c r="LF44" s="178"/>
      <c r="LG44" s="178"/>
      <c r="LH44" s="178"/>
      <c r="LI44" s="178"/>
      <c r="LJ44" s="178"/>
      <c r="LK44" s="178"/>
      <c r="LL44" s="178"/>
      <c r="LM44" s="178"/>
      <c r="LN44" s="178"/>
      <c r="LO44" s="178"/>
      <c r="LP44" s="178"/>
      <c r="LQ44" s="178"/>
      <c r="LR44" s="178"/>
      <c r="LS44" s="178"/>
      <c r="LT44" s="178"/>
      <c r="LU44" s="178"/>
      <c r="LV44" s="178"/>
      <c r="LW44" s="178"/>
      <c r="LX44" s="178"/>
      <c r="LY44" s="178"/>
      <c r="LZ44" s="178"/>
      <c r="MA44" s="178"/>
      <c r="MB44" s="178"/>
      <c r="MC44" s="178"/>
      <c r="MD44" s="178"/>
      <c r="ME44" s="178"/>
      <c r="MF44" s="178"/>
      <c r="MG44" s="178"/>
      <c r="MH44" s="178"/>
      <c r="MI44" s="178"/>
      <c r="MJ44" s="178"/>
      <c r="MK44" s="178"/>
      <c r="ML44" s="178"/>
      <c r="MM44" s="178"/>
      <c r="MN44" s="178"/>
      <c r="MO44" s="178"/>
      <c r="MP44" s="178"/>
      <c r="MQ44" s="178"/>
      <c r="MR44" s="178"/>
      <c r="MS44" s="178"/>
      <c r="MT44" s="178"/>
      <c r="MU44" s="178"/>
      <c r="MV44" s="178"/>
      <c r="MW44" s="178"/>
      <c r="MX44" s="178"/>
      <c r="MY44" s="178"/>
      <c r="MZ44" s="178"/>
      <c r="NA44" s="178"/>
      <c r="NB44" s="178"/>
      <c r="NC44" s="178"/>
      <c r="ND44" s="178"/>
      <c r="NE44" s="178"/>
      <c r="NF44" s="178"/>
      <c r="NG44" s="178"/>
      <c r="NH44" s="178"/>
      <c r="NI44" s="178"/>
      <c r="NJ44" s="178"/>
      <c r="NK44" s="178"/>
      <c r="NL44" s="178"/>
      <c r="NM44" s="178"/>
      <c r="NN44" s="178"/>
      <c r="NO44" s="178"/>
      <c r="NP44" s="178"/>
      <c r="NQ44" s="178"/>
      <c r="NR44" s="178"/>
      <c r="NS44" s="178"/>
      <c r="NT44" s="178"/>
      <c r="NU44" s="178"/>
      <c r="NV44" s="178"/>
      <c r="NW44" s="178"/>
      <c r="NX44" s="178"/>
      <c r="NY44" s="178"/>
      <c r="NZ44" s="178"/>
    </row>
    <row r="45" spans="1:390" ht="15.75" customHeight="1" x14ac:dyDescent="0.3">
      <c r="A45" s="98">
        <v>4380839494</v>
      </c>
      <c r="B45" s="87" t="s">
        <v>392</v>
      </c>
      <c r="C45" s="84" t="s">
        <v>393</v>
      </c>
      <c r="D45" s="87" t="s">
        <v>392</v>
      </c>
      <c r="E45" s="93" t="s">
        <v>527</v>
      </c>
      <c r="F45" s="93" t="s">
        <v>409</v>
      </c>
      <c r="G45" s="93" t="s">
        <v>474</v>
      </c>
      <c r="H45" s="166">
        <v>44770</v>
      </c>
      <c r="I45" s="93" t="s">
        <v>528</v>
      </c>
      <c r="J45" s="234" t="s">
        <v>398</v>
      </c>
      <c r="K45" s="93" t="s">
        <v>399</v>
      </c>
      <c r="L45" s="93" t="s">
        <v>399</v>
      </c>
      <c r="M45" s="93" t="s">
        <v>399</v>
      </c>
      <c r="N45" s="93" t="s">
        <v>399</v>
      </c>
      <c r="O45" s="93" t="s">
        <v>399</v>
      </c>
      <c r="P45" s="93" t="s">
        <v>399</v>
      </c>
      <c r="Q45" s="93" t="s">
        <v>399</v>
      </c>
      <c r="R45" s="93" t="s">
        <v>399</v>
      </c>
      <c r="S45" s="93" t="s">
        <v>399</v>
      </c>
      <c r="T45" s="93" t="s">
        <v>399</v>
      </c>
      <c r="U45" s="93" t="s">
        <v>399</v>
      </c>
      <c r="V45" s="93" t="s">
        <v>399</v>
      </c>
      <c r="W45" s="93" t="s">
        <v>399</v>
      </c>
      <c r="X45" s="93" t="s">
        <v>399</v>
      </c>
      <c r="Y45" s="93" t="s">
        <v>399</v>
      </c>
      <c r="Z45" s="93" t="s">
        <v>399</v>
      </c>
      <c r="AA45" s="93" t="s">
        <v>399</v>
      </c>
      <c r="AB45" s="152" t="s">
        <v>400</v>
      </c>
      <c r="AC45" s="166">
        <v>14907</v>
      </c>
      <c r="AD45" s="166">
        <v>44691</v>
      </c>
      <c r="AE45" s="164">
        <f t="shared" si="1"/>
        <v>81</v>
      </c>
      <c r="AF45" s="108" t="s">
        <v>401</v>
      </c>
      <c r="AG45" s="87" t="s">
        <v>402</v>
      </c>
      <c r="AH45" s="163" t="s">
        <v>403</v>
      </c>
      <c r="AI45" s="85" t="s">
        <v>404</v>
      </c>
      <c r="AJ45" s="235" t="s">
        <v>405</v>
      </c>
      <c r="AK45" s="85" t="s">
        <v>405</v>
      </c>
      <c r="AL45" s="109">
        <v>0</v>
      </c>
      <c r="AM45" s="84" t="s">
        <v>406</v>
      </c>
      <c r="AN45" s="170">
        <v>1</v>
      </c>
      <c r="AO45" s="109" t="s">
        <v>399</v>
      </c>
      <c r="AP45" s="88"/>
      <c r="AQ45" s="93"/>
      <c r="AR45" s="88"/>
      <c r="AS45" s="93"/>
      <c r="AT45" s="93"/>
      <c r="AU45" s="93"/>
      <c r="AV45" s="93"/>
      <c r="AW45" s="88"/>
      <c r="AX45" s="93"/>
      <c r="AY45" s="93"/>
      <c r="AZ45" s="93"/>
      <c r="BA45" s="93"/>
      <c r="BB45" s="88"/>
      <c r="BC45" s="93"/>
      <c r="BD45" s="93"/>
      <c r="BE45" s="93"/>
      <c r="BF45" s="93"/>
      <c r="BG45" s="88"/>
      <c r="BH45" s="93"/>
      <c r="BI45" s="93"/>
      <c r="BJ45" s="93"/>
      <c r="BK45" s="93"/>
      <c r="BL45" s="88"/>
      <c r="BM45" s="93"/>
      <c r="BN45" s="93"/>
      <c r="BO45" s="93"/>
      <c r="BP45" s="93"/>
      <c r="BQ45" s="88"/>
      <c r="BR45" s="93"/>
      <c r="BS45" s="93"/>
      <c r="BT45" s="93"/>
      <c r="BU45" s="93"/>
      <c r="BV45" s="88"/>
      <c r="BW45" s="93"/>
      <c r="BX45" s="93"/>
      <c r="BY45" s="93"/>
      <c r="BZ45" s="93"/>
      <c r="CA45" s="88"/>
      <c r="CB45" s="93"/>
      <c r="CC45" s="93"/>
      <c r="CD45" s="93"/>
      <c r="CE45" s="93"/>
      <c r="CF45" s="88"/>
      <c r="CG45" s="93"/>
      <c r="CH45" s="93"/>
      <c r="CI45" s="93"/>
      <c r="CJ45" s="93"/>
      <c r="CK45" s="88"/>
      <c r="CL45" s="93"/>
      <c r="CM45" s="93"/>
      <c r="CN45" s="93"/>
      <c r="CO45" s="93"/>
      <c r="CP45" s="88"/>
      <c r="CQ45" s="93"/>
      <c r="CR45" s="93"/>
      <c r="CS45" s="93"/>
      <c r="CT45" s="93"/>
      <c r="CU45" s="88"/>
      <c r="CV45" s="93"/>
      <c r="CW45" s="93"/>
      <c r="CX45" s="93"/>
      <c r="CY45" s="93"/>
      <c r="CZ45" s="88"/>
      <c r="DA45" s="93"/>
      <c r="DB45" s="93"/>
      <c r="DC45" s="93"/>
      <c r="DD45" s="93"/>
      <c r="DE45" s="88"/>
      <c r="DF45" s="93"/>
      <c r="DG45" s="93"/>
      <c r="DH45" s="93"/>
      <c r="DI45" s="93"/>
      <c r="DJ45" s="88"/>
      <c r="DK45" s="93"/>
      <c r="DL45" s="93"/>
      <c r="DM45" s="93"/>
      <c r="DN45" s="93"/>
      <c r="DO45" s="88"/>
      <c r="DP45" s="93"/>
      <c r="DQ45" s="93"/>
      <c r="DR45" s="93"/>
      <c r="DS45" s="93"/>
      <c r="DT45" s="88"/>
      <c r="DU45" s="93"/>
      <c r="DV45" s="93"/>
      <c r="DW45" s="93"/>
      <c r="DX45" s="93"/>
      <c r="DY45" s="88"/>
      <c r="DZ45" s="93"/>
      <c r="EA45" s="93"/>
      <c r="EB45" s="93"/>
      <c r="EC45" s="93"/>
      <c r="ED45" s="88"/>
      <c r="EE45" s="93"/>
      <c r="EF45" s="93"/>
      <c r="EG45" s="93"/>
      <c r="EH45" s="93"/>
      <c r="EI45" s="88"/>
      <c r="EJ45" s="93"/>
      <c r="EK45" s="93"/>
      <c r="EL45" s="93"/>
      <c r="EM45" s="93"/>
      <c r="EN45" s="88"/>
      <c r="EO45" s="93"/>
      <c r="EP45" s="93"/>
      <c r="EQ45" s="93"/>
      <c r="ER45" s="93"/>
      <c r="ES45" s="88"/>
      <c r="ET45" s="93"/>
      <c r="EU45" s="93"/>
      <c r="EV45" s="93"/>
      <c r="EW45" s="93"/>
      <c r="EX45" s="88"/>
      <c r="EY45" s="93"/>
      <c r="EZ45" s="93"/>
      <c r="FA45" s="93"/>
      <c r="FB45" s="93"/>
      <c r="FC45" s="88"/>
      <c r="FD45" s="93"/>
      <c r="FE45" s="93"/>
      <c r="FF45" s="93"/>
      <c r="FG45" s="93"/>
      <c r="FH45" s="88"/>
      <c r="FI45" s="93"/>
      <c r="FJ45" s="93"/>
      <c r="FK45" s="93"/>
      <c r="FL45" s="93"/>
      <c r="FM45" s="93"/>
      <c r="FN45" s="93"/>
      <c r="FO45" s="93"/>
      <c r="FP45" s="93"/>
      <c r="FQ45" s="93"/>
      <c r="FR45" s="93"/>
      <c r="FS45" s="93"/>
      <c r="FT45" s="93"/>
      <c r="FU45" s="93"/>
      <c r="FV45" s="93"/>
      <c r="FW45" s="93"/>
      <c r="FX45" s="93"/>
      <c r="FY45" s="93"/>
      <c r="FZ45" s="93"/>
      <c r="GA45" s="93"/>
      <c r="GB45" s="93"/>
      <c r="GC45" s="93"/>
      <c r="GD45" s="93"/>
      <c r="GE45" s="93"/>
      <c r="GF45" s="93"/>
      <c r="GG45" s="93"/>
      <c r="GH45" s="93"/>
      <c r="GI45" s="93"/>
      <c r="GJ45" s="93"/>
      <c r="GK45" s="93"/>
      <c r="GL45" s="93"/>
      <c r="GM45" s="93"/>
      <c r="GN45" s="93"/>
      <c r="GO45" s="93"/>
      <c r="GP45" s="88"/>
      <c r="GQ45" s="93"/>
      <c r="GR45" s="93"/>
      <c r="GS45" s="93"/>
      <c r="GT45" s="93"/>
      <c r="GU45" s="88"/>
      <c r="GV45" s="93"/>
      <c r="GW45" s="93"/>
      <c r="GX45" s="93"/>
      <c r="GY45" s="93"/>
      <c r="GZ45" s="88"/>
      <c r="HA45" s="93"/>
      <c r="HB45" s="93"/>
      <c r="HC45" s="93"/>
      <c r="HD45" s="93"/>
      <c r="HE45" s="88"/>
      <c r="HF45" s="93"/>
      <c r="HG45" s="93"/>
      <c r="HH45" s="93"/>
      <c r="HI45" s="93"/>
      <c r="HJ45" s="88"/>
      <c r="HK45" s="93"/>
      <c r="HL45" s="93"/>
      <c r="HM45" s="93"/>
      <c r="HN45" s="93"/>
      <c r="HO45" s="88"/>
      <c r="HP45" s="93"/>
      <c r="HQ45" s="93"/>
      <c r="HR45" s="93"/>
      <c r="HS45" s="93"/>
      <c r="HT45" s="88"/>
      <c r="HU45" s="93"/>
      <c r="HV45" s="93"/>
      <c r="HW45" s="93"/>
      <c r="HX45" s="93"/>
      <c r="HY45" s="88"/>
      <c r="HZ45" s="93"/>
      <c r="IA45" s="93"/>
      <c r="IB45" s="93"/>
      <c r="IC45" s="93"/>
      <c r="ID45" s="88"/>
      <c r="IE45" s="93"/>
      <c r="IF45" s="93"/>
      <c r="IG45" s="93"/>
      <c r="IH45" s="93"/>
      <c r="II45" s="88"/>
      <c r="IJ45" s="93"/>
      <c r="IK45" s="93"/>
      <c r="IL45" s="93"/>
      <c r="IM45" s="93"/>
      <c r="IN45" s="88"/>
      <c r="IO45" s="93"/>
      <c r="IP45" s="93"/>
      <c r="IQ45" s="93"/>
      <c r="IR45" s="93"/>
      <c r="IS45" s="88"/>
      <c r="IT45" s="93"/>
      <c r="IU45" s="93"/>
      <c r="IV45" s="93"/>
      <c r="IW45" s="93"/>
      <c r="IX45" s="88"/>
      <c r="IY45" s="93"/>
      <c r="IZ45" s="93"/>
      <c r="JA45" s="93"/>
      <c r="JB45" s="93"/>
      <c r="JC45" s="88"/>
      <c r="JD45" s="93"/>
      <c r="JE45" s="93"/>
      <c r="JF45" s="93"/>
      <c r="JG45" s="93"/>
      <c r="JH45" s="88"/>
      <c r="JI45" s="93"/>
      <c r="JJ45" s="93"/>
      <c r="JK45" s="93"/>
      <c r="JL45" s="93"/>
      <c r="JM45" s="89"/>
      <c r="JN45" s="93"/>
      <c r="JO45" s="84"/>
      <c r="JP45" s="93"/>
      <c r="JQ45" s="93"/>
      <c r="JR45" s="93"/>
      <c r="JS45" s="93"/>
      <c r="JT45" s="93"/>
      <c r="JU45" s="93"/>
      <c r="JV45" s="93"/>
      <c r="JW45" s="93"/>
      <c r="JX45" s="93"/>
      <c r="JY45" s="93"/>
      <c r="JZ45" s="93"/>
      <c r="KA45" s="93"/>
      <c r="KB45" s="93"/>
      <c r="KC45" s="93"/>
      <c r="KD45" s="93"/>
      <c r="KE45" s="93"/>
      <c r="KF45" s="93"/>
      <c r="KG45" s="93"/>
      <c r="KH45" s="93"/>
      <c r="KI45" s="93"/>
      <c r="KJ45" s="93"/>
      <c r="KK45" s="93"/>
      <c r="KL45" s="93"/>
      <c r="KM45" s="93"/>
      <c r="KN45" s="93"/>
      <c r="KO45" s="93"/>
      <c r="KP45" s="93"/>
      <c r="KQ45" s="93"/>
      <c r="KR45" s="93"/>
      <c r="KS45" s="93"/>
      <c r="KT45" s="93"/>
      <c r="KU45" s="93"/>
      <c r="KV45" s="93"/>
      <c r="KW45" s="93"/>
      <c r="KX45" s="93"/>
      <c r="KY45" s="93"/>
      <c r="KZ45" s="93"/>
      <c r="LA45" s="93"/>
      <c r="LB45" s="93"/>
      <c r="LC45" s="93"/>
      <c r="LD45" s="93"/>
      <c r="LE45" s="93"/>
      <c r="LF45" s="93"/>
      <c r="LG45" s="93"/>
      <c r="LH45" s="93"/>
      <c r="LI45" s="93"/>
      <c r="LJ45" s="93"/>
      <c r="LK45" s="93"/>
      <c r="LL45" s="93"/>
      <c r="LM45" s="93"/>
      <c r="LN45" s="93"/>
      <c r="LO45" s="93"/>
      <c r="LP45" s="93"/>
      <c r="LQ45" s="93"/>
      <c r="LR45" s="93"/>
      <c r="LS45" s="93"/>
      <c r="LT45" s="93"/>
      <c r="LU45" s="93"/>
      <c r="LV45" s="93"/>
      <c r="LW45" s="93"/>
      <c r="LX45" s="93"/>
      <c r="LY45" s="93"/>
      <c r="LZ45" s="93"/>
      <c r="MA45" s="93"/>
      <c r="MB45" s="93"/>
      <c r="MC45" s="93"/>
      <c r="MD45" s="93"/>
      <c r="ME45" s="93"/>
      <c r="MF45" s="93"/>
      <c r="MG45" s="93"/>
      <c r="MH45" s="93"/>
      <c r="MI45" s="93"/>
      <c r="MJ45" s="93"/>
      <c r="MK45" s="93"/>
      <c r="ML45" s="93"/>
      <c r="MM45" s="93"/>
      <c r="MN45" s="93"/>
      <c r="MO45" s="93"/>
      <c r="MP45" s="93"/>
      <c r="MQ45" s="93"/>
      <c r="MR45" s="93"/>
      <c r="MS45" s="93"/>
      <c r="MT45" s="93"/>
      <c r="MU45" s="93"/>
      <c r="MV45" s="93"/>
      <c r="MW45" s="93"/>
      <c r="MX45" s="93"/>
      <c r="MY45" s="93"/>
      <c r="MZ45" s="93"/>
      <c r="NA45" s="93"/>
      <c r="NB45" s="93"/>
      <c r="NC45" s="93"/>
      <c r="ND45" s="93"/>
      <c r="NE45" s="93"/>
      <c r="NF45" s="93"/>
      <c r="NG45" s="93"/>
      <c r="NH45" s="93"/>
      <c r="NI45" s="93"/>
      <c r="NJ45" s="93"/>
      <c r="NK45" s="93"/>
      <c r="NL45" s="93"/>
      <c r="NM45" s="93"/>
      <c r="NN45" s="93"/>
      <c r="NO45" s="93"/>
      <c r="NP45" s="93"/>
      <c r="NQ45" s="93"/>
      <c r="NR45" s="93"/>
      <c r="NS45" s="93"/>
      <c r="NT45" s="93"/>
      <c r="NU45" s="93"/>
      <c r="NV45" s="93"/>
      <c r="NW45" s="93"/>
      <c r="NX45" s="93"/>
      <c r="NY45" s="93"/>
      <c r="NZ45" s="93"/>
    </row>
    <row r="46" spans="1:390" ht="15.75" customHeight="1" x14ac:dyDescent="0.3">
      <c r="A46" s="98">
        <v>4861661196</v>
      </c>
      <c r="B46" s="87" t="s">
        <v>392</v>
      </c>
      <c r="C46" s="84" t="s">
        <v>393</v>
      </c>
      <c r="D46" s="87" t="s">
        <v>392</v>
      </c>
      <c r="E46" s="93" t="s">
        <v>529</v>
      </c>
      <c r="F46" s="93" t="s">
        <v>443</v>
      </c>
      <c r="G46" s="93" t="s">
        <v>399</v>
      </c>
      <c r="H46" s="166">
        <v>44830</v>
      </c>
      <c r="I46" s="234" t="s">
        <v>530</v>
      </c>
      <c r="J46" s="234" t="s">
        <v>398</v>
      </c>
      <c r="K46" s="93" t="s">
        <v>399</v>
      </c>
      <c r="L46" s="93" t="s">
        <v>399</v>
      </c>
      <c r="M46" s="93" t="s">
        <v>399</v>
      </c>
      <c r="N46" s="93" t="s">
        <v>399</v>
      </c>
      <c r="O46" s="93" t="s">
        <v>399</v>
      </c>
      <c r="P46" s="93" t="s">
        <v>399</v>
      </c>
      <c r="Q46" s="93" t="s">
        <v>399</v>
      </c>
      <c r="R46" s="93" t="s">
        <v>399</v>
      </c>
      <c r="S46" s="93" t="s">
        <v>399</v>
      </c>
      <c r="T46" s="93" t="s">
        <v>399</v>
      </c>
      <c r="U46" s="93" t="s">
        <v>399</v>
      </c>
      <c r="V46" s="93" t="s">
        <v>399</v>
      </c>
      <c r="W46" s="93" t="s">
        <v>399</v>
      </c>
      <c r="X46" s="93" t="s">
        <v>399</v>
      </c>
      <c r="Y46" s="93" t="s">
        <v>399</v>
      </c>
      <c r="Z46" s="93" t="s">
        <v>399</v>
      </c>
      <c r="AA46" s="93" t="s">
        <v>399</v>
      </c>
      <c r="AB46" s="152" t="s">
        <v>400</v>
      </c>
      <c r="AC46" s="166">
        <v>21810</v>
      </c>
      <c r="AD46" s="166">
        <v>44769</v>
      </c>
      <c r="AE46" s="164">
        <f t="shared" si="1"/>
        <v>62</v>
      </c>
      <c r="AF46" s="108" t="s">
        <v>401</v>
      </c>
      <c r="AG46" s="87" t="s">
        <v>402</v>
      </c>
      <c r="AH46" s="163" t="s">
        <v>403</v>
      </c>
      <c r="AI46" s="163" t="s">
        <v>418</v>
      </c>
      <c r="AJ46" s="232" t="s">
        <v>405</v>
      </c>
      <c r="AK46" s="163" t="s">
        <v>405</v>
      </c>
      <c r="AL46" s="172">
        <v>0</v>
      </c>
      <c r="AM46" s="89" t="s">
        <v>419</v>
      </c>
      <c r="AN46" s="170">
        <v>2</v>
      </c>
      <c r="AO46" s="109" t="s">
        <v>399</v>
      </c>
      <c r="AP46" s="88"/>
      <c r="AQ46" s="93"/>
      <c r="AR46" s="88"/>
      <c r="AS46" s="93"/>
      <c r="AT46" s="93"/>
      <c r="AU46" s="93"/>
      <c r="AV46" s="93"/>
      <c r="AW46" s="88"/>
      <c r="AX46" s="93"/>
      <c r="AY46" s="93"/>
      <c r="AZ46" s="93"/>
      <c r="BA46" s="93"/>
      <c r="BB46" s="88"/>
      <c r="BC46" s="93"/>
      <c r="BD46" s="93"/>
      <c r="BE46" s="93"/>
      <c r="BF46" s="93"/>
      <c r="BG46" s="88"/>
      <c r="BH46" s="93"/>
      <c r="BI46" s="93"/>
      <c r="BJ46" s="93"/>
      <c r="BK46" s="93"/>
      <c r="BL46" s="88"/>
      <c r="BM46" s="93"/>
      <c r="BN46" s="93"/>
      <c r="BO46" s="93"/>
      <c r="BP46" s="93"/>
      <c r="BQ46" s="88"/>
      <c r="BR46" s="93"/>
      <c r="BS46" s="93"/>
      <c r="BT46" s="93"/>
      <c r="BU46" s="93"/>
      <c r="BV46" s="88"/>
      <c r="BW46" s="93"/>
      <c r="BX46" s="93"/>
      <c r="BY46" s="93"/>
      <c r="BZ46" s="93"/>
      <c r="CA46" s="88"/>
      <c r="CB46" s="93"/>
      <c r="CC46" s="93"/>
      <c r="CD46" s="93"/>
      <c r="CE46" s="93"/>
      <c r="CF46" s="88"/>
      <c r="CG46" s="93"/>
      <c r="CH46" s="93"/>
      <c r="CI46" s="93"/>
      <c r="CJ46" s="93"/>
      <c r="CK46" s="88"/>
      <c r="CL46" s="93"/>
      <c r="CM46" s="93"/>
      <c r="CN46" s="93"/>
      <c r="CO46" s="93"/>
      <c r="CP46" s="88"/>
      <c r="CQ46" s="93"/>
      <c r="CR46" s="93"/>
      <c r="CS46" s="93"/>
      <c r="CT46" s="93"/>
      <c r="CU46" s="88"/>
      <c r="CV46" s="93"/>
      <c r="CW46" s="93"/>
      <c r="CX46" s="93"/>
      <c r="CY46" s="93"/>
      <c r="CZ46" s="88"/>
      <c r="DA46" s="93"/>
      <c r="DB46" s="93"/>
      <c r="DC46" s="93"/>
      <c r="DD46" s="93"/>
      <c r="DE46" s="88"/>
      <c r="DF46" s="93"/>
      <c r="DG46" s="93"/>
      <c r="DH46" s="93"/>
      <c r="DI46" s="93"/>
      <c r="DJ46" s="88"/>
      <c r="DK46" s="93"/>
      <c r="DL46" s="93"/>
      <c r="DM46" s="93"/>
      <c r="DN46" s="93"/>
      <c r="DO46" s="88"/>
      <c r="DP46" s="93"/>
      <c r="DQ46" s="93"/>
      <c r="DR46" s="93"/>
      <c r="DS46" s="93"/>
      <c r="DT46" s="88"/>
      <c r="DU46" s="93"/>
      <c r="DV46" s="93"/>
      <c r="DW46" s="93"/>
      <c r="DX46" s="93"/>
      <c r="DY46" s="88"/>
      <c r="DZ46" s="93"/>
      <c r="EA46" s="93"/>
      <c r="EB46" s="93"/>
      <c r="EC46" s="93"/>
      <c r="ED46" s="88"/>
      <c r="EE46" s="93"/>
      <c r="EF46" s="93"/>
      <c r="EG46" s="93"/>
      <c r="EH46" s="93"/>
      <c r="EI46" s="88"/>
      <c r="EJ46" s="93"/>
      <c r="EK46" s="93"/>
      <c r="EL46" s="93"/>
      <c r="EM46" s="93"/>
      <c r="EN46" s="88"/>
      <c r="EO46" s="93"/>
      <c r="EP46" s="93"/>
      <c r="EQ46" s="93"/>
      <c r="ER46" s="93"/>
      <c r="ES46" s="88"/>
      <c r="ET46" s="93"/>
      <c r="EU46" s="93"/>
      <c r="EV46" s="93"/>
      <c r="EW46" s="93"/>
      <c r="EX46" s="88"/>
      <c r="EY46" s="93"/>
      <c r="EZ46" s="93"/>
      <c r="FA46" s="93"/>
      <c r="FB46" s="93"/>
      <c r="FC46" s="88"/>
      <c r="FD46" s="93"/>
      <c r="FE46" s="93"/>
      <c r="FF46" s="93"/>
      <c r="FG46" s="93"/>
      <c r="FH46" s="88"/>
      <c r="FI46" s="93"/>
      <c r="FJ46" s="93"/>
      <c r="FK46" s="93"/>
      <c r="FL46" s="93"/>
      <c r="FM46" s="93"/>
      <c r="FN46" s="93"/>
      <c r="FO46" s="93"/>
      <c r="FP46" s="93"/>
      <c r="FQ46" s="93"/>
      <c r="FR46" s="93"/>
      <c r="FS46" s="93"/>
      <c r="FT46" s="93"/>
      <c r="FU46" s="93"/>
      <c r="FV46" s="93"/>
      <c r="FW46" s="93"/>
      <c r="FX46" s="93"/>
      <c r="FY46" s="93"/>
      <c r="FZ46" s="93"/>
      <c r="GA46" s="93"/>
      <c r="GB46" s="93"/>
      <c r="GC46" s="93"/>
      <c r="GD46" s="93"/>
      <c r="GE46" s="93"/>
      <c r="GF46" s="93"/>
      <c r="GG46" s="93"/>
      <c r="GH46" s="93"/>
      <c r="GI46" s="93"/>
      <c r="GJ46" s="93"/>
      <c r="GK46" s="93"/>
      <c r="GL46" s="93"/>
      <c r="GM46" s="93"/>
      <c r="GN46" s="93"/>
      <c r="GO46" s="93"/>
      <c r="GP46" s="88"/>
      <c r="GQ46" s="93"/>
      <c r="GR46" s="93"/>
      <c r="GS46" s="93"/>
      <c r="GT46" s="93"/>
      <c r="GU46" s="88"/>
      <c r="GV46" s="93"/>
      <c r="GW46" s="93"/>
      <c r="GX46" s="93"/>
      <c r="GY46" s="93"/>
      <c r="GZ46" s="88"/>
      <c r="HA46" s="93"/>
      <c r="HB46" s="93"/>
      <c r="HC46" s="93"/>
      <c r="HD46" s="93"/>
      <c r="HE46" s="88"/>
      <c r="HF46" s="93"/>
      <c r="HG46" s="93"/>
      <c r="HH46" s="93"/>
      <c r="HI46" s="93"/>
      <c r="HJ46" s="88"/>
      <c r="HK46" s="93"/>
      <c r="HL46" s="93"/>
      <c r="HM46" s="93"/>
      <c r="HN46" s="93"/>
      <c r="HO46" s="88"/>
      <c r="HP46" s="93"/>
      <c r="HQ46" s="93"/>
      <c r="HR46" s="93"/>
      <c r="HS46" s="93"/>
      <c r="HT46" s="88"/>
      <c r="HU46" s="93"/>
      <c r="HV46" s="93"/>
      <c r="HW46" s="93"/>
      <c r="HX46" s="93"/>
      <c r="HY46" s="88"/>
      <c r="HZ46" s="93"/>
      <c r="IA46" s="93"/>
      <c r="IB46" s="93"/>
      <c r="IC46" s="93"/>
      <c r="ID46" s="88"/>
      <c r="IE46" s="93"/>
      <c r="IF46" s="93"/>
      <c r="IG46" s="93"/>
      <c r="IH46" s="93"/>
      <c r="II46" s="88"/>
      <c r="IJ46" s="93"/>
      <c r="IK46" s="93"/>
      <c r="IL46" s="93"/>
      <c r="IM46" s="93"/>
      <c r="IN46" s="88"/>
      <c r="IO46" s="93"/>
      <c r="IP46" s="93"/>
      <c r="IQ46" s="93"/>
      <c r="IR46" s="93"/>
      <c r="IS46" s="88"/>
      <c r="IT46" s="93"/>
      <c r="IU46" s="93"/>
      <c r="IV46" s="93"/>
      <c r="IW46" s="93"/>
      <c r="IX46" s="88"/>
      <c r="IY46" s="93"/>
      <c r="IZ46" s="93"/>
      <c r="JA46" s="93"/>
      <c r="JB46" s="93"/>
      <c r="JC46" s="88"/>
      <c r="JD46" s="93"/>
      <c r="JE46" s="93"/>
      <c r="JF46" s="93"/>
      <c r="JG46" s="93"/>
      <c r="JH46" s="88"/>
      <c r="JI46" s="93"/>
      <c r="JJ46" s="93"/>
      <c r="JK46" s="93"/>
      <c r="JL46" s="93"/>
      <c r="JM46" s="89"/>
      <c r="JN46" s="93"/>
      <c r="JO46" s="84"/>
      <c r="JP46" s="93"/>
      <c r="JQ46" s="93"/>
      <c r="JR46" s="93"/>
      <c r="JS46" s="93"/>
      <c r="JT46" s="93"/>
      <c r="JU46" s="93"/>
      <c r="JV46" s="93"/>
      <c r="JW46" s="93"/>
      <c r="JX46" s="93"/>
      <c r="JY46" s="93"/>
      <c r="JZ46" s="93"/>
      <c r="KA46" s="93"/>
      <c r="KB46" s="93"/>
      <c r="KC46" s="93"/>
      <c r="KD46" s="93"/>
      <c r="KE46" s="93"/>
      <c r="KF46" s="93"/>
      <c r="KG46" s="93"/>
      <c r="KH46" s="93"/>
      <c r="KI46" s="93"/>
      <c r="KJ46" s="93"/>
      <c r="KK46" s="93"/>
      <c r="KL46" s="93"/>
      <c r="KM46" s="93"/>
      <c r="KN46" s="93"/>
      <c r="KO46" s="93"/>
      <c r="KP46" s="93"/>
      <c r="KQ46" s="93"/>
      <c r="KR46" s="93"/>
      <c r="KS46" s="93"/>
      <c r="KT46" s="93"/>
      <c r="KU46" s="93"/>
      <c r="KV46" s="93"/>
      <c r="KW46" s="93"/>
      <c r="KX46" s="93"/>
      <c r="KY46" s="93"/>
      <c r="KZ46" s="93"/>
      <c r="LA46" s="93"/>
      <c r="LB46" s="93"/>
      <c r="LC46" s="93"/>
      <c r="LD46" s="93"/>
      <c r="LE46" s="93"/>
      <c r="LF46" s="93"/>
      <c r="LG46" s="93"/>
      <c r="LH46" s="93"/>
      <c r="LI46" s="93"/>
      <c r="LJ46" s="93"/>
      <c r="LK46" s="93"/>
      <c r="LL46" s="93"/>
      <c r="LM46" s="93"/>
      <c r="LN46" s="93"/>
      <c r="LO46" s="93"/>
      <c r="LP46" s="93"/>
      <c r="LQ46" s="93"/>
      <c r="LR46" s="93"/>
      <c r="LS46" s="93"/>
      <c r="LT46" s="93"/>
      <c r="LU46" s="93"/>
      <c r="LV46" s="93"/>
      <c r="LW46" s="93"/>
      <c r="LX46" s="93"/>
      <c r="LY46" s="93"/>
      <c r="LZ46" s="93"/>
      <c r="MA46" s="93"/>
      <c r="MB46" s="93"/>
      <c r="MC46" s="93"/>
      <c r="MD46" s="93"/>
      <c r="ME46" s="93"/>
      <c r="MF46" s="93"/>
      <c r="MG46" s="93"/>
      <c r="MH46" s="93"/>
      <c r="MI46" s="93"/>
      <c r="MJ46" s="93"/>
      <c r="MK46" s="93"/>
      <c r="ML46" s="93"/>
      <c r="MM46" s="93"/>
      <c r="MN46" s="93"/>
      <c r="MO46" s="93"/>
      <c r="MP46" s="93"/>
      <c r="MQ46" s="93"/>
      <c r="MR46" s="93"/>
      <c r="MS46" s="93"/>
      <c r="MT46" s="93"/>
      <c r="MU46" s="93"/>
      <c r="MV46" s="93"/>
      <c r="MW46" s="93"/>
      <c r="MX46" s="93"/>
      <c r="MY46" s="93"/>
      <c r="MZ46" s="93"/>
      <c r="NA46" s="93"/>
      <c r="NB46" s="93"/>
      <c r="NC46" s="93"/>
      <c r="ND46" s="93"/>
      <c r="NE46" s="93"/>
      <c r="NF46" s="93"/>
      <c r="NG46" s="93"/>
      <c r="NH46" s="93"/>
      <c r="NI46" s="93"/>
      <c r="NJ46" s="93"/>
      <c r="NK46" s="93"/>
      <c r="NL46" s="93"/>
      <c r="NM46" s="93"/>
      <c r="NN46" s="93"/>
      <c r="NO46" s="93"/>
      <c r="NP46" s="93"/>
      <c r="NQ46" s="93"/>
      <c r="NR46" s="93"/>
      <c r="NS46" s="93"/>
      <c r="NT46" s="93"/>
      <c r="NU46" s="93"/>
      <c r="NV46" s="93"/>
      <c r="NW46" s="93"/>
      <c r="NX46" s="93"/>
      <c r="NY46" s="93"/>
      <c r="NZ46" s="93"/>
    </row>
    <row r="47" spans="1:390" ht="15.75" customHeight="1" x14ac:dyDescent="0.3">
      <c r="A47" s="98">
        <v>6308241180</v>
      </c>
      <c r="B47" s="87" t="s">
        <v>392</v>
      </c>
      <c r="C47" s="84" t="s">
        <v>393</v>
      </c>
      <c r="D47" s="87" t="s">
        <v>392</v>
      </c>
      <c r="E47" s="93" t="s">
        <v>531</v>
      </c>
      <c r="F47" s="93" t="s">
        <v>425</v>
      </c>
      <c r="G47" s="93" t="s">
        <v>426</v>
      </c>
      <c r="H47" s="166">
        <v>44840</v>
      </c>
      <c r="I47" s="93" t="s">
        <v>532</v>
      </c>
      <c r="J47" s="234" t="s">
        <v>398</v>
      </c>
      <c r="K47" s="93" t="s">
        <v>399</v>
      </c>
      <c r="L47" s="93" t="s">
        <v>399</v>
      </c>
      <c r="M47" s="93" t="s">
        <v>399</v>
      </c>
      <c r="N47" s="93" t="s">
        <v>399</v>
      </c>
      <c r="O47" s="93" t="s">
        <v>399</v>
      </c>
      <c r="P47" s="93" t="s">
        <v>399</v>
      </c>
      <c r="Q47" s="93" t="s">
        <v>399</v>
      </c>
      <c r="R47" s="93" t="s">
        <v>399</v>
      </c>
      <c r="S47" s="93" t="s">
        <v>399</v>
      </c>
      <c r="T47" s="93" t="s">
        <v>399</v>
      </c>
      <c r="U47" s="93" t="s">
        <v>399</v>
      </c>
      <c r="V47" s="93" t="s">
        <v>399</v>
      </c>
      <c r="W47" s="93" t="s">
        <v>399</v>
      </c>
      <c r="X47" s="93" t="s">
        <v>399</v>
      </c>
      <c r="Y47" s="93" t="s">
        <v>399</v>
      </c>
      <c r="Z47" s="93" t="s">
        <v>399</v>
      </c>
      <c r="AA47" s="93" t="s">
        <v>399</v>
      </c>
      <c r="AB47" s="152" t="s">
        <v>400</v>
      </c>
      <c r="AC47" s="166">
        <v>29711</v>
      </c>
      <c r="AD47" s="166">
        <v>44693</v>
      </c>
      <c r="AE47" s="164">
        <f t="shared" si="1"/>
        <v>41</v>
      </c>
      <c r="AF47" s="108" t="s">
        <v>401</v>
      </c>
      <c r="AG47" s="87" t="s">
        <v>402</v>
      </c>
      <c r="AH47" s="163" t="s">
        <v>403</v>
      </c>
      <c r="AI47" s="163" t="s">
        <v>523</v>
      </c>
      <c r="AJ47" s="163" t="s">
        <v>524</v>
      </c>
      <c r="AK47" s="163" t="s">
        <v>405</v>
      </c>
      <c r="AL47" s="172">
        <v>0</v>
      </c>
      <c r="AM47" s="89" t="s">
        <v>406</v>
      </c>
      <c r="AN47" s="170">
        <v>1</v>
      </c>
      <c r="AO47" s="109" t="s">
        <v>399</v>
      </c>
      <c r="AP47" s="88"/>
      <c r="AQ47" s="93"/>
      <c r="AR47" s="88"/>
      <c r="AS47" s="93"/>
      <c r="AT47" s="93"/>
      <c r="AU47" s="93"/>
      <c r="AV47" s="93"/>
      <c r="AW47" s="88"/>
      <c r="AX47" s="93"/>
      <c r="AY47" s="93"/>
      <c r="AZ47" s="93"/>
      <c r="BA47" s="93"/>
      <c r="BB47" s="88"/>
      <c r="BC47" s="93"/>
      <c r="BD47" s="93"/>
      <c r="BE47" s="93"/>
      <c r="BF47" s="93"/>
      <c r="BG47" s="88"/>
      <c r="BH47" s="93"/>
      <c r="BI47" s="93"/>
      <c r="BJ47" s="93"/>
      <c r="BK47" s="93"/>
      <c r="BL47" s="88"/>
      <c r="BM47" s="93"/>
      <c r="BN47" s="93"/>
      <c r="BO47" s="93"/>
      <c r="BP47" s="93"/>
      <c r="BQ47" s="88"/>
      <c r="BR47" s="93"/>
      <c r="BS47" s="93"/>
      <c r="BT47" s="93"/>
      <c r="BU47" s="93"/>
      <c r="BV47" s="88"/>
      <c r="BW47" s="93"/>
      <c r="BX47" s="93"/>
      <c r="BY47" s="93"/>
      <c r="BZ47" s="93"/>
      <c r="CA47" s="88"/>
      <c r="CB47" s="93"/>
      <c r="CC47" s="93"/>
      <c r="CD47" s="93"/>
      <c r="CE47" s="93"/>
      <c r="CF47" s="88"/>
      <c r="CG47" s="93"/>
      <c r="CH47" s="93"/>
      <c r="CI47" s="93"/>
      <c r="CJ47" s="93"/>
      <c r="CK47" s="88"/>
      <c r="CL47" s="93"/>
      <c r="CM47" s="93"/>
      <c r="CN47" s="93"/>
      <c r="CO47" s="93"/>
      <c r="CP47" s="88"/>
      <c r="CQ47" s="93"/>
      <c r="CR47" s="93"/>
      <c r="CS47" s="93"/>
      <c r="CT47" s="93"/>
      <c r="CU47" s="88"/>
      <c r="CV47" s="93"/>
      <c r="CW47" s="93"/>
      <c r="CX47" s="93"/>
      <c r="CY47" s="93"/>
      <c r="CZ47" s="88"/>
      <c r="DA47" s="93"/>
      <c r="DB47" s="93"/>
      <c r="DC47" s="93"/>
      <c r="DD47" s="93"/>
      <c r="DE47" s="88"/>
      <c r="DF47" s="93"/>
      <c r="DG47" s="93"/>
      <c r="DH47" s="93"/>
      <c r="DI47" s="93"/>
      <c r="DJ47" s="88"/>
      <c r="DK47" s="93"/>
      <c r="DL47" s="93"/>
      <c r="DM47" s="93"/>
      <c r="DN47" s="93"/>
      <c r="DO47" s="88"/>
      <c r="DP47" s="93"/>
      <c r="DQ47" s="93"/>
      <c r="DR47" s="93"/>
      <c r="DS47" s="93"/>
      <c r="DT47" s="88"/>
      <c r="DU47" s="93"/>
      <c r="DV47" s="93"/>
      <c r="DW47" s="93"/>
      <c r="DX47" s="93"/>
      <c r="DY47" s="88"/>
      <c r="DZ47" s="93"/>
      <c r="EA47" s="93"/>
      <c r="EB47" s="93"/>
      <c r="EC47" s="93"/>
      <c r="ED47" s="88"/>
      <c r="EE47" s="93"/>
      <c r="EF47" s="93"/>
      <c r="EG47" s="93"/>
      <c r="EH47" s="93"/>
      <c r="EI47" s="88"/>
      <c r="EJ47" s="93"/>
      <c r="EK47" s="93"/>
      <c r="EL47" s="93"/>
      <c r="EM47" s="93"/>
      <c r="EN47" s="88"/>
      <c r="EO47" s="93"/>
      <c r="EP47" s="93"/>
      <c r="EQ47" s="93"/>
      <c r="ER47" s="93"/>
      <c r="ES47" s="88"/>
      <c r="ET47" s="93"/>
      <c r="EU47" s="93"/>
      <c r="EV47" s="93"/>
      <c r="EW47" s="93"/>
      <c r="EX47" s="88"/>
      <c r="EY47" s="93"/>
      <c r="EZ47" s="93"/>
      <c r="FA47" s="93"/>
      <c r="FB47" s="93"/>
      <c r="FC47" s="88"/>
      <c r="FD47" s="93"/>
      <c r="FE47" s="93"/>
      <c r="FF47" s="93"/>
      <c r="FG47" s="93"/>
      <c r="FH47" s="88"/>
      <c r="FI47" s="93"/>
      <c r="FJ47" s="93"/>
      <c r="FK47" s="93"/>
      <c r="FL47" s="93"/>
      <c r="FM47" s="93"/>
      <c r="FN47" s="93"/>
      <c r="FO47" s="93"/>
      <c r="FP47" s="93"/>
      <c r="FQ47" s="93"/>
      <c r="FR47" s="93"/>
      <c r="FS47" s="93"/>
      <c r="FT47" s="93"/>
      <c r="FU47" s="93"/>
      <c r="FV47" s="93"/>
      <c r="FW47" s="93"/>
      <c r="FX47" s="93"/>
      <c r="FY47" s="93"/>
      <c r="FZ47" s="93"/>
      <c r="GA47" s="93"/>
      <c r="GB47" s="93"/>
      <c r="GC47" s="93"/>
      <c r="GD47" s="93"/>
      <c r="GE47" s="93"/>
      <c r="GF47" s="93"/>
      <c r="GG47" s="93"/>
      <c r="GH47" s="93"/>
      <c r="GI47" s="93"/>
      <c r="GJ47" s="93"/>
      <c r="GK47" s="93"/>
      <c r="GL47" s="93"/>
      <c r="GM47" s="93"/>
      <c r="GN47" s="93"/>
      <c r="GO47" s="93"/>
      <c r="GP47" s="88"/>
      <c r="GQ47" s="93"/>
      <c r="GR47" s="93"/>
      <c r="GS47" s="93"/>
      <c r="GT47" s="93"/>
      <c r="GU47" s="88"/>
      <c r="GV47" s="93"/>
      <c r="GW47" s="93"/>
      <c r="GX47" s="93"/>
      <c r="GY47" s="93"/>
      <c r="GZ47" s="88"/>
      <c r="HA47" s="93"/>
      <c r="HB47" s="93"/>
      <c r="HC47" s="93"/>
      <c r="HD47" s="93"/>
      <c r="HE47" s="88"/>
      <c r="HF47" s="93"/>
      <c r="HG47" s="93"/>
      <c r="HH47" s="93"/>
      <c r="HI47" s="93"/>
      <c r="HJ47" s="88"/>
      <c r="HK47" s="93"/>
      <c r="HL47" s="93"/>
      <c r="HM47" s="93"/>
      <c r="HN47" s="93"/>
      <c r="HO47" s="88"/>
      <c r="HP47" s="93"/>
      <c r="HQ47" s="93"/>
      <c r="HR47" s="93"/>
      <c r="HS47" s="93"/>
      <c r="HT47" s="88"/>
      <c r="HU47" s="93"/>
      <c r="HV47" s="93"/>
      <c r="HW47" s="93"/>
      <c r="HX47" s="93"/>
      <c r="HY47" s="88"/>
      <c r="HZ47" s="93"/>
      <c r="IA47" s="93"/>
      <c r="IB47" s="93"/>
      <c r="IC47" s="93"/>
      <c r="ID47" s="88"/>
      <c r="IE47" s="93"/>
      <c r="IF47" s="93"/>
      <c r="IG47" s="93"/>
      <c r="IH47" s="93"/>
      <c r="II47" s="88"/>
      <c r="IJ47" s="93"/>
      <c r="IK47" s="93"/>
      <c r="IL47" s="93"/>
      <c r="IM47" s="93"/>
      <c r="IN47" s="88"/>
      <c r="IO47" s="93"/>
      <c r="IP47" s="93"/>
      <c r="IQ47" s="93"/>
      <c r="IR47" s="93"/>
      <c r="IS47" s="88"/>
      <c r="IT47" s="93"/>
      <c r="IU47" s="93"/>
      <c r="IV47" s="93"/>
      <c r="IW47" s="93"/>
      <c r="IX47" s="88"/>
      <c r="IY47" s="93"/>
      <c r="IZ47" s="93"/>
      <c r="JA47" s="93"/>
      <c r="JB47" s="93"/>
      <c r="JC47" s="88"/>
      <c r="JD47" s="93"/>
      <c r="JE47" s="93"/>
      <c r="JF47" s="93"/>
      <c r="JG47" s="93"/>
      <c r="JH47" s="88"/>
      <c r="JI47" s="93"/>
      <c r="JJ47" s="93"/>
      <c r="JK47" s="93"/>
      <c r="JL47" s="93"/>
      <c r="JM47" s="89"/>
      <c r="JN47" s="93"/>
      <c r="JO47" s="84"/>
      <c r="JP47" s="93"/>
      <c r="JQ47" s="93"/>
      <c r="JR47" s="93"/>
      <c r="JS47" s="93"/>
      <c r="JT47" s="93" t="s">
        <v>533</v>
      </c>
      <c r="JU47" s="93"/>
      <c r="JV47" s="93"/>
      <c r="JW47" s="93"/>
      <c r="JX47" s="93"/>
      <c r="JY47" s="93"/>
      <c r="JZ47" s="93"/>
      <c r="KA47" s="93"/>
      <c r="KB47" s="93"/>
      <c r="KC47" s="93"/>
      <c r="KD47" s="93"/>
      <c r="KE47" s="93"/>
      <c r="KF47" s="93"/>
      <c r="KG47" s="93"/>
      <c r="KH47" s="93"/>
      <c r="KI47" s="93"/>
      <c r="KJ47" s="93"/>
      <c r="KK47" s="93"/>
      <c r="KL47" s="93"/>
      <c r="KM47" s="93"/>
      <c r="KN47" s="93"/>
      <c r="KO47" s="93"/>
      <c r="KP47" s="93"/>
      <c r="KQ47" s="93"/>
      <c r="KR47" s="93"/>
      <c r="KS47" s="93"/>
      <c r="KT47" s="93"/>
      <c r="KU47" s="93"/>
      <c r="KV47" s="93"/>
      <c r="KW47" s="93"/>
      <c r="KX47" s="93"/>
      <c r="KY47" s="93"/>
      <c r="KZ47" s="93"/>
      <c r="LA47" s="93"/>
      <c r="LB47" s="93"/>
      <c r="LC47" s="93"/>
      <c r="LD47" s="93"/>
      <c r="LE47" s="93"/>
      <c r="LF47" s="93"/>
      <c r="LG47" s="93"/>
      <c r="LH47" s="93"/>
      <c r="LI47" s="93"/>
      <c r="LJ47" s="93"/>
      <c r="LK47" s="93"/>
      <c r="LL47" s="93"/>
      <c r="LM47" s="93"/>
      <c r="LN47" s="93"/>
      <c r="LO47" s="93"/>
      <c r="LP47" s="93"/>
      <c r="LQ47" s="93"/>
      <c r="LR47" s="93"/>
      <c r="LS47" s="93"/>
      <c r="LT47" s="93"/>
      <c r="LU47" s="93"/>
      <c r="LV47" s="93"/>
      <c r="LW47" s="93"/>
      <c r="LX47" s="93"/>
      <c r="LY47" s="93"/>
      <c r="LZ47" s="93"/>
      <c r="MA47" s="93"/>
      <c r="MB47" s="93"/>
      <c r="MC47" s="93"/>
      <c r="MD47" s="93"/>
      <c r="ME47" s="93"/>
      <c r="MF47" s="93"/>
      <c r="MG47" s="93"/>
      <c r="MH47" s="93"/>
      <c r="MI47" s="93"/>
      <c r="MJ47" s="93"/>
      <c r="MK47" s="93"/>
      <c r="ML47" s="93"/>
      <c r="MM47" s="93"/>
      <c r="MN47" s="93"/>
      <c r="MO47" s="93"/>
      <c r="MP47" s="93"/>
      <c r="MQ47" s="93"/>
      <c r="MR47" s="93"/>
      <c r="MS47" s="93"/>
      <c r="MT47" s="93"/>
      <c r="MU47" s="93"/>
      <c r="MV47" s="93"/>
      <c r="MW47" s="93"/>
      <c r="MX47" s="93"/>
      <c r="MY47" s="93"/>
      <c r="MZ47" s="93"/>
      <c r="NA47" s="93"/>
      <c r="NB47" s="93"/>
      <c r="NC47" s="93"/>
      <c r="ND47" s="93"/>
      <c r="NE47" s="93"/>
      <c r="NF47" s="93"/>
      <c r="NG47" s="93"/>
      <c r="NH47" s="93"/>
      <c r="NI47" s="93"/>
      <c r="NJ47" s="93"/>
      <c r="NK47" s="93"/>
      <c r="NL47" s="93"/>
      <c r="NM47" s="93"/>
      <c r="NN47" s="93"/>
      <c r="NO47" s="93"/>
      <c r="NP47" s="93"/>
      <c r="NQ47" s="93"/>
      <c r="NR47" s="93"/>
      <c r="NS47" s="93"/>
      <c r="NT47" s="93"/>
      <c r="NU47" s="93"/>
      <c r="NV47" s="93"/>
      <c r="NW47" s="93"/>
      <c r="NX47" s="93"/>
      <c r="NY47" s="93"/>
      <c r="NZ47" s="93"/>
    </row>
    <row r="48" spans="1:390" ht="15.75" customHeight="1" x14ac:dyDescent="0.3">
      <c r="A48" s="98">
        <v>4380932281</v>
      </c>
      <c r="B48" s="87" t="s">
        <v>392</v>
      </c>
      <c r="C48" s="84" t="s">
        <v>393</v>
      </c>
      <c r="D48" s="87" t="s">
        <v>392</v>
      </c>
      <c r="E48" s="93" t="s">
        <v>534</v>
      </c>
      <c r="F48" s="93" t="s">
        <v>441</v>
      </c>
      <c r="G48" s="93" t="s">
        <v>535</v>
      </c>
      <c r="H48" s="166">
        <v>44840</v>
      </c>
      <c r="I48" s="93" t="s">
        <v>536</v>
      </c>
      <c r="J48" s="234" t="s">
        <v>398</v>
      </c>
      <c r="K48" s="93" t="s">
        <v>399</v>
      </c>
      <c r="L48" s="93" t="s">
        <v>399</v>
      </c>
      <c r="M48" s="93" t="s">
        <v>399</v>
      </c>
      <c r="N48" s="93" t="s">
        <v>399</v>
      </c>
      <c r="O48" s="93" t="s">
        <v>399</v>
      </c>
      <c r="P48" s="93" t="s">
        <v>399</v>
      </c>
      <c r="Q48" s="93" t="s">
        <v>399</v>
      </c>
      <c r="R48" s="93" t="s">
        <v>399</v>
      </c>
      <c r="S48" s="93" t="s">
        <v>399</v>
      </c>
      <c r="T48" s="93" t="s">
        <v>399</v>
      </c>
      <c r="U48" s="93" t="s">
        <v>399</v>
      </c>
      <c r="V48" s="93" t="s">
        <v>399</v>
      </c>
      <c r="W48" s="93" t="s">
        <v>399</v>
      </c>
      <c r="X48" s="93" t="s">
        <v>399</v>
      </c>
      <c r="Y48" s="93" t="s">
        <v>399</v>
      </c>
      <c r="Z48" s="93" t="s">
        <v>399</v>
      </c>
      <c r="AA48" s="93" t="s">
        <v>399</v>
      </c>
      <c r="AB48" s="152" t="s">
        <v>400</v>
      </c>
      <c r="AC48" s="166">
        <v>15831</v>
      </c>
      <c r="AD48" s="166">
        <v>44778</v>
      </c>
      <c r="AE48" s="164">
        <f t="shared" si="1"/>
        <v>79</v>
      </c>
      <c r="AF48" s="108" t="s">
        <v>401</v>
      </c>
      <c r="AG48" s="87" t="s">
        <v>402</v>
      </c>
      <c r="AH48" s="163" t="s">
        <v>403</v>
      </c>
      <c r="AI48" s="163" t="s">
        <v>404</v>
      </c>
      <c r="AJ48" s="232" t="s">
        <v>405</v>
      </c>
      <c r="AK48" s="163" t="s">
        <v>405</v>
      </c>
      <c r="AL48" s="172">
        <v>0</v>
      </c>
      <c r="AM48" s="89" t="s">
        <v>406</v>
      </c>
      <c r="AN48" s="170">
        <v>1</v>
      </c>
      <c r="AO48" s="109" t="s">
        <v>399</v>
      </c>
      <c r="AP48" s="88"/>
      <c r="AQ48" s="93"/>
      <c r="AR48" s="88"/>
      <c r="AS48" s="93"/>
      <c r="AT48" s="93"/>
      <c r="AU48" s="93"/>
      <c r="AV48" s="93"/>
      <c r="AW48" s="88"/>
      <c r="AX48" s="93"/>
      <c r="AY48" s="93"/>
      <c r="AZ48" s="93"/>
      <c r="BA48" s="93"/>
      <c r="BB48" s="88"/>
      <c r="BC48" s="93"/>
      <c r="BD48" s="93"/>
      <c r="BE48" s="93"/>
      <c r="BF48" s="93"/>
      <c r="BG48" s="88"/>
      <c r="BH48" s="93"/>
      <c r="BI48" s="93"/>
      <c r="BJ48" s="93"/>
      <c r="BK48" s="93"/>
      <c r="BL48" s="88"/>
      <c r="BM48" s="93"/>
      <c r="BN48" s="93"/>
      <c r="BO48" s="93"/>
      <c r="BP48" s="93"/>
      <c r="BQ48" s="88"/>
      <c r="BR48" s="93"/>
      <c r="BS48" s="93"/>
      <c r="BT48" s="93"/>
      <c r="BU48" s="93"/>
      <c r="BV48" s="88"/>
      <c r="BW48" s="93"/>
      <c r="BX48" s="93"/>
      <c r="BY48" s="93"/>
      <c r="BZ48" s="93"/>
      <c r="CA48" s="88"/>
      <c r="CB48" s="93"/>
      <c r="CC48" s="93"/>
      <c r="CD48" s="93"/>
      <c r="CE48" s="93"/>
      <c r="CF48" s="88"/>
      <c r="CG48" s="93"/>
      <c r="CH48" s="93"/>
      <c r="CI48" s="93"/>
      <c r="CJ48" s="93"/>
      <c r="CK48" s="88"/>
      <c r="CL48" s="93"/>
      <c r="CM48" s="93"/>
      <c r="CN48" s="93"/>
      <c r="CO48" s="93"/>
      <c r="CP48" s="88"/>
      <c r="CQ48" s="93"/>
      <c r="CR48" s="93"/>
      <c r="CS48" s="93"/>
      <c r="CT48" s="93"/>
      <c r="CU48" s="88"/>
      <c r="CV48" s="93"/>
      <c r="CW48" s="93"/>
      <c r="CX48" s="93"/>
      <c r="CY48" s="93"/>
      <c r="CZ48" s="88"/>
      <c r="DA48" s="93"/>
      <c r="DB48" s="93"/>
      <c r="DC48" s="93"/>
      <c r="DD48" s="93"/>
      <c r="DE48" s="88"/>
      <c r="DF48" s="93"/>
      <c r="DG48" s="93"/>
      <c r="DH48" s="93"/>
      <c r="DI48" s="93"/>
      <c r="DJ48" s="88"/>
      <c r="DK48" s="93"/>
      <c r="DL48" s="93"/>
      <c r="DM48" s="93"/>
      <c r="DN48" s="93"/>
      <c r="DO48" s="88"/>
      <c r="DP48" s="93"/>
      <c r="DQ48" s="93"/>
      <c r="DR48" s="93"/>
      <c r="DS48" s="93"/>
      <c r="DT48" s="88"/>
      <c r="DU48" s="93"/>
      <c r="DV48" s="93"/>
      <c r="DW48" s="93"/>
      <c r="DX48" s="93"/>
      <c r="DY48" s="88"/>
      <c r="DZ48" s="93"/>
      <c r="EA48" s="93"/>
      <c r="EB48" s="93"/>
      <c r="EC48" s="93"/>
      <c r="ED48" s="88"/>
      <c r="EE48" s="93"/>
      <c r="EF48" s="93"/>
      <c r="EG48" s="93"/>
      <c r="EH48" s="93"/>
      <c r="EI48" s="88"/>
      <c r="EJ48" s="93"/>
      <c r="EK48" s="93"/>
      <c r="EL48" s="93"/>
      <c r="EM48" s="93"/>
      <c r="EN48" s="88"/>
      <c r="EO48" s="93"/>
      <c r="EP48" s="93"/>
      <c r="EQ48" s="93"/>
      <c r="ER48" s="93"/>
      <c r="ES48" s="88"/>
      <c r="ET48" s="93"/>
      <c r="EU48" s="93"/>
      <c r="EV48" s="93"/>
      <c r="EW48" s="93"/>
      <c r="EX48" s="88"/>
      <c r="EY48" s="93"/>
      <c r="EZ48" s="93"/>
      <c r="FA48" s="93"/>
      <c r="FB48" s="93"/>
      <c r="FC48" s="88"/>
      <c r="FD48" s="93"/>
      <c r="FE48" s="93"/>
      <c r="FF48" s="93"/>
      <c r="FG48" s="93"/>
      <c r="FH48" s="88"/>
      <c r="FI48" s="93"/>
      <c r="FJ48" s="93"/>
      <c r="FK48" s="93"/>
      <c r="FL48" s="93"/>
      <c r="FM48" s="93"/>
      <c r="FN48" s="93"/>
      <c r="FO48" s="93"/>
      <c r="FP48" s="93"/>
      <c r="FQ48" s="93"/>
      <c r="FR48" s="93"/>
      <c r="FS48" s="93"/>
      <c r="FT48" s="93"/>
      <c r="FU48" s="93"/>
      <c r="FV48" s="93"/>
      <c r="FW48" s="93"/>
      <c r="FX48" s="93"/>
      <c r="FY48" s="93"/>
      <c r="FZ48" s="93"/>
      <c r="GA48" s="93"/>
      <c r="GB48" s="93"/>
      <c r="GC48" s="93"/>
      <c r="GD48" s="93"/>
      <c r="GE48" s="93"/>
      <c r="GF48" s="93"/>
      <c r="GG48" s="93"/>
      <c r="GH48" s="93"/>
      <c r="GI48" s="93"/>
      <c r="GJ48" s="93"/>
      <c r="GK48" s="93"/>
      <c r="GL48" s="93"/>
      <c r="GM48" s="93"/>
      <c r="GN48" s="93"/>
      <c r="GO48" s="93"/>
      <c r="GP48" s="88"/>
      <c r="GQ48" s="93"/>
      <c r="GR48" s="93"/>
      <c r="GS48" s="93"/>
      <c r="GT48" s="93"/>
      <c r="GU48" s="88"/>
      <c r="GV48" s="93"/>
      <c r="GW48" s="93"/>
      <c r="GX48" s="93"/>
      <c r="GY48" s="93"/>
      <c r="GZ48" s="88"/>
      <c r="HA48" s="93"/>
      <c r="HB48" s="93"/>
      <c r="HC48" s="93"/>
      <c r="HD48" s="93"/>
      <c r="HE48" s="88"/>
      <c r="HF48" s="93"/>
      <c r="HG48" s="93"/>
      <c r="HH48" s="93"/>
      <c r="HI48" s="93"/>
      <c r="HJ48" s="88"/>
      <c r="HK48" s="93"/>
      <c r="HL48" s="93"/>
      <c r="HM48" s="93"/>
      <c r="HN48" s="93"/>
      <c r="HO48" s="88"/>
      <c r="HP48" s="93"/>
      <c r="HQ48" s="93"/>
      <c r="HR48" s="93"/>
      <c r="HS48" s="93"/>
      <c r="HT48" s="88"/>
      <c r="HU48" s="93"/>
      <c r="HV48" s="93"/>
      <c r="HW48" s="93"/>
      <c r="HX48" s="93"/>
      <c r="HY48" s="88"/>
      <c r="HZ48" s="93"/>
      <c r="IA48" s="93"/>
      <c r="IB48" s="93"/>
      <c r="IC48" s="93"/>
      <c r="ID48" s="88"/>
      <c r="IE48" s="93"/>
      <c r="IF48" s="93"/>
      <c r="IG48" s="93"/>
      <c r="IH48" s="93"/>
      <c r="II48" s="88"/>
      <c r="IJ48" s="93"/>
      <c r="IK48" s="93"/>
      <c r="IL48" s="93"/>
      <c r="IM48" s="93"/>
      <c r="IN48" s="88"/>
      <c r="IO48" s="93"/>
      <c r="IP48" s="93"/>
      <c r="IQ48" s="93"/>
      <c r="IR48" s="93"/>
      <c r="IS48" s="88"/>
      <c r="IT48" s="93"/>
      <c r="IU48" s="93"/>
      <c r="IV48" s="93"/>
      <c r="IW48" s="93"/>
      <c r="IX48" s="88"/>
      <c r="IY48" s="93"/>
      <c r="IZ48" s="93"/>
      <c r="JA48" s="93"/>
      <c r="JB48" s="93"/>
      <c r="JC48" s="88"/>
      <c r="JD48" s="93"/>
      <c r="JE48" s="93"/>
      <c r="JF48" s="93"/>
      <c r="JG48" s="93"/>
      <c r="JH48" s="88"/>
      <c r="JI48" s="93"/>
      <c r="JJ48" s="93"/>
      <c r="JK48" s="93"/>
      <c r="JL48" s="93"/>
      <c r="JM48" s="89"/>
      <c r="JN48" s="93"/>
      <c r="JO48" s="84"/>
      <c r="JP48" s="93"/>
      <c r="JQ48" s="93"/>
      <c r="JR48" s="93"/>
      <c r="JS48" s="93"/>
      <c r="JT48" s="93"/>
      <c r="JU48" s="93"/>
      <c r="JV48" s="93"/>
      <c r="JW48" s="93"/>
      <c r="JX48" s="93"/>
      <c r="JY48" s="93"/>
      <c r="JZ48" s="93"/>
      <c r="KA48" s="93"/>
      <c r="KB48" s="93"/>
      <c r="KC48" s="93"/>
      <c r="KD48" s="93"/>
      <c r="KE48" s="93"/>
      <c r="KF48" s="93"/>
      <c r="KG48" s="93"/>
      <c r="KH48" s="93"/>
      <c r="KI48" s="93"/>
      <c r="KJ48" s="93"/>
      <c r="KK48" s="93"/>
      <c r="KL48" s="93"/>
      <c r="KM48" s="93"/>
      <c r="KN48" s="93"/>
      <c r="KO48" s="93"/>
      <c r="KP48" s="93"/>
      <c r="KQ48" s="93"/>
      <c r="KR48" s="93"/>
      <c r="KS48" s="93"/>
      <c r="KT48" s="93"/>
      <c r="KU48" s="93"/>
      <c r="KV48" s="93"/>
      <c r="KW48" s="93"/>
      <c r="KX48" s="93"/>
      <c r="KY48" s="93"/>
      <c r="KZ48" s="93"/>
      <c r="LA48" s="93"/>
      <c r="LB48" s="93"/>
      <c r="LC48" s="93"/>
      <c r="LD48" s="93"/>
      <c r="LE48" s="93"/>
      <c r="LF48" s="93"/>
      <c r="LG48" s="93"/>
      <c r="LH48" s="93"/>
      <c r="LI48" s="93"/>
      <c r="LJ48" s="93"/>
      <c r="LK48" s="93"/>
      <c r="LL48" s="93"/>
      <c r="LM48" s="93"/>
      <c r="LN48" s="93"/>
      <c r="LO48" s="93"/>
      <c r="LP48" s="93"/>
      <c r="LQ48" s="93"/>
      <c r="LR48" s="93"/>
      <c r="LS48" s="93"/>
      <c r="LT48" s="93"/>
      <c r="LU48" s="93"/>
      <c r="LV48" s="93"/>
      <c r="LW48" s="93"/>
      <c r="LX48" s="93"/>
      <c r="LY48" s="93"/>
      <c r="LZ48" s="93"/>
      <c r="MA48" s="93"/>
      <c r="MB48" s="93"/>
      <c r="MC48" s="93"/>
      <c r="MD48" s="93"/>
      <c r="ME48" s="93"/>
      <c r="MF48" s="93"/>
      <c r="MG48" s="93"/>
      <c r="MH48" s="93"/>
      <c r="MI48" s="93"/>
      <c r="MJ48" s="93"/>
      <c r="MK48" s="93"/>
      <c r="ML48" s="93"/>
      <c r="MM48" s="93"/>
      <c r="MN48" s="93"/>
      <c r="MO48" s="93"/>
      <c r="MP48" s="93"/>
      <c r="MQ48" s="93"/>
      <c r="MR48" s="93"/>
      <c r="MS48" s="93"/>
      <c r="MT48" s="93"/>
      <c r="MU48" s="93"/>
      <c r="MV48" s="93"/>
      <c r="MW48" s="93"/>
      <c r="MX48" s="93"/>
      <c r="MY48" s="93"/>
      <c r="MZ48" s="93"/>
      <c r="NA48" s="93"/>
      <c r="NB48" s="93"/>
      <c r="NC48" s="93"/>
      <c r="ND48" s="93"/>
      <c r="NE48" s="93"/>
      <c r="NF48" s="93"/>
      <c r="NG48" s="93"/>
      <c r="NH48" s="93"/>
      <c r="NI48" s="93"/>
      <c r="NJ48" s="93"/>
      <c r="NK48" s="93"/>
      <c r="NL48" s="93"/>
      <c r="NM48" s="93"/>
      <c r="NN48" s="93"/>
      <c r="NO48" s="93"/>
      <c r="NP48" s="93"/>
      <c r="NQ48" s="93"/>
      <c r="NR48" s="93"/>
      <c r="NS48" s="93"/>
      <c r="NT48" s="93"/>
      <c r="NU48" s="93"/>
      <c r="NV48" s="93"/>
      <c r="NW48" s="93"/>
      <c r="NX48" s="93"/>
      <c r="NY48" s="93"/>
      <c r="NZ48" s="93"/>
    </row>
    <row r="49" spans="1:390" ht="15.75" customHeight="1" x14ac:dyDescent="0.3">
      <c r="A49" s="98">
        <v>4406779205</v>
      </c>
      <c r="B49" s="87" t="s">
        <v>392</v>
      </c>
      <c r="C49" s="84" t="s">
        <v>393</v>
      </c>
      <c r="D49" s="87" t="s">
        <v>392</v>
      </c>
      <c r="E49" s="93" t="s">
        <v>537</v>
      </c>
      <c r="F49" s="93" t="s">
        <v>538</v>
      </c>
      <c r="G49" s="93" t="s">
        <v>539</v>
      </c>
      <c r="H49" s="166">
        <v>44846</v>
      </c>
      <c r="I49" s="93" t="s">
        <v>540</v>
      </c>
      <c r="J49" s="234" t="s">
        <v>541</v>
      </c>
      <c r="K49" s="93" t="s">
        <v>399</v>
      </c>
      <c r="L49" s="93" t="s">
        <v>399</v>
      </c>
      <c r="M49" s="93" t="s">
        <v>399</v>
      </c>
      <c r="N49" s="93" t="s">
        <v>399</v>
      </c>
      <c r="O49" s="93" t="s">
        <v>399</v>
      </c>
      <c r="P49" s="93" t="s">
        <v>399</v>
      </c>
      <c r="Q49" s="93" t="s">
        <v>399</v>
      </c>
      <c r="R49" s="93" t="s">
        <v>399</v>
      </c>
      <c r="S49" s="93" t="s">
        <v>399</v>
      </c>
      <c r="T49" s="93" t="s">
        <v>399</v>
      </c>
      <c r="U49" s="93" t="s">
        <v>399</v>
      </c>
      <c r="V49" s="93" t="s">
        <v>399</v>
      </c>
      <c r="W49" s="93" t="s">
        <v>399</v>
      </c>
      <c r="X49" s="93" t="s">
        <v>399</v>
      </c>
      <c r="Y49" s="93" t="s">
        <v>399</v>
      </c>
      <c r="Z49" s="93" t="s">
        <v>399</v>
      </c>
      <c r="AA49" s="93" t="s">
        <v>399</v>
      </c>
      <c r="AB49" s="152" t="s">
        <v>400</v>
      </c>
      <c r="AC49" s="166">
        <v>27176</v>
      </c>
      <c r="AD49" s="166">
        <v>44768</v>
      </c>
      <c r="AE49" s="164">
        <f t="shared" si="1"/>
        <v>48</v>
      </c>
      <c r="AF49" s="108" t="s">
        <v>401</v>
      </c>
      <c r="AG49" s="87" t="s">
        <v>402</v>
      </c>
      <c r="AH49" s="163" t="s">
        <v>403</v>
      </c>
      <c r="AI49" s="232" t="s">
        <v>405</v>
      </c>
      <c r="AJ49" s="163">
        <v>2</v>
      </c>
      <c r="AK49" s="163" t="s">
        <v>405</v>
      </c>
      <c r="AL49" s="172">
        <v>0</v>
      </c>
      <c r="AM49" s="89" t="s">
        <v>542</v>
      </c>
      <c r="AN49" s="170">
        <v>2</v>
      </c>
      <c r="AO49" s="205" t="s">
        <v>399</v>
      </c>
      <c r="AP49" s="88"/>
      <c r="AQ49" s="93"/>
      <c r="AR49" s="88"/>
      <c r="AS49" s="93"/>
      <c r="AT49" s="93"/>
      <c r="AU49" s="93"/>
      <c r="AV49" s="93"/>
      <c r="AW49" s="88"/>
      <c r="AX49" s="93"/>
      <c r="AY49" s="93"/>
      <c r="AZ49" s="93"/>
      <c r="BA49" s="93"/>
      <c r="BB49" s="88"/>
      <c r="BC49" s="93"/>
      <c r="BD49" s="93"/>
      <c r="BE49" s="93"/>
      <c r="BF49" s="93"/>
      <c r="BG49" s="88"/>
      <c r="BH49" s="93"/>
      <c r="BI49" s="93"/>
      <c r="BJ49" s="93"/>
      <c r="BK49" s="93"/>
      <c r="BL49" s="88"/>
      <c r="BM49" s="93"/>
      <c r="BN49" s="93"/>
      <c r="BO49" s="93"/>
      <c r="BP49" s="93"/>
      <c r="BQ49" s="88"/>
      <c r="BR49" s="93"/>
      <c r="BS49" s="93"/>
      <c r="BT49" s="93"/>
      <c r="BU49" s="93"/>
      <c r="BV49" s="88"/>
      <c r="BW49" s="93"/>
      <c r="BX49" s="93"/>
      <c r="BY49" s="93"/>
      <c r="BZ49" s="93"/>
      <c r="CA49" s="88"/>
      <c r="CB49" s="93"/>
      <c r="CC49" s="93"/>
      <c r="CD49" s="93"/>
      <c r="CE49" s="93"/>
      <c r="CF49" s="88"/>
      <c r="CG49" s="93"/>
      <c r="CH49" s="93"/>
      <c r="CI49" s="93"/>
      <c r="CJ49" s="93"/>
      <c r="CK49" s="88"/>
      <c r="CL49" s="93"/>
      <c r="CM49" s="93"/>
      <c r="CN49" s="93"/>
      <c r="CO49" s="93"/>
      <c r="CP49" s="88"/>
      <c r="CQ49" s="93"/>
      <c r="CR49" s="93"/>
      <c r="CS49" s="93"/>
      <c r="CT49" s="93"/>
      <c r="CU49" s="88"/>
      <c r="CV49" s="93"/>
      <c r="CW49" s="93"/>
      <c r="CX49" s="93"/>
      <c r="CY49" s="93"/>
      <c r="CZ49" s="88"/>
      <c r="DA49" s="93"/>
      <c r="DB49" s="93"/>
      <c r="DC49" s="93"/>
      <c r="DD49" s="93"/>
      <c r="DE49" s="88"/>
      <c r="DF49" s="93"/>
      <c r="DG49" s="93"/>
      <c r="DH49" s="93"/>
      <c r="DI49" s="93"/>
      <c r="DJ49" s="88"/>
      <c r="DK49" s="93"/>
      <c r="DL49" s="93"/>
      <c r="DM49" s="93"/>
      <c r="DN49" s="93"/>
      <c r="DO49" s="88"/>
      <c r="DP49" s="93"/>
      <c r="DQ49" s="93"/>
      <c r="DR49" s="93"/>
      <c r="DS49" s="93"/>
      <c r="DT49" s="88"/>
      <c r="DU49" s="93"/>
      <c r="DV49" s="93"/>
      <c r="DW49" s="93"/>
      <c r="DX49" s="93"/>
      <c r="DY49" s="88"/>
      <c r="DZ49" s="93"/>
      <c r="EA49" s="93"/>
      <c r="EB49" s="93"/>
      <c r="EC49" s="93"/>
      <c r="ED49" s="88"/>
      <c r="EE49" s="93"/>
      <c r="EF49" s="93"/>
      <c r="EG49" s="93"/>
      <c r="EH49" s="93"/>
      <c r="EI49" s="88"/>
      <c r="EJ49" s="93"/>
      <c r="EK49" s="93"/>
      <c r="EL49" s="93"/>
      <c r="EM49" s="93"/>
      <c r="EN49" s="88"/>
      <c r="EO49" s="93"/>
      <c r="EP49" s="93"/>
      <c r="EQ49" s="93"/>
      <c r="ER49" s="93"/>
      <c r="ES49" s="88"/>
      <c r="ET49" s="93"/>
      <c r="EU49" s="93"/>
      <c r="EV49" s="93"/>
      <c r="EW49" s="93"/>
      <c r="EX49" s="88"/>
      <c r="EY49" s="93"/>
      <c r="EZ49" s="93"/>
      <c r="FA49" s="93"/>
      <c r="FB49" s="93"/>
      <c r="FC49" s="88"/>
      <c r="FD49" s="93"/>
      <c r="FE49" s="93"/>
      <c r="FF49" s="93"/>
      <c r="FG49" s="93"/>
      <c r="FH49" s="88"/>
      <c r="FI49" s="93"/>
      <c r="FJ49" s="93"/>
      <c r="FK49" s="93"/>
      <c r="FL49" s="93"/>
      <c r="FM49" s="93"/>
      <c r="FN49" s="93"/>
      <c r="FO49" s="93"/>
      <c r="FP49" s="93"/>
      <c r="FQ49" s="93"/>
      <c r="FR49" s="93"/>
      <c r="FS49" s="93"/>
      <c r="FT49" s="93"/>
      <c r="FU49" s="93"/>
      <c r="FV49" s="93"/>
      <c r="FW49" s="93"/>
      <c r="FX49" s="93"/>
      <c r="FY49" s="93"/>
      <c r="FZ49" s="93"/>
      <c r="GA49" s="93"/>
      <c r="GB49" s="93"/>
      <c r="GC49" s="93"/>
      <c r="GD49" s="93"/>
      <c r="GE49" s="93"/>
      <c r="GF49" s="93"/>
      <c r="GG49" s="93"/>
      <c r="GH49" s="93"/>
      <c r="GI49" s="93"/>
      <c r="GJ49" s="93"/>
      <c r="GK49" s="93"/>
      <c r="GL49" s="93"/>
      <c r="GM49" s="93"/>
      <c r="GN49" s="93"/>
      <c r="GO49" s="93"/>
      <c r="GP49" s="88"/>
      <c r="GQ49" s="93"/>
      <c r="GR49" s="93"/>
      <c r="GS49" s="93"/>
      <c r="GT49" s="93"/>
      <c r="GU49" s="88"/>
      <c r="GV49" s="93"/>
      <c r="GW49" s="93"/>
      <c r="GX49" s="93"/>
      <c r="GY49" s="93"/>
      <c r="GZ49" s="88"/>
      <c r="HA49" s="93"/>
      <c r="HB49" s="93"/>
      <c r="HC49" s="93"/>
      <c r="HD49" s="93"/>
      <c r="HE49" s="88"/>
      <c r="HF49" s="93"/>
      <c r="HG49" s="93"/>
      <c r="HH49" s="93"/>
      <c r="HI49" s="93"/>
      <c r="HJ49" s="88"/>
      <c r="HK49" s="93"/>
      <c r="HL49" s="93"/>
      <c r="HM49" s="93"/>
      <c r="HN49" s="93"/>
      <c r="HO49" s="88"/>
      <c r="HP49" s="93"/>
      <c r="HQ49" s="93"/>
      <c r="HR49" s="93"/>
      <c r="HS49" s="93"/>
      <c r="HT49" s="88"/>
      <c r="HU49" s="93"/>
      <c r="HV49" s="93"/>
      <c r="HW49" s="93"/>
      <c r="HX49" s="93"/>
      <c r="HY49" s="88"/>
      <c r="HZ49" s="93"/>
      <c r="IA49" s="93"/>
      <c r="IB49" s="93"/>
      <c r="IC49" s="93"/>
      <c r="ID49" s="88"/>
      <c r="IE49" s="93"/>
      <c r="IF49" s="93"/>
      <c r="IG49" s="93"/>
      <c r="IH49" s="93"/>
      <c r="II49" s="88"/>
      <c r="IJ49" s="93"/>
      <c r="IK49" s="93"/>
      <c r="IL49" s="93"/>
      <c r="IM49" s="93"/>
      <c r="IN49" s="88"/>
      <c r="IO49" s="93"/>
      <c r="IP49" s="93"/>
      <c r="IQ49" s="93"/>
      <c r="IR49" s="93"/>
      <c r="IS49" s="88"/>
      <c r="IT49" s="93"/>
      <c r="IU49" s="93"/>
      <c r="IV49" s="93"/>
      <c r="IW49" s="93"/>
      <c r="IX49" s="88"/>
      <c r="IY49" s="93"/>
      <c r="IZ49" s="93"/>
      <c r="JA49" s="93"/>
      <c r="JB49" s="93"/>
      <c r="JC49" s="88"/>
      <c r="JD49" s="93"/>
      <c r="JE49" s="93"/>
      <c r="JF49" s="93"/>
      <c r="JG49" s="93"/>
      <c r="JH49" s="88"/>
      <c r="JI49" s="93"/>
      <c r="JJ49" s="93"/>
      <c r="JK49" s="93"/>
      <c r="JL49" s="93"/>
      <c r="JM49" s="89"/>
      <c r="JN49" s="93"/>
      <c r="JO49" s="84"/>
      <c r="JP49" s="93"/>
      <c r="JQ49" s="93"/>
      <c r="JR49" s="93"/>
      <c r="JS49" s="93"/>
      <c r="JT49" s="93"/>
      <c r="JU49" s="93"/>
      <c r="JV49" s="93"/>
      <c r="JW49" s="93"/>
      <c r="JX49" s="93"/>
      <c r="JY49" s="93"/>
      <c r="JZ49" s="93"/>
      <c r="KA49" s="93"/>
      <c r="KB49" s="93"/>
      <c r="KC49" s="93"/>
      <c r="KD49" s="93"/>
      <c r="KE49" s="93"/>
      <c r="KF49" s="93"/>
      <c r="KG49" s="93"/>
      <c r="KH49" s="93"/>
      <c r="KI49" s="93"/>
      <c r="KJ49" s="93"/>
      <c r="KK49" s="93"/>
      <c r="KL49" s="93"/>
      <c r="KM49" s="93"/>
      <c r="KN49" s="93"/>
      <c r="KO49" s="93"/>
      <c r="KP49" s="93"/>
      <c r="KQ49" s="93"/>
      <c r="KR49" s="93"/>
      <c r="KS49" s="93"/>
      <c r="KT49" s="93"/>
      <c r="KU49" s="93"/>
      <c r="KV49" s="93"/>
      <c r="KW49" s="93"/>
      <c r="KX49" s="93"/>
      <c r="KY49" s="93"/>
      <c r="KZ49" s="93"/>
      <c r="LA49" s="93"/>
      <c r="LB49" s="93"/>
      <c r="LC49" s="93"/>
      <c r="LD49" s="93"/>
      <c r="LE49" s="93"/>
      <c r="LF49" s="93"/>
      <c r="LG49" s="93"/>
      <c r="LH49" s="93"/>
      <c r="LI49" s="93"/>
      <c r="LJ49" s="93"/>
      <c r="LK49" s="93"/>
      <c r="LL49" s="93"/>
      <c r="LM49" s="93"/>
      <c r="LN49" s="93"/>
      <c r="LO49" s="93"/>
      <c r="LP49" s="93"/>
      <c r="LQ49" s="93"/>
      <c r="LR49" s="93"/>
      <c r="LS49" s="93"/>
      <c r="LT49" s="93"/>
      <c r="LU49" s="93"/>
      <c r="LV49" s="93"/>
      <c r="LW49" s="93"/>
      <c r="LX49" s="93"/>
      <c r="LY49" s="93"/>
      <c r="LZ49" s="93"/>
      <c r="MA49" s="93"/>
      <c r="MB49" s="93"/>
      <c r="MC49" s="93"/>
      <c r="MD49" s="93"/>
      <c r="ME49" s="93"/>
      <c r="MF49" s="93"/>
      <c r="MG49" s="93"/>
      <c r="MH49" s="93"/>
      <c r="MI49" s="93"/>
      <c r="MJ49" s="93"/>
      <c r="MK49" s="93"/>
      <c r="ML49" s="93"/>
      <c r="MM49" s="93"/>
      <c r="MN49" s="93"/>
      <c r="MO49" s="93"/>
      <c r="MP49" s="93"/>
      <c r="MQ49" s="93"/>
      <c r="MR49" s="93"/>
      <c r="MS49" s="93"/>
      <c r="MT49" s="93"/>
      <c r="MU49" s="93"/>
      <c r="MV49" s="93"/>
      <c r="MW49" s="93"/>
      <c r="MX49" s="93"/>
      <c r="MY49" s="93"/>
      <c r="MZ49" s="93"/>
      <c r="NA49" s="93"/>
      <c r="NB49" s="93"/>
      <c r="NC49" s="93"/>
      <c r="ND49" s="93"/>
      <c r="NE49" s="93"/>
      <c r="NF49" s="93"/>
      <c r="NG49" s="93"/>
      <c r="NH49" s="93"/>
      <c r="NI49" s="93"/>
      <c r="NJ49" s="93"/>
      <c r="NK49" s="93"/>
      <c r="NL49" s="93"/>
      <c r="NM49" s="93"/>
      <c r="NN49" s="93"/>
      <c r="NO49" s="93"/>
      <c r="NP49" s="93"/>
      <c r="NQ49" s="93"/>
      <c r="NR49" s="93"/>
      <c r="NS49" s="93"/>
      <c r="NT49" s="93"/>
      <c r="NU49" s="93"/>
      <c r="NV49" s="93"/>
      <c r="NW49" s="93"/>
      <c r="NX49" s="93"/>
      <c r="NY49" s="93"/>
      <c r="NZ49" s="93"/>
    </row>
  </sheetData>
  <sortState xmlns:xlrd2="http://schemas.microsoft.com/office/spreadsheetml/2017/richdata2" ref="A4:NZ49">
    <sortCondition ref="E4:E49"/>
  </sortState>
  <conditionalFormatting sqref="A4:A49">
    <cfRule type="duplicateValues" dxfId="36" priority="1"/>
  </conditionalFormatting>
  <dataValidations count="3">
    <dataValidation type="list" allowBlank="1" showInputMessage="1" showErrorMessage="1" sqref="EJ4" xr:uid="{5D724B1E-AA51-4247-AD54-0CDB596B54F4}">
      <formula1>"Radiotherapy, Chemotherapy, Immunotherapy, Other"</formula1>
    </dataValidation>
    <dataValidation type="list" allowBlank="1" showInputMessage="1" showErrorMessage="1" sqref="JM4:JM44" xr:uid="{66257367-C725-43AF-996E-B752A2E1118E}">
      <formula1>"Alive, Deceased"</formula1>
    </dataValidation>
    <dataValidation allowBlank="1" showInputMessage="1" showErrorMessage="1" sqref="AI4:AL44 AI46:AL49" xr:uid="{EDE2BD0E-7372-4E9E-8305-891DC02954AE}"/>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BE59622C-14CB-4FAB-B2EC-7E7A70E23CD2}">
          <x14:formula1>
            <xm:f>'Calculations &amp; Lists'!$H$2:$H$5</xm:f>
          </x14:formula1>
          <xm:sqref>AG4:AG49</xm:sqref>
        </x14:dataValidation>
        <x14:dataValidation type="list" allowBlank="1" showInputMessage="1" showErrorMessage="1" xr:uid="{FC1FA70A-B770-4674-821E-833C79035C90}">
          <x14:formula1>
            <xm:f>'Calculations &amp; Lists'!$G$2:$G$7</xm:f>
          </x14:formula1>
          <xm:sqref>Q37 C4:C49 Q29</xm:sqref>
        </x14:dataValidation>
        <x14:dataValidation type="list" allowBlank="1" showInputMessage="1" showErrorMessage="1" xr:uid="{10CE9489-21B9-4AF7-8AD5-582F61E8EFA0}">
          <x14:formula1>
            <xm:f>'Calculations &amp; Lists'!$F$2:$F$5</xm:f>
          </x14:formula1>
          <xm:sqref>JO4:JO44 D4:D49 AH4:AH49 B4:B49</xm:sqref>
        </x14:dataValidation>
        <x14:dataValidation type="list" allowBlank="1" showInputMessage="1" showErrorMessage="1" xr:uid="{9873B8BB-C2ED-451F-8F20-133049F4F09A}">
          <x14:formula1>
            <xm:f>'Calculations &amp; Lists'!$E$2:$E$8</xm:f>
          </x14:formula1>
          <xm:sqref>AW4:AW44 AR4:AR44 JH4:JH44 JC4:JC44 IX4:IX44 IS4:IS44 IN4:IN44 II4:II44 ID4:ID44 HY4:HY44 HT4:HT44 HO4:HO44 HJ4:HJ44 HE4:HE44 GZ4:GZ44 GU4:GU44 GP4:GP44 FH4:FH44 FC4:FC44 EX4:EX44 ES4:ES44 EN4:EN44 ED4:ED44 EI4:EI44 DY4:DY44 DT4:DT44 DO4:DO44 DJ4:DJ44 DE4:DE44 CZ4:CZ44 CU4:CU44 CP4:CP44 CK4:CK44 CF4:CF44 CA4:CA44 BV4:BV44 BQ4:BQ44 BL4:BL44 BG4:BG44 BB4:BB44 AP4:AP44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C782E-7379-4351-8FAC-25EF7DADE097}">
  <sheetPr codeName="Sheet2"/>
  <dimension ref="A1:AO47"/>
  <sheetViews>
    <sheetView workbookViewId="0">
      <selection activeCell="L14" sqref="L14"/>
    </sheetView>
  </sheetViews>
  <sheetFormatPr defaultRowHeight="12.5" x14ac:dyDescent="0.25"/>
  <cols>
    <col min="1" max="1" width="11.1796875" bestFit="1" customWidth="1"/>
    <col min="5" max="5" width="13" customWidth="1"/>
    <col min="13" max="13" width="11.1796875" bestFit="1" customWidth="1"/>
  </cols>
  <sheetData>
    <row r="1" spans="1:41" ht="65" x14ac:dyDescent="0.25">
      <c r="A1" s="45" t="s">
        <v>543</v>
      </c>
      <c r="B1" s="45" t="s">
        <v>3</v>
      </c>
      <c r="C1" s="45" t="s">
        <v>4</v>
      </c>
      <c r="D1" s="46" t="s">
        <v>5</v>
      </c>
      <c r="E1" s="46" t="s">
        <v>6</v>
      </c>
      <c r="F1" s="46" t="s">
        <v>7</v>
      </c>
      <c r="G1" s="46" t="s">
        <v>8</v>
      </c>
      <c r="H1" s="47" t="s">
        <v>9</v>
      </c>
      <c r="I1" s="48" t="s">
        <v>10</v>
      </c>
      <c r="J1" s="48" t="s">
        <v>11</v>
      </c>
      <c r="K1" s="46" t="s">
        <v>12</v>
      </c>
      <c r="L1" s="45" t="s">
        <v>13</v>
      </c>
      <c r="M1" s="249" t="s">
        <v>14</v>
      </c>
      <c r="N1" s="249" t="s">
        <v>15</v>
      </c>
      <c r="O1" s="249" t="s">
        <v>16</v>
      </c>
      <c r="P1" s="250" t="s">
        <v>17</v>
      </c>
      <c r="Q1" s="45" t="s">
        <v>18</v>
      </c>
      <c r="R1" s="249" t="s">
        <v>19</v>
      </c>
      <c r="S1" s="249" t="s">
        <v>20</v>
      </c>
      <c r="T1" s="249" t="s">
        <v>21</v>
      </c>
      <c r="U1" s="250" t="s">
        <v>22</v>
      </c>
      <c r="V1" s="45" t="s">
        <v>23</v>
      </c>
      <c r="W1" s="249" t="s">
        <v>24</v>
      </c>
      <c r="X1" s="249" t="s">
        <v>25</v>
      </c>
      <c r="Y1" s="249" t="s">
        <v>26</v>
      </c>
      <c r="Z1" s="250" t="s">
        <v>27</v>
      </c>
      <c r="AA1" s="45" t="s">
        <v>28</v>
      </c>
      <c r="AB1" s="46" t="s">
        <v>29</v>
      </c>
      <c r="AC1" s="52" t="s">
        <v>31</v>
      </c>
      <c r="AD1" s="53" t="s">
        <v>32</v>
      </c>
      <c r="AE1" s="55" t="s">
        <v>33</v>
      </c>
      <c r="AF1" s="55" t="s">
        <v>34</v>
      </c>
      <c r="AG1" s="53" t="s">
        <v>35</v>
      </c>
      <c r="AH1" s="53" t="s">
        <v>36</v>
      </c>
      <c r="AI1" s="53" t="s">
        <v>37</v>
      </c>
      <c r="AJ1" s="53" t="s">
        <v>38</v>
      </c>
      <c r="AK1" s="53" t="s">
        <v>39</v>
      </c>
      <c r="AL1" s="105" t="s">
        <v>40</v>
      </c>
      <c r="AM1" s="253" t="s">
        <v>41</v>
      </c>
      <c r="AN1" s="259" t="s">
        <v>42</v>
      </c>
      <c r="AO1" s="76" t="s">
        <v>281</v>
      </c>
    </row>
    <row r="2" spans="1:41" ht="13" x14ac:dyDescent="0.3">
      <c r="A2" s="248" t="s">
        <v>544</v>
      </c>
      <c r="B2" s="248" t="s">
        <v>392</v>
      </c>
      <c r="C2" s="248" t="s">
        <v>393</v>
      </c>
      <c r="D2" s="248" t="s">
        <v>392</v>
      </c>
      <c r="E2" s="248" t="s">
        <v>394</v>
      </c>
      <c r="F2" s="248" t="s">
        <v>395</v>
      </c>
      <c r="G2" s="252" t="s">
        <v>396</v>
      </c>
      <c r="H2" s="251" t="str">
        <f>IFERROR("Q" &amp;INT((MONTH('MMR proficient'!H4)+2)/3) &amp; "-" &amp; YEAR('MMR proficient'!H4),"N/A")</f>
        <v>Q2-2015</v>
      </c>
      <c r="I2" s="172" t="s">
        <v>397</v>
      </c>
      <c r="J2" s="248" t="s">
        <v>398</v>
      </c>
      <c r="K2" s="248" t="s">
        <v>399</v>
      </c>
      <c r="L2" s="248" t="s">
        <v>399</v>
      </c>
      <c r="M2" s="248" t="s">
        <v>399</v>
      </c>
      <c r="N2" s="248" t="s">
        <v>399</v>
      </c>
      <c r="O2" s="248" t="s">
        <v>399</v>
      </c>
      <c r="P2" s="251" t="str">
        <f>IFERROR("Q" &amp;INT((MONTH('MMR proficient'!P4)+2)/3) &amp; "-" &amp; YEAR('MMR proficient'!P4),"N/A")</f>
        <v>N/A</v>
      </c>
      <c r="Q2" s="248" t="s">
        <v>399</v>
      </c>
      <c r="R2" s="248" t="s">
        <v>399</v>
      </c>
      <c r="S2" s="248" t="s">
        <v>399</v>
      </c>
      <c r="T2" s="248" t="s">
        <v>399</v>
      </c>
      <c r="U2" s="248" t="s">
        <v>399</v>
      </c>
      <c r="V2" s="248" t="s">
        <v>399</v>
      </c>
      <c r="W2" s="248" t="s">
        <v>399</v>
      </c>
      <c r="X2" s="248" t="s">
        <v>399</v>
      </c>
      <c r="Y2" s="248" t="s">
        <v>399</v>
      </c>
      <c r="Z2" s="248" t="s">
        <v>399</v>
      </c>
      <c r="AA2" s="248" t="s">
        <v>399</v>
      </c>
      <c r="AB2" s="248" t="s">
        <v>400</v>
      </c>
      <c r="AC2" s="251" t="str">
        <f>IFERROR("Q" &amp;INT((MONTH('MMR proficient'!AD4)+2)/3) &amp; "-" &amp; YEAR('MMR proficient'!AD4),"N/A")</f>
        <v>Q2-2015</v>
      </c>
      <c r="AD2" s="248">
        <v>52</v>
      </c>
      <c r="AE2" s="248" t="s">
        <v>401</v>
      </c>
      <c r="AF2" s="248" t="s">
        <v>402</v>
      </c>
      <c r="AG2" s="248" t="s">
        <v>403</v>
      </c>
      <c r="AH2" s="248" t="s">
        <v>404</v>
      </c>
      <c r="AI2" s="248">
        <v>0</v>
      </c>
      <c r="AJ2" s="248" t="s">
        <v>405</v>
      </c>
      <c r="AK2" s="248">
        <v>0</v>
      </c>
      <c r="AL2" s="248" t="s">
        <v>406</v>
      </c>
      <c r="AM2" s="248">
        <v>2</v>
      </c>
      <c r="AN2" s="258" t="s">
        <v>399</v>
      </c>
      <c r="AO2" s="248" t="s">
        <v>399</v>
      </c>
    </row>
    <row r="3" spans="1:41" ht="13" x14ac:dyDescent="0.3">
      <c r="A3" s="248" t="s">
        <v>545</v>
      </c>
      <c r="B3" s="248" t="s">
        <v>392</v>
      </c>
      <c r="C3" s="248" t="s">
        <v>393</v>
      </c>
      <c r="D3" s="248" t="s">
        <v>392</v>
      </c>
      <c r="E3" s="248" t="s">
        <v>407</v>
      </c>
      <c r="F3" s="248" t="s">
        <v>408</v>
      </c>
      <c r="G3" s="248" t="s">
        <v>409</v>
      </c>
      <c r="H3" s="251" t="str">
        <f>IFERROR("Q" &amp;INT((MONTH('MMR proficient'!H5)+2)/3) &amp; "-" &amp; YEAR('MMR proficient'!H5),"N/A")</f>
        <v>Q2-2016</v>
      </c>
      <c r="I3" s="248" t="s">
        <v>410</v>
      </c>
      <c r="J3" s="248" t="s">
        <v>398</v>
      </c>
      <c r="K3" s="248" t="s">
        <v>399</v>
      </c>
      <c r="L3" s="248" t="s">
        <v>399</v>
      </c>
      <c r="M3" s="248" t="s">
        <v>399</v>
      </c>
      <c r="N3" s="248" t="s">
        <v>399</v>
      </c>
      <c r="O3" s="248" t="s">
        <v>399</v>
      </c>
      <c r="P3" s="251" t="str">
        <f>IFERROR("Q" &amp;INT((MONTH('MMR proficient'!P5)+2)/3) &amp; "-" &amp; YEAR('MMR proficient'!P5),"N/A")</f>
        <v>N/A</v>
      </c>
      <c r="Q3" s="248" t="s">
        <v>399</v>
      </c>
      <c r="R3" s="248" t="s">
        <v>399</v>
      </c>
      <c r="S3" s="248" t="s">
        <v>399</v>
      </c>
      <c r="T3" s="248" t="s">
        <v>399</v>
      </c>
      <c r="U3" s="248" t="s">
        <v>399</v>
      </c>
      <c r="V3" s="248" t="s">
        <v>399</v>
      </c>
      <c r="W3" s="248" t="s">
        <v>399</v>
      </c>
      <c r="X3" s="248" t="s">
        <v>399</v>
      </c>
      <c r="Y3" s="248" t="s">
        <v>399</v>
      </c>
      <c r="Z3" s="248" t="s">
        <v>399</v>
      </c>
      <c r="AA3" s="248" t="s">
        <v>399</v>
      </c>
      <c r="AB3" s="248" t="s">
        <v>400</v>
      </c>
      <c r="AC3" s="251" t="str">
        <f>IFERROR("Q" &amp;INT((MONTH('MMR proficient'!AD5)+2)/3) &amp; "-" &amp; YEAR('MMR proficient'!AD5),"N/A")</f>
        <v>Q1-2016</v>
      </c>
      <c r="AD3" s="248">
        <v>51</v>
      </c>
      <c r="AE3" s="248" t="s">
        <v>401</v>
      </c>
      <c r="AF3" s="248" t="s">
        <v>402</v>
      </c>
      <c r="AG3" s="248" t="s">
        <v>405</v>
      </c>
      <c r="AH3" s="248" t="s">
        <v>411</v>
      </c>
      <c r="AI3" s="248">
        <v>0</v>
      </c>
      <c r="AJ3" s="248" t="s">
        <v>405</v>
      </c>
      <c r="AK3" s="248">
        <v>0</v>
      </c>
      <c r="AL3" s="248" t="s">
        <v>412</v>
      </c>
      <c r="AM3" s="248">
        <v>1</v>
      </c>
      <c r="AN3" s="252" t="s">
        <v>399</v>
      </c>
      <c r="AO3" s="161" t="s">
        <v>413</v>
      </c>
    </row>
    <row r="4" spans="1:41" ht="13" x14ac:dyDescent="0.3">
      <c r="A4" s="248" t="s">
        <v>546</v>
      </c>
      <c r="B4" s="248" t="s">
        <v>392</v>
      </c>
      <c r="C4" s="248" t="s">
        <v>393</v>
      </c>
      <c r="D4" s="248" t="s">
        <v>392</v>
      </c>
      <c r="E4" s="248" t="s">
        <v>414</v>
      </c>
      <c r="F4" s="248" t="s">
        <v>415</v>
      </c>
      <c r="G4" s="248" t="s">
        <v>416</v>
      </c>
      <c r="H4" s="251" t="str">
        <f>IFERROR("Q" &amp;INT((MONTH('MMR proficient'!H6)+2)/3) &amp; "-" &amp; YEAR('MMR proficient'!H6),"N/A")</f>
        <v>Q1-2017</v>
      </c>
      <c r="I4" s="248" t="s">
        <v>417</v>
      </c>
      <c r="J4" s="248" t="s">
        <v>398</v>
      </c>
      <c r="K4" s="248" t="s">
        <v>399</v>
      </c>
      <c r="L4" s="248" t="s">
        <v>399</v>
      </c>
      <c r="M4" s="248" t="s">
        <v>399</v>
      </c>
      <c r="N4" s="248" t="s">
        <v>399</v>
      </c>
      <c r="O4" s="248" t="s">
        <v>399</v>
      </c>
      <c r="P4" s="251" t="str">
        <f>IFERROR("Q" &amp;INT((MONTH('MMR proficient'!P6)+2)/3) &amp; "-" &amp; YEAR('MMR proficient'!P6),"N/A")</f>
        <v>N/A</v>
      </c>
      <c r="Q4" s="248" t="s">
        <v>399</v>
      </c>
      <c r="R4" s="248" t="s">
        <v>399</v>
      </c>
      <c r="S4" s="248" t="s">
        <v>399</v>
      </c>
      <c r="T4" s="248" t="s">
        <v>399</v>
      </c>
      <c r="U4" s="248" t="s">
        <v>399</v>
      </c>
      <c r="V4" s="248" t="s">
        <v>399</v>
      </c>
      <c r="W4" s="248" t="s">
        <v>399</v>
      </c>
      <c r="X4" s="248" t="s">
        <v>399</v>
      </c>
      <c r="Y4" s="248" t="s">
        <v>399</v>
      </c>
      <c r="Z4" s="248" t="s">
        <v>399</v>
      </c>
      <c r="AA4" s="248" t="s">
        <v>399</v>
      </c>
      <c r="AB4" s="248" t="s">
        <v>400</v>
      </c>
      <c r="AC4" s="251" t="str">
        <f>IFERROR("Q" &amp;INT((MONTH('MMR proficient'!AD6)+2)/3) &amp; "-" &amp; YEAR('MMR proficient'!AD6),"N/A")</f>
        <v>Q1-2017</v>
      </c>
      <c r="AD4" s="248">
        <v>80</v>
      </c>
      <c r="AE4" s="248" t="s">
        <v>401</v>
      </c>
      <c r="AF4" s="248" t="s">
        <v>402</v>
      </c>
      <c r="AG4" s="248" t="s">
        <v>403</v>
      </c>
      <c r="AH4" s="248" t="s">
        <v>418</v>
      </c>
      <c r="AI4" s="248">
        <v>0</v>
      </c>
      <c r="AJ4" s="248" t="s">
        <v>405</v>
      </c>
      <c r="AK4" s="248">
        <v>0</v>
      </c>
      <c r="AL4" s="248" t="s">
        <v>419</v>
      </c>
      <c r="AM4" s="248">
        <v>1</v>
      </c>
      <c r="AN4" s="252" t="s">
        <v>399</v>
      </c>
      <c r="AO4" s="248" t="s">
        <v>399</v>
      </c>
    </row>
    <row r="5" spans="1:41" ht="13" x14ac:dyDescent="0.3">
      <c r="A5" s="248" t="s">
        <v>547</v>
      </c>
      <c r="B5" s="248" t="s">
        <v>392</v>
      </c>
      <c r="C5" s="248" t="s">
        <v>393</v>
      </c>
      <c r="D5" s="248" t="s">
        <v>392</v>
      </c>
      <c r="E5" s="248" t="s">
        <v>420</v>
      </c>
      <c r="F5" s="248" t="s">
        <v>415</v>
      </c>
      <c r="G5" s="248" t="s">
        <v>408</v>
      </c>
      <c r="H5" s="251" t="str">
        <f>IFERROR("Q" &amp;INT((MONTH('MMR proficient'!H7)+2)/3) &amp; "-" &amp; YEAR('MMR proficient'!H7),"N/A")</f>
        <v>Q2-2017</v>
      </c>
      <c r="I5" s="248" t="s">
        <v>421</v>
      </c>
      <c r="J5" s="248" t="s">
        <v>422</v>
      </c>
      <c r="K5" s="248" t="s">
        <v>399</v>
      </c>
      <c r="L5" s="248" t="s">
        <v>399</v>
      </c>
      <c r="M5" s="248" t="s">
        <v>399</v>
      </c>
      <c r="N5" s="248" t="s">
        <v>399</v>
      </c>
      <c r="O5" s="248" t="s">
        <v>399</v>
      </c>
      <c r="P5" s="251" t="str">
        <f>IFERROR("Q" &amp;INT((MONTH('MMR proficient'!P7)+2)/3) &amp; "-" &amp; YEAR('MMR proficient'!P7),"N/A")</f>
        <v>N/A</v>
      </c>
      <c r="Q5" s="248" t="s">
        <v>399</v>
      </c>
      <c r="R5" s="248" t="s">
        <v>399</v>
      </c>
      <c r="S5" s="248" t="s">
        <v>399</v>
      </c>
      <c r="T5" s="248" t="s">
        <v>399</v>
      </c>
      <c r="U5" s="248" t="s">
        <v>399</v>
      </c>
      <c r="V5" s="248" t="s">
        <v>399</v>
      </c>
      <c r="W5" s="248" t="s">
        <v>399</v>
      </c>
      <c r="X5" s="248" t="s">
        <v>399</v>
      </c>
      <c r="Y5" s="248" t="s">
        <v>399</v>
      </c>
      <c r="Z5" s="248" t="s">
        <v>399</v>
      </c>
      <c r="AA5" s="248" t="s">
        <v>399</v>
      </c>
      <c r="AB5" s="248" t="s">
        <v>400</v>
      </c>
      <c r="AC5" s="251" t="str">
        <f>IFERROR("Q" &amp;INT((MONTH('MMR proficient'!AD7)+2)/3) &amp; "-" &amp; YEAR('MMR proficient'!AD7),"N/A")</f>
        <v>Q1-2017</v>
      </c>
      <c r="AD5" s="248">
        <v>53</v>
      </c>
      <c r="AE5" s="248" t="s">
        <v>401</v>
      </c>
      <c r="AF5" s="248" t="s">
        <v>402</v>
      </c>
      <c r="AG5" s="248" t="s">
        <v>403</v>
      </c>
      <c r="AH5" s="248">
        <v>2</v>
      </c>
      <c r="AI5" s="248">
        <v>0</v>
      </c>
      <c r="AJ5" s="248" t="s">
        <v>405</v>
      </c>
      <c r="AK5" s="248">
        <v>0</v>
      </c>
      <c r="AL5" s="248" t="s">
        <v>423</v>
      </c>
      <c r="AM5" s="248">
        <v>2</v>
      </c>
      <c r="AN5" s="252" t="s">
        <v>399</v>
      </c>
      <c r="AO5" s="248" t="s">
        <v>399</v>
      </c>
    </row>
    <row r="6" spans="1:41" ht="13" x14ac:dyDescent="0.3">
      <c r="A6" s="248" t="s">
        <v>548</v>
      </c>
      <c r="B6" s="248" t="s">
        <v>392</v>
      </c>
      <c r="C6" s="248" t="s">
        <v>393</v>
      </c>
      <c r="D6" s="248" t="s">
        <v>392</v>
      </c>
      <c r="E6" s="248" t="s">
        <v>424</v>
      </c>
      <c r="F6" s="248" t="s">
        <v>425</v>
      </c>
      <c r="G6" s="248" t="s">
        <v>426</v>
      </c>
      <c r="H6" s="251" t="str">
        <f>IFERROR("Q" &amp;INT((MONTH('MMR proficient'!H8)+2)/3) &amp; "-" &amp; YEAR('MMR proficient'!H8),"N/A")</f>
        <v>Q3-2017</v>
      </c>
      <c r="I6" s="248" t="s">
        <v>427</v>
      </c>
      <c r="J6" s="248" t="s">
        <v>398</v>
      </c>
      <c r="K6" s="248" t="s">
        <v>399</v>
      </c>
      <c r="L6" s="248" t="s">
        <v>399</v>
      </c>
      <c r="M6" s="248" t="s">
        <v>399</v>
      </c>
      <c r="N6" s="248" t="s">
        <v>399</v>
      </c>
      <c r="O6" s="248" t="s">
        <v>399</v>
      </c>
      <c r="P6" s="251" t="str">
        <f>IFERROR("Q" &amp;INT((MONTH('MMR proficient'!P8)+2)/3) &amp; "-" &amp; YEAR('MMR proficient'!P8),"N/A")</f>
        <v>N/A</v>
      </c>
      <c r="Q6" s="248" t="s">
        <v>399</v>
      </c>
      <c r="R6" s="248" t="s">
        <v>399</v>
      </c>
      <c r="S6" s="248" t="s">
        <v>399</v>
      </c>
      <c r="T6" s="248" t="s">
        <v>399</v>
      </c>
      <c r="U6" s="248" t="s">
        <v>399</v>
      </c>
      <c r="V6" s="248" t="s">
        <v>399</v>
      </c>
      <c r="W6" s="248" t="s">
        <v>399</v>
      </c>
      <c r="X6" s="248" t="s">
        <v>399</v>
      </c>
      <c r="Y6" s="248" t="s">
        <v>399</v>
      </c>
      <c r="Z6" s="248" t="s">
        <v>399</v>
      </c>
      <c r="AA6" s="248" t="s">
        <v>399</v>
      </c>
      <c r="AB6" s="248" t="s">
        <v>400</v>
      </c>
      <c r="AC6" s="251" t="str">
        <f>IFERROR("Q" &amp;INT((MONTH('MMR proficient'!AD8)+2)/3) &amp; "-" &amp; YEAR('MMR proficient'!AD8),"N/A")</f>
        <v>Q2-2017</v>
      </c>
      <c r="AD6" s="248">
        <v>47</v>
      </c>
      <c r="AE6" s="248" t="s">
        <v>401</v>
      </c>
      <c r="AF6" s="248" t="s">
        <v>402</v>
      </c>
      <c r="AG6" s="248" t="s">
        <v>403</v>
      </c>
      <c r="AH6" s="248" t="s">
        <v>404</v>
      </c>
      <c r="AI6" s="248" t="s">
        <v>405</v>
      </c>
      <c r="AJ6" s="248" t="s">
        <v>405</v>
      </c>
      <c r="AK6" s="248">
        <v>0</v>
      </c>
      <c r="AL6" s="248" t="s">
        <v>406</v>
      </c>
      <c r="AM6" s="248">
        <v>1</v>
      </c>
      <c r="AN6" s="252" t="s">
        <v>399</v>
      </c>
      <c r="AO6" s="248" t="s">
        <v>399</v>
      </c>
    </row>
    <row r="7" spans="1:41" ht="13" x14ac:dyDescent="0.3">
      <c r="A7" s="248" t="s">
        <v>549</v>
      </c>
      <c r="B7" s="248" t="s">
        <v>392</v>
      </c>
      <c r="C7" s="248" t="s">
        <v>393</v>
      </c>
      <c r="D7" s="248" t="s">
        <v>392</v>
      </c>
      <c r="E7" s="248" t="s">
        <v>428</v>
      </c>
      <c r="F7" s="248" t="s">
        <v>429</v>
      </c>
      <c r="G7" s="248" t="s">
        <v>415</v>
      </c>
      <c r="H7" s="251" t="str">
        <f>IFERROR("Q" &amp;INT((MONTH('MMR proficient'!H9)+2)/3) &amp; "-" &amp; YEAR('MMR proficient'!H9),"N/A")</f>
        <v>Q2-2018</v>
      </c>
      <c r="I7" s="248" t="s">
        <v>430</v>
      </c>
      <c r="J7" s="248" t="s">
        <v>398</v>
      </c>
      <c r="K7" s="248" t="s">
        <v>399</v>
      </c>
      <c r="L7" s="248" t="s">
        <v>399</v>
      </c>
      <c r="M7" s="248" t="s">
        <v>399</v>
      </c>
      <c r="N7" s="248" t="s">
        <v>399</v>
      </c>
      <c r="O7" s="248" t="s">
        <v>399</v>
      </c>
      <c r="P7" s="251" t="str">
        <f>IFERROR("Q" &amp;INT((MONTH('MMR proficient'!P9)+2)/3) &amp; "-" &amp; YEAR('MMR proficient'!P9),"N/A")</f>
        <v>N/A</v>
      </c>
      <c r="Q7" s="248" t="s">
        <v>399</v>
      </c>
      <c r="R7" s="248" t="s">
        <v>399</v>
      </c>
      <c r="S7" s="248" t="s">
        <v>399</v>
      </c>
      <c r="T7" s="248" t="s">
        <v>399</v>
      </c>
      <c r="U7" s="248" t="s">
        <v>399</v>
      </c>
      <c r="V7" s="248" t="s">
        <v>399</v>
      </c>
      <c r="W7" s="248" t="s">
        <v>399</v>
      </c>
      <c r="X7" s="248" t="s">
        <v>399</v>
      </c>
      <c r="Y7" s="248" t="s">
        <v>399</v>
      </c>
      <c r="Z7" s="248" t="s">
        <v>399</v>
      </c>
      <c r="AA7" s="248" t="s">
        <v>399</v>
      </c>
      <c r="AB7" s="248" t="s">
        <v>400</v>
      </c>
      <c r="AC7" s="251" t="str">
        <f>IFERROR("Q" &amp;INT((MONTH('MMR proficient'!AD9)+2)/3) &amp; "-" &amp; YEAR('MMR proficient'!AD9),"N/A")</f>
        <v>Q1-2018</v>
      </c>
      <c r="AD7" s="248">
        <v>47</v>
      </c>
      <c r="AE7" s="248" t="s">
        <v>401</v>
      </c>
      <c r="AF7" s="248" t="s">
        <v>402</v>
      </c>
      <c r="AG7" s="248" t="s">
        <v>403</v>
      </c>
      <c r="AH7" s="248" t="s">
        <v>418</v>
      </c>
      <c r="AI7" s="248" t="s">
        <v>405</v>
      </c>
      <c r="AJ7" s="248" t="s">
        <v>405</v>
      </c>
      <c r="AK7" s="248">
        <v>0</v>
      </c>
      <c r="AL7" s="248" t="s">
        <v>419</v>
      </c>
      <c r="AM7" s="248">
        <v>1</v>
      </c>
      <c r="AN7" s="252" t="s">
        <v>399</v>
      </c>
      <c r="AO7" s="248" t="s">
        <v>399</v>
      </c>
    </row>
    <row r="8" spans="1:41" ht="13" x14ac:dyDescent="0.3">
      <c r="A8" s="248" t="s">
        <v>550</v>
      </c>
      <c r="B8" s="248" t="s">
        <v>392</v>
      </c>
      <c r="C8" s="248" t="s">
        <v>393</v>
      </c>
      <c r="D8" s="248" t="s">
        <v>392</v>
      </c>
      <c r="E8" s="248" t="s">
        <v>431</v>
      </c>
      <c r="F8" s="248" t="s">
        <v>432</v>
      </c>
      <c r="G8" s="248" t="s">
        <v>433</v>
      </c>
      <c r="H8" s="251" t="str">
        <f>IFERROR("Q" &amp;INT((MONTH('MMR proficient'!H10)+2)/3) &amp; "-" &amp; YEAR('MMR proficient'!H10),"N/A")</f>
        <v>Q2-2019</v>
      </c>
      <c r="I8" s="248" t="s">
        <v>434</v>
      </c>
      <c r="J8" s="248" t="s">
        <v>398</v>
      </c>
      <c r="K8" s="248" t="s">
        <v>399</v>
      </c>
      <c r="L8" s="248" t="s">
        <v>399</v>
      </c>
      <c r="M8" s="248" t="s">
        <v>399</v>
      </c>
      <c r="N8" s="248" t="s">
        <v>399</v>
      </c>
      <c r="O8" s="248" t="s">
        <v>399</v>
      </c>
      <c r="P8" s="251" t="str">
        <f>IFERROR("Q" &amp;INT((MONTH('MMR proficient'!P10)+2)/3) &amp; "-" &amp; YEAR('MMR proficient'!P10),"N/A")</f>
        <v>N/A</v>
      </c>
      <c r="Q8" s="248" t="s">
        <v>399</v>
      </c>
      <c r="R8" s="248" t="s">
        <v>399</v>
      </c>
      <c r="S8" s="248" t="s">
        <v>399</v>
      </c>
      <c r="T8" s="248" t="s">
        <v>399</v>
      </c>
      <c r="U8" s="248" t="s">
        <v>399</v>
      </c>
      <c r="V8" s="248" t="s">
        <v>399</v>
      </c>
      <c r="W8" s="248" t="s">
        <v>399</v>
      </c>
      <c r="X8" s="248" t="s">
        <v>399</v>
      </c>
      <c r="Y8" s="248" t="s">
        <v>399</v>
      </c>
      <c r="Z8" s="248" t="s">
        <v>399</v>
      </c>
      <c r="AA8" s="248" t="s">
        <v>399</v>
      </c>
      <c r="AB8" s="248" t="s">
        <v>400</v>
      </c>
      <c r="AC8" s="251" t="str">
        <f>IFERROR("Q" &amp;INT((MONTH('MMR proficient'!AD10)+2)/3) &amp; "-" &amp; YEAR('MMR proficient'!AD10),"N/A")</f>
        <v>Q1-2019</v>
      </c>
      <c r="AD8" s="248">
        <v>59</v>
      </c>
      <c r="AE8" s="248" t="s">
        <v>435</v>
      </c>
      <c r="AF8" s="248" t="s">
        <v>402</v>
      </c>
      <c r="AG8" s="248" t="s">
        <v>403</v>
      </c>
      <c r="AH8" s="248" t="s">
        <v>405</v>
      </c>
      <c r="AI8" s="248">
        <v>1</v>
      </c>
      <c r="AJ8" s="248" t="s">
        <v>405</v>
      </c>
      <c r="AK8" s="248">
        <v>0</v>
      </c>
      <c r="AL8" s="248" t="s">
        <v>399</v>
      </c>
      <c r="AM8" s="248">
        <v>2</v>
      </c>
      <c r="AN8" s="252" t="s">
        <v>399</v>
      </c>
      <c r="AO8" s="248" t="s">
        <v>399</v>
      </c>
    </row>
    <row r="9" spans="1:41" ht="13" x14ac:dyDescent="0.3">
      <c r="A9" s="248" t="s">
        <v>551</v>
      </c>
      <c r="B9" s="248" t="s">
        <v>392</v>
      </c>
      <c r="C9" s="248" t="s">
        <v>393</v>
      </c>
      <c r="D9" s="248" t="s">
        <v>392</v>
      </c>
      <c r="E9" s="248" t="s">
        <v>436</v>
      </c>
      <c r="F9" s="248" t="s">
        <v>437</v>
      </c>
      <c r="G9" s="248" t="s">
        <v>438</v>
      </c>
      <c r="H9" s="251" t="str">
        <f>IFERROR("Q" &amp;INT((MONTH('MMR proficient'!H11)+2)/3) &amp; "-" &amp; YEAR('MMR proficient'!H11),"N/A")</f>
        <v>Q2-2019</v>
      </c>
      <c r="I9" s="248" t="s">
        <v>439</v>
      </c>
      <c r="J9" s="248" t="s">
        <v>398</v>
      </c>
      <c r="K9" s="248" t="s">
        <v>399</v>
      </c>
      <c r="L9" s="248" t="s">
        <v>399</v>
      </c>
      <c r="M9" s="248" t="s">
        <v>399</v>
      </c>
      <c r="N9" s="248" t="s">
        <v>399</v>
      </c>
      <c r="O9" s="248" t="s">
        <v>399</v>
      </c>
      <c r="P9" s="251" t="str">
        <f>IFERROR("Q" &amp;INT((MONTH('MMR proficient'!P11)+2)/3) &amp; "-" &amp; YEAR('MMR proficient'!P11),"N/A")</f>
        <v>N/A</v>
      </c>
      <c r="Q9" s="248" t="s">
        <v>399</v>
      </c>
      <c r="R9" s="248" t="s">
        <v>399</v>
      </c>
      <c r="S9" s="248" t="s">
        <v>399</v>
      </c>
      <c r="T9" s="248" t="s">
        <v>399</v>
      </c>
      <c r="U9" s="248" t="s">
        <v>399</v>
      </c>
      <c r="V9" s="248" t="s">
        <v>399</v>
      </c>
      <c r="W9" s="248" t="s">
        <v>399</v>
      </c>
      <c r="X9" s="248" t="s">
        <v>399</v>
      </c>
      <c r="Y9" s="248" t="s">
        <v>399</v>
      </c>
      <c r="Z9" s="248" t="s">
        <v>399</v>
      </c>
      <c r="AA9" s="248" t="s">
        <v>399</v>
      </c>
      <c r="AB9" s="248" t="s">
        <v>400</v>
      </c>
      <c r="AC9" s="251" t="str">
        <f>IFERROR("Q" &amp;INT((MONTH('MMR proficient'!AD11)+2)/3) &amp; "-" &amp; YEAR('MMR proficient'!AD11),"N/A")</f>
        <v>Q2-2019</v>
      </c>
      <c r="AD9" s="248">
        <v>55</v>
      </c>
      <c r="AE9" s="248" t="s">
        <v>401</v>
      </c>
      <c r="AF9" s="248" t="s">
        <v>402</v>
      </c>
      <c r="AG9" s="248" t="s">
        <v>403</v>
      </c>
      <c r="AH9" s="248" t="s">
        <v>418</v>
      </c>
      <c r="AI9" s="248">
        <v>0</v>
      </c>
      <c r="AJ9" s="248" t="s">
        <v>405</v>
      </c>
      <c r="AK9" s="248">
        <v>0</v>
      </c>
      <c r="AL9" s="248" t="s">
        <v>419</v>
      </c>
      <c r="AM9" s="248">
        <v>1</v>
      </c>
      <c r="AN9" s="252" t="s">
        <v>399</v>
      </c>
      <c r="AO9" s="248" t="s">
        <v>399</v>
      </c>
    </row>
    <row r="10" spans="1:41" ht="13" x14ac:dyDescent="0.3">
      <c r="A10" s="248" t="s">
        <v>552</v>
      </c>
      <c r="B10" s="248" t="s">
        <v>392</v>
      </c>
      <c r="C10" s="248" t="s">
        <v>393</v>
      </c>
      <c r="D10" s="248" t="s">
        <v>392</v>
      </c>
      <c r="E10" s="248" t="s">
        <v>440</v>
      </c>
      <c r="F10" s="248" t="s">
        <v>441</v>
      </c>
      <c r="G10" s="248" t="s">
        <v>399</v>
      </c>
      <c r="H10" s="251" t="str">
        <f>IFERROR("Q" &amp;INT((MONTH('MMR proficient'!H12)+2)/3) &amp; "-" &amp; YEAR('MMR proficient'!H12),"N/A")</f>
        <v>Q2-2019</v>
      </c>
      <c r="I10" s="248" t="s">
        <v>430</v>
      </c>
      <c r="J10" s="248" t="s">
        <v>398</v>
      </c>
      <c r="K10" s="248" t="s">
        <v>399</v>
      </c>
      <c r="L10" s="248" t="s">
        <v>399</v>
      </c>
      <c r="M10" s="248" t="s">
        <v>399</v>
      </c>
      <c r="N10" s="248" t="s">
        <v>399</v>
      </c>
      <c r="O10" s="248" t="s">
        <v>399</v>
      </c>
      <c r="P10" s="251" t="str">
        <f>IFERROR("Q" &amp;INT((MONTH('MMR proficient'!P12)+2)/3) &amp; "-" &amp; YEAR('MMR proficient'!P12),"N/A")</f>
        <v>N/A</v>
      </c>
      <c r="Q10" s="248" t="s">
        <v>399</v>
      </c>
      <c r="R10" s="248" t="s">
        <v>399</v>
      </c>
      <c r="S10" s="248" t="s">
        <v>399</v>
      </c>
      <c r="T10" s="248" t="s">
        <v>399</v>
      </c>
      <c r="U10" s="248" t="s">
        <v>399</v>
      </c>
      <c r="V10" s="248" t="s">
        <v>399</v>
      </c>
      <c r="W10" s="248" t="s">
        <v>399</v>
      </c>
      <c r="X10" s="248" t="s">
        <v>399</v>
      </c>
      <c r="Y10" s="248" t="s">
        <v>399</v>
      </c>
      <c r="Z10" s="248" t="s">
        <v>399</v>
      </c>
      <c r="AA10" s="248" t="s">
        <v>399</v>
      </c>
      <c r="AB10" s="248" t="s">
        <v>400</v>
      </c>
      <c r="AC10" s="251" t="str">
        <f>IFERROR("Q" &amp;INT((MONTH('MMR proficient'!AD12)+2)/3) &amp; "-" &amp; YEAR('MMR proficient'!AD12),"N/A")</f>
        <v>Q2-2019</v>
      </c>
      <c r="AD10" s="248">
        <v>60</v>
      </c>
      <c r="AE10" s="248" t="s">
        <v>401</v>
      </c>
      <c r="AF10" s="248" t="s">
        <v>402</v>
      </c>
      <c r="AG10" s="248" t="s">
        <v>403</v>
      </c>
      <c r="AH10" s="248" t="s">
        <v>404</v>
      </c>
      <c r="AI10" s="248" t="s">
        <v>405</v>
      </c>
      <c r="AJ10" s="248" t="s">
        <v>405</v>
      </c>
      <c r="AK10" s="248">
        <v>0</v>
      </c>
      <c r="AL10" s="248" t="s">
        <v>406</v>
      </c>
      <c r="AM10" s="248">
        <v>1</v>
      </c>
      <c r="AN10" s="252" t="s">
        <v>399</v>
      </c>
      <c r="AO10" s="248" t="s">
        <v>399</v>
      </c>
    </row>
    <row r="11" spans="1:41" ht="13" x14ac:dyDescent="0.3">
      <c r="A11" s="248" t="s">
        <v>553</v>
      </c>
      <c r="B11" s="248" t="s">
        <v>392</v>
      </c>
      <c r="C11" s="248" t="s">
        <v>393</v>
      </c>
      <c r="D11" s="248" t="s">
        <v>392</v>
      </c>
      <c r="E11" s="248" t="s">
        <v>442</v>
      </c>
      <c r="F11" s="248" t="s">
        <v>443</v>
      </c>
      <c r="G11" s="248" t="s">
        <v>444</v>
      </c>
      <c r="H11" s="251" t="str">
        <f>IFERROR("Q" &amp;INT((MONTH('MMR proficient'!H13)+2)/3) &amp; "-" &amp; YEAR('MMR proficient'!H13),"N/A")</f>
        <v>Q3-2019</v>
      </c>
      <c r="I11" s="248" t="s">
        <v>445</v>
      </c>
      <c r="J11" s="248" t="s">
        <v>398</v>
      </c>
      <c r="K11" s="248" t="s">
        <v>399</v>
      </c>
      <c r="L11" s="248" t="s">
        <v>399</v>
      </c>
      <c r="M11" s="248" t="s">
        <v>399</v>
      </c>
      <c r="N11" s="248" t="s">
        <v>399</v>
      </c>
      <c r="O11" s="248" t="s">
        <v>399</v>
      </c>
      <c r="P11" s="251" t="str">
        <f>IFERROR("Q" &amp;INT((MONTH('MMR proficient'!P13)+2)/3) &amp; "-" &amp; YEAR('MMR proficient'!P13),"N/A")</f>
        <v>N/A</v>
      </c>
      <c r="Q11" s="248" t="s">
        <v>399</v>
      </c>
      <c r="R11" s="248" t="s">
        <v>399</v>
      </c>
      <c r="S11" s="248" t="s">
        <v>399</v>
      </c>
      <c r="T11" s="248" t="s">
        <v>399</v>
      </c>
      <c r="U11" s="248" t="s">
        <v>399</v>
      </c>
      <c r="V11" s="248" t="s">
        <v>399</v>
      </c>
      <c r="W11" s="248" t="s">
        <v>399</v>
      </c>
      <c r="X11" s="248" t="s">
        <v>399</v>
      </c>
      <c r="Y11" s="248" t="s">
        <v>399</v>
      </c>
      <c r="Z11" s="248" t="s">
        <v>399</v>
      </c>
      <c r="AA11" s="248" t="s">
        <v>399</v>
      </c>
      <c r="AB11" s="248" t="s">
        <v>400</v>
      </c>
      <c r="AC11" s="251" t="str">
        <f>IFERROR("Q" &amp;INT((MONTH('MMR proficient'!AD13)+2)/3) &amp; "-" &amp; YEAR('MMR proficient'!AD13),"N/A")</f>
        <v>Q3-2019</v>
      </c>
      <c r="AD11" s="248">
        <v>57</v>
      </c>
      <c r="AE11" s="248" t="s">
        <v>401</v>
      </c>
      <c r="AF11" s="248" t="s">
        <v>402</v>
      </c>
      <c r="AG11" s="248" t="s">
        <v>403</v>
      </c>
      <c r="AH11" s="248" t="s">
        <v>446</v>
      </c>
      <c r="AI11" s="248">
        <v>0</v>
      </c>
      <c r="AJ11" s="248" t="s">
        <v>405</v>
      </c>
      <c r="AK11" s="248">
        <v>0</v>
      </c>
      <c r="AL11" s="248" t="s">
        <v>447</v>
      </c>
      <c r="AM11" s="248">
        <v>1</v>
      </c>
      <c r="AN11" s="252" t="s">
        <v>399</v>
      </c>
      <c r="AO11" s="248" t="s">
        <v>399</v>
      </c>
    </row>
    <row r="12" spans="1:41" ht="13" x14ac:dyDescent="0.3">
      <c r="A12" s="248" t="s">
        <v>554</v>
      </c>
      <c r="B12" s="248" t="s">
        <v>392</v>
      </c>
      <c r="C12" s="248" t="s">
        <v>393</v>
      </c>
      <c r="D12" s="248" t="s">
        <v>392</v>
      </c>
      <c r="E12" s="248" t="s">
        <v>448</v>
      </c>
      <c r="F12" s="248" t="s">
        <v>415</v>
      </c>
      <c r="G12" s="248" t="s">
        <v>449</v>
      </c>
      <c r="H12" s="251" t="str">
        <f>IFERROR("Q" &amp;INT((MONTH('MMR proficient'!H14)+2)/3) &amp; "-" &amp; YEAR('MMR proficient'!H14),"N/A")</f>
        <v>Q3-2019</v>
      </c>
      <c r="I12" s="248" t="s">
        <v>450</v>
      </c>
      <c r="J12" s="248" t="s">
        <v>398</v>
      </c>
      <c r="K12" s="248" t="s">
        <v>399</v>
      </c>
      <c r="L12" s="248" t="s">
        <v>399</v>
      </c>
      <c r="M12" s="248" t="s">
        <v>399</v>
      </c>
      <c r="N12" s="248" t="s">
        <v>399</v>
      </c>
      <c r="O12" s="248" t="s">
        <v>399</v>
      </c>
      <c r="P12" s="251" t="str">
        <f>IFERROR("Q" &amp;INT((MONTH('MMR proficient'!P14)+2)/3) &amp; "-" &amp; YEAR('MMR proficient'!P14),"N/A")</f>
        <v>N/A</v>
      </c>
      <c r="Q12" s="248" t="s">
        <v>399</v>
      </c>
      <c r="R12" s="248" t="s">
        <v>399</v>
      </c>
      <c r="S12" s="248" t="s">
        <v>399</v>
      </c>
      <c r="T12" s="248" t="s">
        <v>399</v>
      </c>
      <c r="U12" s="248" t="s">
        <v>399</v>
      </c>
      <c r="V12" s="248" t="s">
        <v>399</v>
      </c>
      <c r="W12" s="248" t="s">
        <v>399</v>
      </c>
      <c r="X12" s="248" t="s">
        <v>399</v>
      </c>
      <c r="Y12" s="248" t="s">
        <v>399</v>
      </c>
      <c r="Z12" s="248" t="s">
        <v>399</v>
      </c>
      <c r="AA12" s="248" t="s">
        <v>399</v>
      </c>
      <c r="AB12" s="248" t="s">
        <v>400</v>
      </c>
      <c r="AC12" s="251" t="str">
        <f>IFERROR("Q" &amp;INT((MONTH('MMR proficient'!AD14)+2)/3) &amp; "-" &amp; YEAR('MMR proficient'!AD14),"N/A")</f>
        <v>Q3-2019</v>
      </c>
      <c r="AD12" s="248">
        <v>61</v>
      </c>
      <c r="AE12" s="248" t="s">
        <v>401</v>
      </c>
      <c r="AF12" s="248" t="s">
        <v>402</v>
      </c>
      <c r="AG12" s="248" t="s">
        <v>392</v>
      </c>
      <c r="AH12" s="248" t="s">
        <v>418</v>
      </c>
      <c r="AI12" s="248">
        <v>0</v>
      </c>
      <c r="AJ12" s="248" t="s">
        <v>405</v>
      </c>
      <c r="AK12" s="248">
        <v>0</v>
      </c>
      <c r="AL12" s="248" t="s">
        <v>419</v>
      </c>
      <c r="AM12" s="248">
        <v>3</v>
      </c>
      <c r="AN12" s="252" t="s">
        <v>399</v>
      </c>
      <c r="AO12" s="248" t="s">
        <v>399</v>
      </c>
    </row>
    <row r="13" spans="1:41" ht="13" x14ac:dyDescent="0.3">
      <c r="A13" s="248" t="s">
        <v>555</v>
      </c>
      <c r="B13" s="248" t="s">
        <v>392</v>
      </c>
      <c r="C13" s="248" t="s">
        <v>393</v>
      </c>
      <c r="D13" s="248" t="s">
        <v>392</v>
      </c>
      <c r="E13" s="248" t="s">
        <v>451</v>
      </c>
      <c r="F13" s="248" t="s">
        <v>443</v>
      </c>
      <c r="G13" s="248" t="s">
        <v>452</v>
      </c>
      <c r="H13" s="251" t="str">
        <f>IFERROR("Q" &amp;INT((MONTH('MMR proficient'!H15)+2)/3) &amp; "-" &amp; YEAR('MMR proficient'!H15),"N/A")</f>
        <v>Q4-2019</v>
      </c>
      <c r="I13" s="248" t="s">
        <v>453</v>
      </c>
      <c r="J13" s="248" t="s">
        <v>398</v>
      </c>
      <c r="K13" s="248" t="s">
        <v>399</v>
      </c>
      <c r="L13" s="248" t="s">
        <v>399</v>
      </c>
      <c r="M13" s="248" t="s">
        <v>399</v>
      </c>
      <c r="N13" s="248" t="s">
        <v>399</v>
      </c>
      <c r="O13" s="248" t="s">
        <v>399</v>
      </c>
      <c r="P13" s="251" t="str">
        <f>IFERROR("Q" &amp;INT((MONTH('MMR proficient'!P15)+2)/3) &amp; "-" &amp; YEAR('MMR proficient'!P15),"N/A")</f>
        <v>N/A</v>
      </c>
      <c r="Q13" s="248" t="s">
        <v>399</v>
      </c>
      <c r="R13" s="248" t="s">
        <v>399</v>
      </c>
      <c r="S13" s="248" t="s">
        <v>399</v>
      </c>
      <c r="T13" s="248" t="s">
        <v>399</v>
      </c>
      <c r="U13" s="248" t="s">
        <v>399</v>
      </c>
      <c r="V13" s="248" t="s">
        <v>399</v>
      </c>
      <c r="W13" s="248" t="s">
        <v>399</v>
      </c>
      <c r="X13" s="248" t="s">
        <v>399</v>
      </c>
      <c r="Y13" s="248" t="s">
        <v>399</v>
      </c>
      <c r="Z13" s="248" t="s">
        <v>399</v>
      </c>
      <c r="AA13" s="248" t="s">
        <v>399</v>
      </c>
      <c r="AB13" s="248" t="s">
        <v>400</v>
      </c>
      <c r="AC13" s="251" t="str">
        <f>IFERROR("Q" &amp;INT((MONTH('MMR proficient'!AD15)+2)/3) &amp; "-" &amp; YEAR('MMR proficient'!AD15),"N/A")</f>
        <v>Q4-2019</v>
      </c>
      <c r="AD13" s="248">
        <v>75</v>
      </c>
      <c r="AE13" s="248" t="s">
        <v>401</v>
      </c>
      <c r="AF13" s="248" t="s">
        <v>402</v>
      </c>
      <c r="AG13" s="248" t="s">
        <v>403</v>
      </c>
      <c r="AH13" s="248">
        <v>2</v>
      </c>
      <c r="AI13" s="248">
        <v>0</v>
      </c>
      <c r="AJ13" s="248" t="s">
        <v>405</v>
      </c>
      <c r="AK13" s="248">
        <v>0</v>
      </c>
      <c r="AL13" s="248" t="s">
        <v>423</v>
      </c>
      <c r="AM13" s="248">
        <v>3</v>
      </c>
      <c r="AN13" s="252" t="s">
        <v>399</v>
      </c>
      <c r="AO13" s="248" t="s">
        <v>399</v>
      </c>
    </row>
    <row r="14" spans="1:41" ht="13" x14ac:dyDescent="0.3">
      <c r="A14" s="248" t="s">
        <v>556</v>
      </c>
      <c r="B14" s="248" t="s">
        <v>392</v>
      </c>
      <c r="C14" s="248" t="s">
        <v>393</v>
      </c>
      <c r="D14" s="248" t="s">
        <v>392</v>
      </c>
      <c r="E14" s="248" t="s">
        <v>454</v>
      </c>
      <c r="F14" s="248" t="s">
        <v>455</v>
      </c>
      <c r="G14" s="248" t="s">
        <v>399</v>
      </c>
      <c r="H14" s="251" t="str">
        <f>IFERROR("Q" &amp;INT((MONTH('MMR proficient'!H16)+2)/3) &amp; "-" &amp; YEAR('MMR proficient'!H16),"N/A")</f>
        <v>Q4-2019</v>
      </c>
      <c r="I14" s="248" t="s">
        <v>430</v>
      </c>
      <c r="J14" s="248" t="s">
        <v>398</v>
      </c>
      <c r="K14" s="248" t="s">
        <v>399</v>
      </c>
      <c r="L14" s="248" t="s">
        <v>399</v>
      </c>
      <c r="M14" s="248" t="s">
        <v>399</v>
      </c>
      <c r="N14" s="248" t="s">
        <v>399</v>
      </c>
      <c r="O14" s="248" t="s">
        <v>399</v>
      </c>
      <c r="P14" s="251" t="str">
        <f>IFERROR("Q" &amp;INT((MONTH('MMR proficient'!P16)+2)/3) &amp; "-" &amp; YEAR('MMR proficient'!P16),"N/A")</f>
        <v>N/A</v>
      </c>
      <c r="Q14" s="248" t="s">
        <v>399</v>
      </c>
      <c r="R14" s="248" t="s">
        <v>399</v>
      </c>
      <c r="S14" s="248" t="s">
        <v>399</v>
      </c>
      <c r="T14" s="248" t="s">
        <v>399</v>
      </c>
      <c r="U14" s="248" t="s">
        <v>399</v>
      </c>
      <c r="V14" s="248" t="s">
        <v>399</v>
      </c>
      <c r="W14" s="248" t="s">
        <v>399</v>
      </c>
      <c r="X14" s="248" t="s">
        <v>399</v>
      </c>
      <c r="Y14" s="248" t="s">
        <v>399</v>
      </c>
      <c r="Z14" s="248" t="s">
        <v>399</v>
      </c>
      <c r="AA14" s="248" t="s">
        <v>399</v>
      </c>
      <c r="AB14" s="248" t="s">
        <v>400</v>
      </c>
      <c r="AC14" s="251" t="str">
        <f>IFERROR("Q" &amp;INT((MONTH('MMR proficient'!AD16)+2)/3) &amp; "-" &amp; YEAR('MMR proficient'!AD16),"N/A")</f>
        <v>Q4-2019</v>
      </c>
      <c r="AD14" s="248">
        <v>56</v>
      </c>
      <c r="AE14" s="248" t="s">
        <v>401</v>
      </c>
      <c r="AF14" s="248" t="s">
        <v>402</v>
      </c>
      <c r="AG14" s="248" t="s">
        <v>403</v>
      </c>
      <c r="AH14" s="248" t="s">
        <v>404</v>
      </c>
      <c r="AI14" s="248" t="s">
        <v>405</v>
      </c>
      <c r="AJ14" s="248" t="s">
        <v>405</v>
      </c>
      <c r="AK14" s="248">
        <v>0</v>
      </c>
      <c r="AL14" s="248" t="s">
        <v>406</v>
      </c>
      <c r="AM14" s="248">
        <v>1</v>
      </c>
      <c r="AN14" s="252" t="s">
        <v>399</v>
      </c>
      <c r="AO14" s="248" t="s">
        <v>399</v>
      </c>
    </row>
    <row r="15" spans="1:41" ht="13" x14ac:dyDescent="0.3">
      <c r="A15" s="248" t="s">
        <v>557</v>
      </c>
      <c r="B15" s="248" t="s">
        <v>392</v>
      </c>
      <c r="C15" s="248" t="s">
        <v>393</v>
      </c>
      <c r="D15" s="248" t="s">
        <v>392</v>
      </c>
      <c r="E15" s="248" t="s">
        <v>456</v>
      </c>
      <c r="F15" s="248" t="s">
        <v>426</v>
      </c>
      <c r="G15" s="248" t="s">
        <v>425</v>
      </c>
      <c r="H15" s="251" t="str">
        <f>IFERROR("Q" &amp;INT((MONTH('MMR proficient'!H17)+2)/3) &amp; "-" &amp; YEAR('MMR proficient'!H17),"N/A")</f>
        <v>Q4-2019</v>
      </c>
      <c r="I15" s="248" t="s">
        <v>457</v>
      </c>
      <c r="J15" s="248" t="s">
        <v>398</v>
      </c>
      <c r="K15" s="248" t="s">
        <v>399</v>
      </c>
      <c r="L15" s="248" t="s">
        <v>399</v>
      </c>
      <c r="M15" s="248" t="s">
        <v>399</v>
      </c>
      <c r="N15" s="248" t="s">
        <v>399</v>
      </c>
      <c r="O15" s="248" t="s">
        <v>399</v>
      </c>
      <c r="P15" s="251" t="str">
        <f>IFERROR("Q" &amp;INT((MONTH('MMR proficient'!P17)+2)/3) &amp; "-" &amp; YEAR('MMR proficient'!P17),"N/A")</f>
        <v>N/A</v>
      </c>
      <c r="Q15" s="248" t="s">
        <v>399</v>
      </c>
      <c r="R15" s="248" t="s">
        <v>399</v>
      </c>
      <c r="S15" s="248" t="s">
        <v>399</v>
      </c>
      <c r="T15" s="248" t="s">
        <v>399</v>
      </c>
      <c r="U15" s="248" t="s">
        <v>399</v>
      </c>
      <c r="V15" s="248" t="s">
        <v>399</v>
      </c>
      <c r="W15" s="248" t="s">
        <v>399</v>
      </c>
      <c r="X15" s="248" t="s">
        <v>399</v>
      </c>
      <c r="Y15" s="248" t="s">
        <v>399</v>
      </c>
      <c r="Z15" s="248" t="s">
        <v>399</v>
      </c>
      <c r="AA15" s="248" t="s">
        <v>399</v>
      </c>
      <c r="AB15" s="248" t="s">
        <v>400</v>
      </c>
      <c r="AC15" s="251" t="str">
        <f>IFERROR("Q" &amp;INT((MONTH('MMR proficient'!AD17)+2)/3) &amp; "-" &amp; YEAR('MMR proficient'!AD17),"N/A")</f>
        <v>Q4-2019</v>
      </c>
      <c r="AD15" s="248">
        <v>52</v>
      </c>
      <c r="AE15" s="248" t="s">
        <v>401</v>
      </c>
      <c r="AF15" s="248" t="s">
        <v>402</v>
      </c>
      <c r="AG15" s="248" t="s">
        <v>403</v>
      </c>
      <c r="AH15" s="248" t="s">
        <v>405</v>
      </c>
      <c r="AI15" s="248">
        <v>2</v>
      </c>
      <c r="AJ15" s="248" t="s">
        <v>405</v>
      </c>
      <c r="AK15" s="248">
        <v>0</v>
      </c>
      <c r="AL15" s="248" t="s">
        <v>399</v>
      </c>
      <c r="AM15" s="248">
        <v>3</v>
      </c>
      <c r="AN15" s="252" t="s">
        <v>399</v>
      </c>
      <c r="AO15" s="248" t="s">
        <v>399</v>
      </c>
    </row>
    <row r="16" spans="1:41" ht="13" x14ac:dyDescent="0.3">
      <c r="A16" s="248" t="s">
        <v>558</v>
      </c>
      <c r="B16" s="248" t="s">
        <v>392</v>
      </c>
      <c r="C16" s="248" t="s">
        <v>393</v>
      </c>
      <c r="D16" s="248" t="s">
        <v>392</v>
      </c>
      <c r="E16" s="248" t="s">
        <v>458</v>
      </c>
      <c r="F16" s="248" t="s">
        <v>449</v>
      </c>
      <c r="G16" s="248" t="s">
        <v>459</v>
      </c>
      <c r="H16" s="251" t="str">
        <f>IFERROR("Q" &amp;INT((MONTH('MMR proficient'!H18)+2)/3) &amp; "-" &amp; YEAR('MMR proficient'!H18),"N/A")</f>
        <v>Q1-2020</v>
      </c>
      <c r="I16" s="248" t="s">
        <v>430</v>
      </c>
      <c r="J16" s="248" t="s">
        <v>398</v>
      </c>
      <c r="K16" s="248" t="s">
        <v>399</v>
      </c>
      <c r="L16" s="248" t="s">
        <v>399</v>
      </c>
      <c r="M16" s="248" t="s">
        <v>399</v>
      </c>
      <c r="N16" s="248" t="s">
        <v>399</v>
      </c>
      <c r="O16" s="248" t="s">
        <v>399</v>
      </c>
      <c r="P16" s="251" t="str">
        <f>IFERROR("Q" &amp;INT((MONTH('MMR proficient'!P18)+2)/3) &amp; "-" &amp; YEAR('MMR proficient'!P18),"N/A")</f>
        <v>N/A</v>
      </c>
      <c r="Q16" s="248" t="s">
        <v>399</v>
      </c>
      <c r="R16" s="248" t="s">
        <v>399</v>
      </c>
      <c r="S16" s="248" t="s">
        <v>399</v>
      </c>
      <c r="T16" s="248" t="s">
        <v>399</v>
      </c>
      <c r="U16" s="248" t="s">
        <v>399</v>
      </c>
      <c r="V16" s="248" t="s">
        <v>399</v>
      </c>
      <c r="W16" s="248" t="s">
        <v>399</v>
      </c>
      <c r="X16" s="248" t="s">
        <v>399</v>
      </c>
      <c r="Y16" s="248" t="s">
        <v>399</v>
      </c>
      <c r="Z16" s="248" t="s">
        <v>399</v>
      </c>
      <c r="AA16" s="248" t="s">
        <v>399</v>
      </c>
      <c r="AB16" s="248" t="s">
        <v>400</v>
      </c>
      <c r="AC16" s="251" t="str">
        <f>IFERROR("Q" &amp;INT((MONTH('MMR proficient'!AD18)+2)/3) &amp; "-" &amp; YEAR('MMR proficient'!AD18),"N/A")</f>
        <v>Q4-2019</v>
      </c>
      <c r="AD16" s="248">
        <v>65</v>
      </c>
      <c r="AE16" s="248" t="s">
        <v>401</v>
      </c>
      <c r="AF16" s="248" t="s">
        <v>402</v>
      </c>
      <c r="AG16" s="248" t="s">
        <v>403</v>
      </c>
      <c r="AH16" s="248" t="s">
        <v>404</v>
      </c>
      <c r="AI16" s="248" t="s">
        <v>405</v>
      </c>
      <c r="AJ16" s="248" t="s">
        <v>405</v>
      </c>
      <c r="AK16" s="248">
        <v>0</v>
      </c>
      <c r="AL16" s="248" t="s">
        <v>406</v>
      </c>
      <c r="AM16" s="248">
        <v>1</v>
      </c>
      <c r="AN16" s="252" t="s">
        <v>399</v>
      </c>
      <c r="AO16" s="248" t="s">
        <v>399</v>
      </c>
    </row>
    <row r="17" spans="1:41" ht="13" x14ac:dyDescent="0.3">
      <c r="A17" s="248" t="s">
        <v>559</v>
      </c>
      <c r="B17" s="248" t="s">
        <v>392</v>
      </c>
      <c r="C17" s="248" t="s">
        <v>393</v>
      </c>
      <c r="D17" s="248" t="s">
        <v>392</v>
      </c>
      <c r="E17" s="248" t="s">
        <v>460</v>
      </c>
      <c r="F17" s="248" t="s">
        <v>416</v>
      </c>
      <c r="G17" s="248" t="s">
        <v>415</v>
      </c>
      <c r="H17" s="251" t="str">
        <f>IFERROR("Q" &amp;INT((MONTH('MMR proficient'!H19)+2)/3) &amp; "-" &amp; YEAR('MMR proficient'!H19),"N/A")</f>
        <v>Q1-2020</v>
      </c>
      <c r="I17" s="248" t="s">
        <v>461</v>
      </c>
      <c r="J17" s="248" t="s">
        <v>398</v>
      </c>
      <c r="K17" s="248" t="s">
        <v>399</v>
      </c>
      <c r="L17" s="248" t="s">
        <v>399</v>
      </c>
      <c r="M17" s="248" t="s">
        <v>399</v>
      </c>
      <c r="N17" s="248" t="s">
        <v>399</v>
      </c>
      <c r="O17" s="248" t="s">
        <v>399</v>
      </c>
      <c r="P17" s="251" t="str">
        <f>IFERROR("Q" &amp;INT((MONTH('MMR proficient'!P19)+2)/3) &amp; "-" &amp; YEAR('MMR proficient'!P19),"N/A")</f>
        <v>N/A</v>
      </c>
      <c r="Q17" s="248" t="s">
        <v>399</v>
      </c>
      <c r="R17" s="248" t="s">
        <v>399</v>
      </c>
      <c r="S17" s="248" t="s">
        <v>399</v>
      </c>
      <c r="T17" s="248" t="s">
        <v>399</v>
      </c>
      <c r="U17" s="248" t="s">
        <v>399</v>
      </c>
      <c r="V17" s="248" t="s">
        <v>399</v>
      </c>
      <c r="W17" s="248" t="s">
        <v>399</v>
      </c>
      <c r="X17" s="248" t="s">
        <v>399</v>
      </c>
      <c r="Y17" s="248" t="s">
        <v>399</v>
      </c>
      <c r="Z17" s="248" t="s">
        <v>399</v>
      </c>
      <c r="AA17" s="248" t="s">
        <v>399</v>
      </c>
      <c r="AB17" s="248" t="s">
        <v>400</v>
      </c>
      <c r="AC17" s="251" t="str">
        <f>IFERROR("Q" &amp;INT((MONTH('MMR proficient'!AD19)+2)/3) &amp; "-" &amp; YEAR('MMR proficient'!AD19),"N/A")</f>
        <v>Q1-2020</v>
      </c>
      <c r="AD17" s="248">
        <v>61</v>
      </c>
      <c r="AE17" s="248" t="s">
        <v>401</v>
      </c>
      <c r="AF17" s="248" t="s">
        <v>402</v>
      </c>
      <c r="AG17" s="248" t="s">
        <v>403</v>
      </c>
      <c r="AH17" s="248" t="s">
        <v>418</v>
      </c>
      <c r="AI17" s="248" t="s">
        <v>405</v>
      </c>
      <c r="AJ17" s="248" t="s">
        <v>405</v>
      </c>
      <c r="AK17" s="248">
        <v>0</v>
      </c>
      <c r="AL17" s="248" t="s">
        <v>419</v>
      </c>
      <c r="AM17" s="248">
        <v>1</v>
      </c>
      <c r="AN17" s="252" t="s">
        <v>399</v>
      </c>
      <c r="AO17" s="248" t="s">
        <v>399</v>
      </c>
    </row>
    <row r="18" spans="1:41" ht="13" x14ac:dyDescent="0.3">
      <c r="A18" s="248" t="s">
        <v>560</v>
      </c>
      <c r="B18" s="248" t="s">
        <v>392</v>
      </c>
      <c r="C18" s="248" t="s">
        <v>393</v>
      </c>
      <c r="D18" s="248" t="s">
        <v>392</v>
      </c>
      <c r="E18" s="248" t="s">
        <v>462</v>
      </c>
      <c r="F18" s="248" t="s">
        <v>426</v>
      </c>
      <c r="G18" s="248" t="s">
        <v>449</v>
      </c>
      <c r="H18" s="251" t="str">
        <f>IFERROR("Q" &amp;INT((MONTH('MMR proficient'!H20)+2)/3) &amp; "-" &amp; YEAR('MMR proficient'!H20),"N/A")</f>
        <v>Q1-2020</v>
      </c>
      <c r="I18" s="248" t="s">
        <v>463</v>
      </c>
      <c r="J18" s="248" t="s">
        <v>398</v>
      </c>
      <c r="K18" s="248" t="s">
        <v>399</v>
      </c>
      <c r="L18" s="248" t="s">
        <v>399</v>
      </c>
      <c r="M18" s="248" t="s">
        <v>399</v>
      </c>
      <c r="N18" s="248" t="s">
        <v>399</v>
      </c>
      <c r="O18" s="248" t="s">
        <v>399</v>
      </c>
      <c r="P18" s="251" t="str">
        <f>IFERROR("Q" &amp;INT((MONTH('MMR proficient'!P20)+2)/3) &amp; "-" &amp; YEAR('MMR proficient'!P20),"N/A")</f>
        <v>N/A</v>
      </c>
      <c r="Q18" s="248" t="s">
        <v>399</v>
      </c>
      <c r="R18" s="248" t="s">
        <v>399</v>
      </c>
      <c r="S18" s="248" t="s">
        <v>399</v>
      </c>
      <c r="T18" s="248" t="s">
        <v>399</v>
      </c>
      <c r="U18" s="248" t="s">
        <v>399</v>
      </c>
      <c r="V18" s="248" t="s">
        <v>399</v>
      </c>
      <c r="W18" s="248" t="s">
        <v>399</v>
      </c>
      <c r="X18" s="248" t="s">
        <v>399</v>
      </c>
      <c r="Y18" s="248" t="s">
        <v>399</v>
      </c>
      <c r="Z18" s="248" t="s">
        <v>399</v>
      </c>
      <c r="AA18" s="248" t="s">
        <v>399</v>
      </c>
      <c r="AB18" s="248" t="s">
        <v>400</v>
      </c>
      <c r="AC18" s="251" t="str">
        <f>IFERROR("Q" &amp;INT((MONTH('MMR proficient'!AD20)+2)/3) &amp; "-" &amp; YEAR('MMR proficient'!AD20),"N/A")</f>
        <v>Q4-2019</v>
      </c>
      <c r="AD18" s="248">
        <v>82</v>
      </c>
      <c r="AE18" s="248" t="s">
        <v>401</v>
      </c>
      <c r="AF18" s="248" t="s">
        <v>402</v>
      </c>
      <c r="AG18" s="248" t="s">
        <v>403</v>
      </c>
      <c r="AH18" s="248">
        <v>2</v>
      </c>
      <c r="AI18" s="248" t="s">
        <v>405</v>
      </c>
      <c r="AJ18" s="248" t="s">
        <v>405</v>
      </c>
      <c r="AK18" s="248">
        <v>0</v>
      </c>
      <c r="AL18" s="248" t="s">
        <v>423</v>
      </c>
      <c r="AM18" s="248">
        <v>2</v>
      </c>
      <c r="AN18" s="252" t="s">
        <v>399</v>
      </c>
      <c r="AO18" s="248" t="s">
        <v>399</v>
      </c>
    </row>
    <row r="19" spans="1:41" ht="13" x14ac:dyDescent="0.3">
      <c r="A19" s="248" t="s">
        <v>561</v>
      </c>
      <c r="B19" s="248" t="s">
        <v>392</v>
      </c>
      <c r="C19" s="248" t="s">
        <v>393</v>
      </c>
      <c r="D19" s="248" t="s">
        <v>392</v>
      </c>
      <c r="E19" s="248" t="s">
        <v>464</v>
      </c>
      <c r="F19" s="248" t="s">
        <v>459</v>
      </c>
      <c r="G19" s="248" t="s">
        <v>416</v>
      </c>
      <c r="H19" s="251" t="str">
        <f>IFERROR("Q" &amp;INT((MONTH('MMR proficient'!H21)+2)/3) &amp; "-" &amp; YEAR('MMR proficient'!H21),"N/A")</f>
        <v>Q1-2020</v>
      </c>
      <c r="I19" s="248" t="s">
        <v>430</v>
      </c>
      <c r="J19" s="248" t="s">
        <v>398</v>
      </c>
      <c r="K19" s="248" t="s">
        <v>399</v>
      </c>
      <c r="L19" s="248" t="s">
        <v>399</v>
      </c>
      <c r="M19" s="248" t="s">
        <v>399</v>
      </c>
      <c r="N19" s="248" t="s">
        <v>399</v>
      </c>
      <c r="O19" s="248" t="s">
        <v>399</v>
      </c>
      <c r="P19" s="251" t="str">
        <f>IFERROR("Q" &amp;INT((MONTH('MMR proficient'!P21)+2)/3) &amp; "-" &amp; YEAR('MMR proficient'!P21),"N/A")</f>
        <v>N/A</v>
      </c>
      <c r="Q19" s="248" t="s">
        <v>399</v>
      </c>
      <c r="R19" s="248" t="s">
        <v>399</v>
      </c>
      <c r="S19" s="248" t="s">
        <v>399</v>
      </c>
      <c r="T19" s="248" t="s">
        <v>399</v>
      </c>
      <c r="U19" s="248" t="s">
        <v>399</v>
      </c>
      <c r="V19" s="248" t="s">
        <v>399</v>
      </c>
      <c r="W19" s="248" t="s">
        <v>399</v>
      </c>
      <c r="X19" s="248" t="s">
        <v>399</v>
      </c>
      <c r="Y19" s="248" t="s">
        <v>399</v>
      </c>
      <c r="Z19" s="248" t="s">
        <v>399</v>
      </c>
      <c r="AA19" s="248" t="s">
        <v>399</v>
      </c>
      <c r="AB19" s="248" t="s">
        <v>400</v>
      </c>
      <c r="AC19" s="251" t="str">
        <f>IFERROR("Q" &amp;INT((MONTH('MMR proficient'!AD21)+2)/3) &amp; "-" &amp; YEAR('MMR proficient'!AD21),"N/A")</f>
        <v>Q1-2020</v>
      </c>
      <c r="AD19" s="248">
        <v>64</v>
      </c>
      <c r="AE19" s="248" t="s">
        <v>401</v>
      </c>
      <c r="AF19" s="248" t="s">
        <v>402</v>
      </c>
      <c r="AG19" s="248" t="s">
        <v>403</v>
      </c>
      <c r="AH19" s="248" t="s">
        <v>404</v>
      </c>
      <c r="AI19" s="248" t="s">
        <v>405</v>
      </c>
      <c r="AJ19" s="248" t="s">
        <v>405</v>
      </c>
      <c r="AK19" s="248">
        <v>0</v>
      </c>
      <c r="AL19" s="248" t="s">
        <v>406</v>
      </c>
      <c r="AM19" s="248">
        <v>2</v>
      </c>
      <c r="AN19" s="252" t="s">
        <v>399</v>
      </c>
      <c r="AO19" s="248" t="s">
        <v>399</v>
      </c>
    </row>
    <row r="20" spans="1:41" ht="13" x14ac:dyDescent="0.3">
      <c r="A20" s="248" t="s">
        <v>562</v>
      </c>
      <c r="B20" s="248" t="s">
        <v>392</v>
      </c>
      <c r="C20" s="248" t="s">
        <v>393</v>
      </c>
      <c r="D20" s="248" t="s">
        <v>392</v>
      </c>
      <c r="E20" s="248" t="s">
        <v>465</v>
      </c>
      <c r="F20" s="248" t="s">
        <v>432</v>
      </c>
      <c r="G20" s="248" t="s">
        <v>441</v>
      </c>
      <c r="H20" s="251" t="str">
        <f>IFERROR("Q" &amp;INT((MONTH('MMR proficient'!H22)+2)/3) &amp; "-" &amp; YEAR('MMR proficient'!H22),"N/A")</f>
        <v>Q2-2020</v>
      </c>
      <c r="I20" s="248" t="s">
        <v>466</v>
      </c>
      <c r="J20" s="248" t="s">
        <v>398</v>
      </c>
      <c r="K20" s="248" t="s">
        <v>399</v>
      </c>
      <c r="L20" s="248" t="s">
        <v>399</v>
      </c>
      <c r="M20" s="248" t="s">
        <v>399</v>
      </c>
      <c r="N20" s="248" t="s">
        <v>399</v>
      </c>
      <c r="O20" s="248" t="s">
        <v>399</v>
      </c>
      <c r="P20" s="251" t="str">
        <f>IFERROR("Q" &amp;INT((MONTH('MMR proficient'!P22)+2)/3) &amp; "-" &amp; YEAR('MMR proficient'!P22),"N/A")</f>
        <v>N/A</v>
      </c>
      <c r="Q20" s="248" t="s">
        <v>399</v>
      </c>
      <c r="R20" s="248" t="s">
        <v>399</v>
      </c>
      <c r="S20" s="248" t="s">
        <v>399</v>
      </c>
      <c r="T20" s="248" t="s">
        <v>399</v>
      </c>
      <c r="U20" s="248" t="s">
        <v>399</v>
      </c>
      <c r="V20" s="248" t="s">
        <v>399</v>
      </c>
      <c r="W20" s="248" t="s">
        <v>399</v>
      </c>
      <c r="X20" s="248" t="s">
        <v>399</v>
      </c>
      <c r="Y20" s="248" t="s">
        <v>399</v>
      </c>
      <c r="Z20" s="248" t="s">
        <v>399</v>
      </c>
      <c r="AA20" s="248" t="s">
        <v>399</v>
      </c>
      <c r="AB20" s="248" t="s">
        <v>400</v>
      </c>
      <c r="AC20" s="251" t="str">
        <f>IFERROR("Q" &amp;INT((MONTH('MMR proficient'!AD22)+2)/3) &amp; "-" &amp; YEAR('MMR proficient'!AD22),"N/A")</f>
        <v>Q2-2020</v>
      </c>
      <c r="AD20" s="248">
        <v>54</v>
      </c>
      <c r="AE20" s="248" t="s">
        <v>401</v>
      </c>
      <c r="AF20" s="248" t="s">
        <v>402</v>
      </c>
      <c r="AG20" s="248" t="s">
        <v>405</v>
      </c>
      <c r="AH20" s="248">
        <v>2</v>
      </c>
      <c r="AI20" s="248">
        <v>0</v>
      </c>
      <c r="AJ20" s="248" t="s">
        <v>405</v>
      </c>
      <c r="AK20" s="248">
        <v>0</v>
      </c>
      <c r="AL20" s="248" t="s">
        <v>423</v>
      </c>
      <c r="AM20" s="248">
        <v>2</v>
      </c>
      <c r="AN20" s="252" t="s">
        <v>399</v>
      </c>
      <c r="AO20" s="248" t="s">
        <v>399</v>
      </c>
    </row>
    <row r="21" spans="1:41" ht="13" x14ac:dyDescent="0.3">
      <c r="A21" s="248" t="s">
        <v>563</v>
      </c>
      <c r="B21" s="248" t="s">
        <v>392</v>
      </c>
      <c r="C21" s="248" t="s">
        <v>393</v>
      </c>
      <c r="D21" s="248" t="s">
        <v>392</v>
      </c>
      <c r="E21" s="248" t="s">
        <v>467</v>
      </c>
      <c r="F21" s="248" t="s">
        <v>468</v>
      </c>
      <c r="G21" s="248" t="s">
        <v>443</v>
      </c>
      <c r="H21" s="251" t="str">
        <f>IFERROR("Q" &amp;INT((MONTH('MMR proficient'!H23)+2)/3) &amp; "-" &amp; YEAR('MMR proficient'!H23),"N/A")</f>
        <v>Q2-2020</v>
      </c>
      <c r="I21" s="248" t="s">
        <v>430</v>
      </c>
      <c r="J21" s="248" t="s">
        <v>398</v>
      </c>
      <c r="K21" s="248" t="s">
        <v>399</v>
      </c>
      <c r="L21" s="248" t="s">
        <v>399</v>
      </c>
      <c r="M21" s="248" t="s">
        <v>399</v>
      </c>
      <c r="N21" s="248" t="s">
        <v>399</v>
      </c>
      <c r="O21" s="248" t="s">
        <v>399</v>
      </c>
      <c r="P21" s="251" t="str">
        <f>IFERROR("Q" &amp;INT((MONTH('MMR proficient'!P23)+2)/3) &amp; "-" &amp; YEAR('MMR proficient'!P23),"N/A")</f>
        <v>N/A</v>
      </c>
      <c r="Q21" s="248" t="s">
        <v>399</v>
      </c>
      <c r="R21" s="248" t="s">
        <v>399</v>
      </c>
      <c r="S21" s="248" t="s">
        <v>399</v>
      </c>
      <c r="T21" s="248" t="s">
        <v>399</v>
      </c>
      <c r="U21" s="248" t="s">
        <v>399</v>
      </c>
      <c r="V21" s="248" t="s">
        <v>399</v>
      </c>
      <c r="W21" s="248" t="s">
        <v>399</v>
      </c>
      <c r="X21" s="248" t="s">
        <v>399</v>
      </c>
      <c r="Y21" s="248" t="s">
        <v>399</v>
      </c>
      <c r="Z21" s="248" t="s">
        <v>399</v>
      </c>
      <c r="AA21" s="248" t="s">
        <v>399</v>
      </c>
      <c r="AB21" s="248" t="s">
        <v>400</v>
      </c>
      <c r="AC21" s="251" t="str">
        <f>IFERROR("Q" &amp;INT((MONTH('MMR proficient'!AD23)+2)/3) &amp; "-" &amp; YEAR('MMR proficient'!AD23),"N/A")</f>
        <v>Q3-2019</v>
      </c>
      <c r="AD21" s="248">
        <v>43</v>
      </c>
      <c r="AE21" s="248" t="s">
        <v>401</v>
      </c>
      <c r="AF21" s="248" t="s">
        <v>402</v>
      </c>
      <c r="AG21" s="248" t="s">
        <v>403</v>
      </c>
      <c r="AH21" s="248" t="s">
        <v>404</v>
      </c>
      <c r="AI21" s="248" t="s">
        <v>405</v>
      </c>
      <c r="AJ21" s="248" t="s">
        <v>405</v>
      </c>
      <c r="AK21" s="248">
        <v>0</v>
      </c>
      <c r="AL21" s="248" t="s">
        <v>406</v>
      </c>
      <c r="AM21" s="248">
        <v>2</v>
      </c>
      <c r="AN21" s="252" t="s">
        <v>399</v>
      </c>
      <c r="AO21" s="248" t="s">
        <v>399</v>
      </c>
    </row>
    <row r="22" spans="1:41" ht="13" x14ac:dyDescent="0.3">
      <c r="A22" s="248" t="s">
        <v>564</v>
      </c>
      <c r="B22" s="248" t="s">
        <v>392</v>
      </c>
      <c r="C22" s="248" t="s">
        <v>393</v>
      </c>
      <c r="D22" s="248" t="s">
        <v>392</v>
      </c>
      <c r="E22" s="248" t="s">
        <v>469</v>
      </c>
      <c r="F22" s="248" t="s">
        <v>452</v>
      </c>
      <c r="G22" s="248" t="s">
        <v>416</v>
      </c>
      <c r="H22" s="251" t="str">
        <f>IFERROR("Q" &amp;INT((MONTH('MMR proficient'!H24)+2)/3) &amp; "-" &amp; YEAR('MMR proficient'!H24),"N/A")</f>
        <v>Q3-2020</v>
      </c>
      <c r="I22" s="248" t="s">
        <v>470</v>
      </c>
      <c r="J22" s="248" t="s">
        <v>398</v>
      </c>
      <c r="K22" s="248" t="s">
        <v>399</v>
      </c>
      <c r="L22" s="248" t="s">
        <v>399</v>
      </c>
      <c r="M22" s="248" t="s">
        <v>399</v>
      </c>
      <c r="N22" s="248" t="s">
        <v>399</v>
      </c>
      <c r="O22" s="248" t="s">
        <v>399</v>
      </c>
      <c r="P22" s="251" t="str">
        <f>IFERROR("Q" &amp;INT((MONTH('MMR proficient'!P24)+2)/3) &amp; "-" &amp; YEAR('MMR proficient'!P24),"N/A")</f>
        <v>N/A</v>
      </c>
      <c r="Q22" s="248" t="s">
        <v>399</v>
      </c>
      <c r="R22" s="248" t="s">
        <v>399</v>
      </c>
      <c r="S22" s="248" t="s">
        <v>399</v>
      </c>
      <c r="T22" s="248" t="s">
        <v>399</v>
      </c>
      <c r="U22" s="248" t="s">
        <v>399</v>
      </c>
      <c r="V22" s="248" t="s">
        <v>399</v>
      </c>
      <c r="W22" s="248" t="s">
        <v>399</v>
      </c>
      <c r="X22" s="248" t="s">
        <v>399</v>
      </c>
      <c r="Y22" s="248" t="s">
        <v>399</v>
      </c>
      <c r="Z22" s="248" t="s">
        <v>399</v>
      </c>
      <c r="AA22" s="248" t="s">
        <v>399</v>
      </c>
      <c r="AB22" s="248" t="s">
        <v>400</v>
      </c>
      <c r="AC22" s="251" t="str">
        <f>IFERROR("Q" &amp;INT((MONTH('MMR proficient'!AD24)+2)/3) &amp; "-" &amp; YEAR('MMR proficient'!AD24),"N/A")</f>
        <v>Q2-2020</v>
      </c>
      <c r="AD22" s="248">
        <v>74</v>
      </c>
      <c r="AE22" s="248" t="s">
        <v>401</v>
      </c>
      <c r="AF22" s="248" t="s">
        <v>402</v>
      </c>
      <c r="AG22" s="248" t="s">
        <v>403</v>
      </c>
      <c r="AH22" s="248" t="s">
        <v>404</v>
      </c>
      <c r="AI22" s="248">
        <v>0</v>
      </c>
      <c r="AJ22" s="248" t="s">
        <v>405</v>
      </c>
      <c r="AK22" s="248">
        <v>0</v>
      </c>
      <c r="AL22" s="248" t="s">
        <v>406</v>
      </c>
      <c r="AM22" s="248">
        <v>2</v>
      </c>
      <c r="AN22" s="252" t="s">
        <v>399</v>
      </c>
      <c r="AO22" s="248" t="s">
        <v>399</v>
      </c>
    </row>
    <row r="23" spans="1:41" ht="13" x14ac:dyDescent="0.3">
      <c r="A23" s="248" t="s">
        <v>565</v>
      </c>
      <c r="B23" s="248" t="s">
        <v>392</v>
      </c>
      <c r="C23" s="248" t="s">
        <v>393</v>
      </c>
      <c r="D23" s="248" t="s">
        <v>392</v>
      </c>
      <c r="E23" s="248" t="s">
        <v>471</v>
      </c>
      <c r="F23" s="248" t="s">
        <v>441</v>
      </c>
      <c r="G23" s="248" t="s">
        <v>443</v>
      </c>
      <c r="H23" s="251" t="str">
        <f>IFERROR("Q" &amp;INT((MONTH('MMR proficient'!H25)+2)/3) &amp; "-" &amp; YEAR('MMR proficient'!H25),"N/A")</f>
        <v>Q3-2020</v>
      </c>
      <c r="I23" s="248" t="s">
        <v>472</v>
      </c>
      <c r="J23" s="248" t="s">
        <v>398</v>
      </c>
      <c r="K23" s="248" t="s">
        <v>399</v>
      </c>
      <c r="L23" s="248" t="s">
        <v>399</v>
      </c>
      <c r="M23" s="248" t="s">
        <v>399</v>
      </c>
      <c r="N23" s="248" t="s">
        <v>399</v>
      </c>
      <c r="O23" s="248" t="s">
        <v>399</v>
      </c>
      <c r="P23" s="251" t="str">
        <f>IFERROR("Q" &amp;INT((MONTH('MMR proficient'!P25)+2)/3) &amp; "-" &amp; YEAR('MMR proficient'!P25),"N/A")</f>
        <v>N/A</v>
      </c>
      <c r="Q23" s="248" t="s">
        <v>399</v>
      </c>
      <c r="R23" s="248" t="s">
        <v>399</v>
      </c>
      <c r="S23" s="248" t="s">
        <v>399</v>
      </c>
      <c r="T23" s="248" t="s">
        <v>399</v>
      </c>
      <c r="U23" s="248" t="s">
        <v>399</v>
      </c>
      <c r="V23" s="248" t="s">
        <v>399</v>
      </c>
      <c r="W23" s="248" t="s">
        <v>399</v>
      </c>
      <c r="X23" s="248" t="s">
        <v>399</v>
      </c>
      <c r="Y23" s="248" t="s">
        <v>399</v>
      </c>
      <c r="Z23" s="248" t="s">
        <v>399</v>
      </c>
      <c r="AA23" s="248" t="s">
        <v>399</v>
      </c>
      <c r="AB23" s="248" t="s">
        <v>400</v>
      </c>
      <c r="AC23" s="251" t="str">
        <f>IFERROR("Q" &amp;INT((MONTH('MMR proficient'!AD25)+2)/3) &amp; "-" &amp; YEAR('MMR proficient'!AD25),"N/A")</f>
        <v>Q2-2020</v>
      </c>
      <c r="AD23" s="248">
        <v>77</v>
      </c>
      <c r="AE23" s="248" t="s">
        <v>401</v>
      </c>
      <c r="AF23" s="248" t="s">
        <v>402</v>
      </c>
      <c r="AG23" s="248" t="s">
        <v>392</v>
      </c>
      <c r="AH23" s="248" t="s">
        <v>418</v>
      </c>
      <c r="AI23" s="248" t="s">
        <v>405</v>
      </c>
      <c r="AJ23" s="248" t="s">
        <v>405</v>
      </c>
      <c r="AK23" s="248">
        <v>0</v>
      </c>
      <c r="AL23" s="248" t="s">
        <v>419</v>
      </c>
      <c r="AM23" s="248">
        <v>1</v>
      </c>
      <c r="AN23" s="252" t="s">
        <v>399</v>
      </c>
      <c r="AO23" s="248" t="s">
        <v>399</v>
      </c>
    </row>
    <row r="24" spans="1:41" ht="13" x14ac:dyDescent="0.3">
      <c r="A24" s="248" t="s">
        <v>566</v>
      </c>
      <c r="B24" s="248" t="s">
        <v>392</v>
      </c>
      <c r="C24" s="248" t="s">
        <v>393</v>
      </c>
      <c r="D24" s="248" t="s">
        <v>392</v>
      </c>
      <c r="E24" s="248" t="s">
        <v>473</v>
      </c>
      <c r="F24" s="248" t="s">
        <v>474</v>
      </c>
      <c r="G24" s="248" t="s">
        <v>443</v>
      </c>
      <c r="H24" s="251" t="str">
        <f>IFERROR("Q" &amp;INT((MONTH('MMR proficient'!H26)+2)/3) &amp; "-" &amp; YEAR('MMR proficient'!H26),"N/A")</f>
        <v>Q3-2020</v>
      </c>
      <c r="I24" s="248" t="s">
        <v>453</v>
      </c>
      <c r="J24" s="248" t="s">
        <v>398</v>
      </c>
      <c r="K24" s="248" t="s">
        <v>399</v>
      </c>
      <c r="L24" s="248" t="s">
        <v>399</v>
      </c>
      <c r="M24" s="248" t="s">
        <v>399</v>
      </c>
      <c r="N24" s="248" t="s">
        <v>399</v>
      </c>
      <c r="O24" s="248" t="s">
        <v>399</v>
      </c>
      <c r="P24" s="251" t="str">
        <f>IFERROR("Q" &amp;INT((MONTH('MMR proficient'!P26)+2)/3) &amp; "-" &amp; YEAR('MMR proficient'!P26),"N/A")</f>
        <v>N/A</v>
      </c>
      <c r="Q24" s="248" t="s">
        <v>399</v>
      </c>
      <c r="R24" s="248" t="s">
        <v>399</v>
      </c>
      <c r="S24" s="248" t="s">
        <v>399</v>
      </c>
      <c r="T24" s="248" t="s">
        <v>399</v>
      </c>
      <c r="U24" s="248" t="s">
        <v>399</v>
      </c>
      <c r="V24" s="248" t="s">
        <v>399</v>
      </c>
      <c r="W24" s="248" t="s">
        <v>399</v>
      </c>
      <c r="X24" s="248" t="s">
        <v>399</v>
      </c>
      <c r="Y24" s="248" t="s">
        <v>399</v>
      </c>
      <c r="Z24" s="248" t="s">
        <v>399</v>
      </c>
      <c r="AA24" s="248" t="s">
        <v>399</v>
      </c>
      <c r="AB24" s="248" t="s">
        <v>400</v>
      </c>
      <c r="AC24" s="251" t="str">
        <f>IFERROR("Q" &amp;INT((MONTH('MMR proficient'!AD26)+2)/3) &amp; "-" &amp; YEAR('MMR proficient'!AD26),"N/A")</f>
        <v>Q3-2020</v>
      </c>
      <c r="AD24" s="248">
        <v>71</v>
      </c>
      <c r="AE24" s="248" t="s">
        <v>401</v>
      </c>
      <c r="AF24" s="248" t="s">
        <v>402</v>
      </c>
      <c r="AG24" s="248" t="s">
        <v>403</v>
      </c>
      <c r="AH24" s="248" t="s">
        <v>418</v>
      </c>
      <c r="AI24" s="248">
        <v>0</v>
      </c>
      <c r="AJ24" s="248" t="s">
        <v>405</v>
      </c>
      <c r="AK24" s="248">
        <v>0</v>
      </c>
      <c r="AL24" s="248" t="s">
        <v>419</v>
      </c>
      <c r="AM24" s="248">
        <v>1</v>
      </c>
      <c r="AN24" s="252" t="s">
        <v>399</v>
      </c>
      <c r="AO24" s="248" t="s">
        <v>399</v>
      </c>
    </row>
    <row r="25" spans="1:41" ht="13" x14ac:dyDescent="0.3">
      <c r="A25" s="248" t="s">
        <v>567</v>
      </c>
      <c r="B25" s="248" t="s">
        <v>392</v>
      </c>
      <c r="C25" s="248" t="s">
        <v>393</v>
      </c>
      <c r="D25" s="248" t="s">
        <v>392</v>
      </c>
      <c r="E25" s="248" t="s">
        <v>475</v>
      </c>
      <c r="F25" s="248" t="s">
        <v>476</v>
      </c>
      <c r="G25" s="248" t="s">
        <v>433</v>
      </c>
      <c r="H25" s="251" t="str">
        <f>IFERROR("Q" &amp;INT((MONTH('MMR proficient'!H27)+2)/3) &amp; "-" &amp; YEAR('MMR proficient'!H27),"N/A")</f>
        <v>Q4-2020</v>
      </c>
      <c r="I25" s="248" t="s">
        <v>477</v>
      </c>
      <c r="J25" s="248" t="s">
        <v>398</v>
      </c>
      <c r="K25" s="248" t="s">
        <v>399</v>
      </c>
      <c r="L25" s="248" t="s">
        <v>399</v>
      </c>
      <c r="M25" s="248" t="s">
        <v>399</v>
      </c>
      <c r="N25" s="248" t="s">
        <v>399</v>
      </c>
      <c r="O25" s="248" t="s">
        <v>399</v>
      </c>
      <c r="P25" s="251" t="str">
        <f>IFERROR("Q" &amp;INT((MONTH('MMR proficient'!P27)+2)/3) &amp; "-" &amp; YEAR('MMR proficient'!P27),"N/A")</f>
        <v>N/A</v>
      </c>
      <c r="Q25" s="248" t="s">
        <v>399</v>
      </c>
      <c r="R25" s="248" t="s">
        <v>399</v>
      </c>
      <c r="S25" s="248" t="s">
        <v>399</v>
      </c>
      <c r="T25" s="248" t="s">
        <v>399</v>
      </c>
      <c r="U25" s="248" t="s">
        <v>399</v>
      </c>
      <c r="V25" s="248" t="s">
        <v>399</v>
      </c>
      <c r="W25" s="248" t="s">
        <v>399</v>
      </c>
      <c r="X25" s="248" t="s">
        <v>399</v>
      </c>
      <c r="Y25" s="248" t="s">
        <v>399</v>
      </c>
      <c r="Z25" s="248" t="s">
        <v>399</v>
      </c>
      <c r="AA25" s="248" t="s">
        <v>399</v>
      </c>
      <c r="AB25" s="248" t="s">
        <v>400</v>
      </c>
      <c r="AC25" s="251" t="str">
        <f>IFERROR("Q" &amp;INT((MONTH('MMR proficient'!AD27)+2)/3) &amp; "-" &amp; YEAR('MMR proficient'!AD27),"N/A")</f>
        <v>Q3-2020</v>
      </c>
      <c r="AD25" s="248">
        <v>67</v>
      </c>
      <c r="AE25" s="248" t="s">
        <v>401</v>
      </c>
      <c r="AF25" s="248" t="s">
        <v>402</v>
      </c>
      <c r="AG25" s="248" t="s">
        <v>403</v>
      </c>
      <c r="AH25" s="248" t="s">
        <v>405</v>
      </c>
      <c r="AI25" s="248">
        <v>1</v>
      </c>
      <c r="AJ25" s="248" t="s">
        <v>405</v>
      </c>
      <c r="AK25" s="248">
        <v>0</v>
      </c>
      <c r="AL25" s="248" t="s">
        <v>399</v>
      </c>
      <c r="AM25" s="248">
        <v>2</v>
      </c>
      <c r="AN25" s="252" t="s">
        <v>399</v>
      </c>
      <c r="AO25" s="248" t="s">
        <v>399</v>
      </c>
    </row>
    <row r="26" spans="1:41" ht="13" x14ac:dyDescent="0.3">
      <c r="A26" s="248" t="s">
        <v>568</v>
      </c>
      <c r="B26" s="248" t="s">
        <v>392</v>
      </c>
      <c r="C26" s="248" t="s">
        <v>393</v>
      </c>
      <c r="D26" s="248" t="s">
        <v>392</v>
      </c>
      <c r="E26" s="248" t="s">
        <v>478</v>
      </c>
      <c r="F26" s="248" t="s">
        <v>449</v>
      </c>
      <c r="G26" s="248" t="s">
        <v>415</v>
      </c>
      <c r="H26" s="251" t="str">
        <f>IFERROR("Q" &amp;INT((MONTH('MMR proficient'!H28)+2)/3) &amp; "-" &amp; YEAR('MMR proficient'!H28),"N/A")</f>
        <v>Q4-2020</v>
      </c>
      <c r="I26" s="248" t="s">
        <v>479</v>
      </c>
      <c r="J26" s="248" t="s">
        <v>398</v>
      </c>
      <c r="K26" s="248" t="s">
        <v>399</v>
      </c>
      <c r="L26" s="248" t="s">
        <v>399</v>
      </c>
      <c r="M26" s="248" t="s">
        <v>399</v>
      </c>
      <c r="N26" s="248" t="s">
        <v>399</v>
      </c>
      <c r="O26" s="248" t="s">
        <v>399</v>
      </c>
      <c r="P26" s="251" t="str">
        <f>IFERROR("Q" &amp;INT((MONTH('MMR proficient'!P28)+2)/3) &amp; "-" &amp; YEAR('MMR proficient'!P28),"N/A")</f>
        <v>N/A</v>
      </c>
      <c r="Q26" s="248" t="s">
        <v>399</v>
      </c>
      <c r="R26" s="248" t="s">
        <v>399</v>
      </c>
      <c r="S26" s="248" t="s">
        <v>399</v>
      </c>
      <c r="T26" s="248" t="s">
        <v>399</v>
      </c>
      <c r="U26" s="248" t="s">
        <v>399</v>
      </c>
      <c r="V26" s="248" t="s">
        <v>399</v>
      </c>
      <c r="W26" s="248" t="s">
        <v>399</v>
      </c>
      <c r="X26" s="248" t="s">
        <v>399</v>
      </c>
      <c r="Y26" s="248" t="s">
        <v>399</v>
      </c>
      <c r="Z26" s="248" t="s">
        <v>399</v>
      </c>
      <c r="AA26" s="248" t="s">
        <v>399</v>
      </c>
      <c r="AB26" s="248" t="s">
        <v>400</v>
      </c>
      <c r="AC26" s="251" t="str">
        <f>IFERROR("Q" &amp;INT((MONTH('MMR proficient'!AD28)+2)/3) &amp; "-" &amp; YEAR('MMR proficient'!AD28),"N/A")</f>
        <v>Q3-2020</v>
      </c>
      <c r="AD26" s="248">
        <v>51</v>
      </c>
      <c r="AE26" s="248" t="s">
        <v>401</v>
      </c>
      <c r="AF26" s="248" t="s">
        <v>402</v>
      </c>
      <c r="AG26" s="248" t="s">
        <v>403</v>
      </c>
      <c r="AH26" s="248" t="s">
        <v>404</v>
      </c>
      <c r="AI26" s="248">
        <v>0</v>
      </c>
      <c r="AJ26" s="248" t="s">
        <v>405</v>
      </c>
      <c r="AK26" s="248">
        <v>0</v>
      </c>
      <c r="AL26" s="248" t="s">
        <v>406</v>
      </c>
      <c r="AM26" s="248">
        <v>2</v>
      </c>
      <c r="AN26" s="252" t="s">
        <v>399</v>
      </c>
      <c r="AO26" s="248" t="s">
        <v>399</v>
      </c>
    </row>
    <row r="27" spans="1:41" ht="13" x14ac:dyDescent="0.3">
      <c r="A27" s="248" t="s">
        <v>569</v>
      </c>
      <c r="B27" s="248" t="s">
        <v>392</v>
      </c>
      <c r="C27" s="248" t="s">
        <v>393</v>
      </c>
      <c r="D27" s="248" t="s">
        <v>392</v>
      </c>
      <c r="E27" s="248" t="s">
        <v>480</v>
      </c>
      <c r="F27" s="248" t="s">
        <v>415</v>
      </c>
      <c r="G27" s="248" t="s">
        <v>399</v>
      </c>
      <c r="H27" s="251" t="str">
        <f>IFERROR("Q" &amp;INT((MONTH('MMR proficient'!H29)+2)/3) &amp; "-" &amp; YEAR('MMR proficient'!H29),"N/A")</f>
        <v>Q1-2021</v>
      </c>
      <c r="I27" s="248" t="s">
        <v>481</v>
      </c>
      <c r="J27" s="248" t="s">
        <v>398</v>
      </c>
      <c r="K27" s="248" t="s">
        <v>399</v>
      </c>
      <c r="L27" s="248" t="s">
        <v>399</v>
      </c>
      <c r="M27" s="248" t="s">
        <v>480</v>
      </c>
      <c r="N27" s="248" t="s">
        <v>441</v>
      </c>
      <c r="O27" s="248" t="s">
        <v>482</v>
      </c>
      <c r="P27" s="251" t="str">
        <f>IFERROR("Q" &amp;INT((MONTH('MMR proficient'!P29)+2)/3) &amp; "-" &amp; YEAR('MMR proficient'!P29),"N/A")</f>
        <v>Q1-2021</v>
      </c>
      <c r="Q27" s="248" t="s">
        <v>393</v>
      </c>
      <c r="R27" s="248" t="s">
        <v>399</v>
      </c>
      <c r="S27" s="248" t="s">
        <v>399</v>
      </c>
      <c r="T27" s="248" t="s">
        <v>399</v>
      </c>
      <c r="U27" s="248" t="s">
        <v>399</v>
      </c>
      <c r="V27" s="248" t="s">
        <v>399</v>
      </c>
      <c r="W27" s="248" t="s">
        <v>399</v>
      </c>
      <c r="X27" s="248" t="s">
        <v>399</v>
      </c>
      <c r="Y27" s="248" t="s">
        <v>399</v>
      </c>
      <c r="Z27" s="248" t="s">
        <v>399</v>
      </c>
      <c r="AA27" s="248" t="s">
        <v>399</v>
      </c>
      <c r="AB27" s="248" t="s">
        <v>400</v>
      </c>
      <c r="AC27" s="251" t="str">
        <f>IFERROR("Q" &amp;INT((MONTH('MMR proficient'!AD29)+2)/3) &amp; "-" &amp; YEAR('MMR proficient'!AD29),"N/A")</f>
        <v>Q1-2021</v>
      </c>
      <c r="AD27" s="248">
        <v>37</v>
      </c>
      <c r="AE27" s="248" t="s">
        <v>435</v>
      </c>
      <c r="AF27" s="248" t="s">
        <v>402</v>
      </c>
      <c r="AG27" s="248" t="s">
        <v>403</v>
      </c>
      <c r="AH27" s="248" t="s">
        <v>446</v>
      </c>
      <c r="AI27" s="248">
        <v>0</v>
      </c>
      <c r="AJ27" s="248" t="s">
        <v>405</v>
      </c>
      <c r="AK27" s="248">
        <v>0</v>
      </c>
      <c r="AL27" s="248" t="s">
        <v>447</v>
      </c>
      <c r="AM27" s="248">
        <v>1</v>
      </c>
      <c r="AN27" s="252" t="s">
        <v>399</v>
      </c>
      <c r="AO27" s="248" t="s">
        <v>399</v>
      </c>
    </row>
    <row r="28" spans="1:41" ht="13" x14ac:dyDescent="0.3">
      <c r="A28" s="248" t="s">
        <v>570</v>
      </c>
      <c r="B28" s="248" t="s">
        <v>392</v>
      </c>
      <c r="C28" s="248" t="s">
        <v>393</v>
      </c>
      <c r="D28" s="248" t="s">
        <v>392</v>
      </c>
      <c r="E28" s="248" t="s">
        <v>483</v>
      </c>
      <c r="F28" s="248" t="s">
        <v>415</v>
      </c>
      <c r="G28" s="248" t="s">
        <v>426</v>
      </c>
      <c r="H28" s="251" t="str">
        <f>IFERROR("Q" &amp;INT((MONTH('MMR proficient'!H30)+2)/3) &amp; "-" &amp; YEAR('MMR proficient'!H30),"N/A")</f>
        <v>Q1-2021</v>
      </c>
      <c r="I28" s="248" t="s">
        <v>484</v>
      </c>
      <c r="J28" s="248" t="s">
        <v>398</v>
      </c>
      <c r="K28" s="248" t="s">
        <v>399</v>
      </c>
      <c r="L28" s="248" t="s">
        <v>399</v>
      </c>
      <c r="M28" s="248" t="s">
        <v>399</v>
      </c>
      <c r="N28" s="248" t="s">
        <v>399</v>
      </c>
      <c r="O28" s="248" t="s">
        <v>399</v>
      </c>
      <c r="P28" s="251" t="str">
        <f>IFERROR("Q" &amp;INT((MONTH('MMR proficient'!P30)+2)/3) &amp; "-" &amp; YEAR('MMR proficient'!P30),"N/A")</f>
        <v>N/A</v>
      </c>
      <c r="Q28" s="248" t="s">
        <v>399</v>
      </c>
      <c r="R28" s="248" t="s">
        <v>399</v>
      </c>
      <c r="S28" s="248" t="s">
        <v>399</v>
      </c>
      <c r="T28" s="248" t="s">
        <v>399</v>
      </c>
      <c r="U28" s="248" t="s">
        <v>399</v>
      </c>
      <c r="V28" s="248" t="s">
        <v>399</v>
      </c>
      <c r="W28" s="248" t="s">
        <v>399</v>
      </c>
      <c r="X28" s="248" t="s">
        <v>399</v>
      </c>
      <c r="Y28" s="248" t="s">
        <v>399</v>
      </c>
      <c r="Z28" s="248" t="s">
        <v>399</v>
      </c>
      <c r="AA28" s="248" t="s">
        <v>399</v>
      </c>
      <c r="AB28" s="248" t="s">
        <v>400</v>
      </c>
      <c r="AC28" s="251" t="str">
        <f>IFERROR("Q" &amp;INT((MONTH('MMR proficient'!AD30)+2)/3) &amp; "-" &amp; YEAR('MMR proficient'!AD30),"N/A")</f>
        <v>Q4-2020</v>
      </c>
      <c r="AD28" s="248">
        <v>45</v>
      </c>
      <c r="AE28" s="248" t="s">
        <v>435</v>
      </c>
      <c r="AF28" s="248" t="s">
        <v>402</v>
      </c>
      <c r="AG28" s="248" t="s">
        <v>403</v>
      </c>
      <c r="AH28" s="248" t="s">
        <v>404</v>
      </c>
      <c r="AI28" s="248">
        <v>0</v>
      </c>
      <c r="AJ28" s="248" t="s">
        <v>405</v>
      </c>
      <c r="AK28" s="248">
        <v>0</v>
      </c>
      <c r="AL28" s="248" t="s">
        <v>406</v>
      </c>
      <c r="AM28" s="248">
        <v>3</v>
      </c>
      <c r="AN28" s="252" t="s">
        <v>399</v>
      </c>
      <c r="AO28" s="248" t="s">
        <v>399</v>
      </c>
    </row>
    <row r="29" spans="1:41" ht="13" x14ac:dyDescent="0.3">
      <c r="A29" s="248" t="s">
        <v>571</v>
      </c>
      <c r="B29" s="248" t="s">
        <v>392</v>
      </c>
      <c r="C29" s="248" t="s">
        <v>393</v>
      </c>
      <c r="D29" s="248" t="s">
        <v>392</v>
      </c>
      <c r="E29" s="248" t="s">
        <v>485</v>
      </c>
      <c r="F29" s="248" t="s">
        <v>449</v>
      </c>
      <c r="G29" s="248" t="s">
        <v>452</v>
      </c>
      <c r="H29" s="251" t="str">
        <f>IFERROR("Q" &amp;INT((MONTH('MMR proficient'!H31)+2)/3) &amp; "-" &amp; YEAR('MMR proficient'!H31),"N/A")</f>
        <v>Q1-2021</v>
      </c>
      <c r="I29" s="248" t="s">
        <v>486</v>
      </c>
      <c r="J29" s="248" t="s">
        <v>398</v>
      </c>
      <c r="K29" s="248" t="s">
        <v>399</v>
      </c>
      <c r="L29" s="248" t="s">
        <v>399</v>
      </c>
      <c r="M29" s="248" t="s">
        <v>399</v>
      </c>
      <c r="N29" s="248" t="s">
        <v>399</v>
      </c>
      <c r="O29" s="248" t="s">
        <v>399</v>
      </c>
      <c r="P29" s="251" t="str">
        <f>IFERROR("Q" &amp;INT((MONTH('MMR proficient'!P31)+2)/3) &amp; "-" &amp; YEAR('MMR proficient'!P31),"N/A")</f>
        <v>N/A</v>
      </c>
      <c r="Q29" s="248" t="s">
        <v>399</v>
      </c>
      <c r="R29" s="248" t="s">
        <v>399</v>
      </c>
      <c r="S29" s="248" t="s">
        <v>399</v>
      </c>
      <c r="T29" s="248" t="s">
        <v>399</v>
      </c>
      <c r="U29" s="248" t="s">
        <v>399</v>
      </c>
      <c r="V29" s="248" t="s">
        <v>399</v>
      </c>
      <c r="W29" s="248" t="s">
        <v>399</v>
      </c>
      <c r="X29" s="248" t="s">
        <v>399</v>
      </c>
      <c r="Y29" s="248" t="s">
        <v>399</v>
      </c>
      <c r="Z29" s="248" t="s">
        <v>399</v>
      </c>
      <c r="AA29" s="248" t="s">
        <v>399</v>
      </c>
      <c r="AB29" s="248" t="s">
        <v>400</v>
      </c>
      <c r="AC29" s="251" t="str">
        <f>IFERROR("Q" &amp;INT((MONTH('MMR proficient'!AD31)+2)/3) &amp; "-" &amp; YEAR('MMR proficient'!AD31),"N/A")</f>
        <v>Q1-2021</v>
      </c>
      <c r="AD29" s="248">
        <v>73</v>
      </c>
      <c r="AE29" s="248" t="s">
        <v>435</v>
      </c>
      <c r="AF29" s="248" t="s">
        <v>402</v>
      </c>
      <c r="AG29" s="248" t="s">
        <v>392</v>
      </c>
      <c r="AH29" s="248" t="s">
        <v>418</v>
      </c>
      <c r="AI29" s="248">
        <v>0</v>
      </c>
      <c r="AJ29" s="248" t="s">
        <v>405</v>
      </c>
      <c r="AK29" s="248">
        <v>0</v>
      </c>
      <c r="AL29" s="248" t="s">
        <v>419</v>
      </c>
      <c r="AM29" s="248">
        <v>2</v>
      </c>
      <c r="AN29" s="252" t="s">
        <v>399</v>
      </c>
      <c r="AO29" s="248" t="s">
        <v>399</v>
      </c>
    </row>
    <row r="30" spans="1:41" ht="13" x14ac:dyDescent="0.3">
      <c r="A30" s="248" t="s">
        <v>572</v>
      </c>
      <c r="B30" s="248" t="s">
        <v>392</v>
      </c>
      <c r="C30" s="248" t="s">
        <v>393</v>
      </c>
      <c r="D30" s="248" t="s">
        <v>392</v>
      </c>
      <c r="E30" s="248" t="s">
        <v>487</v>
      </c>
      <c r="F30" s="248" t="s">
        <v>425</v>
      </c>
      <c r="G30" s="248" t="s">
        <v>426</v>
      </c>
      <c r="H30" s="251" t="str">
        <f>IFERROR("Q" &amp;INT((MONTH('MMR proficient'!H32)+2)/3) &amp; "-" &amp; YEAR('MMR proficient'!H32),"N/A")</f>
        <v>Q1-2021</v>
      </c>
      <c r="I30" s="248" t="s">
        <v>488</v>
      </c>
      <c r="J30" s="248" t="s">
        <v>398</v>
      </c>
      <c r="K30" s="248" t="s">
        <v>399</v>
      </c>
      <c r="L30" s="248" t="s">
        <v>399</v>
      </c>
      <c r="M30" s="248" t="s">
        <v>399</v>
      </c>
      <c r="N30" s="248" t="s">
        <v>399</v>
      </c>
      <c r="O30" s="248" t="s">
        <v>399</v>
      </c>
      <c r="P30" s="251" t="str">
        <f>IFERROR("Q" &amp;INT((MONTH('MMR proficient'!P32)+2)/3) &amp; "-" &amp; YEAR('MMR proficient'!P32),"N/A")</f>
        <v>N/A</v>
      </c>
      <c r="Q30" s="248" t="s">
        <v>399</v>
      </c>
      <c r="R30" s="248" t="s">
        <v>399</v>
      </c>
      <c r="S30" s="248" t="s">
        <v>399</v>
      </c>
      <c r="T30" s="248" t="s">
        <v>399</v>
      </c>
      <c r="U30" s="248" t="s">
        <v>399</v>
      </c>
      <c r="V30" s="248" t="s">
        <v>399</v>
      </c>
      <c r="W30" s="248" t="s">
        <v>399</v>
      </c>
      <c r="X30" s="248" t="s">
        <v>399</v>
      </c>
      <c r="Y30" s="248" t="s">
        <v>399</v>
      </c>
      <c r="Z30" s="248" t="s">
        <v>399</v>
      </c>
      <c r="AA30" s="248" t="s">
        <v>399</v>
      </c>
      <c r="AB30" s="248" t="s">
        <v>400</v>
      </c>
      <c r="AC30" s="251" t="str">
        <f>IFERROR("Q" &amp;INT((MONTH('MMR proficient'!AD32)+2)/3) &amp; "-" &amp; YEAR('MMR proficient'!AD32),"N/A")</f>
        <v>Q4-2020</v>
      </c>
      <c r="AD30" s="248">
        <v>59</v>
      </c>
      <c r="AE30" s="248" t="s">
        <v>435</v>
      </c>
      <c r="AF30" s="248" t="s">
        <v>402</v>
      </c>
      <c r="AG30" s="248" t="s">
        <v>403</v>
      </c>
      <c r="AH30" s="248" t="s">
        <v>404</v>
      </c>
      <c r="AI30" s="248" t="s">
        <v>405</v>
      </c>
      <c r="AJ30" s="248" t="s">
        <v>405</v>
      </c>
      <c r="AK30" s="248">
        <v>0</v>
      </c>
      <c r="AL30" s="248" t="s">
        <v>406</v>
      </c>
      <c r="AM30" s="248">
        <v>1</v>
      </c>
      <c r="AN30" s="252" t="s">
        <v>399</v>
      </c>
      <c r="AO30" s="248" t="s">
        <v>399</v>
      </c>
    </row>
    <row r="31" spans="1:41" ht="13" x14ac:dyDescent="0.3">
      <c r="A31" s="248" t="s">
        <v>573</v>
      </c>
      <c r="B31" s="248" t="s">
        <v>392</v>
      </c>
      <c r="C31" s="248" t="s">
        <v>393</v>
      </c>
      <c r="D31" s="248" t="s">
        <v>392</v>
      </c>
      <c r="E31" s="248" t="s">
        <v>489</v>
      </c>
      <c r="F31" s="248" t="s">
        <v>490</v>
      </c>
      <c r="G31" s="248" t="s">
        <v>476</v>
      </c>
      <c r="H31" s="251" t="str">
        <f>IFERROR("Q" &amp;INT((MONTH('MMR proficient'!H33)+2)/3) &amp; "-" &amp; YEAR('MMR proficient'!H33),"N/A")</f>
        <v>Q2-2021</v>
      </c>
      <c r="I31" s="248" t="s">
        <v>488</v>
      </c>
      <c r="J31" s="248" t="s">
        <v>398</v>
      </c>
      <c r="K31" s="248" t="s">
        <v>399</v>
      </c>
      <c r="L31" s="248" t="s">
        <v>399</v>
      </c>
      <c r="M31" s="248" t="s">
        <v>399</v>
      </c>
      <c r="N31" s="248" t="s">
        <v>399</v>
      </c>
      <c r="O31" s="248" t="s">
        <v>399</v>
      </c>
      <c r="P31" s="251" t="str">
        <f>IFERROR("Q" &amp;INT((MONTH('MMR proficient'!P33)+2)/3) &amp; "-" &amp; YEAR('MMR proficient'!P33),"N/A")</f>
        <v>N/A</v>
      </c>
      <c r="Q31" s="248" t="s">
        <v>399</v>
      </c>
      <c r="R31" s="248" t="s">
        <v>399</v>
      </c>
      <c r="S31" s="248" t="s">
        <v>399</v>
      </c>
      <c r="T31" s="248" t="s">
        <v>399</v>
      </c>
      <c r="U31" s="248" t="s">
        <v>399</v>
      </c>
      <c r="V31" s="248" t="s">
        <v>399</v>
      </c>
      <c r="W31" s="248" t="s">
        <v>399</v>
      </c>
      <c r="X31" s="248" t="s">
        <v>399</v>
      </c>
      <c r="Y31" s="248" t="s">
        <v>399</v>
      </c>
      <c r="Z31" s="248" t="s">
        <v>399</v>
      </c>
      <c r="AA31" s="248" t="s">
        <v>399</v>
      </c>
      <c r="AB31" s="248" t="s">
        <v>400</v>
      </c>
      <c r="AC31" s="251" t="str">
        <f>IFERROR("Q" &amp;INT((MONTH('MMR proficient'!AD33)+2)/3) &amp; "-" &amp; YEAR('MMR proficient'!AD33),"N/A")</f>
        <v>Q1-2021</v>
      </c>
      <c r="AD31" s="248">
        <v>61</v>
      </c>
      <c r="AE31" s="248" t="s">
        <v>435</v>
      </c>
      <c r="AF31" s="248" t="s">
        <v>402</v>
      </c>
      <c r="AG31" s="248" t="s">
        <v>403</v>
      </c>
      <c r="AH31" s="248" t="s">
        <v>418</v>
      </c>
      <c r="AI31" s="248" t="s">
        <v>405</v>
      </c>
      <c r="AJ31" s="248" t="s">
        <v>405</v>
      </c>
      <c r="AK31" s="248">
        <v>0</v>
      </c>
      <c r="AL31" s="248" t="s">
        <v>419</v>
      </c>
      <c r="AM31" s="248">
        <v>1</v>
      </c>
      <c r="AN31" s="252" t="s">
        <v>399</v>
      </c>
      <c r="AO31" s="248" t="s">
        <v>399</v>
      </c>
    </row>
    <row r="32" spans="1:41" ht="13" x14ac:dyDescent="0.3">
      <c r="A32" s="248" t="s">
        <v>574</v>
      </c>
      <c r="B32" s="248" t="s">
        <v>392</v>
      </c>
      <c r="C32" s="248" t="s">
        <v>393</v>
      </c>
      <c r="D32" s="248" t="s">
        <v>392</v>
      </c>
      <c r="E32" s="248" t="s">
        <v>491</v>
      </c>
      <c r="F32" s="248" t="s">
        <v>474</v>
      </c>
      <c r="G32" s="248" t="s">
        <v>452</v>
      </c>
      <c r="H32" s="251" t="str">
        <f>IFERROR("Q" &amp;INT((MONTH('MMR proficient'!H34)+2)/3) &amp; "-" &amp; YEAR('MMR proficient'!H34),"N/A")</f>
        <v>Q2-2021</v>
      </c>
      <c r="I32" s="248" t="s">
        <v>492</v>
      </c>
      <c r="J32" s="248" t="s">
        <v>398</v>
      </c>
      <c r="K32" s="248" t="s">
        <v>399</v>
      </c>
      <c r="L32" s="248" t="s">
        <v>399</v>
      </c>
      <c r="M32" s="248" t="s">
        <v>399</v>
      </c>
      <c r="N32" s="248" t="s">
        <v>399</v>
      </c>
      <c r="O32" s="248" t="s">
        <v>399</v>
      </c>
      <c r="P32" s="251" t="str">
        <f>IFERROR("Q" &amp;INT((MONTH('MMR proficient'!P34)+2)/3) &amp; "-" &amp; YEAR('MMR proficient'!P34),"N/A")</f>
        <v>N/A</v>
      </c>
      <c r="Q32" s="248" t="s">
        <v>399</v>
      </c>
      <c r="R32" s="248" t="s">
        <v>399</v>
      </c>
      <c r="S32" s="248" t="s">
        <v>399</v>
      </c>
      <c r="T32" s="248" t="s">
        <v>399</v>
      </c>
      <c r="U32" s="248" t="s">
        <v>399</v>
      </c>
      <c r="V32" s="248" t="s">
        <v>399</v>
      </c>
      <c r="W32" s="248" t="s">
        <v>399</v>
      </c>
      <c r="X32" s="248" t="s">
        <v>399</v>
      </c>
      <c r="Y32" s="248" t="s">
        <v>399</v>
      </c>
      <c r="Z32" s="248" t="s">
        <v>399</v>
      </c>
      <c r="AA32" s="248" t="s">
        <v>399</v>
      </c>
      <c r="AB32" s="248" t="s">
        <v>400</v>
      </c>
      <c r="AC32" s="251" t="str">
        <f>IFERROR("Q" &amp;INT((MONTH('MMR proficient'!AD34)+2)/3) &amp; "-" &amp; YEAR('MMR proficient'!AD34),"N/A")</f>
        <v>Q1-2021</v>
      </c>
      <c r="AD32" s="248">
        <v>44</v>
      </c>
      <c r="AE32" s="248" t="s">
        <v>435</v>
      </c>
      <c r="AF32" s="248" t="s">
        <v>402</v>
      </c>
      <c r="AG32" s="248" t="s">
        <v>403</v>
      </c>
      <c r="AH32" s="248" t="s">
        <v>446</v>
      </c>
      <c r="AI32" s="248">
        <v>0</v>
      </c>
      <c r="AJ32" s="248" t="s">
        <v>405</v>
      </c>
      <c r="AK32" s="248">
        <v>0</v>
      </c>
      <c r="AL32" s="248" t="s">
        <v>447</v>
      </c>
      <c r="AM32" s="248">
        <v>2</v>
      </c>
      <c r="AN32" s="252" t="s">
        <v>399</v>
      </c>
      <c r="AO32" s="248" t="s">
        <v>399</v>
      </c>
    </row>
    <row r="33" spans="1:41" ht="13" x14ac:dyDescent="0.3">
      <c r="A33" s="248" t="s">
        <v>575</v>
      </c>
      <c r="B33" s="248" t="s">
        <v>392</v>
      </c>
      <c r="C33" s="248" t="s">
        <v>393</v>
      </c>
      <c r="D33" s="248" t="s">
        <v>392</v>
      </c>
      <c r="E33" s="248" t="s">
        <v>493</v>
      </c>
      <c r="F33" s="248" t="s">
        <v>443</v>
      </c>
      <c r="G33" s="248" t="s">
        <v>494</v>
      </c>
      <c r="H33" s="251" t="str">
        <f>IFERROR("Q" &amp;INT((MONTH('MMR proficient'!H35)+2)/3) &amp; "-" &amp; YEAR('MMR proficient'!H35),"N/A")</f>
        <v>Q3-2021</v>
      </c>
      <c r="I33" s="248" t="s">
        <v>495</v>
      </c>
      <c r="J33" s="248" t="s">
        <v>398</v>
      </c>
      <c r="K33" s="248" t="s">
        <v>399</v>
      </c>
      <c r="L33" s="248" t="s">
        <v>399</v>
      </c>
      <c r="M33" s="248" t="s">
        <v>399</v>
      </c>
      <c r="N33" s="248" t="s">
        <v>399</v>
      </c>
      <c r="O33" s="248" t="s">
        <v>399</v>
      </c>
      <c r="P33" s="251" t="str">
        <f>IFERROR("Q" &amp;INT((MONTH('MMR proficient'!P35)+2)/3) &amp; "-" &amp; YEAR('MMR proficient'!P35),"N/A")</f>
        <v>N/A</v>
      </c>
      <c r="Q33" s="248" t="s">
        <v>399</v>
      </c>
      <c r="R33" s="248" t="s">
        <v>399</v>
      </c>
      <c r="S33" s="248" t="s">
        <v>399</v>
      </c>
      <c r="T33" s="248" t="s">
        <v>399</v>
      </c>
      <c r="U33" s="248" t="s">
        <v>399</v>
      </c>
      <c r="V33" s="248" t="s">
        <v>399</v>
      </c>
      <c r="W33" s="248" t="s">
        <v>399</v>
      </c>
      <c r="X33" s="248" t="s">
        <v>399</v>
      </c>
      <c r="Y33" s="248" t="s">
        <v>399</v>
      </c>
      <c r="Z33" s="248" t="s">
        <v>399</v>
      </c>
      <c r="AA33" s="248" t="s">
        <v>399</v>
      </c>
      <c r="AB33" s="248" t="s">
        <v>400</v>
      </c>
      <c r="AC33" s="251" t="str">
        <f>IFERROR("Q" &amp;INT((MONTH('MMR proficient'!AD35)+2)/3) &amp; "-" &amp; YEAR('MMR proficient'!AD35),"N/A")</f>
        <v>Q2-2021</v>
      </c>
      <c r="AD33" s="248">
        <v>61</v>
      </c>
      <c r="AE33" s="248" t="s">
        <v>435</v>
      </c>
      <c r="AF33" s="248" t="s">
        <v>402</v>
      </c>
      <c r="AG33" s="248" t="s">
        <v>403</v>
      </c>
      <c r="AH33" s="248">
        <v>2</v>
      </c>
      <c r="AI33" s="248">
        <v>0</v>
      </c>
      <c r="AJ33" s="248" t="s">
        <v>405</v>
      </c>
      <c r="AK33" s="248">
        <v>0</v>
      </c>
      <c r="AL33" s="248" t="s">
        <v>423</v>
      </c>
      <c r="AM33" s="248">
        <v>1</v>
      </c>
      <c r="AN33" s="252" t="s">
        <v>399</v>
      </c>
      <c r="AO33" s="248" t="s">
        <v>399</v>
      </c>
    </row>
    <row r="34" spans="1:41" ht="13" x14ac:dyDescent="0.3">
      <c r="A34" s="248" t="s">
        <v>576</v>
      </c>
      <c r="B34" s="248" t="s">
        <v>392</v>
      </c>
      <c r="C34" s="248" t="s">
        <v>393</v>
      </c>
      <c r="D34" s="248" t="s">
        <v>392</v>
      </c>
      <c r="E34" s="248" t="s">
        <v>496</v>
      </c>
      <c r="F34" s="248" t="s">
        <v>497</v>
      </c>
      <c r="G34" s="248" t="s">
        <v>399</v>
      </c>
      <c r="H34" s="251" t="str">
        <f>IFERROR("Q" &amp;INT((MONTH('MMR proficient'!H36)+2)/3) &amp; "-" &amp; YEAR('MMR proficient'!H36),"N/A")</f>
        <v>Q3-2021</v>
      </c>
      <c r="I34" s="248" t="s">
        <v>498</v>
      </c>
      <c r="J34" s="248" t="s">
        <v>499</v>
      </c>
      <c r="K34" s="248" t="s">
        <v>399</v>
      </c>
      <c r="L34" s="248" t="s">
        <v>399</v>
      </c>
      <c r="M34" s="248" t="s">
        <v>399</v>
      </c>
      <c r="N34" s="248" t="s">
        <v>399</v>
      </c>
      <c r="O34" s="248" t="s">
        <v>399</v>
      </c>
      <c r="P34" s="251" t="str">
        <f>IFERROR("Q" &amp;INT((MONTH('MMR proficient'!P36)+2)/3) &amp; "-" &amp; YEAR('MMR proficient'!P36),"N/A")</f>
        <v>N/A</v>
      </c>
      <c r="Q34" s="248" t="s">
        <v>399</v>
      </c>
      <c r="R34" s="248" t="s">
        <v>399</v>
      </c>
      <c r="S34" s="248" t="s">
        <v>399</v>
      </c>
      <c r="T34" s="248" t="s">
        <v>399</v>
      </c>
      <c r="U34" s="248" t="s">
        <v>399</v>
      </c>
      <c r="V34" s="248" t="s">
        <v>399</v>
      </c>
      <c r="W34" s="248" t="s">
        <v>399</v>
      </c>
      <c r="X34" s="248" t="s">
        <v>399</v>
      </c>
      <c r="Y34" s="248" t="s">
        <v>399</v>
      </c>
      <c r="Z34" s="248" t="s">
        <v>399</v>
      </c>
      <c r="AA34" s="248" t="s">
        <v>399</v>
      </c>
      <c r="AB34" s="248" t="s">
        <v>400</v>
      </c>
      <c r="AC34" s="251" t="str">
        <f>IFERROR("Q" &amp;INT((MONTH('MMR proficient'!AD36)+2)/3) &amp; "-" &amp; YEAR('MMR proficient'!AD36),"N/A")</f>
        <v>Q2-2021</v>
      </c>
      <c r="AD34" s="248">
        <v>73</v>
      </c>
      <c r="AE34" s="248" t="s">
        <v>435</v>
      </c>
      <c r="AF34" s="248" t="s">
        <v>402</v>
      </c>
      <c r="AG34" s="248" t="s">
        <v>403</v>
      </c>
      <c r="AH34" s="248" t="s">
        <v>404</v>
      </c>
      <c r="AI34" s="248">
        <v>0</v>
      </c>
      <c r="AJ34" s="248" t="s">
        <v>405</v>
      </c>
      <c r="AK34" s="248">
        <v>0</v>
      </c>
      <c r="AL34" s="248" t="s">
        <v>406</v>
      </c>
      <c r="AM34" s="248">
        <v>1</v>
      </c>
      <c r="AN34" s="252" t="s">
        <v>399</v>
      </c>
      <c r="AO34" s="161" t="s">
        <v>500</v>
      </c>
    </row>
    <row r="35" spans="1:41" ht="13" x14ac:dyDescent="0.3">
      <c r="A35" s="248" t="s">
        <v>577</v>
      </c>
      <c r="B35" s="248" t="s">
        <v>392</v>
      </c>
      <c r="C35" s="248" t="s">
        <v>501</v>
      </c>
      <c r="D35" s="248" t="s">
        <v>392</v>
      </c>
      <c r="E35" s="248" t="s">
        <v>502</v>
      </c>
      <c r="F35" s="248" t="s">
        <v>503</v>
      </c>
      <c r="G35" s="248" t="s">
        <v>399</v>
      </c>
      <c r="H35" s="251" t="str">
        <f>IFERROR("Q" &amp;INT((MONTH('MMR proficient'!H37)+2)/3) &amp; "-" &amp; YEAR('MMR proficient'!H37),"N/A")</f>
        <v>Q3-2021</v>
      </c>
      <c r="I35" s="248" t="s">
        <v>504</v>
      </c>
      <c r="J35" s="248" t="s">
        <v>398</v>
      </c>
      <c r="K35" s="248" t="s">
        <v>399</v>
      </c>
      <c r="L35" s="248" t="s">
        <v>399</v>
      </c>
      <c r="M35" s="248" t="s">
        <v>502</v>
      </c>
      <c r="N35" s="248" t="s">
        <v>505</v>
      </c>
      <c r="O35" s="248" t="s">
        <v>506</v>
      </c>
      <c r="P35" s="251" t="str">
        <f>IFERROR("Q" &amp;INT((MONTH('MMR proficient'!P37)+2)/3) &amp; "-" &amp; YEAR('MMR proficient'!P37),"N/A")</f>
        <v>Q3-2021</v>
      </c>
      <c r="Q35" s="248" t="s">
        <v>501</v>
      </c>
      <c r="R35" s="248" t="s">
        <v>399</v>
      </c>
      <c r="S35" s="248" t="s">
        <v>399</v>
      </c>
      <c r="T35" s="248" t="s">
        <v>399</v>
      </c>
      <c r="U35" s="248" t="s">
        <v>399</v>
      </c>
      <c r="V35" s="248" t="s">
        <v>399</v>
      </c>
      <c r="W35" s="248" t="s">
        <v>399</v>
      </c>
      <c r="X35" s="248" t="s">
        <v>399</v>
      </c>
      <c r="Y35" s="248" t="s">
        <v>399</v>
      </c>
      <c r="Z35" s="248" t="s">
        <v>399</v>
      </c>
      <c r="AA35" s="248" t="s">
        <v>399</v>
      </c>
      <c r="AB35" s="248" t="s">
        <v>400</v>
      </c>
      <c r="AC35" s="251" t="str">
        <f>IFERROR("Q" &amp;INT((MONTH('MMR proficient'!AD37)+2)/3) &amp; "-" &amp; YEAR('MMR proficient'!AD37),"N/A")</f>
        <v>Q1-2021</v>
      </c>
      <c r="AD35" s="248">
        <v>53</v>
      </c>
      <c r="AE35" s="248" t="s">
        <v>507</v>
      </c>
      <c r="AF35" s="248" t="s">
        <v>402</v>
      </c>
      <c r="AG35" s="248" t="s">
        <v>392</v>
      </c>
      <c r="AH35" s="248" t="s">
        <v>411</v>
      </c>
      <c r="AI35" s="248" t="s">
        <v>405</v>
      </c>
      <c r="AJ35" s="248" t="s">
        <v>405</v>
      </c>
      <c r="AK35" s="248">
        <v>0</v>
      </c>
      <c r="AL35" s="248" t="s">
        <v>412</v>
      </c>
      <c r="AM35" s="248">
        <v>2</v>
      </c>
      <c r="AN35" s="252" t="s">
        <v>399</v>
      </c>
      <c r="AO35" s="248" t="s">
        <v>399</v>
      </c>
    </row>
    <row r="36" spans="1:41" ht="13" x14ac:dyDescent="0.3">
      <c r="A36" s="248" t="s">
        <v>578</v>
      </c>
      <c r="B36" s="248" t="s">
        <v>392</v>
      </c>
      <c r="C36" s="248" t="s">
        <v>393</v>
      </c>
      <c r="D36" s="248" t="s">
        <v>392</v>
      </c>
      <c r="E36" s="248" t="s">
        <v>508</v>
      </c>
      <c r="F36" s="248" t="s">
        <v>425</v>
      </c>
      <c r="G36" s="248" t="s">
        <v>441</v>
      </c>
      <c r="H36" s="251" t="str">
        <f>IFERROR("Q" &amp;INT((MONTH('MMR proficient'!H38)+2)/3) &amp; "-" &amp; YEAR('MMR proficient'!H38),"N/A")</f>
        <v>Q4-2021</v>
      </c>
      <c r="I36" s="248" t="s">
        <v>509</v>
      </c>
      <c r="J36" s="248" t="s">
        <v>398</v>
      </c>
      <c r="K36" s="248" t="s">
        <v>399</v>
      </c>
      <c r="L36" s="248" t="s">
        <v>399</v>
      </c>
      <c r="M36" s="248" t="s">
        <v>399</v>
      </c>
      <c r="N36" s="248" t="s">
        <v>399</v>
      </c>
      <c r="O36" s="248" t="s">
        <v>399</v>
      </c>
      <c r="P36" s="251" t="str">
        <f>IFERROR("Q" &amp;INT((MONTH('MMR proficient'!P38)+2)/3) &amp; "-" &amp; YEAR('MMR proficient'!P38),"N/A")</f>
        <v>N/A</v>
      </c>
      <c r="Q36" s="248" t="s">
        <v>399</v>
      </c>
      <c r="R36" s="248" t="s">
        <v>399</v>
      </c>
      <c r="S36" s="248" t="s">
        <v>399</v>
      </c>
      <c r="T36" s="248" t="s">
        <v>399</v>
      </c>
      <c r="U36" s="248" t="s">
        <v>399</v>
      </c>
      <c r="V36" s="248" t="s">
        <v>399</v>
      </c>
      <c r="W36" s="248" t="s">
        <v>399</v>
      </c>
      <c r="X36" s="248" t="s">
        <v>399</v>
      </c>
      <c r="Y36" s="248" t="s">
        <v>399</v>
      </c>
      <c r="Z36" s="248" t="s">
        <v>399</v>
      </c>
      <c r="AA36" s="248" t="s">
        <v>399</v>
      </c>
      <c r="AB36" s="248" t="s">
        <v>400</v>
      </c>
      <c r="AC36" s="251" t="str">
        <f>IFERROR("Q" &amp;INT((MONTH('MMR proficient'!AD38)+2)/3) &amp; "-" &amp; YEAR('MMR proficient'!AD38),"N/A")</f>
        <v>Q3-2021</v>
      </c>
      <c r="AD36" s="248">
        <v>76</v>
      </c>
      <c r="AE36" s="248" t="s">
        <v>435</v>
      </c>
      <c r="AF36" s="248" t="s">
        <v>402</v>
      </c>
      <c r="AG36" s="248" t="s">
        <v>403</v>
      </c>
      <c r="AH36" s="248" t="s">
        <v>418</v>
      </c>
      <c r="AI36" s="248">
        <v>0</v>
      </c>
      <c r="AJ36" s="248" t="s">
        <v>405</v>
      </c>
      <c r="AK36" s="248">
        <v>0</v>
      </c>
      <c r="AL36" s="248" t="s">
        <v>419</v>
      </c>
      <c r="AM36" s="248">
        <v>2</v>
      </c>
      <c r="AN36" s="252" t="s">
        <v>399</v>
      </c>
      <c r="AO36" s="248" t="s">
        <v>399</v>
      </c>
    </row>
    <row r="37" spans="1:41" ht="13" x14ac:dyDescent="0.3">
      <c r="A37" s="248" t="s">
        <v>579</v>
      </c>
      <c r="B37" s="248" t="s">
        <v>392</v>
      </c>
      <c r="C37" s="248" t="s">
        <v>393</v>
      </c>
      <c r="D37" s="248" t="s">
        <v>392</v>
      </c>
      <c r="E37" s="248" t="s">
        <v>510</v>
      </c>
      <c r="F37" s="248" t="s">
        <v>511</v>
      </c>
      <c r="G37" s="248" t="s">
        <v>443</v>
      </c>
      <c r="H37" s="251" t="str">
        <f>IFERROR("Q" &amp;INT((MONTH('MMR proficient'!H39)+2)/3) &amp; "-" &amp; YEAR('MMR proficient'!H39),"N/A")</f>
        <v>Q4-2021</v>
      </c>
      <c r="I37" s="248" t="s">
        <v>512</v>
      </c>
      <c r="J37" s="248" t="s">
        <v>398</v>
      </c>
      <c r="K37" s="248" t="s">
        <v>399</v>
      </c>
      <c r="L37" s="248" t="s">
        <v>399</v>
      </c>
      <c r="M37" s="248" t="s">
        <v>399</v>
      </c>
      <c r="N37" s="248" t="s">
        <v>399</v>
      </c>
      <c r="O37" s="248" t="s">
        <v>399</v>
      </c>
      <c r="P37" s="251" t="str">
        <f>IFERROR("Q" &amp;INT((MONTH('MMR proficient'!P39)+2)/3) &amp; "-" &amp; YEAR('MMR proficient'!P39),"N/A")</f>
        <v>N/A</v>
      </c>
      <c r="Q37" s="248" t="s">
        <v>399</v>
      </c>
      <c r="R37" s="248" t="s">
        <v>399</v>
      </c>
      <c r="S37" s="248" t="s">
        <v>399</v>
      </c>
      <c r="T37" s="248" t="s">
        <v>399</v>
      </c>
      <c r="U37" s="248" t="s">
        <v>399</v>
      </c>
      <c r="V37" s="248" t="s">
        <v>399</v>
      </c>
      <c r="W37" s="248" t="s">
        <v>399</v>
      </c>
      <c r="X37" s="248" t="s">
        <v>399</v>
      </c>
      <c r="Y37" s="248" t="s">
        <v>399</v>
      </c>
      <c r="Z37" s="248" t="s">
        <v>399</v>
      </c>
      <c r="AA37" s="248" t="s">
        <v>399</v>
      </c>
      <c r="AB37" s="248" t="s">
        <v>400</v>
      </c>
      <c r="AC37" s="251" t="str">
        <f>IFERROR("Q" &amp;INT((MONTH('MMR proficient'!AD39)+2)/3) &amp; "-" &amp; YEAR('MMR proficient'!AD39),"N/A")</f>
        <v>Q3-2021</v>
      </c>
      <c r="AD37" s="248">
        <v>62</v>
      </c>
      <c r="AE37" s="248" t="s">
        <v>401</v>
      </c>
      <c r="AF37" s="248" t="s">
        <v>402</v>
      </c>
      <c r="AG37" s="248" t="s">
        <v>405</v>
      </c>
      <c r="AH37" s="248" t="s">
        <v>418</v>
      </c>
      <c r="AI37" s="248">
        <v>0</v>
      </c>
      <c r="AJ37" s="248" t="s">
        <v>405</v>
      </c>
      <c r="AK37" s="248">
        <v>0</v>
      </c>
      <c r="AL37" s="248" t="s">
        <v>419</v>
      </c>
      <c r="AM37" s="248">
        <v>1</v>
      </c>
      <c r="AN37" s="252" t="s">
        <v>399</v>
      </c>
      <c r="AO37" s="248" t="s">
        <v>399</v>
      </c>
    </row>
    <row r="38" spans="1:41" ht="13" x14ac:dyDescent="0.3">
      <c r="A38" s="248" t="s">
        <v>580</v>
      </c>
      <c r="B38" s="248" t="s">
        <v>392</v>
      </c>
      <c r="C38" s="248" t="s">
        <v>393</v>
      </c>
      <c r="D38" s="248" t="s">
        <v>392</v>
      </c>
      <c r="E38" s="248" t="s">
        <v>513</v>
      </c>
      <c r="F38" s="248" t="s">
        <v>432</v>
      </c>
      <c r="G38" s="248" t="s">
        <v>514</v>
      </c>
      <c r="H38" s="251" t="str">
        <f>IFERROR("Q" &amp;INT((MONTH('MMR proficient'!H40)+2)/3) &amp; "-" &amp; YEAR('MMR proficient'!H40),"N/A")</f>
        <v>Q4-2021</v>
      </c>
      <c r="I38" s="248" t="s">
        <v>515</v>
      </c>
      <c r="J38" s="248" t="s">
        <v>398</v>
      </c>
      <c r="K38" s="248" t="s">
        <v>399</v>
      </c>
      <c r="L38" s="248" t="s">
        <v>399</v>
      </c>
      <c r="M38" s="248" t="s">
        <v>399</v>
      </c>
      <c r="N38" s="248" t="s">
        <v>399</v>
      </c>
      <c r="O38" s="248" t="s">
        <v>399</v>
      </c>
      <c r="P38" s="251" t="str">
        <f>IFERROR("Q" &amp;INT((MONTH('MMR proficient'!P40)+2)/3) &amp; "-" &amp; YEAR('MMR proficient'!P40),"N/A")</f>
        <v>N/A</v>
      </c>
      <c r="Q38" s="248" t="s">
        <v>399</v>
      </c>
      <c r="R38" s="248" t="s">
        <v>399</v>
      </c>
      <c r="S38" s="248" t="s">
        <v>399</v>
      </c>
      <c r="T38" s="248" t="s">
        <v>399</v>
      </c>
      <c r="U38" s="248" t="s">
        <v>399</v>
      </c>
      <c r="V38" s="248" t="s">
        <v>399</v>
      </c>
      <c r="W38" s="248" t="s">
        <v>399</v>
      </c>
      <c r="X38" s="248" t="s">
        <v>399</v>
      </c>
      <c r="Y38" s="248" t="s">
        <v>399</v>
      </c>
      <c r="Z38" s="248" t="s">
        <v>399</v>
      </c>
      <c r="AA38" s="248" t="s">
        <v>399</v>
      </c>
      <c r="AB38" s="248" t="s">
        <v>400</v>
      </c>
      <c r="AC38" s="251" t="str">
        <f>IFERROR("Q" &amp;INT((MONTH('MMR proficient'!AD40)+2)/3) &amp; "-" &amp; YEAR('MMR proficient'!AD40),"N/A")</f>
        <v>Q3-2021</v>
      </c>
      <c r="AD38" s="248">
        <v>64</v>
      </c>
      <c r="AE38" s="248" t="s">
        <v>401</v>
      </c>
      <c r="AF38" s="248" t="s">
        <v>402</v>
      </c>
      <c r="AG38" s="248" t="s">
        <v>403</v>
      </c>
      <c r="AH38" s="248" t="s">
        <v>404</v>
      </c>
      <c r="AI38" s="248">
        <v>0</v>
      </c>
      <c r="AJ38" s="248" t="s">
        <v>405</v>
      </c>
      <c r="AK38" s="248">
        <v>0</v>
      </c>
      <c r="AL38" s="248" t="s">
        <v>406</v>
      </c>
      <c r="AM38" s="248">
        <v>2</v>
      </c>
      <c r="AN38" s="252" t="s">
        <v>399</v>
      </c>
      <c r="AO38" s="248" t="s">
        <v>399</v>
      </c>
    </row>
    <row r="39" spans="1:41" ht="13" x14ac:dyDescent="0.3">
      <c r="A39" s="248" t="s">
        <v>581</v>
      </c>
      <c r="B39" s="248" t="s">
        <v>392</v>
      </c>
      <c r="C39" s="248" t="s">
        <v>393</v>
      </c>
      <c r="D39" s="248" t="s">
        <v>392</v>
      </c>
      <c r="E39" s="248" t="s">
        <v>516</v>
      </c>
      <c r="F39" s="248" t="s">
        <v>517</v>
      </c>
      <c r="G39" s="248" t="s">
        <v>474</v>
      </c>
      <c r="H39" s="251" t="str">
        <f>IFERROR("Q" &amp;INT((MONTH('MMR proficient'!H41)+2)/3) &amp; "-" &amp; YEAR('MMR proficient'!H41),"N/A")</f>
        <v>Q1-2022</v>
      </c>
      <c r="I39" s="248" t="s">
        <v>518</v>
      </c>
      <c r="J39" s="248" t="s">
        <v>398</v>
      </c>
      <c r="K39" s="248" t="s">
        <v>399</v>
      </c>
      <c r="L39" s="248" t="s">
        <v>399</v>
      </c>
      <c r="M39" s="248" t="s">
        <v>399</v>
      </c>
      <c r="N39" s="248" t="s">
        <v>399</v>
      </c>
      <c r="O39" s="248" t="s">
        <v>399</v>
      </c>
      <c r="P39" s="251" t="str">
        <f>IFERROR("Q" &amp;INT((MONTH('MMR proficient'!P41)+2)/3) &amp; "-" &amp; YEAR('MMR proficient'!P41),"N/A")</f>
        <v>N/A</v>
      </c>
      <c r="Q39" s="248" t="s">
        <v>399</v>
      </c>
      <c r="R39" s="248" t="s">
        <v>399</v>
      </c>
      <c r="S39" s="248" t="s">
        <v>399</v>
      </c>
      <c r="T39" s="248" t="s">
        <v>399</v>
      </c>
      <c r="U39" s="248" t="s">
        <v>399</v>
      </c>
      <c r="V39" s="248" t="s">
        <v>399</v>
      </c>
      <c r="W39" s="248" t="s">
        <v>399</v>
      </c>
      <c r="X39" s="248" t="s">
        <v>399</v>
      </c>
      <c r="Y39" s="248" t="s">
        <v>399</v>
      </c>
      <c r="Z39" s="248" t="s">
        <v>399</v>
      </c>
      <c r="AA39" s="248" t="s">
        <v>399</v>
      </c>
      <c r="AB39" s="248" t="s">
        <v>400</v>
      </c>
      <c r="AC39" s="251" t="str">
        <f>IFERROR("Q" &amp;INT((MONTH('MMR proficient'!AD41)+2)/3) &amp; "-" &amp; YEAR('MMR proficient'!AD41),"N/A")</f>
        <v>Q4-2021</v>
      </c>
      <c r="AD39" s="248">
        <v>67</v>
      </c>
      <c r="AE39" s="248" t="s">
        <v>401</v>
      </c>
      <c r="AF39" s="248" t="s">
        <v>402</v>
      </c>
      <c r="AG39" s="248" t="s">
        <v>403</v>
      </c>
      <c r="AH39" s="248" t="s">
        <v>404</v>
      </c>
      <c r="AI39" s="248">
        <v>0</v>
      </c>
      <c r="AJ39" s="248" t="s">
        <v>405</v>
      </c>
      <c r="AK39" s="248">
        <v>0</v>
      </c>
      <c r="AL39" s="248" t="s">
        <v>406</v>
      </c>
      <c r="AM39" s="248">
        <v>3</v>
      </c>
      <c r="AN39" s="252" t="s">
        <v>399</v>
      </c>
      <c r="AO39" s="248" t="s">
        <v>399</v>
      </c>
    </row>
    <row r="40" spans="1:41" ht="13" x14ac:dyDescent="0.3">
      <c r="A40" s="248" t="s">
        <v>582</v>
      </c>
      <c r="B40" s="248" t="s">
        <v>392</v>
      </c>
      <c r="C40" s="248" t="s">
        <v>393</v>
      </c>
      <c r="D40" s="248" t="s">
        <v>392</v>
      </c>
      <c r="E40" s="248" t="s">
        <v>519</v>
      </c>
      <c r="F40" s="248" t="s">
        <v>474</v>
      </c>
      <c r="G40" s="248" t="s">
        <v>520</v>
      </c>
      <c r="H40" s="251" t="str">
        <f>IFERROR("Q" &amp;INT((MONTH('MMR proficient'!H42)+2)/3) &amp; "-" &amp; YEAR('MMR proficient'!H42),"N/A")</f>
        <v>Q1-2022</v>
      </c>
      <c r="I40" s="248" t="s">
        <v>521</v>
      </c>
      <c r="J40" s="248" t="s">
        <v>398</v>
      </c>
      <c r="K40" s="248" t="s">
        <v>399</v>
      </c>
      <c r="L40" s="248" t="s">
        <v>399</v>
      </c>
      <c r="M40" s="248" t="s">
        <v>399</v>
      </c>
      <c r="N40" s="248" t="s">
        <v>399</v>
      </c>
      <c r="O40" s="248" t="s">
        <v>399</v>
      </c>
      <c r="P40" s="251" t="str">
        <f>IFERROR("Q" &amp;INT((MONTH('MMR proficient'!P42)+2)/3) &amp; "-" &amp; YEAR('MMR proficient'!P42),"N/A")</f>
        <v>N/A</v>
      </c>
      <c r="Q40" s="248" t="s">
        <v>399</v>
      </c>
      <c r="R40" s="248" t="s">
        <v>399</v>
      </c>
      <c r="S40" s="248" t="s">
        <v>399</v>
      </c>
      <c r="T40" s="248" t="s">
        <v>399</v>
      </c>
      <c r="U40" s="248" t="s">
        <v>399</v>
      </c>
      <c r="V40" s="248" t="s">
        <v>399</v>
      </c>
      <c r="W40" s="248" t="s">
        <v>399</v>
      </c>
      <c r="X40" s="248" t="s">
        <v>399</v>
      </c>
      <c r="Y40" s="248" t="s">
        <v>399</v>
      </c>
      <c r="Z40" s="248" t="s">
        <v>399</v>
      </c>
      <c r="AA40" s="248" t="s">
        <v>399</v>
      </c>
      <c r="AB40" s="248" t="s">
        <v>400</v>
      </c>
      <c r="AC40" s="251" t="str">
        <f>IFERROR("Q" &amp;INT((MONTH('MMR proficient'!AD42)+2)/3) &amp; "-" &amp; YEAR('MMR proficient'!AD42),"N/A")</f>
        <v>Q1-2022</v>
      </c>
      <c r="AD40" s="248">
        <v>67</v>
      </c>
      <c r="AE40" s="248" t="s">
        <v>435</v>
      </c>
      <c r="AF40" s="248" t="s">
        <v>402</v>
      </c>
      <c r="AG40" s="248" t="s">
        <v>405</v>
      </c>
      <c r="AH40" s="248" t="s">
        <v>405</v>
      </c>
      <c r="AI40" s="248">
        <v>1</v>
      </c>
      <c r="AJ40" s="248" t="s">
        <v>405</v>
      </c>
      <c r="AK40" s="248">
        <v>0</v>
      </c>
      <c r="AL40" s="248" t="s">
        <v>399</v>
      </c>
      <c r="AM40" s="248">
        <v>2</v>
      </c>
      <c r="AN40" s="252" t="s">
        <v>399</v>
      </c>
      <c r="AO40" s="248" t="s">
        <v>399</v>
      </c>
    </row>
    <row r="41" spans="1:41" ht="13" x14ac:dyDescent="0.3">
      <c r="A41" s="248" t="s">
        <v>583</v>
      </c>
      <c r="B41" s="248" t="s">
        <v>392</v>
      </c>
      <c r="C41" s="248" t="s">
        <v>393</v>
      </c>
      <c r="D41" s="248" t="s">
        <v>392</v>
      </c>
      <c r="E41" s="248" t="s">
        <v>522</v>
      </c>
      <c r="F41" s="248" t="s">
        <v>416</v>
      </c>
      <c r="G41" s="248" t="s">
        <v>452</v>
      </c>
      <c r="H41" s="251" t="str">
        <f>IFERROR("Q" &amp;INT((MONTH('MMR proficient'!H43)+2)/3) &amp; "-" &amp; YEAR('MMR proficient'!H43),"N/A")</f>
        <v>Q1-2022</v>
      </c>
      <c r="I41" s="248" t="s">
        <v>515</v>
      </c>
      <c r="J41" s="248" t="s">
        <v>398</v>
      </c>
      <c r="K41" s="248" t="s">
        <v>399</v>
      </c>
      <c r="L41" s="248" t="s">
        <v>399</v>
      </c>
      <c r="M41" s="248" t="s">
        <v>399</v>
      </c>
      <c r="N41" s="248" t="s">
        <v>399</v>
      </c>
      <c r="O41" s="248" t="s">
        <v>399</v>
      </c>
      <c r="P41" s="251" t="str">
        <f>IFERROR("Q" &amp;INT((MONTH('MMR proficient'!P43)+2)/3) &amp; "-" &amp; YEAR('MMR proficient'!P43),"N/A")</f>
        <v>N/A</v>
      </c>
      <c r="Q41" s="248" t="s">
        <v>399</v>
      </c>
      <c r="R41" s="248" t="s">
        <v>399</v>
      </c>
      <c r="S41" s="248" t="s">
        <v>399</v>
      </c>
      <c r="T41" s="248" t="s">
        <v>399</v>
      </c>
      <c r="U41" s="248" t="s">
        <v>399</v>
      </c>
      <c r="V41" s="248" t="s">
        <v>399</v>
      </c>
      <c r="W41" s="248" t="s">
        <v>399</v>
      </c>
      <c r="X41" s="248" t="s">
        <v>399</v>
      </c>
      <c r="Y41" s="248" t="s">
        <v>399</v>
      </c>
      <c r="Z41" s="248" t="s">
        <v>399</v>
      </c>
      <c r="AA41" s="248" t="s">
        <v>399</v>
      </c>
      <c r="AB41" s="248" t="s">
        <v>400</v>
      </c>
      <c r="AC41" s="251" t="str">
        <f>IFERROR("Q" &amp;INT((MONTH('MMR proficient'!AD43)+2)/3) &amp; "-" &amp; YEAR('MMR proficient'!AD43),"N/A")</f>
        <v>Q1-2022</v>
      </c>
      <c r="AD41" s="248">
        <v>50</v>
      </c>
      <c r="AE41" s="248" t="s">
        <v>401</v>
      </c>
      <c r="AF41" s="248" t="s">
        <v>402</v>
      </c>
      <c r="AG41" s="248" t="s">
        <v>405</v>
      </c>
      <c r="AH41" s="248" t="s">
        <v>523</v>
      </c>
      <c r="AI41" s="248" t="s">
        <v>524</v>
      </c>
      <c r="AJ41" s="248" t="s">
        <v>405</v>
      </c>
      <c r="AK41" s="248">
        <v>0</v>
      </c>
      <c r="AL41" s="248" t="s">
        <v>406</v>
      </c>
      <c r="AM41" s="248">
        <v>1</v>
      </c>
      <c r="AN41" s="252" t="s">
        <v>399</v>
      </c>
      <c r="AO41" s="248" t="s">
        <v>399</v>
      </c>
    </row>
    <row r="42" spans="1:41" ht="13" x14ac:dyDescent="0.3">
      <c r="A42" s="248" t="s">
        <v>584</v>
      </c>
      <c r="B42" s="248" t="s">
        <v>392</v>
      </c>
      <c r="C42" s="248" t="s">
        <v>393</v>
      </c>
      <c r="D42" s="248" t="s">
        <v>392</v>
      </c>
      <c r="E42" s="248" t="s">
        <v>525</v>
      </c>
      <c r="F42" s="248" t="s">
        <v>416</v>
      </c>
      <c r="G42" s="248" t="s">
        <v>474</v>
      </c>
      <c r="H42" s="251" t="str">
        <f>IFERROR("Q" &amp;INT((MONTH('MMR proficient'!H44)+2)/3) &amp; "-" &amp; YEAR('MMR proficient'!H44),"N/A")</f>
        <v>Q2-2022</v>
      </c>
      <c r="I42" s="248" t="s">
        <v>526</v>
      </c>
      <c r="J42" s="248" t="s">
        <v>398</v>
      </c>
      <c r="K42" s="248" t="s">
        <v>399</v>
      </c>
      <c r="L42" s="248" t="s">
        <v>399</v>
      </c>
      <c r="M42" s="248" t="s">
        <v>399</v>
      </c>
      <c r="N42" s="248" t="s">
        <v>399</v>
      </c>
      <c r="O42" s="248" t="s">
        <v>399</v>
      </c>
      <c r="P42" s="251" t="str">
        <f>IFERROR("Q" &amp;INT((MONTH('MMR proficient'!P44)+2)/3) &amp; "-" &amp; YEAR('MMR proficient'!P44),"N/A")</f>
        <v>N/A</v>
      </c>
      <c r="Q42" s="248" t="s">
        <v>399</v>
      </c>
      <c r="R42" s="248" t="s">
        <v>399</v>
      </c>
      <c r="S42" s="248" t="s">
        <v>399</v>
      </c>
      <c r="T42" s="248" t="s">
        <v>399</v>
      </c>
      <c r="U42" s="248" t="s">
        <v>399</v>
      </c>
      <c r="V42" s="248" t="s">
        <v>399</v>
      </c>
      <c r="W42" s="248" t="s">
        <v>399</v>
      </c>
      <c r="X42" s="248" t="s">
        <v>399</v>
      </c>
      <c r="Y42" s="248" t="s">
        <v>399</v>
      </c>
      <c r="Z42" s="248" t="s">
        <v>399</v>
      </c>
      <c r="AA42" s="248" t="s">
        <v>399</v>
      </c>
      <c r="AB42" s="248" t="s">
        <v>400</v>
      </c>
      <c r="AC42" s="251" t="str">
        <f>IFERROR("Q" &amp;INT((MONTH('MMR proficient'!AD44)+2)/3) &amp; "-" &amp; YEAR('MMR proficient'!AD44),"N/A")</f>
        <v>Q1-2022</v>
      </c>
      <c r="AD42" s="248">
        <v>72</v>
      </c>
      <c r="AE42" s="248" t="s">
        <v>401</v>
      </c>
      <c r="AF42" s="248" t="s">
        <v>402</v>
      </c>
      <c r="AG42" s="248" t="s">
        <v>403</v>
      </c>
      <c r="AH42" s="248" t="s">
        <v>418</v>
      </c>
      <c r="AI42" s="248">
        <v>0</v>
      </c>
      <c r="AJ42" s="248" t="s">
        <v>405</v>
      </c>
      <c r="AK42" s="248">
        <v>0</v>
      </c>
      <c r="AL42" s="248" t="s">
        <v>419</v>
      </c>
      <c r="AM42" s="248">
        <v>3</v>
      </c>
      <c r="AN42" s="252" t="s">
        <v>399</v>
      </c>
      <c r="AO42" s="248" t="s">
        <v>399</v>
      </c>
    </row>
    <row r="43" spans="1:41" ht="13" x14ac:dyDescent="0.3">
      <c r="A43" s="248" t="s">
        <v>585</v>
      </c>
      <c r="B43" s="248" t="s">
        <v>392</v>
      </c>
      <c r="C43" s="248" t="s">
        <v>393</v>
      </c>
      <c r="D43" s="248" t="s">
        <v>392</v>
      </c>
      <c r="E43" s="248" t="s">
        <v>527</v>
      </c>
      <c r="F43" s="248" t="s">
        <v>409</v>
      </c>
      <c r="G43" s="248" t="s">
        <v>474</v>
      </c>
      <c r="H43" s="251" t="str">
        <f>IFERROR("Q" &amp;INT((MONTH('MMR proficient'!H45)+2)/3) &amp; "-" &amp; YEAR('MMR proficient'!H45),"N/A")</f>
        <v>Q3-2022</v>
      </c>
      <c r="I43" s="248" t="s">
        <v>528</v>
      </c>
      <c r="J43" s="248" t="s">
        <v>398</v>
      </c>
      <c r="K43" s="248" t="s">
        <v>399</v>
      </c>
      <c r="L43" s="248" t="s">
        <v>399</v>
      </c>
      <c r="M43" s="248" t="s">
        <v>399</v>
      </c>
      <c r="N43" s="248" t="s">
        <v>399</v>
      </c>
      <c r="O43" s="248" t="s">
        <v>399</v>
      </c>
      <c r="P43" s="251" t="str">
        <f>IFERROR("Q" &amp;INT((MONTH('MMR proficient'!P45)+2)/3) &amp; "-" &amp; YEAR('MMR proficient'!P45),"N/A")</f>
        <v>N/A</v>
      </c>
      <c r="Q43" s="248" t="s">
        <v>399</v>
      </c>
      <c r="R43" s="248" t="s">
        <v>399</v>
      </c>
      <c r="S43" s="248" t="s">
        <v>399</v>
      </c>
      <c r="T43" s="248" t="s">
        <v>399</v>
      </c>
      <c r="U43" s="248" t="s">
        <v>399</v>
      </c>
      <c r="V43" s="248" t="s">
        <v>399</v>
      </c>
      <c r="W43" s="248" t="s">
        <v>399</v>
      </c>
      <c r="X43" s="248" t="s">
        <v>399</v>
      </c>
      <c r="Y43" s="248" t="s">
        <v>399</v>
      </c>
      <c r="Z43" s="248" t="s">
        <v>399</v>
      </c>
      <c r="AA43" s="248" t="s">
        <v>399</v>
      </c>
      <c r="AB43" s="248" t="s">
        <v>400</v>
      </c>
      <c r="AC43" s="251" t="str">
        <f>IFERROR("Q" &amp;INT((MONTH('MMR proficient'!AD45)+2)/3) &amp; "-" &amp; YEAR('MMR proficient'!AD45),"N/A")</f>
        <v>Q2-2022</v>
      </c>
      <c r="AD43" s="248">
        <v>81</v>
      </c>
      <c r="AE43" s="248" t="s">
        <v>401</v>
      </c>
      <c r="AF43" s="248" t="s">
        <v>402</v>
      </c>
      <c r="AG43" s="248" t="s">
        <v>403</v>
      </c>
      <c r="AH43" s="248" t="s">
        <v>404</v>
      </c>
      <c r="AI43" s="248" t="s">
        <v>405</v>
      </c>
      <c r="AJ43" s="248" t="s">
        <v>405</v>
      </c>
      <c r="AK43" s="248">
        <v>0</v>
      </c>
      <c r="AL43" s="248" t="s">
        <v>406</v>
      </c>
      <c r="AM43" s="248">
        <v>1</v>
      </c>
      <c r="AN43" s="252" t="s">
        <v>399</v>
      </c>
      <c r="AO43" s="248" t="s">
        <v>399</v>
      </c>
    </row>
    <row r="44" spans="1:41" ht="13" x14ac:dyDescent="0.3">
      <c r="A44" s="248" t="s">
        <v>586</v>
      </c>
      <c r="B44" s="248" t="s">
        <v>392</v>
      </c>
      <c r="C44" s="248" t="s">
        <v>393</v>
      </c>
      <c r="D44" s="248" t="s">
        <v>392</v>
      </c>
      <c r="E44" s="248" t="s">
        <v>529</v>
      </c>
      <c r="F44" s="248" t="s">
        <v>443</v>
      </c>
      <c r="G44" s="248" t="s">
        <v>399</v>
      </c>
      <c r="H44" s="251" t="str">
        <f>IFERROR("Q" &amp;INT((MONTH('MMR proficient'!H46)+2)/3) &amp; "-" &amp; YEAR('MMR proficient'!H46),"N/A")</f>
        <v>Q3-2022</v>
      </c>
      <c r="I44" s="248" t="s">
        <v>530</v>
      </c>
      <c r="J44" s="248" t="s">
        <v>398</v>
      </c>
      <c r="K44" s="248" t="s">
        <v>399</v>
      </c>
      <c r="L44" s="248" t="s">
        <v>399</v>
      </c>
      <c r="M44" s="248" t="s">
        <v>399</v>
      </c>
      <c r="N44" s="248" t="s">
        <v>399</v>
      </c>
      <c r="O44" s="248" t="s">
        <v>399</v>
      </c>
      <c r="P44" s="251" t="str">
        <f>IFERROR("Q" &amp;INT((MONTH('MMR proficient'!P46)+2)/3) &amp; "-" &amp; YEAR('MMR proficient'!P46),"N/A")</f>
        <v>N/A</v>
      </c>
      <c r="Q44" s="248" t="s">
        <v>399</v>
      </c>
      <c r="R44" s="248" t="s">
        <v>399</v>
      </c>
      <c r="S44" s="248" t="s">
        <v>399</v>
      </c>
      <c r="T44" s="248" t="s">
        <v>399</v>
      </c>
      <c r="U44" s="248" t="s">
        <v>399</v>
      </c>
      <c r="V44" s="248" t="s">
        <v>399</v>
      </c>
      <c r="W44" s="248" t="s">
        <v>399</v>
      </c>
      <c r="X44" s="248" t="s">
        <v>399</v>
      </c>
      <c r="Y44" s="248" t="s">
        <v>399</v>
      </c>
      <c r="Z44" s="248" t="s">
        <v>399</v>
      </c>
      <c r="AA44" s="248" t="s">
        <v>399</v>
      </c>
      <c r="AB44" s="248" t="s">
        <v>400</v>
      </c>
      <c r="AC44" s="251" t="str">
        <f>IFERROR("Q" &amp;INT((MONTH('MMR proficient'!AD46)+2)/3) &amp; "-" &amp; YEAR('MMR proficient'!AD46),"N/A")</f>
        <v>Q3-2022</v>
      </c>
      <c r="AD44" s="248">
        <v>62</v>
      </c>
      <c r="AE44" s="248" t="s">
        <v>401</v>
      </c>
      <c r="AF44" s="248" t="s">
        <v>402</v>
      </c>
      <c r="AG44" s="248" t="s">
        <v>403</v>
      </c>
      <c r="AH44" s="248" t="s">
        <v>418</v>
      </c>
      <c r="AI44" s="248" t="s">
        <v>405</v>
      </c>
      <c r="AJ44" s="248" t="s">
        <v>405</v>
      </c>
      <c r="AK44" s="248">
        <v>0</v>
      </c>
      <c r="AL44" s="248" t="s">
        <v>419</v>
      </c>
      <c r="AM44" s="248">
        <v>2</v>
      </c>
      <c r="AN44" s="252" t="s">
        <v>399</v>
      </c>
      <c r="AO44" s="248" t="s">
        <v>399</v>
      </c>
    </row>
    <row r="45" spans="1:41" ht="13" x14ac:dyDescent="0.3">
      <c r="A45" s="248" t="s">
        <v>587</v>
      </c>
      <c r="B45" s="248" t="s">
        <v>392</v>
      </c>
      <c r="C45" s="248" t="s">
        <v>393</v>
      </c>
      <c r="D45" s="248" t="s">
        <v>392</v>
      </c>
      <c r="E45" s="248" t="s">
        <v>531</v>
      </c>
      <c r="F45" s="248" t="s">
        <v>425</v>
      </c>
      <c r="G45" s="248" t="s">
        <v>426</v>
      </c>
      <c r="H45" s="251" t="str">
        <f>IFERROR("Q" &amp;INT((MONTH('MMR proficient'!H47)+2)/3) &amp; "-" &amp; YEAR('MMR proficient'!H47),"N/A")</f>
        <v>Q4-2022</v>
      </c>
      <c r="I45" s="248" t="s">
        <v>532</v>
      </c>
      <c r="J45" s="248" t="s">
        <v>398</v>
      </c>
      <c r="K45" s="248" t="s">
        <v>399</v>
      </c>
      <c r="L45" s="248" t="s">
        <v>399</v>
      </c>
      <c r="M45" s="248" t="s">
        <v>399</v>
      </c>
      <c r="N45" s="248" t="s">
        <v>399</v>
      </c>
      <c r="O45" s="248" t="s">
        <v>399</v>
      </c>
      <c r="P45" s="251" t="str">
        <f>IFERROR("Q" &amp;INT((MONTH('MMR proficient'!P47)+2)/3) &amp; "-" &amp; YEAR('MMR proficient'!P47),"N/A")</f>
        <v>N/A</v>
      </c>
      <c r="Q45" s="248" t="s">
        <v>399</v>
      </c>
      <c r="R45" s="248" t="s">
        <v>399</v>
      </c>
      <c r="S45" s="248" t="s">
        <v>399</v>
      </c>
      <c r="T45" s="248" t="s">
        <v>399</v>
      </c>
      <c r="U45" s="248" t="s">
        <v>399</v>
      </c>
      <c r="V45" s="248" t="s">
        <v>399</v>
      </c>
      <c r="W45" s="248" t="s">
        <v>399</v>
      </c>
      <c r="X45" s="248" t="s">
        <v>399</v>
      </c>
      <c r="Y45" s="248" t="s">
        <v>399</v>
      </c>
      <c r="Z45" s="248" t="s">
        <v>399</v>
      </c>
      <c r="AA45" s="248" t="s">
        <v>399</v>
      </c>
      <c r="AB45" s="248" t="s">
        <v>400</v>
      </c>
      <c r="AC45" s="251" t="str">
        <f>IFERROR("Q" &amp;INT((MONTH('MMR proficient'!AD47)+2)/3) &amp; "-" &amp; YEAR('MMR proficient'!AD47),"N/A")</f>
        <v>Q2-2022</v>
      </c>
      <c r="AD45" s="248">
        <v>41</v>
      </c>
      <c r="AE45" s="248" t="s">
        <v>401</v>
      </c>
      <c r="AF45" s="248" t="s">
        <v>402</v>
      </c>
      <c r="AG45" s="248" t="s">
        <v>403</v>
      </c>
      <c r="AH45" s="248" t="s">
        <v>523</v>
      </c>
      <c r="AI45" s="248" t="s">
        <v>524</v>
      </c>
      <c r="AJ45" s="248" t="s">
        <v>405</v>
      </c>
      <c r="AK45" s="248">
        <v>0</v>
      </c>
      <c r="AL45" s="248" t="s">
        <v>406</v>
      </c>
      <c r="AM45" s="248">
        <v>1</v>
      </c>
      <c r="AN45" s="252" t="s">
        <v>399</v>
      </c>
      <c r="AO45" s="161" t="s">
        <v>533</v>
      </c>
    </row>
    <row r="46" spans="1:41" ht="13" x14ac:dyDescent="0.3">
      <c r="A46" s="248" t="s">
        <v>588</v>
      </c>
      <c r="B46" s="248" t="s">
        <v>392</v>
      </c>
      <c r="C46" s="248" t="s">
        <v>393</v>
      </c>
      <c r="D46" s="248" t="s">
        <v>392</v>
      </c>
      <c r="E46" s="248" t="s">
        <v>534</v>
      </c>
      <c r="F46" s="248" t="s">
        <v>441</v>
      </c>
      <c r="G46" s="248" t="s">
        <v>535</v>
      </c>
      <c r="H46" s="251" t="str">
        <f>IFERROR("Q" &amp;INT((MONTH('MMR proficient'!H48)+2)/3) &amp; "-" &amp; YEAR('MMR proficient'!H48),"N/A")</f>
        <v>Q4-2022</v>
      </c>
      <c r="I46" s="248" t="s">
        <v>536</v>
      </c>
      <c r="J46" s="248" t="s">
        <v>398</v>
      </c>
      <c r="K46" s="248" t="s">
        <v>399</v>
      </c>
      <c r="L46" s="248" t="s">
        <v>399</v>
      </c>
      <c r="M46" s="248" t="s">
        <v>399</v>
      </c>
      <c r="N46" s="248" t="s">
        <v>399</v>
      </c>
      <c r="O46" s="248" t="s">
        <v>399</v>
      </c>
      <c r="P46" s="251" t="str">
        <f>IFERROR("Q" &amp;INT((MONTH('MMR proficient'!P48)+2)/3) &amp; "-" &amp; YEAR('MMR proficient'!P48),"N/A")</f>
        <v>N/A</v>
      </c>
      <c r="Q46" s="248" t="s">
        <v>399</v>
      </c>
      <c r="R46" s="248" t="s">
        <v>399</v>
      </c>
      <c r="S46" s="248" t="s">
        <v>399</v>
      </c>
      <c r="T46" s="248" t="s">
        <v>399</v>
      </c>
      <c r="U46" s="248" t="s">
        <v>399</v>
      </c>
      <c r="V46" s="248" t="s">
        <v>399</v>
      </c>
      <c r="W46" s="248" t="s">
        <v>399</v>
      </c>
      <c r="X46" s="248" t="s">
        <v>399</v>
      </c>
      <c r="Y46" s="248" t="s">
        <v>399</v>
      </c>
      <c r="Z46" s="248" t="s">
        <v>399</v>
      </c>
      <c r="AA46" s="248" t="s">
        <v>399</v>
      </c>
      <c r="AB46" s="248" t="s">
        <v>400</v>
      </c>
      <c r="AC46" s="251" t="str">
        <f>IFERROR("Q" &amp;INT((MONTH('MMR proficient'!AD48)+2)/3) &amp; "-" &amp; YEAR('MMR proficient'!AD48),"N/A")</f>
        <v>Q3-2022</v>
      </c>
      <c r="AD46" s="248">
        <v>79</v>
      </c>
      <c r="AE46" s="248" t="s">
        <v>401</v>
      </c>
      <c r="AF46" s="248" t="s">
        <v>402</v>
      </c>
      <c r="AG46" s="248" t="s">
        <v>403</v>
      </c>
      <c r="AH46" s="248" t="s">
        <v>404</v>
      </c>
      <c r="AI46" s="248" t="s">
        <v>405</v>
      </c>
      <c r="AJ46" s="248" t="s">
        <v>405</v>
      </c>
      <c r="AK46" s="248">
        <v>0</v>
      </c>
      <c r="AL46" s="248" t="s">
        <v>406</v>
      </c>
      <c r="AM46" s="248">
        <v>1</v>
      </c>
      <c r="AN46" s="252" t="s">
        <v>399</v>
      </c>
      <c r="AO46" s="248" t="s">
        <v>399</v>
      </c>
    </row>
    <row r="47" spans="1:41" ht="13" x14ac:dyDescent="0.3">
      <c r="A47" s="248" t="s">
        <v>589</v>
      </c>
      <c r="B47" s="248" t="s">
        <v>392</v>
      </c>
      <c r="C47" s="248" t="s">
        <v>393</v>
      </c>
      <c r="D47" s="248" t="s">
        <v>392</v>
      </c>
      <c r="E47" s="248" t="s">
        <v>537</v>
      </c>
      <c r="F47" s="248" t="s">
        <v>538</v>
      </c>
      <c r="G47" s="248" t="s">
        <v>539</v>
      </c>
      <c r="H47" s="251" t="str">
        <f>IFERROR("Q" &amp;INT((MONTH('MMR proficient'!H49)+2)/3) &amp; "-" &amp; YEAR('MMR proficient'!H49),"N/A")</f>
        <v>Q4-2022</v>
      </c>
      <c r="I47" s="248" t="s">
        <v>540</v>
      </c>
      <c r="J47" s="248" t="s">
        <v>541</v>
      </c>
      <c r="K47" s="248" t="s">
        <v>399</v>
      </c>
      <c r="L47" s="248" t="s">
        <v>399</v>
      </c>
      <c r="M47" s="248" t="s">
        <v>399</v>
      </c>
      <c r="N47" s="248" t="s">
        <v>399</v>
      </c>
      <c r="O47" s="248" t="s">
        <v>399</v>
      </c>
      <c r="P47" s="251" t="str">
        <f>IFERROR("Q" &amp;INT((MONTH('MMR proficient'!P49)+2)/3) &amp; "-" &amp; YEAR('MMR proficient'!P49),"N/A")</f>
        <v>N/A</v>
      </c>
      <c r="Q47" s="248" t="s">
        <v>399</v>
      </c>
      <c r="R47" s="248" t="s">
        <v>399</v>
      </c>
      <c r="S47" s="248" t="s">
        <v>399</v>
      </c>
      <c r="T47" s="248" t="s">
        <v>399</v>
      </c>
      <c r="U47" s="248" t="s">
        <v>399</v>
      </c>
      <c r="V47" s="248" t="s">
        <v>399</v>
      </c>
      <c r="W47" s="248" t="s">
        <v>399</v>
      </c>
      <c r="X47" s="248" t="s">
        <v>399</v>
      </c>
      <c r="Y47" s="248" t="s">
        <v>399</v>
      </c>
      <c r="Z47" s="248" t="s">
        <v>399</v>
      </c>
      <c r="AA47" s="248" t="s">
        <v>399</v>
      </c>
      <c r="AB47" s="248" t="s">
        <v>400</v>
      </c>
      <c r="AC47" s="251" t="str">
        <f>IFERROR("Q" &amp;INT((MONTH('MMR proficient'!AD49)+2)/3) &amp; "-" &amp; YEAR('MMR proficient'!AD49),"N/A")</f>
        <v>Q3-2022</v>
      </c>
      <c r="AD47" s="248">
        <v>48</v>
      </c>
      <c r="AE47" s="248" t="s">
        <v>401</v>
      </c>
      <c r="AF47" s="248" t="s">
        <v>402</v>
      </c>
      <c r="AG47" s="248" t="s">
        <v>403</v>
      </c>
      <c r="AH47" s="248" t="s">
        <v>405</v>
      </c>
      <c r="AI47" s="248">
        <v>2</v>
      </c>
      <c r="AJ47" s="248" t="s">
        <v>405</v>
      </c>
      <c r="AK47" s="248">
        <v>0</v>
      </c>
      <c r="AL47" s="248" t="s">
        <v>542</v>
      </c>
      <c r="AM47" s="248">
        <v>2</v>
      </c>
      <c r="AN47" s="252" t="s">
        <v>399</v>
      </c>
      <c r="AO47" s="248" t="s">
        <v>399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0E0B6-5722-4907-B261-D00626023332}">
  <sheetPr codeName="Sheet3"/>
  <dimension ref="A1:K47"/>
  <sheetViews>
    <sheetView workbookViewId="0">
      <pane xSplit="3" ySplit="1" topLeftCell="D4" activePane="bottomRight" state="frozen"/>
      <selection pane="topRight"/>
      <selection pane="bottomLeft"/>
      <selection pane="bottomRight" sqref="A1:K47"/>
    </sheetView>
  </sheetViews>
  <sheetFormatPr defaultRowHeight="12.5" x14ac:dyDescent="0.25"/>
  <cols>
    <col min="1" max="1" width="12.453125" customWidth="1"/>
    <col min="2" max="2" width="9.7265625" customWidth="1"/>
    <col min="3" max="3" width="28.81640625" customWidth="1"/>
    <col min="4" max="4" width="40.54296875" customWidth="1"/>
    <col min="5" max="5" width="21.26953125" customWidth="1"/>
    <col min="6" max="6" width="26.90625" customWidth="1"/>
    <col min="7" max="7" width="28.453125" customWidth="1"/>
    <col min="8" max="8" width="27.36328125" customWidth="1"/>
    <col min="9" max="9" width="27.54296875" customWidth="1"/>
    <col min="10" max="10" width="27.6328125" customWidth="1"/>
    <col min="11" max="11" width="12.36328125" customWidth="1"/>
  </cols>
  <sheetData>
    <row r="1" spans="1:11" ht="55.5" customHeight="1" x14ac:dyDescent="0.25">
      <c r="A1" s="99" t="s">
        <v>2</v>
      </c>
      <c r="B1" s="82" t="s">
        <v>543</v>
      </c>
      <c r="C1" s="99" t="s">
        <v>6</v>
      </c>
      <c r="D1" s="99" t="s">
        <v>590</v>
      </c>
      <c r="E1" s="99" t="s">
        <v>591</v>
      </c>
      <c r="F1" s="99" t="s">
        <v>592</v>
      </c>
      <c r="G1" s="99" t="s">
        <v>593</v>
      </c>
      <c r="H1" s="99" t="s">
        <v>594</v>
      </c>
      <c r="I1" s="99" t="s">
        <v>595</v>
      </c>
      <c r="J1" s="107" t="s">
        <v>596</v>
      </c>
      <c r="K1" s="269" t="s">
        <v>597</v>
      </c>
    </row>
    <row r="2" spans="1:11" ht="13" x14ac:dyDescent="0.3">
      <c r="A2" s="165">
        <v>4849515096</v>
      </c>
      <c r="B2" s="161" t="s">
        <v>544</v>
      </c>
      <c r="C2" s="162" t="s">
        <v>394</v>
      </c>
      <c r="D2" s="163" t="s">
        <v>399</v>
      </c>
      <c r="E2" s="163" t="s">
        <v>405</v>
      </c>
      <c r="F2" s="163" t="s">
        <v>598</v>
      </c>
      <c r="G2" s="163" t="s">
        <v>599</v>
      </c>
      <c r="H2" s="163" t="s">
        <v>599</v>
      </c>
      <c r="I2" s="163" t="s">
        <v>599</v>
      </c>
      <c r="J2" s="254" t="s">
        <v>599</v>
      </c>
      <c r="K2" s="205" t="s">
        <v>600</v>
      </c>
    </row>
    <row r="3" spans="1:11" ht="13" x14ac:dyDescent="0.3">
      <c r="A3" s="168">
        <v>4760475672</v>
      </c>
      <c r="B3" s="161" t="s">
        <v>545</v>
      </c>
      <c r="C3" s="162" t="s">
        <v>407</v>
      </c>
      <c r="D3" s="163" t="s">
        <v>399</v>
      </c>
      <c r="E3" s="163" t="s">
        <v>405</v>
      </c>
      <c r="F3" s="163" t="s">
        <v>598</v>
      </c>
      <c r="G3" s="163" t="s">
        <v>599</v>
      </c>
      <c r="H3" s="163" t="s">
        <v>599</v>
      </c>
      <c r="I3" s="163" t="s">
        <v>599</v>
      </c>
      <c r="J3" s="254" t="s">
        <v>599</v>
      </c>
      <c r="K3" s="205" t="s">
        <v>601</v>
      </c>
    </row>
    <row r="4" spans="1:11" ht="13" x14ac:dyDescent="0.3">
      <c r="A4" s="168">
        <v>4363568348</v>
      </c>
      <c r="B4" s="161" t="s">
        <v>546</v>
      </c>
      <c r="C4" s="162" t="s">
        <v>414</v>
      </c>
      <c r="D4" s="163" t="s">
        <v>399</v>
      </c>
      <c r="E4" s="163" t="s">
        <v>405</v>
      </c>
      <c r="F4" s="163" t="s">
        <v>598</v>
      </c>
      <c r="G4" s="163" t="s">
        <v>599</v>
      </c>
      <c r="H4" s="163" t="s">
        <v>599</v>
      </c>
      <c r="I4" s="163" t="s">
        <v>599</v>
      </c>
      <c r="J4" s="254" t="s">
        <v>599</v>
      </c>
      <c r="K4" s="205" t="s">
        <v>602</v>
      </c>
    </row>
    <row r="5" spans="1:11" ht="13" x14ac:dyDescent="0.3">
      <c r="A5" s="168">
        <v>4862097049</v>
      </c>
      <c r="B5" s="161" t="s">
        <v>547</v>
      </c>
      <c r="C5" s="162" t="s">
        <v>420</v>
      </c>
      <c r="D5" s="163" t="s">
        <v>399</v>
      </c>
      <c r="E5" s="163" t="s">
        <v>405</v>
      </c>
      <c r="F5" s="163" t="s">
        <v>598</v>
      </c>
      <c r="G5" s="163" t="s">
        <v>599</v>
      </c>
      <c r="H5" s="163" t="s">
        <v>599</v>
      </c>
      <c r="I5" s="163" t="s">
        <v>599</v>
      </c>
      <c r="J5" s="254" t="s">
        <v>599</v>
      </c>
      <c r="K5" s="205" t="s">
        <v>603</v>
      </c>
    </row>
    <row r="6" spans="1:11" ht="13" x14ac:dyDescent="0.3">
      <c r="A6" s="168">
        <v>4124075219</v>
      </c>
      <c r="B6" s="161" t="s">
        <v>548</v>
      </c>
      <c r="C6" s="162" t="s">
        <v>424</v>
      </c>
      <c r="D6" s="163" t="s">
        <v>399</v>
      </c>
      <c r="E6" s="163" t="s">
        <v>405</v>
      </c>
      <c r="F6" s="163" t="s">
        <v>598</v>
      </c>
      <c r="G6" s="163" t="s">
        <v>599</v>
      </c>
      <c r="H6" s="163" t="s">
        <v>599</v>
      </c>
      <c r="I6" s="163" t="s">
        <v>599</v>
      </c>
      <c r="J6" s="254" t="s">
        <v>599</v>
      </c>
      <c r="K6" s="205" t="s">
        <v>600</v>
      </c>
    </row>
    <row r="7" spans="1:11" ht="13" x14ac:dyDescent="0.3">
      <c r="A7" s="148">
        <v>4120037274</v>
      </c>
      <c r="B7" s="161" t="s">
        <v>549</v>
      </c>
      <c r="C7" s="162" t="s">
        <v>428</v>
      </c>
      <c r="D7" s="163" t="s">
        <v>399</v>
      </c>
      <c r="E7" s="163" t="s">
        <v>405</v>
      </c>
      <c r="F7" s="163" t="s">
        <v>598</v>
      </c>
      <c r="G7" s="163" t="s">
        <v>599</v>
      </c>
      <c r="H7" s="163" t="s">
        <v>599</v>
      </c>
      <c r="I7" s="163" t="s">
        <v>599</v>
      </c>
      <c r="J7" s="254" t="s">
        <v>599</v>
      </c>
      <c r="K7" s="205" t="s">
        <v>602</v>
      </c>
    </row>
    <row r="8" spans="1:11" ht="13" x14ac:dyDescent="0.3">
      <c r="A8" s="90">
        <v>4582887899</v>
      </c>
      <c r="B8" s="161" t="s">
        <v>550</v>
      </c>
      <c r="C8" s="162" t="s">
        <v>431</v>
      </c>
      <c r="D8" s="163" t="s">
        <v>399</v>
      </c>
      <c r="E8" s="163" t="s">
        <v>405</v>
      </c>
      <c r="F8" s="163" t="s">
        <v>598</v>
      </c>
      <c r="G8" s="163" t="s">
        <v>599</v>
      </c>
      <c r="H8" s="163" t="s">
        <v>599</v>
      </c>
      <c r="I8" s="163" t="s">
        <v>599</v>
      </c>
      <c r="J8" s="254" t="s">
        <v>599</v>
      </c>
      <c r="K8" s="270" t="s">
        <v>604</v>
      </c>
    </row>
    <row r="9" spans="1:11" ht="13" x14ac:dyDescent="0.3">
      <c r="A9" s="98">
        <v>4862084389</v>
      </c>
      <c r="B9" s="161" t="s">
        <v>551</v>
      </c>
      <c r="C9" s="162" t="s">
        <v>436</v>
      </c>
      <c r="D9" s="163" t="s">
        <v>399</v>
      </c>
      <c r="E9" s="163" t="s">
        <v>405</v>
      </c>
      <c r="F9" s="163" t="s">
        <v>598</v>
      </c>
      <c r="G9" s="163" t="s">
        <v>599</v>
      </c>
      <c r="H9" s="163" t="s">
        <v>599</v>
      </c>
      <c r="I9" s="163" t="s">
        <v>599</v>
      </c>
      <c r="J9" s="254" t="s">
        <v>599</v>
      </c>
      <c r="K9" s="205" t="s">
        <v>602</v>
      </c>
    </row>
    <row r="10" spans="1:11" ht="13" x14ac:dyDescent="0.3">
      <c r="A10" s="98">
        <v>4505997235</v>
      </c>
      <c r="B10" s="161" t="s">
        <v>552</v>
      </c>
      <c r="C10" s="162" t="s">
        <v>440</v>
      </c>
      <c r="D10" s="163" t="s">
        <v>399</v>
      </c>
      <c r="E10" s="163" t="s">
        <v>405</v>
      </c>
      <c r="F10" s="163" t="s">
        <v>598</v>
      </c>
      <c r="G10" s="163" t="s">
        <v>599</v>
      </c>
      <c r="H10" s="163" t="s">
        <v>599</v>
      </c>
      <c r="I10" s="163" t="s">
        <v>599</v>
      </c>
      <c r="J10" s="254" t="s">
        <v>599</v>
      </c>
      <c r="K10" s="205" t="s">
        <v>600</v>
      </c>
    </row>
    <row r="11" spans="1:11" ht="13" x14ac:dyDescent="0.3">
      <c r="A11" s="98">
        <v>4800798418</v>
      </c>
      <c r="B11" s="161" t="s">
        <v>553</v>
      </c>
      <c r="C11" s="162" t="s">
        <v>442</v>
      </c>
      <c r="D11" s="163" t="s">
        <v>399</v>
      </c>
      <c r="E11" s="163" t="s">
        <v>405</v>
      </c>
      <c r="F11" s="163" t="s">
        <v>598</v>
      </c>
      <c r="G11" s="163" t="s">
        <v>599</v>
      </c>
      <c r="H11" s="163" t="s">
        <v>599</v>
      </c>
      <c r="I11" s="163" t="s">
        <v>599</v>
      </c>
      <c r="J11" s="254" t="s">
        <v>599</v>
      </c>
      <c r="K11" s="182" t="s">
        <v>605</v>
      </c>
    </row>
    <row r="12" spans="1:11" ht="13" x14ac:dyDescent="0.3">
      <c r="A12" s="98">
        <v>4860443551</v>
      </c>
      <c r="B12" s="161" t="s">
        <v>554</v>
      </c>
      <c r="C12" s="162" t="s">
        <v>448</v>
      </c>
      <c r="D12" s="163" t="s">
        <v>399</v>
      </c>
      <c r="E12" s="163" t="s">
        <v>405</v>
      </c>
      <c r="F12" s="163" t="s">
        <v>598</v>
      </c>
      <c r="G12" s="163" t="s">
        <v>599</v>
      </c>
      <c r="H12" s="163" t="s">
        <v>599</v>
      </c>
      <c r="I12" s="163" t="s">
        <v>599</v>
      </c>
      <c r="J12" s="254" t="s">
        <v>599</v>
      </c>
      <c r="K12" s="205" t="s">
        <v>602</v>
      </c>
    </row>
    <row r="13" spans="1:11" ht="13" x14ac:dyDescent="0.3">
      <c r="A13" s="98">
        <v>6163514831</v>
      </c>
      <c r="B13" s="161" t="s">
        <v>555</v>
      </c>
      <c r="C13" s="162" t="s">
        <v>451</v>
      </c>
      <c r="D13" s="163" t="s">
        <v>399</v>
      </c>
      <c r="E13" s="163" t="s">
        <v>405</v>
      </c>
      <c r="F13" s="163" t="s">
        <v>598</v>
      </c>
      <c r="G13" s="163" t="s">
        <v>599</v>
      </c>
      <c r="H13" s="163" t="s">
        <v>599</v>
      </c>
      <c r="I13" s="163" t="s">
        <v>599</v>
      </c>
      <c r="J13" s="254" t="s">
        <v>599</v>
      </c>
      <c r="K13" s="270" t="s">
        <v>603</v>
      </c>
    </row>
    <row r="14" spans="1:11" ht="13" x14ac:dyDescent="0.3">
      <c r="A14" s="98">
        <v>4807687875</v>
      </c>
      <c r="B14" s="161" t="s">
        <v>556</v>
      </c>
      <c r="C14" s="162" t="s">
        <v>454</v>
      </c>
      <c r="D14" s="163" t="s">
        <v>399</v>
      </c>
      <c r="E14" s="163" t="s">
        <v>405</v>
      </c>
      <c r="F14" s="163" t="s">
        <v>598</v>
      </c>
      <c r="G14" s="163" t="s">
        <v>599</v>
      </c>
      <c r="H14" s="163" t="s">
        <v>599</v>
      </c>
      <c r="I14" s="163" t="s">
        <v>599</v>
      </c>
      <c r="J14" s="254" t="s">
        <v>599</v>
      </c>
      <c r="K14" s="205" t="s">
        <v>600</v>
      </c>
    </row>
    <row r="15" spans="1:11" ht="13" x14ac:dyDescent="0.3">
      <c r="A15" s="98">
        <v>4109356563</v>
      </c>
      <c r="B15" s="161" t="s">
        <v>557</v>
      </c>
      <c r="C15" s="162" t="s">
        <v>456</v>
      </c>
      <c r="D15" s="163" t="s">
        <v>399</v>
      </c>
      <c r="E15" s="163" t="s">
        <v>497</v>
      </c>
      <c r="F15" s="163" t="s">
        <v>598</v>
      </c>
      <c r="G15" s="163" t="s">
        <v>599</v>
      </c>
      <c r="H15" s="163" t="s">
        <v>599</v>
      </c>
      <c r="I15" s="163" t="s">
        <v>599</v>
      </c>
      <c r="J15" s="254" t="s">
        <v>599</v>
      </c>
      <c r="K15" s="182" t="s">
        <v>606</v>
      </c>
    </row>
    <row r="16" spans="1:11" ht="13" x14ac:dyDescent="0.3">
      <c r="A16" s="98">
        <v>6289334077</v>
      </c>
      <c r="B16" s="161" t="s">
        <v>558</v>
      </c>
      <c r="C16" s="162" t="s">
        <v>458</v>
      </c>
      <c r="D16" s="163" t="s">
        <v>399</v>
      </c>
      <c r="E16" s="171">
        <v>18</v>
      </c>
      <c r="F16" s="163" t="s">
        <v>598</v>
      </c>
      <c r="G16" s="163" t="s">
        <v>599</v>
      </c>
      <c r="H16" s="163" t="s">
        <v>599</v>
      </c>
      <c r="I16" s="163" t="s">
        <v>599</v>
      </c>
      <c r="J16" s="254" t="s">
        <v>599</v>
      </c>
      <c r="K16" s="205" t="s">
        <v>600</v>
      </c>
    </row>
    <row r="17" spans="1:11" ht="13" x14ac:dyDescent="0.3">
      <c r="A17" s="98">
        <v>4506314042</v>
      </c>
      <c r="B17" s="161" t="s">
        <v>559</v>
      </c>
      <c r="C17" s="162" t="s">
        <v>460</v>
      </c>
      <c r="D17" s="163" t="s">
        <v>399</v>
      </c>
      <c r="E17" s="172">
        <v>7</v>
      </c>
      <c r="F17" s="163" t="s">
        <v>598</v>
      </c>
      <c r="G17" s="163" t="s">
        <v>599</v>
      </c>
      <c r="H17" s="163" t="s">
        <v>599</v>
      </c>
      <c r="I17" s="163" t="s">
        <v>599</v>
      </c>
      <c r="J17" s="254" t="s">
        <v>599</v>
      </c>
      <c r="K17" s="205" t="s">
        <v>602</v>
      </c>
    </row>
    <row r="18" spans="1:11" ht="13" x14ac:dyDescent="0.3">
      <c r="A18" s="98">
        <v>4364284998</v>
      </c>
      <c r="B18" s="161" t="s">
        <v>560</v>
      </c>
      <c r="C18" s="162" t="s">
        <v>462</v>
      </c>
      <c r="D18" s="163" t="s">
        <v>399</v>
      </c>
      <c r="E18" s="163" t="s">
        <v>497</v>
      </c>
      <c r="F18" s="163" t="s">
        <v>598</v>
      </c>
      <c r="G18" s="163" t="s">
        <v>599</v>
      </c>
      <c r="H18" s="163" t="s">
        <v>599</v>
      </c>
      <c r="I18" s="163" t="s">
        <v>599</v>
      </c>
      <c r="J18" s="254" t="s">
        <v>599</v>
      </c>
      <c r="K18" s="270" t="s">
        <v>603</v>
      </c>
    </row>
    <row r="19" spans="1:11" ht="13" x14ac:dyDescent="0.3">
      <c r="A19" s="98">
        <v>4583302967</v>
      </c>
      <c r="B19" s="161" t="s">
        <v>561</v>
      </c>
      <c r="C19" s="162" t="s">
        <v>464</v>
      </c>
      <c r="D19" s="163" t="s">
        <v>399</v>
      </c>
      <c r="E19" s="163" t="s">
        <v>405</v>
      </c>
      <c r="F19" s="163" t="s">
        <v>598</v>
      </c>
      <c r="G19" s="163" t="s">
        <v>599</v>
      </c>
      <c r="H19" s="163" t="s">
        <v>599</v>
      </c>
      <c r="I19" s="163" t="s">
        <v>599</v>
      </c>
      <c r="J19" s="254" t="s">
        <v>599</v>
      </c>
      <c r="K19" s="205" t="s">
        <v>600</v>
      </c>
    </row>
    <row r="20" spans="1:11" ht="13" x14ac:dyDescent="0.3">
      <c r="A20" s="98">
        <v>4086856999</v>
      </c>
      <c r="B20" s="161" t="s">
        <v>562</v>
      </c>
      <c r="C20" s="162" t="s">
        <v>465</v>
      </c>
      <c r="D20" s="163" t="s">
        <v>399</v>
      </c>
      <c r="E20" s="163" t="s">
        <v>474</v>
      </c>
      <c r="F20" s="163" t="s">
        <v>598</v>
      </c>
      <c r="G20" s="163" t="s">
        <v>599</v>
      </c>
      <c r="H20" s="163" t="s">
        <v>599</v>
      </c>
      <c r="I20" s="163" t="s">
        <v>599</v>
      </c>
      <c r="J20" s="254" t="s">
        <v>599</v>
      </c>
      <c r="K20" s="205" t="s">
        <v>603</v>
      </c>
    </row>
    <row r="21" spans="1:11" ht="13" x14ac:dyDescent="0.3">
      <c r="A21" s="98">
        <v>4087362620</v>
      </c>
      <c r="B21" s="161" t="s">
        <v>563</v>
      </c>
      <c r="C21" s="162" t="s">
        <v>467</v>
      </c>
      <c r="D21" s="163" t="s">
        <v>607</v>
      </c>
      <c r="E21" s="163" t="s">
        <v>405</v>
      </c>
      <c r="F21" s="163" t="s">
        <v>598</v>
      </c>
      <c r="G21" s="163" t="s">
        <v>599</v>
      </c>
      <c r="H21" s="163" t="s">
        <v>599</v>
      </c>
      <c r="I21" s="163" t="s">
        <v>599</v>
      </c>
      <c r="J21" s="254" t="s">
        <v>599</v>
      </c>
      <c r="K21" s="205" t="s">
        <v>600</v>
      </c>
    </row>
    <row r="22" spans="1:11" ht="13" x14ac:dyDescent="0.3">
      <c r="A22" s="98">
        <v>4387969776</v>
      </c>
      <c r="B22" s="161" t="s">
        <v>564</v>
      </c>
      <c r="C22" s="162" t="s">
        <v>469</v>
      </c>
      <c r="D22" s="163" t="s">
        <v>399</v>
      </c>
      <c r="E22" s="173" t="s">
        <v>608</v>
      </c>
      <c r="F22" s="163" t="s">
        <v>598</v>
      </c>
      <c r="G22" s="163" t="s">
        <v>599</v>
      </c>
      <c r="H22" s="163" t="s">
        <v>599</v>
      </c>
      <c r="I22" s="163" t="s">
        <v>599</v>
      </c>
      <c r="J22" s="254" t="s">
        <v>599</v>
      </c>
      <c r="K22" s="270" t="s">
        <v>600</v>
      </c>
    </row>
    <row r="23" spans="1:11" ht="13" x14ac:dyDescent="0.3">
      <c r="A23" s="98">
        <v>4382038278</v>
      </c>
      <c r="B23" s="161" t="s">
        <v>565</v>
      </c>
      <c r="C23" s="162" t="s">
        <v>471</v>
      </c>
      <c r="D23" s="163" t="s">
        <v>399</v>
      </c>
      <c r="E23" s="173" t="s">
        <v>609</v>
      </c>
      <c r="F23" s="163" t="s">
        <v>598</v>
      </c>
      <c r="G23" s="163" t="s">
        <v>599</v>
      </c>
      <c r="H23" s="163" t="s">
        <v>599</v>
      </c>
      <c r="I23" s="163" t="s">
        <v>599</v>
      </c>
      <c r="J23" s="254" t="s">
        <v>599</v>
      </c>
      <c r="K23" s="205" t="s">
        <v>602</v>
      </c>
    </row>
    <row r="24" spans="1:11" ht="13" x14ac:dyDescent="0.3">
      <c r="A24" s="98">
        <v>4508985181</v>
      </c>
      <c r="B24" s="161" t="s">
        <v>566</v>
      </c>
      <c r="C24" s="162" t="s">
        <v>473</v>
      </c>
      <c r="D24" s="163" t="s">
        <v>399</v>
      </c>
      <c r="E24" s="173" t="s">
        <v>452</v>
      </c>
      <c r="F24" s="163" t="s">
        <v>598</v>
      </c>
      <c r="G24" s="163" t="s">
        <v>599</v>
      </c>
      <c r="H24" s="163" t="s">
        <v>599</v>
      </c>
      <c r="I24" s="163" t="s">
        <v>599</v>
      </c>
      <c r="J24" s="254" t="s">
        <v>599</v>
      </c>
      <c r="K24" s="205" t="s">
        <v>602</v>
      </c>
    </row>
    <row r="25" spans="1:11" ht="13" x14ac:dyDescent="0.3">
      <c r="A25" s="98">
        <v>4581844045</v>
      </c>
      <c r="B25" s="161" t="s">
        <v>567</v>
      </c>
      <c r="C25" s="162" t="s">
        <v>475</v>
      </c>
      <c r="D25" s="163" t="s">
        <v>610</v>
      </c>
      <c r="E25" s="163" t="s">
        <v>405</v>
      </c>
      <c r="F25" s="163" t="s">
        <v>598</v>
      </c>
      <c r="G25" s="163" t="s">
        <v>599</v>
      </c>
      <c r="H25" s="163" t="s">
        <v>599</v>
      </c>
      <c r="I25" s="163" t="s">
        <v>599</v>
      </c>
      <c r="J25" s="254" t="s">
        <v>599</v>
      </c>
      <c r="K25" s="182" t="s">
        <v>611</v>
      </c>
    </row>
    <row r="26" spans="1:11" ht="13" x14ac:dyDescent="0.3">
      <c r="A26" s="98">
        <v>4125738122</v>
      </c>
      <c r="B26" s="161" t="s">
        <v>568</v>
      </c>
      <c r="C26" s="162" t="s">
        <v>478</v>
      </c>
      <c r="D26" s="163" t="s">
        <v>399</v>
      </c>
      <c r="E26" s="163" t="s">
        <v>405</v>
      </c>
      <c r="F26" s="163" t="s">
        <v>598</v>
      </c>
      <c r="G26" s="163" t="s">
        <v>599</v>
      </c>
      <c r="H26" s="163" t="s">
        <v>599</v>
      </c>
      <c r="I26" s="163" t="s">
        <v>599</v>
      </c>
      <c r="J26" s="254" t="s">
        <v>599</v>
      </c>
      <c r="K26" s="205" t="s">
        <v>600</v>
      </c>
    </row>
    <row r="27" spans="1:11" ht="13" x14ac:dyDescent="0.3">
      <c r="A27" s="98">
        <v>4083306041</v>
      </c>
      <c r="B27" s="161" t="s">
        <v>569</v>
      </c>
      <c r="C27" s="162" t="s">
        <v>480</v>
      </c>
      <c r="D27" s="163" t="s">
        <v>399</v>
      </c>
      <c r="E27" s="163" t="s">
        <v>612</v>
      </c>
      <c r="F27" s="163" t="s">
        <v>598</v>
      </c>
      <c r="G27" s="163" t="s">
        <v>599</v>
      </c>
      <c r="H27" s="163" t="s">
        <v>599</v>
      </c>
      <c r="I27" s="163" t="s">
        <v>599</v>
      </c>
      <c r="J27" s="254" t="s">
        <v>599</v>
      </c>
      <c r="K27" s="182" t="s">
        <v>605</v>
      </c>
    </row>
    <row r="28" spans="1:11" ht="13" x14ac:dyDescent="0.3">
      <c r="A28" s="98">
        <v>4124649371</v>
      </c>
      <c r="B28" s="161" t="s">
        <v>570</v>
      </c>
      <c r="C28" s="162" t="s">
        <v>483</v>
      </c>
      <c r="D28" s="163" t="s">
        <v>613</v>
      </c>
      <c r="E28" s="163" t="s">
        <v>405</v>
      </c>
      <c r="F28" s="163" t="s">
        <v>598</v>
      </c>
      <c r="G28" s="163" t="s">
        <v>405</v>
      </c>
      <c r="H28" s="163" t="s">
        <v>599</v>
      </c>
      <c r="I28" s="163" t="s">
        <v>405</v>
      </c>
      <c r="J28" s="254" t="s">
        <v>599</v>
      </c>
      <c r="K28" s="182" t="s">
        <v>600</v>
      </c>
    </row>
    <row r="29" spans="1:11" ht="13" x14ac:dyDescent="0.3">
      <c r="A29" s="98">
        <v>4382721598</v>
      </c>
      <c r="B29" s="161" t="s">
        <v>571</v>
      </c>
      <c r="C29" s="162" t="s">
        <v>485</v>
      </c>
      <c r="D29" s="163" t="s">
        <v>399</v>
      </c>
      <c r="E29" s="163" t="s">
        <v>405</v>
      </c>
      <c r="F29" s="163" t="s">
        <v>598</v>
      </c>
      <c r="G29" s="163" t="s">
        <v>599</v>
      </c>
      <c r="H29" s="163" t="s">
        <v>599</v>
      </c>
      <c r="I29" s="163" t="s">
        <v>599</v>
      </c>
      <c r="J29" s="254" t="s">
        <v>599</v>
      </c>
      <c r="K29" s="182" t="s">
        <v>602</v>
      </c>
    </row>
    <row r="30" spans="1:11" ht="13" x14ac:dyDescent="0.3">
      <c r="A30" s="98">
        <v>4861789648</v>
      </c>
      <c r="B30" s="161" t="s">
        <v>572</v>
      </c>
      <c r="C30" s="162" t="s">
        <v>487</v>
      </c>
      <c r="D30" s="163" t="s">
        <v>614</v>
      </c>
      <c r="E30" s="163" t="s">
        <v>405</v>
      </c>
      <c r="F30" s="163" t="s">
        <v>598</v>
      </c>
      <c r="G30" s="163" t="s">
        <v>599</v>
      </c>
      <c r="H30" s="163" t="s">
        <v>599</v>
      </c>
      <c r="I30" s="163" t="s">
        <v>599</v>
      </c>
      <c r="J30" s="254" t="s">
        <v>599</v>
      </c>
      <c r="K30" s="182" t="s">
        <v>600</v>
      </c>
    </row>
    <row r="31" spans="1:11" ht="13" x14ac:dyDescent="0.3">
      <c r="A31" s="98">
        <v>4848989531</v>
      </c>
      <c r="B31" s="161" t="s">
        <v>573</v>
      </c>
      <c r="C31" s="162" t="s">
        <v>489</v>
      </c>
      <c r="D31" s="163" t="s">
        <v>615</v>
      </c>
      <c r="E31" s="163" t="s">
        <v>405</v>
      </c>
      <c r="F31" s="163" t="s">
        <v>598</v>
      </c>
      <c r="G31" s="163" t="s">
        <v>599</v>
      </c>
      <c r="H31" s="163" t="s">
        <v>599</v>
      </c>
      <c r="I31" s="163" t="s">
        <v>599</v>
      </c>
      <c r="J31" s="254" t="s">
        <v>599</v>
      </c>
      <c r="K31" s="182" t="s">
        <v>602</v>
      </c>
    </row>
    <row r="32" spans="1:11" ht="13" x14ac:dyDescent="0.3">
      <c r="A32" s="98">
        <v>6145366486</v>
      </c>
      <c r="B32" s="161" t="s">
        <v>574</v>
      </c>
      <c r="C32" s="162" t="s">
        <v>491</v>
      </c>
      <c r="D32" s="163" t="s">
        <v>399</v>
      </c>
      <c r="E32" s="163" t="s">
        <v>405</v>
      </c>
      <c r="F32" s="163" t="s">
        <v>598</v>
      </c>
      <c r="G32" s="163" t="s">
        <v>599</v>
      </c>
      <c r="H32" s="163" t="s">
        <v>599</v>
      </c>
      <c r="I32" s="163" t="s">
        <v>599</v>
      </c>
      <c r="J32" s="254" t="s">
        <v>599</v>
      </c>
      <c r="K32" s="182" t="s">
        <v>605</v>
      </c>
    </row>
    <row r="33" spans="1:11" ht="13" x14ac:dyDescent="0.3">
      <c r="A33" s="98">
        <v>4861720087</v>
      </c>
      <c r="B33" s="161" t="s">
        <v>575</v>
      </c>
      <c r="C33" s="162" t="s">
        <v>493</v>
      </c>
      <c r="D33" s="163" t="s">
        <v>616</v>
      </c>
      <c r="E33" s="163" t="s">
        <v>405</v>
      </c>
      <c r="F33" s="163" t="s">
        <v>598</v>
      </c>
      <c r="G33" s="163" t="s">
        <v>599</v>
      </c>
      <c r="H33" s="163" t="s">
        <v>599</v>
      </c>
      <c r="I33" s="163" t="s">
        <v>599</v>
      </c>
      <c r="J33" s="254" t="s">
        <v>599</v>
      </c>
      <c r="K33" s="182" t="s">
        <v>603</v>
      </c>
    </row>
    <row r="34" spans="1:11" ht="13" x14ac:dyDescent="0.3">
      <c r="A34" s="98">
        <v>6327986404</v>
      </c>
      <c r="B34" s="161" t="s">
        <v>576</v>
      </c>
      <c r="C34" s="162" t="s">
        <v>496</v>
      </c>
      <c r="D34" s="163" t="s">
        <v>399</v>
      </c>
      <c r="E34" s="163" t="s">
        <v>405</v>
      </c>
      <c r="F34" s="163" t="s">
        <v>598</v>
      </c>
      <c r="G34" s="163" t="s">
        <v>599</v>
      </c>
      <c r="H34" s="163" t="s">
        <v>599</v>
      </c>
      <c r="I34" s="163" t="s">
        <v>599</v>
      </c>
      <c r="J34" s="254" t="s">
        <v>599</v>
      </c>
      <c r="K34" s="182" t="s">
        <v>600</v>
      </c>
    </row>
    <row r="35" spans="1:11" ht="13" x14ac:dyDescent="0.3">
      <c r="A35" s="98">
        <v>4087924513</v>
      </c>
      <c r="B35" s="161" t="s">
        <v>577</v>
      </c>
      <c r="C35" s="162" t="s">
        <v>502</v>
      </c>
      <c r="D35" s="163" t="s">
        <v>399</v>
      </c>
      <c r="E35" s="163" t="s">
        <v>405</v>
      </c>
      <c r="F35" s="163" t="s">
        <v>598</v>
      </c>
      <c r="G35" s="163" t="s">
        <v>599</v>
      </c>
      <c r="H35" s="163" t="s">
        <v>599</v>
      </c>
      <c r="I35" s="163" t="s">
        <v>599</v>
      </c>
      <c r="J35" s="254" t="s">
        <v>599</v>
      </c>
      <c r="K35" s="182" t="s">
        <v>601</v>
      </c>
    </row>
    <row r="36" spans="1:11" ht="13" x14ac:dyDescent="0.3">
      <c r="A36" s="98">
        <v>6163529707</v>
      </c>
      <c r="B36" s="161" t="s">
        <v>578</v>
      </c>
      <c r="C36" s="162" t="s">
        <v>508</v>
      </c>
      <c r="D36" s="163" t="s">
        <v>399</v>
      </c>
      <c r="E36" s="163" t="s">
        <v>405</v>
      </c>
      <c r="F36" s="163" t="s">
        <v>598</v>
      </c>
      <c r="G36" s="163" t="s">
        <v>599</v>
      </c>
      <c r="H36" s="163" t="s">
        <v>599</v>
      </c>
      <c r="I36" s="163" t="s">
        <v>599</v>
      </c>
      <c r="J36" s="254" t="s">
        <v>599</v>
      </c>
      <c r="K36" s="182" t="s">
        <v>602</v>
      </c>
    </row>
    <row r="37" spans="1:11" s="42" customFormat="1" ht="13" x14ac:dyDescent="0.3">
      <c r="A37" s="89">
        <v>4861644011</v>
      </c>
      <c r="B37" s="174" t="s">
        <v>579</v>
      </c>
      <c r="C37" s="175" t="s">
        <v>510</v>
      </c>
      <c r="D37" s="176" t="s">
        <v>617</v>
      </c>
      <c r="E37" s="176" t="s">
        <v>405</v>
      </c>
      <c r="F37" s="176" t="s">
        <v>598</v>
      </c>
      <c r="G37" s="176" t="s">
        <v>599</v>
      </c>
      <c r="H37" s="176" t="s">
        <v>599</v>
      </c>
      <c r="I37" s="176" t="s">
        <v>599</v>
      </c>
      <c r="J37" s="255" t="s">
        <v>599</v>
      </c>
      <c r="K37" s="182" t="s">
        <v>602</v>
      </c>
    </row>
    <row r="38" spans="1:11" ht="13" x14ac:dyDescent="0.3">
      <c r="A38" s="98">
        <v>4584217416</v>
      </c>
      <c r="B38" s="161" t="s">
        <v>580</v>
      </c>
      <c r="C38" s="162" t="s">
        <v>513</v>
      </c>
      <c r="D38" s="163" t="s">
        <v>618</v>
      </c>
      <c r="E38" s="176" t="s">
        <v>405</v>
      </c>
      <c r="F38" s="176" t="s">
        <v>598</v>
      </c>
      <c r="G38" s="176" t="s">
        <v>599</v>
      </c>
      <c r="H38" s="176" t="s">
        <v>599</v>
      </c>
      <c r="I38" s="176" t="s">
        <v>599</v>
      </c>
      <c r="J38" s="255" t="s">
        <v>599</v>
      </c>
      <c r="K38" s="182" t="s">
        <v>600</v>
      </c>
    </row>
    <row r="39" spans="1:11" ht="13" x14ac:dyDescent="0.3">
      <c r="A39" s="98">
        <v>6289443755</v>
      </c>
      <c r="B39" s="161" t="s">
        <v>581</v>
      </c>
      <c r="C39" s="162" t="s">
        <v>516</v>
      </c>
      <c r="D39" s="163" t="s">
        <v>399</v>
      </c>
      <c r="E39" s="163" t="s">
        <v>405</v>
      </c>
      <c r="F39" s="163" t="s">
        <v>598</v>
      </c>
      <c r="G39" s="163" t="s">
        <v>599</v>
      </c>
      <c r="H39" s="163" t="s">
        <v>599</v>
      </c>
      <c r="I39" s="163" t="s">
        <v>599</v>
      </c>
      <c r="J39" s="254" t="s">
        <v>599</v>
      </c>
      <c r="K39" s="182" t="s">
        <v>600</v>
      </c>
    </row>
    <row r="40" spans="1:11" ht="13" x14ac:dyDescent="0.3">
      <c r="A40" s="98">
        <v>4981796587</v>
      </c>
      <c r="B40" s="161" t="s">
        <v>582</v>
      </c>
      <c r="C40" s="162" t="s">
        <v>519</v>
      </c>
      <c r="D40" s="176" t="s">
        <v>619</v>
      </c>
      <c r="E40" s="163" t="s">
        <v>405</v>
      </c>
      <c r="F40" s="163" t="s">
        <v>598</v>
      </c>
      <c r="G40" s="163" t="s">
        <v>599</v>
      </c>
      <c r="H40" s="163" t="s">
        <v>599</v>
      </c>
      <c r="I40" s="163" t="s">
        <v>599</v>
      </c>
      <c r="J40" s="254" t="s">
        <v>599</v>
      </c>
      <c r="K40" s="182" t="s">
        <v>611</v>
      </c>
    </row>
    <row r="41" spans="1:11" ht="13" x14ac:dyDescent="0.3">
      <c r="A41" s="98">
        <v>6331698655</v>
      </c>
      <c r="B41" s="161" t="s">
        <v>583</v>
      </c>
      <c r="C41" s="162" t="s">
        <v>522</v>
      </c>
      <c r="D41" s="176" t="s">
        <v>620</v>
      </c>
      <c r="E41" s="163" t="s">
        <v>405</v>
      </c>
      <c r="F41" s="163" t="s">
        <v>598</v>
      </c>
      <c r="G41" s="163" t="s">
        <v>599</v>
      </c>
      <c r="H41" s="163" t="s">
        <v>599</v>
      </c>
      <c r="I41" s="163" t="s">
        <v>599</v>
      </c>
      <c r="J41" s="254" t="s">
        <v>599</v>
      </c>
      <c r="K41" s="182" t="s">
        <v>600</v>
      </c>
    </row>
    <row r="42" spans="1:11" ht="13" x14ac:dyDescent="0.3">
      <c r="A42" s="177">
        <v>4529305074</v>
      </c>
      <c r="B42" s="161" t="s">
        <v>584</v>
      </c>
      <c r="C42" s="162" t="s">
        <v>525</v>
      </c>
      <c r="D42" s="163" t="s">
        <v>399</v>
      </c>
      <c r="E42" s="163" t="s">
        <v>441</v>
      </c>
      <c r="F42" s="163" t="s">
        <v>598</v>
      </c>
      <c r="G42" s="163" t="s">
        <v>599</v>
      </c>
      <c r="H42" s="163" t="s">
        <v>599</v>
      </c>
      <c r="I42" s="163" t="s">
        <v>599</v>
      </c>
      <c r="J42" s="254" t="s">
        <v>599</v>
      </c>
      <c r="K42" s="182" t="s">
        <v>602</v>
      </c>
    </row>
    <row r="43" spans="1:11" ht="13" x14ac:dyDescent="0.3">
      <c r="A43" s="98">
        <v>4380839494</v>
      </c>
      <c r="B43" s="161" t="s">
        <v>585</v>
      </c>
      <c r="C43" s="161" t="s">
        <v>527</v>
      </c>
      <c r="D43" s="163" t="s">
        <v>621</v>
      </c>
      <c r="E43" s="163" t="s">
        <v>405</v>
      </c>
      <c r="F43" s="163" t="s">
        <v>598</v>
      </c>
      <c r="G43" s="163" t="s">
        <v>599</v>
      </c>
      <c r="H43" s="163" t="s">
        <v>599</v>
      </c>
      <c r="I43" s="163" t="s">
        <v>599</v>
      </c>
      <c r="J43" s="254" t="s">
        <v>599</v>
      </c>
      <c r="K43" s="182" t="s">
        <v>600</v>
      </c>
    </row>
    <row r="44" spans="1:11" ht="13" x14ac:dyDescent="0.3">
      <c r="A44" s="98">
        <v>4861661196</v>
      </c>
      <c r="B44" s="161" t="s">
        <v>586</v>
      </c>
      <c r="C44" s="161" t="s">
        <v>529</v>
      </c>
      <c r="D44" s="176" t="s">
        <v>622</v>
      </c>
      <c r="E44" s="163" t="s">
        <v>405</v>
      </c>
      <c r="F44" s="163" t="s">
        <v>598</v>
      </c>
      <c r="G44" s="163" t="s">
        <v>599</v>
      </c>
      <c r="H44" s="163" t="s">
        <v>599</v>
      </c>
      <c r="I44" s="163" t="s">
        <v>599</v>
      </c>
      <c r="J44" s="254" t="s">
        <v>599</v>
      </c>
      <c r="K44" s="182" t="s">
        <v>602</v>
      </c>
    </row>
    <row r="45" spans="1:11" ht="13" x14ac:dyDescent="0.3">
      <c r="A45" s="98">
        <v>6308241180</v>
      </c>
      <c r="B45" s="161" t="s">
        <v>587</v>
      </c>
      <c r="C45" s="161" t="s">
        <v>531</v>
      </c>
      <c r="D45" s="176" t="s">
        <v>623</v>
      </c>
      <c r="E45" s="163" t="s">
        <v>405</v>
      </c>
      <c r="F45" s="163" t="s">
        <v>598</v>
      </c>
      <c r="G45" s="163" t="s">
        <v>599</v>
      </c>
      <c r="H45" s="163" t="s">
        <v>599</v>
      </c>
      <c r="I45" s="163" t="s">
        <v>599</v>
      </c>
      <c r="J45" s="254" t="s">
        <v>599</v>
      </c>
      <c r="K45" s="182" t="s">
        <v>600</v>
      </c>
    </row>
    <row r="46" spans="1:11" ht="13" x14ac:dyDescent="0.3">
      <c r="A46" s="98">
        <v>4380932281</v>
      </c>
      <c r="B46" s="161" t="s">
        <v>588</v>
      </c>
      <c r="C46" s="161" t="s">
        <v>534</v>
      </c>
      <c r="D46" s="176" t="s">
        <v>624</v>
      </c>
      <c r="E46" s="163" t="s">
        <v>405</v>
      </c>
      <c r="F46" s="163" t="s">
        <v>598</v>
      </c>
      <c r="G46" s="163" t="s">
        <v>599</v>
      </c>
      <c r="H46" s="163" t="s">
        <v>599</v>
      </c>
      <c r="I46" s="163" t="s">
        <v>599</v>
      </c>
      <c r="J46" s="254" t="s">
        <v>599</v>
      </c>
      <c r="K46" s="182" t="s">
        <v>600</v>
      </c>
    </row>
    <row r="47" spans="1:11" ht="13" x14ac:dyDescent="0.3">
      <c r="A47" s="177">
        <v>4406779205</v>
      </c>
      <c r="B47" s="271" t="s">
        <v>589</v>
      </c>
      <c r="C47" s="271" t="s">
        <v>537</v>
      </c>
      <c r="D47" s="272" t="s">
        <v>625</v>
      </c>
      <c r="E47" s="273" t="s">
        <v>405</v>
      </c>
      <c r="F47" s="273" t="s">
        <v>598</v>
      </c>
      <c r="G47" s="273" t="s">
        <v>599</v>
      </c>
      <c r="H47" s="273" t="s">
        <v>599</v>
      </c>
      <c r="I47" s="273" t="s">
        <v>599</v>
      </c>
      <c r="J47" s="274" t="s">
        <v>599</v>
      </c>
      <c r="K47" s="83" t="s">
        <v>606</v>
      </c>
    </row>
  </sheetData>
  <sortState xmlns:xlrd2="http://schemas.microsoft.com/office/spreadsheetml/2017/richdata2" ref="A2:J47">
    <sortCondition ref="C2:C47"/>
  </sortState>
  <conditionalFormatting sqref="A2:A47">
    <cfRule type="duplicateValues" dxfId="35" priority="1"/>
  </conditionalFormatting>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6E1F6-BCA8-4CA6-99A4-9AACE48A3A32}">
  <sheetPr codeName="Sheet4"/>
  <dimension ref="A1:NZ45"/>
  <sheetViews>
    <sheetView topLeftCell="W6" workbookViewId="0">
      <selection activeCell="AB4" sqref="AB4:AN45"/>
    </sheetView>
  </sheetViews>
  <sheetFormatPr defaultColWidth="9.1796875" defaultRowHeight="13" outlineLevelCol="1" x14ac:dyDescent="0.3"/>
  <cols>
    <col min="1" max="1" width="11.26953125" style="44" customWidth="1" outlineLevel="1"/>
    <col min="2" max="2" width="6.26953125" style="44" customWidth="1" outlineLevel="1"/>
    <col min="3" max="3" width="16" style="44" customWidth="1" outlineLevel="1"/>
    <col min="4" max="4" width="5.54296875" style="44" customWidth="1" outlineLevel="1"/>
    <col min="5" max="5" width="11.26953125" style="44" customWidth="1" outlineLevel="1"/>
    <col min="6" max="6" width="9.7265625" style="44" customWidth="1" outlineLevel="1"/>
    <col min="7" max="7" width="9.1796875" style="44" customWidth="1" outlineLevel="1"/>
    <col min="8" max="8" width="17" style="100" customWidth="1" outlineLevel="1"/>
    <col min="9" max="9" width="18.7265625" style="44" customWidth="1" outlineLevel="1"/>
    <col min="10" max="15" width="16" style="44" customWidth="1" outlineLevel="1"/>
    <col min="16" max="16" width="16" style="100" customWidth="1" outlineLevel="1"/>
    <col min="17" max="21" width="16" style="44" customWidth="1" outlineLevel="1"/>
    <col min="22" max="22" width="18.81640625" style="44" customWidth="1" outlineLevel="1"/>
    <col min="23" max="27" width="16" style="44" customWidth="1" outlineLevel="1"/>
    <col min="28" max="28" width="6.81640625" style="44" customWidth="1" outlineLevel="1"/>
    <col min="29" max="29" width="16" style="102" customWidth="1" outlineLevel="1"/>
    <col min="30" max="30" width="18.36328125" style="100" customWidth="1" outlineLevel="1"/>
    <col min="31" max="31" width="10.7265625" style="44" customWidth="1" outlineLevel="1"/>
    <col min="32" max="32" width="16" style="44" customWidth="1" outlineLevel="1"/>
    <col min="33" max="33" width="12.7265625" style="44" customWidth="1" outlineLevel="1"/>
    <col min="34" max="38" width="6.54296875" style="44" customWidth="1" outlineLevel="1"/>
    <col min="39" max="39" width="9.81640625" style="44" customWidth="1" outlineLevel="1"/>
    <col min="40" max="40" width="5.81640625" style="104" customWidth="1" outlineLevel="1"/>
    <col min="41" max="41" width="7.26953125" style="44" customWidth="1" outlineLevel="1"/>
    <col min="42" max="43" width="9.1796875" style="44" customWidth="1"/>
    <col min="44" max="47" width="16" style="44" customWidth="1"/>
    <col min="48" max="93" width="16" style="44" customWidth="1" outlineLevel="1"/>
    <col min="94" max="98" width="15.81640625" style="44" customWidth="1"/>
    <col min="99" max="167" width="15.81640625" style="44" customWidth="1" outlineLevel="1"/>
    <col min="168" max="169" width="16" style="44" customWidth="1"/>
    <col min="170" max="197" width="16" style="44" customWidth="1" outlineLevel="1"/>
    <col min="198" max="201" width="16" style="44" customWidth="1"/>
    <col min="202" max="272" width="16" style="44" customWidth="1" outlineLevel="1"/>
    <col min="273" max="280" width="9.1796875" style="44" customWidth="1"/>
    <col min="281" max="281" width="16" style="44" customWidth="1"/>
    <col min="282" max="390" width="16" style="44" customWidth="1" outlineLevel="1"/>
    <col min="391" max="16384" width="9.1796875" style="44"/>
  </cols>
  <sheetData>
    <row r="1" spans="1:390" ht="18" hidden="1" x14ac:dyDescent="0.4">
      <c r="A1" s="27" t="s">
        <v>0</v>
      </c>
    </row>
    <row r="2" spans="1:390" ht="18.5" hidden="1" x14ac:dyDescent="0.45">
      <c r="A2" s="43"/>
      <c r="J2" s="106"/>
    </row>
    <row r="3" spans="1:390" ht="58.5" customHeight="1" x14ac:dyDescent="0.3">
      <c r="A3" s="45" t="s">
        <v>2</v>
      </c>
      <c r="B3" s="45" t="s">
        <v>3</v>
      </c>
      <c r="C3" s="45" t="s">
        <v>4</v>
      </c>
      <c r="D3" s="46" t="s">
        <v>5</v>
      </c>
      <c r="E3" s="46" t="s">
        <v>6</v>
      </c>
      <c r="F3" s="46" t="s">
        <v>7</v>
      </c>
      <c r="G3" s="46" t="s">
        <v>8</v>
      </c>
      <c r="H3" s="47" t="s">
        <v>9</v>
      </c>
      <c r="I3" s="48" t="s">
        <v>10</v>
      </c>
      <c r="J3" s="48" t="s">
        <v>11</v>
      </c>
      <c r="K3" s="46" t="s">
        <v>12</v>
      </c>
      <c r="L3" s="45" t="s">
        <v>13</v>
      </c>
      <c r="M3" s="49" t="s">
        <v>14</v>
      </c>
      <c r="N3" s="49" t="s">
        <v>15</v>
      </c>
      <c r="O3" s="49" t="s">
        <v>16</v>
      </c>
      <c r="P3" s="103" t="s">
        <v>17</v>
      </c>
      <c r="Q3" s="45" t="s">
        <v>18</v>
      </c>
      <c r="R3" s="49" t="s">
        <v>19</v>
      </c>
      <c r="S3" s="49" t="s">
        <v>20</v>
      </c>
      <c r="T3" s="49" t="s">
        <v>21</v>
      </c>
      <c r="U3" s="50" t="s">
        <v>22</v>
      </c>
      <c r="V3" s="45" t="s">
        <v>23</v>
      </c>
      <c r="W3" s="49" t="s">
        <v>24</v>
      </c>
      <c r="X3" s="49" t="s">
        <v>25</v>
      </c>
      <c r="Y3" s="49" t="s">
        <v>26</v>
      </c>
      <c r="Z3" s="50" t="s">
        <v>27</v>
      </c>
      <c r="AA3" s="45" t="s">
        <v>28</v>
      </c>
      <c r="AB3" s="46" t="s">
        <v>29</v>
      </c>
      <c r="AC3" s="51" t="s">
        <v>30</v>
      </c>
      <c r="AD3" s="52" t="s">
        <v>31</v>
      </c>
      <c r="AE3" s="53" t="s">
        <v>32</v>
      </c>
      <c r="AF3" s="54" t="s">
        <v>33</v>
      </c>
      <c r="AG3" s="55" t="s">
        <v>34</v>
      </c>
      <c r="AH3" s="56" t="s">
        <v>35</v>
      </c>
      <c r="AI3" s="56" t="s">
        <v>36</v>
      </c>
      <c r="AJ3" s="56" t="s">
        <v>37</v>
      </c>
      <c r="AK3" s="56" t="s">
        <v>38</v>
      </c>
      <c r="AL3" s="56" t="s">
        <v>39</v>
      </c>
      <c r="AM3" s="105" t="s">
        <v>40</v>
      </c>
      <c r="AN3" s="54" t="s">
        <v>41</v>
      </c>
      <c r="AO3" s="57" t="s">
        <v>42</v>
      </c>
      <c r="AP3" s="58" t="s">
        <v>43</v>
      </c>
      <c r="AQ3" s="59" t="s">
        <v>44</v>
      </c>
      <c r="AR3" s="59" t="s">
        <v>45</v>
      </c>
      <c r="AS3" s="59" t="s">
        <v>46</v>
      </c>
      <c r="AT3" s="60" t="s">
        <v>47</v>
      </c>
      <c r="AU3" s="60" t="s">
        <v>48</v>
      </c>
      <c r="AV3" s="59" t="s">
        <v>49</v>
      </c>
      <c r="AW3" s="59" t="s">
        <v>50</v>
      </c>
      <c r="AX3" s="59" t="s">
        <v>51</v>
      </c>
      <c r="AY3" s="60" t="s">
        <v>52</v>
      </c>
      <c r="AZ3" s="60" t="s">
        <v>53</v>
      </c>
      <c r="BA3" s="59" t="s">
        <v>54</v>
      </c>
      <c r="BB3" s="59" t="s">
        <v>55</v>
      </c>
      <c r="BC3" s="59" t="s">
        <v>56</v>
      </c>
      <c r="BD3" s="60" t="s">
        <v>57</v>
      </c>
      <c r="BE3" s="60" t="s">
        <v>58</v>
      </c>
      <c r="BF3" s="59" t="s">
        <v>59</v>
      </c>
      <c r="BG3" s="59" t="s">
        <v>60</v>
      </c>
      <c r="BH3" s="59" t="s">
        <v>61</v>
      </c>
      <c r="BI3" s="60" t="s">
        <v>62</v>
      </c>
      <c r="BJ3" s="60" t="s">
        <v>63</v>
      </c>
      <c r="BK3" s="59" t="s">
        <v>64</v>
      </c>
      <c r="BL3" s="59" t="s">
        <v>65</v>
      </c>
      <c r="BM3" s="59" t="s">
        <v>66</v>
      </c>
      <c r="BN3" s="60" t="s">
        <v>67</v>
      </c>
      <c r="BO3" s="60" t="s">
        <v>68</v>
      </c>
      <c r="BP3" s="59" t="s">
        <v>69</v>
      </c>
      <c r="BQ3" s="59" t="s">
        <v>70</v>
      </c>
      <c r="BR3" s="59" t="s">
        <v>71</v>
      </c>
      <c r="BS3" s="60" t="s">
        <v>72</v>
      </c>
      <c r="BT3" s="60" t="s">
        <v>73</v>
      </c>
      <c r="BU3" s="59" t="s">
        <v>74</v>
      </c>
      <c r="BV3" s="59" t="s">
        <v>75</v>
      </c>
      <c r="BW3" s="59" t="s">
        <v>76</v>
      </c>
      <c r="BX3" s="60" t="s">
        <v>77</v>
      </c>
      <c r="BY3" s="60" t="s">
        <v>78</v>
      </c>
      <c r="BZ3" s="59" t="s">
        <v>79</v>
      </c>
      <c r="CA3" s="59" t="s">
        <v>80</v>
      </c>
      <c r="CB3" s="59" t="s">
        <v>81</v>
      </c>
      <c r="CC3" s="60" t="s">
        <v>82</v>
      </c>
      <c r="CD3" s="60" t="s">
        <v>83</v>
      </c>
      <c r="CE3" s="59" t="s">
        <v>84</v>
      </c>
      <c r="CF3" s="59" t="s">
        <v>85</v>
      </c>
      <c r="CG3" s="59" t="s">
        <v>86</v>
      </c>
      <c r="CH3" s="60" t="s">
        <v>87</v>
      </c>
      <c r="CI3" s="60" t="s">
        <v>88</v>
      </c>
      <c r="CJ3" s="59" t="s">
        <v>89</v>
      </c>
      <c r="CK3" s="59" t="s">
        <v>90</v>
      </c>
      <c r="CL3" s="59" t="s">
        <v>91</v>
      </c>
      <c r="CM3" s="60" t="s">
        <v>92</v>
      </c>
      <c r="CN3" s="60" t="s">
        <v>93</v>
      </c>
      <c r="CO3" s="59" t="s">
        <v>94</v>
      </c>
      <c r="CP3" s="61" t="s">
        <v>95</v>
      </c>
      <c r="CQ3" s="61" t="s">
        <v>96</v>
      </c>
      <c r="CR3" s="62" t="s">
        <v>97</v>
      </c>
      <c r="CS3" s="62" t="s">
        <v>98</v>
      </c>
      <c r="CT3" s="61" t="s">
        <v>99</v>
      </c>
      <c r="CU3" s="61" t="s">
        <v>100</v>
      </c>
      <c r="CV3" s="61" t="s">
        <v>101</v>
      </c>
      <c r="CW3" s="62" t="s">
        <v>102</v>
      </c>
      <c r="CX3" s="62" t="s">
        <v>103</v>
      </c>
      <c r="CY3" s="61" t="s">
        <v>104</v>
      </c>
      <c r="CZ3" s="61" t="s">
        <v>105</v>
      </c>
      <c r="DA3" s="61" t="s">
        <v>106</v>
      </c>
      <c r="DB3" s="62" t="s">
        <v>107</v>
      </c>
      <c r="DC3" s="62" t="s">
        <v>108</v>
      </c>
      <c r="DD3" s="61" t="s">
        <v>109</v>
      </c>
      <c r="DE3" s="61" t="s">
        <v>110</v>
      </c>
      <c r="DF3" s="61" t="s">
        <v>111</v>
      </c>
      <c r="DG3" s="62" t="s">
        <v>112</v>
      </c>
      <c r="DH3" s="62" t="s">
        <v>113</v>
      </c>
      <c r="DI3" s="61" t="s">
        <v>114</v>
      </c>
      <c r="DJ3" s="61" t="s">
        <v>115</v>
      </c>
      <c r="DK3" s="61" t="s">
        <v>116</v>
      </c>
      <c r="DL3" s="62" t="s">
        <v>117</v>
      </c>
      <c r="DM3" s="62" t="s">
        <v>118</v>
      </c>
      <c r="DN3" s="61" t="s">
        <v>119</v>
      </c>
      <c r="DO3" s="61" t="s">
        <v>120</v>
      </c>
      <c r="DP3" s="61" t="s">
        <v>121</v>
      </c>
      <c r="DQ3" s="62" t="s">
        <v>122</v>
      </c>
      <c r="DR3" s="62" t="s">
        <v>123</v>
      </c>
      <c r="DS3" s="61" t="s">
        <v>124</v>
      </c>
      <c r="DT3" s="61" t="s">
        <v>125</v>
      </c>
      <c r="DU3" s="61" t="s">
        <v>126</v>
      </c>
      <c r="DV3" s="62" t="s">
        <v>127</v>
      </c>
      <c r="DW3" s="62" t="s">
        <v>128</v>
      </c>
      <c r="DX3" s="61" t="s">
        <v>129</v>
      </c>
      <c r="DY3" s="61" t="s">
        <v>130</v>
      </c>
      <c r="DZ3" s="61" t="s">
        <v>131</v>
      </c>
      <c r="EA3" s="62" t="s">
        <v>132</v>
      </c>
      <c r="EB3" s="62" t="s">
        <v>133</v>
      </c>
      <c r="EC3" s="61" t="s">
        <v>134</v>
      </c>
      <c r="ED3" s="61" t="s">
        <v>135</v>
      </c>
      <c r="EE3" s="61" t="s">
        <v>136</v>
      </c>
      <c r="EF3" s="62" t="s">
        <v>137</v>
      </c>
      <c r="EG3" s="62" t="s">
        <v>138</v>
      </c>
      <c r="EH3" s="61" t="s">
        <v>139</v>
      </c>
      <c r="EI3" s="61" t="s">
        <v>140</v>
      </c>
      <c r="EJ3" s="61" t="s">
        <v>141</v>
      </c>
      <c r="EK3" s="62" t="s">
        <v>142</v>
      </c>
      <c r="EL3" s="62" t="s">
        <v>143</v>
      </c>
      <c r="EM3" s="61" t="s">
        <v>144</v>
      </c>
      <c r="EN3" s="61" t="s">
        <v>145</v>
      </c>
      <c r="EO3" s="61" t="s">
        <v>146</v>
      </c>
      <c r="EP3" s="62" t="s">
        <v>147</v>
      </c>
      <c r="EQ3" s="62" t="s">
        <v>148</v>
      </c>
      <c r="ER3" s="61" t="s">
        <v>149</v>
      </c>
      <c r="ES3" s="61" t="s">
        <v>150</v>
      </c>
      <c r="ET3" s="61" t="s">
        <v>151</v>
      </c>
      <c r="EU3" s="62" t="s">
        <v>152</v>
      </c>
      <c r="EV3" s="62" t="s">
        <v>153</v>
      </c>
      <c r="EW3" s="61" t="s">
        <v>154</v>
      </c>
      <c r="EX3" s="61" t="s">
        <v>155</v>
      </c>
      <c r="EY3" s="61" t="s">
        <v>156</v>
      </c>
      <c r="EZ3" s="62" t="s">
        <v>157</v>
      </c>
      <c r="FA3" s="62" t="s">
        <v>158</v>
      </c>
      <c r="FB3" s="61" t="s">
        <v>159</v>
      </c>
      <c r="FC3" s="61" t="s">
        <v>160</v>
      </c>
      <c r="FD3" s="63" t="s">
        <v>161</v>
      </c>
      <c r="FE3" s="62" t="s">
        <v>162</v>
      </c>
      <c r="FF3" s="62" t="s">
        <v>163</v>
      </c>
      <c r="FG3" s="61" t="s">
        <v>164</v>
      </c>
      <c r="FH3" s="61" t="s">
        <v>165</v>
      </c>
      <c r="FI3" s="61" t="s">
        <v>166</v>
      </c>
      <c r="FJ3" s="62" t="s">
        <v>167</v>
      </c>
      <c r="FK3" s="62" t="s">
        <v>168</v>
      </c>
      <c r="FL3" s="64" t="s">
        <v>169</v>
      </c>
      <c r="FM3" s="65" t="s">
        <v>170</v>
      </c>
      <c r="FN3" s="64" t="s">
        <v>171</v>
      </c>
      <c r="FO3" s="65" t="s">
        <v>172</v>
      </c>
      <c r="FP3" s="64" t="s">
        <v>173</v>
      </c>
      <c r="FQ3" s="65" t="s">
        <v>174</v>
      </c>
      <c r="FR3" s="64" t="s">
        <v>175</v>
      </c>
      <c r="FS3" s="65" t="s">
        <v>176</v>
      </c>
      <c r="FT3" s="64" t="s">
        <v>177</v>
      </c>
      <c r="FU3" s="65" t="s">
        <v>178</v>
      </c>
      <c r="FV3" s="64" t="s">
        <v>179</v>
      </c>
      <c r="FW3" s="65" t="s">
        <v>180</v>
      </c>
      <c r="FX3" s="64" t="s">
        <v>181</v>
      </c>
      <c r="FY3" s="65" t="s">
        <v>182</v>
      </c>
      <c r="FZ3" s="64" t="s">
        <v>183</v>
      </c>
      <c r="GA3" s="65" t="s">
        <v>184</v>
      </c>
      <c r="GB3" s="64" t="s">
        <v>185</v>
      </c>
      <c r="GC3" s="65" t="s">
        <v>186</v>
      </c>
      <c r="GD3" s="64" t="s">
        <v>187</v>
      </c>
      <c r="GE3" s="65" t="s">
        <v>188</v>
      </c>
      <c r="GF3" s="64" t="s">
        <v>189</v>
      </c>
      <c r="GG3" s="65" t="s">
        <v>190</v>
      </c>
      <c r="GH3" s="64" t="s">
        <v>191</v>
      </c>
      <c r="GI3" s="65" t="s">
        <v>192</v>
      </c>
      <c r="GJ3" s="64" t="s">
        <v>193</v>
      </c>
      <c r="GK3" s="65" t="s">
        <v>194</v>
      </c>
      <c r="GL3" s="64" t="s">
        <v>195</v>
      </c>
      <c r="GM3" s="65" t="s">
        <v>196</v>
      </c>
      <c r="GN3" s="64" t="s">
        <v>197</v>
      </c>
      <c r="GO3" s="65" t="s">
        <v>198</v>
      </c>
      <c r="GP3" s="66" t="s">
        <v>199</v>
      </c>
      <c r="GQ3" s="66" t="s">
        <v>200</v>
      </c>
      <c r="GR3" s="67" t="s">
        <v>201</v>
      </c>
      <c r="GS3" s="68" t="s">
        <v>202</v>
      </c>
      <c r="GT3" s="69" t="s">
        <v>203</v>
      </c>
      <c r="GU3" s="66" t="s">
        <v>204</v>
      </c>
      <c r="GV3" s="66" t="s">
        <v>205</v>
      </c>
      <c r="GW3" s="67" t="s">
        <v>206</v>
      </c>
      <c r="GX3" s="68" t="s">
        <v>207</v>
      </c>
      <c r="GY3" s="69" t="s">
        <v>208</v>
      </c>
      <c r="GZ3" s="66" t="s">
        <v>209</v>
      </c>
      <c r="HA3" s="66" t="s">
        <v>210</v>
      </c>
      <c r="HB3" s="67" t="s">
        <v>211</v>
      </c>
      <c r="HC3" s="68" t="s">
        <v>212</v>
      </c>
      <c r="HD3" s="69" t="s">
        <v>213</v>
      </c>
      <c r="HE3" s="66" t="s">
        <v>214</v>
      </c>
      <c r="HF3" s="66" t="s">
        <v>215</v>
      </c>
      <c r="HG3" s="67" t="s">
        <v>216</v>
      </c>
      <c r="HH3" s="68" t="s">
        <v>217</v>
      </c>
      <c r="HI3" s="69" t="s">
        <v>218</v>
      </c>
      <c r="HJ3" s="66" t="s">
        <v>219</v>
      </c>
      <c r="HK3" s="66" t="s">
        <v>220</v>
      </c>
      <c r="HL3" s="67" t="s">
        <v>221</v>
      </c>
      <c r="HM3" s="68" t="s">
        <v>222</v>
      </c>
      <c r="HN3" s="69" t="s">
        <v>223</v>
      </c>
      <c r="HO3" s="66" t="s">
        <v>224</v>
      </c>
      <c r="HP3" s="66" t="s">
        <v>225</v>
      </c>
      <c r="HQ3" s="67" t="s">
        <v>226</v>
      </c>
      <c r="HR3" s="68" t="s">
        <v>227</v>
      </c>
      <c r="HS3" s="69" t="s">
        <v>228</v>
      </c>
      <c r="HT3" s="66" t="s">
        <v>229</v>
      </c>
      <c r="HU3" s="66" t="s">
        <v>230</v>
      </c>
      <c r="HV3" s="67" t="s">
        <v>231</v>
      </c>
      <c r="HW3" s="68" t="s">
        <v>232</v>
      </c>
      <c r="HX3" s="69" t="s">
        <v>233</v>
      </c>
      <c r="HY3" s="66" t="s">
        <v>234</v>
      </c>
      <c r="HZ3" s="66" t="s">
        <v>235</v>
      </c>
      <c r="IA3" s="67" t="s">
        <v>236</v>
      </c>
      <c r="IB3" s="68" t="s">
        <v>237</v>
      </c>
      <c r="IC3" s="69" t="s">
        <v>238</v>
      </c>
      <c r="ID3" s="66" t="s">
        <v>239</v>
      </c>
      <c r="IE3" s="66" t="s">
        <v>240</v>
      </c>
      <c r="IF3" s="67" t="s">
        <v>241</v>
      </c>
      <c r="IG3" s="68" t="s">
        <v>242</v>
      </c>
      <c r="IH3" s="69" t="s">
        <v>243</v>
      </c>
      <c r="II3" s="66" t="s">
        <v>244</v>
      </c>
      <c r="IJ3" s="66" t="s">
        <v>245</v>
      </c>
      <c r="IK3" s="67" t="s">
        <v>246</v>
      </c>
      <c r="IL3" s="68" t="s">
        <v>247</v>
      </c>
      <c r="IM3" s="69" t="s">
        <v>248</v>
      </c>
      <c r="IN3" s="66" t="s">
        <v>249</v>
      </c>
      <c r="IO3" s="66" t="s">
        <v>250</v>
      </c>
      <c r="IP3" s="67" t="s">
        <v>251</v>
      </c>
      <c r="IQ3" s="68" t="s">
        <v>252</v>
      </c>
      <c r="IR3" s="69" t="s">
        <v>253</v>
      </c>
      <c r="IS3" s="66" t="s">
        <v>254</v>
      </c>
      <c r="IT3" s="66" t="s">
        <v>255</v>
      </c>
      <c r="IU3" s="67" t="s">
        <v>256</v>
      </c>
      <c r="IV3" s="68" t="s">
        <v>257</v>
      </c>
      <c r="IW3" s="69" t="s">
        <v>258</v>
      </c>
      <c r="IX3" s="66" t="s">
        <v>259</v>
      </c>
      <c r="IY3" s="66" t="s">
        <v>260</v>
      </c>
      <c r="IZ3" s="67" t="s">
        <v>261</v>
      </c>
      <c r="JA3" s="68" t="s">
        <v>262</v>
      </c>
      <c r="JB3" s="69" t="s">
        <v>263</v>
      </c>
      <c r="JC3" s="66" t="s">
        <v>264</v>
      </c>
      <c r="JD3" s="66" t="s">
        <v>265</v>
      </c>
      <c r="JE3" s="67" t="s">
        <v>266</v>
      </c>
      <c r="JF3" s="68" t="s">
        <v>267</v>
      </c>
      <c r="JG3" s="69" t="s">
        <v>268</v>
      </c>
      <c r="JH3" s="70" t="s">
        <v>269</v>
      </c>
      <c r="JI3" s="66" t="s">
        <v>270</v>
      </c>
      <c r="JJ3" s="67" t="s">
        <v>271</v>
      </c>
      <c r="JK3" s="68" t="s">
        <v>272</v>
      </c>
      <c r="JL3" s="69" t="s">
        <v>273</v>
      </c>
      <c r="JM3" s="71" t="s">
        <v>274</v>
      </c>
      <c r="JN3" s="72" t="s">
        <v>275</v>
      </c>
      <c r="JO3" s="73" t="s">
        <v>276</v>
      </c>
      <c r="JP3" s="74" t="s">
        <v>277</v>
      </c>
      <c r="JQ3" s="72" t="s">
        <v>278</v>
      </c>
      <c r="JR3" s="72" t="s">
        <v>279</v>
      </c>
      <c r="JS3" s="75" t="s">
        <v>280</v>
      </c>
      <c r="JT3" s="76" t="s">
        <v>281</v>
      </c>
      <c r="JU3" s="77" t="s">
        <v>282</v>
      </c>
      <c r="JV3" s="78" t="s">
        <v>283</v>
      </c>
      <c r="JW3" s="78" t="s">
        <v>284</v>
      </c>
      <c r="JX3" s="78" t="s">
        <v>285</v>
      </c>
      <c r="JY3" s="78" t="s">
        <v>286</v>
      </c>
      <c r="JZ3" s="78" t="s">
        <v>287</v>
      </c>
      <c r="KA3" s="78" t="s">
        <v>288</v>
      </c>
      <c r="KB3" s="78" t="s">
        <v>289</v>
      </c>
      <c r="KC3" s="78" t="s">
        <v>290</v>
      </c>
      <c r="KD3" s="78" t="s">
        <v>291</v>
      </c>
      <c r="KE3" s="78" t="s">
        <v>292</v>
      </c>
      <c r="KF3" s="78" t="s">
        <v>293</v>
      </c>
      <c r="KG3" s="78" t="s">
        <v>294</v>
      </c>
      <c r="KH3" s="78" t="s">
        <v>295</v>
      </c>
      <c r="KI3" s="78" t="s">
        <v>296</v>
      </c>
      <c r="KJ3" s="78" t="s">
        <v>297</v>
      </c>
      <c r="KK3" s="78" t="s">
        <v>298</v>
      </c>
      <c r="KL3" s="78" t="s">
        <v>299</v>
      </c>
      <c r="KM3" s="78" t="s">
        <v>300</v>
      </c>
      <c r="KN3" s="78" t="s">
        <v>301</v>
      </c>
      <c r="KO3" s="78" t="s">
        <v>302</v>
      </c>
      <c r="KP3" s="78" t="s">
        <v>303</v>
      </c>
      <c r="KQ3" s="78" t="s">
        <v>304</v>
      </c>
      <c r="KR3" s="78" t="s">
        <v>305</v>
      </c>
      <c r="KS3" s="78" t="s">
        <v>306</v>
      </c>
      <c r="KT3" s="78" t="s">
        <v>307</v>
      </c>
      <c r="KU3" s="78" t="s">
        <v>308</v>
      </c>
      <c r="KV3" s="78" t="s">
        <v>309</v>
      </c>
      <c r="KW3" s="78" t="s">
        <v>310</v>
      </c>
      <c r="KX3" s="78" t="s">
        <v>311</v>
      </c>
      <c r="KY3" s="78" t="s">
        <v>312</v>
      </c>
      <c r="KZ3" s="78" t="s">
        <v>313</v>
      </c>
      <c r="LA3" s="78" t="s">
        <v>314</v>
      </c>
      <c r="LB3" s="78" t="s">
        <v>315</v>
      </c>
      <c r="LC3" s="78" t="s">
        <v>316</v>
      </c>
      <c r="LD3" s="78" t="s">
        <v>317</v>
      </c>
      <c r="LE3" s="78" t="s">
        <v>318</v>
      </c>
      <c r="LF3" s="78" t="s">
        <v>319</v>
      </c>
      <c r="LG3" s="78" t="s">
        <v>320</v>
      </c>
      <c r="LH3" s="78" t="s">
        <v>321</v>
      </c>
      <c r="LI3" s="78" t="s">
        <v>322</v>
      </c>
      <c r="LJ3" s="78" t="s">
        <v>323</v>
      </c>
      <c r="LK3" s="78" t="s">
        <v>324</v>
      </c>
      <c r="LL3" s="78" t="s">
        <v>325</v>
      </c>
      <c r="LM3" s="78" t="s">
        <v>326</v>
      </c>
      <c r="LN3" s="78" t="s">
        <v>327</v>
      </c>
      <c r="LO3" s="78" t="s">
        <v>328</v>
      </c>
      <c r="LP3" s="78" t="s">
        <v>329</v>
      </c>
      <c r="LQ3" s="78" t="s">
        <v>330</v>
      </c>
      <c r="LR3" s="78" t="s">
        <v>331</v>
      </c>
      <c r="LS3" s="78" t="s">
        <v>332</v>
      </c>
      <c r="LT3" s="78" t="s">
        <v>333</v>
      </c>
      <c r="LU3" s="78" t="s">
        <v>334</v>
      </c>
      <c r="LV3" s="78" t="s">
        <v>335</v>
      </c>
      <c r="LW3" s="78" t="s">
        <v>336</v>
      </c>
      <c r="LX3" s="78" t="s">
        <v>337</v>
      </c>
      <c r="LY3" s="78" t="s">
        <v>338</v>
      </c>
      <c r="LZ3" s="78" t="s">
        <v>339</v>
      </c>
      <c r="MA3" s="78" t="s">
        <v>340</v>
      </c>
      <c r="MB3" s="78" t="s">
        <v>341</v>
      </c>
      <c r="MC3" s="78" t="s">
        <v>342</v>
      </c>
      <c r="MD3" s="78" t="s">
        <v>343</v>
      </c>
      <c r="ME3" s="78" t="s">
        <v>344</v>
      </c>
      <c r="MF3" s="78" t="s">
        <v>345</v>
      </c>
      <c r="MG3" s="78" t="s">
        <v>346</v>
      </c>
      <c r="MH3" s="78" t="s">
        <v>347</v>
      </c>
      <c r="MI3" s="78" t="s">
        <v>348</v>
      </c>
      <c r="MJ3" s="78" t="s">
        <v>349</v>
      </c>
      <c r="MK3" s="78" t="s">
        <v>350</v>
      </c>
      <c r="ML3" s="78" t="s">
        <v>351</v>
      </c>
      <c r="MM3" s="78" t="s">
        <v>352</v>
      </c>
      <c r="MN3" s="78" t="s">
        <v>353</v>
      </c>
      <c r="MO3" s="78" t="s">
        <v>354</v>
      </c>
      <c r="MP3" s="78" t="s">
        <v>355</v>
      </c>
      <c r="MQ3" s="78" t="s">
        <v>356</v>
      </c>
      <c r="MR3" s="78" t="s">
        <v>357</v>
      </c>
      <c r="MS3" s="78" t="s">
        <v>358</v>
      </c>
      <c r="MT3" s="78" t="s">
        <v>359</v>
      </c>
      <c r="MU3" s="78" t="s">
        <v>360</v>
      </c>
      <c r="MV3" s="78" t="s">
        <v>361</v>
      </c>
      <c r="MW3" s="78" t="s">
        <v>362</v>
      </c>
      <c r="MX3" s="78" t="s">
        <v>363</v>
      </c>
      <c r="MY3" s="78" t="s">
        <v>364</v>
      </c>
      <c r="MZ3" s="78" t="s">
        <v>365</v>
      </c>
      <c r="NA3" s="78" t="s">
        <v>366</v>
      </c>
      <c r="NB3" s="78" t="s">
        <v>367</v>
      </c>
      <c r="NC3" s="78" t="s">
        <v>368</v>
      </c>
      <c r="ND3" s="78" t="s">
        <v>369</v>
      </c>
      <c r="NE3" s="78" t="s">
        <v>370</v>
      </c>
      <c r="NF3" s="78" t="s">
        <v>371</v>
      </c>
      <c r="NG3" s="78" t="s">
        <v>372</v>
      </c>
      <c r="NH3" s="78" t="s">
        <v>373</v>
      </c>
      <c r="NI3" s="78" t="s">
        <v>374</v>
      </c>
      <c r="NJ3" s="78" t="s">
        <v>375</v>
      </c>
      <c r="NK3" s="78" t="s">
        <v>376</v>
      </c>
      <c r="NL3" s="78" t="s">
        <v>377</v>
      </c>
      <c r="NM3" s="78" t="s">
        <v>378</v>
      </c>
      <c r="NN3" s="78" t="s">
        <v>379</v>
      </c>
      <c r="NO3" s="78" t="s">
        <v>380</v>
      </c>
      <c r="NP3" s="78" t="s">
        <v>381</v>
      </c>
      <c r="NQ3" s="78" t="s">
        <v>382</v>
      </c>
      <c r="NR3" s="78" t="s">
        <v>383</v>
      </c>
      <c r="NS3" s="78" t="s">
        <v>384</v>
      </c>
      <c r="NT3" s="78" t="s">
        <v>385</v>
      </c>
      <c r="NU3" s="79" t="s">
        <v>386</v>
      </c>
      <c r="NV3" s="80" t="s">
        <v>387</v>
      </c>
      <c r="NW3" s="81" t="s">
        <v>388</v>
      </c>
      <c r="NX3" s="82" t="s">
        <v>389</v>
      </c>
      <c r="NY3" s="79" t="s">
        <v>390</v>
      </c>
      <c r="NZ3" s="80" t="s">
        <v>391</v>
      </c>
    </row>
    <row r="4" spans="1:390" s="160" customFormat="1" ht="15.75" customHeight="1" x14ac:dyDescent="0.3">
      <c r="A4" s="181">
        <v>4342908360</v>
      </c>
      <c r="B4" s="182" t="s">
        <v>392</v>
      </c>
      <c r="C4" s="84" t="s">
        <v>393</v>
      </c>
      <c r="D4" s="183" t="s">
        <v>392</v>
      </c>
      <c r="E4" s="178" t="s">
        <v>626</v>
      </c>
      <c r="F4" s="177">
        <v>7</v>
      </c>
      <c r="G4" s="177">
        <v>8</v>
      </c>
      <c r="H4" s="184">
        <v>41711</v>
      </c>
      <c r="I4" s="185" t="s">
        <v>627</v>
      </c>
      <c r="J4" s="238" t="s">
        <v>398</v>
      </c>
      <c r="K4" s="84" t="s">
        <v>399</v>
      </c>
      <c r="L4" s="84" t="s">
        <v>399</v>
      </c>
      <c r="M4" s="84" t="s">
        <v>399</v>
      </c>
      <c r="N4" s="84" t="s">
        <v>399</v>
      </c>
      <c r="O4" s="84" t="s">
        <v>399</v>
      </c>
      <c r="P4" s="84" t="s">
        <v>399</v>
      </c>
      <c r="Q4" s="84" t="s">
        <v>399</v>
      </c>
      <c r="R4" s="84" t="s">
        <v>399</v>
      </c>
      <c r="S4" s="84" t="s">
        <v>399</v>
      </c>
      <c r="T4" s="84" t="s">
        <v>399</v>
      </c>
      <c r="U4" s="84" t="s">
        <v>399</v>
      </c>
      <c r="V4" s="84" t="s">
        <v>399</v>
      </c>
      <c r="W4" s="84" t="s">
        <v>399</v>
      </c>
      <c r="X4" s="84" t="s">
        <v>399</v>
      </c>
      <c r="Y4" s="84" t="s">
        <v>399</v>
      </c>
      <c r="Z4" s="84" t="s">
        <v>399</v>
      </c>
      <c r="AA4" s="84" t="s">
        <v>399</v>
      </c>
      <c r="AB4" s="179" t="s">
        <v>400</v>
      </c>
      <c r="AC4" s="186">
        <v>9953</v>
      </c>
      <c r="AD4" s="187">
        <v>41667</v>
      </c>
      <c r="AE4" s="86">
        <f t="shared" ref="AE4:AE45" si="0">DATEDIF(AC4, AD4,"Y")</f>
        <v>86</v>
      </c>
      <c r="AF4" s="108" t="s">
        <v>401</v>
      </c>
      <c r="AG4" s="84" t="s">
        <v>402</v>
      </c>
      <c r="AH4" s="87" t="s">
        <v>403</v>
      </c>
      <c r="AI4" s="85" t="s">
        <v>418</v>
      </c>
      <c r="AJ4" s="235" t="s">
        <v>405</v>
      </c>
      <c r="AK4" s="85" t="s">
        <v>405</v>
      </c>
      <c r="AL4" s="109">
        <v>0</v>
      </c>
      <c r="AM4" s="84" t="s">
        <v>419</v>
      </c>
      <c r="AN4" s="188">
        <v>3</v>
      </c>
      <c r="AO4" s="83" t="s">
        <v>399</v>
      </c>
      <c r="AP4" s="88"/>
      <c r="AQ4" s="189"/>
      <c r="AR4" s="88"/>
      <c r="AS4" s="190"/>
      <c r="AT4" s="190"/>
      <c r="AU4" s="190"/>
      <c r="AV4" s="190"/>
      <c r="AW4" s="88"/>
      <c r="AX4" s="190"/>
      <c r="AY4" s="190"/>
      <c r="AZ4" s="190"/>
      <c r="BA4" s="190"/>
      <c r="BB4" s="88"/>
      <c r="BC4" s="190"/>
      <c r="BD4" s="190"/>
      <c r="BE4" s="190"/>
      <c r="BF4" s="190"/>
      <c r="BG4" s="88"/>
      <c r="BH4" s="190"/>
      <c r="BI4" s="190"/>
      <c r="BJ4" s="190"/>
      <c r="BK4" s="190"/>
      <c r="BL4" s="88"/>
      <c r="BM4" s="190"/>
      <c r="BN4" s="190"/>
      <c r="BO4" s="190"/>
      <c r="BP4" s="190"/>
      <c r="BQ4" s="88"/>
      <c r="BR4" s="190"/>
      <c r="BS4" s="190"/>
      <c r="BT4" s="190"/>
      <c r="BU4" s="190"/>
      <c r="BV4" s="88"/>
      <c r="BW4" s="190"/>
      <c r="BX4" s="190"/>
      <c r="BY4" s="190"/>
      <c r="BZ4" s="190"/>
      <c r="CA4" s="88"/>
      <c r="CB4" s="190"/>
      <c r="CC4" s="190"/>
      <c r="CD4" s="190"/>
      <c r="CE4" s="190"/>
      <c r="CF4" s="88"/>
      <c r="CG4" s="190"/>
      <c r="CH4" s="190"/>
      <c r="CI4" s="190"/>
      <c r="CJ4" s="190"/>
      <c r="CK4" s="88"/>
      <c r="CL4" s="190"/>
      <c r="CM4" s="190"/>
      <c r="CN4" s="190"/>
      <c r="CO4" s="190"/>
      <c r="CP4" s="88"/>
      <c r="CQ4" s="190"/>
      <c r="CR4" s="190"/>
      <c r="CS4" s="190"/>
      <c r="CT4" s="190"/>
      <c r="CU4" s="88"/>
      <c r="CV4" s="190"/>
      <c r="CW4" s="190"/>
      <c r="CX4" s="190"/>
      <c r="CY4" s="190"/>
      <c r="CZ4" s="88"/>
      <c r="DA4" s="190"/>
      <c r="DB4" s="190"/>
      <c r="DC4" s="190"/>
      <c r="DD4" s="190"/>
      <c r="DE4" s="88"/>
      <c r="DF4" s="190"/>
      <c r="DG4" s="190"/>
      <c r="DH4" s="190"/>
      <c r="DI4" s="190"/>
      <c r="DJ4" s="88"/>
      <c r="DK4" s="190"/>
      <c r="DL4" s="190"/>
      <c r="DM4" s="190"/>
      <c r="DN4" s="190"/>
      <c r="DO4" s="88"/>
      <c r="DP4" s="190"/>
      <c r="DQ4" s="190"/>
      <c r="DR4" s="190"/>
      <c r="DS4" s="190"/>
      <c r="DT4" s="88"/>
      <c r="DU4" s="190"/>
      <c r="DV4" s="190"/>
      <c r="DW4" s="190"/>
      <c r="DX4" s="190"/>
      <c r="DY4" s="88"/>
      <c r="DZ4" s="190"/>
      <c r="EA4" s="190"/>
      <c r="EB4" s="190"/>
      <c r="EC4" s="190"/>
      <c r="ED4" s="88"/>
      <c r="EE4" s="190"/>
      <c r="EF4" s="190"/>
      <c r="EG4" s="190"/>
      <c r="EH4" s="190"/>
      <c r="EI4" s="88"/>
      <c r="EJ4" s="190"/>
      <c r="EK4" s="190"/>
      <c r="EL4" s="190"/>
      <c r="EM4" s="190"/>
      <c r="EN4" s="88"/>
      <c r="EO4" s="190"/>
      <c r="EP4" s="190"/>
      <c r="EQ4" s="190"/>
      <c r="ER4" s="190"/>
      <c r="ES4" s="88"/>
      <c r="ET4" s="190"/>
      <c r="EU4" s="190"/>
      <c r="EV4" s="190"/>
      <c r="EW4" s="190"/>
      <c r="EX4" s="88"/>
      <c r="EY4" s="190"/>
      <c r="EZ4" s="190"/>
      <c r="FA4" s="190"/>
      <c r="FB4" s="190"/>
      <c r="FC4" s="88"/>
      <c r="FD4" s="178"/>
      <c r="FE4" s="189"/>
      <c r="FF4" s="190"/>
      <c r="FG4" s="190"/>
      <c r="FH4" s="88"/>
      <c r="FI4" s="190"/>
      <c r="FJ4" s="190"/>
      <c r="FK4" s="190"/>
      <c r="FL4" s="190"/>
      <c r="FM4" s="190"/>
      <c r="FN4" s="190"/>
      <c r="FO4" s="190"/>
      <c r="FP4" s="190"/>
      <c r="FQ4" s="190"/>
      <c r="FR4" s="190"/>
      <c r="FS4" s="190"/>
      <c r="FT4" s="190"/>
      <c r="FU4" s="190"/>
      <c r="FV4" s="190"/>
      <c r="FW4" s="190"/>
      <c r="FX4" s="190"/>
      <c r="FY4" s="190"/>
      <c r="FZ4" s="190"/>
      <c r="GA4" s="190"/>
      <c r="GB4" s="190"/>
      <c r="GC4" s="190"/>
      <c r="GD4" s="190"/>
      <c r="GE4" s="190"/>
      <c r="GF4" s="190"/>
      <c r="GG4" s="190"/>
      <c r="GH4" s="190"/>
      <c r="GI4" s="190"/>
      <c r="GJ4" s="190"/>
      <c r="GK4" s="190"/>
      <c r="GL4" s="190"/>
      <c r="GM4" s="190"/>
      <c r="GN4" s="190"/>
      <c r="GO4" s="190"/>
      <c r="GP4" s="88"/>
      <c r="GQ4" s="190"/>
      <c r="GR4" s="190"/>
      <c r="GS4" s="190"/>
      <c r="GT4" s="190"/>
      <c r="GU4" s="88"/>
      <c r="GV4" s="190"/>
      <c r="GW4" s="190"/>
      <c r="GX4" s="190"/>
      <c r="GY4" s="190"/>
      <c r="GZ4" s="88"/>
      <c r="HA4" s="190"/>
      <c r="HB4" s="190"/>
      <c r="HC4" s="190"/>
      <c r="HD4" s="190"/>
      <c r="HE4" s="88"/>
      <c r="HF4" s="190"/>
      <c r="HG4" s="190"/>
      <c r="HH4" s="190"/>
      <c r="HI4" s="190"/>
      <c r="HJ4" s="88"/>
      <c r="HK4" s="190"/>
      <c r="HL4" s="190"/>
      <c r="HM4" s="190"/>
      <c r="HN4" s="190"/>
      <c r="HO4" s="88"/>
      <c r="HP4" s="190"/>
      <c r="HQ4" s="190"/>
      <c r="HR4" s="190"/>
      <c r="HS4" s="190"/>
      <c r="HT4" s="88"/>
      <c r="HU4" s="190"/>
      <c r="HV4" s="190"/>
      <c r="HW4" s="190"/>
      <c r="HX4" s="190"/>
      <c r="HY4" s="88"/>
      <c r="HZ4" s="190"/>
      <c r="IA4" s="190"/>
      <c r="IB4" s="190"/>
      <c r="IC4" s="190"/>
      <c r="ID4" s="88"/>
      <c r="IE4" s="190"/>
      <c r="IF4" s="190"/>
      <c r="IG4" s="190"/>
      <c r="IH4" s="190"/>
      <c r="II4" s="88"/>
      <c r="IJ4" s="190"/>
      <c r="IK4" s="190"/>
      <c r="IL4" s="190"/>
      <c r="IM4" s="190"/>
      <c r="IN4" s="88"/>
      <c r="IO4" s="190"/>
      <c r="IP4" s="190"/>
      <c r="IQ4" s="190"/>
      <c r="IR4" s="190"/>
      <c r="IS4" s="88"/>
      <c r="IT4" s="190"/>
      <c r="IU4" s="190"/>
      <c r="IV4" s="190"/>
      <c r="IW4" s="190"/>
      <c r="IX4" s="88"/>
      <c r="IY4" s="190"/>
      <c r="IZ4" s="190"/>
      <c r="JA4" s="190"/>
      <c r="JB4" s="190"/>
      <c r="JC4" s="88"/>
      <c r="JD4" s="190"/>
      <c r="JE4" s="190"/>
      <c r="JF4" s="190"/>
      <c r="JG4" s="191"/>
      <c r="JH4" s="88"/>
      <c r="JI4" s="189"/>
      <c r="JJ4" s="190"/>
      <c r="JK4" s="190"/>
      <c r="JL4" s="191"/>
      <c r="JM4" s="89"/>
      <c r="JN4" s="180"/>
      <c r="JO4" s="84"/>
      <c r="JP4" s="179"/>
      <c r="JQ4" s="178"/>
      <c r="JR4" s="178"/>
      <c r="JS4" s="178"/>
      <c r="JT4" s="191"/>
      <c r="JU4" s="178"/>
      <c r="JV4" s="178"/>
      <c r="JW4" s="178"/>
      <c r="JX4" s="178"/>
      <c r="JY4" s="178"/>
      <c r="JZ4" s="178"/>
      <c r="KA4" s="178"/>
      <c r="KB4" s="178"/>
      <c r="KC4" s="178"/>
      <c r="KD4" s="178"/>
      <c r="KE4" s="178"/>
      <c r="KF4" s="178"/>
      <c r="KG4" s="178"/>
      <c r="KH4" s="178"/>
      <c r="KI4" s="178"/>
      <c r="KJ4" s="178"/>
      <c r="KK4" s="178"/>
      <c r="KL4" s="178"/>
      <c r="KM4" s="178"/>
      <c r="KN4" s="178"/>
      <c r="KO4" s="178"/>
      <c r="KP4" s="178"/>
      <c r="KQ4" s="178"/>
      <c r="KR4" s="178"/>
      <c r="KS4" s="178"/>
      <c r="KT4" s="178"/>
      <c r="KU4" s="178"/>
      <c r="KV4" s="178"/>
      <c r="KW4" s="178"/>
      <c r="KX4" s="178"/>
      <c r="KY4" s="178"/>
      <c r="KZ4" s="178"/>
      <c r="LA4" s="178"/>
      <c r="LB4" s="178"/>
      <c r="LC4" s="178"/>
      <c r="LD4" s="178"/>
      <c r="LE4" s="178"/>
      <c r="LF4" s="178"/>
      <c r="LG4" s="178"/>
      <c r="LH4" s="178"/>
      <c r="LI4" s="178"/>
      <c r="LJ4" s="178"/>
      <c r="LK4" s="178"/>
      <c r="LL4" s="178"/>
      <c r="LM4" s="178"/>
      <c r="LN4" s="178"/>
      <c r="LO4" s="178"/>
      <c r="LP4" s="178"/>
      <c r="LQ4" s="178"/>
      <c r="LR4" s="178"/>
      <c r="LS4" s="178"/>
      <c r="LT4" s="178"/>
      <c r="LU4" s="178"/>
      <c r="LV4" s="178"/>
      <c r="LW4" s="178"/>
      <c r="LX4" s="178"/>
      <c r="LY4" s="178"/>
      <c r="LZ4" s="178"/>
      <c r="MA4" s="178"/>
      <c r="MB4" s="178"/>
      <c r="MC4" s="178"/>
      <c r="MD4" s="178"/>
      <c r="ME4" s="178"/>
      <c r="MF4" s="178"/>
      <c r="MG4" s="178"/>
      <c r="MH4" s="178"/>
      <c r="MI4" s="178"/>
      <c r="MJ4" s="178"/>
      <c r="MK4" s="178"/>
      <c r="ML4" s="178"/>
      <c r="MM4" s="178"/>
      <c r="MN4" s="178"/>
      <c r="MO4" s="178"/>
      <c r="MP4" s="178"/>
      <c r="MQ4" s="178"/>
      <c r="MR4" s="178"/>
      <c r="MS4" s="178"/>
      <c r="MT4" s="178"/>
      <c r="MU4" s="178"/>
      <c r="MV4" s="178"/>
      <c r="MW4" s="178"/>
      <c r="MX4" s="178"/>
      <c r="MY4" s="178"/>
      <c r="MZ4" s="178"/>
      <c r="NA4" s="178"/>
      <c r="NB4" s="178"/>
      <c r="NC4" s="178"/>
      <c r="ND4" s="178"/>
      <c r="NE4" s="178"/>
      <c r="NF4" s="178"/>
      <c r="NG4" s="178"/>
      <c r="NH4" s="178"/>
      <c r="NI4" s="178"/>
      <c r="NJ4" s="178"/>
      <c r="NK4" s="178"/>
      <c r="NL4" s="178"/>
      <c r="NM4" s="178"/>
      <c r="NN4" s="178"/>
      <c r="NO4" s="178"/>
      <c r="NP4" s="178"/>
      <c r="NQ4" s="190"/>
      <c r="NR4" s="190"/>
      <c r="NS4" s="190"/>
      <c r="NT4" s="190"/>
      <c r="NU4" s="178"/>
      <c r="NV4" s="178"/>
      <c r="NW4" s="178"/>
      <c r="NX4" s="178"/>
      <c r="NY4" s="178"/>
      <c r="NZ4" s="178"/>
    </row>
    <row r="5" spans="1:390" ht="15.75" customHeight="1" x14ac:dyDescent="0.3">
      <c r="A5" s="98">
        <v>4382389941</v>
      </c>
      <c r="B5" s="182" t="s">
        <v>392</v>
      </c>
      <c r="C5" s="84" t="s">
        <v>393</v>
      </c>
      <c r="D5" s="183" t="s">
        <v>392</v>
      </c>
      <c r="E5" s="93" t="s">
        <v>628</v>
      </c>
      <c r="F5" s="192" t="s">
        <v>416</v>
      </c>
      <c r="G5" s="192" t="s">
        <v>433</v>
      </c>
      <c r="H5" s="101">
        <v>42165</v>
      </c>
      <c r="I5" s="92" t="s">
        <v>629</v>
      </c>
      <c r="J5" s="238" t="s">
        <v>398</v>
      </c>
      <c r="K5" s="84" t="s">
        <v>399</v>
      </c>
      <c r="L5" s="84" t="s">
        <v>399</v>
      </c>
      <c r="M5" s="84" t="s">
        <v>399</v>
      </c>
      <c r="N5" s="84" t="s">
        <v>399</v>
      </c>
      <c r="O5" s="84" t="s">
        <v>399</v>
      </c>
      <c r="P5" s="84" t="s">
        <v>399</v>
      </c>
      <c r="Q5" s="84" t="s">
        <v>399</v>
      </c>
      <c r="R5" s="84" t="s">
        <v>399</v>
      </c>
      <c r="S5" s="84" t="s">
        <v>399</v>
      </c>
      <c r="T5" s="84" t="s">
        <v>399</v>
      </c>
      <c r="U5" s="84" t="s">
        <v>399</v>
      </c>
      <c r="V5" s="84" t="s">
        <v>399</v>
      </c>
      <c r="W5" s="84" t="s">
        <v>399</v>
      </c>
      <c r="X5" s="84" t="s">
        <v>399</v>
      </c>
      <c r="Y5" s="84" t="s">
        <v>399</v>
      </c>
      <c r="Z5" s="84" t="s">
        <v>399</v>
      </c>
      <c r="AA5" s="84" t="s">
        <v>399</v>
      </c>
      <c r="AB5" s="179" t="s">
        <v>400</v>
      </c>
      <c r="AC5" s="193">
        <v>15750</v>
      </c>
      <c r="AD5" s="194">
        <v>42143</v>
      </c>
      <c r="AE5" s="86">
        <f t="shared" si="0"/>
        <v>72</v>
      </c>
      <c r="AF5" s="244" t="s">
        <v>630</v>
      </c>
      <c r="AG5" s="84" t="s">
        <v>402</v>
      </c>
      <c r="AH5" s="85" t="s">
        <v>392</v>
      </c>
      <c r="AI5" s="85" t="s">
        <v>405</v>
      </c>
      <c r="AJ5" s="85">
        <v>2</v>
      </c>
      <c r="AK5" s="85" t="s">
        <v>405</v>
      </c>
      <c r="AL5" s="109">
        <v>0</v>
      </c>
      <c r="AM5" s="84" t="s">
        <v>399</v>
      </c>
      <c r="AN5" s="243" t="s">
        <v>631</v>
      </c>
      <c r="AO5" s="83" t="s">
        <v>399</v>
      </c>
      <c r="AP5" s="88"/>
      <c r="AQ5" s="95"/>
      <c r="AR5" s="88"/>
      <c r="AS5" s="93"/>
      <c r="AT5" s="93"/>
      <c r="AU5" s="93"/>
      <c r="AV5" s="93"/>
      <c r="AW5" s="88"/>
      <c r="AX5" s="93"/>
      <c r="AY5" s="93"/>
      <c r="AZ5" s="93"/>
      <c r="BA5" s="93"/>
      <c r="BB5" s="88"/>
      <c r="BC5" s="93"/>
      <c r="BD5" s="93"/>
      <c r="BE5" s="93"/>
      <c r="BF5" s="93"/>
      <c r="BG5" s="88"/>
      <c r="BH5" s="93"/>
      <c r="BI5" s="93"/>
      <c r="BJ5" s="93"/>
      <c r="BK5" s="93"/>
      <c r="BL5" s="88"/>
      <c r="BM5" s="93"/>
      <c r="BN5" s="93"/>
      <c r="BO5" s="93"/>
      <c r="BP5" s="93"/>
      <c r="BQ5" s="88"/>
      <c r="BR5" s="93"/>
      <c r="BS5" s="93"/>
      <c r="BT5" s="93"/>
      <c r="BU5" s="93"/>
      <c r="BV5" s="88"/>
      <c r="BW5" s="93"/>
      <c r="BX5" s="93"/>
      <c r="BY5" s="93"/>
      <c r="BZ5" s="93"/>
      <c r="CA5" s="88"/>
      <c r="CB5" s="93"/>
      <c r="CC5" s="93"/>
      <c r="CD5" s="93"/>
      <c r="CE5" s="93"/>
      <c r="CF5" s="88"/>
      <c r="CG5" s="93"/>
      <c r="CH5" s="93"/>
      <c r="CI5" s="93"/>
      <c r="CJ5" s="93"/>
      <c r="CK5" s="88"/>
      <c r="CL5" s="93"/>
      <c r="CM5" s="93"/>
      <c r="CN5" s="93"/>
      <c r="CO5" s="93"/>
      <c r="CP5" s="88"/>
      <c r="CQ5" s="93"/>
      <c r="CR5" s="93"/>
      <c r="CS5" s="93"/>
      <c r="CT5" s="93"/>
      <c r="CU5" s="88"/>
      <c r="CV5" s="93"/>
      <c r="CW5" s="93"/>
      <c r="CX5" s="93"/>
      <c r="CY5" s="93"/>
      <c r="CZ5" s="88"/>
      <c r="DA5" s="93"/>
      <c r="DB5" s="93"/>
      <c r="DC5" s="93"/>
      <c r="DD5" s="93"/>
      <c r="DE5" s="88"/>
      <c r="DF5" s="93"/>
      <c r="DG5" s="93"/>
      <c r="DH5" s="93"/>
      <c r="DI5" s="93"/>
      <c r="DJ5" s="88"/>
      <c r="DK5" s="93"/>
      <c r="DL5" s="93"/>
      <c r="DM5" s="93"/>
      <c r="DN5" s="93"/>
      <c r="DO5" s="88"/>
      <c r="DP5" s="93"/>
      <c r="DQ5" s="93"/>
      <c r="DR5" s="93"/>
      <c r="DS5" s="93"/>
      <c r="DT5" s="88"/>
      <c r="DU5" s="93"/>
      <c r="DV5" s="93"/>
      <c r="DW5" s="93"/>
      <c r="DX5" s="93"/>
      <c r="DY5" s="88"/>
      <c r="DZ5" s="93"/>
      <c r="EA5" s="93"/>
      <c r="EB5" s="93"/>
      <c r="EC5" s="93"/>
      <c r="ED5" s="88"/>
      <c r="EE5" s="93"/>
      <c r="EF5" s="93"/>
      <c r="EG5" s="93"/>
      <c r="EH5" s="93"/>
      <c r="EI5" s="88"/>
      <c r="EJ5" s="93"/>
      <c r="EK5" s="93"/>
      <c r="EL5" s="93"/>
      <c r="EM5" s="93"/>
      <c r="EN5" s="88"/>
      <c r="EO5" s="93"/>
      <c r="EP5" s="93"/>
      <c r="EQ5" s="93"/>
      <c r="ER5" s="93"/>
      <c r="ES5" s="88"/>
      <c r="ET5" s="93"/>
      <c r="EU5" s="93"/>
      <c r="EV5" s="93"/>
      <c r="EW5" s="93"/>
      <c r="EX5" s="88"/>
      <c r="EY5" s="93"/>
      <c r="EZ5" s="93"/>
      <c r="FA5" s="93"/>
      <c r="FB5" s="93"/>
      <c r="FC5" s="88"/>
      <c r="FD5" s="93"/>
      <c r="FE5" s="93"/>
      <c r="FF5" s="93"/>
      <c r="FG5" s="93"/>
      <c r="FH5" s="88"/>
      <c r="FI5" s="93"/>
      <c r="FJ5" s="93"/>
      <c r="FK5" s="93"/>
      <c r="FL5" s="93"/>
      <c r="FM5" s="93"/>
      <c r="FN5" s="93"/>
      <c r="FO5" s="93"/>
      <c r="FP5" s="93"/>
      <c r="FQ5" s="93"/>
      <c r="FR5" s="93"/>
      <c r="FS5" s="93"/>
      <c r="FT5" s="93"/>
      <c r="FU5" s="93"/>
      <c r="FV5" s="93"/>
      <c r="FW5" s="93"/>
      <c r="FX5" s="93"/>
      <c r="FY5" s="93"/>
      <c r="FZ5" s="93"/>
      <c r="GA5" s="93"/>
      <c r="GB5" s="93"/>
      <c r="GC5" s="93"/>
      <c r="GD5" s="93"/>
      <c r="GE5" s="93"/>
      <c r="GF5" s="93"/>
      <c r="GG5" s="93"/>
      <c r="GH5" s="93"/>
      <c r="GI5" s="93"/>
      <c r="GJ5" s="93"/>
      <c r="GK5" s="93"/>
      <c r="GL5" s="93"/>
      <c r="GM5" s="93"/>
      <c r="GN5" s="93"/>
      <c r="GO5" s="93"/>
      <c r="GP5" s="88"/>
      <c r="GQ5" s="93"/>
      <c r="GR5" s="93"/>
      <c r="GS5" s="93"/>
      <c r="GT5" s="93"/>
      <c r="GU5" s="88"/>
      <c r="GV5" s="93"/>
      <c r="GW5" s="93"/>
      <c r="GX5" s="93"/>
      <c r="GY5" s="93"/>
      <c r="GZ5" s="88"/>
      <c r="HA5" s="93"/>
      <c r="HB5" s="93"/>
      <c r="HC5" s="93"/>
      <c r="HD5" s="93"/>
      <c r="HE5" s="88"/>
      <c r="HF5" s="93"/>
      <c r="HG5" s="93"/>
      <c r="HH5" s="93"/>
      <c r="HI5" s="93"/>
      <c r="HJ5" s="88"/>
      <c r="HK5" s="93"/>
      <c r="HL5" s="93"/>
      <c r="HM5" s="93"/>
      <c r="HN5" s="93"/>
      <c r="HO5" s="88"/>
      <c r="HP5" s="93"/>
      <c r="HQ5" s="93"/>
      <c r="HR5" s="93"/>
      <c r="HS5" s="93"/>
      <c r="HT5" s="88"/>
      <c r="HU5" s="93"/>
      <c r="HV5" s="93"/>
      <c r="HW5" s="93"/>
      <c r="HX5" s="93"/>
      <c r="HY5" s="88"/>
      <c r="HZ5" s="93"/>
      <c r="IA5" s="93"/>
      <c r="IB5" s="93"/>
      <c r="IC5" s="93"/>
      <c r="ID5" s="88"/>
      <c r="IE5" s="93"/>
      <c r="IF5" s="93"/>
      <c r="IG5" s="93"/>
      <c r="IH5" s="93"/>
      <c r="II5" s="88"/>
      <c r="IJ5" s="93"/>
      <c r="IK5" s="93"/>
      <c r="IL5" s="93"/>
      <c r="IM5" s="93"/>
      <c r="IN5" s="88"/>
      <c r="IO5" s="93"/>
      <c r="IP5" s="93"/>
      <c r="IQ5" s="93"/>
      <c r="IR5" s="93"/>
      <c r="IS5" s="88"/>
      <c r="IT5" s="93"/>
      <c r="IU5" s="93"/>
      <c r="IV5" s="93"/>
      <c r="IW5" s="93"/>
      <c r="IX5" s="88"/>
      <c r="IY5" s="93"/>
      <c r="IZ5" s="93"/>
      <c r="JA5" s="93"/>
      <c r="JB5" s="93"/>
      <c r="JC5" s="88"/>
      <c r="JD5" s="93"/>
      <c r="JE5" s="93"/>
      <c r="JF5" s="93"/>
      <c r="JG5" s="94"/>
      <c r="JH5" s="88"/>
      <c r="JI5" s="95"/>
      <c r="JJ5" s="93"/>
      <c r="JK5" s="93"/>
      <c r="JL5" s="94"/>
      <c r="JM5" s="89"/>
      <c r="JN5" s="96"/>
      <c r="JO5" s="84"/>
      <c r="JP5" s="95"/>
      <c r="JQ5" s="93"/>
      <c r="JR5" s="93"/>
      <c r="JS5" s="93"/>
      <c r="JT5" s="93"/>
      <c r="JU5" s="93"/>
      <c r="JV5" s="93"/>
      <c r="JW5" s="93"/>
      <c r="JX5" s="93"/>
      <c r="JY5" s="93"/>
      <c r="JZ5" s="93"/>
      <c r="KA5" s="93"/>
      <c r="KB5" s="93"/>
      <c r="KC5" s="93"/>
      <c r="KD5" s="93"/>
      <c r="KE5" s="93"/>
      <c r="KF5" s="93"/>
      <c r="KG5" s="93"/>
      <c r="KH5" s="93"/>
      <c r="KI5" s="93"/>
      <c r="KJ5" s="93"/>
      <c r="KK5" s="93"/>
      <c r="KL5" s="93"/>
      <c r="KM5" s="93"/>
      <c r="KN5" s="93"/>
      <c r="KO5" s="93"/>
      <c r="KP5" s="93"/>
      <c r="KQ5" s="93"/>
      <c r="KR5" s="93"/>
      <c r="KS5" s="93"/>
      <c r="KT5" s="93"/>
      <c r="KU5" s="93"/>
      <c r="KV5" s="93"/>
      <c r="KW5" s="93"/>
      <c r="KX5" s="93"/>
      <c r="KY5" s="93"/>
      <c r="KZ5" s="93"/>
      <c r="LA5" s="93"/>
      <c r="LB5" s="93"/>
      <c r="LC5" s="93"/>
      <c r="LD5" s="93"/>
      <c r="LE5" s="93"/>
      <c r="LF5" s="93"/>
      <c r="LG5" s="93"/>
      <c r="LH5" s="93"/>
      <c r="LI5" s="93"/>
      <c r="LJ5" s="93"/>
      <c r="LK5" s="93"/>
      <c r="LL5" s="93"/>
      <c r="LM5" s="93"/>
      <c r="LN5" s="93"/>
      <c r="LO5" s="93"/>
      <c r="LP5" s="93"/>
      <c r="LQ5" s="93"/>
      <c r="LR5" s="93"/>
      <c r="LS5" s="93"/>
      <c r="LT5" s="93"/>
      <c r="LU5" s="93"/>
      <c r="LV5" s="93"/>
      <c r="LW5" s="93"/>
      <c r="LX5" s="93"/>
      <c r="LY5" s="93"/>
      <c r="LZ5" s="93"/>
      <c r="MA5" s="93"/>
      <c r="MB5" s="93"/>
      <c r="MC5" s="93"/>
      <c r="MD5" s="93"/>
      <c r="ME5" s="93"/>
      <c r="MF5" s="93"/>
      <c r="MG5" s="93"/>
      <c r="MH5" s="93"/>
      <c r="MI5" s="93"/>
      <c r="MJ5" s="93"/>
      <c r="MK5" s="93"/>
      <c r="ML5" s="93"/>
      <c r="MM5" s="93"/>
      <c r="MN5" s="93"/>
      <c r="MO5" s="93"/>
      <c r="MP5" s="93"/>
      <c r="MQ5" s="93"/>
      <c r="MR5" s="93"/>
      <c r="MS5" s="93"/>
      <c r="MT5" s="93"/>
      <c r="MU5" s="93"/>
      <c r="MV5" s="93"/>
      <c r="MW5" s="93"/>
      <c r="MX5" s="93"/>
      <c r="MY5" s="93"/>
      <c r="MZ5" s="93"/>
      <c r="NA5" s="93"/>
      <c r="NB5" s="93"/>
      <c r="NC5" s="93"/>
      <c r="ND5" s="93"/>
      <c r="NE5" s="93"/>
      <c r="NF5" s="93"/>
      <c r="NG5" s="93"/>
      <c r="NH5" s="93"/>
      <c r="NI5" s="93"/>
      <c r="NJ5" s="93"/>
      <c r="NK5" s="93"/>
      <c r="NL5" s="93"/>
      <c r="NM5" s="93"/>
      <c r="NN5" s="93"/>
      <c r="NO5" s="93"/>
      <c r="NP5" s="93"/>
      <c r="NQ5" s="93"/>
      <c r="NR5" s="93"/>
      <c r="NS5" s="93"/>
      <c r="NT5" s="93"/>
      <c r="NU5" s="93"/>
      <c r="NV5" s="93"/>
      <c r="NW5" s="93"/>
      <c r="NX5" s="93"/>
      <c r="NY5" s="93"/>
      <c r="NZ5" s="93"/>
    </row>
    <row r="6" spans="1:390" ht="15.75" customHeight="1" x14ac:dyDescent="0.3">
      <c r="A6" s="98">
        <v>4160684432</v>
      </c>
      <c r="B6" s="182" t="s">
        <v>392</v>
      </c>
      <c r="C6" s="84" t="s">
        <v>393</v>
      </c>
      <c r="D6" s="183" t="s">
        <v>392</v>
      </c>
      <c r="E6" s="93" t="s">
        <v>632</v>
      </c>
      <c r="F6" s="98" t="s">
        <v>452</v>
      </c>
      <c r="G6" s="93" t="s">
        <v>399</v>
      </c>
      <c r="H6" s="101">
        <v>42689</v>
      </c>
      <c r="I6" s="92" t="s">
        <v>633</v>
      </c>
      <c r="J6" s="234" t="s">
        <v>398</v>
      </c>
      <c r="K6" s="84" t="s">
        <v>399</v>
      </c>
      <c r="L6" s="84" t="s">
        <v>399</v>
      </c>
      <c r="M6" s="84" t="s">
        <v>399</v>
      </c>
      <c r="N6" s="84" t="s">
        <v>399</v>
      </c>
      <c r="O6" s="84" t="s">
        <v>399</v>
      </c>
      <c r="P6" s="84" t="s">
        <v>399</v>
      </c>
      <c r="Q6" s="84" t="s">
        <v>399</v>
      </c>
      <c r="R6" s="84" t="s">
        <v>399</v>
      </c>
      <c r="S6" s="84" t="s">
        <v>399</v>
      </c>
      <c r="T6" s="84" t="s">
        <v>399</v>
      </c>
      <c r="U6" s="84" t="s">
        <v>399</v>
      </c>
      <c r="V6" s="84" t="s">
        <v>399</v>
      </c>
      <c r="W6" s="84" t="s">
        <v>399</v>
      </c>
      <c r="X6" s="84" t="s">
        <v>399</v>
      </c>
      <c r="Y6" s="84" t="s">
        <v>399</v>
      </c>
      <c r="Z6" s="84" t="s">
        <v>399</v>
      </c>
      <c r="AA6" s="84" t="s">
        <v>399</v>
      </c>
      <c r="AB6" s="179" t="s">
        <v>400</v>
      </c>
      <c r="AC6" s="193">
        <v>25307</v>
      </c>
      <c r="AD6" s="194">
        <v>42650</v>
      </c>
      <c r="AE6" s="86">
        <f t="shared" si="0"/>
        <v>47</v>
      </c>
      <c r="AF6" s="158" t="s">
        <v>435</v>
      </c>
      <c r="AG6" s="84" t="s">
        <v>402</v>
      </c>
      <c r="AH6" s="87" t="s">
        <v>403</v>
      </c>
      <c r="AI6" s="85">
        <v>2</v>
      </c>
      <c r="AJ6" s="85">
        <v>0</v>
      </c>
      <c r="AK6" s="85" t="s">
        <v>405</v>
      </c>
      <c r="AL6" s="109">
        <v>0</v>
      </c>
      <c r="AM6" s="84" t="s">
        <v>423</v>
      </c>
      <c r="AN6" s="195">
        <v>2</v>
      </c>
      <c r="AO6" s="83" t="s">
        <v>399</v>
      </c>
      <c r="AP6" s="88"/>
      <c r="AQ6" s="95"/>
      <c r="AR6" s="88"/>
      <c r="AS6" s="93"/>
      <c r="AT6" s="93"/>
      <c r="AU6" s="93"/>
      <c r="AV6" s="93"/>
      <c r="AW6" s="88"/>
      <c r="AX6" s="93"/>
      <c r="AY6" s="93"/>
      <c r="AZ6" s="93"/>
      <c r="BA6" s="93"/>
      <c r="BB6" s="88"/>
      <c r="BC6" s="93"/>
      <c r="BD6" s="93"/>
      <c r="BE6" s="93"/>
      <c r="BF6" s="93"/>
      <c r="BG6" s="88"/>
      <c r="BH6" s="93"/>
      <c r="BI6" s="93"/>
      <c r="BJ6" s="93"/>
      <c r="BK6" s="93"/>
      <c r="BL6" s="88"/>
      <c r="BM6" s="93"/>
      <c r="BN6" s="93"/>
      <c r="BO6" s="93"/>
      <c r="BP6" s="93"/>
      <c r="BQ6" s="88"/>
      <c r="BR6" s="93"/>
      <c r="BS6" s="93"/>
      <c r="BT6" s="93"/>
      <c r="BU6" s="93"/>
      <c r="BV6" s="88"/>
      <c r="BW6" s="93"/>
      <c r="BX6" s="93"/>
      <c r="BY6" s="93"/>
      <c r="BZ6" s="93"/>
      <c r="CA6" s="88"/>
      <c r="CB6" s="93"/>
      <c r="CC6" s="93"/>
      <c r="CD6" s="93"/>
      <c r="CE6" s="93"/>
      <c r="CF6" s="88"/>
      <c r="CG6" s="93"/>
      <c r="CH6" s="93"/>
      <c r="CI6" s="93"/>
      <c r="CJ6" s="93"/>
      <c r="CK6" s="88"/>
      <c r="CL6" s="93"/>
      <c r="CM6" s="93"/>
      <c r="CN6" s="93"/>
      <c r="CO6" s="93"/>
      <c r="CP6" s="88"/>
      <c r="CQ6" s="93"/>
      <c r="CR6" s="93"/>
      <c r="CS6" s="93"/>
      <c r="CT6" s="93"/>
      <c r="CU6" s="88"/>
      <c r="CV6" s="93"/>
      <c r="CW6" s="93"/>
      <c r="CX6" s="93"/>
      <c r="CY6" s="93"/>
      <c r="CZ6" s="88"/>
      <c r="DA6" s="93"/>
      <c r="DB6" s="93"/>
      <c r="DC6" s="93"/>
      <c r="DD6" s="93"/>
      <c r="DE6" s="88"/>
      <c r="DF6" s="93"/>
      <c r="DG6" s="93"/>
      <c r="DH6" s="93"/>
      <c r="DI6" s="93"/>
      <c r="DJ6" s="88"/>
      <c r="DK6" s="93"/>
      <c r="DL6" s="93"/>
      <c r="DM6" s="93"/>
      <c r="DN6" s="93"/>
      <c r="DO6" s="88"/>
      <c r="DP6" s="93"/>
      <c r="DQ6" s="93"/>
      <c r="DR6" s="93"/>
      <c r="DS6" s="93"/>
      <c r="DT6" s="88"/>
      <c r="DU6" s="93"/>
      <c r="DV6" s="93"/>
      <c r="DW6" s="93"/>
      <c r="DX6" s="93"/>
      <c r="DY6" s="88"/>
      <c r="DZ6" s="93"/>
      <c r="EA6" s="93"/>
      <c r="EB6" s="93"/>
      <c r="EC6" s="93"/>
      <c r="ED6" s="88"/>
      <c r="EE6" s="93"/>
      <c r="EF6" s="93"/>
      <c r="EG6" s="93"/>
      <c r="EH6" s="93"/>
      <c r="EI6" s="88"/>
      <c r="EJ6" s="93"/>
      <c r="EK6" s="93"/>
      <c r="EL6" s="93"/>
      <c r="EM6" s="93"/>
      <c r="EN6" s="88"/>
      <c r="EO6" s="93"/>
      <c r="EP6" s="93"/>
      <c r="EQ6" s="93"/>
      <c r="ER6" s="93"/>
      <c r="ES6" s="88"/>
      <c r="ET6" s="93"/>
      <c r="EU6" s="93"/>
      <c r="EV6" s="93"/>
      <c r="EW6" s="93"/>
      <c r="EX6" s="88"/>
      <c r="EY6" s="93"/>
      <c r="EZ6" s="93"/>
      <c r="FA6" s="93"/>
      <c r="FB6" s="93"/>
      <c r="FC6" s="88"/>
      <c r="FD6" s="93"/>
      <c r="FE6" s="93"/>
      <c r="FF6" s="93"/>
      <c r="FG6" s="93"/>
      <c r="FH6" s="88"/>
      <c r="FI6" s="93"/>
      <c r="FJ6" s="93"/>
      <c r="FK6" s="93"/>
      <c r="FL6" s="93"/>
      <c r="FM6" s="93"/>
      <c r="FN6" s="93"/>
      <c r="FO6" s="93"/>
      <c r="FP6" s="93"/>
      <c r="FQ6" s="93"/>
      <c r="FR6" s="93"/>
      <c r="FS6" s="93"/>
      <c r="FT6" s="93"/>
      <c r="FU6" s="93"/>
      <c r="FV6" s="93"/>
      <c r="FW6" s="93"/>
      <c r="FX6" s="93"/>
      <c r="FY6" s="93"/>
      <c r="FZ6" s="93"/>
      <c r="GA6" s="93"/>
      <c r="GB6" s="93"/>
      <c r="GC6" s="93"/>
      <c r="GD6" s="93"/>
      <c r="GE6" s="93"/>
      <c r="GF6" s="93"/>
      <c r="GG6" s="93"/>
      <c r="GH6" s="93"/>
      <c r="GI6" s="93"/>
      <c r="GJ6" s="93"/>
      <c r="GK6" s="93"/>
      <c r="GL6" s="93"/>
      <c r="GM6" s="93"/>
      <c r="GN6" s="93"/>
      <c r="GO6" s="93"/>
      <c r="GP6" s="88"/>
      <c r="GQ6" s="93"/>
      <c r="GR6" s="93"/>
      <c r="GS6" s="93"/>
      <c r="GT6" s="93"/>
      <c r="GU6" s="88"/>
      <c r="GV6" s="93"/>
      <c r="GW6" s="93"/>
      <c r="GX6" s="93"/>
      <c r="GY6" s="93"/>
      <c r="GZ6" s="88"/>
      <c r="HA6" s="93"/>
      <c r="HB6" s="93"/>
      <c r="HC6" s="93"/>
      <c r="HD6" s="93"/>
      <c r="HE6" s="88"/>
      <c r="HF6" s="93"/>
      <c r="HG6" s="93"/>
      <c r="HH6" s="93"/>
      <c r="HI6" s="93"/>
      <c r="HJ6" s="88"/>
      <c r="HK6" s="93"/>
      <c r="HL6" s="93"/>
      <c r="HM6" s="93"/>
      <c r="HN6" s="93"/>
      <c r="HO6" s="88"/>
      <c r="HP6" s="93"/>
      <c r="HQ6" s="93"/>
      <c r="HR6" s="93"/>
      <c r="HS6" s="93"/>
      <c r="HT6" s="88"/>
      <c r="HU6" s="93"/>
      <c r="HV6" s="93"/>
      <c r="HW6" s="93"/>
      <c r="HX6" s="93"/>
      <c r="HY6" s="88"/>
      <c r="HZ6" s="93"/>
      <c r="IA6" s="93"/>
      <c r="IB6" s="93"/>
      <c r="IC6" s="93"/>
      <c r="ID6" s="88"/>
      <c r="IE6" s="93"/>
      <c r="IF6" s="93"/>
      <c r="IG6" s="93"/>
      <c r="IH6" s="93"/>
      <c r="II6" s="88"/>
      <c r="IJ6" s="93"/>
      <c r="IK6" s="93"/>
      <c r="IL6" s="93"/>
      <c r="IM6" s="93"/>
      <c r="IN6" s="88"/>
      <c r="IO6" s="93"/>
      <c r="IP6" s="93"/>
      <c r="IQ6" s="93"/>
      <c r="IR6" s="93"/>
      <c r="IS6" s="88"/>
      <c r="IT6" s="93"/>
      <c r="IU6" s="93"/>
      <c r="IV6" s="93"/>
      <c r="IW6" s="93"/>
      <c r="IX6" s="88"/>
      <c r="IY6" s="93"/>
      <c r="IZ6" s="93"/>
      <c r="JA6" s="93"/>
      <c r="JB6" s="93"/>
      <c r="JC6" s="88"/>
      <c r="JD6" s="93"/>
      <c r="JE6" s="93"/>
      <c r="JF6" s="93"/>
      <c r="JG6" s="94"/>
      <c r="JH6" s="88"/>
      <c r="JI6" s="95"/>
      <c r="JJ6" s="93"/>
      <c r="JK6" s="93"/>
      <c r="JL6" s="94"/>
      <c r="JM6" s="89"/>
      <c r="JN6" s="96"/>
      <c r="JO6" s="84"/>
      <c r="JP6" s="95"/>
      <c r="JQ6" s="93"/>
      <c r="JR6" s="93"/>
      <c r="JS6" s="93"/>
      <c r="JT6" s="93"/>
      <c r="JU6" s="93"/>
      <c r="JV6" s="93"/>
      <c r="JW6" s="93"/>
      <c r="JX6" s="93"/>
      <c r="JY6" s="93"/>
      <c r="JZ6" s="93"/>
      <c r="KA6" s="93"/>
      <c r="KB6" s="93"/>
      <c r="KC6" s="93"/>
      <c r="KD6" s="93"/>
      <c r="KE6" s="93"/>
      <c r="KF6" s="93"/>
      <c r="KG6" s="93"/>
      <c r="KH6" s="93"/>
      <c r="KI6" s="93"/>
      <c r="KJ6" s="93"/>
      <c r="KK6" s="93"/>
      <c r="KL6" s="93"/>
      <c r="KM6" s="93"/>
      <c r="KN6" s="93"/>
      <c r="KO6" s="93"/>
      <c r="KP6" s="93"/>
      <c r="KQ6" s="93"/>
      <c r="KR6" s="93"/>
      <c r="KS6" s="93"/>
      <c r="KT6" s="93"/>
      <c r="KU6" s="93"/>
      <c r="KV6" s="93"/>
      <c r="KW6" s="93"/>
      <c r="KX6" s="93"/>
      <c r="KY6" s="93"/>
      <c r="KZ6" s="93"/>
      <c r="LA6" s="93"/>
      <c r="LB6" s="93"/>
      <c r="LC6" s="93"/>
      <c r="LD6" s="93"/>
      <c r="LE6" s="93"/>
      <c r="LF6" s="93"/>
      <c r="LG6" s="93"/>
      <c r="LH6" s="93"/>
      <c r="LI6" s="93"/>
      <c r="LJ6" s="93"/>
      <c r="LK6" s="93"/>
      <c r="LL6" s="93"/>
      <c r="LM6" s="93"/>
      <c r="LN6" s="93"/>
      <c r="LO6" s="93"/>
      <c r="LP6" s="93"/>
      <c r="LQ6" s="93"/>
      <c r="LR6" s="93"/>
      <c r="LS6" s="93"/>
      <c r="LT6" s="93"/>
      <c r="LU6" s="93"/>
      <c r="LV6" s="93"/>
      <c r="LW6" s="93"/>
      <c r="LX6" s="93"/>
      <c r="LY6" s="93"/>
      <c r="LZ6" s="93"/>
      <c r="MA6" s="93"/>
      <c r="MB6" s="93"/>
      <c r="MC6" s="93"/>
      <c r="MD6" s="93"/>
      <c r="ME6" s="93"/>
      <c r="MF6" s="93"/>
      <c r="MG6" s="93"/>
      <c r="MH6" s="93"/>
      <c r="MI6" s="93"/>
      <c r="MJ6" s="93"/>
      <c r="MK6" s="93"/>
      <c r="ML6" s="93"/>
      <c r="MM6" s="93"/>
      <c r="MN6" s="93"/>
      <c r="MO6" s="93"/>
      <c r="MP6" s="93"/>
      <c r="MQ6" s="93"/>
      <c r="MR6" s="93"/>
      <c r="MS6" s="93"/>
      <c r="MT6" s="93"/>
      <c r="MU6" s="93"/>
      <c r="MV6" s="93"/>
      <c r="MW6" s="93"/>
      <c r="MX6" s="93"/>
      <c r="MY6" s="93"/>
      <c r="MZ6" s="93"/>
      <c r="NA6" s="93"/>
      <c r="NB6" s="93"/>
      <c r="NC6" s="93"/>
      <c r="ND6" s="93"/>
      <c r="NE6" s="93"/>
      <c r="NF6" s="93"/>
      <c r="NG6" s="93"/>
      <c r="NH6" s="93"/>
      <c r="NI6" s="93"/>
      <c r="NJ6" s="93"/>
      <c r="NK6" s="93"/>
      <c r="NL6" s="93"/>
      <c r="NM6" s="93"/>
      <c r="NN6" s="93"/>
      <c r="NO6" s="93"/>
      <c r="NP6" s="93"/>
      <c r="NQ6" s="93"/>
      <c r="NR6" s="93"/>
      <c r="NS6" s="93"/>
      <c r="NT6" s="93"/>
      <c r="NU6" s="93"/>
      <c r="NV6" s="93"/>
      <c r="NW6" s="93"/>
      <c r="NX6" s="93"/>
      <c r="NY6" s="93"/>
      <c r="NZ6" s="93"/>
    </row>
    <row r="7" spans="1:390" ht="15.75" customHeight="1" x14ac:dyDescent="0.3">
      <c r="A7" s="98">
        <v>4861674565</v>
      </c>
      <c r="B7" s="182" t="s">
        <v>392</v>
      </c>
      <c r="C7" s="84" t="s">
        <v>393</v>
      </c>
      <c r="D7" s="183" t="s">
        <v>392</v>
      </c>
      <c r="E7" s="93" t="s">
        <v>634</v>
      </c>
      <c r="F7" s="98">
        <v>17</v>
      </c>
      <c r="G7" s="98">
        <v>11</v>
      </c>
      <c r="H7" s="101">
        <v>42893</v>
      </c>
      <c r="I7" s="92" t="s">
        <v>627</v>
      </c>
      <c r="J7" s="234" t="s">
        <v>635</v>
      </c>
      <c r="K7" s="84" t="s">
        <v>399</v>
      </c>
      <c r="L7" s="84" t="s">
        <v>399</v>
      </c>
      <c r="M7" s="84" t="s">
        <v>399</v>
      </c>
      <c r="N7" s="84" t="s">
        <v>399</v>
      </c>
      <c r="O7" s="84" t="s">
        <v>399</v>
      </c>
      <c r="P7" s="84" t="s">
        <v>399</v>
      </c>
      <c r="Q7" s="84" t="s">
        <v>399</v>
      </c>
      <c r="R7" s="84" t="s">
        <v>399</v>
      </c>
      <c r="S7" s="84" t="s">
        <v>399</v>
      </c>
      <c r="T7" s="84" t="s">
        <v>399</v>
      </c>
      <c r="U7" s="84" t="s">
        <v>399</v>
      </c>
      <c r="V7" s="84" t="s">
        <v>399</v>
      </c>
      <c r="W7" s="84" t="s">
        <v>399</v>
      </c>
      <c r="X7" s="84" t="s">
        <v>399</v>
      </c>
      <c r="Y7" s="84" t="s">
        <v>399</v>
      </c>
      <c r="Z7" s="84" t="s">
        <v>399</v>
      </c>
      <c r="AA7" s="84" t="s">
        <v>399</v>
      </c>
      <c r="AB7" s="179" t="s">
        <v>400</v>
      </c>
      <c r="AC7" s="193">
        <v>21638</v>
      </c>
      <c r="AD7" s="194">
        <v>42835</v>
      </c>
      <c r="AE7" s="86">
        <f t="shared" si="0"/>
        <v>58</v>
      </c>
      <c r="AF7" s="108" t="s">
        <v>401</v>
      </c>
      <c r="AG7" s="84" t="s">
        <v>402</v>
      </c>
      <c r="AH7" s="87" t="s">
        <v>403</v>
      </c>
      <c r="AI7" s="85">
        <v>2</v>
      </c>
      <c r="AJ7" s="235" t="s">
        <v>405</v>
      </c>
      <c r="AK7" s="85" t="s">
        <v>405</v>
      </c>
      <c r="AL7" s="109">
        <v>0</v>
      </c>
      <c r="AM7" s="84" t="s">
        <v>423</v>
      </c>
      <c r="AN7" s="195">
        <v>1</v>
      </c>
      <c r="AO7" s="83" t="s">
        <v>399</v>
      </c>
      <c r="AP7" s="88"/>
      <c r="AQ7" s="95"/>
      <c r="AR7" s="88"/>
      <c r="AS7" s="93"/>
      <c r="AT7" s="93"/>
      <c r="AU7" s="93"/>
      <c r="AV7" s="93"/>
      <c r="AW7" s="88"/>
      <c r="AX7" s="93"/>
      <c r="AY7" s="93"/>
      <c r="AZ7" s="93"/>
      <c r="BA7" s="93"/>
      <c r="BB7" s="88"/>
      <c r="BC7" s="93"/>
      <c r="BD7" s="93"/>
      <c r="BE7" s="93"/>
      <c r="BF7" s="93"/>
      <c r="BG7" s="88"/>
      <c r="BH7" s="93"/>
      <c r="BI7" s="93"/>
      <c r="BJ7" s="93"/>
      <c r="BK7" s="93"/>
      <c r="BL7" s="88"/>
      <c r="BM7" s="93"/>
      <c r="BN7" s="93"/>
      <c r="BO7" s="93"/>
      <c r="BP7" s="93"/>
      <c r="BQ7" s="88"/>
      <c r="BR7" s="93"/>
      <c r="BS7" s="93"/>
      <c r="BT7" s="93"/>
      <c r="BU7" s="93"/>
      <c r="BV7" s="88"/>
      <c r="BW7" s="93"/>
      <c r="BX7" s="93"/>
      <c r="BY7" s="93"/>
      <c r="BZ7" s="93"/>
      <c r="CA7" s="88"/>
      <c r="CB7" s="93"/>
      <c r="CC7" s="93"/>
      <c r="CD7" s="93"/>
      <c r="CE7" s="93"/>
      <c r="CF7" s="88"/>
      <c r="CG7" s="93"/>
      <c r="CH7" s="93"/>
      <c r="CI7" s="93"/>
      <c r="CJ7" s="93"/>
      <c r="CK7" s="88"/>
      <c r="CL7" s="93"/>
      <c r="CM7" s="93"/>
      <c r="CN7" s="93"/>
      <c r="CO7" s="93"/>
      <c r="CP7" s="88"/>
      <c r="CQ7" s="93"/>
      <c r="CR7" s="93"/>
      <c r="CS7" s="93"/>
      <c r="CT7" s="93"/>
      <c r="CU7" s="88"/>
      <c r="CV7" s="93"/>
      <c r="CW7" s="93"/>
      <c r="CX7" s="93"/>
      <c r="CY7" s="93"/>
      <c r="CZ7" s="88"/>
      <c r="DA7" s="93"/>
      <c r="DB7" s="93"/>
      <c r="DC7" s="93"/>
      <c r="DD7" s="93"/>
      <c r="DE7" s="88"/>
      <c r="DF7" s="93"/>
      <c r="DG7" s="93"/>
      <c r="DH7" s="93"/>
      <c r="DI7" s="93"/>
      <c r="DJ7" s="88"/>
      <c r="DK7" s="93"/>
      <c r="DL7" s="93"/>
      <c r="DM7" s="93"/>
      <c r="DN7" s="93"/>
      <c r="DO7" s="88"/>
      <c r="DP7" s="93"/>
      <c r="DQ7" s="93"/>
      <c r="DR7" s="93"/>
      <c r="DS7" s="93"/>
      <c r="DT7" s="88"/>
      <c r="DU7" s="93"/>
      <c r="DV7" s="93"/>
      <c r="DW7" s="93"/>
      <c r="DX7" s="93"/>
      <c r="DY7" s="88"/>
      <c r="DZ7" s="93"/>
      <c r="EA7" s="93"/>
      <c r="EB7" s="93"/>
      <c r="EC7" s="93"/>
      <c r="ED7" s="88"/>
      <c r="EE7" s="93"/>
      <c r="EF7" s="93"/>
      <c r="EG7" s="93"/>
      <c r="EH7" s="93"/>
      <c r="EI7" s="88"/>
      <c r="EJ7" s="93"/>
      <c r="EK7" s="93"/>
      <c r="EL7" s="93"/>
      <c r="EM7" s="93"/>
      <c r="EN7" s="88"/>
      <c r="EO7" s="93"/>
      <c r="EP7" s="93"/>
      <c r="EQ7" s="93"/>
      <c r="ER7" s="93"/>
      <c r="ES7" s="88"/>
      <c r="ET7" s="93"/>
      <c r="EU7" s="93"/>
      <c r="EV7" s="93"/>
      <c r="EW7" s="93"/>
      <c r="EX7" s="88"/>
      <c r="EY7" s="93"/>
      <c r="EZ7" s="93"/>
      <c r="FA7" s="93"/>
      <c r="FB7" s="93"/>
      <c r="FC7" s="88"/>
      <c r="FD7" s="93"/>
      <c r="FE7" s="93"/>
      <c r="FF7" s="93"/>
      <c r="FG7" s="93"/>
      <c r="FH7" s="88"/>
      <c r="FI7" s="93"/>
      <c r="FJ7" s="93"/>
      <c r="FK7" s="93"/>
      <c r="FL7" s="93"/>
      <c r="FM7" s="93"/>
      <c r="FN7" s="93"/>
      <c r="FO7" s="93"/>
      <c r="FP7" s="93"/>
      <c r="FQ7" s="93"/>
      <c r="FR7" s="93"/>
      <c r="FS7" s="93"/>
      <c r="FT7" s="93"/>
      <c r="FU7" s="93"/>
      <c r="FV7" s="93"/>
      <c r="FW7" s="93"/>
      <c r="FX7" s="93"/>
      <c r="FY7" s="93"/>
      <c r="FZ7" s="93"/>
      <c r="GA7" s="93"/>
      <c r="GB7" s="93"/>
      <c r="GC7" s="93"/>
      <c r="GD7" s="93"/>
      <c r="GE7" s="93"/>
      <c r="GF7" s="93"/>
      <c r="GG7" s="93"/>
      <c r="GH7" s="93"/>
      <c r="GI7" s="93"/>
      <c r="GJ7" s="93"/>
      <c r="GK7" s="93"/>
      <c r="GL7" s="93"/>
      <c r="GM7" s="93"/>
      <c r="GN7" s="93"/>
      <c r="GO7" s="93"/>
      <c r="GP7" s="88"/>
      <c r="GQ7" s="93"/>
      <c r="GR7" s="93"/>
      <c r="GS7" s="93"/>
      <c r="GT7" s="93"/>
      <c r="GU7" s="88"/>
      <c r="GV7" s="93"/>
      <c r="GW7" s="93"/>
      <c r="GX7" s="93"/>
      <c r="GY7" s="93"/>
      <c r="GZ7" s="88"/>
      <c r="HA7" s="93"/>
      <c r="HB7" s="93"/>
      <c r="HC7" s="93"/>
      <c r="HD7" s="93"/>
      <c r="HE7" s="88"/>
      <c r="HF7" s="93"/>
      <c r="HG7" s="93"/>
      <c r="HH7" s="93"/>
      <c r="HI7" s="93"/>
      <c r="HJ7" s="88"/>
      <c r="HK7" s="93"/>
      <c r="HL7" s="93"/>
      <c r="HM7" s="93"/>
      <c r="HN7" s="93"/>
      <c r="HO7" s="88"/>
      <c r="HP7" s="93"/>
      <c r="HQ7" s="93"/>
      <c r="HR7" s="93"/>
      <c r="HS7" s="93"/>
      <c r="HT7" s="88"/>
      <c r="HU7" s="93"/>
      <c r="HV7" s="93"/>
      <c r="HW7" s="93"/>
      <c r="HX7" s="93"/>
      <c r="HY7" s="88"/>
      <c r="HZ7" s="93"/>
      <c r="IA7" s="93"/>
      <c r="IB7" s="93"/>
      <c r="IC7" s="93"/>
      <c r="ID7" s="88"/>
      <c r="IE7" s="93"/>
      <c r="IF7" s="93"/>
      <c r="IG7" s="93"/>
      <c r="IH7" s="93"/>
      <c r="II7" s="88"/>
      <c r="IJ7" s="93"/>
      <c r="IK7" s="93"/>
      <c r="IL7" s="93"/>
      <c r="IM7" s="93"/>
      <c r="IN7" s="88"/>
      <c r="IO7" s="93"/>
      <c r="IP7" s="93"/>
      <c r="IQ7" s="93"/>
      <c r="IR7" s="93"/>
      <c r="IS7" s="88"/>
      <c r="IT7" s="93"/>
      <c r="IU7" s="93"/>
      <c r="IV7" s="93"/>
      <c r="IW7" s="93"/>
      <c r="IX7" s="88"/>
      <c r="IY7" s="93"/>
      <c r="IZ7" s="93"/>
      <c r="JA7" s="93"/>
      <c r="JB7" s="93"/>
      <c r="JC7" s="88"/>
      <c r="JD7" s="93"/>
      <c r="JE7" s="93"/>
      <c r="JF7" s="93"/>
      <c r="JG7" s="94"/>
      <c r="JH7" s="88"/>
      <c r="JI7" s="95"/>
      <c r="JJ7" s="93"/>
      <c r="JK7" s="93"/>
      <c r="JL7" s="94"/>
      <c r="JM7" s="89"/>
      <c r="JN7" s="96"/>
      <c r="JO7" s="84"/>
      <c r="JP7" s="95"/>
      <c r="JQ7" s="93"/>
      <c r="JR7" s="93"/>
      <c r="JS7" s="93"/>
      <c r="JT7" s="93"/>
      <c r="JU7" s="93"/>
      <c r="JV7" s="93"/>
      <c r="JW7" s="93"/>
      <c r="JX7" s="93"/>
      <c r="JY7" s="93"/>
      <c r="JZ7" s="93"/>
      <c r="KA7" s="93"/>
      <c r="KB7" s="93"/>
      <c r="KC7" s="93"/>
      <c r="KD7" s="93"/>
      <c r="KE7" s="93"/>
      <c r="KF7" s="93"/>
      <c r="KG7" s="93"/>
      <c r="KH7" s="93"/>
      <c r="KI7" s="93"/>
      <c r="KJ7" s="93"/>
      <c r="KK7" s="93"/>
      <c r="KL7" s="93"/>
      <c r="KM7" s="93"/>
      <c r="KN7" s="93"/>
      <c r="KO7" s="93"/>
      <c r="KP7" s="93"/>
      <c r="KQ7" s="93"/>
      <c r="KR7" s="93"/>
      <c r="KS7" s="93"/>
      <c r="KT7" s="93"/>
      <c r="KU7" s="93"/>
      <c r="KV7" s="93"/>
      <c r="KW7" s="93"/>
      <c r="KX7" s="93"/>
      <c r="KY7" s="93"/>
      <c r="KZ7" s="93"/>
      <c r="LA7" s="93"/>
      <c r="LB7" s="93"/>
      <c r="LC7" s="93"/>
      <c r="LD7" s="93"/>
      <c r="LE7" s="93"/>
      <c r="LF7" s="93"/>
      <c r="LG7" s="93"/>
      <c r="LH7" s="93"/>
      <c r="LI7" s="93"/>
      <c r="LJ7" s="93"/>
      <c r="LK7" s="93"/>
      <c r="LL7" s="93"/>
      <c r="LM7" s="93"/>
      <c r="LN7" s="93"/>
      <c r="LO7" s="93"/>
      <c r="LP7" s="93"/>
      <c r="LQ7" s="93"/>
      <c r="LR7" s="93"/>
      <c r="LS7" s="93"/>
      <c r="LT7" s="93"/>
      <c r="LU7" s="93"/>
      <c r="LV7" s="93"/>
      <c r="LW7" s="93"/>
      <c r="LX7" s="93"/>
      <c r="LY7" s="93"/>
      <c r="LZ7" s="93"/>
      <c r="MA7" s="93"/>
      <c r="MB7" s="93"/>
      <c r="MC7" s="93"/>
      <c r="MD7" s="93"/>
      <c r="ME7" s="93"/>
      <c r="MF7" s="93"/>
      <c r="MG7" s="93"/>
      <c r="MH7" s="93"/>
      <c r="MI7" s="93"/>
      <c r="MJ7" s="93"/>
      <c r="MK7" s="93"/>
      <c r="ML7" s="93"/>
      <c r="MM7" s="93"/>
      <c r="MN7" s="93"/>
      <c r="MO7" s="93"/>
      <c r="MP7" s="93"/>
      <c r="MQ7" s="93"/>
      <c r="MR7" s="93"/>
      <c r="MS7" s="93"/>
      <c r="MT7" s="93"/>
      <c r="MU7" s="93"/>
      <c r="MV7" s="93"/>
      <c r="MW7" s="93"/>
      <c r="MX7" s="93"/>
      <c r="MY7" s="93"/>
      <c r="MZ7" s="93"/>
      <c r="NA7" s="93"/>
      <c r="NB7" s="93"/>
      <c r="NC7" s="93"/>
      <c r="ND7" s="93"/>
      <c r="NE7" s="93"/>
      <c r="NF7" s="93"/>
      <c r="NG7" s="93"/>
      <c r="NH7" s="93"/>
      <c r="NI7" s="93"/>
      <c r="NJ7" s="93"/>
      <c r="NK7" s="93"/>
      <c r="NL7" s="93"/>
      <c r="NM7" s="93"/>
      <c r="NN7" s="93"/>
      <c r="NO7" s="93"/>
      <c r="NP7" s="93"/>
      <c r="NQ7" s="93"/>
      <c r="NR7" s="93"/>
      <c r="NS7" s="93"/>
      <c r="NT7" s="93"/>
      <c r="NU7" s="93"/>
      <c r="NV7" s="93"/>
      <c r="NW7" s="93"/>
      <c r="NX7" s="93"/>
      <c r="NY7" s="93"/>
      <c r="NZ7" s="93"/>
    </row>
    <row r="8" spans="1:390" ht="15.75" customHeight="1" x14ac:dyDescent="0.3">
      <c r="A8" s="148">
        <v>7047516980</v>
      </c>
      <c r="B8" s="182" t="s">
        <v>392</v>
      </c>
      <c r="C8" s="84" t="s">
        <v>393</v>
      </c>
      <c r="D8" s="87" t="s">
        <v>392</v>
      </c>
      <c r="E8" s="148" t="s">
        <v>636</v>
      </c>
      <c r="F8" s="149" t="s">
        <v>474</v>
      </c>
      <c r="G8" s="89" t="s">
        <v>514</v>
      </c>
      <c r="H8" s="196">
        <v>43462</v>
      </c>
      <c r="I8" s="91" t="s">
        <v>637</v>
      </c>
      <c r="J8" s="246" t="s">
        <v>638</v>
      </c>
      <c r="K8" s="84" t="s">
        <v>399</v>
      </c>
      <c r="L8" s="84" t="s">
        <v>399</v>
      </c>
      <c r="M8" s="91" t="s">
        <v>399</v>
      </c>
      <c r="N8" s="91" t="s">
        <v>399</v>
      </c>
      <c r="O8" s="150" t="s">
        <v>399</v>
      </c>
      <c r="P8" s="151" t="s">
        <v>399</v>
      </c>
      <c r="Q8" s="84" t="s">
        <v>399</v>
      </c>
      <c r="R8" s="197" t="s">
        <v>399</v>
      </c>
      <c r="S8" s="197" t="s">
        <v>399</v>
      </c>
      <c r="T8" s="197" t="s">
        <v>399</v>
      </c>
      <c r="U8" s="198" t="s">
        <v>399</v>
      </c>
      <c r="V8" s="84" t="s">
        <v>399</v>
      </c>
      <c r="W8" s="197" t="s">
        <v>399</v>
      </c>
      <c r="X8" s="197" t="s">
        <v>399</v>
      </c>
      <c r="Y8" s="197" t="s">
        <v>399</v>
      </c>
      <c r="Z8" s="198" t="s">
        <v>399</v>
      </c>
      <c r="AA8" s="84" t="s">
        <v>399</v>
      </c>
      <c r="AB8" s="199" t="s">
        <v>400</v>
      </c>
      <c r="AC8" s="196">
        <v>24938</v>
      </c>
      <c r="AD8" s="200">
        <v>43444</v>
      </c>
      <c r="AE8" s="86">
        <f t="shared" si="0"/>
        <v>50</v>
      </c>
      <c r="AF8" s="158" t="s">
        <v>435</v>
      </c>
      <c r="AG8" s="84" t="s">
        <v>402</v>
      </c>
      <c r="AH8" s="87" t="s">
        <v>403</v>
      </c>
      <c r="AI8" s="85" t="s">
        <v>404</v>
      </c>
      <c r="AJ8" s="85">
        <v>0</v>
      </c>
      <c r="AK8" s="85" t="s">
        <v>405</v>
      </c>
      <c r="AL8" s="109">
        <v>0</v>
      </c>
      <c r="AM8" s="84" t="s">
        <v>406</v>
      </c>
      <c r="AN8" s="201">
        <v>2</v>
      </c>
      <c r="AO8" s="83" t="s">
        <v>399</v>
      </c>
      <c r="AP8" s="88"/>
      <c r="AQ8" s="152"/>
      <c r="AR8" s="88"/>
      <c r="AS8" s="88"/>
      <c r="AT8" s="153"/>
      <c r="AU8" s="153"/>
      <c r="AV8" s="88"/>
      <c r="AW8" s="88"/>
      <c r="AX8" s="153"/>
      <c r="AY8" s="88"/>
      <c r="AZ8" s="153"/>
      <c r="BA8" s="153"/>
      <c r="BB8" s="88"/>
      <c r="BC8" s="153"/>
      <c r="BD8" s="153"/>
      <c r="BE8" s="88"/>
      <c r="BF8" s="153"/>
      <c r="BG8" s="88"/>
      <c r="BH8" s="88"/>
      <c r="BI8" s="153"/>
      <c r="BJ8" s="153"/>
      <c r="BK8" s="88"/>
      <c r="BL8" s="88"/>
      <c r="BM8" s="153"/>
      <c r="BN8" s="153"/>
      <c r="BO8" s="88"/>
      <c r="BP8" s="88"/>
      <c r="BQ8" s="88"/>
      <c r="BR8" s="153"/>
      <c r="BS8" s="88"/>
      <c r="BT8" s="88"/>
      <c r="BU8" s="88"/>
      <c r="BV8" s="88"/>
      <c r="BW8" s="88"/>
      <c r="BX8" s="88"/>
      <c r="BY8" s="88"/>
      <c r="BZ8" s="88"/>
      <c r="CA8" s="88"/>
      <c r="CB8" s="88"/>
      <c r="CC8" s="88"/>
      <c r="CD8" s="88"/>
      <c r="CE8" s="88"/>
      <c r="CF8" s="88"/>
      <c r="CG8" s="88"/>
      <c r="CH8" s="88"/>
      <c r="CI8" s="88"/>
      <c r="CJ8" s="88"/>
      <c r="CK8" s="88"/>
      <c r="CL8" s="88"/>
      <c r="CM8" s="88"/>
      <c r="CN8" s="88"/>
      <c r="CO8" s="88"/>
      <c r="CP8" s="88"/>
      <c r="CQ8" s="88"/>
      <c r="CR8" s="153"/>
      <c r="CS8" s="153"/>
      <c r="CT8" s="88"/>
      <c r="CU8" s="88"/>
      <c r="CV8" s="153"/>
      <c r="CW8" s="88"/>
      <c r="CX8" s="153"/>
      <c r="CY8" s="153"/>
      <c r="CZ8" s="88"/>
      <c r="DA8" s="153"/>
      <c r="DB8" s="153"/>
      <c r="DC8" s="88"/>
      <c r="DD8" s="153"/>
      <c r="DE8" s="88"/>
      <c r="DF8" s="88"/>
      <c r="DG8" s="153"/>
      <c r="DH8" s="153"/>
      <c r="DI8" s="88"/>
      <c r="DJ8" s="88"/>
      <c r="DK8" s="153"/>
      <c r="DL8" s="153"/>
      <c r="DM8" s="88"/>
      <c r="DN8" s="88"/>
      <c r="DO8" s="88"/>
      <c r="DP8" s="153"/>
      <c r="DQ8" s="88"/>
      <c r="DR8" s="88"/>
      <c r="DS8" s="88"/>
      <c r="DT8" s="88"/>
      <c r="DU8" s="88"/>
      <c r="DV8" s="88"/>
      <c r="DW8" s="88"/>
      <c r="DX8" s="88"/>
      <c r="DY8" s="88"/>
      <c r="DZ8" s="88"/>
      <c r="EA8" s="88"/>
      <c r="EB8" s="88"/>
      <c r="EC8" s="88"/>
      <c r="ED8" s="88"/>
      <c r="EE8" s="88"/>
      <c r="EF8" s="88"/>
      <c r="EG8" s="88"/>
      <c r="EH8" s="88"/>
      <c r="EI8" s="88"/>
      <c r="EJ8" s="88"/>
      <c r="EK8" s="88"/>
      <c r="EL8" s="88"/>
      <c r="EM8" s="88"/>
      <c r="EN8" s="88"/>
      <c r="EO8" s="88"/>
      <c r="EP8" s="88"/>
      <c r="EQ8" s="88"/>
      <c r="ER8" s="88"/>
      <c r="ES8" s="88"/>
      <c r="ET8" s="88"/>
      <c r="EU8" s="88"/>
      <c r="EV8" s="88"/>
      <c r="EW8" s="88"/>
      <c r="EX8" s="88"/>
      <c r="EY8" s="88"/>
      <c r="EZ8" s="88"/>
      <c r="FA8" s="88"/>
      <c r="FB8" s="88"/>
      <c r="FC8" s="88"/>
      <c r="FD8" s="91"/>
      <c r="FE8" s="88"/>
      <c r="FF8" s="88"/>
      <c r="FG8" s="88"/>
      <c r="FH8" s="88"/>
      <c r="FI8" s="88"/>
      <c r="FJ8" s="88"/>
      <c r="FK8" s="88"/>
      <c r="FL8" s="153"/>
      <c r="FM8" s="84"/>
      <c r="FN8" s="84"/>
      <c r="FO8" s="84"/>
      <c r="FP8" s="84"/>
      <c r="FQ8" s="84"/>
      <c r="FR8" s="84"/>
      <c r="FS8" s="84"/>
      <c r="FT8" s="84"/>
      <c r="FU8" s="84"/>
      <c r="FV8" s="84"/>
      <c r="FW8" s="84"/>
      <c r="FX8" s="84"/>
      <c r="FY8" s="84"/>
      <c r="FZ8" s="84"/>
      <c r="GA8" s="84"/>
      <c r="GB8" s="84"/>
      <c r="GC8" s="84"/>
      <c r="GD8" s="84"/>
      <c r="GE8" s="84"/>
      <c r="GF8" s="84"/>
      <c r="GG8" s="84"/>
      <c r="GH8" s="84"/>
      <c r="GI8" s="84"/>
      <c r="GJ8" s="84"/>
      <c r="GK8" s="84"/>
      <c r="GL8" s="84"/>
      <c r="GM8" s="84"/>
      <c r="GN8" s="84"/>
      <c r="GO8" s="84"/>
      <c r="GP8" s="88"/>
      <c r="GQ8" s="88"/>
      <c r="GR8" s="153"/>
      <c r="GS8" s="153"/>
      <c r="GT8" s="88"/>
      <c r="GU8" s="88"/>
      <c r="GV8" s="88"/>
      <c r="GW8" s="153"/>
      <c r="GX8" s="88"/>
      <c r="GY8" s="88"/>
      <c r="GZ8" s="88"/>
      <c r="HA8" s="88"/>
      <c r="HB8" s="153"/>
      <c r="HC8" s="88"/>
      <c r="HD8" s="88"/>
      <c r="HE8" s="88"/>
      <c r="HF8" s="88"/>
      <c r="HG8" s="153"/>
      <c r="HH8" s="88"/>
      <c r="HI8" s="88"/>
      <c r="HJ8" s="88"/>
      <c r="HK8" s="88"/>
      <c r="HL8" s="153"/>
      <c r="HM8" s="88"/>
      <c r="HN8" s="88"/>
      <c r="HO8" s="88"/>
      <c r="HP8" s="88"/>
      <c r="HQ8" s="153"/>
      <c r="HR8" s="88"/>
      <c r="HS8" s="88"/>
      <c r="HT8" s="88"/>
      <c r="HU8" s="88"/>
      <c r="HV8" s="153"/>
      <c r="HW8" s="88"/>
      <c r="HX8" s="88"/>
      <c r="HY8" s="88"/>
      <c r="HZ8" s="88"/>
      <c r="IA8" s="153"/>
      <c r="IB8" s="88"/>
      <c r="IC8" s="88"/>
      <c r="ID8" s="88"/>
      <c r="IE8" s="88"/>
      <c r="IF8" s="153"/>
      <c r="IG8" s="88"/>
      <c r="IH8" s="88"/>
      <c r="II8" s="88"/>
      <c r="IJ8" s="88"/>
      <c r="IK8" s="153"/>
      <c r="IL8" s="88"/>
      <c r="IM8" s="88"/>
      <c r="IN8" s="88"/>
      <c r="IO8" s="88"/>
      <c r="IP8" s="88"/>
      <c r="IQ8" s="88"/>
      <c r="IR8" s="88"/>
      <c r="IS8" s="88"/>
      <c r="IT8" s="88"/>
      <c r="IU8" s="88"/>
      <c r="IV8" s="88"/>
      <c r="IW8" s="88"/>
      <c r="IX8" s="88"/>
      <c r="IY8" s="88"/>
      <c r="IZ8" s="88"/>
      <c r="JA8" s="88"/>
      <c r="JB8" s="88"/>
      <c r="JC8" s="88"/>
      <c r="JD8" s="88"/>
      <c r="JE8" s="88"/>
      <c r="JF8" s="88"/>
      <c r="JG8" s="154"/>
      <c r="JH8" s="88"/>
      <c r="JI8" s="152"/>
      <c r="JJ8" s="88"/>
      <c r="JK8" s="88"/>
      <c r="JL8" s="154"/>
      <c r="JM8" s="89"/>
      <c r="JN8" s="155"/>
      <c r="JO8" s="84"/>
      <c r="JP8" s="145"/>
      <c r="JQ8" s="150"/>
      <c r="JR8" s="150"/>
      <c r="JS8" s="89"/>
      <c r="JT8" s="156"/>
      <c r="JU8" s="86">
        <f>IFERROR((YEARFRAC($AD8,$AT8)*12),"N/A")</f>
        <v>1427.3333333333333</v>
      </c>
      <c r="JV8" s="86">
        <f>IFERROR((YEARFRAC($AD8,$AU8)*12),"N/A")</f>
        <v>1427.3333333333333</v>
      </c>
      <c r="JW8" s="86">
        <f>IFERROR((YEARFRAC($AD8,$AY8)*12),"N/A")</f>
        <v>1427.3333333333333</v>
      </c>
      <c r="JX8" s="86">
        <f>IFERROR((YEARFRAC($AD8,$AZ8)*12),"N/A")</f>
        <v>1427.3333333333333</v>
      </c>
      <c r="JY8" s="86">
        <f>IFERROR((YEARFRAC($AD8,$BD8)*12),"N/A")</f>
        <v>1427.3333333333333</v>
      </c>
      <c r="JZ8" s="86">
        <f>IFERROR((YEARFRAC($AD8,$BE8)*12),"N/A")</f>
        <v>1427.3333333333333</v>
      </c>
      <c r="KA8" s="86">
        <f>IFERROR((YEARFRAC($AD8,$BI8)*12),"N/A")</f>
        <v>1427.3333333333333</v>
      </c>
      <c r="KB8" s="86">
        <f>IFERROR((YEARFRAC($AD8,$BJ8)*12),"N/A")</f>
        <v>1427.3333333333333</v>
      </c>
      <c r="KC8" s="86">
        <f>IFERROR((YEARFRAC($AD8,$BN8)*12),"N/A")</f>
        <v>1427.3333333333333</v>
      </c>
      <c r="KD8" s="86">
        <f>IFERROR((YEARFRAC($AD8,$BO8)*12),"N/A")</f>
        <v>1427.3333333333333</v>
      </c>
      <c r="KE8" s="86">
        <f>IFERROR((YEARFRAC($AD8,$BS8)*12),"N/A")</f>
        <v>1427.3333333333333</v>
      </c>
      <c r="KF8" s="86">
        <f>IFERROR((YEARFRAC($AD8,$BT8)*12),"N/A")</f>
        <v>1427.3333333333333</v>
      </c>
      <c r="KG8" s="86">
        <f>IFERROR((YEARFRAC($AD8,$BX8)*12),"N/A")</f>
        <v>1427.3333333333333</v>
      </c>
      <c r="KH8" s="86">
        <f>IFERROR((YEARFRAC($AD8,$BY8)*12),"N/A")</f>
        <v>1427.3333333333333</v>
      </c>
      <c r="KI8" s="86">
        <f>IFERROR((YEARFRAC($AD8,$CC8)*12),"N/A")</f>
        <v>1427.3333333333333</v>
      </c>
      <c r="KJ8" s="86">
        <f>IFERROR((YEARFRAC($AD8,$CD8)*12),"N/A")</f>
        <v>1427.3333333333333</v>
      </c>
      <c r="KK8" s="86">
        <f>IFERROR((YEARFRAC($AD8,$CH8)*12),"N/A")</f>
        <v>1427.3333333333333</v>
      </c>
      <c r="KL8" s="86">
        <f>IFERROR((YEARFRAC($AD8,$CI8)*12),"N/A")</f>
        <v>1427.3333333333333</v>
      </c>
      <c r="KM8" s="86">
        <f>IFERROR((YEARFRAC($AD8,$CM8)*12),"N/A")</f>
        <v>1427.3333333333333</v>
      </c>
      <c r="KN8" s="86">
        <f>IFERROR((YEARFRAC($AD8,$CN8)*12),"N/A")</f>
        <v>1427.3333333333333</v>
      </c>
      <c r="KO8" s="86">
        <f>IFERROR((YEARFRAC($AD8,$H8)*12),"N/A")</f>
        <v>0.60000000000000009</v>
      </c>
      <c r="KP8" s="86" t="str">
        <f>IFERROR((YEARFRAC($AD8,$K8)*12),"N/A")</f>
        <v>N/A</v>
      </c>
      <c r="KQ8" s="86" t="str">
        <f>IFERROR((YEARFRAC($AD8,$P8)*12),"N/A")</f>
        <v>N/A</v>
      </c>
      <c r="KR8" s="86" t="str">
        <f>IFERROR((YEARFRAC($AD8,$U8)*12),"N/A")</f>
        <v>N/A</v>
      </c>
      <c r="KS8" s="86" t="str">
        <f>IFERROR((YEARFRAC($AD8,$Z8)*12),"N/A")</f>
        <v>N/A</v>
      </c>
      <c r="KT8" s="86">
        <f>IFERROR((YEARFRAC($AD8,$CR8)*12),"N/A")</f>
        <v>1427.3333333333333</v>
      </c>
      <c r="KU8" s="86">
        <f>IFERROR((YEARFRAC($AD8,$CS8)*12),"N/A")</f>
        <v>1427.3333333333333</v>
      </c>
      <c r="KV8" s="86">
        <f>IFERROR((YEARFRAC($AD8,$CW8)*12),"N/A")</f>
        <v>1427.3333333333333</v>
      </c>
      <c r="KW8" s="86">
        <f>IFERROR((YEARFRAC($AD8,$CX8)*12),"N/A")</f>
        <v>1427.3333333333333</v>
      </c>
      <c r="KX8" s="86">
        <f>IFERROR((YEARFRAC($AD8,$DB8)*12),"N/A")</f>
        <v>1427.3333333333333</v>
      </c>
      <c r="KY8" s="86">
        <f>IFERROR((YEARFRAC($AD8,$DC8)*12),"N/A")</f>
        <v>1427.3333333333333</v>
      </c>
      <c r="KZ8" s="86">
        <f>IFERROR((YEARFRAC($AD8,$DG8)*12),"N/A")</f>
        <v>1427.3333333333333</v>
      </c>
      <c r="LA8" s="86">
        <f>IFERROR((YEARFRAC($AD8,$DH8)*12),"N/A")</f>
        <v>1427.3333333333333</v>
      </c>
      <c r="LB8" s="86">
        <f>IFERROR((YEARFRAC($AD8,$DL8)*12),"N/A")</f>
        <v>1427.3333333333333</v>
      </c>
      <c r="LC8" s="86">
        <f>IFERROR((YEARFRAC($AD8,$DM8)*12),"N/A")</f>
        <v>1427.3333333333333</v>
      </c>
      <c r="LD8" s="86">
        <f>IFERROR((YEARFRAC($AD8,$DQ8)*12),"N/A")</f>
        <v>1427.3333333333333</v>
      </c>
      <c r="LE8" s="86">
        <f>IFERROR((YEARFRAC($AD8,$DR8)*12),"N/A")</f>
        <v>1427.3333333333333</v>
      </c>
      <c r="LF8" s="86">
        <f>IFERROR((YEARFRAC($AD8,$DV8)*12),"N/A")</f>
        <v>1427.3333333333333</v>
      </c>
      <c r="LG8" s="86">
        <f>IFERROR((YEARFRAC($AD8,$DW8)*12),"N/A")</f>
        <v>1427.3333333333333</v>
      </c>
      <c r="LH8" s="86">
        <f>IFERROR((YEARFRAC($AD8,$EA8)*12),"N/A")</f>
        <v>1427.3333333333333</v>
      </c>
      <c r="LI8" s="86">
        <f>IFERROR((YEARFRAC($AD8,$EB8)*12),"N/A")</f>
        <v>1427.3333333333333</v>
      </c>
      <c r="LJ8" s="86">
        <f>IFERROR((YEARFRAC($AD8,$EF8)*12),"N/A")</f>
        <v>1427.3333333333333</v>
      </c>
      <c r="LK8" s="86">
        <f>IFERROR((YEARFRAC($AD8,$EG8)*12),"N/A")</f>
        <v>1427.3333333333333</v>
      </c>
      <c r="LL8" s="86">
        <f>IFERROR((YEARFRAC($AD8,$EK8)*12),"N/A")</f>
        <v>1427.3333333333333</v>
      </c>
      <c r="LM8" s="86">
        <f>IFERROR((YEARFRAC($AD8,$EL8)*12),"N/A")</f>
        <v>1427.3333333333333</v>
      </c>
      <c r="LN8" s="86">
        <f>IFERROR((YEARFRAC($AD8,$EP8)*12),"N/A")</f>
        <v>1427.3333333333333</v>
      </c>
      <c r="LO8" s="86">
        <f>IFERROR((YEARFRAC($AD8,$EQ8)*12),"N/A")</f>
        <v>1427.3333333333333</v>
      </c>
      <c r="LP8" s="86">
        <f>IFERROR((YEARFRAC($AD8,$EU8)*12),"N/A")</f>
        <v>1427.3333333333333</v>
      </c>
      <c r="LQ8" s="86">
        <f>IFERROR((YEARFRAC($AD8,$EV8)*12),"N/A")</f>
        <v>1427.3333333333333</v>
      </c>
      <c r="LR8" s="86">
        <f>IFERROR((YEARFRAC($AD8,$EZ8)*12),"N/A")</f>
        <v>1427.3333333333333</v>
      </c>
      <c r="LS8" s="86">
        <f>IFERROR((YEARFRAC($AD8,$FA8)*12),"N/A")</f>
        <v>1427.3333333333333</v>
      </c>
      <c r="LT8" s="86">
        <f>IFERROR((YEARFRAC($AD8,$EE8)*12),"N/A")</f>
        <v>1427.3333333333333</v>
      </c>
      <c r="LU8" s="86">
        <f>IFERROR((YEARFRAC($AD8,$EF8)*12),"N/A")</f>
        <v>1427.3333333333333</v>
      </c>
      <c r="LV8" s="86">
        <f>IFERROR((YEARFRAC($AD8,$FJ8)*12),"N/A")</f>
        <v>1427.3333333333333</v>
      </c>
      <c r="LW8" s="86">
        <f>IFERROR((YEARFRAC($AD8,$FK8)*12),"N/A")</f>
        <v>1427.3333333333333</v>
      </c>
      <c r="LX8" s="86">
        <f>IFERROR((YEARFRAC($AD8,$FL8)*12),"N/A")</f>
        <v>1427.3333333333333</v>
      </c>
      <c r="LY8" s="86">
        <f>IFERROR((YEARFRAC($AD8,$FN8)*12),"N/A")</f>
        <v>1427.3333333333333</v>
      </c>
      <c r="LZ8" s="86">
        <f>IFERROR((YEARFRAC($AD8,$FP8)*12),"N/A")</f>
        <v>1427.3333333333333</v>
      </c>
      <c r="MA8" s="86">
        <f>IFERROR((YEARFRAC($AD8,$FR8)*12),"N/A")</f>
        <v>1427.3333333333333</v>
      </c>
      <c r="MB8" s="86">
        <f>IFERROR((YEARFRAC($AD8,$FT8)*12),"N/A")</f>
        <v>1427.3333333333333</v>
      </c>
      <c r="MC8" s="86">
        <f>IFERROR((YEARFRAC($AD8,$FV8)*12),"N/A")</f>
        <v>1427.3333333333333</v>
      </c>
      <c r="MD8" s="86">
        <f>IFERROR((YEARFRAC($AD8,$FX8)*12),"N/A")</f>
        <v>1427.3333333333333</v>
      </c>
      <c r="ME8" s="86">
        <f>IFERROR((YEARFRAC($AD8,$FZ8)*12),"N/A")</f>
        <v>1427.3333333333333</v>
      </c>
      <c r="MF8" s="86">
        <f>IFERROR((YEARFRAC($AD8,$GB8)*12),"N/A")</f>
        <v>1427.3333333333333</v>
      </c>
      <c r="MG8" s="86">
        <f>IFERROR((YEARFRAC($AD8,$GD8)*12),"N/A")</f>
        <v>1427.3333333333333</v>
      </c>
      <c r="MH8" s="86">
        <f>IFERROR((YEARFRAC($AD8,$GF8)*12),"N/A")</f>
        <v>1427.3333333333333</v>
      </c>
      <c r="MI8" s="86">
        <f>IFERROR((YEARFRAC($AD8,$GH8)*12),"N/A")</f>
        <v>1427.3333333333333</v>
      </c>
      <c r="MJ8" s="86">
        <f>IFERROR((YEARFRAC($AD8,$GJ8)*12),"N/A")</f>
        <v>1427.3333333333333</v>
      </c>
      <c r="MK8" s="86">
        <f>IFERROR((YEARFRAC($AD8,$GL8)*12),"N/A")</f>
        <v>1427.3333333333333</v>
      </c>
      <c r="ML8" s="86">
        <f>IFERROR((YEARFRAC($AD8,$GN8)*12),"N/A")</f>
        <v>1427.3333333333333</v>
      </c>
      <c r="MM8" s="86">
        <f>IFERROR((YEARFRAC($AD8,$GR8)*12),"N/A")</f>
        <v>1427.3333333333333</v>
      </c>
      <c r="MN8" s="86">
        <f>IFERROR((YEARFRAC($AD8,$GS8)*12),"N/A")</f>
        <v>1427.3333333333333</v>
      </c>
      <c r="MO8" s="86">
        <f>IFERROR((YEARFRAC($AD8,$GW8)*12),"N/A")</f>
        <v>1427.3333333333333</v>
      </c>
      <c r="MP8" s="86">
        <f>IFERROR((YEARFRAC($AD8,$GX8)*12),"N/A")</f>
        <v>1427.3333333333333</v>
      </c>
      <c r="MQ8" s="86">
        <f>IFERROR((YEARFRAC($AD8,$HB8)*12),"N/A")</f>
        <v>1427.3333333333333</v>
      </c>
      <c r="MR8" s="86">
        <f>IFERROR((YEARFRAC($AD8,$HC8)*12),"N/A")</f>
        <v>1427.3333333333333</v>
      </c>
      <c r="MS8" s="86">
        <f>IFERROR((YEARFRAC($AD8,$HG8)*12),"N/A")</f>
        <v>1427.3333333333333</v>
      </c>
      <c r="MT8" s="86">
        <f>IFERROR((YEARFRAC($AD8,$HH8)*12),"N/A")</f>
        <v>1427.3333333333333</v>
      </c>
      <c r="MU8" s="86">
        <f>IFERROR((YEARFRAC($AD8,$HL8)*12),"N/A")</f>
        <v>1427.3333333333333</v>
      </c>
      <c r="MV8" s="86">
        <f>IFERROR((YEARFRAC($AD8,$HM8)*12),"N/A")</f>
        <v>1427.3333333333333</v>
      </c>
      <c r="MW8" s="86">
        <f>IFERROR((YEARFRAC($AD8,$HQ8)*12),"N/A")</f>
        <v>1427.3333333333333</v>
      </c>
      <c r="MX8" s="86">
        <f>IFERROR((YEARFRAC($AD8,$HR8)*12),"N/A")</f>
        <v>1427.3333333333333</v>
      </c>
      <c r="MY8" s="86">
        <f>IFERROR((YEARFRAC($AD8,$HV8)*12),"N/A")</f>
        <v>1427.3333333333333</v>
      </c>
      <c r="MZ8" s="86">
        <f>IFERROR((YEARFRAC($AD8,$HW8)*12),"N/A")</f>
        <v>1427.3333333333333</v>
      </c>
      <c r="NA8" s="86">
        <f>IFERROR((YEARFRAC($AD8,$IA8)*12),"N/A")</f>
        <v>1427.3333333333333</v>
      </c>
      <c r="NB8" s="86">
        <f>IFERROR((YEARFRAC($AD8,$IB8)*12),"N/A")</f>
        <v>1427.3333333333333</v>
      </c>
      <c r="NC8" s="86">
        <f>IFERROR((YEARFRAC($AD8,$IF8)*12),"N/A")</f>
        <v>1427.3333333333333</v>
      </c>
      <c r="ND8" s="86">
        <f>IFERROR((YEARFRAC($AD8,$IG8)*12),"N/A")</f>
        <v>1427.3333333333333</v>
      </c>
      <c r="NE8" s="86">
        <f>IFERROR((YEARFRAC($AD8,$IK8)*12),"N/A")</f>
        <v>1427.3333333333333</v>
      </c>
      <c r="NF8" s="86">
        <f>IFERROR((YEARFRAC($AD8,$IL8)*12),"N/A")</f>
        <v>1427.3333333333333</v>
      </c>
      <c r="NG8" s="86">
        <f>IFERROR((YEARFRAC($AD8,$IP8)*12),"N/A")</f>
        <v>1427.3333333333333</v>
      </c>
      <c r="NH8" s="86">
        <f>IFERROR((YEARFRAC($AD8,$IQ8)*12),"N/A")</f>
        <v>1427.3333333333333</v>
      </c>
      <c r="NI8" s="86">
        <f>IFERROR((YEARFRAC($AD8,$IU8)*12),"N/A")</f>
        <v>1427.3333333333333</v>
      </c>
      <c r="NJ8" s="86">
        <f>IFERROR((YEARFRAC($AD8,$IV8)*12),"N/A")</f>
        <v>1427.3333333333333</v>
      </c>
      <c r="NK8" s="86">
        <f>IFERROR((YEARFRAC($AD8,$IZ8)*12),"N/A")</f>
        <v>1427.3333333333333</v>
      </c>
      <c r="NL8" s="86">
        <f>IFERROR((YEARFRAC($AD8,$JA8)*12),"N/A")</f>
        <v>1427.3333333333333</v>
      </c>
      <c r="NM8" s="86">
        <f>IFERROR((YEARFRAC($AD8,$JE8)*12),"N/A")</f>
        <v>1427.3333333333333</v>
      </c>
      <c r="NN8" s="86">
        <f>IFERROR((YEARFRAC($AD8,$JF8)*12),"N/A")</f>
        <v>1427.3333333333333</v>
      </c>
      <c r="NO8" s="86">
        <f>IFERROR((YEARFRAC($AD8,$JJ8)*12),"N/A")</f>
        <v>1427.3333333333333</v>
      </c>
      <c r="NP8" s="86">
        <f>IFERROR((YEARFRAC($AD8,$JK8)*12),"N/A")</f>
        <v>1427.3333333333333</v>
      </c>
      <c r="NQ8" s="157">
        <f>$LX8</f>
        <v>1427.3333333333333</v>
      </c>
      <c r="NR8" s="157">
        <f>IFERROR((YEARFRAC($AD8,$JN8)*12),"N/A")</f>
        <v>1427.3333333333333</v>
      </c>
      <c r="NS8" s="157">
        <f>IFERROR((YEARFRAC($AD8,$JQ8)*12),"N/A")</f>
        <v>1427.3333333333333</v>
      </c>
      <c r="NT8" s="157">
        <f>IFERROR((YEARFRAC($AD8,$JR8)*12),"N/A")</f>
        <v>1427.3333333333333</v>
      </c>
      <c r="NU8" s="157">
        <f>SUM($NR8,$NT8)</f>
        <v>2854.6666666666665</v>
      </c>
      <c r="NV8" s="157" cm="1">
        <f t="array" ref="NV8">INDEX($NQ8:$NS8,MATCH(TRUE,INDEX(ISNUMBER($NQ8:$NS8),0),0))</f>
        <v>1427.3333333333333</v>
      </c>
      <c r="NW8" s="156">
        <f>IF($NQ8="N/A",0,1)</f>
        <v>1</v>
      </c>
      <c r="NX8" s="156">
        <f>IF($JO8="Yes",1,0)</f>
        <v>0</v>
      </c>
      <c r="NY8" s="156">
        <f>IF($NR8="N/A",0,1)</f>
        <v>1</v>
      </c>
      <c r="NZ8" s="156" t="str">
        <f>IF(OR($NW8=1,$NX8=1),"1","0")</f>
        <v>1</v>
      </c>
    </row>
    <row r="9" spans="1:390" ht="15.75" customHeight="1" x14ac:dyDescent="0.3">
      <c r="A9" s="90">
        <v>4185839723</v>
      </c>
      <c r="B9" s="182" t="s">
        <v>392</v>
      </c>
      <c r="C9" s="84" t="s">
        <v>393</v>
      </c>
      <c r="D9" s="87" t="s">
        <v>392</v>
      </c>
      <c r="E9" s="91" t="s">
        <v>639</v>
      </c>
      <c r="F9" s="92" t="s">
        <v>425</v>
      </c>
      <c r="G9" s="93" t="s">
        <v>399</v>
      </c>
      <c r="H9" s="101">
        <v>43472</v>
      </c>
      <c r="I9" s="92" t="s">
        <v>640</v>
      </c>
      <c r="J9" s="234" t="s">
        <v>398</v>
      </c>
      <c r="K9" s="93" t="s">
        <v>399</v>
      </c>
      <c r="L9" s="93" t="s">
        <v>399</v>
      </c>
      <c r="M9" s="91" t="s">
        <v>639</v>
      </c>
      <c r="N9" s="84" t="s">
        <v>641</v>
      </c>
      <c r="O9" s="84" t="s">
        <v>642</v>
      </c>
      <c r="P9" s="194">
        <v>43472</v>
      </c>
      <c r="Q9" s="84" t="s">
        <v>393</v>
      </c>
      <c r="R9" s="197" t="s">
        <v>399</v>
      </c>
      <c r="S9" s="197" t="s">
        <v>399</v>
      </c>
      <c r="T9" s="197" t="s">
        <v>399</v>
      </c>
      <c r="U9" s="198" t="s">
        <v>399</v>
      </c>
      <c r="V9" s="84" t="s">
        <v>399</v>
      </c>
      <c r="W9" s="197" t="s">
        <v>399</v>
      </c>
      <c r="X9" s="197" t="s">
        <v>399</v>
      </c>
      <c r="Y9" s="197" t="s">
        <v>399</v>
      </c>
      <c r="Z9" s="198" t="s">
        <v>399</v>
      </c>
      <c r="AA9" s="84" t="s">
        <v>399</v>
      </c>
      <c r="AB9" s="199" t="s">
        <v>400</v>
      </c>
      <c r="AC9" s="193">
        <v>24400</v>
      </c>
      <c r="AD9" s="194">
        <v>43452</v>
      </c>
      <c r="AE9" s="86">
        <f t="shared" si="0"/>
        <v>52</v>
      </c>
      <c r="AF9" s="108" t="s">
        <v>401</v>
      </c>
      <c r="AG9" s="84" t="s">
        <v>402</v>
      </c>
      <c r="AH9" s="85" t="s">
        <v>392</v>
      </c>
      <c r="AI9" s="85" t="s">
        <v>405</v>
      </c>
      <c r="AJ9" s="235">
        <v>2</v>
      </c>
      <c r="AK9" s="85" t="s">
        <v>405</v>
      </c>
      <c r="AL9" s="109">
        <v>1</v>
      </c>
      <c r="AM9" s="84" t="s">
        <v>399</v>
      </c>
      <c r="AN9" s="195">
        <v>2</v>
      </c>
      <c r="AO9" s="83" t="s">
        <v>399</v>
      </c>
      <c r="AP9" s="88"/>
      <c r="AQ9" s="95"/>
      <c r="AR9" s="88"/>
      <c r="AS9" s="93"/>
      <c r="AT9" s="93"/>
      <c r="AU9" s="93"/>
      <c r="AV9" s="93"/>
      <c r="AW9" s="88"/>
      <c r="AX9" s="93"/>
      <c r="AY9" s="93"/>
      <c r="AZ9" s="93"/>
      <c r="BA9" s="93"/>
      <c r="BB9" s="88"/>
      <c r="BC9" s="93"/>
      <c r="BD9" s="93"/>
      <c r="BE9" s="93"/>
      <c r="BF9" s="93"/>
      <c r="BG9" s="88"/>
      <c r="BH9" s="93"/>
      <c r="BI9" s="93"/>
      <c r="BJ9" s="93"/>
      <c r="BK9" s="93"/>
      <c r="BL9" s="88"/>
      <c r="BM9" s="93"/>
      <c r="BN9" s="93"/>
      <c r="BO9" s="93"/>
      <c r="BP9" s="93"/>
      <c r="BQ9" s="88"/>
      <c r="BR9" s="93"/>
      <c r="BS9" s="93"/>
      <c r="BT9" s="93"/>
      <c r="BU9" s="93"/>
      <c r="BV9" s="88"/>
      <c r="BW9" s="93"/>
      <c r="BX9" s="93"/>
      <c r="BY9" s="93"/>
      <c r="BZ9" s="93"/>
      <c r="CA9" s="88"/>
      <c r="CB9" s="93"/>
      <c r="CC9" s="93"/>
      <c r="CD9" s="93"/>
      <c r="CE9" s="93"/>
      <c r="CF9" s="88"/>
      <c r="CG9" s="93"/>
      <c r="CH9" s="93"/>
      <c r="CI9" s="93"/>
      <c r="CJ9" s="93"/>
      <c r="CK9" s="88"/>
      <c r="CL9" s="93"/>
      <c r="CM9" s="93"/>
      <c r="CN9" s="93"/>
      <c r="CO9" s="93"/>
      <c r="CP9" s="88"/>
      <c r="CQ9" s="93"/>
      <c r="CR9" s="93"/>
      <c r="CS9" s="93"/>
      <c r="CT9" s="93"/>
      <c r="CU9" s="88"/>
      <c r="CV9" s="93"/>
      <c r="CW9" s="93"/>
      <c r="CX9" s="93"/>
      <c r="CY9" s="93"/>
      <c r="CZ9" s="88"/>
      <c r="DA9" s="93"/>
      <c r="DB9" s="93"/>
      <c r="DC9" s="93"/>
      <c r="DD9" s="93"/>
      <c r="DE9" s="88"/>
      <c r="DF9" s="93"/>
      <c r="DG9" s="93"/>
      <c r="DH9" s="93"/>
      <c r="DI9" s="93"/>
      <c r="DJ9" s="88"/>
      <c r="DK9" s="93"/>
      <c r="DL9" s="93"/>
      <c r="DM9" s="93"/>
      <c r="DN9" s="93"/>
      <c r="DO9" s="88"/>
      <c r="DP9" s="93"/>
      <c r="DQ9" s="93"/>
      <c r="DR9" s="93"/>
      <c r="DS9" s="93"/>
      <c r="DT9" s="88"/>
      <c r="DU9" s="93"/>
      <c r="DV9" s="93"/>
      <c r="DW9" s="93"/>
      <c r="DX9" s="93"/>
      <c r="DY9" s="88"/>
      <c r="DZ9" s="93"/>
      <c r="EA9" s="93"/>
      <c r="EB9" s="93"/>
      <c r="EC9" s="93"/>
      <c r="ED9" s="88"/>
      <c r="EE9" s="93"/>
      <c r="EF9" s="93"/>
      <c r="EG9" s="93"/>
      <c r="EH9" s="93"/>
      <c r="EI9" s="88"/>
      <c r="EJ9" s="93"/>
      <c r="EK9" s="93"/>
      <c r="EL9" s="93"/>
      <c r="EM9" s="93"/>
      <c r="EN9" s="88"/>
      <c r="EO9" s="93"/>
      <c r="EP9" s="93"/>
      <c r="EQ9" s="93"/>
      <c r="ER9" s="93"/>
      <c r="ES9" s="88"/>
      <c r="ET9" s="93"/>
      <c r="EU9" s="93"/>
      <c r="EV9" s="93"/>
      <c r="EW9" s="93"/>
      <c r="EX9" s="88"/>
      <c r="EY9" s="93"/>
      <c r="EZ9" s="93"/>
      <c r="FA9" s="93"/>
      <c r="FB9" s="93"/>
      <c r="FC9" s="88"/>
      <c r="FD9" s="93"/>
      <c r="FE9" s="93"/>
      <c r="FF9" s="93"/>
      <c r="FG9" s="93"/>
      <c r="FH9" s="88"/>
      <c r="FI9" s="93"/>
      <c r="FJ9" s="93"/>
      <c r="FK9" s="93"/>
      <c r="FL9" s="93"/>
      <c r="FM9" s="93"/>
      <c r="FN9" s="93"/>
      <c r="FO9" s="93"/>
      <c r="FP9" s="93"/>
      <c r="FQ9" s="93"/>
      <c r="FR9" s="93"/>
      <c r="FS9" s="93"/>
      <c r="FT9" s="93"/>
      <c r="FU9" s="93"/>
      <c r="FV9" s="93"/>
      <c r="FW9" s="93"/>
      <c r="FX9" s="93"/>
      <c r="FY9" s="93"/>
      <c r="FZ9" s="93"/>
      <c r="GA9" s="93"/>
      <c r="GB9" s="93"/>
      <c r="GC9" s="93"/>
      <c r="GD9" s="93"/>
      <c r="GE9" s="93"/>
      <c r="GF9" s="93"/>
      <c r="GG9" s="93"/>
      <c r="GH9" s="93"/>
      <c r="GI9" s="93"/>
      <c r="GJ9" s="93"/>
      <c r="GK9" s="93"/>
      <c r="GL9" s="93"/>
      <c r="GM9" s="93"/>
      <c r="GN9" s="93"/>
      <c r="GO9" s="93"/>
      <c r="GP9" s="88"/>
      <c r="GQ9" s="93"/>
      <c r="GR9" s="93"/>
      <c r="GS9" s="93"/>
      <c r="GT9" s="93"/>
      <c r="GU9" s="88"/>
      <c r="GV9" s="93"/>
      <c r="GW9" s="93"/>
      <c r="GX9" s="93"/>
      <c r="GY9" s="93"/>
      <c r="GZ9" s="88"/>
      <c r="HA9" s="93"/>
      <c r="HB9" s="93"/>
      <c r="HC9" s="93"/>
      <c r="HD9" s="93"/>
      <c r="HE9" s="88"/>
      <c r="HF9" s="93"/>
      <c r="HG9" s="93"/>
      <c r="HH9" s="93"/>
      <c r="HI9" s="93"/>
      <c r="HJ9" s="88"/>
      <c r="HK9" s="93"/>
      <c r="HL9" s="93"/>
      <c r="HM9" s="93"/>
      <c r="HN9" s="93"/>
      <c r="HO9" s="88"/>
      <c r="HP9" s="93"/>
      <c r="HQ9" s="93"/>
      <c r="HR9" s="93"/>
      <c r="HS9" s="93"/>
      <c r="HT9" s="88"/>
      <c r="HU9" s="93"/>
      <c r="HV9" s="93"/>
      <c r="HW9" s="93"/>
      <c r="HX9" s="93"/>
      <c r="HY9" s="88"/>
      <c r="HZ9" s="93"/>
      <c r="IA9" s="93"/>
      <c r="IB9" s="93"/>
      <c r="IC9" s="93"/>
      <c r="ID9" s="88"/>
      <c r="IE9" s="93"/>
      <c r="IF9" s="93"/>
      <c r="IG9" s="93"/>
      <c r="IH9" s="93"/>
      <c r="II9" s="88"/>
      <c r="IJ9" s="93"/>
      <c r="IK9" s="93"/>
      <c r="IL9" s="93"/>
      <c r="IM9" s="93"/>
      <c r="IN9" s="88"/>
      <c r="IO9" s="93"/>
      <c r="IP9" s="93"/>
      <c r="IQ9" s="93"/>
      <c r="IR9" s="93"/>
      <c r="IS9" s="88"/>
      <c r="IT9" s="93"/>
      <c r="IU9" s="93"/>
      <c r="IV9" s="93"/>
      <c r="IW9" s="93"/>
      <c r="IX9" s="88"/>
      <c r="IY9" s="93"/>
      <c r="IZ9" s="93"/>
      <c r="JA9" s="93"/>
      <c r="JB9" s="93"/>
      <c r="JC9" s="88"/>
      <c r="JD9" s="93"/>
      <c r="JE9" s="93"/>
      <c r="JF9" s="93"/>
      <c r="JG9" s="94"/>
      <c r="JH9" s="88"/>
      <c r="JI9" s="95"/>
      <c r="JJ9" s="93"/>
      <c r="JK9" s="93"/>
      <c r="JL9" s="94"/>
      <c r="JM9" s="89"/>
      <c r="JN9" s="96"/>
      <c r="JO9" s="84"/>
      <c r="JP9" s="95"/>
      <c r="JQ9" s="93"/>
      <c r="JR9" s="93"/>
      <c r="JS9" s="93"/>
      <c r="JT9" s="93"/>
      <c r="JU9" s="93"/>
      <c r="JV9" s="93"/>
      <c r="JW9" s="93"/>
      <c r="JX9" s="93"/>
      <c r="JY9" s="93"/>
      <c r="JZ9" s="93"/>
      <c r="KA9" s="93"/>
      <c r="KB9" s="93"/>
      <c r="KC9" s="93"/>
      <c r="KD9" s="93"/>
      <c r="KE9" s="93"/>
      <c r="KF9" s="93"/>
      <c r="KG9" s="93"/>
      <c r="KH9" s="93"/>
      <c r="KI9" s="93"/>
      <c r="KJ9" s="93"/>
      <c r="KK9" s="93"/>
      <c r="KL9" s="93"/>
      <c r="KM9" s="93"/>
      <c r="KN9" s="93"/>
      <c r="KO9" s="93"/>
      <c r="KP9" s="93"/>
      <c r="KQ9" s="93"/>
      <c r="KR9" s="93"/>
      <c r="KS9" s="93"/>
      <c r="KT9" s="93"/>
      <c r="KU9" s="93"/>
      <c r="KV9" s="93"/>
      <c r="KW9" s="93"/>
      <c r="KX9" s="93"/>
      <c r="KY9" s="93"/>
      <c r="KZ9" s="93"/>
      <c r="LA9" s="93"/>
      <c r="LB9" s="93"/>
      <c r="LC9" s="93"/>
      <c r="LD9" s="93"/>
      <c r="LE9" s="93"/>
      <c r="LF9" s="93"/>
      <c r="LG9" s="93"/>
      <c r="LH9" s="93"/>
      <c r="LI9" s="93"/>
      <c r="LJ9" s="93"/>
      <c r="LK9" s="93"/>
      <c r="LL9" s="93"/>
      <c r="LM9" s="93"/>
      <c r="LN9" s="93"/>
      <c r="LO9" s="93"/>
      <c r="LP9" s="93"/>
      <c r="LQ9" s="93"/>
      <c r="LR9" s="93"/>
      <c r="LS9" s="93"/>
      <c r="LT9" s="93"/>
      <c r="LU9" s="93"/>
      <c r="LV9" s="93"/>
      <c r="LW9" s="93"/>
      <c r="LX9" s="93"/>
      <c r="LY9" s="93"/>
      <c r="LZ9" s="93"/>
      <c r="MA9" s="93"/>
      <c r="MB9" s="93"/>
      <c r="MC9" s="93"/>
      <c r="MD9" s="92"/>
      <c r="ME9" s="92"/>
      <c r="MF9" s="92"/>
      <c r="MG9" s="92"/>
      <c r="MH9" s="92"/>
      <c r="MI9" s="92"/>
      <c r="MJ9" s="92"/>
      <c r="MK9" s="92"/>
      <c r="ML9" s="92"/>
      <c r="MM9" s="92"/>
      <c r="MN9" s="92"/>
      <c r="MO9" s="92"/>
      <c r="MP9" s="92"/>
      <c r="MQ9" s="92"/>
      <c r="MR9" s="92"/>
      <c r="MS9" s="92"/>
      <c r="MT9" s="92"/>
      <c r="MU9" s="92"/>
      <c r="MV9" s="92"/>
      <c r="MW9" s="92"/>
      <c r="MX9" s="92"/>
      <c r="MY9" s="92"/>
      <c r="MZ9" s="92"/>
      <c r="NA9" s="92"/>
      <c r="NB9" s="92"/>
      <c r="NC9" s="92"/>
      <c r="ND9" s="92"/>
      <c r="NE9" s="92"/>
      <c r="NF9" s="92"/>
      <c r="NG9" s="92"/>
      <c r="NH9" s="92"/>
      <c r="NI9" s="92"/>
      <c r="NJ9" s="92"/>
      <c r="NK9" s="92"/>
      <c r="NL9" s="92"/>
      <c r="NM9" s="92"/>
      <c r="NN9" s="92"/>
      <c r="NO9" s="92"/>
      <c r="NP9" s="92"/>
      <c r="NQ9" s="92"/>
      <c r="NR9" s="92"/>
      <c r="NS9" s="92"/>
      <c r="NT9" s="92"/>
      <c r="NU9" s="92"/>
      <c r="NV9" s="92"/>
      <c r="NW9" s="92"/>
      <c r="NX9" s="92"/>
      <c r="NY9" s="93"/>
      <c r="NZ9" s="93"/>
    </row>
    <row r="10" spans="1:390" ht="15.75" customHeight="1" x14ac:dyDescent="0.3">
      <c r="A10" s="98">
        <v>4862144853</v>
      </c>
      <c r="B10" s="182" t="s">
        <v>392</v>
      </c>
      <c r="C10" s="84" t="s">
        <v>393</v>
      </c>
      <c r="D10" s="87" t="s">
        <v>392</v>
      </c>
      <c r="E10" s="93" t="s">
        <v>643</v>
      </c>
      <c r="F10" s="93" t="s">
        <v>432</v>
      </c>
      <c r="G10" s="93" t="s">
        <v>514</v>
      </c>
      <c r="H10" s="101">
        <v>43566</v>
      </c>
      <c r="I10" s="92" t="s">
        <v>644</v>
      </c>
      <c r="J10" s="240" t="s">
        <v>645</v>
      </c>
      <c r="K10" s="93" t="s">
        <v>399</v>
      </c>
      <c r="L10" s="93" t="s">
        <v>399</v>
      </c>
      <c r="M10" s="93" t="s">
        <v>399</v>
      </c>
      <c r="N10" s="93" t="s">
        <v>399</v>
      </c>
      <c r="O10" s="93" t="s">
        <v>399</v>
      </c>
      <c r="P10" s="194" t="s">
        <v>399</v>
      </c>
      <c r="Q10" s="84" t="s">
        <v>399</v>
      </c>
      <c r="R10" s="197" t="s">
        <v>399</v>
      </c>
      <c r="S10" s="197" t="s">
        <v>399</v>
      </c>
      <c r="T10" s="197" t="s">
        <v>399</v>
      </c>
      <c r="U10" s="198" t="s">
        <v>399</v>
      </c>
      <c r="V10" s="84" t="s">
        <v>399</v>
      </c>
      <c r="W10" s="197" t="s">
        <v>399</v>
      </c>
      <c r="X10" s="197" t="s">
        <v>399</v>
      </c>
      <c r="Y10" s="197" t="s">
        <v>399</v>
      </c>
      <c r="Z10" s="198" t="s">
        <v>399</v>
      </c>
      <c r="AA10" s="84" t="s">
        <v>399</v>
      </c>
      <c r="AB10" s="199" t="s">
        <v>400</v>
      </c>
      <c r="AC10" s="193">
        <v>23517</v>
      </c>
      <c r="AD10" s="194">
        <v>43535</v>
      </c>
      <c r="AE10" s="86">
        <f t="shared" si="0"/>
        <v>54</v>
      </c>
      <c r="AF10" s="158" t="s">
        <v>435</v>
      </c>
      <c r="AG10" s="84" t="s">
        <v>402</v>
      </c>
      <c r="AH10" s="87" t="s">
        <v>403</v>
      </c>
      <c r="AI10" s="85" t="s">
        <v>404</v>
      </c>
      <c r="AJ10" s="235" t="s">
        <v>405</v>
      </c>
      <c r="AK10" s="85" t="s">
        <v>405</v>
      </c>
      <c r="AL10" s="109">
        <v>0</v>
      </c>
      <c r="AM10" s="84" t="s">
        <v>406</v>
      </c>
      <c r="AN10" s="195">
        <v>1</v>
      </c>
      <c r="AO10" s="83" t="s">
        <v>399</v>
      </c>
      <c r="AP10" s="88"/>
      <c r="AQ10" s="95"/>
      <c r="AR10" s="88"/>
      <c r="AS10" s="93"/>
      <c r="AT10" s="93"/>
      <c r="AU10" s="93"/>
      <c r="AV10" s="93"/>
      <c r="AW10" s="88"/>
      <c r="AX10" s="93"/>
      <c r="AY10" s="93"/>
      <c r="AZ10" s="93"/>
      <c r="BA10" s="93"/>
      <c r="BB10" s="88"/>
      <c r="BC10" s="93"/>
      <c r="BD10" s="93"/>
      <c r="BE10" s="93"/>
      <c r="BF10" s="93"/>
      <c r="BG10" s="88"/>
      <c r="BH10" s="93"/>
      <c r="BI10" s="93"/>
      <c r="BJ10" s="93"/>
      <c r="BK10" s="93"/>
      <c r="BL10" s="88"/>
      <c r="BM10" s="93"/>
      <c r="BN10" s="93"/>
      <c r="BO10" s="93"/>
      <c r="BP10" s="93"/>
      <c r="BQ10" s="88"/>
      <c r="BR10" s="93"/>
      <c r="BS10" s="93"/>
      <c r="BT10" s="93"/>
      <c r="BU10" s="93"/>
      <c r="BV10" s="88"/>
      <c r="BW10" s="93"/>
      <c r="BX10" s="93"/>
      <c r="BY10" s="93"/>
      <c r="BZ10" s="93"/>
      <c r="CA10" s="88"/>
      <c r="CB10" s="93"/>
      <c r="CC10" s="93"/>
      <c r="CD10" s="93"/>
      <c r="CE10" s="93"/>
      <c r="CF10" s="88"/>
      <c r="CG10" s="93"/>
      <c r="CH10" s="93"/>
      <c r="CI10" s="93"/>
      <c r="CJ10" s="93"/>
      <c r="CK10" s="88"/>
      <c r="CL10" s="93"/>
      <c r="CM10" s="93"/>
      <c r="CN10" s="93"/>
      <c r="CO10" s="93"/>
      <c r="CP10" s="88"/>
      <c r="CQ10" s="93"/>
      <c r="CR10" s="93"/>
      <c r="CS10" s="93"/>
      <c r="CT10" s="93"/>
      <c r="CU10" s="88"/>
      <c r="CV10" s="93"/>
      <c r="CW10" s="93"/>
      <c r="CX10" s="93"/>
      <c r="CY10" s="93"/>
      <c r="CZ10" s="88"/>
      <c r="DA10" s="93"/>
      <c r="DB10" s="93"/>
      <c r="DC10" s="93"/>
      <c r="DD10" s="93"/>
      <c r="DE10" s="88"/>
      <c r="DF10" s="93"/>
      <c r="DG10" s="93"/>
      <c r="DH10" s="93"/>
      <c r="DI10" s="93"/>
      <c r="DJ10" s="88"/>
      <c r="DK10" s="93"/>
      <c r="DL10" s="93"/>
      <c r="DM10" s="93"/>
      <c r="DN10" s="93"/>
      <c r="DO10" s="88"/>
      <c r="DP10" s="93"/>
      <c r="DQ10" s="93"/>
      <c r="DR10" s="93"/>
      <c r="DS10" s="93"/>
      <c r="DT10" s="88"/>
      <c r="DU10" s="93"/>
      <c r="DV10" s="93"/>
      <c r="DW10" s="93"/>
      <c r="DX10" s="93"/>
      <c r="DY10" s="88"/>
      <c r="DZ10" s="93"/>
      <c r="EA10" s="93"/>
      <c r="EB10" s="93"/>
      <c r="EC10" s="93"/>
      <c r="ED10" s="88"/>
      <c r="EE10" s="93"/>
      <c r="EF10" s="93"/>
      <c r="EG10" s="93"/>
      <c r="EH10" s="93"/>
      <c r="EI10" s="88"/>
      <c r="EJ10" s="93"/>
      <c r="EK10" s="93"/>
      <c r="EL10" s="93"/>
      <c r="EM10" s="93"/>
      <c r="EN10" s="88"/>
      <c r="EO10" s="93"/>
      <c r="EP10" s="93"/>
      <c r="EQ10" s="93"/>
      <c r="ER10" s="93"/>
      <c r="ES10" s="88"/>
      <c r="ET10" s="93"/>
      <c r="EU10" s="93"/>
      <c r="EV10" s="93"/>
      <c r="EW10" s="93"/>
      <c r="EX10" s="88"/>
      <c r="EY10" s="93"/>
      <c r="EZ10" s="93"/>
      <c r="FA10" s="93"/>
      <c r="FB10" s="93"/>
      <c r="FC10" s="88"/>
      <c r="FD10" s="93"/>
      <c r="FE10" s="93"/>
      <c r="FF10" s="93"/>
      <c r="FG10" s="93"/>
      <c r="FH10" s="88"/>
      <c r="FI10" s="93"/>
      <c r="FJ10" s="93"/>
      <c r="FK10" s="93"/>
      <c r="FL10" s="93"/>
      <c r="FM10" s="93"/>
      <c r="FN10" s="93"/>
      <c r="FO10" s="93"/>
      <c r="FP10" s="93"/>
      <c r="FQ10" s="93"/>
      <c r="FR10" s="93"/>
      <c r="FS10" s="93"/>
      <c r="FT10" s="93"/>
      <c r="FU10" s="93"/>
      <c r="FV10" s="93"/>
      <c r="FW10" s="93"/>
      <c r="FX10" s="93"/>
      <c r="FY10" s="93"/>
      <c r="FZ10" s="93"/>
      <c r="GA10" s="93"/>
      <c r="GB10" s="93"/>
      <c r="GC10" s="93"/>
      <c r="GD10" s="93"/>
      <c r="GE10" s="93"/>
      <c r="GF10" s="93"/>
      <c r="GG10" s="93"/>
      <c r="GH10" s="93"/>
      <c r="GI10" s="93"/>
      <c r="GJ10" s="93"/>
      <c r="GK10" s="93"/>
      <c r="GL10" s="93"/>
      <c r="GM10" s="93"/>
      <c r="GN10" s="93"/>
      <c r="GO10" s="93"/>
      <c r="GP10" s="88"/>
      <c r="GQ10" s="93"/>
      <c r="GR10" s="93"/>
      <c r="GS10" s="93"/>
      <c r="GT10" s="93"/>
      <c r="GU10" s="88"/>
      <c r="GV10" s="93"/>
      <c r="GW10" s="93"/>
      <c r="GX10" s="93"/>
      <c r="GY10" s="93"/>
      <c r="GZ10" s="88"/>
      <c r="HA10" s="93"/>
      <c r="HB10" s="93"/>
      <c r="HC10" s="93"/>
      <c r="HD10" s="93"/>
      <c r="HE10" s="88"/>
      <c r="HF10" s="93"/>
      <c r="HG10" s="93"/>
      <c r="HH10" s="93"/>
      <c r="HI10" s="93"/>
      <c r="HJ10" s="88"/>
      <c r="HK10" s="93"/>
      <c r="HL10" s="93"/>
      <c r="HM10" s="93"/>
      <c r="HN10" s="93"/>
      <c r="HO10" s="88"/>
      <c r="HP10" s="93"/>
      <c r="HQ10" s="93"/>
      <c r="HR10" s="93"/>
      <c r="HS10" s="93"/>
      <c r="HT10" s="88"/>
      <c r="HU10" s="93"/>
      <c r="HV10" s="93"/>
      <c r="HW10" s="93"/>
      <c r="HX10" s="93"/>
      <c r="HY10" s="88"/>
      <c r="HZ10" s="93"/>
      <c r="IA10" s="93"/>
      <c r="IB10" s="93"/>
      <c r="IC10" s="93"/>
      <c r="ID10" s="88"/>
      <c r="IE10" s="93"/>
      <c r="IF10" s="93"/>
      <c r="IG10" s="93"/>
      <c r="IH10" s="93"/>
      <c r="II10" s="88"/>
      <c r="IJ10" s="93"/>
      <c r="IK10" s="93"/>
      <c r="IL10" s="93"/>
      <c r="IM10" s="93"/>
      <c r="IN10" s="88"/>
      <c r="IO10" s="93"/>
      <c r="IP10" s="93"/>
      <c r="IQ10" s="93"/>
      <c r="IR10" s="93"/>
      <c r="IS10" s="88"/>
      <c r="IT10" s="93"/>
      <c r="IU10" s="93"/>
      <c r="IV10" s="93"/>
      <c r="IW10" s="93"/>
      <c r="IX10" s="88"/>
      <c r="IY10" s="93"/>
      <c r="IZ10" s="93"/>
      <c r="JA10" s="93"/>
      <c r="JB10" s="93"/>
      <c r="JC10" s="88"/>
      <c r="JD10" s="93"/>
      <c r="JE10" s="93"/>
      <c r="JF10" s="93"/>
      <c r="JG10" s="94"/>
      <c r="JH10" s="88"/>
      <c r="JI10" s="95"/>
      <c r="JJ10" s="93"/>
      <c r="JK10" s="93"/>
      <c r="JL10" s="94"/>
      <c r="JM10" s="89"/>
      <c r="JN10" s="96"/>
      <c r="JO10" s="84"/>
      <c r="JP10" s="95"/>
      <c r="JQ10" s="93"/>
      <c r="JR10" s="93"/>
      <c r="JS10" s="93"/>
      <c r="JT10" s="93"/>
      <c r="JU10" s="93"/>
      <c r="JV10" s="93"/>
      <c r="JW10" s="93"/>
      <c r="JX10" s="93"/>
      <c r="JY10" s="93"/>
      <c r="JZ10" s="93"/>
      <c r="KA10" s="93"/>
      <c r="KB10" s="93"/>
      <c r="KC10" s="93"/>
      <c r="KD10" s="93"/>
      <c r="KE10" s="93"/>
      <c r="KF10" s="93"/>
      <c r="KG10" s="93"/>
      <c r="KH10" s="93"/>
      <c r="KI10" s="93"/>
      <c r="KJ10" s="93"/>
      <c r="KK10" s="93"/>
      <c r="KL10" s="93"/>
      <c r="KM10" s="93"/>
      <c r="KN10" s="93"/>
      <c r="KO10" s="93"/>
      <c r="KP10" s="93"/>
      <c r="KQ10" s="93"/>
      <c r="KR10" s="93"/>
      <c r="KS10" s="93"/>
      <c r="KT10" s="93"/>
      <c r="KU10" s="93"/>
      <c r="KV10" s="93"/>
      <c r="KW10" s="93"/>
      <c r="KX10" s="93"/>
      <c r="KY10" s="93"/>
      <c r="KZ10" s="93"/>
      <c r="LA10" s="93"/>
      <c r="LB10" s="93"/>
      <c r="LC10" s="93"/>
      <c r="LD10" s="93"/>
      <c r="LE10" s="93"/>
      <c r="LF10" s="93"/>
      <c r="LG10" s="93"/>
      <c r="LH10" s="93"/>
      <c r="LI10" s="93"/>
      <c r="LJ10" s="93"/>
      <c r="LK10" s="93"/>
      <c r="LL10" s="93"/>
      <c r="LM10" s="93"/>
      <c r="LN10" s="93"/>
      <c r="LO10" s="93"/>
      <c r="LP10" s="93"/>
      <c r="LQ10" s="93"/>
      <c r="LR10" s="93"/>
      <c r="LS10" s="93"/>
      <c r="LT10" s="93"/>
      <c r="LU10" s="93"/>
      <c r="LV10" s="93"/>
      <c r="LW10" s="93"/>
      <c r="LX10" s="93"/>
      <c r="LY10" s="93"/>
      <c r="LZ10" s="93"/>
      <c r="MA10" s="93"/>
      <c r="MB10" s="93"/>
      <c r="MC10" s="93"/>
      <c r="MD10" s="92"/>
      <c r="ME10" s="92"/>
      <c r="MF10" s="92"/>
      <c r="MG10" s="92"/>
      <c r="MH10" s="92"/>
      <c r="MI10" s="92"/>
      <c r="MJ10" s="92"/>
      <c r="MK10" s="92"/>
      <c r="ML10" s="92"/>
      <c r="MM10" s="92"/>
      <c r="MN10" s="92"/>
      <c r="MO10" s="92"/>
      <c r="MP10" s="92"/>
      <c r="MQ10" s="92"/>
      <c r="MR10" s="92"/>
      <c r="MS10" s="92"/>
      <c r="MT10" s="92"/>
      <c r="MU10" s="92"/>
      <c r="MV10" s="92"/>
      <c r="MW10" s="92"/>
      <c r="MX10" s="92"/>
      <c r="MY10" s="92"/>
      <c r="MZ10" s="92"/>
      <c r="NA10" s="92"/>
      <c r="NB10" s="92"/>
      <c r="NC10" s="92"/>
      <c r="ND10" s="92"/>
      <c r="NE10" s="92"/>
      <c r="NF10" s="92"/>
      <c r="NG10" s="92"/>
      <c r="NH10" s="92"/>
      <c r="NI10" s="92"/>
      <c r="NJ10" s="92"/>
      <c r="NK10" s="92"/>
      <c r="NL10" s="92"/>
      <c r="NM10" s="92"/>
      <c r="NN10" s="92"/>
      <c r="NO10" s="92"/>
      <c r="NP10" s="92"/>
      <c r="NQ10" s="92"/>
      <c r="NR10" s="92"/>
      <c r="NS10" s="92"/>
      <c r="NT10" s="92"/>
      <c r="NU10" s="92"/>
      <c r="NV10" s="92"/>
      <c r="NW10" s="92"/>
      <c r="NX10" s="92"/>
      <c r="NY10" s="93"/>
      <c r="NZ10" s="93"/>
    </row>
    <row r="11" spans="1:390" ht="15.75" customHeight="1" x14ac:dyDescent="0.3">
      <c r="A11" s="98">
        <v>6244603990</v>
      </c>
      <c r="B11" s="182" t="s">
        <v>392</v>
      </c>
      <c r="C11" s="84" t="s">
        <v>393</v>
      </c>
      <c r="D11" s="87" t="s">
        <v>392</v>
      </c>
      <c r="E11" s="93" t="s">
        <v>646</v>
      </c>
      <c r="F11" s="93" t="s">
        <v>443</v>
      </c>
      <c r="G11" s="93" t="s">
        <v>452</v>
      </c>
      <c r="H11" s="101">
        <v>43749</v>
      </c>
      <c r="I11" s="92" t="s">
        <v>453</v>
      </c>
      <c r="J11" s="234" t="s">
        <v>398</v>
      </c>
      <c r="K11" s="93" t="s">
        <v>399</v>
      </c>
      <c r="L11" s="93" t="s">
        <v>399</v>
      </c>
      <c r="M11" s="93" t="s">
        <v>399</v>
      </c>
      <c r="N11" s="93" t="s">
        <v>399</v>
      </c>
      <c r="O11" s="93" t="s">
        <v>399</v>
      </c>
      <c r="P11" s="194" t="s">
        <v>647</v>
      </c>
      <c r="Q11" s="84" t="s">
        <v>399</v>
      </c>
      <c r="R11" s="197" t="s">
        <v>399</v>
      </c>
      <c r="S11" s="197" t="s">
        <v>399</v>
      </c>
      <c r="T11" s="197" t="s">
        <v>399</v>
      </c>
      <c r="U11" s="198" t="s">
        <v>399</v>
      </c>
      <c r="V11" s="84" t="s">
        <v>399</v>
      </c>
      <c r="W11" s="197" t="s">
        <v>399</v>
      </c>
      <c r="X11" s="197" t="s">
        <v>399</v>
      </c>
      <c r="Y11" s="197" t="s">
        <v>399</v>
      </c>
      <c r="Z11" s="198" t="s">
        <v>399</v>
      </c>
      <c r="AA11" s="84" t="s">
        <v>399</v>
      </c>
      <c r="AB11" s="199" t="s">
        <v>400</v>
      </c>
      <c r="AC11" s="193">
        <v>21810</v>
      </c>
      <c r="AD11" s="194">
        <v>43718</v>
      </c>
      <c r="AE11" s="86">
        <f t="shared" si="0"/>
        <v>59</v>
      </c>
      <c r="AF11" s="108" t="s">
        <v>648</v>
      </c>
      <c r="AG11" s="84" t="s">
        <v>402</v>
      </c>
      <c r="AH11" s="87" t="s">
        <v>403</v>
      </c>
      <c r="AI11" s="85" t="s">
        <v>418</v>
      </c>
      <c r="AJ11" s="85">
        <v>0</v>
      </c>
      <c r="AK11" s="85" t="s">
        <v>405</v>
      </c>
      <c r="AL11" s="109">
        <v>0</v>
      </c>
      <c r="AM11" s="84" t="s">
        <v>419</v>
      </c>
      <c r="AN11" s="195">
        <v>2</v>
      </c>
      <c r="AO11" s="83" t="s">
        <v>399</v>
      </c>
      <c r="AP11" s="88"/>
      <c r="AQ11" s="95"/>
      <c r="AR11" s="88"/>
      <c r="AS11" s="93"/>
      <c r="AT11" s="93"/>
      <c r="AU11" s="93"/>
      <c r="AV11" s="93"/>
      <c r="AW11" s="88"/>
      <c r="AX11" s="93"/>
      <c r="AY11" s="93"/>
      <c r="AZ11" s="93"/>
      <c r="BA11" s="93"/>
      <c r="BB11" s="88"/>
      <c r="BC11" s="93"/>
      <c r="BD11" s="93"/>
      <c r="BE11" s="93"/>
      <c r="BF11" s="93"/>
      <c r="BG11" s="88"/>
      <c r="BH11" s="93"/>
      <c r="BI11" s="93"/>
      <c r="BJ11" s="93"/>
      <c r="BK11" s="93"/>
      <c r="BL11" s="88"/>
      <c r="BM11" s="93"/>
      <c r="BN11" s="93"/>
      <c r="BO11" s="93"/>
      <c r="BP11" s="93"/>
      <c r="BQ11" s="88"/>
      <c r="BR11" s="93"/>
      <c r="BS11" s="93"/>
      <c r="BT11" s="93"/>
      <c r="BU11" s="93"/>
      <c r="BV11" s="88"/>
      <c r="BW11" s="93"/>
      <c r="BX11" s="93"/>
      <c r="BY11" s="93"/>
      <c r="BZ11" s="93"/>
      <c r="CA11" s="88"/>
      <c r="CB11" s="93"/>
      <c r="CC11" s="93"/>
      <c r="CD11" s="93"/>
      <c r="CE11" s="93"/>
      <c r="CF11" s="88"/>
      <c r="CG11" s="93"/>
      <c r="CH11" s="93"/>
      <c r="CI11" s="93"/>
      <c r="CJ11" s="93"/>
      <c r="CK11" s="88"/>
      <c r="CL11" s="93"/>
      <c r="CM11" s="93"/>
      <c r="CN11" s="93"/>
      <c r="CO11" s="93"/>
      <c r="CP11" s="88"/>
      <c r="CQ11" s="93"/>
      <c r="CR11" s="93"/>
      <c r="CS11" s="93"/>
      <c r="CT11" s="93"/>
      <c r="CU11" s="88"/>
      <c r="CV11" s="93"/>
      <c r="CW11" s="93"/>
      <c r="CX11" s="93"/>
      <c r="CY11" s="93"/>
      <c r="CZ11" s="88"/>
      <c r="DA11" s="93"/>
      <c r="DB11" s="93"/>
      <c r="DC11" s="93"/>
      <c r="DD11" s="93"/>
      <c r="DE11" s="88"/>
      <c r="DF11" s="93"/>
      <c r="DG11" s="93"/>
      <c r="DH11" s="93"/>
      <c r="DI11" s="93"/>
      <c r="DJ11" s="88"/>
      <c r="DK11" s="93"/>
      <c r="DL11" s="93"/>
      <c r="DM11" s="93"/>
      <c r="DN11" s="93"/>
      <c r="DO11" s="88"/>
      <c r="DP11" s="93"/>
      <c r="DQ11" s="93"/>
      <c r="DR11" s="93"/>
      <c r="DS11" s="93"/>
      <c r="DT11" s="88"/>
      <c r="DU11" s="93"/>
      <c r="DV11" s="93"/>
      <c r="DW11" s="93"/>
      <c r="DX11" s="93"/>
      <c r="DY11" s="88"/>
      <c r="DZ11" s="93"/>
      <c r="EA11" s="93"/>
      <c r="EB11" s="93"/>
      <c r="EC11" s="93"/>
      <c r="ED11" s="88"/>
      <c r="EE11" s="93"/>
      <c r="EF11" s="93"/>
      <c r="EG11" s="93"/>
      <c r="EH11" s="93"/>
      <c r="EI11" s="88"/>
      <c r="EJ11" s="93"/>
      <c r="EK11" s="93"/>
      <c r="EL11" s="93"/>
      <c r="EM11" s="93"/>
      <c r="EN11" s="88"/>
      <c r="EO11" s="93"/>
      <c r="EP11" s="93"/>
      <c r="EQ11" s="93"/>
      <c r="ER11" s="93"/>
      <c r="ES11" s="88"/>
      <c r="ET11" s="93"/>
      <c r="EU11" s="93"/>
      <c r="EV11" s="93"/>
      <c r="EW11" s="93"/>
      <c r="EX11" s="88"/>
      <c r="EY11" s="93"/>
      <c r="EZ11" s="93"/>
      <c r="FA11" s="93"/>
      <c r="FB11" s="93"/>
      <c r="FC11" s="88"/>
      <c r="FD11" s="93"/>
      <c r="FE11" s="93"/>
      <c r="FF11" s="93"/>
      <c r="FG11" s="93"/>
      <c r="FH11" s="88"/>
      <c r="FI11" s="93"/>
      <c r="FJ11" s="93"/>
      <c r="FK11" s="93"/>
      <c r="FL11" s="93"/>
      <c r="FM11" s="93"/>
      <c r="FN11" s="93"/>
      <c r="FO11" s="93"/>
      <c r="FP11" s="93"/>
      <c r="FQ11" s="93"/>
      <c r="FR11" s="93"/>
      <c r="FS11" s="93"/>
      <c r="FT11" s="93"/>
      <c r="FU11" s="93"/>
      <c r="FV11" s="93"/>
      <c r="FW11" s="93"/>
      <c r="FX11" s="93"/>
      <c r="FY11" s="93"/>
      <c r="FZ11" s="93"/>
      <c r="GA11" s="93"/>
      <c r="GB11" s="93"/>
      <c r="GC11" s="93"/>
      <c r="GD11" s="93"/>
      <c r="GE11" s="93"/>
      <c r="GF11" s="93"/>
      <c r="GG11" s="93"/>
      <c r="GH11" s="93"/>
      <c r="GI11" s="93"/>
      <c r="GJ11" s="93"/>
      <c r="GK11" s="93"/>
      <c r="GL11" s="93"/>
      <c r="GM11" s="93"/>
      <c r="GN11" s="93"/>
      <c r="GO11" s="93"/>
      <c r="GP11" s="88"/>
      <c r="GQ11" s="93"/>
      <c r="GR11" s="93"/>
      <c r="GS11" s="93"/>
      <c r="GT11" s="93"/>
      <c r="GU11" s="88"/>
      <c r="GV11" s="93"/>
      <c r="GW11" s="93"/>
      <c r="GX11" s="93"/>
      <c r="GY11" s="93"/>
      <c r="GZ11" s="88"/>
      <c r="HA11" s="93"/>
      <c r="HB11" s="93"/>
      <c r="HC11" s="93"/>
      <c r="HD11" s="93"/>
      <c r="HE11" s="88"/>
      <c r="HF11" s="93"/>
      <c r="HG11" s="93"/>
      <c r="HH11" s="93"/>
      <c r="HI11" s="93"/>
      <c r="HJ11" s="88"/>
      <c r="HK11" s="93"/>
      <c r="HL11" s="93"/>
      <c r="HM11" s="93"/>
      <c r="HN11" s="93"/>
      <c r="HO11" s="88"/>
      <c r="HP11" s="93"/>
      <c r="HQ11" s="93"/>
      <c r="HR11" s="93"/>
      <c r="HS11" s="93"/>
      <c r="HT11" s="88"/>
      <c r="HU11" s="93"/>
      <c r="HV11" s="93"/>
      <c r="HW11" s="93"/>
      <c r="HX11" s="93"/>
      <c r="HY11" s="88"/>
      <c r="HZ11" s="93"/>
      <c r="IA11" s="93"/>
      <c r="IB11" s="93"/>
      <c r="IC11" s="93"/>
      <c r="ID11" s="88"/>
      <c r="IE11" s="93"/>
      <c r="IF11" s="93"/>
      <c r="IG11" s="93"/>
      <c r="IH11" s="93"/>
      <c r="II11" s="88"/>
      <c r="IJ11" s="93"/>
      <c r="IK11" s="93"/>
      <c r="IL11" s="93"/>
      <c r="IM11" s="93"/>
      <c r="IN11" s="88"/>
      <c r="IO11" s="93"/>
      <c r="IP11" s="93"/>
      <c r="IQ11" s="93"/>
      <c r="IR11" s="93"/>
      <c r="IS11" s="88"/>
      <c r="IT11" s="93"/>
      <c r="IU11" s="93"/>
      <c r="IV11" s="93"/>
      <c r="IW11" s="93"/>
      <c r="IX11" s="88"/>
      <c r="IY11" s="93"/>
      <c r="IZ11" s="93"/>
      <c r="JA11" s="93"/>
      <c r="JB11" s="93"/>
      <c r="JC11" s="88"/>
      <c r="JD11" s="93"/>
      <c r="JE11" s="93"/>
      <c r="JF11" s="93"/>
      <c r="JG11" s="94"/>
      <c r="JH11" s="88"/>
      <c r="JI11" s="95"/>
      <c r="JJ11" s="93"/>
      <c r="JK11" s="93"/>
      <c r="JL11" s="94"/>
      <c r="JM11" s="89"/>
      <c r="JN11" s="96"/>
      <c r="JO11" s="84"/>
      <c r="JP11" s="95"/>
      <c r="JQ11" s="93"/>
      <c r="JR11" s="93"/>
      <c r="JS11" s="93"/>
      <c r="JT11" s="93"/>
      <c r="JU11" s="93"/>
      <c r="JV11" s="93"/>
      <c r="JW11" s="93"/>
      <c r="JX11" s="93"/>
      <c r="JY11" s="93"/>
      <c r="JZ11" s="93"/>
      <c r="KA11" s="93"/>
      <c r="KB11" s="93"/>
      <c r="KC11" s="93"/>
      <c r="KD11" s="93"/>
      <c r="KE11" s="93"/>
      <c r="KF11" s="93"/>
      <c r="KG11" s="93"/>
      <c r="KH11" s="93"/>
      <c r="KI11" s="93"/>
      <c r="KJ11" s="93"/>
      <c r="KK11" s="93"/>
      <c r="KL11" s="93"/>
      <c r="KM11" s="93"/>
      <c r="KN11" s="93"/>
      <c r="KO11" s="93"/>
      <c r="KP11" s="93"/>
      <c r="KQ11" s="93"/>
      <c r="KR11" s="93"/>
      <c r="KS11" s="93"/>
      <c r="KT11" s="93"/>
      <c r="KU11" s="93"/>
      <c r="KV11" s="93"/>
      <c r="KW11" s="93"/>
      <c r="KX11" s="93"/>
      <c r="KY11" s="93"/>
      <c r="KZ11" s="93"/>
      <c r="LA11" s="93"/>
      <c r="LB11" s="93"/>
      <c r="LC11" s="93"/>
      <c r="LD11" s="93"/>
      <c r="LE11" s="93"/>
      <c r="LF11" s="93"/>
      <c r="LG11" s="93"/>
      <c r="LH11" s="93"/>
      <c r="LI11" s="93"/>
      <c r="LJ11" s="93"/>
      <c r="LK11" s="93"/>
      <c r="LL11" s="93"/>
      <c r="LM11" s="93"/>
      <c r="LN11" s="93"/>
      <c r="LO11" s="93"/>
      <c r="LP11" s="93"/>
      <c r="LQ11" s="93"/>
      <c r="LR11" s="93"/>
      <c r="LS11" s="93"/>
      <c r="LT11" s="93"/>
      <c r="LU11" s="93"/>
      <c r="LV11" s="93"/>
      <c r="LW11" s="93"/>
      <c r="LX11" s="93"/>
      <c r="LY11" s="93"/>
      <c r="LZ11" s="93"/>
      <c r="MA11" s="93"/>
      <c r="MB11" s="93"/>
      <c r="MC11" s="93"/>
      <c r="MD11" s="92"/>
      <c r="ME11" s="92"/>
      <c r="MF11" s="92"/>
      <c r="MG11" s="92"/>
      <c r="MH11" s="92"/>
      <c r="MI11" s="92"/>
      <c r="MJ11" s="92"/>
      <c r="MK11" s="92"/>
      <c r="ML11" s="92"/>
      <c r="MM11" s="92"/>
      <c r="MN11" s="92"/>
      <c r="MO11" s="92"/>
      <c r="MP11" s="92"/>
      <c r="MQ11" s="92"/>
      <c r="MR11" s="92"/>
      <c r="MS11" s="92"/>
      <c r="MT11" s="92"/>
      <c r="MU11" s="92"/>
      <c r="MV11" s="92"/>
      <c r="MW11" s="92"/>
      <c r="MX11" s="92"/>
      <c r="MY11" s="92"/>
      <c r="MZ11" s="92"/>
      <c r="NA11" s="92"/>
      <c r="NB11" s="92"/>
      <c r="NC11" s="92"/>
      <c r="ND11" s="92"/>
      <c r="NE11" s="92"/>
      <c r="NF11" s="92"/>
      <c r="NG11" s="92"/>
      <c r="NH11" s="92"/>
      <c r="NI11" s="92"/>
      <c r="NJ11" s="92"/>
      <c r="NK11" s="92"/>
      <c r="NL11" s="92"/>
      <c r="NM11" s="92"/>
      <c r="NN11" s="92"/>
      <c r="NO11" s="92"/>
      <c r="NP11" s="92"/>
      <c r="NQ11" s="92"/>
      <c r="NR11" s="92"/>
      <c r="NS11" s="92"/>
      <c r="NT11" s="92"/>
      <c r="NU11" s="92"/>
      <c r="NV11" s="92"/>
      <c r="NW11" s="92"/>
      <c r="NX11" s="92"/>
      <c r="NY11" s="93"/>
      <c r="NZ11" s="93"/>
    </row>
    <row r="12" spans="1:390" ht="15.75" customHeight="1" x14ac:dyDescent="0.3">
      <c r="A12" s="98">
        <v>4646766140</v>
      </c>
      <c r="B12" s="182" t="s">
        <v>392</v>
      </c>
      <c r="C12" s="84" t="s">
        <v>393</v>
      </c>
      <c r="D12" s="87" t="s">
        <v>392</v>
      </c>
      <c r="E12" s="93" t="s">
        <v>649</v>
      </c>
      <c r="F12" s="93" t="s">
        <v>459</v>
      </c>
      <c r="G12" s="93" t="s">
        <v>443</v>
      </c>
      <c r="H12" s="101">
        <v>43767</v>
      </c>
      <c r="I12" s="240" t="s">
        <v>650</v>
      </c>
      <c r="J12" s="234" t="s">
        <v>398</v>
      </c>
      <c r="K12" s="93" t="s">
        <v>399</v>
      </c>
      <c r="L12" s="93" t="s">
        <v>399</v>
      </c>
      <c r="M12" s="93" t="s">
        <v>399</v>
      </c>
      <c r="N12" s="93" t="s">
        <v>399</v>
      </c>
      <c r="O12" s="93" t="s">
        <v>399</v>
      </c>
      <c r="P12" s="194" t="s">
        <v>399</v>
      </c>
      <c r="Q12" s="84" t="s">
        <v>399</v>
      </c>
      <c r="R12" s="197" t="s">
        <v>399</v>
      </c>
      <c r="S12" s="197" t="s">
        <v>399</v>
      </c>
      <c r="T12" s="197" t="s">
        <v>399</v>
      </c>
      <c r="U12" s="198" t="s">
        <v>399</v>
      </c>
      <c r="V12" s="84" t="s">
        <v>399</v>
      </c>
      <c r="W12" s="197" t="s">
        <v>399</v>
      </c>
      <c r="X12" s="197" t="s">
        <v>399</v>
      </c>
      <c r="Y12" s="197" t="s">
        <v>399</v>
      </c>
      <c r="Z12" s="198" t="s">
        <v>399</v>
      </c>
      <c r="AA12" s="84" t="s">
        <v>399</v>
      </c>
      <c r="AB12" s="199" t="s">
        <v>400</v>
      </c>
      <c r="AC12" s="193">
        <v>14110</v>
      </c>
      <c r="AD12" s="194">
        <v>43719</v>
      </c>
      <c r="AE12" s="86">
        <f t="shared" si="0"/>
        <v>81</v>
      </c>
      <c r="AF12" s="108" t="s">
        <v>648</v>
      </c>
      <c r="AG12" s="84" t="s">
        <v>402</v>
      </c>
      <c r="AH12" s="87" t="s">
        <v>403</v>
      </c>
      <c r="AI12" s="235" t="s">
        <v>418</v>
      </c>
      <c r="AJ12" s="235" t="s">
        <v>405</v>
      </c>
      <c r="AK12" s="85" t="s">
        <v>405</v>
      </c>
      <c r="AL12" s="109">
        <v>0</v>
      </c>
      <c r="AM12" s="84" t="s">
        <v>406</v>
      </c>
      <c r="AN12" s="195">
        <v>1</v>
      </c>
      <c r="AO12" s="83" t="s">
        <v>399</v>
      </c>
      <c r="AP12" s="88"/>
      <c r="AQ12" s="95"/>
      <c r="AR12" s="88"/>
      <c r="AS12" s="93"/>
      <c r="AT12" s="93"/>
      <c r="AU12" s="93"/>
      <c r="AV12" s="93"/>
      <c r="AW12" s="88"/>
      <c r="AX12" s="93"/>
      <c r="AY12" s="93"/>
      <c r="AZ12" s="93"/>
      <c r="BA12" s="93"/>
      <c r="BB12" s="88"/>
      <c r="BC12" s="93"/>
      <c r="BD12" s="93"/>
      <c r="BE12" s="93"/>
      <c r="BF12" s="93"/>
      <c r="BG12" s="88"/>
      <c r="BH12" s="93"/>
      <c r="BI12" s="93"/>
      <c r="BJ12" s="93"/>
      <c r="BK12" s="93"/>
      <c r="BL12" s="88"/>
      <c r="BM12" s="93"/>
      <c r="BN12" s="93"/>
      <c r="BO12" s="93"/>
      <c r="BP12" s="93"/>
      <c r="BQ12" s="88"/>
      <c r="BR12" s="93"/>
      <c r="BS12" s="93"/>
      <c r="BT12" s="93"/>
      <c r="BU12" s="93"/>
      <c r="BV12" s="88"/>
      <c r="BW12" s="93"/>
      <c r="BX12" s="93"/>
      <c r="BY12" s="93"/>
      <c r="BZ12" s="93"/>
      <c r="CA12" s="88"/>
      <c r="CB12" s="93"/>
      <c r="CC12" s="93"/>
      <c r="CD12" s="93"/>
      <c r="CE12" s="93"/>
      <c r="CF12" s="88"/>
      <c r="CG12" s="93"/>
      <c r="CH12" s="93"/>
      <c r="CI12" s="93"/>
      <c r="CJ12" s="93"/>
      <c r="CK12" s="88"/>
      <c r="CL12" s="93"/>
      <c r="CM12" s="93"/>
      <c r="CN12" s="93"/>
      <c r="CO12" s="93"/>
      <c r="CP12" s="88"/>
      <c r="CQ12" s="93"/>
      <c r="CR12" s="93"/>
      <c r="CS12" s="93"/>
      <c r="CT12" s="93"/>
      <c r="CU12" s="88"/>
      <c r="CV12" s="93"/>
      <c r="CW12" s="93"/>
      <c r="CX12" s="93"/>
      <c r="CY12" s="93"/>
      <c r="CZ12" s="88"/>
      <c r="DA12" s="93"/>
      <c r="DB12" s="93"/>
      <c r="DC12" s="93"/>
      <c r="DD12" s="93"/>
      <c r="DE12" s="88"/>
      <c r="DF12" s="93"/>
      <c r="DG12" s="93"/>
      <c r="DH12" s="93"/>
      <c r="DI12" s="93"/>
      <c r="DJ12" s="88"/>
      <c r="DK12" s="93"/>
      <c r="DL12" s="93"/>
      <c r="DM12" s="93"/>
      <c r="DN12" s="93"/>
      <c r="DO12" s="88"/>
      <c r="DP12" s="93"/>
      <c r="DQ12" s="93"/>
      <c r="DR12" s="93"/>
      <c r="DS12" s="93"/>
      <c r="DT12" s="88"/>
      <c r="DU12" s="93"/>
      <c r="DV12" s="93"/>
      <c r="DW12" s="93"/>
      <c r="DX12" s="93"/>
      <c r="DY12" s="88"/>
      <c r="DZ12" s="93"/>
      <c r="EA12" s="93"/>
      <c r="EB12" s="93"/>
      <c r="EC12" s="93"/>
      <c r="ED12" s="88"/>
      <c r="EE12" s="93"/>
      <c r="EF12" s="93"/>
      <c r="EG12" s="93"/>
      <c r="EH12" s="93"/>
      <c r="EI12" s="88"/>
      <c r="EJ12" s="93"/>
      <c r="EK12" s="93"/>
      <c r="EL12" s="93"/>
      <c r="EM12" s="93"/>
      <c r="EN12" s="88"/>
      <c r="EO12" s="93"/>
      <c r="EP12" s="93"/>
      <c r="EQ12" s="93"/>
      <c r="ER12" s="93"/>
      <c r="ES12" s="88"/>
      <c r="ET12" s="93"/>
      <c r="EU12" s="93"/>
      <c r="EV12" s="93"/>
      <c r="EW12" s="93"/>
      <c r="EX12" s="88"/>
      <c r="EY12" s="93"/>
      <c r="EZ12" s="93"/>
      <c r="FA12" s="93"/>
      <c r="FB12" s="93"/>
      <c r="FC12" s="88"/>
      <c r="FD12" s="93"/>
      <c r="FE12" s="93"/>
      <c r="FF12" s="93"/>
      <c r="FG12" s="93"/>
      <c r="FH12" s="88"/>
      <c r="FI12" s="93"/>
      <c r="FJ12" s="93"/>
      <c r="FK12" s="93"/>
      <c r="FL12" s="93"/>
      <c r="FM12" s="93"/>
      <c r="FN12" s="93"/>
      <c r="FO12" s="93"/>
      <c r="FP12" s="93"/>
      <c r="FQ12" s="93"/>
      <c r="FR12" s="93"/>
      <c r="FS12" s="93"/>
      <c r="FT12" s="93"/>
      <c r="FU12" s="93"/>
      <c r="FV12" s="93"/>
      <c r="FW12" s="93"/>
      <c r="FX12" s="93"/>
      <c r="FY12" s="93"/>
      <c r="FZ12" s="93"/>
      <c r="GA12" s="93"/>
      <c r="GB12" s="93"/>
      <c r="GC12" s="93"/>
      <c r="GD12" s="93"/>
      <c r="GE12" s="93"/>
      <c r="GF12" s="93"/>
      <c r="GG12" s="93"/>
      <c r="GH12" s="93"/>
      <c r="GI12" s="93"/>
      <c r="GJ12" s="93"/>
      <c r="GK12" s="93"/>
      <c r="GL12" s="93"/>
      <c r="GM12" s="93"/>
      <c r="GN12" s="93"/>
      <c r="GO12" s="93"/>
      <c r="GP12" s="88"/>
      <c r="GQ12" s="93"/>
      <c r="GR12" s="93"/>
      <c r="GS12" s="93"/>
      <c r="GT12" s="93"/>
      <c r="GU12" s="88"/>
      <c r="GV12" s="93"/>
      <c r="GW12" s="93"/>
      <c r="GX12" s="93"/>
      <c r="GY12" s="93"/>
      <c r="GZ12" s="88"/>
      <c r="HA12" s="93"/>
      <c r="HB12" s="93"/>
      <c r="HC12" s="93"/>
      <c r="HD12" s="93"/>
      <c r="HE12" s="88"/>
      <c r="HF12" s="93"/>
      <c r="HG12" s="93"/>
      <c r="HH12" s="93"/>
      <c r="HI12" s="93"/>
      <c r="HJ12" s="88"/>
      <c r="HK12" s="93"/>
      <c r="HL12" s="93"/>
      <c r="HM12" s="93"/>
      <c r="HN12" s="93"/>
      <c r="HO12" s="88"/>
      <c r="HP12" s="93"/>
      <c r="HQ12" s="93"/>
      <c r="HR12" s="93"/>
      <c r="HS12" s="93"/>
      <c r="HT12" s="88"/>
      <c r="HU12" s="93"/>
      <c r="HV12" s="93"/>
      <c r="HW12" s="93"/>
      <c r="HX12" s="93"/>
      <c r="HY12" s="88"/>
      <c r="HZ12" s="93"/>
      <c r="IA12" s="93"/>
      <c r="IB12" s="93"/>
      <c r="IC12" s="93"/>
      <c r="ID12" s="88"/>
      <c r="IE12" s="93"/>
      <c r="IF12" s="93"/>
      <c r="IG12" s="93"/>
      <c r="IH12" s="93"/>
      <c r="II12" s="88"/>
      <c r="IJ12" s="93"/>
      <c r="IK12" s="93"/>
      <c r="IL12" s="93"/>
      <c r="IM12" s="93"/>
      <c r="IN12" s="88"/>
      <c r="IO12" s="93"/>
      <c r="IP12" s="93"/>
      <c r="IQ12" s="93"/>
      <c r="IR12" s="93"/>
      <c r="IS12" s="88"/>
      <c r="IT12" s="93"/>
      <c r="IU12" s="93"/>
      <c r="IV12" s="93"/>
      <c r="IW12" s="93"/>
      <c r="IX12" s="88"/>
      <c r="IY12" s="93"/>
      <c r="IZ12" s="93"/>
      <c r="JA12" s="93"/>
      <c r="JB12" s="93"/>
      <c r="JC12" s="88"/>
      <c r="JD12" s="93"/>
      <c r="JE12" s="93"/>
      <c r="JF12" s="93"/>
      <c r="JG12" s="94"/>
      <c r="JH12" s="88"/>
      <c r="JI12" s="95"/>
      <c r="JJ12" s="93"/>
      <c r="JK12" s="93"/>
      <c r="JL12" s="94"/>
      <c r="JM12" s="89"/>
      <c r="JN12" s="96"/>
      <c r="JO12" s="84"/>
      <c r="JP12" s="95"/>
      <c r="JQ12" s="93"/>
      <c r="JR12" s="93"/>
      <c r="JS12" s="93"/>
      <c r="JT12" s="93"/>
      <c r="JU12" s="93"/>
      <c r="JV12" s="93"/>
      <c r="JW12" s="93"/>
      <c r="JX12" s="93"/>
      <c r="JY12" s="93"/>
      <c r="JZ12" s="93"/>
      <c r="KA12" s="93"/>
      <c r="KB12" s="93"/>
      <c r="KC12" s="93"/>
      <c r="KD12" s="93"/>
      <c r="KE12" s="93"/>
      <c r="KF12" s="93"/>
      <c r="KG12" s="93"/>
      <c r="KH12" s="93"/>
      <c r="KI12" s="93"/>
      <c r="KJ12" s="93"/>
      <c r="KK12" s="93"/>
      <c r="KL12" s="93"/>
      <c r="KM12" s="93"/>
      <c r="KN12" s="93"/>
      <c r="KO12" s="93"/>
      <c r="KP12" s="93"/>
      <c r="KQ12" s="93"/>
      <c r="KR12" s="93"/>
      <c r="KS12" s="93"/>
      <c r="KT12" s="93"/>
      <c r="KU12" s="93"/>
      <c r="KV12" s="93"/>
      <c r="KW12" s="93"/>
      <c r="KX12" s="93"/>
      <c r="KY12" s="93"/>
      <c r="KZ12" s="93"/>
      <c r="LA12" s="93"/>
      <c r="LB12" s="93"/>
      <c r="LC12" s="93"/>
      <c r="LD12" s="93"/>
      <c r="LE12" s="93"/>
      <c r="LF12" s="93"/>
      <c r="LG12" s="93"/>
      <c r="LH12" s="93"/>
      <c r="LI12" s="93"/>
      <c r="LJ12" s="93"/>
      <c r="LK12" s="93"/>
      <c r="LL12" s="93"/>
      <c r="LM12" s="93"/>
      <c r="LN12" s="93"/>
      <c r="LO12" s="93"/>
      <c r="LP12" s="93"/>
      <c r="LQ12" s="93"/>
      <c r="LR12" s="93"/>
      <c r="LS12" s="93"/>
      <c r="LT12" s="93"/>
      <c r="LU12" s="93"/>
      <c r="LV12" s="93"/>
      <c r="LW12" s="93"/>
      <c r="LX12" s="93"/>
      <c r="LY12" s="93"/>
      <c r="LZ12" s="93"/>
      <c r="MA12" s="93"/>
      <c r="MB12" s="93"/>
      <c r="MC12" s="93"/>
      <c r="MD12" s="92"/>
      <c r="ME12" s="92"/>
      <c r="MF12" s="92"/>
      <c r="MG12" s="92"/>
      <c r="MH12" s="92"/>
      <c r="MI12" s="92"/>
      <c r="MJ12" s="92"/>
      <c r="MK12" s="92"/>
      <c r="ML12" s="92"/>
      <c r="MM12" s="92"/>
      <c r="MN12" s="92"/>
      <c r="MO12" s="92"/>
      <c r="MP12" s="92"/>
      <c r="MQ12" s="92"/>
      <c r="MR12" s="92"/>
      <c r="MS12" s="92"/>
      <c r="MT12" s="92"/>
      <c r="MU12" s="92"/>
      <c r="MV12" s="92"/>
      <c r="MW12" s="92"/>
      <c r="MX12" s="92"/>
      <c r="MY12" s="92"/>
      <c r="MZ12" s="92"/>
      <c r="NA12" s="92"/>
      <c r="NB12" s="92"/>
      <c r="NC12" s="92"/>
      <c r="ND12" s="92"/>
      <c r="NE12" s="92"/>
      <c r="NF12" s="92"/>
      <c r="NG12" s="92"/>
      <c r="NH12" s="92"/>
      <c r="NI12" s="92"/>
      <c r="NJ12" s="92"/>
      <c r="NK12" s="92"/>
      <c r="NL12" s="92"/>
      <c r="NM12" s="92"/>
      <c r="NN12" s="92"/>
      <c r="NO12" s="92"/>
      <c r="NP12" s="92"/>
      <c r="NQ12" s="92"/>
      <c r="NR12" s="92"/>
      <c r="NS12" s="92"/>
      <c r="NT12" s="92"/>
      <c r="NU12" s="92"/>
      <c r="NV12" s="92"/>
      <c r="NW12" s="92"/>
      <c r="NX12" s="92"/>
      <c r="NY12" s="93"/>
      <c r="NZ12" s="93"/>
    </row>
    <row r="13" spans="1:390" ht="15.75" customHeight="1" x14ac:dyDescent="0.3">
      <c r="A13" s="98">
        <v>6240724270</v>
      </c>
      <c r="B13" s="182" t="s">
        <v>392</v>
      </c>
      <c r="C13" s="84" t="s">
        <v>393</v>
      </c>
      <c r="D13" s="87" t="s">
        <v>392</v>
      </c>
      <c r="E13" s="93" t="s">
        <v>651</v>
      </c>
      <c r="F13" s="93" t="s">
        <v>409</v>
      </c>
      <c r="G13" s="93" t="s">
        <v>449</v>
      </c>
      <c r="H13" s="101">
        <v>43776</v>
      </c>
      <c r="I13" s="92" t="s">
        <v>652</v>
      </c>
      <c r="J13" s="234" t="s">
        <v>398</v>
      </c>
      <c r="K13" s="93" t="s">
        <v>399</v>
      </c>
      <c r="L13" s="93" t="s">
        <v>399</v>
      </c>
      <c r="M13" s="93" t="s">
        <v>399</v>
      </c>
      <c r="N13" s="93" t="s">
        <v>399</v>
      </c>
      <c r="O13" s="93" t="s">
        <v>399</v>
      </c>
      <c r="P13" s="194" t="s">
        <v>399</v>
      </c>
      <c r="Q13" s="84" t="s">
        <v>399</v>
      </c>
      <c r="R13" s="197" t="s">
        <v>399</v>
      </c>
      <c r="S13" s="197" t="s">
        <v>399</v>
      </c>
      <c r="T13" s="197" t="s">
        <v>399</v>
      </c>
      <c r="U13" s="198" t="s">
        <v>399</v>
      </c>
      <c r="V13" s="84" t="s">
        <v>399</v>
      </c>
      <c r="W13" s="197" t="s">
        <v>399</v>
      </c>
      <c r="X13" s="197" t="s">
        <v>399</v>
      </c>
      <c r="Y13" s="197" t="s">
        <v>399</v>
      </c>
      <c r="Z13" s="198" t="s">
        <v>399</v>
      </c>
      <c r="AA13" s="84" t="s">
        <v>399</v>
      </c>
      <c r="AB13" s="199" t="s">
        <v>400</v>
      </c>
      <c r="AC13" s="193">
        <v>17778</v>
      </c>
      <c r="AD13" s="194">
        <v>43725</v>
      </c>
      <c r="AE13" s="86">
        <f t="shared" si="0"/>
        <v>71</v>
      </c>
      <c r="AF13" s="108" t="s">
        <v>648</v>
      </c>
      <c r="AG13" s="84" t="s">
        <v>402</v>
      </c>
      <c r="AH13" s="87" t="s">
        <v>403</v>
      </c>
      <c r="AI13" s="85" t="s">
        <v>404</v>
      </c>
      <c r="AJ13" s="235" t="s">
        <v>405</v>
      </c>
      <c r="AK13" s="85" t="s">
        <v>405</v>
      </c>
      <c r="AL13" s="109">
        <v>0</v>
      </c>
      <c r="AM13" s="84" t="s">
        <v>406</v>
      </c>
      <c r="AN13" s="195">
        <v>1</v>
      </c>
      <c r="AO13" s="83" t="s">
        <v>399</v>
      </c>
      <c r="AP13" s="88"/>
      <c r="AQ13" s="95"/>
      <c r="AR13" s="88"/>
      <c r="AS13" s="93"/>
      <c r="AT13" s="93"/>
      <c r="AU13" s="93"/>
      <c r="AV13" s="93"/>
      <c r="AW13" s="88"/>
      <c r="AX13" s="93"/>
      <c r="AY13" s="93"/>
      <c r="AZ13" s="93"/>
      <c r="BA13" s="93"/>
      <c r="BB13" s="88"/>
      <c r="BC13" s="93"/>
      <c r="BD13" s="93"/>
      <c r="BE13" s="93"/>
      <c r="BF13" s="93"/>
      <c r="BG13" s="88"/>
      <c r="BH13" s="93"/>
      <c r="BI13" s="93"/>
      <c r="BJ13" s="93"/>
      <c r="BK13" s="93"/>
      <c r="BL13" s="88"/>
      <c r="BM13" s="93"/>
      <c r="BN13" s="93"/>
      <c r="BO13" s="93"/>
      <c r="BP13" s="93"/>
      <c r="BQ13" s="88"/>
      <c r="BR13" s="93"/>
      <c r="BS13" s="93"/>
      <c r="BT13" s="93"/>
      <c r="BU13" s="93"/>
      <c r="BV13" s="88"/>
      <c r="BW13" s="93"/>
      <c r="BX13" s="93"/>
      <c r="BY13" s="93"/>
      <c r="BZ13" s="93"/>
      <c r="CA13" s="88"/>
      <c r="CB13" s="93"/>
      <c r="CC13" s="93"/>
      <c r="CD13" s="93"/>
      <c r="CE13" s="93"/>
      <c r="CF13" s="88"/>
      <c r="CG13" s="93"/>
      <c r="CH13" s="93"/>
      <c r="CI13" s="93"/>
      <c r="CJ13" s="93"/>
      <c r="CK13" s="88"/>
      <c r="CL13" s="93"/>
      <c r="CM13" s="93"/>
      <c r="CN13" s="93"/>
      <c r="CO13" s="93"/>
      <c r="CP13" s="88"/>
      <c r="CQ13" s="93"/>
      <c r="CR13" s="93"/>
      <c r="CS13" s="93"/>
      <c r="CT13" s="93"/>
      <c r="CU13" s="88"/>
      <c r="CV13" s="93"/>
      <c r="CW13" s="93"/>
      <c r="CX13" s="93"/>
      <c r="CY13" s="93"/>
      <c r="CZ13" s="88"/>
      <c r="DA13" s="93"/>
      <c r="DB13" s="93"/>
      <c r="DC13" s="93"/>
      <c r="DD13" s="93"/>
      <c r="DE13" s="88"/>
      <c r="DF13" s="93"/>
      <c r="DG13" s="93"/>
      <c r="DH13" s="93"/>
      <c r="DI13" s="93"/>
      <c r="DJ13" s="88"/>
      <c r="DK13" s="93"/>
      <c r="DL13" s="93"/>
      <c r="DM13" s="93"/>
      <c r="DN13" s="93"/>
      <c r="DO13" s="88"/>
      <c r="DP13" s="93"/>
      <c r="DQ13" s="93"/>
      <c r="DR13" s="93"/>
      <c r="DS13" s="93"/>
      <c r="DT13" s="88"/>
      <c r="DU13" s="93"/>
      <c r="DV13" s="93"/>
      <c r="DW13" s="93"/>
      <c r="DX13" s="93"/>
      <c r="DY13" s="88"/>
      <c r="DZ13" s="93"/>
      <c r="EA13" s="93"/>
      <c r="EB13" s="93"/>
      <c r="EC13" s="93"/>
      <c r="ED13" s="88"/>
      <c r="EE13" s="93"/>
      <c r="EF13" s="93"/>
      <c r="EG13" s="93"/>
      <c r="EH13" s="93"/>
      <c r="EI13" s="88"/>
      <c r="EJ13" s="93"/>
      <c r="EK13" s="93"/>
      <c r="EL13" s="93"/>
      <c r="EM13" s="93"/>
      <c r="EN13" s="88"/>
      <c r="EO13" s="93"/>
      <c r="EP13" s="93"/>
      <c r="EQ13" s="93"/>
      <c r="ER13" s="93"/>
      <c r="ES13" s="88"/>
      <c r="ET13" s="93"/>
      <c r="EU13" s="93"/>
      <c r="EV13" s="93"/>
      <c r="EW13" s="93"/>
      <c r="EX13" s="88"/>
      <c r="EY13" s="93"/>
      <c r="EZ13" s="93"/>
      <c r="FA13" s="93"/>
      <c r="FB13" s="93"/>
      <c r="FC13" s="88"/>
      <c r="FD13" s="93"/>
      <c r="FE13" s="93"/>
      <c r="FF13" s="93"/>
      <c r="FG13" s="93"/>
      <c r="FH13" s="88"/>
      <c r="FI13" s="93"/>
      <c r="FJ13" s="93"/>
      <c r="FK13" s="93"/>
      <c r="FL13" s="93"/>
      <c r="FM13" s="93"/>
      <c r="FN13" s="93"/>
      <c r="FO13" s="93"/>
      <c r="FP13" s="93"/>
      <c r="FQ13" s="93"/>
      <c r="FR13" s="93"/>
      <c r="FS13" s="93"/>
      <c r="FT13" s="93"/>
      <c r="FU13" s="93"/>
      <c r="FV13" s="93"/>
      <c r="FW13" s="93"/>
      <c r="FX13" s="93"/>
      <c r="FY13" s="93"/>
      <c r="FZ13" s="93"/>
      <c r="GA13" s="93"/>
      <c r="GB13" s="93"/>
      <c r="GC13" s="93"/>
      <c r="GD13" s="93"/>
      <c r="GE13" s="93"/>
      <c r="GF13" s="93"/>
      <c r="GG13" s="93"/>
      <c r="GH13" s="93"/>
      <c r="GI13" s="93"/>
      <c r="GJ13" s="93"/>
      <c r="GK13" s="93"/>
      <c r="GL13" s="93"/>
      <c r="GM13" s="93"/>
      <c r="GN13" s="93"/>
      <c r="GO13" s="93"/>
      <c r="GP13" s="88"/>
      <c r="GQ13" s="93"/>
      <c r="GR13" s="93"/>
      <c r="GS13" s="93"/>
      <c r="GT13" s="93"/>
      <c r="GU13" s="88"/>
      <c r="GV13" s="93"/>
      <c r="GW13" s="93"/>
      <c r="GX13" s="93"/>
      <c r="GY13" s="93"/>
      <c r="GZ13" s="88"/>
      <c r="HA13" s="93"/>
      <c r="HB13" s="93"/>
      <c r="HC13" s="93"/>
      <c r="HD13" s="93"/>
      <c r="HE13" s="88"/>
      <c r="HF13" s="93"/>
      <c r="HG13" s="93"/>
      <c r="HH13" s="93"/>
      <c r="HI13" s="93"/>
      <c r="HJ13" s="88"/>
      <c r="HK13" s="93"/>
      <c r="HL13" s="93"/>
      <c r="HM13" s="93"/>
      <c r="HN13" s="93"/>
      <c r="HO13" s="88"/>
      <c r="HP13" s="93"/>
      <c r="HQ13" s="93"/>
      <c r="HR13" s="93"/>
      <c r="HS13" s="93"/>
      <c r="HT13" s="88"/>
      <c r="HU13" s="93"/>
      <c r="HV13" s="93"/>
      <c r="HW13" s="93"/>
      <c r="HX13" s="93"/>
      <c r="HY13" s="88"/>
      <c r="HZ13" s="93"/>
      <c r="IA13" s="93"/>
      <c r="IB13" s="93"/>
      <c r="IC13" s="93"/>
      <c r="ID13" s="88"/>
      <c r="IE13" s="93"/>
      <c r="IF13" s="93"/>
      <c r="IG13" s="93"/>
      <c r="IH13" s="93"/>
      <c r="II13" s="88"/>
      <c r="IJ13" s="93"/>
      <c r="IK13" s="93"/>
      <c r="IL13" s="93"/>
      <c r="IM13" s="93"/>
      <c r="IN13" s="88"/>
      <c r="IO13" s="93"/>
      <c r="IP13" s="93"/>
      <c r="IQ13" s="93"/>
      <c r="IR13" s="93"/>
      <c r="IS13" s="88"/>
      <c r="IT13" s="93"/>
      <c r="IU13" s="93"/>
      <c r="IV13" s="93"/>
      <c r="IW13" s="93"/>
      <c r="IX13" s="88"/>
      <c r="IY13" s="93"/>
      <c r="IZ13" s="93"/>
      <c r="JA13" s="93"/>
      <c r="JB13" s="93"/>
      <c r="JC13" s="88"/>
      <c r="JD13" s="93"/>
      <c r="JE13" s="93"/>
      <c r="JF13" s="93"/>
      <c r="JG13" s="94"/>
      <c r="JH13" s="88"/>
      <c r="JI13" s="95"/>
      <c r="JJ13" s="93"/>
      <c r="JK13" s="93"/>
      <c r="JL13" s="94"/>
      <c r="JM13" s="89"/>
      <c r="JN13" s="96"/>
      <c r="JO13" s="84"/>
      <c r="JP13" s="95"/>
      <c r="JQ13" s="93"/>
      <c r="JR13" s="93"/>
      <c r="JS13" s="93"/>
      <c r="JT13" s="93"/>
      <c r="JU13" s="93"/>
      <c r="JV13" s="93"/>
      <c r="JW13" s="93"/>
      <c r="JX13" s="93"/>
      <c r="JY13" s="93"/>
      <c r="JZ13" s="93"/>
      <c r="KA13" s="93"/>
      <c r="KB13" s="93"/>
      <c r="KC13" s="93"/>
      <c r="KD13" s="93"/>
      <c r="KE13" s="93"/>
      <c r="KF13" s="93"/>
      <c r="KG13" s="93"/>
      <c r="KH13" s="93"/>
      <c r="KI13" s="93"/>
      <c r="KJ13" s="93"/>
      <c r="KK13" s="93"/>
      <c r="KL13" s="93"/>
      <c r="KM13" s="93"/>
      <c r="KN13" s="93"/>
      <c r="KO13" s="93"/>
      <c r="KP13" s="93"/>
      <c r="KQ13" s="93"/>
      <c r="KR13" s="93"/>
      <c r="KS13" s="93"/>
      <c r="KT13" s="93"/>
      <c r="KU13" s="93"/>
      <c r="KV13" s="93"/>
      <c r="KW13" s="93"/>
      <c r="KX13" s="93"/>
      <c r="KY13" s="93"/>
      <c r="KZ13" s="93"/>
      <c r="LA13" s="93"/>
      <c r="LB13" s="93"/>
      <c r="LC13" s="93"/>
      <c r="LD13" s="93"/>
      <c r="LE13" s="93"/>
      <c r="LF13" s="93"/>
      <c r="LG13" s="93"/>
      <c r="LH13" s="93"/>
      <c r="LI13" s="93"/>
      <c r="LJ13" s="93"/>
      <c r="LK13" s="93"/>
      <c r="LL13" s="93"/>
      <c r="LM13" s="93"/>
      <c r="LN13" s="93"/>
      <c r="LO13" s="93"/>
      <c r="LP13" s="93"/>
      <c r="LQ13" s="93"/>
      <c r="LR13" s="93"/>
      <c r="LS13" s="93"/>
      <c r="LT13" s="93"/>
      <c r="LU13" s="93"/>
      <c r="LV13" s="93"/>
      <c r="LW13" s="93"/>
      <c r="LX13" s="93"/>
      <c r="LY13" s="93"/>
      <c r="LZ13" s="93"/>
      <c r="MA13" s="93"/>
      <c r="MB13" s="93"/>
      <c r="MC13" s="93"/>
      <c r="MD13" s="92"/>
      <c r="ME13" s="92"/>
      <c r="MF13" s="92"/>
      <c r="MG13" s="92"/>
      <c r="MH13" s="92"/>
      <c r="MI13" s="92"/>
      <c r="MJ13" s="92"/>
      <c r="MK13" s="92"/>
      <c r="ML13" s="92"/>
      <c r="MM13" s="92"/>
      <c r="MN13" s="92"/>
      <c r="MO13" s="92"/>
      <c r="MP13" s="92"/>
      <c r="MQ13" s="92"/>
      <c r="MR13" s="92"/>
      <c r="MS13" s="92"/>
      <c r="MT13" s="92"/>
      <c r="MU13" s="92"/>
      <c r="MV13" s="92"/>
      <c r="MW13" s="92"/>
      <c r="MX13" s="92"/>
      <c r="MY13" s="92"/>
      <c r="MZ13" s="92"/>
      <c r="NA13" s="92"/>
      <c r="NB13" s="92"/>
      <c r="NC13" s="92"/>
      <c r="ND13" s="92"/>
      <c r="NE13" s="92"/>
      <c r="NF13" s="92"/>
      <c r="NG13" s="92"/>
      <c r="NH13" s="92"/>
      <c r="NI13" s="92"/>
      <c r="NJ13" s="92"/>
      <c r="NK13" s="92"/>
      <c r="NL13" s="92"/>
      <c r="NM13" s="92"/>
      <c r="NN13" s="92"/>
      <c r="NO13" s="92"/>
      <c r="NP13" s="92"/>
      <c r="NQ13" s="92"/>
      <c r="NR13" s="92"/>
      <c r="NS13" s="92"/>
      <c r="NT13" s="92"/>
      <c r="NU13" s="92"/>
      <c r="NV13" s="92"/>
      <c r="NW13" s="92"/>
      <c r="NX13" s="92"/>
      <c r="NY13" s="93"/>
      <c r="NZ13" s="93"/>
    </row>
    <row r="14" spans="1:390" ht="15.75" customHeight="1" x14ac:dyDescent="0.3">
      <c r="A14" s="98">
        <v>4387713127</v>
      </c>
      <c r="B14" s="182" t="s">
        <v>392</v>
      </c>
      <c r="C14" s="84" t="s">
        <v>393</v>
      </c>
      <c r="D14" s="87" t="s">
        <v>392</v>
      </c>
      <c r="E14" s="93" t="s">
        <v>653</v>
      </c>
      <c r="F14" s="93" t="s">
        <v>425</v>
      </c>
      <c r="G14" s="93" t="s">
        <v>399</v>
      </c>
      <c r="H14" s="101">
        <v>43794</v>
      </c>
      <c r="I14" s="92" t="s">
        <v>654</v>
      </c>
      <c r="J14" s="234" t="s">
        <v>398</v>
      </c>
      <c r="K14" s="93" t="s">
        <v>399</v>
      </c>
      <c r="L14" s="93" t="s">
        <v>399</v>
      </c>
      <c r="M14" s="93" t="s">
        <v>653</v>
      </c>
      <c r="N14" s="93" t="s">
        <v>655</v>
      </c>
      <c r="O14" s="93" t="s">
        <v>656</v>
      </c>
      <c r="P14" s="194">
        <v>43794</v>
      </c>
      <c r="Q14" s="84" t="s">
        <v>393</v>
      </c>
      <c r="R14" s="197" t="s">
        <v>399</v>
      </c>
      <c r="S14" s="197" t="s">
        <v>399</v>
      </c>
      <c r="T14" s="197" t="s">
        <v>399</v>
      </c>
      <c r="U14" s="198" t="s">
        <v>399</v>
      </c>
      <c r="V14" s="84" t="s">
        <v>399</v>
      </c>
      <c r="W14" s="197" t="s">
        <v>399</v>
      </c>
      <c r="X14" s="197" t="s">
        <v>399</v>
      </c>
      <c r="Y14" s="197" t="s">
        <v>399</v>
      </c>
      <c r="Z14" s="198" t="s">
        <v>399</v>
      </c>
      <c r="AA14" s="84" t="s">
        <v>399</v>
      </c>
      <c r="AB14" s="199" t="s">
        <v>400</v>
      </c>
      <c r="AC14" s="193">
        <v>16605</v>
      </c>
      <c r="AD14" s="194">
        <v>43738</v>
      </c>
      <c r="AE14" s="86">
        <f t="shared" si="0"/>
        <v>74</v>
      </c>
      <c r="AF14" s="108" t="s">
        <v>648</v>
      </c>
      <c r="AG14" s="84" t="s">
        <v>402</v>
      </c>
      <c r="AH14" s="87" t="s">
        <v>392</v>
      </c>
      <c r="AI14" s="85" t="s">
        <v>405</v>
      </c>
      <c r="AJ14" s="85">
        <v>1</v>
      </c>
      <c r="AK14" s="85" t="s">
        <v>405</v>
      </c>
      <c r="AL14" s="109">
        <v>0</v>
      </c>
      <c r="AM14" s="84" t="s">
        <v>399</v>
      </c>
      <c r="AN14" s="195">
        <v>3</v>
      </c>
      <c r="AO14" s="83" t="s">
        <v>399</v>
      </c>
      <c r="AP14" s="88"/>
      <c r="AQ14" s="95"/>
      <c r="AR14" s="88"/>
      <c r="AS14" s="93"/>
      <c r="AT14" s="93"/>
      <c r="AU14" s="93"/>
      <c r="AV14" s="93"/>
      <c r="AW14" s="88"/>
      <c r="AX14" s="93"/>
      <c r="AY14" s="93"/>
      <c r="AZ14" s="93"/>
      <c r="BA14" s="93"/>
      <c r="BB14" s="88"/>
      <c r="BC14" s="93"/>
      <c r="BD14" s="93"/>
      <c r="BE14" s="93"/>
      <c r="BF14" s="93"/>
      <c r="BG14" s="88"/>
      <c r="BH14" s="93"/>
      <c r="BI14" s="93"/>
      <c r="BJ14" s="93"/>
      <c r="BK14" s="93"/>
      <c r="BL14" s="88"/>
      <c r="BM14" s="93"/>
      <c r="BN14" s="93"/>
      <c r="BO14" s="93"/>
      <c r="BP14" s="93"/>
      <c r="BQ14" s="88"/>
      <c r="BR14" s="93"/>
      <c r="BS14" s="93"/>
      <c r="BT14" s="93"/>
      <c r="BU14" s="93"/>
      <c r="BV14" s="88"/>
      <c r="BW14" s="93"/>
      <c r="BX14" s="93"/>
      <c r="BY14" s="93"/>
      <c r="BZ14" s="93"/>
      <c r="CA14" s="88"/>
      <c r="CB14" s="93"/>
      <c r="CC14" s="93"/>
      <c r="CD14" s="93"/>
      <c r="CE14" s="93"/>
      <c r="CF14" s="88"/>
      <c r="CG14" s="93"/>
      <c r="CH14" s="93"/>
      <c r="CI14" s="93"/>
      <c r="CJ14" s="93"/>
      <c r="CK14" s="88"/>
      <c r="CL14" s="93"/>
      <c r="CM14" s="93"/>
      <c r="CN14" s="93"/>
      <c r="CO14" s="93"/>
      <c r="CP14" s="88"/>
      <c r="CQ14" s="93"/>
      <c r="CR14" s="93"/>
      <c r="CS14" s="93"/>
      <c r="CT14" s="93"/>
      <c r="CU14" s="88"/>
      <c r="CV14" s="93"/>
      <c r="CW14" s="93"/>
      <c r="CX14" s="93"/>
      <c r="CY14" s="93"/>
      <c r="CZ14" s="88"/>
      <c r="DA14" s="93"/>
      <c r="DB14" s="93"/>
      <c r="DC14" s="93"/>
      <c r="DD14" s="93"/>
      <c r="DE14" s="88"/>
      <c r="DF14" s="93"/>
      <c r="DG14" s="93"/>
      <c r="DH14" s="93"/>
      <c r="DI14" s="93"/>
      <c r="DJ14" s="88"/>
      <c r="DK14" s="93"/>
      <c r="DL14" s="93"/>
      <c r="DM14" s="93"/>
      <c r="DN14" s="93"/>
      <c r="DO14" s="88"/>
      <c r="DP14" s="93"/>
      <c r="DQ14" s="93"/>
      <c r="DR14" s="93"/>
      <c r="DS14" s="93"/>
      <c r="DT14" s="88"/>
      <c r="DU14" s="93"/>
      <c r="DV14" s="93"/>
      <c r="DW14" s="93"/>
      <c r="DX14" s="93"/>
      <c r="DY14" s="88"/>
      <c r="DZ14" s="93"/>
      <c r="EA14" s="93"/>
      <c r="EB14" s="93"/>
      <c r="EC14" s="93"/>
      <c r="ED14" s="88"/>
      <c r="EE14" s="93"/>
      <c r="EF14" s="93"/>
      <c r="EG14" s="93"/>
      <c r="EH14" s="93"/>
      <c r="EI14" s="88"/>
      <c r="EJ14" s="93"/>
      <c r="EK14" s="93"/>
      <c r="EL14" s="93"/>
      <c r="EM14" s="93"/>
      <c r="EN14" s="88"/>
      <c r="EO14" s="93"/>
      <c r="EP14" s="93"/>
      <c r="EQ14" s="93"/>
      <c r="ER14" s="93"/>
      <c r="ES14" s="88"/>
      <c r="ET14" s="93"/>
      <c r="EU14" s="93"/>
      <c r="EV14" s="93"/>
      <c r="EW14" s="93"/>
      <c r="EX14" s="88"/>
      <c r="EY14" s="93"/>
      <c r="EZ14" s="93"/>
      <c r="FA14" s="93"/>
      <c r="FB14" s="93"/>
      <c r="FC14" s="88"/>
      <c r="FD14" s="93"/>
      <c r="FE14" s="93"/>
      <c r="FF14" s="93"/>
      <c r="FG14" s="93"/>
      <c r="FH14" s="88"/>
      <c r="FI14" s="93"/>
      <c r="FJ14" s="93"/>
      <c r="FK14" s="93"/>
      <c r="FL14" s="93"/>
      <c r="FM14" s="93"/>
      <c r="FN14" s="93"/>
      <c r="FO14" s="93"/>
      <c r="FP14" s="93"/>
      <c r="FQ14" s="93"/>
      <c r="FR14" s="93"/>
      <c r="FS14" s="93"/>
      <c r="FT14" s="93"/>
      <c r="FU14" s="93"/>
      <c r="FV14" s="93"/>
      <c r="FW14" s="93"/>
      <c r="FX14" s="93"/>
      <c r="FY14" s="93"/>
      <c r="FZ14" s="93"/>
      <c r="GA14" s="93"/>
      <c r="GB14" s="93"/>
      <c r="GC14" s="93"/>
      <c r="GD14" s="93"/>
      <c r="GE14" s="93"/>
      <c r="GF14" s="93"/>
      <c r="GG14" s="93"/>
      <c r="GH14" s="93"/>
      <c r="GI14" s="93"/>
      <c r="GJ14" s="93"/>
      <c r="GK14" s="93"/>
      <c r="GL14" s="93"/>
      <c r="GM14" s="93"/>
      <c r="GN14" s="93"/>
      <c r="GO14" s="93"/>
      <c r="GP14" s="88"/>
      <c r="GQ14" s="93"/>
      <c r="GR14" s="93"/>
      <c r="GS14" s="93"/>
      <c r="GT14" s="93"/>
      <c r="GU14" s="88"/>
      <c r="GV14" s="93"/>
      <c r="GW14" s="93"/>
      <c r="GX14" s="93"/>
      <c r="GY14" s="93"/>
      <c r="GZ14" s="88"/>
      <c r="HA14" s="93"/>
      <c r="HB14" s="93"/>
      <c r="HC14" s="93"/>
      <c r="HD14" s="93"/>
      <c r="HE14" s="88"/>
      <c r="HF14" s="93"/>
      <c r="HG14" s="93"/>
      <c r="HH14" s="93"/>
      <c r="HI14" s="93"/>
      <c r="HJ14" s="88"/>
      <c r="HK14" s="93"/>
      <c r="HL14" s="93"/>
      <c r="HM14" s="93"/>
      <c r="HN14" s="93"/>
      <c r="HO14" s="88"/>
      <c r="HP14" s="93"/>
      <c r="HQ14" s="93"/>
      <c r="HR14" s="93"/>
      <c r="HS14" s="93"/>
      <c r="HT14" s="88"/>
      <c r="HU14" s="93"/>
      <c r="HV14" s="93"/>
      <c r="HW14" s="93"/>
      <c r="HX14" s="93"/>
      <c r="HY14" s="88"/>
      <c r="HZ14" s="93"/>
      <c r="IA14" s="93"/>
      <c r="IB14" s="93"/>
      <c r="IC14" s="93"/>
      <c r="ID14" s="88"/>
      <c r="IE14" s="93"/>
      <c r="IF14" s="93"/>
      <c r="IG14" s="93"/>
      <c r="IH14" s="93"/>
      <c r="II14" s="88"/>
      <c r="IJ14" s="93"/>
      <c r="IK14" s="93"/>
      <c r="IL14" s="93"/>
      <c r="IM14" s="93"/>
      <c r="IN14" s="88"/>
      <c r="IO14" s="93"/>
      <c r="IP14" s="93"/>
      <c r="IQ14" s="93"/>
      <c r="IR14" s="93"/>
      <c r="IS14" s="88"/>
      <c r="IT14" s="93"/>
      <c r="IU14" s="93"/>
      <c r="IV14" s="93"/>
      <c r="IW14" s="93"/>
      <c r="IX14" s="88"/>
      <c r="IY14" s="93"/>
      <c r="IZ14" s="93"/>
      <c r="JA14" s="93"/>
      <c r="JB14" s="93"/>
      <c r="JC14" s="88"/>
      <c r="JD14" s="93"/>
      <c r="JE14" s="93"/>
      <c r="JF14" s="93"/>
      <c r="JG14" s="94"/>
      <c r="JH14" s="88"/>
      <c r="JI14" s="95"/>
      <c r="JJ14" s="93"/>
      <c r="JK14" s="93"/>
      <c r="JL14" s="94"/>
      <c r="JM14" s="89"/>
      <c r="JN14" s="96"/>
      <c r="JO14" s="84"/>
      <c r="JP14" s="95"/>
      <c r="JQ14" s="93"/>
      <c r="JR14" s="93"/>
      <c r="JS14" s="93"/>
      <c r="JT14" s="93"/>
      <c r="JU14" s="93"/>
      <c r="JV14" s="93"/>
      <c r="JW14" s="93"/>
      <c r="JX14" s="93"/>
      <c r="JY14" s="93"/>
      <c r="JZ14" s="93"/>
      <c r="KA14" s="93"/>
      <c r="KB14" s="93"/>
      <c r="KC14" s="93"/>
      <c r="KD14" s="93"/>
      <c r="KE14" s="93"/>
      <c r="KF14" s="93"/>
      <c r="KG14" s="93"/>
      <c r="KH14" s="93"/>
      <c r="KI14" s="93"/>
      <c r="KJ14" s="93"/>
      <c r="KK14" s="93"/>
      <c r="KL14" s="93"/>
      <c r="KM14" s="93"/>
      <c r="KN14" s="93"/>
      <c r="KO14" s="93"/>
      <c r="KP14" s="93"/>
      <c r="KQ14" s="93"/>
      <c r="KR14" s="93"/>
      <c r="KS14" s="93"/>
      <c r="KT14" s="93"/>
      <c r="KU14" s="93"/>
      <c r="KV14" s="93"/>
      <c r="KW14" s="93"/>
      <c r="KX14" s="93"/>
      <c r="KY14" s="93"/>
      <c r="KZ14" s="93"/>
      <c r="LA14" s="93"/>
      <c r="LB14" s="93"/>
      <c r="LC14" s="93"/>
      <c r="LD14" s="93"/>
      <c r="LE14" s="93"/>
      <c r="LF14" s="93"/>
      <c r="LG14" s="93"/>
      <c r="LH14" s="93"/>
      <c r="LI14" s="93"/>
      <c r="LJ14" s="93"/>
      <c r="LK14" s="93"/>
      <c r="LL14" s="93"/>
      <c r="LM14" s="93"/>
      <c r="LN14" s="93"/>
      <c r="LO14" s="93"/>
      <c r="LP14" s="93"/>
      <c r="LQ14" s="93"/>
      <c r="LR14" s="93"/>
      <c r="LS14" s="93"/>
      <c r="LT14" s="93"/>
      <c r="LU14" s="93"/>
      <c r="LV14" s="93"/>
      <c r="LW14" s="93"/>
      <c r="LX14" s="93"/>
      <c r="LY14" s="93"/>
      <c r="LZ14" s="93"/>
      <c r="MA14" s="93"/>
      <c r="MB14" s="93"/>
      <c r="MC14" s="93"/>
      <c r="MD14" s="92"/>
      <c r="ME14" s="92"/>
      <c r="MF14" s="92"/>
      <c r="MG14" s="92"/>
      <c r="MH14" s="92"/>
      <c r="MI14" s="92"/>
      <c r="MJ14" s="92"/>
      <c r="MK14" s="92"/>
      <c r="ML14" s="92"/>
      <c r="MM14" s="92"/>
      <c r="MN14" s="92"/>
      <c r="MO14" s="92"/>
      <c r="MP14" s="92"/>
      <c r="MQ14" s="92"/>
      <c r="MR14" s="92"/>
      <c r="MS14" s="92"/>
      <c r="MT14" s="92"/>
      <c r="MU14" s="92"/>
      <c r="MV14" s="92"/>
      <c r="MW14" s="92"/>
      <c r="MX14" s="92"/>
      <c r="MY14" s="92"/>
      <c r="MZ14" s="92"/>
      <c r="NA14" s="92"/>
      <c r="NB14" s="92"/>
      <c r="NC14" s="92"/>
      <c r="ND14" s="92"/>
      <c r="NE14" s="92"/>
      <c r="NF14" s="92"/>
      <c r="NG14" s="92"/>
      <c r="NH14" s="92"/>
      <c r="NI14" s="92"/>
      <c r="NJ14" s="92"/>
      <c r="NK14" s="92"/>
      <c r="NL14" s="92"/>
      <c r="NM14" s="92"/>
      <c r="NN14" s="92"/>
      <c r="NO14" s="92"/>
      <c r="NP14" s="92"/>
      <c r="NQ14" s="92"/>
      <c r="NR14" s="92"/>
      <c r="NS14" s="92"/>
      <c r="NT14" s="92"/>
      <c r="NU14" s="92"/>
      <c r="NV14" s="92"/>
      <c r="NW14" s="92"/>
      <c r="NX14" s="92"/>
      <c r="NY14" s="93"/>
      <c r="NZ14" s="93"/>
    </row>
    <row r="15" spans="1:390" ht="15.75" customHeight="1" x14ac:dyDescent="0.3">
      <c r="A15" s="245">
        <v>4581912849</v>
      </c>
      <c r="B15" s="182" t="s">
        <v>392</v>
      </c>
      <c r="C15" s="84" t="s">
        <v>393</v>
      </c>
      <c r="D15" s="87" t="s">
        <v>392</v>
      </c>
      <c r="E15" s="93" t="s">
        <v>657</v>
      </c>
      <c r="F15" s="116" t="s">
        <v>441</v>
      </c>
      <c r="G15" s="93" t="s">
        <v>443</v>
      </c>
      <c r="H15" s="101">
        <v>43818</v>
      </c>
      <c r="I15" s="92" t="s">
        <v>658</v>
      </c>
      <c r="J15" s="237" t="s">
        <v>398</v>
      </c>
      <c r="K15" s="93" t="s">
        <v>399</v>
      </c>
      <c r="L15" s="93" t="s">
        <v>399</v>
      </c>
      <c r="M15" s="93" t="s">
        <v>399</v>
      </c>
      <c r="N15" s="93" t="s">
        <v>399</v>
      </c>
      <c r="O15" s="93" t="s">
        <v>399</v>
      </c>
      <c r="P15" s="194" t="s">
        <v>399</v>
      </c>
      <c r="Q15" s="84" t="s">
        <v>399</v>
      </c>
      <c r="R15" s="197" t="s">
        <v>399</v>
      </c>
      <c r="S15" s="197" t="s">
        <v>399</v>
      </c>
      <c r="T15" s="197" t="s">
        <v>399</v>
      </c>
      <c r="U15" s="198" t="s">
        <v>399</v>
      </c>
      <c r="V15" s="84" t="s">
        <v>399</v>
      </c>
      <c r="W15" s="197" t="s">
        <v>399</v>
      </c>
      <c r="X15" s="197" t="s">
        <v>399</v>
      </c>
      <c r="Y15" s="197" t="s">
        <v>399</v>
      </c>
      <c r="Z15" s="198" t="s">
        <v>399</v>
      </c>
      <c r="AA15" s="84" t="s">
        <v>399</v>
      </c>
      <c r="AB15" s="199" t="s">
        <v>400</v>
      </c>
      <c r="AC15" s="193">
        <v>19918</v>
      </c>
      <c r="AD15" s="194">
        <v>43755</v>
      </c>
      <c r="AE15" s="86">
        <f t="shared" si="0"/>
        <v>65</v>
      </c>
      <c r="AF15" s="202" t="s">
        <v>648</v>
      </c>
      <c r="AG15" s="84" t="s">
        <v>402</v>
      </c>
      <c r="AH15" s="87" t="s">
        <v>392</v>
      </c>
      <c r="AI15" s="85" t="s">
        <v>405</v>
      </c>
      <c r="AJ15" s="235">
        <v>1</v>
      </c>
      <c r="AK15" s="85" t="s">
        <v>405</v>
      </c>
      <c r="AL15" s="241">
        <v>0</v>
      </c>
      <c r="AM15" s="84" t="s">
        <v>399</v>
      </c>
      <c r="AN15" s="195">
        <v>3</v>
      </c>
      <c r="AO15" s="83" t="s">
        <v>399</v>
      </c>
      <c r="AP15" s="88"/>
      <c r="AQ15" s="95"/>
      <c r="AR15" s="88"/>
      <c r="AS15" s="93"/>
      <c r="AT15" s="93"/>
      <c r="AU15" s="93"/>
      <c r="AV15" s="93"/>
      <c r="AW15" s="88"/>
      <c r="AX15" s="93"/>
      <c r="AY15" s="93"/>
      <c r="AZ15" s="93"/>
      <c r="BA15" s="93"/>
      <c r="BB15" s="88"/>
      <c r="BC15" s="93"/>
      <c r="BD15" s="93"/>
      <c r="BE15" s="93"/>
      <c r="BF15" s="93"/>
      <c r="BG15" s="88"/>
      <c r="BH15" s="93"/>
      <c r="BI15" s="93"/>
      <c r="BJ15" s="93"/>
      <c r="BK15" s="93"/>
      <c r="BL15" s="88"/>
      <c r="BM15" s="93"/>
      <c r="BN15" s="93"/>
      <c r="BO15" s="93"/>
      <c r="BP15" s="93"/>
      <c r="BQ15" s="88"/>
      <c r="BR15" s="93"/>
      <c r="BS15" s="93"/>
      <c r="BT15" s="93"/>
      <c r="BU15" s="93"/>
      <c r="BV15" s="88"/>
      <c r="BW15" s="93"/>
      <c r="BX15" s="93"/>
      <c r="BY15" s="93"/>
      <c r="BZ15" s="93"/>
      <c r="CA15" s="88"/>
      <c r="CB15" s="93"/>
      <c r="CC15" s="93"/>
      <c r="CD15" s="93"/>
      <c r="CE15" s="93"/>
      <c r="CF15" s="88"/>
      <c r="CG15" s="93"/>
      <c r="CH15" s="93"/>
      <c r="CI15" s="93"/>
      <c r="CJ15" s="93"/>
      <c r="CK15" s="88"/>
      <c r="CL15" s="93"/>
      <c r="CM15" s="93"/>
      <c r="CN15" s="93"/>
      <c r="CO15" s="93"/>
      <c r="CP15" s="88"/>
      <c r="CQ15" s="93"/>
      <c r="CR15" s="93"/>
      <c r="CS15" s="93"/>
      <c r="CT15" s="93"/>
      <c r="CU15" s="88"/>
      <c r="CV15" s="93"/>
      <c r="CW15" s="93"/>
      <c r="CX15" s="93"/>
      <c r="CY15" s="93"/>
      <c r="CZ15" s="88"/>
      <c r="DA15" s="93"/>
      <c r="DB15" s="93"/>
      <c r="DC15" s="93"/>
      <c r="DD15" s="93"/>
      <c r="DE15" s="88"/>
      <c r="DF15" s="93"/>
      <c r="DG15" s="93"/>
      <c r="DH15" s="93"/>
      <c r="DI15" s="93"/>
      <c r="DJ15" s="88"/>
      <c r="DK15" s="93"/>
      <c r="DL15" s="93"/>
      <c r="DM15" s="93"/>
      <c r="DN15" s="93"/>
      <c r="DO15" s="88"/>
      <c r="DP15" s="93"/>
      <c r="DQ15" s="93"/>
      <c r="DR15" s="93"/>
      <c r="DS15" s="93"/>
      <c r="DT15" s="88"/>
      <c r="DU15" s="93"/>
      <c r="DV15" s="93"/>
      <c r="DW15" s="93"/>
      <c r="DX15" s="93"/>
      <c r="DY15" s="88"/>
      <c r="DZ15" s="93"/>
      <c r="EA15" s="93"/>
      <c r="EB15" s="93"/>
      <c r="EC15" s="93"/>
      <c r="ED15" s="88"/>
      <c r="EE15" s="93"/>
      <c r="EF15" s="93"/>
      <c r="EG15" s="93"/>
      <c r="EH15" s="93"/>
      <c r="EI15" s="88"/>
      <c r="EJ15" s="93"/>
      <c r="EK15" s="93"/>
      <c r="EL15" s="93"/>
      <c r="EM15" s="93"/>
      <c r="EN15" s="88"/>
      <c r="EO15" s="93"/>
      <c r="EP15" s="93"/>
      <c r="EQ15" s="93"/>
      <c r="ER15" s="93"/>
      <c r="ES15" s="88"/>
      <c r="ET15" s="93"/>
      <c r="EU15" s="93"/>
      <c r="EV15" s="93"/>
      <c r="EW15" s="93"/>
      <c r="EX15" s="88"/>
      <c r="EY15" s="93"/>
      <c r="EZ15" s="93"/>
      <c r="FA15" s="93"/>
      <c r="FB15" s="93"/>
      <c r="FC15" s="88"/>
      <c r="FD15" s="93"/>
      <c r="FE15" s="93"/>
      <c r="FF15" s="93"/>
      <c r="FG15" s="93"/>
      <c r="FH15" s="88"/>
      <c r="FI15" s="93"/>
      <c r="FJ15" s="93"/>
      <c r="FK15" s="93"/>
      <c r="FL15" s="93"/>
      <c r="FM15" s="93"/>
      <c r="FN15" s="93"/>
      <c r="FO15" s="93"/>
      <c r="FP15" s="93"/>
      <c r="FQ15" s="93"/>
      <c r="FR15" s="93"/>
      <c r="FS15" s="93"/>
      <c r="FT15" s="93"/>
      <c r="FU15" s="93"/>
      <c r="FV15" s="93"/>
      <c r="FW15" s="93"/>
      <c r="FX15" s="93"/>
      <c r="FY15" s="93"/>
      <c r="FZ15" s="93"/>
      <c r="GA15" s="93"/>
      <c r="GB15" s="93"/>
      <c r="GC15" s="93"/>
      <c r="GD15" s="93"/>
      <c r="GE15" s="93"/>
      <c r="GF15" s="93"/>
      <c r="GG15" s="93"/>
      <c r="GH15" s="93"/>
      <c r="GI15" s="93"/>
      <c r="GJ15" s="93"/>
      <c r="GK15" s="93"/>
      <c r="GL15" s="93"/>
      <c r="GM15" s="93"/>
      <c r="GN15" s="93"/>
      <c r="GO15" s="93"/>
      <c r="GP15" s="88"/>
      <c r="GQ15" s="93"/>
      <c r="GR15" s="93"/>
      <c r="GS15" s="93"/>
      <c r="GT15" s="93"/>
      <c r="GU15" s="88"/>
      <c r="GV15" s="93"/>
      <c r="GW15" s="93"/>
      <c r="GX15" s="93"/>
      <c r="GY15" s="93"/>
      <c r="GZ15" s="88"/>
      <c r="HA15" s="93"/>
      <c r="HB15" s="93"/>
      <c r="HC15" s="93"/>
      <c r="HD15" s="93"/>
      <c r="HE15" s="88"/>
      <c r="HF15" s="93"/>
      <c r="HG15" s="93"/>
      <c r="HH15" s="93"/>
      <c r="HI15" s="93"/>
      <c r="HJ15" s="88"/>
      <c r="HK15" s="93"/>
      <c r="HL15" s="93"/>
      <c r="HM15" s="93"/>
      <c r="HN15" s="93"/>
      <c r="HO15" s="88"/>
      <c r="HP15" s="93"/>
      <c r="HQ15" s="93"/>
      <c r="HR15" s="93"/>
      <c r="HS15" s="93"/>
      <c r="HT15" s="88"/>
      <c r="HU15" s="93"/>
      <c r="HV15" s="93"/>
      <c r="HW15" s="93"/>
      <c r="HX15" s="93"/>
      <c r="HY15" s="88"/>
      <c r="HZ15" s="93"/>
      <c r="IA15" s="93"/>
      <c r="IB15" s="93"/>
      <c r="IC15" s="93"/>
      <c r="ID15" s="88"/>
      <c r="IE15" s="93"/>
      <c r="IF15" s="93"/>
      <c r="IG15" s="93"/>
      <c r="IH15" s="93"/>
      <c r="II15" s="88"/>
      <c r="IJ15" s="93"/>
      <c r="IK15" s="93"/>
      <c r="IL15" s="93"/>
      <c r="IM15" s="93"/>
      <c r="IN15" s="88"/>
      <c r="IO15" s="93"/>
      <c r="IP15" s="93"/>
      <c r="IQ15" s="93"/>
      <c r="IR15" s="93"/>
      <c r="IS15" s="88"/>
      <c r="IT15" s="93"/>
      <c r="IU15" s="93"/>
      <c r="IV15" s="93"/>
      <c r="IW15" s="93"/>
      <c r="IX15" s="88"/>
      <c r="IY15" s="93"/>
      <c r="IZ15" s="93"/>
      <c r="JA15" s="93"/>
      <c r="JB15" s="93"/>
      <c r="JC15" s="88"/>
      <c r="JD15" s="93"/>
      <c r="JE15" s="93"/>
      <c r="JF15" s="93"/>
      <c r="JG15" s="94"/>
      <c r="JH15" s="88"/>
      <c r="JI15" s="95"/>
      <c r="JJ15" s="93"/>
      <c r="JK15" s="93"/>
      <c r="JL15" s="94"/>
      <c r="JM15" s="89"/>
      <c r="JN15" s="96"/>
      <c r="JO15" s="84"/>
      <c r="JP15" s="95"/>
      <c r="JQ15" s="93"/>
      <c r="JR15" s="93"/>
      <c r="JS15" s="93"/>
      <c r="JT15" s="93"/>
      <c r="JU15" s="93"/>
      <c r="JV15" s="93"/>
      <c r="JW15" s="93"/>
      <c r="JX15" s="93"/>
      <c r="JY15" s="93"/>
      <c r="JZ15" s="93"/>
      <c r="KA15" s="93"/>
      <c r="KB15" s="93"/>
      <c r="KC15" s="93"/>
      <c r="KD15" s="93"/>
      <c r="KE15" s="93"/>
      <c r="KF15" s="93"/>
      <c r="KG15" s="93"/>
      <c r="KH15" s="93"/>
      <c r="KI15" s="93"/>
      <c r="KJ15" s="93"/>
      <c r="KK15" s="93"/>
      <c r="KL15" s="93"/>
      <c r="KM15" s="93"/>
      <c r="KN15" s="93"/>
      <c r="KO15" s="93"/>
      <c r="KP15" s="93"/>
      <c r="KQ15" s="93"/>
      <c r="KR15" s="93"/>
      <c r="KS15" s="93"/>
      <c r="KT15" s="93"/>
      <c r="KU15" s="93"/>
      <c r="KV15" s="93"/>
      <c r="KW15" s="93"/>
      <c r="KX15" s="93"/>
      <c r="KY15" s="93"/>
      <c r="KZ15" s="93"/>
      <c r="LA15" s="93"/>
      <c r="LB15" s="93"/>
      <c r="LC15" s="93"/>
      <c r="LD15" s="93"/>
      <c r="LE15" s="93"/>
      <c r="LF15" s="93"/>
      <c r="LG15" s="93"/>
      <c r="LH15" s="93"/>
      <c r="LI15" s="93"/>
      <c r="LJ15" s="93"/>
      <c r="LK15" s="93"/>
      <c r="LL15" s="93"/>
      <c r="LM15" s="93"/>
      <c r="LN15" s="93"/>
      <c r="LO15" s="93"/>
      <c r="LP15" s="93"/>
      <c r="LQ15" s="93"/>
      <c r="LR15" s="93"/>
      <c r="LS15" s="93"/>
      <c r="LT15" s="93"/>
      <c r="LU15" s="93"/>
      <c r="LV15" s="93"/>
      <c r="LW15" s="93"/>
      <c r="LX15" s="93"/>
      <c r="LY15" s="93"/>
      <c r="LZ15" s="93"/>
      <c r="MA15" s="93"/>
      <c r="MB15" s="93"/>
      <c r="MC15" s="93"/>
      <c r="MD15" s="92"/>
      <c r="ME15" s="92"/>
      <c r="MF15" s="92"/>
      <c r="MG15" s="92"/>
      <c r="MH15" s="92"/>
      <c r="MI15" s="92"/>
      <c r="MJ15" s="92"/>
      <c r="MK15" s="92"/>
      <c r="ML15" s="92"/>
      <c r="MM15" s="92"/>
      <c r="MN15" s="92"/>
      <c r="MO15" s="92"/>
      <c r="MP15" s="92"/>
      <c r="MQ15" s="92"/>
      <c r="MR15" s="92"/>
      <c r="MS15" s="92"/>
      <c r="MT15" s="92"/>
      <c r="MU15" s="92"/>
      <c r="MV15" s="92"/>
      <c r="MW15" s="92"/>
      <c r="MX15" s="92"/>
      <c r="MY15" s="92"/>
      <c r="MZ15" s="92"/>
      <c r="NA15" s="92"/>
      <c r="NB15" s="92"/>
      <c r="NC15" s="92"/>
      <c r="ND15" s="92"/>
      <c r="NE15" s="92"/>
      <c r="NF15" s="92"/>
      <c r="NG15" s="92"/>
      <c r="NH15" s="92"/>
      <c r="NI15" s="92"/>
      <c r="NJ15" s="92"/>
      <c r="NK15" s="92"/>
      <c r="NL15" s="92"/>
      <c r="NM15" s="92"/>
      <c r="NN15" s="92"/>
      <c r="NO15" s="92"/>
      <c r="NP15" s="92"/>
      <c r="NQ15" s="92"/>
      <c r="NR15" s="92"/>
      <c r="NS15" s="92"/>
      <c r="NT15" s="92"/>
      <c r="NU15" s="92"/>
      <c r="NV15" s="92"/>
      <c r="NW15" s="92"/>
      <c r="NX15" s="92"/>
      <c r="NY15" s="93"/>
      <c r="NZ15" s="93"/>
    </row>
    <row r="16" spans="1:390" ht="15.75" customHeight="1" x14ac:dyDescent="0.3">
      <c r="A16" s="98">
        <v>4506203151</v>
      </c>
      <c r="B16" s="182" t="s">
        <v>392</v>
      </c>
      <c r="C16" s="84" t="s">
        <v>393</v>
      </c>
      <c r="D16" s="87" t="s">
        <v>392</v>
      </c>
      <c r="E16" s="93" t="s">
        <v>659</v>
      </c>
      <c r="F16" s="93" t="s">
        <v>409</v>
      </c>
      <c r="G16" s="93" t="s">
        <v>426</v>
      </c>
      <c r="H16" s="101">
        <v>43818</v>
      </c>
      <c r="I16" s="240" t="s">
        <v>660</v>
      </c>
      <c r="J16" s="240" t="s">
        <v>398</v>
      </c>
      <c r="K16" s="93" t="s">
        <v>399</v>
      </c>
      <c r="L16" s="93" t="s">
        <v>399</v>
      </c>
      <c r="M16" s="93" t="s">
        <v>399</v>
      </c>
      <c r="N16" s="93" t="s">
        <v>399</v>
      </c>
      <c r="O16" s="93" t="s">
        <v>399</v>
      </c>
      <c r="P16" s="194" t="s">
        <v>399</v>
      </c>
      <c r="Q16" s="84" t="s">
        <v>399</v>
      </c>
      <c r="R16" s="197" t="s">
        <v>399</v>
      </c>
      <c r="S16" s="197" t="s">
        <v>399</v>
      </c>
      <c r="T16" s="197" t="s">
        <v>399</v>
      </c>
      <c r="U16" s="198" t="s">
        <v>399</v>
      </c>
      <c r="V16" s="84" t="s">
        <v>399</v>
      </c>
      <c r="W16" s="197" t="s">
        <v>399</v>
      </c>
      <c r="X16" s="197" t="s">
        <v>399</v>
      </c>
      <c r="Y16" s="197" t="s">
        <v>399</v>
      </c>
      <c r="Z16" s="198" t="s">
        <v>399</v>
      </c>
      <c r="AA16" s="84" t="s">
        <v>399</v>
      </c>
      <c r="AB16" s="199" t="s">
        <v>400</v>
      </c>
      <c r="AC16" s="193">
        <v>21684</v>
      </c>
      <c r="AD16" s="194">
        <v>43784</v>
      </c>
      <c r="AE16" s="86">
        <f t="shared" si="0"/>
        <v>60</v>
      </c>
      <c r="AF16" s="108" t="s">
        <v>648</v>
      </c>
      <c r="AG16" s="84" t="s">
        <v>402</v>
      </c>
      <c r="AH16" s="87" t="s">
        <v>403</v>
      </c>
      <c r="AI16" s="85" t="s">
        <v>418</v>
      </c>
      <c r="AJ16" s="235" t="s">
        <v>405</v>
      </c>
      <c r="AK16" s="85" t="s">
        <v>405</v>
      </c>
      <c r="AL16" s="109">
        <v>0</v>
      </c>
      <c r="AM16" s="84" t="s">
        <v>419</v>
      </c>
      <c r="AN16" s="195">
        <v>2</v>
      </c>
      <c r="AO16" s="83" t="s">
        <v>399</v>
      </c>
      <c r="AP16" s="88"/>
      <c r="AQ16" s="95"/>
      <c r="AR16" s="88"/>
      <c r="AS16" s="93"/>
      <c r="AT16" s="93"/>
      <c r="AU16" s="93"/>
      <c r="AV16" s="93"/>
      <c r="AW16" s="88"/>
      <c r="AX16" s="93"/>
      <c r="AY16" s="93"/>
      <c r="AZ16" s="93"/>
      <c r="BA16" s="93"/>
      <c r="BB16" s="88"/>
      <c r="BC16" s="93"/>
      <c r="BD16" s="93"/>
      <c r="BE16" s="93"/>
      <c r="BF16" s="93"/>
      <c r="BG16" s="88"/>
      <c r="BH16" s="93"/>
      <c r="BI16" s="93"/>
      <c r="BJ16" s="93"/>
      <c r="BK16" s="93"/>
      <c r="BL16" s="88"/>
      <c r="BM16" s="93"/>
      <c r="BN16" s="93"/>
      <c r="BO16" s="93"/>
      <c r="BP16" s="93"/>
      <c r="BQ16" s="88"/>
      <c r="BR16" s="93"/>
      <c r="BS16" s="93"/>
      <c r="BT16" s="93"/>
      <c r="BU16" s="93"/>
      <c r="BV16" s="88"/>
      <c r="BW16" s="93"/>
      <c r="BX16" s="93"/>
      <c r="BY16" s="93"/>
      <c r="BZ16" s="93"/>
      <c r="CA16" s="88"/>
      <c r="CB16" s="93"/>
      <c r="CC16" s="93"/>
      <c r="CD16" s="93"/>
      <c r="CE16" s="93"/>
      <c r="CF16" s="88"/>
      <c r="CG16" s="93"/>
      <c r="CH16" s="93"/>
      <c r="CI16" s="93"/>
      <c r="CJ16" s="93"/>
      <c r="CK16" s="88"/>
      <c r="CL16" s="93"/>
      <c r="CM16" s="93"/>
      <c r="CN16" s="93"/>
      <c r="CO16" s="93"/>
      <c r="CP16" s="88"/>
      <c r="CQ16" s="93"/>
      <c r="CR16" s="93"/>
      <c r="CS16" s="93"/>
      <c r="CT16" s="93"/>
      <c r="CU16" s="88"/>
      <c r="CV16" s="93"/>
      <c r="CW16" s="93"/>
      <c r="CX16" s="93"/>
      <c r="CY16" s="93"/>
      <c r="CZ16" s="88"/>
      <c r="DA16" s="93"/>
      <c r="DB16" s="93"/>
      <c r="DC16" s="93"/>
      <c r="DD16" s="93"/>
      <c r="DE16" s="88"/>
      <c r="DF16" s="93"/>
      <c r="DG16" s="93"/>
      <c r="DH16" s="93"/>
      <c r="DI16" s="93"/>
      <c r="DJ16" s="88"/>
      <c r="DK16" s="93"/>
      <c r="DL16" s="93"/>
      <c r="DM16" s="93"/>
      <c r="DN16" s="93"/>
      <c r="DO16" s="88"/>
      <c r="DP16" s="93"/>
      <c r="DQ16" s="93"/>
      <c r="DR16" s="93"/>
      <c r="DS16" s="93"/>
      <c r="DT16" s="88"/>
      <c r="DU16" s="93"/>
      <c r="DV16" s="93"/>
      <c r="DW16" s="93"/>
      <c r="DX16" s="93"/>
      <c r="DY16" s="88"/>
      <c r="DZ16" s="93"/>
      <c r="EA16" s="93"/>
      <c r="EB16" s="93"/>
      <c r="EC16" s="93"/>
      <c r="ED16" s="88"/>
      <c r="EE16" s="93"/>
      <c r="EF16" s="93"/>
      <c r="EG16" s="93"/>
      <c r="EH16" s="93"/>
      <c r="EI16" s="88"/>
      <c r="EJ16" s="93"/>
      <c r="EK16" s="93"/>
      <c r="EL16" s="93"/>
      <c r="EM16" s="93"/>
      <c r="EN16" s="88"/>
      <c r="EO16" s="93"/>
      <c r="EP16" s="93"/>
      <c r="EQ16" s="93"/>
      <c r="ER16" s="93"/>
      <c r="ES16" s="88"/>
      <c r="ET16" s="93"/>
      <c r="EU16" s="93"/>
      <c r="EV16" s="93"/>
      <c r="EW16" s="93"/>
      <c r="EX16" s="88"/>
      <c r="EY16" s="93"/>
      <c r="EZ16" s="93"/>
      <c r="FA16" s="93"/>
      <c r="FB16" s="93"/>
      <c r="FC16" s="88"/>
      <c r="FD16" s="93"/>
      <c r="FE16" s="93"/>
      <c r="FF16" s="93"/>
      <c r="FG16" s="93"/>
      <c r="FH16" s="88"/>
      <c r="FI16" s="93"/>
      <c r="FJ16" s="93"/>
      <c r="FK16" s="93"/>
      <c r="FL16" s="93"/>
      <c r="FM16" s="93"/>
      <c r="FN16" s="93"/>
      <c r="FO16" s="93"/>
      <c r="FP16" s="93"/>
      <c r="FQ16" s="93"/>
      <c r="FR16" s="93"/>
      <c r="FS16" s="93"/>
      <c r="FT16" s="93"/>
      <c r="FU16" s="93"/>
      <c r="FV16" s="93"/>
      <c r="FW16" s="93"/>
      <c r="FX16" s="93"/>
      <c r="FY16" s="93"/>
      <c r="FZ16" s="93"/>
      <c r="GA16" s="93"/>
      <c r="GB16" s="93"/>
      <c r="GC16" s="93"/>
      <c r="GD16" s="93"/>
      <c r="GE16" s="93"/>
      <c r="GF16" s="93"/>
      <c r="GG16" s="93"/>
      <c r="GH16" s="93"/>
      <c r="GI16" s="93"/>
      <c r="GJ16" s="93"/>
      <c r="GK16" s="93"/>
      <c r="GL16" s="93"/>
      <c r="GM16" s="93"/>
      <c r="GN16" s="93"/>
      <c r="GO16" s="93"/>
      <c r="GP16" s="88"/>
      <c r="GQ16" s="93"/>
      <c r="GR16" s="93"/>
      <c r="GS16" s="93"/>
      <c r="GT16" s="93"/>
      <c r="GU16" s="88"/>
      <c r="GV16" s="93"/>
      <c r="GW16" s="93"/>
      <c r="GX16" s="93"/>
      <c r="GY16" s="93"/>
      <c r="GZ16" s="88"/>
      <c r="HA16" s="93"/>
      <c r="HB16" s="93"/>
      <c r="HC16" s="93"/>
      <c r="HD16" s="93"/>
      <c r="HE16" s="88"/>
      <c r="HF16" s="93"/>
      <c r="HG16" s="93"/>
      <c r="HH16" s="93"/>
      <c r="HI16" s="93"/>
      <c r="HJ16" s="88"/>
      <c r="HK16" s="93"/>
      <c r="HL16" s="93"/>
      <c r="HM16" s="93"/>
      <c r="HN16" s="93"/>
      <c r="HO16" s="88"/>
      <c r="HP16" s="93"/>
      <c r="HQ16" s="93"/>
      <c r="HR16" s="93"/>
      <c r="HS16" s="93"/>
      <c r="HT16" s="88"/>
      <c r="HU16" s="93"/>
      <c r="HV16" s="93"/>
      <c r="HW16" s="93"/>
      <c r="HX16" s="93"/>
      <c r="HY16" s="88"/>
      <c r="HZ16" s="93"/>
      <c r="IA16" s="93"/>
      <c r="IB16" s="93"/>
      <c r="IC16" s="93"/>
      <c r="ID16" s="88"/>
      <c r="IE16" s="93"/>
      <c r="IF16" s="93"/>
      <c r="IG16" s="93"/>
      <c r="IH16" s="93"/>
      <c r="II16" s="88"/>
      <c r="IJ16" s="93"/>
      <c r="IK16" s="93"/>
      <c r="IL16" s="93"/>
      <c r="IM16" s="93"/>
      <c r="IN16" s="88"/>
      <c r="IO16" s="93"/>
      <c r="IP16" s="93"/>
      <c r="IQ16" s="93"/>
      <c r="IR16" s="93"/>
      <c r="IS16" s="88"/>
      <c r="IT16" s="93"/>
      <c r="IU16" s="93"/>
      <c r="IV16" s="93"/>
      <c r="IW16" s="93"/>
      <c r="IX16" s="88"/>
      <c r="IY16" s="93"/>
      <c r="IZ16" s="93"/>
      <c r="JA16" s="93"/>
      <c r="JB16" s="93"/>
      <c r="JC16" s="88"/>
      <c r="JD16" s="93"/>
      <c r="JE16" s="93"/>
      <c r="JF16" s="93"/>
      <c r="JG16" s="94"/>
      <c r="JH16" s="88"/>
      <c r="JI16" s="95"/>
      <c r="JJ16" s="93"/>
      <c r="JK16" s="93"/>
      <c r="JL16" s="94"/>
      <c r="JM16" s="89"/>
      <c r="JN16" s="96"/>
      <c r="JO16" s="84"/>
      <c r="JP16" s="95"/>
      <c r="JQ16" s="93"/>
      <c r="JR16" s="93"/>
      <c r="JS16" s="93"/>
      <c r="JT16" s="93"/>
      <c r="JU16" s="93"/>
      <c r="JV16" s="93"/>
      <c r="JW16" s="93"/>
      <c r="JX16" s="93"/>
      <c r="JY16" s="93"/>
      <c r="JZ16" s="93"/>
      <c r="KA16" s="93"/>
      <c r="KB16" s="93"/>
      <c r="KC16" s="93"/>
      <c r="KD16" s="93"/>
      <c r="KE16" s="93"/>
      <c r="KF16" s="93"/>
      <c r="KG16" s="93"/>
      <c r="KH16" s="93"/>
      <c r="KI16" s="93"/>
      <c r="KJ16" s="93"/>
      <c r="KK16" s="93"/>
      <c r="KL16" s="93"/>
      <c r="KM16" s="93"/>
      <c r="KN16" s="93"/>
      <c r="KO16" s="93"/>
      <c r="KP16" s="93"/>
      <c r="KQ16" s="93"/>
      <c r="KR16" s="93"/>
      <c r="KS16" s="93"/>
      <c r="KT16" s="93"/>
      <c r="KU16" s="93"/>
      <c r="KV16" s="93"/>
      <c r="KW16" s="93"/>
      <c r="KX16" s="93"/>
      <c r="KY16" s="93"/>
      <c r="KZ16" s="93"/>
      <c r="LA16" s="93"/>
      <c r="LB16" s="93"/>
      <c r="LC16" s="93"/>
      <c r="LD16" s="93"/>
      <c r="LE16" s="93"/>
      <c r="LF16" s="93"/>
      <c r="LG16" s="93"/>
      <c r="LH16" s="93"/>
      <c r="LI16" s="93"/>
      <c r="LJ16" s="93"/>
      <c r="LK16" s="93"/>
      <c r="LL16" s="93"/>
      <c r="LM16" s="93"/>
      <c r="LN16" s="93"/>
      <c r="LO16" s="93"/>
      <c r="LP16" s="93"/>
      <c r="LQ16" s="93"/>
      <c r="LR16" s="93"/>
      <c r="LS16" s="93"/>
      <c r="LT16" s="93"/>
      <c r="LU16" s="93"/>
      <c r="LV16" s="93"/>
      <c r="LW16" s="93"/>
      <c r="LX16" s="93"/>
      <c r="LY16" s="93"/>
      <c r="LZ16" s="93"/>
      <c r="MA16" s="93"/>
      <c r="MB16" s="93"/>
      <c r="MC16" s="93"/>
      <c r="MD16" s="92"/>
      <c r="ME16" s="92"/>
      <c r="MF16" s="92"/>
      <c r="MG16" s="92"/>
      <c r="MH16" s="92"/>
      <c r="MI16" s="92"/>
      <c r="MJ16" s="92"/>
      <c r="MK16" s="92"/>
      <c r="ML16" s="92"/>
      <c r="MM16" s="92"/>
      <c r="MN16" s="92"/>
      <c r="MO16" s="92"/>
      <c r="MP16" s="92"/>
      <c r="MQ16" s="92"/>
      <c r="MR16" s="92"/>
      <c r="MS16" s="92"/>
      <c r="MT16" s="92"/>
      <c r="MU16" s="92"/>
      <c r="MV16" s="92"/>
      <c r="MW16" s="92"/>
      <c r="MX16" s="92"/>
      <c r="MY16" s="92"/>
      <c r="MZ16" s="92"/>
      <c r="NA16" s="92"/>
      <c r="NB16" s="92"/>
      <c r="NC16" s="92"/>
      <c r="ND16" s="92"/>
      <c r="NE16" s="92"/>
      <c r="NF16" s="92"/>
      <c r="NG16" s="92"/>
      <c r="NH16" s="92"/>
      <c r="NI16" s="92"/>
      <c r="NJ16" s="92"/>
      <c r="NK16" s="92"/>
      <c r="NL16" s="92"/>
      <c r="NM16" s="92"/>
      <c r="NN16" s="92"/>
      <c r="NO16" s="92"/>
      <c r="NP16" s="92"/>
      <c r="NQ16" s="92"/>
      <c r="NR16" s="92"/>
      <c r="NS16" s="92"/>
      <c r="NT16" s="92"/>
      <c r="NU16" s="92"/>
      <c r="NV16" s="92"/>
      <c r="NW16" s="92"/>
      <c r="NX16" s="92"/>
      <c r="NY16" s="93"/>
      <c r="NZ16" s="93"/>
    </row>
    <row r="17" spans="1:390" ht="15.75" customHeight="1" x14ac:dyDescent="0.3">
      <c r="A17" s="245">
        <v>6290449265</v>
      </c>
      <c r="B17" s="182" t="s">
        <v>392</v>
      </c>
      <c r="C17" s="84" t="s">
        <v>393</v>
      </c>
      <c r="D17" s="87" t="s">
        <v>392</v>
      </c>
      <c r="E17" s="93" t="s">
        <v>661</v>
      </c>
      <c r="F17" s="116" t="s">
        <v>416</v>
      </c>
      <c r="G17" s="93" t="s">
        <v>449</v>
      </c>
      <c r="H17" s="101">
        <v>43846</v>
      </c>
      <c r="I17" s="240" t="s">
        <v>660</v>
      </c>
      <c r="J17" s="240" t="s">
        <v>398</v>
      </c>
      <c r="K17" s="93" t="s">
        <v>399</v>
      </c>
      <c r="L17" s="93" t="s">
        <v>399</v>
      </c>
      <c r="M17" s="93" t="s">
        <v>399</v>
      </c>
      <c r="N17" s="93" t="s">
        <v>399</v>
      </c>
      <c r="O17" s="93" t="s">
        <v>399</v>
      </c>
      <c r="P17" s="194" t="s">
        <v>399</v>
      </c>
      <c r="Q17" s="84" t="s">
        <v>399</v>
      </c>
      <c r="R17" s="197" t="s">
        <v>399</v>
      </c>
      <c r="S17" s="197" t="s">
        <v>399</v>
      </c>
      <c r="T17" s="197" t="s">
        <v>399</v>
      </c>
      <c r="U17" s="198" t="s">
        <v>399</v>
      </c>
      <c r="V17" s="84" t="s">
        <v>399</v>
      </c>
      <c r="W17" s="197" t="s">
        <v>399</v>
      </c>
      <c r="X17" s="197" t="s">
        <v>399</v>
      </c>
      <c r="Y17" s="197" t="s">
        <v>399</v>
      </c>
      <c r="Z17" s="198" t="s">
        <v>399</v>
      </c>
      <c r="AA17" s="84" t="s">
        <v>399</v>
      </c>
      <c r="AB17" s="199" t="s">
        <v>400</v>
      </c>
      <c r="AC17" s="193">
        <v>19941</v>
      </c>
      <c r="AD17" s="194">
        <v>43794</v>
      </c>
      <c r="AE17" s="86">
        <f t="shared" si="0"/>
        <v>65</v>
      </c>
      <c r="AF17" s="108" t="s">
        <v>648</v>
      </c>
      <c r="AG17" s="84" t="s">
        <v>402</v>
      </c>
      <c r="AH17" s="87" t="s">
        <v>403</v>
      </c>
      <c r="AI17" s="85" t="s">
        <v>404</v>
      </c>
      <c r="AJ17" s="235" t="s">
        <v>405</v>
      </c>
      <c r="AK17" s="85" t="s">
        <v>405</v>
      </c>
      <c r="AL17" s="109">
        <v>0</v>
      </c>
      <c r="AM17" s="84" t="s">
        <v>406</v>
      </c>
      <c r="AN17" s="195">
        <v>1</v>
      </c>
      <c r="AO17" s="83" t="s">
        <v>399</v>
      </c>
      <c r="AP17" s="88"/>
      <c r="AQ17" s="95"/>
      <c r="AR17" s="88"/>
      <c r="AS17" s="93"/>
      <c r="AT17" s="93"/>
      <c r="AU17" s="93"/>
      <c r="AV17" s="93"/>
      <c r="AW17" s="88"/>
      <c r="AX17" s="93"/>
      <c r="AY17" s="93"/>
      <c r="AZ17" s="93"/>
      <c r="BA17" s="93"/>
      <c r="BB17" s="88"/>
      <c r="BC17" s="93"/>
      <c r="BD17" s="93"/>
      <c r="BE17" s="93"/>
      <c r="BF17" s="93"/>
      <c r="BG17" s="88"/>
      <c r="BH17" s="93"/>
      <c r="BI17" s="93"/>
      <c r="BJ17" s="93"/>
      <c r="BK17" s="93"/>
      <c r="BL17" s="88"/>
      <c r="BM17" s="93"/>
      <c r="BN17" s="93"/>
      <c r="BO17" s="93"/>
      <c r="BP17" s="93"/>
      <c r="BQ17" s="88"/>
      <c r="BR17" s="93"/>
      <c r="BS17" s="93"/>
      <c r="BT17" s="93"/>
      <c r="BU17" s="93"/>
      <c r="BV17" s="88"/>
      <c r="BW17" s="93"/>
      <c r="BX17" s="93"/>
      <c r="BY17" s="93"/>
      <c r="BZ17" s="93"/>
      <c r="CA17" s="88"/>
      <c r="CB17" s="93"/>
      <c r="CC17" s="93"/>
      <c r="CD17" s="93"/>
      <c r="CE17" s="93"/>
      <c r="CF17" s="88"/>
      <c r="CG17" s="93"/>
      <c r="CH17" s="93"/>
      <c r="CI17" s="93"/>
      <c r="CJ17" s="93"/>
      <c r="CK17" s="88"/>
      <c r="CL17" s="93"/>
      <c r="CM17" s="93"/>
      <c r="CN17" s="93"/>
      <c r="CO17" s="93"/>
      <c r="CP17" s="88"/>
      <c r="CQ17" s="93"/>
      <c r="CR17" s="93"/>
      <c r="CS17" s="93"/>
      <c r="CT17" s="93"/>
      <c r="CU17" s="88"/>
      <c r="CV17" s="93"/>
      <c r="CW17" s="93"/>
      <c r="CX17" s="93"/>
      <c r="CY17" s="93"/>
      <c r="CZ17" s="88"/>
      <c r="DA17" s="93"/>
      <c r="DB17" s="93"/>
      <c r="DC17" s="93"/>
      <c r="DD17" s="93"/>
      <c r="DE17" s="88"/>
      <c r="DF17" s="93"/>
      <c r="DG17" s="93"/>
      <c r="DH17" s="93"/>
      <c r="DI17" s="93"/>
      <c r="DJ17" s="88"/>
      <c r="DK17" s="93"/>
      <c r="DL17" s="93"/>
      <c r="DM17" s="93"/>
      <c r="DN17" s="93"/>
      <c r="DO17" s="88"/>
      <c r="DP17" s="93"/>
      <c r="DQ17" s="93"/>
      <c r="DR17" s="93"/>
      <c r="DS17" s="93"/>
      <c r="DT17" s="88"/>
      <c r="DU17" s="93"/>
      <c r="DV17" s="93"/>
      <c r="DW17" s="93"/>
      <c r="DX17" s="93"/>
      <c r="DY17" s="88"/>
      <c r="DZ17" s="93"/>
      <c r="EA17" s="93"/>
      <c r="EB17" s="93"/>
      <c r="EC17" s="93"/>
      <c r="ED17" s="88"/>
      <c r="EE17" s="93"/>
      <c r="EF17" s="93"/>
      <c r="EG17" s="93"/>
      <c r="EH17" s="93"/>
      <c r="EI17" s="88"/>
      <c r="EJ17" s="93"/>
      <c r="EK17" s="93"/>
      <c r="EL17" s="93"/>
      <c r="EM17" s="93"/>
      <c r="EN17" s="88"/>
      <c r="EO17" s="93"/>
      <c r="EP17" s="93"/>
      <c r="EQ17" s="93"/>
      <c r="ER17" s="93"/>
      <c r="ES17" s="88"/>
      <c r="ET17" s="93"/>
      <c r="EU17" s="93"/>
      <c r="EV17" s="93"/>
      <c r="EW17" s="93"/>
      <c r="EX17" s="88"/>
      <c r="EY17" s="93"/>
      <c r="EZ17" s="93"/>
      <c r="FA17" s="93"/>
      <c r="FB17" s="93"/>
      <c r="FC17" s="88"/>
      <c r="FD17" s="93"/>
      <c r="FE17" s="93"/>
      <c r="FF17" s="93"/>
      <c r="FG17" s="93"/>
      <c r="FH17" s="88"/>
      <c r="FI17" s="93"/>
      <c r="FJ17" s="93"/>
      <c r="FK17" s="93"/>
      <c r="FL17" s="93"/>
      <c r="FM17" s="93"/>
      <c r="FN17" s="93"/>
      <c r="FO17" s="93"/>
      <c r="FP17" s="93"/>
      <c r="FQ17" s="93"/>
      <c r="FR17" s="93"/>
      <c r="FS17" s="93"/>
      <c r="FT17" s="93"/>
      <c r="FU17" s="93"/>
      <c r="FV17" s="93"/>
      <c r="FW17" s="93"/>
      <c r="FX17" s="93"/>
      <c r="FY17" s="93"/>
      <c r="FZ17" s="93"/>
      <c r="GA17" s="93"/>
      <c r="GB17" s="93"/>
      <c r="GC17" s="93"/>
      <c r="GD17" s="93"/>
      <c r="GE17" s="93"/>
      <c r="GF17" s="93"/>
      <c r="GG17" s="93"/>
      <c r="GH17" s="93"/>
      <c r="GI17" s="93"/>
      <c r="GJ17" s="93"/>
      <c r="GK17" s="93"/>
      <c r="GL17" s="93"/>
      <c r="GM17" s="93"/>
      <c r="GN17" s="93"/>
      <c r="GO17" s="93"/>
      <c r="GP17" s="88"/>
      <c r="GQ17" s="93"/>
      <c r="GR17" s="93"/>
      <c r="GS17" s="93"/>
      <c r="GT17" s="93"/>
      <c r="GU17" s="88"/>
      <c r="GV17" s="93"/>
      <c r="GW17" s="93"/>
      <c r="GX17" s="93"/>
      <c r="GY17" s="93"/>
      <c r="GZ17" s="88"/>
      <c r="HA17" s="93"/>
      <c r="HB17" s="93"/>
      <c r="HC17" s="93"/>
      <c r="HD17" s="93"/>
      <c r="HE17" s="88"/>
      <c r="HF17" s="93"/>
      <c r="HG17" s="93"/>
      <c r="HH17" s="93"/>
      <c r="HI17" s="93"/>
      <c r="HJ17" s="88"/>
      <c r="HK17" s="93"/>
      <c r="HL17" s="93"/>
      <c r="HM17" s="93"/>
      <c r="HN17" s="93"/>
      <c r="HO17" s="88"/>
      <c r="HP17" s="93"/>
      <c r="HQ17" s="93"/>
      <c r="HR17" s="93"/>
      <c r="HS17" s="93"/>
      <c r="HT17" s="88"/>
      <c r="HU17" s="93"/>
      <c r="HV17" s="93"/>
      <c r="HW17" s="93"/>
      <c r="HX17" s="93"/>
      <c r="HY17" s="88"/>
      <c r="HZ17" s="93"/>
      <c r="IA17" s="93"/>
      <c r="IB17" s="93"/>
      <c r="IC17" s="93"/>
      <c r="ID17" s="88"/>
      <c r="IE17" s="93"/>
      <c r="IF17" s="93"/>
      <c r="IG17" s="93"/>
      <c r="IH17" s="93"/>
      <c r="II17" s="88"/>
      <c r="IJ17" s="93"/>
      <c r="IK17" s="93"/>
      <c r="IL17" s="93"/>
      <c r="IM17" s="93"/>
      <c r="IN17" s="88"/>
      <c r="IO17" s="93"/>
      <c r="IP17" s="93"/>
      <c r="IQ17" s="93"/>
      <c r="IR17" s="93"/>
      <c r="IS17" s="88"/>
      <c r="IT17" s="93"/>
      <c r="IU17" s="93"/>
      <c r="IV17" s="93"/>
      <c r="IW17" s="93"/>
      <c r="IX17" s="88"/>
      <c r="IY17" s="93"/>
      <c r="IZ17" s="93"/>
      <c r="JA17" s="93"/>
      <c r="JB17" s="93"/>
      <c r="JC17" s="88"/>
      <c r="JD17" s="93"/>
      <c r="JE17" s="93"/>
      <c r="JF17" s="93"/>
      <c r="JG17" s="94"/>
      <c r="JH17" s="88"/>
      <c r="JI17" s="95"/>
      <c r="JJ17" s="93"/>
      <c r="JK17" s="93"/>
      <c r="JL17" s="94"/>
      <c r="JM17" s="89"/>
      <c r="JN17" s="96"/>
      <c r="JO17" s="84"/>
      <c r="JP17" s="95"/>
      <c r="JQ17" s="93"/>
      <c r="JR17" s="93"/>
      <c r="JS17" s="93"/>
      <c r="JT17" s="93"/>
      <c r="JU17" s="93"/>
      <c r="JV17" s="93"/>
      <c r="JW17" s="93"/>
      <c r="JX17" s="93"/>
      <c r="JY17" s="93"/>
      <c r="JZ17" s="93"/>
      <c r="KA17" s="93"/>
      <c r="KB17" s="93"/>
      <c r="KC17" s="93"/>
      <c r="KD17" s="93"/>
      <c r="KE17" s="93"/>
      <c r="KF17" s="93"/>
      <c r="KG17" s="93"/>
      <c r="KH17" s="93"/>
      <c r="KI17" s="93"/>
      <c r="KJ17" s="93"/>
      <c r="KK17" s="93"/>
      <c r="KL17" s="93"/>
      <c r="KM17" s="93"/>
      <c r="KN17" s="93"/>
      <c r="KO17" s="93"/>
      <c r="KP17" s="93"/>
      <c r="KQ17" s="93"/>
      <c r="KR17" s="93"/>
      <c r="KS17" s="93"/>
      <c r="KT17" s="93"/>
      <c r="KU17" s="93"/>
      <c r="KV17" s="93"/>
      <c r="KW17" s="93"/>
      <c r="KX17" s="93"/>
      <c r="KY17" s="93"/>
      <c r="KZ17" s="93"/>
      <c r="LA17" s="93"/>
      <c r="LB17" s="93"/>
      <c r="LC17" s="93"/>
      <c r="LD17" s="93"/>
      <c r="LE17" s="93"/>
      <c r="LF17" s="93"/>
      <c r="LG17" s="93"/>
      <c r="LH17" s="93"/>
      <c r="LI17" s="93"/>
      <c r="LJ17" s="93"/>
      <c r="LK17" s="93"/>
      <c r="LL17" s="93"/>
      <c r="LM17" s="93"/>
      <c r="LN17" s="93"/>
      <c r="LO17" s="93"/>
      <c r="LP17" s="93"/>
      <c r="LQ17" s="93"/>
      <c r="LR17" s="93"/>
      <c r="LS17" s="93"/>
      <c r="LT17" s="93"/>
      <c r="LU17" s="93"/>
      <c r="LV17" s="93"/>
      <c r="LW17" s="93"/>
      <c r="LX17" s="93"/>
      <c r="LY17" s="93"/>
      <c r="LZ17" s="93"/>
      <c r="MA17" s="93"/>
      <c r="MB17" s="93"/>
      <c r="MC17" s="93"/>
      <c r="MD17" s="92"/>
      <c r="ME17" s="92"/>
      <c r="MF17" s="92"/>
      <c r="MG17" s="92"/>
      <c r="MH17" s="92"/>
      <c r="MI17" s="92"/>
      <c r="MJ17" s="92"/>
      <c r="MK17" s="92"/>
      <c r="ML17" s="92"/>
      <c r="MM17" s="92"/>
      <c r="MN17" s="92"/>
      <c r="MO17" s="92"/>
      <c r="MP17" s="92"/>
      <c r="MQ17" s="92"/>
      <c r="MR17" s="92"/>
      <c r="MS17" s="92"/>
      <c r="MT17" s="92"/>
      <c r="MU17" s="92"/>
      <c r="MV17" s="92"/>
      <c r="MW17" s="92"/>
      <c r="MX17" s="92"/>
      <c r="MY17" s="92"/>
      <c r="MZ17" s="92"/>
      <c r="NA17" s="92"/>
      <c r="NB17" s="92"/>
      <c r="NC17" s="92"/>
      <c r="ND17" s="92"/>
      <c r="NE17" s="92"/>
      <c r="NF17" s="92"/>
      <c r="NG17" s="92"/>
      <c r="NH17" s="92"/>
      <c r="NI17" s="92"/>
      <c r="NJ17" s="92"/>
      <c r="NK17" s="92"/>
      <c r="NL17" s="92"/>
      <c r="NM17" s="92"/>
      <c r="NN17" s="92"/>
      <c r="NO17" s="92"/>
      <c r="NP17" s="92"/>
      <c r="NQ17" s="92"/>
      <c r="NR17" s="92"/>
      <c r="NS17" s="92"/>
      <c r="NT17" s="92"/>
      <c r="NU17" s="92"/>
      <c r="NV17" s="92"/>
      <c r="NW17" s="92"/>
      <c r="NX17" s="92"/>
      <c r="NY17" s="93"/>
      <c r="NZ17" s="93"/>
    </row>
    <row r="18" spans="1:390" ht="15.75" customHeight="1" x14ac:dyDescent="0.3">
      <c r="A18" s="245">
        <v>4627804245</v>
      </c>
      <c r="B18" s="182" t="s">
        <v>392</v>
      </c>
      <c r="C18" s="84" t="s">
        <v>393</v>
      </c>
      <c r="D18" s="87" t="s">
        <v>392</v>
      </c>
      <c r="E18" s="93" t="s">
        <v>662</v>
      </c>
      <c r="F18" s="93" t="s">
        <v>452</v>
      </c>
      <c r="G18" s="116" t="s">
        <v>443</v>
      </c>
      <c r="H18" s="101">
        <v>43860</v>
      </c>
      <c r="I18" s="92" t="s">
        <v>663</v>
      </c>
      <c r="J18" s="234" t="s">
        <v>398</v>
      </c>
      <c r="K18" s="93" t="s">
        <v>399</v>
      </c>
      <c r="L18" s="93" t="s">
        <v>399</v>
      </c>
      <c r="M18" s="93" t="s">
        <v>399</v>
      </c>
      <c r="N18" s="93" t="s">
        <v>399</v>
      </c>
      <c r="O18" s="93" t="s">
        <v>399</v>
      </c>
      <c r="P18" s="194" t="s">
        <v>399</v>
      </c>
      <c r="Q18" s="84" t="s">
        <v>399</v>
      </c>
      <c r="R18" s="197" t="s">
        <v>399</v>
      </c>
      <c r="S18" s="197" t="s">
        <v>399</v>
      </c>
      <c r="T18" s="197" t="s">
        <v>399</v>
      </c>
      <c r="U18" s="198" t="s">
        <v>399</v>
      </c>
      <c r="V18" s="84" t="s">
        <v>399</v>
      </c>
      <c r="W18" s="197" t="s">
        <v>399</v>
      </c>
      <c r="X18" s="197" t="s">
        <v>399</v>
      </c>
      <c r="Y18" s="197" t="s">
        <v>399</v>
      </c>
      <c r="Z18" s="198" t="s">
        <v>399</v>
      </c>
      <c r="AA18" s="84" t="s">
        <v>399</v>
      </c>
      <c r="AB18" s="199" t="s">
        <v>400</v>
      </c>
      <c r="AC18" s="193">
        <v>17300</v>
      </c>
      <c r="AD18" s="194">
        <v>43816</v>
      </c>
      <c r="AE18" s="86">
        <f t="shared" si="0"/>
        <v>72</v>
      </c>
      <c r="AF18" s="108" t="s">
        <v>648</v>
      </c>
      <c r="AG18" s="84" t="s">
        <v>402</v>
      </c>
      <c r="AH18" s="87" t="s">
        <v>403</v>
      </c>
      <c r="AI18" s="235" t="s">
        <v>418</v>
      </c>
      <c r="AJ18" s="85" t="s">
        <v>405</v>
      </c>
      <c r="AK18" s="241" t="s">
        <v>664</v>
      </c>
      <c r="AL18" s="241" t="s">
        <v>664</v>
      </c>
      <c r="AM18" s="237" t="s">
        <v>419</v>
      </c>
      <c r="AN18" s="195">
        <v>3</v>
      </c>
      <c r="AO18" s="83" t="s">
        <v>399</v>
      </c>
      <c r="AP18" s="88"/>
      <c r="AQ18" s="95"/>
      <c r="AR18" s="88"/>
      <c r="AS18" s="93"/>
      <c r="AT18" s="93"/>
      <c r="AU18" s="93"/>
      <c r="AV18" s="93"/>
      <c r="AW18" s="88"/>
      <c r="AX18" s="93"/>
      <c r="AY18" s="93"/>
      <c r="AZ18" s="93"/>
      <c r="BA18" s="93"/>
      <c r="BB18" s="88"/>
      <c r="BC18" s="93"/>
      <c r="BD18" s="93"/>
      <c r="BE18" s="93"/>
      <c r="BF18" s="93"/>
      <c r="BG18" s="88"/>
      <c r="BH18" s="93"/>
      <c r="BI18" s="93"/>
      <c r="BJ18" s="93"/>
      <c r="BK18" s="93"/>
      <c r="BL18" s="88"/>
      <c r="BM18" s="93"/>
      <c r="BN18" s="93"/>
      <c r="BO18" s="93"/>
      <c r="BP18" s="93"/>
      <c r="BQ18" s="88"/>
      <c r="BR18" s="93"/>
      <c r="BS18" s="93"/>
      <c r="BT18" s="93"/>
      <c r="BU18" s="93"/>
      <c r="BV18" s="88"/>
      <c r="BW18" s="93"/>
      <c r="BX18" s="93"/>
      <c r="BY18" s="93"/>
      <c r="BZ18" s="93"/>
      <c r="CA18" s="88"/>
      <c r="CB18" s="93"/>
      <c r="CC18" s="93"/>
      <c r="CD18" s="93"/>
      <c r="CE18" s="93"/>
      <c r="CF18" s="88"/>
      <c r="CG18" s="93"/>
      <c r="CH18" s="93"/>
      <c r="CI18" s="93"/>
      <c r="CJ18" s="93"/>
      <c r="CK18" s="88"/>
      <c r="CL18" s="93"/>
      <c r="CM18" s="93"/>
      <c r="CN18" s="93"/>
      <c r="CO18" s="93"/>
      <c r="CP18" s="88"/>
      <c r="CQ18" s="93"/>
      <c r="CR18" s="93"/>
      <c r="CS18" s="93"/>
      <c r="CT18" s="93"/>
      <c r="CU18" s="88"/>
      <c r="CV18" s="93"/>
      <c r="CW18" s="93"/>
      <c r="CX18" s="93"/>
      <c r="CY18" s="93"/>
      <c r="CZ18" s="88"/>
      <c r="DA18" s="93"/>
      <c r="DB18" s="93"/>
      <c r="DC18" s="93"/>
      <c r="DD18" s="93"/>
      <c r="DE18" s="88"/>
      <c r="DF18" s="93"/>
      <c r="DG18" s="93"/>
      <c r="DH18" s="93"/>
      <c r="DI18" s="93"/>
      <c r="DJ18" s="88"/>
      <c r="DK18" s="93"/>
      <c r="DL18" s="93"/>
      <c r="DM18" s="93"/>
      <c r="DN18" s="93"/>
      <c r="DO18" s="88"/>
      <c r="DP18" s="93"/>
      <c r="DQ18" s="93"/>
      <c r="DR18" s="93"/>
      <c r="DS18" s="93"/>
      <c r="DT18" s="88"/>
      <c r="DU18" s="93"/>
      <c r="DV18" s="93"/>
      <c r="DW18" s="93"/>
      <c r="DX18" s="93"/>
      <c r="DY18" s="88"/>
      <c r="DZ18" s="93"/>
      <c r="EA18" s="93"/>
      <c r="EB18" s="93"/>
      <c r="EC18" s="93"/>
      <c r="ED18" s="88"/>
      <c r="EE18" s="93"/>
      <c r="EF18" s="93"/>
      <c r="EG18" s="93"/>
      <c r="EH18" s="93"/>
      <c r="EI18" s="88"/>
      <c r="EJ18" s="93"/>
      <c r="EK18" s="93"/>
      <c r="EL18" s="93"/>
      <c r="EM18" s="93"/>
      <c r="EN18" s="88"/>
      <c r="EO18" s="93"/>
      <c r="EP18" s="93"/>
      <c r="EQ18" s="93"/>
      <c r="ER18" s="93"/>
      <c r="ES18" s="88"/>
      <c r="ET18" s="93"/>
      <c r="EU18" s="93"/>
      <c r="EV18" s="93"/>
      <c r="EW18" s="93"/>
      <c r="EX18" s="88"/>
      <c r="EY18" s="93"/>
      <c r="EZ18" s="93"/>
      <c r="FA18" s="93"/>
      <c r="FB18" s="93"/>
      <c r="FC18" s="88"/>
      <c r="FD18" s="93"/>
      <c r="FE18" s="93"/>
      <c r="FF18" s="93"/>
      <c r="FG18" s="93"/>
      <c r="FH18" s="88"/>
      <c r="FI18" s="93"/>
      <c r="FJ18" s="93"/>
      <c r="FK18" s="93"/>
      <c r="FL18" s="93"/>
      <c r="FM18" s="93"/>
      <c r="FN18" s="93"/>
      <c r="FO18" s="93"/>
      <c r="FP18" s="93"/>
      <c r="FQ18" s="93"/>
      <c r="FR18" s="93"/>
      <c r="FS18" s="93"/>
      <c r="FT18" s="93"/>
      <c r="FU18" s="93"/>
      <c r="FV18" s="93"/>
      <c r="FW18" s="93"/>
      <c r="FX18" s="93"/>
      <c r="FY18" s="93"/>
      <c r="FZ18" s="93"/>
      <c r="GA18" s="93"/>
      <c r="GB18" s="93"/>
      <c r="GC18" s="93"/>
      <c r="GD18" s="93"/>
      <c r="GE18" s="93"/>
      <c r="GF18" s="93"/>
      <c r="GG18" s="93"/>
      <c r="GH18" s="93"/>
      <c r="GI18" s="93"/>
      <c r="GJ18" s="93"/>
      <c r="GK18" s="93"/>
      <c r="GL18" s="93"/>
      <c r="GM18" s="93"/>
      <c r="GN18" s="93"/>
      <c r="GO18" s="93"/>
      <c r="GP18" s="88"/>
      <c r="GQ18" s="93"/>
      <c r="GR18" s="93"/>
      <c r="GS18" s="93"/>
      <c r="GT18" s="93"/>
      <c r="GU18" s="88"/>
      <c r="GV18" s="93"/>
      <c r="GW18" s="93"/>
      <c r="GX18" s="93"/>
      <c r="GY18" s="93"/>
      <c r="GZ18" s="88"/>
      <c r="HA18" s="93"/>
      <c r="HB18" s="93"/>
      <c r="HC18" s="93"/>
      <c r="HD18" s="93"/>
      <c r="HE18" s="88"/>
      <c r="HF18" s="93"/>
      <c r="HG18" s="93"/>
      <c r="HH18" s="93"/>
      <c r="HI18" s="93"/>
      <c r="HJ18" s="88"/>
      <c r="HK18" s="93"/>
      <c r="HL18" s="93"/>
      <c r="HM18" s="93"/>
      <c r="HN18" s="93"/>
      <c r="HO18" s="88"/>
      <c r="HP18" s="93"/>
      <c r="HQ18" s="93"/>
      <c r="HR18" s="93"/>
      <c r="HS18" s="93"/>
      <c r="HT18" s="88"/>
      <c r="HU18" s="93"/>
      <c r="HV18" s="93"/>
      <c r="HW18" s="93"/>
      <c r="HX18" s="93"/>
      <c r="HY18" s="88"/>
      <c r="HZ18" s="93"/>
      <c r="IA18" s="93"/>
      <c r="IB18" s="93"/>
      <c r="IC18" s="93"/>
      <c r="ID18" s="88"/>
      <c r="IE18" s="93"/>
      <c r="IF18" s="93"/>
      <c r="IG18" s="93"/>
      <c r="IH18" s="93"/>
      <c r="II18" s="88"/>
      <c r="IJ18" s="93"/>
      <c r="IK18" s="93"/>
      <c r="IL18" s="93"/>
      <c r="IM18" s="93"/>
      <c r="IN18" s="88"/>
      <c r="IO18" s="93"/>
      <c r="IP18" s="93"/>
      <c r="IQ18" s="93"/>
      <c r="IR18" s="93"/>
      <c r="IS18" s="88"/>
      <c r="IT18" s="93"/>
      <c r="IU18" s="93"/>
      <c r="IV18" s="93"/>
      <c r="IW18" s="93"/>
      <c r="IX18" s="88"/>
      <c r="IY18" s="93"/>
      <c r="IZ18" s="93"/>
      <c r="JA18" s="93"/>
      <c r="JB18" s="93"/>
      <c r="JC18" s="88"/>
      <c r="JD18" s="93"/>
      <c r="JE18" s="93"/>
      <c r="JF18" s="93"/>
      <c r="JG18" s="94"/>
      <c r="JH18" s="88"/>
      <c r="JI18" s="95"/>
      <c r="JJ18" s="93"/>
      <c r="JK18" s="93"/>
      <c r="JL18" s="94"/>
      <c r="JM18" s="89"/>
      <c r="JN18" s="96"/>
      <c r="JO18" s="84"/>
      <c r="JP18" s="95"/>
      <c r="JQ18" s="93"/>
      <c r="JR18" s="93"/>
      <c r="JS18" s="234" t="s">
        <v>665</v>
      </c>
      <c r="JT18" s="93" t="s">
        <v>666</v>
      </c>
      <c r="JU18" s="93"/>
      <c r="JV18" s="93"/>
      <c r="JW18" s="93"/>
      <c r="JX18" s="93"/>
      <c r="JY18" s="93"/>
      <c r="JZ18" s="93"/>
      <c r="KA18" s="93"/>
      <c r="KB18" s="93"/>
      <c r="KC18" s="93"/>
      <c r="KD18" s="93"/>
      <c r="KE18" s="93"/>
      <c r="KF18" s="93"/>
      <c r="KG18" s="93"/>
      <c r="KH18" s="93"/>
      <c r="KI18" s="93"/>
      <c r="KJ18" s="93"/>
      <c r="KK18" s="93"/>
      <c r="KL18" s="93"/>
      <c r="KM18" s="93"/>
      <c r="KN18" s="93"/>
      <c r="KO18" s="93"/>
      <c r="KP18" s="93"/>
      <c r="KQ18" s="93"/>
      <c r="KR18" s="93"/>
      <c r="KS18" s="93"/>
      <c r="KT18" s="93"/>
      <c r="KU18" s="93"/>
      <c r="KV18" s="93"/>
      <c r="KW18" s="93"/>
      <c r="KX18" s="93"/>
      <c r="KY18" s="93"/>
      <c r="KZ18" s="93"/>
      <c r="LA18" s="93"/>
      <c r="LB18" s="93"/>
      <c r="LC18" s="93"/>
      <c r="LD18" s="93"/>
      <c r="LE18" s="93"/>
      <c r="LF18" s="93"/>
      <c r="LG18" s="93"/>
      <c r="LH18" s="93"/>
      <c r="LI18" s="93"/>
      <c r="LJ18" s="93"/>
      <c r="LK18" s="93"/>
      <c r="LL18" s="93"/>
      <c r="LM18" s="93"/>
      <c r="LN18" s="93"/>
      <c r="LO18" s="93"/>
      <c r="LP18" s="93"/>
      <c r="LQ18" s="93"/>
      <c r="LR18" s="93"/>
      <c r="LS18" s="93"/>
      <c r="LT18" s="93"/>
      <c r="LU18" s="93"/>
      <c r="LV18" s="93"/>
      <c r="LW18" s="93"/>
      <c r="LX18" s="93"/>
      <c r="LY18" s="93"/>
      <c r="LZ18" s="93"/>
      <c r="MA18" s="93"/>
      <c r="MB18" s="93"/>
      <c r="MC18" s="93"/>
      <c r="MD18" s="93"/>
      <c r="ME18" s="93"/>
      <c r="MF18" s="93"/>
      <c r="MG18" s="93"/>
      <c r="MH18" s="93"/>
      <c r="MI18" s="93"/>
      <c r="MJ18" s="93"/>
      <c r="MK18" s="93"/>
      <c r="ML18" s="93"/>
      <c r="MM18" s="93"/>
      <c r="MN18" s="93"/>
      <c r="MO18" s="93"/>
      <c r="MP18" s="93"/>
      <c r="MQ18" s="93"/>
      <c r="MR18" s="93"/>
      <c r="MS18" s="93"/>
      <c r="MT18" s="93"/>
      <c r="MU18" s="93"/>
      <c r="MV18" s="93"/>
      <c r="MW18" s="93"/>
      <c r="MX18" s="93"/>
      <c r="MY18" s="93"/>
      <c r="MZ18" s="93"/>
      <c r="NA18" s="93"/>
      <c r="NB18" s="93"/>
      <c r="NC18" s="93"/>
      <c r="ND18" s="93"/>
      <c r="NE18" s="93"/>
      <c r="NF18" s="93"/>
      <c r="NG18" s="93"/>
      <c r="NH18" s="93"/>
      <c r="NI18" s="93"/>
      <c r="NJ18" s="93"/>
      <c r="NK18" s="93"/>
      <c r="NL18" s="93"/>
      <c r="NM18" s="93"/>
      <c r="NN18" s="93"/>
      <c r="NO18" s="93"/>
      <c r="NP18" s="93"/>
      <c r="NQ18" s="93"/>
      <c r="NR18" s="93"/>
      <c r="NS18" s="93"/>
      <c r="NT18" s="93"/>
      <c r="NU18" s="93"/>
      <c r="NV18" s="93"/>
      <c r="NW18" s="93"/>
      <c r="NX18" s="93"/>
      <c r="NY18" s="93"/>
      <c r="NZ18" s="93"/>
    </row>
    <row r="19" spans="1:390" ht="15.75" customHeight="1" x14ac:dyDescent="0.3">
      <c r="A19" s="98">
        <v>4861822068</v>
      </c>
      <c r="B19" s="182" t="s">
        <v>392</v>
      </c>
      <c r="C19" s="84" t="s">
        <v>393</v>
      </c>
      <c r="D19" s="87" t="s">
        <v>392</v>
      </c>
      <c r="E19" s="93" t="s">
        <v>667</v>
      </c>
      <c r="F19" s="93" t="s">
        <v>416</v>
      </c>
      <c r="G19" s="93" t="s">
        <v>409</v>
      </c>
      <c r="H19" s="101">
        <v>43902</v>
      </c>
      <c r="I19" s="93" t="s">
        <v>668</v>
      </c>
      <c r="J19" s="240" t="s">
        <v>398</v>
      </c>
      <c r="K19" s="93" t="s">
        <v>399</v>
      </c>
      <c r="L19" s="93" t="s">
        <v>399</v>
      </c>
      <c r="M19" s="93" t="s">
        <v>399</v>
      </c>
      <c r="N19" s="93" t="s">
        <v>399</v>
      </c>
      <c r="O19" s="93" t="s">
        <v>399</v>
      </c>
      <c r="P19" s="194" t="s">
        <v>399</v>
      </c>
      <c r="Q19" s="84" t="s">
        <v>399</v>
      </c>
      <c r="R19" s="197" t="s">
        <v>399</v>
      </c>
      <c r="S19" s="197" t="s">
        <v>399</v>
      </c>
      <c r="T19" s="197" t="s">
        <v>399</v>
      </c>
      <c r="U19" s="198" t="s">
        <v>399</v>
      </c>
      <c r="V19" s="84" t="s">
        <v>399</v>
      </c>
      <c r="W19" s="197" t="s">
        <v>399</v>
      </c>
      <c r="X19" s="197" t="s">
        <v>399</v>
      </c>
      <c r="Y19" s="197" t="s">
        <v>399</v>
      </c>
      <c r="Z19" s="198" t="s">
        <v>399</v>
      </c>
      <c r="AA19" s="84" t="s">
        <v>399</v>
      </c>
      <c r="AB19" s="199" t="s">
        <v>400</v>
      </c>
      <c r="AC19" s="193">
        <v>22370</v>
      </c>
      <c r="AD19" s="194">
        <v>43859</v>
      </c>
      <c r="AE19" s="86">
        <f t="shared" si="0"/>
        <v>58</v>
      </c>
      <c r="AF19" s="158" t="s">
        <v>435</v>
      </c>
      <c r="AG19" s="84" t="s">
        <v>402</v>
      </c>
      <c r="AH19" s="87" t="s">
        <v>403</v>
      </c>
      <c r="AI19" s="85" t="s">
        <v>404</v>
      </c>
      <c r="AJ19" s="235" t="s">
        <v>405</v>
      </c>
      <c r="AK19" s="85" t="s">
        <v>405</v>
      </c>
      <c r="AL19" s="109">
        <v>0</v>
      </c>
      <c r="AM19" s="84" t="s">
        <v>406</v>
      </c>
      <c r="AN19" s="195">
        <v>1</v>
      </c>
      <c r="AO19" s="83" t="s">
        <v>399</v>
      </c>
      <c r="AP19" s="88"/>
      <c r="AQ19" s="95"/>
      <c r="AR19" s="88"/>
      <c r="AS19" s="93"/>
      <c r="AT19" s="93"/>
      <c r="AU19" s="93"/>
      <c r="AV19" s="93"/>
      <c r="AW19" s="88"/>
      <c r="AX19" s="93"/>
      <c r="AY19" s="93"/>
      <c r="AZ19" s="93"/>
      <c r="BA19" s="93"/>
      <c r="BB19" s="88"/>
      <c r="BC19" s="93"/>
      <c r="BD19" s="93"/>
      <c r="BE19" s="93"/>
      <c r="BF19" s="93"/>
      <c r="BG19" s="88"/>
      <c r="BH19" s="93"/>
      <c r="BI19" s="93"/>
      <c r="BJ19" s="93"/>
      <c r="BK19" s="93"/>
      <c r="BL19" s="88"/>
      <c r="BM19" s="93"/>
      <c r="BN19" s="93"/>
      <c r="BO19" s="93"/>
      <c r="BP19" s="93"/>
      <c r="BQ19" s="88"/>
      <c r="BR19" s="93"/>
      <c r="BS19" s="93"/>
      <c r="BT19" s="93"/>
      <c r="BU19" s="93"/>
      <c r="BV19" s="88"/>
      <c r="BW19" s="93"/>
      <c r="BX19" s="93"/>
      <c r="BY19" s="93"/>
      <c r="BZ19" s="93"/>
      <c r="CA19" s="88"/>
      <c r="CB19" s="93"/>
      <c r="CC19" s="93"/>
      <c r="CD19" s="93"/>
      <c r="CE19" s="93"/>
      <c r="CF19" s="88"/>
      <c r="CG19" s="93"/>
      <c r="CH19" s="93"/>
      <c r="CI19" s="93"/>
      <c r="CJ19" s="93"/>
      <c r="CK19" s="88"/>
      <c r="CL19" s="93"/>
      <c r="CM19" s="93"/>
      <c r="CN19" s="93"/>
      <c r="CO19" s="93"/>
      <c r="CP19" s="88"/>
      <c r="CQ19" s="93"/>
      <c r="CR19" s="93"/>
      <c r="CS19" s="93"/>
      <c r="CT19" s="93"/>
      <c r="CU19" s="88"/>
      <c r="CV19" s="93"/>
      <c r="CW19" s="93"/>
      <c r="CX19" s="93"/>
      <c r="CY19" s="93"/>
      <c r="CZ19" s="88"/>
      <c r="DA19" s="93"/>
      <c r="DB19" s="93"/>
      <c r="DC19" s="93"/>
      <c r="DD19" s="93"/>
      <c r="DE19" s="88"/>
      <c r="DF19" s="93"/>
      <c r="DG19" s="93"/>
      <c r="DH19" s="93"/>
      <c r="DI19" s="93"/>
      <c r="DJ19" s="88"/>
      <c r="DK19" s="93"/>
      <c r="DL19" s="93"/>
      <c r="DM19" s="93"/>
      <c r="DN19" s="93"/>
      <c r="DO19" s="88"/>
      <c r="DP19" s="93"/>
      <c r="DQ19" s="93"/>
      <c r="DR19" s="93"/>
      <c r="DS19" s="93"/>
      <c r="DT19" s="88"/>
      <c r="DU19" s="93"/>
      <c r="DV19" s="93"/>
      <c r="DW19" s="93"/>
      <c r="DX19" s="93"/>
      <c r="DY19" s="88"/>
      <c r="DZ19" s="93"/>
      <c r="EA19" s="93"/>
      <c r="EB19" s="93"/>
      <c r="EC19" s="93"/>
      <c r="ED19" s="88"/>
      <c r="EE19" s="93"/>
      <c r="EF19" s="93"/>
      <c r="EG19" s="93"/>
      <c r="EH19" s="93"/>
      <c r="EI19" s="88"/>
      <c r="EJ19" s="93"/>
      <c r="EK19" s="93"/>
      <c r="EL19" s="93"/>
      <c r="EM19" s="93"/>
      <c r="EN19" s="88"/>
      <c r="EO19" s="93"/>
      <c r="EP19" s="93"/>
      <c r="EQ19" s="93"/>
      <c r="ER19" s="93"/>
      <c r="ES19" s="88"/>
      <c r="ET19" s="93"/>
      <c r="EU19" s="93"/>
      <c r="EV19" s="93"/>
      <c r="EW19" s="93"/>
      <c r="EX19" s="88"/>
      <c r="EY19" s="93"/>
      <c r="EZ19" s="93"/>
      <c r="FA19" s="93"/>
      <c r="FB19" s="93"/>
      <c r="FC19" s="88"/>
      <c r="FD19" s="93"/>
      <c r="FE19" s="93"/>
      <c r="FF19" s="93"/>
      <c r="FG19" s="93"/>
      <c r="FH19" s="88"/>
      <c r="FI19" s="93"/>
      <c r="FJ19" s="93"/>
      <c r="FK19" s="93"/>
      <c r="FL19" s="93"/>
      <c r="FM19" s="93"/>
      <c r="FN19" s="93"/>
      <c r="FO19" s="93"/>
      <c r="FP19" s="93"/>
      <c r="FQ19" s="93"/>
      <c r="FR19" s="93"/>
      <c r="FS19" s="93"/>
      <c r="FT19" s="93"/>
      <c r="FU19" s="93"/>
      <c r="FV19" s="93"/>
      <c r="FW19" s="93"/>
      <c r="FX19" s="93"/>
      <c r="FY19" s="93"/>
      <c r="FZ19" s="93"/>
      <c r="GA19" s="93"/>
      <c r="GB19" s="93"/>
      <c r="GC19" s="93"/>
      <c r="GD19" s="93"/>
      <c r="GE19" s="93"/>
      <c r="GF19" s="93"/>
      <c r="GG19" s="93"/>
      <c r="GH19" s="93"/>
      <c r="GI19" s="93"/>
      <c r="GJ19" s="93"/>
      <c r="GK19" s="93"/>
      <c r="GL19" s="93"/>
      <c r="GM19" s="93"/>
      <c r="GN19" s="93"/>
      <c r="GO19" s="93"/>
      <c r="GP19" s="88"/>
      <c r="GQ19" s="93"/>
      <c r="GR19" s="93"/>
      <c r="GS19" s="93"/>
      <c r="GT19" s="93"/>
      <c r="GU19" s="88"/>
      <c r="GV19" s="93"/>
      <c r="GW19" s="93"/>
      <c r="GX19" s="93"/>
      <c r="GY19" s="93"/>
      <c r="GZ19" s="88"/>
      <c r="HA19" s="93"/>
      <c r="HB19" s="93"/>
      <c r="HC19" s="93"/>
      <c r="HD19" s="93"/>
      <c r="HE19" s="88"/>
      <c r="HF19" s="93"/>
      <c r="HG19" s="93"/>
      <c r="HH19" s="93"/>
      <c r="HI19" s="93"/>
      <c r="HJ19" s="88"/>
      <c r="HK19" s="93"/>
      <c r="HL19" s="93"/>
      <c r="HM19" s="93"/>
      <c r="HN19" s="93"/>
      <c r="HO19" s="88"/>
      <c r="HP19" s="93"/>
      <c r="HQ19" s="93"/>
      <c r="HR19" s="93"/>
      <c r="HS19" s="93"/>
      <c r="HT19" s="88"/>
      <c r="HU19" s="93"/>
      <c r="HV19" s="93"/>
      <c r="HW19" s="93"/>
      <c r="HX19" s="93"/>
      <c r="HY19" s="88"/>
      <c r="HZ19" s="93"/>
      <c r="IA19" s="93"/>
      <c r="IB19" s="93"/>
      <c r="IC19" s="93"/>
      <c r="ID19" s="88"/>
      <c r="IE19" s="93"/>
      <c r="IF19" s="93"/>
      <c r="IG19" s="93"/>
      <c r="IH19" s="93"/>
      <c r="II19" s="88"/>
      <c r="IJ19" s="93"/>
      <c r="IK19" s="93"/>
      <c r="IL19" s="93"/>
      <c r="IM19" s="93"/>
      <c r="IN19" s="88"/>
      <c r="IO19" s="93"/>
      <c r="IP19" s="93"/>
      <c r="IQ19" s="93"/>
      <c r="IR19" s="93"/>
      <c r="IS19" s="88"/>
      <c r="IT19" s="93"/>
      <c r="IU19" s="93"/>
      <c r="IV19" s="93"/>
      <c r="IW19" s="93"/>
      <c r="IX19" s="88"/>
      <c r="IY19" s="93"/>
      <c r="IZ19" s="93"/>
      <c r="JA19" s="93"/>
      <c r="JB19" s="93"/>
      <c r="JC19" s="88"/>
      <c r="JD19" s="93"/>
      <c r="JE19" s="93"/>
      <c r="JF19" s="93"/>
      <c r="JG19" s="94"/>
      <c r="JH19" s="88"/>
      <c r="JI19" s="95"/>
      <c r="JJ19" s="93"/>
      <c r="JK19" s="93"/>
      <c r="JL19" s="94"/>
      <c r="JM19" s="89"/>
      <c r="JN19" s="96"/>
      <c r="JO19" s="84"/>
      <c r="JP19" s="95"/>
      <c r="JQ19" s="93"/>
      <c r="JR19" s="93"/>
      <c r="JS19" s="93"/>
      <c r="JT19" s="93"/>
      <c r="JU19" s="93"/>
      <c r="JV19" s="93"/>
      <c r="JW19" s="93"/>
      <c r="JX19" s="93"/>
      <c r="JY19" s="93"/>
      <c r="JZ19" s="93"/>
      <c r="KA19" s="93"/>
      <c r="KB19" s="93"/>
      <c r="KC19" s="93"/>
      <c r="KD19" s="93"/>
      <c r="KE19" s="93"/>
      <c r="KF19" s="93"/>
      <c r="KG19" s="93"/>
      <c r="KH19" s="93"/>
      <c r="KI19" s="93"/>
      <c r="KJ19" s="93"/>
      <c r="KK19" s="93"/>
      <c r="KL19" s="93"/>
      <c r="KM19" s="93"/>
      <c r="KN19" s="93"/>
      <c r="KO19" s="93"/>
      <c r="KP19" s="93"/>
      <c r="KQ19" s="93"/>
      <c r="KR19" s="93"/>
      <c r="KS19" s="93"/>
      <c r="KT19" s="93"/>
      <c r="KU19" s="93"/>
      <c r="KV19" s="93"/>
      <c r="KW19" s="93"/>
      <c r="KX19" s="93"/>
      <c r="KY19" s="93"/>
      <c r="KZ19" s="93"/>
      <c r="LA19" s="93"/>
      <c r="LB19" s="93"/>
      <c r="LC19" s="93"/>
      <c r="LD19" s="93"/>
      <c r="LE19" s="93"/>
      <c r="LF19" s="93"/>
      <c r="LG19" s="93"/>
      <c r="LH19" s="93"/>
      <c r="LI19" s="93"/>
      <c r="LJ19" s="93"/>
      <c r="LK19" s="93"/>
      <c r="LL19" s="93"/>
      <c r="LM19" s="93"/>
      <c r="LN19" s="93"/>
      <c r="LO19" s="93"/>
      <c r="LP19" s="93"/>
      <c r="LQ19" s="93"/>
      <c r="LR19" s="93"/>
      <c r="LS19" s="93"/>
      <c r="LT19" s="93"/>
      <c r="LU19" s="93"/>
      <c r="LV19" s="93"/>
      <c r="LW19" s="93"/>
      <c r="LX19" s="93"/>
      <c r="LY19" s="93"/>
      <c r="LZ19" s="93"/>
      <c r="MA19" s="93"/>
      <c r="MB19" s="93"/>
      <c r="MC19" s="93"/>
      <c r="MD19" s="93"/>
      <c r="ME19" s="93"/>
      <c r="MF19" s="93"/>
      <c r="MG19" s="93"/>
      <c r="MH19" s="93"/>
      <c r="MI19" s="93"/>
      <c r="MJ19" s="93"/>
      <c r="MK19" s="93"/>
      <c r="ML19" s="93"/>
      <c r="MM19" s="93"/>
      <c r="MN19" s="93"/>
      <c r="MO19" s="93"/>
      <c r="MP19" s="93"/>
      <c r="MQ19" s="93"/>
      <c r="MR19" s="93"/>
      <c r="MS19" s="93"/>
      <c r="MT19" s="93"/>
      <c r="MU19" s="93"/>
      <c r="MV19" s="93"/>
      <c r="MW19" s="93"/>
      <c r="MX19" s="93"/>
      <c r="MY19" s="93"/>
      <c r="MZ19" s="93"/>
      <c r="NA19" s="93"/>
      <c r="NB19" s="93"/>
      <c r="NC19" s="93"/>
      <c r="ND19" s="93"/>
      <c r="NE19" s="93"/>
      <c r="NF19" s="93"/>
      <c r="NG19" s="93"/>
      <c r="NH19" s="93"/>
      <c r="NI19" s="93"/>
      <c r="NJ19" s="93"/>
      <c r="NK19" s="93"/>
      <c r="NL19" s="93"/>
      <c r="NM19" s="93"/>
      <c r="NN19" s="93"/>
      <c r="NO19" s="93"/>
      <c r="NP19" s="93"/>
      <c r="NQ19" s="93"/>
      <c r="NR19" s="93"/>
      <c r="NS19" s="93"/>
      <c r="NT19" s="93"/>
      <c r="NU19" s="93"/>
      <c r="NV19" s="93"/>
      <c r="NW19" s="93"/>
      <c r="NX19" s="93"/>
      <c r="NY19" s="93"/>
      <c r="NZ19" s="93"/>
    </row>
    <row r="20" spans="1:390" ht="15.75" customHeight="1" x14ac:dyDescent="0.3">
      <c r="A20" s="122">
        <v>4506212630</v>
      </c>
      <c r="B20" s="123" t="s">
        <v>392</v>
      </c>
      <c r="C20" s="124" t="s">
        <v>393</v>
      </c>
      <c r="D20" s="125" t="s">
        <v>392</v>
      </c>
      <c r="E20" s="126" t="s">
        <v>669</v>
      </c>
      <c r="F20" s="124" t="s">
        <v>538</v>
      </c>
      <c r="G20" s="126" t="s">
        <v>399</v>
      </c>
      <c r="H20" s="127">
        <v>43917</v>
      </c>
      <c r="I20" s="128" t="s">
        <v>670</v>
      </c>
      <c r="J20" s="128" t="s">
        <v>671</v>
      </c>
      <c r="K20" s="126" t="s">
        <v>399</v>
      </c>
      <c r="L20" s="126" t="s">
        <v>399</v>
      </c>
      <c r="M20" s="126" t="s">
        <v>399</v>
      </c>
      <c r="N20" s="126" t="s">
        <v>399</v>
      </c>
      <c r="O20" s="126" t="s">
        <v>399</v>
      </c>
      <c r="P20" s="129" t="s">
        <v>399</v>
      </c>
      <c r="Q20" s="124" t="s">
        <v>399</v>
      </c>
      <c r="R20" s="130" t="s">
        <v>399</v>
      </c>
      <c r="S20" s="130" t="s">
        <v>399</v>
      </c>
      <c r="T20" s="130" t="s">
        <v>399</v>
      </c>
      <c r="U20" s="131" t="s">
        <v>399</v>
      </c>
      <c r="V20" s="124" t="s">
        <v>399</v>
      </c>
      <c r="W20" s="130" t="s">
        <v>399</v>
      </c>
      <c r="X20" s="130" t="s">
        <v>399</v>
      </c>
      <c r="Y20" s="130" t="s">
        <v>399</v>
      </c>
      <c r="Z20" s="131" t="s">
        <v>399</v>
      </c>
      <c r="AA20" s="124" t="s">
        <v>399</v>
      </c>
      <c r="AB20" s="132" t="s">
        <v>400</v>
      </c>
      <c r="AC20" s="133">
        <v>21821</v>
      </c>
      <c r="AD20" s="129">
        <v>43887</v>
      </c>
      <c r="AE20" s="134">
        <f t="shared" si="0"/>
        <v>60</v>
      </c>
      <c r="AF20" s="135" t="s">
        <v>648</v>
      </c>
      <c r="AG20" s="124" t="s">
        <v>402</v>
      </c>
      <c r="AH20" s="125" t="s">
        <v>405</v>
      </c>
      <c r="AI20" s="136" t="s">
        <v>405</v>
      </c>
      <c r="AJ20" s="136" t="s">
        <v>405</v>
      </c>
      <c r="AK20" s="136" t="s">
        <v>405</v>
      </c>
      <c r="AL20" s="137" t="s">
        <v>405</v>
      </c>
      <c r="AM20" s="124" t="s">
        <v>399</v>
      </c>
      <c r="AN20" s="138">
        <v>2</v>
      </c>
      <c r="AO20" s="139" t="s">
        <v>399</v>
      </c>
      <c r="AP20" s="141"/>
      <c r="AQ20" s="140"/>
      <c r="AR20" s="141"/>
      <c r="AS20" s="126"/>
      <c r="AT20" s="126"/>
      <c r="AU20" s="126"/>
      <c r="AV20" s="126"/>
      <c r="AW20" s="141"/>
      <c r="AX20" s="126"/>
      <c r="AY20" s="126"/>
      <c r="AZ20" s="126"/>
      <c r="BA20" s="126"/>
      <c r="BB20" s="141"/>
      <c r="BC20" s="126"/>
      <c r="BD20" s="126"/>
      <c r="BE20" s="126"/>
      <c r="BF20" s="126"/>
      <c r="BG20" s="141"/>
      <c r="BH20" s="126"/>
      <c r="BI20" s="126"/>
      <c r="BJ20" s="126"/>
      <c r="BK20" s="126"/>
      <c r="BL20" s="141"/>
      <c r="BM20" s="126"/>
      <c r="BN20" s="126"/>
      <c r="BO20" s="126"/>
      <c r="BP20" s="126"/>
      <c r="BQ20" s="141"/>
      <c r="BR20" s="126"/>
      <c r="BS20" s="126"/>
      <c r="BT20" s="126"/>
      <c r="BU20" s="126"/>
      <c r="BV20" s="141"/>
      <c r="BW20" s="126"/>
      <c r="BX20" s="126"/>
      <c r="BY20" s="126"/>
      <c r="BZ20" s="126"/>
      <c r="CA20" s="141"/>
      <c r="CB20" s="126"/>
      <c r="CC20" s="126"/>
      <c r="CD20" s="126"/>
      <c r="CE20" s="126"/>
      <c r="CF20" s="141"/>
      <c r="CG20" s="126"/>
      <c r="CH20" s="126"/>
      <c r="CI20" s="126"/>
      <c r="CJ20" s="126"/>
      <c r="CK20" s="141"/>
      <c r="CL20" s="126"/>
      <c r="CM20" s="126"/>
      <c r="CN20" s="126"/>
      <c r="CO20" s="126"/>
      <c r="CP20" s="141"/>
      <c r="CQ20" s="126"/>
      <c r="CR20" s="126"/>
      <c r="CS20" s="126"/>
      <c r="CT20" s="126"/>
      <c r="CU20" s="141"/>
      <c r="CV20" s="126"/>
      <c r="CW20" s="126"/>
      <c r="CX20" s="126"/>
      <c r="CY20" s="126"/>
      <c r="CZ20" s="141"/>
      <c r="DA20" s="126"/>
      <c r="DB20" s="126"/>
      <c r="DC20" s="126"/>
      <c r="DD20" s="126"/>
      <c r="DE20" s="141"/>
      <c r="DF20" s="126"/>
      <c r="DG20" s="126"/>
      <c r="DH20" s="126"/>
      <c r="DI20" s="126"/>
      <c r="DJ20" s="141"/>
      <c r="DK20" s="126"/>
      <c r="DL20" s="126"/>
      <c r="DM20" s="126"/>
      <c r="DN20" s="126"/>
      <c r="DO20" s="141"/>
      <c r="DP20" s="126"/>
      <c r="DQ20" s="126"/>
      <c r="DR20" s="126"/>
      <c r="DS20" s="126"/>
      <c r="DT20" s="141"/>
      <c r="DU20" s="126"/>
      <c r="DV20" s="126"/>
      <c r="DW20" s="126"/>
      <c r="DX20" s="126"/>
      <c r="DY20" s="141"/>
      <c r="DZ20" s="126"/>
      <c r="EA20" s="126"/>
      <c r="EB20" s="126"/>
      <c r="EC20" s="126"/>
      <c r="ED20" s="141"/>
      <c r="EE20" s="126"/>
      <c r="EF20" s="126"/>
      <c r="EG20" s="126"/>
      <c r="EH20" s="126"/>
      <c r="EI20" s="141"/>
      <c r="EJ20" s="126"/>
      <c r="EK20" s="126"/>
      <c r="EL20" s="126"/>
      <c r="EM20" s="126"/>
      <c r="EN20" s="141"/>
      <c r="EO20" s="126"/>
      <c r="EP20" s="126"/>
      <c r="EQ20" s="126"/>
      <c r="ER20" s="126"/>
      <c r="ES20" s="141"/>
      <c r="ET20" s="126"/>
      <c r="EU20" s="126"/>
      <c r="EV20" s="126"/>
      <c r="EW20" s="126"/>
      <c r="EX20" s="141"/>
      <c r="EY20" s="126"/>
      <c r="EZ20" s="126"/>
      <c r="FA20" s="126"/>
      <c r="FB20" s="126"/>
      <c r="FC20" s="141"/>
      <c r="FD20" s="126"/>
      <c r="FE20" s="126"/>
      <c r="FF20" s="126"/>
      <c r="FG20" s="126"/>
      <c r="FH20" s="141"/>
      <c r="FI20" s="126"/>
      <c r="FJ20" s="126"/>
      <c r="FK20" s="126"/>
      <c r="FL20" s="126"/>
      <c r="FM20" s="126"/>
      <c r="FN20" s="126"/>
      <c r="FO20" s="126"/>
      <c r="FP20" s="126"/>
      <c r="FQ20" s="126"/>
      <c r="FR20" s="126"/>
      <c r="FS20" s="126"/>
      <c r="FT20" s="126"/>
      <c r="FU20" s="126"/>
      <c r="FV20" s="126"/>
      <c r="FW20" s="126"/>
      <c r="FX20" s="126"/>
      <c r="FY20" s="126"/>
      <c r="FZ20" s="126"/>
      <c r="GA20" s="126"/>
      <c r="GB20" s="126"/>
      <c r="GC20" s="126"/>
      <c r="GD20" s="126"/>
      <c r="GE20" s="126"/>
      <c r="GF20" s="126"/>
      <c r="GG20" s="126"/>
      <c r="GH20" s="126"/>
      <c r="GI20" s="126"/>
      <c r="GJ20" s="126"/>
      <c r="GK20" s="126"/>
      <c r="GL20" s="126"/>
      <c r="GM20" s="126"/>
      <c r="GN20" s="126"/>
      <c r="GO20" s="126"/>
      <c r="GP20" s="141"/>
      <c r="GQ20" s="126"/>
      <c r="GR20" s="126"/>
      <c r="GS20" s="126"/>
      <c r="GT20" s="126"/>
      <c r="GU20" s="141"/>
      <c r="GV20" s="126"/>
      <c r="GW20" s="126"/>
      <c r="GX20" s="126"/>
      <c r="GY20" s="126"/>
      <c r="GZ20" s="141"/>
      <c r="HA20" s="126"/>
      <c r="HB20" s="126"/>
      <c r="HC20" s="126"/>
      <c r="HD20" s="126"/>
      <c r="HE20" s="141"/>
      <c r="HF20" s="126"/>
      <c r="HG20" s="126"/>
      <c r="HH20" s="126"/>
      <c r="HI20" s="126"/>
      <c r="HJ20" s="141"/>
      <c r="HK20" s="126"/>
      <c r="HL20" s="126"/>
      <c r="HM20" s="126"/>
      <c r="HN20" s="126"/>
      <c r="HO20" s="141"/>
      <c r="HP20" s="126"/>
      <c r="HQ20" s="126"/>
      <c r="HR20" s="126"/>
      <c r="HS20" s="126"/>
      <c r="HT20" s="141"/>
      <c r="HU20" s="126"/>
      <c r="HV20" s="126"/>
      <c r="HW20" s="126"/>
      <c r="HX20" s="126"/>
      <c r="HY20" s="141"/>
      <c r="HZ20" s="126"/>
      <c r="IA20" s="126"/>
      <c r="IB20" s="126"/>
      <c r="IC20" s="126"/>
      <c r="ID20" s="141"/>
      <c r="IE20" s="126"/>
      <c r="IF20" s="126"/>
      <c r="IG20" s="126"/>
      <c r="IH20" s="126"/>
      <c r="II20" s="141"/>
      <c r="IJ20" s="126"/>
      <c r="IK20" s="126"/>
      <c r="IL20" s="126"/>
      <c r="IM20" s="126"/>
      <c r="IN20" s="141"/>
      <c r="IO20" s="126"/>
      <c r="IP20" s="126"/>
      <c r="IQ20" s="126"/>
      <c r="IR20" s="126"/>
      <c r="IS20" s="141"/>
      <c r="IT20" s="126"/>
      <c r="IU20" s="126"/>
      <c r="IV20" s="126"/>
      <c r="IW20" s="126"/>
      <c r="IX20" s="141"/>
      <c r="IY20" s="126"/>
      <c r="IZ20" s="126"/>
      <c r="JA20" s="126"/>
      <c r="JB20" s="126"/>
      <c r="JC20" s="141"/>
      <c r="JD20" s="126"/>
      <c r="JE20" s="126"/>
      <c r="JF20" s="126"/>
      <c r="JG20" s="142"/>
      <c r="JH20" s="141"/>
      <c r="JI20" s="140"/>
      <c r="JJ20" s="126"/>
      <c r="JK20" s="126"/>
      <c r="JL20" s="142"/>
      <c r="JM20" s="143"/>
      <c r="JN20" s="144"/>
      <c r="JO20" s="124"/>
      <c r="JP20" s="140"/>
      <c r="JQ20" s="126"/>
      <c r="JR20" s="126"/>
      <c r="JS20" s="126"/>
      <c r="JT20" s="126"/>
      <c r="JU20" s="126"/>
      <c r="JV20" s="126"/>
      <c r="JW20" s="126"/>
      <c r="JX20" s="126"/>
      <c r="JY20" s="126"/>
      <c r="JZ20" s="126"/>
      <c r="KA20" s="126"/>
      <c r="KB20" s="126"/>
      <c r="KC20" s="126"/>
      <c r="KD20" s="126"/>
      <c r="KE20" s="126"/>
      <c r="KF20" s="126"/>
      <c r="KG20" s="126"/>
      <c r="KH20" s="126"/>
      <c r="KI20" s="126"/>
      <c r="KJ20" s="126"/>
      <c r="KK20" s="126"/>
      <c r="KL20" s="126"/>
      <c r="KM20" s="126"/>
      <c r="KN20" s="126"/>
      <c r="KO20" s="126"/>
      <c r="KP20" s="126"/>
      <c r="KQ20" s="126"/>
      <c r="KR20" s="126"/>
      <c r="KS20" s="126"/>
      <c r="KT20" s="126"/>
      <c r="KU20" s="126"/>
      <c r="KV20" s="126"/>
      <c r="KW20" s="126"/>
      <c r="KX20" s="126"/>
      <c r="KY20" s="126"/>
      <c r="KZ20" s="126"/>
      <c r="LA20" s="126"/>
      <c r="LB20" s="126"/>
      <c r="LC20" s="126"/>
      <c r="LD20" s="126"/>
      <c r="LE20" s="126"/>
      <c r="LF20" s="126"/>
      <c r="LG20" s="126"/>
      <c r="LH20" s="126"/>
      <c r="LI20" s="126"/>
      <c r="LJ20" s="126"/>
      <c r="LK20" s="126"/>
      <c r="LL20" s="126"/>
      <c r="LM20" s="126"/>
      <c r="LN20" s="126"/>
      <c r="LO20" s="126"/>
      <c r="LP20" s="126"/>
      <c r="LQ20" s="126"/>
      <c r="LR20" s="126"/>
      <c r="LS20" s="126"/>
      <c r="LT20" s="126"/>
      <c r="LU20" s="126"/>
      <c r="LV20" s="126"/>
      <c r="LW20" s="126"/>
      <c r="LX20" s="126"/>
      <c r="LY20" s="126"/>
      <c r="LZ20" s="126"/>
      <c r="MA20" s="126"/>
      <c r="MB20" s="126"/>
      <c r="MC20" s="126"/>
      <c r="MD20" s="126"/>
      <c r="ME20" s="126"/>
      <c r="MF20" s="126"/>
      <c r="MG20" s="126"/>
      <c r="MH20" s="126"/>
      <c r="MI20" s="126"/>
      <c r="MJ20" s="126"/>
      <c r="MK20" s="126"/>
      <c r="ML20" s="126"/>
      <c r="MM20" s="126"/>
      <c r="MN20" s="126"/>
      <c r="MO20" s="126"/>
      <c r="MP20" s="126"/>
      <c r="MQ20" s="126"/>
      <c r="MR20" s="126"/>
      <c r="MS20" s="126"/>
      <c r="MT20" s="126"/>
      <c r="MU20" s="126"/>
      <c r="MV20" s="126"/>
      <c r="MW20" s="126"/>
      <c r="MX20" s="126"/>
      <c r="MY20" s="126"/>
      <c r="MZ20" s="126"/>
      <c r="NA20" s="126"/>
      <c r="NB20" s="126"/>
      <c r="NC20" s="126"/>
      <c r="ND20" s="126"/>
      <c r="NE20" s="126"/>
      <c r="NF20" s="126"/>
      <c r="NG20" s="126"/>
      <c r="NH20" s="126"/>
      <c r="NI20" s="126"/>
      <c r="NJ20" s="126"/>
      <c r="NK20" s="126"/>
      <c r="NL20" s="126"/>
      <c r="NM20" s="126"/>
      <c r="NN20" s="126"/>
      <c r="NO20" s="126"/>
      <c r="NP20" s="126"/>
      <c r="NQ20" s="126"/>
      <c r="NR20" s="126"/>
      <c r="NS20" s="126"/>
      <c r="NT20" s="126"/>
      <c r="NU20" s="126"/>
      <c r="NV20" s="126"/>
      <c r="NW20" s="126"/>
      <c r="NX20" s="126"/>
      <c r="NY20" s="126"/>
      <c r="NZ20" s="126"/>
    </row>
    <row r="21" spans="1:390" ht="15.75" customHeight="1" x14ac:dyDescent="0.3">
      <c r="A21" s="98">
        <v>4382089506</v>
      </c>
      <c r="B21" s="182" t="s">
        <v>392</v>
      </c>
      <c r="C21" s="84" t="s">
        <v>393</v>
      </c>
      <c r="D21" s="87" t="s">
        <v>392</v>
      </c>
      <c r="E21" s="93" t="s">
        <v>672</v>
      </c>
      <c r="F21" s="93" t="s">
        <v>433</v>
      </c>
      <c r="G21" s="93" t="s">
        <v>490</v>
      </c>
      <c r="H21" s="101">
        <v>43923</v>
      </c>
      <c r="I21" s="92" t="s">
        <v>673</v>
      </c>
      <c r="J21" s="240" t="s">
        <v>398</v>
      </c>
      <c r="K21" s="93" t="s">
        <v>399</v>
      </c>
      <c r="L21" s="93" t="s">
        <v>399</v>
      </c>
      <c r="M21" s="93" t="s">
        <v>399</v>
      </c>
      <c r="N21" s="93" t="s">
        <v>399</v>
      </c>
      <c r="O21" s="93" t="s">
        <v>399</v>
      </c>
      <c r="P21" s="194" t="s">
        <v>399</v>
      </c>
      <c r="Q21" s="84" t="s">
        <v>399</v>
      </c>
      <c r="R21" s="197" t="s">
        <v>399</v>
      </c>
      <c r="S21" s="197" t="s">
        <v>399</v>
      </c>
      <c r="T21" s="197" t="s">
        <v>399</v>
      </c>
      <c r="U21" s="198" t="s">
        <v>399</v>
      </c>
      <c r="V21" s="84" t="s">
        <v>399</v>
      </c>
      <c r="W21" s="197" t="s">
        <v>399</v>
      </c>
      <c r="X21" s="197" t="s">
        <v>399</v>
      </c>
      <c r="Y21" s="197" t="s">
        <v>399</v>
      </c>
      <c r="Z21" s="198" t="s">
        <v>399</v>
      </c>
      <c r="AA21" s="84" t="s">
        <v>399</v>
      </c>
      <c r="AB21" s="199" t="s">
        <v>400</v>
      </c>
      <c r="AC21" s="193">
        <v>16746</v>
      </c>
      <c r="AD21" s="194">
        <v>43859</v>
      </c>
      <c r="AE21" s="86">
        <f t="shared" si="0"/>
        <v>74</v>
      </c>
      <c r="AF21" s="108" t="s">
        <v>648</v>
      </c>
      <c r="AG21" s="84" t="s">
        <v>402</v>
      </c>
      <c r="AH21" s="87" t="s">
        <v>392</v>
      </c>
      <c r="AI21" s="85">
        <v>2</v>
      </c>
      <c r="AJ21" s="85">
        <v>0</v>
      </c>
      <c r="AK21" s="85" t="s">
        <v>405</v>
      </c>
      <c r="AL21" s="109">
        <v>0</v>
      </c>
      <c r="AM21" s="84" t="s">
        <v>423</v>
      </c>
      <c r="AN21" s="195">
        <v>3</v>
      </c>
      <c r="AO21" s="83" t="s">
        <v>399</v>
      </c>
      <c r="AP21" s="88"/>
      <c r="AQ21" s="95"/>
      <c r="AR21" s="88"/>
      <c r="AS21" s="93"/>
      <c r="AT21" s="93"/>
      <c r="AU21" s="93"/>
      <c r="AV21" s="93"/>
      <c r="AW21" s="88"/>
      <c r="AX21" s="93"/>
      <c r="AY21" s="93"/>
      <c r="AZ21" s="93"/>
      <c r="BA21" s="93"/>
      <c r="BB21" s="88"/>
      <c r="BC21" s="93"/>
      <c r="BD21" s="93"/>
      <c r="BE21" s="93"/>
      <c r="BF21" s="93"/>
      <c r="BG21" s="88"/>
      <c r="BH21" s="93"/>
      <c r="BI21" s="93"/>
      <c r="BJ21" s="93"/>
      <c r="BK21" s="93"/>
      <c r="BL21" s="88"/>
      <c r="BM21" s="93"/>
      <c r="BN21" s="93"/>
      <c r="BO21" s="93"/>
      <c r="BP21" s="93"/>
      <c r="BQ21" s="88"/>
      <c r="BR21" s="93"/>
      <c r="BS21" s="93"/>
      <c r="BT21" s="93"/>
      <c r="BU21" s="93"/>
      <c r="BV21" s="88"/>
      <c r="BW21" s="93"/>
      <c r="BX21" s="93"/>
      <c r="BY21" s="93"/>
      <c r="BZ21" s="93"/>
      <c r="CA21" s="88"/>
      <c r="CB21" s="93"/>
      <c r="CC21" s="93"/>
      <c r="CD21" s="93"/>
      <c r="CE21" s="93"/>
      <c r="CF21" s="88"/>
      <c r="CG21" s="93"/>
      <c r="CH21" s="93"/>
      <c r="CI21" s="93"/>
      <c r="CJ21" s="93"/>
      <c r="CK21" s="88"/>
      <c r="CL21" s="93"/>
      <c r="CM21" s="93"/>
      <c r="CN21" s="93"/>
      <c r="CO21" s="93"/>
      <c r="CP21" s="88"/>
      <c r="CQ21" s="93"/>
      <c r="CR21" s="93"/>
      <c r="CS21" s="93"/>
      <c r="CT21" s="93"/>
      <c r="CU21" s="88"/>
      <c r="CV21" s="93"/>
      <c r="CW21" s="93"/>
      <c r="CX21" s="93"/>
      <c r="CY21" s="93"/>
      <c r="CZ21" s="88"/>
      <c r="DA21" s="93"/>
      <c r="DB21" s="93"/>
      <c r="DC21" s="93"/>
      <c r="DD21" s="93"/>
      <c r="DE21" s="88"/>
      <c r="DF21" s="93"/>
      <c r="DG21" s="93"/>
      <c r="DH21" s="93"/>
      <c r="DI21" s="93"/>
      <c r="DJ21" s="88"/>
      <c r="DK21" s="93"/>
      <c r="DL21" s="93"/>
      <c r="DM21" s="93"/>
      <c r="DN21" s="93"/>
      <c r="DO21" s="88"/>
      <c r="DP21" s="93"/>
      <c r="DQ21" s="93"/>
      <c r="DR21" s="93"/>
      <c r="DS21" s="93"/>
      <c r="DT21" s="88"/>
      <c r="DU21" s="93"/>
      <c r="DV21" s="93"/>
      <c r="DW21" s="93"/>
      <c r="DX21" s="93"/>
      <c r="DY21" s="88"/>
      <c r="DZ21" s="93"/>
      <c r="EA21" s="93"/>
      <c r="EB21" s="93"/>
      <c r="EC21" s="93"/>
      <c r="ED21" s="88"/>
      <c r="EE21" s="93"/>
      <c r="EF21" s="93"/>
      <c r="EG21" s="93"/>
      <c r="EH21" s="93"/>
      <c r="EI21" s="88"/>
      <c r="EJ21" s="93"/>
      <c r="EK21" s="93"/>
      <c r="EL21" s="93"/>
      <c r="EM21" s="93"/>
      <c r="EN21" s="88"/>
      <c r="EO21" s="93"/>
      <c r="EP21" s="93"/>
      <c r="EQ21" s="93"/>
      <c r="ER21" s="93"/>
      <c r="ES21" s="88"/>
      <c r="ET21" s="93"/>
      <c r="EU21" s="93"/>
      <c r="EV21" s="93"/>
      <c r="EW21" s="93"/>
      <c r="EX21" s="88"/>
      <c r="EY21" s="93"/>
      <c r="EZ21" s="93"/>
      <c r="FA21" s="93"/>
      <c r="FB21" s="93"/>
      <c r="FC21" s="88"/>
      <c r="FD21" s="93"/>
      <c r="FE21" s="93"/>
      <c r="FF21" s="93"/>
      <c r="FG21" s="93"/>
      <c r="FH21" s="88"/>
      <c r="FI21" s="93"/>
      <c r="FJ21" s="93"/>
      <c r="FK21" s="93"/>
      <c r="FL21" s="93"/>
      <c r="FM21" s="93"/>
      <c r="FN21" s="93"/>
      <c r="FO21" s="93"/>
      <c r="FP21" s="93"/>
      <c r="FQ21" s="93"/>
      <c r="FR21" s="93"/>
      <c r="FS21" s="93"/>
      <c r="FT21" s="93"/>
      <c r="FU21" s="93"/>
      <c r="FV21" s="93"/>
      <c r="FW21" s="93"/>
      <c r="FX21" s="93"/>
      <c r="FY21" s="93"/>
      <c r="FZ21" s="93"/>
      <c r="GA21" s="93"/>
      <c r="GB21" s="93"/>
      <c r="GC21" s="93"/>
      <c r="GD21" s="93"/>
      <c r="GE21" s="93"/>
      <c r="GF21" s="93"/>
      <c r="GG21" s="93"/>
      <c r="GH21" s="93"/>
      <c r="GI21" s="93"/>
      <c r="GJ21" s="93"/>
      <c r="GK21" s="93"/>
      <c r="GL21" s="93"/>
      <c r="GM21" s="93"/>
      <c r="GN21" s="93"/>
      <c r="GO21" s="93"/>
      <c r="GP21" s="88"/>
      <c r="GQ21" s="93"/>
      <c r="GR21" s="93"/>
      <c r="GS21" s="93"/>
      <c r="GT21" s="93"/>
      <c r="GU21" s="88"/>
      <c r="GV21" s="93"/>
      <c r="GW21" s="93"/>
      <c r="GX21" s="93"/>
      <c r="GY21" s="93"/>
      <c r="GZ21" s="88"/>
      <c r="HA21" s="93"/>
      <c r="HB21" s="93"/>
      <c r="HC21" s="93"/>
      <c r="HD21" s="93"/>
      <c r="HE21" s="88"/>
      <c r="HF21" s="93"/>
      <c r="HG21" s="93"/>
      <c r="HH21" s="93"/>
      <c r="HI21" s="93"/>
      <c r="HJ21" s="88"/>
      <c r="HK21" s="93"/>
      <c r="HL21" s="93"/>
      <c r="HM21" s="93"/>
      <c r="HN21" s="93"/>
      <c r="HO21" s="88"/>
      <c r="HP21" s="93"/>
      <c r="HQ21" s="93"/>
      <c r="HR21" s="93"/>
      <c r="HS21" s="93"/>
      <c r="HT21" s="88"/>
      <c r="HU21" s="93"/>
      <c r="HV21" s="93"/>
      <c r="HW21" s="93"/>
      <c r="HX21" s="93"/>
      <c r="HY21" s="88"/>
      <c r="HZ21" s="93"/>
      <c r="IA21" s="93"/>
      <c r="IB21" s="93"/>
      <c r="IC21" s="93"/>
      <c r="ID21" s="88"/>
      <c r="IE21" s="93"/>
      <c r="IF21" s="93"/>
      <c r="IG21" s="93"/>
      <c r="IH21" s="93"/>
      <c r="II21" s="88"/>
      <c r="IJ21" s="93"/>
      <c r="IK21" s="93"/>
      <c r="IL21" s="93"/>
      <c r="IM21" s="93"/>
      <c r="IN21" s="88"/>
      <c r="IO21" s="93"/>
      <c r="IP21" s="93"/>
      <c r="IQ21" s="93"/>
      <c r="IR21" s="93"/>
      <c r="IS21" s="88"/>
      <c r="IT21" s="93"/>
      <c r="IU21" s="93"/>
      <c r="IV21" s="93"/>
      <c r="IW21" s="93"/>
      <c r="IX21" s="88"/>
      <c r="IY21" s="93"/>
      <c r="IZ21" s="93"/>
      <c r="JA21" s="93"/>
      <c r="JB21" s="93"/>
      <c r="JC21" s="88"/>
      <c r="JD21" s="93"/>
      <c r="JE21" s="93"/>
      <c r="JF21" s="93"/>
      <c r="JG21" s="94"/>
      <c r="JH21" s="88"/>
      <c r="JI21" s="95"/>
      <c r="JJ21" s="93"/>
      <c r="JK21" s="93"/>
      <c r="JL21" s="94"/>
      <c r="JM21" s="89"/>
      <c r="JN21" s="96"/>
      <c r="JO21" s="84"/>
      <c r="JP21" s="95"/>
      <c r="JQ21" s="93"/>
      <c r="JR21" s="93"/>
      <c r="JS21" s="93"/>
      <c r="JT21" s="93"/>
      <c r="JU21" s="93"/>
      <c r="JV21" s="93"/>
      <c r="JW21" s="93"/>
      <c r="JX21" s="93"/>
      <c r="JY21" s="93"/>
      <c r="JZ21" s="93"/>
      <c r="KA21" s="93"/>
      <c r="KB21" s="93"/>
      <c r="KC21" s="93"/>
      <c r="KD21" s="93"/>
      <c r="KE21" s="93"/>
      <c r="KF21" s="93"/>
      <c r="KG21" s="93"/>
      <c r="KH21" s="93"/>
      <c r="KI21" s="93"/>
      <c r="KJ21" s="93"/>
      <c r="KK21" s="93"/>
      <c r="KL21" s="93"/>
      <c r="KM21" s="93"/>
      <c r="KN21" s="93"/>
      <c r="KO21" s="93"/>
      <c r="KP21" s="93"/>
      <c r="KQ21" s="93"/>
      <c r="KR21" s="93"/>
      <c r="KS21" s="93"/>
      <c r="KT21" s="93"/>
      <c r="KU21" s="93"/>
      <c r="KV21" s="93"/>
      <c r="KW21" s="93"/>
      <c r="KX21" s="93"/>
      <c r="KY21" s="93"/>
      <c r="KZ21" s="93"/>
      <c r="LA21" s="93"/>
      <c r="LB21" s="93"/>
      <c r="LC21" s="93"/>
      <c r="LD21" s="93"/>
      <c r="LE21" s="93"/>
      <c r="LF21" s="93"/>
      <c r="LG21" s="93"/>
      <c r="LH21" s="93"/>
      <c r="LI21" s="93"/>
      <c r="LJ21" s="93"/>
      <c r="LK21" s="93"/>
      <c r="LL21" s="93"/>
      <c r="LM21" s="93"/>
      <c r="LN21" s="93"/>
      <c r="LO21" s="93"/>
      <c r="LP21" s="93"/>
      <c r="LQ21" s="93"/>
      <c r="LR21" s="93"/>
      <c r="LS21" s="93"/>
      <c r="LT21" s="93"/>
      <c r="LU21" s="93"/>
      <c r="LV21" s="93"/>
      <c r="LW21" s="93"/>
      <c r="LX21" s="93"/>
      <c r="LY21" s="93"/>
      <c r="LZ21" s="93"/>
      <c r="MA21" s="93"/>
      <c r="MB21" s="93"/>
      <c r="MC21" s="93"/>
      <c r="MD21" s="93"/>
      <c r="ME21" s="93"/>
      <c r="MF21" s="93"/>
      <c r="MG21" s="93"/>
      <c r="MH21" s="93"/>
      <c r="MI21" s="93"/>
      <c r="MJ21" s="93"/>
      <c r="MK21" s="93"/>
      <c r="ML21" s="93"/>
      <c r="MM21" s="93"/>
      <c r="MN21" s="93"/>
      <c r="MO21" s="93"/>
      <c r="MP21" s="93"/>
      <c r="MQ21" s="93"/>
      <c r="MR21" s="93"/>
      <c r="MS21" s="93"/>
      <c r="MT21" s="93"/>
      <c r="MU21" s="93"/>
      <c r="MV21" s="93"/>
      <c r="MW21" s="93"/>
      <c r="MX21" s="93"/>
      <c r="MY21" s="93"/>
      <c r="MZ21" s="93"/>
      <c r="NA21" s="93"/>
      <c r="NB21" s="93"/>
      <c r="NC21" s="93"/>
      <c r="ND21" s="93"/>
      <c r="NE21" s="93"/>
      <c r="NF21" s="93"/>
      <c r="NG21" s="93"/>
      <c r="NH21" s="93"/>
      <c r="NI21" s="93"/>
      <c r="NJ21" s="93"/>
      <c r="NK21" s="93"/>
      <c r="NL21" s="93"/>
      <c r="NM21" s="93"/>
      <c r="NN21" s="93"/>
      <c r="NO21" s="93"/>
      <c r="NP21" s="93"/>
      <c r="NQ21" s="93"/>
      <c r="NR21" s="93"/>
      <c r="NS21" s="93"/>
      <c r="NT21" s="93"/>
      <c r="NU21" s="93"/>
      <c r="NV21" s="93"/>
      <c r="NW21" s="93"/>
      <c r="NX21" s="93"/>
      <c r="NY21" s="93"/>
      <c r="NZ21" s="93"/>
    </row>
    <row r="22" spans="1:390" ht="15.75" customHeight="1" x14ac:dyDescent="0.3">
      <c r="A22" s="98">
        <v>4343180220</v>
      </c>
      <c r="B22" s="182" t="s">
        <v>392</v>
      </c>
      <c r="C22" s="84" t="s">
        <v>393</v>
      </c>
      <c r="D22" s="87" t="s">
        <v>392</v>
      </c>
      <c r="E22" s="93" t="s">
        <v>674</v>
      </c>
      <c r="F22" s="93" t="s">
        <v>426</v>
      </c>
      <c r="G22" s="93" t="s">
        <v>399</v>
      </c>
      <c r="H22" s="101">
        <v>44027</v>
      </c>
      <c r="I22" s="92" t="s">
        <v>660</v>
      </c>
      <c r="J22" s="234" t="s">
        <v>675</v>
      </c>
      <c r="K22" s="93" t="s">
        <v>399</v>
      </c>
      <c r="L22" s="93" t="s">
        <v>399</v>
      </c>
      <c r="M22" s="93" t="s">
        <v>399</v>
      </c>
      <c r="N22" s="93" t="s">
        <v>399</v>
      </c>
      <c r="O22" s="93" t="s">
        <v>399</v>
      </c>
      <c r="P22" s="194" t="s">
        <v>399</v>
      </c>
      <c r="Q22" s="84" t="s">
        <v>399</v>
      </c>
      <c r="R22" s="197" t="s">
        <v>399</v>
      </c>
      <c r="S22" s="197" t="s">
        <v>399</v>
      </c>
      <c r="T22" s="197" t="s">
        <v>399</v>
      </c>
      <c r="U22" s="198" t="s">
        <v>399</v>
      </c>
      <c r="V22" s="84" t="s">
        <v>399</v>
      </c>
      <c r="W22" s="197" t="s">
        <v>399</v>
      </c>
      <c r="X22" s="197" t="s">
        <v>399</v>
      </c>
      <c r="Y22" s="197" t="s">
        <v>399</v>
      </c>
      <c r="Z22" s="198" t="s">
        <v>399</v>
      </c>
      <c r="AA22" s="84" t="s">
        <v>399</v>
      </c>
      <c r="AB22" s="199" t="s">
        <v>400</v>
      </c>
      <c r="AC22" s="193">
        <v>14397</v>
      </c>
      <c r="AD22" s="194">
        <v>43726</v>
      </c>
      <c r="AE22" s="86">
        <f t="shared" si="0"/>
        <v>80</v>
      </c>
      <c r="AF22" s="108" t="s">
        <v>648</v>
      </c>
      <c r="AG22" s="84" t="s">
        <v>402</v>
      </c>
      <c r="AH22" s="87" t="s">
        <v>403</v>
      </c>
      <c r="AI22" s="85" t="s">
        <v>404</v>
      </c>
      <c r="AJ22" s="235" t="s">
        <v>405</v>
      </c>
      <c r="AK22" s="85" t="s">
        <v>405</v>
      </c>
      <c r="AL22" s="109">
        <v>0</v>
      </c>
      <c r="AM22" s="84" t="s">
        <v>406</v>
      </c>
      <c r="AN22" s="195">
        <v>1</v>
      </c>
      <c r="AO22" s="83" t="s">
        <v>399</v>
      </c>
      <c r="AP22" s="88"/>
      <c r="AQ22" s="95"/>
      <c r="AR22" s="88"/>
      <c r="AS22" s="93"/>
      <c r="AT22" s="93"/>
      <c r="AU22" s="93"/>
      <c r="AV22" s="93"/>
      <c r="AW22" s="88"/>
      <c r="AX22" s="93"/>
      <c r="AY22" s="93"/>
      <c r="AZ22" s="93"/>
      <c r="BA22" s="93"/>
      <c r="BB22" s="88"/>
      <c r="BC22" s="93"/>
      <c r="BD22" s="93"/>
      <c r="BE22" s="93"/>
      <c r="BF22" s="93"/>
      <c r="BG22" s="88"/>
      <c r="BH22" s="93"/>
      <c r="BI22" s="93"/>
      <c r="BJ22" s="93"/>
      <c r="BK22" s="93"/>
      <c r="BL22" s="88"/>
      <c r="BM22" s="93"/>
      <c r="BN22" s="93"/>
      <c r="BO22" s="93"/>
      <c r="BP22" s="93"/>
      <c r="BQ22" s="88"/>
      <c r="BR22" s="93"/>
      <c r="BS22" s="93"/>
      <c r="BT22" s="93"/>
      <c r="BU22" s="93"/>
      <c r="BV22" s="88"/>
      <c r="BW22" s="93"/>
      <c r="BX22" s="93"/>
      <c r="BY22" s="93"/>
      <c r="BZ22" s="93"/>
      <c r="CA22" s="88"/>
      <c r="CB22" s="93"/>
      <c r="CC22" s="93"/>
      <c r="CD22" s="93"/>
      <c r="CE22" s="93"/>
      <c r="CF22" s="88"/>
      <c r="CG22" s="93"/>
      <c r="CH22" s="93"/>
      <c r="CI22" s="93"/>
      <c r="CJ22" s="93"/>
      <c r="CK22" s="88"/>
      <c r="CL22" s="93"/>
      <c r="CM22" s="93"/>
      <c r="CN22" s="93"/>
      <c r="CO22" s="93"/>
      <c r="CP22" s="88"/>
      <c r="CQ22" s="93"/>
      <c r="CR22" s="93"/>
      <c r="CS22" s="93"/>
      <c r="CT22" s="93"/>
      <c r="CU22" s="88"/>
      <c r="CV22" s="93"/>
      <c r="CW22" s="93"/>
      <c r="CX22" s="93"/>
      <c r="CY22" s="93"/>
      <c r="CZ22" s="88"/>
      <c r="DA22" s="93"/>
      <c r="DB22" s="93"/>
      <c r="DC22" s="93"/>
      <c r="DD22" s="93"/>
      <c r="DE22" s="88"/>
      <c r="DF22" s="93"/>
      <c r="DG22" s="93"/>
      <c r="DH22" s="93"/>
      <c r="DI22" s="93"/>
      <c r="DJ22" s="88"/>
      <c r="DK22" s="93"/>
      <c r="DL22" s="93"/>
      <c r="DM22" s="93"/>
      <c r="DN22" s="93"/>
      <c r="DO22" s="88"/>
      <c r="DP22" s="93"/>
      <c r="DQ22" s="93"/>
      <c r="DR22" s="93"/>
      <c r="DS22" s="93"/>
      <c r="DT22" s="88"/>
      <c r="DU22" s="93"/>
      <c r="DV22" s="93"/>
      <c r="DW22" s="93"/>
      <c r="DX22" s="93"/>
      <c r="DY22" s="88"/>
      <c r="DZ22" s="93"/>
      <c r="EA22" s="93"/>
      <c r="EB22" s="93"/>
      <c r="EC22" s="93"/>
      <c r="ED22" s="88"/>
      <c r="EE22" s="93"/>
      <c r="EF22" s="93"/>
      <c r="EG22" s="93"/>
      <c r="EH22" s="93"/>
      <c r="EI22" s="88"/>
      <c r="EJ22" s="93"/>
      <c r="EK22" s="93"/>
      <c r="EL22" s="93"/>
      <c r="EM22" s="93"/>
      <c r="EN22" s="88"/>
      <c r="EO22" s="93"/>
      <c r="EP22" s="93"/>
      <c r="EQ22" s="93"/>
      <c r="ER22" s="93"/>
      <c r="ES22" s="88"/>
      <c r="ET22" s="93"/>
      <c r="EU22" s="93"/>
      <c r="EV22" s="93"/>
      <c r="EW22" s="93"/>
      <c r="EX22" s="88"/>
      <c r="EY22" s="93"/>
      <c r="EZ22" s="93"/>
      <c r="FA22" s="93"/>
      <c r="FB22" s="93"/>
      <c r="FC22" s="88"/>
      <c r="FD22" s="93"/>
      <c r="FE22" s="93"/>
      <c r="FF22" s="93"/>
      <c r="FG22" s="93"/>
      <c r="FH22" s="88"/>
      <c r="FI22" s="93"/>
      <c r="FJ22" s="93"/>
      <c r="FK22" s="93"/>
      <c r="FL22" s="93"/>
      <c r="FM22" s="93"/>
      <c r="FN22" s="93"/>
      <c r="FO22" s="93"/>
      <c r="FP22" s="93"/>
      <c r="FQ22" s="93"/>
      <c r="FR22" s="93"/>
      <c r="FS22" s="93"/>
      <c r="FT22" s="93"/>
      <c r="FU22" s="93"/>
      <c r="FV22" s="93"/>
      <c r="FW22" s="93"/>
      <c r="FX22" s="93"/>
      <c r="FY22" s="93"/>
      <c r="FZ22" s="93"/>
      <c r="GA22" s="93"/>
      <c r="GB22" s="93"/>
      <c r="GC22" s="93"/>
      <c r="GD22" s="93"/>
      <c r="GE22" s="93"/>
      <c r="GF22" s="93"/>
      <c r="GG22" s="93"/>
      <c r="GH22" s="93"/>
      <c r="GI22" s="93"/>
      <c r="GJ22" s="93"/>
      <c r="GK22" s="93"/>
      <c r="GL22" s="93"/>
      <c r="GM22" s="93"/>
      <c r="GN22" s="93"/>
      <c r="GO22" s="93"/>
      <c r="GP22" s="88"/>
      <c r="GQ22" s="93"/>
      <c r="GR22" s="93"/>
      <c r="GS22" s="93"/>
      <c r="GT22" s="93"/>
      <c r="GU22" s="88"/>
      <c r="GV22" s="93"/>
      <c r="GW22" s="93"/>
      <c r="GX22" s="93"/>
      <c r="GY22" s="93"/>
      <c r="GZ22" s="88"/>
      <c r="HA22" s="93"/>
      <c r="HB22" s="93"/>
      <c r="HC22" s="93"/>
      <c r="HD22" s="93"/>
      <c r="HE22" s="88"/>
      <c r="HF22" s="93"/>
      <c r="HG22" s="93"/>
      <c r="HH22" s="93"/>
      <c r="HI22" s="93"/>
      <c r="HJ22" s="88"/>
      <c r="HK22" s="93"/>
      <c r="HL22" s="93"/>
      <c r="HM22" s="93"/>
      <c r="HN22" s="93"/>
      <c r="HO22" s="88"/>
      <c r="HP22" s="93"/>
      <c r="HQ22" s="93"/>
      <c r="HR22" s="93"/>
      <c r="HS22" s="93"/>
      <c r="HT22" s="88"/>
      <c r="HU22" s="93"/>
      <c r="HV22" s="93"/>
      <c r="HW22" s="93"/>
      <c r="HX22" s="93"/>
      <c r="HY22" s="88"/>
      <c r="HZ22" s="93"/>
      <c r="IA22" s="93"/>
      <c r="IB22" s="93"/>
      <c r="IC22" s="93"/>
      <c r="ID22" s="88"/>
      <c r="IE22" s="93"/>
      <c r="IF22" s="93"/>
      <c r="IG22" s="93"/>
      <c r="IH22" s="93"/>
      <c r="II22" s="88"/>
      <c r="IJ22" s="93"/>
      <c r="IK22" s="93"/>
      <c r="IL22" s="93"/>
      <c r="IM22" s="93"/>
      <c r="IN22" s="88"/>
      <c r="IO22" s="93"/>
      <c r="IP22" s="93"/>
      <c r="IQ22" s="93"/>
      <c r="IR22" s="93"/>
      <c r="IS22" s="88"/>
      <c r="IT22" s="93"/>
      <c r="IU22" s="93"/>
      <c r="IV22" s="93"/>
      <c r="IW22" s="93"/>
      <c r="IX22" s="88"/>
      <c r="IY22" s="93"/>
      <c r="IZ22" s="93"/>
      <c r="JA22" s="93"/>
      <c r="JB22" s="93"/>
      <c r="JC22" s="88"/>
      <c r="JD22" s="93"/>
      <c r="JE22" s="93"/>
      <c r="JF22" s="93"/>
      <c r="JG22" s="94"/>
      <c r="JH22" s="88"/>
      <c r="JI22" s="95"/>
      <c r="JJ22" s="93"/>
      <c r="JK22" s="93"/>
      <c r="JL22" s="94"/>
      <c r="JM22" s="89"/>
      <c r="JN22" s="96"/>
      <c r="JO22" s="84"/>
      <c r="JP22" s="95"/>
      <c r="JQ22" s="93"/>
      <c r="JR22" s="93"/>
      <c r="JS22" s="93"/>
      <c r="JT22" s="93"/>
      <c r="JU22" s="93"/>
      <c r="JV22" s="93"/>
      <c r="JW22" s="93"/>
      <c r="JX22" s="93"/>
      <c r="JY22" s="93"/>
      <c r="JZ22" s="93"/>
      <c r="KA22" s="93"/>
      <c r="KB22" s="93"/>
      <c r="KC22" s="93"/>
      <c r="KD22" s="93"/>
      <c r="KE22" s="93"/>
      <c r="KF22" s="93"/>
      <c r="KG22" s="93"/>
      <c r="KH22" s="93"/>
      <c r="KI22" s="93"/>
      <c r="KJ22" s="93"/>
      <c r="KK22" s="93"/>
      <c r="KL22" s="93"/>
      <c r="KM22" s="93"/>
      <c r="KN22" s="93"/>
      <c r="KO22" s="93"/>
      <c r="KP22" s="93"/>
      <c r="KQ22" s="93"/>
      <c r="KR22" s="93"/>
      <c r="KS22" s="93"/>
      <c r="KT22" s="93"/>
      <c r="KU22" s="93"/>
      <c r="KV22" s="93"/>
      <c r="KW22" s="93"/>
      <c r="KX22" s="93"/>
      <c r="KY22" s="93"/>
      <c r="KZ22" s="93"/>
      <c r="LA22" s="93"/>
      <c r="LB22" s="93"/>
      <c r="LC22" s="93"/>
      <c r="LD22" s="93"/>
      <c r="LE22" s="93"/>
      <c r="LF22" s="93"/>
      <c r="LG22" s="93"/>
      <c r="LH22" s="93"/>
      <c r="LI22" s="93"/>
      <c r="LJ22" s="93"/>
      <c r="LK22" s="93"/>
      <c r="LL22" s="93"/>
      <c r="LM22" s="93"/>
      <c r="LN22" s="93"/>
      <c r="LO22" s="93"/>
      <c r="LP22" s="93"/>
      <c r="LQ22" s="93"/>
      <c r="LR22" s="93"/>
      <c r="LS22" s="93"/>
      <c r="LT22" s="93"/>
      <c r="LU22" s="93"/>
      <c r="LV22" s="93"/>
      <c r="LW22" s="93"/>
      <c r="LX22" s="93"/>
      <c r="LY22" s="93"/>
      <c r="LZ22" s="93"/>
      <c r="MA22" s="93"/>
      <c r="MB22" s="93"/>
      <c r="MC22" s="93"/>
      <c r="MD22" s="93"/>
      <c r="ME22" s="93"/>
      <c r="MF22" s="93"/>
      <c r="MG22" s="93"/>
      <c r="MH22" s="93"/>
      <c r="MI22" s="93"/>
      <c r="MJ22" s="93"/>
      <c r="MK22" s="93"/>
      <c r="ML22" s="93"/>
      <c r="MM22" s="93"/>
      <c r="MN22" s="93"/>
      <c r="MO22" s="93"/>
      <c r="MP22" s="93"/>
      <c r="MQ22" s="93"/>
      <c r="MR22" s="93"/>
      <c r="MS22" s="93"/>
      <c r="MT22" s="93"/>
      <c r="MU22" s="93"/>
      <c r="MV22" s="93"/>
      <c r="MW22" s="93"/>
      <c r="MX22" s="93"/>
      <c r="MY22" s="93"/>
      <c r="MZ22" s="93"/>
      <c r="NA22" s="93"/>
      <c r="NB22" s="93"/>
      <c r="NC22" s="93"/>
      <c r="ND22" s="93"/>
      <c r="NE22" s="93"/>
      <c r="NF22" s="93"/>
      <c r="NG22" s="93"/>
      <c r="NH22" s="93"/>
      <c r="NI22" s="93"/>
      <c r="NJ22" s="93"/>
      <c r="NK22" s="93"/>
      <c r="NL22" s="93"/>
      <c r="NM22" s="93"/>
      <c r="NN22" s="93"/>
      <c r="NO22" s="93"/>
      <c r="NP22" s="93"/>
      <c r="NQ22" s="93"/>
      <c r="NR22" s="93"/>
      <c r="NS22" s="93"/>
      <c r="NT22" s="93"/>
      <c r="NU22" s="93"/>
      <c r="NV22" s="93"/>
      <c r="NW22" s="93"/>
      <c r="NX22" s="93"/>
      <c r="NY22" s="93"/>
      <c r="NZ22" s="93"/>
    </row>
    <row r="23" spans="1:390" ht="15.75" customHeight="1" x14ac:dyDescent="0.3">
      <c r="A23" s="98">
        <v>4383575080</v>
      </c>
      <c r="B23" s="182" t="s">
        <v>392</v>
      </c>
      <c r="C23" s="84" t="s">
        <v>393</v>
      </c>
      <c r="D23" s="87" t="s">
        <v>392</v>
      </c>
      <c r="E23" s="93" t="s">
        <v>676</v>
      </c>
      <c r="F23" s="93" t="s">
        <v>409</v>
      </c>
      <c r="G23" s="93" t="s">
        <v>514</v>
      </c>
      <c r="H23" s="101">
        <v>44033</v>
      </c>
      <c r="I23" s="92" t="s">
        <v>677</v>
      </c>
      <c r="J23" s="240" t="s">
        <v>678</v>
      </c>
      <c r="K23" s="93" t="s">
        <v>399</v>
      </c>
      <c r="L23" s="93" t="s">
        <v>399</v>
      </c>
      <c r="M23" s="93" t="s">
        <v>399</v>
      </c>
      <c r="N23" s="93" t="s">
        <v>399</v>
      </c>
      <c r="O23" s="93" t="s">
        <v>399</v>
      </c>
      <c r="P23" s="194" t="s">
        <v>399</v>
      </c>
      <c r="Q23" s="84" t="s">
        <v>399</v>
      </c>
      <c r="R23" s="197" t="s">
        <v>399</v>
      </c>
      <c r="S23" s="197" t="s">
        <v>399</v>
      </c>
      <c r="T23" s="197" t="s">
        <v>399</v>
      </c>
      <c r="U23" s="198" t="s">
        <v>399</v>
      </c>
      <c r="V23" s="84" t="s">
        <v>399</v>
      </c>
      <c r="W23" s="197" t="s">
        <v>399</v>
      </c>
      <c r="X23" s="197" t="s">
        <v>399</v>
      </c>
      <c r="Y23" s="197" t="s">
        <v>399</v>
      </c>
      <c r="Z23" s="198" t="s">
        <v>399</v>
      </c>
      <c r="AA23" s="84" t="s">
        <v>399</v>
      </c>
      <c r="AB23" s="199" t="s">
        <v>400</v>
      </c>
      <c r="AC23" s="193">
        <v>15052</v>
      </c>
      <c r="AD23" s="194">
        <v>44025</v>
      </c>
      <c r="AE23" s="86">
        <f t="shared" si="0"/>
        <v>79</v>
      </c>
      <c r="AF23" s="108" t="s">
        <v>648</v>
      </c>
      <c r="AG23" s="84" t="s">
        <v>402</v>
      </c>
      <c r="AH23" s="87" t="s">
        <v>403</v>
      </c>
      <c r="AI23" s="235">
        <v>2</v>
      </c>
      <c r="AJ23" s="85">
        <v>0</v>
      </c>
      <c r="AK23" s="85" t="s">
        <v>405</v>
      </c>
      <c r="AL23" s="109">
        <v>0</v>
      </c>
      <c r="AM23" s="237" t="s">
        <v>423</v>
      </c>
      <c r="AN23" s="195">
        <v>3</v>
      </c>
      <c r="AO23" s="83" t="s">
        <v>399</v>
      </c>
      <c r="AP23" s="88"/>
      <c r="AQ23" s="95"/>
      <c r="AR23" s="88"/>
      <c r="AS23" s="93"/>
      <c r="AT23" s="93"/>
      <c r="AU23" s="93"/>
      <c r="AV23" s="93"/>
      <c r="AW23" s="88"/>
      <c r="AX23" s="93"/>
      <c r="AY23" s="93"/>
      <c r="AZ23" s="93"/>
      <c r="BA23" s="93"/>
      <c r="BB23" s="88"/>
      <c r="BC23" s="93"/>
      <c r="BD23" s="93"/>
      <c r="BE23" s="93"/>
      <c r="BF23" s="93"/>
      <c r="BG23" s="88"/>
      <c r="BH23" s="93"/>
      <c r="BI23" s="93"/>
      <c r="BJ23" s="93"/>
      <c r="BK23" s="93"/>
      <c r="BL23" s="88"/>
      <c r="BM23" s="93"/>
      <c r="BN23" s="93"/>
      <c r="BO23" s="93"/>
      <c r="BP23" s="93"/>
      <c r="BQ23" s="88"/>
      <c r="BR23" s="93"/>
      <c r="BS23" s="93"/>
      <c r="BT23" s="93"/>
      <c r="BU23" s="93"/>
      <c r="BV23" s="88"/>
      <c r="BW23" s="93"/>
      <c r="BX23" s="93"/>
      <c r="BY23" s="93"/>
      <c r="BZ23" s="93"/>
      <c r="CA23" s="88"/>
      <c r="CB23" s="93"/>
      <c r="CC23" s="93"/>
      <c r="CD23" s="93"/>
      <c r="CE23" s="93"/>
      <c r="CF23" s="88"/>
      <c r="CG23" s="93"/>
      <c r="CH23" s="93"/>
      <c r="CI23" s="93"/>
      <c r="CJ23" s="93"/>
      <c r="CK23" s="88"/>
      <c r="CL23" s="93"/>
      <c r="CM23" s="93"/>
      <c r="CN23" s="93"/>
      <c r="CO23" s="93"/>
      <c r="CP23" s="88"/>
      <c r="CQ23" s="93"/>
      <c r="CR23" s="93"/>
      <c r="CS23" s="93"/>
      <c r="CT23" s="93"/>
      <c r="CU23" s="88"/>
      <c r="CV23" s="93"/>
      <c r="CW23" s="93"/>
      <c r="CX23" s="93"/>
      <c r="CY23" s="93"/>
      <c r="CZ23" s="88"/>
      <c r="DA23" s="93"/>
      <c r="DB23" s="93"/>
      <c r="DC23" s="93"/>
      <c r="DD23" s="93"/>
      <c r="DE23" s="88"/>
      <c r="DF23" s="93"/>
      <c r="DG23" s="93"/>
      <c r="DH23" s="93"/>
      <c r="DI23" s="93"/>
      <c r="DJ23" s="88"/>
      <c r="DK23" s="93"/>
      <c r="DL23" s="93"/>
      <c r="DM23" s="93"/>
      <c r="DN23" s="93"/>
      <c r="DO23" s="88"/>
      <c r="DP23" s="93"/>
      <c r="DQ23" s="93"/>
      <c r="DR23" s="93"/>
      <c r="DS23" s="93"/>
      <c r="DT23" s="88"/>
      <c r="DU23" s="93"/>
      <c r="DV23" s="93"/>
      <c r="DW23" s="93"/>
      <c r="DX23" s="93"/>
      <c r="DY23" s="88"/>
      <c r="DZ23" s="93"/>
      <c r="EA23" s="93"/>
      <c r="EB23" s="93"/>
      <c r="EC23" s="93"/>
      <c r="ED23" s="88"/>
      <c r="EE23" s="93"/>
      <c r="EF23" s="93"/>
      <c r="EG23" s="93"/>
      <c r="EH23" s="93"/>
      <c r="EI23" s="88"/>
      <c r="EJ23" s="93"/>
      <c r="EK23" s="93"/>
      <c r="EL23" s="93"/>
      <c r="EM23" s="93"/>
      <c r="EN23" s="88"/>
      <c r="EO23" s="93"/>
      <c r="EP23" s="93"/>
      <c r="EQ23" s="93"/>
      <c r="ER23" s="93"/>
      <c r="ES23" s="88"/>
      <c r="ET23" s="93"/>
      <c r="EU23" s="93"/>
      <c r="EV23" s="93"/>
      <c r="EW23" s="93"/>
      <c r="EX23" s="88"/>
      <c r="EY23" s="93"/>
      <c r="EZ23" s="93"/>
      <c r="FA23" s="93"/>
      <c r="FB23" s="93"/>
      <c r="FC23" s="88"/>
      <c r="FD23" s="93"/>
      <c r="FE23" s="93"/>
      <c r="FF23" s="93"/>
      <c r="FG23" s="93"/>
      <c r="FH23" s="88"/>
      <c r="FI23" s="93"/>
      <c r="FJ23" s="93"/>
      <c r="FK23" s="93"/>
      <c r="FL23" s="93"/>
      <c r="FM23" s="93"/>
      <c r="FN23" s="93"/>
      <c r="FO23" s="93"/>
      <c r="FP23" s="93"/>
      <c r="FQ23" s="93"/>
      <c r="FR23" s="93"/>
      <c r="FS23" s="93"/>
      <c r="FT23" s="93"/>
      <c r="FU23" s="93"/>
      <c r="FV23" s="93"/>
      <c r="FW23" s="93"/>
      <c r="FX23" s="93"/>
      <c r="FY23" s="93"/>
      <c r="FZ23" s="93"/>
      <c r="GA23" s="93"/>
      <c r="GB23" s="93"/>
      <c r="GC23" s="93"/>
      <c r="GD23" s="93"/>
      <c r="GE23" s="93"/>
      <c r="GF23" s="93"/>
      <c r="GG23" s="93"/>
      <c r="GH23" s="93"/>
      <c r="GI23" s="93"/>
      <c r="GJ23" s="93"/>
      <c r="GK23" s="93"/>
      <c r="GL23" s="93"/>
      <c r="GM23" s="93"/>
      <c r="GN23" s="93"/>
      <c r="GO23" s="93"/>
      <c r="GP23" s="88"/>
      <c r="GQ23" s="93"/>
      <c r="GR23" s="93"/>
      <c r="GS23" s="93"/>
      <c r="GT23" s="93"/>
      <c r="GU23" s="88"/>
      <c r="GV23" s="93"/>
      <c r="GW23" s="93"/>
      <c r="GX23" s="93"/>
      <c r="GY23" s="93"/>
      <c r="GZ23" s="88"/>
      <c r="HA23" s="93"/>
      <c r="HB23" s="93"/>
      <c r="HC23" s="93"/>
      <c r="HD23" s="93"/>
      <c r="HE23" s="88"/>
      <c r="HF23" s="93"/>
      <c r="HG23" s="93"/>
      <c r="HH23" s="93"/>
      <c r="HI23" s="93"/>
      <c r="HJ23" s="88"/>
      <c r="HK23" s="93"/>
      <c r="HL23" s="93"/>
      <c r="HM23" s="93"/>
      <c r="HN23" s="93"/>
      <c r="HO23" s="88"/>
      <c r="HP23" s="93"/>
      <c r="HQ23" s="93"/>
      <c r="HR23" s="93"/>
      <c r="HS23" s="93"/>
      <c r="HT23" s="88"/>
      <c r="HU23" s="93"/>
      <c r="HV23" s="93"/>
      <c r="HW23" s="93"/>
      <c r="HX23" s="93"/>
      <c r="HY23" s="88"/>
      <c r="HZ23" s="93"/>
      <c r="IA23" s="93"/>
      <c r="IB23" s="93"/>
      <c r="IC23" s="93"/>
      <c r="ID23" s="88"/>
      <c r="IE23" s="93"/>
      <c r="IF23" s="93"/>
      <c r="IG23" s="93"/>
      <c r="IH23" s="93"/>
      <c r="II23" s="88"/>
      <c r="IJ23" s="93"/>
      <c r="IK23" s="93"/>
      <c r="IL23" s="93"/>
      <c r="IM23" s="93"/>
      <c r="IN23" s="88"/>
      <c r="IO23" s="93"/>
      <c r="IP23" s="93"/>
      <c r="IQ23" s="93"/>
      <c r="IR23" s="93"/>
      <c r="IS23" s="88"/>
      <c r="IT23" s="93"/>
      <c r="IU23" s="93"/>
      <c r="IV23" s="93"/>
      <c r="IW23" s="93"/>
      <c r="IX23" s="88"/>
      <c r="IY23" s="93"/>
      <c r="IZ23" s="93"/>
      <c r="JA23" s="93"/>
      <c r="JB23" s="93"/>
      <c r="JC23" s="88"/>
      <c r="JD23" s="93"/>
      <c r="JE23" s="93"/>
      <c r="JF23" s="93"/>
      <c r="JG23" s="94"/>
      <c r="JH23" s="88"/>
      <c r="JI23" s="95"/>
      <c r="JJ23" s="93"/>
      <c r="JK23" s="93"/>
      <c r="JL23" s="94"/>
      <c r="JM23" s="89"/>
      <c r="JN23" s="96"/>
      <c r="JO23" s="84"/>
      <c r="JP23" s="95"/>
      <c r="JQ23" s="93"/>
      <c r="JR23" s="93"/>
      <c r="JS23" s="93"/>
      <c r="JT23" s="93"/>
      <c r="JU23" s="93"/>
      <c r="JV23" s="93"/>
      <c r="JW23" s="93"/>
      <c r="JX23" s="93"/>
      <c r="JY23" s="93"/>
      <c r="JZ23" s="93"/>
      <c r="KA23" s="93"/>
      <c r="KB23" s="93"/>
      <c r="KC23" s="93"/>
      <c r="KD23" s="93"/>
      <c r="KE23" s="93"/>
      <c r="KF23" s="93"/>
      <c r="KG23" s="93"/>
      <c r="KH23" s="93"/>
      <c r="KI23" s="93"/>
      <c r="KJ23" s="93"/>
      <c r="KK23" s="93"/>
      <c r="KL23" s="93"/>
      <c r="KM23" s="93"/>
      <c r="KN23" s="93"/>
      <c r="KO23" s="93"/>
      <c r="KP23" s="93"/>
      <c r="KQ23" s="93"/>
      <c r="KR23" s="93"/>
      <c r="KS23" s="93"/>
      <c r="KT23" s="93"/>
      <c r="KU23" s="93"/>
      <c r="KV23" s="93"/>
      <c r="KW23" s="93"/>
      <c r="KX23" s="93"/>
      <c r="KY23" s="93"/>
      <c r="KZ23" s="93"/>
      <c r="LA23" s="93"/>
      <c r="LB23" s="93"/>
      <c r="LC23" s="93"/>
      <c r="LD23" s="93"/>
      <c r="LE23" s="93"/>
      <c r="LF23" s="93"/>
      <c r="LG23" s="93"/>
      <c r="LH23" s="93"/>
      <c r="LI23" s="93"/>
      <c r="LJ23" s="93"/>
      <c r="LK23" s="93"/>
      <c r="LL23" s="93"/>
      <c r="LM23" s="93"/>
      <c r="LN23" s="93"/>
      <c r="LO23" s="93"/>
      <c r="LP23" s="93"/>
      <c r="LQ23" s="93"/>
      <c r="LR23" s="93"/>
      <c r="LS23" s="93"/>
      <c r="LT23" s="93"/>
      <c r="LU23" s="93"/>
      <c r="LV23" s="93"/>
      <c r="LW23" s="93"/>
      <c r="LX23" s="93"/>
      <c r="LY23" s="93"/>
      <c r="LZ23" s="93"/>
      <c r="MA23" s="93"/>
      <c r="MB23" s="93"/>
      <c r="MC23" s="93"/>
      <c r="MD23" s="93"/>
      <c r="ME23" s="93"/>
      <c r="MF23" s="93"/>
      <c r="MG23" s="93"/>
      <c r="MH23" s="93"/>
      <c r="MI23" s="93"/>
      <c r="MJ23" s="93"/>
      <c r="MK23" s="93"/>
      <c r="ML23" s="93"/>
      <c r="MM23" s="93"/>
      <c r="MN23" s="93"/>
      <c r="MO23" s="93"/>
      <c r="MP23" s="93"/>
      <c r="MQ23" s="93"/>
      <c r="MR23" s="93"/>
      <c r="MS23" s="93"/>
      <c r="MT23" s="93"/>
      <c r="MU23" s="93"/>
      <c r="MV23" s="93"/>
      <c r="MW23" s="93"/>
      <c r="MX23" s="93"/>
      <c r="MY23" s="93"/>
      <c r="MZ23" s="93"/>
      <c r="NA23" s="93"/>
      <c r="NB23" s="93"/>
      <c r="NC23" s="93"/>
      <c r="ND23" s="93"/>
      <c r="NE23" s="93"/>
      <c r="NF23" s="93"/>
      <c r="NG23" s="93"/>
      <c r="NH23" s="93"/>
      <c r="NI23" s="93"/>
      <c r="NJ23" s="93"/>
      <c r="NK23" s="93"/>
      <c r="NL23" s="93"/>
      <c r="NM23" s="93"/>
      <c r="NN23" s="93"/>
      <c r="NO23" s="93"/>
      <c r="NP23" s="93"/>
      <c r="NQ23" s="93"/>
      <c r="NR23" s="93"/>
      <c r="NS23" s="93"/>
      <c r="NT23" s="93"/>
      <c r="NU23" s="93"/>
      <c r="NV23" s="93"/>
      <c r="NW23" s="93"/>
      <c r="NX23" s="93"/>
      <c r="NY23" s="93"/>
      <c r="NZ23" s="93"/>
    </row>
    <row r="24" spans="1:390" ht="15.75" customHeight="1" x14ac:dyDescent="0.3">
      <c r="A24" s="98">
        <v>4483735616</v>
      </c>
      <c r="B24" s="182" t="s">
        <v>392</v>
      </c>
      <c r="C24" s="84" t="s">
        <v>393</v>
      </c>
      <c r="D24" s="87" t="s">
        <v>392</v>
      </c>
      <c r="E24" s="93" t="s">
        <v>679</v>
      </c>
      <c r="F24" s="93" t="s">
        <v>426</v>
      </c>
      <c r="G24" s="93" t="s">
        <v>449</v>
      </c>
      <c r="H24" s="101">
        <v>44099</v>
      </c>
      <c r="I24" s="92" t="s">
        <v>680</v>
      </c>
      <c r="J24" s="240" t="s">
        <v>398</v>
      </c>
      <c r="K24" s="93" t="s">
        <v>399</v>
      </c>
      <c r="L24" s="93" t="s">
        <v>399</v>
      </c>
      <c r="M24" s="93" t="s">
        <v>399</v>
      </c>
      <c r="N24" s="93" t="s">
        <v>399</v>
      </c>
      <c r="O24" s="93" t="s">
        <v>399</v>
      </c>
      <c r="P24" s="194" t="s">
        <v>399</v>
      </c>
      <c r="Q24" s="84" t="s">
        <v>399</v>
      </c>
      <c r="R24" s="197" t="s">
        <v>399</v>
      </c>
      <c r="S24" s="197" t="s">
        <v>399</v>
      </c>
      <c r="T24" s="197" t="s">
        <v>399</v>
      </c>
      <c r="U24" s="198" t="s">
        <v>399</v>
      </c>
      <c r="V24" s="84" t="s">
        <v>399</v>
      </c>
      <c r="W24" s="197" t="s">
        <v>399</v>
      </c>
      <c r="X24" s="197" t="s">
        <v>399</v>
      </c>
      <c r="Y24" s="197" t="s">
        <v>399</v>
      </c>
      <c r="Z24" s="198" t="s">
        <v>399</v>
      </c>
      <c r="AA24" s="84" t="s">
        <v>399</v>
      </c>
      <c r="AB24" s="199" t="s">
        <v>400</v>
      </c>
      <c r="AC24" s="193">
        <v>20704</v>
      </c>
      <c r="AD24" s="194">
        <v>44053</v>
      </c>
      <c r="AE24" s="86">
        <f t="shared" si="0"/>
        <v>63</v>
      </c>
      <c r="AF24" s="108" t="s">
        <v>648</v>
      </c>
      <c r="AG24" s="84" t="s">
        <v>402</v>
      </c>
      <c r="AH24" s="87" t="s">
        <v>403</v>
      </c>
      <c r="AI24" s="85" t="s">
        <v>404</v>
      </c>
      <c r="AJ24" s="85">
        <v>0</v>
      </c>
      <c r="AK24" s="85" t="s">
        <v>405</v>
      </c>
      <c r="AL24" s="109">
        <v>0</v>
      </c>
      <c r="AM24" s="84" t="s">
        <v>406</v>
      </c>
      <c r="AN24" s="195">
        <v>3</v>
      </c>
      <c r="AO24" s="83" t="s">
        <v>399</v>
      </c>
      <c r="AP24" s="88"/>
      <c r="AQ24" s="95"/>
      <c r="AR24" s="88"/>
      <c r="AS24" s="93"/>
      <c r="AT24" s="93"/>
      <c r="AU24" s="93"/>
      <c r="AV24" s="93"/>
      <c r="AW24" s="88"/>
      <c r="AX24" s="93"/>
      <c r="AY24" s="93"/>
      <c r="AZ24" s="93"/>
      <c r="BA24" s="93"/>
      <c r="BB24" s="88"/>
      <c r="BC24" s="93"/>
      <c r="BD24" s="93"/>
      <c r="BE24" s="93"/>
      <c r="BF24" s="93"/>
      <c r="BG24" s="88"/>
      <c r="BH24" s="93"/>
      <c r="BI24" s="93"/>
      <c r="BJ24" s="93"/>
      <c r="BK24" s="93"/>
      <c r="BL24" s="88"/>
      <c r="BM24" s="93"/>
      <c r="BN24" s="93"/>
      <c r="BO24" s="93"/>
      <c r="BP24" s="93"/>
      <c r="BQ24" s="88"/>
      <c r="BR24" s="93"/>
      <c r="BS24" s="93"/>
      <c r="BT24" s="93"/>
      <c r="BU24" s="93"/>
      <c r="BV24" s="88"/>
      <c r="BW24" s="93"/>
      <c r="BX24" s="93"/>
      <c r="BY24" s="93"/>
      <c r="BZ24" s="93"/>
      <c r="CA24" s="88"/>
      <c r="CB24" s="93"/>
      <c r="CC24" s="93"/>
      <c r="CD24" s="93"/>
      <c r="CE24" s="93"/>
      <c r="CF24" s="88"/>
      <c r="CG24" s="93"/>
      <c r="CH24" s="93"/>
      <c r="CI24" s="93"/>
      <c r="CJ24" s="93"/>
      <c r="CK24" s="88"/>
      <c r="CL24" s="93"/>
      <c r="CM24" s="93"/>
      <c r="CN24" s="93"/>
      <c r="CO24" s="93"/>
      <c r="CP24" s="88"/>
      <c r="CQ24" s="93"/>
      <c r="CR24" s="93"/>
      <c r="CS24" s="93"/>
      <c r="CT24" s="93"/>
      <c r="CU24" s="88"/>
      <c r="CV24" s="93"/>
      <c r="CW24" s="93"/>
      <c r="CX24" s="93"/>
      <c r="CY24" s="93"/>
      <c r="CZ24" s="88"/>
      <c r="DA24" s="93"/>
      <c r="DB24" s="93"/>
      <c r="DC24" s="93"/>
      <c r="DD24" s="93"/>
      <c r="DE24" s="88"/>
      <c r="DF24" s="93"/>
      <c r="DG24" s="93"/>
      <c r="DH24" s="93"/>
      <c r="DI24" s="93"/>
      <c r="DJ24" s="88"/>
      <c r="DK24" s="93"/>
      <c r="DL24" s="93"/>
      <c r="DM24" s="93"/>
      <c r="DN24" s="93"/>
      <c r="DO24" s="88"/>
      <c r="DP24" s="93"/>
      <c r="DQ24" s="93"/>
      <c r="DR24" s="93"/>
      <c r="DS24" s="93"/>
      <c r="DT24" s="88"/>
      <c r="DU24" s="93"/>
      <c r="DV24" s="93"/>
      <c r="DW24" s="93"/>
      <c r="DX24" s="93"/>
      <c r="DY24" s="88"/>
      <c r="DZ24" s="93"/>
      <c r="EA24" s="93"/>
      <c r="EB24" s="93"/>
      <c r="EC24" s="93"/>
      <c r="ED24" s="88"/>
      <c r="EE24" s="93"/>
      <c r="EF24" s="93"/>
      <c r="EG24" s="93"/>
      <c r="EH24" s="93"/>
      <c r="EI24" s="88"/>
      <c r="EJ24" s="93"/>
      <c r="EK24" s="93"/>
      <c r="EL24" s="93"/>
      <c r="EM24" s="93"/>
      <c r="EN24" s="88"/>
      <c r="EO24" s="93"/>
      <c r="EP24" s="93"/>
      <c r="EQ24" s="93"/>
      <c r="ER24" s="93"/>
      <c r="ES24" s="88"/>
      <c r="ET24" s="93"/>
      <c r="EU24" s="93"/>
      <c r="EV24" s="93"/>
      <c r="EW24" s="93"/>
      <c r="EX24" s="88"/>
      <c r="EY24" s="93"/>
      <c r="EZ24" s="93"/>
      <c r="FA24" s="93"/>
      <c r="FB24" s="93"/>
      <c r="FC24" s="88"/>
      <c r="FD24" s="93"/>
      <c r="FE24" s="93"/>
      <c r="FF24" s="93"/>
      <c r="FG24" s="93"/>
      <c r="FH24" s="88"/>
      <c r="FI24" s="93"/>
      <c r="FJ24" s="93"/>
      <c r="FK24" s="93"/>
      <c r="FL24" s="93"/>
      <c r="FM24" s="93"/>
      <c r="FN24" s="93"/>
      <c r="FO24" s="93"/>
      <c r="FP24" s="93"/>
      <c r="FQ24" s="93"/>
      <c r="FR24" s="93"/>
      <c r="FS24" s="93"/>
      <c r="FT24" s="93"/>
      <c r="FU24" s="93"/>
      <c r="FV24" s="93"/>
      <c r="FW24" s="93"/>
      <c r="FX24" s="93"/>
      <c r="FY24" s="93"/>
      <c r="FZ24" s="93"/>
      <c r="GA24" s="93"/>
      <c r="GB24" s="93"/>
      <c r="GC24" s="93"/>
      <c r="GD24" s="93"/>
      <c r="GE24" s="93"/>
      <c r="GF24" s="93"/>
      <c r="GG24" s="93"/>
      <c r="GH24" s="93"/>
      <c r="GI24" s="93"/>
      <c r="GJ24" s="93"/>
      <c r="GK24" s="93"/>
      <c r="GL24" s="93"/>
      <c r="GM24" s="93"/>
      <c r="GN24" s="93"/>
      <c r="GO24" s="93"/>
      <c r="GP24" s="88"/>
      <c r="GQ24" s="93"/>
      <c r="GR24" s="93"/>
      <c r="GS24" s="93"/>
      <c r="GT24" s="93"/>
      <c r="GU24" s="88"/>
      <c r="GV24" s="93"/>
      <c r="GW24" s="93"/>
      <c r="GX24" s="93"/>
      <c r="GY24" s="93"/>
      <c r="GZ24" s="88"/>
      <c r="HA24" s="93"/>
      <c r="HB24" s="93"/>
      <c r="HC24" s="93"/>
      <c r="HD24" s="93"/>
      <c r="HE24" s="88"/>
      <c r="HF24" s="93"/>
      <c r="HG24" s="93"/>
      <c r="HH24" s="93"/>
      <c r="HI24" s="93"/>
      <c r="HJ24" s="88"/>
      <c r="HK24" s="93"/>
      <c r="HL24" s="93"/>
      <c r="HM24" s="93"/>
      <c r="HN24" s="93"/>
      <c r="HO24" s="88"/>
      <c r="HP24" s="93"/>
      <c r="HQ24" s="93"/>
      <c r="HR24" s="93"/>
      <c r="HS24" s="93"/>
      <c r="HT24" s="88"/>
      <c r="HU24" s="93"/>
      <c r="HV24" s="93"/>
      <c r="HW24" s="93"/>
      <c r="HX24" s="93"/>
      <c r="HY24" s="88"/>
      <c r="HZ24" s="93"/>
      <c r="IA24" s="93"/>
      <c r="IB24" s="93"/>
      <c r="IC24" s="93"/>
      <c r="ID24" s="88"/>
      <c r="IE24" s="93"/>
      <c r="IF24" s="93"/>
      <c r="IG24" s="93"/>
      <c r="IH24" s="93"/>
      <c r="II24" s="88"/>
      <c r="IJ24" s="93"/>
      <c r="IK24" s="93"/>
      <c r="IL24" s="93"/>
      <c r="IM24" s="93"/>
      <c r="IN24" s="88"/>
      <c r="IO24" s="93"/>
      <c r="IP24" s="93"/>
      <c r="IQ24" s="93"/>
      <c r="IR24" s="93"/>
      <c r="IS24" s="88"/>
      <c r="IT24" s="93"/>
      <c r="IU24" s="93"/>
      <c r="IV24" s="93"/>
      <c r="IW24" s="93"/>
      <c r="IX24" s="88"/>
      <c r="IY24" s="93"/>
      <c r="IZ24" s="93"/>
      <c r="JA24" s="93"/>
      <c r="JB24" s="93"/>
      <c r="JC24" s="88"/>
      <c r="JD24" s="93"/>
      <c r="JE24" s="93"/>
      <c r="JF24" s="93"/>
      <c r="JG24" s="94"/>
      <c r="JH24" s="88"/>
      <c r="JI24" s="95"/>
      <c r="JJ24" s="93"/>
      <c r="JK24" s="93"/>
      <c r="JL24" s="94"/>
      <c r="JM24" s="89"/>
      <c r="JN24" s="96"/>
      <c r="JO24" s="84"/>
      <c r="JP24" s="95"/>
      <c r="JQ24" s="93"/>
      <c r="JR24" s="93"/>
      <c r="JS24" s="93"/>
      <c r="JT24" s="93"/>
      <c r="JU24" s="93"/>
      <c r="JV24" s="93"/>
      <c r="JW24" s="93"/>
      <c r="JX24" s="93"/>
      <c r="JY24" s="93"/>
      <c r="JZ24" s="93"/>
      <c r="KA24" s="93"/>
      <c r="KB24" s="93"/>
      <c r="KC24" s="93"/>
      <c r="KD24" s="93"/>
      <c r="KE24" s="93"/>
      <c r="KF24" s="93"/>
      <c r="KG24" s="93"/>
      <c r="KH24" s="93"/>
      <c r="KI24" s="93"/>
      <c r="KJ24" s="93"/>
      <c r="KK24" s="93"/>
      <c r="KL24" s="93"/>
      <c r="KM24" s="93"/>
      <c r="KN24" s="93"/>
      <c r="KO24" s="93"/>
      <c r="KP24" s="93"/>
      <c r="KQ24" s="93"/>
      <c r="KR24" s="93"/>
      <c r="KS24" s="93"/>
      <c r="KT24" s="93"/>
      <c r="KU24" s="93"/>
      <c r="KV24" s="93"/>
      <c r="KW24" s="93"/>
      <c r="KX24" s="93"/>
      <c r="KY24" s="93"/>
      <c r="KZ24" s="93"/>
      <c r="LA24" s="93"/>
      <c r="LB24" s="93"/>
      <c r="LC24" s="93"/>
      <c r="LD24" s="93"/>
      <c r="LE24" s="93"/>
      <c r="LF24" s="93"/>
      <c r="LG24" s="93"/>
      <c r="LH24" s="93"/>
      <c r="LI24" s="93"/>
      <c r="LJ24" s="93"/>
      <c r="LK24" s="93"/>
      <c r="LL24" s="93"/>
      <c r="LM24" s="93"/>
      <c r="LN24" s="93"/>
      <c r="LO24" s="93"/>
      <c r="LP24" s="93"/>
      <c r="LQ24" s="93"/>
      <c r="LR24" s="93"/>
      <c r="LS24" s="93"/>
      <c r="LT24" s="93"/>
      <c r="LU24" s="93"/>
      <c r="LV24" s="93"/>
      <c r="LW24" s="93"/>
      <c r="LX24" s="93"/>
      <c r="LY24" s="93"/>
      <c r="LZ24" s="93"/>
      <c r="MA24" s="93"/>
      <c r="MB24" s="93"/>
      <c r="MC24" s="93"/>
      <c r="MD24" s="93"/>
      <c r="ME24" s="93"/>
      <c r="MF24" s="93"/>
      <c r="MG24" s="93"/>
      <c r="MH24" s="93"/>
      <c r="MI24" s="93"/>
      <c r="MJ24" s="93"/>
      <c r="MK24" s="93"/>
      <c r="ML24" s="93"/>
      <c r="MM24" s="93"/>
      <c r="MN24" s="93"/>
      <c r="MO24" s="93"/>
      <c r="MP24" s="93"/>
      <c r="MQ24" s="93"/>
      <c r="MR24" s="93"/>
      <c r="MS24" s="93"/>
      <c r="MT24" s="93"/>
      <c r="MU24" s="93"/>
      <c r="MV24" s="93"/>
      <c r="MW24" s="93"/>
      <c r="MX24" s="93"/>
      <c r="MY24" s="93"/>
      <c r="MZ24" s="93"/>
      <c r="NA24" s="93"/>
      <c r="NB24" s="93"/>
      <c r="NC24" s="93"/>
      <c r="ND24" s="93"/>
      <c r="NE24" s="93"/>
      <c r="NF24" s="93"/>
      <c r="NG24" s="93"/>
      <c r="NH24" s="93"/>
      <c r="NI24" s="93"/>
      <c r="NJ24" s="93"/>
      <c r="NK24" s="93"/>
      <c r="NL24" s="93"/>
      <c r="NM24" s="93"/>
      <c r="NN24" s="93"/>
      <c r="NO24" s="93"/>
      <c r="NP24" s="93"/>
      <c r="NQ24" s="93"/>
      <c r="NR24" s="93"/>
      <c r="NS24" s="93"/>
      <c r="NT24" s="93"/>
      <c r="NU24" s="93"/>
      <c r="NV24" s="93"/>
      <c r="NW24" s="93"/>
      <c r="NX24" s="93"/>
      <c r="NY24" s="93"/>
      <c r="NZ24" s="93"/>
    </row>
    <row r="25" spans="1:390" ht="15.75" customHeight="1" x14ac:dyDescent="0.3">
      <c r="A25" s="98">
        <v>4822303500</v>
      </c>
      <c r="B25" s="182" t="s">
        <v>392</v>
      </c>
      <c r="C25" s="84" t="s">
        <v>393</v>
      </c>
      <c r="D25" s="87" t="s">
        <v>392</v>
      </c>
      <c r="E25" s="93" t="s">
        <v>681</v>
      </c>
      <c r="F25" s="93" t="s">
        <v>682</v>
      </c>
      <c r="G25" s="93" t="s">
        <v>494</v>
      </c>
      <c r="H25" s="101">
        <v>44117</v>
      </c>
      <c r="I25" s="92" t="s">
        <v>683</v>
      </c>
      <c r="J25" s="92" t="s">
        <v>684</v>
      </c>
      <c r="K25" s="93" t="s">
        <v>399</v>
      </c>
      <c r="L25" s="93" t="s">
        <v>399</v>
      </c>
      <c r="M25" s="93" t="s">
        <v>399</v>
      </c>
      <c r="N25" s="93" t="s">
        <v>399</v>
      </c>
      <c r="O25" s="93" t="s">
        <v>399</v>
      </c>
      <c r="P25" s="194" t="s">
        <v>399</v>
      </c>
      <c r="Q25" s="84" t="s">
        <v>399</v>
      </c>
      <c r="R25" s="197" t="s">
        <v>399</v>
      </c>
      <c r="S25" s="197" t="s">
        <v>399</v>
      </c>
      <c r="T25" s="197" t="s">
        <v>399</v>
      </c>
      <c r="U25" s="198" t="s">
        <v>399</v>
      </c>
      <c r="V25" s="84" t="s">
        <v>399</v>
      </c>
      <c r="W25" s="197" t="s">
        <v>399</v>
      </c>
      <c r="X25" s="197" t="s">
        <v>399</v>
      </c>
      <c r="Y25" s="197" t="s">
        <v>399</v>
      </c>
      <c r="Z25" s="198" t="s">
        <v>399</v>
      </c>
      <c r="AA25" s="84" t="s">
        <v>399</v>
      </c>
      <c r="AB25" s="199" t="s">
        <v>400</v>
      </c>
      <c r="AC25" s="193">
        <v>21755</v>
      </c>
      <c r="AD25" s="194">
        <v>44117</v>
      </c>
      <c r="AE25" s="86">
        <f t="shared" si="0"/>
        <v>61</v>
      </c>
      <c r="AF25" s="108" t="s">
        <v>648</v>
      </c>
      <c r="AG25" s="84" t="s">
        <v>402</v>
      </c>
      <c r="AH25" s="87" t="s">
        <v>403</v>
      </c>
      <c r="AI25" s="235" t="s">
        <v>404</v>
      </c>
      <c r="AJ25" s="85">
        <v>0</v>
      </c>
      <c r="AK25" s="85" t="s">
        <v>405</v>
      </c>
      <c r="AL25" s="109">
        <v>0</v>
      </c>
      <c r="AM25" s="237" t="s">
        <v>406</v>
      </c>
      <c r="AN25" s="195">
        <v>1</v>
      </c>
      <c r="AO25" s="83" t="s">
        <v>399</v>
      </c>
      <c r="AP25" s="88"/>
      <c r="AQ25" s="95"/>
      <c r="AR25" s="88"/>
      <c r="AS25" s="93"/>
      <c r="AT25" s="93"/>
      <c r="AU25" s="93"/>
      <c r="AV25" s="93"/>
      <c r="AW25" s="88"/>
      <c r="AX25" s="93"/>
      <c r="AY25" s="93"/>
      <c r="AZ25" s="93"/>
      <c r="BA25" s="93"/>
      <c r="BB25" s="88"/>
      <c r="BC25" s="93"/>
      <c r="BD25" s="93"/>
      <c r="BE25" s="93"/>
      <c r="BF25" s="93"/>
      <c r="BG25" s="88"/>
      <c r="BH25" s="93"/>
      <c r="BI25" s="93"/>
      <c r="BJ25" s="93"/>
      <c r="BK25" s="93"/>
      <c r="BL25" s="88"/>
      <c r="BM25" s="93"/>
      <c r="BN25" s="93"/>
      <c r="BO25" s="93"/>
      <c r="BP25" s="93"/>
      <c r="BQ25" s="88"/>
      <c r="BR25" s="93"/>
      <c r="BS25" s="93"/>
      <c r="BT25" s="93"/>
      <c r="BU25" s="93"/>
      <c r="BV25" s="88"/>
      <c r="BW25" s="93"/>
      <c r="BX25" s="93"/>
      <c r="BY25" s="93"/>
      <c r="BZ25" s="93"/>
      <c r="CA25" s="88"/>
      <c r="CB25" s="93"/>
      <c r="CC25" s="93"/>
      <c r="CD25" s="93"/>
      <c r="CE25" s="93"/>
      <c r="CF25" s="88"/>
      <c r="CG25" s="93"/>
      <c r="CH25" s="93"/>
      <c r="CI25" s="93"/>
      <c r="CJ25" s="93"/>
      <c r="CK25" s="88"/>
      <c r="CL25" s="93"/>
      <c r="CM25" s="93"/>
      <c r="CN25" s="93"/>
      <c r="CO25" s="93"/>
      <c r="CP25" s="88"/>
      <c r="CQ25" s="93"/>
      <c r="CR25" s="93"/>
      <c r="CS25" s="93"/>
      <c r="CT25" s="93"/>
      <c r="CU25" s="88"/>
      <c r="CV25" s="93"/>
      <c r="CW25" s="93"/>
      <c r="CX25" s="93"/>
      <c r="CY25" s="93"/>
      <c r="CZ25" s="88"/>
      <c r="DA25" s="93"/>
      <c r="DB25" s="93"/>
      <c r="DC25" s="93"/>
      <c r="DD25" s="93"/>
      <c r="DE25" s="88"/>
      <c r="DF25" s="93"/>
      <c r="DG25" s="93"/>
      <c r="DH25" s="93"/>
      <c r="DI25" s="93"/>
      <c r="DJ25" s="88"/>
      <c r="DK25" s="93"/>
      <c r="DL25" s="93"/>
      <c r="DM25" s="93"/>
      <c r="DN25" s="93"/>
      <c r="DO25" s="88"/>
      <c r="DP25" s="93"/>
      <c r="DQ25" s="93"/>
      <c r="DR25" s="93"/>
      <c r="DS25" s="93"/>
      <c r="DT25" s="88"/>
      <c r="DU25" s="93"/>
      <c r="DV25" s="93"/>
      <c r="DW25" s="93"/>
      <c r="DX25" s="93"/>
      <c r="DY25" s="88"/>
      <c r="DZ25" s="93"/>
      <c r="EA25" s="93"/>
      <c r="EB25" s="93"/>
      <c r="EC25" s="93"/>
      <c r="ED25" s="88"/>
      <c r="EE25" s="93"/>
      <c r="EF25" s="93"/>
      <c r="EG25" s="93"/>
      <c r="EH25" s="93"/>
      <c r="EI25" s="88"/>
      <c r="EJ25" s="93"/>
      <c r="EK25" s="93"/>
      <c r="EL25" s="93"/>
      <c r="EM25" s="93"/>
      <c r="EN25" s="88"/>
      <c r="EO25" s="93"/>
      <c r="EP25" s="93"/>
      <c r="EQ25" s="93"/>
      <c r="ER25" s="93"/>
      <c r="ES25" s="88"/>
      <c r="ET25" s="93"/>
      <c r="EU25" s="93"/>
      <c r="EV25" s="93"/>
      <c r="EW25" s="93"/>
      <c r="EX25" s="88"/>
      <c r="EY25" s="93"/>
      <c r="EZ25" s="93"/>
      <c r="FA25" s="93"/>
      <c r="FB25" s="93"/>
      <c r="FC25" s="88"/>
      <c r="FD25" s="93"/>
      <c r="FE25" s="93"/>
      <c r="FF25" s="93"/>
      <c r="FG25" s="93"/>
      <c r="FH25" s="88"/>
      <c r="FI25" s="93"/>
      <c r="FJ25" s="93"/>
      <c r="FK25" s="93"/>
      <c r="FL25" s="93"/>
      <c r="FM25" s="93"/>
      <c r="FN25" s="93"/>
      <c r="FO25" s="93"/>
      <c r="FP25" s="93"/>
      <c r="FQ25" s="93"/>
      <c r="FR25" s="93"/>
      <c r="FS25" s="93"/>
      <c r="FT25" s="93"/>
      <c r="FU25" s="93"/>
      <c r="FV25" s="93"/>
      <c r="FW25" s="93"/>
      <c r="FX25" s="93"/>
      <c r="FY25" s="93"/>
      <c r="FZ25" s="93"/>
      <c r="GA25" s="93"/>
      <c r="GB25" s="93"/>
      <c r="GC25" s="93"/>
      <c r="GD25" s="93"/>
      <c r="GE25" s="93"/>
      <c r="GF25" s="93"/>
      <c r="GG25" s="93"/>
      <c r="GH25" s="93"/>
      <c r="GI25" s="93"/>
      <c r="GJ25" s="93"/>
      <c r="GK25" s="93"/>
      <c r="GL25" s="93"/>
      <c r="GM25" s="93"/>
      <c r="GN25" s="93"/>
      <c r="GO25" s="93"/>
      <c r="GP25" s="88"/>
      <c r="GQ25" s="93"/>
      <c r="GR25" s="93"/>
      <c r="GS25" s="93"/>
      <c r="GT25" s="93"/>
      <c r="GU25" s="88"/>
      <c r="GV25" s="93"/>
      <c r="GW25" s="93"/>
      <c r="GX25" s="93"/>
      <c r="GY25" s="93"/>
      <c r="GZ25" s="88"/>
      <c r="HA25" s="93"/>
      <c r="HB25" s="93"/>
      <c r="HC25" s="93"/>
      <c r="HD25" s="93"/>
      <c r="HE25" s="88"/>
      <c r="HF25" s="93"/>
      <c r="HG25" s="93"/>
      <c r="HH25" s="93"/>
      <c r="HI25" s="93"/>
      <c r="HJ25" s="88"/>
      <c r="HK25" s="93"/>
      <c r="HL25" s="93"/>
      <c r="HM25" s="93"/>
      <c r="HN25" s="93"/>
      <c r="HO25" s="88"/>
      <c r="HP25" s="93"/>
      <c r="HQ25" s="93"/>
      <c r="HR25" s="93"/>
      <c r="HS25" s="93"/>
      <c r="HT25" s="88"/>
      <c r="HU25" s="93"/>
      <c r="HV25" s="93"/>
      <c r="HW25" s="93"/>
      <c r="HX25" s="93"/>
      <c r="HY25" s="88"/>
      <c r="HZ25" s="93"/>
      <c r="IA25" s="93"/>
      <c r="IB25" s="93"/>
      <c r="IC25" s="93"/>
      <c r="ID25" s="88"/>
      <c r="IE25" s="93"/>
      <c r="IF25" s="93"/>
      <c r="IG25" s="93"/>
      <c r="IH25" s="93"/>
      <c r="II25" s="88"/>
      <c r="IJ25" s="93"/>
      <c r="IK25" s="93"/>
      <c r="IL25" s="93"/>
      <c r="IM25" s="93"/>
      <c r="IN25" s="88"/>
      <c r="IO25" s="93"/>
      <c r="IP25" s="93"/>
      <c r="IQ25" s="93"/>
      <c r="IR25" s="93"/>
      <c r="IS25" s="88"/>
      <c r="IT25" s="93"/>
      <c r="IU25" s="93"/>
      <c r="IV25" s="93"/>
      <c r="IW25" s="93"/>
      <c r="IX25" s="88"/>
      <c r="IY25" s="93"/>
      <c r="IZ25" s="93"/>
      <c r="JA25" s="93"/>
      <c r="JB25" s="93"/>
      <c r="JC25" s="88"/>
      <c r="JD25" s="93"/>
      <c r="JE25" s="93"/>
      <c r="JF25" s="93"/>
      <c r="JG25" s="94"/>
      <c r="JH25" s="88"/>
      <c r="JI25" s="95"/>
      <c r="JJ25" s="93"/>
      <c r="JK25" s="93"/>
      <c r="JL25" s="94"/>
      <c r="JM25" s="89"/>
      <c r="JN25" s="96"/>
      <c r="JO25" s="84"/>
      <c r="JP25" s="95"/>
      <c r="JQ25" s="93"/>
      <c r="JR25" s="93"/>
      <c r="JS25" s="93"/>
      <c r="JT25" s="93"/>
      <c r="JU25" s="93"/>
      <c r="JV25" s="93"/>
      <c r="JW25" s="93"/>
      <c r="JX25" s="93"/>
      <c r="JY25" s="93"/>
      <c r="JZ25" s="93"/>
      <c r="KA25" s="93"/>
      <c r="KB25" s="93"/>
      <c r="KC25" s="93"/>
      <c r="KD25" s="93"/>
      <c r="KE25" s="93"/>
      <c r="KF25" s="93"/>
      <c r="KG25" s="93"/>
      <c r="KH25" s="93"/>
      <c r="KI25" s="93"/>
      <c r="KJ25" s="93"/>
      <c r="KK25" s="93"/>
      <c r="KL25" s="93"/>
      <c r="KM25" s="93"/>
      <c r="KN25" s="93"/>
      <c r="KO25" s="93"/>
      <c r="KP25" s="93"/>
      <c r="KQ25" s="93"/>
      <c r="KR25" s="93"/>
      <c r="KS25" s="93"/>
      <c r="KT25" s="93"/>
      <c r="KU25" s="93"/>
      <c r="KV25" s="93"/>
      <c r="KW25" s="93"/>
      <c r="KX25" s="93"/>
      <c r="KY25" s="93"/>
      <c r="KZ25" s="93"/>
      <c r="LA25" s="93"/>
      <c r="LB25" s="93"/>
      <c r="LC25" s="93"/>
      <c r="LD25" s="93"/>
      <c r="LE25" s="93"/>
      <c r="LF25" s="93"/>
      <c r="LG25" s="93"/>
      <c r="LH25" s="93"/>
      <c r="LI25" s="93"/>
      <c r="LJ25" s="93"/>
      <c r="LK25" s="93"/>
      <c r="LL25" s="93"/>
      <c r="LM25" s="93"/>
      <c r="LN25" s="93"/>
      <c r="LO25" s="93"/>
      <c r="LP25" s="93"/>
      <c r="LQ25" s="93"/>
      <c r="LR25" s="93"/>
      <c r="LS25" s="93"/>
      <c r="LT25" s="93"/>
      <c r="LU25" s="93"/>
      <c r="LV25" s="93"/>
      <c r="LW25" s="93"/>
      <c r="LX25" s="93"/>
      <c r="LY25" s="93"/>
      <c r="LZ25" s="93"/>
      <c r="MA25" s="93"/>
      <c r="MB25" s="93"/>
      <c r="MC25" s="93"/>
      <c r="MD25" s="93"/>
      <c r="ME25" s="93"/>
      <c r="MF25" s="93"/>
      <c r="MG25" s="93"/>
      <c r="MH25" s="93"/>
      <c r="MI25" s="93"/>
      <c r="MJ25" s="93"/>
      <c r="MK25" s="93"/>
      <c r="ML25" s="93"/>
      <c r="MM25" s="93"/>
      <c r="MN25" s="93"/>
      <c r="MO25" s="93"/>
      <c r="MP25" s="93"/>
      <c r="MQ25" s="93"/>
      <c r="MR25" s="93"/>
      <c r="MS25" s="93"/>
      <c r="MT25" s="93"/>
      <c r="MU25" s="93"/>
      <c r="MV25" s="93"/>
      <c r="MW25" s="93"/>
      <c r="MX25" s="93"/>
      <c r="MY25" s="93"/>
      <c r="MZ25" s="93"/>
      <c r="NA25" s="93"/>
      <c r="NB25" s="93"/>
      <c r="NC25" s="93"/>
      <c r="ND25" s="93"/>
      <c r="NE25" s="93"/>
      <c r="NF25" s="93"/>
      <c r="NG25" s="93"/>
      <c r="NH25" s="93"/>
      <c r="NI25" s="93"/>
      <c r="NJ25" s="93"/>
      <c r="NK25" s="93"/>
      <c r="NL25" s="93"/>
      <c r="NM25" s="93"/>
      <c r="NN25" s="93"/>
      <c r="NO25" s="93"/>
      <c r="NP25" s="93"/>
      <c r="NQ25" s="93"/>
      <c r="NR25" s="93"/>
      <c r="NS25" s="93"/>
      <c r="NT25" s="93"/>
      <c r="NU25" s="93"/>
      <c r="NV25" s="93"/>
      <c r="NW25" s="93"/>
      <c r="NX25" s="93"/>
      <c r="NY25" s="93"/>
      <c r="NZ25" s="93"/>
    </row>
    <row r="26" spans="1:390" ht="15.75" customHeight="1" x14ac:dyDescent="0.3">
      <c r="A26" s="98">
        <v>4387643676</v>
      </c>
      <c r="B26" s="182" t="s">
        <v>392</v>
      </c>
      <c r="C26" s="84" t="s">
        <v>393</v>
      </c>
      <c r="D26" s="87" t="s">
        <v>392</v>
      </c>
      <c r="E26" s="93" t="s">
        <v>685</v>
      </c>
      <c r="F26" s="93" t="s">
        <v>425</v>
      </c>
      <c r="G26" s="93" t="s">
        <v>426</v>
      </c>
      <c r="H26" s="101">
        <v>44260</v>
      </c>
      <c r="I26" s="92" t="s">
        <v>686</v>
      </c>
      <c r="J26" s="234" t="s">
        <v>398</v>
      </c>
      <c r="K26" s="93" t="s">
        <v>399</v>
      </c>
      <c r="L26" s="93" t="s">
        <v>399</v>
      </c>
      <c r="M26" s="93" t="s">
        <v>399</v>
      </c>
      <c r="N26" s="93" t="s">
        <v>399</v>
      </c>
      <c r="O26" s="93" t="s">
        <v>399</v>
      </c>
      <c r="P26" s="194" t="s">
        <v>399</v>
      </c>
      <c r="Q26" s="84" t="s">
        <v>399</v>
      </c>
      <c r="R26" s="197" t="s">
        <v>399</v>
      </c>
      <c r="S26" s="197" t="s">
        <v>399</v>
      </c>
      <c r="T26" s="197" t="s">
        <v>399</v>
      </c>
      <c r="U26" s="198" t="s">
        <v>399</v>
      </c>
      <c r="V26" s="84" t="s">
        <v>399</v>
      </c>
      <c r="W26" s="197" t="s">
        <v>399</v>
      </c>
      <c r="X26" s="197" t="s">
        <v>399</v>
      </c>
      <c r="Y26" s="197" t="s">
        <v>399</v>
      </c>
      <c r="Z26" s="198" t="s">
        <v>399</v>
      </c>
      <c r="AA26" s="84" t="s">
        <v>399</v>
      </c>
      <c r="AB26" s="199" t="s">
        <v>400</v>
      </c>
      <c r="AC26" s="193">
        <v>15518</v>
      </c>
      <c r="AD26" s="194">
        <v>44235</v>
      </c>
      <c r="AE26" s="86">
        <f t="shared" si="0"/>
        <v>78</v>
      </c>
      <c r="AF26" s="108" t="s">
        <v>648</v>
      </c>
      <c r="AG26" s="84" t="s">
        <v>402</v>
      </c>
      <c r="AH26" s="87" t="s">
        <v>392</v>
      </c>
      <c r="AI26" s="235">
        <v>2</v>
      </c>
      <c r="AJ26" s="85">
        <v>0</v>
      </c>
      <c r="AK26" s="85" t="s">
        <v>405</v>
      </c>
      <c r="AL26" s="109">
        <v>0</v>
      </c>
      <c r="AM26" s="237" t="s">
        <v>423</v>
      </c>
      <c r="AN26" s="195">
        <v>2</v>
      </c>
      <c r="AO26" s="83" t="s">
        <v>399</v>
      </c>
      <c r="AP26" s="88"/>
      <c r="AQ26" s="95"/>
      <c r="AR26" s="88"/>
      <c r="AS26" s="93"/>
      <c r="AT26" s="93"/>
      <c r="AU26" s="93"/>
      <c r="AV26" s="93"/>
      <c r="AW26" s="88"/>
      <c r="AX26" s="93"/>
      <c r="AY26" s="93"/>
      <c r="AZ26" s="93"/>
      <c r="BA26" s="93"/>
      <c r="BB26" s="88"/>
      <c r="BC26" s="93"/>
      <c r="BD26" s="93"/>
      <c r="BE26" s="93"/>
      <c r="BF26" s="93"/>
      <c r="BG26" s="88"/>
      <c r="BH26" s="93"/>
      <c r="BI26" s="93"/>
      <c r="BJ26" s="93"/>
      <c r="BK26" s="93"/>
      <c r="BL26" s="88"/>
      <c r="BM26" s="93"/>
      <c r="BN26" s="93"/>
      <c r="BO26" s="93"/>
      <c r="BP26" s="93"/>
      <c r="BQ26" s="88"/>
      <c r="BR26" s="93"/>
      <c r="BS26" s="93"/>
      <c r="BT26" s="93"/>
      <c r="BU26" s="93"/>
      <c r="BV26" s="88"/>
      <c r="BW26" s="93"/>
      <c r="BX26" s="93"/>
      <c r="BY26" s="93"/>
      <c r="BZ26" s="93"/>
      <c r="CA26" s="88"/>
      <c r="CB26" s="93"/>
      <c r="CC26" s="93"/>
      <c r="CD26" s="93"/>
      <c r="CE26" s="93"/>
      <c r="CF26" s="88"/>
      <c r="CG26" s="93"/>
      <c r="CH26" s="93"/>
      <c r="CI26" s="93"/>
      <c r="CJ26" s="93"/>
      <c r="CK26" s="88"/>
      <c r="CL26" s="93"/>
      <c r="CM26" s="93"/>
      <c r="CN26" s="93"/>
      <c r="CO26" s="93"/>
      <c r="CP26" s="88"/>
      <c r="CQ26" s="93"/>
      <c r="CR26" s="93"/>
      <c r="CS26" s="93"/>
      <c r="CT26" s="93"/>
      <c r="CU26" s="88"/>
      <c r="CV26" s="93"/>
      <c r="CW26" s="93"/>
      <c r="CX26" s="93"/>
      <c r="CY26" s="93"/>
      <c r="CZ26" s="88"/>
      <c r="DA26" s="93"/>
      <c r="DB26" s="93"/>
      <c r="DC26" s="93"/>
      <c r="DD26" s="93"/>
      <c r="DE26" s="88"/>
      <c r="DF26" s="93"/>
      <c r="DG26" s="93"/>
      <c r="DH26" s="93"/>
      <c r="DI26" s="93"/>
      <c r="DJ26" s="88"/>
      <c r="DK26" s="93"/>
      <c r="DL26" s="93"/>
      <c r="DM26" s="93"/>
      <c r="DN26" s="93"/>
      <c r="DO26" s="88"/>
      <c r="DP26" s="93"/>
      <c r="DQ26" s="93"/>
      <c r="DR26" s="93"/>
      <c r="DS26" s="93"/>
      <c r="DT26" s="88"/>
      <c r="DU26" s="93"/>
      <c r="DV26" s="93"/>
      <c r="DW26" s="93"/>
      <c r="DX26" s="93"/>
      <c r="DY26" s="88"/>
      <c r="DZ26" s="93"/>
      <c r="EA26" s="93"/>
      <c r="EB26" s="93"/>
      <c r="EC26" s="93"/>
      <c r="ED26" s="88"/>
      <c r="EE26" s="93"/>
      <c r="EF26" s="93"/>
      <c r="EG26" s="93"/>
      <c r="EH26" s="93"/>
      <c r="EI26" s="88"/>
      <c r="EJ26" s="93"/>
      <c r="EK26" s="93"/>
      <c r="EL26" s="93"/>
      <c r="EM26" s="93"/>
      <c r="EN26" s="88"/>
      <c r="EO26" s="93"/>
      <c r="EP26" s="93"/>
      <c r="EQ26" s="93"/>
      <c r="ER26" s="93"/>
      <c r="ES26" s="88"/>
      <c r="ET26" s="93"/>
      <c r="EU26" s="93"/>
      <c r="EV26" s="93"/>
      <c r="EW26" s="93"/>
      <c r="EX26" s="88"/>
      <c r="EY26" s="93"/>
      <c r="EZ26" s="93"/>
      <c r="FA26" s="93"/>
      <c r="FB26" s="93"/>
      <c r="FC26" s="88"/>
      <c r="FD26" s="93"/>
      <c r="FE26" s="93"/>
      <c r="FF26" s="93"/>
      <c r="FG26" s="93"/>
      <c r="FH26" s="88"/>
      <c r="FI26" s="93"/>
      <c r="FJ26" s="93"/>
      <c r="FK26" s="93"/>
      <c r="FL26" s="93"/>
      <c r="FM26" s="93"/>
      <c r="FN26" s="93"/>
      <c r="FO26" s="93"/>
      <c r="FP26" s="93"/>
      <c r="FQ26" s="93"/>
      <c r="FR26" s="93"/>
      <c r="FS26" s="93"/>
      <c r="FT26" s="93"/>
      <c r="FU26" s="93"/>
      <c r="FV26" s="93"/>
      <c r="FW26" s="93"/>
      <c r="FX26" s="93"/>
      <c r="FY26" s="93"/>
      <c r="FZ26" s="93"/>
      <c r="GA26" s="93"/>
      <c r="GB26" s="93"/>
      <c r="GC26" s="93"/>
      <c r="GD26" s="93"/>
      <c r="GE26" s="93"/>
      <c r="GF26" s="93"/>
      <c r="GG26" s="93"/>
      <c r="GH26" s="93"/>
      <c r="GI26" s="93"/>
      <c r="GJ26" s="93"/>
      <c r="GK26" s="93"/>
      <c r="GL26" s="93"/>
      <c r="GM26" s="93"/>
      <c r="GN26" s="93"/>
      <c r="GO26" s="93"/>
      <c r="GP26" s="88"/>
      <c r="GQ26" s="93"/>
      <c r="GR26" s="93"/>
      <c r="GS26" s="93"/>
      <c r="GT26" s="93"/>
      <c r="GU26" s="88"/>
      <c r="GV26" s="93"/>
      <c r="GW26" s="93"/>
      <c r="GX26" s="93"/>
      <c r="GY26" s="93"/>
      <c r="GZ26" s="88"/>
      <c r="HA26" s="93"/>
      <c r="HB26" s="93"/>
      <c r="HC26" s="93"/>
      <c r="HD26" s="93"/>
      <c r="HE26" s="88"/>
      <c r="HF26" s="93"/>
      <c r="HG26" s="93"/>
      <c r="HH26" s="93"/>
      <c r="HI26" s="93"/>
      <c r="HJ26" s="88"/>
      <c r="HK26" s="93"/>
      <c r="HL26" s="93"/>
      <c r="HM26" s="93"/>
      <c r="HN26" s="93"/>
      <c r="HO26" s="88"/>
      <c r="HP26" s="93"/>
      <c r="HQ26" s="93"/>
      <c r="HR26" s="93"/>
      <c r="HS26" s="93"/>
      <c r="HT26" s="88"/>
      <c r="HU26" s="93"/>
      <c r="HV26" s="93"/>
      <c r="HW26" s="93"/>
      <c r="HX26" s="93"/>
      <c r="HY26" s="88"/>
      <c r="HZ26" s="93"/>
      <c r="IA26" s="93"/>
      <c r="IB26" s="93"/>
      <c r="IC26" s="93"/>
      <c r="ID26" s="88"/>
      <c r="IE26" s="93"/>
      <c r="IF26" s="93"/>
      <c r="IG26" s="93"/>
      <c r="IH26" s="93"/>
      <c r="II26" s="88"/>
      <c r="IJ26" s="93"/>
      <c r="IK26" s="93"/>
      <c r="IL26" s="93"/>
      <c r="IM26" s="93"/>
      <c r="IN26" s="88"/>
      <c r="IO26" s="93"/>
      <c r="IP26" s="93"/>
      <c r="IQ26" s="93"/>
      <c r="IR26" s="93"/>
      <c r="IS26" s="88"/>
      <c r="IT26" s="93"/>
      <c r="IU26" s="93"/>
      <c r="IV26" s="93"/>
      <c r="IW26" s="93"/>
      <c r="IX26" s="88"/>
      <c r="IY26" s="93"/>
      <c r="IZ26" s="93"/>
      <c r="JA26" s="93"/>
      <c r="JB26" s="93"/>
      <c r="JC26" s="88"/>
      <c r="JD26" s="93"/>
      <c r="JE26" s="93"/>
      <c r="JF26" s="93"/>
      <c r="JG26" s="94"/>
      <c r="JH26" s="88"/>
      <c r="JI26" s="95"/>
      <c r="JJ26" s="93"/>
      <c r="JK26" s="93"/>
      <c r="JL26" s="94"/>
      <c r="JM26" s="89"/>
      <c r="JN26" s="96"/>
      <c r="JO26" s="84"/>
      <c r="JP26" s="95"/>
      <c r="JQ26" s="93"/>
      <c r="JR26" s="93"/>
      <c r="JS26" s="93"/>
      <c r="JT26" s="93"/>
      <c r="JU26" s="93"/>
      <c r="JV26" s="93"/>
      <c r="JW26" s="93"/>
      <c r="JX26" s="93"/>
      <c r="JY26" s="93"/>
      <c r="JZ26" s="93"/>
      <c r="KA26" s="93"/>
      <c r="KB26" s="93"/>
      <c r="KC26" s="93"/>
      <c r="KD26" s="93"/>
      <c r="KE26" s="93"/>
      <c r="KF26" s="93"/>
      <c r="KG26" s="93"/>
      <c r="KH26" s="93"/>
      <c r="KI26" s="93"/>
      <c r="KJ26" s="93"/>
      <c r="KK26" s="93"/>
      <c r="KL26" s="93"/>
      <c r="KM26" s="93"/>
      <c r="KN26" s="93"/>
      <c r="KO26" s="93"/>
      <c r="KP26" s="93"/>
      <c r="KQ26" s="93"/>
      <c r="KR26" s="93"/>
      <c r="KS26" s="93"/>
      <c r="KT26" s="93"/>
      <c r="KU26" s="93"/>
      <c r="KV26" s="93"/>
      <c r="KW26" s="93"/>
      <c r="KX26" s="93"/>
      <c r="KY26" s="93"/>
      <c r="KZ26" s="93"/>
      <c r="LA26" s="93"/>
      <c r="LB26" s="93"/>
      <c r="LC26" s="93"/>
      <c r="LD26" s="93"/>
      <c r="LE26" s="93"/>
      <c r="LF26" s="93"/>
      <c r="LG26" s="93"/>
      <c r="LH26" s="93"/>
      <c r="LI26" s="93"/>
      <c r="LJ26" s="93"/>
      <c r="LK26" s="93"/>
      <c r="LL26" s="93"/>
      <c r="LM26" s="93"/>
      <c r="LN26" s="93"/>
      <c r="LO26" s="93"/>
      <c r="LP26" s="93"/>
      <c r="LQ26" s="93"/>
      <c r="LR26" s="93"/>
      <c r="LS26" s="93"/>
      <c r="LT26" s="93"/>
      <c r="LU26" s="93"/>
      <c r="LV26" s="93"/>
      <c r="LW26" s="93"/>
      <c r="LX26" s="93"/>
      <c r="LY26" s="93"/>
      <c r="LZ26" s="93"/>
      <c r="MA26" s="93"/>
      <c r="MB26" s="93"/>
      <c r="MC26" s="93"/>
      <c r="MD26" s="93"/>
      <c r="ME26" s="93"/>
      <c r="MF26" s="93"/>
      <c r="MG26" s="93"/>
      <c r="MH26" s="93"/>
      <c r="MI26" s="93"/>
      <c r="MJ26" s="93"/>
      <c r="MK26" s="93"/>
      <c r="ML26" s="93"/>
      <c r="MM26" s="93"/>
      <c r="MN26" s="93"/>
      <c r="MO26" s="93"/>
      <c r="MP26" s="93"/>
      <c r="MQ26" s="93"/>
      <c r="MR26" s="93"/>
      <c r="MS26" s="93"/>
      <c r="MT26" s="93"/>
      <c r="MU26" s="93"/>
      <c r="MV26" s="93"/>
      <c r="MW26" s="93"/>
      <c r="MX26" s="93"/>
      <c r="MY26" s="93"/>
      <c r="MZ26" s="93"/>
      <c r="NA26" s="93"/>
      <c r="NB26" s="93"/>
      <c r="NC26" s="93"/>
      <c r="ND26" s="93"/>
      <c r="NE26" s="93"/>
      <c r="NF26" s="93"/>
      <c r="NG26" s="93"/>
      <c r="NH26" s="93"/>
      <c r="NI26" s="93"/>
      <c r="NJ26" s="93"/>
      <c r="NK26" s="93"/>
      <c r="NL26" s="93"/>
      <c r="NM26" s="93"/>
      <c r="NN26" s="93"/>
      <c r="NO26" s="93"/>
      <c r="NP26" s="93"/>
      <c r="NQ26" s="93"/>
      <c r="NR26" s="93"/>
      <c r="NS26" s="93"/>
      <c r="NT26" s="93"/>
      <c r="NU26" s="93"/>
      <c r="NV26" s="93"/>
      <c r="NW26" s="93"/>
      <c r="NX26" s="93"/>
      <c r="NY26" s="93"/>
      <c r="NZ26" s="93"/>
    </row>
    <row r="27" spans="1:390" ht="15.75" customHeight="1" x14ac:dyDescent="0.3">
      <c r="A27" s="98">
        <v>4506130529</v>
      </c>
      <c r="B27" s="182" t="s">
        <v>392</v>
      </c>
      <c r="C27" s="84" t="s">
        <v>393</v>
      </c>
      <c r="D27" s="87" t="s">
        <v>392</v>
      </c>
      <c r="E27" s="93" t="s">
        <v>687</v>
      </c>
      <c r="F27" s="93" t="s">
        <v>449</v>
      </c>
      <c r="G27" s="93" t="s">
        <v>426</v>
      </c>
      <c r="H27" s="101">
        <v>44266</v>
      </c>
      <c r="I27" s="92" t="s">
        <v>668</v>
      </c>
      <c r="J27" s="92" t="s">
        <v>684</v>
      </c>
      <c r="K27" s="93" t="s">
        <v>399</v>
      </c>
      <c r="L27" s="93" t="s">
        <v>399</v>
      </c>
      <c r="M27" s="93" t="s">
        <v>399</v>
      </c>
      <c r="N27" s="93" t="s">
        <v>399</v>
      </c>
      <c r="O27" s="93" t="s">
        <v>399</v>
      </c>
      <c r="P27" s="194" t="s">
        <v>399</v>
      </c>
      <c r="Q27" s="84" t="s">
        <v>399</v>
      </c>
      <c r="R27" s="197" t="s">
        <v>399</v>
      </c>
      <c r="S27" s="197" t="s">
        <v>399</v>
      </c>
      <c r="T27" s="197" t="s">
        <v>399</v>
      </c>
      <c r="U27" s="198" t="s">
        <v>399</v>
      </c>
      <c r="V27" s="84" t="s">
        <v>399</v>
      </c>
      <c r="W27" s="197" t="s">
        <v>399</v>
      </c>
      <c r="X27" s="197" t="s">
        <v>399</v>
      </c>
      <c r="Y27" s="197" t="s">
        <v>399</v>
      </c>
      <c r="Z27" s="198" t="s">
        <v>399</v>
      </c>
      <c r="AA27" s="84" t="s">
        <v>399</v>
      </c>
      <c r="AB27" s="199" t="s">
        <v>400</v>
      </c>
      <c r="AC27" s="193">
        <v>21336</v>
      </c>
      <c r="AD27" s="194">
        <v>44216</v>
      </c>
      <c r="AE27" s="86">
        <f t="shared" si="0"/>
        <v>62</v>
      </c>
      <c r="AF27" s="108" t="s">
        <v>401</v>
      </c>
      <c r="AG27" s="84" t="s">
        <v>402</v>
      </c>
      <c r="AH27" s="87" t="s">
        <v>403</v>
      </c>
      <c r="AI27" s="235" t="s">
        <v>418</v>
      </c>
      <c r="AJ27" s="235" t="s">
        <v>405</v>
      </c>
      <c r="AK27" s="85" t="s">
        <v>405</v>
      </c>
      <c r="AL27" s="109">
        <v>0</v>
      </c>
      <c r="AM27" s="237" t="s">
        <v>419</v>
      </c>
      <c r="AN27" s="195">
        <v>1</v>
      </c>
      <c r="AO27" s="83" t="s">
        <v>399</v>
      </c>
      <c r="AP27" s="88"/>
      <c r="AQ27" s="95"/>
      <c r="AR27" s="88"/>
      <c r="AS27" s="93"/>
      <c r="AT27" s="93"/>
      <c r="AU27" s="93"/>
      <c r="AV27" s="93"/>
      <c r="AW27" s="88"/>
      <c r="AX27" s="93"/>
      <c r="AY27" s="93"/>
      <c r="AZ27" s="93"/>
      <c r="BA27" s="93"/>
      <c r="BB27" s="88"/>
      <c r="BC27" s="93"/>
      <c r="BD27" s="93"/>
      <c r="BE27" s="93"/>
      <c r="BF27" s="93"/>
      <c r="BG27" s="88"/>
      <c r="BH27" s="93"/>
      <c r="BI27" s="93"/>
      <c r="BJ27" s="93"/>
      <c r="BK27" s="93"/>
      <c r="BL27" s="88"/>
      <c r="BM27" s="93"/>
      <c r="BN27" s="93"/>
      <c r="BO27" s="93"/>
      <c r="BP27" s="93"/>
      <c r="BQ27" s="88"/>
      <c r="BR27" s="93"/>
      <c r="BS27" s="93"/>
      <c r="BT27" s="93"/>
      <c r="BU27" s="93"/>
      <c r="BV27" s="88"/>
      <c r="BW27" s="93"/>
      <c r="BX27" s="93"/>
      <c r="BY27" s="93"/>
      <c r="BZ27" s="93"/>
      <c r="CA27" s="88"/>
      <c r="CB27" s="93"/>
      <c r="CC27" s="93"/>
      <c r="CD27" s="93"/>
      <c r="CE27" s="93"/>
      <c r="CF27" s="88"/>
      <c r="CG27" s="93"/>
      <c r="CH27" s="93"/>
      <c r="CI27" s="93"/>
      <c r="CJ27" s="93"/>
      <c r="CK27" s="88"/>
      <c r="CL27" s="93"/>
      <c r="CM27" s="93"/>
      <c r="CN27" s="93"/>
      <c r="CO27" s="93"/>
      <c r="CP27" s="88"/>
      <c r="CQ27" s="93"/>
      <c r="CR27" s="93"/>
      <c r="CS27" s="93"/>
      <c r="CT27" s="93"/>
      <c r="CU27" s="88"/>
      <c r="CV27" s="93"/>
      <c r="CW27" s="93"/>
      <c r="CX27" s="93"/>
      <c r="CY27" s="93"/>
      <c r="CZ27" s="88"/>
      <c r="DA27" s="93"/>
      <c r="DB27" s="93"/>
      <c r="DC27" s="93"/>
      <c r="DD27" s="93"/>
      <c r="DE27" s="88"/>
      <c r="DF27" s="93"/>
      <c r="DG27" s="93"/>
      <c r="DH27" s="93"/>
      <c r="DI27" s="93"/>
      <c r="DJ27" s="88"/>
      <c r="DK27" s="93"/>
      <c r="DL27" s="93"/>
      <c r="DM27" s="93"/>
      <c r="DN27" s="93"/>
      <c r="DO27" s="88"/>
      <c r="DP27" s="93"/>
      <c r="DQ27" s="93"/>
      <c r="DR27" s="93"/>
      <c r="DS27" s="93"/>
      <c r="DT27" s="88"/>
      <c r="DU27" s="93"/>
      <c r="DV27" s="93"/>
      <c r="DW27" s="93"/>
      <c r="DX27" s="93"/>
      <c r="DY27" s="88"/>
      <c r="DZ27" s="93"/>
      <c r="EA27" s="93"/>
      <c r="EB27" s="93"/>
      <c r="EC27" s="93"/>
      <c r="ED27" s="88"/>
      <c r="EE27" s="93"/>
      <c r="EF27" s="93"/>
      <c r="EG27" s="93"/>
      <c r="EH27" s="93"/>
      <c r="EI27" s="88"/>
      <c r="EJ27" s="93"/>
      <c r="EK27" s="93"/>
      <c r="EL27" s="93"/>
      <c r="EM27" s="93"/>
      <c r="EN27" s="88"/>
      <c r="EO27" s="93"/>
      <c r="EP27" s="93"/>
      <c r="EQ27" s="93"/>
      <c r="ER27" s="93"/>
      <c r="ES27" s="88"/>
      <c r="ET27" s="93"/>
      <c r="EU27" s="93"/>
      <c r="EV27" s="93"/>
      <c r="EW27" s="93"/>
      <c r="EX27" s="88"/>
      <c r="EY27" s="93"/>
      <c r="EZ27" s="93"/>
      <c r="FA27" s="93"/>
      <c r="FB27" s="93"/>
      <c r="FC27" s="88"/>
      <c r="FD27" s="93"/>
      <c r="FE27" s="93"/>
      <c r="FF27" s="93"/>
      <c r="FG27" s="93"/>
      <c r="FH27" s="88"/>
      <c r="FI27" s="93"/>
      <c r="FJ27" s="93"/>
      <c r="FK27" s="93"/>
      <c r="FL27" s="93"/>
      <c r="FM27" s="93"/>
      <c r="FN27" s="93"/>
      <c r="FO27" s="93"/>
      <c r="FP27" s="93"/>
      <c r="FQ27" s="93"/>
      <c r="FR27" s="93"/>
      <c r="FS27" s="93"/>
      <c r="FT27" s="93"/>
      <c r="FU27" s="93"/>
      <c r="FV27" s="93"/>
      <c r="FW27" s="93"/>
      <c r="FX27" s="93"/>
      <c r="FY27" s="93"/>
      <c r="FZ27" s="93"/>
      <c r="GA27" s="93"/>
      <c r="GB27" s="93"/>
      <c r="GC27" s="93"/>
      <c r="GD27" s="93"/>
      <c r="GE27" s="93"/>
      <c r="GF27" s="93"/>
      <c r="GG27" s="93"/>
      <c r="GH27" s="93"/>
      <c r="GI27" s="93"/>
      <c r="GJ27" s="93"/>
      <c r="GK27" s="93"/>
      <c r="GL27" s="93"/>
      <c r="GM27" s="93"/>
      <c r="GN27" s="93"/>
      <c r="GO27" s="93"/>
      <c r="GP27" s="88"/>
      <c r="GQ27" s="93"/>
      <c r="GR27" s="93"/>
      <c r="GS27" s="93"/>
      <c r="GT27" s="93"/>
      <c r="GU27" s="88"/>
      <c r="GV27" s="93"/>
      <c r="GW27" s="93"/>
      <c r="GX27" s="93"/>
      <c r="GY27" s="93"/>
      <c r="GZ27" s="88"/>
      <c r="HA27" s="93"/>
      <c r="HB27" s="93"/>
      <c r="HC27" s="93"/>
      <c r="HD27" s="93"/>
      <c r="HE27" s="88"/>
      <c r="HF27" s="93"/>
      <c r="HG27" s="93"/>
      <c r="HH27" s="93"/>
      <c r="HI27" s="93"/>
      <c r="HJ27" s="88"/>
      <c r="HK27" s="93"/>
      <c r="HL27" s="93"/>
      <c r="HM27" s="93"/>
      <c r="HN27" s="93"/>
      <c r="HO27" s="88"/>
      <c r="HP27" s="93"/>
      <c r="HQ27" s="93"/>
      <c r="HR27" s="93"/>
      <c r="HS27" s="93"/>
      <c r="HT27" s="88"/>
      <c r="HU27" s="93"/>
      <c r="HV27" s="93"/>
      <c r="HW27" s="93"/>
      <c r="HX27" s="93"/>
      <c r="HY27" s="88"/>
      <c r="HZ27" s="93"/>
      <c r="IA27" s="93"/>
      <c r="IB27" s="93"/>
      <c r="IC27" s="93"/>
      <c r="ID27" s="88"/>
      <c r="IE27" s="93"/>
      <c r="IF27" s="93"/>
      <c r="IG27" s="93"/>
      <c r="IH27" s="93"/>
      <c r="II27" s="88"/>
      <c r="IJ27" s="93"/>
      <c r="IK27" s="93"/>
      <c r="IL27" s="93"/>
      <c r="IM27" s="93"/>
      <c r="IN27" s="88"/>
      <c r="IO27" s="93"/>
      <c r="IP27" s="93"/>
      <c r="IQ27" s="93"/>
      <c r="IR27" s="93"/>
      <c r="IS27" s="88"/>
      <c r="IT27" s="93"/>
      <c r="IU27" s="93"/>
      <c r="IV27" s="93"/>
      <c r="IW27" s="93"/>
      <c r="IX27" s="88"/>
      <c r="IY27" s="93"/>
      <c r="IZ27" s="93"/>
      <c r="JA27" s="93"/>
      <c r="JB27" s="93"/>
      <c r="JC27" s="88"/>
      <c r="JD27" s="93"/>
      <c r="JE27" s="93"/>
      <c r="JF27" s="93"/>
      <c r="JG27" s="94"/>
      <c r="JH27" s="88"/>
      <c r="JI27" s="95"/>
      <c r="JJ27" s="93"/>
      <c r="JK27" s="93"/>
      <c r="JL27" s="94"/>
      <c r="JM27" s="89"/>
      <c r="JN27" s="96"/>
      <c r="JO27" s="84"/>
      <c r="JP27" s="95"/>
      <c r="JQ27" s="93"/>
      <c r="JR27" s="93"/>
      <c r="JS27" s="93"/>
      <c r="JT27" s="93"/>
      <c r="JU27" s="93"/>
      <c r="JV27" s="93"/>
      <c r="JW27" s="93"/>
      <c r="JX27" s="93"/>
      <c r="JY27" s="93"/>
      <c r="JZ27" s="93"/>
      <c r="KA27" s="93"/>
      <c r="KB27" s="93"/>
      <c r="KC27" s="93"/>
      <c r="KD27" s="93"/>
      <c r="KE27" s="93"/>
      <c r="KF27" s="93"/>
      <c r="KG27" s="93"/>
      <c r="KH27" s="93"/>
      <c r="KI27" s="93"/>
      <c r="KJ27" s="93"/>
      <c r="KK27" s="93"/>
      <c r="KL27" s="93"/>
      <c r="KM27" s="93"/>
      <c r="KN27" s="93"/>
      <c r="KO27" s="93"/>
      <c r="KP27" s="93"/>
      <c r="KQ27" s="93"/>
      <c r="KR27" s="93"/>
      <c r="KS27" s="93"/>
      <c r="KT27" s="93"/>
      <c r="KU27" s="93"/>
      <c r="KV27" s="93"/>
      <c r="KW27" s="93"/>
      <c r="KX27" s="93"/>
      <c r="KY27" s="93"/>
      <c r="KZ27" s="93"/>
      <c r="LA27" s="93"/>
      <c r="LB27" s="93"/>
      <c r="LC27" s="93"/>
      <c r="LD27" s="93"/>
      <c r="LE27" s="93"/>
      <c r="LF27" s="93"/>
      <c r="LG27" s="93"/>
      <c r="LH27" s="93"/>
      <c r="LI27" s="93"/>
      <c r="LJ27" s="93"/>
      <c r="LK27" s="93"/>
      <c r="LL27" s="93"/>
      <c r="LM27" s="93"/>
      <c r="LN27" s="93"/>
      <c r="LO27" s="93"/>
      <c r="LP27" s="93"/>
      <c r="LQ27" s="93"/>
      <c r="LR27" s="93"/>
      <c r="LS27" s="93"/>
      <c r="LT27" s="93"/>
      <c r="LU27" s="93"/>
      <c r="LV27" s="93"/>
      <c r="LW27" s="93"/>
      <c r="LX27" s="93"/>
      <c r="LY27" s="93"/>
      <c r="LZ27" s="93"/>
      <c r="MA27" s="93"/>
      <c r="MB27" s="93"/>
      <c r="MC27" s="93"/>
      <c r="MD27" s="93"/>
      <c r="ME27" s="93"/>
      <c r="MF27" s="93"/>
      <c r="MG27" s="93"/>
      <c r="MH27" s="93"/>
      <c r="MI27" s="93"/>
      <c r="MJ27" s="93"/>
      <c r="MK27" s="93"/>
      <c r="ML27" s="93"/>
      <c r="MM27" s="93"/>
      <c r="MN27" s="93"/>
      <c r="MO27" s="93"/>
      <c r="MP27" s="93"/>
      <c r="MQ27" s="93"/>
      <c r="MR27" s="93"/>
      <c r="MS27" s="93"/>
      <c r="MT27" s="93"/>
      <c r="MU27" s="93"/>
      <c r="MV27" s="93"/>
      <c r="MW27" s="93"/>
      <c r="MX27" s="93"/>
      <c r="MY27" s="93"/>
      <c r="MZ27" s="93"/>
      <c r="NA27" s="93"/>
      <c r="NB27" s="93"/>
      <c r="NC27" s="93"/>
      <c r="ND27" s="93"/>
      <c r="NE27" s="93"/>
      <c r="NF27" s="93"/>
      <c r="NG27" s="93"/>
      <c r="NH27" s="93"/>
      <c r="NI27" s="93"/>
      <c r="NJ27" s="93"/>
      <c r="NK27" s="93"/>
      <c r="NL27" s="93"/>
      <c r="NM27" s="93"/>
      <c r="NN27" s="93"/>
      <c r="NO27" s="93"/>
      <c r="NP27" s="93"/>
      <c r="NQ27" s="93"/>
      <c r="NR27" s="93"/>
      <c r="NS27" s="93"/>
      <c r="NT27" s="93"/>
      <c r="NU27" s="93"/>
      <c r="NV27" s="93"/>
      <c r="NW27" s="93"/>
      <c r="NX27" s="93"/>
      <c r="NY27" s="93"/>
      <c r="NZ27" s="93"/>
    </row>
    <row r="28" spans="1:390" ht="15.75" customHeight="1" x14ac:dyDescent="0.3">
      <c r="A28" s="98">
        <v>4125818207</v>
      </c>
      <c r="B28" s="182" t="s">
        <v>392</v>
      </c>
      <c r="C28" s="84" t="s">
        <v>393</v>
      </c>
      <c r="D28" s="87" t="s">
        <v>392</v>
      </c>
      <c r="E28" s="93" t="s">
        <v>688</v>
      </c>
      <c r="F28" s="93" t="s">
        <v>449</v>
      </c>
      <c r="G28" s="93" t="s">
        <v>689</v>
      </c>
      <c r="H28" s="101">
        <v>44270</v>
      </c>
      <c r="I28" s="92" t="s">
        <v>690</v>
      </c>
      <c r="J28" s="234" t="s">
        <v>398</v>
      </c>
      <c r="K28" s="93" t="s">
        <v>399</v>
      </c>
      <c r="L28" s="93" t="s">
        <v>399</v>
      </c>
      <c r="M28" s="93" t="s">
        <v>399</v>
      </c>
      <c r="N28" s="93" t="s">
        <v>399</v>
      </c>
      <c r="O28" s="93" t="s">
        <v>399</v>
      </c>
      <c r="P28" s="194" t="s">
        <v>399</v>
      </c>
      <c r="Q28" s="84" t="s">
        <v>399</v>
      </c>
      <c r="R28" s="197" t="s">
        <v>399</v>
      </c>
      <c r="S28" s="197" t="s">
        <v>399</v>
      </c>
      <c r="T28" s="197" t="s">
        <v>399</v>
      </c>
      <c r="U28" s="198" t="s">
        <v>399</v>
      </c>
      <c r="V28" s="84" t="s">
        <v>399</v>
      </c>
      <c r="W28" s="197" t="s">
        <v>399</v>
      </c>
      <c r="X28" s="197" t="s">
        <v>399</v>
      </c>
      <c r="Y28" s="197" t="s">
        <v>399</v>
      </c>
      <c r="Z28" s="198" t="s">
        <v>399</v>
      </c>
      <c r="AA28" s="84" t="s">
        <v>399</v>
      </c>
      <c r="AB28" s="199" t="s">
        <v>400</v>
      </c>
      <c r="AC28" s="193">
        <v>23900</v>
      </c>
      <c r="AD28" s="194">
        <v>44210</v>
      </c>
      <c r="AE28" s="86">
        <f t="shared" si="0"/>
        <v>55</v>
      </c>
      <c r="AF28" s="108" t="s">
        <v>435</v>
      </c>
      <c r="AG28" s="84" t="s">
        <v>402</v>
      </c>
      <c r="AH28" s="87" t="s">
        <v>403</v>
      </c>
      <c r="AI28" s="85" t="s">
        <v>404</v>
      </c>
      <c r="AJ28" s="235" t="s">
        <v>405</v>
      </c>
      <c r="AK28" s="85" t="s">
        <v>405</v>
      </c>
      <c r="AL28" s="109">
        <v>0</v>
      </c>
      <c r="AM28" s="84" t="s">
        <v>406</v>
      </c>
      <c r="AN28" s="195">
        <v>1</v>
      </c>
      <c r="AO28" s="83" t="s">
        <v>399</v>
      </c>
      <c r="AP28" s="88"/>
      <c r="AQ28" s="95"/>
      <c r="AR28" s="88"/>
      <c r="AS28" s="93"/>
      <c r="AT28" s="93"/>
      <c r="AU28" s="93"/>
      <c r="AV28" s="93"/>
      <c r="AW28" s="88"/>
      <c r="AX28" s="93"/>
      <c r="AY28" s="93"/>
      <c r="AZ28" s="93"/>
      <c r="BA28" s="93"/>
      <c r="BB28" s="88"/>
      <c r="BC28" s="93"/>
      <c r="BD28" s="93"/>
      <c r="BE28" s="93"/>
      <c r="BF28" s="93"/>
      <c r="BG28" s="88"/>
      <c r="BH28" s="93"/>
      <c r="BI28" s="93"/>
      <c r="BJ28" s="93"/>
      <c r="BK28" s="93"/>
      <c r="BL28" s="88"/>
      <c r="BM28" s="93"/>
      <c r="BN28" s="93"/>
      <c r="BO28" s="93"/>
      <c r="BP28" s="93"/>
      <c r="BQ28" s="88"/>
      <c r="BR28" s="93"/>
      <c r="BS28" s="93"/>
      <c r="BT28" s="93"/>
      <c r="BU28" s="93"/>
      <c r="BV28" s="88"/>
      <c r="BW28" s="93"/>
      <c r="BX28" s="93"/>
      <c r="BY28" s="93"/>
      <c r="BZ28" s="93"/>
      <c r="CA28" s="88"/>
      <c r="CB28" s="93"/>
      <c r="CC28" s="93"/>
      <c r="CD28" s="93"/>
      <c r="CE28" s="93"/>
      <c r="CF28" s="88"/>
      <c r="CG28" s="93"/>
      <c r="CH28" s="93"/>
      <c r="CI28" s="93"/>
      <c r="CJ28" s="93"/>
      <c r="CK28" s="88"/>
      <c r="CL28" s="93"/>
      <c r="CM28" s="93"/>
      <c r="CN28" s="93"/>
      <c r="CO28" s="93"/>
      <c r="CP28" s="88"/>
      <c r="CQ28" s="93"/>
      <c r="CR28" s="93"/>
      <c r="CS28" s="93"/>
      <c r="CT28" s="93"/>
      <c r="CU28" s="88"/>
      <c r="CV28" s="93"/>
      <c r="CW28" s="93"/>
      <c r="CX28" s="93"/>
      <c r="CY28" s="93"/>
      <c r="CZ28" s="88"/>
      <c r="DA28" s="93"/>
      <c r="DB28" s="93"/>
      <c r="DC28" s="93"/>
      <c r="DD28" s="93"/>
      <c r="DE28" s="88"/>
      <c r="DF28" s="93"/>
      <c r="DG28" s="93"/>
      <c r="DH28" s="93"/>
      <c r="DI28" s="93"/>
      <c r="DJ28" s="88"/>
      <c r="DK28" s="93"/>
      <c r="DL28" s="93"/>
      <c r="DM28" s="93"/>
      <c r="DN28" s="93"/>
      <c r="DO28" s="88"/>
      <c r="DP28" s="93"/>
      <c r="DQ28" s="93"/>
      <c r="DR28" s="93"/>
      <c r="DS28" s="93"/>
      <c r="DT28" s="88"/>
      <c r="DU28" s="93"/>
      <c r="DV28" s="93"/>
      <c r="DW28" s="93"/>
      <c r="DX28" s="93"/>
      <c r="DY28" s="88"/>
      <c r="DZ28" s="93"/>
      <c r="EA28" s="93"/>
      <c r="EB28" s="93"/>
      <c r="EC28" s="93"/>
      <c r="ED28" s="88"/>
      <c r="EE28" s="93"/>
      <c r="EF28" s="93"/>
      <c r="EG28" s="93"/>
      <c r="EH28" s="93"/>
      <c r="EI28" s="88"/>
      <c r="EJ28" s="93"/>
      <c r="EK28" s="93"/>
      <c r="EL28" s="93"/>
      <c r="EM28" s="93"/>
      <c r="EN28" s="88"/>
      <c r="EO28" s="93"/>
      <c r="EP28" s="93"/>
      <c r="EQ28" s="93"/>
      <c r="ER28" s="93"/>
      <c r="ES28" s="88"/>
      <c r="ET28" s="93"/>
      <c r="EU28" s="93"/>
      <c r="EV28" s="93"/>
      <c r="EW28" s="93"/>
      <c r="EX28" s="88"/>
      <c r="EY28" s="93"/>
      <c r="EZ28" s="93"/>
      <c r="FA28" s="93"/>
      <c r="FB28" s="93"/>
      <c r="FC28" s="88"/>
      <c r="FD28" s="93"/>
      <c r="FE28" s="93"/>
      <c r="FF28" s="93"/>
      <c r="FG28" s="93"/>
      <c r="FH28" s="88"/>
      <c r="FI28" s="93"/>
      <c r="FJ28" s="93"/>
      <c r="FK28" s="93"/>
      <c r="FL28" s="93"/>
      <c r="FM28" s="93"/>
      <c r="FN28" s="93"/>
      <c r="FO28" s="93"/>
      <c r="FP28" s="93"/>
      <c r="FQ28" s="93"/>
      <c r="FR28" s="93"/>
      <c r="FS28" s="93"/>
      <c r="FT28" s="93"/>
      <c r="FU28" s="93"/>
      <c r="FV28" s="93"/>
      <c r="FW28" s="93"/>
      <c r="FX28" s="93"/>
      <c r="FY28" s="93"/>
      <c r="FZ28" s="93"/>
      <c r="GA28" s="93"/>
      <c r="GB28" s="93"/>
      <c r="GC28" s="93"/>
      <c r="GD28" s="93"/>
      <c r="GE28" s="93"/>
      <c r="GF28" s="93"/>
      <c r="GG28" s="93"/>
      <c r="GH28" s="93"/>
      <c r="GI28" s="93"/>
      <c r="GJ28" s="93"/>
      <c r="GK28" s="93"/>
      <c r="GL28" s="93"/>
      <c r="GM28" s="93"/>
      <c r="GN28" s="93"/>
      <c r="GO28" s="93"/>
      <c r="GP28" s="88"/>
      <c r="GQ28" s="93"/>
      <c r="GR28" s="93"/>
      <c r="GS28" s="93"/>
      <c r="GT28" s="93"/>
      <c r="GU28" s="88"/>
      <c r="GV28" s="93"/>
      <c r="GW28" s="93"/>
      <c r="GX28" s="93"/>
      <c r="GY28" s="93"/>
      <c r="GZ28" s="88"/>
      <c r="HA28" s="93"/>
      <c r="HB28" s="93"/>
      <c r="HC28" s="93"/>
      <c r="HD28" s="93"/>
      <c r="HE28" s="88"/>
      <c r="HF28" s="93"/>
      <c r="HG28" s="93"/>
      <c r="HH28" s="93"/>
      <c r="HI28" s="93"/>
      <c r="HJ28" s="88"/>
      <c r="HK28" s="93"/>
      <c r="HL28" s="93"/>
      <c r="HM28" s="93"/>
      <c r="HN28" s="93"/>
      <c r="HO28" s="88"/>
      <c r="HP28" s="93"/>
      <c r="HQ28" s="93"/>
      <c r="HR28" s="93"/>
      <c r="HS28" s="93"/>
      <c r="HT28" s="88"/>
      <c r="HU28" s="93"/>
      <c r="HV28" s="93"/>
      <c r="HW28" s="93"/>
      <c r="HX28" s="93"/>
      <c r="HY28" s="88"/>
      <c r="HZ28" s="93"/>
      <c r="IA28" s="93"/>
      <c r="IB28" s="93"/>
      <c r="IC28" s="93"/>
      <c r="ID28" s="88"/>
      <c r="IE28" s="93"/>
      <c r="IF28" s="93"/>
      <c r="IG28" s="93"/>
      <c r="IH28" s="93"/>
      <c r="II28" s="88"/>
      <c r="IJ28" s="93"/>
      <c r="IK28" s="93"/>
      <c r="IL28" s="93"/>
      <c r="IM28" s="93"/>
      <c r="IN28" s="88"/>
      <c r="IO28" s="93"/>
      <c r="IP28" s="93"/>
      <c r="IQ28" s="93"/>
      <c r="IR28" s="93"/>
      <c r="IS28" s="88"/>
      <c r="IT28" s="93"/>
      <c r="IU28" s="93"/>
      <c r="IV28" s="93"/>
      <c r="IW28" s="93"/>
      <c r="IX28" s="88"/>
      <c r="IY28" s="93"/>
      <c r="IZ28" s="93"/>
      <c r="JA28" s="93"/>
      <c r="JB28" s="93"/>
      <c r="JC28" s="88"/>
      <c r="JD28" s="93"/>
      <c r="JE28" s="93"/>
      <c r="JF28" s="93"/>
      <c r="JG28" s="94"/>
      <c r="JH28" s="88"/>
      <c r="JI28" s="95"/>
      <c r="JJ28" s="93"/>
      <c r="JK28" s="93"/>
      <c r="JL28" s="94"/>
      <c r="JM28" s="89"/>
      <c r="JN28" s="96"/>
      <c r="JO28" s="84"/>
      <c r="JP28" s="95"/>
      <c r="JQ28" s="93"/>
      <c r="JR28" s="93"/>
      <c r="JS28" s="93"/>
      <c r="JT28" s="93"/>
      <c r="JU28" s="93"/>
      <c r="JV28" s="93"/>
      <c r="JW28" s="93"/>
      <c r="JX28" s="93"/>
      <c r="JY28" s="93"/>
      <c r="JZ28" s="93"/>
      <c r="KA28" s="93"/>
      <c r="KB28" s="93"/>
      <c r="KC28" s="93"/>
      <c r="KD28" s="93"/>
      <c r="KE28" s="93"/>
      <c r="KF28" s="93"/>
      <c r="KG28" s="93"/>
      <c r="KH28" s="93"/>
      <c r="KI28" s="93"/>
      <c r="KJ28" s="93"/>
      <c r="KK28" s="93"/>
      <c r="KL28" s="93"/>
      <c r="KM28" s="93"/>
      <c r="KN28" s="93"/>
      <c r="KO28" s="93"/>
      <c r="KP28" s="93"/>
      <c r="KQ28" s="93"/>
      <c r="KR28" s="93"/>
      <c r="KS28" s="93"/>
      <c r="KT28" s="93"/>
      <c r="KU28" s="93"/>
      <c r="KV28" s="93"/>
      <c r="KW28" s="93"/>
      <c r="KX28" s="93"/>
      <c r="KY28" s="93"/>
      <c r="KZ28" s="93"/>
      <c r="LA28" s="93"/>
      <c r="LB28" s="93"/>
      <c r="LC28" s="93"/>
      <c r="LD28" s="93"/>
      <c r="LE28" s="93"/>
      <c r="LF28" s="93"/>
      <c r="LG28" s="93"/>
      <c r="LH28" s="93"/>
      <c r="LI28" s="93"/>
      <c r="LJ28" s="93"/>
      <c r="LK28" s="93"/>
      <c r="LL28" s="93"/>
      <c r="LM28" s="93"/>
      <c r="LN28" s="93"/>
      <c r="LO28" s="93"/>
      <c r="LP28" s="93"/>
      <c r="LQ28" s="93"/>
      <c r="LR28" s="93"/>
      <c r="LS28" s="93"/>
      <c r="LT28" s="93"/>
      <c r="LU28" s="93"/>
      <c r="LV28" s="93"/>
      <c r="LW28" s="93"/>
      <c r="LX28" s="93"/>
      <c r="LY28" s="93"/>
      <c r="LZ28" s="93"/>
      <c r="MA28" s="93"/>
      <c r="MB28" s="93"/>
      <c r="MC28" s="93"/>
      <c r="MD28" s="93"/>
      <c r="ME28" s="93"/>
      <c r="MF28" s="93"/>
      <c r="MG28" s="93"/>
      <c r="MH28" s="93"/>
      <c r="MI28" s="93"/>
      <c r="MJ28" s="93"/>
      <c r="MK28" s="93"/>
      <c r="ML28" s="93"/>
      <c r="MM28" s="93"/>
      <c r="MN28" s="93"/>
      <c r="MO28" s="93"/>
      <c r="MP28" s="93"/>
      <c r="MQ28" s="93"/>
      <c r="MR28" s="93"/>
      <c r="MS28" s="93"/>
      <c r="MT28" s="93"/>
      <c r="MU28" s="93"/>
      <c r="MV28" s="93"/>
      <c r="MW28" s="93"/>
      <c r="MX28" s="93"/>
      <c r="MY28" s="93"/>
      <c r="MZ28" s="93"/>
      <c r="NA28" s="93"/>
      <c r="NB28" s="93"/>
      <c r="NC28" s="93"/>
      <c r="ND28" s="93"/>
      <c r="NE28" s="93"/>
      <c r="NF28" s="93"/>
      <c r="NG28" s="93"/>
      <c r="NH28" s="93"/>
      <c r="NI28" s="93"/>
      <c r="NJ28" s="93"/>
      <c r="NK28" s="93"/>
      <c r="NL28" s="93"/>
      <c r="NM28" s="93"/>
      <c r="NN28" s="93"/>
      <c r="NO28" s="93"/>
      <c r="NP28" s="93"/>
      <c r="NQ28" s="93"/>
      <c r="NR28" s="93"/>
      <c r="NS28" s="93"/>
      <c r="NT28" s="93"/>
      <c r="NU28" s="93"/>
      <c r="NV28" s="93"/>
      <c r="NW28" s="93"/>
      <c r="NX28" s="93"/>
      <c r="NY28" s="93"/>
      <c r="NZ28" s="93"/>
    </row>
    <row r="29" spans="1:390" ht="15.75" customHeight="1" x14ac:dyDescent="0.3">
      <c r="A29" s="98">
        <v>4520207401</v>
      </c>
      <c r="B29" s="182" t="s">
        <v>392</v>
      </c>
      <c r="C29" s="84" t="s">
        <v>393</v>
      </c>
      <c r="D29" s="87" t="s">
        <v>392</v>
      </c>
      <c r="E29" s="93" t="s">
        <v>691</v>
      </c>
      <c r="F29" s="93" t="s">
        <v>437</v>
      </c>
      <c r="G29" s="93" t="s">
        <v>692</v>
      </c>
      <c r="H29" s="101">
        <v>44361</v>
      </c>
      <c r="I29" s="92" t="s">
        <v>693</v>
      </c>
      <c r="J29" s="234" t="s">
        <v>398</v>
      </c>
      <c r="K29" s="93" t="s">
        <v>399</v>
      </c>
      <c r="L29" s="93" t="s">
        <v>399</v>
      </c>
      <c r="M29" s="93" t="s">
        <v>399</v>
      </c>
      <c r="N29" s="93" t="s">
        <v>399</v>
      </c>
      <c r="O29" s="93" t="s">
        <v>399</v>
      </c>
      <c r="P29" s="194" t="s">
        <v>399</v>
      </c>
      <c r="Q29" s="84" t="s">
        <v>399</v>
      </c>
      <c r="R29" s="197" t="s">
        <v>399</v>
      </c>
      <c r="S29" s="197" t="s">
        <v>399</v>
      </c>
      <c r="T29" s="197" t="s">
        <v>399</v>
      </c>
      <c r="U29" s="198" t="s">
        <v>399</v>
      </c>
      <c r="V29" s="84" t="s">
        <v>399</v>
      </c>
      <c r="W29" s="197" t="s">
        <v>399</v>
      </c>
      <c r="X29" s="197" t="s">
        <v>399</v>
      </c>
      <c r="Y29" s="197" t="s">
        <v>399</v>
      </c>
      <c r="Z29" s="198" t="s">
        <v>399</v>
      </c>
      <c r="AA29" s="84" t="s">
        <v>399</v>
      </c>
      <c r="AB29" s="199" t="s">
        <v>400</v>
      </c>
      <c r="AC29" s="193">
        <v>19422</v>
      </c>
      <c r="AD29" s="194">
        <v>44315</v>
      </c>
      <c r="AE29" s="86">
        <f t="shared" si="0"/>
        <v>68</v>
      </c>
      <c r="AF29" s="108" t="s">
        <v>435</v>
      </c>
      <c r="AG29" s="84" t="s">
        <v>402</v>
      </c>
      <c r="AH29" s="87" t="s">
        <v>392</v>
      </c>
      <c r="AI29" s="85" t="s">
        <v>405</v>
      </c>
      <c r="AJ29" s="85">
        <v>1</v>
      </c>
      <c r="AK29" s="85" t="s">
        <v>405</v>
      </c>
      <c r="AL29" s="109">
        <v>0</v>
      </c>
      <c r="AM29" s="84" t="s">
        <v>399</v>
      </c>
      <c r="AN29" s="195">
        <v>1</v>
      </c>
      <c r="AO29" s="83" t="s">
        <v>399</v>
      </c>
      <c r="AP29" s="88"/>
      <c r="AQ29" s="95"/>
      <c r="AR29" s="88"/>
      <c r="AS29" s="93"/>
      <c r="AT29" s="93"/>
      <c r="AU29" s="93"/>
      <c r="AV29" s="93"/>
      <c r="AW29" s="88"/>
      <c r="AX29" s="93"/>
      <c r="AY29" s="93"/>
      <c r="AZ29" s="93"/>
      <c r="BA29" s="93"/>
      <c r="BB29" s="88"/>
      <c r="BC29" s="93"/>
      <c r="BD29" s="93"/>
      <c r="BE29" s="93"/>
      <c r="BF29" s="93"/>
      <c r="BG29" s="88"/>
      <c r="BH29" s="93"/>
      <c r="BI29" s="93"/>
      <c r="BJ29" s="93"/>
      <c r="BK29" s="93"/>
      <c r="BL29" s="88"/>
      <c r="BM29" s="93"/>
      <c r="BN29" s="93"/>
      <c r="BO29" s="93"/>
      <c r="BP29" s="93"/>
      <c r="BQ29" s="88"/>
      <c r="BR29" s="93"/>
      <c r="BS29" s="93"/>
      <c r="BT29" s="93"/>
      <c r="BU29" s="93"/>
      <c r="BV29" s="88"/>
      <c r="BW29" s="93"/>
      <c r="BX29" s="93"/>
      <c r="BY29" s="93"/>
      <c r="BZ29" s="93"/>
      <c r="CA29" s="88"/>
      <c r="CB29" s="93"/>
      <c r="CC29" s="93"/>
      <c r="CD29" s="93"/>
      <c r="CE29" s="93"/>
      <c r="CF29" s="88"/>
      <c r="CG29" s="93"/>
      <c r="CH29" s="93"/>
      <c r="CI29" s="93"/>
      <c r="CJ29" s="93"/>
      <c r="CK29" s="88"/>
      <c r="CL29" s="93"/>
      <c r="CM29" s="93"/>
      <c r="CN29" s="93"/>
      <c r="CO29" s="93"/>
      <c r="CP29" s="88"/>
      <c r="CQ29" s="93"/>
      <c r="CR29" s="93"/>
      <c r="CS29" s="93"/>
      <c r="CT29" s="93"/>
      <c r="CU29" s="88"/>
      <c r="CV29" s="93"/>
      <c r="CW29" s="93"/>
      <c r="CX29" s="93"/>
      <c r="CY29" s="93"/>
      <c r="CZ29" s="88"/>
      <c r="DA29" s="93"/>
      <c r="DB29" s="93"/>
      <c r="DC29" s="93"/>
      <c r="DD29" s="93"/>
      <c r="DE29" s="88"/>
      <c r="DF29" s="93"/>
      <c r="DG29" s="93"/>
      <c r="DH29" s="93"/>
      <c r="DI29" s="93"/>
      <c r="DJ29" s="88"/>
      <c r="DK29" s="93"/>
      <c r="DL29" s="93"/>
      <c r="DM29" s="93"/>
      <c r="DN29" s="93"/>
      <c r="DO29" s="88"/>
      <c r="DP29" s="93"/>
      <c r="DQ29" s="93"/>
      <c r="DR29" s="93"/>
      <c r="DS29" s="93"/>
      <c r="DT29" s="88"/>
      <c r="DU29" s="93"/>
      <c r="DV29" s="93"/>
      <c r="DW29" s="93"/>
      <c r="DX29" s="93"/>
      <c r="DY29" s="88"/>
      <c r="DZ29" s="93"/>
      <c r="EA29" s="93"/>
      <c r="EB29" s="93"/>
      <c r="EC29" s="93"/>
      <c r="ED29" s="88"/>
      <c r="EE29" s="93"/>
      <c r="EF29" s="93"/>
      <c r="EG29" s="93"/>
      <c r="EH29" s="93"/>
      <c r="EI29" s="88"/>
      <c r="EJ29" s="93"/>
      <c r="EK29" s="93"/>
      <c r="EL29" s="93"/>
      <c r="EM29" s="93"/>
      <c r="EN29" s="88"/>
      <c r="EO29" s="93"/>
      <c r="EP29" s="93"/>
      <c r="EQ29" s="93"/>
      <c r="ER29" s="93"/>
      <c r="ES29" s="88"/>
      <c r="ET29" s="93"/>
      <c r="EU29" s="93"/>
      <c r="EV29" s="93"/>
      <c r="EW29" s="93"/>
      <c r="EX29" s="88"/>
      <c r="EY29" s="93"/>
      <c r="EZ29" s="93"/>
      <c r="FA29" s="93"/>
      <c r="FB29" s="93"/>
      <c r="FC29" s="88"/>
      <c r="FD29" s="93"/>
      <c r="FE29" s="93"/>
      <c r="FF29" s="93"/>
      <c r="FG29" s="93"/>
      <c r="FH29" s="88"/>
      <c r="FI29" s="93"/>
      <c r="FJ29" s="93"/>
      <c r="FK29" s="93"/>
      <c r="FL29" s="93"/>
      <c r="FM29" s="93"/>
      <c r="FN29" s="93"/>
      <c r="FO29" s="93"/>
      <c r="FP29" s="93"/>
      <c r="FQ29" s="93"/>
      <c r="FR29" s="93"/>
      <c r="FS29" s="93"/>
      <c r="FT29" s="93"/>
      <c r="FU29" s="93"/>
      <c r="FV29" s="93"/>
      <c r="FW29" s="93"/>
      <c r="FX29" s="93"/>
      <c r="FY29" s="93"/>
      <c r="FZ29" s="93"/>
      <c r="GA29" s="93"/>
      <c r="GB29" s="93"/>
      <c r="GC29" s="93"/>
      <c r="GD29" s="93"/>
      <c r="GE29" s="93"/>
      <c r="GF29" s="93"/>
      <c r="GG29" s="93"/>
      <c r="GH29" s="93"/>
      <c r="GI29" s="93"/>
      <c r="GJ29" s="93"/>
      <c r="GK29" s="93"/>
      <c r="GL29" s="93"/>
      <c r="GM29" s="93"/>
      <c r="GN29" s="93"/>
      <c r="GO29" s="93"/>
      <c r="GP29" s="88"/>
      <c r="GQ29" s="93"/>
      <c r="GR29" s="93"/>
      <c r="GS29" s="93"/>
      <c r="GT29" s="93"/>
      <c r="GU29" s="88"/>
      <c r="GV29" s="93"/>
      <c r="GW29" s="93"/>
      <c r="GX29" s="93"/>
      <c r="GY29" s="93"/>
      <c r="GZ29" s="88"/>
      <c r="HA29" s="93"/>
      <c r="HB29" s="93"/>
      <c r="HC29" s="93"/>
      <c r="HD29" s="93"/>
      <c r="HE29" s="88"/>
      <c r="HF29" s="93"/>
      <c r="HG29" s="93"/>
      <c r="HH29" s="93"/>
      <c r="HI29" s="93"/>
      <c r="HJ29" s="88"/>
      <c r="HK29" s="93"/>
      <c r="HL29" s="93"/>
      <c r="HM29" s="93"/>
      <c r="HN29" s="93"/>
      <c r="HO29" s="88"/>
      <c r="HP29" s="93"/>
      <c r="HQ29" s="93"/>
      <c r="HR29" s="93"/>
      <c r="HS29" s="93"/>
      <c r="HT29" s="88"/>
      <c r="HU29" s="93"/>
      <c r="HV29" s="93"/>
      <c r="HW29" s="93"/>
      <c r="HX29" s="93"/>
      <c r="HY29" s="88"/>
      <c r="HZ29" s="93"/>
      <c r="IA29" s="93"/>
      <c r="IB29" s="93"/>
      <c r="IC29" s="93"/>
      <c r="ID29" s="88"/>
      <c r="IE29" s="93"/>
      <c r="IF29" s="93"/>
      <c r="IG29" s="93"/>
      <c r="IH29" s="93"/>
      <c r="II29" s="88"/>
      <c r="IJ29" s="93"/>
      <c r="IK29" s="93"/>
      <c r="IL29" s="93"/>
      <c r="IM29" s="93"/>
      <c r="IN29" s="88"/>
      <c r="IO29" s="93"/>
      <c r="IP29" s="93"/>
      <c r="IQ29" s="93"/>
      <c r="IR29" s="93"/>
      <c r="IS29" s="88"/>
      <c r="IT29" s="93"/>
      <c r="IU29" s="93"/>
      <c r="IV29" s="93"/>
      <c r="IW29" s="93"/>
      <c r="IX29" s="88"/>
      <c r="IY29" s="93"/>
      <c r="IZ29" s="93"/>
      <c r="JA29" s="93"/>
      <c r="JB29" s="93"/>
      <c r="JC29" s="88"/>
      <c r="JD29" s="93"/>
      <c r="JE29" s="93"/>
      <c r="JF29" s="93"/>
      <c r="JG29" s="94"/>
      <c r="JH29" s="88"/>
      <c r="JI29" s="95"/>
      <c r="JJ29" s="93"/>
      <c r="JK29" s="93"/>
      <c r="JL29" s="94"/>
      <c r="JM29" s="89"/>
      <c r="JN29" s="96"/>
      <c r="JO29" s="84"/>
      <c r="JP29" s="95"/>
      <c r="JQ29" s="93"/>
      <c r="JR29" s="93"/>
      <c r="JS29" s="93"/>
      <c r="JT29" s="93"/>
      <c r="JU29" s="93"/>
      <c r="JV29" s="93"/>
      <c r="JW29" s="93"/>
      <c r="JX29" s="93"/>
      <c r="JY29" s="93"/>
      <c r="JZ29" s="93"/>
      <c r="KA29" s="93"/>
      <c r="KB29" s="93"/>
      <c r="KC29" s="93"/>
      <c r="KD29" s="93"/>
      <c r="KE29" s="93"/>
      <c r="KF29" s="93"/>
      <c r="KG29" s="93"/>
      <c r="KH29" s="93"/>
      <c r="KI29" s="93"/>
      <c r="KJ29" s="93"/>
      <c r="KK29" s="93"/>
      <c r="KL29" s="93"/>
      <c r="KM29" s="93"/>
      <c r="KN29" s="93"/>
      <c r="KO29" s="93"/>
      <c r="KP29" s="93"/>
      <c r="KQ29" s="93"/>
      <c r="KR29" s="93"/>
      <c r="KS29" s="93"/>
      <c r="KT29" s="93"/>
      <c r="KU29" s="93"/>
      <c r="KV29" s="93"/>
      <c r="KW29" s="93"/>
      <c r="KX29" s="93"/>
      <c r="KY29" s="93"/>
      <c r="KZ29" s="93"/>
      <c r="LA29" s="93"/>
      <c r="LB29" s="93"/>
      <c r="LC29" s="93"/>
      <c r="LD29" s="93"/>
      <c r="LE29" s="93"/>
      <c r="LF29" s="93"/>
      <c r="LG29" s="93"/>
      <c r="LH29" s="93"/>
      <c r="LI29" s="93"/>
      <c r="LJ29" s="93"/>
      <c r="LK29" s="93"/>
      <c r="LL29" s="93"/>
      <c r="LM29" s="93"/>
      <c r="LN29" s="93"/>
      <c r="LO29" s="93"/>
      <c r="LP29" s="93"/>
      <c r="LQ29" s="93"/>
      <c r="LR29" s="93"/>
      <c r="LS29" s="93"/>
      <c r="LT29" s="93"/>
      <c r="LU29" s="93"/>
      <c r="LV29" s="93"/>
      <c r="LW29" s="93"/>
      <c r="LX29" s="93"/>
      <c r="LY29" s="93"/>
      <c r="LZ29" s="93"/>
      <c r="MA29" s="93"/>
      <c r="MB29" s="93"/>
      <c r="MC29" s="93"/>
      <c r="MD29" s="93"/>
      <c r="ME29" s="93"/>
      <c r="MF29" s="93"/>
      <c r="MG29" s="93"/>
      <c r="MH29" s="93"/>
      <c r="MI29" s="93"/>
      <c r="MJ29" s="93"/>
      <c r="MK29" s="93"/>
      <c r="ML29" s="93"/>
      <c r="MM29" s="93"/>
      <c r="MN29" s="93"/>
      <c r="MO29" s="93"/>
      <c r="MP29" s="93"/>
      <c r="MQ29" s="93"/>
      <c r="MR29" s="93"/>
      <c r="MS29" s="93"/>
      <c r="MT29" s="93"/>
      <c r="MU29" s="93"/>
      <c r="MV29" s="93"/>
      <c r="MW29" s="93"/>
      <c r="MX29" s="93"/>
      <c r="MY29" s="93"/>
      <c r="MZ29" s="93"/>
      <c r="NA29" s="93"/>
      <c r="NB29" s="93"/>
      <c r="NC29" s="93"/>
      <c r="ND29" s="93"/>
      <c r="NE29" s="93"/>
      <c r="NF29" s="93"/>
      <c r="NG29" s="93"/>
      <c r="NH29" s="93"/>
      <c r="NI29" s="93"/>
      <c r="NJ29" s="93"/>
      <c r="NK29" s="93"/>
      <c r="NL29" s="93"/>
      <c r="NM29" s="93"/>
      <c r="NN29" s="93"/>
      <c r="NO29" s="93"/>
      <c r="NP29" s="93"/>
      <c r="NQ29" s="93"/>
      <c r="NR29" s="93"/>
      <c r="NS29" s="93"/>
      <c r="NT29" s="93"/>
      <c r="NU29" s="93"/>
      <c r="NV29" s="93"/>
      <c r="NW29" s="93"/>
      <c r="NX29" s="93"/>
      <c r="NY29" s="93"/>
      <c r="NZ29" s="93"/>
    </row>
    <row r="30" spans="1:390" ht="15.75" customHeight="1" x14ac:dyDescent="0.3">
      <c r="A30" s="98">
        <v>4125915636</v>
      </c>
      <c r="B30" s="182" t="s">
        <v>392</v>
      </c>
      <c r="C30" s="84" t="s">
        <v>393</v>
      </c>
      <c r="D30" s="87" t="s">
        <v>392</v>
      </c>
      <c r="E30" s="93" t="s">
        <v>694</v>
      </c>
      <c r="F30" s="93" t="s">
        <v>514</v>
      </c>
      <c r="G30" s="93" t="s">
        <v>416</v>
      </c>
      <c r="H30" s="101">
        <v>44378</v>
      </c>
      <c r="I30" s="240" t="s">
        <v>695</v>
      </c>
      <c r="J30" s="234" t="s">
        <v>398</v>
      </c>
      <c r="K30" s="93" t="s">
        <v>399</v>
      </c>
      <c r="L30" s="93" t="s">
        <v>399</v>
      </c>
      <c r="M30" s="93" t="s">
        <v>399</v>
      </c>
      <c r="N30" s="93" t="s">
        <v>399</v>
      </c>
      <c r="O30" s="93" t="s">
        <v>399</v>
      </c>
      <c r="P30" s="194" t="s">
        <v>399</v>
      </c>
      <c r="Q30" s="84" t="s">
        <v>399</v>
      </c>
      <c r="R30" s="197" t="s">
        <v>399</v>
      </c>
      <c r="S30" s="197" t="s">
        <v>399</v>
      </c>
      <c r="T30" s="197" t="s">
        <v>399</v>
      </c>
      <c r="U30" s="198" t="s">
        <v>399</v>
      </c>
      <c r="V30" s="84" t="s">
        <v>399</v>
      </c>
      <c r="W30" s="197" t="s">
        <v>399</v>
      </c>
      <c r="X30" s="197" t="s">
        <v>399</v>
      </c>
      <c r="Y30" s="197" t="s">
        <v>399</v>
      </c>
      <c r="Z30" s="198" t="s">
        <v>399</v>
      </c>
      <c r="AA30" s="84" t="s">
        <v>399</v>
      </c>
      <c r="AB30" s="199" t="s">
        <v>400</v>
      </c>
      <c r="AC30" s="193">
        <v>24018</v>
      </c>
      <c r="AD30" s="194">
        <v>44341</v>
      </c>
      <c r="AE30" s="86">
        <f t="shared" si="0"/>
        <v>55</v>
      </c>
      <c r="AF30" s="108" t="s">
        <v>435</v>
      </c>
      <c r="AG30" s="84" t="s">
        <v>402</v>
      </c>
      <c r="AH30" s="87" t="s">
        <v>403</v>
      </c>
      <c r="AI30" s="85" t="s">
        <v>404</v>
      </c>
      <c r="AJ30" s="235" t="s">
        <v>405</v>
      </c>
      <c r="AK30" s="85" t="s">
        <v>405</v>
      </c>
      <c r="AL30" s="109">
        <v>0</v>
      </c>
      <c r="AM30" s="84" t="s">
        <v>406</v>
      </c>
      <c r="AN30" s="195">
        <v>2</v>
      </c>
      <c r="AO30" s="83" t="s">
        <v>399</v>
      </c>
      <c r="AP30" s="88"/>
      <c r="AQ30" s="95"/>
      <c r="AR30" s="88"/>
      <c r="AS30" s="93"/>
      <c r="AT30" s="93"/>
      <c r="AU30" s="93"/>
      <c r="AV30" s="93"/>
      <c r="AW30" s="88"/>
      <c r="AX30" s="93"/>
      <c r="AY30" s="93"/>
      <c r="AZ30" s="93"/>
      <c r="BA30" s="93"/>
      <c r="BB30" s="88"/>
      <c r="BC30" s="93"/>
      <c r="BD30" s="93"/>
      <c r="BE30" s="93"/>
      <c r="BF30" s="93"/>
      <c r="BG30" s="88"/>
      <c r="BH30" s="93"/>
      <c r="BI30" s="93"/>
      <c r="BJ30" s="93"/>
      <c r="BK30" s="93"/>
      <c r="BL30" s="88"/>
      <c r="BM30" s="93"/>
      <c r="BN30" s="93"/>
      <c r="BO30" s="93"/>
      <c r="BP30" s="93"/>
      <c r="BQ30" s="88"/>
      <c r="BR30" s="93"/>
      <c r="BS30" s="93"/>
      <c r="BT30" s="93"/>
      <c r="BU30" s="93"/>
      <c r="BV30" s="88"/>
      <c r="BW30" s="93"/>
      <c r="BX30" s="93"/>
      <c r="BY30" s="93"/>
      <c r="BZ30" s="93"/>
      <c r="CA30" s="88"/>
      <c r="CB30" s="93"/>
      <c r="CC30" s="93"/>
      <c r="CD30" s="93"/>
      <c r="CE30" s="93"/>
      <c r="CF30" s="88"/>
      <c r="CG30" s="93"/>
      <c r="CH30" s="93"/>
      <c r="CI30" s="93"/>
      <c r="CJ30" s="93"/>
      <c r="CK30" s="88"/>
      <c r="CL30" s="93"/>
      <c r="CM30" s="93"/>
      <c r="CN30" s="93"/>
      <c r="CO30" s="93"/>
      <c r="CP30" s="88"/>
      <c r="CQ30" s="93"/>
      <c r="CR30" s="93"/>
      <c r="CS30" s="93"/>
      <c r="CT30" s="93"/>
      <c r="CU30" s="88"/>
      <c r="CV30" s="93"/>
      <c r="CW30" s="93"/>
      <c r="CX30" s="93"/>
      <c r="CY30" s="93"/>
      <c r="CZ30" s="88"/>
      <c r="DA30" s="93"/>
      <c r="DB30" s="93"/>
      <c r="DC30" s="93"/>
      <c r="DD30" s="93"/>
      <c r="DE30" s="88"/>
      <c r="DF30" s="93"/>
      <c r="DG30" s="93"/>
      <c r="DH30" s="93"/>
      <c r="DI30" s="93"/>
      <c r="DJ30" s="88"/>
      <c r="DK30" s="93"/>
      <c r="DL30" s="93"/>
      <c r="DM30" s="93"/>
      <c r="DN30" s="93"/>
      <c r="DO30" s="88"/>
      <c r="DP30" s="93"/>
      <c r="DQ30" s="93"/>
      <c r="DR30" s="93"/>
      <c r="DS30" s="93"/>
      <c r="DT30" s="88"/>
      <c r="DU30" s="93"/>
      <c r="DV30" s="93"/>
      <c r="DW30" s="93"/>
      <c r="DX30" s="93"/>
      <c r="DY30" s="88"/>
      <c r="DZ30" s="93"/>
      <c r="EA30" s="93"/>
      <c r="EB30" s="93"/>
      <c r="EC30" s="93"/>
      <c r="ED30" s="88"/>
      <c r="EE30" s="93"/>
      <c r="EF30" s="93"/>
      <c r="EG30" s="93"/>
      <c r="EH30" s="93"/>
      <c r="EI30" s="88"/>
      <c r="EJ30" s="93"/>
      <c r="EK30" s="93"/>
      <c r="EL30" s="93"/>
      <c r="EM30" s="93"/>
      <c r="EN30" s="88"/>
      <c r="EO30" s="93"/>
      <c r="EP30" s="93"/>
      <c r="EQ30" s="93"/>
      <c r="ER30" s="93"/>
      <c r="ES30" s="88"/>
      <c r="ET30" s="93"/>
      <c r="EU30" s="93"/>
      <c r="EV30" s="93"/>
      <c r="EW30" s="93"/>
      <c r="EX30" s="88"/>
      <c r="EY30" s="93"/>
      <c r="EZ30" s="93"/>
      <c r="FA30" s="93"/>
      <c r="FB30" s="93"/>
      <c r="FC30" s="88"/>
      <c r="FD30" s="93"/>
      <c r="FE30" s="93"/>
      <c r="FF30" s="93"/>
      <c r="FG30" s="93"/>
      <c r="FH30" s="88"/>
      <c r="FI30" s="93"/>
      <c r="FJ30" s="93"/>
      <c r="FK30" s="93"/>
      <c r="FL30" s="93"/>
      <c r="FM30" s="93"/>
      <c r="FN30" s="93"/>
      <c r="FO30" s="93"/>
      <c r="FP30" s="93"/>
      <c r="FQ30" s="93"/>
      <c r="FR30" s="93"/>
      <c r="FS30" s="93"/>
      <c r="FT30" s="93"/>
      <c r="FU30" s="93"/>
      <c r="FV30" s="93"/>
      <c r="FW30" s="93"/>
      <c r="FX30" s="93"/>
      <c r="FY30" s="93"/>
      <c r="FZ30" s="93"/>
      <c r="GA30" s="93"/>
      <c r="GB30" s="93"/>
      <c r="GC30" s="93"/>
      <c r="GD30" s="93"/>
      <c r="GE30" s="93"/>
      <c r="GF30" s="93"/>
      <c r="GG30" s="93"/>
      <c r="GH30" s="93"/>
      <c r="GI30" s="93"/>
      <c r="GJ30" s="93"/>
      <c r="GK30" s="93"/>
      <c r="GL30" s="93"/>
      <c r="GM30" s="93"/>
      <c r="GN30" s="93"/>
      <c r="GO30" s="93"/>
      <c r="GP30" s="88"/>
      <c r="GQ30" s="93"/>
      <c r="GR30" s="93"/>
      <c r="GS30" s="93"/>
      <c r="GT30" s="93"/>
      <c r="GU30" s="88"/>
      <c r="GV30" s="93"/>
      <c r="GW30" s="93"/>
      <c r="GX30" s="93"/>
      <c r="GY30" s="93"/>
      <c r="GZ30" s="88"/>
      <c r="HA30" s="93"/>
      <c r="HB30" s="93"/>
      <c r="HC30" s="93"/>
      <c r="HD30" s="93"/>
      <c r="HE30" s="88"/>
      <c r="HF30" s="93"/>
      <c r="HG30" s="93"/>
      <c r="HH30" s="93"/>
      <c r="HI30" s="93"/>
      <c r="HJ30" s="88"/>
      <c r="HK30" s="93"/>
      <c r="HL30" s="93"/>
      <c r="HM30" s="93"/>
      <c r="HN30" s="93"/>
      <c r="HO30" s="88"/>
      <c r="HP30" s="93"/>
      <c r="HQ30" s="93"/>
      <c r="HR30" s="93"/>
      <c r="HS30" s="93"/>
      <c r="HT30" s="88"/>
      <c r="HU30" s="93"/>
      <c r="HV30" s="93"/>
      <c r="HW30" s="93"/>
      <c r="HX30" s="93"/>
      <c r="HY30" s="88"/>
      <c r="HZ30" s="93"/>
      <c r="IA30" s="93"/>
      <c r="IB30" s="93"/>
      <c r="IC30" s="93"/>
      <c r="ID30" s="88"/>
      <c r="IE30" s="93"/>
      <c r="IF30" s="93"/>
      <c r="IG30" s="93"/>
      <c r="IH30" s="93"/>
      <c r="II30" s="88"/>
      <c r="IJ30" s="93"/>
      <c r="IK30" s="93"/>
      <c r="IL30" s="93"/>
      <c r="IM30" s="93"/>
      <c r="IN30" s="88"/>
      <c r="IO30" s="93"/>
      <c r="IP30" s="93"/>
      <c r="IQ30" s="93"/>
      <c r="IR30" s="93"/>
      <c r="IS30" s="88"/>
      <c r="IT30" s="93"/>
      <c r="IU30" s="93"/>
      <c r="IV30" s="93"/>
      <c r="IW30" s="93"/>
      <c r="IX30" s="88"/>
      <c r="IY30" s="93"/>
      <c r="IZ30" s="93"/>
      <c r="JA30" s="93"/>
      <c r="JB30" s="93"/>
      <c r="JC30" s="88"/>
      <c r="JD30" s="93"/>
      <c r="JE30" s="93"/>
      <c r="JF30" s="93"/>
      <c r="JG30" s="94"/>
      <c r="JH30" s="88"/>
      <c r="JI30" s="95"/>
      <c r="JJ30" s="93"/>
      <c r="JK30" s="93"/>
      <c r="JL30" s="94"/>
      <c r="JM30" s="89"/>
      <c r="JN30" s="96"/>
      <c r="JO30" s="84"/>
      <c r="JP30" s="95"/>
      <c r="JQ30" s="93"/>
      <c r="JR30" s="93"/>
      <c r="JS30" s="93"/>
      <c r="JT30" s="93"/>
      <c r="JU30" s="93"/>
      <c r="JV30" s="93"/>
      <c r="JW30" s="93"/>
      <c r="JX30" s="93"/>
      <c r="JY30" s="93"/>
      <c r="JZ30" s="93"/>
      <c r="KA30" s="93"/>
      <c r="KB30" s="93"/>
      <c r="KC30" s="93"/>
      <c r="KD30" s="93"/>
      <c r="KE30" s="93"/>
      <c r="KF30" s="93"/>
      <c r="KG30" s="93"/>
      <c r="KH30" s="93"/>
      <c r="KI30" s="93"/>
      <c r="KJ30" s="93"/>
      <c r="KK30" s="93"/>
      <c r="KL30" s="93"/>
      <c r="KM30" s="93"/>
      <c r="KN30" s="93"/>
      <c r="KO30" s="93"/>
      <c r="KP30" s="93"/>
      <c r="KQ30" s="93"/>
      <c r="KR30" s="93"/>
      <c r="KS30" s="93"/>
      <c r="KT30" s="93"/>
      <c r="KU30" s="93"/>
      <c r="KV30" s="93"/>
      <c r="KW30" s="93"/>
      <c r="KX30" s="93"/>
      <c r="KY30" s="93"/>
      <c r="KZ30" s="93"/>
      <c r="LA30" s="93"/>
      <c r="LB30" s="93"/>
      <c r="LC30" s="93"/>
      <c r="LD30" s="93"/>
      <c r="LE30" s="93"/>
      <c r="LF30" s="93"/>
      <c r="LG30" s="93"/>
      <c r="LH30" s="93"/>
      <c r="LI30" s="93"/>
      <c r="LJ30" s="93"/>
      <c r="LK30" s="93"/>
      <c r="LL30" s="93"/>
      <c r="LM30" s="93"/>
      <c r="LN30" s="93"/>
      <c r="LO30" s="93"/>
      <c r="LP30" s="93"/>
      <c r="LQ30" s="93"/>
      <c r="LR30" s="93"/>
      <c r="LS30" s="93"/>
      <c r="LT30" s="93"/>
      <c r="LU30" s="93"/>
      <c r="LV30" s="93"/>
      <c r="LW30" s="93"/>
      <c r="LX30" s="93"/>
      <c r="LY30" s="93"/>
      <c r="LZ30" s="93"/>
      <c r="MA30" s="93"/>
      <c r="MB30" s="93"/>
      <c r="MC30" s="93"/>
      <c r="MD30" s="93"/>
      <c r="ME30" s="93"/>
      <c r="MF30" s="93"/>
      <c r="MG30" s="93"/>
      <c r="MH30" s="93"/>
      <c r="MI30" s="93"/>
      <c r="MJ30" s="93"/>
      <c r="MK30" s="93"/>
      <c r="ML30" s="93"/>
      <c r="MM30" s="93"/>
      <c r="MN30" s="93"/>
      <c r="MO30" s="93"/>
      <c r="MP30" s="93"/>
      <c r="MQ30" s="93"/>
      <c r="MR30" s="93"/>
      <c r="MS30" s="93"/>
      <c r="MT30" s="93"/>
      <c r="MU30" s="93"/>
      <c r="MV30" s="93"/>
      <c r="MW30" s="93"/>
      <c r="MX30" s="93"/>
      <c r="MY30" s="93"/>
      <c r="MZ30" s="93"/>
      <c r="NA30" s="93"/>
      <c r="NB30" s="93"/>
      <c r="NC30" s="93"/>
      <c r="ND30" s="93"/>
      <c r="NE30" s="93"/>
      <c r="NF30" s="93"/>
      <c r="NG30" s="93"/>
      <c r="NH30" s="93"/>
      <c r="NI30" s="93"/>
      <c r="NJ30" s="93"/>
      <c r="NK30" s="93"/>
      <c r="NL30" s="93"/>
      <c r="NM30" s="93"/>
      <c r="NN30" s="93"/>
      <c r="NO30" s="93"/>
      <c r="NP30" s="93"/>
      <c r="NQ30" s="93"/>
      <c r="NR30" s="93"/>
      <c r="NS30" s="93"/>
      <c r="NT30" s="93"/>
      <c r="NU30" s="93"/>
      <c r="NV30" s="93"/>
      <c r="NW30" s="93"/>
      <c r="NX30" s="93"/>
      <c r="NY30" s="93"/>
      <c r="NZ30" s="93"/>
    </row>
    <row r="31" spans="1:390" ht="15.75" customHeight="1" x14ac:dyDescent="0.3">
      <c r="A31" s="98">
        <v>4861893291</v>
      </c>
      <c r="B31" s="182" t="s">
        <v>392</v>
      </c>
      <c r="C31" s="84" t="s">
        <v>393</v>
      </c>
      <c r="D31" s="87" t="s">
        <v>392</v>
      </c>
      <c r="E31" s="93" t="s">
        <v>696</v>
      </c>
      <c r="F31" s="93" t="s">
        <v>441</v>
      </c>
      <c r="G31" s="93" t="s">
        <v>514</v>
      </c>
      <c r="H31" s="101">
        <v>44407</v>
      </c>
      <c r="I31" s="92" t="s">
        <v>697</v>
      </c>
      <c r="J31" s="92" t="s">
        <v>698</v>
      </c>
      <c r="K31" s="93" t="s">
        <v>399</v>
      </c>
      <c r="L31" s="93" t="s">
        <v>399</v>
      </c>
      <c r="M31" s="93" t="s">
        <v>399</v>
      </c>
      <c r="N31" s="93" t="s">
        <v>399</v>
      </c>
      <c r="O31" s="93" t="s">
        <v>399</v>
      </c>
      <c r="P31" s="194" t="s">
        <v>399</v>
      </c>
      <c r="Q31" s="84" t="s">
        <v>399</v>
      </c>
      <c r="R31" s="197" t="s">
        <v>399</v>
      </c>
      <c r="S31" s="197" t="s">
        <v>399</v>
      </c>
      <c r="T31" s="197" t="s">
        <v>399</v>
      </c>
      <c r="U31" s="198" t="s">
        <v>399</v>
      </c>
      <c r="V31" s="84" t="s">
        <v>399</v>
      </c>
      <c r="W31" s="197" t="s">
        <v>399</v>
      </c>
      <c r="X31" s="197" t="s">
        <v>399</v>
      </c>
      <c r="Y31" s="197" t="s">
        <v>399</v>
      </c>
      <c r="Z31" s="198" t="s">
        <v>399</v>
      </c>
      <c r="AA31" s="84" t="s">
        <v>399</v>
      </c>
      <c r="AB31" s="199" t="s">
        <v>400</v>
      </c>
      <c r="AC31" s="193">
        <v>22713</v>
      </c>
      <c r="AD31" s="194">
        <v>44341</v>
      </c>
      <c r="AE31" s="86">
        <f t="shared" si="0"/>
        <v>59</v>
      </c>
      <c r="AF31" s="108" t="s">
        <v>435</v>
      </c>
      <c r="AG31" s="84" t="s">
        <v>402</v>
      </c>
      <c r="AH31" s="87" t="s">
        <v>403</v>
      </c>
      <c r="AI31" s="85" t="s">
        <v>418</v>
      </c>
      <c r="AJ31" s="85">
        <v>0</v>
      </c>
      <c r="AK31" s="85" t="s">
        <v>405</v>
      </c>
      <c r="AL31" s="109">
        <v>0</v>
      </c>
      <c r="AM31" s="84" t="s">
        <v>419</v>
      </c>
      <c r="AN31" s="195">
        <v>1</v>
      </c>
      <c r="AO31" s="83" t="s">
        <v>399</v>
      </c>
      <c r="AP31" s="88"/>
      <c r="AQ31" s="95"/>
      <c r="AR31" s="88"/>
      <c r="AS31" s="93"/>
      <c r="AT31" s="93"/>
      <c r="AU31" s="93"/>
      <c r="AV31" s="93"/>
      <c r="AW31" s="88"/>
      <c r="AX31" s="93"/>
      <c r="AY31" s="93"/>
      <c r="AZ31" s="93"/>
      <c r="BA31" s="93"/>
      <c r="BB31" s="88"/>
      <c r="BC31" s="93"/>
      <c r="BD31" s="93"/>
      <c r="BE31" s="93"/>
      <c r="BF31" s="93"/>
      <c r="BG31" s="88"/>
      <c r="BH31" s="93"/>
      <c r="BI31" s="93"/>
      <c r="BJ31" s="93"/>
      <c r="BK31" s="93"/>
      <c r="BL31" s="88"/>
      <c r="BM31" s="93"/>
      <c r="BN31" s="93"/>
      <c r="BO31" s="93"/>
      <c r="BP31" s="93"/>
      <c r="BQ31" s="88"/>
      <c r="BR31" s="93"/>
      <c r="BS31" s="93"/>
      <c r="BT31" s="93"/>
      <c r="BU31" s="93"/>
      <c r="BV31" s="88"/>
      <c r="BW31" s="93"/>
      <c r="BX31" s="93"/>
      <c r="BY31" s="93"/>
      <c r="BZ31" s="93"/>
      <c r="CA31" s="88"/>
      <c r="CB31" s="93"/>
      <c r="CC31" s="93"/>
      <c r="CD31" s="93"/>
      <c r="CE31" s="93"/>
      <c r="CF31" s="88"/>
      <c r="CG31" s="93"/>
      <c r="CH31" s="93"/>
      <c r="CI31" s="93"/>
      <c r="CJ31" s="93"/>
      <c r="CK31" s="88"/>
      <c r="CL31" s="93"/>
      <c r="CM31" s="93"/>
      <c r="CN31" s="93"/>
      <c r="CO31" s="93"/>
      <c r="CP31" s="88"/>
      <c r="CQ31" s="93"/>
      <c r="CR31" s="93"/>
      <c r="CS31" s="93"/>
      <c r="CT31" s="93"/>
      <c r="CU31" s="88"/>
      <c r="CV31" s="93"/>
      <c r="CW31" s="93"/>
      <c r="CX31" s="93"/>
      <c r="CY31" s="93"/>
      <c r="CZ31" s="88"/>
      <c r="DA31" s="93"/>
      <c r="DB31" s="93"/>
      <c r="DC31" s="93"/>
      <c r="DD31" s="93"/>
      <c r="DE31" s="88"/>
      <c r="DF31" s="93"/>
      <c r="DG31" s="93"/>
      <c r="DH31" s="93"/>
      <c r="DI31" s="93"/>
      <c r="DJ31" s="88"/>
      <c r="DK31" s="93"/>
      <c r="DL31" s="93"/>
      <c r="DM31" s="93"/>
      <c r="DN31" s="93"/>
      <c r="DO31" s="88"/>
      <c r="DP31" s="93"/>
      <c r="DQ31" s="93"/>
      <c r="DR31" s="93"/>
      <c r="DS31" s="93"/>
      <c r="DT31" s="88"/>
      <c r="DU31" s="93"/>
      <c r="DV31" s="93"/>
      <c r="DW31" s="93"/>
      <c r="DX31" s="93"/>
      <c r="DY31" s="88"/>
      <c r="DZ31" s="93"/>
      <c r="EA31" s="93"/>
      <c r="EB31" s="93"/>
      <c r="EC31" s="93"/>
      <c r="ED31" s="88"/>
      <c r="EE31" s="93"/>
      <c r="EF31" s="93"/>
      <c r="EG31" s="93"/>
      <c r="EH31" s="93"/>
      <c r="EI31" s="88"/>
      <c r="EJ31" s="93"/>
      <c r="EK31" s="93"/>
      <c r="EL31" s="93"/>
      <c r="EM31" s="93"/>
      <c r="EN31" s="88"/>
      <c r="EO31" s="93"/>
      <c r="EP31" s="93"/>
      <c r="EQ31" s="93"/>
      <c r="ER31" s="93"/>
      <c r="ES31" s="88"/>
      <c r="ET31" s="93"/>
      <c r="EU31" s="93"/>
      <c r="EV31" s="93"/>
      <c r="EW31" s="93"/>
      <c r="EX31" s="88"/>
      <c r="EY31" s="93"/>
      <c r="EZ31" s="93"/>
      <c r="FA31" s="93"/>
      <c r="FB31" s="93"/>
      <c r="FC31" s="88"/>
      <c r="FD31" s="93"/>
      <c r="FE31" s="93"/>
      <c r="FF31" s="93"/>
      <c r="FG31" s="93"/>
      <c r="FH31" s="88"/>
      <c r="FI31" s="93"/>
      <c r="FJ31" s="93"/>
      <c r="FK31" s="93"/>
      <c r="FL31" s="93"/>
      <c r="FM31" s="93"/>
      <c r="FN31" s="93"/>
      <c r="FO31" s="93"/>
      <c r="FP31" s="93"/>
      <c r="FQ31" s="93"/>
      <c r="FR31" s="93"/>
      <c r="FS31" s="93"/>
      <c r="FT31" s="93"/>
      <c r="FU31" s="93"/>
      <c r="FV31" s="93"/>
      <c r="FW31" s="93"/>
      <c r="FX31" s="93"/>
      <c r="FY31" s="93"/>
      <c r="FZ31" s="93"/>
      <c r="GA31" s="93"/>
      <c r="GB31" s="93"/>
      <c r="GC31" s="93"/>
      <c r="GD31" s="93"/>
      <c r="GE31" s="93"/>
      <c r="GF31" s="93"/>
      <c r="GG31" s="93"/>
      <c r="GH31" s="93"/>
      <c r="GI31" s="93"/>
      <c r="GJ31" s="93"/>
      <c r="GK31" s="93"/>
      <c r="GL31" s="93"/>
      <c r="GM31" s="93"/>
      <c r="GN31" s="93"/>
      <c r="GO31" s="93"/>
      <c r="GP31" s="88"/>
      <c r="GQ31" s="93"/>
      <c r="GR31" s="93"/>
      <c r="GS31" s="93"/>
      <c r="GT31" s="93"/>
      <c r="GU31" s="88"/>
      <c r="GV31" s="93"/>
      <c r="GW31" s="93"/>
      <c r="GX31" s="93"/>
      <c r="GY31" s="93"/>
      <c r="GZ31" s="88"/>
      <c r="HA31" s="93"/>
      <c r="HB31" s="93"/>
      <c r="HC31" s="93"/>
      <c r="HD31" s="93"/>
      <c r="HE31" s="88"/>
      <c r="HF31" s="93"/>
      <c r="HG31" s="93"/>
      <c r="HH31" s="93"/>
      <c r="HI31" s="93"/>
      <c r="HJ31" s="88"/>
      <c r="HK31" s="93"/>
      <c r="HL31" s="93"/>
      <c r="HM31" s="93"/>
      <c r="HN31" s="93"/>
      <c r="HO31" s="88"/>
      <c r="HP31" s="93"/>
      <c r="HQ31" s="93"/>
      <c r="HR31" s="93"/>
      <c r="HS31" s="93"/>
      <c r="HT31" s="88"/>
      <c r="HU31" s="93"/>
      <c r="HV31" s="93"/>
      <c r="HW31" s="93"/>
      <c r="HX31" s="93"/>
      <c r="HY31" s="88"/>
      <c r="HZ31" s="93"/>
      <c r="IA31" s="93"/>
      <c r="IB31" s="93"/>
      <c r="IC31" s="93"/>
      <c r="ID31" s="88"/>
      <c r="IE31" s="93"/>
      <c r="IF31" s="93"/>
      <c r="IG31" s="93"/>
      <c r="IH31" s="93"/>
      <c r="II31" s="88"/>
      <c r="IJ31" s="93"/>
      <c r="IK31" s="93"/>
      <c r="IL31" s="93"/>
      <c r="IM31" s="93"/>
      <c r="IN31" s="88"/>
      <c r="IO31" s="93"/>
      <c r="IP31" s="93"/>
      <c r="IQ31" s="93"/>
      <c r="IR31" s="93"/>
      <c r="IS31" s="88"/>
      <c r="IT31" s="93"/>
      <c r="IU31" s="93"/>
      <c r="IV31" s="93"/>
      <c r="IW31" s="93"/>
      <c r="IX31" s="88"/>
      <c r="IY31" s="93"/>
      <c r="IZ31" s="93"/>
      <c r="JA31" s="93"/>
      <c r="JB31" s="93"/>
      <c r="JC31" s="88"/>
      <c r="JD31" s="93"/>
      <c r="JE31" s="93"/>
      <c r="JF31" s="93"/>
      <c r="JG31" s="94"/>
      <c r="JH31" s="88"/>
      <c r="JI31" s="95"/>
      <c r="JJ31" s="93"/>
      <c r="JK31" s="93"/>
      <c r="JL31" s="94"/>
      <c r="JM31" s="89"/>
      <c r="JN31" s="96"/>
      <c r="JO31" s="84"/>
      <c r="JP31" s="95"/>
      <c r="JQ31" s="93"/>
      <c r="JR31" s="93"/>
      <c r="JS31" s="93"/>
      <c r="JT31" s="93"/>
      <c r="JU31" s="93"/>
      <c r="JV31" s="93"/>
      <c r="JW31" s="93"/>
      <c r="JX31" s="93"/>
      <c r="JY31" s="93"/>
      <c r="JZ31" s="93"/>
      <c r="KA31" s="93"/>
      <c r="KB31" s="93"/>
      <c r="KC31" s="93"/>
      <c r="KD31" s="93"/>
      <c r="KE31" s="93"/>
      <c r="KF31" s="93"/>
      <c r="KG31" s="93"/>
      <c r="KH31" s="93"/>
      <c r="KI31" s="93"/>
      <c r="KJ31" s="93"/>
      <c r="KK31" s="93"/>
      <c r="KL31" s="93"/>
      <c r="KM31" s="93"/>
      <c r="KN31" s="93"/>
      <c r="KO31" s="93"/>
      <c r="KP31" s="93"/>
      <c r="KQ31" s="93"/>
      <c r="KR31" s="93"/>
      <c r="KS31" s="93"/>
      <c r="KT31" s="93"/>
      <c r="KU31" s="93"/>
      <c r="KV31" s="93"/>
      <c r="KW31" s="93"/>
      <c r="KX31" s="93"/>
      <c r="KY31" s="93"/>
      <c r="KZ31" s="93"/>
      <c r="LA31" s="93"/>
      <c r="LB31" s="93"/>
      <c r="LC31" s="93"/>
      <c r="LD31" s="93"/>
      <c r="LE31" s="93"/>
      <c r="LF31" s="93"/>
      <c r="LG31" s="93"/>
      <c r="LH31" s="93"/>
      <c r="LI31" s="93"/>
      <c r="LJ31" s="93"/>
      <c r="LK31" s="93"/>
      <c r="LL31" s="93"/>
      <c r="LM31" s="93"/>
      <c r="LN31" s="93"/>
      <c r="LO31" s="93"/>
      <c r="LP31" s="93"/>
      <c r="LQ31" s="93"/>
      <c r="LR31" s="93"/>
      <c r="LS31" s="93"/>
      <c r="LT31" s="93"/>
      <c r="LU31" s="93"/>
      <c r="LV31" s="93"/>
      <c r="LW31" s="93"/>
      <c r="LX31" s="93"/>
      <c r="LY31" s="93"/>
      <c r="LZ31" s="93"/>
      <c r="MA31" s="93"/>
      <c r="MB31" s="93"/>
      <c r="MC31" s="93"/>
      <c r="MD31" s="93"/>
      <c r="ME31" s="93"/>
      <c r="MF31" s="93"/>
      <c r="MG31" s="93"/>
      <c r="MH31" s="93"/>
      <c r="MI31" s="93"/>
      <c r="MJ31" s="93"/>
      <c r="MK31" s="93"/>
      <c r="ML31" s="93"/>
      <c r="MM31" s="93"/>
      <c r="MN31" s="93"/>
      <c r="MO31" s="93"/>
      <c r="MP31" s="93"/>
      <c r="MQ31" s="93"/>
      <c r="MR31" s="93"/>
      <c r="MS31" s="93"/>
      <c r="MT31" s="93"/>
      <c r="MU31" s="93"/>
      <c r="MV31" s="93"/>
      <c r="MW31" s="93"/>
      <c r="MX31" s="93"/>
      <c r="MY31" s="93"/>
      <c r="MZ31" s="93"/>
      <c r="NA31" s="93"/>
      <c r="NB31" s="93"/>
      <c r="NC31" s="93"/>
      <c r="ND31" s="93"/>
      <c r="NE31" s="93"/>
      <c r="NF31" s="93"/>
      <c r="NG31" s="93"/>
      <c r="NH31" s="93"/>
      <c r="NI31" s="93"/>
      <c r="NJ31" s="93"/>
      <c r="NK31" s="93"/>
      <c r="NL31" s="93"/>
      <c r="NM31" s="93"/>
      <c r="NN31" s="93"/>
      <c r="NO31" s="93"/>
      <c r="NP31" s="93"/>
      <c r="NQ31" s="93"/>
      <c r="NR31" s="93"/>
      <c r="NS31" s="93"/>
      <c r="NT31" s="93"/>
      <c r="NU31" s="93"/>
      <c r="NV31" s="93"/>
      <c r="NW31" s="93"/>
      <c r="NX31" s="93"/>
      <c r="NY31" s="93"/>
      <c r="NZ31" s="93"/>
    </row>
    <row r="32" spans="1:390" ht="15.75" customHeight="1" x14ac:dyDescent="0.3">
      <c r="A32" s="98">
        <v>4849656994</v>
      </c>
      <c r="B32" s="182" t="s">
        <v>392</v>
      </c>
      <c r="C32" s="84" t="s">
        <v>393</v>
      </c>
      <c r="D32" s="87" t="s">
        <v>392</v>
      </c>
      <c r="E32" s="93" t="s">
        <v>699</v>
      </c>
      <c r="F32" s="93" t="s">
        <v>425</v>
      </c>
      <c r="G32" s="93" t="s">
        <v>399</v>
      </c>
      <c r="H32" s="101">
        <v>44420</v>
      </c>
      <c r="I32" s="93" t="s">
        <v>700</v>
      </c>
      <c r="J32" s="234" t="s">
        <v>701</v>
      </c>
      <c r="K32" s="93" t="s">
        <v>399</v>
      </c>
      <c r="L32" s="93" t="s">
        <v>399</v>
      </c>
      <c r="M32" s="93" t="s">
        <v>399</v>
      </c>
      <c r="N32" s="93" t="s">
        <v>399</v>
      </c>
      <c r="O32" s="93" t="s">
        <v>399</v>
      </c>
      <c r="P32" s="194" t="s">
        <v>399</v>
      </c>
      <c r="Q32" s="84" t="s">
        <v>399</v>
      </c>
      <c r="R32" s="197" t="s">
        <v>399</v>
      </c>
      <c r="S32" s="197" t="s">
        <v>399</v>
      </c>
      <c r="T32" s="197" t="s">
        <v>399</v>
      </c>
      <c r="U32" s="198" t="s">
        <v>399</v>
      </c>
      <c r="V32" s="84" t="s">
        <v>399</v>
      </c>
      <c r="W32" s="197" t="s">
        <v>399</v>
      </c>
      <c r="X32" s="197" t="s">
        <v>399</v>
      </c>
      <c r="Y32" s="197" t="s">
        <v>399</v>
      </c>
      <c r="Z32" s="198" t="s">
        <v>399</v>
      </c>
      <c r="AA32" s="84" t="s">
        <v>399</v>
      </c>
      <c r="AB32" s="199" t="s">
        <v>400</v>
      </c>
      <c r="AC32" s="193">
        <v>23034</v>
      </c>
      <c r="AD32" s="194">
        <v>44389</v>
      </c>
      <c r="AE32" s="86">
        <f t="shared" si="0"/>
        <v>58</v>
      </c>
      <c r="AF32" s="108" t="s">
        <v>401</v>
      </c>
      <c r="AG32" s="84" t="s">
        <v>402</v>
      </c>
      <c r="AH32" s="87" t="s">
        <v>403</v>
      </c>
      <c r="AI32" s="85" t="s">
        <v>404</v>
      </c>
      <c r="AJ32" s="93" t="s">
        <v>524</v>
      </c>
      <c r="AK32" s="85" t="s">
        <v>405</v>
      </c>
      <c r="AL32" s="109">
        <v>0</v>
      </c>
      <c r="AM32" s="84" t="s">
        <v>406</v>
      </c>
      <c r="AN32" s="195">
        <v>2</v>
      </c>
      <c r="AO32" s="83" t="s">
        <v>399</v>
      </c>
      <c r="AP32" s="88"/>
      <c r="AQ32" s="95"/>
      <c r="AR32" s="88"/>
      <c r="AS32" s="93"/>
      <c r="AT32" s="93"/>
      <c r="AU32" s="93"/>
      <c r="AV32" s="93"/>
      <c r="AW32" s="88"/>
      <c r="AX32" s="93"/>
      <c r="AY32" s="93"/>
      <c r="AZ32" s="93"/>
      <c r="BA32" s="93"/>
      <c r="BB32" s="88"/>
      <c r="BC32" s="93"/>
      <c r="BD32" s="93"/>
      <c r="BE32" s="93"/>
      <c r="BF32" s="93"/>
      <c r="BG32" s="88"/>
      <c r="BH32" s="93"/>
      <c r="BI32" s="93"/>
      <c r="BJ32" s="93"/>
      <c r="BK32" s="93"/>
      <c r="BL32" s="88"/>
      <c r="BM32" s="93"/>
      <c r="BN32" s="93"/>
      <c r="BO32" s="93"/>
      <c r="BP32" s="93"/>
      <c r="BQ32" s="88"/>
      <c r="BR32" s="93"/>
      <c r="BS32" s="93"/>
      <c r="BT32" s="93"/>
      <c r="BU32" s="93"/>
      <c r="BV32" s="88"/>
      <c r="BW32" s="93"/>
      <c r="BX32" s="93"/>
      <c r="BY32" s="93"/>
      <c r="BZ32" s="93"/>
      <c r="CA32" s="88"/>
      <c r="CB32" s="93"/>
      <c r="CC32" s="93"/>
      <c r="CD32" s="93"/>
      <c r="CE32" s="93"/>
      <c r="CF32" s="88"/>
      <c r="CG32" s="93"/>
      <c r="CH32" s="93"/>
      <c r="CI32" s="93"/>
      <c r="CJ32" s="93"/>
      <c r="CK32" s="88"/>
      <c r="CL32" s="93"/>
      <c r="CM32" s="93"/>
      <c r="CN32" s="93"/>
      <c r="CO32" s="93"/>
      <c r="CP32" s="88"/>
      <c r="CQ32" s="93"/>
      <c r="CR32" s="93"/>
      <c r="CS32" s="93"/>
      <c r="CT32" s="93"/>
      <c r="CU32" s="88"/>
      <c r="CV32" s="93"/>
      <c r="CW32" s="93"/>
      <c r="CX32" s="93"/>
      <c r="CY32" s="93"/>
      <c r="CZ32" s="88"/>
      <c r="DA32" s="93"/>
      <c r="DB32" s="93"/>
      <c r="DC32" s="93"/>
      <c r="DD32" s="93"/>
      <c r="DE32" s="88"/>
      <c r="DF32" s="93"/>
      <c r="DG32" s="93"/>
      <c r="DH32" s="93"/>
      <c r="DI32" s="93"/>
      <c r="DJ32" s="88"/>
      <c r="DK32" s="93"/>
      <c r="DL32" s="93"/>
      <c r="DM32" s="93"/>
      <c r="DN32" s="93"/>
      <c r="DO32" s="88"/>
      <c r="DP32" s="93"/>
      <c r="DQ32" s="93"/>
      <c r="DR32" s="93"/>
      <c r="DS32" s="93"/>
      <c r="DT32" s="88"/>
      <c r="DU32" s="93"/>
      <c r="DV32" s="93"/>
      <c r="DW32" s="93"/>
      <c r="DX32" s="93"/>
      <c r="DY32" s="88"/>
      <c r="DZ32" s="93"/>
      <c r="EA32" s="93"/>
      <c r="EB32" s="93"/>
      <c r="EC32" s="93"/>
      <c r="ED32" s="88"/>
      <c r="EE32" s="93"/>
      <c r="EF32" s="93"/>
      <c r="EG32" s="93"/>
      <c r="EH32" s="93"/>
      <c r="EI32" s="88"/>
      <c r="EJ32" s="93"/>
      <c r="EK32" s="93"/>
      <c r="EL32" s="93"/>
      <c r="EM32" s="93"/>
      <c r="EN32" s="88"/>
      <c r="EO32" s="93"/>
      <c r="EP32" s="93"/>
      <c r="EQ32" s="93"/>
      <c r="ER32" s="93"/>
      <c r="ES32" s="88"/>
      <c r="ET32" s="93"/>
      <c r="EU32" s="93"/>
      <c r="EV32" s="93"/>
      <c r="EW32" s="93"/>
      <c r="EX32" s="88"/>
      <c r="EY32" s="93"/>
      <c r="EZ32" s="93"/>
      <c r="FA32" s="93"/>
      <c r="FB32" s="93"/>
      <c r="FC32" s="88"/>
      <c r="FD32" s="93"/>
      <c r="FE32" s="93"/>
      <c r="FF32" s="93"/>
      <c r="FG32" s="93"/>
      <c r="FH32" s="88"/>
      <c r="FI32" s="93"/>
      <c r="FJ32" s="93"/>
      <c r="FK32" s="93"/>
      <c r="FL32" s="93"/>
      <c r="FM32" s="93"/>
      <c r="FN32" s="93"/>
      <c r="FO32" s="93"/>
      <c r="FP32" s="93"/>
      <c r="FQ32" s="93"/>
      <c r="FR32" s="93"/>
      <c r="FS32" s="93"/>
      <c r="FT32" s="93"/>
      <c r="FU32" s="93"/>
      <c r="FV32" s="93"/>
      <c r="FW32" s="93"/>
      <c r="FX32" s="93"/>
      <c r="FY32" s="93"/>
      <c r="FZ32" s="93"/>
      <c r="GA32" s="93"/>
      <c r="GB32" s="93"/>
      <c r="GC32" s="93"/>
      <c r="GD32" s="93"/>
      <c r="GE32" s="93"/>
      <c r="GF32" s="93"/>
      <c r="GG32" s="93"/>
      <c r="GH32" s="93"/>
      <c r="GI32" s="93"/>
      <c r="GJ32" s="93"/>
      <c r="GK32" s="93"/>
      <c r="GL32" s="93"/>
      <c r="GM32" s="93"/>
      <c r="GN32" s="93"/>
      <c r="GO32" s="93"/>
      <c r="GP32" s="88"/>
      <c r="GQ32" s="93"/>
      <c r="GR32" s="93"/>
      <c r="GS32" s="93"/>
      <c r="GT32" s="93"/>
      <c r="GU32" s="88"/>
      <c r="GV32" s="93"/>
      <c r="GW32" s="93"/>
      <c r="GX32" s="93"/>
      <c r="GY32" s="93"/>
      <c r="GZ32" s="88"/>
      <c r="HA32" s="93"/>
      <c r="HB32" s="93"/>
      <c r="HC32" s="93"/>
      <c r="HD32" s="93"/>
      <c r="HE32" s="88"/>
      <c r="HF32" s="93"/>
      <c r="HG32" s="93"/>
      <c r="HH32" s="93"/>
      <c r="HI32" s="93"/>
      <c r="HJ32" s="88"/>
      <c r="HK32" s="93"/>
      <c r="HL32" s="93"/>
      <c r="HM32" s="93"/>
      <c r="HN32" s="93"/>
      <c r="HO32" s="88"/>
      <c r="HP32" s="93"/>
      <c r="HQ32" s="93"/>
      <c r="HR32" s="93"/>
      <c r="HS32" s="93"/>
      <c r="HT32" s="88"/>
      <c r="HU32" s="93"/>
      <c r="HV32" s="93"/>
      <c r="HW32" s="93"/>
      <c r="HX32" s="93"/>
      <c r="HY32" s="88"/>
      <c r="HZ32" s="93"/>
      <c r="IA32" s="93"/>
      <c r="IB32" s="93"/>
      <c r="IC32" s="93"/>
      <c r="ID32" s="88"/>
      <c r="IE32" s="93"/>
      <c r="IF32" s="93"/>
      <c r="IG32" s="93"/>
      <c r="IH32" s="93"/>
      <c r="II32" s="88"/>
      <c r="IJ32" s="93"/>
      <c r="IK32" s="93"/>
      <c r="IL32" s="93"/>
      <c r="IM32" s="93"/>
      <c r="IN32" s="88"/>
      <c r="IO32" s="93"/>
      <c r="IP32" s="93"/>
      <c r="IQ32" s="93"/>
      <c r="IR32" s="93"/>
      <c r="IS32" s="88"/>
      <c r="IT32" s="93"/>
      <c r="IU32" s="93"/>
      <c r="IV32" s="93"/>
      <c r="IW32" s="93"/>
      <c r="IX32" s="88"/>
      <c r="IY32" s="93"/>
      <c r="IZ32" s="93"/>
      <c r="JA32" s="93"/>
      <c r="JB32" s="93"/>
      <c r="JC32" s="88"/>
      <c r="JD32" s="93"/>
      <c r="JE32" s="93"/>
      <c r="JF32" s="93"/>
      <c r="JG32" s="94"/>
      <c r="JH32" s="88"/>
      <c r="JI32" s="95"/>
      <c r="JJ32" s="93"/>
      <c r="JK32" s="93"/>
      <c r="JL32" s="94"/>
      <c r="JM32" s="89"/>
      <c r="JN32" s="96"/>
      <c r="JO32" s="84"/>
      <c r="JP32" s="95"/>
      <c r="JQ32" s="93"/>
      <c r="JR32" s="93"/>
      <c r="JS32" s="93"/>
      <c r="JT32" s="93"/>
      <c r="JU32" s="93"/>
      <c r="JV32" s="93"/>
      <c r="JW32" s="93"/>
      <c r="JX32" s="93"/>
      <c r="JY32" s="93"/>
      <c r="JZ32" s="93"/>
      <c r="KA32" s="93"/>
      <c r="KB32" s="93"/>
      <c r="KC32" s="93"/>
      <c r="KD32" s="93"/>
      <c r="KE32" s="93"/>
      <c r="KF32" s="93"/>
      <c r="KG32" s="93"/>
      <c r="KH32" s="93"/>
      <c r="KI32" s="93"/>
      <c r="KJ32" s="93"/>
      <c r="KK32" s="93"/>
      <c r="KL32" s="93"/>
      <c r="KM32" s="93"/>
      <c r="KN32" s="93"/>
      <c r="KO32" s="93"/>
      <c r="KP32" s="93"/>
      <c r="KQ32" s="93"/>
      <c r="KR32" s="93"/>
      <c r="KS32" s="93"/>
      <c r="KT32" s="93"/>
      <c r="KU32" s="93"/>
      <c r="KV32" s="93"/>
      <c r="KW32" s="93"/>
      <c r="KX32" s="93"/>
      <c r="KY32" s="93"/>
      <c r="KZ32" s="93"/>
      <c r="LA32" s="93"/>
      <c r="LB32" s="93"/>
      <c r="LC32" s="93"/>
      <c r="LD32" s="93"/>
      <c r="LE32" s="93"/>
      <c r="LF32" s="93"/>
      <c r="LG32" s="93"/>
      <c r="LH32" s="93"/>
      <c r="LI32" s="93"/>
      <c r="LJ32" s="93"/>
      <c r="LK32" s="93"/>
      <c r="LL32" s="93"/>
      <c r="LM32" s="93"/>
      <c r="LN32" s="93"/>
      <c r="LO32" s="93"/>
      <c r="LP32" s="93"/>
      <c r="LQ32" s="93"/>
      <c r="LR32" s="93"/>
      <c r="LS32" s="93"/>
      <c r="LT32" s="93"/>
      <c r="LU32" s="93"/>
      <c r="LV32" s="93"/>
      <c r="LW32" s="93"/>
      <c r="LX32" s="93"/>
      <c r="LY32" s="93"/>
      <c r="LZ32" s="93"/>
      <c r="MA32" s="93"/>
      <c r="MB32" s="93"/>
      <c r="MC32" s="93"/>
      <c r="MD32" s="93"/>
      <c r="ME32" s="93"/>
      <c r="MF32" s="93"/>
      <c r="MG32" s="93"/>
      <c r="MH32" s="93"/>
      <c r="MI32" s="93"/>
      <c r="MJ32" s="93"/>
      <c r="MK32" s="93"/>
      <c r="ML32" s="93"/>
      <c r="MM32" s="93"/>
      <c r="MN32" s="93"/>
      <c r="MO32" s="93"/>
      <c r="MP32" s="93"/>
      <c r="MQ32" s="93"/>
      <c r="MR32" s="93"/>
      <c r="MS32" s="93"/>
      <c r="MT32" s="93"/>
      <c r="MU32" s="93"/>
      <c r="MV32" s="93"/>
      <c r="MW32" s="93"/>
      <c r="MX32" s="93"/>
      <c r="MY32" s="93"/>
      <c r="MZ32" s="93"/>
      <c r="NA32" s="93"/>
      <c r="NB32" s="93"/>
      <c r="NC32" s="93"/>
      <c r="ND32" s="93"/>
      <c r="NE32" s="93"/>
      <c r="NF32" s="93"/>
      <c r="NG32" s="93"/>
      <c r="NH32" s="93"/>
      <c r="NI32" s="93"/>
      <c r="NJ32" s="93"/>
      <c r="NK32" s="93"/>
      <c r="NL32" s="93"/>
      <c r="NM32" s="93"/>
      <c r="NN32" s="93"/>
      <c r="NO32" s="93"/>
      <c r="NP32" s="93"/>
      <c r="NQ32" s="93"/>
      <c r="NR32" s="93"/>
      <c r="NS32" s="93"/>
      <c r="NT32" s="93"/>
      <c r="NU32" s="93"/>
      <c r="NV32" s="93"/>
      <c r="NW32" s="93"/>
      <c r="NX32" s="93"/>
      <c r="NY32" s="93"/>
      <c r="NZ32" s="93"/>
    </row>
    <row r="33" spans="1:390" ht="15.75" customHeight="1" x14ac:dyDescent="0.3">
      <c r="A33" s="98">
        <v>4123777023</v>
      </c>
      <c r="B33" s="182" t="s">
        <v>392</v>
      </c>
      <c r="C33" s="84" t="s">
        <v>393</v>
      </c>
      <c r="D33" s="87" t="s">
        <v>392</v>
      </c>
      <c r="E33" s="93" t="s">
        <v>702</v>
      </c>
      <c r="F33" s="116" t="s">
        <v>432</v>
      </c>
      <c r="G33" s="93" t="s">
        <v>399</v>
      </c>
      <c r="H33" s="101">
        <v>44473</v>
      </c>
      <c r="I33" s="92" t="s">
        <v>703</v>
      </c>
      <c r="J33" s="234" t="s">
        <v>398</v>
      </c>
      <c r="K33" s="93" t="s">
        <v>399</v>
      </c>
      <c r="L33" s="93" t="s">
        <v>399</v>
      </c>
      <c r="M33" s="93" t="s">
        <v>399</v>
      </c>
      <c r="N33" s="93" t="s">
        <v>399</v>
      </c>
      <c r="O33" s="93" t="s">
        <v>399</v>
      </c>
      <c r="P33" s="194" t="s">
        <v>399</v>
      </c>
      <c r="Q33" s="84" t="s">
        <v>399</v>
      </c>
      <c r="R33" s="197" t="s">
        <v>399</v>
      </c>
      <c r="S33" s="197" t="s">
        <v>399</v>
      </c>
      <c r="T33" s="197" t="s">
        <v>399</v>
      </c>
      <c r="U33" s="198" t="s">
        <v>399</v>
      </c>
      <c r="V33" s="84" t="s">
        <v>399</v>
      </c>
      <c r="W33" s="197" t="s">
        <v>399</v>
      </c>
      <c r="X33" s="197" t="s">
        <v>399</v>
      </c>
      <c r="Y33" s="197" t="s">
        <v>399</v>
      </c>
      <c r="Z33" s="198" t="s">
        <v>399</v>
      </c>
      <c r="AA33" s="84" t="s">
        <v>399</v>
      </c>
      <c r="AB33" s="199" t="s">
        <v>400</v>
      </c>
      <c r="AC33" s="193">
        <v>24106</v>
      </c>
      <c r="AD33" s="194">
        <v>44392</v>
      </c>
      <c r="AE33" s="86">
        <f t="shared" si="0"/>
        <v>55</v>
      </c>
      <c r="AF33" s="108" t="s">
        <v>401</v>
      </c>
      <c r="AG33" s="84" t="s">
        <v>402</v>
      </c>
      <c r="AH33" s="87" t="s">
        <v>403</v>
      </c>
      <c r="AI33" s="85" t="s">
        <v>404</v>
      </c>
      <c r="AJ33" s="85">
        <v>0</v>
      </c>
      <c r="AK33" s="85" t="s">
        <v>405</v>
      </c>
      <c r="AL33" s="109">
        <v>0</v>
      </c>
      <c r="AM33" s="84" t="s">
        <v>406</v>
      </c>
      <c r="AN33" s="195">
        <v>2</v>
      </c>
      <c r="AO33" s="83" t="s">
        <v>399</v>
      </c>
      <c r="AP33" s="88"/>
      <c r="AQ33" s="95"/>
      <c r="AR33" s="88"/>
      <c r="AS33" s="93"/>
      <c r="AT33" s="93"/>
      <c r="AU33" s="93"/>
      <c r="AV33" s="93"/>
      <c r="AW33" s="88"/>
      <c r="AX33" s="93"/>
      <c r="AY33" s="93"/>
      <c r="AZ33" s="93"/>
      <c r="BA33" s="93"/>
      <c r="BB33" s="88"/>
      <c r="BC33" s="93"/>
      <c r="BD33" s="93"/>
      <c r="BE33" s="93"/>
      <c r="BF33" s="93"/>
      <c r="BG33" s="88"/>
      <c r="BH33" s="93"/>
      <c r="BI33" s="93"/>
      <c r="BJ33" s="93"/>
      <c r="BK33" s="93"/>
      <c r="BL33" s="88"/>
      <c r="BM33" s="93"/>
      <c r="BN33" s="93"/>
      <c r="BO33" s="93"/>
      <c r="BP33" s="93"/>
      <c r="BQ33" s="88"/>
      <c r="BR33" s="93"/>
      <c r="BS33" s="93"/>
      <c r="BT33" s="93"/>
      <c r="BU33" s="93"/>
      <c r="BV33" s="88"/>
      <c r="BW33" s="93"/>
      <c r="BX33" s="93"/>
      <c r="BY33" s="93"/>
      <c r="BZ33" s="93"/>
      <c r="CA33" s="88"/>
      <c r="CB33" s="93"/>
      <c r="CC33" s="93"/>
      <c r="CD33" s="93"/>
      <c r="CE33" s="93"/>
      <c r="CF33" s="88"/>
      <c r="CG33" s="93"/>
      <c r="CH33" s="93"/>
      <c r="CI33" s="93"/>
      <c r="CJ33" s="93"/>
      <c r="CK33" s="88"/>
      <c r="CL33" s="93"/>
      <c r="CM33" s="93"/>
      <c r="CN33" s="93"/>
      <c r="CO33" s="93"/>
      <c r="CP33" s="88"/>
      <c r="CQ33" s="93"/>
      <c r="CR33" s="93"/>
      <c r="CS33" s="93"/>
      <c r="CT33" s="93"/>
      <c r="CU33" s="88"/>
      <c r="CV33" s="93"/>
      <c r="CW33" s="93"/>
      <c r="CX33" s="93"/>
      <c r="CY33" s="93"/>
      <c r="CZ33" s="88"/>
      <c r="DA33" s="93"/>
      <c r="DB33" s="93"/>
      <c r="DC33" s="93"/>
      <c r="DD33" s="93"/>
      <c r="DE33" s="88"/>
      <c r="DF33" s="93"/>
      <c r="DG33" s="93"/>
      <c r="DH33" s="93"/>
      <c r="DI33" s="93"/>
      <c r="DJ33" s="88"/>
      <c r="DK33" s="93"/>
      <c r="DL33" s="93"/>
      <c r="DM33" s="93"/>
      <c r="DN33" s="93"/>
      <c r="DO33" s="88"/>
      <c r="DP33" s="93"/>
      <c r="DQ33" s="93"/>
      <c r="DR33" s="93"/>
      <c r="DS33" s="93"/>
      <c r="DT33" s="88"/>
      <c r="DU33" s="93"/>
      <c r="DV33" s="93"/>
      <c r="DW33" s="93"/>
      <c r="DX33" s="93"/>
      <c r="DY33" s="88"/>
      <c r="DZ33" s="93"/>
      <c r="EA33" s="93"/>
      <c r="EB33" s="93"/>
      <c r="EC33" s="93"/>
      <c r="ED33" s="88"/>
      <c r="EE33" s="93"/>
      <c r="EF33" s="93"/>
      <c r="EG33" s="93"/>
      <c r="EH33" s="93"/>
      <c r="EI33" s="88"/>
      <c r="EJ33" s="93"/>
      <c r="EK33" s="93"/>
      <c r="EL33" s="93"/>
      <c r="EM33" s="93"/>
      <c r="EN33" s="88"/>
      <c r="EO33" s="93"/>
      <c r="EP33" s="93"/>
      <c r="EQ33" s="93"/>
      <c r="ER33" s="93"/>
      <c r="ES33" s="88"/>
      <c r="ET33" s="93"/>
      <c r="EU33" s="93"/>
      <c r="EV33" s="93"/>
      <c r="EW33" s="93"/>
      <c r="EX33" s="88"/>
      <c r="EY33" s="93"/>
      <c r="EZ33" s="93"/>
      <c r="FA33" s="93"/>
      <c r="FB33" s="93"/>
      <c r="FC33" s="88"/>
      <c r="FD33" s="93"/>
      <c r="FE33" s="93"/>
      <c r="FF33" s="93"/>
      <c r="FG33" s="93"/>
      <c r="FH33" s="88"/>
      <c r="FI33" s="93"/>
      <c r="FJ33" s="93"/>
      <c r="FK33" s="93"/>
      <c r="FL33" s="93"/>
      <c r="FM33" s="93"/>
      <c r="FN33" s="93"/>
      <c r="FO33" s="93"/>
      <c r="FP33" s="93"/>
      <c r="FQ33" s="93"/>
      <c r="FR33" s="93"/>
      <c r="FS33" s="93"/>
      <c r="FT33" s="93"/>
      <c r="FU33" s="93"/>
      <c r="FV33" s="93"/>
      <c r="FW33" s="93"/>
      <c r="FX33" s="93"/>
      <c r="FY33" s="93"/>
      <c r="FZ33" s="93"/>
      <c r="GA33" s="93"/>
      <c r="GB33" s="93"/>
      <c r="GC33" s="93"/>
      <c r="GD33" s="93"/>
      <c r="GE33" s="93"/>
      <c r="GF33" s="93"/>
      <c r="GG33" s="93"/>
      <c r="GH33" s="93"/>
      <c r="GI33" s="93"/>
      <c r="GJ33" s="93"/>
      <c r="GK33" s="93"/>
      <c r="GL33" s="93"/>
      <c r="GM33" s="93"/>
      <c r="GN33" s="93"/>
      <c r="GO33" s="93"/>
      <c r="GP33" s="88"/>
      <c r="GQ33" s="93"/>
      <c r="GR33" s="93"/>
      <c r="GS33" s="93"/>
      <c r="GT33" s="93"/>
      <c r="GU33" s="88"/>
      <c r="GV33" s="93"/>
      <c r="GW33" s="93"/>
      <c r="GX33" s="93"/>
      <c r="GY33" s="93"/>
      <c r="GZ33" s="88"/>
      <c r="HA33" s="93"/>
      <c r="HB33" s="93"/>
      <c r="HC33" s="93"/>
      <c r="HD33" s="93"/>
      <c r="HE33" s="88"/>
      <c r="HF33" s="93"/>
      <c r="HG33" s="93"/>
      <c r="HH33" s="93"/>
      <c r="HI33" s="93"/>
      <c r="HJ33" s="88"/>
      <c r="HK33" s="93"/>
      <c r="HL33" s="93"/>
      <c r="HM33" s="93"/>
      <c r="HN33" s="93"/>
      <c r="HO33" s="88"/>
      <c r="HP33" s="93"/>
      <c r="HQ33" s="93"/>
      <c r="HR33" s="93"/>
      <c r="HS33" s="93"/>
      <c r="HT33" s="88"/>
      <c r="HU33" s="93"/>
      <c r="HV33" s="93"/>
      <c r="HW33" s="93"/>
      <c r="HX33" s="93"/>
      <c r="HY33" s="88"/>
      <c r="HZ33" s="93"/>
      <c r="IA33" s="93"/>
      <c r="IB33" s="93"/>
      <c r="IC33" s="93"/>
      <c r="ID33" s="88"/>
      <c r="IE33" s="93"/>
      <c r="IF33" s="93"/>
      <c r="IG33" s="93"/>
      <c r="IH33" s="93"/>
      <c r="II33" s="88"/>
      <c r="IJ33" s="93"/>
      <c r="IK33" s="93"/>
      <c r="IL33" s="93"/>
      <c r="IM33" s="93"/>
      <c r="IN33" s="88"/>
      <c r="IO33" s="93"/>
      <c r="IP33" s="93"/>
      <c r="IQ33" s="93"/>
      <c r="IR33" s="93"/>
      <c r="IS33" s="88"/>
      <c r="IT33" s="93"/>
      <c r="IU33" s="93"/>
      <c r="IV33" s="93"/>
      <c r="IW33" s="93"/>
      <c r="IX33" s="88"/>
      <c r="IY33" s="93"/>
      <c r="IZ33" s="93"/>
      <c r="JA33" s="93"/>
      <c r="JB33" s="93"/>
      <c r="JC33" s="88"/>
      <c r="JD33" s="93"/>
      <c r="JE33" s="93"/>
      <c r="JF33" s="93"/>
      <c r="JG33" s="94"/>
      <c r="JH33" s="88"/>
      <c r="JI33" s="95"/>
      <c r="JJ33" s="93"/>
      <c r="JK33" s="93"/>
      <c r="JL33" s="94"/>
      <c r="JM33" s="89"/>
      <c r="JN33" s="96"/>
      <c r="JO33" s="84"/>
      <c r="JP33" s="95"/>
      <c r="JQ33" s="93"/>
      <c r="JR33" s="93"/>
      <c r="JS33" s="93"/>
      <c r="JT33" s="93"/>
      <c r="JU33" s="93"/>
      <c r="JV33" s="93"/>
      <c r="JW33" s="93"/>
      <c r="JX33" s="93"/>
      <c r="JY33" s="93"/>
      <c r="JZ33" s="93"/>
      <c r="KA33" s="93"/>
      <c r="KB33" s="93"/>
      <c r="KC33" s="93"/>
      <c r="KD33" s="93"/>
      <c r="KE33" s="93"/>
      <c r="KF33" s="93"/>
      <c r="KG33" s="93"/>
      <c r="KH33" s="93"/>
      <c r="KI33" s="93"/>
      <c r="KJ33" s="93"/>
      <c r="KK33" s="93"/>
      <c r="KL33" s="93"/>
      <c r="KM33" s="93"/>
      <c r="KN33" s="93"/>
      <c r="KO33" s="93"/>
      <c r="KP33" s="93"/>
      <c r="KQ33" s="93"/>
      <c r="KR33" s="93"/>
      <c r="KS33" s="93"/>
      <c r="KT33" s="93"/>
      <c r="KU33" s="93"/>
      <c r="KV33" s="93"/>
      <c r="KW33" s="93"/>
      <c r="KX33" s="93"/>
      <c r="KY33" s="93"/>
      <c r="KZ33" s="93"/>
      <c r="LA33" s="93"/>
      <c r="LB33" s="93"/>
      <c r="LC33" s="93"/>
      <c r="LD33" s="93"/>
      <c r="LE33" s="93"/>
      <c r="LF33" s="93"/>
      <c r="LG33" s="93"/>
      <c r="LH33" s="93"/>
      <c r="LI33" s="93"/>
      <c r="LJ33" s="93"/>
      <c r="LK33" s="93"/>
      <c r="LL33" s="93"/>
      <c r="LM33" s="93"/>
      <c r="LN33" s="93"/>
      <c r="LO33" s="93"/>
      <c r="LP33" s="93"/>
      <c r="LQ33" s="93"/>
      <c r="LR33" s="93"/>
      <c r="LS33" s="93"/>
      <c r="LT33" s="93"/>
      <c r="LU33" s="93"/>
      <c r="LV33" s="93"/>
      <c r="LW33" s="93"/>
      <c r="LX33" s="93"/>
      <c r="LY33" s="93"/>
      <c r="LZ33" s="93"/>
      <c r="MA33" s="93"/>
      <c r="MB33" s="93"/>
      <c r="MC33" s="93"/>
      <c r="MD33" s="93"/>
      <c r="ME33" s="93"/>
      <c r="MF33" s="93"/>
      <c r="MG33" s="93"/>
      <c r="MH33" s="93"/>
      <c r="MI33" s="93"/>
      <c r="MJ33" s="93"/>
      <c r="MK33" s="93"/>
      <c r="ML33" s="93"/>
      <c r="MM33" s="93"/>
      <c r="MN33" s="93"/>
      <c r="MO33" s="93"/>
      <c r="MP33" s="93"/>
      <c r="MQ33" s="93"/>
      <c r="MR33" s="93"/>
      <c r="MS33" s="93"/>
      <c r="MT33" s="93"/>
      <c r="MU33" s="93"/>
      <c r="MV33" s="93"/>
      <c r="MW33" s="93"/>
      <c r="MX33" s="93"/>
      <c r="MY33" s="93"/>
      <c r="MZ33" s="93"/>
      <c r="NA33" s="93"/>
      <c r="NB33" s="93"/>
      <c r="NC33" s="93"/>
      <c r="ND33" s="93"/>
      <c r="NE33" s="93"/>
      <c r="NF33" s="93"/>
      <c r="NG33" s="93"/>
      <c r="NH33" s="93"/>
      <c r="NI33" s="93"/>
      <c r="NJ33" s="93"/>
      <c r="NK33" s="93"/>
      <c r="NL33" s="93"/>
      <c r="NM33" s="93"/>
      <c r="NN33" s="93"/>
      <c r="NO33" s="93"/>
      <c r="NP33" s="93"/>
      <c r="NQ33" s="93"/>
      <c r="NR33" s="93"/>
      <c r="NS33" s="93"/>
      <c r="NT33" s="93"/>
      <c r="NU33" s="93"/>
      <c r="NV33" s="93"/>
      <c r="NW33" s="93"/>
      <c r="NX33" s="93"/>
      <c r="NY33" s="93"/>
      <c r="NZ33" s="93"/>
    </row>
    <row r="34" spans="1:390" ht="15.75" customHeight="1" x14ac:dyDescent="0.3">
      <c r="A34" s="98">
        <v>4148131860</v>
      </c>
      <c r="B34" s="182" t="s">
        <v>392</v>
      </c>
      <c r="C34" s="84" t="s">
        <v>393</v>
      </c>
      <c r="D34" s="87" t="s">
        <v>392</v>
      </c>
      <c r="E34" s="93" t="s">
        <v>704</v>
      </c>
      <c r="F34" s="93" t="s">
        <v>682</v>
      </c>
      <c r="G34" s="93" t="s">
        <v>538</v>
      </c>
      <c r="H34" s="101">
        <v>44484</v>
      </c>
      <c r="I34" s="92" t="s">
        <v>705</v>
      </c>
      <c r="J34" s="92" t="s">
        <v>706</v>
      </c>
      <c r="K34" s="93" t="s">
        <v>399</v>
      </c>
      <c r="L34" s="93" t="s">
        <v>399</v>
      </c>
      <c r="M34" s="93" t="s">
        <v>399</v>
      </c>
      <c r="N34" s="93" t="s">
        <v>399</v>
      </c>
      <c r="O34" s="93" t="s">
        <v>399</v>
      </c>
      <c r="P34" s="194" t="s">
        <v>399</v>
      </c>
      <c r="Q34" s="84" t="s">
        <v>399</v>
      </c>
      <c r="R34" s="197" t="s">
        <v>399</v>
      </c>
      <c r="S34" s="197" t="s">
        <v>399</v>
      </c>
      <c r="T34" s="197" t="s">
        <v>399</v>
      </c>
      <c r="U34" s="198" t="s">
        <v>399</v>
      </c>
      <c r="V34" s="84" t="s">
        <v>399</v>
      </c>
      <c r="W34" s="197" t="s">
        <v>399</v>
      </c>
      <c r="X34" s="197" t="s">
        <v>399</v>
      </c>
      <c r="Y34" s="197" t="s">
        <v>399</v>
      </c>
      <c r="Z34" s="198" t="s">
        <v>399</v>
      </c>
      <c r="AA34" s="84" t="s">
        <v>399</v>
      </c>
      <c r="AB34" s="199" t="s">
        <v>400</v>
      </c>
      <c r="AC34" s="193">
        <v>24245</v>
      </c>
      <c r="AD34" s="194">
        <v>44445</v>
      </c>
      <c r="AE34" s="86">
        <f t="shared" si="0"/>
        <v>55</v>
      </c>
      <c r="AF34" s="108" t="s">
        <v>435</v>
      </c>
      <c r="AG34" s="84" t="s">
        <v>402</v>
      </c>
      <c r="AH34" s="87" t="s">
        <v>403</v>
      </c>
      <c r="AI34" s="98" t="s">
        <v>411</v>
      </c>
      <c r="AJ34" s="85">
        <v>0</v>
      </c>
      <c r="AK34" s="85" t="s">
        <v>405</v>
      </c>
      <c r="AL34" s="109">
        <v>0</v>
      </c>
      <c r="AM34" s="84" t="s">
        <v>412</v>
      </c>
      <c r="AN34" s="195">
        <v>2</v>
      </c>
      <c r="AO34" s="83" t="s">
        <v>399</v>
      </c>
      <c r="AP34" s="88"/>
      <c r="AQ34" s="95"/>
      <c r="AR34" s="88"/>
      <c r="AS34" s="93"/>
      <c r="AT34" s="93"/>
      <c r="AU34" s="93"/>
      <c r="AV34" s="93"/>
      <c r="AW34" s="88"/>
      <c r="AX34" s="93"/>
      <c r="AY34" s="93"/>
      <c r="AZ34" s="93"/>
      <c r="BA34" s="93"/>
      <c r="BB34" s="88"/>
      <c r="BC34" s="93"/>
      <c r="BD34" s="93"/>
      <c r="BE34" s="93"/>
      <c r="BF34" s="93"/>
      <c r="BG34" s="88"/>
      <c r="BH34" s="93"/>
      <c r="BI34" s="93"/>
      <c r="BJ34" s="93"/>
      <c r="BK34" s="93"/>
      <c r="BL34" s="88"/>
      <c r="BM34" s="93"/>
      <c r="BN34" s="93"/>
      <c r="BO34" s="93"/>
      <c r="BP34" s="93"/>
      <c r="BQ34" s="88"/>
      <c r="BR34" s="93"/>
      <c r="BS34" s="93"/>
      <c r="BT34" s="93"/>
      <c r="BU34" s="93"/>
      <c r="BV34" s="88"/>
      <c r="BW34" s="93"/>
      <c r="BX34" s="93"/>
      <c r="BY34" s="93"/>
      <c r="BZ34" s="93"/>
      <c r="CA34" s="88"/>
      <c r="CB34" s="93"/>
      <c r="CC34" s="93"/>
      <c r="CD34" s="93"/>
      <c r="CE34" s="93"/>
      <c r="CF34" s="88"/>
      <c r="CG34" s="93"/>
      <c r="CH34" s="93"/>
      <c r="CI34" s="93"/>
      <c r="CJ34" s="93"/>
      <c r="CK34" s="88"/>
      <c r="CL34" s="93"/>
      <c r="CM34" s="93"/>
      <c r="CN34" s="93"/>
      <c r="CO34" s="93"/>
      <c r="CP34" s="88"/>
      <c r="CQ34" s="93"/>
      <c r="CR34" s="93"/>
      <c r="CS34" s="93"/>
      <c r="CT34" s="93"/>
      <c r="CU34" s="88"/>
      <c r="CV34" s="93"/>
      <c r="CW34" s="93"/>
      <c r="CX34" s="93"/>
      <c r="CY34" s="93"/>
      <c r="CZ34" s="88"/>
      <c r="DA34" s="93"/>
      <c r="DB34" s="93"/>
      <c r="DC34" s="93"/>
      <c r="DD34" s="93"/>
      <c r="DE34" s="88"/>
      <c r="DF34" s="93"/>
      <c r="DG34" s="93"/>
      <c r="DH34" s="93"/>
      <c r="DI34" s="93"/>
      <c r="DJ34" s="88"/>
      <c r="DK34" s="93"/>
      <c r="DL34" s="93"/>
      <c r="DM34" s="93"/>
      <c r="DN34" s="93"/>
      <c r="DO34" s="88"/>
      <c r="DP34" s="93"/>
      <c r="DQ34" s="93"/>
      <c r="DR34" s="93"/>
      <c r="DS34" s="93"/>
      <c r="DT34" s="88"/>
      <c r="DU34" s="93"/>
      <c r="DV34" s="93"/>
      <c r="DW34" s="93"/>
      <c r="DX34" s="93"/>
      <c r="DY34" s="88"/>
      <c r="DZ34" s="93"/>
      <c r="EA34" s="93"/>
      <c r="EB34" s="93"/>
      <c r="EC34" s="93"/>
      <c r="ED34" s="88"/>
      <c r="EE34" s="93"/>
      <c r="EF34" s="93"/>
      <c r="EG34" s="93"/>
      <c r="EH34" s="93"/>
      <c r="EI34" s="88"/>
      <c r="EJ34" s="93"/>
      <c r="EK34" s="93"/>
      <c r="EL34" s="93"/>
      <c r="EM34" s="93"/>
      <c r="EN34" s="88"/>
      <c r="EO34" s="93"/>
      <c r="EP34" s="93"/>
      <c r="EQ34" s="93"/>
      <c r="ER34" s="93"/>
      <c r="ES34" s="88"/>
      <c r="ET34" s="93"/>
      <c r="EU34" s="93"/>
      <c r="EV34" s="93"/>
      <c r="EW34" s="93"/>
      <c r="EX34" s="88"/>
      <c r="EY34" s="93"/>
      <c r="EZ34" s="93"/>
      <c r="FA34" s="93"/>
      <c r="FB34" s="93"/>
      <c r="FC34" s="88"/>
      <c r="FD34" s="93"/>
      <c r="FE34" s="93"/>
      <c r="FF34" s="93"/>
      <c r="FG34" s="93"/>
      <c r="FH34" s="88"/>
      <c r="FI34" s="93"/>
      <c r="FJ34" s="93"/>
      <c r="FK34" s="93"/>
      <c r="FL34" s="93"/>
      <c r="FM34" s="93"/>
      <c r="FN34" s="93"/>
      <c r="FO34" s="93"/>
      <c r="FP34" s="93"/>
      <c r="FQ34" s="93"/>
      <c r="FR34" s="93"/>
      <c r="FS34" s="93"/>
      <c r="FT34" s="93"/>
      <c r="FU34" s="93"/>
      <c r="FV34" s="93"/>
      <c r="FW34" s="93"/>
      <c r="FX34" s="93"/>
      <c r="FY34" s="93"/>
      <c r="FZ34" s="93"/>
      <c r="GA34" s="93"/>
      <c r="GB34" s="93"/>
      <c r="GC34" s="93"/>
      <c r="GD34" s="93"/>
      <c r="GE34" s="93"/>
      <c r="GF34" s="93"/>
      <c r="GG34" s="93"/>
      <c r="GH34" s="93"/>
      <c r="GI34" s="93"/>
      <c r="GJ34" s="93"/>
      <c r="GK34" s="93"/>
      <c r="GL34" s="93"/>
      <c r="GM34" s="93"/>
      <c r="GN34" s="93"/>
      <c r="GO34" s="93"/>
      <c r="GP34" s="88"/>
      <c r="GQ34" s="93"/>
      <c r="GR34" s="93"/>
      <c r="GS34" s="93"/>
      <c r="GT34" s="93"/>
      <c r="GU34" s="88"/>
      <c r="GV34" s="93"/>
      <c r="GW34" s="93"/>
      <c r="GX34" s="93"/>
      <c r="GY34" s="93"/>
      <c r="GZ34" s="88"/>
      <c r="HA34" s="93"/>
      <c r="HB34" s="93"/>
      <c r="HC34" s="93"/>
      <c r="HD34" s="93"/>
      <c r="HE34" s="88"/>
      <c r="HF34" s="93"/>
      <c r="HG34" s="93"/>
      <c r="HH34" s="93"/>
      <c r="HI34" s="93"/>
      <c r="HJ34" s="88"/>
      <c r="HK34" s="93"/>
      <c r="HL34" s="93"/>
      <c r="HM34" s="93"/>
      <c r="HN34" s="93"/>
      <c r="HO34" s="88"/>
      <c r="HP34" s="93"/>
      <c r="HQ34" s="93"/>
      <c r="HR34" s="93"/>
      <c r="HS34" s="93"/>
      <c r="HT34" s="88"/>
      <c r="HU34" s="93"/>
      <c r="HV34" s="93"/>
      <c r="HW34" s="93"/>
      <c r="HX34" s="93"/>
      <c r="HY34" s="88"/>
      <c r="HZ34" s="93"/>
      <c r="IA34" s="93"/>
      <c r="IB34" s="93"/>
      <c r="IC34" s="93"/>
      <c r="ID34" s="88"/>
      <c r="IE34" s="93"/>
      <c r="IF34" s="93"/>
      <c r="IG34" s="93"/>
      <c r="IH34" s="93"/>
      <c r="II34" s="88"/>
      <c r="IJ34" s="93"/>
      <c r="IK34" s="93"/>
      <c r="IL34" s="93"/>
      <c r="IM34" s="93"/>
      <c r="IN34" s="88"/>
      <c r="IO34" s="93"/>
      <c r="IP34" s="93"/>
      <c r="IQ34" s="93"/>
      <c r="IR34" s="93"/>
      <c r="IS34" s="88"/>
      <c r="IT34" s="93"/>
      <c r="IU34" s="93"/>
      <c r="IV34" s="93"/>
      <c r="IW34" s="93"/>
      <c r="IX34" s="88"/>
      <c r="IY34" s="93"/>
      <c r="IZ34" s="93"/>
      <c r="JA34" s="93"/>
      <c r="JB34" s="93"/>
      <c r="JC34" s="88"/>
      <c r="JD34" s="93"/>
      <c r="JE34" s="93"/>
      <c r="JF34" s="93"/>
      <c r="JG34" s="94"/>
      <c r="JH34" s="88"/>
      <c r="JI34" s="95"/>
      <c r="JJ34" s="93"/>
      <c r="JK34" s="93"/>
      <c r="JL34" s="94"/>
      <c r="JM34" s="89"/>
      <c r="JN34" s="96"/>
      <c r="JO34" s="84"/>
      <c r="JP34" s="95"/>
      <c r="JQ34" s="93"/>
      <c r="JR34" s="93"/>
      <c r="JS34" s="93"/>
      <c r="JT34" s="93"/>
      <c r="JU34" s="93"/>
      <c r="JV34" s="93"/>
      <c r="JW34" s="93"/>
      <c r="JX34" s="93"/>
      <c r="JY34" s="93"/>
      <c r="JZ34" s="93"/>
      <c r="KA34" s="93"/>
      <c r="KB34" s="93"/>
      <c r="KC34" s="93"/>
      <c r="KD34" s="93"/>
      <c r="KE34" s="93"/>
      <c r="KF34" s="93"/>
      <c r="KG34" s="93"/>
      <c r="KH34" s="93"/>
      <c r="KI34" s="93"/>
      <c r="KJ34" s="93"/>
      <c r="KK34" s="93"/>
      <c r="KL34" s="93"/>
      <c r="KM34" s="93"/>
      <c r="KN34" s="93"/>
      <c r="KO34" s="93"/>
      <c r="KP34" s="93"/>
      <c r="KQ34" s="93"/>
      <c r="KR34" s="93"/>
      <c r="KS34" s="93"/>
      <c r="KT34" s="93"/>
      <c r="KU34" s="93"/>
      <c r="KV34" s="93"/>
      <c r="KW34" s="93"/>
      <c r="KX34" s="93"/>
      <c r="KY34" s="93"/>
      <c r="KZ34" s="93"/>
      <c r="LA34" s="93"/>
      <c r="LB34" s="93"/>
      <c r="LC34" s="93"/>
      <c r="LD34" s="93"/>
      <c r="LE34" s="93"/>
      <c r="LF34" s="93"/>
      <c r="LG34" s="93"/>
      <c r="LH34" s="93"/>
      <c r="LI34" s="93"/>
      <c r="LJ34" s="93"/>
      <c r="LK34" s="93"/>
      <c r="LL34" s="93"/>
      <c r="LM34" s="93"/>
      <c r="LN34" s="93"/>
      <c r="LO34" s="93"/>
      <c r="LP34" s="93"/>
      <c r="LQ34" s="93"/>
      <c r="LR34" s="93"/>
      <c r="LS34" s="93"/>
      <c r="LT34" s="93"/>
      <c r="LU34" s="93"/>
      <c r="LV34" s="93"/>
      <c r="LW34" s="93"/>
      <c r="LX34" s="93"/>
      <c r="LY34" s="93"/>
      <c r="LZ34" s="93"/>
      <c r="MA34" s="93"/>
      <c r="MB34" s="93"/>
      <c r="MC34" s="93"/>
      <c r="MD34" s="93"/>
      <c r="ME34" s="93"/>
      <c r="MF34" s="93"/>
      <c r="MG34" s="93"/>
      <c r="MH34" s="93"/>
      <c r="MI34" s="93"/>
      <c r="MJ34" s="93"/>
      <c r="MK34" s="93"/>
      <c r="ML34" s="93"/>
      <c r="MM34" s="93"/>
      <c r="MN34" s="93"/>
      <c r="MO34" s="93"/>
      <c r="MP34" s="93"/>
      <c r="MQ34" s="93"/>
      <c r="MR34" s="93"/>
      <c r="MS34" s="93"/>
      <c r="MT34" s="93"/>
      <c r="MU34" s="93"/>
      <c r="MV34" s="93"/>
      <c r="MW34" s="93"/>
      <c r="MX34" s="93"/>
      <c r="MY34" s="93"/>
      <c r="MZ34" s="93"/>
      <c r="NA34" s="93"/>
      <c r="NB34" s="93"/>
      <c r="NC34" s="93"/>
      <c r="ND34" s="93"/>
      <c r="NE34" s="93"/>
      <c r="NF34" s="93"/>
      <c r="NG34" s="93"/>
      <c r="NH34" s="93"/>
      <c r="NI34" s="93"/>
      <c r="NJ34" s="93"/>
      <c r="NK34" s="93"/>
      <c r="NL34" s="93"/>
      <c r="NM34" s="93"/>
      <c r="NN34" s="93"/>
      <c r="NO34" s="93"/>
      <c r="NP34" s="93"/>
      <c r="NQ34" s="93"/>
      <c r="NR34" s="93"/>
      <c r="NS34" s="93"/>
      <c r="NT34" s="93"/>
      <c r="NU34" s="93"/>
      <c r="NV34" s="93"/>
      <c r="NW34" s="93"/>
      <c r="NX34" s="93"/>
      <c r="NY34" s="93"/>
      <c r="NZ34" s="93"/>
    </row>
    <row r="35" spans="1:390" ht="15.75" customHeight="1" x14ac:dyDescent="0.3">
      <c r="A35" s="98">
        <v>4505214214</v>
      </c>
      <c r="B35" s="182" t="s">
        <v>392</v>
      </c>
      <c r="C35" s="84" t="s">
        <v>393</v>
      </c>
      <c r="D35" s="87" t="s">
        <v>392</v>
      </c>
      <c r="E35" s="93" t="s">
        <v>707</v>
      </c>
      <c r="F35" s="93" t="s">
        <v>425</v>
      </c>
      <c r="G35" s="93" t="s">
        <v>408</v>
      </c>
      <c r="H35" s="101">
        <v>44596</v>
      </c>
      <c r="I35" s="92" t="s">
        <v>708</v>
      </c>
      <c r="J35" s="234" t="s">
        <v>398</v>
      </c>
      <c r="K35" s="93" t="s">
        <v>399</v>
      </c>
      <c r="L35" s="93" t="s">
        <v>399</v>
      </c>
      <c r="M35" s="93" t="s">
        <v>399</v>
      </c>
      <c r="N35" s="93" t="s">
        <v>399</v>
      </c>
      <c r="O35" s="93" t="s">
        <v>399</v>
      </c>
      <c r="P35" s="194" t="s">
        <v>399</v>
      </c>
      <c r="Q35" s="84" t="s">
        <v>399</v>
      </c>
      <c r="R35" s="197" t="s">
        <v>399</v>
      </c>
      <c r="S35" s="197" t="s">
        <v>399</v>
      </c>
      <c r="T35" s="197" t="s">
        <v>399</v>
      </c>
      <c r="U35" s="198" t="s">
        <v>399</v>
      </c>
      <c r="V35" s="84" t="s">
        <v>399</v>
      </c>
      <c r="W35" s="197" t="s">
        <v>399</v>
      </c>
      <c r="X35" s="197" t="s">
        <v>399</v>
      </c>
      <c r="Y35" s="197" t="s">
        <v>399</v>
      </c>
      <c r="Z35" s="198" t="s">
        <v>399</v>
      </c>
      <c r="AA35" s="84" t="s">
        <v>399</v>
      </c>
      <c r="AB35" s="199" t="s">
        <v>400</v>
      </c>
      <c r="AC35" s="193">
        <v>20798</v>
      </c>
      <c r="AD35" s="194">
        <v>44503</v>
      </c>
      <c r="AE35" s="86">
        <f t="shared" si="0"/>
        <v>64</v>
      </c>
      <c r="AF35" s="108" t="s">
        <v>401</v>
      </c>
      <c r="AG35" s="84" t="s">
        <v>402</v>
      </c>
      <c r="AH35" s="87" t="s">
        <v>403</v>
      </c>
      <c r="AI35" s="85" t="s">
        <v>418</v>
      </c>
      <c r="AJ35" s="235" t="s">
        <v>405</v>
      </c>
      <c r="AK35" s="85" t="s">
        <v>405</v>
      </c>
      <c r="AL35" s="109">
        <v>0</v>
      </c>
      <c r="AM35" s="84" t="s">
        <v>419</v>
      </c>
      <c r="AN35" s="195">
        <v>2</v>
      </c>
      <c r="AO35" s="83" t="s">
        <v>399</v>
      </c>
      <c r="AP35" s="88"/>
      <c r="AQ35" s="95"/>
      <c r="AR35" s="88"/>
      <c r="AS35" s="93"/>
      <c r="AT35" s="93"/>
      <c r="AU35" s="93"/>
      <c r="AV35" s="93"/>
      <c r="AW35" s="88"/>
      <c r="AX35" s="93"/>
      <c r="AY35" s="93"/>
      <c r="AZ35" s="93"/>
      <c r="BA35" s="93"/>
      <c r="BB35" s="88"/>
      <c r="BC35" s="93"/>
      <c r="BD35" s="93"/>
      <c r="BE35" s="93"/>
      <c r="BF35" s="93"/>
      <c r="BG35" s="88"/>
      <c r="BH35" s="93"/>
      <c r="BI35" s="93"/>
      <c r="BJ35" s="93"/>
      <c r="BK35" s="93"/>
      <c r="BL35" s="88"/>
      <c r="BM35" s="93"/>
      <c r="BN35" s="93"/>
      <c r="BO35" s="93"/>
      <c r="BP35" s="93"/>
      <c r="BQ35" s="88"/>
      <c r="BR35" s="93"/>
      <c r="BS35" s="93"/>
      <c r="BT35" s="93"/>
      <c r="BU35" s="93"/>
      <c r="BV35" s="88"/>
      <c r="BW35" s="93"/>
      <c r="BX35" s="93"/>
      <c r="BY35" s="93"/>
      <c r="BZ35" s="93"/>
      <c r="CA35" s="88"/>
      <c r="CB35" s="93"/>
      <c r="CC35" s="93"/>
      <c r="CD35" s="93"/>
      <c r="CE35" s="93"/>
      <c r="CF35" s="88"/>
      <c r="CG35" s="93"/>
      <c r="CH35" s="93"/>
      <c r="CI35" s="93"/>
      <c r="CJ35" s="93"/>
      <c r="CK35" s="88"/>
      <c r="CL35" s="93"/>
      <c r="CM35" s="93"/>
      <c r="CN35" s="93"/>
      <c r="CO35" s="93"/>
      <c r="CP35" s="88"/>
      <c r="CQ35" s="93"/>
      <c r="CR35" s="93"/>
      <c r="CS35" s="93"/>
      <c r="CT35" s="93"/>
      <c r="CU35" s="88"/>
      <c r="CV35" s="93"/>
      <c r="CW35" s="93"/>
      <c r="CX35" s="93"/>
      <c r="CY35" s="93"/>
      <c r="CZ35" s="88"/>
      <c r="DA35" s="93"/>
      <c r="DB35" s="93"/>
      <c r="DC35" s="93"/>
      <c r="DD35" s="93"/>
      <c r="DE35" s="88"/>
      <c r="DF35" s="93"/>
      <c r="DG35" s="93"/>
      <c r="DH35" s="93"/>
      <c r="DI35" s="93"/>
      <c r="DJ35" s="88"/>
      <c r="DK35" s="93"/>
      <c r="DL35" s="93"/>
      <c r="DM35" s="93"/>
      <c r="DN35" s="93"/>
      <c r="DO35" s="88"/>
      <c r="DP35" s="93"/>
      <c r="DQ35" s="93"/>
      <c r="DR35" s="93"/>
      <c r="DS35" s="93"/>
      <c r="DT35" s="88"/>
      <c r="DU35" s="93"/>
      <c r="DV35" s="93"/>
      <c r="DW35" s="93"/>
      <c r="DX35" s="93"/>
      <c r="DY35" s="88"/>
      <c r="DZ35" s="93"/>
      <c r="EA35" s="93"/>
      <c r="EB35" s="93"/>
      <c r="EC35" s="93"/>
      <c r="ED35" s="88"/>
      <c r="EE35" s="93"/>
      <c r="EF35" s="93"/>
      <c r="EG35" s="93"/>
      <c r="EH35" s="93"/>
      <c r="EI35" s="88"/>
      <c r="EJ35" s="93"/>
      <c r="EK35" s="93"/>
      <c r="EL35" s="93"/>
      <c r="EM35" s="93"/>
      <c r="EN35" s="88"/>
      <c r="EO35" s="93"/>
      <c r="EP35" s="93"/>
      <c r="EQ35" s="93"/>
      <c r="ER35" s="93"/>
      <c r="ES35" s="88"/>
      <c r="ET35" s="93"/>
      <c r="EU35" s="93"/>
      <c r="EV35" s="93"/>
      <c r="EW35" s="93"/>
      <c r="EX35" s="88"/>
      <c r="EY35" s="93"/>
      <c r="EZ35" s="93"/>
      <c r="FA35" s="93"/>
      <c r="FB35" s="93"/>
      <c r="FC35" s="88"/>
      <c r="FD35" s="93"/>
      <c r="FE35" s="93"/>
      <c r="FF35" s="93"/>
      <c r="FG35" s="93"/>
      <c r="FH35" s="88"/>
      <c r="FI35" s="93"/>
      <c r="FJ35" s="93"/>
      <c r="FK35" s="93"/>
      <c r="FL35" s="93"/>
      <c r="FM35" s="93"/>
      <c r="FN35" s="93"/>
      <c r="FO35" s="93"/>
      <c r="FP35" s="93"/>
      <c r="FQ35" s="93"/>
      <c r="FR35" s="93"/>
      <c r="FS35" s="93"/>
      <c r="FT35" s="93"/>
      <c r="FU35" s="93"/>
      <c r="FV35" s="93"/>
      <c r="FW35" s="93"/>
      <c r="FX35" s="93"/>
      <c r="FY35" s="93"/>
      <c r="FZ35" s="93"/>
      <c r="GA35" s="93"/>
      <c r="GB35" s="93"/>
      <c r="GC35" s="93"/>
      <c r="GD35" s="93"/>
      <c r="GE35" s="93"/>
      <c r="GF35" s="93"/>
      <c r="GG35" s="93"/>
      <c r="GH35" s="93"/>
      <c r="GI35" s="93"/>
      <c r="GJ35" s="93"/>
      <c r="GK35" s="93"/>
      <c r="GL35" s="93"/>
      <c r="GM35" s="93"/>
      <c r="GN35" s="93"/>
      <c r="GO35" s="93"/>
      <c r="GP35" s="88"/>
      <c r="GQ35" s="93"/>
      <c r="GR35" s="93"/>
      <c r="GS35" s="93"/>
      <c r="GT35" s="93"/>
      <c r="GU35" s="88"/>
      <c r="GV35" s="93"/>
      <c r="GW35" s="93"/>
      <c r="GX35" s="93"/>
      <c r="GY35" s="93"/>
      <c r="GZ35" s="88"/>
      <c r="HA35" s="93"/>
      <c r="HB35" s="93"/>
      <c r="HC35" s="93"/>
      <c r="HD35" s="93"/>
      <c r="HE35" s="88"/>
      <c r="HF35" s="93"/>
      <c r="HG35" s="93"/>
      <c r="HH35" s="93"/>
      <c r="HI35" s="93"/>
      <c r="HJ35" s="88"/>
      <c r="HK35" s="93"/>
      <c r="HL35" s="93"/>
      <c r="HM35" s="93"/>
      <c r="HN35" s="93"/>
      <c r="HO35" s="88"/>
      <c r="HP35" s="93"/>
      <c r="HQ35" s="93"/>
      <c r="HR35" s="93"/>
      <c r="HS35" s="93"/>
      <c r="HT35" s="88"/>
      <c r="HU35" s="93"/>
      <c r="HV35" s="93"/>
      <c r="HW35" s="93"/>
      <c r="HX35" s="93"/>
      <c r="HY35" s="88"/>
      <c r="HZ35" s="93"/>
      <c r="IA35" s="93"/>
      <c r="IB35" s="93"/>
      <c r="IC35" s="93"/>
      <c r="ID35" s="88"/>
      <c r="IE35" s="93"/>
      <c r="IF35" s="93"/>
      <c r="IG35" s="93"/>
      <c r="IH35" s="93"/>
      <c r="II35" s="88"/>
      <c r="IJ35" s="93"/>
      <c r="IK35" s="93"/>
      <c r="IL35" s="93"/>
      <c r="IM35" s="93"/>
      <c r="IN35" s="88"/>
      <c r="IO35" s="93"/>
      <c r="IP35" s="93"/>
      <c r="IQ35" s="93"/>
      <c r="IR35" s="93"/>
      <c r="IS35" s="88"/>
      <c r="IT35" s="93"/>
      <c r="IU35" s="93"/>
      <c r="IV35" s="93"/>
      <c r="IW35" s="93"/>
      <c r="IX35" s="88"/>
      <c r="IY35" s="93"/>
      <c r="IZ35" s="93"/>
      <c r="JA35" s="93"/>
      <c r="JB35" s="93"/>
      <c r="JC35" s="88"/>
      <c r="JD35" s="93"/>
      <c r="JE35" s="93"/>
      <c r="JF35" s="93"/>
      <c r="JG35" s="94"/>
      <c r="JH35" s="88"/>
      <c r="JI35" s="95"/>
      <c r="JJ35" s="93"/>
      <c r="JK35" s="93"/>
      <c r="JL35" s="94"/>
      <c r="JM35" s="89"/>
      <c r="JN35" s="96"/>
      <c r="JO35" s="84"/>
      <c r="JP35" s="95"/>
      <c r="JQ35" s="93"/>
      <c r="JR35" s="93"/>
      <c r="JS35" s="93"/>
      <c r="JT35" s="93"/>
      <c r="JU35" s="93"/>
      <c r="JV35" s="93"/>
      <c r="JW35" s="93"/>
      <c r="JX35" s="93"/>
      <c r="JY35" s="93"/>
      <c r="JZ35" s="93"/>
      <c r="KA35" s="93"/>
      <c r="KB35" s="93"/>
      <c r="KC35" s="93"/>
      <c r="KD35" s="93"/>
      <c r="KE35" s="93"/>
      <c r="KF35" s="93"/>
      <c r="KG35" s="93"/>
      <c r="KH35" s="93"/>
      <c r="KI35" s="93"/>
      <c r="KJ35" s="93"/>
      <c r="KK35" s="93"/>
      <c r="KL35" s="93"/>
      <c r="KM35" s="93"/>
      <c r="KN35" s="93"/>
      <c r="KO35" s="93"/>
      <c r="KP35" s="93"/>
      <c r="KQ35" s="93"/>
      <c r="KR35" s="93"/>
      <c r="KS35" s="93"/>
      <c r="KT35" s="93"/>
      <c r="KU35" s="93"/>
      <c r="KV35" s="93"/>
      <c r="KW35" s="93"/>
      <c r="KX35" s="93"/>
      <c r="KY35" s="93"/>
      <c r="KZ35" s="93"/>
      <c r="LA35" s="93"/>
      <c r="LB35" s="93"/>
      <c r="LC35" s="93"/>
      <c r="LD35" s="93"/>
      <c r="LE35" s="93"/>
      <c r="LF35" s="93"/>
      <c r="LG35" s="93"/>
      <c r="LH35" s="93"/>
      <c r="LI35" s="93"/>
      <c r="LJ35" s="93"/>
      <c r="LK35" s="93"/>
      <c r="LL35" s="93"/>
      <c r="LM35" s="93"/>
      <c r="LN35" s="93"/>
      <c r="LO35" s="93"/>
      <c r="LP35" s="93"/>
      <c r="LQ35" s="93"/>
      <c r="LR35" s="93"/>
      <c r="LS35" s="93"/>
      <c r="LT35" s="93"/>
      <c r="LU35" s="93"/>
      <c r="LV35" s="93"/>
      <c r="LW35" s="93"/>
      <c r="LX35" s="93"/>
      <c r="LY35" s="93"/>
      <c r="LZ35" s="93"/>
      <c r="MA35" s="93"/>
      <c r="MB35" s="93"/>
      <c r="MC35" s="93"/>
      <c r="MD35" s="93"/>
      <c r="ME35" s="93"/>
      <c r="MF35" s="93"/>
      <c r="MG35" s="93"/>
      <c r="MH35" s="93"/>
      <c r="MI35" s="93"/>
      <c r="MJ35" s="93"/>
      <c r="MK35" s="93"/>
      <c r="ML35" s="93"/>
      <c r="MM35" s="93"/>
      <c r="MN35" s="93"/>
      <c r="MO35" s="93"/>
      <c r="MP35" s="93"/>
      <c r="MQ35" s="93"/>
      <c r="MR35" s="93"/>
      <c r="MS35" s="93"/>
      <c r="MT35" s="93"/>
      <c r="MU35" s="93"/>
      <c r="MV35" s="93"/>
      <c r="MW35" s="93"/>
      <c r="MX35" s="93"/>
      <c r="MY35" s="93"/>
      <c r="MZ35" s="93"/>
      <c r="NA35" s="93"/>
      <c r="NB35" s="93"/>
      <c r="NC35" s="93"/>
      <c r="ND35" s="93"/>
      <c r="NE35" s="93"/>
      <c r="NF35" s="93"/>
      <c r="NG35" s="93"/>
      <c r="NH35" s="93"/>
      <c r="NI35" s="93"/>
      <c r="NJ35" s="93"/>
      <c r="NK35" s="93"/>
      <c r="NL35" s="93"/>
      <c r="NM35" s="93"/>
      <c r="NN35" s="93"/>
      <c r="NO35" s="93"/>
      <c r="NP35" s="93"/>
      <c r="NQ35" s="93"/>
      <c r="NR35" s="93"/>
      <c r="NS35" s="93"/>
      <c r="NT35" s="93"/>
      <c r="NU35" s="93"/>
      <c r="NV35" s="93"/>
      <c r="NW35" s="93"/>
      <c r="NX35" s="93"/>
      <c r="NY35" s="93"/>
      <c r="NZ35" s="93"/>
    </row>
    <row r="36" spans="1:390" ht="15.75" customHeight="1" x14ac:dyDescent="0.3">
      <c r="A36" s="98">
        <v>4382309336</v>
      </c>
      <c r="B36" s="182" t="s">
        <v>392</v>
      </c>
      <c r="C36" s="84" t="s">
        <v>393</v>
      </c>
      <c r="D36" s="87" t="s">
        <v>392</v>
      </c>
      <c r="E36" s="93" t="s">
        <v>709</v>
      </c>
      <c r="F36" s="93" t="s">
        <v>416</v>
      </c>
      <c r="G36" s="93" t="s">
        <v>449</v>
      </c>
      <c r="H36" s="101">
        <v>44606</v>
      </c>
      <c r="I36" s="240" t="s">
        <v>660</v>
      </c>
      <c r="J36" s="234" t="s">
        <v>398</v>
      </c>
      <c r="K36" s="93" t="s">
        <v>399</v>
      </c>
      <c r="L36" s="93" t="s">
        <v>399</v>
      </c>
      <c r="M36" s="93" t="s">
        <v>399</v>
      </c>
      <c r="N36" s="93" t="s">
        <v>399</v>
      </c>
      <c r="O36" s="93" t="s">
        <v>399</v>
      </c>
      <c r="P36" s="194" t="s">
        <v>399</v>
      </c>
      <c r="Q36" s="84" t="s">
        <v>399</v>
      </c>
      <c r="R36" s="197" t="s">
        <v>399</v>
      </c>
      <c r="S36" s="197" t="s">
        <v>399</v>
      </c>
      <c r="T36" s="197" t="s">
        <v>399</v>
      </c>
      <c r="U36" s="198" t="s">
        <v>399</v>
      </c>
      <c r="V36" s="84" t="s">
        <v>399</v>
      </c>
      <c r="W36" s="197" t="s">
        <v>399</v>
      </c>
      <c r="X36" s="197" t="s">
        <v>399</v>
      </c>
      <c r="Y36" s="197" t="s">
        <v>399</v>
      </c>
      <c r="Z36" s="198" t="s">
        <v>399</v>
      </c>
      <c r="AA36" s="84" t="s">
        <v>399</v>
      </c>
      <c r="AB36" s="199" t="s">
        <v>400</v>
      </c>
      <c r="AC36" s="193">
        <v>16742</v>
      </c>
      <c r="AD36" s="194">
        <v>44552</v>
      </c>
      <c r="AE36" s="86">
        <f t="shared" si="0"/>
        <v>76</v>
      </c>
      <c r="AF36" s="108" t="s">
        <v>401</v>
      </c>
      <c r="AG36" s="84" t="s">
        <v>402</v>
      </c>
      <c r="AH36" s="87" t="s">
        <v>403</v>
      </c>
      <c r="AI36" s="85" t="s">
        <v>418</v>
      </c>
      <c r="AJ36" s="235" t="s">
        <v>405</v>
      </c>
      <c r="AK36" s="85" t="s">
        <v>405</v>
      </c>
      <c r="AL36" s="109">
        <v>0</v>
      </c>
      <c r="AM36" s="84" t="s">
        <v>419</v>
      </c>
      <c r="AN36" s="195">
        <v>1</v>
      </c>
      <c r="AO36" s="83" t="s">
        <v>399</v>
      </c>
      <c r="AP36" s="88"/>
      <c r="AQ36" s="95"/>
      <c r="AR36" s="88"/>
      <c r="AS36" s="93"/>
      <c r="AT36" s="93"/>
      <c r="AU36" s="93"/>
      <c r="AV36" s="93"/>
      <c r="AW36" s="88"/>
      <c r="AX36" s="93"/>
      <c r="AY36" s="93"/>
      <c r="AZ36" s="93"/>
      <c r="BA36" s="93"/>
      <c r="BB36" s="88"/>
      <c r="BC36" s="93"/>
      <c r="BD36" s="93"/>
      <c r="BE36" s="93"/>
      <c r="BF36" s="93"/>
      <c r="BG36" s="88"/>
      <c r="BH36" s="93"/>
      <c r="BI36" s="93"/>
      <c r="BJ36" s="93"/>
      <c r="BK36" s="93"/>
      <c r="BL36" s="88"/>
      <c r="BM36" s="93"/>
      <c r="BN36" s="93"/>
      <c r="BO36" s="93"/>
      <c r="BP36" s="93"/>
      <c r="BQ36" s="88"/>
      <c r="BR36" s="93"/>
      <c r="BS36" s="93"/>
      <c r="BT36" s="93"/>
      <c r="BU36" s="93"/>
      <c r="BV36" s="88"/>
      <c r="BW36" s="93"/>
      <c r="BX36" s="93"/>
      <c r="BY36" s="93"/>
      <c r="BZ36" s="93"/>
      <c r="CA36" s="88"/>
      <c r="CB36" s="93"/>
      <c r="CC36" s="93"/>
      <c r="CD36" s="93"/>
      <c r="CE36" s="93"/>
      <c r="CF36" s="88"/>
      <c r="CG36" s="93"/>
      <c r="CH36" s="93"/>
      <c r="CI36" s="93"/>
      <c r="CJ36" s="93"/>
      <c r="CK36" s="88"/>
      <c r="CL36" s="93"/>
      <c r="CM36" s="93"/>
      <c r="CN36" s="93"/>
      <c r="CO36" s="93"/>
      <c r="CP36" s="88"/>
      <c r="CQ36" s="93"/>
      <c r="CR36" s="93"/>
      <c r="CS36" s="93"/>
      <c r="CT36" s="93"/>
      <c r="CU36" s="88"/>
      <c r="CV36" s="93"/>
      <c r="CW36" s="93"/>
      <c r="CX36" s="93"/>
      <c r="CY36" s="93"/>
      <c r="CZ36" s="88"/>
      <c r="DA36" s="93"/>
      <c r="DB36" s="93"/>
      <c r="DC36" s="93"/>
      <c r="DD36" s="93"/>
      <c r="DE36" s="88"/>
      <c r="DF36" s="93"/>
      <c r="DG36" s="93"/>
      <c r="DH36" s="93"/>
      <c r="DI36" s="93"/>
      <c r="DJ36" s="88"/>
      <c r="DK36" s="93"/>
      <c r="DL36" s="93"/>
      <c r="DM36" s="93"/>
      <c r="DN36" s="93"/>
      <c r="DO36" s="88"/>
      <c r="DP36" s="93"/>
      <c r="DQ36" s="93"/>
      <c r="DR36" s="93"/>
      <c r="DS36" s="93"/>
      <c r="DT36" s="88"/>
      <c r="DU36" s="93"/>
      <c r="DV36" s="93"/>
      <c r="DW36" s="93"/>
      <c r="DX36" s="93"/>
      <c r="DY36" s="88"/>
      <c r="DZ36" s="93"/>
      <c r="EA36" s="93"/>
      <c r="EB36" s="93"/>
      <c r="EC36" s="93"/>
      <c r="ED36" s="88"/>
      <c r="EE36" s="93"/>
      <c r="EF36" s="93"/>
      <c r="EG36" s="93"/>
      <c r="EH36" s="93"/>
      <c r="EI36" s="88"/>
      <c r="EJ36" s="93"/>
      <c r="EK36" s="93"/>
      <c r="EL36" s="93"/>
      <c r="EM36" s="93"/>
      <c r="EN36" s="88"/>
      <c r="EO36" s="93"/>
      <c r="EP36" s="93"/>
      <c r="EQ36" s="93"/>
      <c r="ER36" s="93"/>
      <c r="ES36" s="88"/>
      <c r="ET36" s="93"/>
      <c r="EU36" s="93"/>
      <c r="EV36" s="93"/>
      <c r="EW36" s="93"/>
      <c r="EX36" s="88"/>
      <c r="EY36" s="93"/>
      <c r="EZ36" s="93"/>
      <c r="FA36" s="93"/>
      <c r="FB36" s="93"/>
      <c r="FC36" s="88"/>
      <c r="FD36" s="93"/>
      <c r="FE36" s="93"/>
      <c r="FF36" s="93"/>
      <c r="FG36" s="93"/>
      <c r="FH36" s="88"/>
      <c r="FI36" s="93"/>
      <c r="FJ36" s="93"/>
      <c r="FK36" s="93"/>
      <c r="FL36" s="93"/>
      <c r="FM36" s="93"/>
      <c r="FN36" s="93"/>
      <c r="FO36" s="93"/>
      <c r="FP36" s="93"/>
      <c r="FQ36" s="93"/>
      <c r="FR36" s="93"/>
      <c r="FS36" s="93"/>
      <c r="FT36" s="93"/>
      <c r="FU36" s="93"/>
      <c r="FV36" s="93"/>
      <c r="FW36" s="93"/>
      <c r="FX36" s="93"/>
      <c r="FY36" s="93"/>
      <c r="FZ36" s="93"/>
      <c r="GA36" s="93"/>
      <c r="GB36" s="93"/>
      <c r="GC36" s="93"/>
      <c r="GD36" s="93"/>
      <c r="GE36" s="93"/>
      <c r="GF36" s="93"/>
      <c r="GG36" s="93"/>
      <c r="GH36" s="93"/>
      <c r="GI36" s="93"/>
      <c r="GJ36" s="93"/>
      <c r="GK36" s="93"/>
      <c r="GL36" s="93"/>
      <c r="GM36" s="93"/>
      <c r="GN36" s="93"/>
      <c r="GO36" s="93"/>
      <c r="GP36" s="88"/>
      <c r="GQ36" s="93"/>
      <c r="GR36" s="93"/>
      <c r="GS36" s="93"/>
      <c r="GT36" s="93"/>
      <c r="GU36" s="88"/>
      <c r="GV36" s="93"/>
      <c r="GW36" s="93"/>
      <c r="GX36" s="93"/>
      <c r="GY36" s="93"/>
      <c r="GZ36" s="88"/>
      <c r="HA36" s="93"/>
      <c r="HB36" s="93"/>
      <c r="HC36" s="93"/>
      <c r="HD36" s="93"/>
      <c r="HE36" s="88"/>
      <c r="HF36" s="93"/>
      <c r="HG36" s="93"/>
      <c r="HH36" s="93"/>
      <c r="HI36" s="93"/>
      <c r="HJ36" s="88"/>
      <c r="HK36" s="93"/>
      <c r="HL36" s="93"/>
      <c r="HM36" s="93"/>
      <c r="HN36" s="93"/>
      <c r="HO36" s="88"/>
      <c r="HP36" s="93"/>
      <c r="HQ36" s="93"/>
      <c r="HR36" s="93"/>
      <c r="HS36" s="93"/>
      <c r="HT36" s="88"/>
      <c r="HU36" s="93"/>
      <c r="HV36" s="93"/>
      <c r="HW36" s="93"/>
      <c r="HX36" s="93"/>
      <c r="HY36" s="88"/>
      <c r="HZ36" s="93"/>
      <c r="IA36" s="93"/>
      <c r="IB36" s="93"/>
      <c r="IC36" s="93"/>
      <c r="ID36" s="88"/>
      <c r="IE36" s="93"/>
      <c r="IF36" s="93"/>
      <c r="IG36" s="93"/>
      <c r="IH36" s="93"/>
      <c r="II36" s="88"/>
      <c r="IJ36" s="93"/>
      <c r="IK36" s="93"/>
      <c r="IL36" s="93"/>
      <c r="IM36" s="93"/>
      <c r="IN36" s="88"/>
      <c r="IO36" s="93"/>
      <c r="IP36" s="93"/>
      <c r="IQ36" s="93"/>
      <c r="IR36" s="93"/>
      <c r="IS36" s="88"/>
      <c r="IT36" s="93"/>
      <c r="IU36" s="93"/>
      <c r="IV36" s="93"/>
      <c r="IW36" s="93"/>
      <c r="IX36" s="88"/>
      <c r="IY36" s="93"/>
      <c r="IZ36" s="93"/>
      <c r="JA36" s="93"/>
      <c r="JB36" s="93"/>
      <c r="JC36" s="88"/>
      <c r="JD36" s="93"/>
      <c r="JE36" s="93"/>
      <c r="JF36" s="93"/>
      <c r="JG36" s="94"/>
      <c r="JH36" s="88"/>
      <c r="JI36" s="95"/>
      <c r="JJ36" s="93"/>
      <c r="JK36" s="93"/>
      <c r="JL36" s="94"/>
      <c r="JM36" s="89"/>
      <c r="JN36" s="96"/>
      <c r="JO36" s="84"/>
      <c r="JP36" s="95"/>
      <c r="JQ36" s="93"/>
      <c r="JR36" s="93"/>
      <c r="JS36" s="93"/>
      <c r="JT36" s="93"/>
      <c r="JU36" s="93"/>
      <c r="JV36" s="93"/>
      <c r="JW36" s="93"/>
      <c r="JX36" s="93"/>
      <c r="JY36" s="93"/>
      <c r="JZ36" s="93"/>
      <c r="KA36" s="93"/>
      <c r="KB36" s="93"/>
      <c r="KC36" s="93"/>
      <c r="KD36" s="93"/>
      <c r="KE36" s="93"/>
      <c r="KF36" s="93"/>
      <c r="KG36" s="93"/>
      <c r="KH36" s="93"/>
      <c r="KI36" s="93"/>
      <c r="KJ36" s="93"/>
      <c r="KK36" s="93"/>
      <c r="KL36" s="93"/>
      <c r="KM36" s="93"/>
      <c r="KN36" s="93"/>
      <c r="KO36" s="93"/>
      <c r="KP36" s="93"/>
      <c r="KQ36" s="93"/>
      <c r="KR36" s="93"/>
      <c r="KS36" s="93"/>
      <c r="KT36" s="93"/>
      <c r="KU36" s="93"/>
      <c r="KV36" s="93"/>
      <c r="KW36" s="93"/>
      <c r="KX36" s="93"/>
      <c r="KY36" s="93"/>
      <c r="KZ36" s="93"/>
      <c r="LA36" s="93"/>
      <c r="LB36" s="93"/>
      <c r="LC36" s="93"/>
      <c r="LD36" s="93"/>
      <c r="LE36" s="93"/>
      <c r="LF36" s="93"/>
      <c r="LG36" s="93"/>
      <c r="LH36" s="93"/>
      <c r="LI36" s="93"/>
      <c r="LJ36" s="93"/>
      <c r="LK36" s="93"/>
      <c r="LL36" s="93"/>
      <c r="LM36" s="93"/>
      <c r="LN36" s="93"/>
      <c r="LO36" s="93"/>
      <c r="LP36" s="93"/>
      <c r="LQ36" s="93"/>
      <c r="LR36" s="93"/>
      <c r="LS36" s="93"/>
      <c r="LT36" s="93"/>
      <c r="LU36" s="93"/>
      <c r="LV36" s="93"/>
      <c r="LW36" s="93"/>
      <c r="LX36" s="93"/>
      <c r="LY36" s="93"/>
      <c r="LZ36" s="93"/>
      <c r="MA36" s="93"/>
      <c r="MB36" s="93"/>
      <c r="MC36" s="93"/>
      <c r="MD36" s="93"/>
      <c r="ME36" s="93"/>
      <c r="MF36" s="93"/>
      <c r="MG36" s="93"/>
      <c r="MH36" s="93"/>
      <c r="MI36" s="93"/>
      <c r="MJ36" s="93"/>
      <c r="MK36" s="93"/>
      <c r="ML36" s="93"/>
      <c r="MM36" s="93"/>
      <c r="MN36" s="93"/>
      <c r="MO36" s="93"/>
      <c r="MP36" s="93"/>
      <c r="MQ36" s="93"/>
      <c r="MR36" s="93"/>
      <c r="MS36" s="93"/>
      <c r="MT36" s="93"/>
      <c r="MU36" s="93"/>
      <c r="MV36" s="93"/>
      <c r="MW36" s="93"/>
      <c r="MX36" s="93"/>
      <c r="MY36" s="93"/>
      <c r="MZ36" s="93"/>
      <c r="NA36" s="93"/>
      <c r="NB36" s="93"/>
      <c r="NC36" s="93"/>
      <c r="ND36" s="93"/>
      <c r="NE36" s="93"/>
      <c r="NF36" s="93"/>
      <c r="NG36" s="93"/>
      <c r="NH36" s="93"/>
      <c r="NI36" s="93"/>
      <c r="NJ36" s="93"/>
      <c r="NK36" s="93"/>
      <c r="NL36" s="93"/>
      <c r="NM36" s="93"/>
      <c r="NN36" s="93"/>
      <c r="NO36" s="93"/>
      <c r="NP36" s="93"/>
      <c r="NQ36" s="93"/>
      <c r="NR36" s="93"/>
      <c r="NS36" s="93"/>
      <c r="NT36" s="93"/>
      <c r="NU36" s="93"/>
      <c r="NV36" s="93"/>
      <c r="NW36" s="93"/>
      <c r="NX36" s="93"/>
      <c r="NY36" s="93"/>
      <c r="NZ36" s="93"/>
    </row>
    <row r="37" spans="1:390" ht="15.75" customHeight="1" x14ac:dyDescent="0.3">
      <c r="A37" s="98">
        <v>4086878011</v>
      </c>
      <c r="B37" s="182" t="s">
        <v>392</v>
      </c>
      <c r="C37" s="84" t="s">
        <v>393</v>
      </c>
      <c r="D37" s="87" t="s">
        <v>392</v>
      </c>
      <c r="E37" s="93" t="s">
        <v>710</v>
      </c>
      <c r="F37" s="93" t="s">
        <v>443</v>
      </c>
      <c r="G37" s="93" t="s">
        <v>514</v>
      </c>
      <c r="H37" s="101">
        <v>44642</v>
      </c>
      <c r="I37" s="92" t="s">
        <v>650</v>
      </c>
      <c r="J37" s="234" t="s">
        <v>398</v>
      </c>
      <c r="K37" s="93" t="s">
        <v>399</v>
      </c>
      <c r="L37" s="93" t="s">
        <v>399</v>
      </c>
      <c r="M37" s="93" t="s">
        <v>399</v>
      </c>
      <c r="N37" s="93" t="s">
        <v>399</v>
      </c>
      <c r="O37" s="93" t="s">
        <v>399</v>
      </c>
      <c r="P37" s="194" t="s">
        <v>399</v>
      </c>
      <c r="Q37" s="84" t="s">
        <v>399</v>
      </c>
      <c r="R37" s="197" t="s">
        <v>399</v>
      </c>
      <c r="S37" s="197" t="s">
        <v>399</v>
      </c>
      <c r="T37" s="197" t="s">
        <v>399</v>
      </c>
      <c r="U37" s="198" t="s">
        <v>399</v>
      </c>
      <c r="V37" s="84" t="s">
        <v>399</v>
      </c>
      <c r="W37" s="197" t="s">
        <v>399</v>
      </c>
      <c r="X37" s="197" t="s">
        <v>399</v>
      </c>
      <c r="Y37" s="197" t="s">
        <v>399</v>
      </c>
      <c r="Z37" s="198" t="s">
        <v>399</v>
      </c>
      <c r="AA37" s="84" t="s">
        <v>399</v>
      </c>
      <c r="AB37" s="199" t="s">
        <v>400</v>
      </c>
      <c r="AC37" s="193">
        <v>24778</v>
      </c>
      <c r="AD37" s="194">
        <v>44606</v>
      </c>
      <c r="AE37" s="86">
        <f t="shared" si="0"/>
        <v>54</v>
      </c>
      <c r="AF37" s="108" t="s">
        <v>401</v>
      </c>
      <c r="AG37" s="84" t="s">
        <v>402</v>
      </c>
      <c r="AH37" s="242" t="s">
        <v>403</v>
      </c>
      <c r="AI37" s="85" t="s">
        <v>404</v>
      </c>
      <c r="AJ37" s="235" t="s">
        <v>405</v>
      </c>
      <c r="AK37" s="85" t="s">
        <v>405</v>
      </c>
      <c r="AL37" s="109">
        <v>0</v>
      </c>
      <c r="AM37" s="84" t="s">
        <v>406</v>
      </c>
      <c r="AN37" s="195">
        <v>3</v>
      </c>
      <c r="AO37" s="83" t="s">
        <v>399</v>
      </c>
      <c r="AP37" s="88"/>
      <c r="AQ37" s="95"/>
      <c r="AR37" s="88"/>
      <c r="AS37" s="93"/>
      <c r="AT37" s="93"/>
      <c r="AU37" s="93"/>
      <c r="AV37" s="93"/>
      <c r="AW37" s="88"/>
      <c r="AX37" s="93"/>
      <c r="AY37" s="93"/>
      <c r="AZ37" s="93"/>
      <c r="BA37" s="93"/>
      <c r="BB37" s="88"/>
      <c r="BC37" s="93"/>
      <c r="BD37" s="93"/>
      <c r="BE37" s="93"/>
      <c r="BF37" s="93"/>
      <c r="BG37" s="88"/>
      <c r="BH37" s="93"/>
      <c r="BI37" s="93"/>
      <c r="BJ37" s="93"/>
      <c r="BK37" s="93"/>
      <c r="BL37" s="88"/>
      <c r="BM37" s="93"/>
      <c r="BN37" s="93"/>
      <c r="BO37" s="93"/>
      <c r="BP37" s="93"/>
      <c r="BQ37" s="88"/>
      <c r="BR37" s="93"/>
      <c r="BS37" s="93"/>
      <c r="BT37" s="93"/>
      <c r="BU37" s="93"/>
      <c r="BV37" s="88"/>
      <c r="BW37" s="93"/>
      <c r="BX37" s="93"/>
      <c r="BY37" s="93"/>
      <c r="BZ37" s="93"/>
      <c r="CA37" s="88"/>
      <c r="CB37" s="93"/>
      <c r="CC37" s="93"/>
      <c r="CD37" s="93"/>
      <c r="CE37" s="93"/>
      <c r="CF37" s="88"/>
      <c r="CG37" s="93"/>
      <c r="CH37" s="93"/>
      <c r="CI37" s="93"/>
      <c r="CJ37" s="93"/>
      <c r="CK37" s="88"/>
      <c r="CL37" s="93"/>
      <c r="CM37" s="93"/>
      <c r="CN37" s="93"/>
      <c r="CO37" s="93"/>
      <c r="CP37" s="88"/>
      <c r="CQ37" s="93"/>
      <c r="CR37" s="93"/>
      <c r="CS37" s="93"/>
      <c r="CT37" s="93"/>
      <c r="CU37" s="88"/>
      <c r="CV37" s="93"/>
      <c r="CW37" s="93"/>
      <c r="CX37" s="93"/>
      <c r="CY37" s="93"/>
      <c r="CZ37" s="88"/>
      <c r="DA37" s="93"/>
      <c r="DB37" s="93"/>
      <c r="DC37" s="93"/>
      <c r="DD37" s="93"/>
      <c r="DE37" s="88"/>
      <c r="DF37" s="93"/>
      <c r="DG37" s="93"/>
      <c r="DH37" s="93"/>
      <c r="DI37" s="93"/>
      <c r="DJ37" s="88"/>
      <c r="DK37" s="93"/>
      <c r="DL37" s="93"/>
      <c r="DM37" s="93"/>
      <c r="DN37" s="93"/>
      <c r="DO37" s="88"/>
      <c r="DP37" s="93"/>
      <c r="DQ37" s="93"/>
      <c r="DR37" s="93"/>
      <c r="DS37" s="93"/>
      <c r="DT37" s="88"/>
      <c r="DU37" s="93"/>
      <c r="DV37" s="93"/>
      <c r="DW37" s="93"/>
      <c r="DX37" s="93"/>
      <c r="DY37" s="88"/>
      <c r="DZ37" s="93"/>
      <c r="EA37" s="93"/>
      <c r="EB37" s="93"/>
      <c r="EC37" s="93"/>
      <c r="ED37" s="88"/>
      <c r="EE37" s="93"/>
      <c r="EF37" s="93"/>
      <c r="EG37" s="93"/>
      <c r="EH37" s="93"/>
      <c r="EI37" s="88"/>
      <c r="EJ37" s="93"/>
      <c r="EK37" s="93"/>
      <c r="EL37" s="93"/>
      <c r="EM37" s="93"/>
      <c r="EN37" s="88"/>
      <c r="EO37" s="93"/>
      <c r="EP37" s="93"/>
      <c r="EQ37" s="93"/>
      <c r="ER37" s="93"/>
      <c r="ES37" s="88"/>
      <c r="ET37" s="93"/>
      <c r="EU37" s="93"/>
      <c r="EV37" s="93"/>
      <c r="EW37" s="93"/>
      <c r="EX37" s="88"/>
      <c r="EY37" s="93"/>
      <c r="EZ37" s="93"/>
      <c r="FA37" s="93"/>
      <c r="FB37" s="93"/>
      <c r="FC37" s="88"/>
      <c r="FD37" s="93"/>
      <c r="FE37" s="93"/>
      <c r="FF37" s="93"/>
      <c r="FG37" s="93"/>
      <c r="FH37" s="88"/>
      <c r="FI37" s="93"/>
      <c r="FJ37" s="93"/>
      <c r="FK37" s="93"/>
      <c r="FL37" s="93"/>
      <c r="FM37" s="93"/>
      <c r="FN37" s="93"/>
      <c r="FO37" s="93"/>
      <c r="FP37" s="93"/>
      <c r="FQ37" s="93"/>
      <c r="FR37" s="93"/>
      <c r="FS37" s="93"/>
      <c r="FT37" s="93"/>
      <c r="FU37" s="93"/>
      <c r="FV37" s="93"/>
      <c r="FW37" s="93"/>
      <c r="FX37" s="93"/>
      <c r="FY37" s="93"/>
      <c r="FZ37" s="93"/>
      <c r="GA37" s="93"/>
      <c r="GB37" s="93"/>
      <c r="GC37" s="93"/>
      <c r="GD37" s="93"/>
      <c r="GE37" s="93"/>
      <c r="GF37" s="93"/>
      <c r="GG37" s="93"/>
      <c r="GH37" s="93"/>
      <c r="GI37" s="93"/>
      <c r="GJ37" s="93"/>
      <c r="GK37" s="93"/>
      <c r="GL37" s="93"/>
      <c r="GM37" s="93"/>
      <c r="GN37" s="93"/>
      <c r="GO37" s="93"/>
      <c r="GP37" s="88"/>
      <c r="GQ37" s="93"/>
      <c r="GR37" s="93"/>
      <c r="GS37" s="93"/>
      <c r="GT37" s="93"/>
      <c r="GU37" s="88"/>
      <c r="GV37" s="93"/>
      <c r="GW37" s="93"/>
      <c r="GX37" s="93"/>
      <c r="GY37" s="93"/>
      <c r="GZ37" s="88"/>
      <c r="HA37" s="93"/>
      <c r="HB37" s="93"/>
      <c r="HC37" s="93"/>
      <c r="HD37" s="93"/>
      <c r="HE37" s="88"/>
      <c r="HF37" s="93"/>
      <c r="HG37" s="93"/>
      <c r="HH37" s="93"/>
      <c r="HI37" s="93"/>
      <c r="HJ37" s="88"/>
      <c r="HK37" s="93"/>
      <c r="HL37" s="93"/>
      <c r="HM37" s="93"/>
      <c r="HN37" s="93"/>
      <c r="HO37" s="88"/>
      <c r="HP37" s="93"/>
      <c r="HQ37" s="93"/>
      <c r="HR37" s="93"/>
      <c r="HS37" s="93"/>
      <c r="HT37" s="88"/>
      <c r="HU37" s="93"/>
      <c r="HV37" s="93"/>
      <c r="HW37" s="93"/>
      <c r="HX37" s="93"/>
      <c r="HY37" s="88"/>
      <c r="HZ37" s="93"/>
      <c r="IA37" s="93"/>
      <c r="IB37" s="93"/>
      <c r="IC37" s="93"/>
      <c r="ID37" s="88"/>
      <c r="IE37" s="93"/>
      <c r="IF37" s="93"/>
      <c r="IG37" s="93"/>
      <c r="IH37" s="93"/>
      <c r="II37" s="88"/>
      <c r="IJ37" s="93"/>
      <c r="IK37" s="93"/>
      <c r="IL37" s="93"/>
      <c r="IM37" s="93"/>
      <c r="IN37" s="88"/>
      <c r="IO37" s="93"/>
      <c r="IP37" s="93"/>
      <c r="IQ37" s="93"/>
      <c r="IR37" s="93"/>
      <c r="IS37" s="88"/>
      <c r="IT37" s="93"/>
      <c r="IU37" s="93"/>
      <c r="IV37" s="93"/>
      <c r="IW37" s="93"/>
      <c r="IX37" s="88"/>
      <c r="IY37" s="93"/>
      <c r="IZ37" s="93"/>
      <c r="JA37" s="93"/>
      <c r="JB37" s="93"/>
      <c r="JC37" s="88"/>
      <c r="JD37" s="93"/>
      <c r="JE37" s="93"/>
      <c r="JF37" s="93"/>
      <c r="JG37" s="94"/>
      <c r="JH37" s="88"/>
      <c r="JI37" s="95"/>
      <c r="JJ37" s="93"/>
      <c r="JK37" s="93"/>
      <c r="JL37" s="94"/>
      <c r="JM37" s="89"/>
      <c r="JN37" s="96"/>
      <c r="JO37" s="84"/>
      <c r="JP37" s="95"/>
      <c r="JQ37" s="93"/>
      <c r="JR37" s="93"/>
      <c r="JS37" s="93"/>
      <c r="JT37" s="93"/>
      <c r="JU37" s="93"/>
      <c r="JV37" s="93"/>
      <c r="JW37" s="93"/>
      <c r="JX37" s="93"/>
      <c r="JY37" s="93"/>
      <c r="JZ37" s="93"/>
      <c r="KA37" s="93"/>
      <c r="KB37" s="93"/>
      <c r="KC37" s="93"/>
      <c r="KD37" s="93"/>
      <c r="KE37" s="93"/>
      <c r="KF37" s="93"/>
      <c r="KG37" s="93"/>
      <c r="KH37" s="93"/>
      <c r="KI37" s="93"/>
      <c r="KJ37" s="93"/>
      <c r="KK37" s="93"/>
      <c r="KL37" s="93"/>
      <c r="KM37" s="93"/>
      <c r="KN37" s="93"/>
      <c r="KO37" s="93"/>
      <c r="KP37" s="93"/>
      <c r="KQ37" s="93"/>
      <c r="KR37" s="93"/>
      <c r="KS37" s="93"/>
      <c r="KT37" s="93"/>
      <c r="KU37" s="93"/>
      <c r="KV37" s="93"/>
      <c r="KW37" s="93"/>
      <c r="KX37" s="93"/>
      <c r="KY37" s="93"/>
      <c r="KZ37" s="93"/>
      <c r="LA37" s="93"/>
      <c r="LB37" s="93"/>
      <c r="LC37" s="93"/>
      <c r="LD37" s="93"/>
      <c r="LE37" s="93"/>
      <c r="LF37" s="93"/>
      <c r="LG37" s="93"/>
      <c r="LH37" s="93"/>
      <c r="LI37" s="93"/>
      <c r="LJ37" s="93"/>
      <c r="LK37" s="93"/>
      <c r="LL37" s="93"/>
      <c r="LM37" s="93"/>
      <c r="LN37" s="93"/>
      <c r="LO37" s="93"/>
      <c r="LP37" s="93"/>
      <c r="LQ37" s="93"/>
      <c r="LR37" s="93"/>
      <c r="LS37" s="93"/>
      <c r="LT37" s="93"/>
      <c r="LU37" s="93"/>
      <c r="LV37" s="93"/>
      <c r="LW37" s="93"/>
      <c r="LX37" s="93"/>
      <c r="LY37" s="93"/>
      <c r="LZ37" s="93"/>
      <c r="MA37" s="93"/>
      <c r="MB37" s="93"/>
      <c r="MC37" s="93"/>
      <c r="MD37" s="93"/>
      <c r="ME37" s="93"/>
      <c r="MF37" s="93"/>
      <c r="MG37" s="93"/>
      <c r="MH37" s="93"/>
      <c r="MI37" s="93"/>
      <c r="MJ37" s="93"/>
      <c r="MK37" s="93"/>
      <c r="ML37" s="93"/>
      <c r="MM37" s="93"/>
      <c r="MN37" s="93"/>
      <c r="MO37" s="93"/>
      <c r="MP37" s="93"/>
      <c r="MQ37" s="93"/>
      <c r="MR37" s="93"/>
      <c r="MS37" s="93"/>
      <c r="MT37" s="93"/>
      <c r="MU37" s="93"/>
      <c r="MV37" s="93"/>
      <c r="MW37" s="93"/>
      <c r="MX37" s="93"/>
      <c r="MY37" s="93"/>
      <c r="MZ37" s="93"/>
      <c r="NA37" s="93"/>
      <c r="NB37" s="93"/>
      <c r="NC37" s="93"/>
      <c r="ND37" s="93"/>
      <c r="NE37" s="93"/>
      <c r="NF37" s="93"/>
      <c r="NG37" s="93"/>
      <c r="NH37" s="93"/>
      <c r="NI37" s="93"/>
      <c r="NJ37" s="93"/>
      <c r="NK37" s="93"/>
      <c r="NL37" s="93"/>
      <c r="NM37" s="93"/>
      <c r="NN37" s="93"/>
      <c r="NO37" s="93"/>
      <c r="NP37" s="93"/>
      <c r="NQ37" s="93"/>
      <c r="NR37" s="93"/>
      <c r="NS37" s="93"/>
      <c r="NT37" s="93"/>
      <c r="NU37" s="93"/>
      <c r="NV37" s="93"/>
      <c r="NW37" s="93"/>
      <c r="NX37" s="93"/>
      <c r="NY37" s="93"/>
      <c r="NZ37" s="93"/>
    </row>
    <row r="38" spans="1:390" ht="15.75" customHeight="1" x14ac:dyDescent="0.3">
      <c r="A38" s="98">
        <v>4423225735</v>
      </c>
      <c r="B38" s="182" t="s">
        <v>392</v>
      </c>
      <c r="C38" s="84" t="s">
        <v>393</v>
      </c>
      <c r="D38" s="87" t="s">
        <v>392</v>
      </c>
      <c r="E38" s="93" t="s">
        <v>711</v>
      </c>
      <c r="F38" s="93" t="s">
        <v>409</v>
      </c>
      <c r="G38" s="93" t="s">
        <v>399</v>
      </c>
      <c r="H38" s="101">
        <v>44656</v>
      </c>
      <c r="I38" s="240" t="s">
        <v>712</v>
      </c>
      <c r="J38" s="234" t="s">
        <v>398</v>
      </c>
      <c r="K38" s="93" t="s">
        <v>399</v>
      </c>
      <c r="L38" s="93" t="s">
        <v>399</v>
      </c>
      <c r="M38" s="93" t="s">
        <v>711</v>
      </c>
      <c r="N38" s="116" t="s">
        <v>713</v>
      </c>
      <c r="O38" s="92" t="s">
        <v>714</v>
      </c>
      <c r="P38" s="194">
        <v>44656</v>
      </c>
      <c r="Q38" s="84" t="s">
        <v>393</v>
      </c>
      <c r="R38" s="197" t="s">
        <v>399</v>
      </c>
      <c r="S38" s="197" t="s">
        <v>399</v>
      </c>
      <c r="T38" s="197" t="s">
        <v>399</v>
      </c>
      <c r="U38" s="198" t="s">
        <v>399</v>
      </c>
      <c r="V38" s="84" t="s">
        <v>399</v>
      </c>
      <c r="W38" s="197" t="s">
        <v>399</v>
      </c>
      <c r="X38" s="197" t="s">
        <v>399</v>
      </c>
      <c r="Y38" s="197" t="s">
        <v>399</v>
      </c>
      <c r="Z38" s="198" t="s">
        <v>399</v>
      </c>
      <c r="AA38" s="84" t="s">
        <v>399</v>
      </c>
      <c r="AB38" s="199" t="s">
        <v>400</v>
      </c>
      <c r="AC38" s="193">
        <v>18725</v>
      </c>
      <c r="AD38" s="194">
        <v>44595</v>
      </c>
      <c r="AE38" s="86">
        <f t="shared" si="0"/>
        <v>70</v>
      </c>
      <c r="AF38" s="108" t="s">
        <v>401</v>
      </c>
      <c r="AG38" s="84" t="s">
        <v>402</v>
      </c>
      <c r="AH38" s="87" t="s">
        <v>403</v>
      </c>
      <c r="AI38" s="85" t="s">
        <v>405</v>
      </c>
      <c r="AJ38" s="85" t="s">
        <v>405</v>
      </c>
      <c r="AK38" s="235" t="s">
        <v>715</v>
      </c>
      <c r="AL38" s="109">
        <v>1</v>
      </c>
      <c r="AM38" s="84" t="s">
        <v>399</v>
      </c>
      <c r="AN38" s="195">
        <v>1</v>
      </c>
      <c r="AO38" s="83" t="s">
        <v>399</v>
      </c>
      <c r="AP38" s="88"/>
      <c r="AQ38" s="95"/>
      <c r="AR38" s="88"/>
      <c r="AS38" s="93"/>
      <c r="AT38" s="93"/>
      <c r="AU38" s="93"/>
      <c r="AV38" s="93"/>
      <c r="AW38" s="88"/>
      <c r="AX38" s="93"/>
      <c r="AY38" s="93"/>
      <c r="AZ38" s="93"/>
      <c r="BA38" s="93"/>
      <c r="BB38" s="88"/>
      <c r="BC38" s="93"/>
      <c r="BD38" s="93"/>
      <c r="BE38" s="93"/>
      <c r="BF38" s="93"/>
      <c r="BG38" s="88"/>
      <c r="BH38" s="93"/>
      <c r="BI38" s="93"/>
      <c r="BJ38" s="93"/>
      <c r="BK38" s="93"/>
      <c r="BL38" s="88"/>
      <c r="BM38" s="93"/>
      <c r="BN38" s="93"/>
      <c r="BO38" s="93"/>
      <c r="BP38" s="93"/>
      <c r="BQ38" s="88"/>
      <c r="BR38" s="93"/>
      <c r="BS38" s="93"/>
      <c r="BT38" s="93"/>
      <c r="BU38" s="93"/>
      <c r="BV38" s="88"/>
      <c r="BW38" s="93"/>
      <c r="BX38" s="93"/>
      <c r="BY38" s="93"/>
      <c r="BZ38" s="93"/>
      <c r="CA38" s="88"/>
      <c r="CB38" s="93"/>
      <c r="CC38" s="93"/>
      <c r="CD38" s="93"/>
      <c r="CE38" s="93"/>
      <c r="CF38" s="88"/>
      <c r="CG38" s="93"/>
      <c r="CH38" s="93"/>
      <c r="CI38" s="93"/>
      <c r="CJ38" s="93"/>
      <c r="CK38" s="88"/>
      <c r="CL38" s="93"/>
      <c r="CM38" s="93"/>
      <c r="CN38" s="93"/>
      <c r="CO38" s="93"/>
      <c r="CP38" s="88"/>
      <c r="CQ38" s="93"/>
      <c r="CR38" s="93"/>
      <c r="CS38" s="93"/>
      <c r="CT38" s="93"/>
      <c r="CU38" s="88"/>
      <c r="CV38" s="93"/>
      <c r="CW38" s="93"/>
      <c r="CX38" s="93"/>
      <c r="CY38" s="93"/>
      <c r="CZ38" s="88"/>
      <c r="DA38" s="93"/>
      <c r="DB38" s="93"/>
      <c r="DC38" s="93"/>
      <c r="DD38" s="93"/>
      <c r="DE38" s="88"/>
      <c r="DF38" s="93"/>
      <c r="DG38" s="93"/>
      <c r="DH38" s="93"/>
      <c r="DI38" s="93"/>
      <c r="DJ38" s="88"/>
      <c r="DK38" s="93"/>
      <c r="DL38" s="93"/>
      <c r="DM38" s="93"/>
      <c r="DN38" s="93"/>
      <c r="DO38" s="88"/>
      <c r="DP38" s="93"/>
      <c r="DQ38" s="93"/>
      <c r="DR38" s="93"/>
      <c r="DS38" s="93"/>
      <c r="DT38" s="88"/>
      <c r="DU38" s="93"/>
      <c r="DV38" s="93"/>
      <c r="DW38" s="93"/>
      <c r="DX38" s="93"/>
      <c r="DY38" s="88"/>
      <c r="DZ38" s="93"/>
      <c r="EA38" s="93"/>
      <c r="EB38" s="93"/>
      <c r="EC38" s="93"/>
      <c r="ED38" s="88"/>
      <c r="EE38" s="93"/>
      <c r="EF38" s="93"/>
      <c r="EG38" s="93"/>
      <c r="EH38" s="93"/>
      <c r="EI38" s="88"/>
      <c r="EJ38" s="93"/>
      <c r="EK38" s="93"/>
      <c r="EL38" s="93"/>
      <c r="EM38" s="93"/>
      <c r="EN38" s="88"/>
      <c r="EO38" s="93"/>
      <c r="EP38" s="93"/>
      <c r="EQ38" s="93"/>
      <c r="ER38" s="93"/>
      <c r="ES38" s="88"/>
      <c r="ET38" s="93"/>
      <c r="EU38" s="93"/>
      <c r="EV38" s="93"/>
      <c r="EW38" s="93"/>
      <c r="EX38" s="88"/>
      <c r="EY38" s="93"/>
      <c r="EZ38" s="93"/>
      <c r="FA38" s="93"/>
      <c r="FB38" s="93"/>
      <c r="FC38" s="88"/>
      <c r="FD38" s="93"/>
      <c r="FE38" s="93"/>
      <c r="FF38" s="93"/>
      <c r="FG38" s="93"/>
      <c r="FH38" s="88"/>
      <c r="FI38" s="93"/>
      <c r="FJ38" s="93"/>
      <c r="FK38" s="93"/>
      <c r="FL38" s="93"/>
      <c r="FM38" s="93"/>
      <c r="FN38" s="93"/>
      <c r="FO38" s="93"/>
      <c r="FP38" s="93"/>
      <c r="FQ38" s="93"/>
      <c r="FR38" s="93"/>
      <c r="FS38" s="93"/>
      <c r="FT38" s="93"/>
      <c r="FU38" s="93"/>
      <c r="FV38" s="93"/>
      <c r="FW38" s="93"/>
      <c r="FX38" s="93"/>
      <c r="FY38" s="93"/>
      <c r="FZ38" s="93"/>
      <c r="GA38" s="93"/>
      <c r="GB38" s="93"/>
      <c r="GC38" s="93"/>
      <c r="GD38" s="93"/>
      <c r="GE38" s="93"/>
      <c r="GF38" s="93"/>
      <c r="GG38" s="93"/>
      <c r="GH38" s="93"/>
      <c r="GI38" s="93"/>
      <c r="GJ38" s="93"/>
      <c r="GK38" s="93"/>
      <c r="GL38" s="93"/>
      <c r="GM38" s="93"/>
      <c r="GN38" s="93"/>
      <c r="GO38" s="93"/>
      <c r="GP38" s="88"/>
      <c r="GQ38" s="93"/>
      <c r="GR38" s="93"/>
      <c r="GS38" s="93"/>
      <c r="GT38" s="93"/>
      <c r="GU38" s="88"/>
      <c r="GV38" s="93"/>
      <c r="GW38" s="93"/>
      <c r="GX38" s="93"/>
      <c r="GY38" s="93"/>
      <c r="GZ38" s="88"/>
      <c r="HA38" s="93"/>
      <c r="HB38" s="93"/>
      <c r="HC38" s="93"/>
      <c r="HD38" s="93"/>
      <c r="HE38" s="88"/>
      <c r="HF38" s="93"/>
      <c r="HG38" s="93"/>
      <c r="HH38" s="93"/>
      <c r="HI38" s="93"/>
      <c r="HJ38" s="88"/>
      <c r="HK38" s="93"/>
      <c r="HL38" s="93"/>
      <c r="HM38" s="93"/>
      <c r="HN38" s="93"/>
      <c r="HO38" s="88"/>
      <c r="HP38" s="93"/>
      <c r="HQ38" s="93"/>
      <c r="HR38" s="93"/>
      <c r="HS38" s="93"/>
      <c r="HT38" s="88"/>
      <c r="HU38" s="93"/>
      <c r="HV38" s="93"/>
      <c r="HW38" s="93"/>
      <c r="HX38" s="93"/>
      <c r="HY38" s="88"/>
      <c r="HZ38" s="93"/>
      <c r="IA38" s="93"/>
      <c r="IB38" s="93"/>
      <c r="IC38" s="93"/>
      <c r="ID38" s="88"/>
      <c r="IE38" s="93"/>
      <c r="IF38" s="93"/>
      <c r="IG38" s="93"/>
      <c r="IH38" s="93"/>
      <c r="II38" s="88"/>
      <c r="IJ38" s="93"/>
      <c r="IK38" s="93"/>
      <c r="IL38" s="93"/>
      <c r="IM38" s="93"/>
      <c r="IN38" s="88"/>
      <c r="IO38" s="93"/>
      <c r="IP38" s="93"/>
      <c r="IQ38" s="93"/>
      <c r="IR38" s="93"/>
      <c r="IS38" s="88"/>
      <c r="IT38" s="93"/>
      <c r="IU38" s="93"/>
      <c r="IV38" s="93"/>
      <c r="IW38" s="93"/>
      <c r="IX38" s="88"/>
      <c r="IY38" s="93"/>
      <c r="IZ38" s="93"/>
      <c r="JA38" s="93"/>
      <c r="JB38" s="93"/>
      <c r="JC38" s="88"/>
      <c r="JD38" s="93"/>
      <c r="JE38" s="93"/>
      <c r="JF38" s="93"/>
      <c r="JG38" s="94"/>
      <c r="JH38" s="88"/>
      <c r="JI38" s="95"/>
      <c r="JJ38" s="93"/>
      <c r="JK38" s="93"/>
      <c r="JL38" s="94"/>
      <c r="JM38" s="89"/>
      <c r="JN38" s="96"/>
      <c r="JO38" s="84"/>
      <c r="JP38" s="95"/>
      <c r="JQ38" s="93"/>
      <c r="JR38" s="93"/>
      <c r="JS38" s="93"/>
      <c r="JT38" s="93"/>
      <c r="JU38" s="93"/>
      <c r="JV38" s="93"/>
      <c r="JW38" s="93"/>
      <c r="JX38" s="93"/>
      <c r="JY38" s="93"/>
      <c r="JZ38" s="93"/>
      <c r="KA38" s="93"/>
      <c r="KB38" s="93"/>
      <c r="KC38" s="93"/>
      <c r="KD38" s="93"/>
      <c r="KE38" s="93"/>
      <c r="KF38" s="93"/>
      <c r="KG38" s="93"/>
      <c r="KH38" s="93"/>
      <c r="KI38" s="93"/>
      <c r="KJ38" s="93"/>
      <c r="KK38" s="93"/>
      <c r="KL38" s="93"/>
      <c r="KM38" s="93"/>
      <c r="KN38" s="93"/>
      <c r="KO38" s="93"/>
      <c r="KP38" s="93"/>
      <c r="KQ38" s="93"/>
      <c r="KR38" s="93"/>
      <c r="KS38" s="93"/>
      <c r="KT38" s="93"/>
      <c r="KU38" s="93"/>
      <c r="KV38" s="93"/>
      <c r="KW38" s="93"/>
      <c r="KX38" s="93"/>
      <c r="KY38" s="93"/>
      <c r="KZ38" s="93"/>
      <c r="LA38" s="93"/>
      <c r="LB38" s="93"/>
      <c r="LC38" s="93"/>
      <c r="LD38" s="93"/>
      <c r="LE38" s="93"/>
      <c r="LF38" s="93"/>
      <c r="LG38" s="93"/>
      <c r="LH38" s="93"/>
      <c r="LI38" s="93"/>
      <c r="LJ38" s="93"/>
      <c r="LK38" s="93"/>
      <c r="LL38" s="93"/>
      <c r="LM38" s="93"/>
      <c r="LN38" s="93"/>
      <c r="LO38" s="93"/>
      <c r="LP38" s="93"/>
      <c r="LQ38" s="93"/>
      <c r="LR38" s="93"/>
      <c r="LS38" s="93"/>
      <c r="LT38" s="93"/>
      <c r="LU38" s="93"/>
      <c r="LV38" s="93"/>
      <c r="LW38" s="93"/>
      <c r="LX38" s="93"/>
      <c r="LY38" s="93"/>
      <c r="LZ38" s="93"/>
      <c r="MA38" s="93"/>
      <c r="MB38" s="93"/>
      <c r="MC38" s="93"/>
      <c r="MD38" s="93"/>
      <c r="ME38" s="93"/>
      <c r="MF38" s="93"/>
      <c r="MG38" s="93"/>
      <c r="MH38" s="93"/>
      <c r="MI38" s="93"/>
      <c r="MJ38" s="93"/>
      <c r="MK38" s="93"/>
      <c r="ML38" s="93"/>
      <c r="MM38" s="93"/>
      <c r="MN38" s="93"/>
      <c r="MO38" s="93"/>
      <c r="MP38" s="93"/>
      <c r="MQ38" s="93"/>
      <c r="MR38" s="93"/>
      <c r="MS38" s="93"/>
      <c r="MT38" s="93"/>
      <c r="MU38" s="93"/>
      <c r="MV38" s="93"/>
      <c r="MW38" s="93"/>
      <c r="MX38" s="93"/>
      <c r="MY38" s="93"/>
      <c r="MZ38" s="93"/>
      <c r="NA38" s="93"/>
      <c r="NB38" s="93"/>
      <c r="NC38" s="93"/>
      <c r="ND38" s="93"/>
      <c r="NE38" s="93"/>
      <c r="NF38" s="93"/>
      <c r="NG38" s="93"/>
      <c r="NH38" s="93"/>
      <c r="NI38" s="93"/>
      <c r="NJ38" s="93"/>
      <c r="NK38" s="93"/>
      <c r="NL38" s="93"/>
      <c r="NM38" s="93"/>
      <c r="NN38" s="93"/>
      <c r="NO38" s="93"/>
      <c r="NP38" s="93"/>
      <c r="NQ38" s="93"/>
      <c r="NR38" s="93"/>
      <c r="NS38" s="93"/>
      <c r="NT38" s="93"/>
      <c r="NU38" s="93"/>
      <c r="NV38" s="93"/>
      <c r="NW38" s="93"/>
      <c r="NX38" s="93"/>
      <c r="NY38" s="93"/>
      <c r="NZ38" s="93"/>
    </row>
    <row r="39" spans="1:390" ht="15.75" customHeight="1" x14ac:dyDescent="0.3">
      <c r="A39" s="98">
        <v>6047820638</v>
      </c>
      <c r="B39" s="182" t="s">
        <v>392</v>
      </c>
      <c r="C39" s="84" t="s">
        <v>393</v>
      </c>
      <c r="D39" s="87" t="s">
        <v>392</v>
      </c>
      <c r="E39" s="93" t="s">
        <v>716</v>
      </c>
      <c r="F39" s="93" t="s">
        <v>425</v>
      </c>
      <c r="G39" s="93" t="s">
        <v>426</v>
      </c>
      <c r="H39" s="101">
        <v>44663</v>
      </c>
      <c r="I39" s="240" t="s">
        <v>660</v>
      </c>
      <c r="J39" s="234" t="s">
        <v>398</v>
      </c>
      <c r="K39" s="93" t="s">
        <v>399</v>
      </c>
      <c r="L39" s="93" t="s">
        <v>399</v>
      </c>
      <c r="M39" s="93" t="s">
        <v>399</v>
      </c>
      <c r="N39" s="93" t="s">
        <v>399</v>
      </c>
      <c r="O39" s="93" t="s">
        <v>399</v>
      </c>
      <c r="P39" s="194" t="s">
        <v>399</v>
      </c>
      <c r="Q39" s="84" t="s">
        <v>393</v>
      </c>
      <c r="R39" s="197" t="s">
        <v>399</v>
      </c>
      <c r="S39" s="197" t="s">
        <v>399</v>
      </c>
      <c r="T39" s="197" t="s">
        <v>399</v>
      </c>
      <c r="U39" s="198" t="s">
        <v>399</v>
      </c>
      <c r="V39" s="84" t="s">
        <v>399</v>
      </c>
      <c r="W39" s="197" t="s">
        <v>399</v>
      </c>
      <c r="X39" s="197" t="s">
        <v>399</v>
      </c>
      <c r="Y39" s="197" t="s">
        <v>399</v>
      </c>
      <c r="Z39" s="198" t="s">
        <v>399</v>
      </c>
      <c r="AA39" s="84" t="s">
        <v>399</v>
      </c>
      <c r="AB39" s="199" t="s">
        <v>400</v>
      </c>
      <c r="AC39" s="193">
        <v>17675</v>
      </c>
      <c r="AD39" s="194">
        <v>44609</v>
      </c>
      <c r="AE39" s="86">
        <f t="shared" si="0"/>
        <v>73</v>
      </c>
      <c r="AF39" s="108" t="s">
        <v>401</v>
      </c>
      <c r="AG39" s="84" t="s">
        <v>402</v>
      </c>
      <c r="AH39" s="87" t="s">
        <v>392</v>
      </c>
      <c r="AI39" s="85" t="s">
        <v>418</v>
      </c>
      <c r="AJ39" s="235" t="s">
        <v>405</v>
      </c>
      <c r="AK39" s="85" t="s">
        <v>405</v>
      </c>
      <c r="AL39" s="109">
        <v>0</v>
      </c>
      <c r="AM39" s="84" t="s">
        <v>419</v>
      </c>
      <c r="AN39" s="195">
        <v>2</v>
      </c>
      <c r="AO39" s="83" t="s">
        <v>399</v>
      </c>
      <c r="AP39" s="88"/>
      <c r="AQ39" s="95"/>
      <c r="AR39" s="88"/>
      <c r="AS39" s="93"/>
      <c r="AT39" s="93"/>
      <c r="AU39" s="93"/>
      <c r="AV39" s="93"/>
      <c r="AW39" s="88"/>
      <c r="AX39" s="93"/>
      <c r="AY39" s="93"/>
      <c r="AZ39" s="93"/>
      <c r="BA39" s="93"/>
      <c r="BB39" s="88"/>
      <c r="BC39" s="93"/>
      <c r="BD39" s="93"/>
      <c r="BE39" s="93"/>
      <c r="BF39" s="93"/>
      <c r="BG39" s="88"/>
      <c r="BH39" s="93"/>
      <c r="BI39" s="93"/>
      <c r="BJ39" s="93"/>
      <c r="BK39" s="93"/>
      <c r="BL39" s="88"/>
      <c r="BM39" s="93"/>
      <c r="BN39" s="93"/>
      <c r="BO39" s="93"/>
      <c r="BP39" s="93"/>
      <c r="BQ39" s="88"/>
      <c r="BR39" s="93"/>
      <c r="BS39" s="93"/>
      <c r="BT39" s="93"/>
      <c r="BU39" s="93"/>
      <c r="BV39" s="88"/>
      <c r="BW39" s="93"/>
      <c r="BX39" s="93"/>
      <c r="BY39" s="93"/>
      <c r="BZ39" s="93"/>
      <c r="CA39" s="88"/>
      <c r="CB39" s="93"/>
      <c r="CC39" s="93"/>
      <c r="CD39" s="93"/>
      <c r="CE39" s="93"/>
      <c r="CF39" s="88"/>
      <c r="CG39" s="93"/>
      <c r="CH39" s="93"/>
      <c r="CI39" s="93"/>
      <c r="CJ39" s="93"/>
      <c r="CK39" s="88"/>
      <c r="CL39" s="93"/>
      <c r="CM39" s="93"/>
      <c r="CN39" s="93"/>
      <c r="CO39" s="93"/>
      <c r="CP39" s="88"/>
      <c r="CQ39" s="93"/>
      <c r="CR39" s="93"/>
      <c r="CS39" s="93"/>
      <c r="CT39" s="93"/>
      <c r="CU39" s="88"/>
      <c r="CV39" s="93"/>
      <c r="CW39" s="93"/>
      <c r="CX39" s="93"/>
      <c r="CY39" s="93"/>
      <c r="CZ39" s="88"/>
      <c r="DA39" s="93"/>
      <c r="DB39" s="93"/>
      <c r="DC39" s="93"/>
      <c r="DD39" s="93"/>
      <c r="DE39" s="88"/>
      <c r="DF39" s="93"/>
      <c r="DG39" s="93"/>
      <c r="DH39" s="93"/>
      <c r="DI39" s="93"/>
      <c r="DJ39" s="88"/>
      <c r="DK39" s="93"/>
      <c r="DL39" s="93"/>
      <c r="DM39" s="93"/>
      <c r="DN39" s="93"/>
      <c r="DO39" s="88"/>
      <c r="DP39" s="93"/>
      <c r="DQ39" s="93"/>
      <c r="DR39" s="93"/>
      <c r="DS39" s="93"/>
      <c r="DT39" s="88"/>
      <c r="DU39" s="93"/>
      <c r="DV39" s="93"/>
      <c r="DW39" s="93"/>
      <c r="DX39" s="93"/>
      <c r="DY39" s="88"/>
      <c r="DZ39" s="93"/>
      <c r="EA39" s="93"/>
      <c r="EB39" s="93"/>
      <c r="EC39" s="93"/>
      <c r="ED39" s="88"/>
      <c r="EE39" s="93"/>
      <c r="EF39" s="93"/>
      <c r="EG39" s="93"/>
      <c r="EH39" s="93"/>
      <c r="EI39" s="88"/>
      <c r="EJ39" s="93"/>
      <c r="EK39" s="93"/>
      <c r="EL39" s="93"/>
      <c r="EM39" s="93"/>
      <c r="EN39" s="88"/>
      <c r="EO39" s="93"/>
      <c r="EP39" s="93"/>
      <c r="EQ39" s="93"/>
      <c r="ER39" s="93"/>
      <c r="ES39" s="88"/>
      <c r="ET39" s="93"/>
      <c r="EU39" s="93"/>
      <c r="EV39" s="93"/>
      <c r="EW39" s="93"/>
      <c r="EX39" s="88"/>
      <c r="EY39" s="93"/>
      <c r="EZ39" s="93"/>
      <c r="FA39" s="93"/>
      <c r="FB39" s="93"/>
      <c r="FC39" s="88"/>
      <c r="FD39" s="93"/>
      <c r="FE39" s="93"/>
      <c r="FF39" s="93"/>
      <c r="FG39" s="93"/>
      <c r="FH39" s="88"/>
      <c r="FI39" s="93"/>
      <c r="FJ39" s="93"/>
      <c r="FK39" s="93"/>
      <c r="FL39" s="93"/>
      <c r="FM39" s="93"/>
      <c r="FN39" s="93"/>
      <c r="FO39" s="93"/>
      <c r="FP39" s="93"/>
      <c r="FQ39" s="93"/>
      <c r="FR39" s="93"/>
      <c r="FS39" s="93"/>
      <c r="FT39" s="93"/>
      <c r="FU39" s="93"/>
      <c r="FV39" s="93"/>
      <c r="FW39" s="93"/>
      <c r="FX39" s="93"/>
      <c r="FY39" s="93"/>
      <c r="FZ39" s="93"/>
      <c r="GA39" s="93"/>
      <c r="GB39" s="93"/>
      <c r="GC39" s="93"/>
      <c r="GD39" s="93"/>
      <c r="GE39" s="93"/>
      <c r="GF39" s="93"/>
      <c r="GG39" s="93"/>
      <c r="GH39" s="93"/>
      <c r="GI39" s="93"/>
      <c r="GJ39" s="93"/>
      <c r="GK39" s="93"/>
      <c r="GL39" s="93"/>
      <c r="GM39" s="93"/>
      <c r="GN39" s="93"/>
      <c r="GO39" s="93"/>
      <c r="GP39" s="88"/>
      <c r="GQ39" s="93"/>
      <c r="GR39" s="93"/>
      <c r="GS39" s="93"/>
      <c r="GT39" s="93"/>
      <c r="GU39" s="88"/>
      <c r="GV39" s="93"/>
      <c r="GW39" s="93"/>
      <c r="GX39" s="93"/>
      <c r="GY39" s="93"/>
      <c r="GZ39" s="88"/>
      <c r="HA39" s="93"/>
      <c r="HB39" s="93"/>
      <c r="HC39" s="93"/>
      <c r="HD39" s="93"/>
      <c r="HE39" s="88"/>
      <c r="HF39" s="93"/>
      <c r="HG39" s="93"/>
      <c r="HH39" s="93"/>
      <c r="HI39" s="93"/>
      <c r="HJ39" s="88"/>
      <c r="HK39" s="93"/>
      <c r="HL39" s="93"/>
      <c r="HM39" s="93"/>
      <c r="HN39" s="93"/>
      <c r="HO39" s="88"/>
      <c r="HP39" s="93"/>
      <c r="HQ39" s="93"/>
      <c r="HR39" s="93"/>
      <c r="HS39" s="93"/>
      <c r="HT39" s="88"/>
      <c r="HU39" s="93"/>
      <c r="HV39" s="93"/>
      <c r="HW39" s="93"/>
      <c r="HX39" s="93"/>
      <c r="HY39" s="88"/>
      <c r="HZ39" s="93"/>
      <c r="IA39" s="93"/>
      <c r="IB39" s="93"/>
      <c r="IC39" s="93"/>
      <c r="ID39" s="88"/>
      <c r="IE39" s="93"/>
      <c r="IF39" s="93"/>
      <c r="IG39" s="93"/>
      <c r="IH39" s="93"/>
      <c r="II39" s="88"/>
      <c r="IJ39" s="93"/>
      <c r="IK39" s="93"/>
      <c r="IL39" s="93"/>
      <c r="IM39" s="93"/>
      <c r="IN39" s="88"/>
      <c r="IO39" s="93"/>
      <c r="IP39" s="93"/>
      <c r="IQ39" s="93"/>
      <c r="IR39" s="93"/>
      <c r="IS39" s="88"/>
      <c r="IT39" s="93"/>
      <c r="IU39" s="93"/>
      <c r="IV39" s="93"/>
      <c r="IW39" s="93"/>
      <c r="IX39" s="88"/>
      <c r="IY39" s="93"/>
      <c r="IZ39" s="93"/>
      <c r="JA39" s="93"/>
      <c r="JB39" s="93"/>
      <c r="JC39" s="88"/>
      <c r="JD39" s="93"/>
      <c r="JE39" s="93"/>
      <c r="JF39" s="93"/>
      <c r="JG39" s="94"/>
      <c r="JH39" s="88"/>
      <c r="JI39" s="95"/>
      <c r="JJ39" s="93"/>
      <c r="JK39" s="93"/>
      <c r="JL39" s="94"/>
      <c r="JM39" s="89"/>
      <c r="JN39" s="96"/>
      <c r="JO39" s="84"/>
      <c r="JP39" s="95"/>
      <c r="JQ39" s="93"/>
      <c r="JR39" s="93"/>
      <c r="JS39" s="93"/>
      <c r="JT39" s="93"/>
      <c r="JU39" s="93"/>
      <c r="JV39" s="93"/>
      <c r="JW39" s="93"/>
      <c r="JX39" s="93"/>
      <c r="JY39" s="93"/>
      <c r="JZ39" s="93"/>
      <c r="KA39" s="93"/>
      <c r="KB39" s="93"/>
      <c r="KC39" s="93"/>
      <c r="KD39" s="93"/>
      <c r="KE39" s="93"/>
      <c r="KF39" s="93"/>
      <c r="KG39" s="93"/>
      <c r="KH39" s="93"/>
      <c r="KI39" s="93"/>
      <c r="KJ39" s="93"/>
      <c r="KK39" s="93"/>
      <c r="KL39" s="93"/>
      <c r="KM39" s="93"/>
      <c r="KN39" s="93"/>
      <c r="KO39" s="93"/>
      <c r="KP39" s="93"/>
      <c r="KQ39" s="93"/>
      <c r="KR39" s="93"/>
      <c r="KS39" s="93"/>
      <c r="KT39" s="93"/>
      <c r="KU39" s="93"/>
      <c r="KV39" s="93"/>
      <c r="KW39" s="93"/>
      <c r="KX39" s="93"/>
      <c r="KY39" s="93"/>
      <c r="KZ39" s="93"/>
      <c r="LA39" s="93"/>
      <c r="LB39" s="93"/>
      <c r="LC39" s="93"/>
      <c r="LD39" s="93"/>
      <c r="LE39" s="93"/>
      <c r="LF39" s="93"/>
      <c r="LG39" s="93"/>
      <c r="LH39" s="93"/>
      <c r="LI39" s="93"/>
      <c r="LJ39" s="93"/>
      <c r="LK39" s="93"/>
      <c r="LL39" s="93"/>
      <c r="LM39" s="93"/>
      <c r="LN39" s="93"/>
      <c r="LO39" s="93"/>
      <c r="LP39" s="93"/>
      <c r="LQ39" s="93"/>
      <c r="LR39" s="93"/>
      <c r="LS39" s="93"/>
      <c r="LT39" s="93"/>
      <c r="LU39" s="93"/>
      <c r="LV39" s="93"/>
      <c r="LW39" s="93"/>
      <c r="LX39" s="93"/>
      <c r="LY39" s="93"/>
      <c r="LZ39" s="93"/>
      <c r="MA39" s="93"/>
      <c r="MB39" s="93"/>
      <c r="MC39" s="93"/>
      <c r="MD39" s="93"/>
      <c r="ME39" s="93"/>
      <c r="MF39" s="93"/>
      <c r="MG39" s="93"/>
      <c r="MH39" s="93"/>
      <c r="MI39" s="93"/>
      <c r="MJ39" s="93"/>
      <c r="MK39" s="93"/>
      <c r="ML39" s="93"/>
      <c r="MM39" s="93"/>
      <c r="MN39" s="93"/>
      <c r="MO39" s="93"/>
      <c r="MP39" s="93"/>
      <c r="MQ39" s="93"/>
      <c r="MR39" s="93"/>
      <c r="MS39" s="93"/>
      <c r="MT39" s="93"/>
      <c r="MU39" s="93"/>
      <c r="MV39" s="93"/>
      <c r="MW39" s="93"/>
      <c r="MX39" s="93"/>
      <c r="MY39" s="93"/>
      <c r="MZ39" s="93"/>
      <c r="NA39" s="93"/>
      <c r="NB39" s="93"/>
      <c r="NC39" s="93"/>
      <c r="ND39" s="93"/>
      <c r="NE39" s="93"/>
      <c r="NF39" s="93"/>
      <c r="NG39" s="93"/>
      <c r="NH39" s="93"/>
      <c r="NI39" s="93"/>
      <c r="NJ39" s="93"/>
      <c r="NK39" s="93"/>
      <c r="NL39" s="93"/>
      <c r="NM39" s="93"/>
      <c r="NN39" s="93"/>
      <c r="NO39" s="93"/>
      <c r="NP39" s="93"/>
      <c r="NQ39" s="93"/>
      <c r="NR39" s="93"/>
      <c r="NS39" s="93"/>
      <c r="NT39" s="93"/>
      <c r="NU39" s="93"/>
      <c r="NV39" s="93"/>
      <c r="NW39" s="93"/>
      <c r="NX39" s="93"/>
      <c r="NY39" s="93"/>
      <c r="NZ39" s="93"/>
    </row>
    <row r="40" spans="1:390" ht="15.75" customHeight="1" x14ac:dyDescent="0.3">
      <c r="A40" s="98">
        <v>4382148243</v>
      </c>
      <c r="B40" s="182" t="s">
        <v>392</v>
      </c>
      <c r="C40" s="84" t="s">
        <v>393</v>
      </c>
      <c r="D40" s="87" t="s">
        <v>392</v>
      </c>
      <c r="E40" s="93" t="s">
        <v>717</v>
      </c>
      <c r="F40" s="93" t="s">
        <v>416</v>
      </c>
      <c r="G40" s="93" t="s">
        <v>399</v>
      </c>
      <c r="H40" s="101">
        <v>44726</v>
      </c>
      <c r="I40" s="240" t="s">
        <v>660</v>
      </c>
      <c r="J40" s="234" t="s">
        <v>398</v>
      </c>
      <c r="K40" s="93" t="s">
        <v>399</v>
      </c>
      <c r="L40" s="93" t="s">
        <v>399</v>
      </c>
      <c r="M40" s="93" t="s">
        <v>399</v>
      </c>
      <c r="N40" s="93" t="s">
        <v>399</v>
      </c>
      <c r="O40" s="93" t="s">
        <v>399</v>
      </c>
      <c r="P40" s="194" t="s">
        <v>399</v>
      </c>
      <c r="Q40" s="84" t="s">
        <v>393</v>
      </c>
      <c r="R40" s="197" t="s">
        <v>399</v>
      </c>
      <c r="S40" s="197" t="s">
        <v>399</v>
      </c>
      <c r="T40" s="197" t="s">
        <v>399</v>
      </c>
      <c r="U40" s="198" t="s">
        <v>399</v>
      </c>
      <c r="V40" s="84" t="s">
        <v>399</v>
      </c>
      <c r="W40" s="197" t="s">
        <v>399</v>
      </c>
      <c r="X40" s="197" t="s">
        <v>399</v>
      </c>
      <c r="Y40" s="197" t="s">
        <v>399</v>
      </c>
      <c r="Z40" s="198" t="s">
        <v>399</v>
      </c>
      <c r="AA40" s="84" t="s">
        <v>399</v>
      </c>
      <c r="AB40" s="199" t="s">
        <v>400</v>
      </c>
      <c r="AC40" s="193">
        <v>17259</v>
      </c>
      <c r="AD40" s="194">
        <v>44726</v>
      </c>
      <c r="AE40" s="86">
        <f t="shared" si="0"/>
        <v>75</v>
      </c>
      <c r="AF40" s="108" t="s">
        <v>401</v>
      </c>
      <c r="AG40" s="84" t="s">
        <v>402</v>
      </c>
      <c r="AH40" s="87" t="s">
        <v>403</v>
      </c>
      <c r="AI40" s="85">
        <v>2</v>
      </c>
      <c r="AJ40" s="235" t="s">
        <v>405</v>
      </c>
      <c r="AK40" s="85" t="s">
        <v>405</v>
      </c>
      <c r="AL40" s="109">
        <v>0</v>
      </c>
      <c r="AM40" s="84" t="s">
        <v>423</v>
      </c>
      <c r="AN40" s="195">
        <v>1</v>
      </c>
      <c r="AO40" s="83" t="s">
        <v>399</v>
      </c>
      <c r="AP40" s="88"/>
      <c r="AQ40" s="95"/>
      <c r="AR40" s="88"/>
      <c r="AS40" s="93"/>
      <c r="AT40" s="93"/>
      <c r="AU40" s="93"/>
      <c r="AV40" s="93"/>
      <c r="AW40" s="88"/>
      <c r="AX40" s="93"/>
      <c r="AY40" s="93"/>
      <c r="AZ40" s="93"/>
      <c r="BA40" s="93"/>
      <c r="BB40" s="88"/>
      <c r="BC40" s="93"/>
      <c r="BD40" s="93"/>
      <c r="BE40" s="93"/>
      <c r="BF40" s="93"/>
      <c r="BG40" s="88"/>
      <c r="BH40" s="93"/>
      <c r="BI40" s="93"/>
      <c r="BJ40" s="93"/>
      <c r="BK40" s="93"/>
      <c r="BL40" s="88"/>
      <c r="BM40" s="93"/>
      <c r="BN40" s="93"/>
      <c r="BO40" s="93"/>
      <c r="BP40" s="93"/>
      <c r="BQ40" s="88"/>
      <c r="BR40" s="93"/>
      <c r="BS40" s="93"/>
      <c r="BT40" s="93"/>
      <c r="BU40" s="93"/>
      <c r="BV40" s="88"/>
      <c r="BW40" s="93"/>
      <c r="BX40" s="93"/>
      <c r="BY40" s="93"/>
      <c r="BZ40" s="93"/>
      <c r="CA40" s="88"/>
      <c r="CB40" s="93"/>
      <c r="CC40" s="93"/>
      <c r="CD40" s="93"/>
      <c r="CE40" s="93"/>
      <c r="CF40" s="88"/>
      <c r="CG40" s="93"/>
      <c r="CH40" s="93"/>
      <c r="CI40" s="93"/>
      <c r="CJ40" s="93"/>
      <c r="CK40" s="88"/>
      <c r="CL40" s="93"/>
      <c r="CM40" s="93"/>
      <c r="CN40" s="93"/>
      <c r="CO40" s="93"/>
      <c r="CP40" s="88"/>
      <c r="CQ40" s="93"/>
      <c r="CR40" s="93"/>
      <c r="CS40" s="93"/>
      <c r="CT40" s="93"/>
      <c r="CU40" s="88"/>
      <c r="CV40" s="93"/>
      <c r="CW40" s="93"/>
      <c r="CX40" s="93"/>
      <c r="CY40" s="93"/>
      <c r="CZ40" s="88"/>
      <c r="DA40" s="93"/>
      <c r="DB40" s="93"/>
      <c r="DC40" s="93"/>
      <c r="DD40" s="93"/>
      <c r="DE40" s="88"/>
      <c r="DF40" s="93"/>
      <c r="DG40" s="93"/>
      <c r="DH40" s="93"/>
      <c r="DI40" s="93"/>
      <c r="DJ40" s="88"/>
      <c r="DK40" s="93"/>
      <c r="DL40" s="93"/>
      <c r="DM40" s="93"/>
      <c r="DN40" s="93"/>
      <c r="DO40" s="88"/>
      <c r="DP40" s="93"/>
      <c r="DQ40" s="93"/>
      <c r="DR40" s="93"/>
      <c r="DS40" s="93"/>
      <c r="DT40" s="88"/>
      <c r="DU40" s="93"/>
      <c r="DV40" s="93"/>
      <c r="DW40" s="93"/>
      <c r="DX40" s="93"/>
      <c r="DY40" s="88"/>
      <c r="DZ40" s="93"/>
      <c r="EA40" s="93"/>
      <c r="EB40" s="93"/>
      <c r="EC40" s="93"/>
      <c r="ED40" s="88"/>
      <c r="EE40" s="93"/>
      <c r="EF40" s="93"/>
      <c r="EG40" s="93"/>
      <c r="EH40" s="93"/>
      <c r="EI40" s="88"/>
      <c r="EJ40" s="93"/>
      <c r="EK40" s="93"/>
      <c r="EL40" s="93"/>
      <c r="EM40" s="93"/>
      <c r="EN40" s="88"/>
      <c r="EO40" s="93"/>
      <c r="EP40" s="93"/>
      <c r="EQ40" s="93"/>
      <c r="ER40" s="93"/>
      <c r="ES40" s="88"/>
      <c r="ET40" s="93"/>
      <c r="EU40" s="93"/>
      <c r="EV40" s="93"/>
      <c r="EW40" s="93"/>
      <c r="EX40" s="88"/>
      <c r="EY40" s="93"/>
      <c r="EZ40" s="93"/>
      <c r="FA40" s="93"/>
      <c r="FB40" s="93"/>
      <c r="FC40" s="88"/>
      <c r="FD40" s="93"/>
      <c r="FE40" s="93"/>
      <c r="FF40" s="93"/>
      <c r="FG40" s="93"/>
      <c r="FH40" s="88"/>
      <c r="FI40" s="93"/>
      <c r="FJ40" s="93"/>
      <c r="FK40" s="93"/>
      <c r="FL40" s="93"/>
      <c r="FM40" s="93"/>
      <c r="FN40" s="93"/>
      <c r="FO40" s="93"/>
      <c r="FP40" s="93"/>
      <c r="FQ40" s="93"/>
      <c r="FR40" s="93"/>
      <c r="FS40" s="93"/>
      <c r="FT40" s="93"/>
      <c r="FU40" s="93"/>
      <c r="FV40" s="93"/>
      <c r="FW40" s="93"/>
      <c r="FX40" s="93"/>
      <c r="FY40" s="93"/>
      <c r="FZ40" s="93"/>
      <c r="GA40" s="93"/>
      <c r="GB40" s="93"/>
      <c r="GC40" s="93"/>
      <c r="GD40" s="93"/>
      <c r="GE40" s="93"/>
      <c r="GF40" s="93"/>
      <c r="GG40" s="93"/>
      <c r="GH40" s="93"/>
      <c r="GI40" s="93"/>
      <c r="GJ40" s="93"/>
      <c r="GK40" s="93"/>
      <c r="GL40" s="93"/>
      <c r="GM40" s="93"/>
      <c r="GN40" s="93"/>
      <c r="GO40" s="93"/>
      <c r="GP40" s="88"/>
      <c r="GQ40" s="93"/>
      <c r="GR40" s="93"/>
      <c r="GS40" s="93"/>
      <c r="GT40" s="93"/>
      <c r="GU40" s="88"/>
      <c r="GV40" s="93"/>
      <c r="GW40" s="93"/>
      <c r="GX40" s="93"/>
      <c r="GY40" s="93"/>
      <c r="GZ40" s="88"/>
      <c r="HA40" s="93"/>
      <c r="HB40" s="93"/>
      <c r="HC40" s="93"/>
      <c r="HD40" s="93"/>
      <c r="HE40" s="88"/>
      <c r="HF40" s="93"/>
      <c r="HG40" s="93"/>
      <c r="HH40" s="93"/>
      <c r="HI40" s="93"/>
      <c r="HJ40" s="88"/>
      <c r="HK40" s="93"/>
      <c r="HL40" s="93"/>
      <c r="HM40" s="93"/>
      <c r="HN40" s="93"/>
      <c r="HO40" s="88"/>
      <c r="HP40" s="93"/>
      <c r="HQ40" s="93"/>
      <c r="HR40" s="93"/>
      <c r="HS40" s="93"/>
      <c r="HT40" s="88"/>
      <c r="HU40" s="93"/>
      <c r="HV40" s="93"/>
      <c r="HW40" s="93"/>
      <c r="HX40" s="93"/>
      <c r="HY40" s="88"/>
      <c r="HZ40" s="93"/>
      <c r="IA40" s="93"/>
      <c r="IB40" s="93"/>
      <c r="IC40" s="93"/>
      <c r="ID40" s="88"/>
      <c r="IE40" s="93"/>
      <c r="IF40" s="93"/>
      <c r="IG40" s="93"/>
      <c r="IH40" s="93"/>
      <c r="II40" s="88"/>
      <c r="IJ40" s="93"/>
      <c r="IK40" s="93"/>
      <c r="IL40" s="93"/>
      <c r="IM40" s="93"/>
      <c r="IN40" s="88"/>
      <c r="IO40" s="93"/>
      <c r="IP40" s="93"/>
      <c r="IQ40" s="93"/>
      <c r="IR40" s="93"/>
      <c r="IS40" s="88"/>
      <c r="IT40" s="93"/>
      <c r="IU40" s="93"/>
      <c r="IV40" s="93"/>
      <c r="IW40" s="93"/>
      <c r="IX40" s="88"/>
      <c r="IY40" s="93"/>
      <c r="IZ40" s="93"/>
      <c r="JA40" s="93"/>
      <c r="JB40" s="93"/>
      <c r="JC40" s="88"/>
      <c r="JD40" s="93"/>
      <c r="JE40" s="93"/>
      <c r="JF40" s="93"/>
      <c r="JG40" s="94"/>
      <c r="JH40" s="88"/>
      <c r="JI40" s="95"/>
      <c r="JJ40" s="93"/>
      <c r="JK40" s="93"/>
      <c r="JL40" s="94"/>
      <c r="JM40" s="89"/>
      <c r="JN40" s="96"/>
      <c r="JO40" s="84"/>
      <c r="JP40" s="95"/>
      <c r="JQ40" s="93"/>
      <c r="JR40" s="93"/>
      <c r="JS40" s="93"/>
      <c r="JT40" s="93"/>
      <c r="JU40" s="93"/>
      <c r="JV40" s="93"/>
      <c r="JW40" s="93"/>
      <c r="JX40" s="93"/>
      <c r="JY40" s="93"/>
      <c r="JZ40" s="93"/>
      <c r="KA40" s="93"/>
      <c r="KB40" s="93"/>
      <c r="KC40" s="93"/>
      <c r="KD40" s="93"/>
      <c r="KE40" s="93"/>
      <c r="KF40" s="93"/>
      <c r="KG40" s="93"/>
      <c r="KH40" s="93"/>
      <c r="KI40" s="93"/>
      <c r="KJ40" s="93"/>
      <c r="KK40" s="93"/>
      <c r="KL40" s="93"/>
      <c r="KM40" s="93"/>
      <c r="KN40" s="93"/>
      <c r="KO40" s="93"/>
      <c r="KP40" s="93"/>
      <c r="KQ40" s="93"/>
      <c r="KR40" s="93"/>
      <c r="KS40" s="93"/>
      <c r="KT40" s="93"/>
      <c r="KU40" s="93"/>
      <c r="KV40" s="93"/>
      <c r="KW40" s="93"/>
      <c r="KX40" s="93"/>
      <c r="KY40" s="93"/>
      <c r="KZ40" s="93"/>
      <c r="LA40" s="93"/>
      <c r="LB40" s="93"/>
      <c r="LC40" s="93"/>
      <c r="LD40" s="93"/>
      <c r="LE40" s="93"/>
      <c r="LF40" s="93"/>
      <c r="LG40" s="93"/>
      <c r="LH40" s="93"/>
      <c r="LI40" s="93"/>
      <c r="LJ40" s="93"/>
      <c r="LK40" s="93"/>
      <c r="LL40" s="93"/>
      <c r="LM40" s="93"/>
      <c r="LN40" s="93"/>
      <c r="LO40" s="93"/>
      <c r="LP40" s="93"/>
      <c r="LQ40" s="93"/>
      <c r="LR40" s="93"/>
      <c r="LS40" s="93"/>
      <c r="LT40" s="93"/>
      <c r="LU40" s="93"/>
      <c r="LV40" s="93"/>
      <c r="LW40" s="93"/>
      <c r="LX40" s="93"/>
      <c r="LY40" s="93"/>
      <c r="LZ40" s="93"/>
      <c r="MA40" s="93"/>
      <c r="MB40" s="93"/>
      <c r="MC40" s="93"/>
      <c r="MD40" s="93"/>
      <c r="ME40" s="93"/>
      <c r="MF40" s="93"/>
      <c r="MG40" s="93"/>
      <c r="MH40" s="93"/>
      <c r="MI40" s="93"/>
      <c r="MJ40" s="93"/>
      <c r="MK40" s="93"/>
      <c r="ML40" s="93"/>
      <c r="MM40" s="93"/>
      <c r="MN40" s="93"/>
      <c r="MO40" s="93"/>
      <c r="MP40" s="93"/>
      <c r="MQ40" s="93"/>
      <c r="MR40" s="93"/>
      <c r="MS40" s="93"/>
      <c r="MT40" s="93"/>
      <c r="MU40" s="93"/>
      <c r="MV40" s="93"/>
      <c r="MW40" s="93"/>
      <c r="MX40" s="93"/>
      <c r="MY40" s="93"/>
      <c r="MZ40" s="93"/>
      <c r="NA40" s="93"/>
      <c r="NB40" s="93"/>
      <c r="NC40" s="93"/>
      <c r="ND40" s="93"/>
      <c r="NE40" s="93"/>
      <c r="NF40" s="93"/>
      <c r="NG40" s="93"/>
      <c r="NH40" s="93"/>
      <c r="NI40" s="93"/>
      <c r="NJ40" s="93"/>
      <c r="NK40" s="93"/>
      <c r="NL40" s="93"/>
      <c r="NM40" s="93"/>
      <c r="NN40" s="93"/>
      <c r="NO40" s="93"/>
      <c r="NP40" s="93"/>
      <c r="NQ40" s="93"/>
      <c r="NR40" s="93"/>
      <c r="NS40" s="93"/>
      <c r="NT40" s="93"/>
      <c r="NU40" s="93"/>
      <c r="NV40" s="93"/>
      <c r="NW40" s="93"/>
      <c r="NX40" s="93"/>
      <c r="NY40" s="93"/>
      <c r="NZ40" s="93"/>
    </row>
    <row r="41" spans="1:390" ht="15.75" customHeight="1" x14ac:dyDescent="0.3">
      <c r="A41" s="98">
        <v>4300610517</v>
      </c>
      <c r="B41" s="182" t="s">
        <v>392</v>
      </c>
      <c r="C41" s="84" t="s">
        <v>393</v>
      </c>
      <c r="D41" s="87" t="s">
        <v>392</v>
      </c>
      <c r="E41" s="93" t="s">
        <v>718</v>
      </c>
      <c r="F41" s="93" t="s">
        <v>719</v>
      </c>
      <c r="G41" s="93" t="s">
        <v>399</v>
      </c>
      <c r="H41" s="101">
        <v>44784</v>
      </c>
      <c r="I41" s="240" t="s">
        <v>660</v>
      </c>
      <c r="J41" s="234" t="s">
        <v>398</v>
      </c>
      <c r="K41" s="93" t="s">
        <v>399</v>
      </c>
      <c r="L41" s="93" t="s">
        <v>399</v>
      </c>
      <c r="M41" s="93" t="s">
        <v>399</v>
      </c>
      <c r="N41" s="93" t="s">
        <v>399</v>
      </c>
      <c r="O41" s="93" t="s">
        <v>399</v>
      </c>
      <c r="P41" s="194" t="s">
        <v>399</v>
      </c>
      <c r="Q41" s="84" t="s">
        <v>393</v>
      </c>
      <c r="R41" s="197" t="s">
        <v>399</v>
      </c>
      <c r="S41" s="197" t="s">
        <v>399</v>
      </c>
      <c r="T41" s="197" t="s">
        <v>399</v>
      </c>
      <c r="U41" s="198" t="s">
        <v>399</v>
      </c>
      <c r="V41" s="84" t="s">
        <v>399</v>
      </c>
      <c r="W41" s="197" t="s">
        <v>399</v>
      </c>
      <c r="X41" s="197" t="s">
        <v>399</v>
      </c>
      <c r="Y41" s="197" t="s">
        <v>399</v>
      </c>
      <c r="Z41" s="198" t="s">
        <v>399</v>
      </c>
      <c r="AA41" s="84" t="s">
        <v>399</v>
      </c>
      <c r="AB41" s="199" t="s">
        <v>400</v>
      </c>
      <c r="AC41" s="193">
        <v>14508</v>
      </c>
      <c r="AD41" s="194">
        <v>44697</v>
      </c>
      <c r="AE41" s="86">
        <f t="shared" si="0"/>
        <v>82</v>
      </c>
      <c r="AF41" s="108" t="s">
        <v>401</v>
      </c>
      <c r="AG41" s="84" t="s">
        <v>402</v>
      </c>
      <c r="AH41" s="87" t="s">
        <v>403</v>
      </c>
      <c r="AI41" s="85" t="s">
        <v>404</v>
      </c>
      <c r="AJ41" s="235" t="s">
        <v>405</v>
      </c>
      <c r="AK41" s="85" t="s">
        <v>405</v>
      </c>
      <c r="AL41" s="109">
        <v>0</v>
      </c>
      <c r="AM41" s="84" t="s">
        <v>406</v>
      </c>
      <c r="AN41" s="195">
        <v>1</v>
      </c>
      <c r="AO41" s="83" t="s">
        <v>399</v>
      </c>
      <c r="AP41" s="88"/>
      <c r="AQ41" s="95"/>
      <c r="AR41" s="88"/>
      <c r="AS41" s="93"/>
      <c r="AT41" s="93"/>
      <c r="AU41" s="93"/>
      <c r="AV41" s="93"/>
      <c r="AW41" s="88"/>
      <c r="AX41" s="93"/>
      <c r="AY41" s="93"/>
      <c r="AZ41" s="93"/>
      <c r="BA41" s="93"/>
      <c r="BB41" s="88"/>
      <c r="BC41" s="93"/>
      <c r="BD41" s="93"/>
      <c r="BE41" s="93"/>
      <c r="BF41" s="93"/>
      <c r="BG41" s="88"/>
      <c r="BH41" s="93"/>
      <c r="BI41" s="93"/>
      <c r="BJ41" s="93"/>
      <c r="BK41" s="93"/>
      <c r="BL41" s="88"/>
      <c r="BM41" s="93"/>
      <c r="BN41" s="93"/>
      <c r="BO41" s="93"/>
      <c r="BP41" s="93"/>
      <c r="BQ41" s="88"/>
      <c r="BR41" s="93"/>
      <c r="BS41" s="93"/>
      <c r="BT41" s="93"/>
      <c r="BU41" s="93"/>
      <c r="BV41" s="88"/>
      <c r="BW41" s="93"/>
      <c r="BX41" s="93"/>
      <c r="BY41" s="93"/>
      <c r="BZ41" s="93"/>
      <c r="CA41" s="88"/>
      <c r="CB41" s="93"/>
      <c r="CC41" s="93"/>
      <c r="CD41" s="93"/>
      <c r="CE41" s="93"/>
      <c r="CF41" s="88"/>
      <c r="CG41" s="93"/>
      <c r="CH41" s="93"/>
      <c r="CI41" s="93"/>
      <c r="CJ41" s="93"/>
      <c r="CK41" s="88"/>
      <c r="CL41" s="93"/>
      <c r="CM41" s="93"/>
      <c r="CN41" s="93"/>
      <c r="CO41" s="93"/>
      <c r="CP41" s="88"/>
      <c r="CQ41" s="93"/>
      <c r="CR41" s="93"/>
      <c r="CS41" s="93"/>
      <c r="CT41" s="93"/>
      <c r="CU41" s="88"/>
      <c r="CV41" s="93"/>
      <c r="CW41" s="93"/>
      <c r="CX41" s="93"/>
      <c r="CY41" s="93"/>
      <c r="CZ41" s="88"/>
      <c r="DA41" s="93"/>
      <c r="DB41" s="93"/>
      <c r="DC41" s="93"/>
      <c r="DD41" s="93"/>
      <c r="DE41" s="88"/>
      <c r="DF41" s="93"/>
      <c r="DG41" s="93"/>
      <c r="DH41" s="93"/>
      <c r="DI41" s="93"/>
      <c r="DJ41" s="88"/>
      <c r="DK41" s="93"/>
      <c r="DL41" s="93"/>
      <c r="DM41" s="93"/>
      <c r="DN41" s="93"/>
      <c r="DO41" s="88"/>
      <c r="DP41" s="93"/>
      <c r="DQ41" s="93"/>
      <c r="DR41" s="93"/>
      <c r="DS41" s="93"/>
      <c r="DT41" s="88"/>
      <c r="DU41" s="93"/>
      <c r="DV41" s="93"/>
      <c r="DW41" s="93"/>
      <c r="DX41" s="93"/>
      <c r="DY41" s="88"/>
      <c r="DZ41" s="93"/>
      <c r="EA41" s="93"/>
      <c r="EB41" s="93"/>
      <c r="EC41" s="93"/>
      <c r="ED41" s="88"/>
      <c r="EE41" s="93"/>
      <c r="EF41" s="93"/>
      <c r="EG41" s="93"/>
      <c r="EH41" s="93"/>
      <c r="EI41" s="88"/>
      <c r="EJ41" s="93"/>
      <c r="EK41" s="93"/>
      <c r="EL41" s="93"/>
      <c r="EM41" s="93"/>
      <c r="EN41" s="88"/>
      <c r="EO41" s="93"/>
      <c r="EP41" s="93"/>
      <c r="EQ41" s="93"/>
      <c r="ER41" s="93"/>
      <c r="ES41" s="88"/>
      <c r="ET41" s="93"/>
      <c r="EU41" s="93"/>
      <c r="EV41" s="93"/>
      <c r="EW41" s="93"/>
      <c r="EX41" s="88"/>
      <c r="EY41" s="93"/>
      <c r="EZ41" s="93"/>
      <c r="FA41" s="93"/>
      <c r="FB41" s="93"/>
      <c r="FC41" s="88"/>
      <c r="FD41" s="93"/>
      <c r="FE41" s="93"/>
      <c r="FF41" s="93"/>
      <c r="FG41" s="93"/>
      <c r="FH41" s="88"/>
      <c r="FI41" s="93"/>
      <c r="FJ41" s="93"/>
      <c r="FK41" s="93"/>
      <c r="FL41" s="93"/>
      <c r="FM41" s="93"/>
      <c r="FN41" s="93"/>
      <c r="FO41" s="93"/>
      <c r="FP41" s="93"/>
      <c r="FQ41" s="93"/>
      <c r="FR41" s="93"/>
      <c r="FS41" s="93"/>
      <c r="FT41" s="93"/>
      <c r="FU41" s="93"/>
      <c r="FV41" s="93"/>
      <c r="FW41" s="93"/>
      <c r="FX41" s="93"/>
      <c r="FY41" s="93"/>
      <c r="FZ41" s="93"/>
      <c r="GA41" s="93"/>
      <c r="GB41" s="93"/>
      <c r="GC41" s="93"/>
      <c r="GD41" s="93"/>
      <c r="GE41" s="93"/>
      <c r="GF41" s="93"/>
      <c r="GG41" s="93"/>
      <c r="GH41" s="93"/>
      <c r="GI41" s="93"/>
      <c r="GJ41" s="93"/>
      <c r="GK41" s="93"/>
      <c r="GL41" s="93"/>
      <c r="GM41" s="93"/>
      <c r="GN41" s="93"/>
      <c r="GO41" s="93"/>
      <c r="GP41" s="88"/>
      <c r="GQ41" s="93"/>
      <c r="GR41" s="93"/>
      <c r="GS41" s="93"/>
      <c r="GT41" s="93"/>
      <c r="GU41" s="88"/>
      <c r="GV41" s="93"/>
      <c r="GW41" s="93"/>
      <c r="GX41" s="93"/>
      <c r="GY41" s="93"/>
      <c r="GZ41" s="88"/>
      <c r="HA41" s="93"/>
      <c r="HB41" s="93"/>
      <c r="HC41" s="93"/>
      <c r="HD41" s="93"/>
      <c r="HE41" s="88"/>
      <c r="HF41" s="93"/>
      <c r="HG41" s="93"/>
      <c r="HH41" s="93"/>
      <c r="HI41" s="93"/>
      <c r="HJ41" s="88"/>
      <c r="HK41" s="93"/>
      <c r="HL41" s="93"/>
      <c r="HM41" s="93"/>
      <c r="HN41" s="93"/>
      <c r="HO41" s="88"/>
      <c r="HP41" s="93"/>
      <c r="HQ41" s="93"/>
      <c r="HR41" s="93"/>
      <c r="HS41" s="93"/>
      <c r="HT41" s="88"/>
      <c r="HU41" s="93"/>
      <c r="HV41" s="93"/>
      <c r="HW41" s="93"/>
      <c r="HX41" s="93"/>
      <c r="HY41" s="88"/>
      <c r="HZ41" s="93"/>
      <c r="IA41" s="93"/>
      <c r="IB41" s="93"/>
      <c r="IC41" s="93"/>
      <c r="ID41" s="88"/>
      <c r="IE41" s="93"/>
      <c r="IF41" s="93"/>
      <c r="IG41" s="93"/>
      <c r="IH41" s="93"/>
      <c r="II41" s="88"/>
      <c r="IJ41" s="93"/>
      <c r="IK41" s="93"/>
      <c r="IL41" s="93"/>
      <c r="IM41" s="93"/>
      <c r="IN41" s="88"/>
      <c r="IO41" s="93"/>
      <c r="IP41" s="93"/>
      <c r="IQ41" s="93"/>
      <c r="IR41" s="93"/>
      <c r="IS41" s="88"/>
      <c r="IT41" s="93"/>
      <c r="IU41" s="93"/>
      <c r="IV41" s="93"/>
      <c r="IW41" s="93"/>
      <c r="IX41" s="88"/>
      <c r="IY41" s="93"/>
      <c r="IZ41" s="93"/>
      <c r="JA41" s="93"/>
      <c r="JB41" s="93"/>
      <c r="JC41" s="88"/>
      <c r="JD41" s="93"/>
      <c r="JE41" s="93"/>
      <c r="JF41" s="93"/>
      <c r="JG41" s="94"/>
      <c r="JH41" s="88"/>
      <c r="JI41" s="95"/>
      <c r="JJ41" s="93"/>
      <c r="JK41" s="93"/>
      <c r="JL41" s="94"/>
      <c r="JM41" s="89"/>
      <c r="JN41" s="96"/>
      <c r="JO41" s="84"/>
      <c r="JP41" s="95"/>
      <c r="JQ41" s="93"/>
      <c r="JR41" s="93"/>
      <c r="JS41" s="93"/>
      <c r="JT41" s="93"/>
      <c r="JU41" s="93"/>
      <c r="JV41" s="93"/>
      <c r="JW41" s="93"/>
      <c r="JX41" s="93"/>
      <c r="JY41" s="93"/>
      <c r="JZ41" s="93"/>
      <c r="KA41" s="93"/>
      <c r="KB41" s="93"/>
      <c r="KC41" s="93"/>
      <c r="KD41" s="93"/>
      <c r="KE41" s="93"/>
      <c r="KF41" s="93"/>
      <c r="KG41" s="93"/>
      <c r="KH41" s="93"/>
      <c r="KI41" s="93"/>
      <c r="KJ41" s="93"/>
      <c r="KK41" s="93"/>
      <c r="KL41" s="93"/>
      <c r="KM41" s="93"/>
      <c r="KN41" s="93"/>
      <c r="KO41" s="93"/>
      <c r="KP41" s="93"/>
      <c r="KQ41" s="93"/>
      <c r="KR41" s="93"/>
      <c r="KS41" s="93"/>
      <c r="KT41" s="93"/>
      <c r="KU41" s="93"/>
      <c r="KV41" s="93"/>
      <c r="KW41" s="93"/>
      <c r="KX41" s="93"/>
      <c r="KY41" s="93"/>
      <c r="KZ41" s="93"/>
      <c r="LA41" s="93"/>
      <c r="LB41" s="93"/>
      <c r="LC41" s="93"/>
      <c r="LD41" s="93"/>
      <c r="LE41" s="93"/>
      <c r="LF41" s="93"/>
      <c r="LG41" s="93"/>
      <c r="LH41" s="93"/>
      <c r="LI41" s="93"/>
      <c r="LJ41" s="93"/>
      <c r="LK41" s="93"/>
      <c r="LL41" s="93"/>
      <c r="LM41" s="93"/>
      <c r="LN41" s="93"/>
      <c r="LO41" s="93"/>
      <c r="LP41" s="93"/>
      <c r="LQ41" s="93"/>
      <c r="LR41" s="93"/>
      <c r="LS41" s="93"/>
      <c r="LT41" s="93"/>
      <c r="LU41" s="93"/>
      <c r="LV41" s="93"/>
      <c r="LW41" s="93"/>
      <c r="LX41" s="93"/>
      <c r="LY41" s="93"/>
      <c r="LZ41" s="93"/>
      <c r="MA41" s="93"/>
      <c r="MB41" s="93"/>
      <c r="MC41" s="93"/>
      <c r="MD41" s="93"/>
      <c r="ME41" s="93"/>
      <c r="MF41" s="93"/>
      <c r="MG41" s="93"/>
      <c r="MH41" s="93"/>
      <c r="MI41" s="93"/>
      <c r="MJ41" s="93"/>
      <c r="MK41" s="93"/>
      <c r="ML41" s="93"/>
      <c r="MM41" s="93"/>
      <c r="MN41" s="93"/>
      <c r="MO41" s="93"/>
      <c r="MP41" s="93"/>
      <c r="MQ41" s="93"/>
      <c r="MR41" s="93"/>
      <c r="MS41" s="93"/>
      <c r="MT41" s="93"/>
      <c r="MU41" s="93"/>
      <c r="MV41" s="93"/>
      <c r="MW41" s="93"/>
      <c r="MX41" s="93"/>
      <c r="MY41" s="93"/>
      <c r="MZ41" s="93"/>
      <c r="NA41" s="93"/>
      <c r="NB41" s="93"/>
      <c r="NC41" s="93"/>
      <c r="ND41" s="93"/>
      <c r="NE41" s="93"/>
      <c r="NF41" s="93"/>
      <c r="NG41" s="93"/>
      <c r="NH41" s="93"/>
      <c r="NI41" s="93"/>
      <c r="NJ41" s="93"/>
      <c r="NK41" s="93"/>
      <c r="NL41" s="93"/>
      <c r="NM41" s="93"/>
      <c r="NN41" s="93"/>
      <c r="NO41" s="93"/>
      <c r="NP41" s="93"/>
      <c r="NQ41" s="93"/>
      <c r="NR41" s="93"/>
      <c r="NS41" s="93"/>
      <c r="NT41" s="93"/>
      <c r="NU41" s="93"/>
      <c r="NV41" s="93"/>
      <c r="NW41" s="93"/>
      <c r="NX41" s="93"/>
      <c r="NY41" s="93"/>
      <c r="NZ41" s="93"/>
    </row>
    <row r="42" spans="1:390" ht="15.75" customHeight="1" x14ac:dyDescent="0.3">
      <c r="A42" s="98">
        <v>7132378651</v>
      </c>
      <c r="B42" s="182" t="s">
        <v>392</v>
      </c>
      <c r="C42" s="84" t="s">
        <v>393</v>
      </c>
      <c r="D42" s="87" t="s">
        <v>392</v>
      </c>
      <c r="E42" s="93" t="s">
        <v>720</v>
      </c>
      <c r="F42" s="93" t="s">
        <v>474</v>
      </c>
      <c r="G42" s="93" t="s">
        <v>441</v>
      </c>
      <c r="H42" s="101">
        <v>44806</v>
      </c>
      <c r="I42" s="92" t="s">
        <v>721</v>
      </c>
      <c r="J42" s="234" t="s">
        <v>398</v>
      </c>
      <c r="K42" s="93" t="s">
        <v>399</v>
      </c>
      <c r="L42" s="93" t="s">
        <v>399</v>
      </c>
      <c r="M42" s="93" t="s">
        <v>399</v>
      </c>
      <c r="N42" s="93" t="s">
        <v>399</v>
      </c>
      <c r="O42" s="93" t="s">
        <v>399</v>
      </c>
      <c r="P42" s="194" t="s">
        <v>399</v>
      </c>
      <c r="Q42" s="84" t="s">
        <v>393</v>
      </c>
      <c r="R42" s="203" t="s">
        <v>399</v>
      </c>
      <c r="S42" s="150" t="s">
        <v>399</v>
      </c>
      <c r="T42" s="150" t="s">
        <v>399</v>
      </c>
      <c r="U42" s="151" t="s">
        <v>399</v>
      </c>
      <c r="V42" s="84" t="s">
        <v>399</v>
      </c>
      <c r="W42" s="203" t="s">
        <v>399</v>
      </c>
      <c r="X42" s="150" t="s">
        <v>399</v>
      </c>
      <c r="Y42" s="150" t="s">
        <v>399</v>
      </c>
      <c r="Z42" s="151" t="s">
        <v>399</v>
      </c>
      <c r="AA42" s="84" t="s">
        <v>399</v>
      </c>
      <c r="AB42" s="152" t="s">
        <v>400</v>
      </c>
      <c r="AC42" s="193">
        <v>29091</v>
      </c>
      <c r="AD42" s="194">
        <v>44728</v>
      </c>
      <c r="AE42" s="86">
        <f t="shared" si="0"/>
        <v>42</v>
      </c>
      <c r="AF42" s="108" t="s">
        <v>435</v>
      </c>
      <c r="AG42" s="84" t="s">
        <v>402</v>
      </c>
      <c r="AH42" s="87" t="s">
        <v>403</v>
      </c>
      <c r="AI42" s="85" t="s">
        <v>404</v>
      </c>
      <c r="AJ42" s="235" t="s">
        <v>405</v>
      </c>
      <c r="AK42" s="85" t="s">
        <v>405</v>
      </c>
      <c r="AL42" s="109">
        <v>0</v>
      </c>
      <c r="AM42" s="84" t="s">
        <v>406</v>
      </c>
      <c r="AN42" s="204">
        <v>1</v>
      </c>
      <c r="AO42" s="83" t="s">
        <v>399</v>
      </c>
      <c r="AP42" s="88"/>
      <c r="AQ42" s="95"/>
      <c r="AR42" s="88"/>
      <c r="AS42" s="93"/>
      <c r="AT42" s="93"/>
      <c r="AU42" s="93"/>
      <c r="AV42" s="93"/>
      <c r="AW42" s="88"/>
      <c r="AX42" s="93"/>
      <c r="AY42" s="93"/>
      <c r="AZ42" s="93"/>
      <c r="BA42" s="93"/>
      <c r="BB42" s="88"/>
      <c r="BC42" s="93"/>
      <c r="BD42" s="93"/>
      <c r="BE42" s="93"/>
      <c r="BF42" s="93"/>
      <c r="BG42" s="88"/>
      <c r="BH42" s="93"/>
      <c r="BI42" s="93"/>
      <c r="BJ42" s="93"/>
      <c r="BK42" s="93"/>
      <c r="BL42" s="88"/>
      <c r="BM42" s="93"/>
      <c r="BN42" s="93"/>
      <c r="BO42" s="93"/>
      <c r="BP42" s="93"/>
      <c r="BQ42" s="88"/>
      <c r="BR42" s="93"/>
      <c r="BS42" s="93"/>
      <c r="BT42" s="93"/>
      <c r="BU42" s="93"/>
      <c r="BV42" s="88"/>
      <c r="BW42" s="93"/>
      <c r="BX42" s="93"/>
      <c r="BY42" s="93"/>
      <c r="BZ42" s="93"/>
      <c r="CA42" s="88"/>
      <c r="CB42" s="93"/>
      <c r="CC42" s="93"/>
      <c r="CD42" s="93"/>
      <c r="CE42" s="93"/>
      <c r="CF42" s="88"/>
      <c r="CG42" s="93"/>
      <c r="CH42" s="93"/>
      <c r="CI42" s="93"/>
      <c r="CJ42" s="93"/>
      <c r="CK42" s="88"/>
      <c r="CL42" s="93"/>
      <c r="CM42" s="93"/>
      <c r="CN42" s="93"/>
      <c r="CO42" s="93"/>
      <c r="CP42" s="88"/>
      <c r="CQ42" s="93"/>
      <c r="CR42" s="93"/>
      <c r="CS42" s="93"/>
      <c r="CT42" s="93"/>
      <c r="CU42" s="88"/>
      <c r="CV42" s="93"/>
      <c r="CW42" s="93"/>
      <c r="CX42" s="93"/>
      <c r="CY42" s="93"/>
      <c r="CZ42" s="88"/>
      <c r="DA42" s="93"/>
      <c r="DB42" s="93"/>
      <c r="DC42" s="93"/>
      <c r="DD42" s="93"/>
      <c r="DE42" s="88"/>
      <c r="DF42" s="93"/>
      <c r="DG42" s="93"/>
      <c r="DH42" s="93"/>
      <c r="DI42" s="93"/>
      <c r="DJ42" s="88"/>
      <c r="DK42" s="93"/>
      <c r="DL42" s="93"/>
      <c r="DM42" s="93"/>
      <c r="DN42" s="93"/>
      <c r="DO42" s="88"/>
      <c r="DP42" s="93"/>
      <c r="DQ42" s="93"/>
      <c r="DR42" s="93"/>
      <c r="DS42" s="93"/>
      <c r="DT42" s="88"/>
      <c r="DU42" s="93"/>
      <c r="DV42" s="93"/>
      <c r="DW42" s="93"/>
      <c r="DX42" s="93"/>
      <c r="DY42" s="88"/>
      <c r="DZ42" s="93"/>
      <c r="EA42" s="93"/>
      <c r="EB42" s="93"/>
      <c r="EC42" s="93"/>
      <c r="ED42" s="88"/>
      <c r="EE42" s="93"/>
      <c r="EF42" s="93"/>
      <c r="EG42" s="93"/>
      <c r="EH42" s="93"/>
      <c r="EI42" s="88"/>
      <c r="EJ42" s="93"/>
      <c r="EK42" s="93"/>
      <c r="EL42" s="93"/>
      <c r="EM42" s="93"/>
      <c r="EN42" s="88"/>
      <c r="EO42" s="93"/>
      <c r="EP42" s="93"/>
      <c r="EQ42" s="93"/>
      <c r="ER42" s="93"/>
      <c r="ES42" s="88"/>
      <c r="ET42" s="93"/>
      <c r="EU42" s="93"/>
      <c r="EV42" s="93"/>
      <c r="EW42" s="93"/>
      <c r="EX42" s="88"/>
      <c r="EY42" s="93"/>
      <c r="EZ42" s="93"/>
      <c r="FA42" s="93"/>
      <c r="FB42" s="93"/>
      <c r="FC42" s="88"/>
      <c r="FD42" s="93"/>
      <c r="FE42" s="93"/>
      <c r="FF42" s="93"/>
      <c r="FG42" s="93"/>
      <c r="FH42" s="88"/>
      <c r="FI42" s="93"/>
      <c r="FJ42" s="93"/>
      <c r="FK42" s="93"/>
      <c r="FL42" s="93"/>
      <c r="FM42" s="93"/>
      <c r="FN42" s="93"/>
      <c r="FO42" s="93"/>
      <c r="FP42" s="93"/>
      <c r="FQ42" s="93"/>
      <c r="FR42" s="93"/>
      <c r="FS42" s="93"/>
      <c r="FT42" s="93"/>
      <c r="FU42" s="93"/>
      <c r="FV42" s="93"/>
      <c r="FW42" s="93"/>
      <c r="FX42" s="93"/>
      <c r="FY42" s="93"/>
      <c r="FZ42" s="93"/>
      <c r="GA42" s="93"/>
      <c r="GB42" s="93"/>
      <c r="GC42" s="93"/>
      <c r="GD42" s="93"/>
      <c r="GE42" s="93"/>
      <c r="GF42" s="93"/>
      <c r="GG42" s="93"/>
      <c r="GH42" s="93"/>
      <c r="GI42" s="93"/>
      <c r="GJ42" s="93"/>
      <c r="GK42" s="93"/>
      <c r="GL42" s="93"/>
      <c r="GM42" s="93"/>
      <c r="GN42" s="93"/>
      <c r="GO42" s="93"/>
      <c r="GP42" s="88"/>
      <c r="GQ42" s="93"/>
      <c r="GR42" s="93"/>
      <c r="GS42" s="93"/>
      <c r="GT42" s="93"/>
      <c r="GU42" s="88"/>
      <c r="GV42" s="93"/>
      <c r="GW42" s="93"/>
      <c r="GX42" s="93"/>
      <c r="GY42" s="93"/>
      <c r="GZ42" s="88"/>
      <c r="HA42" s="93"/>
      <c r="HB42" s="93"/>
      <c r="HC42" s="93"/>
      <c r="HD42" s="93"/>
      <c r="HE42" s="88"/>
      <c r="HF42" s="93"/>
      <c r="HG42" s="93"/>
      <c r="HH42" s="93"/>
      <c r="HI42" s="93"/>
      <c r="HJ42" s="88"/>
      <c r="HK42" s="93"/>
      <c r="HL42" s="93"/>
      <c r="HM42" s="93"/>
      <c r="HN42" s="93"/>
      <c r="HO42" s="88"/>
      <c r="HP42" s="93"/>
      <c r="HQ42" s="93"/>
      <c r="HR42" s="93"/>
      <c r="HS42" s="93"/>
      <c r="HT42" s="88"/>
      <c r="HU42" s="93"/>
      <c r="HV42" s="93"/>
      <c r="HW42" s="93"/>
      <c r="HX42" s="93"/>
      <c r="HY42" s="88"/>
      <c r="HZ42" s="93"/>
      <c r="IA42" s="93"/>
      <c r="IB42" s="93"/>
      <c r="IC42" s="93"/>
      <c r="ID42" s="88"/>
      <c r="IE42" s="93"/>
      <c r="IF42" s="93"/>
      <c r="IG42" s="93"/>
      <c r="IH42" s="93"/>
      <c r="II42" s="88"/>
      <c r="IJ42" s="93"/>
      <c r="IK42" s="93"/>
      <c r="IL42" s="93"/>
      <c r="IM42" s="93"/>
      <c r="IN42" s="88"/>
      <c r="IO42" s="93"/>
      <c r="IP42" s="93"/>
      <c r="IQ42" s="93"/>
      <c r="IR42" s="93"/>
      <c r="IS42" s="88"/>
      <c r="IT42" s="93"/>
      <c r="IU42" s="93"/>
      <c r="IV42" s="93"/>
      <c r="IW42" s="93"/>
      <c r="IX42" s="88"/>
      <c r="IY42" s="93"/>
      <c r="IZ42" s="93"/>
      <c r="JA42" s="93"/>
      <c r="JB42" s="93"/>
      <c r="JC42" s="88"/>
      <c r="JD42" s="93"/>
      <c r="JE42" s="93"/>
      <c r="JF42" s="93"/>
      <c r="JG42" s="94"/>
      <c r="JH42" s="88"/>
      <c r="JI42" s="95"/>
      <c r="JJ42" s="93"/>
      <c r="JK42" s="93"/>
      <c r="JL42" s="94"/>
      <c r="JM42" s="89"/>
      <c r="JN42" s="96"/>
      <c r="JO42" s="84"/>
      <c r="JP42" s="95"/>
      <c r="JQ42" s="93"/>
      <c r="JR42" s="93"/>
      <c r="JS42" s="93"/>
      <c r="JT42" s="93"/>
      <c r="JU42" s="93"/>
      <c r="JV42" s="93"/>
      <c r="JW42" s="93"/>
      <c r="JX42" s="93"/>
      <c r="JY42" s="93"/>
      <c r="JZ42" s="93"/>
      <c r="KA42" s="93"/>
      <c r="KB42" s="93"/>
      <c r="KC42" s="93"/>
      <c r="KD42" s="93"/>
      <c r="KE42" s="93"/>
      <c r="KF42" s="93"/>
      <c r="KG42" s="93"/>
      <c r="KH42" s="93"/>
      <c r="KI42" s="93"/>
      <c r="KJ42" s="93"/>
      <c r="KK42" s="93"/>
      <c r="KL42" s="93"/>
      <c r="KM42" s="93"/>
      <c r="KN42" s="93"/>
      <c r="KO42" s="93"/>
      <c r="KP42" s="93"/>
      <c r="KQ42" s="93"/>
      <c r="KR42" s="93"/>
      <c r="KS42" s="93"/>
      <c r="KT42" s="93"/>
      <c r="KU42" s="93"/>
      <c r="KV42" s="93"/>
      <c r="KW42" s="93"/>
      <c r="KX42" s="93"/>
      <c r="KY42" s="93"/>
      <c r="KZ42" s="93"/>
      <c r="LA42" s="93"/>
      <c r="LB42" s="93"/>
      <c r="LC42" s="93"/>
      <c r="LD42" s="93"/>
      <c r="LE42" s="93"/>
      <c r="LF42" s="93"/>
      <c r="LG42" s="93"/>
      <c r="LH42" s="93"/>
      <c r="LI42" s="93"/>
      <c r="LJ42" s="93"/>
      <c r="LK42" s="93"/>
      <c r="LL42" s="93"/>
      <c r="LM42" s="93"/>
      <c r="LN42" s="93"/>
      <c r="LO42" s="93"/>
      <c r="LP42" s="93"/>
      <c r="LQ42" s="93"/>
      <c r="LR42" s="93"/>
      <c r="LS42" s="93"/>
      <c r="LT42" s="93"/>
      <c r="LU42" s="93"/>
      <c r="LV42" s="93"/>
      <c r="LW42" s="93"/>
      <c r="LX42" s="93"/>
      <c r="LY42" s="93"/>
      <c r="LZ42" s="93"/>
      <c r="MA42" s="93"/>
      <c r="MB42" s="93"/>
      <c r="MC42" s="93"/>
      <c r="MD42" s="93"/>
      <c r="ME42" s="93"/>
      <c r="MF42" s="93"/>
      <c r="MG42" s="93"/>
      <c r="MH42" s="93"/>
      <c r="MI42" s="93"/>
      <c r="MJ42" s="93"/>
      <c r="MK42" s="93"/>
      <c r="ML42" s="93"/>
      <c r="MM42" s="93"/>
      <c r="MN42" s="93"/>
      <c r="MO42" s="93"/>
      <c r="MP42" s="93"/>
      <c r="MQ42" s="93"/>
      <c r="MR42" s="93"/>
      <c r="MS42" s="93"/>
      <c r="MT42" s="93"/>
      <c r="MU42" s="93"/>
      <c r="MV42" s="93"/>
      <c r="MW42" s="93"/>
      <c r="MX42" s="93"/>
      <c r="MY42" s="93"/>
      <c r="MZ42" s="93"/>
      <c r="NA42" s="93"/>
      <c r="NB42" s="93"/>
      <c r="NC42" s="93"/>
      <c r="ND42" s="93"/>
      <c r="NE42" s="93"/>
      <c r="NF42" s="93"/>
      <c r="NG42" s="93"/>
      <c r="NH42" s="93"/>
      <c r="NI42" s="93"/>
      <c r="NJ42" s="93"/>
      <c r="NK42" s="93"/>
      <c r="NL42" s="93"/>
      <c r="NM42" s="93"/>
      <c r="NN42" s="93"/>
      <c r="NO42" s="93"/>
      <c r="NP42" s="93"/>
      <c r="NQ42" s="93"/>
      <c r="NR42" s="93"/>
      <c r="NS42" s="93"/>
      <c r="NT42" s="93"/>
      <c r="NU42" s="93"/>
      <c r="NV42" s="93"/>
      <c r="NW42" s="93"/>
      <c r="NX42" s="93"/>
      <c r="NY42" s="93"/>
      <c r="NZ42" s="93"/>
    </row>
    <row r="43" spans="1:390" ht="15.75" customHeight="1" x14ac:dyDescent="0.3">
      <c r="A43" s="98">
        <v>4087617025</v>
      </c>
      <c r="B43" s="182" t="s">
        <v>392</v>
      </c>
      <c r="C43" s="84" t="s">
        <v>393</v>
      </c>
      <c r="D43" s="87" t="s">
        <v>392</v>
      </c>
      <c r="E43" s="93" t="s">
        <v>722</v>
      </c>
      <c r="F43" s="93" t="s">
        <v>449</v>
      </c>
      <c r="G43" s="93" t="s">
        <v>425</v>
      </c>
      <c r="H43" s="101">
        <v>44868</v>
      </c>
      <c r="I43" s="92" t="s">
        <v>723</v>
      </c>
      <c r="J43" s="93" t="s">
        <v>724</v>
      </c>
      <c r="K43" s="93" t="s">
        <v>399</v>
      </c>
      <c r="L43" s="93" t="s">
        <v>399</v>
      </c>
      <c r="M43" s="93" t="s">
        <v>399</v>
      </c>
      <c r="N43" s="93" t="s">
        <v>399</v>
      </c>
      <c r="O43" s="93" t="s">
        <v>399</v>
      </c>
      <c r="P43" s="194" t="s">
        <v>399</v>
      </c>
      <c r="Q43" s="84" t="s">
        <v>393</v>
      </c>
      <c r="R43" s="203" t="s">
        <v>399</v>
      </c>
      <c r="S43" s="150" t="s">
        <v>399</v>
      </c>
      <c r="T43" s="150" t="s">
        <v>399</v>
      </c>
      <c r="U43" s="151" t="s">
        <v>399</v>
      </c>
      <c r="V43" s="84" t="s">
        <v>399</v>
      </c>
      <c r="W43" s="203" t="s">
        <v>399</v>
      </c>
      <c r="X43" s="150" t="s">
        <v>399</v>
      </c>
      <c r="Y43" s="150" t="s">
        <v>399</v>
      </c>
      <c r="Z43" s="151" t="s">
        <v>399</v>
      </c>
      <c r="AA43" s="84" t="s">
        <v>399</v>
      </c>
      <c r="AB43" s="152" t="s">
        <v>400</v>
      </c>
      <c r="AC43" s="193">
        <v>24174</v>
      </c>
      <c r="AD43" s="194">
        <v>44803</v>
      </c>
      <c r="AE43" s="86">
        <f t="shared" si="0"/>
        <v>56</v>
      </c>
      <c r="AF43" s="108" t="s">
        <v>401</v>
      </c>
      <c r="AG43" s="84" t="s">
        <v>402</v>
      </c>
      <c r="AH43" s="87" t="s">
        <v>392</v>
      </c>
      <c r="AI43" s="85">
        <v>2</v>
      </c>
      <c r="AJ43" s="85">
        <v>0</v>
      </c>
      <c r="AK43" s="85" t="s">
        <v>405</v>
      </c>
      <c r="AL43" s="109">
        <v>0</v>
      </c>
      <c r="AM43" s="84" t="s">
        <v>423</v>
      </c>
      <c r="AN43" s="204">
        <v>1</v>
      </c>
      <c r="AO43" s="83" t="s">
        <v>399</v>
      </c>
      <c r="AP43" s="88"/>
      <c r="AQ43" s="95"/>
      <c r="AR43" s="88"/>
      <c r="AS43" s="93"/>
      <c r="AT43" s="93"/>
      <c r="AU43" s="93"/>
      <c r="AV43" s="93"/>
      <c r="AW43" s="88"/>
      <c r="AX43" s="93"/>
      <c r="AY43" s="93"/>
      <c r="AZ43" s="93"/>
      <c r="BA43" s="93"/>
      <c r="BB43" s="88"/>
      <c r="BC43" s="93"/>
      <c r="BD43" s="93"/>
      <c r="BE43" s="93"/>
      <c r="BF43" s="93"/>
      <c r="BG43" s="88"/>
      <c r="BH43" s="93"/>
      <c r="BI43" s="93"/>
      <c r="BJ43" s="93"/>
      <c r="BK43" s="93"/>
      <c r="BL43" s="88"/>
      <c r="BM43" s="93"/>
      <c r="BN43" s="93"/>
      <c r="BO43" s="93"/>
      <c r="BP43" s="93"/>
      <c r="BQ43" s="88"/>
      <c r="BR43" s="93"/>
      <c r="BS43" s="93"/>
      <c r="BT43" s="93"/>
      <c r="BU43" s="93"/>
      <c r="BV43" s="88"/>
      <c r="BW43" s="93"/>
      <c r="BX43" s="93"/>
      <c r="BY43" s="93"/>
      <c r="BZ43" s="93"/>
      <c r="CA43" s="88"/>
      <c r="CB43" s="93"/>
      <c r="CC43" s="93"/>
      <c r="CD43" s="93"/>
      <c r="CE43" s="93"/>
      <c r="CF43" s="88"/>
      <c r="CG43" s="93"/>
      <c r="CH43" s="93"/>
      <c r="CI43" s="93"/>
      <c r="CJ43" s="93"/>
      <c r="CK43" s="88"/>
      <c r="CL43" s="93"/>
      <c r="CM43" s="93"/>
      <c r="CN43" s="93"/>
      <c r="CO43" s="93"/>
      <c r="CP43" s="88"/>
      <c r="CQ43" s="93"/>
      <c r="CR43" s="93"/>
      <c r="CS43" s="93"/>
      <c r="CT43" s="93"/>
      <c r="CU43" s="88"/>
      <c r="CV43" s="93"/>
      <c r="CW43" s="93"/>
      <c r="CX43" s="93"/>
      <c r="CY43" s="93"/>
      <c r="CZ43" s="88"/>
      <c r="DA43" s="93"/>
      <c r="DB43" s="93"/>
      <c r="DC43" s="93"/>
      <c r="DD43" s="93"/>
      <c r="DE43" s="88"/>
      <c r="DF43" s="93"/>
      <c r="DG43" s="93"/>
      <c r="DH43" s="93"/>
      <c r="DI43" s="93"/>
      <c r="DJ43" s="88"/>
      <c r="DK43" s="93"/>
      <c r="DL43" s="93"/>
      <c r="DM43" s="93"/>
      <c r="DN43" s="93"/>
      <c r="DO43" s="88"/>
      <c r="DP43" s="93"/>
      <c r="DQ43" s="93"/>
      <c r="DR43" s="93"/>
      <c r="DS43" s="93"/>
      <c r="DT43" s="88"/>
      <c r="DU43" s="93"/>
      <c r="DV43" s="93"/>
      <c r="DW43" s="93"/>
      <c r="DX43" s="93"/>
      <c r="DY43" s="88"/>
      <c r="DZ43" s="93"/>
      <c r="EA43" s="93"/>
      <c r="EB43" s="93"/>
      <c r="EC43" s="93"/>
      <c r="ED43" s="88"/>
      <c r="EE43" s="93"/>
      <c r="EF43" s="93"/>
      <c r="EG43" s="93"/>
      <c r="EH43" s="93"/>
      <c r="EI43" s="88"/>
      <c r="EJ43" s="93"/>
      <c r="EK43" s="93"/>
      <c r="EL43" s="93"/>
      <c r="EM43" s="93"/>
      <c r="EN43" s="88"/>
      <c r="EO43" s="93"/>
      <c r="EP43" s="93"/>
      <c r="EQ43" s="93"/>
      <c r="ER43" s="93"/>
      <c r="ES43" s="88"/>
      <c r="ET43" s="93"/>
      <c r="EU43" s="93"/>
      <c r="EV43" s="93"/>
      <c r="EW43" s="93"/>
      <c r="EX43" s="88"/>
      <c r="EY43" s="93"/>
      <c r="EZ43" s="93"/>
      <c r="FA43" s="93"/>
      <c r="FB43" s="93"/>
      <c r="FC43" s="88"/>
      <c r="FD43" s="93"/>
      <c r="FE43" s="93"/>
      <c r="FF43" s="93"/>
      <c r="FG43" s="93"/>
      <c r="FH43" s="88"/>
      <c r="FI43" s="93"/>
      <c r="FJ43" s="93"/>
      <c r="FK43" s="93"/>
      <c r="FL43" s="93"/>
      <c r="FM43" s="93"/>
      <c r="FN43" s="93"/>
      <c r="FO43" s="93"/>
      <c r="FP43" s="93"/>
      <c r="FQ43" s="93"/>
      <c r="FR43" s="93"/>
      <c r="FS43" s="93"/>
      <c r="FT43" s="93"/>
      <c r="FU43" s="93"/>
      <c r="FV43" s="93"/>
      <c r="FW43" s="93"/>
      <c r="FX43" s="93"/>
      <c r="FY43" s="93"/>
      <c r="FZ43" s="93"/>
      <c r="GA43" s="93"/>
      <c r="GB43" s="93"/>
      <c r="GC43" s="93"/>
      <c r="GD43" s="93"/>
      <c r="GE43" s="93"/>
      <c r="GF43" s="93"/>
      <c r="GG43" s="93"/>
      <c r="GH43" s="93"/>
      <c r="GI43" s="93"/>
      <c r="GJ43" s="93"/>
      <c r="GK43" s="93"/>
      <c r="GL43" s="93"/>
      <c r="GM43" s="93"/>
      <c r="GN43" s="93"/>
      <c r="GO43" s="93"/>
      <c r="GP43" s="88"/>
      <c r="GQ43" s="93"/>
      <c r="GR43" s="93"/>
      <c r="GS43" s="93"/>
      <c r="GT43" s="93"/>
      <c r="GU43" s="88"/>
      <c r="GV43" s="93"/>
      <c r="GW43" s="93"/>
      <c r="GX43" s="93"/>
      <c r="GY43" s="93"/>
      <c r="GZ43" s="88"/>
      <c r="HA43" s="93"/>
      <c r="HB43" s="93"/>
      <c r="HC43" s="93"/>
      <c r="HD43" s="93"/>
      <c r="HE43" s="88"/>
      <c r="HF43" s="93"/>
      <c r="HG43" s="93"/>
      <c r="HH43" s="93"/>
      <c r="HI43" s="93"/>
      <c r="HJ43" s="88"/>
      <c r="HK43" s="93"/>
      <c r="HL43" s="93"/>
      <c r="HM43" s="93"/>
      <c r="HN43" s="93"/>
      <c r="HO43" s="88"/>
      <c r="HP43" s="93"/>
      <c r="HQ43" s="93"/>
      <c r="HR43" s="93"/>
      <c r="HS43" s="93"/>
      <c r="HT43" s="88"/>
      <c r="HU43" s="93"/>
      <c r="HV43" s="93"/>
      <c r="HW43" s="93"/>
      <c r="HX43" s="93"/>
      <c r="HY43" s="88"/>
      <c r="HZ43" s="93"/>
      <c r="IA43" s="93"/>
      <c r="IB43" s="93"/>
      <c r="IC43" s="93"/>
      <c r="ID43" s="88"/>
      <c r="IE43" s="93"/>
      <c r="IF43" s="93"/>
      <c r="IG43" s="93"/>
      <c r="IH43" s="93"/>
      <c r="II43" s="88"/>
      <c r="IJ43" s="93"/>
      <c r="IK43" s="93"/>
      <c r="IL43" s="93"/>
      <c r="IM43" s="93"/>
      <c r="IN43" s="88"/>
      <c r="IO43" s="93"/>
      <c r="IP43" s="93"/>
      <c r="IQ43" s="93"/>
      <c r="IR43" s="93"/>
      <c r="IS43" s="88"/>
      <c r="IT43" s="93"/>
      <c r="IU43" s="93"/>
      <c r="IV43" s="93"/>
      <c r="IW43" s="93"/>
      <c r="IX43" s="88"/>
      <c r="IY43" s="93"/>
      <c r="IZ43" s="93"/>
      <c r="JA43" s="93"/>
      <c r="JB43" s="93"/>
      <c r="JC43" s="88"/>
      <c r="JD43" s="93"/>
      <c r="JE43" s="93"/>
      <c r="JF43" s="93"/>
      <c r="JG43" s="94"/>
      <c r="JH43" s="88"/>
      <c r="JI43" s="95"/>
      <c r="JJ43" s="93"/>
      <c r="JK43" s="93"/>
      <c r="JL43" s="94"/>
      <c r="JM43" s="89"/>
      <c r="JN43" s="96"/>
      <c r="JO43" s="84"/>
      <c r="JP43" s="95"/>
      <c r="JQ43" s="93"/>
      <c r="JR43" s="93"/>
      <c r="JS43" s="93"/>
      <c r="JT43" s="93"/>
      <c r="JU43" s="93"/>
      <c r="JV43" s="93"/>
      <c r="JW43" s="93"/>
      <c r="JX43" s="93"/>
      <c r="JY43" s="93"/>
      <c r="JZ43" s="93"/>
      <c r="KA43" s="93"/>
      <c r="KB43" s="93"/>
      <c r="KC43" s="93"/>
      <c r="KD43" s="93"/>
      <c r="KE43" s="93"/>
      <c r="KF43" s="93"/>
      <c r="KG43" s="93"/>
      <c r="KH43" s="93"/>
      <c r="KI43" s="93"/>
      <c r="KJ43" s="93"/>
      <c r="KK43" s="93"/>
      <c r="KL43" s="93"/>
      <c r="KM43" s="93"/>
      <c r="KN43" s="93"/>
      <c r="KO43" s="93"/>
      <c r="KP43" s="93"/>
      <c r="KQ43" s="93"/>
      <c r="KR43" s="93"/>
      <c r="KS43" s="93"/>
      <c r="KT43" s="93"/>
      <c r="KU43" s="93"/>
      <c r="KV43" s="93"/>
      <c r="KW43" s="93"/>
      <c r="KX43" s="93"/>
      <c r="KY43" s="93"/>
      <c r="KZ43" s="93"/>
      <c r="LA43" s="93"/>
      <c r="LB43" s="93"/>
      <c r="LC43" s="93"/>
      <c r="LD43" s="93"/>
      <c r="LE43" s="93"/>
      <c r="LF43" s="93"/>
      <c r="LG43" s="93"/>
      <c r="LH43" s="93"/>
      <c r="LI43" s="93"/>
      <c r="LJ43" s="93"/>
      <c r="LK43" s="93"/>
      <c r="LL43" s="93"/>
      <c r="LM43" s="93"/>
      <c r="LN43" s="93"/>
      <c r="LO43" s="93"/>
      <c r="LP43" s="93"/>
      <c r="LQ43" s="93"/>
      <c r="LR43" s="93"/>
      <c r="LS43" s="93"/>
      <c r="LT43" s="93"/>
      <c r="LU43" s="93"/>
      <c r="LV43" s="93"/>
      <c r="LW43" s="93"/>
      <c r="LX43" s="93"/>
      <c r="LY43" s="93"/>
      <c r="LZ43" s="93"/>
      <c r="MA43" s="93"/>
      <c r="MB43" s="93"/>
      <c r="MC43" s="93"/>
      <c r="MD43" s="93"/>
      <c r="ME43" s="93"/>
      <c r="MF43" s="93"/>
      <c r="MG43" s="93"/>
      <c r="MH43" s="93"/>
      <c r="MI43" s="93"/>
      <c r="MJ43" s="93"/>
      <c r="MK43" s="93"/>
      <c r="ML43" s="93"/>
      <c r="MM43" s="93"/>
      <c r="MN43" s="93"/>
      <c r="MO43" s="93"/>
      <c r="MP43" s="93"/>
      <c r="MQ43" s="93"/>
      <c r="MR43" s="93"/>
      <c r="MS43" s="93"/>
      <c r="MT43" s="93"/>
      <c r="MU43" s="93"/>
      <c r="MV43" s="93"/>
      <c r="MW43" s="93"/>
      <c r="MX43" s="93"/>
      <c r="MY43" s="93"/>
      <c r="MZ43" s="93"/>
      <c r="NA43" s="93"/>
      <c r="NB43" s="93"/>
      <c r="NC43" s="93"/>
      <c r="ND43" s="93"/>
      <c r="NE43" s="93"/>
      <c r="NF43" s="93"/>
      <c r="NG43" s="93"/>
      <c r="NH43" s="93"/>
      <c r="NI43" s="93"/>
      <c r="NJ43" s="93"/>
      <c r="NK43" s="93"/>
      <c r="NL43" s="93"/>
      <c r="NM43" s="93"/>
      <c r="NN43" s="93"/>
      <c r="NO43" s="93"/>
      <c r="NP43" s="93"/>
      <c r="NQ43" s="93"/>
      <c r="NR43" s="93"/>
      <c r="NS43" s="93"/>
      <c r="NT43" s="93"/>
      <c r="NU43" s="93"/>
      <c r="NV43" s="93"/>
      <c r="NW43" s="93"/>
      <c r="NX43" s="93"/>
      <c r="NY43" s="93"/>
      <c r="NZ43" s="93"/>
    </row>
    <row r="44" spans="1:390" ht="15.75" customHeight="1" x14ac:dyDescent="0.3">
      <c r="A44" s="98">
        <v>4861701031</v>
      </c>
      <c r="B44" s="182" t="s">
        <v>392</v>
      </c>
      <c r="C44" s="84" t="s">
        <v>393</v>
      </c>
      <c r="D44" s="87" t="s">
        <v>392</v>
      </c>
      <c r="E44" s="93" t="s">
        <v>725</v>
      </c>
      <c r="F44" s="93" t="s">
        <v>449</v>
      </c>
      <c r="G44" s="93" t="s">
        <v>416</v>
      </c>
      <c r="H44" s="101">
        <v>44880</v>
      </c>
      <c r="I44" s="92" t="s">
        <v>726</v>
      </c>
      <c r="J44" s="234" t="s">
        <v>398</v>
      </c>
      <c r="K44" s="93" t="s">
        <v>399</v>
      </c>
      <c r="L44" s="93" t="s">
        <v>399</v>
      </c>
      <c r="M44" s="93" t="s">
        <v>399</v>
      </c>
      <c r="N44" s="93" t="s">
        <v>399</v>
      </c>
      <c r="O44" s="93" t="s">
        <v>399</v>
      </c>
      <c r="P44" s="194" t="s">
        <v>399</v>
      </c>
      <c r="Q44" s="84" t="s">
        <v>393</v>
      </c>
      <c r="R44" s="203" t="s">
        <v>399</v>
      </c>
      <c r="S44" s="150" t="s">
        <v>399</v>
      </c>
      <c r="T44" s="150" t="s">
        <v>399</v>
      </c>
      <c r="U44" s="151" t="s">
        <v>399</v>
      </c>
      <c r="V44" s="84" t="s">
        <v>399</v>
      </c>
      <c r="W44" s="203" t="s">
        <v>399</v>
      </c>
      <c r="X44" s="150" t="s">
        <v>399</v>
      </c>
      <c r="Y44" s="150" t="s">
        <v>399</v>
      </c>
      <c r="Z44" s="151" t="s">
        <v>399</v>
      </c>
      <c r="AA44" s="84" t="s">
        <v>399</v>
      </c>
      <c r="AB44" s="152" t="s">
        <v>400</v>
      </c>
      <c r="AC44" s="193">
        <v>22119</v>
      </c>
      <c r="AD44" s="194">
        <v>44797</v>
      </c>
      <c r="AE44" s="86">
        <f t="shared" si="0"/>
        <v>62</v>
      </c>
      <c r="AF44" s="108" t="s">
        <v>401</v>
      </c>
      <c r="AG44" s="84" t="s">
        <v>402</v>
      </c>
      <c r="AH44" s="87" t="s">
        <v>392</v>
      </c>
      <c r="AI44" s="93" t="s">
        <v>446</v>
      </c>
      <c r="AJ44" s="93">
        <v>0</v>
      </c>
      <c r="AK44" s="85" t="s">
        <v>405</v>
      </c>
      <c r="AL44" s="109">
        <v>0</v>
      </c>
      <c r="AM44" s="84" t="s">
        <v>447</v>
      </c>
      <c r="AN44" s="204">
        <v>2</v>
      </c>
      <c r="AO44" s="83" t="s">
        <v>399</v>
      </c>
      <c r="AP44" s="88"/>
      <c r="AQ44" s="95"/>
      <c r="AR44" s="88"/>
      <c r="AS44" s="93"/>
      <c r="AT44" s="93"/>
      <c r="AU44" s="93"/>
      <c r="AV44" s="93"/>
      <c r="AW44" s="88"/>
      <c r="AX44" s="93"/>
      <c r="AY44" s="93"/>
      <c r="AZ44" s="93"/>
      <c r="BA44" s="93"/>
      <c r="BB44" s="88"/>
      <c r="BC44" s="93"/>
      <c r="BD44" s="93"/>
      <c r="BE44" s="93"/>
      <c r="BF44" s="93"/>
      <c r="BG44" s="88"/>
      <c r="BH44" s="93"/>
      <c r="BI44" s="93"/>
      <c r="BJ44" s="93"/>
      <c r="BK44" s="93"/>
      <c r="BL44" s="88"/>
      <c r="BM44" s="93"/>
      <c r="BN44" s="93"/>
      <c r="BO44" s="93"/>
      <c r="BP44" s="93"/>
      <c r="BQ44" s="88"/>
      <c r="BR44" s="93"/>
      <c r="BS44" s="93"/>
      <c r="BT44" s="93"/>
      <c r="BU44" s="93"/>
      <c r="BV44" s="88"/>
      <c r="BW44" s="93"/>
      <c r="BX44" s="93"/>
      <c r="BY44" s="93"/>
      <c r="BZ44" s="93"/>
      <c r="CA44" s="88"/>
      <c r="CB44" s="93"/>
      <c r="CC44" s="93"/>
      <c r="CD44" s="93"/>
      <c r="CE44" s="93"/>
      <c r="CF44" s="88"/>
      <c r="CG44" s="93"/>
      <c r="CH44" s="93"/>
      <c r="CI44" s="93"/>
      <c r="CJ44" s="93"/>
      <c r="CK44" s="88"/>
      <c r="CL44" s="93"/>
      <c r="CM44" s="93"/>
      <c r="CN44" s="93"/>
      <c r="CO44" s="93"/>
      <c r="CP44" s="88"/>
      <c r="CQ44" s="93"/>
      <c r="CR44" s="93"/>
      <c r="CS44" s="93"/>
      <c r="CT44" s="93"/>
      <c r="CU44" s="88"/>
      <c r="CV44" s="93"/>
      <c r="CW44" s="93"/>
      <c r="CX44" s="93"/>
      <c r="CY44" s="93"/>
      <c r="CZ44" s="88"/>
      <c r="DA44" s="93"/>
      <c r="DB44" s="93"/>
      <c r="DC44" s="93"/>
      <c r="DD44" s="93"/>
      <c r="DE44" s="88"/>
      <c r="DF44" s="93"/>
      <c r="DG44" s="93"/>
      <c r="DH44" s="93"/>
      <c r="DI44" s="93"/>
      <c r="DJ44" s="88"/>
      <c r="DK44" s="93"/>
      <c r="DL44" s="93"/>
      <c r="DM44" s="93"/>
      <c r="DN44" s="93"/>
      <c r="DO44" s="88"/>
      <c r="DP44" s="93"/>
      <c r="DQ44" s="93"/>
      <c r="DR44" s="93"/>
      <c r="DS44" s="93"/>
      <c r="DT44" s="88"/>
      <c r="DU44" s="93"/>
      <c r="DV44" s="93"/>
      <c r="DW44" s="93"/>
      <c r="DX44" s="93"/>
      <c r="DY44" s="88"/>
      <c r="DZ44" s="93"/>
      <c r="EA44" s="93"/>
      <c r="EB44" s="93"/>
      <c r="EC44" s="93"/>
      <c r="ED44" s="88"/>
      <c r="EE44" s="93"/>
      <c r="EF44" s="93"/>
      <c r="EG44" s="93"/>
      <c r="EH44" s="93"/>
      <c r="EI44" s="88"/>
      <c r="EJ44" s="93"/>
      <c r="EK44" s="93"/>
      <c r="EL44" s="93"/>
      <c r="EM44" s="93"/>
      <c r="EN44" s="88"/>
      <c r="EO44" s="93"/>
      <c r="EP44" s="93"/>
      <c r="EQ44" s="93"/>
      <c r="ER44" s="93"/>
      <c r="ES44" s="88"/>
      <c r="ET44" s="93"/>
      <c r="EU44" s="93"/>
      <c r="EV44" s="93"/>
      <c r="EW44" s="93"/>
      <c r="EX44" s="88"/>
      <c r="EY44" s="93"/>
      <c r="EZ44" s="93"/>
      <c r="FA44" s="93"/>
      <c r="FB44" s="93"/>
      <c r="FC44" s="88"/>
      <c r="FD44" s="93"/>
      <c r="FE44" s="93"/>
      <c r="FF44" s="93"/>
      <c r="FG44" s="93"/>
      <c r="FH44" s="88"/>
      <c r="FI44" s="93"/>
      <c r="FJ44" s="93"/>
      <c r="FK44" s="93"/>
      <c r="FL44" s="93"/>
      <c r="FM44" s="93"/>
      <c r="FN44" s="93"/>
      <c r="FO44" s="93"/>
      <c r="FP44" s="93"/>
      <c r="FQ44" s="93"/>
      <c r="FR44" s="93"/>
      <c r="FS44" s="93"/>
      <c r="FT44" s="93"/>
      <c r="FU44" s="93"/>
      <c r="FV44" s="93"/>
      <c r="FW44" s="93"/>
      <c r="FX44" s="93"/>
      <c r="FY44" s="93"/>
      <c r="FZ44" s="93"/>
      <c r="GA44" s="93"/>
      <c r="GB44" s="93"/>
      <c r="GC44" s="93"/>
      <c r="GD44" s="93"/>
      <c r="GE44" s="93"/>
      <c r="GF44" s="93"/>
      <c r="GG44" s="93"/>
      <c r="GH44" s="93"/>
      <c r="GI44" s="93"/>
      <c r="GJ44" s="93"/>
      <c r="GK44" s="93"/>
      <c r="GL44" s="93"/>
      <c r="GM44" s="93"/>
      <c r="GN44" s="93"/>
      <c r="GO44" s="93"/>
      <c r="GP44" s="88"/>
      <c r="GQ44" s="93"/>
      <c r="GR44" s="93"/>
      <c r="GS44" s="93"/>
      <c r="GT44" s="93"/>
      <c r="GU44" s="88"/>
      <c r="GV44" s="93"/>
      <c r="GW44" s="93"/>
      <c r="GX44" s="93"/>
      <c r="GY44" s="93"/>
      <c r="GZ44" s="88"/>
      <c r="HA44" s="93"/>
      <c r="HB44" s="93"/>
      <c r="HC44" s="93"/>
      <c r="HD44" s="93"/>
      <c r="HE44" s="88"/>
      <c r="HF44" s="93"/>
      <c r="HG44" s="93"/>
      <c r="HH44" s="93"/>
      <c r="HI44" s="93"/>
      <c r="HJ44" s="88"/>
      <c r="HK44" s="93"/>
      <c r="HL44" s="93"/>
      <c r="HM44" s="93"/>
      <c r="HN44" s="93"/>
      <c r="HO44" s="88"/>
      <c r="HP44" s="93"/>
      <c r="HQ44" s="93"/>
      <c r="HR44" s="93"/>
      <c r="HS44" s="93"/>
      <c r="HT44" s="88"/>
      <c r="HU44" s="93"/>
      <c r="HV44" s="93"/>
      <c r="HW44" s="93"/>
      <c r="HX44" s="93"/>
      <c r="HY44" s="88"/>
      <c r="HZ44" s="93"/>
      <c r="IA44" s="93"/>
      <c r="IB44" s="93"/>
      <c r="IC44" s="93"/>
      <c r="ID44" s="88"/>
      <c r="IE44" s="93"/>
      <c r="IF44" s="93"/>
      <c r="IG44" s="93"/>
      <c r="IH44" s="93"/>
      <c r="II44" s="88"/>
      <c r="IJ44" s="93"/>
      <c r="IK44" s="93"/>
      <c r="IL44" s="93"/>
      <c r="IM44" s="93"/>
      <c r="IN44" s="88"/>
      <c r="IO44" s="93"/>
      <c r="IP44" s="93"/>
      <c r="IQ44" s="93"/>
      <c r="IR44" s="93"/>
      <c r="IS44" s="88"/>
      <c r="IT44" s="93"/>
      <c r="IU44" s="93"/>
      <c r="IV44" s="93"/>
      <c r="IW44" s="93"/>
      <c r="IX44" s="88"/>
      <c r="IY44" s="93"/>
      <c r="IZ44" s="93"/>
      <c r="JA44" s="93"/>
      <c r="JB44" s="93"/>
      <c r="JC44" s="88"/>
      <c r="JD44" s="93"/>
      <c r="JE44" s="93"/>
      <c r="JF44" s="93"/>
      <c r="JG44" s="94"/>
      <c r="JH44" s="88"/>
      <c r="JI44" s="95"/>
      <c r="JJ44" s="93"/>
      <c r="JK44" s="93"/>
      <c r="JL44" s="94"/>
      <c r="JM44" s="89"/>
      <c r="JN44" s="96"/>
      <c r="JO44" s="84"/>
      <c r="JP44" s="95"/>
      <c r="JQ44" s="93"/>
      <c r="JR44" s="93"/>
      <c r="JS44" s="93"/>
      <c r="JT44" s="93"/>
      <c r="JU44" s="93"/>
      <c r="JV44" s="93"/>
      <c r="JW44" s="93"/>
      <c r="JX44" s="93"/>
      <c r="JY44" s="93"/>
      <c r="JZ44" s="93"/>
      <c r="KA44" s="93"/>
      <c r="KB44" s="93"/>
      <c r="KC44" s="93"/>
      <c r="KD44" s="93"/>
      <c r="KE44" s="93"/>
      <c r="KF44" s="93"/>
      <c r="KG44" s="93"/>
      <c r="KH44" s="93"/>
      <c r="KI44" s="93"/>
      <c r="KJ44" s="93"/>
      <c r="KK44" s="93"/>
      <c r="KL44" s="93"/>
      <c r="KM44" s="93"/>
      <c r="KN44" s="93"/>
      <c r="KO44" s="93"/>
      <c r="KP44" s="93"/>
      <c r="KQ44" s="93"/>
      <c r="KR44" s="93"/>
      <c r="KS44" s="93"/>
      <c r="KT44" s="93"/>
      <c r="KU44" s="93"/>
      <c r="KV44" s="93"/>
      <c r="KW44" s="93"/>
      <c r="KX44" s="93"/>
      <c r="KY44" s="93"/>
      <c r="KZ44" s="93"/>
      <c r="LA44" s="93"/>
      <c r="LB44" s="93"/>
      <c r="LC44" s="93"/>
      <c r="LD44" s="93"/>
      <c r="LE44" s="93"/>
      <c r="LF44" s="93"/>
      <c r="LG44" s="93"/>
      <c r="LH44" s="93"/>
      <c r="LI44" s="93"/>
      <c r="LJ44" s="93"/>
      <c r="LK44" s="93"/>
      <c r="LL44" s="93"/>
      <c r="LM44" s="93"/>
      <c r="LN44" s="93"/>
      <c r="LO44" s="93"/>
      <c r="LP44" s="93"/>
      <c r="LQ44" s="93"/>
      <c r="LR44" s="93"/>
      <c r="LS44" s="93"/>
      <c r="LT44" s="93"/>
      <c r="LU44" s="93"/>
      <c r="LV44" s="93"/>
      <c r="LW44" s="93"/>
      <c r="LX44" s="93"/>
      <c r="LY44" s="93"/>
      <c r="LZ44" s="93"/>
      <c r="MA44" s="93"/>
      <c r="MB44" s="93"/>
      <c r="MC44" s="93"/>
      <c r="MD44" s="93"/>
      <c r="ME44" s="93"/>
      <c r="MF44" s="93"/>
      <c r="MG44" s="93"/>
      <c r="MH44" s="93"/>
      <c r="MI44" s="93"/>
      <c r="MJ44" s="93"/>
      <c r="MK44" s="93"/>
      <c r="ML44" s="93"/>
      <c r="MM44" s="93"/>
      <c r="MN44" s="93"/>
      <c r="MO44" s="93"/>
      <c r="MP44" s="93"/>
      <c r="MQ44" s="93"/>
      <c r="MR44" s="93"/>
      <c r="MS44" s="93"/>
      <c r="MT44" s="93"/>
      <c r="MU44" s="93"/>
      <c r="MV44" s="93"/>
      <c r="MW44" s="93"/>
      <c r="MX44" s="93"/>
      <c r="MY44" s="93"/>
      <c r="MZ44" s="93"/>
      <c r="NA44" s="93"/>
      <c r="NB44" s="93"/>
      <c r="NC44" s="93"/>
      <c r="ND44" s="93"/>
      <c r="NE44" s="93"/>
      <c r="NF44" s="93"/>
      <c r="NG44" s="93"/>
      <c r="NH44" s="93"/>
      <c r="NI44" s="93"/>
      <c r="NJ44" s="93"/>
      <c r="NK44" s="93"/>
      <c r="NL44" s="93"/>
      <c r="NM44" s="93"/>
      <c r="NN44" s="93"/>
      <c r="NO44" s="93"/>
      <c r="NP44" s="93"/>
      <c r="NQ44" s="93"/>
      <c r="NR44" s="93"/>
      <c r="NS44" s="93"/>
      <c r="NT44" s="93"/>
      <c r="NU44" s="93"/>
      <c r="NV44" s="93"/>
      <c r="NW44" s="93"/>
      <c r="NX44" s="93"/>
      <c r="NY44" s="93"/>
      <c r="NZ44" s="93"/>
    </row>
    <row r="45" spans="1:390" ht="15.75" customHeight="1" x14ac:dyDescent="0.3">
      <c r="A45" s="98">
        <v>4381018575</v>
      </c>
      <c r="B45" s="182" t="s">
        <v>392</v>
      </c>
      <c r="C45" s="84" t="s">
        <v>393</v>
      </c>
      <c r="D45" s="87" t="s">
        <v>392</v>
      </c>
      <c r="E45" s="93" t="s">
        <v>727</v>
      </c>
      <c r="F45" s="93" t="s">
        <v>503</v>
      </c>
      <c r="G45" s="93" t="s">
        <v>497</v>
      </c>
      <c r="H45" s="101">
        <v>44882</v>
      </c>
      <c r="I45" s="92" t="s">
        <v>728</v>
      </c>
      <c r="J45" s="92" t="s">
        <v>729</v>
      </c>
      <c r="K45" s="93" t="s">
        <v>399</v>
      </c>
      <c r="L45" s="93" t="s">
        <v>399</v>
      </c>
      <c r="M45" s="93" t="s">
        <v>399</v>
      </c>
      <c r="N45" s="93" t="s">
        <v>399</v>
      </c>
      <c r="O45" s="93" t="s">
        <v>399</v>
      </c>
      <c r="P45" s="194" t="s">
        <v>399</v>
      </c>
      <c r="Q45" s="84" t="s">
        <v>393</v>
      </c>
      <c r="R45" s="203" t="s">
        <v>399</v>
      </c>
      <c r="S45" s="150" t="s">
        <v>399</v>
      </c>
      <c r="T45" s="150" t="s">
        <v>399</v>
      </c>
      <c r="U45" s="151" t="s">
        <v>399</v>
      </c>
      <c r="V45" s="84" t="s">
        <v>399</v>
      </c>
      <c r="W45" s="203" t="s">
        <v>399</v>
      </c>
      <c r="X45" s="150" t="s">
        <v>399</v>
      </c>
      <c r="Y45" s="150" t="s">
        <v>399</v>
      </c>
      <c r="Z45" s="151" t="s">
        <v>399</v>
      </c>
      <c r="AA45" s="84" t="s">
        <v>399</v>
      </c>
      <c r="AB45" s="152" t="s">
        <v>400</v>
      </c>
      <c r="AC45" s="193">
        <v>15274</v>
      </c>
      <c r="AD45" s="194">
        <v>44855</v>
      </c>
      <c r="AE45" s="86">
        <f t="shared" si="0"/>
        <v>80</v>
      </c>
      <c r="AF45" s="108" t="s">
        <v>435</v>
      </c>
      <c r="AG45" s="84" t="s">
        <v>402</v>
      </c>
      <c r="AH45" s="87" t="s">
        <v>392</v>
      </c>
      <c r="AI45" s="89">
        <v>2</v>
      </c>
      <c r="AJ45" s="89">
        <v>0</v>
      </c>
      <c r="AK45" s="89" t="s">
        <v>405</v>
      </c>
      <c r="AL45" s="205">
        <v>0</v>
      </c>
      <c r="AM45" s="84" t="s">
        <v>423</v>
      </c>
      <c r="AN45" s="204">
        <v>3</v>
      </c>
      <c r="AO45" s="182" t="s">
        <v>399</v>
      </c>
      <c r="AP45" s="88"/>
      <c r="AQ45" s="95"/>
      <c r="AR45" s="88"/>
      <c r="AS45" s="93"/>
      <c r="AT45" s="93"/>
      <c r="AU45" s="93"/>
      <c r="AV45" s="93"/>
      <c r="AW45" s="88"/>
      <c r="AX45" s="93"/>
      <c r="AY45" s="93"/>
      <c r="AZ45" s="93"/>
      <c r="BA45" s="93"/>
      <c r="BB45" s="88"/>
      <c r="BC45" s="93"/>
      <c r="BD45" s="93"/>
      <c r="BE45" s="93"/>
      <c r="BF45" s="93"/>
      <c r="BG45" s="88"/>
      <c r="BH45" s="93"/>
      <c r="BI45" s="93"/>
      <c r="BJ45" s="93"/>
      <c r="BK45" s="93"/>
      <c r="BL45" s="88"/>
      <c r="BM45" s="93"/>
      <c r="BN45" s="93"/>
      <c r="BO45" s="93"/>
      <c r="BP45" s="93"/>
      <c r="BQ45" s="88"/>
      <c r="BR45" s="93"/>
      <c r="BS45" s="93"/>
      <c r="BT45" s="93"/>
      <c r="BU45" s="93"/>
      <c r="BV45" s="88"/>
      <c r="BW45" s="93"/>
      <c r="BX45" s="93"/>
      <c r="BY45" s="93"/>
      <c r="BZ45" s="93"/>
      <c r="CA45" s="88"/>
      <c r="CB45" s="93"/>
      <c r="CC45" s="93"/>
      <c r="CD45" s="93"/>
      <c r="CE45" s="93"/>
      <c r="CF45" s="88"/>
      <c r="CG45" s="93"/>
      <c r="CH45" s="93"/>
      <c r="CI45" s="93"/>
      <c r="CJ45" s="93"/>
      <c r="CK45" s="88"/>
      <c r="CL45" s="93"/>
      <c r="CM45" s="93"/>
      <c r="CN45" s="93"/>
      <c r="CO45" s="93"/>
      <c r="CP45" s="88"/>
      <c r="CQ45" s="93"/>
      <c r="CR45" s="93"/>
      <c r="CS45" s="93"/>
      <c r="CT45" s="93"/>
      <c r="CU45" s="88"/>
      <c r="CV45" s="93"/>
      <c r="CW45" s="93"/>
      <c r="CX45" s="93"/>
      <c r="CY45" s="93"/>
      <c r="CZ45" s="88"/>
      <c r="DA45" s="93"/>
      <c r="DB45" s="93"/>
      <c r="DC45" s="93"/>
      <c r="DD45" s="93"/>
      <c r="DE45" s="88"/>
      <c r="DF45" s="93"/>
      <c r="DG45" s="93"/>
      <c r="DH45" s="93"/>
      <c r="DI45" s="93"/>
      <c r="DJ45" s="88"/>
      <c r="DK45" s="93"/>
      <c r="DL45" s="93"/>
      <c r="DM45" s="93"/>
      <c r="DN45" s="93"/>
      <c r="DO45" s="88"/>
      <c r="DP45" s="93"/>
      <c r="DQ45" s="93"/>
      <c r="DR45" s="93"/>
      <c r="DS45" s="93"/>
      <c r="DT45" s="88"/>
      <c r="DU45" s="93"/>
      <c r="DV45" s="93"/>
      <c r="DW45" s="93"/>
      <c r="DX45" s="93"/>
      <c r="DY45" s="88"/>
      <c r="DZ45" s="93"/>
      <c r="EA45" s="93"/>
      <c r="EB45" s="93"/>
      <c r="EC45" s="93"/>
      <c r="ED45" s="88"/>
      <c r="EE45" s="93"/>
      <c r="EF45" s="93"/>
      <c r="EG45" s="93"/>
      <c r="EH45" s="93"/>
      <c r="EI45" s="88"/>
      <c r="EJ45" s="93"/>
      <c r="EK45" s="93"/>
      <c r="EL45" s="93"/>
      <c r="EM45" s="93"/>
      <c r="EN45" s="88"/>
      <c r="EO45" s="93"/>
      <c r="EP45" s="93"/>
      <c r="EQ45" s="93"/>
      <c r="ER45" s="93"/>
      <c r="ES45" s="88"/>
      <c r="ET45" s="93"/>
      <c r="EU45" s="93"/>
      <c r="EV45" s="93"/>
      <c r="EW45" s="93"/>
      <c r="EX45" s="88"/>
      <c r="EY45" s="93"/>
      <c r="EZ45" s="93"/>
      <c r="FA45" s="93"/>
      <c r="FB45" s="93"/>
      <c r="FC45" s="88"/>
      <c r="FD45" s="93"/>
      <c r="FE45" s="93"/>
      <c r="FF45" s="93"/>
      <c r="FG45" s="93"/>
      <c r="FH45" s="88"/>
      <c r="FI45" s="93"/>
      <c r="FJ45" s="93"/>
      <c r="FK45" s="93"/>
      <c r="FL45" s="93"/>
      <c r="FM45" s="93"/>
      <c r="FN45" s="93"/>
      <c r="FO45" s="93"/>
      <c r="FP45" s="93"/>
      <c r="FQ45" s="93"/>
      <c r="FR45" s="93"/>
      <c r="FS45" s="93"/>
      <c r="FT45" s="93"/>
      <c r="FU45" s="93"/>
      <c r="FV45" s="93"/>
      <c r="FW45" s="93"/>
      <c r="FX45" s="93"/>
      <c r="FY45" s="93"/>
      <c r="FZ45" s="93"/>
      <c r="GA45" s="93"/>
      <c r="GB45" s="93"/>
      <c r="GC45" s="93"/>
      <c r="GD45" s="93"/>
      <c r="GE45" s="93"/>
      <c r="GF45" s="93"/>
      <c r="GG45" s="93"/>
      <c r="GH45" s="93"/>
      <c r="GI45" s="93"/>
      <c r="GJ45" s="93"/>
      <c r="GK45" s="93"/>
      <c r="GL45" s="93"/>
      <c r="GM45" s="93"/>
      <c r="GN45" s="93"/>
      <c r="GO45" s="93"/>
      <c r="GP45" s="88"/>
      <c r="GQ45" s="93"/>
      <c r="GR45" s="93"/>
      <c r="GS45" s="93"/>
      <c r="GT45" s="93"/>
      <c r="GU45" s="88"/>
      <c r="GV45" s="93"/>
      <c r="GW45" s="93"/>
      <c r="GX45" s="93"/>
      <c r="GY45" s="93"/>
      <c r="GZ45" s="88"/>
      <c r="HA45" s="93"/>
      <c r="HB45" s="93"/>
      <c r="HC45" s="93"/>
      <c r="HD45" s="93"/>
      <c r="HE45" s="88"/>
      <c r="HF45" s="93"/>
      <c r="HG45" s="93"/>
      <c r="HH45" s="93"/>
      <c r="HI45" s="93"/>
      <c r="HJ45" s="88"/>
      <c r="HK45" s="93"/>
      <c r="HL45" s="93"/>
      <c r="HM45" s="93"/>
      <c r="HN45" s="93"/>
      <c r="HO45" s="88"/>
      <c r="HP45" s="93"/>
      <c r="HQ45" s="93"/>
      <c r="HR45" s="93"/>
      <c r="HS45" s="93"/>
      <c r="HT45" s="88"/>
      <c r="HU45" s="93"/>
      <c r="HV45" s="93"/>
      <c r="HW45" s="93"/>
      <c r="HX45" s="93"/>
      <c r="HY45" s="88"/>
      <c r="HZ45" s="93"/>
      <c r="IA45" s="93"/>
      <c r="IB45" s="93"/>
      <c r="IC45" s="93"/>
      <c r="ID45" s="88"/>
      <c r="IE45" s="93"/>
      <c r="IF45" s="93"/>
      <c r="IG45" s="93"/>
      <c r="IH45" s="93"/>
      <c r="II45" s="88"/>
      <c r="IJ45" s="93"/>
      <c r="IK45" s="93"/>
      <c r="IL45" s="93"/>
      <c r="IM45" s="93"/>
      <c r="IN45" s="88"/>
      <c r="IO45" s="93"/>
      <c r="IP45" s="93"/>
      <c r="IQ45" s="93"/>
      <c r="IR45" s="93"/>
      <c r="IS45" s="88"/>
      <c r="IT45" s="93"/>
      <c r="IU45" s="93"/>
      <c r="IV45" s="93"/>
      <c r="IW45" s="93"/>
      <c r="IX45" s="88"/>
      <c r="IY45" s="93"/>
      <c r="IZ45" s="93"/>
      <c r="JA45" s="93"/>
      <c r="JB45" s="93"/>
      <c r="JC45" s="88"/>
      <c r="JD45" s="93"/>
      <c r="JE45" s="93"/>
      <c r="JF45" s="93"/>
      <c r="JG45" s="94"/>
      <c r="JH45" s="88"/>
      <c r="JI45" s="95"/>
      <c r="JJ45" s="93"/>
      <c r="JK45" s="93"/>
      <c r="JL45" s="94"/>
      <c r="JM45" s="89"/>
      <c r="JN45" s="96"/>
      <c r="JO45" s="84"/>
      <c r="JP45" s="95"/>
      <c r="JQ45" s="93"/>
      <c r="JR45" s="93"/>
      <c r="JS45" s="93"/>
      <c r="JT45" s="93"/>
      <c r="JU45" s="93"/>
      <c r="JV45" s="93"/>
      <c r="JW45" s="93"/>
      <c r="JX45" s="93"/>
      <c r="JY45" s="93"/>
      <c r="JZ45" s="93"/>
      <c r="KA45" s="93"/>
      <c r="KB45" s="93"/>
      <c r="KC45" s="93"/>
      <c r="KD45" s="93"/>
      <c r="KE45" s="93"/>
      <c r="KF45" s="93"/>
      <c r="KG45" s="93"/>
      <c r="KH45" s="93"/>
      <c r="KI45" s="93"/>
      <c r="KJ45" s="93"/>
      <c r="KK45" s="93"/>
      <c r="KL45" s="93"/>
      <c r="KM45" s="93"/>
      <c r="KN45" s="93"/>
      <c r="KO45" s="93"/>
      <c r="KP45" s="93"/>
      <c r="KQ45" s="93"/>
      <c r="KR45" s="93"/>
      <c r="KS45" s="93"/>
      <c r="KT45" s="93"/>
      <c r="KU45" s="93"/>
      <c r="KV45" s="93"/>
      <c r="KW45" s="93"/>
      <c r="KX45" s="93"/>
      <c r="KY45" s="93"/>
      <c r="KZ45" s="93"/>
      <c r="LA45" s="93"/>
      <c r="LB45" s="93"/>
      <c r="LC45" s="93"/>
      <c r="LD45" s="93"/>
      <c r="LE45" s="93"/>
      <c r="LF45" s="93"/>
      <c r="LG45" s="93"/>
      <c r="LH45" s="93"/>
      <c r="LI45" s="93"/>
      <c r="LJ45" s="93"/>
      <c r="LK45" s="93"/>
      <c r="LL45" s="93"/>
      <c r="LM45" s="93"/>
      <c r="LN45" s="93"/>
      <c r="LO45" s="93"/>
      <c r="LP45" s="93"/>
      <c r="LQ45" s="93"/>
      <c r="LR45" s="93"/>
      <c r="LS45" s="93"/>
      <c r="LT45" s="93"/>
      <c r="LU45" s="93"/>
      <c r="LV45" s="93"/>
      <c r="LW45" s="93"/>
      <c r="LX45" s="93"/>
      <c r="LY45" s="93"/>
      <c r="LZ45" s="93"/>
      <c r="MA45" s="93"/>
      <c r="MB45" s="93"/>
      <c r="MC45" s="93"/>
      <c r="MD45" s="93"/>
      <c r="ME45" s="93"/>
      <c r="MF45" s="93"/>
      <c r="MG45" s="93"/>
      <c r="MH45" s="93"/>
      <c r="MI45" s="93"/>
      <c r="MJ45" s="93"/>
      <c r="MK45" s="93"/>
      <c r="ML45" s="93"/>
      <c r="MM45" s="93"/>
      <c r="MN45" s="93"/>
      <c r="MO45" s="93"/>
      <c r="MP45" s="93"/>
      <c r="MQ45" s="93"/>
      <c r="MR45" s="93"/>
      <c r="MS45" s="93"/>
      <c r="MT45" s="93"/>
      <c r="MU45" s="93"/>
      <c r="MV45" s="93"/>
      <c r="MW45" s="93"/>
      <c r="MX45" s="93"/>
      <c r="MY45" s="93"/>
      <c r="MZ45" s="93"/>
      <c r="NA45" s="93"/>
      <c r="NB45" s="93"/>
      <c r="NC45" s="93"/>
      <c r="ND45" s="93"/>
      <c r="NE45" s="93"/>
      <c r="NF45" s="93"/>
      <c r="NG45" s="93"/>
      <c r="NH45" s="93"/>
      <c r="NI45" s="93"/>
      <c r="NJ45" s="93"/>
      <c r="NK45" s="93"/>
      <c r="NL45" s="93"/>
      <c r="NM45" s="93"/>
      <c r="NN45" s="93"/>
      <c r="NO45" s="93"/>
      <c r="NP45" s="93"/>
      <c r="NQ45" s="93"/>
      <c r="NR45" s="93"/>
      <c r="NS45" s="93"/>
      <c r="NT45" s="93"/>
      <c r="NU45" s="93"/>
      <c r="NV45" s="93"/>
      <c r="NW45" s="93"/>
      <c r="NX45" s="93"/>
      <c r="NY45" s="93"/>
      <c r="NZ45" s="93"/>
    </row>
  </sheetData>
  <sortState xmlns:xlrd2="http://schemas.microsoft.com/office/spreadsheetml/2017/richdata2" ref="A4:NZ45">
    <sortCondition ref="E4:E45"/>
  </sortState>
  <conditionalFormatting sqref="A4:A45">
    <cfRule type="duplicateValues" dxfId="34" priority="1"/>
  </conditionalFormatting>
  <dataValidations count="2">
    <dataValidation type="list" allowBlank="1" showInputMessage="1" showErrorMessage="1" sqref="JM4:JM45" xr:uid="{73A47C36-4CEB-49C8-9520-A33998D071CB}">
      <formula1>"Alive, Deceased"</formula1>
    </dataValidation>
    <dataValidation type="list" allowBlank="1" showInputMessage="1" showErrorMessage="1" sqref="EJ4" xr:uid="{11AB3AD2-BD35-4CF5-B84A-535DCC1A8D5C}">
      <formula1>"Radiotherapy, Chemotherapy, Immunotherapy, Other"</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allowBlank="1" showInputMessage="1" showErrorMessage="1" xr:uid="{2117EE80-6267-47FC-A28E-9E2BEBE3506E}">
          <x14:formula1>
            <xm:f>'Calculations &amp; Lists'!$E$2:$E$8</xm:f>
          </x14:formula1>
          <xm:sqref>AW4:AW45 AR4:AR45 JH4:JH45 JC4:JC45 IX4:IX45 IS4:IS45 IN4:IN45 II4:II45 ID4:ID45 HY4:HY45 HT4:HT45 HO4:HO45 HJ4:HJ45 HE4:HE45 GZ4:GZ45 GU4:GU45 GP4:GP45 FH4:FH45 FC4:FC45 EX4:EX45 ES4:ES45 EN4:EN45 ED4:ED45 EI4:EI45 DY4:DY45 DT4:DT45 DO4:DO45 DJ4:DJ45 DE4:DE45 CZ4:CZ45 CU4:CU45 CP4:CP45 CK4:CK45 CF4:CF45 CA4:CA45 BV4:BV45 BQ4:BQ45 BL4:BL45 BG4:BG45 BB4:BB45 AP4:AP45</xm:sqref>
        </x14:dataValidation>
        <x14:dataValidation type="list" allowBlank="1" showInputMessage="1" showErrorMessage="1" xr:uid="{991923A4-D84A-4DC0-8B7D-561B00DBCD50}">
          <x14:formula1>
            <xm:f>'Calculations &amp; Lists'!$F$2:$F$5</xm:f>
          </x14:formula1>
          <xm:sqref>JO4:JO45 D4:D45 AH10:AH45 B4:B45 AH4 AH6:AH8</xm:sqref>
        </x14:dataValidation>
        <x14:dataValidation type="list" allowBlank="1" showInputMessage="1" showErrorMessage="1" xr:uid="{DCAD5FE3-4E02-42DC-864B-BD5340BB1513}">
          <x14:formula1>
            <xm:f>'Calculations &amp; Lists'!$G$2:$G$7</xm:f>
          </x14:formula1>
          <xm:sqref>V8:V45 AA8:AA45 Q8:Q45 C4:C45</xm:sqref>
        </x14:dataValidation>
        <x14:dataValidation type="list" allowBlank="1" showInputMessage="1" showErrorMessage="1" xr:uid="{54714FA5-57D2-46EF-B60F-D7146F63B675}">
          <x14:formula1>
            <xm:f>'Calculations &amp; Lists'!$H$2:$H$5</xm:f>
          </x14:formula1>
          <xm:sqref>AG4:AG45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6DC66-0CE2-4111-9C38-8E443291F42B}">
  <sheetPr codeName="Sheet5"/>
  <dimension ref="A1:AO43"/>
  <sheetViews>
    <sheetView topLeftCell="Q10" workbookViewId="0">
      <selection activeCell="A2" sqref="A2:AO43"/>
    </sheetView>
  </sheetViews>
  <sheetFormatPr defaultRowHeight="12.5" x14ac:dyDescent="0.25"/>
  <cols>
    <col min="1" max="1" width="11.1796875" bestFit="1" customWidth="1"/>
    <col min="5" max="5" width="13.7265625" customWidth="1"/>
    <col min="41" max="41" width="39.81640625" customWidth="1"/>
  </cols>
  <sheetData>
    <row r="1" spans="1:41" ht="65" x14ac:dyDescent="0.25">
      <c r="A1" s="45" t="s">
        <v>543</v>
      </c>
      <c r="B1" s="45" t="s">
        <v>3</v>
      </c>
      <c r="C1" s="45" t="s">
        <v>4</v>
      </c>
      <c r="D1" s="46" t="s">
        <v>5</v>
      </c>
      <c r="E1" s="46" t="s">
        <v>6</v>
      </c>
      <c r="F1" s="46" t="s">
        <v>7</v>
      </c>
      <c r="G1" s="46" t="s">
        <v>8</v>
      </c>
      <c r="H1" s="47" t="s">
        <v>9</v>
      </c>
      <c r="I1" s="48" t="s">
        <v>10</v>
      </c>
      <c r="J1" s="48" t="s">
        <v>11</v>
      </c>
      <c r="K1" s="46" t="s">
        <v>12</v>
      </c>
      <c r="L1" s="45" t="s">
        <v>13</v>
      </c>
      <c r="M1" s="249" t="s">
        <v>14</v>
      </c>
      <c r="N1" s="249" t="s">
        <v>15</v>
      </c>
      <c r="O1" s="249" t="s">
        <v>16</v>
      </c>
      <c r="P1" s="257" t="s">
        <v>17</v>
      </c>
      <c r="Q1" s="45" t="s">
        <v>18</v>
      </c>
      <c r="R1" s="249" t="s">
        <v>19</v>
      </c>
      <c r="S1" s="249" t="s">
        <v>20</v>
      </c>
      <c r="T1" s="249" t="s">
        <v>21</v>
      </c>
      <c r="U1" s="250" t="s">
        <v>22</v>
      </c>
      <c r="V1" s="45" t="s">
        <v>23</v>
      </c>
      <c r="W1" s="249" t="s">
        <v>24</v>
      </c>
      <c r="X1" s="249" t="s">
        <v>25</v>
      </c>
      <c r="Y1" s="249" t="s">
        <v>26</v>
      </c>
      <c r="Z1" s="250" t="s">
        <v>27</v>
      </c>
      <c r="AA1" s="45" t="s">
        <v>28</v>
      </c>
      <c r="AB1" s="46" t="s">
        <v>29</v>
      </c>
      <c r="AC1" s="52" t="s">
        <v>31</v>
      </c>
      <c r="AD1" s="53" t="s">
        <v>32</v>
      </c>
      <c r="AE1" s="55" t="s">
        <v>33</v>
      </c>
      <c r="AF1" s="55" t="s">
        <v>34</v>
      </c>
      <c r="AG1" s="53" t="s">
        <v>35</v>
      </c>
      <c r="AH1" s="53" t="s">
        <v>36</v>
      </c>
      <c r="AI1" s="53" t="s">
        <v>37</v>
      </c>
      <c r="AJ1" s="53" t="s">
        <v>38</v>
      </c>
      <c r="AK1" s="53" t="s">
        <v>39</v>
      </c>
      <c r="AL1" s="105" t="s">
        <v>40</v>
      </c>
      <c r="AM1" s="55" t="s">
        <v>41</v>
      </c>
      <c r="AN1" s="57" t="s">
        <v>42</v>
      </c>
      <c r="AO1" s="256" t="s">
        <v>281</v>
      </c>
    </row>
    <row r="2" spans="1:41" ht="13" x14ac:dyDescent="0.3">
      <c r="A2" s="248" t="s">
        <v>730</v>
      </c>
      <c r="B2" s="248" t="s">
        <v>392</v>
      </c>
      <c r="C2" s="248" t="s">
        <v>393</v>
      </c>
      <c r="D2" s="248" t="s">
        <v>392</v>
      </c>
      <c r="E2" s="248" t="s">
        <v>626</v>
      </c>
      <c r="F2" s="248">
        <v>7</v>
      </c>
      <c r="G2" s="252">
        <v>8</v>
      </c>
      <c r="H2" s="251" t="str">
        <f>IFERROR("Q" &amp;INT((MONTH('MMR deficient'!H4)+2)/3) &amp; "-" &amp; YEAR('MMR deficient'!H4),"N/A")</f>
        <v>Q1-2014</v>
      </c>
      <c r="I2" s="172" t="s">
        <v>627</v>
      </c>
      <c r="J2" s="248" t="s">
        <v>398</v>
      </c>
      <c r="K2" s="248" t="s">
        <v>399</v>
      </c>
      <c r="L2" s="248" t="s">
        <v>399</v>
      </c>
      <c r="M2" s="248" t="s">
        <v>399</v>
      </c>
      <c r="N2" s="248" t="s">
        <v>399</v>
      </c>
      <c r="O2" s="248" t="s">
        <v>399</v>
      </c>
      <c r="P2" s="251" t="str">
        <f>IFERROR("Q" &amp;INT((MONTH('MMR deficient'!P4)+2)/3) &amp; "-" &amp; YEAR('MMR deficient'!P4),"N/A")</f>
        <v>N/A</v>
      </c>
      <c r="Q2" s="248" t="s">
        <v>399</v>
      </c>
      <c r="R2" s="248" t="s">
        <v>399</v>
      </c>
      <c r="S2" s="248" t="s">
        <v>399</v>
      </c>
      <c r="T2" s="248" t="s">
        <v>399</v>
      </c>
      <c r="U2" s="248" t="s">
        <v>399</v>
      </c>
      <c r="V2" s="248" t="s">
        <v>399</v>
      </c>
      <c r="W2" s="248" t="s">
        <v>399</v>
      </c>
      <c r="X2" s="248" t="s">
        <v>399</v>
      </c>
      <c r="Y2" s="248" t="s">
        <v>399</v>
      </c>
      <c r="Z2" s="248" t="s">
        <v>399</v>
      </c>
      <c r="AA2" s="248" t="s">
        <v>399</v>
      </c>
      <c r="AB2" s="248" t="s">
        <v>400</v>
      </c>
      <c r="AC2" s="251" t="str">
        <f>IFERROR("Q" &amp;INT((MONTH('MMR deficient'!AD4)+2)/3) &amp; "-" &amp; YEAR('MMR deficient'!AD4),"N/A")</f>
        <v>Q1-2014</v>
      </c>
      <c r="AD2" s="248">
        <v>86</v>
      </c>
      <c r="AE2" s="248" t="s">
        <v>401</v>
      </c>
      <c r="AF2" s="248" t="s">
        <v>402</v>
      </c>
      <c r="AG2" s="248" t="s">
        <v>403</v>
      </c>
      <c r="AH2" s="248" t="s">
        <v>418</v>
      </c>
      <c r="AI2" s="248" t="s">
        <v>405</v>
      </c>
      <c r="AJ2" s="248" t="s">
        <v>405</v>
      </c>
      <c r="AK2" s="248">
        <v>0</v>
      </c>
      <c r="AL2" s="248" t="s">
        <v>419</v>
      </c>
      <c r="AM2" s="248">
        <v>3</v>
      </c>
      <c r="AN2" s="248" t="s">
        <v>399</v>
      </c>
      <c r="AO2" s="163" t="s">
        <v>399</v>
      </c>
    </row>
    <row r="3" spans="1:41" ht="13" x14ac:dyDescent="0.3">
      <c r="A3" s="248" t="s">
        <v>731</v>
      </c>
      <c r="B3" s="248" t="s">
        <v>392</v>
      </c>
      <c r="C3" s="248" t="s">
        <v>393</v>
      </c>
      <c r="D3" s="248" t="s">
        <v>392</v>
      </c>
      <c r="E3" s="248" t="s">
        <v>628</v>
      </c>
      <c r="F3" s="248" t="s">
        <v>416</v>
      </c>
      <c r="G3" s="248" t="s">
        <v>433</v>
      </c>
      <c r="H3" s="251" t="str">
        <f>IFERROR("Q" &amp;INT((MONTH('MMR deficient'!H5)+2)/3) &amp; "-" &amp; YEAR('MMR deficient'!H5),"N/A")</f>
        <v>Q2-2015</v>
      </c>
      <c r="I3" s="248" t="s">
        <v>629</v>
      </c>
      <c r="J3" s="248" t="s">
        <v>398</v>
      </c>
      <c r="K3" s="248" t="s">
        <v>399</v>
      </c>
      <c r="L3" s="248" t="s">
        <v>399</v>
      </c>
      <c r="M3" s="248" t="s">
        <v>399</v>
      </c>
      <c r="N3" s="248" t="s">
        <v>399</v>
      </c>
      <c r="O3" s="248" t="s">
        <v>399</v>
      </c>
      <c r="P3" s="251" t="str">
        <f>IFERROR("Q" &amp;INT((MONTH('MMR deficient'!P5)+2)/3) &amp; "-" &amp; YEAR('MMR deficient'!P5),"N/A")</f>
        <v>N/A</v>
      </c>
      <c r="Q3" s="248" t="s">
        <v>399</v>
      </c>
      <c r="R3" s="248" t="s">
        <v>399</v>
      </c>
      <c r="S3" s="248" t="s">
        <v>399</v>
      </c>
      <c r="T3" s="248" t="s">
        <v>399</v>
      </c>
      <c r="U3" s="248" t="s">
        <v>399</v>
      </c>
      <c r="V3" s="248" t="s">
        <v>399</v>
      </c>
      <c r="W3" s="248" t="s">
        <v>399</v>
      </c>
      <c r="X3" s="248" t="s">
        <v>399</v>
      </c>
      <c r="Y3" s="248" t="s">
        <v>399</v>
      </c>
      <c r="Z3" s="248" t="s">
        <v>399</v>
      </c>
      <c r="AA3" s="248" t="s">
        <v>399</v>
      </c>
      <c r="AB3" s="248" t="s">
        <v>400</v>
      </c>
      <c r="AC3" s="251" t="str">
        <f>IFERROR("Q" &amp;INT((MONTH('MMR deficient'!AD5)+2)/3) &amp; "-" &amp; YEAR('MMR deficient'!AD5),"N/A")</f>
        <v>Q2-2015</v>
      </c>
      <c r="AD3" s="248">
        <v>72</v>
      </c>
      <c r="AE3" s="248" t="s">
        <v>630</v>
      </c>
      <c r="AF3" s="248" t="s">
        <v>402</v>
      </c>
      <c r="AG3" s="248" t="s">
        <v>392</v>
      </c>
      <c r="AH3" s="248" t="s">
        <v>405</v>
      </c>
      <c r="AI3" s="248">
        <v>2</v>
      </c>
      <c r="AJ3" s="248" t="s">
        <v>405</v>
      </c>
      <c r="AK3" s="248">
        <v>0</v>
      </c>
      <c r="AL3" s="248" t="s">
        <v>399</v>
      </c>
      <c r="AM3" s="248" t="s">
        <v>631</v>
      </c>
      <c r="AN3" s="248" t="s">
        <v>399</v>
      </c>
      <c r="AO3" s="163" t="s">
        <v>399</v>
      </c>
    </row>
    <row r="4" spans="1:41" ht="13" x14ac:dyDescent="0.3">
      <c r="A4" s="248" t="s">
        <v>732</v>
      </c>
      <c r="B4" s="248" t="s">
        <v>392</v>
      </c>
      <c r="C4" s="248" t="s">
        <v>393</v>
      </c>
      <c r="D4" s="248" t="s">
        <v>392</v>
      </c>
      <c r="E4" s="248" t="s">
        <v>632</v>
      </c>
      <c r="F4" s="248" t="s">
        <v>452</v>
      </c>
      <c r="G4" s="248" t="s">
        <v>399</v>
      </c>
      <c r="H4" s="251" t="str">
        <f>IFERROR("Q" &amp;INT((MONTH('MMR deficient'!H6)+2)/3) &amp; "-" &amp; YEAR('MMR deficient'!H6),"N/A")</f>
        <v>Q4-2016</v>
      </c>
      <c r="I4" s="248" t="s">
        <v>633</v>
      </c>
      <c r="J4" s="248" t="s">
        <v>398</v>
      </c>
      <c r="K4" s="248" t="s">
        <v>399</v>
      </c>
      <c r="L4" s="248" t="s">
        <v>399</v>
      </c>
      <c r="M4" s="248" t="s">
        <v>399</v>
      </c>
      <c r="N4" s="248" t="s">
        <v>399</v>
      </c>
      <c r="O4" s="248" t="s">
        <v>399</v>
      </c>
      <c r="P4" s="251" t="str">
        <f>IFERROR("Q" &amp;INT((MONTH('MMR deficient'!P6)+2)/3) &amp; "-" &amp; YEAR('MMR deficient'!P6),"N/A")</f>
        <v>N/A</v>
      </c>
      <c r="Q4" s="248" t="s">
        <v>399</v>
      </c>
      <c r="R4" s="248" t="s">
        <v>399</v>
      </c>
      <c r="S4" s="248" t="s">
        <v>399</v>
      </c>
      <c r="T4" s="248" t="s">
        <v>399</v>
      </c>
      <c r="U4" s="248" t="s">
        <v>399</v>
      </c>
      <c r="V4" s="248" t="s">
        <v>399</v>
      </c>
      <c r="W4" s="248" t="s">
        <v>399</v>
      </c>
      <c r="X4" s="248" t="s">
        <v>399</v>
      </c>
      <c r="Y4" s="248" t="s">
        <v>399</v>
      </c>
      <c r="Z4" s="248" t="s">
        <v>399</v>
      </c>
      <c r="AA4" s="248" t="s">
        <v>399</v>
      </c>
      <c r="AB4" s="248" t="s">
        <v>400</v>
      </c>
      <c r="AC4" s="251" t="str">
        <f>IFERROR("Q" &amp;INT((MONTH('MMR deficient'!AD6)+2)/3) &amp; "-" &amp; YEAR('MMR deficient'!AD6),"N/A")</f>
        <v>Q4-2016</v>
      </c>
      <c r="AD4" s="248">
        <v>47</v>
      </c>
      <c r="AE4" s="248" t="s">
        <v>435</v>
      </c>
      <c r="AF4" s="248" t="s">
        <v>402</v>
      </c>
      <c r="AG4" s="248" t="s">
        <v>403</v>
      </c>
      <c r="AH4" s="248">
        <v>2</v>
      </c>
      <c r="AI4" s="248">
        <v>0</v>
      </c>
      <c r="AJ4" s="248" t="s">
        <v>405</v>
      </c>
      <c r="AK4" s="248">
        <v>0</v>
      </c>
      <c r="AL4" s="248" t="s">
        <v>423</v>
      </c>
      <c r="AM4" s="248">
        <v>2</v>
      </c>
      <c r="AN4" s="248" t="s">
        <v>399</v>
      </c>
      <c r="AO4" s="163" t="s">
        <v>399</v>
      </c>
    </row>
    <row r="5" spans="1:41" ht="13" x14ac:dyDescent="0.3">
      <c r="A5" s="248" t="s">
        <v>733</v>
      </c>
      <c r="B5" s="248" t="s">
        <v>392</v>
      </c>
      <c r="C5" s="248" t="s">
        <v>393</v>
      </c>
      <c r="D5" s="248" t="s">
        <v>392</v>
      </c>
      <c r="E5" s="248" t="s">
        <v>634</v>
      </c>
      <c r="F5" s="248">
        <v>17</v>
      </c>
      <c r="G5" s="248">
        <v>11</v>
      </c>
      <c r="H5" s="251" t="str">
        <f>IFERROR("Q" &amp;INT((MONTH('MMR deficient'!H7)+2)/3) &amp; "-" &amp; YEAR('MMR deficient'!H7),"N/A")</f>
        <v>Q2-2017</v>
      </c>
      <c r="I5" s="248" t="s">
        <v>627</v>
      </c>
      <c r="J5" s="248" t="s">
        <v>635</v>
      </c>
      <c r="K5" s="248" t="s">
        <v>399</v>
      </c>
      <c r="L5" s="248" t="s">
        <v>399</v>
      </c>
      <c r="M5" s="248" t="s">
        <v>399</v>
      </c>
      <c r="N5" s="248" t="s">
        <v>399</v>
      </c>
      <c r="O5" s="248" t="s">
        <v>399</v>
      </c>
      <c r="P5" s="251" t="str">
        <f>IFERROR("Q" &amp;INT((MONTH('MMR deficient'!P7)+2)/3) &amp; "-" &amp; YEAR('MMR deficient'!P7),"N/A")</f>
        <v>N/A</v>
      </c>
      <c r="Q5" s="248" t="s">
        <v>399</v>
      </c>
      <c r="R5" s="248" t="s">
        <v>399</v>
      </c>
      <c r="S5" s="248" t="s">
        <v>399</v>
      </c>
      <c r="T5" s="248" t="s">
        <v>399</v>
      </c>
      <c r="U5" s="248" t="s">
        <v>399</v>
      </c>
      <c r="V5" s="248" t="s">
        <v>399</v>
      </c>
      <c r="W5" s="248" t="s">
        <v>399</v>
      </c>
      <c r="X5" s="248" t="s">
        <v>399</v>
      </c>
      <c r="Y5" s="248" t="s">
        <v>399</v>
      </c>
      <c r="Z5" s="248" t="s">
        <v>399</v>
      </c>
      <c r="AA5" s="248" t="s">
        <v>399</v>
      </c>
      <c r="AB5" s="248" t="s">
        <v>400</v>
      </c>
      <c r="AC5" s="251" t="str">
        <f>IFERROR("Q" &amp;INT((MONTH('MMR deficient'!AD7)+2)/3) &amp; "-" &amp; YEAR('MMR deficient'!AD7),"N/A")</f>
        <v>Q2-2017</v>
      </c>
      <c r="AD5" s="248">
        <v>58</v>
      </c>
      <c r="AE5" s="248" t="s">
        <v>401</v>
      </c>
      <c r="AF5" s="248" t="s">
        <v>402</v>
      </c>
      <c r="AG5" s="248" t="s">
        <v>403</v>
      </c>
      <c r="AH5" s="248">
        <v>2</v>
      </c>
      <c r="AI5" s="248" t="s">
        <v>405</v>
      </c>
      <c r="AJ5" s="248" t="s">
        <v>405</v>
      </c>
      <c r="AK5" s="248">
        <v>0</v>
      </c>
      <c r="AL5" s="248" t="s">
        <v>423</v>
      </c>
      <c r="AM5" s="248">
        <v>1</v>
      </c>
      <c r="AN5" s="248" t="s">
        <v>399</v>
      </c>
      <c r="AO5" s="163" t="s">
        <v>399</v>
      </c>
    </row>
    <row r="6" spans="1:41" ht="13" x14ac:dyDescent="0.3">
      <c r="A6" s="248" t="s">
        <v>734</v>
      </c>
      <c r="B6" s="248" t="s">
        <v>392</v>
      </c>
      <c r="C6" s="248" t="s">
        <v>393</v>
      </c>
      <c r="D6" s="248" t="s">
        <v>392</v>
      </c>
      <c r="E6" s="248" t="s">
        <v>636</v>
      </c>
      <c r="F6" s="248" t="s">
        <v>474</v>
      </c>
      <c r="G6" s="248" t="s">
        <v>514</v>
      </c>
      <c r="H6" s="251" t="str">
        <f>IFERROR("Q" &amp;INT((MONTH('MMR deficient'!H8)+2)/3) &amp; "-" &amp; YEAR('MMR deficient'!H8),"N/A")</f>
        <v>Q4-2018</v>
      </c>
      <c r="I6" s="248" t="s">
        <v>637</v>
      </c>
      <c r="J6" s="248" t="s">
        <v>638</v>
      </c>
      <c r="K6" s="248" t="s">
        <v>399</v>
      </c>
      <c r="L6" s="248" t="s">
        <v>399</v>
      </c>
      <c r="M6" s="248" t="s">
        <v>399</v>
      </c>
      <c r="N6" s="248" t="s">
        <v>399</v>
      </c>
      <c r="O6" s="248" t="s">
        <v>399</v>
      </c>
      <c r="P6" s="251" t="str">
        <f>IFERROR("Q" &amp;INT((MONTH('MMR deficient'!P8)+2)/3) &amp; "-" &amp; YEAR('MMR deficient'!P8),"N/A")</f>
        <v>N/A</v>
      </c>
      <c r="Q6" s="248" t="s">
        <v>399</v>
      </c>
      <c r="R6" s="248" t="s">
        <v>399</v>
      </c>
      <c r="S6" s="248" t="s">
        <v>399</v>
      </c>
      <c r="T6" s="248" t="s">
        <v>399</v>
      </c>
      <c r="U6" s="248" t="s">
        <v>399</v>
      </c>
      <c r="V6" s="248" t="s">
        <v>399</v>
      </c>
      <c r="W6" s="248" t="s">
        <v>399</v>
      </c>
      <c r="X6" s="248" t="s">
        <v>399</v>
      </c>
      <c r="Y6" s="248" t="s">
        <v>399</v>
      </c>
      <c r="Z6" s="248" t="s">
        <v>399</v>
      </c>
      <c r="AA6" s="248" t="s">
        <v>399</v>
      </c>
      <c r="AB6" s="248" t="s">
        <v>400</v>
      </c>
      <c r="AC6" s="251" t="str">
        <f>IFERROR("Q" &amp;INT((MONTH('MMR deficient'!AD8)+2)/3) &amp; "-" &amp; YEAR('MMR deficient'!AD8),"N/A")</f>
        <v>Q4-2018</v>
      </c>
      <c r="AD6" s="248">
        <v>50</v>
      </c>
      <c r="AE6" s="248" t="s">
        <v>435</v>
      </c>
      <c r="AF6" s="248" t="s">
        <v>402</v>
      </c>
      <c r="AG6" s="248" t="s">
        <v>403</v>
      </c>
      <c r="AH6" s="248" t="s">
        <v>404</v>
      </c>
      <c r="AI6" s="248">
        <v>0</v>
      </c>
      <c r="AJ6" s="248" t="s">
        <v>405</v>
      </c>
      <c r="AK6" s="248">
        <v>0</v>
      </c>
      <c r="AL6" s="248" t="s">
        <v>406</v>
      </c>
      <c r="AM6" s="248">
        <v>2</v>
      </c>
      <c r="AN6" s="248" t="s">
        <v>399</v>
      </c>
      <c r="AO6" s="163" t="s">
        <v>399</v>
      </c>
    </row>
    <row r="7" spans="1:41" ht="13" x14ac:dyDescent="0.3">
      <c r="A7" s="248" t="s">
        <v>735</v>
      </c>
      <c r="B7" s="248" t="s">
        <v>392</v>
      </c>
      <c r="C7" s="248" t="s">
        <v>393</v>
      </c>
      <c r="D7" s="248" t="s">
        <v>392</v>
      </c>
      <c r="E7" s="248" t="s">
        <v>639</v>
      </c>
      <c r="F7" s="248" t="s">
        <v>425</v>
      </c>
      <c r="G7" s="248" t="s">
        <v>399</v>
      </c>
      <c r="H7" s="251" t="str">
        <f>IFERROR("Q" &amp;INT((MONTH('MMR deficient'!H9)+2)/3) &amp; "-" &amp; YEAR('MMR deficient'!H9),"N/A")</f>
        <v>Q1-2019</v>
      </c>
      <c r="I7" s="248" t="s">
        <v>640</v>
      </c>
      <c r="J7" s="248" t="s">
        <v>398</v>
      </c>
      <c r="K7" s="248" t="s">
        <v>399</v>
      </c>
      <c r="L7" s="248" t="s">
        <v>399</v>
      </c>
      <c r="M7" s="248" t="s">
        <v>639</v>
      </c>
      <c r="N7" s="248" t="s">
        <v>641</v>
      </c>
      <c r="O7" s="248" t="s">
        <v>642</v>
      </c>
      <c r="P7" s="251" t="str">
        <f>IFERROR("Q" &amp;INT((MONTH('MMR deficient'!P9)+2)/3) &amp; "-" &amp; YEAR('MMR deficient'!P9),"N/A")</f>
        <v>Q1-2019</v>
      </c>
      <c r="Q7" s="248" t="s">
        <v>393</v>
      </c>
      <c r="R7" s="248" t="s">
        <v>399</v>
      </c>
      <c r="S7" s="248" t="s">
        <v>399</v>
      </c>
      <c r="T7" s="248" t="s">
        <v>399</v>
      </c>
      <c r="U7" s="248" t="s">
        <v>399</v>
      </c>
      <c r="V7" s="248" t="s">
        <v>399</v>
      </c>
      <c r="W7" s="248" t="s">
        <v>399</v>
      </c>
      <c r="X7" s="248" t="s">
        <v>399</v>
      </c>
      <c r="Y7" s="248" t="s">
        <v>399</v>
      </c>
      <c r="Z7" s="248" t="s">
        <v>399</v>
      </c>
      <c r="AA7" s="248" t="s">
        <v>399</v>
      </c>
      <c r="AB7" s="248" t="s">
        <v>400</v>
      </c>
      <c r="AC7" s="251" t="str">
        <f>IFERROR("Q" &amp;INT((MONTH('MMR deficient'!AD9)+2)/3) &amp; "-" &amp; YEAR('MMR deficient'!AD9),"N/A")</f>
        <v>Q4-2018</v>
      </c>
      <c r="AD7" s="248">
        <v>52</v>
      </c>
      <c r="AE7" s="248" t="s">
        <v>401</v>
      </c>
      <c r="AF7" s="248" t="s">
        <v>402</v>
      </c>
      <c r="AG7" s="248" t="s">
        <v>392</v>
      </c>
      <c r="AH7" s="248" t="s">
        <v>405</v>
      </c>
      <c r="AI7" s="248">
        <v>2</v>
      </c>
      <c r="AJ7" s="248" t="s">
        <v>405</v>
      </c>
      <c r="AK7" s="248">
        <v>1</v>
      </c>
      <c r="AL7" s="248" t="s">
        <v>399</v>
      </c>
      <c r="AM7" s="248">
        <v>2</v>
      </c>
      <c r="AN7" s="248" t="s">
        <v>399</v>
      </c>
      <c r="AO7" s="163" t="s">
        <v>399</v>
      </c>
    </row>
    <row r="8" spans="1:41" ht="13" x14ac:dyDescent="0.3">
      <c r="A8" s="248" t="s">
        <v>736</v>
      </c>
      <c r="B8" s="248" t="s">
        <v>392</v>
      </c>
      <c r="C8" s="248" t="s">
        <v>393</v>
      </c>
      <c r="D8" s="248" t="s">
        <v>392</v>
      </c>
      <c r="E8" s="248" t="s">
        <v>643</v>
      </c>
      <c r="F8" s="248" t="s">
        <v>432</v>
      </c>
      <c r="G8" s="248" t="s">
        <v>514</v>
      </c>
      <c r="H8" s="251" t="str">
        <f>IFERROR("Q" &amp;INT((MONTH('MMR deficient'!H10)+2)/3) &amp; "-" &amp; YEAR('MMR deficient'!H10),"N/A")</f>
        <v>Q2-2019</v>
      </c>
      <c r="I8" s="248" t="s">
        <v>644</v>
      </c>
      <c r="J8" s="248" t="s">
        <v>645</v>
      </c>
      <c r="K8" s="248" t="s">
        <v>399</v>
      </c>
      <c r="L8" s="248" t="s">
        <v>399</v>
      </c>
      <c r="M8" s="248" t="s">
        <v>399</v>
      </c>
      <c r="N8" s="248" t="s">
        <v>399</v>
      </c>
      <c r="O8" s="248" t="s">
        <v>399</v>
      </c>
      <c r="P8" s="251" t="str">
        <f>IFERROR("Q" &amp;INT((MONTH('MMR deficient'!P10)+2)/3) &amp; "-" &amp; YEAR('MMR deficient'!P10),"N/A")</f>
        <v>N/A</v>
      </c>
      <c r="Q8" s="248" t="s">
        <v>399</v>
      </c>
      <c r="R8" s="248" t="s">
        <v>399</v>
      </c>
      <c r="S8" s="248" t="s">
        <v>399</v>
      </c>
      <c r="T8" s="248" t="s">
        <v>399</v>
      </c>
      <c r="U8" s="248" t="s">
        <v>399</v>
      </c>
      <c r="V8" s="248" t="s">
        <v>399</v>
      </c>
      <c r="W8" s="248" t="s">
        <v>399</v>
      </c>
      <c r="X8" s="248" t="s">
        <v>399</v>
      </c>
      <c r="Y8" s="248" t="s">
        <v>399</v>
      </c>
      <c r="Z8" s="248" t="s">
        <v>399</v>
      </c>
      <c r="AA8" s="248" t="s">
        <v>399</v>
      </c>
      <c r="AB8" s="248" t="s">
        <v>400</v>
      </c>
      <c r="AC8" s="251" t="str">
        <f>IFERROR("Q" &amp;INT((MONTH('MMR deficient'!AD10)+2)/3) &amp; "-" &amp; YEAR('MMR deficient'!AD10),"N/A")</f>
        <v>Q1-2019</v>
      </c>
      <c r="AD8" s="248">
        <v>54</v>
      </c>
      <c r="AE8" s="248" t="s">
        <v>435</v>
      </c>
      <c r="AF8" s="248" t="s">
        <v>402</v>
      </c>
      <c r="AG8" s="248" t="s">
        <v>403</v>
      </c>
      <c r="AH8" s="248" t="s">
        <v>404</v>
      </c>
      <c r="AI8" s="248" t="s">
        <v>405</v>
      </c>
      <c r="AJ8" s="248" t="s">
        <v>405</v>
      </c>
      <c r="AK8" s="248">
        <v>0</v>
      </c>
      <c r="AL8" s="248" t="s">
        <v>406</v>
      </c>
      <c r="AM8" s="248">
        <v>1</v>
      </c>
      <c r="AN8" s="248" t="s">
        <v>399</v>
      </c>
      <c r="AO8" s="163" t="s">
        <v>399</v>
      </c>
    </row>
    <row r="9" spans="1:41" ht="13" x14ac:dyDescent="0.3">
      <c r="A9" s="248" t="s">
        <v>737</v>
      </c>
      <c r="B9" s="248" t="s">
        <v>392</v>
      </c>
      <c r="C9" s="248" t="s">
        <v>393</v>
      </c>
      <c r="D9" s="248" t="s">
        <v>392</v>
      </c>
      <c r="E9" s="248" t="s">
        <v>646</v>
      </c>
      <c r="F9" s="248" t="s">
        <v>443</v>
      </c>
      <c r="G9" s="248" t="s">
        <v>452</v>
      </c>
      <c r="H9" s="251" t="str">
        <f>IFERROR("Q" &amp;INT((MONTH('MMR deficient'!H11)+2)/3) &amp; "-" &amp; YEAR('MMR deficient'!H11),"N/A")</f>
        <v>Q4-2019</v>
      </c>
      <c r="I9" s="248" t="s">
        <v>453</v>
      </c>
      <c r="J9" s="248" t="s">
        <v>398</v>
      </c>
      <c r="K9" s="248" t="s">
        <v>399</v>
      </c>
      <c r="L9" s="248" t="s">
        <v>399</v>
      </c>
      <c r="M9" s="248" t="s">
        <v>399</v>
      </c>
      <c r="N9" s="248" t="s">
        <v>399</v>
      </c>
      <c r="O9" s="248" t="s">
        <v>399</v>
      </c>
      <c r="P9" s="251" t="str">
        <f>IFERROR("Q" &amp;INT((MONTH('MMR deficient'!P11)+2)/3) &amp; "-" &amp; YEAR('MMR deficient'!P11),"N/A")</f>
        <v>N/A</v>
      </c>
      <c r="Q9" s="248" t="s">
        <v>399</v>
      </c>
      <c r="R9" s="248" t="s">
        <v>399</v>
      </c>
      <c r="S9" s="248" t="s">
        <v>399</v>
      </c>
      <c r="T9" s="248" t="s">
        <v>399</v>
      </c>
      <c r="U9" s="248" t="s">
        <v>399</v>
      </c>
      <c r="V9" s="248" t="s">
        <v>399</v>
      </c>
      <c r="W9" s="248" t="s">
        <v>399</v>
      </c>
      <c r="X9" s="248" t="s">
        <v>399</v>
      </c>
      <c r="Y9" s="248" t="s">
        <v>399</v>
      </c>
      <c r="Z9" s="248" t="s">
        <v>399</v>
      </c>
      <c r="AA9" s="248" t="s">
        <v>399</v>
      </c>
      <c r="AB9" s="248" t="s">
        <v>400</v>
      </c>
      <c r="AC9" s="251" t="str">
        <f>IFERROR("Q" &amp;INT((MONTH('MMR deficient'!AD11)+2)/3) &amp; "-" &amp; YEAR('MMR deficient'!AD11),"N/A")</f>
        <v>Q3-2019</v>
      </c>
      <c r="AD9" s="248">
        <v>59</v>
      </c>
      <c r="AE9" s="248" t="s">
        <v>648</v>
      </c>
      <c r="AF9" s="248" t="s">
        <v>402</v>
      </c>
      <c r="AG9" s="248" t="s">
        <v>403</v>
      </c>
      <c r="AH9" s="248" t="s">
        <v>418</v>
      </c>
      <c r="AI9" s="248">
        <v>0</v>
      </c>
      <c r="AJ9" s="248" t="s">
        <v>405</v>
      </c>
      <c r="AK9" s="248">
        <v>0</v>
      </c>
      <c r="AL9" s="248" t="s">
        <v>419</v>
      </c>
      <c r="AM9" s="248">
        <v>2</v>
      </c>
      <c r="AN9" s="248" t="s">
        <v>399</v>
      </c>
      <c r="AO9" s="163" t="s">
        <v>399</v>
      </c>
    </row>
    <row r="10" spans="1:41" ht="13" x14ac:dyDescent="0.3">
      <c r="A10" s="248" t="s">
        <v>738</v>
      </c>
      <c r="B10" s="248" t="s">
        <v>392</v>
      </c>
      <c r="C10" s="248" t="s">
        <v>393</v>
      </c>
      <c r="D10" s="248" t="s">
        <v>392</v>
      </c>
      <c r="E10" s="248" t="s">
        <v>649</v>
      </c>
      <c r="F10" s="248" t="s">
        <v>459</v>
      </c>
      <c r="G10" s="248" t="s">
        <v>443</v>
      </c>
      <c r="H10" s="251" t="str">
        <f>IFERROR("Q" &amp;INT((MONTH('MMR deficient'!H12)+2)/3) &amp; "-" &amp; YEAR('MMR deficient'!H12),"N/A")</f>
        <v>Q4-2019</v>
      </c>
      <c r="I10" s="248" t="s">
        <v>650</v>
      </c>
      <c r="J10" s="248" t="s">
        <v>398</v>
      </c>
      <c r="K10" s="248" t="s">
        <v>399</v>
      </c>
      <c r="L10" s="248" t="s">
        <v>399</v>
      </c>
      <c r="M10" s="248" t="s">
        <v>399</v>
      </c>
      <c r="N10" s="248" t="s">
        <v>399</v>
      </c>
      <c r="O10" s="248" t="s">
        <v>399</v>
      </c>
      <c r="P10" s="251" t="str">
        <f>IFERROR("Q" &amp;INT((MONTH('MMR deficient'!P12)+2)/3) &amp; "-" &amp; YEAR('MMR deficient'!P12),"N/A")</f>
        <v>N/A</v>
      </c>
      <c r="Q10" s="248" t="s">
        <v>399</v>
      </c>
      <c r="R10" s="248" t="s">
        <v>399</v>
      </c>
      <c r="S10" s="248" t="s">
        <v>399</v>
      </c>
      <c r="T10" s="248" t="s">
        <v>399</v>
      </c>
      <c r="U10" s="248" t="s">
        <v>399</v>
      </c>
      <c r="V10" s="248" t="s">
        <v>399</v>
      </c>
      <c r="W10" s="248" t="s">
        <v>399</v>
      </c>
      <c r="X10" s="248" t="s">
        <v>399</v>
      </c>
      <c r="Y10" s="248" t="s">
        <v>399</v>
      </c>
      <c r="Z10" s="248" t="s">
        <v>399</v>
      </c>
      <c r="AA10" s="248" t="s">
        <v>399</v>
      </c>
      <c r="AB10" s="248" t="s">
        <v>400</v>
      </c>
      <c r="AC10" s="251" t="str">
        <f>IFERROR("Q" &amp;INT((MONTH('MMR deficient'!AD12)+2)/3) &amp; "-" &amp; YEAR('MMR deficient'!AD12),"N/A")</f>
        <v>Q3-2019</v>
      </c>
      <c r="AD10" s="248">
        <v>81</v>
      </c>
      <c r="AE10" s="248" t="s">
        <v>648</v>
      </c>
      <c r="AF10" s="248" t="s">
        <v>402</v>
      </c>
      <c r="AG10" s="248" t="s">
        <v>403</v>
      </c>
      <c r="AH10" s="248" t="s">
        <v>418</v>
      </c>
      <c r="AI10" s="248" t="s">
        <v>405</v>
      </c>
      <c r="AJ10" s="248" t="s">
        <v>405</v>
      </c>
      <c r="AK10" s="248">
        <v>0</v>
      </c>
      <c r="AL10" s="248" t="s">
        <v>406</v>
      </c>
      <c r="AM10" s="248">
        <v>1</v>
      </c>
      <c r="AN10" s="248" t="s">
        <v>399</v>
      </c>
      <c r="AO10" s="163" t="s">
        <v>399</v>
      </c>
    </row>
    <row r="11" spans="1:41" ht="13" x14ac:dyDescent="0.3">
      <c r="A11" s="248" t="s">
        <v>739</v>
      </c>
      <c r="B11" s="248" t="s">
        <v>392</v>
      </c>
      <c r="C11" s="248" t="s">
        <v>393</v>
      </c>
      <c r="D11" s="248" t="s">
        <v>392</v>
      </c>
      <c r="E11" s="248" t="s">
        <v>651</v>
      </c>
      <c r="F11" s="248" t="s">
        <v>409</v>
      </c>
      <c r="G11" s="248" t="s">
        <v>449</v>
      </c>
      <c r="H11" s="251" t="str">
        <f>IFERROR("Q" &amp;INT((MONTH('MMR deficient'!H13)+2)/3) &amp; "-" &amp; YEAR('MMR deficient'!H13),"N/A")</f>
        <v>Q4-2019</v>
      </c>
      <c r="I11" s="248" t="s">
        <v>652</v>
      </c>
      <c r="J11" s="248" t="s">
        <v>398</v>
      </c>
      <c r="K11" s="248" t="s">
        <v>399</v>
      </c>
      <c r="L11" s="248" t="s">
        <v>399</v>
      </c>
      <c r="M11" s="248" t="s">
        <v>399</v>
      </c>
      <c r="N11" s="248" t="s">
        <v>399</v>
      </c>
      <c r="O11" s="248" t="s">
        <v>399</v>
      </c>
      <c r="P11" s="251" t="str">
        <f>IFERROR("Q" &amp;INT((MONTH('MMR deficient'!P13)+2)/3) &amp; "-" &amp; YEAR('MMR deficient'!P13),"N/A")</f>
        <v>N/A</v>
      </c>
      <c r="Q11" s="248" t="s">
        <v>399</v>
      </c>
      <c r="R11" s="248" t="s">
        <v>399</v>
      </c>
      <c r="S11" s="248" t="s">
        <v>399</v>
      </c>
      <c r="T11" s="248" t="s">
        <v>399</v>
      </c>
      <c r="U11" s="248" t="s">
        <v>399</v>
      </c>
      <c r="V11" s="248" t="s">
        <v>399</v>
      </c>
      <c r="W11" s="248" t="s">
        <v>399</v>
      </c>
      <c r="X11" s="248" t="s">
        <v>399</v>
      </c>
      <c r="Y11" s="248" t="s">
        <v>399</v>
      </c>
      <c r="Z11" s="248" t="s">
        <v>399</v>
      </c>
      <c r="AA11" s="248" t="s">
        <v>399</v>
      </c>
      <c r="AB11" s="248" t="s">
        <v>400</v>
      </c>
      <c r="AC11" s="251" t="str">
        <f>IFERROR("Q" &amp;INT((MONTH('MMR deficient'!AD13)+2)/3) &amp; "-" &amp; YEAR('MMR deficient'!AD13),"N/A")</f>
        <v>Q3-2019</v>
      </c>
      <c r="AD11" s="248">
        <v>71</v>
      </c>
      <c r="AE11" s="248" t="s">
        <v>648</v>
      </c>
      <c r="AF11" s="248" t="s">
        <v>402</v>
      </c>
      <c r="AG11" s="248" t="s">
        <v>403</v>
      </c>
      <c r="AH11" s="248" t="s">
        <v>404</v>
      </c>
      <c r="AI11" s="248" t="s">
        <v>405</v>
      </c>
      <c r="AJ11" s="248" t="s">
        <v>405</v>
      </c>
      <c r="AK11" s="248">
        <v>0</v>
      </c>
      <c r="AL11" s="248" t="s">
        <v>406</v>
      </c>
      <c r="AM11" s="248">
        <v>1</v>
      </c>
      <c r="AN11" s="248" t="s">
        <v>399</v>
      </c>
      <c r="AO11" s="163" t="s">
        <v>399</v>
      </c>
    </row>
    <row r="12" spans="1:41" ht="13" x14ac:dyDescent="0.3">
      <c r="A12" s="248" t="s">
        <v>740</v>
      </c>
      <c r="B12" s="248" t="s">
        <v>392</v>
      </c>
      <c r="C12" s="248" t="s">
        <v>393</v>
      </c>
      <c r="D12" s="248" t="s">
        <v>392</v>
      </c>
      <c r="E12" s="248" t="s">
        <v>653</v>
      </c>
      <c r="F12" s="248" t="s">
        <v>425</v>
      </c>
      <c r="G12" s="248" t="s">
        <v>399</v>
      </c>
      <c r="H12" s="251" t="str">
        <f>IFERROR("Q" &amp;INT((MONTH('MMR deficient'!H14)+2)/3) &amp; "-" &amp; YEAR('MMR deficient'!H14),"N/A")</f>
        <v>Q4-2019</v>
      </c>
      <c r="I12" s="248" t="s">
        <v>654</v>
      </c>
      <c r="J12" s="248" t="s">
        <v>398</v>
      </c>
      <c r="K12" s="248" t="s">
        <v>399</v>
      </c>
      <c r="L12" s="248" t="s">
        <v>399</v>
      </c>
      <c r="M12" s="248" t="s">
        <v>653</v>
      </c>
      <c r="N12" s="248" t="s">
        <v>655</v>
      </c>
      <c r="O12" s="248" t="s">
        <v>656</v>
      </c>
      <c r="P12" s="251" t="str">
        <f>IFERROR("Q" &amp;INT((MONTH('MMR deficient'!P14)+2)/3) &amp; "-" &amp; YEAR('MMR deficient'!P14),"N/A")</f>
        <v>Q4-2019</v>
      </c>
      <c r="Q12" s="248" t="s">
        <v>393</v>
      </c>
      <c r="R12" s="248" t="s">
        <v>399</v>
      </c>
      <c r="S12" s="248" t="s">
        <v>399</v>
      </c>
      <c r="T12" s="248" t="s">
        <v>399</v>
      </c>
      <c r="U12" s="248" t="s">
        <v>399</v>
      </c>
      <c r="V12" s="248" t="s">
        <v>399</v>
      </c>
      <c r="W12" s="248" t="s">
        <v>399</v>
      </c>
      <c r="X12" s="248" t="s">
        <v>399</v>
      </c>
      <c r="Y12" s="248" t="s">
        <v>399</v>
      </c>
      <c r="Z12" s="248" t="s">
        <v>399</v>
      </c>
      <c r="AA12" s="248" t="s">
        <v>399</v>
      </c>
      <c r="AB12" s="248" t="s">
        <v>400</v>
      </c>
      <c r="AC12" s="251" t="str">
        <f>IFERROR("Q" &amp;INT((MONTH('MMR deficient'!AD14)+2)/3) &amp; "-" &amp; YEAR('MMR deficient'!AD14),"N/A")</f>
        <v>Q3-2019</v>
      </c>
      <c r="AD12" s="248">
        <v>74</v>
      </c>
      <c r="AE12" s="248" t="s">
        <v>648</v>
      </c>
      <c r="AF12" s="248" t="s">
        <v>402</v>
      </c>
      <c r="AG12" s="248" t="s">
        <v>392</v>
      </c>
      <c r="AH12" s="248" t="s">
        <v>405</v>
      </c>
      <c r="AI12" s="248">
        <v>1</v>
      </c>
      <c r="AJ12" s="248" t="s">
        <v>405</v>
      </c>
      <c r="AK12" s="248">
        <v>0</v>
      </c>
      <c r="AL12" s="248" t="s">
        <v>399</v>
      </c>
      <c r="AM12" s="248">
        <v>3</v>
      </c>
      <c r="AN12" s="248" t="s">
        <v>399</v>
      </c>
      <c r="AO12" s="163" t="s">
        <v>399</v>
      </c>
    </row>
    <row r="13" spans="1:41" ht="13" x14ac:dyDescent="0.3">
      <c r="A13" s="248" t="s">
        <v>741</v>
      </c>
      <c r="B13" s="248" t="s">
        <v>392</v>
      </c>
      <c r="C13" s="248" t="s">
        <v>393</v>
      </c>
      <c r="D13" s="248" t="s">
        <v>392</v>
      </c>
      <c r="E13" s="248" t="s">
        <v>657</v>
      </c>
      <c r="F13" s="248" t="s">
        <v>441</v>
      </c>
      <c r="G13" s="248" t="s">
        <v>443</v>
      </c>
      <c r="H13" s="251" t="str">
        <f>IFERROR("Q" &amp;INT((MONTH('MMR deficient'!H15)+2)/3) &amp; "-" &amp; YEAR('MMR deficient'!H15),"N/A")</f>
        <v>Q4-2019</v>
      </c>
      <c r="I13" s="248" t="s">
        <v>658</v>
      </c>
      <c r="J13" s="248" t="s">
        <v>398</v>
      </c>
      <c r="K13" s="248" t="s">
        <v>399</v>
      </c>
      <c r="L13" s="248" t="s">
        <v>399</v>
      </c>
      <c r="M13" s="248" t="s">
        <v>399</v>
      </c>
      <c r="N13" s="248" t="s">
        <v>399</v>
      </c>
      <c r="O13" s="248" t="s">
        <v>399</v>
      </c>
      <c r="P13" s="251" t="str">
        <f>IFERROR("Q" &amp;INT((MONTH('MMR deficient'!P15)+2)/3) &amp; "-" &amp; YEAR('MMR deficient'!P15),"N/A")</f>
        <v>N/A</v>
      </c>
      <c r="Q13" s="248" t="s">
        <v>399</v>
      </c>
      <c r="R13" s="248" t="s">
        <v>399</v>
      </c>
      <c r="S13" s="248" t="s">
        <v>399</v>
      </c>
      <c r="T13" s="248" t="s">
        <v>399</v>
      </c>
      <c r="U13" s="248" t="s">
        <v>399</v>
      </c>
      <c r="V13" s="248" t="s">
        <v>399</v>
      </c>
      <c r="W13" s="248" t="s">
        <v>399</v>
      </c>
      <c r="X13" s="248" t="s">
        <v>399</v>
      </c>
      <c r="Y13" s="248" t="s">
        <v>399</v>
      </c>
      <c r="Z13" s="248" t="s">
        <v>399</v>
      </c>
      <c r="AA13" s="248" t="s">
        <v>399</v>
      </c>
      <c r="AB13" s="248" t="s">
        <v>400</v>
      </c>
      <c r="AC13" s="251" t="str">
        <f>IFERROR("Q" &amp;INT((MONTH('MMR deficient'!AD15)+2)/3) &amp; "-" &amp; YEAR('MMR deficient'!AD15),"N/A")</f>
        <v>Q4-2019</v>
      </c>
      <c r="AD13" s="248">
        <v>65</v>
      </c>
      <c r="AE13" s="248" t="s">
        <v>648</v>
      </c>
      <c r="AF13" s="248" t="s">
        <v>402</v>
      </c>
      <c r="AG13" s="248" t="s">
        <v>392</v>
      </c>
      <c r="AH13" s="248" t="s">
        <v>405</v>
      </c>
      <c r="AI13" s="248">
        <v>1</v>
      </c>
      <c r="AJ13" s="248" t="s">
        <v>405</v>
      </c>
      <c r="AK13" s="248">
        <v>0</v>
      </c>
      <c r="AL13" s="248" t="s">
        <v>399</v>
      </c>
      <c r="AM13" s="248">
        <v>3</v>
      </c>
      <c r="AN13" s="248" t="s">
        <v>399</v>
      </c>
      <c r="AO13" s="163" t="s">
        <v>399</v>
      </c>
    </row>
    <row r="14" spans="1:41" ht="13" x14ac:dyDescent="0.3">
      <c r="A14" s="248" t="s">
        <v>742</v>
      </c>
      <c r="B14" s="248" t="s">
        <v>392</v>
      </c>
      <c r="C14" s="248" t="s">
        <v>393</v>
      </c>
      <c r="D14" s="248" t="s">
        <v>392</v>
      </c>
      <c r="E14" s="248" t="s">
        <v>659</v>
      </c>
      <c r="F14" s="248" t="s">
        <v>409</v>
      </c>
      <c r="G14" s="248" t="s">
        <v>426</v>
      </c>
      <c r="H14" s="251" t="str">
        <f>IFERROR("Q" &amp;INT((MONTH('MMR deficient'!H16)+2)/3) &amp; "-" &amp; YEAR('MMR deficient'!H16),"N/A")</f>
        <v>Q4-2019</v>
      </c>
      <c r="I14" s="248" t="s">
        <v>660</v>
      </c>
      <c r="J14" s="248" t="s">
        <v>398</v>
      </c>
      <c r="K14" s="248" t="s">
        <v>399</v>
      </c>
      <c r="L14" s="248" t="s">
        <v>399</v>
      </c>
      <c r="M14" s="248" t="s">
        <v>399</v>
      </c>
      <c r="N14" s="248" t="s">
        <v>399</v>
      </c>
      <c r="O14" s="248" t="s">
        <v>399</v>
      </c>
      <c r="P14" s="251" t="str">
        <f>IFERROR("Q" &amp;INT((MONTH('MMR deficient'!P16)+2)/3) &amp; "-" &amp; YEAR('MMR deficient'!P16),"N/A")</f>
        <v>N/A</v>
      </c>
      <c r="Q14" s="248" t="s">
        <v>399</v>
      </c>
      <c r="R14" s="248" t="s">
        <v>399</v>
      </c>
      <c r="S14" s="248" t="s">
        <v>399</v>
      </c>
      <c r="T14" s="248" t="s">
        <v>399</v>
      </c>
      <c r="U14" s="248" t="s">
        <v>399</v>
      </c>
      <c r="V14" s="248" t="s">
        <v>399</v>
      </c>
      <c r="W14" s="248" t="s">
        <v>399</v>
      </c>
      <c r="X14" s="248" t="s">
        <v>399</v>
      </c>
      <c r="Y14" s="248" t="s">
        <v>399</v>
      </c>
      <c r="Z14" s="248" t="s">
        <v>399</v>
      </c>
      <c r="AA14" s="248" t="s">
        <v>399</v>
      </c>
      <c r="AB14" s="248" t="s">
        <v>400</v>
      </c>
      <c r="AC14" s="251" t="str">
        <f>IFERROR("Q" &amp;INT((MONTH('MMR deficient'!AD16)+2)/3) &amp; "-" &amp; YEAR('MMR deficient'!AD16),"N/A")</f>
        <v>Q4-2019</v>
      </c>
      <c r="AD14" s="248">
        <v>60</v>
      </c>
      <c r="AE14" s="248" t="s">
        <v>648</v>
      </c>
      <c r="AF14" s="248" t="s">
        <v>402</v>
      </c>
      <c r="AG14" s="248" t="s">
        <v>403</v>
      </c>
      <c r="AH14" s="248" t="s">
        <v>418</v>
      </c>
      <c r="AI14" s="248" t="s">
        <v>405</v>
      </c>
      <c r="AJ14" s="248" t="s">
        <v>405</v>
      </c>
      <c r="AK14" s="248">
        <v>0</v>
      </c>
      <c r="AL14" s="248" t="s">
        <v>419</v>
      </c>
      <c r="AM14" s="248">
        <v>2</v>
      </c>
      <c r="AN14" s="248" t="s">
        <v>399</v>
      </c>
      <c r="AO14" s="163" t="s">
        <v>399</v>
      </c>
    </row>
    <row r="15" spans="1:41" ht="13" x14ac:dyDescent="0.3">
      <c r="A15" s="248" t="s">
        <v>743</v>
      </c>
      <c r="B15" s="248" t="s">
        <v>392</v>
      </c>
      <c r="C15" s="248" t="s">
        <v>393</v>
      </c>
      <c r="D15" s="248" t="s">
        <v>392</v>
      </c>
      <c r="E15" s="248" t="s">
        <v>661</v>
      </c>
      <c r="F15" s="248" t="s">
        <v>416</v>
      </c>
      <c r="G15" s="248" t="s">
        <v>449</v>
      </c>
      <c r="H15" s="251" t="str">
        <f>IFERROR("Q" &amp;INT((MONTH('MMR deficient'!H17)+2)/3) &amp; "-" &amp; YEAR('MMR deficient'!H17),"N/A")</f>
        <v>Q1-2020</v>
      </c>
      <c r="I15" s="248" t="s">
        <v>660</v>
      </c>
      <c r="J15" s="248" t="s">
        <v>398</v>
      </c>
      <c r="K15" s="248" t="s">
        <v>399</v>
      </c>
      <c r="L15" s="248" t="s">
        <v>399</v>
      </c>
      <c r="M15" s="248" t="s">
        <v>399</v>
      </c>
      <c r="N15" s="248" t="s">
        <v>399</v>
      </c>
      <c r="O15" s="248" t="s">
        <v>399</v>
      </c>
      <c r="P15" s="251" t="str">
        <f>IFERROR("Q" &amp;INT((MONTH('MMR deficient'!P17)+2)/3) &amp; "-" &amp; YEAR('MMR deficient'!P17),"N/A")</f>
        <v>N/A</v>
      </c>
      <c r="Q15" s="248" t="s">
        <v>399</v>
      </c>
      <c r="R15" s="248" t="s">
        <v>399</v>
      </c>
      <c r="S15" s="248" t="s">
        <v>399</v>
      </c>
      <c r="T15" s="248" t="s">
        <v>399</v>
      </c>
      <c r="U15" s="248" t="s">
        <v>399</v>
      </c>
      <c r="V15" s="248" t="s">
        <v>399</v>
      </c>
      <c r="W15" s="248" t="s">
        <v>399</v>
      </c>
      <c r="X15" s="248" t="s">
        <v>399</v>
      </c>
      <c r="Y15" s="248" t="s">
        <v>399</v>
      </c>
      <c r="Z15" s="248" t="s">
        <v>399</v>
      </c>
      <c r="AA15" s="248" t="s">
        <v>399</v>
      </c>
      <c r="AB15" s="248" t="s">
        <v>400</v>
      </c>
      <c r="AC15" s="251" t="str">
        <f>IFERROR("Q" &amp;INT((MONTH('MMR deficient'!AD17)+2)/3) &amp; "-" &amp; YEAR('MMR deficient'!AD17),"N/A")</f>
        <v>Q4-2019</v>
      </c>
      <c r="AD15" s="248">
        <v>65</v>
      </c>
      <c r="AE15" s="248" t="s">
        <v>648</v>
      </c>
      <c r="AF15" s="248" t="s">
        <v>402</v>
      </c>
      <c r="AG15" s="248" t="s">
        <v>403</v>
      </c>
      <c r="AH15" s="248" t="s">
        <v>404</v>
      </c>
      <c r="AI15" s="248" t="s">
        <v>405</v>
      </c>
      <c r="AJ15" s="248" t="s">
        <v>405</v>
      </c>
      <c r="AK15" s="248">
        <v>0</v>
      </c>
      <c r="AL15" s="248" t="s">
        <v>406</v>
      </c>
      <c r="AM15" s="248">
        <v>1</v>
      </c>
      <c r="AN15" s="248" t="s">
        <v>399</v>
      </c>
      <c r="AO15" s="163" t="s">
        <v>399</v>
      </c>
    </row>
    <row r="16" spans="1:41" ht="13" x14ac:dyDescent="0.3">
      <c r="A16" s="248" t="s">
        <v>744</v>
      </c>
      <c r="B16" s="248" t="s">
        <v>392</v>
      </c>
      <c r="C16" s="248" t="s">
        <v>393</v>
      </c>
      <c r="D16" s="248" t="s">
        <v>392</v>
      </c>
      <c r="E16" s="248" t="s">
        <v>662</v>
      </c>
      <c r="F16" s="248" t="s">
        <v>452</v>
      </c>
      <c r="G16" s="248" t="s">
        <v>443</v>
      </c>
      <c r="H16" s="251" t="str">
        <f>IFERROR("Q" &amp;INT((MONTH('MMR deficient'!H18)+2)/3) &amp; "-" &amp; YEAR('MMR deficient'!H18),"N/A")</f>
        <v>Q1-2020</v>
      </c>
      <c r="I16" s="248" t="s">
        <v>663</v>
      </c>
      <c r="J16" s="248" t="s">
        <v>398</v>
      </c>
      <c r="K16" s="248" t="s">
        <v>399</v>
      </c>
      <c r="L16" s="248" t="s">
        <v>399</v>
      </c>
      <c r="M16" s="248" t="s">
        <v>399</v>
      </c>
      <c r="N16" s="248" t="s">
        <v>399</v>
      </c>
      <c r="O16" s="248" t="s">
        <v>399</v>
      </c>
      <c r="P16" s="251" t="str">
        <f>IFERROR("Q" &amp;INT((MONTH('MMR deficient'!P18)+2)/3) &amp; "-" &amp; YEAR('MMR deficient'!P18),"N/A")</f>
        <v>N/A</v>
      </c>
      <c r="Q16" s="248" t="s">
        <v>399</v>
      </c>
      <c r="R16" s="248" t="s">
        <v>399</v>
      </c>
      <c r="S16" s="248" t="s">
        <v>399</v>
      </c>
      <c r="T16" s="248" t="s">
        <v>399</v>
      </c>
      <c r="U16" s="248" t="s">
        <v>399</v>
      </c>
      <c r="V16" s="248" t="s">
        <v>399</v>
      </c>
      <c r="W16" s="248" t="s">
        <v>399</v>
      </c>
      <c r="X16" s="248" t="s">
        <v>399</v>
      </c>
      <c r="Y16" s="248" t="s">
        <v>399</v>
      </c>
      <c r="Z16" s="248" t="s">
        <v>399</v>
      </c>
      <c r="AA16" s="248" t="s">
        <v>399</v>
      </c>
      <c r="AB16" s="248" t="s">
        <v>400</v>
      </c>
      <c r="AC16" s="251" t="str">
        <f>IFERROR("Q" &amp;INT((MONTH('MMR deficient'!AD18)+2)/3) &amp; "-" &amp; YEAR('MMR deficient'!AD18),"N/A")</f>
        <v>Q4-2019</v>
      </c>
      <c r="AD16" s="248">
        <v>72</v>
      </c>
      <c r="AE16" s="248" t="s">
        <v>648</v>
      </c>
      <c r="AF16" s="248" t="s">
        <v>402</v>
      </c>
      <c r="AG16" s="248" t="s">
        <v>403</v>
      </c>
      <c r="AH16" s="248" t="s">
        <v>418</v>
      </c>
      <c r="AI16" s="248" t="s">
        <v>405</v>
      </c>
      <c r="AJ16" s="248" t="s">
        <v>664</v>
      </c>
      <c r="AK16" s="248" t="s">
        <v>664</v>
      </c>
      <c r="AL16" s="248" t="s">
        <v>419</v>
      </c>
      <c r="AM16" s="248">
        <v>3</v>
      </c>
      <c r="AN16" s="248" t="s">
        <v>399</v>
      </c>
      <c r="AO16" s="163" t="s">
        <v>666</v>
      </c>
    </row>
    <row r="17" spans="1:41" ht="13" x14ac:dyDescent="0.3">
      <c r="A17" s="248" t="s">
        <v>745</v>
      </c>
      <c r="B17" s="248" t="s">
        <v>392</v>
      </c>
      <c r="C17" s="248" t="s">
        <v>393</v>
      </c>
      <c r="D17" s="248" t="s">
        <v>392</v>
      </c>
      <c r="E17" s="248" t="s">
        <v>667</v>
      </c>
      <c r="F17" s="248" t="s">
        <v>416</v>
      </c>
      <c r="G17" s="248" t="s">
        <v>409</v>
      </c>
      <c r="H17" s="251" t="str">
        <f>IFERROR("Q" &amp;INT((MONTH('MMR deficient'!H19)+2)/3) &amp; "-" &amp; YEAR('MMR deficient'!H19),"N/A")</f>
        <v>Q1-2020</v>
      </c>
      <c r="I17" s="248" t="s">
        <v>668</v>
      </c>
      <c r="J17" s="248" t="s">
        <v>398</v>
      </c>
      <c r="K17" s="248" t="s">
        <v>399</v>
      </c>
      <c r="L17" s="248" t="s">
        <v>399</v>
      </c>
      <c r="M17" s="248" t="s">
        <v>399</v>
      </c>
      <c r="N17" s="248" t="s">
        <v>399</v>
      </c>
      <c r="O17" s="248" t="s">
        <v>399</v>
      </c>
      <c r="P17" s="251" t="str">
        <f>IFERROR("Q" &amp;INT((MONTH('MMR deficient'!P19)+2)/3) &amp; "-" &amp; YEAR('MMR deficient'!P19),"N/A")</f>
        <v>N/A</v>
      </c>
      <c r="Q17" s="248" t="s">
        <v>399</v>
      </c>
      <c r="R17" s="248" t="s">
        <v>399</v>
      </c>
      <c r="S17" s="248" t="s">
        <v>399</v>
      </c>
      <c r="T17" s="248" t="s">
        <v>399</v>
      </c>
      <c r="U17" s="248" t="s">
        <v>399</v>
      </c>
      <c r="V17" s="248" t="s">
        <v>399</v>
      </c>
      <c r="W17" s="248" t="s">
        <v>399</v>
      </c>
      <c r="X17" s="248" t="s">
        <v>399</v>
      </c>
      <c r="Y17" s="248" t="s">
        <v>399</v>
      </c>
      <c r="Z17" s="248" t="s">
        <v>399</v>
      </c>
      <c r="AA17" s="248" t="s">
        <v>399</v>
      </c>
      <c r="AB17" s="248" t="s">
        <v>400</v>
      </c>
      <c r="AC17" s="251" t="str">
        <f>IFERROR("Q" &amp;INT((MONTH('MMR deficient'!AD19)+2)/3) &amp; "-" &amp; YEAR('MMR deficient'!AD19),"N/A")</f>
        <v>Q1-2020</v>
      </c>
      <c r="AD17" s="248">
        <v>58</v>
      </c>
      <c r="AE17" s="248" t="s">
        <v>435</v>
      </c>
      <c r="AF17" s="248" t="s">
        <v>402</v>
      </c>
      <c r="AG17" s="248" t="s">
        <v>403</v>
      </c>
      <c r="AH17" s="248" t="s">
        <v>404</v>
      </c>
      <c r="AI17" s="248" t="s">
        <v>405</v>
      </c>
      <c r="AJ17" s="248" t="s">
        <v>405</v>
      </c>
      <c r="AK17" s="248">
        <v>0</v>
      </c>
      <c r="AL17" s="248" t="s">
        <v>406</v>
      </c>
      <c r="AM17" s="248">
        <v>1</v>
      </c>
      <c r="AN17" s="248" t="s">
        <v>399</v>
      </c>
      <c r="AO17" s="163" t="s">
        <v>399</v>
      </c>
    </row>
    <row r="18" spans="1:41" s="263" customFormat="1" ht="13" x14ac:dyDescent="0.3">
      <c r="A18" s="260"/>
      <c r="B18" s="260" t="s">
        <v>392</v>
      </c>
      <c r="C18" s="260" t="s">
        <v>393</v>
      </c>
      <c r="D18" s="260" t="s">
        <v>392</v>
      </c>
      <c r="E18" s="260" t="s">
        <v>669</v>
      </c>
      <c r="F18" s="260" t="s">
        <v>538</v>
      </c>
      <c r="G18" s="260" t="s">
        <v>399</v>
      </c>
      <c r="H18" s="261" t="str">
        <f>IFERROR("Q" &amp;INT((MONTH('MMR deficient'!H20)+2)/3) &amp; "-" &amp; YEAR('MMR deficient'!H20),"N/A")</f>
        <v>Q1-2020</v>
      </c>
      <c r="I18" s="260" t="s">
        <v>670</v>
      </c>
      <c r="J18" s="260" t="s">
        <v>671</v>
      </c>
      <c r="K18" s="260" t="s">
        <v>399</v>
      </c>
      <c r="L18" s="260" t="s">
        <v>399</v>
      </c>
      <c r="M18" s="260" t="s">
        <v>399</v>
      </c>
      <c r="N18" s="260" t="s">
        <v>399</v>
      </c>
      <c r="O18" s="260" t="s">
        <v>399</v>
      </c>
      <c r="P18" s="261" t="str">
        <f>IFERROR("Q" &amp;INT((MONTH('MMR deficient'!P20)+2)/3) &amp; "-" &amp; YEAR('MMR deficient'!P20),"N/A")</f>
        <v>N/A</v>
      </c>
      <c r="Q18" s="260" t="s">
        <v>399</v>
      </c>
      <c r="R18" s="260" t="s">
        <v>399</v>
      </c>
      <c r="S18" s="260" t="s">
        <v>399</v>
      </c>
      <c r="T18" s="260" t="s">
        <v>399</v>
      </c>
      <c r="U18" s="260" t="s">
        <v>399</v>
      </c>
      <c r="V18" s="260" t="s">
        <v>399</v>
      </c>
      <c r="W18" s="260" t="s">
        <v>399</v>
      </c>
      <c r="X18" s="260" t="s">
        <v>399</v>
      </c>
      <c r="Y18" s="260" t="s">
        <v>399</v>
      </c>
      <c r="Z18" s="260" t="s">
        <v>399</v>
      </c>
      <c r="AA18" s="260" t="s">
        <v>399</v>
      </c>
      <c r="AB18" s="260" t="s">
        <v>400</v>
      </c>
      <c r="AC18" s="261" t="str">
        <f>IFERROR("Q" &amp;INT((MONTH('MMR deficient'!AD20)+2)/3) &amp; "-" &amp; YEAR('MMR deficient'!AD20),"N/A")</f>
        <v>Q1-2020</v>
      </c>
      <c r="AD18" s="260">
        <v>60</v>
      </c>
      <c r="AE18" s="260" t="s">
        <v>648</v>
      </c>
      <c r="AF18" s="260" t="s">
        <v>402</v>
      </c>
      <c r="AG18" s="260" t="s">
        <v>405</v>
      </c>
      <c r="AH18" s="260" t="s">
        <v>405</v>
      </c>
      <c r="AI18" s="260" t="s">
        <v>405</v>
      </c>
      <c r="AJ18" s="260" t="s">
        <v>405</v>
      </c>
      <c r="AK18" s="260" t="s">
        <v>405</v>
      </c>
      <c r="AL18" s="260" t="s">
        <v>399</v>
      </c>
      <c r="AM18" s="260">
        <v>2</v>
      </c>
      <c r="AN18" s="260" t="s">
        <v>399</v>
      </c>
      <c r="AO18" s="262" t="s">
        <v>399</v>
      </c>
    </row>
    <row r="19" spans="1:41" ht="13" x14ac:dyDescent="0.3">
      <c r="A19" s="248" t="s">
        <v>746</v>
      </c>
      <c r="B19" s="248" t="s">
        <v>392</v>
      </c>
      <c r="C19" s="248" t="s">
        <v>393</v>
      </c>
      <c r="D19" s="248" t="s">
        <v>392</v>
      </c>
      <c r="E19" s="248" t="s">
        <v>672</v>
      </c>
      <c r="F19" s="248" t="s">
        <v>433</v>
      </c>
      <c r="G19" s="248" t="s">
        <v>490</v>
      </c>
      <c r="H19" s="251" t="str">
        <f>IFERROR("Q" &amp;INT((MONTH('MMR deficient'!H21)+2)/3) &amp; "-" &amp; YEAR('MMR deficient'!H21),"N/A")</f>
        <v>Q2-2020</v>
      </c>
      <c r="I19" s="248" t="s">
        <v>673</v>
      </c>
      <c r="J19" s="248" t="s">
        <v>398</v>
      </c>
      <c r="K19" s="248" t="s">
        <v>399</v>
      </c>
      <c r="L19" s="248" t="s">
        <v>399</v>
      </c>
      <c r="M19" s="248" t="s">
        <v>399</v>
      </c>
      <c r="N19" s="248" t="s">
        <v>399</v>
      </c>
      <c r="O19" s="248" t="s">
        <v>399</v>
      </c>
      <c r="P19" s="251" t="str">
        <f>IFERROR("Q" &amp;INT((MONTH('MMR deficient'!P21)+2)/3) &amp; "-" &amp; YEAR('MMR deficient'!P21),"N/A")</f>
        <v>N/A</v>
      </c>
      <c r="Q19" s="248" t="s">
        <v>399</v>
      </c>
      <c r="R19" s="248" t="s">
        <v>399</v>
      </c>
      <c r="S19" s="248" t="s">
        <v>399</v>
      </c>
      <c r="T19" s="248" t="s">
        <v>399</v>
      </c>
      <c r="U19" s="248" t="s">
        <v>399</v>
      </c>
      <c r="V19" s="248" t="s">
        <v>399</v>
      </c>
      <c r="W19" s="248" t="s">
        <v>399</v>
      </c>
      <c r="X19" s="248" t="s">
        <v>399</v>
      </c>
      <c r="Y19" s="248" t="s">
        <v>399</v>
      </c>
      <c r="Z19" s="248" t="s">
        <v>399</v>
      </c>
      <c r="AA19" s="248" t="s">
        <v>399</v>
      </c>
      <c r="AB19" s="248" t="s">
        <v>400</v>
      </c>
      <c r="AC19" s="251" t="str">
        <f>IFERROR("Q" &amp;INT((MONTH('MMR deficient'!AD21)+2)/3) &amp; "-" &amp; YEAR('MMR deficient'!AD21),"N/A")</f>
        <v>Q1-2020</v>
      </c>
      <c r="AD19" s="248">
        <v>74</v>
      </c>
      <c r="AE19" s="248" t="s">
        <v>648</v>
      </c>
      <c r="AF19" s="248" t="s">
        <v>402</v>
      </c>
      <c r="AG19" s="248" t="s">
        <v>392</v>
      </c>
      <c r="AH19" s="248">
        <v>2</v>
      </c>
      <c r="AI19" s="248">
        <v>0</v>
      </c>
      <c r="AJ19" s="248" t="s">
        <v>405</v>
      </c>
      <c r="AK19" s="248">
        <v>0</v>
      </c>
      <c r="AL19" s="248" t="s">
        <v>423</v>
      </c>
      <c r="AM19" s="248">
        <v>3</v>
      </c>
      <c r="AN19" s="248" t="s">
        <v>399</v>
      </c>
      <c r="AO19" s="163" t="s">
        <v>399</v>
      </c>
    </row>
    <row r="20" spans="1:41" ht="13" x14ac:dyDescent="0.3">
      <c r="A20" s="248" t="s">
        <v>747</v>
      </c>
      <c r="B20" s="248" t="s">
        <v>392</v>
      </c>
      <c r="C20" s="248" t="s">
        <v>393</v>
      </c>
      <c r="D20" s="248" t="s">
        <v>392</v>
      </c>
      <c r="E20" s="248" t="s">
        <v>674</v>
      </c>
      <c r="F20" s="248" t="s">
        <v>426</v>
      </c>
      <c r="G20" s="248" t="s">
        <v>399</v>
      </c>
      <c r="H20" s="251" t="str">
        <f>IFERROR("Q" &amp;INT((MONTH('MMR deficient'!H22)+2)/3) &amp; "-" &amp; YEAR('MMR deficient'!H22),"N/A")</f>
        <v>Q3-2020</v>
      </c>
      <c r="I20" s="248" t="s">
        <v>660</v>
      </c>
      <c r="J20" s="248" t="s">
        <v>675</v>
      </c>
      <c r="K20" s="248" t="s">
        <v>399</v>
      </c>
      <c r="L20" s="248" t="s">
        <v>399</v>
      </c>
      <c r="M20" s="248" t="s">
        <v>399</v>
      </c>
      <c r="N20" s="248" t="s">
        <v>399</v>
      </c>
      <c r="O20" s="248" t="s">
        <v>399</v>
      </c>
      <c r="P20" s="251" t="str">
        <f>IFERROR("Q" &amp;INT((MONTH('MMR deficient'!P22)+2)/3) &amp; "-" &amp; YEAR('MMR deficient'!P22),"N/A")</f>
        <v>N/A</v>
      </c>
      <c r="Q20" s="248" t="s">
        <v>399</v>
      </c>
      <c r="R20" s="248" t="s">
        <v>399</v>
      </c>
      <c r="S20" s="248" t="s">
        <v>399</v>
      </c>
      <c r="T20" s="248" t="s">
        <v>399</v>
      </c>
      <c r="U20" s="248" t="s">
        <v>399</v>
      </c>
      <c r="V20" s="248" t="s">
        <v>399</v>
      </c>
      <c r="W20" s="248" t="s">
        <v>399</v>
      </c>
      <c r="X20" s="248" t="s">
        <v>399</v>
      </c>
      <c r="Y20" s="248" t="s">
        <v>399</v>
      </c>
      <c r="Z20" s="248" t="s">
        <v>399</v>
      </c>
      <c r="AA20" s="248" t="s">
        <v>399</v>
      </c>
      <c r="AB20" s="248" t="s">
        <v>400</v>
      </c>
      <c r="AC20" s="251" t="str">
        <f>IFERROR("Q" &amp;INT((MONTH('MMR deficient'!AD22)+2)/3) &amp; "-" &amp; YEAR('MMR deficient'!AD22),"N/A")</f>
        <v>Q3-2019</v>
      </c>
      <c r="AD20" s="248">
        <v>80</v>
      </c>
      <c r="AE20" s="248" t="s">
        <v>648</v>
      </c>
      <c r="AF20" s="248" t="s">
        <v>402</v>
      </c>
      <c r="AG20" s="248" t="s">
        <v>403</v>
      </c>
      <c r="AH20" s="248" t="s">
        <v>404</v>
      </c>
      <c r="AI20" s="248" t="s">
        <v>405</v>
      </c>
      <c r="AJ20" s="248" t="s">
        <v>405</v>
      </c>
      <c r="AK20" s="248">
        <v>0</v>
      </c>
      <c r="AL20" s="248" t="s">
        <v>406</v>
      </c>
      <c r="AM20" s="248">
        <v>1</v>
      </c>
      <c r="AN20" s="248" t="s">
        <v>399</v>
      </c>
      <c r="AO20" s="163" t="s">
        <v>399</v>
      </c>
    </row>
    <row r="21" spans="1:41" ht="13" x14ac:dyDescent="0.3">
      <c r="A21" s="248" t="s">
        <v>748</v>
      </c>
      <c r="B21" s="248" t="s">
        <v>392</v>
      </c>
      <c r="C21" s="248" t="s">
        <v>393</v>
      </c>
      <c r="D21" s="248" t="s">
        <v>392</v>
      </c>
      <c r="E21" s="248" t="s">
        <v>676</v>
      </c>
      <c r="F21" s="248" t="s">
        <v>409</v>
      </c>
      <c r="G21" s="248" t="s">
        <v>514</v>
      </c>
      <c r="H21" s="251" t="str">
        <f>IFERROR("Q" &amp;INT((MONTH('MMR deficient'!H23)+2)/3) &amp; "-" &amp; YEAR('MMR deficient'!H23),"N/A")</f>
        <v>Q3-2020</v>
      </c>
      <c r="I21" s="248" t="s">
        <v>677</v>
      </c>
      <c r="J21" s="248" t="s">
        <v>678</v>
      </c>
      <c r="K21" s="248" t="s">
        <v>399</v>
      </c>
      <c r="L21" s="248" t="s">
        <v>399</v>
      </c>
      <c r="M21" s="248" t="s">
        <v>399</v>
      </c>
      <c r="N21" s="248" t="s">
        <v>399</v>
      </c>
      <c r="O21" s="248" t="s">
        <v>399</v>
      </c>
      <c r="P21" s="251" t="str">
        <f>IFERROR("Q" &amp;INT((MONTH('MMR deficient'!P23)+2)/3) &amp; "-" &amp; YEAR('MMR deficient'!P23),"N/A")</f>
        <v>N/A</v>
      </c>
      <c r="Q21" s="248" t="s">
        <v>399</v>
      </c>
      <c r="R21" s="248" t="s">
        <v>399</v>
      </c>
      <c r="S21" s="248" t="s">
        <v>399</v>
      </c>
      <c r="T21" s="248" t="s">
        <v>399</v>
      </c>
      <c r="U21" s="248" t="s">
        <v>399</v>
      </c>
      <c r="V21" s="248" t="s">
        <v>399</v>
      </c>
      <c r="W21" s="248" t="s">
        <v>399</v>
      </c>
      <c r="X21" s="248" t="s">
        <v>399</v>
      </c>
      <c r="Y21" s="248" t="s">
        <v>399</v>
      </c>
      <c r="Z21" s="248" t="s">
        <v>399</v>
      </c>
      <c r="AA21" s="248" t="s">
        <v>399</v>
      </c>
      <c r="AB21" s="248" t="s">
        <v>400</v>
      </c>
      <c r="AC21" s="251" t="str">
        <f>IFERROR("Q" &amp;INT((MONTH('MMR deficient'!AD23)+2)/3) &amp; "-" &amp; YEAR('MMR deficient'!AD23),"N/A")</f>
        <v>Q3-2020</v>
      </c>
      <c r="AD21" s="248">
        <v>79</v>
      </c>
      <c r="AE21" s="248" t="s">
        <v>648</v>
      </c>
      <c r="AF21" s="248" t="s">
        <v>402</v>
      </c>
      <c r="AG21" s="248" t="s">
        <v>403</v>
      </c>
      <c r="AH21" s="248">
        <v>2</v>
      </c>
      <c r="AI21" s="248">
        <v>0</v>
      </c>
      <c r="AJ21" s="248" t="s">
        <v>405</v>
      </c>
      <c r="AK21" s="248">
        <v>0</v>
      </c>
      <c r="AL21" s="248" t="s">
        <v>423</v>
      </c>
      <c r="AM21" s="248">
        <v>3</v>
      </c>
      <c r="AN21" s="248" t="s">
        <v>399</v>
      </c>
      <c r="AO21" s="163" t="s">
        <v>399</v>
      </c>
    </row>
    <row r="22" spans="1:41" ht="13" x14ac:dyDescent="0.3">
      <c r="A22" s="248" t="s">
        <v>749</v>
      </c>
      <c r="B22" s="248" t="s">
        <v>392</v>
      </c>
      <c r="C22" s="248" t="s">
        <v>393</v>
      </c>
      <c r="D22" s="248" t="s">
        <v>392</v>
      </c>
      <c r="E22" s="248" t="s">
        <v>679</v>
      </c>
      <c r="F22" s="248" t="s">
        <v>426</v>
      </c>
      <c r="G22" s="248" t="s">
        <v>449</v>
      </c>
      <c r="H22" s="251" t="str">
        <f>IFERROR("Q" &amp;INT((MONTH('MMR deficient'!H24)+2)/3) &amp; "-" &amp; YEAR('MMR deficient'!H24),"N/A")</f>
        <v>Q3-2020</v>
      </c>
      <c r="I22" s="248" t="s">
        <v>680</v>
      </c>
      <c r="J22" s="248" t="s">
        <v>398</v>
      </c>
      <c r="K22" s="248" t="s">
        <v>399</v>
      </c>
      <c r="L22" s="248" t="s">
        <v>399</v>
      </c>
      <c r="M22" s="248" t="s">
        <v>399</v>
      </c>
      <c r="N22" s="248" t="s">
        <v>399</v>
      </c>
      <c r="O22" s="248" t="s">
        <v>399</v>
      </c>
      <c r="P22" s="251" t="str">
        <f>IFERROR("Q" &amp;INT((MONTH('MMR deficient'!P24)+2)/3) &amp; "-" &amp; YEAR('MMR deficient'!P24),"N/A")</f>
        <v>N/A</v>
      </c>
      <c r="Q22" s="248" t="s">
        <v>399</v>
      </c>
      <c r="R22" s="248" t="s">
        <v>399</v>
      </c>
      <c r="S22" s="248" t="s">
        <v>399</v>
      </c>
      <c r="T22" s="248" t="s">
        <v>399</v>
      </c>
      <c r="U22" s="248" t="s">
        <v>399</v>
      </c>
      <c r="V22" s="248" t="s">
        <v>399</v>
      </c>
      <c r="W22" s="248" t="s">
        <v>399</v>
      </c>
      <c r="X22" s="248" t="s">
        <v>399</v>
      </c>
      <c r="Y22" s="248" t="s">
        <v>399</v>
      </c>
      <c r="Z22" s="248" t="s">
        <v>399</v>
      </c>
      <c r="AA22" s="248" t="s">
        <v>399</v>
      </c>
      <c r="AB22" s="248" t="s">
        <v>400</v>
      </c>
      <c r="AC22" s="251" t="str">
        <f>IFERROR("Q" &amp;INT((MONTH('MMR deficient'!AD24)+2)/3) &amp; "-" &amp; YEAR('MMR deficient'!AD24),"N/A")</f>
        <v>Q3-2020</v>
      </c>
      <c r="AD22" s="248">
        <v>63</v>
      </c>
      <c r="AE22" s="248" t="s">
        <v>648</v>
      </c>
      <c r="AF22" s="248" t="s">
        <v>402</v>
      </c>
      <c r="AG22" s="248" t="s">
        <v>403</v>
      </c>
      <c r="AH22" s="248" t="s">
        <v>404</v>
      </c>
      <c r="AI22" s="248">
        <v>0</v>
      </c>
      <c r="AJ22" s="248" t="s">
        <v>405</v>
      </c>
      <c r="AK22" s="248">
        <v>0</v>
      </c>
      <c r="AL22" s="248" t="s">
        <v>406</v>
      </c>
      <c r="AM22" s="248">
        <v>3</v>
      </c>
      <c r="AN22" s="248" t="s">
        <v>399</v>
      </c>
      <c r="AO22" s="163" t="s">
        <v>399</v>
      </c>
    </row>
    <row r="23" spans="1:41" ht="13" x14ac:dyDescent="0.3">
      <c r="A23" s="248" t="s">
        <v>750</v>
      </c>
      <c r="B23" s="248" t="s">
        <v>392</v>
      </c>
      <c r="C23" s="248" t="s">
        <v>393</v>
      </c>
      <c r="D23" s="248" t="s">
        <v>392</v>
      </c>
      <c r="E23" s="248" t="s">
        <v>681</v>
      </c>
      <c r="F23" s="248" t="s">
        <v>682</v>
      </c>
      <c r="G23" s="248" t="s">
        <v>494</v>
      </c>
      <c r="H23" s="251" t="str">
        <f>IFERROR("Q" &amp;INT((MONTH('MMR deficient'!H25)+2)/3) &amp; "-" &amp; YEAR('MMR deficient'!H25),"N/A")</f>
        <v>Q4-2020</v>
      </c>
      <c r="I23" s="248" t="s">
        <v>683</v>
      </c>
      <c r="J23" s="248" t="s">
        <v>684</v>
      </c>
      <c r="K23" s="248" t="s">
        <v>399</v>
      </c>
      <c r="L23" s="248" t="s">
        <v>399</v>
      </c>
      <c r="M23" s="248" t="s">
        <v>399</v>
      </c>
      <c r="N23" s="248" t="s">
        <v>399</v>
      </c>
      <c r="O23" s="248" t="s">
        <v>399</v>
      </c>
      <c r="P23" s="251" t="str">
        <f>IFERROR("Q" &amp;INT((MONTH('MMR deficient'!P25)+2)/3) &amp; "-" &amp; YEAR('MMR deficient'!P25),"N/A")</f>
        <v>N/A</v>
      </c>
      <c r="Q23" s="248" t="s">
        <v>399</v>
      </c>
      <c r="R23" s="248" t="s">
        <v>399</v>
      </c>
      <c r="S23" s="248" t="s">
        <v>399</v>
      </c>
      <c r="T23" s="248" t="s">
        <v>399</v>
      </c>
      <c r="U23" s="248" t="s">
        <v>399</v>
      </c>
      <c r="V23" s="248" t="s">
        <v>399</v>
      </c>
      <c r="W23" s="248" t="s">
        <v>399</v>
      </c>
      <c r="X23" s="248" t="s">
        <v>399</v>
      </c>
      <c r="Y23" s="248" t="s">
        <v>399</v>
      </c>
      <c r="Z23" s="248" t="s">
        <v>399</v>
      </c>
      <c r="AA23" s="248" t="s">
        <v>399</v>
      </c>
      <c r="AB23" s="248" t="s">
        <v>400</v>
      </c>
      <c r="AC23" s="251" t="str">
        <f>IFERROR("Q" &amp;INT((MONTH('MMR deficient'!AD25)+2)/3) &amp; "-" &amp; YEAR('MMR deficient'!AD25),"N/A")</f>
        <v>Q4-2020</v>
      </c>
      <c r="AD23" s="248">
        <v>61</v>
      </c>
      <c r="AE23" s="248" t="s">
        <v>648</v>
      </c>
      <c r="AF23" s="248" t="s">
        <v>402</v>
      </c>
      <c r="AG23" s="248" t="s">
        <v>403</v>
      </c>
      <c r="AH23" s="248" t="s">
        <v>404</v>
      </c>
      <c r="AI23" s="248">
        <v>0</v>
      </c>
      <c r="AJ23" s="248" t="s">
        <v>405</v>
      </c>
      <c r="AK23" s="248">
        <v>0</v>
      </c>
      <c r="AL23" s="248" t="s">
        <v>406</v>
      </c>
      <c r="AM23" s="248">
        <v>1</v>
      </c>
      <c r="AN23" s="248" t="s">
        <v>399</v>
      </c>
      <c r="AO23" s="163" t="s">
        <v>399</v>
      </c>
    </row>
    <row r="24" spans="1:41" ht="13" x14ac:dyDescent="0.3">
      <c r="A24" s="248" t="s">
        <v>751</v>
      </c>
      <c r="B24" s="248" t="s">
        <v>392</v>
      </c>
      <c r="C24" s="248" t="s">
        <v>393</v>
      </c>
      <c r="D24" s="248" t="s">
        <v>392</v>
      </c>
      <c r="E24" s="248" t="s">
        <v>685</v>
      </c>
      <c r="F24" s="248" t="s">
        <v>425</v>
      </c>
      <c r="G24" s="248" t="s">
        <v>426</v>
      </c>
      <c r="H24" s="251" t="str">
        <f>IFERROR("Q" &amp;INT((MONTH('MMR deficient'!H26)+2)/3) &amp; "-" &amp; YEAR('MMR deficient'!H26),"N/A")</f>
        <v>Q1-2021</v>
      </c>
      <c r="I24" s="248" t="s">
        <v>686</v>
      </c>
      <c r="J24" s="248" t="s">
        <v>398</v>
      </c>
      <c r="K24" s="248" t="s">
        <v>399</v>
      </c>
      <c r="L24" s="248" t="s">
        <v>399</v>
      </c>
      <c r="M24" s="248" t="s">
        <v>399</v>
      </c>
      <c r="N24" s="248" t="s">
        <v>399</v>
      </c>
      <c r="O24" s="248" t="s">
        <v>399</v>
      </c>
      <c r="P24" s="251" t="str">
        <f>IFERROR("Q" &amp;INT((MONTH('MMR deficient'!P26)+2)/3) &amp; "-" &amp; YEAR('MMR deficient'!P26),"N/A")</f>
        <v>N/A</v>
      </c>
      <c r="Q24" s="248" t="s">
        <v>399</v>
      </c>
      <c r="R24" s="248" t="s">
        <v>399</v>
      </c>
      <c r="S24" s="248" t="s">
        <v>399</v>
      </c>
      <c r="T24" s="248" t="s">
        <v>399</v>
      </c>
      <c r="U24" s="248" t="s">
        <v>399</v>
      </c>
      <c r="V24" s="248" t="s">
        <v>399</v>
      </c>
      <c r="W24" s="248" t="s">
        <v>399</v>
      </c>
      <c r="X24" s="248" t="s">
        <v>399</v>
      </c>
      <c r="Y24" s="248" t="s">
        <v>399</v>
      </c>
      <c r="Z24" s="248" t="s">
        <v>399</v>
      </c>
      <c r="AA24" s="248" t="s">
        <v>399</v>
      </c>
      <c r="AB24" s="248" t="s">
        <v>400</v>
      </c>
      <c r="AC24" s="251" t="str">
        <f>IFERROR("Q" &amp;INT((MONTH('MMR deficient'!AD26)+2)/3) &amp; "-" &amp; YEAR('MMR deficient'!AD26),"N/A")</f>
        <v>Q1-2021</v>
      </c>
      <c r="AD24" s="248">
        <v>78</v>
      </c>
      <c r="AE24" s="248" t="s">
        <v>648</v>
      </c>
      <c r="AF24" s="248" t="s">
        <v>402</v>
      </c>
      <c r="AG24" s="248" t="s">
        <v>392</v>
      </c>
      <c r="AH24" s="248">
        <v>2</v>
      </c>
      <c r="AI24" s="248">
        <v>0</v>
      </c>
      <c r="AJ24" s="248" t="s">
        <v>405</v>
      </c>
      <c r="AK24" s="248">
        <v>0</v>
      </c>
      <c r="AL24" s="248" t="s">
        <v>423</v>
      </c>
      <c r="AM24" s="248">
        <v>2</v>
      </c>
      <c r="AN24" s="248" t="s">
        <v>399</v>
      </c>
      <c r="AO24" s="163" t="s">
        <v>399</v>
      </c>
    </row>
    <row r="25" spans="1:41" ht="13" x14ac:dyDescent="0.3">
      <c r="A25" s="248" t="s">
        <v>752</v>
      </c>
      <c r="B25" s="248" t="s">
        <v>392</v>
      </c>
      <c r="C25" s="248" t="s">
        <v>393</v>
      </c>
      <c r="D25" s="248" t="s">
        <v>392</v>
      </c>
      <c r="E25" s="248" t="s">
        <v>687</v>
      </c>
      <c r="F25" s="248" t="s">
        <v>449</v>
      </c>
      <c r="G25" s="248" t="s">
        <v>426</v>
      </c>
      <c r="H25" s="251" t="str">
        <f>IFERROR("Q" &amp;INT((MONTH('MMR deficient'!H27)+2)/3) &amp; "-" &amp; YEAR('MMR deficient'!H27),"N/A")</f>
        <v>Q1-2021</v>
      </c>
      <c r="I25" s="248" t="s">
        <v>668</v>
      </c>
      <c r="J25" s="248" t="s">
        <v>684</v>
      </c>
      <c r="K25" s="248" t="s">
        <v>399</v>
      </c>
      <c r="L25" s="248" t="s">
        <v>399</v>
      </c>
      <c r="M25" s="248" t="s">
        <v>399</v>
      </c>
      <c r="N25" s="248" t="s">
        <v>399</v>
      </c>
      <c r="O25" s="248" t="s">
        <v>399</v>
      </c>
      <c r="P25" s="251" t="str">
        <f>IFERROR("Q" &amp;INT((MONTH('MMR deficient'!P27)+2)/3) &amp; "-" &amp; YEAR('MMR deficient'!P27),"N/A")</f>
        <v>N/A</v>
      </c>
      <c r="Q25" s="248" t="s">
        <v>399</v>
      </c>
      <c r="R25" s="248" t="s">
        <v>399</v>
      </c>
      <c r="S25" s="248" t="s">
        <v>399</v>
      </c>
      <c r="T25" s="248" t="s">
        <v>399</v>
      </c>
      <c r="U25" s="248" t="s">
        <v>399</v>
      </c>
      <c r="V25" s="248" t="s">
        <v>399</v>
      </c>
      <c r="W25" s="248" t="s">
        <v>399</v>
      </c>
      <c r="X25" s="248" t="s">
        <v>399</v>
      </c>
      <c r="Y25" s="248" t="s">
        <v>399</v>
      </c>
      <c r="Z25" s="248" t="s">
        <v>399</v>
      </c>
      <c r="AA25" s="248" t="s">
        <v>399</v>
      </c>
      <c r="AB25" s="248" t="s">
        <v>400</v>
      </c>
      <c r="AC25" s="251" t="str">
        <f>IFERROR("Q" &amp;INT((MONTH('MMR deficient'!AD27)+2)/3) &amp; "-" &amp; YEAR('MMR deficient'!AD27),"N/A")</f>
        <v>Q1-2021</v>
      </c>
      <c r="AD25" s="248">
        <v>62</v>
      </c>
      <c r="AE25" s="248" t="s">
        <v>401</v>
      </c>
      <c r="AF25" s="248" t="s">
        <v>402</v>
      </c>
      <c r="AG25" s="248" t="s">
        <v>403</v>
      </c>
      <c r="AH25" s="248" t="s">
        <v>418</v>
      </c>
      <c r="AI25" s="248" t="s">
        <v>405</v>
      </c>
      <c r="AJ25" s="248" t="s">
        <v>405</v>
      </c>
      <c r="AK25" s="248">
        <v>0</v>
      </c>
      <c r="AL25" s="248" t="s">
        <v>419</v>
      </c>
      <c r="AM25" s="248">
        <v>1</v>
      </c>
      <c r="AN25" s="248" t="s">
        <v>399</v>
      </c>
      <c r="AO25" s="163" t="s">
        <v>399</v>
      </c>
    </row>
    <row r="26" spans="1:41" ht="13" x14ac:dyDescent="0.3">
      <c r="A26" s="248" t="s">
        <v>753</v>
      </c>
      <c r="B26" s="248" t="s">
        <v>392</v>
      </c>
      <c r="C26" s="248" t="s">
        <v>393</v>
      </c>
      <c r="D26" s="248" t="s">
        <v>392</v>
      </c>
      <c r="E26" s="248" t="s">
        <v>688</v>
      </c>
      <c r="F26" s="248" t="s">
        <v>449</v>
      </c>
      <c r="G26" s="248" t="s">
        <v>689</v>
      </c>
      <c r="H26" s="251" t="str">
        <f>IFERROR("Q" &amp;INT((MONTH('MMR deficient'!H28)+2)/3) &amp; "-" &amp; YEAR('MMR deficient'!H28),"N/A")</f>
        <v>Q1-2021</v>
      </c>
      <c r="I26" s="248" t="s">
        <v>690</v>
      </c>
      <c r="J26" s="248" t="s">
        <v>398</v>
      </c>
      <c r="K26" s="248" t="s">
        <v>399</v>
      </c>
      <c r="L26" s="248" t="s">
        <v>399</v>
      </c>
      <c r="M26" s="248" t="s">
        <v>399</v>
      </c>
      <c r="N26" s="248" t="s">
        <v>399</v>
      </c>
      <c r="O26" s="248" t="s">
        <v>399</v>
      </c>
      <c r="P26" s="251" t="str">
        <f>IFERROR("Q" &amp;INT((MONTH('MMR deficient'!P28)+2)/3) &amp; "-" &amp; YEAR('MMR deficient'!P28),"N/A")</f>
        <v>N/A</v>
      </c>
      <c r="Q26" s="248" t="s">
        <v>399</v>
      </c>
      <c r="R26" s="248" t="s">
        <v>399</v>
      </c>
      <c r="S26" s="248" t="s">
        <v>399</v>
      </c>
      <c r="T26" s="248" t="s">
        <v>399</v>
      </c>
      <c r="U26" s="248" t="s">
        <v>399</v>
      </c>
      <c r="V26" s="248" t="s">
        <v>399</v>
      </c>
      <c r="W26" s="248" t="s">
        <v>399</v>
      </c>
      <c r="X26" s="248" t="s">
        <v>399</v>
      </c>
      <c r="Y26" s="248" t="s">
        <v>399</v>
      </c>
      <c r="Z26" s="248" t="s">
        <v>399</v>
      </c>
      <c r="AA26" s="248" t="s">
        <v>399</v>
      </c>
      <c r="AB26" s="248" t="s">
        <v>400</v>
      </c>
      <c r="AC26" s="251" t="str">
        <f>IFERROR("Q" &amp;INT((MONTH('MMR deficient'!AD28)+2)/3) &amp; "-" &amp; YEAR('MMR deficient'!AD28),"N/A")</f>
        <v>Q1-2021</v>
      </c>
      <c r="AD26" s="248">
        <v>55</v>
      </c>
      <c r="AE26" s="248" t="s">
        <v>435</v>
      </c>
      <c r="AF26" s="248" t="s">
        <v>402</v>
      </c>
      <c r="AG26" s="248" t="s">
        <v>403</v>
      </c>
      <c r="AH26" s="248" t="s">
        <v>404</v>
      </c>
      <c r="AI26" s="248" t="s">
        <v>405</v>
      </c>
      <c r="AJ26" s="248" t="s">
        <v>405</v>
      </c>
      <c r="AK26" s="248">
        <v>0</v>
      </c>
      <c r="AL26" s="248" t="s">
        <v>406</v>
      </c>
      <c r="AM26" s="248">
        <v>1</v>
      </c>
      <c r="AN26" s="248" t="s">
        <v>399</v>
      </c>
      <c r="AO26" s="163" t="s">
        <v>399</v>
      </c>
    </row>
    <row r="27" spans="1:41" ht="13" x14ac:dyDescent="0.3">
      <c r="A27" s="248" t="s">
        <v>754</v>
      </c>
      <c r="B27" s="248" t="s">
        <v>392</v>
      </c>
      <c r="C27" s="248" t="s">
        <v>393</v>
      </c>
      <c r="D27" s="248" t="s">
        <v>392</v>
      </c>
      <c r="E27" s="248" t="s">
        <v>691</v>
      </c>
      <c r="F27" s="248" t="s">
        <v>437</v>
      </c>
      <c r="G27" s="248" t="s">
        <v>692</v>
      </c>
      <c r="H27" s="251" t="str">
        <f>IFERROR("Q" &amp;INT((MONTH('MMR deficient'!H29)+2)/3) &amp; "-" &amp; YEAR('MMR deficient'!H29),"N/A")</f>
        <v>Q2-2021</v>
      </c>
      <c r="I27" s="248" t="s">
        <v>693</v>
      </c>
      <c r="J27" s="248" t="s">
        <v>398</v>
      </c>
      <c r="K27" s="248" t="s">
        <v>399</v>
      </c>
      <c r="L27" s="248" t="s">
        <v>399</v>
      </c>
      <c r="M27" s="248" t="s">
        <v>399</v>
      </c>
      <c r="N27" s="248" t="s">
        <v>399</v>
      </c>
      <c r="O27" s="248" t="s">
        <v>399</v>
      </c>
      <c r="P27" s="251" t="str">
        <f>IFERROR("Q" &amp;INT((MONTH('MMR deficient'!P29)+2)/3) &amp; "-" &amp; YEAR('MMR deficient'!P29),"N/A")</f>
        <v>N/A</v>
      </c>
      <c r="Q27" s="248" t="s">
        <v>399</v>
      </c>
      <c r="R27" s="248" t="s">
        <v>399</v>
      </c>
      <c r="S27" s="248" t="s">
        <v>399</v>
      </c>
      <c r="T27" s="248" t="s">
        <v>399</v>
      </c>
      <c r="U27" s="248" t="s">
        <v>399</v>
      </c>
      <c r="V27" s="248" t="s">
        <v>399</v>
      </c>
      <c r="W27" s="248" t="s">
        <v>399</v>
      </c>
      <c r="X27" s="248" t="s">
        <v>399</v>
      </c>
      <c r="Y27" s="248" t="s">
        <v>399</v>
      </c>
      <c r="Z27" s="248" t="s">
        <v>399</v>
      </c>
      <c r="AA27" s="248" t="s">
        <v>399</v>
      </c>
      <c r="AB27" s="248" t="s">
        <v>400</v>
      </c>
      <c r="AC27" s="251" t="str">
        <f>IFERROR("Q" &amp;INT((MONTH('MMR deficient'!AD29)+2)/3) &amp; "-" &amp; YEAR('MMR deficient'!AD29),"N/A")</f>
        <v>Q2-2021</v>
      </c>
      <c r="AD27" s="248">
        <v>68</v>
      </c>
      <c r="AE27" s="248" t="s">
        <v>435</v>
      </c>
      <c r="AF27" s="248" t="s">
        <v>402</v>
      </c>
      <c r="AG27" s="248" t="s">
        <v>392</v>
      </c>
      <c r="AH27" s="248" t="s">
        <v>405</v>
      </c>
      <c r="AI27" s="248">
        <v>1</v>
      </c>
      <c r="AJ27" s="248" t="s">
        <v>405</v>
      </c>
      <c r="AK27" s="248">
        <v>0</v>
      </c>
      <c r="AL27" s="248" t="s">
        <v>399</v>
      </c>
      <c r="AM27" s="248">
        <v>1</v>
      </c>
      <c r="AN27" s="248" t="s">
        <v>399</v>
      </c>
      <c r="AO27" s="163" t="s">
        <v>399</v>
      </c>
    </row>
    <row r="28" spans="1:41" ht="13" x14ac:dyDescent="0.3">
      <c r="A28" s="248" t="s">
        <v>755</v>
      </c>
      <c r="B28" s="248" t="s">
        <v>392</v>
      </c>
      <c r="C28" s="248" t="s">
        <v>393</v>
      </c>
      <c r="D28" s="248" t="s">
        <v>392</v>
      </c>
      <c r="E28" s="248" t="s">
        <v>694</v>
      </c>
      <c r="F28" s="248" t="s">
        <v>514</v>
      </c>
      <c r="G28" s="248" t="s">
        <v>416</v>
      </c>
      <c r="H28" s="251" t="str">
        <f>IFERROR("Q" &amp;INT((MONTH('MMR deficient'!H30)+2)/3) &amp; "-" &amp; YEAR('MMR deficient'!H30),"N/A")</f>
        <v>Q3-2021</v>
      </c>
      <c r="I28" s="248" t="s">
        <v>695</v>
      </c>
      <c r="J28" s="248" t="s">
        <v>398</v>
      </c>
      <c r="K28" s="248" t="s">
        <v>399</v>
      </c>
      <c r="L28" s="248" t="s">
        <v>399</v>
      </c>
      <c r="M28" s="248" t="s">
        <v>399</v>
      </c>
      <c r="N28" s="248" t="s">
        <v>399</v>
      </c>
      <c r="O28" s="248" t="s">
        <v>399</v>
      </c>
      <c r="P28" s="251" t="str">
        <f>IFERROR("Q" &amp;INT((MONTH('MMR deficient'!P30)+2)/3) &amp; "-" &amp; YEAR('MMR deficient'!P30),"N/A")</f>
        <v>N/A</v>
      </c>
      <c r="Q28" s="248" t="s">
        <v>399</v>
      </c>
      <c r="R28" s="248" t="s">
        <v>399</v>
      </c>
      <c r="S28" s="248" t="s">
        <v>399</v>
      </c>
      <c r="T28" s="248" t="s">
        <v>399</v>
      </c>
      <c r="U28" s="248" t="s">
        <v>399</v>
      </c>
      <c r="V28" s="248" t="s">
        <v>399</v>
      </c>
      <c r="W28" s="248" t="s">
        <v>399</v>
      </c>
      <c r="X28" s="248" t="s">
        <v>399</v>
      </c>
      <c r="Y28" s="248" t="s">
        <v>399</v>
      </c>
      <c r="Z28" s="248" t="s">
        <v>399</v>
      </c>
      <c r="AA28" s="248" t="s">
        <v>399</v>
      </c>
      <c r="AB28" s="248" t="s">
        <v>400</v>
      </c>
      <c r="AC28" s="251" t="str">
        <f>IFERROR("Q" &amp;INT((MONTH('MMR deficient'!AD30)+2)/3) &amp; "-" &amp; YEAR('MMR deficient'!AD30),"N/A")</f>
        <v>Q2-2021</v>
      </c>
      <c r="AD28" s="248">
        <v>55</v>
      </c>
      <c r="AE28" s="248" t="s">
        <v>435</v>
      </c>
      <c r="AF28" s="248" t="s">
        <v>402</v>
      </c>
      <c r="AG28" s="248" t="s">
        <v>403</v>
      </c>
      <c r="AH28" s="248" t="s">
        <v>404</v>
      </c>
      <c r="AI28" s="248" t="s">
        <v>405</v>
      </c>
      <c r="AJ28" s="248" t="s">
        <v>405</v>
      </c>
      <c r="AK28" s="248">
        <v>0</v>
      </c>
      <c r="AL28" s="248" t="s">
        <v>406</v>
      </c>
      <c r="AM28" s="248">
        <v>2</v>
      </c>
      <c r="AN28" s="248" t="s">
        <v>399</v>
      </c>
      <c r="AO28" s="163" t="s">
        <v>399</v>
      </c>
    </row>
    <row r="29" spans="1:41" ht="13" x14ac:dyDescent="0.3">
      <c r="A29" s="248" t="s">
        <v>756</v>
      </c>
      <c r="B29" s="248" t="s">
        <v>392</v>
      </c>
      <c r="C29" s="248" t="s">
        <v>393</v>
      </c>
      <c r="D29" s="248" t="s">
        <v>392</v>
      </c>
      <c r="E29" s="248" t="s">
        <v>696</v>
      </c>
      <c r="F29" s="248" t="s">
        <v>441</v>
      </c>
      <c r="G29" s="248" t="s">
        <v>514</v>
      </c>
      <c r="H29" s="251" t="str">
        <f>IFERROR("Q" &amp;INT((MONTH('MMR deficient'!H31)+2)/3) &amp; "-" &amp; YEAR('MMR deficient'!H31),"N/A")</f>
        <v>Q3-2021</v>
      </c>
      <c r="I29" s="248" t="s">
        <v>697</v>
      </c>
      <c r="J29" s="248" t="s">
        <v>698</v>
      </c>
      <c r="K29" s="248" t="s">
        <v>399</v>
      </c>
      <c r="L29" s="248" t="s">
        <v>399</v>
      </c>
      <c r="M29" s="248" t="s">
        <v>399</v>
      </c>
      <c r="N29" s="248" t="s">
        <v>399</v>
      </c>
      <c r="O29" s="248" t="s">
        <v>399</v>
      </c>
      <c r="P29" s="251" t="str">
        <f>IFERROR("Q" &amp;INT((MONTH('MMR deficient'!P31)+2)/3) &amp; "-" &amp; YEAR('MMR deficient'!P31),"N/A")</f>
        <v>N/A</v>
      </c>
      <c r="Q29" s="248" t="s">
        <v>399</v>
      </c>
      <c r="R29" s="248" t="s">
        <v>399</v>
      </c>
      <c r="S29" s="248" t="s">
        <v>399</v>
      </c>
      <c r="T29" s="248" t="s">
        <v>399</v>
      </c>
      <c r="U29" s="248" t="s">
        <v>399</v>
      </c>
      <c r="V29" s="248" t="s">
        <v>399</v>
      </c>
      <c r="W29" s="248" t="s">
        <v>399</v>
      </c>
      <c r="X29" s="248" t="s">
        <v>399</v>
      </c>
      <c r="Y29" s="248" t="s">
        <v>399</v>
      </c>
      <c r="Z29" s="248" t="s">
        <v>399</v>
      </c>
      <c r="AA29" s="248" t="s">
        <v>399</v>
      </c>
      <c r="AB29" s="248" t="s">
        <v>400</v>
      </c>
      <c r="AC29" s="251" t="str">
        <f>IFERROR("Q" &amp;INT((MONTH('MMR deficient'!AD31)+2)/3) &amp; "-" &amp; YEAR('MMR deficient'!AD31),"N/A")</f>
        <v>Q2-2021</v>
      </c>
      <c r="AD29" s="248">
        <v>59</v>
      </c>
      <c r="AE29" s="248" t="s">
        <v>435</v>
      </c>
      <c r="AF29" s="248" t="s">
        <v>402</v>
      </c>
      <c r="AG29" s="248" t="s">
        <v>403</v>
      </c>
      <c r="AH29" s="248" t="s">
        <v>418</v>
      </c>
      <c r="AI29" s="248">
        <v>0</v>
      </c>
      <c r="AJ29" s="248" t="s">
        <v>405</v>
      </c>
      <c r="AK29" s="248">
        <v>0</v>
      </c>
      <c r="AL29" s="248" t="s">
        <v>419</v>
      </c>
      <c r="AM29" s="248">
        <v>1</v>
      </c>
      <c r="AN29" s="248" t="s">
        <v>399</v>
      </c>
      <c r="AO29" s="163" t="s">
        <v>399</v>
      </c>
    </row>
    <row r="30" spans="1:41" ht="13" x14ac:dyDescent="0.3">
      <c r="A30" s="248" t="s">
        <v>757</v>
      </c>
      <c r="B30" s="248" t="s">
        <v>392</v>
      </c>
      <c r="C30" s="248" t="s">
        <v>393</v>
      </c>
      <c r="D30" s="248" t="s">
        <v>392</v>
      </c>
      <c r="E30" s="248" t="s">
        <v>699</v>
      </c>
      <c r="F30" s="248" t="s">
        <v>425</v>
      </c>
      <c r="G30" s="248" t="s">
        <v>399</v>
      </c>
      <c r="H30" s="251" t="str">
        <f>IFERROR("Q" &amp;INT((MONTH('MMR deficient'!H32)+2)/3) &amp; "-" &amp; YEAR('MMR deficient'!H32),"N/A")</f>
        <v>Q3-2021</v>
      </c>
      <c r="I30" s="248" t="s">
        <v>700</v>
      </c>
      <c r="J30" s="248" t="s">
        <v>701</v>
      </c>
      <c r="K30" s="248" t="s">
        <v>399</v>
      </c>
      <c r="L30" s="248" t="s">
        <v>399</v>
      </c>
      <c r="M30" s="248" t="s">
        <v>399</v>
      </c>
      <c r="N30" s="248" t="s">
        <v>399</v>
      </c>
      <c r="O30" s="248" t="s">
        <v>399</v>
      </c>
      <c r="P30" s="251" t="str">
        <f>IFERROR("Q" &amp;INT((MONTH('MMR deficient'!P32)+2)/3) &amp; "-" &amp; YEAR('MMR deficient'!P32),"N/A")</f>
        <v>N/A</v>
      </c>
      <c r="Q30" s="248" t="s">
        <v>399</v>
      </c>
      <c r="R30" s="248" t="s">
        <v>399</v>
      </c>
      <c r="S30" s="248" t="s">
        <v>399</v>
      </c>
      <c r="T30" s="248" t="s">
        <v>399</v>
      </c>
      <c r="U30" s="248" t="s">
        <v>399</v>
      </c>
      <c r="V30" s="248" t="s">
        <v>399</v>
      </c>
      <c r="W30" s="248" t="s">
        <v>399</v>
      </c>
      <c r="X30" s="248" t="s">
        <v>399</v>
      </c>
      <c r="Y30" s="248" t="s">
        <v>399</v>
      </c>
      <c r="Z30" s="248" t="s">
        <v>399</v>
      </c>
      <c r="AA30" s="248" t="s">
        <v>399</v>
      </c>
      <c r="AB30" s="248" t="s">
        <v>400</v>
      </c>
      <c r="AC30" s="251" t="str">
        <f>IFERROR("Q" &amp;INT((MONTH('MMR deficient'!AD32)+2)/3) &amp; "-" &amp; YEAR('MMR deficient'!AD32),"N/A")</f>
        <v>Q3-2021</v>
      </c>
      <c r="AD30" s="248">
        <v>58</v>
      </c>
      <c r="AE30" s="248" t="s">
        <v>401</v>
      </c>
      <c r="AF30" s="248" t="s">
        <v>402</v>
      </c>
      <c r="AG30" s="248" t="s">
        <v>403</v>
      </c>
      <c r="AH30" s="248" t="s">
        <v>404</v>
      </c>
      <c r="AI30" s="248" t="s">
        <v>524</v>
      </c>
      <c r="AJ30" s="248" t="s">
        <v>405</v>
      </c>
      <c r="AK30" s="248">
        <v>0</v>
      </c>
      <c r="AL30" s="248" t="s">
        <v>406</v>
      </c>
      <c r="AM30" s="248">
        <v>2</v>
      </c>
      <c r="AN30" s="248" t="s">
        <v>399</v>
      </c>
      <c r="AO30" s="163" t="s">
        <v>399</v>
      </c>
    </row>
    <row r="31" spans="1:41" ht="13" x14ac:dyDescent="0.3">
      <c r="A31" s="248" t="s">
        <v>758</v>
      </c>
      <c r="B31" s="248" t="s">
        <v>392</v>
      </c>
      <c r="C31" s="248" t="s">
        <v>393</v>
      </c>
      <c r="D31" s="248" t="s">
        <v>392</v>
      </c>
      <c r="E31" s="248" t="s">
        <v>702</v>
      </c>
      <c r="F31" s="248" t="s">
        <v>432</v>
      </c>
      <c r="G31" s="248" t="s">
        <v>399</v>
      </c>
      <c r="H31" s="251" t="str">
        <f>IFERROR("Q" &amp;INT((MONTH('MMR deficient'!H33)+2)/3) &amp; "-" &amp; YEAR('MMR deficient'!H33),"N/A")</f>
        <v>Q4-2021</v>
      </c>
      <c r="I31" s="248" t="s">
        <v>703</v>
      </c>
      <c r="J31" s="248" t="s">
        <v>398</v>
      </c>
      <c r="K31" s="248" t="s">
        <v>399</v>
      </c>
      <c r="L31" s="248" t="s">
        <v>399</v>
      </c>
      <c r="M31" s="248" t="s">
        <v>399</v>
      </c>
      <c r="N31" s="248" t="s">
        <v>399</v>
      </c>
      <c r="O31" s="248" t="s">
        <v>399</v>
      </c>
      <c r="P31" s="251" t="str">
        <f>IFERROR("Q" &amp;INT((MONTH('MMR deficient'!P33)+2)/3) &amp; "-" &amp; YEAR('MMR deficient'!P33),"N/A")</f>
        <v>N/A</v>
      </c>
      <c r="Q31" s="248" t="s">
        <v>399</v>
      </c>
      <c r="R31" s="248" t="s">
        <v>399</v>
      </c>
      <c r="S31" s="248" t="s">
        <v>399</v>
      </c>
      <c r="T31" s="248" t="s">
        <v>399</v>
      </c>
      <c r="U31" s="248" t="s">
        <v>399</v>
      </c>
      <c r="V31" s="248" t="s">
        <v>399</v>
      </c>
      <c r="W31" s="248" t="s">
        <v>399</v>
      </c>
      <c r="X31" s="248" t="s">
        <v>399</v>
      </c>
      <c r="Y31" s="248" t="s">
        <v>399</v>
      </c>
      <c r="Z31" s="248" t="s">
        <v>399</v>
      </c>
      <c r="AA31" s="248" t="s">
        <v>399</v>
      </c>
      <c r="AB31" s="248" t="s">
        <v>400</v>
      </c>
      <c r="AC31" s="251" t="str">
        <f>IFERROR("Q" &amp;INT((MONTH('MMR deficient'!AD33)+2)/3) &amp; "-" &amp; YEAR('MMR deficient'!AD33),"N/A")</f>
        <v>Q3-2021</v>
      </c>
      <c r="AD31" s="248">
        <v>55</v>
      </c>
      <c r="AE31" s="248" t="s">
        <v>401</v>
      </c>
      <c r="AF31" s="248" t="s">
        <v>402</v>
      </c>
      <c r="AG31" s="248" t="s">
        <v>403</v>
      </c>
      <c r="AH31" s="248" t="s">
        <v>404</v>
      </c>
      <c r="AI31" s="248">
        <v>0</v>
      </c>
      <c r="AJ31" s="248" t="s">
        <v>405</v>
      </c>
      <c r="AK31" s="248">
        <v>0</v>
      </c>
      <c r="AL31" s="248" t="s">
        <v>406</v>
      </c>
      <c r="AM31" s="248">
        <v>2</v>
      </c>
      <c r="AN31" s="248" t="s">
        <v>399</v>
      </c>
      <c r="AO31" s="163" t="s">
        <v>399</v>
      </c>
    </row>
    <row r="32" spans="1:41" ht="13" x14ac:dyDescent="0.3">
      <c r="A32" s="248" t="s">
        <v>759</v>
      </c>
      <c r="B32" s="248" t="s">
        <v>392</v>
      </c>
      <c r="C32" s="248" t="s">
        <v>393</v>
      </c>
      <c r="D32" s="248" t="s">
        <v>392</v>
      </c>
      <c r="E32" s="248" t="s">
        <v>704</v>
      </c>
      <c r="F32" s="248" t="s">
        <v>682</v>
      </c>
      <c r="G32" s="248" t="s">
        <v>538</v>
      </c>
      <c r="H32" s="251" t="str">
        <f>IFERROR("Q" &amp;INT((MONTH('MMR deficient'!H34)+2)/3) &amp; "-" &amp; YEAR('MMR deficient'!H34),"N/A")</f>
        <v>Q4-2021</v>
      </c>
      <c r="I32" s="248" t="s">
        <v>705</v>
      </c>
      <c r="J32" s="248" t="s">
        <v>706</v>
      </c>
      <c r="K32" s="248" t="s">
        <v>399</v>
      </c>
      <c r="L32" s="248" t="s">
        <v>399</v>
      </c>
      <c r="M32" s="248" t="s">
        <v>399</v>
      </c>
      <c r="N32" s="248" t="s">
        <v>399</v>
      </c>
      <c r="O32" s="248" t="s">
        <v>399</v>
      </c>
      <c r="P32" s="251" t="str">
        <f>IFERROR("Q" &amp;INT((MONTH('MMR deficient'!P34)+2)/3) &amp; "-" &amp; YEAR('MMR deficient'!P34),"N/A")</f>
        <v>N/A</v>
      </c>
      <c r="Q32" s="248" t="s">
        <v>399</v>
      </c>
      <c r="R32" s="248" t="s">
        <v>399</v>
      </c>
      <c r="S32" s="248" t="s">
        <v>399</v>
      </c>
      <c r="T32" s="248" t="s">
        <v>399</v>
      </c>
      <c r="U32" s="248" t="s">
        <v>399</v>
      </c>
      <c r="V32" s="248" t="s">
        <v>399</v>
      </c>
      <c r="W32" s="248" t="s">
        <v>399</v>
      </c>
      <c r="X32" s="248" t="s">
        <v>399</v>
      </c>
      <c r="Y32" s="248" t="s">
        <v>399</v>
      </c>
      <c r="Z32" s="248" t="s">
        <v>399</v>
      </c>
      <c r="AA32" s="248" t="s">
        <v>399</v>
      </c>
      <c r="AB32" s="248" t="s">
        <v>400</v>
      </c>
      <c r="AC32" s="251" t="str">
        <f>IFERROR("Q" &amp;INT((MONTH('MMR deficient'!AD34)+2)/3) &amp; "-" &amp; YEAR('MMR deficient'!AD34),"N/A")</f>
        <v>Q3-2021</v>
      </c>
      <c r="AD32" s="248">
        <v>55</v>
      </c>
      <c r="AE32" s="248" t="s">
        <v>435</v>
      </c>
      <c r="AF32" s="248" t="s">
        <v>402</v>
      </c>
      <c r="AG32" s="248" t="s">
        <v>403</v>
      </c>
      <c r="AH32" s="248" t="s">
        <v>411</v>
      </c>
      <c r="AI32" s="248">
        <v>0</v>
      </c>
      <c r="AJ32" s="248" t="s">
        <v>405</v>
      </c>
      <c r="AK32" s="248">
        <v>0</v>
      </c>
      <c r="AL32" s="248" t="s">
        <v>412</v>
      </c>
      <c r="AM32" s="248">
        <v>2</v>
      </c>
      <c r="AN32" s="248" t="s">
        <v>399</v>
      </c>
      <c r="AO32" s="163" t="s">
        <v>399</v>
      </c>
    </row>
    <row r="33" spans="1:41" ht="13" x14ac:dyDescent="0.3">
      <c r="A33" s="248" t="s">
        <v>760</v>
      </c>
      <c r="B33" s="248" t="s">
        <v>392</v>
      </c>
      <c r="C33" s="248" t="s">
        <v>393</v>
      </c>
      <c r="D33" s="248" t="s">
        <v>392</v>
      </c>
      <c r="E33" s="248" t="s">
        <v>707</v>
      </c>
      <c r="F33" s="248" t="s">
        <v>425</v>
      </c>
      <c r="G33" s="248" t="s">
        <v>408</v>
      </c>
      <c r="H33" s="251" t="str">
        <f>IFERROR("Q" &amp;INT((MONTH('MMR deficient'!H35)+2)/3) &amp; "-" &amp; YEAR('MMR deficient'!H35),"N/A")</f>
        <v>Q1-2022</v>
      </c>
      <c r="I33" s="248" t="s">
        <v>708</v>
      </c>
      <c r="J33" s="248" t="s">
        <v>398</v>
      </c>
      <c r="K33" s="248" t="s">
        <v>399</v>
      </c>
      <c r="L33" s="248" t="s">
        <v>399</v>
      </c>
      <c r="M33" s="248" t="s">
        <v>399</v>
      </c>
      <c r="N33" s="248" t="s">
        <v>399</v>
      </c>
      <c r="O33" s="248" t="s">
        <v>399</v>
      </c>
      <c r="P33" s="251" t="str">
        <f>IFERROR("Q" &amp;INT((MONTH('MMR deficient'!P35)+2)/3) &amp; "-" &amp; YEAR('MMR deficient'!P35),"N/A")</f>
        <v>N/A</v>
      </c>
      <c r="Q33" s="248" t="s">
        <v>399</v>
      </c>
      <c r="R33" s="248" t="s">
        <v>399</v>
      </c>
      <c r="S33" s="248" t="s">
        <v>399</v>
      </c>
      <c r="T33" s="248" t="s">
        <v>399</v>
      </c>
      <c r="U33" s="248" t="s">
        <v>399</v>
      </c>
      <c r="V33" s="248" t="s">
        <v>399</v>
      </c>
      <c r="W33" s="248" t="s">
        <v>399</v>
      </c>
      <c r="X33" s="248" t="s">
        <v>399</v>
      </c>
      <c r="Y33" s="248" t="s">
        <v>399</v>
      </c>
      <c r="Z33" s="248" t="s">
        <v>399</v>
      </c>
      <c r="AA33" s="248" t="s">
        <v>399</v>
      </c>
      <c r="AB33" s="248" t="s">
        <v>400</v>
      </c>
      <c r="AC33" s="251" t="str">
        <f>IFERROR("Q" &amp;INT((MONTH('MMR deficient'!AD35)+2)/3) &amp; "-" &amp; YEAR('MMR deficient'!AD35),"N/A")</f>
        <v>Q4-2021</v>
      </c>
      <c r="AD33" s="248">
        <v>64</v>
      </c>
      <c r="AE33" s="248" t="s">
        <v>401</v>
      </c>
      <c r="AF33" s="248" t="s">
        <v>402</v>
      </c>
      <c r="AG33" s="248" t="s">
        <v>403</v>
      </c>
      <c r="AH33" s="248" t="s">
        <v>418</v>
      </c>
      <c r="AI33" s="248" t="s">
        <v>405</v>
      </c>
      <c r="AJ33" s="248" t="s">
        <v>405</v>
      </c>
      <c r="AK33" s="248">
        <v>0</v>
      </c>
      <c r="AL33" s="248" t="s">
        <v>419</v>
      </c>
      <c r="AM33" s="248">
        <v>2</v>
      </c>
      <c r="AN33" s="248" t="s">
        <v>399</v>
      </c>
      <c r="AO33" s="163" t="s">
        <v>399</v>
      </c>
    </row>
    <row r="34" spans="1:41" ht="13" x14ac:dyDescent="0.3">
      <c r="A34" s="248" t="s">
        <v>761</v>
      </c>
      <c r="B34" s="248" t="s">
        <v>392</v>
      </c>
      <c r="C34" s="248" t="s">
        <v>393</v>
      </c>
      <c r="D34" s="248" t="s">
        <v>392</v>
      </c>
      <c r="E34" s="248" t="s">
        <v>709</v>
      </c>
      <c r="F34" s="248" t="s">
        <v>416</v>
      </c>
      <c r="G34" s="248" t="s">
        <v>449</v>
      </c>
      <c r="H34" s="251" t="str">
        <f>IFERROR("Q" &amp;INT((MONTH('MMR deficient'!H36)+2)/3) &amp; "-" &amp; YEAR('MMR deficient'!H36),"N/A")</f>
        <v>Q1-2022</v>
      </c>
      <c r="I34" s="248" t="s">
        <v>660</v>
      </c>
      <c r="J34" s="248" t="s">
        <v>398</v>
      </c>
      <c r="K34" s="248" t="s">
        <v>399</v>
      </c>
      <c r="L34" s="248" t="s">
        <v>399</v>
      </c>
      <c r="M34" s="248" t="s">
        <v>399</v>
      </c>
      <c r="N34" s="248" t="s">
        <v>399</v>
      </c>
      <c r="O34" s="248" t="s">
        <v>399</v>
      </c>
      <c r="P34" s="251" t="str">
        <f>IFERROR("Q" &amp;INT((MONTH('MMR deficient'!P36)+2)/3) &amp; "-" &amp; YEAR('MMR deficient'!P36),"N/A")</f>
        <v>N/A</v>
      </c>
      <c r="Q34" s="248" t="s">
        <v>399</v>
      </c>
      <c r="R34" s="248" t="s">
        <v>399</v>
      </c>
      <c r="S34" s="248" t="s">
        <v>399</v>
      </c>
      <c r="T34" s="248" t="s">
        <v>399</v>
      </c>
      <c r="U34" s="248" t="s">
        <v>399</v>
      </c>
      <c r="V34" s="248" t="s">
        <v>399</v>
      </c>
      <c r="W34" s="248" t="s">
        <v>399</v>
      </c>
      <c r="X34" s="248" t="s">
        <v>399</v>
      </c>
      <c r="Y34" s="248" t="s">
        <v>399</v>
      </c>
      <c r="Z34" s="248" t="s">
        <v>399</v>
      </c>
      <c r="AA34" s="248" t="s">
        <v>399</v>
      </c>
      <c r="AB34" s="248" t="s">
        <v>400</v>
      </c>
      <c r="AC34" s="251" t="str">
        <f>IFERROR("Q" &amp;INT((MONTH('MMR deficient'!AD36)+2)/3) &amp; "-" &amp; YEAR('MMR deficient'!AD36),"N/A")</f>
        <v>Q4-2021</v>
      </c>
      <c r="AD34" s="248">
        <v>76</v>
      </c>
      <c r="AE34" s="248" t="s">
        <v>401</v>
      </c>
      <c r="AF34" s="248" t="s">
        <v>402</v>
      </c>
      <c r="AG34" s="248" t="s">
        <v>403</v>
      </c>
      <c r="AH34" s="248" t="s">
        <v>418</v>
      </c>
      <c r="AI34" s="248" t="s">
        <v>405</v>
      </c>
      <c r="AJ34" s="248" t="s">
        <v>405</v>
      </c>
      <c r="AK34" s="248">
        <v>0</v>
      </c>
      <c r="AL34" s="248" t="s">
        <v>419</v>
      </c>
      <c r="AM34" s="248">
        <v>1</v>
      </c>
      <c r="AN34" s="248" t="s">
        <v>399</v>
      </c>
      <c r="AO34" s="163" t="s">
        <v>399</v>
      </c>
    </row>
    <row r="35" spans="1:41" ht="13" x14ac:dyDescent="0.3">
      <c r="A35" s="248" t="s">
        <v>762</v>
      </c>
      <c r="B35" s="248" t="s">
        <v>392</v>
      </c>
      <c r="C35" s="248" t="s">
        <v>393</v>
      </c>
      <c r="D35" s="248" t="s">
        <v>392</v>
      </c>
      <c r="E35" s="248" t="s">
        <v>710</v>
      </c>
      <c r="F35" s="248" t="s">
        <v>443</v>
      </c>
      <c r="G35" s="248" t="s">
        <v>514</v>
      </c>
      <c r="H35" s="251" t="str">
        <f>IFERROR("Q" &amp;INT((MONTH('MMR deficient'!H37)+2)/3) &amp; "-" &amp; YEAR('MMR deficient'!H37),"N/A")</f>
        <v>Q1-2022</v>
      </c>
      <c r="I35" s="248" t="s">
        <v>650</v>
      </c>
      <c r="J35" s="248" t="s">
        <v>398</v>
      </c>
      <c r="K35" s="248" t="s">
        <v>399</v>
      </c>
      <c r="L35" s="248" t="s">
        <v>399</v>
      </c>
      <c r="M35" s="248" t="s">
        <v>399</v>
      </c>
      <c r="N35" s="248" t="s">
        <v>399</v>
      </c>
      <c r="O35" s="248" t="s">
        <v>399</v>
      </c>
      <c r="P35" s="251" t="str">
        <f>IFERROR("Q" &amp;INT((MONTH('MMR deficient'!P37)+2)/3) &amp; "-" &amp; YEAR('MMR deficient'!P37),"N/A")</f>
        <v>N/A</v>
      </c>
      <c r="Q35" s="248" t="s">
        <v>399</v>
      </c>
      <c r="R35" s="248" t="s">
        <v>399</v>
      </c>
      <c r="S35" s="248" t="s">
        <v>399</v>
      </c>
      <c r="T35" s="248" t="s">
        <v>399</v>
      </c>
      <c r="U35" s="248" t="s">
        <v>399</v>
      </c>
      <c r="V35" s="248" t="s">
        <v>399</v>
      </c>
      <c r="W35" s="248" t="s">
        <v>399</v>
      </c>
      <c r="X35" s="248" t="s">
        <v>399</v>
      </c>
      <c r="Y35" s="248" t="s">
        <v>399</v>
      </c>
      <c r="Z35" s="248" t="s">
        <v>399</v>
      </c>
      <c r="AA35" s="248" t="s">
        <v>399</v>
      </c>
      <c r="AB35" s="248" t="s">
        <v>400</v>
      </c>
      <c r="AC35" s="251" t="str">
        <f>IFERROR("Q" &amp;INT((MONTH('MMR deficient'!AD37)+2)/3) &amp; "-" &amp; YEAR('MMR deficient'!AD37),"N/A")</f>
        <v>Q1-2022</v>
      </c>
      <c r="AD35" s="248">
        <v>54</v>
      </c>
      <c r="AE35" s="248" t="s">
        <v>401</v>
      </c>
      <c r="AF35" s="248" t="s">
        <v>402</v>
      </c>
      <c r="AG35" s="248" t="s">
        <v>403</v>
      </c>
      <c r="AH35" s="248" t="s">
        <v>404</v>
      </c>
      <c r="AI35" s="248" t="s">
        <v>405</v>
      </c>
      <c r="AJ35" s="248" t="s">
        <v>405</v>
      </c>
      <c r="AK35" s="248">
        <v>0</v>
      </c>
      <c r="AL35" s="248" t="s">
        <v>406</v>
      </c>
      <c r="AM35" s="248">
        <v>3</v>
      </c>
      <c r="AN35" s="248" t="s">
        <v>399</v>
      </c>
      <c r="AO35" s="163" t="s">
        <v>399</v>
      </c>
    </row>
    <row r="36" spans="1:41" ht="13" x14ac:dyDescent="0.3">
      <c r="A36" s="248" t="s">
        <v>763</v>
      </c>
      <c r="B36" s="248" t="s">
        <v>392</v>
      </c>
      <c r="C36" s="248" t="s">
        <v>393</v>
      </c>
      <c r="D36" s="248" t="s">
        <v>392</v>
      </c>
      <c r="E36" s="248" t="s">
        <v>711</v>
      </c>
      <c r="F36" s="248" t="s">
        <v>409</v>
      </c>
      <c r="G36" s="248" t="s">
        <v>399</v>
      </c>
      <c r="H36" s="251" t="str">
        <f>IFERROR("Q" &amp;INT((MONTH('MMR deficient'!H38)+2)/3) &amp; "-" &amp; YEAR('MMR deficient'!H38),"N/A")</f>
        <v>Q2-2022</v>
      </c>
      <c r="I36" s="248" t="s">
        <v>712</v>
      </c>
      <c r="J36" s="248" t="s">
        <v>398</v>
      </c>
      <c r="K36" s="248" t="s">
        <v>399</v>
      </c>
      <c r="L36" s="248" t="s">
        <v>399</v>
      </c>
      <c r="M36" s="248" t="s">
        <v>711</v>
      </c>
      <c r="N36" s="248" t="s">
        <v>713</v>
      </c>
      <c r="O36" s="248" t="s">
        <v>714</v>
      </c>
      <c r="P36" s="251" t="str">
        <f>IFERROR("Q" &amp;INT((MONTH('MMR deficient'!P38)+2)/3) &amp; "-" &amp; YEAR('MMR deficient'!P38),"N/A")</f>
        <v>Q2-2022</v>
      </c>
      <c r="Q36" s="248" t="s">
        <v>393</v>
      </c>
      <c r="R36" s="248" t="s">
        <v>399</v>
      </c>
      <c r="S36" s="248" t="s">
        <v>399</v>
      </c>
      <c r="T36" s="248" t="s">
        <v>399</v>
      </c>
      <c r="U36" s="248" t="s">
        <v>399</v>
      </c>
      <c r="V36" s="248" t="s">
        <v>399</v>
      </c>
      <c r="W36" s="248" t="s">
        <v>399</v>
      </c>
      <c r="X36" s="248" t="s">
        <v>399</v>
      </c>
      <c r="Y36" s="248" t="s">
        <v>399</v>
      </c>
      <c r="Z36" s="248" t="s">
        <v>399</v>
      </c>
      <c r="AA36" s="248" t="s">
        <v>399</v>
      </c>
      <c r="AB36" s="248" t="s">
        <v>400</v>
      </c>
      <c r="AC36" s="251" t="str">
        <f>IFERROR("Q" &amp;INT((MONTH('MMR deficient'!AD38)+2)/3) &amp; "-" &amp; YEAR('MMR deficient'!AD38),"N/A")</f>
        <v>Q1-2022</v>
      </c>
      <c r="AD36" s="248">
        <v>70</v>
      </c>
      <c r="AE36" s="248" t="s">
        <v>401</v>
      </c>
      <c r="AF36" s="248" t="s">
        <v>402</v>
      </c>
      <c r="AG36" s="248" t="s">
        <v>403</v>
      </c>
      <c r="AH36" s="248" t="s">
        <v>405</v>
      </c>
      <c r="AI36" s="248" t="s">
        <v>405</v>
      </c>
      <c r="AJ36" s="248" t="s">
        <v>715</v>
      </c>
      <c r="AK36" s="248">
        <v>1</v>
      </c>
      <c r="AL36" s="248" t="s">
        <v>399</v>
      </c>
      <c r="AM36" s="248">
        <v>1</v>
      </c>
      <c r="AN36" s="248" t="s">
        <v>399</v>
      </c>
      <c r="AO36" s="163" t="s">
        <v>399</v>
      </c>
    </row>
    <row r="37" spans="1:41" ht="13" x14ac:dyDescent="0.3">
      <c r="A37" s="248" t="s">
        <v>764</v>
      </c>
      <c r="B37" s="248" t="s">
        <v>392</v>
      </c>
      <c r="C37" s="248" t="s">
        <v>393</v>
      </c>
      <c r="D37" s="248" t="s">
        <v>392</v>
      </c>
      <c r="E37" s="248" t="s">
        <v>716</v>
      </c>
      <c r="F37" s="248" t="s">
        <v>425</v>
      </c>
      <c r="G37" s="248" t="s">
        <v>426</v>
      </c>
      <c r="H37" s="251" t="str">
        <f>IFERROR("Q" &amp;INT((MONTH('MMR deficient'!H39)+2)/3) &amp; "-" &amp; YEAR('MMR deficient'!H39),"N/A")</f>
        <v>Q2-2022</v>
      </c>
      <c r="I37" s="248" t="s">
        <v>660</v>
      </c>
      <c r="J37" s="248" t="s">
        <v>398</v>
      </c>
      <c r="K37" s="248" t="s">
        <v>399</v>
      </c>
      <c r="L37" s="248" t="s">
        <v>399</v>
      </c>
      <c r="M37" s="248" t="s">
        <v>399</v>
      </c>
      <c r="N37" s="248" t="s">
        <v>399</v>
      </c>
      <c r="O37" s="248" t="s">
        <v>399</v>
      </c>
      <c r="P37" s="251" t="str">
        <f>IFERROR("Q" &amp;INT((MONTH('MMR deficient'!P39)+2)/3) &amp; "-" &amp; YEAR('MMR deficient'!P39),"N/A")</f>
        <v>N/A</v>
      </c>
      <c r="Q37" s="248" t="s">
        <v>399</v>
      </c>
      <c r="R37" s="248" t="s">
        <v>399</v>
      </c>
      <c r="S37" s="248" t="s">
        <v>399</v>
      </c>
      <c r="T37" s="248" t="s">
        <v>399</v>
      </c>
      <c r="U37" s="248" t="s">
        <v>399</v>
      </c>
      <c r="V37" s="248" t="s">
        <v>399</v>
      </c>
      <c r="W37" s="248" t="s">
        <v>399</v>
      </c>
      <c r="X37" s="248" t="s">
        <v>399</v>
      </c>
      <c r="Y37" s="248" t="s">
        <v>399</v>
      </c>
      <c r="Z37" s="248" t="s">
        <v>399</v>
      </c>
      <c r="AA37" s="248" t="s">
        <v>399</v>
      </c>
      <c r="AB37" s="248" t="s">
        <v>400</v>
      </c>
      <c r="AC37" s="251" t="str">
        <f>IFERROR("Q" &amp;INT((MONTH('MMR deficient'!AD39)+2)/3) &amp; "-" &amp; YEAR('MMR deficient'!AD39),"N/A")</f>
        <v>Q1-2022</v>
      </c>
      <c r="AD37" s="248">
        <v>73</v>
      </c>
      <c r="AE37" s="248" t="s">
        <v>401</v>
      </c>
      <c r="AF37" s="248" t="s">
        <v>402</v>
      </c>
      <c r="AG37" s="248" t="s">
        <v>392</v>
      </c>
      <c r="AH37" s="248" t="s">
        <v>418</v>
      </c>
      <c r="AI37" s="248" t="s">
        <v>405</v>
      </c>
      <c r="AJ37" s="248" t="s">
        <v>405</v>
      </c>
      <c r="AK37" s="248">
        <v>0</v>
      </c>
      <c r="AL37" s="248" t="s">
        <v>419</v>
      </c>
      <c r="AM37" s="248">
        <v>2</v>
      </c>
      <c r="AN37" s="248" t="s">
        <v>399</v>
      </c>
      <c r="AO37" s="163" t="s">
        <v>399</v>
      </c>
    </row>
    <row r="38" spans="1:41" ht="13" x14ac:dyDescent="0.3">
      <c r="A38" s="248" t="s">
        <v>765</v>
      </c>
      <c r="B38" s="248" t="s">
        <v>392</v>
      </c>
      <c r="C38" s="248" t="s">
        <v>393</v>
      </c>
      <c r="D38" s="248" t="s">
        <v>392</v>
      </c>
      <c r="E38" s="248" t="s">
        <v>717</v>
      </c>
      <c r="F38" s="248" t="s">
        <v>416</v>
      </c>
      <c r="G38" s="248" t="s">
        <v>399</v>
      </c>
      <c r="H38" s="251" t="str">
        <f>IFERROR("Q" &amp;INT((MONTH('MMR deficient'!H40)+2)/3) &amp; "-" &amp; YEAR('MMR deficient'!H40),"N/A")</f>
        <v>Q2-2022</v>
      </c>
      <c r="I38" s="248" t="s">
        <v>660</v>
      </c>
      <c r="J38" s="248" t="s">
        <v>398</v>
      </c>
      <c r="K38" s="248" t="s">
        <v>399</v>
      </c>
      <c r="L38" s="248" t="s">
        <v>399</v>
      </c>
      <c r="M38" s="248" t="s">
        <v>399</v>
      </c>
      <c r="N38" s="248" t="s">
        <v>399</v>
      </c>
      <c r="O38" s="248" t="s">
        <v>399</v>
      </c>
      <c r="P38" s="251" t="str">
        <f>IFERROR("Q" &amp;INT((MONTH('MMR deficient'!P40)+2)/3) &amp; "-" &amp; YEAR('MMR deficient'!P40),"N/A")</f>
        <v>N/A</v>
      </c>
      <c r="Q38" s="248" t="s">
        <v>399</v>
      </c>
      <c r="R38" s="248" t="s">
        <v>399</v>
      </c>
      <c r="S38" s="248" t="s">
        <v>399</v>
      </c>
      <c r="T38" s="248" t="s">
        <v>399</v>
      </c>
      <c r="U38" s="248" t="s">
        <v>399</v>
      </c>
      <c r="V38" s="248" t="s">
        <v>399</v>
      </c>
      <c r="W38" s="248" t="s">
        <v>399</v>
      </c>
      <c r="X38" s="248" t="s">
        <v>399</v>
      </c>
      <c r="Y38" s="248" t="s">
        <v>399</v>
      </c>
      <c r="Z38" s="248" t="s">
        <v>399</v>
      </c>
      <c r="AA38" s="248" t="s">
        <v>399</v>
      </c>
      <c r="AB38" s="248" t="s">
        <v>400</v>
      </c>
      <c r="AC38" s="251" t="str">
        <f>IFERROR("Q" &amp;INT((MONTH('MMR deficient'!AD40)+2)/3) &amp; "-" &amp; YEAR('MMR deficient'!AD40),"N/A")</f>
        <v>Q2-2022</v>
      </c>
      <c r="AD38" s="248">
        <v>75</v>
      </c>
      <c r="AE38" s="248" t="s">
        <v>401</v>
      </c>
      <c r="AF38" s="248" t="s">
        <v>402</v>
      </c>
      <c r="AG38" s="248" t="s">
        <v>403</v>
      </c>
      <c r="AH38" s="248">
        <v>2</v>
      </c>
      <c r="AI38" s="248" t="s">
        <v>405</v>
      </c>
      <c r="AJ38" s="248" t="s">
        <v>405</v>
      </c>
      <c r="AK38" s="248">
        <v>0</v>
      </c>
      <c r="AL38" s="248" t="s">
        <v>423</v>
      </c>
      <c r="AM38" s="248">
        <v>1</v>
      </c>
      <c r="AN38" s="248" t="s">
        <v>399</v>
      </c>
      <c r="AO38" s="163" t="s">
        <v>399</v>
      </c>
    </row>
    <row r="39" spans="1:41" ht="13" x14ac:dyDescent="0.3">
      <c r="A39" s="248" t="s">
        <v>766</v>
      </c>
      <c r="B39" s="248" t="s">
        <v>392</v>
      </c>
      <c r="C39" s="248" t="s">
        <v>393</v>
      </c>
      <c r="D39" s="248" t="s">
        <v>392</v>
      </c>
      <c r="E39" s="248" t="s">
        <v>718</v>
      </c>
      <c r="F39" s="248" t="s">
        <v>719</v>
      </c>
      <c r="G39" s="248" t="s">
        <v>399</v>
      </c>
      <c r="H39" s="251" t="str">
        <f>IFERROR("Q" &amp;INT((MONTH('MMR deficient'!H41)+2)/3) &amp; "-" &amp; YEAR('MMR deficient'!H41),"N/A")</f>
        <v>Q3-2022</v>
      </c>
      <c r="I39" s="248" t="s">
        <v>660</v>
      </c>
      <c r="J39" s="248" t="s">
        <v>398</v>
      </c>
      <c r="K39" s="248" t="s">
        <v>399</v>
      </c>
      <c r="L39" s="248" t="s">
        <v>399</v>
      </c>
      <c r="M39" s="248" t="s">
        <v>399</v>
      </c>
      <c r="N39" s="248" t="s">
        <v>399</v>
      </c>
      <c r="O39" s="248" t="s">
        <v>399</v>
      </c>
      <c r="P39" s="251" t="str">
        <f>IFERROR("Q" &amp;INT((MONTH('MMR deficient'!P41)+2)/3) &amp; "-" &amp; YEAR('MMR deficient'!P41),"N/A")</f>
        <v>N/A</v>
      </c>
      <c r="Q39" s="248" t="s">
        <v>399</v>
      </c>
      <c r="R39" s="248" t="s">
        <v>399</v>
      </c>
      <c r="S39" s="248" t="s">
        <v>399</v>
      </c>
      <c r="T39" s="248" t="s">
        <v>399</v>
      </c>
      <c r="U39" s="248" t="s">
        <v>399</v>
      </c>
      <c r="V39" s="248" t="s">
        <v>399</v>
      </c>
      <c r="W39" s="248" t="s">
        <v>399</v>
      </c>
      <c r="X39" s="248" t="s">
        <v>399</v>
      </c>
      <c r="Y39" s="248" t="s">
        <v>399</v>
      </c>
      <c r="Z39" s="248" t="s">
        <v>399</v>
      </c>
      <c r="AA39" s="248" t="s">
        <v>399</v>
      </c>
      <c r="AB39" s="248" t="s">
        <v>400</v>
      </c>
      <c r="AC39" s="251" t="str">
        <f>IFERROR("Q" &amp;INT((MONTH('MMR deficient'!AD41)+2)/3) &amp; "-" &amp; YEAR('MMR deficient'!AD41),"N/A")</f>
        <v>Q2-2022</v>
      </c>
      <c r="AD39" s="248">
        <v>82</v>
      </c>
      <c r="AE39" s="248" t="s">
        <v>401</v>
      </c>
      <c r="AF39" s="248" t="s">
        <v>402</v>
      </c>
      <c r="AG39" s="248" t="s">
        <v>403</v>
      </c>
      <c r="AH39" s="248" t="s">
        <v>404</v>
      </c>
      <c r="AI39" s="248" t="s">
        <v>405</v>
      </c>
      <c r="AJ39" s="248" t="s">
        <v>405</v>
      </c>
      <c r="AK39" s="248">
        <v>0</v>
      </c>
      <c r="AL39" s="248" t="s">
        <v>406</v>
      </c>
      <c r="AM39" s="248">
        <v>1</v>
      </c>
      <c r="AN39" s="248" t="s">
        <v>399</v>
      </c>
      <c r="AO39" s="163" t="s">
        <v>399</v>
      </c>
    </row>
    <row r="40" spans="1:41" ht="13" x14ac:dyDescent="0.3">
      <c r="A40" s="248" t="s">
        <v>767</v>
      </c>
      <c r="B40" s="248" t="s">
        <v>392</v>
      </c>
      <c r="C40" s="248" t="s">
        <v>393</v>
      </c>
      <c r="D40" s="248" t="s">
        <v>392</v>
      </c>
      <c r="E40" s="248" t="s">
        <v>720</v>
      </c>
      <c r="F40" s="248" t="s">
        <v>474</v>
      </c>
      <c r="G40" s="248" t="s">
        <v>441</v>
      </c>
      <c r="H40" s="251" t="str">
        <f>IFERROR("Q" &amp;INT((MONTH('MMR deficient'!H42)+2)/3) &amp; "-" &amp; YEAR('MMR deficient'!H42),"N/A")</f>
        <v>Q3-2022</v>
      </c>
      <c r="I40" s="248" t="s">
        <v>721</v>
      </c>
      <c r="J40" s="248" t="s">
        <v>398</v>
      </c>
      <c r="K40" s="248" t="s">
        <v>399</v>
      </c>
      <c r="L40" s="248" t="s">
        <v>399</v>
      </c>
      <c r="M40" s="248" t="s">
        <v>399</v>
      </c>
      <c r="N40" s="248" t="s">
        <v>399</v>
      </c>
      <c r="O40" s="248" t="s">
        <v>399</v>
      </c>
      <c r="P40" s="251" t="str">
        <f>IFERROR("Q" &amp;INT((MONTH('MMR deficient'!P42)+2)/3) &amp; "-" &amp; YEAR('MMR deficient'!P42),"N/A")</f>
        <v>N/A</v>
      </c>
      <c r="Q40" s="248" t="s">
        <v>399</v>
      </c>
      <c r="R40" s="248" t="s">
        <v>399</v>
      </c>
      <c r="S40" s="248" t="s">
        <v>399</v>
      </c>
      <c r="T40" s="248" t="s">
        <v>399</v>
      </c>
      <c r="U40" s="248" t="s">
        <v>399</v>
      </c>
      <c r="V40" s="248" t="s">
        <v>399</v>
      </c>
      <c r="W40" s="248" t="s">
        <v>399</v>
      </c>
      <c r="X40" s="248" t="s">
        <v>399</v>
      </c>
      <c r="Y40" s="248" t="s">
        <v>399</v>
      </c>
      <c r="Z40" s="248" t="s">
        <v>399</v>
      </c>
      <c r="AA40" s="248" t="s">
        <v>399</v>
      </c>
      <c r="AB40" s="248" t="s">
        <v>400</v>
      </c>
      <c r="AC40" s="251" t="str">
        <f>IFERROR("Q" &amp;INT((MONTH('MMR deficient'!AD42)+2)/3) &amp; "-" &amp; YEAR('MMR deficient'!AD42),"N/A")</f>
        <v>Q2-2022</v>
      </c>
      <c r="AD40" s="248">
        <v>42</v>
      </c>
      <c r="AE40" s="248" t="s">
        <v>435</v>
      </c>
      <c r="AF40" s="248" t="s">
        <v>402</v>
      </c>
      <c r="AG40" s="248" t="s">
        <v>403</v>
      </c>
      <c r="AH40" s="248" t="s">
        <v>404</v>
      </c>
      <c r="AI40" s="248" t="s">
        <v>405</v>
      </c>
      <c r="AJ40" s="248" t="s">
        <v>405</v>
      </c>
      <c r="AK40" s="248">
        <v>0</v>
      </c>
      <c r="AL40" s="248" t="s">
        <v>406</v>
      </c>
      <c r="AM40" s="248">
        <v>1</v>
      </c>
      <c r="AN40" s="248" t="s">
        <v>399</v>
      </c>
      <c r="AO40" s="163" t="s">
        <v>399</v>
      </c>
    </row>
    <row r="41" spans="1:41" ht="13" x14ac:dyDescent="0.3">
      <c r="A41" s="248" t="s">
        <v>768</v>
      </c>
      <c r="B41" s="248" t="s">
        <v>392</v>
      </c>
      <c r="C41" s="248" t="s">
        <v>393</v>
      </c>
      <c r="D41" s="248" t="s">
        <v>392</v>
      </c>
      <c r="E41" s="248" t="s">
        <v>722</v>
      </c>
      <c r="F41" s="248" t="s">
        <v>449</v>
      </c>
      <c r="G41" s="248" t="s">
        <v>425</v>
      </c>
      <c r="H41" s="251" t="str">
        <f>IFERROR("Q" &amp;INT((MONTH('MMR deficient'!H43)+2)/3) &amp; "-" &amp; YEAR('MMR deficient'!H43),"N/A")</f>
        <v>Q4-2022</v>
      </c>
      <c r="I41" s="248" t="s">
        <v>723</v>
      </c>
      <c r="J41" s="248" t="s">
        <v>724</v>
      </c>
      <c r="K41" s="248" t="s">
        <v>399</v>
      </c>
      <c r="L41" s="248" t="s">
        <v>399</v>
      </c>
      <c r="M41" s="248" t="s">
        <v>399</v>
      </c>
      <c r="N41" s="248" t="s">
        <v>399</v>
      </c>
      <c r="O41" s="248" t="s">
        <v>399</v>
      </c>
      <c r="P41" s="251" t="str">
        <f>IFERROR("Q" &amp;INT((MONTH('MMR deficient'!P43)+2)/3) &amp; "-" &amp; YEAR('MMR deficient'!P43),"N/A")</f>
        <v>N/A</v>
      </c>
      <c r="Q41" s="248" t="s">
        <v>399</v>
      </c>
      <c r="R41" s="248" t="s">
        <v>399</v>
      </c>
      <c r="S41" s="248" t="s">
        <v>399</v>
      </c>
      <c r="T41" s="248" t="s">
        <v>399</v>
      </c>
      <c r="U41" s="248" t="s">
        <v>399</v>
      </c>
      <c r="V41" s="248" t="s">
        <v>399</v>
      </c>
      <c r="W41" s="248" t="s">
        <v>399</v>
      </c>
      <c r="X41" s="248" t="s">
        <v>399</v>
      </c>
      <c r="Y41" s="248" t="s">
        <v>399</v>
      </c>
      <c r="Z41" s="248" t="s">
        <v>399</v>
      </c>
      <c r="AA41" s="248" t="s">
        <v>399</v>
      </c>
      <c r="AB41" s="248" t="s">
        <v>400</v>
      </c>
      <c r="AC41" s="251" t="str">
        <f>IFERROR("Q" &amp;INT((MONTH('MMR deficient'!AD43)+2)/3) &amp; "-" &amp; YEAR('MMR deficient'!AD43),"N/A")</f>
        <v>Q3-2022</v>
      </c>
      <c r="AD41" s="248">
        <v>56</v>
      </c>
      <c r="AE41" s="248" t="s">
        <v>401</v>
      </c>
      <c r="AF41" s="248" t="s">
        <v>402</v>
      </c>
      <c r="AG41" s="248" t="s">
        <v>392</v>
      </c>
      <c r="AH41" s="248">
        <v>2</v>
      </c>
      <c r="AI41" s="248">
        <v>0</v>
      </c>
      <c r="AJ41" s="248" t="s">
        <v>405</v>
      </c>
      <c r="AK41" s="248">
        <v>0</v>
      </c>
      <c r="AL41" s="248" t="s">
        <v>423</v>
      </c>
      <c r="AM41" s="248">
        <v>1</v>
      </c>
      <c r="AN41" s="248" t="s">
        <v>399</v>
      </c>
      <c r="AO41" s="163" t="s">
        <v>399</v>
      </c>
    </row>
    <row r="42" spans="1:41" ht="13" x14ac:dyDescent="0.3">
      <c r="A42" s="248" t="s">
        <v>769</v>
      </c>
      <c r="B42" s="248" t="s">
        <v>392</v>
      </c>
      <c r="C42" s="248" t="s">
        <v>393</v>
      </c>
      <c r="D42" s="248" t="s">
        <v>392</v>
      </c>
      <c r="E42" s="248" t="s">
        <v>725</v>
      </c>
      <c r="F42" s="248" t="s">
        <v>449</v>
      </c>
      <c r="G42" s="248" t="s">
        <v>416</v>
      </c>
      <c r="H42" s="251" t="str">
        <f>IFERROR("Q" &amp;INT((MONTH('MMR deficient'!H44)+2)/3) &amp; "-" &amp; YEAR('MMR deficient'!H44),"N/A")</f>
        <v>Q4-2022</v>
      </c>
      <c r="I42" s="248" t="s">
        <v>726</v>
      </c>
      <c r="J42" s="248" t="s">
        <v>398</v>
      </c>
      <c r="K42" s="248" t="s">
        <v>399</v>
      </c>
      <c r="L42" s="248" t="s">
        <v>399</v>
      </c>
      <c r="M42" s="248" t="s">
        <v>399</v>
      </c>
      <c r="N42" s="248" t="s">
        <v>399</v>
      </c>
      <c r="O42" s="248" t="s">
        <v>399</v>
      </c>
      <c r="P42" s="251" t="str">
        <f>IFERROR("Q" &amp;INT((MONTH('MMR deficient'!P44)+2)/3) &amp; "-" &amp; YEAR('MMR deficient'!P44),"N/A")</f>
        <v>N/A</v>
      </c>
      <c r="Q42" s="248" t="s">
        <v>399</v>
      </c>
      <c r="R42" s="248" t="s">
        <v>399</v>
      </c>
      <c r="S42" s="248" t="s">
        <v>399</v>
      </c>
      <c r="T42" s="248" t="s">
        <v>399</v>
      </c>
      <c r="U42" s="248" t="s">
        <v>399</v>
      </c>
      <c r="V42" s="248" t="s">
        <v>399</v>
      </c>
      <c r="W42" s="248" t="s">
        <v>399</v>
      </c>
      <c r="X42" s="248" t="s">
        <v>399</v>
      </c>
      <c r="Y42" s="248" t="s">
        <v>399</v>
      </c>
      <c r="Z42" s="248" t="s">
        <v>399</v>
      </c>
      <c r="AA42" s="248" t="s">
        <v>399</v>
      </c>
      <c r="AB42" s="248" t="s">
        <v>400</v>
      </c>
      <c r="AC42" s="251" t="str">
        <f>IFERROR("Q" &amp;INT((MONTH('MMR deficient'!AD44)+2)/3) &amp; "-" &amp; YEAR('MMR deficient'!AD44),"N/A")</f>
        <v>Q3-2022</v>
      </c>
      <c r="AD42" s="248">
        <v>62</v>
      </c>
      <c r="AE42" s="248" t="s">
        <v>401</v>
      </c>
      <c r="AF42" s="248" t="s">
        <v>402</v>
      </c>
      <c r="AG42" s="248" t="s">
        <v>392</v>
      </c>
      <c r="AH42" s="248" t="s">
        <v>446</v>
      </c>
      <c r="AI42" s="248">
        <v>0</v>
      </c>
      <c r="AJ42" s="248" t="s">
        <v>405</v>
      </c>
      <c r="AK42" s="248">
        <v>0</v>
      </c>
      <c r="AL42" s="248" t="s">
        <v>447</v>
      </c>
      <c r="AM42" s="248">
        <v>2</v>
      </c>
      <c r="AN42" s="248" t="s">
        <v>399</v>
      </c>
      <c r="AO42" s="163" t="s">
        <v>399</v>
      </c>
    </row>
    <row r="43" spans="1:41" ht="13" x14ac:dyDescent="0.3">
      <c r="A43" s="248" t="s">
        <v>770</v>
      </c>
      <c r="B43" s="248" t="s">
        <v>392</v>
      </c>
      <c r="C43" s="248" t="s">
        <v>393</v>
      </c>
      <c r="D43" s="248" t="s">
        <v>392</v>
      </c>
      <c r="E43" s="248" t="s">
        <v>727</v>
      </c>
      <c r="F43" s="248" t="s">
        <v>503</v>
      </c>
      <c r="G43" s="248" t="s">
        <v>497</v>
      </c>
      <c r="H43" s="251" t="str">
        <f>IFERROR("Q" &amp;INT((MONTH('MMR deficient'!H45)+2)/3) &amp; "-" &amp; YEAR('MMR deficient'!H45),"N/A")</f>
        <v>Q4-2022</v>
      </c>
      <c r="I43" s="248" t="s">
        <v>728</v>
      </c>
      <c r="J43" s="248" t="s">
        <v>729</v>
      </c>
      <c r="K43" s="248" t="s">
        <v>399</v>
      </c>
      <c r="L43" s="248" t="s">
        <v>399</v>
      </c>
      <c r="M43" s="248" t="s">
        <v>399</v>
      </c>
      <c r="N43" s="248" t="s">
        <v>399</v>
      </c>
      <c r="O43" s="248" t="s">
        <v>399</v>
      </c>
      <c r="P43" s="251" t="str">
        <f>IFERROR("Q" &amp;INT((MONTH('MMR deficient'!P45)+2)/3) &amp; "-" &amp; YEAR('MMR deficient'!P45),"N/A")</f>
        <v>N/A</v>
      </c>
      <c r="Q43" s="248" t="s">
        <v>399</v>
      </c>
      <c r="R43" s="248" t="s">
        <v>399</v>
      </c>
      <c r="S43" s="248" t="s">
        <v>399</v>
      </c>
      <c r="T43" s="248" t="s">
        <v>399</v>
      </c>
      <c r="U43" s="248" t="s">
        <v>399</v>
      </c>
      <c r="V43" s="248" t="s">
        <v>399</v>
      </c>
      <c r="W43" s="248" t="s">
        <v>399</v>
      </c>
      <c r="X43" s="248" t="s">
        <v>399</v>
      </c>
      <c r="Y43" s="248" t="s">
        <v>399</v>
      </c>
      <c r="Z43" s="248" t="s">
        <v>399</v>
      </c>
      <c r="AA43" s="248" t="s">
        <v>399</v>
      </c>
      <c r="AB43" s="248" t="s">
        <v>400</v>
      </c>
      <c r="AC43" s="251" t="str">
        <f>IFERROR("Q" &amp;INT((MONTH('MMR deficient'!AD45)+2)/3) &amp; "-" &amp; YEAR('MMR deficient'!AD45),"N/A")</f>
        <v>Q4-2022</v>
      </c>
      <c r="AD43" s="248">
        <v>80</v>
      </c>
      <c r="AE43" s="248" t="s">
        <v>435</v>
      </c>
      <c r="AF43" s="248" t="s">
        <v>402</v>
      </c>
      <c r="AG43" s="248" t="s">
        <v>392</v>
      </c>
      <c r="AH43" s="248">
        <v>2</v>
      </c>
      <c r="AI43" s="248">
        <v>0</v>
      </c>
      <c r="AJ43" s="248" t="s">
        <v>405</v>
      </c>
      <c r="AK43" s="248">
        <v>0</v>
      </c>
      <c r="AL43" s="248" t="s">
        <v>423</v>
      </c>
      <c r="AM43" s="248">
        <v>3</v>
      </c>
      <c r="AN43" s="248" t="s">
        <v>399</v>
      </c>
      <c r="AO43" s="163" t="s">
        <v>399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A2814-3D1B-42D1-9AB4-E273CDCA24E8}">
  <sheetPr codeName="Sheet6"/>
  <dimension ref="A1:M43"/>
  <sheetViews>
    <sheetView tabSelected="1" workbookViewId="0">
      <pane xSplit="1" ySplit="1" topLeftCell="B7" activePane="bottomRight" state="frozen"/>
      <selection pane="topRight"/>
      <selection pane="bottomLeft"/>
      <selection pane="bottomRight" sqref="A1:L43"/>
    </sheetView>
  </sheetViews>
  <sheetFormatPr defaultRowHeight="12.5" x14ac:dyDescent="0.25"/>
  <cols>
    <col min="1" max="1" width="15.36328125" customWidth="1"/>
    <col min="2" max="2" width="10" customWidth="1"/>
    <col min="3" max="3" width="28.81640625" customWidth="1"/>
    <col min="4" max="4" width="40.54296875" customWidth="1"/>
    <col min="5" max="5" width="21.26953125" customWidth="1"/>
    <col min="6" max="6" width="26.90625" customWidth="1"/>
    <col min="7" max="7" width="28.453125" customWidth="1"/>
    <col min="8" max="8" width="27.36328125" customWidth="1"/>
    <col min="9" max="9" width="27.54296875" customWidth="1"/>
    <col min="10" max="10" width="27.6328125" customWidth="1"/>
    <col min="11" max="11" width="46.7265625" customWidth="1"/>
    <col min="12" max="12" width="15.1796875" customWidth="1"/>
    <col min="13" max="13" width="12.81640625" customWidth="1"/>
  </cols>
  <sheetData>
    <row r="1" spans="1:13" ht="26" x14ac:dyDescent="0.25">
      <c r="A1" s="275" t="s">
        <v>2</v>
      </c>
      <c r="B1" s="275" t="s">
        <v>543</v>
      </c>
      <c r="C1" s="276" t="s">
        <v>6</v>
      </c>
      <c r="D1" s="276" t="s">
        <v>590</v>
      </c>
      <c r="E1" s="276" t="s">
        <v>591</v>
      </c>
      <c r="F1" s="276" t="s">
        <v>592</v>
      </c>
      <c r="G1" s="276" t="s">
        <v>593</v>
      </c>
      <c r="H1" s="276" t="s">
        <v>594</v>
      </c>
      <c r="I1" s="276" t="s">
        <v>595</v>
      </c>
      <c r="J1" s="278" t="s">
        <v>596</v>
      </c>
      <c r="K1" s="276" t="s">
        <v>771</v>
      </c>
      <c r="L1" s="276" t="s">
        <v>772</v>
      </c>
      <c r="M1" s="276" t="s">
        <v>597</v>
      </c>
    </row>
    <row r="2" spans="1:13" ht="15" customHeight="1" x14ac:dyDescent="0.3">
      <c r="A2" s="114">
        <v>4342908360</v>
      </c>
      <c r="B2" s="111" t="s">
        <v>730</v>
      </c>
      <c r="C2" s="114" t="s">
        <v>626</v>
      </c>
      <c r="D2" s="111" t="s">
        <v>399</v>
      </c>
      <c r="E2" s="159" t="s">
        <v>405</v>
      </c>
      <c r="F2" s="111" t="s">
        <v>773</v>
      </c>
      <c r="G2" s="111" t="s">
        <v>774</v>
      </c>
      <c r="H2" s="239" t="s">
        <v>405</v>
      </c>
      <c r="I2" s="114" t="s">
        <v>599</v>
      </c>
      <c r="J2" s="239" t="s">
        <v>405</v>
      </c>
      <c r="K2" s="239" t="s">
        <v>405</v>
      </c>
      <c r="L2" s="239" t="s">
        <v>405</v>
      </c>
      <c r="M2" s="84" t="s">
        <v>602</v>
      </c>
    </row>
    <row r="3" spans="1:13" ht="15" customHeight="1" x14ac:dyDescent="0.3">
      <c r="A3" s="114">
        <v>4382389941</v>
      </c>
      <c r="B3" s="111" t="s">
        <v>731</v>
      </c>
      <c r="C3" s="114" t="s">
        <v>628</v>
      </c>
      <c r="D3" s="111" t="s">
        <v>399</v>
      </c>
      <c r="E3" s="159" t="s">
        <v>405</v>
      </c>
      <c r="F3" s="111" t="s">
        <v>773</v>
      </c>
      <c r="G3" s="111" t="s">
        <v>774</v>
      </c>
      <c r="H3" s="111" t="s">
        <v>774</v>
      </c>
      <c r="I3" s="239" t="s">
        <v>405</v>
      </c>
      <c r="J3" s="239" t="s">
        <v>405</v>
      </c>
      <c r="K3" s="239" t="s">
        <v>405</v>
      </c>
      <c r="L3" s="239" t="s">
        <v>405</v>
      </c>
      <c r="M3" s="84" t="s">
        <v>606</v>
      </c>
    </row>
    <row r="4" spans="1:13" ht="15" customHeight="1" x14ac:dyDescent="0.3">
      <c r="A4" s="114">
        <v>4160684432</v>
      </c>
      <c r="B4" s="111" t="s">
        <v>732</v>
      </c>
      <c r="C4" s="114" t="s">
        <v>632</v>
      </c>
      <c r="D4" s="111" t="s">
        <v>399</v>
      </c>
      <c r="E4" s="159" t="s">
        <v>405</v>
      </c>
      <c r="F4" s="111" t="s">
        <v>773</v>
      </c>
      <c r="G4" s="111" t="s">
        <v>774</v>
      </c>
      <c r="H4" s="111" t="s">
        <v>774</v>
      </c>
      <c r="I4" s="114" t="s">
        <v>599</v>
      </c>
      <c r="J4" s="114" t="s">
        <v>599</v>
      </c>
      <c r="K4" s="111" t="s">
        <v>775</v>
      </c>
      <c r="L4" s="264" t="s">
        <v>776</v>
      </c>
      <c r="M4" s="84" t="s">
        <v>603</v>
      </c>
    </row>
    <row r="5" spans="1:13" ht="15" customHeight="1" x14ac:dyDescent="0.3">
      <c r="A5" s="114">
        <v>4861674565</v>
      </c>
      <c r="B5" s="111" t="s">
        <v>733</v>
      </c>
      <c r="C5" s="114" t="s">
        <v>634</v>
      </c>
      <c r="D5" s="111" t="s">
        <v>399</v>
      </c>
      <c r="E5" s="159" t="s">
        <v>405</v>
      </c>
      <c r="F5" s="111" t="s">
        <v>773</v>
      </c>
      <c r="G5" s="114" t="s">
        <v>599</v>
      </c>
      <c r="H5" s="114" t="s">
        <v>599</v>
      </c>
      <c r="I5" s="111" t="s">
        <v>774</v>
      </c>
      <c r="J5" s="111" t="s">
        <v>774</v>
      </c>
      <c r="K5" s="159" t="s">
        <v>399</v>
      </c>
      <c r="L5" s="239" t="s">
        <v>405</v>
      </c>
      <c r="M5" s="84" t="s">
        <v>603</v>
      </c>
    </row>
    <row r="6" spans="1:13" ht="15" customHeight="1" x14ac:dyDescent="0.3">
      <c r="A6" s="117">
        <v>7047516980</v>
      </c>
      <c r="B6" s="111" t="s">
        <v>734</v>
      </c>
      <c r="C6" s="117" t="s">
        <v>636</v>
      </c>
      <c r="D6" s="111" t="s">
        <v>399</v>
      </c>
      <c r="E6" s="113" t="s">
        <v>405</v>
      </c>
      <c r="F6" s="111" t="s">
        <v>773</v>
      </c>
      <c r="G6" s="111" t="s">
        <v>774</v>
      </c>
      <c r="H6" s="111" t="s">
        <v>774</v>
      </c>
      <c r="I6" s="111" t="s">
        <v>599</v>
      </c>
      <c r="J6" s="111" t="s">
        <v>599</v>
      </c>
      <c r="K6" s="111" t="s">
        <v>775</v>
      </c>
      <c r="L6" s="265" t="s">
        <v>776</v>
      </c>
      <c r="M6" s="84" t="s">
        <v>600</v>
      </c>
    </row>
    <row r="7" spans="1:13" ht="15" customHeight="1" x14ac:dyDescent="0.3">
      <c r="A7" s="110">
        <v>4185839723</v>
      </c>
      <c r="B7" s="111" t="s">
        <v>735</v>
      </c>
      <c r="C7" s="112" t="s">
        <v>639</v>
      </c>
      <c r="D7" s="111" t="s">
        <v>399</v>
      </c>
      <c r="E7" s="113" t="s">
        <v>777</v>
      </c>
      <c r="F7" s="111" t="s">
        <v>773</v>
      </c>
      <c r="G7" s="111" t="s">
        <v>774</v>
      </c>
      <c r="H7" s="111" t="s">
        <v>774</v>
      </c>
      <c r="I7" s="111" t="s">
        <v>599</v>
      </c>
      <c r="J7" s="111" t="s">
        <v>599</v>
      </c>
      <c r="K7" s="111" t="s">
        <v>775</v>
      </c>
      <c r="L7" s="113" t="s">
        <v>776</v>
      </c>
      <c r="M7" s="84" t="s">
        <v>778</v>
      </c>
    </row>
    <row r="8" spans="1:13" ht="15" customHeight="1" x14ac:dyDescent="0.3">
      <c r="A8" s="114">
        <v>4862144853</v>
      </c>
      <c r="B8" s="111" t="s">
        <v>736</v>
      </c>
      <c r="C8" s="111" t="s">
        <v>643</v>
      </c>
      <c r="D8" s="111" t="s">
        <v>399</v>
      </c>
      <c r="E8" s="113" t="s">
        <v>405</v>
      </c>
      <c r="F8" s="111" t="s">
        <v>773</v>
      </c>
      <c r="G8" s="111" t="s">
        <v>774</v>
      </c>
      <c r="H8" s="111" t="s">
        <v>774</v>
      </c>
      <c r="I8" s="111" t="s">
        <v>599</v>
      </c>
      <c r="J8" s="111" t="s">
        <v>779</v>
      </c>
      <c r="K8" s="111" t="s">
        <v>775</v>
      </c>
      <c r="L8" s="113" t="s">
        <v>776</v>
      </c>
      <c r="M8" s="84" t="s">
        <v>600</v>
      </c>
    </row>
    <row r="9" spans="1:13" ht="15" customHeight="1" x14ac:dyDescent="0.3">
      <c r="A9" s="114">
        <v>6244603990</v>
      </c>
      <c r="B9" s="111" t="s">
        <v>737</v>
      </c>
      <c r="C9" s="93" t="s">
        <v>646</v>
      </c>
      <c r="D9" s="111" t="s">
        <v>780</v>
      </c>
      <c r="E9" s="113" t="s">
        <v>503</v>
      </c>
      <c r="F9" s="111" t="s">
        <v>773</v>
      </c>
      <c r="G9" s="111" t="s">
        <v>774</v>
      </c>
      <c r="H9" s="111" t="s">
        <v>774</v>
      </c>
      <c r="I9" s="111" t="s">
        <v>405</v>
      </c>
      <c r="J9" s="111" t="s">
        <v>405</v>
      </c>
      <c r="K9" s="111" t="s">
        <v>775</v>
      </c>
      <c r="L9" s="113" t="s">
        <v>776</v>
      </c>
      <c r="M9" s="84" t="s">
        <v>602</v>
      </c>
    </row>
    <row r="10" spans="1:13" ht="15" customHeight="1" x14ac:dyDescent="0.3">
      <c r="A10" s="114">
        <v>4646766140</v>
      </c>
      <c r="B10" s="111" t="s">
        <v>738</v>
      </c>
      <c r="C10" s="111" t="s">
        <v>649</v>
      </c>
      <c r="D10" s="111" t="s">
        <v>399</v>
      </c>
      <c r="E10" s="113" t="s">
        <v>405</v>
      </c>
      <c r="F10" s="111" t="s">
        <v>773</v>
      </c>
      <c r="G10" s="111" t="s">
        <v>774</v>
      </c>
      <c r="H10" s="111" t="s">
        <v>774</v>
      </c>
      <c r="I10" s="111" t="s">
        <v>599</v>
      </c>
      <c r="J10" s="111" t="s">
        <v>599</v>
      </c>
      <c r="K10" s="111" t="s">
        <v>775</v>
      </c>
      <c r="L10" s="113" t="s">
        <v>776</v>
      </c>
      <c r="M10" s="237" t="s">
        <v>602</v>
      </c>
    </row>
    <row r="11" spans="1:13" ht="15.75" customHeight="1" x14ac:dyDescent="0.3">
      <c r="A11" s="114">
        <v>6240724270</v>
      </c>
      <c r="B11" s="111" t="s">
        <v>739</v>
      </c>
      <c r="C11" s="111" t="s">
        <v>651</v>
      </c>
      <c r="D11" s="111" t="s">
        <v>399</v>
      </c>
      <c r="E11" s="111" t="s">
        <v>441</v>
      </c>
      <c r="F11" s="111" t="s">
        <v>773</v>
      </c>
      <c r="G11" s="111" t="s">
        <v>774</v>
      </c>
      <c r="H11" s="111" t="s">
        <v>774</v>
      </c>
      <c r="I11" s="111" t="s">
        <v>599</v>
      </c>
      <c r="J11" s="111" t="s">
        <v>599</v>
      </c>
      <c r="K11" s="111" t="s">
        <v>775</v>
      </c>
      <c r="L11" s="113" t="s">
        <v>776</v>
      </c>
      <c r="M11" s="84" t="s">
        <v>600</v>
      </c>
    </row>
    <row r="12" spans="1:13" ht="15" customHeight="1" x14ac:dyDescent="0.3">
      <c r="A12" s="114">
        <v>4387713127</v>
      </c>
      <c r="B12" s="111" t="s">
        <v>740</v>
      </c>
      <c r="C12" s="111" t="s">
        <v>653</v>
      </c>
      <c r="D12" s="111" t="s">
        <v>399</v>
      </c>
      <c r="E12" s="113" t="s">
        <v>408</v>
      </c>
      <c r="F12" s="111" t="s">
        <v>773</v>
      </c>
      <c r="G12" s="111" t="s">
        <v>774</v>
      </c>
      <c r="H12" s="111" t="s">
        <v>774</v>
      </c>
      <c r="I12" s="111" t="s">
        <v>599</v>
      </c>
      <c r="J12" s="111" t="s">
        <v>599</v>
      </c>
      <c r="K12" s="111" t="s">
        <v>775</v>
      </c>
      <c r="L12" s="113" t="s">
        <v>776</v>
      </c>
      <c r="M12" s="84" t="s">
        <v>611</v>
      </c>
    </row>
    <row r="13" spans="1:13" ht="15" customHeight="1" x14ac:dyDescent="0.3">
      <c r="A13" s="114">
        <v>4581912849</v>
      </c>
      <c r="B13" s="111" t="s">
        <v>741</v>
      </c>
      <c r="C13" s="111" t="s">
        <v>657</v>
      </c>
      <c r="D13" s="111" t="s">
        <v>399</v>
      </c>
      <c r="E13" s="118" t="s">
        <v>514</v>
      </c>
      <c r="F13" s="111" t="s">
        <v>773</v>
      </c>
      <c r="G13" s="111" t="s">
        <v>774</v>
      </c>
      <c r="H13" s="111" t="s">
        <v>774</v>
      </c>
      <c r="I13" s="111" t="s">
        <v>599</v>
      </c>
      <c r="J13" s="111" t="s">
        <v>599</v>
      </c>
      <c r="K13" s="111" t="s">
        <v>775</v>
      </c>
      <c r="L13" s="113" t="s">
        <v>776</v>
      </c>
      <c r="M13" s="84" t="s">
        <v>778</v>
      </c>
    </row>
    <row r="14" spans="1:13" ht="15" customHeight="1" x14ac:dyDescent="0.3">
      <c r="A14" s="114">
        <v>4506203151</v>
      </c>
      <c r="B14" s="111" t="s">
        <v>742</v>
      </c>
      <c r="C14" s="111" t="s">
        <v>659</v>
      </c>
      <c r="D14" s="111" t="s">
        <v>399</v>
      </c>
      <c r="E14" s="113" t="s">
        <v>449</v>
      </c>
      <c r="F14" s="111" t="s">
        <v>773</v>
      </c>
      <c r="G14" s="111" t="s">
        <v>774</v>
      </c>
      <c r="H14" s="111" t="s">
        <v>774</v>
      </c>
      <c r="I14" s="111" t="s">
        <v>599</v>
      </c>
      <c r="J14" s="111" t="s">
        <v>599</v>
      </c>
      <c r="K14" s="111" t="s">
        <v>775</v>
      </c>
      <c r="L14" s="113" t="s">
        <v>776</v>
      </c>
      <c r="M14" s="84" t="s">
        <v>602</v>
      </c>
    </row>
    <row r="15" spans="1:13" ht="15" customHeight="1" x14ac:dyDescent="0.3">
      <c r="A15" s="114">
        <v>6290449265</v>
      </c>
      <c r="B15" s="111" t="s">
        <v>743</v>
      </c>
      <c r="C15" s="111" t="s">
        <v>661</v>
      </c>
      <c r="D15" s="111" t="s">
        <v>399</v>
      </c>
      <c r="E15" s="118" t="s">
        <v>415</v>
      </c>
      <c r="F15" s="111" t="s">
        <v>773</v>
      </c>
      <c r="G15" s="111" t="s">
        <v>599</v>
      </c>
      <c r="H15" s="111" t="s">
        <v>774</v>
      </c>
      <c r="I15" s="111" t="s">
        <v>599</v>
      </c>
      <c r="J15" s="111" t="s">
        <v>774</v>
      </c>
      <c r="K15" s="111" t="s">
        <v>399</v>
      </c>
      <c r="L15" s="266" t="s">
        <v>392</v>
      </c>
      <c r="M15" s="84" t="s">
        <v>600</v>
      </c>
    </row>
    <row r="16" spans="1:13" ht="15" customHeight="1" x14ac:dyDescent="0.3">
      <c r="A16" s="114">
        <v>4627804245</v>
      </c>
      <c r="B16" s="111" t="s">
        <v>744</v>
      </c>
      <c r="C16" s="111" t="s">
        <v>662</v>
      </c>
      <c r="D16" s="111" t="s">
        <v>399</v>
      </c>
      <c r="E16" s="118" t="s">
        <v>409</v>
      </c>
      <c r="F16" s="111" t="s">
        <v>773</v>
      </c>
      <c r="G16" s="111" t="s">
        <v>774</v>
      </c>
      <c r="H16" s="111" t="s">
        <v>774</v>
      </c>
      <c r="I16" s="111" t="s">
        <v>399</v>
      </c>
      <c r="J16" s="111" t="s">
        <v>399</v>
      </c>
      <c r="K16" s="111" t="s">
        <v>775</v>
      </c>
      <c r="L16" s="113" t="s">
        <v>776</v>
      </c>
      <c r="M16" s="237" t="s">
        <v>602</v>
      </c>
    </row>
    <row r="17" spans="1:13" ht="15" customHeight="1" x14ac:dyDescent="0.3">
      <c r="A17" s="114">
        <v>4861822068</v>
      </c>
      <c r="B17" s="111" t="s">
        <v>745</v>
      </c>
      <c r="C17" s="111" t="s">
        <v>667</v>
      </c>
      <c r="D17" s="111" t="s">
        <v>781</v>
      </c>
      <c r="E17" s="113" t="s">
        <v>641</v>
      </c>
      <c r="F17" s="111" t="s">
        <v>773</v>
      </c>
      <c r="G17" s="111" t="s">
        <v>774</v>
      </c>
      <c r="H17" s="111" t="s">
        <v>774</v>
      </c>
      <c r="I17" s="111" t="s">
        <v>599</v>
      </c>
      <c r="J17" s="111" t="s">
        <v>599</v>
      </c>
      <c r="K17" s="111" t="s">
        <v>775</v>
      </c>
      <c r="L17" s="113" t="s">
        <v>776</v>
      </c>
      <c r="M17" s="84" t="s">
        <v>600</v>
      </c>
    </row>
    <row r="18" spans="1:13" ht="15" customHeight="1" x14ac:dyDescent="0.3">
      <c r="A18" s="119">
        <v>4506212630</v>
      </c>
      <c r="B18" s="120"/>
      <c r="C18" s="120" t="s">
        <v>669</v>
      </c>
      <c r="D18" s="120" t="s">
        <v>399</v>
      </c>
      <c r="E18" s="121" t="s">
        <v>538</v>
      </c>
      <c r="F18" s="120" t="s">
        <v>773</v>
      </c>
      <c r="G18" s="120" t="s">
        <v>774</v>
      </c>
      <c r="H18" s="120" t="s">
        <v>774</v>
      </c>
      <c r="I18" s="120" t="s">
        <v>599</v>
      </c>
      <c r="J18" s="120" t="s">
        <v>779</v>
      </c>
      <c r="K18" s="120" t="s">
        <v>775</v>
      </c>
      <c r="L18" s="267" t="s">
        <v>776</v>
      </c>
      <c r="M18" s="124"/>
    </row>
    <row r="19" spans="1:13" ht="15" customHeight="1" x14ac:dyDescent="0.3">
      <c r="A19" s="114">
        <v>4382089506</v>
      </c>
      <c r="B19" s="111" t="s">
        <v>746</v>
      </c>
      <c r="C19" s="111" t="s">
        <v>672</v>
      </c>
      <c r="D19" s="111" t="s">
        <v>399</v>
      </c>
      <c r="E19" s="113" t="s">
        <v>503</v>
      </c>
      <c r="F19" s="111" t="s">
        <v>773</v>
      </c>
      <c r="G19" s="111" t="s">
        <v>774</v>
      </c>
      <c r="H19" s="111" t="s">
        <v>774</v>
      </c>
      <c r="I19" s="111" t="s">
        <v>599</v>
      </c>
      <c r="J19" s="111" t="s">
        <v>599</v>
      </c>
      <c r="K19" s="111" t="s">
        <v>775</v>
      </c>
      <c r="L19" s="113" t="s">
        <v>776</v>
      </c>
      <c r="M19" s="84" t="s">
        <v>603</v>
      </c>
    </row>
    <row r="20" spans="1:13" ht="15" customHeight="1" x14ac:dyDescent="0.3">
      <c r="A20" s="114">
        <v>4343180220</v>
      </c>
      <c r="B20" s="111" t="s">
        <v>747</v>
      </c>
      <c r="C20" s="111" t="s">
        <v>674</v>
      </c>
      <c r="D20" s="111" t="s">
        <v>782</v>
      </c>
      <c r="E20" s="113" t="s">
        <v>538</v>
      </c>
      <c r="F20" s="111" t="s">
        <v>773</v>
      </c>
      <c r="G20" s="111" t="s">
        <v>774</v>
      </c>
      <c r="H20" s="111" t="s">
        <v>774</v>
      </c>
      <c r="I20" s="111" t="s">
        <v>599</v>
      </c>
      <c r="J20" s="111" t="s">
        <v>599</v>
      </c>
      <c r="K20" s="111" t="s">
        <v>775</v>
      </c>
      <c r="L20" s="113" t="s">
        <v>776</v>
      </c>
      <c r="M20" s="84" t="s">
        <v>600</v>
      </c>
    </row>
    <row r="21" spans="1:13" ht="15" customHeight="1" x14ac:dyDescent="0.3">
      <c r="A21" s="114">
        <v>4383575080</v>
      </c>
      <c r="B21" s="111" t="s">
        <v>748</v>
      </c>
      <c r="C21" s="111" t="s">
        <v>676</v>
      </c>
      <c r="D21" s="111" t="s">
        <v>399</v>
      </c>
      <c r="E21" s="113" t="s">
        <v>441</v>
      </c>
      <c r="F21" s="111" t="s">
        <v>773</v>
      </c>
      <c r="G21" s="111" t="s">
        <v>774</v>
      </c>
      <c r="H21" s="111" t="s">
        <v>774</v>
      </c>
      <c r="I21" s="111" t="s">
        <v>774</v>
      </c>
      <c r="J21" s="111" t="s">
        <v>774</v>
      </c>
      <c r="K21" s="111" t="s">
        <v>775</v>
      </c>
      <c r="L21" s="113" t="s">
        <v>776</v>
      </c>
      <c r="M21" s="237" t="s">
        <v>603</v>
      </c>
    </row>
    <row r="22" spans="1:13" ht="15" customHeight="1" x14ac:dyDescent="0.3">
      <c r="A22" s="114">
        <v>4506130529</v>
      </c>
      <c r="B22" s="111" t="s">
        <v>749</v>
      </c>
      <c r="C22" s="111" t="s">
        <v>687</v>
      </c>
      <c r="D22" s="111" t="s">
        <v>399</v>
      </c>
      <c r="E22" s="111" t="s">
        <v>416</v>
      </c>
      <c r="F22" s="111" t="s">
        <v>773</v>
      </c>
      <c r="G22" s="111" t="s">
        <v>774</v>
      </c>
      <c r="H22" s="111" t="s">
        <v>774</v>
      </c>
      <c r="I22" s="111" t="s">
        <v>599</v>
      </c>
      <c r="J22" s="111" t="s">
        <v>599</v>
      </c>
      <c r="K22" s="111" t="s">
        <v>775</v>
      </c>
      <c r="L22" s="113" t="s">
        <v>776</v>
      </c>
      <c r="M22" s="84" t="s">
        <v>600</v>
      </c>
    </row>
    <row r="23" spans="1:13" ht="15" customHeight="1" x14ac:dyDescent="0.3">
      <c r="A23" s="114">
        <v>4483735616</v>
      </c>
      <c r="B23" s="111" t="s">
        <v>750</v>
      </c>
      <c r="C23" s="111" t="s">
        <v>679</v>
      </c>
      <c r="D23" s="111" t="s">
        <v>399</v>
      </c>
      <c r="E23" s="111" t="s">
        <v>405</v>
      </c>
      <c r="F23" s="111" t="s">
        <v>773</v>
      </c>
      <c r="G23" s="111" t="s">
        <v>779</v>
      </c>
      <c r="H23" s="111" t="s">
        <v>779</v>
      </c>
      <c r="I23" s="111" t="s">
        <v>599</v>
      </c>
      <c r="J23" s="113" t="s">
        <v>599</v>
      </c>
      <c r="K23" s="111" t="s">
        <v>405</v>
      </c>
      <c r="L23" s="113" t="s">
        <v>405</v>
      </c>
      <c r="M23" s="237" t="s">
        <v>600</v>
      </c>
    </row>
    <row r="24" spans="1:13" ht="15" customHeight="1" x14ac:dyDescent="0.3">
      <c r="A24" s="114">
        <v>4822303500</v>
      </c>
      <c r="B24" s="111" t="s">
        <v>751</v>
      </c>
      <c r="C24" s="111" t="s">
        <v>681</v>
      </c>
      <c r="D24" s="111" t="s">
        <v>399</v>
      </c>
      <c r="E24" s="111" t="s">
        <v>689</v>
      </c>
      <c r="F24" s="111" t="s">
        <v>773</v>
      </c>
      <c r="G24" s="111" t="s">
        <v>774</v>
      </c>
      <c r="H24" s="111" t="s">
        <v>774</v>
      </c>
      <c r="I24" s="111" t="s">
        <v>599</v>
      </c>
      <c r="J24" s="113" t="s">
        <v>779</v>
      </c>
      <c r="K24" s="111" t="s">
        <v>775</v>
      </c>
      <c r="L24" s="113" t="s">
        <v>776</v>
      </c>
      <c r="M24" s="237" t="s">
        <v>603</v>
      </c>
    </row>
    <row r="25" spans="1:13" ht="15" customHeight="1" x14ac:dyDescent="0.3">
      <c r="A25" s="114">
        <v>4387643676</v>
      </c>
      <c r="B25" s="111" t="s">
        <v>752</v>
      </c>
      <c r="C25" s="111" t="s">
        <v>685</v>
      </c>
      <c r="D25" s="111" t="s">
        <v>399</v>
      </c>
      <c r="E25" s="111" t="s">
        <v>497</v>
      </c>
      <c r="F25" s="111" t="s">
        <v>773</v>
      </c>
      <c r="G25" s="111" t="s">
        <v>774</v>
      </c>
      <c r="H25" s="111" t="s">
        <v>774</v>
      </c>
      <c r="I25" s="111" t="s">
        <v>599</v>
      </c>
      <c r="J25" s="113" t="s">
        <v>599</v>
      </c>
      <c r="K25" s="111" t="s">
        <v>775</v>
      </c>
      <c r="L25" s="113" t="s">
        <v>776</v>
      </c>
      <c r="M25" s="237" t="s">
        <v>602</v>
      </c>
    </row>
    <row r="26" spans="1:13" ht="15" customHeight="1" x14ac:dyDescent="0.3">
      <c r="A26" s="114">
        <v>4125818207</v>
      </c>
      <c r="B26" s="111" t="s">
        <v>753</v>
      </c>
      <c r="C26" s="111" t="s">
        <v>688</v>
      </c>
      <c r="D26" s="111" t="s">
        <v>783</v>
      </c>
      <c r="E26" s="111" t="s">
        <v>405</v>
      </c>
      <c r="F26" s="111" t="s">
        <v>773</v>
      </c>
      <c r="G26" s="111" t="s">
        <v>599</v>
      </c>
      <c r="H26" s="111" t="s">
        <v>599</v>
      </c>
      <c r="I26" s="111" t="s">
        <v>599</v>
      </c>
      <c r="J26" s="113" t="s">
        <v>774</v>
      </c>
      <c r="K26" s="111" t="s">
        <v>399</v>
      </c>
      <c r="L26" s="266" t="s">
        <v>405</v>
      </c>
      <c r="M26" s="84" t="s">
        <v>600</v>
      </c>
    </row>
    <row r="27" spans="1:13" ht="15" customHeight="1" x14ac:dyDescent="0.3">
      <c r="A27" s="114">
        <v>4520207401</v>
      </c>
      <c r="B27" s="111" t="s">
        <v>754</v>
      </c>
      <c r="C27" s="111" t="s">
        <v>691</v>
      </c>
      <c r="D27" s="111" t="s">
        <v>399</v>
      </c>
      <c r="E27" s="111" t="s">
        <v>459</v>
      </c>
      <c r="F27" s="111" t="s">
        <v>773</v>
      </c>
      <c r="G27" s="111" t="s">
        <v>779</v>
      </c>
      <c r="H27" s="111" t="s">
        <v>779</v>
      </c>
      <c r="I27" s="111" t="s">
        <v>399</v>
      </c>
      <c r="J27" s="113" t="s">
        <v>399</v>
      </c>
      <c r="K27" s="111" t="s">
        <v>775</v>
      </c>
      <c r="L27" s="113" t="s">
        <v>776</v>
      </c>
      <c r="M27" s="84" t="s">
        <v>611</v>
      </c>
    </row>
    <row r="28" spans="1:13" ht="15" customHeight="1" x14ac:dyDescent="0.3">
      <c r="A28" s="114">
        <v>4125915636</v>
      </c>
      <c r="B28" s="111" t="s">
        <v>755</v>
      </c>
      <c r="C28" s="111" t="s">
        <v>694</v>
      </c>
      <c r="D28" s="111" t="s">
        <v>784</v>
      </c>
      <c r="E28" s="111" t="s">
        <v>641</v>
      </c>
      <c r="F28" s="111" t="s">
        <v>773</v>
      </c>
      <c r="G28" s="111" t="s">
        <v>774</v>
      </c>
      <c r="H28" s="111" t="s">
        <v>774</v>
      </c>
      <c r="I28" s="111" t="s">
        <v>599</v>
      </c>
      <c r="J28" s="113" t="s">
        <v>599</v>
      </c>
      <c r="K28" s="111" t="s">
        <v>775</v>
      </c>
      <c r="L28" s="113" t="s">
        <v>776</v>
      </c>
      <c r="M28" s="84" t="s">
        <v>600</v>
      </c>
    </row>
    <row r="29" spans="1:13" ht="15" customHeight="1" x14ac:dyDescent="0.3">
      <c r="A29" s="114">
        <v>4861893291</v>
      </c>
      <c r="B29" s="111" t="s">
        <v>756</v>
      </c>
      <c r="C29" s="111" t="s">
        <v>696</v>
      </c>
      <c r="D29" s="111" t="s">
        <v>399</v>
      </c>
      <c r="E29" s="111" t="s">
        <v>443</v>
      </c>
      <c r="F29" s="111" t="s">
        <v>773</v>
      </c>
      <c r="G29" s="111" t="s">
        <v>774</v>
      </c>
      <c r="H29" s="111" t="s">
        <v>774</v>
      </c>
      <c r="I29" s="111" t="s">
        <v>599</v>
      </c>
      <c r="J29" s="113" t="s">
        <v>599</v>
      </c>
      <c r="K29" s="111" t="s">
        <v>775</v>
      </c>
      <c r="L29" s="113" t="s">
        <v>776</v>
      </c>
      <c r="M29" s="84" t="s">
        <v>602</v>
      </c>
    </row>
    <row r="30" spans="1:13" ht="15" customHeight="1" x14ac:dyDescent="0.3">
      <c r="A30" s="114">
        <v>4849656994</v>
      </c>
      <c r="B30" s="111" t="s">
        <v>757</v>
      </c>
      <c r="C30" s="111" t="s">
        <v>699</v>
      </c>
      <c r="D30" s="111" t="s">
        <v>785</v>
      </c>
      <c r="E30" s="111" t="s">
        <v>786</v>
      </c>
      <c r="F30" s="111" t="s">
        <v>773</v>
      </c>
      <c r="G30" s="111" t="s">
        <v>599</v>
      </c>
      <c r="H30" s="111" t="s">
        <v>599</v>
      </c>
      <c r="I30" s="111" t="s">
        <v>599</v>
      </c>
      <c r="J30" s="113" t="s">
        <v>774</v>
      </c>
      <c r="K30" s="111" t="s">
        <v>399</v>
      </c>
      <c r="L30" s="266" t="s">
        <v>403</v>
      </c>
      <c r="M30" s="84" t="s">
        <v>600</v>
      </c>
    </row>
    <row r="31" spans="1:13" ht="15" customHeight="1" x14ac:dyDescent="0.3">
      <c r="A31" s="114">
        <v>4123777023</v>
      </c>
      <c r="B31" s="111" t="s">
        <v>758</v>
      </c>
      <c r="C31" s="111" t="s">
        <v>702</v>
      </c>
      <c r="D31" s="111" t="s">
        <v>399</v>
      </c>
      <c r="E31" s="111" t="s">
        <v>415</v>
      </c>
      <c r="F31" s="111" t="s">
        <v>773</v>
      </c>
      <c r="G31" s="111" t="s">
        <v>774</v>
      </c>
      <c r="H31" s="111" t="s">
        <v>774</v>
      </c>
      <c r="I31" s="111" t="s">
        <v>599</v>
      </c>
      <c r="J31" s="113" t="s">
        <v>599</v>
      </c>
      <c r="K31" s="111" t="s">
        <v>775</v>
      </c>
      <c r="L31" s="113" t="s">
        <v>776</v>
      </c>
      <c r="M31" s="84" t="s">
        <v>600</v>
      </c>
    </row>
    <row r="32" spans="1:13" ht="15" customHeight="1" x14ac:dyDescent="0.3">
      <c r="A32" s="114">
        <v>4148131860</v>
      </c>
      <c r="B32" s="111" t="s">
        <v>759</v>
      </c>
      <c r="C32" s="111" t="s">
        <v>704</v>
      </c>
      <c r="D32" s="111" t="s">
        <v>399</v>
      </c>
      <c r="E32" s="111" t="s">
        <v>433</v>
      </c>
      <c r="F32" s="111" t="s">
        <v>773</v>
      </c>
      <c r="G32" s="111" t="s">
        <v>774</v>
      </c>
      <c r="H32" s="111" t="s">
        <v>774</v>
      </c>
      <c r="I32" s="111" t="s">
        <v>599</v>
      </c>
      <c r="J32" s="113" t="s">
        <v>599</v>
      </c>
      <c r="K32" s="111" t="s">
        <v>775</v>
      </c>
      <c r="L32" s="113" t="s">
        <v>776</v>
      </c>
      <c r="M32" s="84" t="s">
        <v>601</v>
      </c>
    </row>
    <row r="33" spans="1:13" ht="15" customHeight="1" x14ac:dyDescent="0.3">
      <c r="A33" s="114">
        <v>4505214214</v>
      </c>
      <c r="B33" s="111" t="s">
        <v>760</v>
      </c>
      <c r="C33" s="111" t="s">
        <v>707</v>
      </c>
      <c r="D33" s="111" t="s">
        <v>399</v>
      </c>
      <c r="E33" s="111" t="s">
        <v>497</v>
      </c>
      <c r="F33" s="111" t="s">
        <v>773</v>
      </c>
      <c r="G33" s="111" t="s">
        <v>774</v>
      </c>
      <c r="H33" s="111" t="s">
        <v>774</v>
      </c>
      <c r="I33" s="111" t="s">
        <v>599</v>
      </c>
      <c r="J33" s="113" t="s">
        <v>599</v>
      </c>
      <c r="K33" s="111" t="s">
        <v>775</v>
      </c>
      <c r="L33" s="113" t="s">
        <v>776</v>
      </c>
      <c r="M33" s="84" t="s">
        <v>602</v>
      </c>
    </row>
    <row r="34" spans="1:13" ht="15" customHeight="1" x14ac:dyDescent="0.3">
      <c r="A34" s="114">
        <v>4382309336</v>
      </c>
      <c r="B34" s="111" t="s">
        <v>761</v>
      </c>
      <c r="C34" s="111" t="s">
        <v>709</v>
      </c>
      <c r="D34" s="111" t="s">
        <v>787</v>
      </c>
      <c r="E34" s="111" t="s">
        <v>503</v>
      </c>
      <c r="F34" s="111" t="s">
        <v>773</v>
      </c>
      <c r="G34" s="111" t="s">
        <v>774</v>
      </c>
      <c r="H34" s="111" t="s">
        <v>774</v>
      </c>
      <c r="I34" s="111" t="s">
        <v>599</v>
      </c>
      <c r="J34" s="113" t="s">
        <v>599</v>
      </c>
      <c r="K34" s="111" t="s">
        <v>775</v>
      </c>
      <c r="L34" s="113" t="s">
        <v>776</v>
      </c>
      <c r="M34" s="84" t="s">
        <v>602</v>
      </c>
    </row>
    <row r="35" spans="1:13" ht="15" customHeight="1" x14ac:dyDescent="0.3">
      <c r="A35" s="114">
        <v>4086878011</v>
      </c>
      <c r="B35" s="111" t="s">
        <v>762</v>
      </c>
      <c r="C35" s="111" t="s">
        <v>710</v>
      </c>
      <c r="D35" s="111" t="s">
        <v>788</v>
      </c>
      <c r="E35" s="111" t="s">
        <v>441</v>
      </c>
      <c r="F35" s="111" t="s">
        <v>773</v>
      </c>
      <c r="G35" s="111" t="s">
        <v>774</v>
      </c>
      <c r="H35" s="111" t="s">
        <v>774</v>
      </c>
      <c r="I35" s="111" t="s">
        <v>599</v>
      </c>
      <c r="J35" s="113" t="s">
        <v>599</v>
      </c>
      <c r="K35" s="111" t="s">
        <v>775</v>
      </c>
      <c r="L35" s="113" t="s">
        <v>776</v>
      </c>
      <c r="M35" s="84" t="s">
        <v>600</v>
      </c>
    </row>
    <row r="36" spans="1:13" ht="15" customHeight="1" x14ac:dyDescent="0.3">
      <c r="A36" s="114">
        <v>4423225735</v>
      </c>
      <c r="B36" s="111" t="s">
        <v>763</v>
      </c>
      <c r="C36" s="111" t="s">
        <v>711</v>
      </c>
      <c r="D36" s="111" t="s">
        <v>789</v>
      </c>
      <c r="E36" s="111" t="s">
        <v>426</v>
      </c>
      <c r="F36" s="111" t="s">
        <v>773</v>
      </c>
      <c r="G36" s="111" t="s">
        <v>774</v>
      </c>
      <c r="H36" s="111" t="s">
        <v>774</v>
      </c>
      <c r="I36" s="111" t="s">
        <v>599</v>
      </c>
      <c r="J36" s="113" t="s">
        <v>599</v>
      </c>
      <c r="K36" s="111" t="s">
        <v>775</v>
      </c>
      <c r="L36" s="113" t="s">
        <v>776</v>
      </c>
      <c r="M36" s="84" t="s">
        <v>778</v>
      </c>
    </row>
    <row r="37" spans="1:13" ht="15" customHeight="1" x14ac:dyDescent="0.3">
      <c r="A37" s="114">
        <v>6047820638</v>
      </c>
      <c r="B37" s="111" t="s">
        <v>764</v>
      </c>
      <c r="C37" s="111" t="s">
        <v>716</v>
      </c>
      <c r="D37" s="111" t="s">
        <v>790</v>
      </c>
      <c r="E37" s="111" t="s">
        <v>786</v>
      </c>
      <c r="F37" s="111" t="s">
        <v>773</v>
      </c>
      <c r="G37" s="111" t="s">
        <v>599</v>
      </c>
      <c r="H37" s="111" t="s">
        <v>599</v>
      </c>
      <c r="I37" s="111" t="s">
        <v>774</v>
      </c>
      <c r="J37" s="113" t="s">
        <v>774</v>
      </c>
      <c r="K37" s="111" t="s">
        <v>399</v>
      </c>
      <c r="L37" s="266" t="s">
        <v>405</v>
      </c>
      <c r="M37" s="84" t="s">
        <v>602</v>
      </c>
    </row>
    <row r="38" spans="1:13" ht="15" customHeight="1" x14ac:dyDescent="0.3">
      <c r="A38" s="114">
        <v>4382148243</v>
      </c>
      <c r="B38" s="111" t="s">
        <v>765</v>
      </c>
      <c r="C38" s="111" t="s">
        <v>717</v>
      </c>
      <c r="D38" s="111" t="s">
        <v>399</v>
      </c>
      <c r="E38" s="111" t="s">
        <v>459</v>
      </c>
      <c r="F38" s="111" t="s">
        <v>773</v>
      </c>
      <c r="G38" s="111" t="s">
        <v>774</v>
      </c>
      <c r="H38" s="111" t="s">
        <v>774</v>
      </c>
      <c r="I38" s="111" t="s">
        <v>599</v>
      </c>
      <c r="J38" s="113" t="s">
        <v>599</v>
      </c>
      <c r="K38" s="111" t="s">
        <v>775</v>
      </c>
      <c r="L38" s="113" t="s">
        <v>776</v>
      </c>
      <c r="M38" s="84" t="s">
        <v>603</v>
      </c>
    </row>
    <row r="39" spans="1:13" ht="15" customHeight="1" x14ac:dyDescent="0.3">
      <c r="A39" s="114">
        <v>4300610517</v>
      </c>
      <c r="B39" s="111" t="s">
        <v>766</v>
      </c>
      <c r="C39" s="111" t="s">
        <v>718</v>
      </c>
      <c r="D39" s="111" t="s">
        <v>399</v>
      </c>
      <c r="E39" s="111" t="s">
        <v>449</v>
      </c>
      <c r="F39" s="111" t="s">
        <v>773</v>
      </c>
      <c r="G39" s="111" t="s">
        <v>774</v>
      </c>
      <c r="H39" s="111" t="s">
        <v>774</v>
      </c>
      <c r="I39" s="111" t="s">
        <v>599</v>
      </c>
      <c r="J39" s="113" t="s">
        <v>599</v>
      </c>
      <c r="K39" s="111" t="s">
        <v>775</v>
      </c>
      <c r="L39" s="113" t="s">
        <v>776</v>
      </c>
      <c r="M39" s="84" t="s">
        <v>600</v>
      </c>
    </row>
    <row r="40" spans="1:13" ht="15" customHeight="1" x14ac:dyDescent="0.3">
      <c r="A40" s="114">
        <v>7132378651</v>
      </c>
      <c r="B40" s="146" t="s">
        <v>767</v>
      </c>
      <c r="C40" s="146" t="s">
        <v>720</v>
      </c>
      <c r="D40" s="146" t="s">
        <v>399</v>
      </c>
      <c r="E40" s="146" t="s">
        <v>409</v>
      </c>
      <c r="F40" s="146" t="s">
        <v>773</v>
      </c>
      <c r="G40" s="146" t="s">
        <v>599</v>
      </c>
      <c r="H40" s="146" t="s">
        <v>599</v>
      </c>
      <c r="I40" s="146" t="s">
        <v>599</v>
      </c>
      <c r="J40" s="147" t="s">
        <v>774</v>
      </c>
      <c r="K40" s="146" t="s">
        <v>399</v>
      </c>
      <c r="L40" s="268" t="s">
        <v>405</v>
      </c>
      <c r="M40" s="84" t="s">
        <v>600</v>
      </c>
    </row>
    <row r="41" spans="1:13" ht="15.75" customHeight="1" x14ac:dyDescent="0.3">
      <c r="A41" s="114">
        <v>4087617025</v>
      </c>
      <c r="B41" s="111" t="s">
        <v>768</v>
      </c>
      <c r="C41" s="111" t="s">
        <v>722</v>
      </c>
      <c r="D41" s="111" t="s">
        <v>791</v>
      </c>
      <c r="E41" s="111" t="s">
        <v>503</v>
      </c>
      <c r="F41" s="111" t="s">
        <v>773</v>
      </c>
      <c r="G41" s="111" t="s">
        <v>774</v>
      </c>
      <c r="H41" s="111" t="s">
        <v>774</v>
      </c>
      <c r="I41" s="111" t="s">
        <v>399</v>
      </c>
      <c r="J41" s="111" t="s">
        <v>399</v>
      </c>
      <c r="K41" s="111" t="s">
        <v>775</v>
      </c>
      <c r="L41" s="113" t="s">
        <v>776</v>
      </c>
      <c r="M41" s="84" t="s">
        <v>603</v>
      </c>
    </row>
    <row r="42" spans="1:13" ht="15.75" customHeight="1" x14ac:dyDescent="0.3">
      <c r="A42" s="114">
        <v>4861701031</v>
      </c>
      <c r="B42" s="111" t="s">
        <v>769</v>
      </c>
      <c r="C42" s="111" t="s">
        <v>725</v>
      </c>
      <c r="D42" s="111" t="s">
        <v>792</v>
      </c>
      <c r="E42" s="111" t="s">
        <v>425</v>
      </c>
      <c r="F42" s="111" t="s">
        <v>773</v>
      </c>
      <c r="G42" s="111" t="s">
        <v>774</v>
      </c>
      <c r="H42" s="111" t="s">
        <v>774</v>
      </c>
      <c r="I42" s="111" t="s">
        <v>599</v>
      </c>
      <c r="J42" s="111" t="s">
        <v>599</v>
      </c>
      <c r="K42" s="111" t="s">
        <v>775</v>
      </c>
      <c r="L42" s="113" t="s">
        <v>776</v>
      </c>
      <c r="M42" s="84" t="s">
        <v>605</v>
      </c>
    </row>
    <row r="43" spans="1:13" ht="15.75" customHeight="1" x14ac:dyDescent="0.3">
      <c r="A43" s="277">
        <v>4381018575</v>
      </c>
      <c r="B43" s="146" t="s">
        <v>770</v>
      </c>
      <c r="C43" s="146" t="s">
        <v>727</v>
      </c>
      <c r="D43" s="146" t="s">
        <v>399</v>
      </c>
      <c r="E43" s="146" t="s">
        <v>405</v>
      </c>
      <c r="F43" s="146" t="s">
        <v>773</v>
      </c>
      <c r="G43" s="146" t="s">
        <v>774</v>
      </c>
      <c r="H43" s="146" t="s">
        <v>774</v>
      </c>
      <c r="I43" s="146" t="s">
        <v>599</v>
      </c>
      <c r="J43" s="146" t="s">
        <v>599</v>
      </c>
      <c r="K43" s="146" t="s">
        <v>775</v>
      </c>
      <c r="L43" s="147" t="s">
        <v>776</v>
      </c>
      <c r="M43" s="223" t="s">
        <v>603</v>
      </c>
    </row>
  </sheetData>
  <sortState xmlns:xlrd2="http://schemas.microsoft.com/office/spreadsheetml/2017/richdata2" ref="A2:M43">
    <sortCondition ref="C2:C43"/>
  </sortState>
  <conditionalFormatting sqref="A2">
    <cfRule type="duplicateValues" dxfId="33" priority="1"/>
  </conditionalFormatting>
  <pageMargins left="0.7" right="0.7" top="0.75" bottom="0.75"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CDCDE-6648-41FE-8F0D-ADD710C198FB}">
  <sheetPr codeName="Sheet7"/>
  <dimension ref="B1:M386"/>
  <sheetViews>
    <sheetView workbookViewId="0">
      <selection activeCell="C7" sqref="C7"/>
    </sheetView>
  </sheetViews>
  <sheetFormatPr defaultRowHeight="12.5" x14ac:dyDescent="0.25"/>
  <cols>
    <col min="2" max="2" width="43.36328125" bestFit="1" customWidth="1"/>
    <col min="3" max="3" width="112.81640625" customWidth="1"/>
    <col min="5" max="6" width="15.81640625" customWidth="1"/>
    <col min="7" max="7" width="37.26953125" bestFit="1" customWidth="1"/>
    <col min="8" max="8" width="31.81640625" bestFit="1" customWidth="1"/>
    <col min="11" max="11" width="42.7265625" bestFit="1" customWidth="1"/>
    <col min="12" max="12" width="12" hidden="1" customWidth="1"/>
    <col min="13" max="13" width="8" bestFit="1" customWidth="1"/>
  </cols>
  <sheetData>
    <row r="1" spans="2:13" ht="18.75" customHeight="1" x14ac:dyDescent="0.3">
      <c r="E1" s="2" t="s">
        <v>793</v>
      </c>
      <c r="F1" s="2" t="s">
        <v>794</v>
      </c>
      <c r="G1" s="2" t="s">
        <v>28</v>
      </c>
      <c r="H1" s="2" t="s">
        <v>34</v>
      </c>
      <c r="K1" t="s">
        <v>795</v>
      </c>
    </row>
    <row r="2" spans="2:13" x14ac:dyDescent="0.25">
      <c r="B2" s="15" t="s">
        <v>796</v>
      </c>
      <c r="C2" s="16"/>
      <c r="E2" t="s">
        <v>797</v>
      </c>
      <c r="F2" t="s">
        <v>403</v>
      </c>
      <c r="G2" t="s">
        <v>393</v>
      </c>
      <c r="H2" t="s">
        <v>402</v>
      </c>
    </row>
    <row r="3" spans="2:13" ht="13" x14ac:dyDescent="0.25">
      <c r="B3" s="17" t="s">
        <v>798</v>
      </c>
      <c r="C3" s="18"/>
      <c r="E3" t="s">
        <v>799</v>
      </c>
      <c r="F3" t="s">
        <v>392</v>
      </c>
      <c r="G3" t="s">
        <v>501</v>
      </c>
      <c r="H3" t="s">
        <v>800</v>
      </c>
      <c r="K3" s="3" t="s">
        <v>801</v>
      </c>
      <c r="L3" s="4" t="s">
        <v>802</v>
      </c>
      <c r="M3" s="3" t="s">
        <v>803</v>
      </c>
    </row>
    <row r="4" spans="2:13" ht="16.5" x14ac:dyDescent="0.45">
      <c r="B4" s="17"/>
      <c r="C4" s="18"/>
      <c r="E4" t="s">
        <v>804</v>
      </c>
      <c r="F4" t="s">
        <v>399</v>
      </c>
      <c r="G4" t="s">
        <v>805</v>
      </c>
      <c r="H4" t="s">
        <v>399</v>
      </c>
      <c r="J4" t="s">
        <v>802</v>
      </c>
      <c r="K4" s="5" t="s">
        <v>2</v>
      </c>
      <c r="L4" s="6" t="str">
        <f>LEFT(ADDRESS(1, ROW(L3), 4, TRUE), (ROW(L3)&gt;26)+1)</f>
        <v>C</v>
      </c>
      <c r="M4" s="7" t="s">
        <v>802</v>
      </c>
    </row>
    <row r="5" spans="2:13" ht="16.5" x14ac:dyDescent="0.45">
      <c r="B5" s="19"/>
      <c r="C5" s="18"/>
      <c r="E5" t="s">
        <v>806</v>
      </c>
      <c r="F5" t="s">
        <v>405</v>
      </c>
      <c r="G5" t="s">
        <v>807</v>
      </c>
      <c r="H5" t="s">
        <v>405</v>
      </c>
      <c r="J5" t="s">
        <v>808</v>
      </c>
      <c r="K5" s="5" t="s">
        <v>3</v>
      </c>
      <c r="L5" s="6" t="str">
        <f t="shared" ref="L5:L69" si="0">LEFT(ADDRESS(1, ROW(L4), 4, TRUE), (ROW(L4)&gt;26)+1)</f>
        <v>D</v>
      </c>
      <c r="M5" s="7" t="s">
        <v>808</v>
      </c>
    </row>
    <row r="6" spans="2:13" ht="16.5" x14ac:dyDescent="0.45">
      <c r="B6" s="20" t="s">
        <v>809</v>
      </c>
      <c r="C6" s="21" t="s">
        <v>810</v>
      </c>
      <c r="E6" t="s">
        <v>811</v>
      </c>
      <c r="G6" t="s">
        <v>399</v>
      </c>
      <c r="J6" t="s">
        <v>802</v>
      </c>
      <c r="K6" s="5" t="s">
        <v>4</v>
      </c>
      <c r="L6" s="6" t="str">
        <f t="shared" si="0"/>
        <v>E</v>
      </c>
      <c r="M6" s="7" t="s">
        <v>812</v>
      </c>
    </row>
    <row r="7" spans="2:13" ht="16.5" x14ac:dyDescent="0.45">
      <c r="B7" s="20" t="s">
        <v>813</v>
      </c>
      <c r="C7" s="21" t="s">
        <v>814</v>
      </c>
      <c r="E7" t="s">
        <v>399</v>
      </c>
      <c r="G7" t="s">
        <v>405</v>
      </c>
      <c r="J7" t="s">
        <v>808</v>
      </c>
      <c r="K7" s="8" t="s">
        <v>5</v>
      </c>
      <c r="L7" s="6" t="str">
        <f t="shared" si="0"/>
        <v>F</v>
      </c>
      <c r="M7" s="7" t="s">
        <v>815</v>
      </c>
    </row>
    <row r="8" spans="2:13" ht="16.5" x14ac:dyDescent="0.45">
      <c r="B8" s="22" t="s">
        <v>816</v>
      </c>
      <c r="C8" s="23" t="s">
        <v>817</v>
      </c>
      <c r="E8" t="s">
        <v>405</v>
      </c>
      <c r="J8" t="s">
        <v>802</v>
      </c>
      <c r="K8" s="8" t="s">
        <v>6</v>
      </c>
      <c r="L8" s="6" t="str">
        <f t="shared" si="0"/>
        <v>G</v>
      </c>
      <c r="M8" s="7" t="s">
        <v>818</v>
      </c>
    </row>
    <row r="9" spans="2:13" ht="16.5" x14ac:dyDescent="0.45">
      <c r="B9" s="22" t="s">
        <v>819</v>
      </c>
      <c r="C9" s="21" t="s">
        <v>820</v>
      </c>
      <c r="J9" t="s">
        <v>802</v>
      </c>
      <c r="K9" s="8" t="s">
        <v>7</v>
      </c>
      <c r="L9" s="6" t="str">
        <f t="shared" si="0"/>
        <v>H</v>
      </c>
      <c r="M9" s="7" t="s">
        <v>400</v>
      </c>
    </row>
    <row r="10" spans="2:13" ht="16.5" x14ac:dyDescent="0.45">
      <c r="B10" s="22" t="s">
        <v>821</v>
      </c>
      <c r="C10" s="21" t="s">
        <v>822</v>
      </c>
      <c r="J10" t="s">
        <v>802</v>
      </c>
      <c r="K10" s="8" t="s">
        <v>8</v>
      </c>
      <c r="L10" s="6" t="str">
        <f t="shared" si="0"/>
        <v>I</v>
      </c>
      <c r="M10" s="7" t="s">
        <v>823</v>
      </c>
    </row>
    <row r="11" spans="2:13" ht="16.5" x14ac:dyDescent="0.45">
      <c r="B11" s="24" t="s">
        <v>388</v>
      </c>
      <c r="C11" s="21" t="s">
        <v>824</v>
      </c>
      <c r="J11" t="s">
        <v>802</v>
      </c>
      <c r="K11" s="8" t="s">
        <v>9</v>
      </c>
      <c r="L11" s="6" t="str">
        <f t="shared" si="0"/>
        <v>J</v>
      </c>
      <c r="M11" s="7" t="s">
        <v>825</v>
      </c>
    </row>
    <row r="12" spans="2:13" ht="16.5" x14ac:dyDescent="0.45">
      <c r="B12" s="24" t="s">
        <v>389</v>
      </c>
      <c r="C12" s="21" t="s">
        <v>826</v>
      </c>
      <c r="J12" t="s">
        <v>802</v>
      </c>
      <c r="K12" s="8" t="s">
        <v>10</v>
      </c>
      <c r="L12" s="6" t="str">
        <f t="shared" si="0"/>
        <v>K</v>
      </c>
      <c r="M12" s="7" t="s">
        <v>827</v>
      </c>
    </row>
    <row r="13" spans="2:13" ht="16.5" x14ac:dyDescent="0.45">
      <c r="B13" s="24" t="s">
        <v>390</v>
      </c>
      <c r="C13" s="21" t="s">
        <v>828</v>
      </c>
      <c r="J13" t="s">
        <v>802</v>
      </c>
      <c r="K13" s="8" t="s">
        <v>11</v>
      </c>
      <c r="L13" s="6" t="str">
        <f t="shared" si="0"/>
        <v>L</v>
      </c>
      <c r="M13" s="7" t="s">
        <v>829</v>
      </c>
    </row>
    <row r="14" spans="2:13" ht="16.5" x14ac:dyDescent="0.45">
      <c r="B14" s="24" t="s">
        <v>391</v>
      </c>
      <c r="C14" s="21" t="s">
        <v>830</v>
      </c>
      <c r="J14" t="s">
        <v>802</v>
      </c>
      <c r="K14" s="8" t="s">
        <v>12</v>
      </c>
      <c r="L14" s="6" t="str">
        <f t="shared" si="0"/>
        <v>M</v>
      </c>
      <c r="M14" s="7" t="s">
        <v>831</v>
      </c>
    </row>
    <row r="15" spans="2:13" ht="16.5" x14ac:dyDescent="0.45">
      <c r="B15" s="24" t="s">
        <v>832</v>
      </c>
      <c r="C15" s="97" t="s">
        <v>833</v>
      </c>
      <c r="K15" s="8"/>
      <c r="L15" s="6"/>
      <c r="M15" s="7"/>
    </row>
    <row r="16" spans="2:13" ht="16.5" x14ac:dyDescent="0.45">
      <c r="B16" s="25" t="s">
        <v>834</v>
      </c>
      <c r="C16" s="26" t="s">
        <v>835</v>
      </c>
      <c r="J16" t="s">
        <v>802</v>
      </c>
      <c r="K16" s="5" t="s">
        <v>13</v>
      </c>
      <c r="L16" s="6" t="str">
        <f>LEFT(ADDRESS(1, ROW(L14), 4, TRUE), (ROW(L14)&gt;26)+1)</f>
        <v>N</v>
      </c>
      <c r="M16" s="7" t="s">
        <v>836</v>
      </c>
    </row>
    <row r="17" spans="3:13" ht="16.5" x14ac:dyDescent="0.45">
      <c r="J17" t="s">
        <v>802</v>
      </c>
      <c r="K17" s="5" t="s">
        <v>14</v>
      </c>
      <c r="L17" s="6" t="str">
        <f t="shared" si="0"/>
        <v>P</v>
      </c>
      <c r="M17" s="7" t="s">
        <v>837</v>
      </c>
    </row>
    <row r="18" spans="3:13" ht="16.5" x14ac:dyDescent="0.45">
      <c r="J18" t="s">
        <v>802</v>
      </c>
      <c r="K18" s="5" t="s">
        <v>15</v>
      </c>
      <c r="L18" s="6" t="str">
        <f t="shared" si="0"/>
        <v>Q</v>
      </c>
      <c r="M18" s="7" t="s">
        <v>838</v>
      </c>
    </row>
    <row r="19" spans="3:13" ht="16.5" x14ac:dyDescent="0.45">
      <c r="J19" t="s">
        <v>802</v>
      </c>
      <c r="K19" s="5" t="s">
        <v>16</v>
      </c>
      <c r="L19" s="6" t="str">
        <f t="shared" si="0"/>
        <v>R</v>
      </c>
      <c r="M19" s="7" t="s">
        <v>839</v>
      </c>
    </row>
    <row r="20" spans="3:13" ht="16.5" x14ac:dyDescent="0.45">
      <c r="C20" s="41" t="s">
        <v>840</v>
      </c>
      <c r="J20" t="s">
        <v>802</v>
      </c>
      <c r="K20" s="5" t="s">
        <v>17</v>
      </c>
      <c r="L20" s="6" t="str">
        <f t="shared" si="0"/>
        <v>S</v>
      </c>
      <c r="M20" s="7" t="s">
        <v>841</v>
      </c>
    </row>
    <row r="21" spans="3:13" ht="16.5" x14ac:dyDescent="0.45">
      <c r="C21" s="40"/>
      <c r="J21" t="s">
        <v>802</v>
      </c>
      <c r="K21" s="5" t="s">
        <v>18</v>
      </c>
      <c r="L21" s="6" t="str">
        <f t="shared" si="0"/>
        <v>T</v>
      </c>
      <c r="M21" s="7" t="s">
        <v>842</v>
      </c>
    </row>
    <row r="22" spans="3:13" ht="16.5" x14ac:dyDescent="0.45">
      <c r="J22" t="s">
        <v>802</v>
      </c>
      <c r="K22" s="5" t="s">
        <v>19</v>
      </c>
      <c r="L22" s="6" t="str">
        <f t="shared" si="0"/>
        <v>U</v>
      </c>
      <c r="M22" s="7" t="s">
        <v>843</v>
      </c>
    </row>
    <row r="23" spans="3:13" ht="16.5" x14ac:dyDescent="0.45">
      <c r="J23" t="s">
        <v>802</v>
      </c>
      <c r="K23" s="5" t="s">
        <v>20</v>
      </c>
      <c r="L23" s="6" t="str">
        <f t="shared" si="0"/>
        <v>V</v>
      </c>
      <c r="M23" s="7" t="s">
        <v>844</v>
      </c>
    </row>
    <row r="24" spans="3:13" ht="16.5" x14ac:dyDescent="0.45">
      <c r="J24" t="s">
        <v>802</v>
      </c>
      <c r="K24" s="5" t="s">
        <v>21</v>
      </c>
      <c r="L24" s="6" t="str">
        <f t="shared" si="0"/>
        <v>W</v>
      </c>
      <c r="M24" s="7" t="s">
        <v>845</v>
      </c>
    </row>
    <row r="25" spans="3:13" ht="16.5" x14ac:dyDescent="0.45">
      <c r="F25" s="1"/>
      <c r="J25" t="s">
        <v>802</v>
      </c>
      <c r="K25" s="5" t="s">
        <v>22</v>
      </c>
      <c r="L25" s="6" t="str">
        <f t="shared" si="0"/>
        <v>X</v>
      </c>
      <c r="M25" s="7" t="s">
        <v>846</v>
      </c>
    </row>
    <row r="26" spans="3:13" ht="16.5" x14ac:dyDescent="0.45">
      <c r="D26" s="1"/>
      <c r="E26" s="1"/>
      <c r="F26" s="1"/>
      <c r="G26" s="1"/>
      <c r="J26" t="s">
        <v>802</v>
      </c>
      <c r="K26" s="5" t="s">
        <v>23</v>
      </c>
      <c r="L26" s="6" t="str">
        <f t="shared" si="0"/>
        <v>Y</v>
      </c>
      <c r="M26" s="7" t="s">
        <v>847</v>
      </c>
    </row>
    <row r="27" spans="3:13" ht="16.5" x14ac:dyDescent="0.45">
      <c r="D27" s="1"/>
      <c r="E27" s="1"/>
      <c r="F27" s="1"/>
      <c r="G27" s="1"/>
      <c r="J27" t="s">
        <v>802</v>
      </c>
      <c r="K27" s="5" t="s">
        <v>24</v>
      </c>
      <c r="L27" s="6" t="str">
        <f t="shared" si="0"/>
        <v>Z</v>
      </c>
      <c r="M27" s="7" t="s">
        <v>848</v>
      </c>
    </row>
    <row r="28" spans="3:13" ht="16.5" x14ac:dyDescent="0.45">
      <c r="D28" s="1"/>
      <c r="E28" s="1"/>
      <c r="F28" s="1"/>
      <c r="G28" s="1"/>
      <c r="J28" t="s">
        <v>802</v>
      </c>
      <c r="K28" s="5" t="s">
        <v>25</v>
      </c>
      <c r="L28" s="6" t="str">
        <f t="shared" si="0"/>
        <v>AA</v>
      </c>
      <c r="M28" s="7" t="s">
        <v>849</v>
      </c>
    </row>
    <row r="29" spans="3:13" ht="16.5" x14ac:dyDescent="0.45">
      <c r="D29" s="1"/>
      <c r="E29" s="1"/>
      <c r="F29" s="1"/>
      <c r="G29" s="1"/>
      <c r="J29" t="s">
        <v>802</v>
      </c>
      <c r="K29" s="5" t="s">
        <v>26</v>
      </c>
      <c r="L29" s="6" t="str">
        <f t="shared" si="0"/>
        <v>AB</v>
      </c>
      <c r="M29" s="7" t="s">
        <v>850</v>
      </c>
    </row>
    <row r="30" spans="3:13" ht="16.5" x14ac:dyDescent="0.45">
      <c r="D30" s="1"/>
      <c r="E30" s="1"/>
      <c r="F30" s="1"/>
      <c r="G30" s="1"/>
      <c r="J30" t="s">
        <v>802</v>
      </c>
      <c r="K30" s="5" t="s">
        <v>27</v>
      </c>
      <c r="L30" s="6" t="str">
        <f t="shared" si="0"/>
        <v>AC</v>
      </c>
      <c r="M30" s="7" t="s">
        <v>851</v>
      </c>
    </row>
    <row r="31" spans="3:13" ht="16.5" x14ac:dyDescent="0.45">
      <c r="D31" s="1"/>
      <c r="E31" s="1"/>
      <c r="F31" s="1"/>
      <c r="G31" s="1"/>
      <c r="J31" t="s">
        <v>802</v>
      </c>
      <c r="K31" s="5" t="s">
        <v>28</v>
      </c>
      <c r="L31" s="6" t="str">
        <f t="shared" si="0"/>
        <v>AD</v>
      </c>
      <c r="M31" s="7" t="s">
        <v>852</v>
      </c>
    </row>
    <row r="32" spans="3:13" ht="16.5" x14ac:dyDescent="0.45">
      <c r="D32" s="1"/>
      <c r="E32" s="1"/>
      <c r="F32" s="1"/>
      <c r="G32" s="1"/>
      <c r="J32" t="s">
        <v>802</v>
      </c>
      <c r="K32" s="8" t="s">
        <v>29</v>
      </c>
      <c r="L32" s="6" t="str">
        <f t="shared" si="0"/>
        <v>AE</v>
      </c>
      <c r="M32" s="7" t="s">
        <v>853</v>
      </c>
    </row>
    <row r="33" spans="4:13" ht="16.5" x14ac:dyDescent="0.45">
      <c r="D33" s="1"/>
      <c r="E33" s="1"/>
      <c r="J33" t="s">
        <v>802</v>
      </c>
      <c r="K33" s="8" t="s">
        <v>30</v>
      </c>
      <c r="L33" s="6" t="str">
        <f t="shared" si="0"/>
        <v>AF</v>
      </c>
      <c r="M33" s="7" t="s">
        <v>854</v>
      </c>
    </row>
    <row r="34" spans="4:13" ht="16.5" x14ac:dyDescent="0.45">
      <c r="D34" s="1"/>
      <c r="E34" s="1"/>
      <c r="F34" s="1"/>
      <c r="J34" t="s">
        <v>802</v>
      </c>
      <c r="K34" s="8" t="s">
        <v>31</v>
      </c>
      <c r="L34" s="6" t="str">
        <f t="shared" si="0"/>
        <v>AG</v>
      </c>
      <c r="M34" s="7" t="s">
        <v>855</v>
      </c>
    </row>
    <row r="35" spans="4:13" ht="16.5" x14ac:dyDescent="0.45">
      <c r="D35" s="1"/>
      <c r="E35" s="1"/>
      <c r="F35" s="1"/>
      <c r="G35" s="1"/>
      <c r="J35" t="s">
        <v>802</v>
      </c>
      <c r="K35" s="8" t="s">
        <v>32</v>
      </c>
      <c r="L35" s="6" t="str">
        <f t="shared" si="0"/>
        <v>AH</v>
      </c>
      <c r="M35" s="7" t="s">
        <v>856</v>
      </c>
    </row>
    <row r="36" spans="4:13" ht="16.5" x14ac:dyDescent="0.45">
      <c r="D36" s="1"/>
      <c r="E36" s="1"/>
      <c r="F36" s="1"/>
      <c r="G36" s="1"/>
      <c r="J36" t="s">
        <v>802</v>
      </c>
      <c r="K36" s="8" t="s">
        <v>33</v>
      </c>
      <c r="L36" s="6" t="str">
        <f t="shared" si="0"/>
        <v>AI</v>
      </c>
      <c r="M36" s="7" t="s">
        <v>857</v>
      </c>
    </row>
    <row r="37" spans="4:13" ht="16.5" x14ac:dyDescent="0.45">
      <c r="D37" s="1"/>
      <c r="E37" s="1"/>
      <c r="F37" s="1"/>
      <c r="G37" s="1"/>
      <c r="J37" t="s">
        <v>802</v>
      </c>
      <c r="K37" s="8" t="s">
        <v>34</v>
      </c>
      <c r="L37" s="6" t="str">
        <f t="shared" si="0"/>
        <v>AJ</v>
      </c>
      <c r="M37" s="7" t="s">
        <v>858</v>
      </c>
    </row>
    <row r="38" spans="4:13" ht="16.5" x14ac:dyDescent="0.45">
      <c r="D38" s="1"/>
      <c r="E38" s="1"/>
      <c r="F38" s="1"/>
      <c r="G38" s="1"/>
      <c r="J38" t="s">
        <v>802</v>
      </c>
      <c r="K38" s="8" t="s">
        <v>35</v>
      </c>
      <c r="L38" s="6" t="str">
        <f t="shared" si="0"/>
        <v>AK</v>
      </c>
      <c r="M38" s="7" t="s">
        <v>859</v>
      </c>
    </row>
    <row r="39" spans="4:13" ht="16.5" x14ac:dyDescent="0.45">
      <c r="D39" s="1"/>
      <c r="E39" s="1"/>
      <c r="F39" s="1"/>
      <c r="G39" s="1"/>
      <c r="J39" t="s">
        <v>802</v>
      </c>
      <c r="K39" s="8" t="s">
        <v>36</v>
      </c>
      <c r="L39" s="6" t="str">
        <f t="shared" si="0"/>
        <v>AL</v>
      </c>
      <c r="M39" s="7" t="s">
        <v>860</v>
      </c>
    </row>
    <row r="40" spans="4:13" ht="16.5" x14ac:dyDescent="0.45">
      <c r="D40" s="1"/>
      <c r="E40" s="1"/>
      <c r="F40" s="1"/>
      <c r="G40" s="1"/>
      <c r="J40" t="s">
        <v>802</v>
      </c>
      <c r="K40" s="8" t="s">
        <v>37</v>
      </c>
      <c r="L40" s="6" t="str">
        <f t="shared" si="0"/>
        <v>AM</v>
      </c>
      <c r="M40" s="7" t="s">
        <v>861</v>
      </c>
    </row>
    <row r="41" spans="4:13" ht="16.5" x14ac:dyDescent="0.45">
      <c r="D41" s="1"/>
      <c r="E41" s="1"/>
      <c r="J41" t="s">
        <v>802</v>
      </c>
      <c r="K41" s="8" t="s">
        <v>38</v>
      </c>
      <c r="L41" s="6" t="str">
        <f t="shared" si="0"/>
        <v>AN</v>
      </c>
      <c r="M41" s="7" t="s">
        <v>862</v>
      </c>
    </row>
    <row r="42" spans="4:13" ht="16.5" x14ac:dyDescent="0.45">
      <c r="D42" s="1"/>
      <c r="E42" s="1"/>
      <c r="F42" s="1"/>
      <c r="J42" t="s">
        <v>802</v>
      </c>
      <c r="K42" s="8" t="s">
        <v>39</v>
      </c>
      <c r="L42" s="6" t="str">
        <f t="shared" si="0"/>
        <v>AO</v>
      </c>
      <c r="M42" s="7" t="s">
        <v>863</v>
      </c>
    </row>
    <row r="43" spans="4:13" ht="16.5" x14ac:dyDescent="0.45">
      <c r="D43" s="1"/>
      <c r="E43" s="1"/>
      <c r="F43" s="1"/>
      <c r="J43" t="s">
        <v>812</v>
      </c>
      <c r="K43" s="8" t="s">
        <v>40</v>
      </c>
      <c r="L43" s="6" t="str">
        <f t="shared" si="0"/>
        <v>AP</v>
      </c>
      <c r="M43" s="7" t="s">
        <v>864</v>
      </c>
    </row>
    <row r="44" spans="4:13" ht="16.5" x14ac:dyDescent="0.45">
      <c r="D44" s="1"/>
      <c r="E44" s="1"/>
      <c r="F44" s="1"/>
      <c r="J44" t="s">
        <v>802</v>
      </c>
      <c r="K44" s="8" t="s">
        <v>41</v>
      </c>
      <c r="L44" s="6" t="str">
        <f t="shared" si="0"/>
        <v>AQ</v>
      </c>
      <c r="M44" s="7" t="s">
        <v>865</v>
      </c>
    </row>
    <row r="45" spans="4:13" ht="16.5" x14ac:dyDescent="0.45">
      <c r="F45" s="1"/>
      <c r="J45" t="s">
        <v>812</v>
      </c>
      <c r="K45" s="8" t="s">
        <v>42</v>
      </c>
      <c r="L45" s="6" t="str">
        <f t="shared" si="0"/>
        <v>AR</v>
      </c>
      <c r="M45" s="7" t="s">
        <v>866</v>
      </c>
    </row>
    <row r="46" spans="4:13" ht="16.5" x14ac:dyDescent="0.45">
      <c r="J46" t="s">
        <v>808</v>
      </c>
      <c r="K46" s="9" t="s">
        <v>43</v>
      </c>
      <c r="L46" s="6" t="str">
        <f t="shared" si="0"/>
        <v>AS</v>
      </c>
      <c r="M46" s="7" t="s">
        <v>867</v>
      </c>
    </row>
    <row r="47" spans="4:13" ht="16.5" x14ac:dyDescent="0.45">
      <c r="J47" t="s">
        <v>808</v>
      </c>
      <c r="K47" s="9" t="s">
        <v>44</v>
      </c>
      <c r="L47" s="6" t="str">
        <f t="shared" si="0"/>
        <v>AT</v>
      </c>
      <c r="M47" s="7" t="s">
        <v>868</v>
      </c>
    </row>
    <row r="48" spans="4:13" ht="16.5" x14ac:dyDescent="0.45">
      <c r="J48" t="s">
        <v>808</v>
      </c>
      <c r="K48" s="9" t="s">
        <v>45</v>
      </c>
      <c r="L48" s="6" t="str">
        <f t="shared" si="0"/>
        <v>AU</v>
      </c>
      <c r="M48" s="7" t="s">
        <v>869</v>
      </c>
    </row>
    <row r="49" spans="10:13" ht="16.5" x14ac:dyDescent="0.45">
      <c r="J49" t="s">
        <v>808</v>
      </c>
      <c r="K49" s="9" t="s">
        <v>46</v>
      </c>
      <c r="L49" s="6" t="str">
        <f t="shared" si="0"/>
        <v>AV</v>
      </c>
      <c r="M49" s="7" t="s">
        <v>870</v>
      </c>
    </row>
    <row r="50" spans="10:13" ht="16.5" x14ac:dyDescent="0.45">
      <c r="J50" t="s">
        <v>808</v>
      </c>
      <c r="K50" s="9" t="s">
        <v>47</v>
      </c>
      <c r="L50" s="6" t="str">
        <f t="shared" si="0"/>
        <v>AW</v>
      </c>
      <c r="M50" s="7" t="s">
        <v>871</v>
      </c>
    </row>
    <row r="51" spans="10:13" ht="16.5" x14ac:dyDescent="0.45">
      <c r="J51" t="s">
        <v>808</v>
      </c>
      <c r="K51" s="9" t="s">
        <v>48</v>
      </c>
      <c r="L51" s="6" t="str">
        <f t="shared" si="0"/>
        <v>AX</v>
      </c>
      <c r="M51" s="7" t="s">
        <v>872</v>
      </c>
    </row>
    <row r="52" spans="10:13" ht="16.5" x14ac:dyDescent="0.45">
      <c r="J52" t="s">
        <v>808</v>
      </c>
      <c r="K52" s="9" t="s">
        <v>49</v>
      </c>
      <c r="L52" s="6" t="str">
        <f t="shared" si="0"/>
        <v>AY</v>
      </c>
      <c r="M52" s="7" t="s">
        <v>873</v>
      </c>
    </row>
    <row r="53" spans="10:13" ht="16.5" x14ac:dyDescent="0.45">
      <c r="J53" t="s">
        <v>808</v>
      </c>
      <c r="K53" s="9" t="s">
        <v>50</v>
      </c>
      <c r="L53" s="6" t="str">
        <f t="shared" si="0"/>
        <v>AZ</v>
      </c>
      <c r="M53" s="7" t="s">
        <v>874</v>
      </c>
    </row>
    <row r="54" spans="10:13" ht="16.5" x14ac:dyDescent="0.45">
      <c r="J54" t="s">
        <v>808</v>
      </c>
      <c r="K54" s="9" t="s">
        <v>51</v>
      </c>
      <c r="L54" s="6" t="str">
        <f t="shared" si="0"/>
        <v>BA</v>
      </c>
      <c r="M54" s="7" t="s">
        <v>875</v>
      </c>
    </row>
    <row r="55" spans="10:13" ht="16.5" x14ac:dyDescent="0.45">
      <c r="J55" t="s">
        <v>808</v>
      </c>
      <c r="K55" s="9" t="s">
        <v>52</v>
      </c>
      <c r="L55" s="6" t="str">
        <f t="shared" si="0"/>
        <v>BB</v>
      </c>
      <c r="M55" s="7" t="s">
        <v>876</v>
      </c>
    </row>
    <row r="56" spans="10:13" ht="16.5" x14ac:dyDescent="0.45">
      <c r="J56" t="s">
        <v>808</v>
      </c>
      <c r="K56" s="9" t="s">
        <v>53</v>
      </c>
      <c r="L56" s="6" t="str">
        <f t="shared" si="0"/>
        <v>BC</v>
      </c>
      <c r="M56" s="7" t="s">
        <v>877</v>
      </c>
    </row>
    <row r="57" spans="10:13" ht="16.5" x14ac:dyDescent="0.45">
      <c r="J57" t="s">
        <v>808</v>
      </c>
      <c r="K57" s="9" t="s">
        <v>54</v>
      </c>
      <c r="L57" s="6" t="str">
        <f t="shared" si="0"/>
        <v>BD</v>
      </c>
      <c r="M57" s="7" t="s">
        <v>878</v>
      </c>
    </row>
    <row r="58" spans="10:13" ht="16.5" x14ac:dyDescent="0.45">
      <c r="J58" t="s">
        <v>808</v>
      </c>
      <c r="K58" s="9" t="s">
        <v>55</v>
      </c>
      <c r="L58" s="6" t="str">
        <f t="shared" si="0"/>
        <v>BE</v>
      </c>
      <c r="M58" s="7" t="s">
        <v>879</v>
      </c>
    </row>
    <row r="59" spans="10:13" ht="16.5" x14ac:dyDescent="0.45">
      <c r="J59" t="s">
        <v>808</v>
      </c>
      <c r="K59" s="9" t="s">
        <v>56</v>
      </c>
      <c r="L59" s="6" t="str">
        <f t="shared" si="0"/>
        <v>BF</v>
      </c>
      <c r="M59" s="7" t="s">
        <v>880</v>
      </c>
    </row>
    <row r="60" spans="10:13" ht="16.5" x14ac:dyDescent="0.45">
      <c r="J60" t="s">
        <v>808</v>
      </c>
      <c r="K60" s="9" t="s">
        <v>57</v>
      </c>
      <c r="L60" s="6" t="str">
        <f t="shared" si="0"/>
        <v>BG</v>
      </c>
      <c r="M60" s="7" t="s">
        <v>881</v>
      </c>
    </row>
    <row r="61" spans="10:13" ht="16.5" x14ac:dyDescent="0.45">
      <c r="J61" t="s">
        <v>808</v>
      </c>
      <c r="K61" s="9" t="s">
        <v>58</v>
      </c>
      <c r="L61" s="6" t="str">
        <f t="shared" si="0"/>
        <v>BH</v>
      </c>
      <c r="M61" s="7" t="s">
        <v>882</v>
      </c>
    </row>
    <row r="62" spans="10:13" ht="16.5" x14ac:dyDescent="0.45">
      <c r="J62" t="s">
        <v>808</v>
      </c>
      <c r="K62" s="9" t="s">
        <v>59</v>
      </c>
      <c r="L62" s="6" t="str">
        <f t="shared" si="0"/>
        <v>BI</v>
      </c>
      <c r="M62" s="7" t="s">
        <v>883</v>
      </c>
    </row>
    <row r="63" spans="10:13" ht="16.5" x14ac:dyDescent="0.45">
      <c r="J63" t="s">
        <v>808</v>
      </c>
      <c r="K63" s="9" t="s">
        <v>60</v>
      </c>
      <c r="L63" s="6" t="str">
        <f t="shared" si="0"/>
        <v>BJ</v>
      </c>
      <c r="M63" s="7" t="s">
        <v>884</v>
      </c>
    </row>
    <row r="64" spans="10:13" ht="16.5" x14ac:dyDescent="0.45">
      <c r="J64" t="s">
        <v>808</v>
      </c>
      <c r="K64" s="9" t="s">
        <v>61</v>
      </c>
      <c r="L64" s="6" t="str">
        <f t="shared" si="0"/>
        <v>BK</v>
      </c>
      <c r="M64" s="7" t="s">
        <v>885</v>
      </c>
    </row>
    <row r="65" spans="10:13" ht="16.5" x14ac:dyDescent="0.45">
      <c r="J65" t="s">
        <v>808</v>
      </c>
      <c r="K65" s="9" t="s">
        <v>62</v>
      </c>
      <c r="L65" s="6" t="str">
        <f t="shared" si="0"/>
        <v>BL</v>
      </c>
      <c r="M65" s="7" t="s">
        <v>886</v>
      </c>
    </row>
    <row r="66" spans="10:13" ht="16.5" x14ac:dyDescent="0.45">
      <c r="J66" t="s">
        <v>808</v>
      </c>
      <c r="K66" s="9" t="s">
        <v>63</v>
      </c>
      <c r="L66" s="6" t="str">
        <f t="shared" si="0"/>
        <v>BM</v>
      </c>
      <c r="M66" s="7" t="s">
        <v>887</v>
      </c>
    </row>
    <row r="67" spans="10:13" ht="16.5" x14ac:dyDescent="0.45">
      <c r="J67" t="s">
        <v>808</v>
      </c>
      <c r="K67" s="9" t="s">
        <v>64</v>
      </c>
      <c r="L67" s="6" t="str">
        <f t="shared" si="0"/>
        <v>BN</v>
      </c>
      <c r="M67" s="7" t="s">
        <v>888</v>
      </c>
    </row>
    <row r="68" spans="10:13" ht="16.5" x14ac:dyDescent="0.45">
      <c r="J68" t="s">
        <v>808</v>
      </c>
      <c r="K68" s="9" t="s">
        <v>65</v>
      </c>
      <c r="L68" s="6" t="str">
        <f t="shared" si="0"/>
        <v>BO</v>
      </c>
      <c r="M68" s="7" t="s">
        <v>889</v>
      </c>
    </row>
    <row r="69" spans="10:13" ht="16.5" x14ac:dyDescent="0.45">
      <c r="J69" t="s">
        <v>808</v>
      </c>
      <c r="K69" s="9" t="s">
        <v>66</v>
      </c>
      <c r="L69" s="6" t="str">
        <f t="shared" si="0"/>
        <v>BP</v>
      </c>
      <c r="M69" s="7" t="s">
        <v>890</v>
      </c>
    </row>
    <row r="70" spans="10:13" ht="16.5" x14ac:dyDescent="0.45">
      <c r="J70" t="s">
        <v>808</v>
      </c>
      <c r="K70" s="9" t="s">
        <v>67</v>
      </c>
      <c r="L70" s="6" t="str">
        <f t="shared" ref="L70:L133" si="1">LEFT(ADDRESS(1, ROW(L69), 4, TRUE), (ROW(L69)&gt;26)+1)</f>
        <v>BQ</v>
      </c>
      <c r="M70" s="7" t="s">
        <v>891</v>
      </c>
    </row>
    <row r="71" spans="10:13" ht="16.5" x14ac:dyDescent="0.45">
      <c r="J71" t="s">
        <v>808</v>
      </c>
      <c r="K71" s="9" t="s">
        <v>68</v>
      </c>
      <c r="L71" s="6" t="str">
        <f t="shared" si="1"/>
        <v>BR</v>
      </c>
      <c r="M71" s="7" t="s">
        <v>892</v>
      </c>
    </row>
    <row r="72" spans="10:13" ht="16.5" x14ac:dyDescent="0.45">
      <c r="J72" t="s">
        <v>808</v>
      </c>
      <c r="K72" s="9" t="s">
        <v>69</v>
      </c>
      <c r="L72" s="6" t="str">
        <f t="shared" si="1"/>
        <v>BS</v>
      </c>
      <c r="M72" s="7" t="s">
        <v>893</v>
      </c>
    </row>
    <row r="73" spans="10:13" ht="16.5" x14ac:dyDescent="0.45">
      <c r="J73" t="s">
        <v>808</v>
      </c>
      <c r="K73" s="9" t="s">
        <v>70</v>
      </c>
      <c r="L73" s="6" t="str">
        <f t="shared" si="1"/>
        <v>BT</v>
      </c>
      <c r="M73" s="7" t="s">
        <v>894</v>
      </c>
    </row>
    <row r="74" spans="10:13" ht="16.5" x14ac:dyDescent="0.45">
      <c r="J74" t="s">
        <v>808</v>
      </c>
      <c r="K74" s="9" t="s">
        <v>71</v>
      </c>
      <c r="L74" s="6" t="str">
        <f t="shared" si="1"/>
        <v>BU</v>
      </c>
      <c r="M74" s="7" t="s">
        <v>895</v>
      </c>
    </row>
    <row r="75" spans="10:13" ht="16.5" x14ac:dyDescent="0.45">
      <c r="J75" t="s">
        <v>808</v>
      </c>
      <c r="K75" s="9" t="s">
        <v>72</v>
      </c>
      <c r="L75" s="6" t="str">
        <f t="shared" si="1"/>
        <v>BV</v>
      </c>
      <c r="M75" s="7" t="s">
        <v>896</v>
      </c>
    </row>
    <row r="76" spans="10:13" ht="16.5" x14ac:dyDescent="0.45">
      <c r="J76" t="s">
        <v>808</v>
      </c>
      <c r="K76" s="9" t="s">
        <v>73</v>
      </c>
      <c r="L76" s="6" t="str">
        <f t="shared" si="1"/>
        <v>BW</v>
      </c>
      <c r="M76" s="7" t="s">
        <v>897</v>
      </c>
    </row>
    <row r="77" spans="10:13" ht="16.5" x14ac:dyDescent="0.45">
      <c r="J77" t="s">
        <v>808</v>
      </c>
      <c r="K77" s="9" t="s">
        <v>74</v>
      </c>
      <c r="L77" s="6" t="str">
        <f t="shared" si="1"/>
        <v>BX</v>
      </c>
      <c r="M77" s="7" t="s">
        <v>898</v>
      </c>
    </row>
    <row r="78" spans="10:13" ht="16.5" x14ac:dyDescent="0.45">
      <c r="J78" t="s">
        <v>808</v>
      </c>
      <c r="K78" s="9" t="s">
        <v>75</v>
      </c>
      <c r="L78" s="6" t="str">
        <f t="shared" si="1"/>
        <v>BY</v>
      </c>
      <c r="M78" s="7" t="s">
        <v>899</v>
      </c>
    </row>
    <row r="79" spans="10:13" ht="16.5" x14ac:dyDescent="0.45">
      <c r="J79" t="s">
        <v>808</v>
      </c>
      <c r="K79" s="9" t="s">
        <v>76</v>
      </c>
      <c r="L79" s="6" t="str">
        <f t="shared" si="1"/>
        <v>BZ</v>
      </c>
      <c r="M79" s="7" t="s">
        <v>900</v>
      </c>
    </row>
    <row r="80" spans="10:13" ht="16.5" x14ac:dyDescent="0.45">
      <c r="J80" t="s">
        <v>808</v>
      </c>
      <c r="K80" s="9" t="s">
        <v>77</v>
      </c>
      <c r="L80" s="6" t="str">
        <f t="shared" si="1"/>
        <v>CA</v>
      </c>
      <c r="M80" s="7" t="s">
        <v>901</v>
      </c>
    </row>
    <row r="81" spans="10:13" ht="16.5" x14ac:dyDescent="0.45">
      <c r="J81" t="s">
        <v>808</v>
      </c>
      <c r="K81" s="9" t="s">
        <v>78</v>
      </c>
      <c r="L81" s="6" t="str">
        <f t="shared" si="1"/>
        <v>CB</v>
      </c>
      <c r="M81" s="7" t="s">
        <v>902</v>
      </c>
    </row>
    <row r="82" spans="10:13" ht="16.5" x14ac:dyDescent="0.45">
      <c r="J82" t="s">
        <v>808</v>
      </c>
      <c r="K82" s="9" t="s">
        <v>79</v>
      </c>
      <c r="L82" s="6" t="str">
        <f t="shared" si="1"/>
        <v>CC</v>
      </c>
      <c r="M82" s="7" t="s">
        <v>903</v>
      </c>
    </row>
    <row r="83" spans="10:13" ht="16.5" x14ac:dyDescent="0.45">
      <c r="J83" t="s">
        <v>808</v>
      </c>
      <c r="K83" s="9" t="s">
        <v>80</v>
      </c>
      <c r="L83" s="6" t="str">
        <f t="shared" si="1"/>
        <v>CD</v>
      </c>
      <c r="M83" s="7" t="s">
        <v>904</v>
      </c>
    </row>
    <row r="84" spans="10:13" ht="16.5" x14ac:dyDescent="0.45">
      <c r="J84" t="s">
        <v>808</v>
      </c>
      <c r="K84" s="9" t="s">
        <v>81</v>
      </c>
      <c r="L84" s="6" t="str">
        <f t="shared" si="1"/>
        <v>CE</v>
      </c>
      <c r="M84" s="7" t="s">
        <v>905</v>
      </c>
    </row>
    <row r="85" spans="10:13" ht="16.5" x14ac:dyDescent="0.45">
      <c r="J85" t="s">
        <v>808</v>
      </c>
      <c r="K85" s="9" t="s">
        <v>82</v>
      </c>
      <c r="L85" s="6" t="str">
        <f t="shared" si="1"/>
        <v>CF</v>
      </c>
      <c r="M85" s="7" t="s">
        <v>906</v>
      </c>
    </row>
    <row r="86" spans="10:13" ht="16.5" x14ac:dyDescent="0.45">
      <c r="J86" t="s">
        <v>808</v>
      </c>
      <c r="K86" s="9" t="s">
        <v>83</v>
      </c>
      <c r="L86" s="6" t="str">
        <f t="shared" si="1"/>
        <v>CG</v>
      </c>
      <c r="M86" s="7" t="s">
        <v>907</v>
      </c>
    </row>
    <row r="87" spans="10:13" ht="16.5" x14ac:dyDescent="0.45">
      <c r="J87" t="s">
        <v>808</v>
      </c>
      <c r="K87" s="9" t="s">
        <v>84</v>
      </c>
      <c r="L87" s="6" t="str">
        <f t="shared" si="1"/>
        <v>CH</v>
      </c>
      <c r="M87" s="7" t="s">
        <v>908</v>
      </c>
    </row>
    <row r="88" spans="10:13" ht="16.5" x14ac:dyDescent="0.45">
      <c r="J88" t="s">
        <v>808</v>
      </c>
      <c r="K88" s="9" t="s">
        <v>85</v>
      </c>
      <c r="L88" s="6" t="str">
        <f t="shared" si="1"/>
        <v>CI</v>
      </c>
      <c r="M88" s="7" t="s">
        <v>909</v>
      </c>
    </row>
    <row r="89" spans="10:13" ht="16.5" x14ac:dyDescent="0.45">
      <c r="J89" t="s">
        <v>808</v>
      </c>
      <c r="K89" s="9" t="s">
        <v>86</v>
      </c>
      <c r="L89" s="6" t="str">
        <f t="shared" si="1"/>
        <v>CJ</v>
      </c>
      <c r="M89" s="7" t="s">
        <v>910</v>
      </c>
    </row>
    <row r="90" spans="10:13" ht="16.5" x14ac:dyDescent="0.45">
      <c r="J90" t="s">
        <v>808</v>
      </c>
      <c r="K90" s="9" t="s">
        <v>87</v>
      </c>
      <c r="L90" s="6" t="str">
        <f t="shared" si="1"/>
        <v>CK</v>
      </c>
      <c r="M90" s="7" t="s">
        <v>911</v>
      </c>
    </row>
    <row r="91" spans="10:13" ht="16.5" x14ac:dyDescent="0.45">
      <c r="J91" t="s">
        <v>808</v>
      </c>
      <c r="K91" s="9" t="s">
        <v>88</v>
      </c>
      <c r="L91" s="6" t="str">
        <f t="shared" si="1"/>
        <v>CL</v>
      </c>
      <c r="M91" s="7" t="s">
        <v>912</v>
      </c>
    </row>
    <row r="92" spans="10:13" ht="16.5" x14ac:dyDescent="0.45">
      <c r="J92" t="s">
        <v>808</v>
      </c>
      <c r="K92" s="9" t="s">
        <v>89</v>
      </c>
      <c r="L92" s="6" t="str">
        <f t="shared" si="1"/>
        <v>CM</v>
      </c>
      <c r="M92" s="7" t="s">
        <v>913</v>
      </c>
    </row>
    <row r="93" spans="10:13" ht="16.5" x14ac:dyDescent="0.45">
      <c r="J93" t="s">
        <v>808</v>
      </c>
      <c r="K93" s="9" t="s">
        <v>90</v>
      </c>
      <c r="L93" s="6" t="str">
        <f t="shared" si="1"/>
        <v>CN</v>
      </c>
      <c r="M93" s="7" t="s">
        <v>914</v>
      </c>
    </row>
    <row r="94" spans="10:13" ht="16.5" x14ac:dyDescent="0.45">
      <c r="J94" t="s">
        <v>808</v>
      </c>
      <c r="K94" s="9" t="s">
        <v>91</v>
      </c>
      <c r="L94" s="6" t="str">
        <f t="shared" si="1"/>
        <v>CO</v>
      </c>
      <c r="M94" s="7" t="s">
        <v>915</v>
      </c>
    </row>
    <row r="95" spans="10:13" ht="16.5" x14ac:dyDescent="0.45">
      <c r="J95" t="s">
        <v>808</v>
      </c>
      <c r="K95" s="9" t="s">
        <v>92</v>
      </c>
      <c r="L95" s="6" t="str">
        <f t="shared" si="1"/>
        <v>CP</v>
      </c>
      <c r="M95" s="7" t="s">
        <v>916</v>
      </c>
    </row>
    <row r="96" spans="10:13" ht="16.5" x14ac:dyDescent="0.45">
      <c r="J96" t="s">
        <v>808</v>
      </c>
      <c r="K96" s="9" t="s">
        <v>93</v>
      </c>
      <c r="L96" s="6" t="str">
        <f t="shared" si="1"/>
        <v>CQ</v>
      </c>
      <c r="M96" s="7" t="s">
        <v>917</v>
      </c>
    </row>
    <row r="97" spans="10:13" ht="16.5" x14ac:dyDescent="0.45">
      <c r="J97" t="s">
        <v>808</v>
      </c>
      <c r="K97" s="9" t="s">
        <v>94</v>
      </c>
      <c r="L97" s="6" t="str">
        <f t="shared" si="1"/>
        <v>CR</v>
      </c>
      <c r="M97" s="7" t="s">
        <v>918</v>
      </c>
    </row>
    <row r="98" spans="10:13" ht="16.5" x14ac:dyDescent="0.45">
      <c r="J98" t="s">
        <v>808</v>
      </c>
      <c r="K98" s="10" t="s">
        <v>95</v>
      </c>
      <c r="L98" s="6" t="str">
        <f t="shared" si="1"/>
        <v>CS</v>
      </c>
      <c r="M98" s="7" t="s">
        <v>919</v>
      </c>
    </row>
    <row r="99" spans="10:13" ht="16.5" x14ac:dyDescent="0.45">
      <c r="J99" t="s">
        <v>808</v>
      </c>
      <c r="K99" s="10" t="s">
        <v>96</v>
      </c>
      <c r="L99" s="6" t="str">
        <f t="shared" si="1"/>
        <v>CT</v>
      </c>
      <c r="M99" s="7" t="s">
        <v>920</v>
      </c>
    </row>
    <row r="100" spans="10:13" ht="16.5" x14ac:dyDescent="0.45">
      <c r="J100" t="s">
        <v>808</v>
      </c>
      <c r="K100" s="10" t="s">
        <v>97</v>
      </c>
      <c r="L100" s="6" t="str">
        <f t="shared" si="1"/>
        <v>CU</v>
      </c>
      <c r="M100" s="7" t="s">
        <v>921</v>
      </c>
    </row>
    <row r="101" spans="10:13" ht="16.5" x14ac:dyDescent="0.45">
      <c r="J101" t="s">
        <v>808</v>
      </c>
      <c r="K101" s="10" t="s">
        <v>98</v>
      </c>
      <c r="L101" s="6" t="str">
        <f t="shared" si="1"/>
        <v>CV</v>
      </c>
      <c r="M101" s="7" t="s">
        <v>922</v>
      </c>
    </row>
    <row r="102" spans="10:13" ht="16.5" x14ac:dyDescent="0.45">
      <c r="J102" t="s">
        <v>808</v>
      </c>
      <c r="K102" s="10" t="s">
        <v>99</v>
      </c>
      <c r="L102" s="6" t="str">
        <f t="shared" si="1"/>
        <v>CW</v>
      </c>
      <c r="M102" s="7" t="s">
        <v>923</v>
      </c>
    </row>
    <row r="103" spans="10:13" ht="16.5" x14ac:dyDescent="0.45">
      <c r="J103" t="s">
        <v>808</v>
      </c>
      <c r="K103" s="10" t="s">
        <v>100</v>
      </c>
      <c r="L103" s="6" t="str">
        <f t="shared" si="1"/>
        <v>CX</v>
      </c>
      <c r="M103" s="7" t="s">
        <v>924</v>
      </c>
    </row>
    <row r="104" spans="10:13" ht="16.5" x14ac:dyDescent="0.45">
      <c r="J104" t="s">
        <v>808</v>
      </c>
      <c r="K104" s="10" t="s">
        <v>101</v>
      </c>
      <c r="L104" s="6" t="str">
        <f t="shared" si="1"/>
        <v>CY</v>
      </c>
      <c r="M104" s="7" t="s">
        <v>925</v>
      </c>
    </row>
    <row r="105" spans="10:13" ht="16.5" x14ac:dyDescent="0.45">
      <c r="J105" t="s">
        <v>808</v>
      </c>
      <c r="K105" s="10" t="s">
        <v>102</v>
      </c>
      <c r="L105" s="6" t="str">
        <f t="shared" si="1"/>
        <v>CZ</v>
      </c>
      <c r="M105" s="7" t="s">
        <v>926</v>
      </c>
    </row>
    <row r="106" spans="10:13" ht="16.5" x14ac:dyDescent="0.45">
      <c r="J106" t="s">
        <v>808</v>
      </c>
      <c r="K106" s="10" t="s">
        <v>103</v>
      </c>
      <c r="L106" s="6" t="str">
        <f t="shared" si="1"/>
        <v>DA</v>
      </c>
      <c r="M106" s="7" t="s">
        <v>927</v>
      </c>
    </row>
    <row r="107" spans="10:13" ht="16.5" x14ac:dyDescent="0.45">
      <c r="J107" t="s">
        <v>808</v>
      </c>
      <c r="K107" s="10" t="s">
        <v>104</v>
      </c>
      <c r="L107" s="6" t="str">
        <f t="shared" si="1"/>
        <v>DB</v>
      </c>
      <c r="M107" s="7" t="s">
        <v>928</v>
      </c>
    </row>
    <row r="108" spans="10:13" ht="16.5" x14ac:dyDescent="0.45">
      <c r="J108" t="s">
        <v>808</v>
      </c>
      <c r="K108" s="10" t="s">
        <v>105</v>
      </c>
      <c r="L108" s="6" t="str">
        <f t="shared" si="1"/>
        <v>DC</v>
      </c>
      <c r="M108" s="7" t="s">
        <v>929</v>
      </c>
    </row>
    <row r="109" spans="10:13" ht="16.5" x14ac:dyDescent="0.45">
      <c r="J109" t="s">
        <v>808</v>
      </c>
      <c r="K109" s="10" t="s">
        <v>106</v>
      </c>
      <c r="L109" s="6" t="str">
        <f t="shared" si="1"/>
        <v>DD</v>
      </c>
      <c r="M109" s="7" t="s">
        <v>930</v>
      </c>
    </row>
    <row r="110" spans="10:13" ht="16.5" x14ac:dyDescent="0.45">
      <c r="J110" t="s">
        <v>808</v>
      </c>
      <c r="K110" s="10" t="s">
        <v>107</v>
      </c>
      <c r="L110" s="6" t="str">
        <f t="shared" si="1"/>
        <v>DE</v>
      </c>
      <c r="M110" s="7" t="s">
        <v>931</v>
      </c>
    </row>
    <row r="111" spans="10:13" ht="16.5" x14ac:dyDescent="0.45">
      <c r="J111" t="s">
        <v>808</v>
      </c>
      <c r="K111" s="10" t="s">
        <v>108</v>
      </c>
      <c r="L111" s="6" t="str">
        <f t="shared" si="1"/>
        <v>DF</v>
      </c>
      <c r="M111" s="7" t="s">
        <v>932</v>
      </c>
    </row>
    <row r="112" spans="10:13" ht="16.5" x14ac:dyDescent="0.45">
      <c r="J112" t="s">
        <v>808</v>
      </c>
      <c r="K112" s="10" t="s">
        <v>109</v>
      </c>
      <c r="L112" s="6" t="str">
        <f t="shared" si="1"/>
        <v>DG</v>
      </c>
      <c r="M112" s="7" t="s">
        <v>933</v>
      </c>
    </row>
    <row r="113" spans="10:13" ht="16.5" x14ac:dyDescent="0.45">
      <c r="J113" t="s">
        <v>808</v>
      </c>
      <c r="K113" s="10" t="s">
        <v>110</v>
      </c>
      <c r="L113" s="6" t="str">
        <f t="shared" si="1"/>
        <v>DH</v>
      </c>
      <c r="M113" s="7" t="s">
        <v>934</v>
      </c>
    </row>
    <row r="114" spans="10:13" ht="16.5" x14ac:dyDescent="0.45">
      <c r="J114" t="s">
        <v>808</v>
      </c>
      <c r="K114" s="10" t="s">
        <v>111</v>
      </c>
      <c r="L114" s="6" t="str">
        <f t="shared" si="1"/>
        <v>DI</v>
      </c>
      <c r="M114" s="7" t="s">
        <v>935</v>
      </c>
    </row>
    <row r="115" spans="10:13" ht="16.5" x14ac:dyDescent="0.45">
      <c r="J115" t="s">
        <v>808</v>
      </c>
      <c r="K115" s="10" t="s">
        <v>112</v>
      </c>
      <c r="L115" s="6" t="str">
        <f t="shared" si="1"/>
        <v>DJ</v>
      </c>
      <c r="M115" s="7" t="s">
        <v>936</v>
      </c>
    </row>
    <row r="116" spans="10:13" ht="16.5" x14ac:dyDescent="0.45">
      <c r="J116" t="s">
        <v>808</v>
      </c>
      <c r="K116" s="10" t="s">
        <v>113</v>
      </c>
      <c r="L116" s="6" t="str">
        <f t="shared" si="1"/>
        <v>DK</v>
      </c>
      <c r="M116" s="7" t="s">
        <v>937</v>
      </c>
    </row>
    <row r="117" spans="10:13" ht="16.5" x14ac:dyDescent="0.45">
      <c r="J117" t="s">
        <v>808</v>
      </c>
      <c r="K117" s="10" t="s">
        <v>114</v>
      </c>
      <c r="L117" s="6" t="str">
        <f t="shared" si="1"/>
        <v>DL</v>
      </c>
      <c r="M117" s="7" t="s">
        <v>938</v>
      </c>
    </row>
    <row r="118" spans="10:13" ht="16.5" x14ac:dyDescent="0.45">
      <c r="J118" t="s">
        <v>808</v>
      </c>
      <c r="K118" s="10" t="s">
        <v>115</v>
      </c>
      <c r="L118" s="6" t="str">
        <f t="shared" si="1"/>
        <v>DM</v>
      </c>
      <c r="M118" s="7" t="s">
        <v>939</v>
      </c>
    </row>
    <row r="119" spans="10:13" ht="16.5" x14ac:dyDescent="0.45">
      <c r="J119" t="s">
        <v>808</v>
      </c>
      <c r="K119" s="10" t="s">
        <v>116</v>
      </c>
      <c r="L119" s="6" t="str">
        <f t="shared" si="1"/>
        <v>DN</v>
      </c>
      <c r="M119" s="7" t="s">
        <v>940</v>
      </c>
    </row>
    <row r="120" spans="10:13" ht="16.5" x14ac:dyDescent="0.45">
      <c r="J120" t="s">
        <v>808</v>
      </c>
      <c r="K120" s="10" t="s">
        <v>117</v>
      </c>
      <c r="L120" s="6" t="str">
        <f t="shared" si="1"/>
        <v>DO</v>
      </c>
      <c r="M120" s="7" t="s">
        <v>941</v>
      </c>
    </row>
    <row r="121" spans="10:13" ht="16.5" x14ac:dyDescent="0.45">
      <c r="J121" t="s">
        <v>808</v>
      </c>
      <c r="K121" s="10" t="s">
        <v>118</v>
      </c>
      <c r="L121" s="6" t="str">
        <f t="shared" si="1"/>
        <v>DP</v>
      </c>
      <c r="M121" s="7" t="s">
        <v>942</v>
      </c>
    </row>
    <row r="122" spans="10:13" ht="16.5" x14ac:dyDescent="0.45">
      <c r="J122" t="s">
        <v>808</v>
      </c>
      <c r="K122" s="10" t="s">
        <v>119</v>
      </c>
      <c r="L122" s="6" t="str">
        <f t="shared" si="1"/>
        <v>DQ</v>
      </c>
      <c r="M122" s="7" t="s">
        <v>943</v>
      </c>
    </row>
    <row r="123" spans="10:13" ht="16.5" x14ac:dyDescent="0.45">
      <c r="J123" t="s">
        <v>808</v>
      </c>
      <c r="K123" s="10" t="s">
        <v>120</v>
      </c>
      <c r="L123" s="6" t="str">
        <f t="shared" si="1"/>
        <v>DR</v>
      </c>
      <c r="M123" s="7" t="s">
        <v>944</v>
      </c>
    </row>
    <row r="124" spans="10:13" ht="16.5" x14ac:dyDescent="0.45">
      <c r="J124" t="s">
        <v>808</v>
      </c>
      <c r="K124" s="10" t="s">
        <v>121</v>
      </c>
      <c r="L124" s="6" t="str">
        <f t="shared" si="1"/>
        <v>DS</v>
      </c>
      <c r="M124" s="7" t="s">
        <v>945</v>
      </c>
    </row>
    <row r="125" spans="10:13" ht="16.5" x14ac:dyDescent="0.45">
      <c r="J125" t="s">
        <v>808</v>
      </c>
      <c r="K125" s="10" t="s">
        <v>122</v>
      </c>
      <c r="L125" s="6" t="str">
        <f t="shared" si="1"/>
        <v>DT</v>
      </c>
      <c r="M125" s="7" t="s">
        <v>946</v>
      </c>
    </row>
    <row r="126" spans="10:13" ht="16.5" x14ac:dyDescent="0.45">
      <c r="J126" t="s">
        <v>808</v>
      </c>
      <c r="K126" s="10" t="s">
        <v>123</v>
      </c>
      <c r="L126" s="6" t="str">
        <f t="shared" si="1"/>
        <v>DU</v>
      </c>
      <c r="M126" s="7" t="s">
        <v>947</v>
      </c>
    </row>
    <row r="127" spans="10:13" ht="16.5" x14ac:dyDescent="0.45">
      <c r="J127" t="s">
        <v>808</v>
      </c>
      <c r="K127" s="10" t="s">
        <v>124</v>
      </c>
      <c r="L127" s="6" t="str">
        <f t="shared" si="1"/>
        <v>DV</v>
      </c>
      <c r="M127" s="7" t="s">
        <v>948</v>
      </c>
    </row>
    <row r="128" spans="10:13" ht="16.5" x14ac:dyDescent="0.45">
      <c r="J128" t="s">
        <v>808</v>
      </c>
      <c r="K128" s="10" t="s">
        <v>125</v>
      </c>
      <c r="L128" s="6" t="str">
        <f t="shared" si="1"/>
        <v>DW</v>
      </c>
      <c r="M128" s="7" t="s">
        <v>949</v>
      </c>
    </row>
    <row r="129" spans="10:13" ht="16.5" x14ac:dyDescent="0.45">
      <c r="J129" t="s">
        <v>808</v>
      </c>
      <c r="K129" s="10" t="s">
        <v>126</v>
      </c>
      <c r="L129" s="6" t="str">
        <f t="shared" si="1"/>
        <v>DX</v>
      </c>
      <c r="M129" s="7" t="s">
        <v>950</v>
      </c>
    </row>
    <row r="130" spans="10:13" ht="16.5" x14ac:dyDescent="0.45">
      <c r="J130" t="s">
        <v>808</v>
      </c>
      <c r="K130" s="10" t="s">
        <v>127</v>
      </c>
      <c r="L130" s="6" t="str">
        <f t="shared" si="1"/>
        <v>DY</v>
      </c>
      <c r="M130" s="7" t="s">
        <v>951</v>
      </c>
    </row>
    <row r="131" spans="10:13" ht="16.5" x14ac:dyDescent="0.45">
      <c r="J131" t="s">
        <v>808</v>
      </c>
      <c r="K131" s="10" t="s">
        <v>128</v>
      </c>
      <c r="L131" s="6" t="str">
        <f t="shared" si="1"/>
        <v>DZ</v>
      </c>
      <c r="M131" s="7" t="s">
        <v>952</v>
      </c>
    </row>
    <row r="132" spans="10:13" ht="16.5" x14ac:dyDescent="0.45">
      <c r="J132" t="s">
        <v>808</v>
      </c>
      <c r="K132" s="10" t="s">
        <v>129</v>
      </c>
      <c r="L132" s="6" t="str">
        <f t="shared" si="1"/>
        <v>EA</v>
      </c>
      <c r="M132" s="7" t="s">
        <v>953</v>
      </c>
    </row>
    <row r="133" spans="10:13" ht="16.5" x14ac:dyDescent="0.45">
      <c r="J133" t="s">
        <v>808</v>
      </c>
      <c r="K133" s="10" t="s">
        <v>130</v>
      </c>
      <c r="L133" s="6" t="str">
        <f t="shared" si="1"/>
        <v>EB</v>
      </c>
      <c r="M133" s="7" t="s">
        <v>954</v>
      </c>
    </row>
    <row r="134" spans="10:13" ht="16.5" x14ac:dyDescent="0.45">
      <c r="J134" t="s">
        <v>808</v>
      </c>
      <c r="K134" s="10" t="s">
        <v>131</v>
      </c>
      <c r="L134" s="6" t="str">
        <f t="shared" ref="L134:L197" si="2">LEFT(ADDRESS(1, ROW(L133), 4, TRUE), (ROW(L133)&gt;26)+1)</f>
        <v>EC</v>
      </c>
      <c r="M134" s="7" t="s">
        <v>955</v>
      </c>
    </row>
    <row r="135" spans="10:13" ht="16.5" x14ac:dyDescent="0.45">
      <c r="J135" t="s">
        <v>808</v>
      </c>
      <c r="K135" s="10" t="s">
        <v>132</v>
      </c>
      <c r="L135" s="6" t="str">
        <f t="shared" si="2"/>
        <v>ED</v>
      </c>
      <c r="M135" s="7" t="s">
        <v>956</v>
      </c>
    </row>
    <row r="136" spans="10:13" ht="16.5" x14ac:dyDescent="0.45">
      <c r="J136" t="s">
        <v>808</v>
      </c>
      <c r="K136" s="10" t="s">
        <v>133</v>
      </c>
      <c r="L136" s="6" t="str">
        <f t="shared" si="2"/>
        <v>EE</v>
      </c>
      <c r="M136" s="7" t="s">
        <v>957</v>
      </c>
    </row>
    <row r="137" spans="10:13" ht="16.5" x14ac:dyDescent="0.45">
      <c r="J137" t="s">
        <v>808</v>
      </c>
      <c r="K137" s="10" t="s">
        <v>134</v>
      </c>
      <c r="L137" s="6" t="str">
        <f t="shared" si="2"/>
        <v>EF</v>
      </c>
      <c r="M137" s="7" t="s">
        <v>958</v>
      </c>
    </row>
    <row r="138" spans="10:13" ht="16.5" x14ac:dyDescent="0.45">
      <c r="J138" t="s">
        <v>808</v>
      </c>
      <c r="K138" s="10" t="s">
        <v>135</v>
      </c>
      <c r="L138" s="6" t="str">
        <f t="shared" si="2"/>
        <v>EG</v>
      </c>
      <c r="M138" s="7" t="s">
        <v>959</v>
      </c>
    </row>
    <row r="139" spans="10:13" ht="16.5" x14ac:dyDescent="0.45">
      <c r="J139" t="s">
        <v>808</v>
      </c>
      <c r="K139" s="10" t="s">
        <v>136</v>
      </c>
      <c r="L139" s="6" t="str">
        <f t="shared" si="2"/>
        <v>EH</v>
      </c>
      <c r="M139" s="7" t="s">
        <v>960</v>
      </c>
    </row>
    <row r="140" spans="10:13" ht="16.5" x14ac:dyDescent="0.45">
      <c r="J140" t="s">
        <v>808</v>
      </c>
      <c r="K140" s="10" t="s">
        <v>137</v>
      </c>
      <c r="L140" s="6" t="str">
        <f t="shared" si="2"/>
        <v>EI</v>
      </c>
      <c r="M140" s="7" t="s">
        <v>961</v>
      </c>
    </row>
    <row r="141" spans="10:13" ht="16.5" x14ac:dyDescent="0.45">
      <c r="J141" t="s">
        <v>808</v>
      </c>
      <c r="K141" s="10" t="s">
        <v>138</v>
      </c>
      <c r="L141" s="6" t="str">
        <f t="shared" si="2"/>
        <v>EJ</v>
      </c>
      <c r="M141" s="7" t="s">
        <v>962</v>
      </c>
    </row>
    <row r="142" spans="10:13" ht="16.5" x14ac:dyDescent="0.45">
      <c r="J142" t="s">
        <v>808</v>
      </c>
      <c r="K142" s="10" t="s">
        <v>139</v>
      </c>
      <c r="L142" s="6" t="str">
        <f t="shared" si="2"/>
        <v>EK</v>
      </c>
      <c r="M142" s="7" t="s">
        <v>963</v>
      </c>
    </row>
    <row r="143" spans="10:13" ht="16.5" x14ac:dyDescent="0.45">
      <c r="J143" t="s">
        <v>808</v>
      </c>
      <c r="K143" s="10" t="s">
        <v>140</v>
      </c>
      <c r="L143" s="6" t="str">
        <f t="shared" si="2"/>
        <v>EL</v>
      </c>
      <c r="M143" s="7" t="s">
        <v>964</v>
      </c>
    </row>
    <row r="144" spans="10:13" ht="16.5" x14ac:dyDescent="0.45">
      <c r="J144" t="s">
        <v>808</v>
      </c>
      <c r="K144" s="10" t="s">
        <v>141</v>
      </c>
      <c r="L144" s="6" t="str">
        <f t="shared" si="2"/>
        <v>EM</v>
      </c>
      <c r="M144" s="7" t="s">
        <v>965</v>
      </c>
    </row>
    <row r="145" spans="10:13" ht="16.5" x14ac:dyDescent="0.45">
      <c r="J145" t="s">
        <v>808</v>
      </c>
      <c r="K145" s="10" t="s">
        <v>142</v>
      </c>
      <c r="L145" s="6" t="str">
        <f t="shared" si="2"/>
        <v>EN</v>
      </c>
      <c r="M145" s="7" t="s">
        <v>966</v>
      </c>
    </row>
    <row r="146" spans="10:13" ht="16.5" x14ac:dyDescent="0.45">
      <c r="J146" t="s">
        <v>808</v>
      </c>
      <c r="K146" s="10" t="s">
        <v>143</v>
      </c>
      <c r="L146" s="6" t="str">
        <f t="shared" si="2"/>
        <v>EO</v>
      </c>
      <c r="M146" s="7" t="s">
        <v>967</v>
      </c>
    </row>
    <row r="147" spans="10:13" ht="16.5" x14ac:dyDescent="0.45">
      <c r="J147" t="s">
        <v>808</v>
      </c>
      <c r="K147" s="10" t="s">
        <v>144</v>
      </c>
      <c r="L147" s="6" t="str">
        <f t="shared" si="2"/>
        <v>EP</v>
      </c>
      <c r="M147" s="7" t="s">
        <v>968</v>
      </c>
    </row>
    <row r="148" spans="10:13" ht="16.5" x14ac:dyDescent="0.45">
      <c r="J148" t="s">
        <v>808</v>
      </c>
      <c r="K148" s="10" t="s">
        <v>145</v>
      </c>
      <c r="L148" s="6" t="str">
        <f t="shared" si="2"/>
        <v>EQ</v>
      </c>
      <c r="M148" s="7" t="s">
        <v>969</v>
      </c>
    </row>
    <row r="149" spans="10:13" ht="16.5" x14ac:dyDescent="0.45">
      <c r="J149" t="s">
        <v>808</v>
      </c>
      <c r="K149" s="10" t="s">
        <v>146</v>
      </c>
      <c r="L149" s="6" t="str">
        <f t="shared" si="2"/>
        <v>ER</v>
      </c>
      <c r="M149" s="7" t="s">
        <v>970</v>
      </c>
    </row>
    <row r="150" spans="10:13" ht="16.5" x14ac:dyDescent="0.45">
      <c r="J150" t="s">
        <v>808</v>
      </c>
      <c r="K150" s="10" t="s">
        <v>147</v>
      </c>
      <c r="L150" s="6" t="str">
        <f t="shared" si="2"/>
        <v>ES</v>
      </c>
      <c r="M150" s="7" t="s">
        <v>971</v>
      </c>
    </row>
    <row r="151" spans="10:13" ht="16.5" x14ac:dyDescent="0.45">
      <c r="J151" t="s">
        <v>808</v>
      </c>
      <c r="K151" s="10" t="s">
        <v>148</v>
      </c>
      <c r="L151" s="6" t="str">
        <f t="shared" si="2"/>
        <v>ET</v>
      </c>
      <c r="M151" s="7" t="s">
        <v>972</v>
      </c>
    </row>
    <row r="152" spans="10:13" ht="16.5" x14ac:dyDescent="0.45">
      <c r="J152" t="s">
        <v>808</v>
      </c>
      <c r="K152" s="10" t="s">
        <v>149</v>
      </c>
      <c r="L152" s="6" t="str">
        <f t="shared" si="2"/>
        <v>EU</v>
      </c>
      <c r="M152" s="7" t="s">
        <v>973</v>
      </c>
    </row>
    <row r="153" spans="10:13" ht="16.5" x14ac:dyDescent="0.45">
      <c r="J153" t="s">
        <v>808</v>
      </c>
      <c r="K153" s="10" t="s">
        <v>150</v>
      </c>
      <c r="L153" s="6" t="str">
        <f t="shared" si="2"/>
        <v>EV</v>
      </c>
      <c r="M153" s="7" t="s">
        <v>974</v>
      </c>
    </row>
    <row r="154" spans="10:13" ht="16.5" x14ac:dyDescent="0.45">
      <c r="J154" t="s">
        <v>808</v>
      </c>
      <c r="K154" s="10" t="s">
        <v>151</v>
      </c>
      <c r="L154" s="6" t="str">
        <f t="shared" si="2"/>
        <v>EW</v>
      </c>
      <c r="M154" s="7" t="s">
        <v>975</v>
      </c>
    </row>
    <row r="155" spans="10:13" ht="16.5" x14ac:dyDescent="0.45">
      <c r="J155" t="s">
        <v>808</v>
      </c>
      <c r="K155" s="10" t="s">
        <v>152</v>
      </c>
      <c r="L155" s="6" t="str">
        <f t="shared" si="2"/>
        <v>EX</v>
      </c>
      <c r="M155" s="7" t="s">
        <v>976</v>
      </c>
    </row>
    <row r="156" spans="10:13" ht="16.5" x14ac:dyDescent="0.45">
      <c r="J156" t="s">
        <v>808</v>
      </c>
      <c r="K156" s="10" t="s">
        <v>153</v>
      </c>
      <c r="L156" s="6" t="str">
        <f t="shared" si="2"/>
        <v>EY</v>
      </c>
      <c r="M156" s="7" t="s">
        <v>977</v>
      </c>
    </row>
    <row r="157" spans="10:13" ht="16.5" x14ac:dyDescent="0.45">
      <c r="J157" t="s">
        <v>808</v>
      </c>
      <c r="K157" s="10" t="s">
        <v>154</v>
      </c>
      <c r="L157" s="6" t="str">
        <f t="shared" si="2"/>
        <v>EZ</v>
      </c>
      <c r="M157" s="7" t="s">
        <v>978</v>
      </c>
    </row>
    <row r="158" spans="10:13" ht="16.5" x14ac:dyDescent="0.45">
      <c r="J158" t="s">
        <v>808</v>
      </c>
      <c r="K158" s="10" t="s">
        <v>155</v>
      </c>
      <c r="L158" s="6" t="str">
        <f t="shared" si="2"/>
        <v>FA</v>
      </c>
      <c r="M158" s="7" t="s">
        <v>979</v>
      </c>
    </row>
    <row r="159" spans="10:13" ht="16.5" x14ac:dyDescent="0.45">
      <c r="J159" t="s">
        <v>808</v>
      </c>
      <c r="K159" s="10" t="s">
        <v>156</v>
      </c>
      <c r="L159" s="6" t="str">
        <f t="shared" si="2"/>
        <v>FB</v>
      </c>
      <c r="M159" s="7" t="s">
        <v>980</v>
      </c>
    </row>
    <row r="160" spans="10:13" ht="16.5" x14ac:dyDescent="0.45">
      <c r="J160" t="s">
        <v>808</v>
      </c>
      <c r="K160" s="10" t="s">
        <v>157</v>
      </c>
      <c r="L160" s="6" t="str">
        <f t="shared" si="2"/>
        <v>FC</v>
      </c>
      <c r="M160" s="7" t="s">
        <v>981</v>
      </c>
    </row>
    <row r="161" spans="10:13" ht="16.5" x14ac:dyDescent="0.45">
      <c r="J161" t="s">
        <v>808</v>
      </c>
      <c r="K161" s="10" t="s">
        <v>158</v>
      </c>
      <c r="L161" s="6" t="str">
        <f t="shared" si="2"/>
        <v>FD</v>
      </c>
      <c r="M161" s="7" t="s">
        <v>982</v>
      </c>
    </row>
    <row r="162" spans="10:13" ht="16.5" x14ac:dyDescent="0.45">
      <c r="J162" t="s">
        <v>808</v>
      </c>
      <c r="K162" s="10" t="s">
        <v>159</v>
      </c>
      <c r="L162" s="6" t="str">
        <f t="shared" si="2"/>
        <v>FE</v>
      </c>
      <c r="M162" s="7" t="s">
        <v>983</v>
      </c>
    </row>
    <row r="163" spans="10:13" ht="16.5" x14ac:dyDescent="0.45">
      <c r="J163" t="s">
        <v>808</v>
      </c>
      <c r="K163" s="10" t="s">
        <v>160</v>
      </c>
      <c r="L163" s="6" t="str">
        <f t="shared" si="2"/>
        <v>FF</v>
      </c>
      <c r="M163" s="7" t="s">
        <v>984</v>
      </c>
    </row>
    <row r="164" spans="10:13" ht="16.5" x14ac:dyDescent="0.45">
      <c r="J164" t="s">
        <v>808</v>
      </c>
      <c r="K164" s="10" t="s">
        <v>161</v>
      </c>
      <c r="L164" s="6" t="str">
        <f t="shared" si="2"/>
        <v>FG</v>
      </c>
      <c r="M164" s="7" t="s">
        <v>985</v>
      </c>
    </row>
    <row r="165" spans="10:13" ht="16.5" x14ac:dyDescent="0.45">
      <c r="J165" t="s">
        <v>808</v>
      </c>
      <c r="K165" s="10" t="s">
        <v>162</v>
      </c>
      <c r="L165" s="6" t="str">
        <f t="shared" si="2"/>
        <v>FH</v>
      </c>
      <c r="M165" s="7" t="s">
        <v>986</v>
      </c>
    </row>
    <row r="166" spans="10:13" ht="16.5" x14ac:dyDescent="0.45">
      <c r="J166" t="s">
        <v>808</v>
      </c>
      <c r="K166" s="10" t="s">
        <v>163</v>
      </c>
      <c r="L166" s="6" t="str">
        <f t="shared" si="2"/>
        <v>FI</v>
      </c>
      <c r="M166" s="7" t="s">
        <v>987</v>
      </c>
    </row>
    <row r="167" spans="10:13" ht="16.5" x14ac:dyDescent="0.45">
      <c r="J167" t="s">
        <v>808</v>
      </c>
      <c r="K167" s="10" t="s">
        <v>164</v>
      </c>
      <c r="L167" s="6" t="str">
        <f t="shared" si="2"/>
        <v>FJ</v>
      </c>
      <c r="M167" s="7" t="s">
        <v>988</v>
      </c>
    </row>
    <row r="168" spans="10:13" ht="16.5" x14ac:dyDescent="0.45">
      <c r="J168" t="s">
        <v>808</v>
      </c>
      <c r="K168" s="10" t="s">
        <v>165</v>
      </c>
      <c r="L168" s="6" t="str">
        <f t="shared" si="2"/>
        <v>FK</v>
      </c>
      <c r="M168" s="7" t="s">
        <v>989</v>
      </c>
    </row>
    <row r="169" spans="10:13" ht="16.5" x14ac:dyDescent="0.45">
      <c r="J169" t="s">
        <v>808</v>
      </c>
      <c r="K169" s="10" t="s">
        <v>166</v>
      </c>
      <c r="L169" s="6" t="str">
        <f t="shared" si="2"/>
        <v>FL</v>
      </c>
      <c r="M169" s="7" t="s">
        <v>990</v>
      </c>
    </row>
    <row r="170" spans="10:13" ht="16.5" x14ac:dyDescent="0.45">
      <c r="J170" t="s">
        <v>808</v>
      </c>
      <c r="K170" s="10" t="s">
        <v>167</v>
      </c>
      <c r="L170" s="6" t="str">
        <f t="shared" si="2"/>
        <v>FM</v>
      </c>
      <c r="M170" s="7" t="s">
        <v>991</v>
      </c>
    </row>
    <row r="171" spans="10:13" ht="16.5" x14ac:dyDescent="0.45">
      <c r="J171" t="s">
        <v>808</v>
      </c>
      <c r="K171" s="10" t="s">
        <v>168</v>
      </c>
      <c r="L171" s="6" t="str">
        <f t="shared" si="2"/>
        <v>FN</v>
      </c>
      <c r="M171" s="7" t="s">
        <v>992</v>
      </c>
    </row>
    <row r="172" spans="10:13" ht="16.5" x14ac:dyDescent="0.45">
      <c r="J172" t="s">
        <v>808</v>
      </c>
      <c r="K172" s="11" t="s">
        <v>169</v>
      </c>
      <c r="L172" s="6" t="str">
        <f t="shared" si="2"/>
        <v>FO</v>
      </c>
      <c r="M172" s="7" t="s">
        <v>993</v>
      </c>
    </row>
    <row r="173" spans="10:13" ht="16.5" x14ac:dyDescent="0.45">
      <c r="J173" t="s">
        <v>808</v>
      </c>
      <c r="K173" s="11" t="s">
        <v>170</v>
      </c>
      <c r="L173" s="6" t="str">
        <f t="shared" si="2"/>
        <v>FP</v>
      </c>
      <c r="M173" s="7" t="s">
        <v>994</v>
      </c>
    </row>
    <row r="174" spans="10:13" ht="16.5" x14ac:dyDescent="0.45">
      <c r="J174" t="s">
        <v>808</v>
      </c>
      <c r="K174" s="11" t="s">
        <v>171</v>
      </c>
      <c r="L174" s="6" t="str">
        <f t="shared" si="2"/>
        <v>FQ</v>
      </c>
      <c r="M174" s="7" t="s">
        <v>995</v>
      </c>
    </row>
    <row r="175" spans="10:13" ht="16.5" x14ac:dyDescent="0.45">
      <c r="J175" t="s">
        <v>808</v>
      </c>
      <c r="K175" s="11" t="s">
        <v>172</v>
      </c>
      <c r="L175" s="6" t="str">
        <f t="shared" si="2"/>
        <v>FR</v>
      </c>
      <c r="M175" s="7" t="s">
        <v>996</v>
      </c>
    </row>
    <row r="176" spans="10:13" ht="16.5" x14ac:dyDescent="0.45">
      <c r="J176" t="s">
        <v>808</v>
      </c>
      <c r="K176" s="11" t="s">
        <v>173</v>
      </c>
      <c r="L176" s="6" t="str">
        <f t="shared" si="2"/>
        <v>FS</v>
      </c>
      <c r="M176" s="7" t="s">
        <v>997</v>
      </c>
    </row>
    <row r="177" spans="10:13" ht="16.5" x14ac:dyDescent="0.45">
      <c r="J177" t="s">
        <v>808</v>
      </c>
      <c r="K177" s="11" t="s">
        <v>174</v>
      </c>
      <c r="L177" s="6" t="str">
        <f t="shared" si="2"/>
        <v>FT</v>
      </c>
      <c r="M177" s="7" t="s">
        <v>998</v>
      </c>
    </row>
    <row r="178" spans="10:13" ht="16.5" x14ac:dyDescent="0.45">
      <c r="J178" t="s">
        <v>808</v>
      </c>
      <c r="K178" s="11" t="s">
        <v>175</v>
      </c>
      <c r="L178" s="6" t="str">
        <f t="shared" si="2"/>
        <v>FU</v>
      </c>
      <c r="M178" s="7" t="s">
        <v>999</v>
      </c>
    </row>
    <row r="179" spans="10:13" ht="16.5" x14ac:dyDescent="0.45">
      <c r="J179" t="s">
        <v>808</v>
      </c>
      <c r="K179" s="11" t="s">
        <v>176</v>
      </c>
      <c r="L179" s="6" t="str">
        <f t="shared" si="2"/>
        <v>FV</v>
      </c>
      <c r="M179" s="7" t="s">
        <v>1000</v>
      </c>
    </row>
    <row r="180" spans="10:13" ht="16.5" x14ac:dyDescent="0.45">
      <c r="J180" t="s">
        <v>808</v>
      </c>
      <c r="K180" s="11" t="s">
        <v>177</v>
      </c>
      <c r="L180" s="6" t="str">
        <f t="shared" si="2"/>
        <v>FW</v>
      </c>
      <c r="M180" s="7" t="s">
        <v>1001</v>
      </c>
    </row>
    <row r="181" spans="10:13" ht="16.5" x14ac:dyDescent="0.45">
      <c r="J181" t="s">
        <v>808</v>
      </c>
      <c r="K181" s="11" t="s">
        <v>178</v>
      </c>
      <c r="L181" s="6" t="str">
        <f t="shared" si="2"/>
        <v>FX</v>
      </c>
      <c r="M181" s="7" t="s">
        <v>1002</v>
      </c>
    </row>
    <row r="182" spans="10:13" ht="16.5" x14ac:dyDescent="0.45">
      <c r="J182" t="s">
        <v>808</v>
      </c>
      <c r="K182" s="11" t="s">
        <v>179</v>
      </c>
      <c r="L182" s="6" t="str">
        <f t="shared" si="2"/>
        <v>FY</v>
      </c>
      <c r="M182" s="7" t="s">
        <v>1003</v>
      </c>
    </row>
    <row r="183" spans="10:13" ht="16.5" x14ac:dyDescent="0.45">
      <c r="J183" t="s">
        <v>808</v>
      </c>
      <c r="K183" s="11" t="s">
        <v>180</v>
      </c>
      <c r="L183" s="6" t="str">
        <f t="shared" si="2"/>
        <v>FZ</v>
      </c>
      <c r="M183" s="7" t="s">
        <v>1004</v>
      </c>
    </row>
    <row r="184" spans="10:13" ht="16.5" x14ac:dyDescent="0.45">
      <c r="J184" t="s">
        <v>808</v>
      </c>
      <c r="K184" s="11" t="s">
        <v>181</v>
      </c>
      <c r="L184" s="6" t="str">
        <f t="shared" si="2"/>
        <v>GA</v>
      </c>
      <c r="M184" s="7" t="s">
        <v>1005</v>
      </c>
    </row>
    <row r="185" spans="10:13" ht="16.5" x14ac:dyDescent="0.45">
      <c r="J185" t="s">
        <v>808</v>
      </c>
      <c r="K185" s="11" t="s">
        <v>182</v>
      </c>
      <c r="L185" s="6" t="str">
        <f t="shared" si="2"/>
        <v>GB</v>
      </c>
      <c r="M185" s="7" t="s">
        <v>1006</v>
      </c>
    </row>
    <row r="186" spans="10:13" ht="16.5" x14ac:dyDescent="0.45">
      <c r="J186" t="s">
        <v>808</v>
      </c>
      <c r="K186" s="11" t="s">
        <v>183</v>
      </c>
      <c r="L186" s="6" t="str">
        <f t="shared" si="2"/>
        <v>GC</v>
      </c>
      <c r="M186" s="7" t="s">
        <v>1007</v>
      </c>
    </row>
    <row r="187" spans="10:13" ht="16.5" x14ac:dyDescent="0.45">
      <c r="J187" t="s">
        <v>808</v>
      </c>
      <c r="K187" s="11" t="s">
        <v>184</v>
      </c>
      <c r="L187" s="6" t="str">
        <f t="shared" si="2"/>
        <v>GD</v>
      </c>
      <c r="M187" s="7" t="s">
        <v>1008</v>
      </c>
    </row>
    <row r="188" spans="10:13" ht="16.5" x14ac:dyDescent="0.45">
      <c r="J188" t="s">
        <v>808</v>
      </c>
      <c r="K188" s="11" t="s">
        <v>185</v>
      </c>
      <c r="L188" s="6" t="str">
        <f t="shared" si="2"/>
        <v>GE</v>
      </c>
      <c r="M188" s="7" t="s">
        <v>1009</v>
      </c>
    </row>
    <row r="189" spans="10:13" ht="16.5" x14ac:dyDescent="0.45">
      <c r="J189" t="s">
        <v>808</v>
      </c>
      <c r="K189" s="11" t="s">
        <v>186</v>
      </c>
      <c r="L189" s="6" t="str">
        <f t="shared" si="2"/>
        <v>GF</v>
      </c>
      <c r="M189" s="7" t="s">
        <v>1010</v>
      </c>
    </row>
    <row r="190" spans="10:13" ht="16.5" x14ac:dyDescent="0.45">
      <c r="J190" t="s">
        <v>808</v>
      </c>
      <c r="K190" s="11" t="s">
        <v>187</v>
      </c>
      <c r="L190" s="6" t="str">
        <f t="shared" si="2"/>
        <v>GG</v>
      </c>
      <c r="M190" s="7" t="s">
        <v>1011</v>
      </c>
    </row>
    <row r="191" spans="10:13" ht="16.5" x14ac:dyDescent="0.45">
      <c r="J191" t="s">
        <v>808</v>
      </c>
      <c r="K191" s="11" t="s">
        <v>188</v>
      </c>
      <c r="L191" s="6" t="str">
        <f t="shared" si="2"/>
        <v>GH</v>
      </c>
      <c r="M191" s="7" t="s">
        <v>1012</v>
      </c>
    </row>
    <row r="192" spans="10:13" ht="16.5" x14ac:dyDescent="0.45">
      <c r="J192" t="s">
        <v>808</v>
      </c>
      <c r="K192" s="11" t="s">
        <v>189</v>
      </c>
      <c r="L192" s="6" t="str">
        <f t="shared" si="2"/>
        <v>GI</v>
      </c>
      <c r="M192" s="7" t="s">
        <v>1013</v>
      </c>
    </row>
    <row r="193" spans="10:13" ht="16.5" x14ac:dyDescent="0.45">
      <c r="J193" t="s">
        <v>808</v>
      </c>
      <c r="K193" s="11" t="s">
        <v>190</v>
      </c>
      <c r="L193" s="6" t="str">
        <f t="shared" si="2"/>
        <v>GJ</v>
      </c>
      <c r="M193" s="7" t="s">
        <v>1014</v>
      </c>
    </row>
    <row r="194" spans="10:13" ht="16.5" x14ac:dyDescent="0.45">
      <c r="J194" t="s">
        <v>808</v>
      </c>
      <c r="K194" s="11" t="s">
        <v>191</v>
      </c>
      <c r="L194" s="6" t="str">
        <f t="shared" si="2"/>
        <v>GK</v>
      </c>
      <c r="M194" s="7" t="s">
        <v>1015</v>
      </c>
    </row>
    <row r="195" spans="10:13" ht="16.5" x14ac:dyDescent="0.45">
      <c r="J195" t="s">
        <v>808</v>
      </c>
      <c r="K195" s="11" t="s">
        <v>192</v>
      </c>
      <c r="L195" s="6" t="str">
        <f t="shared" si="2"/>
        <v>GL</v>
      </c>
      <c r="M195" s="7" t="s">
        <v>1016</v>
      </c>
    </row>
    <row r="196" spans="10:13" ht="16.5" x14ac:dyDescent="0.45">
      <c r="J196" t="s">
        <v>808</v>
      </c>
      <c r="K196" s="11" t="s">
        <v>193</v>
      </c>
      <c r="L196" s="6" t="str">
        <f t="shared" si="2"/>
        <v>GM</v>
      </c>
      <c r="M196" s="7" t="s">
        <v>1017</v>
      </c>
    </row>
    <row r="197" spans="10:13" ht="16.5" x14ac:dyDescent="0.45">
      <c r="J197" t="s">
        <v>808</v>
      </c>
      <c r="K197" s="11" t="s">
        <v>194</v>
      </c>
      <c r="L197" s="6" t="str">
        <f t="shared" si="2"/>
        <v>GN</v>
      </c>
      <c r="M197" s="7" t="s">
        <v>1018</v>
      </c>
    </row>
    <row r="198" spans="10:13" ht="16.5" x14ac:dyDescent="0.45">
      <c r="J198" t="s">
        <v>808</v>
      </c>
      <c r="K198" s="11" t="s">
        <v>195</v>
      </c>
      <c r="L198" s="6" t="str">
        <f t="shared" ref="L198:L261" si="3">LEFT(ADDRESS(1, ROW(L197), 4, TRUE), (ROW(L197)&gt;26)+1)</f>
        <v>GO</v>
      </c>
      <c r="M198" s="7" t="s">
        <v>1019</v>
      </c>
    </row>
    <row r="199" spans="10:13" ht="16.5" x14ac:dyDescent="0.45">
      <c r="J199" t="s">
        <v>808</v>
      </c>
      <c r="K199" s="11" t="s">
        <v>196</v>
      </c>
      <c r="L199" s="6" t="str">
        <f t="shared" si="3"/>
        <v>GP</v>
      </c>
      <c r="M199" s="7" t="s">
        <v>1020</v>
      </c>
    </row>
    <row r="200" spans="10:13" ht="16.5" x14ac:dyDescent="0.45">
      <c r="J200" t="s">
        <v>808</v>
      </c>
      <c r="K200" s="11" t="s">
        <v>197</v>
      </c>
      <c r="L200" s="6" t="str">
        <f t="shared" si="3"/>
        <v>GQ</v>
      </c>
      <c r="M200" s="7" t="s">
        <v>1021</v>
      </c>
    </row>
    <row r="201" spans="10:13" ht="16.5" x14ac:dyDescent="0.45">
      <c r="J201" t="s">
        <v>808</v>
      </c>
      <c r="K201" s="11" t="s">
        <v>198</v>
      </c>
      <c r="L201" s="6" t="str">
        <f t="shared" si="3"/>
        <v>GR</v>
      </c>
      <c r="M201" s="7" t="s">
        <v>1022</v>
      </c>
    </row>
    <row r="202" spans="10:13" ht="16.5" x14ac:dyDescent="0.45">
      <c r="J202" t="s">
        <v>808</v>
      </c>
      <c r="K202" s="12" t="s">
        <v>199</v>
      </c>
      <c r="L202" s="6" t="str">
        <f t="shared" si="3"/>
        <v>GS</v>
      </c>
      <c r="M202" s="7" t="s">
        <v>1023</v>
      </c>
    </row>
    <row r="203" spans="10:13" ht="16.5" x14ac:dyDescent="0.45">
      <c r="J203" t="s">
        <v>808</v>
      </c>
      <c r="K203" s="12" t="s">
        <v>200</v>
      </c>
      <c r="L203" s="6" t="str">
        <f t="shared" si="3"/>
        <v>GT</v>
      </c>
      <c r="M203" s="7" t="s">
        <v>1024</v>
      </c>
    </row>
    <row r="204" spans="10:13" ht="16.5" x14ac:dyDescent="0.45">
      <c r="J204" t="s">
        <v>808</v>
      </c>
      <c r="K204" s="12" t="s">
        <v>201</v>
      </c>
      <c r="L204" s="6" t="str">
        <f t="shared" si="3"/>
        <v>GU</v>
      </c>
      <c r="M204" s="7" t="s">
        <v>1025</v>
      </c>
    </row>
    <row r="205" spans="10:13" ht="16.5" x14ac:dyDescent="0.45">
      <c r="J205" t="s">
        <v>808</v>
      </c>
      <c r="K205" s="12" t="s">
        <v>202</v>
      </c>
      <c r="L205" s="6" t="str">
        <f t="shared" si="3"/>
        <v>GV</v>
      </c>
      <c r="M205" s="7" t="s">
        <v>1026</v>
      </c>
    </row>
    <row r="206" spans="10:13" ht="16.5" x14ac:dyDescent="0.45">
      <c r="J206" t="s">
        <v>808</v>
      </c>
      <c r="K206" s="12" t="s">
        <v>203</v>
      </c>
      <c r="L206" s="6" t="str">
        <f t="shared" si="3"/>
        <v>GW</v>
      </c>
      <c r="M206" s="7" t="s">
        <v>1027</v>
      </c>
    </row>
    <row r="207" spans="10:13" ht="16.5" x14ac:dyDescent="0.45">
      <c r="J207" t="s">
        <v>808</v>
      </c>
      <c r="K207" s="12" t="s">
        <v>204</v>
      </c>
      <c r="L207" s="6" t="str">
        <f t="shared" si="3"/>
        <v>GX</v>
      </c>
      <c r="M207" s="7" t="s">
        <v>1028</v>
      </c>
    </row>
    <row r="208" spans="10:13" ht="16.5" x14ac:dyDescent="0.45">
      <c r="J208" t="s">
        <v>808</v>
      </c>
      <c r="K208" s="12" t="s">
        <v>205</v>
      </c>
      <c r="L208" s="6" t="str">
        <f t="shared" si="3"/>
        <v>GY</v>
      </c>
      <c r="M208" s="7" t="s">
        <v>1029</v>
      </c>
    </row>
    <row r="209" spans="10:13" ht="16.5" x14ac:dyDescent="0.45">
      <c r="J209" t="s">
        <v>808</v>
      </c>
      <c r="K209" s="12" t="s">
        <v>206</v>
      </c>
      <c r="L209" s="6" t="str">
        <f t="shared" si="3"/>
        <v>GZ</v>
      </c>
      <c r="M209" s="7" t="s">
        <v>1030</v>
      </c>
    </row>
    <row r="210" spans="10:13" ht="16.5" x14ac:dyDescent="0.45">
      <c r="J210" t="s">
        <v>808</v>
      </c>
      <c r="K210" s="12" t="s">
        <v>207</v>
      </c>
      <c r="L210" s="6" t="str">
        <f t="shared" si="3"/>
        <v>HA</v>
      </c>
      <c r="M210" s="7" t="s">
        <v>1031</v>
      </c>
    </row>
    <row r="211" spans="10:13" ht="16.5" x14ac:dyDescent="0.45">
      <c r="J211" t="s">
        <v>808</v>
      </c>
      <c r="K211" s="12" t="s">
        <v>208</v>
      </c>
      <c r="L211" s="6" t="str">
        <f t="shared" si="3"/>
        <v>HB</v>
      </c>
      <c r="M211" s="7" t="s">
        <v>1032</v>
      </c>
    </row>
    <row r="212" spans="10:13" ht="16.5" x14ac:dyDescent="0.45">
      <c r="J212" t="s">
        <v>808</v>
      </c>
      <c r="K212" s="12" t="s">
        <v>209</v>
      </c>
      <c r="L212" s="6" t="str">
        <f t="shared" si="3"/>
        <v>HC</v>
      </c>
      <c r="M212" s="7" t="s">
        <v>1033</v>
      </c>
    </row>
    <row r="213" spans="10:13" ht="16.5" x14ac:dyDescent="0.45">
      <c r="J213" t="s">
        <v>808</v>
      </c>
      <c r="K213" s="12" t="s">
        <v>210</v>
      </c>
      <c r="L213" s="6" t="str">
        <f t="shared" si="3"/>
        <v>HD</v>
      </c>
      <c r="M213" s="7" t="s">
        <v>1034</v>
      </c>
    </row>
    <row r="214" spans="10:13" ht="16.5" x14ac:dyDescent="0.45">
      <c r="J214" t="s">
        <v>808</v>
      </c>
      <c r="K214" s="12" t="s">
        <v>211</v>
      </c>
      <c r="L214" s="6" t="str">
        <f t="shared" si="3"/>
        <v>HE</v>
      </c>
      <c r="M214" s="7" t="s">
        <v>1035</v>
      </c>
    </row>
    <row r="215" spans="10:13" ht="16.5" x14ac:dyDescent="0.45">
      <c r="J215" t="s">
        <v>808</v>
      </c>
      <c r="K215" s="12" t="s">
        <v>212</v>
      </c>
      <c r="L215" s="6" t="str">
        <f t="shared" si="3"/>
        <v>HF</v>
      </c>
      <c r="M215" s="7" t="s">
        <v>1036</v>
      </c>
    </row>
    <row r="216" spans="10:13" ht="16.5" x14ac:dyDescent="0.45">
      <c r="J216" t="s">
        <v>808</v>
      </c>
      <c r="K216" s="12" t="s">
        <v>213</v>
      </c>
      <c r="L216" s="6" t="str">
        <f t="shared" si="3"/>
        <v>HG</v>
      </c>
      <c r="M216" s="7" t="s">
        <v>1037</v>
      </c>
    </row>
    <row r="217" spans="10:13" ht="16.5" x14ac:dyDescent="0.45">
      <c r="J217" t="s">
        <v>808</v>
      </c>
      <c r="K217" s="12" t="s">
        <v>214</v>
      </c>
      <c r="L217" s="6" t="str">
        <f t="shared" si="3"/>
        <v>HH</v>
      </c>
      <c r="M217" s="7" t="s">
        <v>1038</v>
      </c>
    </row>
    <row r="218" spans="10:13" ht="16.5" x14ac:dyDescent="0.45">
      <c r="J218" t="s">
        <v>808</v>
      </c>
      <c r="K218" s="12" t="s">
        <v>215</v>
      </c>
      <c r="L218" s="6" t="str">
        <f t="shared" si="3"/>
        <v>HI</v>
      </c>
      <c r="M218" s="7" t="s">
        <v>1039</v>
      </c>
    </row>
    <row r="219" spans="10:13" ht="16.5" x14ac:dyDescent="0.45">
      <c r="J219" t="s">
        <v>808</v>
      </c>
      <c r="K219" s="12" t="s">
        <v>216</v>
      </c>
      <c r="L219" s="6" t="str">
        <f t="shared" si="3"/>
        <v>HJ</v>
      </c>
      <c r="M219" s="7" t="s">
        <v>1040</v>
      </c>
    </row>
    <row r="220" spans="10:13" ht="16.5" x14ac:dyDescent="0.45">
      <c r="J220" t="s">
        <v>808</v>
      </c>
      <c r="K220" s="12" t="s">
        <v>217</v>
      </c>
      <c r="L220" s="6" t="str">
        <f t="shared" si="3"/>
        <v>HK</v>
      </c>
      <c r="M220" s="7" t="s">
        <v>1041</v>
      </c>
    </row>
    <row r="221" spans="10:13" ht="16.5" x14ac:dyDescent="0.45">
      <c r="J221" t="s">
        <v>808</v>
      </c>
      <c r="K221" s="12" t="s">
        <v>218</v>
      </c>
      <c r="L221" s="6" t="str">
        <f t="shared" si="3"/>
        <v>HL</v>
      </c>
      <c r="M221" s="7" t="s">
        <v>1042</v>
      </c>
    </row>
    <row r="222" spans="10:13" ht="16.5" x14ac:dyDescent="0.45">
      <c r="J222" t="s">
        <v>808</v>
      </c>
      <c r="K222" s="12" t="s">
        <v>219</v>
      </c>
      <c r="L222" s="6" t="str">
        <f t="shared" si="3"/>
        <v>HM</v>
      </c>
      <c r="M222" s="7" t="s">
        <v>1043</v>
      </c>
    </row>
    <row r="223" spans="10:13" ht="16.5" x14ac:dyDescent="0.45">
      <c r="J223" t="s">
        <v>808</v>
      </c>
      <c r="K223" s="12" t="s">
        <v>220</v>
      </c>
      <c r="L223" s="6" t="str">
        <f t="shared" si="3"/>
        <v>HN</v>
      </c>
      <c r="M223" s="7" t="s">
        <v>1044</v>
      </c>
    </row>
    <row r="224" spans="10:13" ht="16.5" x14ac:dyDescent="0.45">
      <c r="J224" t="s">
        <v>808</v>
      </c>
      <c r="K224" s="12" t="s">
        <v>221</v>
      </c>
      <c r="L224" s="6" t="str">
        <f t="shared" si="3"/>
        <v>HO</v>
      </c>
      <c r="M224" s="7" t="s">
        <v>1045</v>
      </c>
    </row>
    <row r="225" spans="10:13" ht="16.5" x14ac:dyDescent="0.45">
      <c r="J225" t="s">
        <v>808</v>
      </c>
      <c r="K225" s="12" t="s">
        <v>222</v>
      </c>
      <c r="L225" s="6" t="str">
        <f t="shared" si="3"/>
        <v>HP</v>
      </c>
      <c r="M225" s="7" t="s">
        <v>1046</v>
      </c>
    </row>
    <row r="226" spans="10:13" ht="16.5" x14ac:dyDescent="0.45">
      <c r="J226" t="s">
        <v>808</v>
      </c>
      <c r="K226" s="12" t="s">
        <v>223</v>
      </c>
      <c r="L226" s="6" t="str">
        <f t="shared" si="3"/>
        <v>HQ</v>
      </c>
      <c r="M226" s="7" t="s">
        <v>1047</v>
      </c>
    </row>
    <row r="227" spans="10:13" ht="16.5" x14ac:dyDescent="0.45">
      <c r="J227" t="s">
        <v>808</v>
      </c>
      <c r="K227" s="12" t="s">
        <v>224</v>
      </c>
      <c r="L227" s="6" t="str">
        <f t="shared" si="3"/>
        <v>HR</v>
      </c>
      <c r="M227" s="7" t="s">
        <v>1048</v>
      </c>
    </row>
    <row r="228" spans="10:13" ht="16.5" x14ac:dyDescent="0.45">
      <c r="J228" t="s">
        <v>808</v>
      </c>
      <c r="K228" s="12" t="s">
        <v>225</v>
      </c>
      <c r="L228" s="6" t="str">
        <f t="shared" si="3"/>
        <v>HS</v>
      </c>
      <c r="M228" s="7" t="s">
        <v>1049</v>
      </c>
    </row>
    <row r="229" spans="10:13" ht="16.5" x14ac:dyDescent="0.45">
      <c r="J229" t="s">
        <v>808</v>
      </c>
      <c r="K229" s="12" t="s">
        <v>226</v>
      </c>
      <c r="L229" s="6" t="str">
        <f t="shared" si="3"/>
        <v>HT</v>
      </c>
      <c r="M229" s="7" t="s">
        <v>1050</v>
      </c>
    </row>
    <row r="230" spans="10:13" ht="16.5" x14ac:dyDescent="0.45">
      <c r="J230" t="s">
        <v>808</v>
      </c>
      <c r="K230" s="12" t="s">
        <v>227</v>
      </c>
      <c r="L230" s="6" t="str">
        <f t="shared" si="3"/>
        <v>HU</v>
      </c>
      <c r="M230" s="7" t="s">
        <v>1051</v>
      </c>
    </row>
    <row r="231" spans="10:13" ht="16.5" x14ac:dyDescent="0.45">
      <c r="J231" t="s">
        <v>808</v>
      </c>
      <c r="K231" s="12" t="s">
        <v>228</v>
      </c>
      <c r="L231" s="6" t="str">
        <f t="shared" si="3"/>
        <v>HV</v>
      </c>
      <c r="M231" s="7" t="s">
        <v>1052</v>
      </c>
    </row>
    <row r="232" spans="10:13" ht="16.5" x14ac:dyDescent="0.45">
      <c r="J232" t="s">
        <v>808</v>
      </c>
      <c r="K232" s="12" t="s">
        <v>229</v>
      </c>
      <c r="L232" s="6" t="str">
        <f t="shared" si="3"/>
        <v>HW</v>
      </c>
      <c r="M232" s="7" t="s">
        <v>1053</v>
      </c>
    </row>
    <row r="233" spans="10:13" ht="16.5" x14ac:dyDescent="0.45">
      <c r="J233" t="s">
        <v>808</v>
      </c>
      <c r="K233" s="12" t="s">
        <v>230</v>
      </c>
      <c r="L233" s="6" t="str">
        <f t="shared" si="3"/>
        <v>HX</v>
      </c>
      <c r="M233" s="7" t="s">
        <v>1054</v>
      </c>
    </row>
    <row r="234" spans="10:13" ht="16.5" x14ac:dyDescent="0.45">
      <c r="J234" t="s">
        <v>808</v>
      </c>
      <c r="K234" s="12" t="s">
        <v>231</v>
      </c>
      <c r="L234" s="6" t="str">
        <f t="shared" si="3"/>
        <v>HY</v>
      </c>
      <c r="M234" s="7" t="s">
        <v>1055</v>
      </c>
    </row>
    <row r="235" spans="10:13" ht="16.5" x14ac:dyDescent="0.45">
      <c r="J235" t="s">
        <v>808</v>
      </c>
      <c r="K235" s="12" t="s">
        <v>232</v>
      </c>
      <c r="L235" s="6" t="str">
        <f t="shared" si="3"/>
        <v>HZ</v>
      </c>
      <c r="M235" s="7" t="s">
        <v>1056</v>
      </c>
    </row>
    <row r="236" spans="10:13" ht="16.5" x14ac:dyDescent="0.45">
      <c r="J236" t="s">
        <v>808</v>
      </c>
      <c r="K236" s="12" t="s">
        <v>233</v>
      </c>
      <c r="L236" s="6" t="str">
        <f t="shared" si="3"/>
        <v>IA</v>
      </c>
      <c r="M236" s="7" t="s">
        <v>1057</v>
      </c>
    </row>
    <row r="237" spans="10:13" ht="16.5" x14ac:dyDescent="0.45">
      <c r="J237" t="s">
        <v>808</v>
      </c>
      <c r="K237" s="12" t="s">
        <v>234</v>
      </c>
      <c r="L237" s="6" t="str">
        <f t="shared" si="3"/>
        <v>IB</v>
      </c>
      <c r="M237" s="7" t="s">
        <v>1058</v>
      </c>
    </row>
    <row r="238" spans="10:13" ht="16.5" x14ac:dyDescent="0.45">
      <c r="J238" t="s">
        <v>808</v>
      </c>
      <c r="K238" s="12" t="s">
        <v>235</v>
      </c>
      <c r="L238" s="6" t="str">
        <f t="shared" si="3"/>
        <v>IC</v>
      </c>
      <c r="M238" s="7" t="s">
        <v>1059</v>
      </c>
    </row>
    <row r="239" spans="10:13" ht="16.5" x14ac:dyDescent="0.45">
      <c r="J239" t="s">
        <v>808</v>
      </c>
      <c r="K239" s="12" t="s">
        <v>236</v>
      </c>
      <c r="L239" s="6" t="str">
        <f t="shared" si="3"/>
        <v>ID</v>
      </c>
      <c r="M239" s="7" t="s">
        <v>600</v>
      </c>
    </row>
    <row r="240" spans="10:13" ht="16.5" x14ac:dyDescent="0.45">
      <c r="J240" t="s">
        <v>808</v>
      </c>
      <c r="K240" s="12" t="s">
        <v>237</v>
      </c>
      <c r="L240" s="6" t="str">
        <f t="shared" si="3"/>
        <v>IE</v>
      </c>
      <c r="M240" s="7" t="s">
        <v>602</v>
      </c>
    </row>
    <row r="241" spans="10:13" ht="16.5" x14ac:dyDescent="0.45">
      <c r="J241" t="s">
        <v>808</v>
      </c>
      <c r="K241" s="12" t="s">
        <v>238</v>
      </c>
      <c r="L241" s="6" t="str">
        <f t="shared" si="3"/>
        <v>IF</v>
      </c>
      <c r="M241" s="7" t="s">
        <v>1060</v>
      </c>
    </row>
    <row r="242" spans="10:13" ht="16.5" x14ac:dyDescent="0.45">
      <c r="J242" t="s">
        <v>808</v>
      </c>
      <c r="K242" s="12" t="s">
        <v>239</v>
      </c>
      <c r="L242" s="6" t="str">
        <f t="shared" si="3"/>
        <v>IG</v>
      </c>
      <c r="M242" s="7" t="s">
        <v>1061</v>
      </c>
    </row>
    <row r="243" spans="10:13" ht="16.5" x14ac:dyDescent="0.45">
      <c r="J243" t="s">
        <v>808</v>
      </c>
      <c r="K243" s="12" t="s">
        <v>240</v>
      </c>
      <c r="L243" s="6" t="str">
        <f t="shared" si="3"/>
        <v>IH</v>
      </c>
      <c r="M243" s="7" t="s">
        <v>1062</v>
      </c>
    </row>
    <row r="244" spans="10:13" ht="16.5" x14ac:dyDescent="0.45">
      <c r="J244" t="s">
        <v>808</v>
      </c>
      <c r="K244" s="12" t="s">
        <v>241</v>
      </c>
      <c r="L244" s="6" t="str">
        <f t="shared" si="3"/>
        <v>II</v>
      </c>
      <c r="M244" s="7" t="s">
        <v>1063</v>
      </c>
    </row>
    <row r="245" spans="10:13" ht="16.5" x14ac:dyDescent="0.45">
      <c r="J245" t="s">
        <v>808</v>
      </c>
      <c r="K245" s="12" t="s">
        <v>242</v>
      </c>
      <c r="L245" s="6" t="str">
        <f t="shared" si="3"/>
        <v>IJ</v>
      </c>
      <c r="M245" s="7" t="s">
        <v>1064</v>
      </c>
    </row>
    <row r="246" spans="10:13" ht="16.5" x14ac:dyDescent="0.45">
      <c r="J246" t="s">
        <v>808</v>
      </c>
      <c r="K246" s="12" t="s">
        <v>243</v>
      </c>
      <c r="L246" s="6" t="str">
        <f t="shared" si="3"/>
        <v>IK</v>
      </c>
      <c r="M246" s="7" t="s">
        <v>1065</v>
      </c>
    </row>
    <row r="247" spans="10:13" ht="16.5" x14ac:dyDescent="0.45">
      <c r="J247" t="s">
        <v>808</v>
      </c>
      <c r="K247" s="12" t="s">
        <v>244</v>
      </c>
      <c r="L247" s="6" t="str">
        <f t="shared" si="3"/>
        <v>IL</v>
      </c>
      <c r="M247" s="7" t="s">
        <v>603</v>
      </c>
    </row>
    <row r="248" spans="10:13" ht="16.5" x14ac:dyDescent="0.45">
      <c r="J248" t="s">
        <v>808</v>
      </c>
      <c r="K248" s="12" t="s">
        <v>245</v>
      </c>
      <c r="L248" s="6" t="str">
        <f t="shared" si="3"/>
        <v>IM</v>
      </c>
      <c r="M248" s="7" t="s">
        <v>1066</v>
      </c>
    </row>
    <row r="249" spans="10:13" ht="16.5" x14ac:dyDescent="0.45">
      <c r="J249" t="s">
        <v>808</v>
      </c>
      <c r="K249" s="12" t="s">
        <v>246</v>
      </c>
      <c r="L249" s="6" t="str">
        <f t="shared" si="3"/>
        <v>IN</v>
      </c>
      <c r="M249" s="7" t="s">
        <v>1067</v>
      </c>
    </row>
    <row r="250" spans="10:13" ht="16.5" x14ac:dyDescent="0.45">
      <c r="J250" t="s">
        <v>808</v>
      </c>
      <c r="K250" s="12" t="s">
        <v>247</v>
      </c>
      <c r="L250" s="6" t="str">
        <f t="shared" si="3"/>
        <v>IO</v>
      </c>
      <c r="M250" s="7" t="s">
        <v>1068</v>
      </c>
    </row>
    <row r="251" spans="10:13" ht="16.5" x14ac:dyDescent="0.45">
      <c r="J251" t="s">
        <v>808</v>
      </c>
      <c r="K251" s="12" t="s">
        <v>248</v>
      </c>
      <c r="L251" s="6" t="str">
        <f t="shared" si="3"/>
        <v>IP</v>
      </c>
      <c r="M251" s="7" t="s">
        <v>1069</v>
      </c>
    </row>
    <row r="252" spans="10:13" ht="16.5" x14ac:dyDescent="0.45">
      <c r="J252" t="s">
        <v>808</v>
      </c>
      <c r="K252" s="12" t="s">
        <v>249</v>
      </c>
      <c r="L252" s="6" t="str">
        <f t="shared" si="3"/>
        <v>IQ</v>
      </c>
      <c r="M252" s="7" t="s">
        <v>1070</v>
      </c>
    </row>
    <row r="253" spans="10:13" ht="16.5" x14ac:dyDescent="0.45">
      <c r="J253" t="s">
        <v>808</v>
      </c>
      <c r="K253" s="12" t="s">
        <v>250</v>
      </c>
      <c r="L253" s="6" t="str">
        <f t="shared" si="3"/>
        <v>IR</v>
      </c>
      <c r="M253" s="7" t="s">
        <v>1071</v>
      </c>
    </row>
    <row r="254" spans="10:13" ht="16.5" x14ac:dyDescent="0.45">
      <c r="J254" t="s">
        <v>808</v>
      </c>
      <c r="K254" s="12" t="s">
        <v>251</v>
      </c>
      <c r="L254" s="6" t="str">
        <f t="shared" si="3"/>
        <v>IS</v>
      </c>
      <c r="M254" s="7" t="s">
        <v>1072</v>
      </c>
    </row>
    <row r="255" spans="10:13" ht="16.5" x14ac:dyDescent="0.45">
      <c r="J255" t="s">
        <v>808</v>
      </c>
      <c r="K255" s="12" t="s">
        <v>252</v>
      </c>
      <c r="L255" s="6" t="str">
        <f t="shared" si="3"/>
        <v>IT</v>
      </c>
      <c r="M255" s="7" t="s">
        <v>1073</v>
      </c>
    </row>
    <row r="256" spans="10:13" ht="16.5" x14ac:dyDescent="0.45">
      <c r="J256" t="s">
        <v>808</v>
      </c>
      <c r="K256" s="12" t="s">
        <v>253</v>
      </c>
      <c r="L256" s="6" t="str">
        <f t="shared" si="3"/>
        <v>IU</v>
      </c>
      <c r="M256" s="7" t="s">
        <v>1074</v>
      </c>
    </row>
    <row r="257" spans="10:13" ht="16.5" x14ac:dyDescent="0.45">
      <c r="J257" t="s">
        <v>808</v>
      </c>
      <c r="K257" s="12" t="s">
        <v>254</v>
      </c>
      <c r="L257" s="6" t="str">
        <f t="shared" si="3"/>
        <v>IV</v>
      </c>
      <c r="M257" s="7" t="s">
        <v>1075</v>
      </c>
    </row>
    <row r="258" spans="10:13" ht="16.5" x14ac:dyDescent="0.45">
      <c r="J258" t="s">
        <v>808</v>
      </c>
      <c r="K258" s="12" t="s">
        <v>255</v>
      </c>
      <c r="L258" s="6" t="str">
        <f t="shared" si="3"/>
        <v>IW</v>
      </c>
      <c r="M258" s="7" t="s">
        <v>1076</v>
      </c>
    </row>
    <row r="259" spans="10:13" ht="16.5" x14ac:dyDescent="0.45">
      <c r="J259" t="s">
        <v>808</v>
      </c>
      <c r="K259" s="12" t="s">
        <v>256</v>
      </c>
      <c r="L259" s="6" t="str">
        <f t="shared" si="3"/>
        <v>IX</v>
      </c>
      <c r="M259" s="7" t="s">
        <v>1077</v>
      </c>
    </row>
    <row r="260" spans="10:13" ht="16.5" x14ac:dyDescent="0.45">
      <c r="J260" t="s">
        <v>808</v>
      </c>
      <c r="K260" s="12" t="s">
        <v>257</v>
      </c>
      <c r="L260" s="6" t="str">
        <f t="shared" si="3"/>
        <v>IY</v>
      </c>
      <c r="M260" s="7" t="s">
        <v>1078</v>
      </c>
    </row>
    <row r="261" spans="10:13" ht="16.5" x14ac:dyDescent="0.45">
      <c r="J261" t="s">
        <v>808</v>
      </c>
      <c r="K261" s="12" t="s">
        <v>258</v>
      </c>
      <c r="L261" s="6" t="str">
        <f t="shared" si="3"/>
        <v>IZ</v>
      </c>
      <c r="M261" s="7" t="s">
        <v>1079</v>
      </c>
    </row>
    <row r="262" spans="10:13" ht="16.5" x14ac:dyDescent="0.45">
      <c r="J262" t="s">
        <v>808</v>
      </c>
      <c r="K262" s="12" t="s">
        <v>259</v>
      </c>
      <c r="L262" s="6" t="str">
        <f t="shared" ref="L262:L325" si="4">LEFT(ADDRESS(1, ROW(L261), 4, TRUE), (ROW(L261)&gt;26)+1)</f>
        <v>JA</v>
      </c>
      <c r="M262" s="7" t="s">
        <v>1080</v>
      </c>
    </row>
    <row r="263" spans="10:13" ht="16.5" x14ac:dyDescent="0.45">
      <c r="J263" t="s">
        <v>808</v>
      </c>
      <c r="K263" s="12" t="s">
        <v>260</v>
      </c>
      <c r="L263" s="6" t="str">
        <f t="shared" si="4"/>
        <v>JB</v>
      </c>
      <c r="M263" s="7" t="s">
        <v>1081</v>
      </c>
    </row>
    <row r="264" spans="10:13" ht="16.5" x14ac:dyDescent="0.45">
      <c r="J264" t="s">
        <v>808</v>
      </c>
      <c r="K264" s="12" t="s">
        <v>261</v>
      </c>
      <c r="L264" s="6" t="str">
        <f t="shared" si="4"/>
        <v>JC</v>
      </c>
      <c r="M264" s="7" t="s">
        <v>1082</v>
      </c>
    </row>
    <row r="265" spans="10:13" ht="16.5" x14ac:dyDescent="0.45">
      <c r="J265" t="s">
        <v>808</v>
      </c>
      <c r="K265" s="12" t="s">
        <v>262</v>
      </c>
      <c r="L265" s="6" t="str">
        <f t="shared" si="4"/>
        <v>JD</v>
      </c>
      <c r="M265" s="7" t="s">
        <v>1083</v>
      </c>
    </row>
    <row r="266" spans="10:13" ht="16.5" x14ac:dyDescent="0.45">
      <c r="J266" t="s">
        <v>808</v>
      </c>
      <c r="K266" s="12" t="s">
        <v>263</v>
      </c>
      <c r="L266" s="6" t="str">
        <f t="shared" si="4"/>
        <v>JE</v>
      </c>
      <c r="M266" s="7" t="s">
        <v>1084</v>
      </c>
    </row>
    <row r="267" spans="10:13" ht="16.5" x14ac:dyDescent="0.45">
      <c r="J267" t="s">
        <v>808</v>
      </c>
      <c r="K267" s="12" t="s">
        <v>264</v>
      </c>
      <c r="L267" s="6" t="str">
        <f t="shared" si="4"/>
        <v>JF</v>
      </c>
      <c r="M267" s="7" t="s">
        <v>1085</v>
      </c>
    </row>
    <row r="268" spans="10:13" ht="16.5" x14ac:dyDescent="0.45">
      <c r="J268" t="s">
        <v>808</v>
      </c>
      <c r="K268" s="12" t="s">
        <v>265</v>
      </c>
      <c r="L268" s="6" t="str">
        <f t="shared" si="4"/>
        <v>JG</v>
      </c>
      <c r="M268" s="7" t="s">
        <v>1086</v>
      </c>
    </row>
    <row r="269" spans="10:13" ht="16.5" x14ac:dyDescent="0.45">
      <c r="J269" t="s">
        <v>808</v>
      </c>
      <c r="K269" s="12" t="s">
        <v>266</v>
      </c>
      <c r="L269" s="6" t="str">
        <f t="shared" si="4"/>
        <v>JH</v>
      </c>
      <c r="M269" s="7" t="s">
        <v>1087</v>
      </c>
    </row>
    <row r="270" spans="10:13" ht="16.5" x14ac:dyDescent="0.45">
      <c r="J270" t="s">
        <v>808</v>
      </c>
      <c r="K270" s="12" t="s">
        <v>267</v>
      </c>
      <c r="L270" s="6" t="str">
        <f t="shared" si="4"/>
        <v>JI</v>
      </c>
      <c r="M270" s="7" t="s">
        <v>1088</v>
      </c>
    </row>
    <row r="271" spans="10:13" ht="16.5" x14ac:dyDescent="0.45">
      <c r="J271" t="s">
        <v>808</v>
      </c>
      <c r="K271" s="12" t="s">
        <v>268</v>
      </c>
      <c r="L271" s="6" t="str">
        <f t="shared" si="4"/>
        <v>JJ</v>
      </c>
      <c r="M271" s="7" t="s">
        <v>1089</v>
      </c>
    </row>
    <row r="272" spans="10:13" ht="16.5" x14ac:dyDescent="0.45">
      <c r="J272" t="s">
        <v>808</v>
      </c>
      <c r="K272" s="12" t="s">
        <v>269</v>
      </c>
      <c r="L272" s="6" t="str">
        <f t="shared" si="4"/>
        <v>JK</v>
      </c>
      <c r="M272" s="7" t="s">
        <v>1090</v>
      </c>
    </row>
    <row r="273" spans="10:13" ht="16.5" x14ac:dyDescent="0.45">
      <c r="J273" t="s">
        <v>808</v>
      </c>
      <c r="K273" s="12" t="s">
        <v>270</v>
      </c>
      <c r="L273" s="6" t="str">
        <f t="shared" si="4"/>
        <v>JL</v>
      </c>
      <c r="M273" s="7" t="s">
        <v>1091</v>
      </c>
    </row>
    <row r="274" spans="10:13" ht="16.5" x14ac:dyDescent="0.45">
      <c r="J274" t="s">
        <v>808</v>
      </c>
      <c r="K274" s="12" t="s">
        <v>271</v>
      </c>
      <c r="L274" s="6" t="str">
        <f t="shared" si="4"/>
        <v>JM</v>
      </c>
      <c r="M274" s="7" t="s">
        <v>1092</v>
      </c>
    </row>
    <row r="275" spans="10:13" ht="16.5" x14ac:dyDescent="0.45">
      <c r="J275" t="s">
        <v>808</v>
      </c>
      <c r="K275" s="12" t="s">
        <v>272</v>
      </c>
      <c r="L275" s="6" t="str">
        <f t="shared" si="4"/>
        <v>JN</v>
      </c>
      <c r="M275" s="7" t="s">
        <v>1093</v>
      </c>
    </row>
    <row r="276" spans="10:13" ht="16.5" x14ac:dyDescent="0.45">
      <c r="J276" t="s">
        <v>808</v>
      </c>
      <c r="K276" s="12" t="s">
        <v>273</v>
      </c>
      <c r="L276" s="6" t="str">
        <f t="shared" si="4"/>
        <v>JO</v>
      </c>
      <c r="M276" s="7" t="s">
        <v>1094</v>
      </c>
    </row>
    <row r="277" spans="10:13" ht="16.5" x14ac:dyDescent="0.45">
      <c r="J277" t="s">
        <v>802</v>
      </c>
      <c r="K277" s="10" t="s">
        <v>274</v>
      </c>
      <c r="L277" s="6" t="str">
        <f t="shared" si="4"/>
        <v>JP</v>
      </c>
      <c r="M277" s="7" t="s">
        <v>1095</v>
      </c>
    </row>
    <row r="278" spans="10:13" ht="16.5" x14ac:dyDescent="0.45">
      <c r="J278" t="s">
        <v>802</v>
      </c>
      <c r="K278" s="10" t="s">
        <v>275</v>
      </c>
      <c r="L278" s="6" t="str">
        <f t="shared" si="4"/>
        <v>JQ</v>
      </c>
      <c r="M278" s="7" t="s">
        <v>1096</v>
      </c>
    </row>
    <row r="279" spans="10:13" ht="16.5" x14ac:dyDescent="0.45">
      <c r="J279" t="s">
        <v>812</v>
      </c>
      <c r="K279" s="13" t="s">
        <v>276</v>
      </c>
      <c r="L279" s="6" t="str">
        <f t="shared" si="4"/>
        <v>JR</v>
      </c>
      <c r="M279" s="7" t="s">
        <v>1097</v>
      </c>
    </row>
    <row r="280" spans="10:13" ht="16.5" x14ac:dyDescent="0.45">
      <c r="J280" t="s">
        <v>802</v>
      </c>
      <c r="K280" s="10" t="s">
        <v>277</v>
      </c>
      <c r="L280" s="6" t="str">
        <f t="shared" si="4"/>
        <v>JS</v>
      </c>
      <c r="M280" s="7" t="s">
        <v>1098</v>
      </c>
    </row>
    <row r="281" spans="10:13" ht="16.5" x14ac:dyDescent="0.45">
      <c r="J281" t="s">
        <v>802</v>
      </c>
      <c r="K281" s="10" t="s">
        <v>278</v>
      </c>
      <c r="L281" s="6" t="str">
        <f t="shared" si="4"/>
        <v>JT</v>
      </c>
      <c r="M281" s="7" t="s">
        <v>1099</v>
      </c>
    </row>
    <row r="282" spans="10:13" ht="16.5" x14ac:dyDescent="0.45">
      <c r="J282" t="s">
        <v>802</v>
      </c>
      <c r="K282" s="10" t="s">
        <v>279</v>
      </c>
      <c r="L282" s="6" t="str">
        <f t="shared" si="4"/>
        <v>JU</v>
      </c>
      <c r="M282" s="7" t="s">
        <v>1100</v>
      </c>
    </row>
    <row r="283" spans="10:13" ht="16.5" x14ac:dyDescent="0.45">
      <c r="J283" t="s">
        <v>802</v>
      </c>
      <c r="K283" s="10" t="s">
        <v>280</v>
      </c>
      <c r="L283" s="6" t="str">
        <f t="shared" si="4"/>
        <v>JV</v>
      </c>
      <c r="M283" s="7" t="s">
        <v>1101</v>
      </c>
    </row>
    <row r="284" spans="10:13" ht="16.5" x14ac:dyDescent="0.45">
      <c r="J284" t="s">
        <v>812</v>
      </c>
      <c r="K284" s="14" t="s">
        <v>282</v>
      </c>
      <c r="L284" s="6" t="str">
        <f t="shared" si="4"/>
        <v>JW</v>
      </c>
      <c r="M284" s="7" t="s">
        <v>1102</v>
      </c>
    </row>
    <row r="285" spans="10:13" ht="16.5" x14ac:dyDescent="0.45">
      <c r="J285" t="s">
        <v>812</v>
      </c>
      <c r="K285" s="14" t="s">
        <v>283</v>
      </c>
      <c r="L285" s="6" t="str">
        <f t="shared" si="4"/>
        <v>JX</v>
      </c>
      <c r="M285" s="7" t="s">
        <v>1103</v>
      </c>
    </row>
    <row r="286" spans="10:13" ht="16.5" x14ac:dyDescent="0.45">
      <c r="J286" t="s">
        <v>812</v>
      </c>
      <c r="K286" s="14" t="s">
        <v>284</v>
      </c>
      <c r="L286" s="6" t="str">
        <f t="shared" si="4"/>
        <v>JY</v>
      </c>
      <c r="M286" s="7" t="s">
        <v>1104</v>
      </c>
    </row>
    <row r="287" spans="10:13" ht="16.5" x14ac:dyDescent="0.45">
      <c r="J287" t="s">
        <v>812</v>
      </c>
      <c r="K287" s="14" t="s">
        <v>285</v>
      </c>
      <c r="L287" s="6" t="str">
        <f t="shared" si="4"/>
        <v>JZ</v>
      </c>
      <c r="M287" s="7" t="s">
        <v>1105</v>
      </c>
    </row>
    <row r="288" spans="10:13" ht="16.5" x14ac:dyDescent="0.45">
      <c r="J288" t="s">
        <v>812</v>
      </c>
      <c r="K288" s="14" t="s">
        <v>286</v>
      </c>
      <c r="L288" s="6" t="str">
        <f t="shared" si="4"/>
        <v>KA</v>
      </c>
      <c r="M288" s="7" t="s">
        <v>1106</v>
      </c>
    </row>
    <row r="289" spans="10:13" ht="16.5" x14ac:dyDescent="0.45">
      <c r="J289" t="s">
        <v>812</v>
      </c>
      <c r="K289" s="14" t="s">
        <v>287</v>
      </c>
      <c r="L289" s="6" t="str">
        <f t="shared" si="4"/>
        <v>KB</v>
      </c>
      <c r="M289" s="7" t="s">
        <v>1107</v>
      </c>
    </row>
    <row r="290" spans="10:13" ht="16.5" x14ac:dyDescent="0.45">
      <c r="J290" t="s">
        <v>812</v>
      </c>
      <c r="K290" s="14" t="s">
        <v>288</v>
      </c>
      <c r="L290" s="6" t="str">
        <f t="shared" si="4"/>
        <v>KC</v>
      </c>
      <c r="M290" s="7" t="s">
        <v>1108</v>
      </c>
    </row>
    <row r="291" spans="10:13" ht="16.5" x14ac:dyDescent="0.45">
      <c r="J291" t="s">
        <v>812</v>
      </c>
      <c r="K291" s="14" t="s">
        <v>289</v>
      </c>
      <c r="L291" s="6" t="str">
        <f t="shared" si="4"/>
        <v>KD</v>
      </c>
      <c r="M291" s="7" t="s">
        <v>1109</v>
      </c>
    </row>
    <row r="292" spans="10:13" ht="16.5" x14ac:dyDescent="0.45">
      <c r="J292" t="s">
        <v>812</v>
      </c>
      <c r="K292" s="14" t="s">
        <v>290</v>
      </c>
      <c r="L292" s="6" t="str">
        <f t="shared" si="4"/>
        <v>KE</v>
      </c>
      <c r="M292" s="7" t="s">
        <v>1110</v>
      </c>
    </row>
    <row r="293" spans="10:13" ht="16.5" x14ac:dyDescent="0.45">
      <c r="J293" t="s">
        <v>812</v>
      </c>
      <c r="K293" s="14" t="s">
        <v>291</v>
      </c>
      <c r="L293" s="6" t="str">
        <f t="shared" si="4"/>
        <v>KF</v>
      </c>
      <c r="M293" s="7" t="s">
        <v>1111</v>
      </c>
    </row>
    <row r="294" spans="10:13" ht="16.5" x14ac:dyDescent="0.45">
      <c r="J294" t="s">
        <v>812</v>
      </c>
      <c r="K294" s="14" t="s">
        <v>292</v>
      </c>
      <c r="L294" s="6" t="str">
        <f t="shared" si="4"/>
        <v>KG</v>
      </c>
      <c r="M294" s="7" t="s">
        <v>1112</v>
      </c>
    </row>
    <row r="295" spans="10:13" ht="16.5" x14ac:dyDescent="0.45">
      <c r="J295" t="s">
        <v>812</v>
      </c>
      <c r="K295" s="14" t="s">
        <v>293</v>
      </c>
      <c r="L295" s="6" t="str">
        <f t="shared" si="4"/>
        <v>KH</v>
      </c>
      <c r="M295" s="7" t="s">
        <v>1113</v>
      </c>
    </row>
    <row r="296" spans="10:13" ht="16.5" x14ac:dyDescent="0.45">
      <c r="J296" t="s">
        <v>812</v>
      </c>
      <c r="K296" s="14" t="s">
        <v>294</v>
      </c>
      <c r="L296" s="6" t="str">
        <f t="shared" si="4"/>
        <v>KI</v>
      </c>
      <c r="M296" s="7" t="s">
        <v>1114</v>
      </c>
    </row>
    <row r="297" spans="10:13" ht="16.5" x14ac:dyDescent="0.45">
      <c r="J297" t="s">
        <v>812</v>
      </c>
      <c r="K297" s="14" t="s">
        <v>295</v>
      </c>
      <c r="L297" s="6" t="str">
        <f t="shared" si="4"/>
        <v>KJ</v>
      </c>
      <c r="M297" s="7" t="s">
        <v>1115</v>
      </c>
    </row>
    <row r="298" spans="10:13" ht="16.5" x14ac:dyDescent="0.45">
      <c r="J298" t="s">
        <v>812</v>
      </c>
      <c r="K298" s="14" t="s">
        <v>296</v>
      </c>
      <c r="L298" s="6" t="str">
        <f t="shared" si="4"/>
        <v>KK</v>
      </c>
      <c r="M298" s="7" t="s">
        <v>1116</v>
      </c>
    </row>
    <row r="299" spans="10:13" ht="16.5" x14ac:dyDescent="0.45">
      <c r="J299" t="s">
        <v>812</v>
      </c>
      <c r="K299" s="14" t="s">
        <v>297</v>
      </c>
      <c r="L299" s="6" t="str">
        <f t="shared" si="4"/>
        <v>KL</v>
      </c>
      <c r="M299" s="7" t="s">
        <v>1117</v>
      </c>
    </row>
    <row r="300" spans="10:13" ht="16.5" x14ac:dyDescent="0.45">
      <c r="J300" t="s">
        <v>812</v>
      </c>
      <c r="K300" s="14" t="s">
        <v>298</v>
      </c>
      <c r="L300" s="6" t="str">
        <f t="shared" si="4"/>
        <v>KM</v>
      </c>
      <c r="M300" s="7" t="s">
        <v>1118</v>
      </c>
    </row>
    <row r="301" spans="10:13" ht="16.5" x14ac:dyDescent="0.45">
      <c r="J301" t="s">
        <v>812</v>
      </c>
      <c r="K301" s="14" t="s">
        <v>299</v>
      </c>
      <c r="L301" s="6" t="str">
        <f t="shared" si="4"/>
        <v>KN</v>
      </c>
      <c r="M301" s="7" t="s">
        <v>1119</v>
      </c>
    </row>
    <row r="302" spans="10:13" ht="16.5" x14ac:dyDescent="0.45">
      <c r="J302" t="s">
        <v>812</v>
      </c>
      <c r="K302" s="14" t="s">
        <v>300</v>
      </c>
      <c r="L302" s="6" t="str">
        <f t="shared" si="4"/>
        <v>KO</v>
      </c>
      <c r="M302" s="7" t="s">
        <v>1120</v>
      </c>
    </row>
    <row r="303" spans="10:13" ht="16.5" x14ac:dyDescent="0.45">
      <c r="J303" t="s">
        <v>812</v>
      </c>
      <c r="K303" s="14" t="s">
        <v>301</v>
      </c>
      <c r="L303" s="6" t="str">
        <f t="shared" si="4"/>
        <v>KP</v>
      </c>
      <c r="M303" s="7" t="s">
        <v>1121</v>
      </c>
    </row>
    <row r="304" spans="10:13" ht="16.5" x14ac:dyDescent="0.45">
      <c r="J304" t="s">
        <v>812</v>
      </c>
      <c r="K304" s="14" t="s">
        <v>302</v>
      </c>
      <c r="L304" s="6" t="str">
        <f t="shared" si="4"/>
        <v>KQ</v>
      </c>
      <c r="M304" s="7" t="s">
        <v>1122</v>
      </c>
    </row>
    <row r="305" spans="10:13" ht="16.5" x14ac:dyDescent="0.45">
      <c r="J305" t="s">
        <v>812</v>
      </c>
      <c r="K305" s="14" t="s">
        <v>303</v>
      </c>
      <c r="L305" s="6" t="str">
        <f t="shared" si="4"/>
        <v>KR</v>
      </c>
      <c r="M305" s="7" t="s">
        <v>1123</v>
      </c>
    </row>
    <row r="306" spans="10:13" ht="16.5" x14ac:dyDescent="0.45">
      <c r="J306" t="s">
        <v>812</v>
      </c>
      <c r="K306" s="14" t="s">
        <v>304</v>
      </c>
      <c r="L306" s="6" t="str">
        <f t="shared" si="4"/>
        <v>KS</v>
      </c>
      <c r="M306" s="7" t="s">
        <v>1124</v>
      </c>
    </row>
    <row r="307" spans="10:13" ht="16.5" x14ac:dyDescent="0.45">
      <c r="J307" t="s">
        <v>812</v>
      </c>
      <c r="K307" s="14" t="s">
        <v>305</v>
      </c>
      <c r="L307" s="6" t="str">
        <f t="shared" si="4"/>
        <v>KT</v>
      </c>
      <c r="M307" s="7" t="s">
        <v>1125</v>
      </c>
    </row>
    <row r="308" spans="10:13" ht="16.5" x14ac:dyDescent="0.45">
      <c r="J308" t="s">
        <v>812</v>
      </c>
      <c r="K308" s="14" t="s">
        <v>306</v>
      </c>
      <c r="L308" s="6" t="str">
        <f t="shared" si="4"/>
        <v>KU</v>
      </c>
      <c r="M308" s="7" t="s">
        <v>1126</v>
      </c>
    </row>
    <row r="309" spans="10:13" ht="16.5" x14ac:dyDescent="0.45">
      <c r="J309" t="s">
        <v>812</v>
      </c>
      <c r="K309" s="14" t="s">
        <v>307</v>
      </c>
      <c r="L309" s="6" t="str">
        <f t="shared" si="4"/>
        <v>KV</v>
      </c>
      <c r="M309" s="7" t="s">
        <v>1127</v>
      </c>
    </row>
    <row r="310" spans="10:13" ht="16.5" x14ac:dyDescent="0.45">
      <c r="J310" t="s">
        <v>812</v>
      </c>
      <c r="K310" s="14" t="s">
        <v>308</v>
      </c>
      <c r="L310" s="6" t="str">
        <f t="shared" si="4"/>
        <v>KW</v>
      </c>
      <c r="M310" s="7" t="s">
        <v>1128</v>
      </c>
    </row>
    <row r="311" spans="10:13" ht="16.5" x14ac:dyDescent="0.45">
      <c r="J311" t="s">
        <v>812</v>
      </c>
      <c r="K311" s="14" t="s">
        <v>309</v>
      </c>
      <c r="L311" s="6" t="str">
        <f t="shared" si="4"/>
        <v>KX</v>
      </c>
      <c r="M311" s="7" t="s">
        <v>1129</v>
      </c>
    </row>
    <row r="312" spans="10:13" ht="16.5" x14ac:dyDescent="0.45">
      <c r="J312" t="s">
        <v>812</v>
      </c>
      <c r="K312" s="14" t="s">
        <v>310</v>
      </c>
      <c r="L312" s="6" t="str">
        <f t="shared" si="4"/>
        <v>KY</v>
      </c>
      <c r="M312" s="7" t="s">
        <v>1130</v>
      </c>
    </row>
    <row r="313" spans="10:13" ht="16.5" x14ac:dyDescent="0.45">
      <c r="J313" t="s">
        <v>812</v>
      </c>
      <c r="K313" s="14" t="s">
        <v>311</v>
      </c>
      <c r="L313" s="6" t="str">
        <f t="shared" si="4"/>
        <v>KZ</v>
      </c>
      <c r="M313" s="7" t="s">
        <v>1131</v>
      </c>
    </row>
    <row r="314" spans="10:13" ht="16.5" x14ac:dyDescent="0.45">
      <c r="J314" t="s">
        <v>812</v>
      </c>
      <c r="K314" s="14" t="s">
        <v>312</v>
      </c>
      <c r="L314" s="6" t="str">
        <f t="shared" si="4"/>
        <v>LA</v>
      </c>
      <c r="M314" s="7" t="s">
        <v>1132</v>
      </c>
    </row>
    <row r="315" spans="10:13" ht="16.5" x14ac:dyDescent="0.45">
      <c r="J315" t="s">
        <v>812</v>
      </c>
      <c r="K315" s="14" t="s">
        <v>313</v>
      </c>
      <c r="L315" s="6" t="str">
        <f t="shared" si="4"/>
        <v>LB</v>
      </c>
      <c r="M315" s="7" t="s">
        <v>1133</v>
      </c>
    </row>
    <row r="316" spans="10:13" ht="16.5" x14ac:dyDescent="0.45">
      <c r="J316" t="s">
        <v>812</v>
      </c>
      <c r="K316" s="14" t="s">
        <v>314</v>
      </c>
      <c r="L316" s="6" t="str">
        <f t="shared" si="4"/>
        <v>LC</v>
      </c>
      <c r="M316" s="7" t="s">
        <v>1134</v>
      </c>
    </row>
    <row r="317" spans="10:13" ht="16.5" x14ac:dyDescent="0.45">
      <c r="J317" t="s">
        <v>812</v>
      </c>
      <c r="K317" s="14" t="s">
        <v>315</v>
      </c>
      <c r="L317" s="6" t="str">
        <f t="shared" si="4"/>
        <v>LD</v>
      </c>
      <c r="M317" s="7" t="s">
        <v>1135</v>
      </c>
    </row>
    <row r="318" spans="10:13" ht="16.5" x14ac:dyDescent="0.45">
      <c r="J318" t="s">
        <v>812</v>
      </c>
      <c r="K318" s="14" t="s">
        <v>316</v>
      </c>
      <c r="L318" s="6" t="str">
        <f t="shared" si="4"/>
        <v>LE</v>
      </c>
      <c r="M318" s="7" t="s">
        <v>1136</v>
      </c>
    </row>
    <row r="319" spans="10:13" ht="16.5" x14ac:dyDescent="0.45">
      <c r="J319" t="s">
        <v>812</v>
      </c>
      <c r="K319" s="14" t="s">
        <v>317</v>
      </c>
      <c r="L319" s="6" t="str">
        <f t="shared" si="4"/>
        <v>LF</v>
      </c>
      <c r="M319" s="7" t="s">
        <v>1137</v>
      </c>
    </row>
    <row r="320" spans="10:13" ht="16.5" x14ac:dyDescent="0.45">
      <c r="J320" t="s">
        <v>812</v>
      </c>
      <c r="K320" s="14" t="s">
        <v>318</v>
      </c>
      <c r="L320" s="6" t="str">
        <f t="shared" si="4"/>
        <v>LG</v>
      </c>
      <c r="M320" s="7" t="s">
        <v>1138</v>
      </c>
    </row>
    <row r="321" spans="10:13" ht="16.5" x14ac:dyDescent="0.45">
      <c r="J321" t="s">
        <v>812</v>
      </c>
      <c r="K321" s="14" t="s">
        <v>319</v>
      </c>
      <c r="L321" s="6" t="str">
        <f t="shared" si="4"/>
        <v>LH</v>
      </c>
      <c r="M321" s="7" t="s">
        <v>1139</v>
      </c>
    </row>
    <row r="322" spans="10:13" ht="16.5" x14ac:dyDescent="0.45">
      <c r="J322" t="s">
        <v>812</v>
      </c>
      <c r="K322" s="14" t="s">
        <v>320</v>
      </c>
      <c r="L322" s="6" t="str">
        <f t="shared" si="4"/>
        <v>LI</v>
      </c>
      <c r="M322" s="7" t="s">
        <v>1140</v>
      </c>
    </row>
    <row r="323" spans="10:13" ht="16.5" x14ac:dyDescent="0.45">
      <c r="J323" t="s">
        <v>812</v>
      </c>
      <c r="K323" s="14" t="s">
        <v>321</v>
      </c>
      <c r="L323" s="6" t="str">
        <f t="shared" si="4"/>
        <v>LJ</v>
      </c>
      <c r="M323" s="7" t="s">
        <v>1141</v>
      </c>
    </row>
    <row r="324" spans="10:13" ht="16.5" x14ac:dyDescent="0.45">
      <c r="J324" t="s">
        <v>812</v>
      </c>
      <c r="K324" s="14" t="s">
        <v>322</v>
      </c>
      <c r="L324" s="6" t="str">
        <f t="shared" si="4"/>
        <v>LK</v>
      </c>
      <c r="M324" s="7" t="s">
        <v>1142</v>
      </c>
    </row>
    <row r="325" spans="10:13" ht="16.5" x14ac:dyDescent="0.45">
      <c r="J325" t="s">
        <v>812</v>
      </c>
      <c r="K325" s="14" t="s">
        <v>323</v>
      </c>
      <c r="L325" s="6" t="str">
        <f t="shared" si="4"/>
        <v>LL</v>
      </c>
      <c r="M325" s="7" t="s">
        <v>1143</v>
      </c>
    </row>
    <row r="326" spans="10:13" ht="16.5" x14ac:dyDescent="0.45">
      <c r="J326" t="s">
        <v>812</v>
      </c>
      <c r="K326" s="14" t="s">
        <v>324</v>
      </c>
      <c r="L326" s="6" t="str">
        <f t="shared" ref="L326:L383" si="5">LEFT(ADDRESS(1, ROW(L325), 4, TRUE), (ROW(L325)&gt;26)+1)</f>
        <v>LM</v>
      </c>
      <c r="M326" s="7" t="s">
        <v>1144</v>
      </c>
    </row>
    <row r="327" spans="10:13" ht="16.5" x14ac:dyDescent="0.45">
      <c r="J327" t="s">
        <v>812</v>
      </c>
      <c r="K327" s="14" t="s">
        <v>325</v>
      </c>
      <c r="L327" s="6" t="str">
        <f t="shared" si="5"/>
        <v>LN</v>
      </c>
      <c r="M327" s="7" t="s">
        <v>1145</v>
      </c>
    </row>
    <row r="328" spans="10:13" ht="16.5" x14ac:dyDescent="0.45">
      <c r="J328" t="s">
        <v>812</v>
      </c>
      <c r="K328" s="14" t="s">
        <v>326</v>
      </c>
      <c r="L328" s="6" t="str">
        <f t="shared" si="5"/>
        <v>LO</v>
      </c>
      <c r="M328" s="7" t="s">
        <v>1146</v>
      </c>
    </row>
    <row r="329" spans="10:13" ht="16.5" x14ac:dyDescent="0.45">
      <c r="J329" t="s">
        <v>812</v>
      </c>
      <c r="K329" s="14" t="s">
        <v>327</v>
      </c>
      <c r="L329" s="6" t="str">
        <f t="shared" si="5"/>
        <v>LP</v>
      </c>
      <c r="M329" s="7" t="s">
        <v>1147</v>
      </c>
    </row>
    <row r="330" spans="10:13" ht="16.5" x14ac:dyDescent="0.45">
      <c r="J330" t="s">
        <v>812</v>
      </c>
      <c r="K330" s="14" t="s">
        <v>328</v>
      </c>
      <c r="L330" s="6" t="str">
        <f t="shared" si="5"/>
        <v>LQ</v>
      </c>
      <c r="M330" s="7" t="s">
        <v>1148</v>
      </c>
    </row>
    <row r="331" spans="10:13" ht="16.5" x14ac:dyDescent="0.45">
      <c r="J331" t="s">
        <v>812</v>
      </c>
      <c r="K331" s="14" t="s">
        <v>329</v>
      </c>
      <c r="L331" s="6" t="str">
        <f t="shared" si="5"/>
        <v>LR</v>
      </c>
      <c r="M331" s="7" t="s">
        <v>1149</v>
      </c>
    </row>
    <row r="332" spans="10:13" ht="16.5" x14ac:dyDescent="0.45">
      <c r="J332" t="s">
        <v>812</v>
      </c>
      <c r="K332" s="14" t="s">
        <v>330</v>
      </c>
      <c r="L332" s="6" t="str">
        <f t="shared" si="5"/>
        <v>LS</v>
      </c>
      <c r="M332" s="7" t="s">
        <v>1150</v>
      </c>
    </row>
    <row r="333" spans="10:13" ht="16.5" x14ac:dyDescent="0.45">
      <c r="J333" t="s">
        <v>812</v>
      </c>
      <c r="K333" s="14" t="s">
        <v>331</v>
      </c>
      <c r="L333" s="6" t="str">
        <f t="shared" si="5"/>
        <v>LT</v>
      </c>
      <c r="M333" s="7" t="s">
        <v>1151</v>
      </c>
    </row>
    <row r="334" spans="10:13" ht="16.5" x14ac:dyDescent="0.45">
      <c r="J334" t="s">
        <v>812</v>
      </c>
      <c r="K334" s="14" t="s">
        <v>332</v>
      </c>
      <c r="L334" s="6" t="str">
        <f t="shared" si="5"/>
        <v>LU</v>
      </c>
      <c r="M334" s="7" t="s">
        <v>1152</v>
      </c>
    </row>
    <row r="335" spans="10:13" ht="16.5" x14ac:dyDescent="0.45">
      <c r="J335" t="s">
        <v>812</v>
      </c>
      <c r="K335" s="14" t="s">
        <v>333</v>
      </c>
      <c r="L335" s="6" t="str">
        <f t="shared" si="5"/>
        <v>LV</v>
      </c>
      <c r="M335" s="7" t="s">
        <v>1153</v>
      </c>
    </row>
    <row r="336" spans="10:13" ht="16.5" x14ac:dyDescent="0.45">
      <c r="J336" t="s">
        <v>812</v>
      </c>
      <c r="K336" s="14" t="s">
        <v>334</v>
      </c>
      <c r="L336" s="6" t="str">
        <f t="shared" si="5"/>
        <v>LW</v>
      </c>
      <c r="M336" s="7" t="s">
        <v>1154</v>
      </c>
    </row>
    <row r="337" spans="10:13" ht="16.5" x14ac:dyDescent="0.45">
      <c r="J337" t="s">
        <v>812</v>
      </c>
      <c r="K337" s="14" t="s">
        <v>335</v>
      </c>
      <c r="L337" s="6" t="str">
        <f t="shared" si="5"/>
        <v>LX</v>
      </c>
      <c r="M337" s="7" t="s">
        <v>1155</v>
      </c>
    </row>
    <row r="338" spans="10:13" ht="16.5" x14ac:dyDescent="0.45">
      <c r="J338" t="s">
        <v>812</v>
      </c>
      <c r="K338" s="14" t="s">
        <v>336</v>
      </c>
      <c r="L338" s="6" t="str">
        <f t="shared" si="5"/>
        <v>LY</v>
      </c>
      <c r="M338" s="7" t="s">
        <v>1156</v>
      </c>
    </row>
    <row r="339" spans="10:13" ht="16.5" x14ac:dyDescent="0.45">
      <c r="J339" t="s">
        <v>812</v>
      </c>
      <c r="K339" s="14" t="s">
        <v>337</v>
      </c>
      <c r="L339" s="6" t="str">
        <f t="shared" si="5"/>
        <v>LZ</v>
      </c>
      <c r="M339" s="7" t="s">
        <v>1157</v>
      </c>
    </row>
    <row r="340" spans="10:13" ht="16.5" x14ac:dyDescent="0.45">
      <c r="J340" t="s">
        <v>812</v>
      </c>
      <c r="K340" s="14" t="s">
        <v>338</v>
      </c>
      <c r="L340" s="6" t="str">
        <f t="shared" si="5"/>
        <v>MA</v>
      </c>
      <c r="M340" s="7" t="s">
        <v>1158</v>
      </c>
    </row>
    <row r="341" spans="10:13" ht="16.5" x14ac:dyDescent="0.45">
      <c r="J341" t="s">
        <v>812</v>
      </c>
      <c r="K341" s="14" t="s">
        <v>339</v>
      </c>
      <c r="L341" s="6" t="str">
        <f t="shared" si="5"/>
        <v>MB</v>
      </c>
      <c r="M341" s="7" t="s">
        <v>1159</v>
      </c>
    </row>
    <row r="342" spans="10:13" ht="16.5" x14ac:dyDescent="0.45">
      <c r="J342" t="s">
        <v>812</v>
      </c>
      <c r="K342" s="14" t="s">
        <v>340</v>
      </c>
      <c r="L342" s="6" t="str">
        <f t="shared" si="5"/>
        <v>MC</v>
      </c>
      <c r="M342" s="7" t="s">
        <v>1160</v>
      </c>
    </row>
    <row r="343" spans="10:13" ht="16.5" x14ac:dyDescent="0.45">
      <c r="J343" t="s">
        <v>812</v>
      </c>
      <c r="K343" s="14" t="s">
        <v>341</v>
      </c>
      <c r="L343" s="6" t="str">
        <f t="shared" si="5"/>
        <v>MD</v>
      </c>
      <c r="M343" s="7" t="s">
        <v>1161</v>
      </c>
    </row>
    <row r="344" spans="10:13" ht="16.5" x14ac:dyDescent="0.45">
      <c r="J344" t="s">
        <v>812</v>
      </c>
      <c r="K344" s="14" t="s">
        <v>342</v>
      </c>
      <c r="L344" s="6" t="str">
        <f t="shared" si="5"/>
        <v>ME</v>
      </c>
      <c r="M344" s="7" t="s">
        <v>1162</v>
      </c>
    </row>
    <row r="345" spans="10:13" ht="16.5" x14ac:dyDescent="0.45">
      <c r="J345" t="s">
        <v>812</v>
      </c>
      <c r="K345" s="14" t="s">
        <v>343</v>
      </c>
      <c r="L345" s="6" t="str">
        <f t="shared" si="5"/>
        <v>MF</v>
      </c>
      <c r="M345" s="7" t="s">
        <v>1163</v>
      </c>
    </row>
    <row r="346" spans="10:13" ht="16.5" x14ac:dyDescent="0.45">
      <c r="J346" t="s">
        <v>812</v>
      </c>
      <c r="K346" s="14" t="s">
        <v>344</v>
      </c>
      <c r="L346" s="6" t="str">
        <f t="shared" si="5"/>
        <v>MG</v>
      </c>
      <c r="M346" s="7" t="s">
        <v>1164</v>
      </c>
    </row>
    <row r="347" spans="10:13" ht="16.5" x14ac:dyDescent="0.45">
      <c r="J347" t="s">
        <v>812</v>
      </c>
      <c r="K347" s="14" t="s">
        <v>345</v>
      </c>
      <c r="L347" s="6" t="str">
        <f t="shared" si="5"/>
        <v>MH</v>
      </c>
      <c r="M347" s="7" t="s">
        <v>1165</v>
      </c>
    </row>
    <row r="348" spans="10:13" ht="16.5" x14ac:dyDescent="0.45">
      <c r="J348" t="s">
        <v>812</v>
      </c>
      <c r="K348" s="14" t="s">
        <v>346</v>
      </c>
      <c r="L348" s="6" t="str">
        <f t="shared" si="5"/>
        <v>MI</v>
      </c>
      <c r="M348" s="7" t="s">
        <v>1166</v>
      </c>
    </row>
    <row r="349" spans="10:13" ht="16.5" x14ac:dyDescent="0.45">
      <c r="J349" t="s">
        <v>812</v>
      </c>
      <c r="K349" s="14" t="s">
        <v>347</v>
      </c>
      <c r="L349" s="6" t="str">
        <f t="shared" si="5"/>
        <v>MJ</v>
      </c>
      <c r="M349" s="7" t="s">
        <v>1167</v>
      </c>
    </row>
    <row r="350" spans="10:13" ht="16.5" x14ac:dyDescent="0.45">
      <c r="J350" t="s">
        <v>812</v>
      </c>
      <c r="K350" s="14" t="s">
        <v>348</v>
      </c>
      <c r="L350" s="6" t="str">
        <f t="shared" si="5"/>
        <v>MK</v>
      </c>
      <c r="M350" s="7" t="s">
        <v>1168</v>
      </c>
    </row>
    <row r="351" spans="10:13" ht="16.5" x14ac:dyDescent="0.45">
      <c r="J351" t="s">
        <v>812</v>
      </c>
      <c r="K351" s="14" t="s">
        <v>349</v>
      </c>
      <c r="L351" s="6" t="str">
        <f t="shared" si="5"/>
        <v>ML</v>
      </c>
      <c r="M351" s="7" t="s">
        <v>1169</v>
      </c>
    </row>
    <row r="352" spans="10:13" ht="16.5" x14ac:dyDescent="0.45">
      <c r="J352" t="s">
        <v>812</v>
      </c>
      <c r="K352" s="14" t="s">
        <v>350</v>
      </c>
      <c r="L352" s="6" t="str">
        <f t="shared" si="5"/>
        <v>MM</v>
      </c>
      <c r="M352" s="7" t="s">
        <v>1170</v>
      </c>
    </row>
    <row r="353" spans="10:13" ht="16.5" x14ac:dyDescent="0.45">
      <c r="J353" t="s">
        <v>812</v>
      </c>
      <c r="K353" s="14" t="s">
        <v>351</v>
      </c>
      <c r="L353" s="6" t="str">
        <f t="shared" si="5"/>
        <v>MN</v>
      </c>
      <c r="M353" s="7" t="s">
        <v>1171</v>
      </c>
    </row>
    <row r="354" spans="10:13" ht="16.5" x14ac:dyDescent="0.45">
      <c r="J354" t="s">
        <v>812</v>
      </c>
      <c r="K354" s="14" t="s">
        <v>1172</v>
      </c>
      <c r="L354" s="6" t="str">
        <f t="shared" si="5"/>
        <v>MO</v>
      </c>
      <c r="M354" s="7" t="s">
        <v>1173</v>
      </c>
    </row>
    <row r="355" spans="10:13" ht="16.5" x14ac:dyDescent="0.45">
      <c r="J355" t="s">
        <v>812</v>
      </c>
      <c r="K355" s="14" t="s">
        <v>1174</v>
      </c>
      <c r="L355" s="6" t="str">
        <f t="shared" si="5"/>
        <v>MP</v>
      </c>
      <c r="M355" s="7" t="s">
        <v>1175</v>
      </c>
    </row>
    <row r="356" spans="10:13" ht="16.5" x14ac:dyDescent="0.45">
      <c r="J356" t="s">
        <v>812</v>
      </c>
      <c r="K356" s="14" t="s">
        <v>1176</v>
      </c>
      <c r="L356" s="6" t="str">
        <f t="shared" si="5"/>
        <v>MQ</v>
      </c>
      <c r="M356" s="7" t="s">
        <v>1177</v>
      </c>
    </row>
    <row r="357" spans="10:13" ht="16.5" x14ac:dyDescent="0.45">
      <c r="J357" t="s">
        <v>812</v>
      </c>
      <c r="K357" s="14" t="s">
        <v>1178</v>
      </c>
      <c r="L357" s="6" t="str">
        <f t="shared" si="5"/>
        <v>MR</v>
      </c>
      <c r="M357" s="7" t="s">
        <v>1179</v>
      </c>
    </row>
    <row r="358" spans="10:13" ht="16.5" x14ac:dyDescent="0.45">
      <c r="J358" t="s">
        <v>812</v>
      </c>
      <c r="K358" s="14" t="s">
        <v>1176</v>
      </c>
      <c r="L358" s="6" t="str">
        <f t="shared" si="5"/>
        <v>MS</v>
      </c>
      <c r="M358" s="7" t="s">
        <v>1180</v>
      </c>
    </row>
    <row r="359" spans="10:13" ht="16.5" x14ac:dyDescent="0.45">
      <c r="J359" t="s">
        <v>812</v>
      </c>
      <c r="K359" s="14" t="s">
        <v>1181</v>
      </c>
      <c r="L359" s="6" t="str">
        <f t="shared" si="5"/>
        <v>MT</v>
      </c>
      <c r="M359" s="7" t="s">
        <v>1182</v>
      </c>
    </row>
    <row r="360" spans="10:13" ht="16.5" x14ac:dyDescent="0.45">
      <c r="J360" t="s">
        <v>812</v>
      </c>
      <c r="K360" s="14" t="s">
        <v>1183</v>
      </c>
      <c r="L360" s="6" t="str">
        <f t="shared" si="5"/>
        <v>MU</v>
      </c>
      <c r="M360" s="7" t="s">
        <v>1184</v>
      </c>
    </row>
    <row r="361" spans="10:13" ht="16.5" x14ac:dyDescent="0.45">
      <c r="J361" t="s">
        <v>812</v>
      </c>
      <c r="K361" s="14" t="s">
        <v>1185</v>
      </c>
      <c r="L361" s="6" t="str">
        <f t="shared" si="5"/>
        <v>MV</v>
      </c>
      <c r="M361" s="7" t="s">
        <v>1186</v>
      </c>
    </row>
    <row r="362" spans="10:13" ht="16.5" x14ac:dyDescent="0.45">
      <c r="J362" t="s">
        <v>812</v>
      </c>
      <c r="K362" s="14" t="s">
        <v>1187</v>
      </c>
      <c r="L362" s="6" t="str">
        <f t="shared" si="5"/>
        <v>MW</v>
      </c>
      <c r="M362" s="7" t="s">
        <v>1188</v>
      </c>
    </row>
    <row r="363" spans="10:13" ht="16.5" x14ac:dyDescent="0.45">
      <c r="J363" t="s">
        <v>812</v>
      </c>
      <c r="K363" s="14" t="s">
        <v>1189</v>
      </c>
      <c r="L363" s="6" t="str">
        <f t="shared" si="5"/>
        <v>MX</v>
      </c>
      <c r="M363" s="7" t="s">
        <v>1190</v>
      </c>
    </row>
    <row r="364" spans="10:13" ht="16.5" x14ac:dyDescent="0.45">
      <c r="J364" t="s">
        <v>812</v>
      </c>
      <c r="K364" s="14" t="s">
        <v>1191</v>
      </c>
      <c r="L364" s="6" t="str">
        <f t="shared" si="5"/>
        <v>MY</v>
      </c>
      <c r="M364" s="7" t="s">
        <v>1192</v>
      </c>
    </row>
    <row r="365" spans="10:13" ht="16.5" x14ac:dyDescent="0.45">
      <c r="J365" t="s">
        <v>812</v>
      </c>
      <c r="K365" s="14" t="s">
        <v>1193</v>
      </c>
      <c r="L365" s="6" t="str">
        <f t="shared" si="5"/>
        <v>MZ</v>
      </c>
      <c r="M365" s="7" t="s">
        <v>1194</v>
      </c>
    </row>
    <row r="366" spans="10:13" ht="16.5" x14ac:dyDescent="0.45">
      <c r="J366" t="s">
        <v>812</v>
      </c>
      <c r="K366" s="14" t="s">
        <v>1195</v>
      </c>
      <c r="L366" s="6" t="str">
        <f t="shared" si="5"/>
        <v>NA</v>
      </c>
      <c r="M366" s="7" t="s">
        <v>1196</v>
      </c>
    </row>
    <row r="367" spans="10:13" ht="16.5" x14ac:dyDescent="0.45">
      <c r="J367" t="s">
        <v>812</v>
      </c>
      <c r="K367" s="14" t="s">
        <v>1197</v>
      </c>
      <c r="L367" s="6" t="str">
        <f t="shared" si="5"/>
        <v>NB</v>
      </c>
      <c r="M367" s="7" t="s">
        <v>1198</v>
      </c>
    </row>
    <row r="368" spans="10:13" ht="16.5" x14ac:dyDescent="0.45">
      <c r="J368" t="s">
        <v>812</v>
      </c>
      <c r="K368" s="14" t="s">
        <v>1199</v>
      </c>
      <c r="L368" s="6" t="str">
        <f t="shared" si="5"/>
        <v>NC</v>
      </c>
      <c r="M368" s="7" t="s">
        <v>1200</v>
      </c>
    </row>
    <row r="369" spans="10:13" ht="16.5" x14ac:dyDescent="0.45">
      <c r="J369" t="s">
        <v>812</v>
      </c>
      <c r="K369" s="14" t="s">
        <v>1201</v>
      </c>
      <c r="L369" s="6" t="str">
        <f t="shared" si="5"/>
        <v>ND</v>
      </c>
      <c r="M369" s="7" t="s">
        <v>647</v>
      </c>
    </row>
    <row r="370" spans="10:13" ht="16.5" x14ac:dyDescent="0.45">
      <c r="J370" t="s">
        <v>812</v>
      </c>
      <c r="K370" s="14" t="s">
        <v>1202</v>
      </c>
      <c r="L370" s="6" t="str">
        <f t="shared" si="5"/>
        <v>NE</v>
      </c>
      <c r="M370" s="7" t="s">
        <v>1203</v>
      </c>
    </row>
    <row r="371" spans="10:13" ht="16.5" x14ac:dyDescent="0.45">
      <c r="J371" t="s">
        <v>812</v>
      </c>
      <c r="K371" s="14" t="s">
        <v>1204</v>
      </c>
      <c r="L371" s="6" t="str">
        <f t="shared" si="5"/>
        <v>NF</v>
      </c>
      <c r="M371" s="7" t="s">
        <v>1205</v>
      </c>
    </row>
    <row r="372" spans="10:13" ht="16.5" x14ac:dyDescent="0.45">
      <c r="J372" t="s">
        <v>812</v>
      </c>
      <c r="K372" s="14" t="s">
        <v>1172</v>
      </c>
      <c r="L372" s="6" t="str">
        <f t="shared" si="5"/>
        <v>NG</v>
      </c>
      <c r="M372" s="7" t="s">
        <v>1206</v>
      </c>
    </row>
    <row r="373" spans="10:13" ht="16.5" x14ac:dyDescent="0.45">
      <c r="J373" t="s">
        <v>812</v>
      </c>
      <c r="K373" s="14" t="s">
        <v>1207</v>
      </c>
      <c r="L373" s="6" t="str">
        <f t="shared" si="5"/>
        <v>NH</v>
      </c>
      <c r="M373" s="7" t="s">
        <v>1208</v>
      </c>
    </row>
    <row r="374" spans="10:13" ht="16.5" x14ac:dyDescent="0.45">
      <c r="J374" t="s">
        <v>812</v>
      </c>
      <c r="K374" s="14" t="s">
        <v>1209</v>
      </c>
      <c r="L374" s="6" t="str">
        <f t="shared" si="5"/>
        <v>NI</v>
      </c>
      <c r="M374" s="7" t="s">
        <v>1210</v>
      </c>
    </row>
    <row r="375" spans="10:13" ht="16.5" x14ac:dyDescent="0.45">
      <c r="J375" t="s">
        <v>812</v>
      </c>
      <c r="K375" s="14" t="s">
        <v>1211</v>
      </c>
      <c r="L375" s="6" t="str">
        <f t="shared" si="5"/>
        <v>NJ</v>
      </c>
      <c r="M375" s="7" t="s">
        <v>1212</v>
      </c>
    </row>
    <row r="376" spans="10:13" ht="16.5" x14ac:dyDescent="0.45">
      <c r="J376" t="s">
        <v>812</v>
      </c>
      <c r="K376" s="14" t="s">
        <v>1213</v>
      </c>
      <c r="L376" s="6" t="str">
        <f t="shared" si="5"/>
        <v>NK</v>
      </c>
      <c r="M376" s="7" t="s">
        <v>1214</v>
      </c>
    </row>
    <row r="377" spans="10:13" ht="16.5" x14ac:dyDescent="0.45">
      <c r="J377" t="s">
        <v>812</v>
      </c>
      <c r="K377" s="14" t="s">
        <v>1215</v>
      </c>
      <c r="L377" s="6" t="str">
        <f t="shared" si="5"/>
        <v>NL</v>
      </c>
      <c r="M377" s="7" t="s">
        <v>1216</v>
      </c>
    </row>
    <row r="378" spans="10:13" ht="16.5" x14ac:dyDescent="0.45">
      <c r="J378" t="s">
        <v>812</v>
      </c>
      <c r="K378" s="14" t="s">
        <v>1217</v>
      </c>
      <c r="L378" s="6" t="str">
        <f t="shared" si="5"/>
        <v>NM</v>
      </c>
      <c r="M378" s="7" t="s">
        <v>1218</v>
      </c>
    </row>
    <row r="379" spans="10:13" ht="16.5" x14ac:dyDescent="0.45">
      <c r="J379" t="s">
        <v>812</v>
      </c>
      <c r="K379" s="14" t="s">
        <v>1219</v>
      </c>
      <c r="L379" s="6" t="str">
        <f t="shared" si="5"/>
        <v>NN</v>
      </c>
      <c r="M379" s="7" t="s">
        <v>1220</v>
      </c>
    </row>
    <row r="380" spans="10:13" ht="16.5" x14ac:dyDescent="0.45">
      <c r="J380" t="s">
        <v>812</v>
      </c>
      <c r="K380" s="14" t="s">
        <v>1221</v>
      </c>
      <c r="L380" s="6" t="str">
        <f t="shared" si="5"/>
        <v>NO</v>
      </c>
      <c r="M380" s="7" t="s">
        <v>1222</v>
      </c>
    </row>
    <row r="381" spans="10:13" ht="16.5" x14ac:dyDescent="0.45">
      <c r="J381" t="s">
        <v>812</v>
      </c>
      <c r="K381" s="14" t="s">
        <v>1223</v>
      </c>
      <c r="L381" s="6" t="str">
        <f t="shared" si="5"/>
        <v>NP</v>
      </c>
      <c r="M381" s="7" t="s">
        <v>1224</v>
      </c>
    </row>
    <row r="382" spans="10:13" ht="16.5" x14ac:dyDescent="0.45">
      <c r="J382" t="s">
        <v>812</v>
      </c>
      <c r="K382" s="14" t="s">
        <v>1225</v>
      </c>
      <c r="L382" s="6" t="str">
        <f t="shared" si="5"/>
        <v>NQ</v>
      </c>
      <c r="M382" s="7" t="s">
        <v>1226</v>
      </c>
    </row>
    <row r="383" spans="10:13" ht="16.5" x14ac:dyDescent="0.45">
      <c r="J383" t="s">
        <v>812</v>
      </c>
      <c r="K383" s="32" t="s">
        <v>1227</v>
      </c>
      <c r="L383" s="33" t="str">
        <f t="shared" si="5"/>
        <v>NR</v>
      </c>
      <c r="M383" s="34" t="s">
        <v>1228</v>
      </c>
    </row>
    <row r="384" spans="10:13" ht="15.75" customHeight="1" x14ac:dyDescent="0.25">
      <c r="J384" s="29" t="s">
        <v>812</v>
      </c>
      <c r="K384" s="35" t="s">
        <v>1229</v>
      </c>
      <c r="L384" s="29"/>
      <c r="M384" s="29"/>
    </row>
    <row r="385" spans="10:13" ht="15.75" customHeight="1" x14ac:dyDescent="0.25">
      <c r="J385" s="36" t="s">
        <v>812</v>
      </c>
      <c r="K385" s="37" t="s">
        <v>1230</v>
      </c>
      <c r="L385" s="36"/>
      <c r="M385" s="36"/>
    </row>
    <row r="386" spans="10:13" ht="15.75" customHeight="1" x14ac:dyDescent="0.3">
      <c r="J386" s="39" t="s">
        <v>808</v>
      </c>
      <c r="K386" s="38" t="s">
        <v>1231</v>
      </c>
      <c r="L386" s="38"/>
      <c r="M386" s="38"/>
    </row>
  </sheetData>
  <conditionalFormatting sqref="J1:J1048576">
    <cfRule type="cellIs" dxfId="32" priority="1" operator="equal">
      <formula>"C"</formula>
    </cfRule>
    <cfRule type="cellIs" dxfId="31" priority="2" operator="equal">
      <formula>"B"</formula>
    </cfRule>
    <cfRule type="cellIs" dxfId="30" priority="3" operator="equal">
      <formula>"A"</formula>
    </cfRule>
  </conditionalFormatting>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6CF1B-FABB-4C78-8CF8-060362CF2C71}">
  <sheetPr codeName="Sheet8"/>
  <dimension ref="A1:G10"/>
  <sheetViews>
    <sheetView workbookViewId="0">
      <selection activeCell="A8" sqref="A8"/>
    </sheetView>
  </sheetViews>
  <sheetFormatPr defaultRowHeight="12.5" x14ac:dyDescent="0.25"/>
  <cols>
    <col min="1" max="1" width="19.7265625" bestFit="1" customWidth="1"/>
    <col min="3" max="3" width="19.36328125" bestFit="1" customWidth="1"/>
    <col min="5" max="5" width="20.26953125" bestFit="1" customWidth="1"/>
    <col min="7" max="7" width="18.26953125" bestFit="1" customWidth="1"/>
  </cols>
  <sheetData>
    <row r="1" spans="1:7" ht="25.5" customHeight="1" x14ac:dyDescent="0.3">
      <c r="A1" s="30" t="s">
        <v>1232</v>
      </c>
      <c r="B1" s="2"/>
      <c r="C1" s="2" t="s">
        <v>1233</v>
      </c>
      <c r="D1" s="2"/>
      <c r="E1" s="2" t="s">
        <v>1234</v>
      </c>
      <c r="F1" s="2"/>
      <c r="G1" s="2" t="s">
        <v>1235</v>
      </c>
    </row>
    <row r="2" spans="1:7" x14ac:dyDescent="0.25">
      <c r="A2" t="s">
        <v>1236</v>
      </c>
      <c r="C2" t="s">
        <v>1237</v>
      </c>
      <c r="G2" t="s">
        <v>1238</v>
      </c>
    </row>
    <row r="3" spans="1:7" x14ac:dyDescent="0.25">
      <c r="A3" s="28" t="s">
        <v>1239</v>
      </c>
      <c r="G3" t="s">
        <v>1240</v>
      </c>
    </row>
    <row r="4" spans="1:7" x14ac:dyDescent="0.25">
      <c r="A4" t="s">
        <v>1241</v>
      </c>
      <c r="G4" t="s">
        <v>1242</v>
      </c>
    </row>
    <row r="5" spans="1:7" ht="14.5" x14ac:dyDescent="0.35">
      <c r="A5" s="31" t="s">
        <v>1243</v>
      </c>
      <c r="G5" t="s">
        <v>1244</v>
      </c>
    </row>
    <row r="6" spans="1:7" x14ac:dyDescent="0.25">
      <c r="A6" s="42" t="s">
        <v>1245</v>
      </c>
      <c r="G6" t="s">
        <v>1246</v>
      </c>
    </row>
    <row r="7" spans="1:7" x14ac:dyDescent="0.25">
      <c r="A7" s="42" t="s">
        <v>1247</v>
      </c>
      <c r="G7" t="s">
        <v>1248</v>
      </c>
    </row>
    <row r="8" spans="1:7" x14ac:dyDescent="0.25">
      <c r="A8" t="s">
        <v>1249</v>
      </c>
      <c r="G8" t="s">
        <v>1250</v>
      </c>
    </row>
    <row r="9" spans="1:7" x14ac:dyDescent="0.25">
      <c r="G9" t="s">
        <v>1251</v>
      </c>
    </row>
    <row r="10" spans="1:7" x14ac:dyDescent="0.25">
      <c r="G10" t="s">
        <v>1252</v>
      </c>
    </row>
  </sheetData>
  <sortState xmlns:xlrd2="http://schemas.microsoft.com/office/spreadsheetml/2017/richdata2" ref="G2:G9">
    <sortCondition ref="G2:G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MMR proficient</vt:lpstr>
      <vt:lpstr>Proficient anonymized</vt:lpstr>
      <vt:lpstr>Proficient supplementary</vt:lpstr>
      <vt:lpstr>MMR deficient</vt:lpstr>
      <vt:lpstr>Deficient anonymized</vt:lpstr>
      <vt:lpstr>Deficient supplementary</vt:lpstr>
      <vt:lpstr>Calculations &amp; Lists</vt:lpstr>
      <vt:lpstr>Treatments</vt:lpstr>
    </vt:vector>
  </TitlesOfParts>
  <Manager/>
  <Company>University of Leeds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Clare Freer</dc:creator>
  <cp:keywords/>
  <dc:description/>
  <cp:lastModifiedBy>Ahmad Ammash</cp:lastModifiedBy>
  <cp:revision/>
  <dcterms:created xsi:type="dcterms:W3CDTF">2022-11-11T10:11:47Z</dcterms:created>
  <dcterms:modified xsi:type="dcterms:W3CDTF">2026-10-22T09:46:01Z</dcterms:modified>
  <cp:category/>
  <cp:contentStatus/>
</cp:coreProperties>
</file>