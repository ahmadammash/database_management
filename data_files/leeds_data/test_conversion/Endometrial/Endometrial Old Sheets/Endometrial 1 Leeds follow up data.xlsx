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27"/>
  <workbookPr codeName="ThisWorkbook"/>
  <mc:AlternateContent xmlns:mc="http://schemas.openxmlformats.org/markup-compatibility/2006">
    <mc:Choice Requires="x15">
      <x15ac:absPath xmlns:x15ac="http://schemas.microsoft.com/office/spreadsheetml/2010/11/ac" url="https://leeds365-my.sharepoint.com/personal/medaamm_leeds_ac_uk/Documents/UOL Data Manager/database_management/data_files/leeds_data/test_conversion/Endometrial/Endometrial Old Sheets/"/>
    </mc:Choice>
  </mc:AlternateContent>
  <xr:revisionPtr revIDLastSave="4528" documentId="11_9218BA942DF72C0DB91BE4CA2506FF9CB69EF5F1" xr6:coauthVersionLast="47" xr6:coauthVersionMax="47" xr10:uidLastSave="{991F429D-E0FB-4F7E-BCC5-713330301EB3}"/>
  <bookViews>
    <workbookView xWindow="-110" yWindow="-110" windowWidth="38620" windowHeight="21820" activeTab="1" xr2:uid="{00000000-000D-0000-FFFF-FFFF00000000}"/>
  </bookViews>
  <sheets>
    <sheet name="Follow up (ship 1)" sheetId="1" r:id="rId1"/>
    <sheet name="Prelim (ship 1)" sheetId="3" r:id="rId2"/>
    <sheet name="Follow up (ship 2)" sheetId="4" r:id="rId3"/>
    <sheet name="Prelim (ship 2)" sheetId="5" r:id="rId4"/>
    <sheet name="Calculations" sheetId="2"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5" i="4" l="1"/>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2" i="5"/>
  <c r="K2" i="5"/>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2" i="3"/>
  <c r="D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Q10" i="1"/>
  <c r="Q19" i="1"/>
  <c r="Q20" i="1"/>
  <c r="Q6" i="1"/>
  <c r="Q7" i="1"/>
  <c r="Q8" i="1"/>
  <c r="Q9" i="1"/>
  <c r="Q11" i="1"/>
  <c r="Q12" i="1"/>
  <c r="Q13" i="1"/>
  <c r="Q14" i="1"/>
  <c r="Q15" i="1"/>
  <c r="Q16" i="1"/>
  <c r="Q17" i="1"/>
  <c r="Q18"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5" i="1"/>
  <c r="FB5" i="1"/>
  <c r="EX5" i="1"/>
  <c r="EW5" i="1"/>
  <c r="EV5" i="1"/>
  <c r="ET5" i="1"/>
  <c r="ES5" i="1"/>
  <c r="ER5" i="1"/>
  <c r="EQ5" i="1"/>
  <c r="EP5" i="1"/>
  <c r="EO5" i="1"/>
  <c r="EN5" i="1"/>
  <c r="EM5" i="1"/>
  <c r="EL5" i="1"/>
  <c r="EK5" i="1"/>
  <c r="EJ5" i="1"/>
  <c r="EI5" i="1"/>
  <c r="EH5" i="1"/>
  <c r="EG5" i="1"/>
  <c r="EF5" i="1"/>
  <c r="EU5" i="1" s="1"/>
  <c r="EE5" i="1"/>
  <c r="ED5" i="1"/>
  <c r="EC5" i="1"/>
  <c r="EB5" i="1"/>
  <c r="EA5" i="1"/>
  <c r="DZ5" i="1"/>
  <c r="DY5" i="1"/>
  <c r="DX5" i="1"/>
  <c r="DW5" i="1"/>
  <c r="DV5" i="1"/>
  <c r="DU5" i="1"/>
  <c r="DT5" i="1"/>
  <c r="DS5" i="1"/>
  <c r="DR5" i="1"/>
  <c r="DQ5" i="1"/>
  <c r="DP5" i="1"/>
  <c r="DO5" i="1"/>
  <c r="DN5" i="1"/>
  <c r="DM5" i="1"/>
  <c r="DL5" i="1"/>
  <c r="DK5" i="1"/>
  <c r="DJ5" i="1"/>
  <c r="DI5" i="1"/>
  <c r="DH5" i="1"/>
  <c r="DG5" i="1"/>
  <c r="DF5" i="1"/>
  <c r="FA5" i="1" l="1"/>
  <c r="FD5" i="1" s="1"/>
  <c r="EZ5" i="1" a="1"/>
  <c r="FC5" i="1"/>
  <c r="EY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tc={5FB08450-117C-4427-B683-1C3227880B0A}</author>
    <author>tc={E57C00A3-1A62-47DA-BFAC-2EE1394FBBBC}</author>
    <author>tc={406560AF-4E64-49F8-B524-500B77DFAAD0}</author>
    <author>tc={17614868-3B24-48DB-9095-3F60A84304B8}</author>
  </authors>
  <commentList>
    <comment ref="K4" authorId="0" shapeId="0" xr:uid="{5FB08450-117C-4427-B683-1C3227880B0A}">
      <text>
        <t>[Threaded comment]
Your version of Excel allows you to read this threaded comment; however, any edits to it will get removed if the file is opened in a newer version of Excel. Learn more: https://go.microsoft.com/fwlink/?linkid=870924
Comment:
    Add full surgery (tubes, ovaries, omentum etc)</t>
      </text>
    </comment>
    <comment ref="Y4" authorId="1" shapeId="0" xr:uid="{E57C00A3-1A62-47DA-BFAC-2EE1394FBBBC}">
      <text>
        <t>[Threaded comment]
Your version of Excel allows you to read this threaded comment; however, any edits to it will get removed if the file is opened in a newer version of Excel. Learn more: https://go.microsoft.com/fwlink/?linkid=870924
Comment:
    1= Well differentiated, 2= Moderately differentiated, 3 = Poorly differentiated</t>
      </text>
    </comment>
    <comment ref="E7" authorId="2" shapeId="0" xr:uid="{406560AF-4E64-49F8-B524-500B77DFAAD0}">
      <text>
        <t>[Threaded comment]
Your version of Excel allows you to read this threaded comment; however, any edits to it will get removed if the file is opened in a newer version of Excel. Learn more: https://go.microsoft.com/fwlink/?linkid=870924
Comment:
    Not mentioned in path report</t>
      </text>
    </comment>
    <comment ref="H7" authorId="3" shapeId="0" xr:uid="{17614868-3B24-48DB-9095-3F60A84304B8}">
      <text>
        <t>[Threaded comment]
Your version of Excel allows you to read this threaded comment; however, any edits to it will get removed if the file is opened in a newer version of Excel. Learn more: https://go.microsoft.com/fwlink/?linkid=870924
Comment:
    Not mentioned in path report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tc={21A36177-3E6F-45D9-AF46-740AA4D238A2}</author>
    <author>tc={6CC4C9B4-3C5A-429E-BB64-70835829AF5E}</author>
    <author>tc={AE820ABB-B905-42C7-8797-367D81858FFD}</author>
  </authors>
  <commentList>
    <comment ref="V1" authorId="0" shapeId="0" xr:uid="{21A36177-3E6F-45D9-AF46-740AA4D238A2}">
      <text>
        <t>[Threaded comment]
Your version of Excel allows you to read this threaded comment; however, any edits to it will get removed if the file is opened in a newer version of Excel. Learn more: https://go.microsoft.com/fwlink/?linkid=870924
Comment:
    1= Well differentiated, 2= Moderately differentiated, 3 = Poorly differentiated</t>
      </text>
    </comment>
    <comment ref="C4" authorId="1" shapeId="0" xr:uid="{6CC4C9B4-3C5A-429E-BB64-70835829AF5E}">
      <text>
        <t>[Threaded comment]
Your version of Excel allows you to read this threaded comment; however, any edits to it will get removed if the file is opened in a newer version of Excel. Learn more: https://go.microsoft.com/fwlink/?linkid=870924
Comment:
    Not mentioned in path report</t>
      </text>
    </comment>
    <comment ref="F4" authorId="2" shapeId="0" xr:uid="{AE820ABB-B905-42C7-8797-367D81858FFD}">
      <text>
        <t>[Threaded comment]
Your version of Excel allows you to read this threaded comment; however, any edits to it will get removed if the file is opened in a newer version of Excel. Learn more: https://go.microsoft.com/fwlink/?linkid=870924
Comment:
    Not mentioned in path report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tc={8EE402BD-BF09-41C1-B4EF-EB9E06B1BC17}</author>
    <author>tc={0CA4883F-DB17-4098-B3AE-3D94C4E70DE5}</author>
    <author>GAHIR, Narinder (LEEDS TEACHING HOSPITALS NHS TRUST)</author>
    <author>tc={E3911E3D-69D1-488F-B17A-AAACCA6EBBD1}</author>
    <author>tc={3FDF02E3-B17A-4C75-9FAE-B7BCE3B8EEAB}</author>
    <author>tc={4034D298-F40D-45CB-9A5B-86A51B0857E5}</author>
    <author>tc={4F56BDA9-1DED-4BE0-A527-7688031E7E32}</author>
    <author>tc={761E5D97-2EBE-4B44-90D4-FB96DE792C03}</author>
    <author>tc={3B63185A-D52D-4E49-B12E-EC9C9A5ED69B}</author>
    <author>tc={3D09A1B3-9BB1-4FFC-AE33-3A00B788A1A6}</author>
    <author>tc={A8A7ACEC-A10D-4393-B8FF-B59D6ABDFBB3}</author>
    <author>tc={15142D00-EBC5-413F-94E9-F232FAEABDF8}</author>
    <author>tc={8FBC91AB-B2E9-4C3D-BC82-FF52D16D97AD}</author>
    <author>tc={95F8326F-6BF8-4923-9B21-1EA544D7171F}</author>
    <author>tc={43A753D2-7037-4412-A535-29C6ADC3A791}</author>
    <author>tc={C208435E-FD6A-432A-8327-3F68DD6F24D6}</author>
    <author>tc={D4F232C3-0E59-4614-B3E7-C9973D4BCED4}</author>
    <author>tc={5B71A458-11F6-46CD-B8B5-BB8F88E554AF}</author>
    <author>tc={8786EEB2-D763-4FAE-8BFF-556745B137D7}</author>
    <author>tc={9EFDBD85-D9B0-47D7-A8C0-A624496F5219}</author>
    <author>tc={6C52D23F-8F49-4451-BFE3-8AB5A72E16F7}</author>
    <author>tc={E875CDBE-24E3-4FCE-BF78-AF6FCECC8B41}</author>
    <author>tc={4E930F49-2E0A-4A67-B99F-B0AE2FE93BBC}</author>
    <author>tc={54CB02F7-2E57-487D-8ECC-946620647755}</author>
    <author>tc={459EE85A-DCE3-4798-B570-4F2F63F50EB5}</author>
    <author>tc={BD211749-8A6F-4902-AABD-74BAF96B79F0}</author>
    <author>tc={4312E3FE-9490-41E5-9F97-1F3B9F77E64A}</author>
    <author>tc={16F921B6-79B6-4334-BBB4-4737DF817295}</author>
    <author>tc={F599CEB3-C231-48DE-93C7-944BAB57E51C}</author>
    <author>tc={63006BB3-5441-4C73-8E6F-3B889CBE29F6}</author>
    <author>tc={AA22A5F4-722B-4691-80AC-3E0DDA68B783}</author>
    <author>tc={BC9EF93B-67FC-4C7A-B5A7-6F2860DC2BCF}</author>
    <author>tc={13417646-C76C-4E36-80BA-FF1BC797263A}</author>
    <author>tc={5F56C57E-F901-47DA-896A-C11C2373366D}</author>
    <author>tc={BD95A9BF-07E3-4ECC-B800-B0F83BBC800C}</author>
    <author>tc={8BEFD58E-FB45-4218-8C5D-EBAB94E46AD3}</author>
    <author>tc={4F306847-8BDF-4336-9133-F4F6BAB0F5D3}</author>
    <author>tc={408A95FE-D2FF-42D7-AA2D-7C814A49F0B5}</author>
    <author>tc={A850F935-281C-43C2-94D0-F35FF1E088EC}</author>
    <author>tc={AFF554BB-BBC3-4884-9EDF-ED2EE8371E64}</author>
    <author>tc={7524A358-B75C-4324-BA6F-C0127CD84F16}</author>
    <author>tc={01E94D89-AF4B-4A95-B6CE-76A31CD2374C}</author>
    <author>tc={00181B10-017C-4138-B45A-4EE21CD10290}</author>
    <author>tc={35922036-F5AF-43A0-B30F-33536A7E43DB}</author>
    <author>tc={57176A70-0195-4905-B981-FA6AF4C70F77}</author>
    <author>tc={70232D51-DFD3-48C1-994B-FB004D3BDF15}</author>
    <author>tc={91766C6D-0C18-47EC-B851-F86E9D4E8FA0}</author>
    <author>tc={062FAC58-D8A9-44B1-AE0D-491631435774}</author>
    <author>tc={D56095D0-5D6A-474F-BC06-ED11726F3B10}</author>
    <author>tc={FD718A40-4C9D-4A46-8CBA-0C3319A523F9}</author>
    <author>tc={677EB6B5-2460-468C-938E-E3084E055899}</author>
    <author>tc={B802071E-5F1C-467F-BBFD-DD5CD1B1816F}</author>
    <author>tc={8CB46A98-488A-48A8-82EC-7BF39632AA50}</author>
    <author>tc={FE440B8F-4D6E-4F25-B95C-47BD9E6E5F1B}</author>
    <author>tc={559D08DF-1213-438D-8C01-44E839870A76}</author>
  </authors>
  <commentList>
    <comment ref="B1" authorId="0" shapeId="0" xr:uid="{8EE402BD-BF09-41C1-B4EF-EB9E06B1BC17}">
      <text>
        <t>[Threaded comment]
Your version of Excel allows you to read this threaded comment; however, any edits to it will get removed if the file is opened in a newer version of Excel. Learn more: https://go.microsoft.com/fwlink/?linkid=870924
Comment:
    @ORSI, Nicolas (LEEDS TEACHING HOSPITALS NHS TRUST) am I right in thinking that pembro and dostarlimab have only been licensed for endometrial cancer in 2022/2023 therefore almost all of these would be a no?</t>
      </text>
    </comment>
    <comment ref="O1" authorId="1" shapeId="0" xr:uid="{0CA4883F-DB17-4098-B3AE-3D94C4E70DE5}">
      <text>
        <t>[Threaded comment]
Your version of Excel allows you to read this threaded comment; however, any edits to it will get removed if the file is opened in a newer version of Excel. Learn more: https://go.microsoft.com/fwlink/?linkid=870924
Comment:
    Add full surgery (tubes, ovaries, omentum etc)</t>
      </text>
    </comment>
    <comment ref="P1" authorId="2" shapeId="0" xr:uid="{779CF29F-70BF-4F8B-BD56-FB47AB68FF4B}">
      <text>
        <r>
          <rPr>
            <sz val="10"/>
            <color theme="1"/>
            <rFont val="Arial"/>
            <family val="2"/>
          </rPr>
          <t>GAHIR, Narinder (LEEDS TEACHING HOSPITALS NHS TRUST):
&lt;1mm clear of serosa - No
Breach - No
&gt;1mm - Yes
Parametrium involved - Speak to Nic orsi</t>
        </r>
      </text>
    </comment>
    <comment ref="P2" authorId="3" shapeId="0" xr:uid="{E3911E3D-69D1-488F-B17A-AAACCA6EBBD1}">
      <text>
        <t>[Threaded comment]
Your version of Excel allows you to read this threaded comment; however, any edits to it will get removed if the file is opened in a newer version of Excel. Learn more: https://go.microsoft.com/fwlink/?linkid=870924
Comment:
    "6mm from serosa"</t>
      </text>
    </comment>
    <comment ref="Q2" authorId="4" shapeId="0" xr:uid="{3FDF02E3-B17A-4C75-9FAE-B7BCE3B8EEAB}">
      <text>
        <t>[Threaded comment]
Your version of Excel allows you to read this threaded comment; however, any edits to it will get removed if the file is opened in a newer version of Excel. Learn more: https://go.microsoft.com/fwlink/?linkid=870924
Comment:
    "grade 3 endometrioid
adenocarcinoma"</t>
      </text>
    </comment>
    <comment ref="M3" authorId="5" shapeId="0" xr:uid="{4034D298-F40D-45CB-9A5B-86A51B0857E5}">
      <text>
        <t>[Threaded comment]
Your version of Excel allows you to read this threaded comment; however, any edits to it will get removed if the file is opened in a newer version of Excel. Learn more: https://go.microsoft.com/fwlink/?linkid=870924
Comment:
    MDT review of foreign films - MRI from bradford - 
"G3 adenoca endometrium
Bradford MR 22.3.18
dumb-bell shaped tumour extending into cervix and onto vagina.
no nodes
kidneys not obstructed"</t>
      </text>
    </comment>
    <comment ref="P3" authorId="6" shapeId="0" xr:uid="{4F56BDA9-1DED-4BE0-A527-7688031E7E32}">
      <text>
        <t>[Threaded comment]
Your version of Excel allows you to read this threaded comment; however, any edits to it will get removed if the file is opened in a newer version of Excel. Learn more: https://go.microsoft.com/fwlink/?linkid=870924
Comment:
    "At least 2.8mm of uninvolved myometrium separates the serosa from the tumour front"</t>
      </text>
    </comment>
    <comment ref="R3" authorId="7" shapeId="0" xr:uid="{761E5D97-2EBE-4B44-90D4-FB96DE792C03}">
      <text>
        <t>[Threaded comment]
Your version of Excel allows you to read this threaded comment; however, any edits to it will get removed if the file is opened in a newer version of Excel. Learn more: https://go.microsoft.com/fwlink/?linkid=870924
Comment:
    FIGO Grade 3, Stage II?
Reply:
    Correct. NB PPM wrong about stage 2A (no such thing). Changed to stage 2</t>
      </text>
    </comment>
    <comment ref="M4" authorId="8" shapeId="0" xr:uid="{3B63185A-D52D-4E49-B12E-EC9C9A5ED69B}">
      <text>
        <t>[Threaded comment]
Your version of Excel allows you to read this threaded comment; however, any edits to it will get removed if the file is opened in a newer version of Excel. Learn more: https://go.microsoft.com/fwlink/?linkid=870924
Comment:
    Gynae oncology MDT review 14/02/2018
"MR 7.2.18 Ponte
endometrial ca - bulky 1b disease near to serosa
benign right adnexal cyst"</t>
      </text>
    </comment>
    <comment ref="P4" authorId="9" shapeId="0" xr:uid="{3D09A1B3-9BB1-4FFC-AE33-3A00B788A1A6}">
      <text>
        <t>[Threaded comment]
Your version of Excel allows you to read this threaded comment; however, any edits to it will get removed if the file is opened in a newer version of Excel. Learn more: https://go.microsoft.com/fwlink/?linkid=870924
Comment:
    "tumour free distance to serosa = 1mm"</t>
      </text>
    </comment>
    <comment ref="H5" authorId="10" shapeId="0" xr:uid="{A8A7ACEC-A10D-4393-B8FF-B59D6ABDFBB3}">
      <text>
        <t>[Threaded comment]
Your version of Excel allows you to read this threaded comment; however, any edits to it will get removed if the file is opened in a newer version of Excel. Learn more: https://go.microsoft.com/fwlink/?linkid=870924
Comment:
    OK for now but will need the full surgery details as in this example for when we send the full follow-up data</t>
      </text>
    </comment>
    <comment ref="M5" authorId="11" shapeId="0" xr:uid="{15142D00-EBC5-413F-94E9-F232FAEABDF8}">
      <text>
        <t>[Threaded comment]
Your version of Excel allows you to read this threaded comment; however, any edits to it will get removed if the file is opened in a newer version of Excel. Learn more: https://go.microsoft.com/fwlink/?linkid=870924
Comment:
    York pathologist biopsy report found via file link is dated 7 Dec 17 - states "endometrioid endometrial cancer, FIGO grade 1"</t>
      </text>
    </comment>
    <comment ref="O6" authorId="12" shapeId="0" xr:uid="{8FBC91AB-B2E9-4C3D-BC82-FF52D16D97AD}">
      <text>
        <t>[Threaded comment]
Your version of Excel allows you to read this threaded comment; however, any edits to it will get removed if the file is opened in a newer version of Excel. Learn more: https://go.microsoft.com/fwlink/?linkid=870924
Comment:
    " Squamous differentiation is noted."</t>
      </text>
    </comment>
    <comment ref="O9" authorId="13" shapeId="0" xr:uid="{95F8326F-6BF8-4923-9B21-1EA544D7171F}">
      <text>
        <t>[Threaded comment]
Your version of Excel allows you to read this threaded comment; however, any edits to it will get removed if the file is opened in a newer version of Excel. Learn more: https://go.microsoft.com/fwlink/?linkid=870924
Comment:
    Path report states "Grade 1 endometrioid adenocarcinoma with mucinous differentiation"</t>
      </text>
    </comment>
    <comment ref="Q10" authorId="14" shapeId="0" xr:uid="{43A753D2-7037-4412-A535-29C6ADC3A791}">
      <text>
        <t>[Threaded comment]
Your version of Excel allows you to read this threaded comment; however, any edits to it will get removed if the file is opened in a newer version of Excel. Learn more: https://go.microsoft.com/fwlink/?linkid=870924
Comment:
    "The carcinomatous component (10%) shows moderate to poorly differentiated
endometrioid carcinoma (G2/G3) "</t>
      </text>
    </comment>
    <comment ref="O11" authorId="15" shapeId="0" xr:uid="{C208435E-FD6A-432A-8327-3F68DD6F24D6}">
      <text>
        <t>[Threaded comment]
Your version of Excel allows you to read this threaded comment; however, any edits to it will get removed if the file is opened in a newer version of Excel. Learn more: https://go.microsoft.com/fwlink/?linkid=870924
Comment:
    "the polypoidal endometrial tumour shows clear cell carcinoma... There is also acomponent of G2 endometrioid carcinoma..."</t>
      </text>
    </comment>
    <comment ref="Q11" authorId="16" shapeId="0" xr:uid="{D4F232C3-0E59-4614-B3E7-C9973D4BCED4}">
      <text>
        <t>[Threaded comment]
Your version of Excel allows you to read this threaded comment; however, any edits to it will get removed if the file is opened in a newer version of Excel. Learn more: https://go.microsoft.com/fwlink/?linkid=870924
Comment:
    Endometrioid component is G2</t>
      </text>
    </comment>
    <comment ref="P13" authorId="17" shapeId="0" xr:uid="{5B71A458-11F6-46CD-B8B5-BB8F88E554AF}">
      <text>
        <t>[Threaded comment]
Your version of Excel allows you to read this threaded comment; however, any edits to it will get removed if the file is opened in a newer version of Excel. Learn more: https://go.microsoft.com/fwlink/?linkid=870924
Comment:
    "Serosal breach present"</t>
      </text>
    </comment>
    <comment ref="Q13" authorId="18" shapeId="0" xr:uid="{8786EEB2-D763-4FAE-8BFF-556745B137D7}">
      <text>
        <t>[Threaded comment]
Your version of Excel allows you to read this threaded comment; however, any edits to it will get removed if the file is opened in a newer version of Excel. Learn more: https://go.microsoft.com/fwlink/?linkid=870924
Comment:
    "High grade serous endometrial carcinoma"</t>
      </text>
    </comment>
    <comment ref="O16" authorId="19" shapeId="0" xr:uid="{9EFDBD85-D9B0-47D7-A8C0-A624496F5219}">
      <text>
        <t>[Threaded comment]
Your version of Excel allows you to read this threaded comment; however, any edits to it will get removed if the file is opened in a newer version of Excel. Learn more: https://go.microsoft.com/fwlink/?linkid=870924
Comment:
    "biphasic malignant
neoplasm composed of high-grade carcinomatous and sarcomatous elements"</t>
      </text>
    </comment>
    <comment ref="M20" authorId="20" shapeId="0" xr:uid="{6C52D23F-8F49-4451-BFE3-8AB5A72E16F7}">
      <text>
        <t>[Threaded comment]
Your version of Excel allows you to read this threaded comment; however, any edits to it will get removed if the file is opened in a newer version of Excel. Learn more: https://go.microsoft.com/fwlink/?linkid=870924
Comment:
    Bx reported in "MYH Investigations" paperwork - via file link - dated 18 june 18</t>
      </text>
    </comment>
    <comment ref="O20" authorId="21" shapeId="0" xr:uid="{E875CDBE-24E3-4FCE-BF78-AF6FCECC8B41}">
      <text>
        <t>[Threaded comment]
Your version of Excel allows you to read this threaded comment; however, any edits to it will get removed if the file is opened in a newer version of Excel. Learn more: https://go.microsoft.com/fwlink/?linkid=870924
Comment:
    "Extensive infiltration of the cervix and myometrium by a carcinosarcoma
predominantly composed of the carcinomatous component and in particular serous
carcinoma."</t>
      </text>
    </comment>
    <comment ref="P20" authorId="22" shapeId="0" xr:uid="{4E930F49-2E0A-4A67-B99F-B0AE2FE93BBC}">
      <text>
        <t>[Threaded comment]
Your version of Excel allows you to read this threaded comment; however, any edits to it will get removed if the file is opened in a newer version of Excel. Learn more: https://go.microsoft.com/fwlink/?linkid=870924
Comment:
    "Below the posterior peritoneal reflection however, the
adenocarcinoma component is infiltrating up to the soft tissue margin"</t>
      </text>
    </comment>
    <comment ref="P21" authorId="23" shapeId="0" xr:uid="{54CB02F7-2E57-487D-8ECC-946620647755}">
      <text>
        <t>[Threaded comment]
Your version of Excel allows you to read this threaded comment; however, any edits to it will get removed if the file is opened in a newer version of Excel. Learn more: https://go.microsoft.com/fwlink/?linkid=870924
Comment:
    "less than 0.1mm from the nearest serosal surface"</t>
      </text>
    </comment>
    <comment ref="P23" authorId="24" shapeId="0" xr:uid="{459EE85A-DCE3-4798-B570-4F2F63F50EB5}">
      <text>
        <t>[Threaded comment]
Your version of Excel allows you to read this threaded comment; however, any edits to it will get removed if the file is opened in a newer version of Excel. Learn more: https://go.microsoft.com/fwlink/?linkid=870924
Comment:
    "Tumour free distance to serosa=0.7mm"
Reply:
    Needs to be serosal breach to restate to IIIA</t>
      </text>
    </comment>
    <comment ref="P24" authorId="25" shapeId="0" xr:uid="{BD211749-8A6F-4902-AABD-74BAF96B79F0}">
      <text>
        <t>[Threaded comment]
Your version of Excel allows you to read this threaded comment; however, any edits to it will get removed if the file is opened in a newer version of Excel. Learn more: https://go.microsoft.com/fwlink/?linkid=870924
Comment:
    "0.5mm from the closest serosal margin"
Reply:
    No serosal breach so not upstaged</t>
      </text>
    </comment>
    <comment ref="O25" authorId="26" shapeId="0" xr:uid="{4312E3FE-9490-41E5-9F97-1F3B9F77E64A}">
      <text>
        <t>[Threaded comment]
Your version of Excel allows you to read this threaded comment; however, any edits to it will get removed if the file is opened in a newer version of Excel. Learn more: https://go.microsoft.com/fwlink/?linkid=870924
Comment:
    "endometrioid carcinoma (25%) ... clear cell carcinoma (75%)"</t>
      </text>
    </comment>
    <comment ref="O27" authorId="27" shapeId="0" xr:uid="{16F921B6-79B6-4334-BBB4-4737DF817295}">
      <text>
        <t>[Threaded comment]
Your version of Excel allows you to read this threaded comment; however, any edits to it will get removed if the file is opened in a newer version of Excel. Learn more: https://go.microsoft.com/fwlink/?linkid=870924
Comment:
    Report was inconclusive as to carcinoma type</t>
      </text>
    </comment>
    <comment ref="P28" authorId="28" shapeId="0" xr:uid="{F599CEB3-C231-48DE-93C7-944BAB57E51C}">
      <text>
        <t>[Threaded comment]
Your version of Excel allows you to read this threaded comment; however, any edits to it will get removed if the file is opened in a newer version of Excel. Learn more: https://go.microsoft.com/fwlink/?linkid=870924
Comment:
    Does not breach serosal surface</t>
      </text>
    </comment>
    <comment ref="R28" authorId="29" shapeId="0" xr:uid="{63006BB3-5441-4C73-8E6F-3B889CBE29F6}">
      <text>
        <t>[Threaded comment]
Your version of Excel allows you to read this threaded comment; however, any edits to it will get removed if the file is opened in a newer version of Excel. Learn more: https://go.microsoft.com/fwlink/?linkid=870924
Comment:
    Path report contradicts PPM (stage 1A). Going with path report</t>
      </text>
    </comment>
    <comment ref="P29" authorId="30" shapeId="0" xr:uid="{AA22A5F4-722B-4691-80AC-3E0DDA68B783}">
      <text>
        <t>[Threaded comment]
Your version of Excel allows you to read this threaded comment; however, any edits to it will get removed if the file is opened in a newer version of Excel. Learn more: https://go.microsoft.com/fwlink/?linkid=870924
Comment:
    "Serosal breach present"</t>
      </text>
    </comment>
    <comment ref="M30" authorId="31" shapeId="0" xr:uid="{BC9EF93B-67FC-4C7A-B5A7-6F2860DC2BCF}">
      <text>
        <t>[Threaded comment]
Your version of Excel allows you to read this threaded comment; however, any edits to it will get removed if the file is opened in a newer version of Excel. Learn more: https://go.microsoft.com/fwlink/?linkid=870924
Comment:
    MDT proforma 9/Aug/18 cited 
"Local MDT 09.08.18. 
Pathology: high grade serous carcinoma"
Cannot find date for the Bx itself</t>
      </text>
    </comment>
    <comment ref="P30" authorId="32" shapeId="0" xr:uid="{13417646-C76C-4E36-80BA-FF1BC797263A}">
      <text>
        <t>[Threaded comment]
Your version of Excel allows you to read this threaded comment; however, any edits to it will get removed if the file is opened in a newer version of Excel. Learn more: https://go.microsoft.com/fwlink/?linkid=870924
Comment:
    "Tumour involves full thickness of the myometrium reaching subserosa.
No obvious serosal breach seen."</t>
      </text>
    </comment>
    <comment ref="O32" authorId="33" shapeId="0" xr:uid="{5F56C57E-F901-47DA-896A-C11C2373366D}">
      <text>
        <t>[Threaded comment]
Your version of Excel allows you to read this threaded comment; however, any edits to it will get removed if the file is opened in a newer version of Excel. Learn more: https://go.microsoft.com/fwlink/?linkid=870924
Comment:
    Path report unclear as to the differentiation</t>
      </text>
    </comment>
    <comment ref="P32" authorId="34" shapeId="0" xr:uid="{BD95A9BF-07E3-4ECC-B800-B0F83BBC800C}">
      <text>
        <t>[Threaded comment]
Your version of Excel allows you to read this threaded comment; however, any edits to it will get removed if the file is opened in a newer version of Excel. Learn more: https://go.microsoft.com/fwlink/?linkid=870924
Comment:
    "Poorly differentiated tumour is seen at posterior serosal surface"
"Omentum - Metastatic serous adenocarcinoma"
"Small bowel mesentery biopsy - Metastatic carcinosarcoma"
"Right hemicolectomy - Metastatic carcinosarcoma"
"Appendix - Metastatic tumour in periappendiceal fat"
Suggests widespread therefore residual tumour must remain</t>
      </text>
    </comment>
    <comment ref="M33" authorId="35" shapeId="0" xr:uid="{8BEFD58E-FB45-4218-8C5D-EBAB94E46AD3}">
      <text>
        <t>[Threaded comment]
Your version of Excel allows you to read this threaded comment; however, any edits to it will get removed if the file is opened in a newer version of Excel. Learn more: https://go.microsoft.com/fwlink/?linkid=870924
Comment:
    Surgery date given: Imaging suggested ovarian tumours, found to be endometrial post hysterectomy</t>
      </text>
    </comment>
    <comment ref="P33" authorId="36" shapeId="0" xr:uid="{4F306847-8BDF-4336-9133-F4F6BAB0F5D3}">
      <text>
        <t>[Threaded comment]
Your version of Excel allows you to read this threaded comment; however, any edits to it will get removed if the file is opened in a newer version of Excel. Learn more: https://go.microsoft.com/fwlink/?linkid=870924
Comment:
    "The tumour show extensive diffuse infiltration of the myometrium and breaches the serosa. The tumour invades directly into the right ovary and paraovarian tissue."</t>
      </text>
    </comment>
    <comment ref="P40" authorId="37" shapeId="0" xr:uid="{408A95FE-D2FF-42D7-AA2D-7C814A49F0B5}">
      <text>
        <t>[Threaded comment]
Your version of Excel allows you to read this threaded comment; however, any edits to it will get removed if the file is opened in a newer version of Excel. Learn more: https://go.microsoft.com/fwlink/?linkid=870924
Comment:
    No serosal breach</t>
      </text>
    </comment>
    <comment ref="M41" authorId="38" shapeId="0" xr:uid="{A850F935-281C-43C2-94D0-F35FF1E088EC}">
      <text>
        <t>[Threaded comment]
Your version of Excel allows you to read this threaded comment; however, any edits to it will get removed if the file is opened in a newer version of Excel. Learn more: https://go.microsoft.com/fwlink/?linkid=870924
Comment:
    Date of surgery given as previous Bx showed hyperplasia but not malignancy</t>
      </text>
    </comment>
    <comment ref="P44" authorId="39" shapeId="0" xr:uid="{AFF554BB-BBC3-4884-9EDF-ED2EE8371E64}">
      <text>
        <t>[Threaded comment]
Your version of Excel allows you to read this threaded comment; however, any edits to it will get removed if the file is opened in a newer version of Excel. Learn more: https://go.microsoft.com/fwlink/?linkid=870924
Comment:
    Serosal breach and "left parametrium is involved by tumour"</t>
      </text>
    </comment>
    <comment ref="P49" authorId="40" shapeId="0" xr:uid="{7524A358-B75C-4324-BA6F-C0127CD84F16}">
      <text>
        <t>[Threaded comment]
Your version of Excel allows you to read this threaded comment; however, any edits to it will get removed if the file is opened in a newer version of Excel. Learn more: https://go.microsoft.com/fwlink/?linkid=870924
Comment:
    "The distance of the tumour from the nearest serosal surface
is 5.1mm. Extensive lymphovascular space invasion by tumour is seen...
Tumour within lymphovascular spaces is seen very close to the serosal surface
(&lt;0.3mm)."
"The parametrium and cornua on both sides contain tumour, mainly within
lymphovascular spaces."
Reply:
    Paracervical tissue also involved by tumour</t>
      </text>
    </comment>
    <comment ref="B53" authorId="41" shapeId="0" xr:uid="{01E94D89-AF4B-4A95-B6CE-76A31CD2374C}">
      <text>
        <t>[Threaded comment]
Your version of Excel allows you to read this threaded comment; however, any edits to it will get removed if the file is opened in a newer version of Excel. Learn more: https://go.microsoft.com/fwlink/?linkid=870924
Comment:
    Feb 2023: starting pembrolizumab immunotherapy.
Reply:
    Received first dose on 11/Feb/23 - has been prescribed to treat Colorectal cancer. Arguably not relevant to this case?
Reply:
    I think we should record it as N if it isn't used to treat the cancer in question</t>
      </text>
    </comment>
    <comment ref="B55" authorId="42" shapeId="0" xr:uid="{00181B10-017C-4138-B45A-4EE21CD10290}">
      <text>
        <t>[Threaded comment]
Your version of Excel allows you to read this threaded comment; however, any edits to it will get removed if the file is opened in a newer version of Excel. Learn more: https://go.microsoft.com/fwlink/?linkid=870924
Comment:
    Dostarlimab treatment commenced Jun 22 for recurrent disease
Reply:
    I have made a note that it is for a recurrence so it is clear that the primary tumour is immunotherapy native</t>
      </text>
    </comment>
    <comment ref="O64" authorId="43" shapeId="0" xr:uid="{35922036-F5AF-43A0-B30F-33536A7E43DB}">
      <text>
        <t>[Threaded comment]
Your version of Excel allows you to read this threaded comment; however, any edits to it will get removed if the file is opened in a newer version of Excel. Learn more: https://go.microsoft.com/fwlink/?linkid=870924
Comment:
    @ORSI, Nicolas (LEEDS TEACHING HOSPITALS NHS TRUST)  would this count as mixed?
Reply:
    "The endometrium shows features of grade 2 endometrioid adenocarcinoma, seen infiltrating into the outer half of myometrium. [...]
The fundal nodule noted macroscopically (block A7) represents an adenomatoid
tumour (WT1, AE1/3 and Calretinin positive)."</t>
      </text>
    </comment>
    <comment ref="P64" authorId="44" shapeId="0" xr:uid="{57176A70-0195-4905-B981-FA6AF4C70F77}">
      <text>
        <t>[Threaded comment]
Your version of Excel allows you to read this threaded comment; however, any edits to it will get removed if the file is opened in a newer version of Excel. Learn more: https://go.microsoft.com/fwlink/?linkid=870924
Comment:
    Tumour is 1mm from serosa within uterus, but "the fallopian tube and ovary show evidence of serosal deposits"</t>
      </text>
    </comment>
    <comment ref="O66" authorId="45" shapeId="0" xr:uid="{70232D51-DFD3-48C1-994B-FB004D3BDF15}">
      <text>
        <t>[Threaded comment]
Your version of Excel allows you to read this threaded comment; however, any edits to it will get removed if the file is opened in a newer version of Excel. Learn more: https://go.microsoft.com/fwlink/?linkid=870924
Comment:
    90% sarcoma, 10% endometrioid adenocarcinoma</t>
      </text>
    </comment>
    <comment ref="P66" authorId="46" shapeId="0" xr:uid="{91766C6D-0C18-47EC-B851-F86E9D4E8FA0}">
      <text>
        <t>[Threaded comment]
Your version of Excel allows you to read this threaded comment; however, any edits to it will get removed if the file is opened in a newer version of Excel. Learn more: https://go.microsoft.com/fwlink/?linkid=870924
Comment:
    No serosal breach</t>
      </text>
    </comment>
    <comment ref="P68" authorId="2" shapeId="0" xr:uid="{9C6B671C-EDD6-47C7-831A-A58F1A6A522A}">
      <text>
        <r>
          <rPr>
            <sz val="10"/>
            <color theme="1"/>
            <rFont val="Arial"/>
            <family val="2"/>
          </rPr>
          <t>GAHIR, Narinder (LEEDS TEACHING HOSPITALS NHS TRUST):
Reaches up to the posterior
serosa.
Magin 0 mm</t>
        </r>
      </text>
    </comment>
    <comment ref="P70" authorId="2" shapeId="0" xr:uid="{3ABFBF28-DB01-4425-877D-095FD7767EB9}">
      <text>
        <r>
          <rPr>
            <sz val="10"/>
            <color theme="1"/>
            <rFont val="Arial"/>
            <family val="2"/>
          </rPr>
          <t>GAHIR, Narinder (LEEDS TEACHING HOSPITALS NHS TRUST):
Serosal breach present</t>
        </r>
      </text>
    </comment>
    <comment ref="O72" authorId="47" shapeId="0" xr:uid="{062FAC58-D8A9-44B1-AE0D-491631435774}">
      <text>
        <t>[Threaded comment]
Your version of Excel allows you to read this threaded comment; however, any edits to it will get removed if the file is opened in a newer version of Excel. Learn more: https://go.microsoft.com/fwlink/?linkid=870924
Comment:
    @ORSI, Nicolas (LEEDS TEACHING HOSPITALS NHS TRUST) path report also states there is a "Müllerian adenofibroma left cornu" - should I include this?</t>
      </text>
    </comment>
    <comment ref="P74" authorId="48" shapeId="0" xr:uid="{D56095D0-5D6A-474F-BC06-ED11726F3B10}">
      <text>
        <t>[Threaded comment]
Your version of Excel allows you to read this threaded comment; however, any edits to it will get removed if the file is opened in a newer version of Excel. Learn more: https://go.microsoft.com/fwlink/?linkid=870924
Comment:
    "0.4mm (block A8) clear of the serosa."
Reply:
    No serosal breach</t>
      </text>
    </comment>
    <comment ref="O76" authorId="49" shapeId="0" xr:uid="{FD718A40-4C9D-4A46-8CBA-0C3319A523F9}">
      <text>
        <t>[Threaded comment]
Your version of Excel allows you to read this threaded comment; however, any edits to it will get removed if the file is opened in a newer version of Excel. Learn more: https://go.microsoft.com/fwlink/?linkid=870924
Comment:
    &gt;95% Serous carcinoma, &lt;5% "pleomorphic bizarre cells within the
stroma"</t>
      </text>
    </comment>
    <comment ref="P76" authorId="2" shapeId="0" xr:uid="{B484E817-F792-4A5B-A6B6-2531F4B543BF}">
      <text>
        <r>
          <rPr>
            <sz val="10"/>
            <color theme="1"/>
            <rFont val="Arial"/>
            <family val="2"/>
          </rPr>
          <t xml:space="preserve">GAHIR, Narinder (LEEDS TEACHING HOSPITALS NHS TRUST):
Involvement of serosa, cervical stroma 
  and left parametrium </t>
        </r>
      </text>
    </comment>
    <comment ref="O79" authorId="50" shapeId="0" xr:uid="{677EB6B5-2460-468C-938E-E3084E055899}">
      <text>
        <t>[Threaded comment]
Your version of Excel allows you to read this threaded comment; however, any edits to it will get removed if the file is opened in a newer version of Excel. Learn more: https://go.microsoft.com/fwlink/?linkid=870924
Comment:
    "The tumour in endomyometrium shows variable pattern and
immunohistochemistry is not entirely supportive and helpful. However there is definite metastasis of clear cell carcinoma in right pelvic node and para-aortic nodes."</t>
      </text>
    </comment>
    <comment ref="O81" authorId="51" shapeId="0" xr:uid="{B802071E-5F1C-467F-BBFD-DD5CD1B1816F}">
      <text>
        <t>[Threaded comment]
Your version of Excel allows you to read this threaded comment; however, any edits to it will get removed if the file is opened in a newer version of Excel. Learn more: https://go.microsoft.com/fwlink/?linkid=870924
Comment:
    80% carcinoma, 20% sarcoma</t>
      </text>
    </comment>
    <comment ref="P81" authorId="2" shapeId="0" xr:uid="{280A219A-7CC8-44C4-BF02-37134CA5C17E}">
      <text>
        <r>
          <rPr>
            <sz val="10"/>
            <color theme="1"/>
            <rFont val="Arial"/>
            <family val="2"/>
          </rPr>
          <t xml:space="preserve">GAHIR, Narinder (LEEDS TEACHING HOSPITALS NHS TRUST):
Reaches the serosa. Margin NR
Cummings, Michele: Metastatic deposits in peritoneal serosa
 </t>
        </r>
      </text>
    </comment>
    <comment ref="G82" authorId="2" shapeId="0" xr:uid="{72390011-DFD5-4223-98C2-C0BF1EC73D90}">
      <text>
        <r>
          <rPr>
            <sz val="10"/>
            <color theme="1"/>
            <rFont val="Arial"/>
            <family val="2"/>
          </rPr>
          <t>GAHIR, Narinder (LEEDS TEACHING HOSPITALS NHS TRUST):
Path report noted as 02OCT2019 but surgery preformed on 03OCT2019</t>
        </r>
      </text>
    </comment>
    <comment ref="O83" authorId="52" shapeId="0" xr:uid="{8CB46A98-488A-48A8-82EC-7BF39632AA50}">
      <text>
        <t>[Threaded comment]
Your version of Excel allows you to read this threaded comment; however, any edits to it will get removed if the file is opened in a newer version of Excel. Learn more: https://go.microsoft.com/fwlink/?linkid=870924
Comment:
    80% carcinoma, 20% sarcoma</t>
      </text>
    </comment>
    <comment ref="O87" authorId="53" shapeId="0" xr:uid="{FE440B8F-4D6E-4F25-B95C-47BD9E6E5F1B}">
      <text>
        <t>[Threaded comment]
Your version of Excel allows you to read this threaded comment; however, any edits to it will get removed if the file is opened in a newer version of Excel. Learn more: https://go.microsoft.com/fwlink/?linkid=870924
Comment:
    to review with @ORSI, Nicolas (LEEDS TEACHING HOSPITALS NHS TRUST) as path report indeterminate - may be serous carcinoma - pt recd chemo prior to resection for suspected peritoneal primary</t>
      </text>
    </comment>
    <comment ref="P88" authorId="54" shapeId="0" xr:uid="{559D08DF-1213-438D-8C01-44E839870A76}">
      <text>
        <t>[Threaded comment]
Your version of Excel allows you to read this threaded comment; however, any edits to it will get removed if the file is opened in a newer version of Excel. Learn more: https://go.microsoft.com/fwlink/?linkid=870924
Comment:
    tumour "reaches 0.1mm from nearest serosal surface"
Reply:
    Also invasion of paratubal tissue</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<sst xmlns="http://schemas.openxmlformats.org/spreadsheetml/2006/main" count="5512" uniqueCount="855">
  <si>
    <t>Time to event (in months)</t>
  </si>
  <si>
    <t>Neoadjuvant treatment</t>
  </si>
  <si>
    <t>Adjuvant treatment</t>
  </si>
  <si>
    <t>Relapse/progression</t>
  </si>
  <si>
    <t>Metstatic treatment</t>
  </si>
  <si>
    <t>Specimen collection</t>
  </si>
  <si>
    <t>OS/PFS</t>
  </si>
  <si>
    <t>NHS</t>
  </si>
  <si>
    <t>Any Immunotherapy</t>
  </si>
  <si>
    <t>Specimen is a recurrence (Y/N)</t>
  </si>
  <si>
    <t>Selected specimen Anonymised ID</t>
  </si>
  <si>
    <t>Specimen Block number</t>
  </si>
  <si>
    <t>Specimen Surgery Date (DD/MM/YYYY)</t>
  </si>
  <si>
    <t>Anonymized ID Normal tissue</t>
  </si>
  <si>
    <t>Matched Normal tissue Block Number</t>
  </si>
  <si>
    <t>Matched Normal tissue Site</t>
  </si>
  <si>
    <t>Matched Normal tissue Surgery Date (DD/MM/YY)</t>
  </si>
  <si>
    <t>Specimen surgery</t>
  </si>
  <si>
    <t>Specimen tumour site</t>
  </si>
  <si>
    <t>Primary tumour site</t>
  </si>
  <si>
    <t>Gender</t>
  </si>
  <si>
    <t>DOB (DD/MM/YYYY)</t>
  </si>
  <si>
    <t>Date of DX (DD/MM/YYYY)</t>
  </si>
  <si>
    <t>Age at Diagnosis (years)</t>
  </si>
  <si>
    <t>Specimen Histological Diagnosis</t>
  </si>
  <si>
    <t>Resection margins clear (Y/N)</t>
  </si>
  <si>
    <t>pT</t>
  </si>
  <si>
    <t>pN</t>
  </si>
  <si>
    <t>pM</t>
  </si>
  <si>
    <t>cM</t>
  </si>
  <si>
    <t>FIGO Grade</t>
  </si>
  <si>
    <t>Grade</t>
  </si>
  <si>
    <t>TNM stage</t>
  </si>
  <si>
    <t>Stage at DX (AJCC)</t>
  </si>
  <si>
    <t>Neoadjuvant therapy (Y/N)</t>
  </si>
  <si>
    <t>Response to neoadjuvant therapy (TRS score)</t>
  </si>
  <si>
    <t>Neoadjuvant radioTx</t>
  </si>
  <si>
    <t>Start Date</t>
  </si>
  <si>
    <t>End Date</t>
  </si>
  <si>
    <t>Tumour response</t>
  </si>
  <si>
    <t>Neoadjuvant chemo Tx1</t>
  </si>
  <si>
    <t>Neoadjuvant chemo Tx2</t>
  </si>
  <si>
    <t>Neoadjuvant chemoTx 3</t>
  </si>
  <si>
    <t>Neoadjuvant Immunotherapy Tx 1</t>
  </si>
  <si>
    <t>Neoadjuvant Immunotherapy Tx 2</t>
  </si>
  <si>
    <t>Adjuvant radio Tx 1</t>
  </si>
  <si>
    <t xml:space="preserve">Start Date </t>
  </si>
  <si>
    <t>Adjuvant ChemoTx 1</t>
  </si>
  <si>
    <t>Adjuvant ChemoTx  2</t>
  </si>
  <si>
    <t xml:space="preserve">Tumour response </t>
  </si>
  <si>
    <t>Adjuvant ChemoTx  3</t>
  </si>
  <si>
    <t>Adjuvant Imunnotherapy Tx1</t>
  </si>
  <si>
    <t>Date relapse/ progression 1</t>
  </si>
  <si>
    <t>Sites relapse/ progression 1</t>
  </si>
  <si>
    <t>Date relapse/ progression 2</t>
  </si>
  <si>
    <t>Sites relapse/ progression 2</t>
  </si>
  <si>
    <t>Date relapse/ progression 3</t>
  </si>
  <si>
    <t>Sites relapse/ progression 3</t>
  </si>
  <si>
    <t>Date relapse/ progression 4</t>
  </si>
  <si>
    <t>Sites relapse/ progression 4</t>
  </si>
  <si>
    <t>Date relapse/ progression 5</t>
  </si>
  <si>
    <t>Sites relapse/ progression 5</t>
  </si>
  <si>
    <t>Date relapse/ progression 6</t>
  </si>
  <si>
    <t>Sites relapse/ progression 6</t>
  </si>
  <si>
    <t>Date relapse/ progression 7</t>
  </si>
  <si>
    <t>Sites relapse/ progression 7</t>
  </si>
  <si>
    <t>Date relapse/ progression 8</t>
  </si>
  <si>
    <t>Sites relapse/ progression 8</t>
  </si>
  <si>
    <t>Date relapse/ progression 9</t>
  </si>
  <si>
    <t>Sites relapse/ progression 9</t>
  </si>
  <si>
    <t>Metastatic/ recurrent                      Tx 1</t>
  </si>
  <si>
    <t>Finish Date</t>
  </si>
  <si>
    <t>Metastatic/ recurrent Tx 2</t>
  </si>
  <si>
    <t>Metastatic/ recurrent Tx 3</t>
  </si>
  <si>
    <t>Current Status</t>
  </si>
  <si>
    <t>Death date</t>
  </si>
  <si>
    <t>Death due to tumour/ assumed tumour related? (Y/N)</t>
  </si>
  <si>
    <t>Cause of death</t>
  </si>
  <si>
    <t>Date last follow-up</t>
  </si>
  <si>
    <t>Date Last Seen</t>
  </si>
  <si>
    <t>Concurrent Medical Conditions</t>
  </si>
  <si>
    <t xml:space="preserve">Rx1 start </t>
  </si>
  <si>
    <t xml:space="preserve">Rx1 end </t>
  </si>
  <si>
    <t xml:space="preserve">Chemo Tx1 start </t>
  </si>
  <si>
    <t xml:space="preserve">Chemo Tx1 end </t>
  </si>
  <si>
    <t xml:space="preserve">Chemo Tx2 start </t>
  </si>
  <si>
    <t xml:space="preserve">Chemo Tx2 end </t>
  </si>
  <si>
    <t xml:space="preserve">Chemo Tx3 start </t>
  </si>
  <si>
    <t xml:space="preserve">Chemo Tx3 end </t>
  </si>
  <si>
    <t>Immunotherapy Tx1 start</t>
  </si>
  <si>
    <t xml:space="preserve">Immunotherapy Tx1 end </t>
  </si>
  <si>
    <t>Immunotherapy Tx2 start</t>
  </si>
  <si>
    <t xml:space="preserve">Immunotherapy Tx2 end </t>
  </si>
  <si>
    <t>Matched met 1 surgery</t>
  </si>
  <si>
    <t xml:space="preserve">Matched met 2 surgery </t>
  </si>
  <si>
    <t xml:space="preserve">Normal tissue surgery </t>
  </si>
  <si>
    <t xml:space="preserve">Adjuvant Rx1 start </t>
  </si>
  <si>
    <t xml:space="preserve">Adjuvant Rx1 end </t>
  </si>
  <si>
    <t xml:space="preserve">Adjuvant Chemo Tx1 start </t>
  </si>
  <si>
    <t>Adjuvant Chemo Tx1 end</t>
  </si>
  <si>
    <t xml:space="preserve">Adjuvant Chemo Tx2 start </t>
  </si>
  <si>
    <t>Adjuvant Chemo Tx2 end</t>
  </si>
  <si>
    <t xml:space="preserve">Adjuvant Chemo Tx3 start </t>
  </si>
  <si>
    <t>Adjuvant Chemo Tx3 end</t>
  </si>
  <si>
    <t>Relapse/ progression 1</t>
  </si>
  <si>
    <t>Relapse/ progression 2</t>
  </si>
  <si>
    <t>Relapse/ progression 3</t>
  </si>
  <si>
    <t>Relapse/ progression 4</t>
  </si>
  <si>
    <t>Relapse/ progression 5</t>
  </si>
  <si>
    <t>Relapse/ progression 6</t>
  </si>
  <si>
    <t>Relapse/ progression 7</t>
  </si>
  <si>
    <t>Relapse/ progression 8</t>
  </si>
  <si>
    <t>Relapse/ progression 9</t>
  </si>
  <si>
    <t xml:space="preserve">Metastatic Tx1 start </t>
  </si>
  <si>
    <t xml:space="preserve">Metastatic Tx1 end </t>
  </si>
  <si>
    <t xml:space="preserve">Metastatic Tx2 start </t>
  </si>
  <si>
    <t xml:space="preserve">Metastatic Tx2 end </t>
  </si>
  <si>
    <t xml:space="preserve">Metastatic Tx3 start </t>
  </si>
  <si>
    <t xml:space="preserve">Metastatic Tx3 end </t>
  </si>
  <si>
    <t>Recurrence (PFS)</t>
  </si>
  <si>
    <t>Death (OS and PFS)</t>
  </si>
  <si>
    <t>Date last follow-up (PFS)</t>
  </si>
  <si>
    <t>Date last seen (OS)</t>
  </si>
  <si>
    <t>Overall survival (OS) in months</t>
  </si>
  <si>
    <t>Progression free survival (PFS) in months</t>
  </si>
  <si>
    <t>Event (recurrence/progression)</t>
  </si>
  <si>
    <t>Event (cancer death)</t>
  </si>
  <si>
    <t>Event (death; all causes)</t>
  </si>
  <si>
    <t>Event (recurrence or cancer death)</t>
  </si>
  <si>
    <t>Comments from clinical team</t>
  </si>
  <si>
    <t>N</t>
  </si>
  <si>
    <t>LH17-02702</t>
  </si>
  <si>
    <t>A1, A12</t>
  </si>
  <si>
    <t>N/A</t>
  </si>
  <si>
    <t>Total abdominal hysterectomy</t>
  </si>
  <si>
    <t>Endometrium</t>
  </si>
  <si>
    <t>F</t>
  </si>
  <si>
    <t>Carcinosarcoma with heterologous differentiation</t>
  </si>
  <si>
    <t>Y</t>
  </si>
  <si>
    <t>IIIC1</t>
  </si>
  <si>
    <t>NR</t>
  </si>
  <si>
    <t>T2N1M0</t>
  </si>
  <si>
    <t>Asthma, cervical spondylosis, high cholesterol, hypertension, hypothyroidism, ulcerative colitis, gout.</t>
  </si>
  <si>
    <t>LH17-06069</t>
  </si>
  <si>
    <t>A11, A12</t>
  </si>
  <si>
    <t>B3</t>
  </si>
  <si>
    <t>Lymph node</t>
  </si>
  <si>
    <t>Endometrioid adenocarcinoma</t>
  </si>
  <si>
    <t>1b</t>
  </si>
  <si>
    <t>x</t>
  </si>
  <si>
    <t>IB</t>
  </si>
  <si>
    <t>T1BN0M0</t>
  </si>
  <si>
    <t>LH17-07381</t>
  </si>
  <si>
    <t>A9, A8</t>
  </si>
  <si>
    <t>C1</t>
  </si>
  <si>
    <t>Deeply invasive mixed adenocarcinoma (serous and endometroiod)</t>
  </si>
  <si>
    <t>LH17-10008</t>
  </si>
  <si>
    <t>A4, A6</t>
  </si>
  <si>
    <t>High grade serous adenocarcinoma</t>
  </si>
  <si>
    <t>II</t>
  </si>
  <si>
    <t>T2N0M0</t>
  </si>
  <si>
    <t>LH17-10854</t>
  </si>
  <si>
    <t xml:space="preserve">A6, A10 </t>
  </si>
  <si>
    <t>Malignant mixed mullerian tumour with rhabdomyoblastic differentiation</t>
  </si>
  <si>
    <t>3b</t>
  </si>
  <si>
    <t>T3BN1M0</t>
  </si>
  <si>
    <t>Previous rectal cancer</t>
  </si>
  <si>
    <t>LH17-11002</t>
  </si>
  <si>
    <t>B5</t>
  </si>
  <si>
    <t>Pelvic node</t>
  </si>
  <si>
    <t>LH17-11093</t>
  </si>
  <si>
    <t>A6,A8</t>
  </si>
  <si>
    <t>D1</t>
  </si>
  <si>
    <t xml:space="preserve">Total laparoscopic Hysterectomy </t>
  </si>
  <si>
    <t>LH17-11306</t>
  </si>
  <si>
    <t>A8, A3</t>
  </si>
  <si>
    <t>High grade carcinosarcoma of homologous type</t>
  </si>
  <si>
    <t>LH17-12612</t>
  </si>
  <si>
    <t>A10, A4</t>
  </si>
  <si>
    <t>Previous RCC and lung cancer</t>
  </si>
  <si>
    <t>LH17-13646</t>
  </si>
  <si>
    <t>A20, A21</t>
  </si>
  <si>
    <t>High-grade serous adenocarcinoma of the endometrium</t>
  </si>
  <si>
    <t>N/R</t>
  </si>
  <si>
    <t>1 (Omentum)</t>
  </si>
  <si>
    <t>1 (Lung and lymph node)</t>
  </si>
  <si>
    <t>IVB</t>
  </si>
  <si>
    <t>Previous breast cancer.</t>
  </si>
  <si>
    <t>LH17-15131</t>
  </si>
  <si>
    <t>A15, A12</t>
  </si>
  <si>
    <t>G2</t>
  </si>
  <si>
    <t>Mixed high grade endometrioid and serous adenocarcinoma</t>
  </si>
  <si>
    <t>LH17-16034</t>
  </si>
  <si>
    <t>A9, A15</t>
  </si>
  <si>
    <t>Papillary serous carcinoma</t>
  </si>
  <si>
    <t>LH17-16275</t>
  </si>
  <si>
    <t>A6, A15</t>
  </si>
  <si>
    <t xml:space="preserve">Adenocarcinoma. Mixed clear cell/endometriod </t>
  </si>
  <si>
    <t>1a</t>
  </si>
  <si>
    <t>IA</t>
  </si>
  <si>
    <t>T1AN0M0</t>
  </si>
  <si>
    <t>LH17-20256</t>
  </si>
  <si>
    <t xml:space="preserve">8, 10 </t>
  </si>
  <si>
    <t>Total laparoscopic hysterectomy</t>
  </si>
  <si>
    <t>LH17-22802</t>
  </si>
  <si>
    <t>3,5</t>
  </si>
  <si>
    <t>LH17-25751</t>
  </si>
  <si>
    <t>A16, A33</t>
  </si>
  <si>
    <t>C3</t>
  </si>
  <si>
    <t>LH17-28006</t>
  </si>
  <si>
    <t>A11, A13</t>
  </si>
  <si>
    <t>Total laparoscopic hysterectomy/Bilateral salpingo-oophorectomy</t>
  </si>
  <si>
    <t>Serous adenocarcinoma</t>
  </si>
  <si>
    <t>LH17-28649</t>
  </si>
  <si>
    <t>A6, A11</t>
  </si>
  <si>
    <t>LH17-29718</t>
  </si>
  <si>
    <t xml:space="preserve">15, 6 </t>
  </si>
  <si>
    <t>LH17-30635</t>
  </si>
  <si>
    <t>A13, A14</t>
  </si>
  <si>
    <t>D3</t>
  </si>
  <si>
    <t>LH17-30829</t>
  </si>
  <si>
    <t xml:space="preserve">D4 </t>
  </si>
  <si>
    <t>LH17-30839</t>
  </si>
  <si>
    <t>A15</t>
  </si>
  <si>
    <t>Total abdominal hysterectomy with bilateral salpingo-oophorectomy.</t>
  </si>
  <si>
    <t>Endometrioid carcinoma</t>
  </si>
  <si>
    <t>LH17-30974</t>
  </si>
  <si>
    <t>A12, A22</t>
  </si>
  <si>
    <t>LH17-32555</t>
  </si>
  <si>
    <t>A6</t>
  </si>
  <si>
    <t>LH17-32987</t>
  </si>
  <si>
    <t>6,7</t>
  </si>
  <si>
    <t>LH17-33790</t>
  </si>
  <si>
    <t xml:space="preserve">Total abdominal hysterectomy </t>
  </si>
  <si>
    <t>3a</t>
  </si>
  <si>
    <t>IIIA</t>
  </si>
  <si>
    <t>T3AN0M0</t>
  </si>
  <si>
    <t>LH17-34068</t>
  </si>
  <si>
    <t>LH17-34353</t>
  </si>
  <si>
    <t>A7, A6</t>
  </si>
  <si>
    <t>Carcinosarcoma with heterologous elements</t>
  </si>
  <si>
    <t>IIIC2</t>
  </si>
  <si>
    <t>T3CN2M0</t>
  </si>
  <si>
    <t>LH17-35617</t>
  </si>
  <si>
    <t>A2</t>
  </si>
  <si>
    <t>LH17-35965</t>
  </si>
  <si>
    <t xml:space="preserve">A9, A10 </t>
  </si>
  <si>
    <t xml:space="preserve">B4 </t>
  </si>
  <si>
    <t>Total laparoscopic hysterectomy,bso,omental biopsy, pelvic and pa lymph node sampling</t>
  </si>
  <si>
    <t>Clear cell carcinoma of endometrium</t>
  </si>
  <si>
    <t>LH17-36526</t>
  </si>
  <si>
    <t>T3CN1M0</t>
  </si>
  <si>
    <t>LH17-36679</t>
  </si>
  <si>
    <t>LH17-37241</t>
  </si>
  <si>
    <t>A5, A6</t>
  </si>
  <si>
    <t>LH17-37984</t>
  </si>
  <si>
    <t>A4, A5</t>
  </si>
  <si>
    <t>Endometrioid adenocarcinoma with foci of clear cell differentiation</t>
  </si>
  <si>
    <t>LH17-38467</t>
  </si>
  <si>
    <t>LH17-40476</t>
  </si>
  <si>
    <t>A6, A7</t>
  </si>
  <si>
    <t>D9</t>
  </si>
  <si>
    <t>Laparotomy/Total abdominal hysterectomy/Bilateral salpingo-oophorectomy/Pelvic and para-aortic lymphadenectomy/Omentectomy</t>
  </si>
  <si>
    <t>High-grade serous carcinoma</t>
  </si>
  <si>
    <t>LH17-41239</t>
  </si>
  <si>
    <t>A13, A22</t>
  </si>
  <si>
    <t>Laparotomy, total abdominal hysterectomy, bilateral salpingo-oophorectomy, infracolic omentectomy, pelvic and PA node dissection</t>
  </si>
  <si>
    <t>Carcinosarcoma showing rhabdomyoblastic differentiation</t>
  </si>
  <si>
    <t>LH17-41484</t>
  </si>
  <si>
    <t xml:space="preserve">A4, A5 </t>
  </si>
  <si>
    <t>Total abdominal hysterectomy nec</t>
  </si>
  <si>
    <t>LH17-41775</t>
  </si>
  <si>
    <t>A8, A16</t>
  </si>
  <si>
    <t>Laparotomy with total abdominal hysterectomy, bilateral salpingo-oophorectomy, infracolic omentectomy, right pelvic lymphadenectomy and para-aortic lymph node sampling</t>
  </si>
  <si>
    <t>LH17-42076</t>
  </si>
  <si>
    <t>LH17-42609</t>
  </si>
  <si>
    <t>A17, A18</t>
  </si>
  <si>
    <t>C8</t>
  </si>
  <si>
    <t>High grade serous carcinoma</t>
  </si>
  <si>
    <t>LH17-43301</t>
  </si>
  <si>
    <t>A7, A15</t>
  </si>
  <si>
    <t>LH17-43390</t>
  </si>
  <si>
    <t>A4, A7</t>
  </si>
  <si>
    <t>High grade endometrioid carcinoma</t>
  </si>
  <si>
    <t>LH17-44148</t>
  </si>
  <si>
    <t>A13, A20</t>
  </si>
  <si>
    <t>D6</t>
  </si>
  <si>
    <t>Carcinosarcoma of endometrium, with heterologous differentiation</t>
  </si>
  <si>
    <t>1 (omentum)</t>
  </si>
  <si>
    <t>LH17-44823</t>
  </si>
  <si>
    <t>A2, A3</t>
  </si>
  <si>
    <t>Endometrioid adenocarcinoma with secretory change</t>
  </si>
  <si>
    <t>IIIB</t>
  </si>
  <si>
    <t>T3BN0M0</t>
  </si>
  <si>
    <t>LH17-45605</t>
  </si>
  <si>
    <t xml:space="preserve">A9, A8 </t>
  </si>
  <si>
    <t>LH17-46244</t>
  </si>
  <si>
    <t>A6, A5</t>
  </si>
  <si>
    <t>LH17-47365</t>
  </si>
  <si>
    <t>A11, A8</t>
  </si>
  <si>
    <t>LH17-48623</t>
  </si>
  <si>
    <t xml:space="preserve">A10, A16 </t>
  </si>
  <si>
    <t>D2</t>
  </si>
  <si>
    <t>Carcinosarcoma (with rhabdomyoblastic differentiation and high grade serous epithelial component)</t>
  </si>
  <si>
    <t>1 (Left common iliac)</t>
  </si>
  <si>
    <t>LH17-49693</t>
  </si>
  <si>
    <t>A16, A7</t>
  </si>
  <si>
    <t>LH17-49715</t>
  </si>
  <si>
    <t>LH17-49816</t>
  </si>
  <si>
    <t>A1, A2</t>
  </si>
  <si>
    <t xml:space="preserve">E3 </t>
  </si>
  <si>
    <t>Para-aortic node</t>
  </si>
  <si>
    <t>High grade serous endometrial carcinoma</t>
  </si>
  <si>
    <t>Depression, Eczema</t>
  </si>
  <si>
    <t>LH17-50009</t>
  </si>
  <si>
    <t xml:space="preserve">A5, A6 </t>
  </si>
  <si>
    <t>Endometrioid carcinoma of the endometrium</t>
  </si>
  <si>
    <t>LH17-50634</t>
  </si>
  <si>
    <t>LH17-51779</t>
  </si>
  <si>
    <t>C4</t>
  </si>
  <si>
    <t>III3B</t>
  </si>
  <si>
    <t>LH17-52159</t>
  </si>
  <si>
    <t xml:space="preserve">A5, A7 </t>
  </si>
  <si>
    <t xml:space="preserve">Endometrioid carcinoma </t>
  </si>
  <si>
    <t>LH17-52304</t>
  </si>
  <si>
    <t>LH17-53225</t>
  </si>
  <si>
    <t>A12, A13</t>
  </si>
  <si>
    <t>Serous carcinoma of endometrium</t>
  </si>
  <si>
    <t>LH17-53882</t>
  </si>
  <si>
    <t>A19</t>
  </si>
  <si>
    <t>LH17-54999</t>
  </si>
  <si>
    <t>A6, A8</t>
  </si>
  <si>
    <t>LH17-55555</t>
  </si>
  <si>
    <t>A19, A15</t>
  </si>
  <si>
    <t>C5</t>
  </si>
  <si>
    <t>Type 2 diabetes</t>
  </si>
  <si>
    <t>LH18-00479</t>
  </si>
  <si>
    <t>A3, A5</t>
  </si>
  <si>
    <t>Serous adenocarcinoma of the endometrium</t>
  </si>
  <si>
    <t>LH18-01619</t>
  </si>
  <si>
    <t>A3</t>
  </si>
  <si>
    <t>C2</t>
  </si>
  <si>
    <t>LH18-03854</t>
  </si>
  <si>
    <t>A4</t>
  </si>
  <si>
    <t>COPD</t>
  </si>
  <si>
    <t>LH18-04036</t>
  </si>
  <si>
    <t>A12, A16</t>
  </si>
  <si>
    <t>D5</t>
  </si>
  <si>
    <t>Carcinosarcoma of homologous type</t>
  </si>
  <si>
    <t>LH18-05598</t>
  </si>
  <si>
    <t>A10, A12</t>
  </si>
  <si>
    <t>Hypertension</t>
  </si>
  <si>
    <t>LH18-07101</t>
  </si>
  <si>
    <t>A1, A3</t>
  </si>
  <si>
    <t>Endometrioid carcinoma featuring moderately pleomorphic neoplastic cells</t>
  </si>
  <si>
    <t>1 (Hepatic, omentum, peritoneum)</t>
  </si>
  <si>
    <t>LH18-08529</t>
  </si>
  <si>
    <t>LH18-08833</t>
  </si>
  <si>
    <t>A17</t>
  </si>
  <si>
    <t>LH18-09117</t>
  </si>
  <si>
    <t>Carcinosarcoma with heterologus elements</t>
  </si>
  <si>
    <t>LH18-09944</t>
  </si>
  <si>
    <t>A12, A7</t>
  </si>
  <si>
    <t>LH18-11381</t>
  </si>
  <si>
    <t>A10, A11</t>
  </si>
  <si>
    <t>LH18-11648</t>
  </si>
  <si>
    <t>A14, A12</t>
  </si>
  <si>
    <t>Total laparoscopic hysterectomy  + bilateral salpingo oophorectomy</t>
  </si>
  <si>
    <t>LH18-12664</t>
  </si>
  <si>
    <t>D12</t>
  </si>
  <si>
    <t>LH18-13058</t>
  </si>
  <si>
    <t>Haemorrhagic stroke following aneurysm, Previous breast cancer</t>
  </si>
  <si>
    <t>LH18-13350</t>
  </si>
  <si>
    <t>A16, A17</t>
  </si>
  <si>
    <t>Laparoscopic converted to laparotomy/peritoneal washings and biopsies, total abdominal
hysterectomy, bilateral salpingo-oophorectomy, pelvic, lymphadenectomy, para-aortic lymph node
sampling, omentectomy, excision and repair of umbilical hernia._x000D_</t>
  </si>
  <si>
    <t>LH18-13744</t>
  </si>
  <si>
    <t>A10</t>
  </si>
  <si>
    <t>LH18-14629</t>
  </si>
  <si>
    <t>A20, A16</t>
  </si>
  <si>
    <t>Node</t>
  </si>
  <si>
    <t>LH17-2702</t>
  </si>
  <si>
    <t>3c</t>
  </si>
  <si>
    <t>LH17-6069</t>
  </si>
  <si>
    <t>LH17-7381</t>
  </si>
  <si>
    <t>T1BN2M0</t>
  </si>
  <si>
    <t>LH18-1619</t>
  </si>
  <si>
    <t>LH18-3854</t>
  </si>
  <si>
    <t>LH18-4036</t>
  </si>
  <si>
    <t>LH18-5598</t>
  </si>
  <si>
    <t>LH18-7101</t>
  </si>
  <si>
    <t>LH18-8529</t>
  </si>
  <si>
    <t>LH18-8833</t>
  </si>
  <si>
    <t>LH18-9117</t>
  </si>
  <si>
    <t>LH18-9944</t>
  </si>
  <si>
    <t>Specimen IO naive (Y/N)</t>
  </si>
  <si>
    <t>Stage at DX (FIGO)</t>
  </si>
  <si>
    <t>LH18-15364</t>
  </si>
  <si>
    <t>A7,A6</t>
  </si>
  <si>
    <t>Total Abdominal Hysterectomy; Bilateral Salpingo-oophorectomy; Bilateral Pelvic Lymphadenectomy; Infracolic Omental Biopsy; Peritoneal Washings.</t>
  </si>
  <si>
    <t>Endometrioid adenocarcinoma, NOS</t>
  </si>
  <si>
    <t>1A</t>
  </si>
  <si>
    <t>LH18-15484</t>
  </si>
  <si>
    <t>A14,A15,</t>
  </si>
  <si>
    <t>LH18-15845</t>
  </si>
  <si>
    <t>A9(L),A11</t>
  </si>
  <si>
    <t xml:space="preserve">LH18-16236 </t>
  </si>
  <si>
    <t>A5,A2</t>
  </si>
  <si>
    <t>Endometrioid carcinoma, focal squamous differentiation</t>
  </si>
  <si>
    <t>LH18-17511</t>
  </si>
  <si>
    <t>A8,A3</t>
  </si>
  <si>
    <t>Endometrioid carcinoma, squamous differentiation</t>
  </si>
  <si>
    <t>LH18-20193</t>
  </si>
  <si>
    <t>A7, A8</t>
  </si>
  <si>
    <t>LH18-20274</t>
  </si>
  <si>
    <t>LH18-20302</t>
  </si>
  <si>
    <t>A10, A8</t>
  </si>
  <si>
    <t>Endometrioid adenocarcinoma with mucinous and secretory differentiation</t>
  </si>
  <si>
    <t>LH18-21046</t>
  </si>
  <si>
    <t>A9, A6(L)</t>
  </si>
  <si>
    <t xml:space="preserve">Carcinosarcoma with heterologous elements; Squamous and Rhabdomyosarcomatous differentiation </t>
  </si>
  <si>
    <t>LH18-22036</t>
  </si>
  <si>
    <t>Mixed carcinoma: clear cell and endometrioid</t>
  </si>
  <si>
    <t>4b</t>
  </si>
  <si>
    <t>LH18-22454</t>
  </si>
  <si>
    <t>LH18-22773</t>
  </si>
  <si>
    <t>Serous carcinoma</t>
  </si>
  <si>
    <t>3c2</t>
  </si>
  <si>
    <t>LH18-22989</t>
  </si>
  <si>
    <t>A8, A11</t>
  </si>
  <si>
    <t>Endometrioid carcinoma, with areas of mucinous differentiation</t>
  </si>
  <si>
    <t>LH18-24968</t>
  </si>
  <si>
    <t>A2, A4</t>
  </si>
  <si>
    <t>LH18-27779</t>
  </si>
  <si>
    <t>Carcinosarcoma with heterologous elements; Rhabdomyosarcomatous differentiation prominent</t>
  </si>
  <si>
    <t>LH18-29168</t>
  </si>
  <si>
    <t>A18</t>
  </si>
  <si>
    <t>Mixed high grade serous and clear cell carcinoma</t>
  </si>
  <si>
    <t>LH18-30200</t>
  </si>
  <si>
    <t>A11, A7</t>
  </si>
  <si>
    <t>LH18-30464</t>
  </si>
  <si>
    <t>A5, A7</t>
  </si>
  <si>
    <t>LH18-30878</t>
  </si>
  <si>
    <t>Carcinosarcoma, with serous component</t>
  </si>
  <si>
    <t>3c1</t>
  </si>
  <si>
    <t>LH18-32183</t>
  </si>
  <si>
    <t>A9, A13</t>
  </si>
  <si>
    <t>endometrioid adenocarcinoma, extensive areas of squamous differentiation</t>
  </si>
  <si>
    <t>LH18-33462</t>
  </si>
  <si>
    <t>A5,A3</t>
  </si>
  <si>
    <t>LH18-33662</t>
  </si>
  <si>
    <t>A13(L),A12(L)</t>
  </si>
  <si>
    <t>Carcinosarcoma with chondroid differentiation</t>
  </si>
  <si>
    <t>LH18-33989</t>
  </si>
  <si>
    <t>A10, A7</t>
  </si>
  <si>
    <t>LH18-34484</t>
  </si>
  <si>
    <t>A14, A13</t>
  </si>
  <si>
    <t>LH18-36225</t>
  </si>
  <si>
    <t>LH18-36980</t>
  </si>
  <si>
    <t>A16, A20</t>
  </si>
  <si>
    <t>High grade serous carcinoma with clear cell change</t>
  </si>
  <si>
    <t>LH18-37202</t>
  </si>
  <si>
    <t>A12, A21</t>
  </si>
  <si>
    <t>LH18-37342</t>
  </si>
  <si>
    <t>A6, A9</t>
  </si>
  <si>
    <t>LH18-37435</t>
  </si>
  <si>
    <t>A7, A13</t>
  </si>
  <si>
    <t>LH18-37645</t>
  </si>
  <si>
    <t>LH18-38467</t>
  </si>
  <si>
    <t>Total abdominal hysterectomy with hemicolectomy</t>
  </si>
  <si>
    <t>Carcinosarcoma with foci of heterologous differentiation</t>
  </si>
  <si>
    <t>LH18-38853</t>
  </si>
  <si>
    <t>A18(L),A20</t>
  </si>
  <si>
    <t>Laparotomy with total abdominal hysterectomy</t>
  </si>
  <si>
    <t>LH18-39326</t>
  </si>
  <si>
    <t>A10, A9</t>
  </si>
  <si>
    <t>Endometrioid carcinoma; areas of mucinous and secretory differentiation</t>
  </si>
  <si>
    <t>LH18-41815</t>
  </si>
  <si>
    <t>A6, A4</t>
  </si>
  <si>
    <t>Endometrioid carcinoma, prominent squamous differentiation</t>
  </si>
  <si>
    <t>LH18-42247</t>
  </si>
  <si>
    <t>A12, A14</t>
  </si>
  <si>
    <t>LH18-43108</t>
  </si>
  <si>
    <t>A12, A15</t>
  </si>
  <si>
    <t>LH18-43194</t>
  </si>
  <si>
    <t>LH18-43856</t>
  </si>
  <si>
    <t>Endometrioid adenocarcinoma with focal secretory change</t>
  </si>
  <si>
    <t>LH18-44168</t>
  </si>
  <si>
    <t>LH18-44171</t>
  </si>
  <si>
    <t>A15, A14</t>
  </si>
  <si>
    <t>LH18-46536</t>
  </si>
  <si>
    <t>LH18-46662</t>
  </si>
  <si>
    <t>A16,A21</t>
  </si>
  <si>
    <t>LH18-47374</t>
  </si>
  <si>
    <t>A5, A4</t>
  </si>
  <si>
    <t>LH18-49070</t>
  </si>
  <si>
    <t>A17,A14</t>
  </si>
  <si>
    <t>LH18-49606</t>
  </si>
  <si>
    <t>A14,A18</t>
  </si>
  <si>
    <t>LH18-51153</t>
  </si>
  <si>
    <t>A8,A17</t>
  </si>
  <si>
    <t>LH18-53700</t>
  </si>
  <si>
    <t>A11,A13</t>
  </si>
  <si>
    <t>LH18-54839</t>
  </si>
  <si>
    <t>A12,A13</t>
  </si>
  <si>
    <t>LH18-55530</t>
  </si>
  <si>
    <t>A14,A21</t>
  </si>
  <si>
    <t>LH18-56373</t>
  </si>
  <si>
    <t>A8,A18</t>
  </si>
  <si>
    <t>Endometrioid adenocarcinoma, with several squamous morules</t>
  </si>
  <si>
    <t>LH19-00614</t>
  </si>
  <si>
    <t>LH19-01767</t>
  </si>
  <si>
    <t>LH19-02874</t>
  </si>
  <si>
    <t>A9, A14</t>
  </si>
  <si>
    <t>Endometrioid adenocarcinoma, NOS; squamous morules, areas of secretory change</t>
  </si>
  <si>
    <t>Y (for recurrence)</t>
  </si>
  <si>
    <t>LH19-04865</t>
  </si>
  <si>
    <t>LH19-05000</t>
  </si>
  <si>
    <t>Mixed serous and endometrioid adenocarcinoma</t>
  </si>
  <si>
    <t>LH19-06015</t>
  </si>
  <si>
    <t>A14</t>
  </si>
  <si>
    <t>Carcinosarcoma</t>
  </si>
  <si>
    <t>LH19-08350</t>
  </si>
  <si>
    <t>A12, A17</t>
  </si>
  <si>
    <t>LH19-08638</t>
  </si>
  <si>
    <t>A15, A13</t>
  </si>
  <si>
    <t>LH19-08906</t>
  </si>
  <si>
    <t>A5(L),A7</t>
  </si>
  <si>
    <t>LH19-09008</t>
  </si>
  <si>
    <t>A7,A8</t>
  </si>
  <si>
    <t>LH19-09077</t>
  </si>
  <si>
    <t>A16,A13</t>
  </si>
  <si>
    <t>Dedifferentiated endometrioid carcinoma: undifferentiated carcinoma and endometrioid adenocarcinoma</t>
  </si>
  <si>
    <t>LH19-10812</t>
  </si>
  <si>
    <t>A13,A12</t>
  </si>
  <si>
    <t>LH19-11019</t>
  </si>
  <si>
    <t>A4,A2</t>
  </si>
  <si>
    <t>LH19-13469</t>
  </si>
  <si>
    <t>A8,A10</t>
  </si>
  <si>
    <t>Endometrioid adenocarcinoma, with foci of mucinous differentiation</t>
  </si>
  <si>
    <t>LH19-16274</t>
  </si>
  <si>
    <t>A11,A10</t>
  </si>
  <si>
    <t>LH19-17069</t>
  </si>
  <si>
    <t>A12,A8</t>
  </si>
  <si>
    <t>Endometrioid adenocarcinoma, foci of mucinous differentiation and focal squamous differentiation</t>
  </si>
  <si>
    <t>LH19-17790</t>
  </si>
  <si>
    <t>A15,A14</t>
  </si>
  <si>
    <t>LH19-18891</t>
  </si>
  <si>
    <t>LH19-29675</t>
  </si>
  <si>
    <t>A9,A6</t>
  </si>
  <si>
    <t>LH19-30077</t>
  </si>
  <si>
    <t>A16(L),A12</t>
  </si>
  <si>
    <t xml:space="preserve">LH19-30362  </t>
  </si>
  <si>
    <t>LH19-30363</t>
  </si>
  <si>
    <t>A16, A14</t>
  </si>
  <si>
    <t xml:space="preserve">LH19-34659  </t>
  </si>
  <si>
    <t xml:space="preserve">A9, A3 </t>
  </si>
  <si>
    <t>Total robotic hysterectomy</t>
  </si>
  <si>
    <t>LH19-35421</t>
  </si>
  <si>
    <t>A9[L], A11</t>
  </si>
  <si>
    <t xml:space="preserve">Mixed endometrioid and serous adenocarcinoma </t>
  </si>
  <si>
    <t>LH19-37687</t>
  </si>
  <si>
    <t>LH19-40334</t>
  </si>
  <si>
    <t>A7, A5</t>
  </si>
  <si>
    <t>LH19-40578</t>
  </si>
  <si>
    <t>A15[L]</t>
  </si>
  <si>
    <t>LH19-41050</t>
  </si>
  <si>
    <t xml:space="preserve">LH19-42178  </t>
  </si>
  <si>
    <t>LH19-42528</t>
  </si>
  <si>
    <t>A20[L], A1</t>
  </si>
  <si>
    <t xml:space="preserve">LH19-42787  </t>
  </si>
  <si>
    <t>A13</t>
  </si>
  <si>
    <t>Endometrioid carcinoma; areas of squamous and mucinous differentiation</t>
  </si>
  <si>
    <t>LH19-43183</t>
  </si>
  <si>
    <t>A16[L]</t>
  </si>
  <si>
    <t>LH19-45596</t>
  </si>
  <si>
    <t>A13, A19</t>
  </si>
  <si>
    <t>Robotic Total laparoscopic hysterectomy</t>
  </si>
  <si>
    <t>Endometrioid adenocarcinoma; squamous morule formation</t>
  </si>
  <si>
    <t>LH19-54899</t>
  </si>
  <si>
    <t>Clear cell adenocarcinoma</t>
  </si>
  <si>
    <t>LH20-01285</t>
  </si>
  <si>
    <t>Mixed endometrioid and clear cell carcinoma; foci of squamous differentiation</t>
  </si>
  <si>
    <t>LH20-17198</t>
  </si>
  <si>
    <t>A14, A15</t>
  </si>
  <si>
    <t>Total Abdominal Hysterectomy</t>
  </si>
  <si>
    <t>Mixed: clear cell and serous carcinoma</t>
  </si>
  <si>
    <t>LH20-18911</t>
  </si>
  <si>
    <t>A9, A11</t>
  </si>
  <si>
    <t>Clear cell carcinoma</t>
  </si>
  <si>
    <t>LH21-05922</t>
  </si>
  <si>
    <t>LH21-12410</t>
  </si>
  <si>
    <t>Mixed: high grade adenocarcinoma with features of endometrioid and serous carcinoma</t>
  </si>
  <si>
    <t>Specimen Surgery Date (Q/YYYY)</t>
  </si>
  <si>
    <t>Date of DX (Q/YYYY)</t>
  </si>
  <si>
    <t>LH19-614</t>
  </si>
  <si>
    <t>LH19-1767</t>
  </si>
  <si>
    <t>LH19-2874</t>
  </si>
  <si>
    <t>LH19-4865</t>
  </si>
  <si>
    <t>LH19-5000</t>
  </si>
  <si>
    <t>LH19-6015</t>
  </si>
  <si>
    <t>LH19-8350</t>
  </si>
  <si>
    <t>LH19-8638</t>
  </si>
  <si>
    <t>LH19-8906</t>
  </si>
  <si>
    <t>LH19-9008</t>
  </si>
  <si>
    <t>LH19-9077</t>
  </si>
  <si>
    <t>LH20-1285</t>
  </si>
  <si>
    <t>LH21-5922</t>
  </si>
  <si>
    <r>
      <rPr>
        <sz val="10"/>
        <color rgb="FFFF0000"/>
        <rFont val="Arial"/>
      </rPr>
      <t>Red text</t>
    </r>
    <r>
      <rPr>
        <sz val="10"/>
        <color rgb="FF000000"/>
        <rFont val="Arial"/>
      </rPr>
      <t xml:space="preserve"> = cells to select for formula</t>
    </r>
  </si>
  <si>
    <t>Whwn copying and pasting formulas, you need to delete the ' before the =</t>
  </si>
  <si>
    <t>Age at diagnosis</t>
  </si>
  <si>
    <t>=DATEDIF(DOB, DODx,"Y")</t>
  </si>
  <si>
    <t>Quarter formula</t>
  </si>
  <si>
    <t>=IFERROR("Q" &amp;INT((MONTH(cell with date)+2)/3) &amp; "-" &amp; YEAR(same cell with date),"N/A")</t>
  </si>
  <si>
    <t>The months between two dates in decimals</t>
  </si>
  <si>
    <r>
      <rPr>
        <sz val="12"/>
        <color rgb="FF000000"/>
        <rFont val="Calibri"/>
      </rPr>
      <t>=IFERROR((YEARFRAC(</t>
    </r>
    <r>
      <rPr>
        <sz val="12"/>
        <color rgb="FFFF0000"/>
        <rFont val="Calibri"/>
      </rPr>
      <t>DODx</t>
    </r>
    <r>
      <rPr>
        <sz val="12"/>
        <color rgb="FF000000"/>
        <rFont val="Calibri"/>
      </rPr>
      <t>,</t>
    </r>
    <r>
      <rPr>
        <sz val="12"/>
        <color rgb="FFFF0000"/>
        <rFont val="Calibri"/>
      </rPr>
      <t>cell with date</t>
    </r>
    <r>
      <rPr>
        <sz val="12"/>
        <color rgb="FF000000"/>
        <rFont val="Calibri"/>
      </rPr>
      <t>)*12),"N/A")</t>
    </r>
  </si>
  <si>
    <t>OS</t>
  </si>
  <si>
    <r>
      <rPr>
        <sz val="11"/>
        <color rgb="FF444444"/>
        <rFont val="Calibri"/>
      </rPr>
      <t>=SUM(</t>
    </r>
    <r>
      <rPr>
        <sz val="11"/>
        <color rgb="FFFF0000"/>
        <rFont val="Calibri"/>
      </rPr>
      <t>time to event death</t>
    </r>
    <r>
      <rPr>
        <sz val="11"/>
        <color rgb="FF444444"/>
        <rFont val="Calibri"/>
      </rPr>
      <t>,</t>
    </r>
    <r>
      <rPr>
        <sz val="11"/>
        <color rgb="FFFF0000"/>
        <rFont val="Calibri"/>
      </rPr>
      <t>Time to event date last seen</t>
    </r>
    <r>
      <rPr>
        <sz val="11"/>
        <color rgb="FF444444"/>
        <rFont val="Calibri"/>
      </rPr>
      <t>)</t>
    </r>
  </si>
  <si>
    <t>PFS</t>
  </si>
  <si>
    <r>
      <rPr>
        <sz val="11"/>
        <color rgb="FF444444"/>
        <rFont val="Calibri"/>
      </rPr>
      <t>=INDEX(</t>
    </r>
    <r>
      <rPr>
        <sz val="11"/>
        <color rgb="FFFF0000"/>
        <rFont val="Calibri"/>
      </rPr>
      <t>Time to event recurrence</t>
    </r>
    <r>
      <rPr>
        <sz val="11"/>
        <color rgb="FF444444"/>
        <rFont val="Calibri"/>
      </rPr>
      <t>;</t>
    </r>
    <r>
      <rPr>
        <sz val="11"/>
        <color rgb="FFFF0000"/>
        <rFont val="Calibri"/>
      </rPr>
      <t>time to event death</t>
    </r>
    <r>
      <rPr>
        <sz val="11"/>
        <color rgb="FF444444"/>
        <rFont val="Calibri"/>
      </rPr>
      <t>;</t>
    </r>
    <r>
      <rPr>
        <sz val="11"/>
        <color rgb="FFFF0000"/>
        <rFont val="Calibri"/>
      </rPr>
      <t>Time to event date last follow-up</t>
    </r>
    <r>
      <rPr>
        <sz val="11"/>
        <color rgb="FF444444"/>
        <rFont val="Calibri"/>
      </rPr>
      <t>,MATCH(TRUE,INDEX(ISNUMBER(),0),0))</t>
    </r>
  </si>
  <si>
    <r>
      <rPr>
        <sz val="11"/>
        <color rgb="FF444444"/>
        <rFont val="Calibri"/>
      </rPr>
      <t>=IF(</t>
    </r>
    <r>
      <rPr>
        <sz val="11"/>
        <color rgb="FFFF0000"/>
        <rFont val="Calibri"/>
      </rPr>
      <t>Time to event recurrence</t>
    </r>
    <r>
      <rPr>
        <sz val="11"/>
        <color rgb="FF444444"/>
        <rFont val="Calibri"/>
      </rPr>
      <t>="N/A",0,1)</t>
    </r>
  </si>
  <si>
    <r>
      <rPr>
        <sz val="11"/>
        <color rgb="FF444444"/>
        <rFont val="Calibri"/>
      </rPr>
      <t>=IF(=</t>
    </r>
    <r>
      <rPr>
        <sz val="11"/>
        <color rgb="FFFF0000"/>
        <rFont val="Calibri"/>
      </rPr>
      <t>Death due to tumour/ assumed tumour related?</t>
    </r>
    <r>
      <rPr>
        <sz val="11"/>
        <color rgb="FF444444"/>
        <rFont val="Calibri"/>
      </rPr>
      <t xml:space="preserve"> Y/N"Y",1,0)</t>
    </r>
  </si>
  <si>
    <r>
      <rPr>
        <sz val="11"/>
        <color rgb="FF444444"/>
        <rFont val="Calibri"/>
      </rPr>
      <t>=IF(</t>
    </r>
    <r>
      <rPr>
        <sz val="11"/>
        <color rgb="FFFF0000"/>
        <rFont val="Calibri"/>
      </rPr>
      <t>time to event death</t>
    </r>
    <r>
      <rPr>
        <sz val="11"/>
        <color rgb="FF444444"/>
        <rFont val="Calibri"/>
      </rPr>
      <t>="N/A",0,1)</t>
    </r>
  </si>
  <si>
    <r>
      <rPr>
        <sz val="11"/>
        <color rgb="FF444444"/>
        <rFont val="Calibri"/>
      </rPr>
      <t>=IF(OR(</t>
    </r>
    <r>
      <rPr>
        <sz val="11"/>
        <color rgb="FFFF0000"/>
        <rFont val="Calibri"/>
      </rPr>
      <t>Event recurrence/progression</t>
    </r>
    <r>
      <rPr>
        <sz val="11"/>
        <color rgb="FF444444"/>
        <rFont val="Calibri"/>
      </rPr>
      <t>=1,</t>
    </r>
    <r>
      <rPr>
        <sz val="11"/>
        <color rgb="FFFF0000"/>
        <rFont val="Calibri"/>
      </rPr>
      <t>Event cancer death</t>
    </r>
    <r>
      <rPr>
        <sz val="11"/>
        <color rgb="FF444444"/>
        <rFont val="Calibri"/>
      </rPr>
      <t>=1),"1","0")</t>
    </r>
  </si>
  <si>
    <t>Combine text from 2 cells</t>
  </si>
  <si>
    <r>
      <rPr>
        <sz val="11"/>
        <color rgb="FF444444"/>
        <rFont val="Calibri"/>
      </rPr>
      <t>=</t>
    </r>
    <r>
      <rPr>
        <sz val="11"/>
        <color rgb="FFFF0000"/>
        <rFont val="Calibri"/>
      </rPr>
      <t>cell number</t>
    </r>
    <r>
      <rPr>
        <sz val="11"/>
        <color rgb="FF444444"/>
        <rFont val="Calibri"/>
      </rPr>
      <t>&amp;" "&amp;</t>
    </r>
    <r>
      <rPr>
        <sz val="11"/>
        <color rgb="FFFF0000"/>
        <rFont val="Calibri"/>
      </rPr>
      <t>second cell</t>
    </r>
  </si>
  <si>
    <t>Neoadjuvant</t>
  </si>
  <si>
    <t>Start</t>
  </si>
  <si>
    <t>Finish</t>
  </si>
  <si>
    <t>DODx</t>
  </si>
  <si>
    <t>RX</t>
  </si>
  <si>
    <t>DOD</t>
  </si>
  <si>
    <t>Cx1</t>
  </si>
  <si>
    <t>TR</t>
  </si>
  <si>
    <t>Cx2</t>
  </si>
  <si>
    <t>DLFU</t>
  </si>
  <si>
    <t>Cx3</t>
  </si>
  <si>
    <t>DLS</t>
  </si>
  <si>
    <t>IOx1</t>
  </si>
  <si>
    <t>IOx2</t>
  </si>
  <si>
    <t>SS</t>
  </si>
  <si>
    <t>MM1</t>
  </si>
  <si>
    <t>MM2</t>
  </si>
  <si>
    <t>Adjuvant</t>
  </si>
  <si>
    <t>Rx</t>
  </si>
  <si>
    <t>PG 1</t>
  </si>
  <si>
    <t>PG 2</t>
  </si>
  <si>
    <t>PG 3</t>
  </si>
  <si>
    <t>PG 4</t>
  </si>
  <si>
    <t>PG 5</t>
  </si>
  <si>
    <t>PG 6</t>
  </si>
  <si>
    <t>PG 7</t>
  </si>
  <si>
    <t>Metastatic</t>
  </si>
  <si>
    <t>PG 8</t>
  </si>
  <si>
    <t>Tx1</t>
  </si>
  <si>
    <t>PG 9</t>
  </si>
  <si>
    <t>Tx2</t>
  </si>
  <si>
    <t>Tx3</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</si>
  <si>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</si>
  <si>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</si>
  <si>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</si>
  <si>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</si>
  <si>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</si>
  <si>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</si>
  <si>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</si>
  <si>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</si>
  <si>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</si>
  <si>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</si>
  <si>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</si>
  <si>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</si>
  <si>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</si>
  <si>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</si>
  <si>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</si>
  <si>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</si>
  <si>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</si>
  <si>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</si>
  <si>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</si>
  <si>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</si>
  <si>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</si>
  <si>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</si>
  <si>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</si>
  <si>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</si>
  <si>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</si>
  <si>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</si>
  <si>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</si>
  <si>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</si>
  <si>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</si>
  <si>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</si>
  <si>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</si>
  <si>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</si>
  <si>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</si>
  <si>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</si>
  <si>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</si>
  <si>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</si>
  <si>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</si>
  <si>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</si>
  <si>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</si>
  <si>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</si>
  <si>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</si>
  <si>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</si>
  <si>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</si>
  <si>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</si>
  <si>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</si>
  <si>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</si>
  <si>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</si>
  <si>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</si>
  <si>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</si>
  <si>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</si>
  <si>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</si>
  <si>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</si>
  <si>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</si>
  <si>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</si>
  <si>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</si>
  <si>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</si>
  <si>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</si>
  <si>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</si>
  <si>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</si>
  <si>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</si>
  <si>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</si>
  <si>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</si>
  <si>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</si>
  <si>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</si>
  <si>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</si>
  <si>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</si>
  <si>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</si>
  <si>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</si>
  <si>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</si>
  <si>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</si>
  <si>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</si>
  <si>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</si>
  <si>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</si>
  <si>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</si>
  <si>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</si>
  <si>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</si>
  <si>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</si>
  <si>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</si>
  <si>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</si>
  <si>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</si>
  <si>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</si>
  <si>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</si>
  <si>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</si>
  <si>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</si>
  <si>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</si>
  <si>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</si>
  <si>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</si>
  <si>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</si>
  <si>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</si>
  <si>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</si>
  <si>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</si>
  <si>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</si>
  <si>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</si>
  <si>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</si>
  <si>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</si>
  <si>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</si>
  <si>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</si>
  <si>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</si>
  <si>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</si>
  <si>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</si>
  <si>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</si>
  <si>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</si>
  <si>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</si>
  <si>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</si>
  <si>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</si>
  <si>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</si>
  <si>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</si>
  <si>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</si>
  <si>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</si>
  <si>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</si>
  <si>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</si>
  <si>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</si>
  <si>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</si>
  <si>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</si>
  <si>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</si>
  <si>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</si>
  <si>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</si>
  <si>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</si>
  <si>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</si>
  <si>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</si>
  <si>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</si>
  <si>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</si>
  <si>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</si>
  <si>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</si>
  <si>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</si>
  <si>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</si>
  <si>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</si>
  <si>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</si>
  <si>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</si>
  <si>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</si>
  <si>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</si>
  <si>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</si>
  <si>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</si>
  <si>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</si>
  <si>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</si>
  <si>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</si>
  <si>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</si>
  <si>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</si>
  <si>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</si>
  <si>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</si>
  <si>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</si>
  <si>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</si>
  <si>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</si>
  <si>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</si>
  <si>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</si>
  <si>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</si>
  <si>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</si>
  <si>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</si>
  <si>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</si>
  <si>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</si>
  <si>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</si>
  <si>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</si>
  <si>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</si>
  <si>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</si>
  <si>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</si>
  <si>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</si>
  <si>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</si>
  <si>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</si>
  <si>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</si>
  <si>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</si>
  <si>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Start Date2</t>
  </si>
  <si>
    <t>End Date3</t>
  </si>
  <si>
    <t>Tumour response4</t>
  </si>
  <si>
    <t>Start Date5</t>
  </si>
  <si>
    <t>End Date6</t>
  </si>
  <si>
    <t>Tumour response7</t>
  </si>
  <si>
    <t>Start Date8</t>
  </si>
  <si>
    <t>End Date9</t>
  </si>
  <si>
    <t>Tumour response10</t>
  </si>
  <si>
    <t>Start Date11</t>
  </si>
  <si>
    <t>End Date12</t>
  </si>
  <si>
    <t>Tumour response13</t>
  </si>
  <si>
    <t>Start Date14</t>
  </si>
  <si>
    <t>End Date15</t>
  </si>
  <si>
    <t>Tumour response16</t>
  </si>
  <si>
    <t>End Date17</t>
  </si>
  <si>
    <t>Start Date18</t>
  </si>
  <si>
    <t>End Date19</t>
  </si>
  <si>
    <t>Tumour response20</t>
  </si>
  <si>
    <t>Start Date21</t>
  </si>
  <si>
    <t>End Date22</t>
  </si>
  <si>
    <t>Start Date23</t>
  </si>
  <si>
    <t>End Date24</t>
  </si>
  <si>
    <t>Tumour response25</t>
  </si>
  <si>
    <t>Start Date26</t>
  </si>
  <si>
    <t>End Date27</t>
  </si>
  <si>
    <t>Tumour response 28</t>
  </si>
  <si>
    <t>Start Date29</t>
  </si>
  <si>
    <t>Tumour response30</t>
  </si>
  <si>
    <t>Start Date31</t>
  </si>
  <si>
    <t>Finish Date32</t>
  </si>
  <si>
    <t>Tumour response33</t>
  </si>
  <si>
    <t>Start Date34</t>
  </si>
  <si>
    <t>Finish Date35</t>
  </si>
  <si>
    <t>Tumour response36</t>
  </si>
  <si>
    <t>Specimen surgery37</t>
  </si>
  <si>
    <t>Immunotherapy Tx1 start38</t>
  </si>
  <si>
    <t>Immunotherapy Tx1 end 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</si>
</sst>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809]dd\ mmmm\ yyyy;@"/>
    <numFmt numFmtId="166" formatCode="0.0"/>
    <numFmt numFmtId="167" formatCode="[$-409]mmm\-yy;@"/>
    <numFmt numFmtId="168" formatCode="[$-809]d\ mmmm\ yyyy;@"/>
  </numFmts>
  <fonts count="27" x14ac:knownFonts="1">
    <font>
      <sz val="10"/>
      <color theme="1"/>
      <name val="Arial"/>
      <family val="2"/>
    </font>
    <font>
      <sz val="11"/>
      <color theme="1"/>
      <name val="Calibri"/>
      <family val="2"/>
      <scheme val="minor"/>
    </font>
    <font>
      <b/>
      <sz val="12"/>
      <color theme="1"/>
      <name val="Calibri"/>
    </font>
    <font>
      <sz val="12"/>
      <color theme="1"/>
      <name val="Calibri"/>
    </font>
    <font>
      <sz val="12"/>
      <color rgb="FF000000"/>
      <name val="Calibri"/>
    </font>
    <font>
      <b/>
      <sz val="12"/>
      <color theme="1"/>
      <name val="Calibri"/>
      <family val="2"/>
    </font>
    <font>
      <sz val="12"/>
      <color theme="1"/>
      <name val="Calibri"/>
      <family val="2"/>
    </font>
    <font>
      <b/>
      <sz val="12"/>
      <color theme="1"/>
      <name val="Calibri"/>
      <family val="2"/>
      <scheme val="minor"/>
    </font>
    <font>
      <b/>
      <sz val="11"/>
      <name val="Calibri"/>
      <family val="2"/>
    </font>
    <font>
      <b/>
      <sz val="11"/>
      <color rgb="FF000000"/>
      <name val="Calibri"/>
      <family val="2"/>
    </font>
    <font>
      <sz val="12"/>
      <color rgb="FF000000"/>
      <name val="Calibri"/>
      <family val="2"/>
    </font>
    <font>
      <b/>
      <sz val="12"/>
      <color rgb="FF000000"/>
      <name val="Calibri"/>
      <charset val="1"/>
    </font>
    <font>
      <sz val="11"/>
      <color rgb="FF444444"/>
      <name val="Calibri"/>
    </font>
    <font>
      <sz val="11"/>
      <color rgb="FFFF0000"/>
      <name val="Calibri"/>
    </font>
    <font>
      <sz val="10"/>
      <color rgb="FFFF0000"/>
      <name val="Arial"/>
    </font>
    <font>
      <sz val="10"/>
      <color rgb="FF000000"/>
      <name val="Arial"/>
    </font>
    <font>
      <sz val="10"/>
      <color theme="1"/>
      <name val="Arial"/>
    </font>
    <font>
      <sz val="12"/>
      <color rgb="FFFF0000"/>
      <name val="Calibri"/>
    </font>
    <font>
      <sz val="10"/>
      <color rgb="FF000000"/>
      <name val="Arial"/>
      <family val="2"/>
    </font>
    <font>
      <b/>
      <sz val="11"/>
      <color rgb="FF000000"/>
      <name val="Calibri"/>
    </font>
    <font>
      <sz val="10"/>
      <color rgb="FFFF0000"/>
      <name val="Arial"/>
      <family val="2"/>
    </font>
    <font>
      <sz val="10"/>
      <color rgb="FF222222"/>
      <name val="Arial"/>
      <charset val="1"/>
    </font>
    <font>
      <sz val="10"/>
      <color rgb="FF222222"/>
      <name val="Arial"/>
      <family val="2"/>
      <charset val="1"/>
    </font>
    <font>
      <sz val="11"/>
      <color rgb="FF000000"/>
      <name val="Calibri"/>
      <family val="2"/>
      <charset val="1"/>
    </font>
    <font>
      <sz val="12"/>
      <color rgb="FF000000"/>
      <name val="Calibri"/>
      <charset val="1"/>
    </font>
    <font>
      <sz val="11"/>
      <color rgb="FF000000"/>
      <name val="Calibri"/>
    </font>
    <font>
      <sz val="9"/>
      <color theme="1"/>
      <name val="Arial"/>
      <family val="2"/>
    </font>
  </fonts>
  <fills count="16">
    <fill>
      <patternFill patternType="none"/>
    </fill>
    <fill>
      <patternFill patternType="gray125"/>
    </fill>
    <fill>
      <patternFill patternType="solid">
        <fgColor rgb="FFD0CECE"/>
        <bgColor indexed="64"/>
      </patternFill>
    </fill>
    <fill>
      <patternFill patternType="solid">
        <fgColor rgb="FFF8CBAD"/>
        <bgColor indexed="64"/>
      </patternFill>
    </fill>
    <fill>
      <patternFill patternType="solid">
        <fgColor rgb="FFD9D9D9"/>
        <bgColor indexed="64"/>
      </patternFill>
    </fill>
    <fill>
      <patternFill patternType="solid">
        <fgColor rgb="FF9BC2E6"/>
        <bgColor indexed="64"/>
      </patternFill>
    </fill>
    <fill>
      <patternFill patternType="solid">
        <fgColor rgb="FFFFFF00"/>
        <bgColor indexed="64"/>
      </patternFill>
    </fill>
    <fill>
      <patternFill patternType="solid">
        <fgColor rgb="FFDBDBDB"/>
        <bgColor indexed="64"/>
      </patternFill>
    </fill>
    <fill>
      <patternFill patternType="solid">
        <fgColor rgb="FFE7E6E6"/>
        <bgColor indexed="64"/>
      </patternFill>
    </fill>
    <fill>
      <patternFill patternType="solid">
        <fgColor rgb="FFFF8AD8"/>
        <bgColor rgb="FF000000"/>
      </patternFill>
    </fill>
    <fill>
      <patternFill patternType="solid">
        <fgColor rgb="FFA9D08E"/>
        <bgColor indexed="64"/>
      </patternFill>
    </fill>
    <fill>
      <patternFill patternType="solid">
        <fgColor rgb="FFA9D08E"/>
        <bgColor rgb="FF000000"/>
      </patternFill>
    </fill>
    <fill>
      <patternFill patternType="solid">
        <fgColor rgb="FFFFC000"/>
        <bgColor indexed="64"/>
      </patternFill>
    </fill>
    <fill>
      <patternFill patternType="solid">
        <fgColor rgb="FFFCE4D6"/>
        <bgColor indexed="64"/>
      </patternFill>
    </fill>
    <fill>
      <patternFill patternType="solid">
        <fgColor rgb="FF92D050"/>
        <bgColor indexed="64"/>
      </patternFill>
    </fill>
    <fill>
      <patternFill patternType="solid">
        <fgColor rgb="FFFF0000"/>
        <bgColor indexed="64"/>
      </patternFill>
    </fill>
  </fills>
  <borders count="43">
    <border>
      <left/>
      <right/>
      <top/>
      <bottom/>
      <diagonal/>
    </border>
    <border>
      <left/>
      <right/>
      <top/>
      <bottom style="thin">
        <color auto="1"/>
      </bottom>
      <diagonal/>
    </border>
    <border>
      <left/>
      <right/>
      <top style="medium">
        <color rgb="FF000000"/>
      </top>
      <bottom/>
      <diagonal/>
    </border>
    <border>
      <left/>
      <right style="thin">
        <color auto="1"/>
      </right>
      <top style="thin">
        <color auto="1"/>
      </top>
      <bottom/>
      <diagonal/>
    </border>
    <border>
      <left style="thin">
        <color auto="1"/>
      </left>
      <right style="thin">
        <color auto="1"/>
      </right>
      <top style="thin">
        <color auto="1"/>
      </top>
      <bottom/>
      <diagonal/>
    </border>
    <border>
      <left/>
      <right/>
      <top style="thin">
        <color auto="1"/>
      </top>
      <bottom/>
      <diagonal/>
    </border>
    <border>
      <left style="thin">
        <color rgb="FF000000"/>
      </left>
      <right style="thin">
        <color rgb="FF000000"/>
      </right>
      <top style="thin">
        <color rgb="FF000000"/>
      </top>
      <bottom/>
      <diagonal/>
    </border>
    <border>
      <left style="thin">
        <color auto="1"/>
      </left>
      <right/>
      <top style="thin">
        <color auto="1"/>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medium">
        <color rgb="FF000000"/>
      </right>
      <top style="medium">
        <color rgb="FF000000"/>
      </top>
      <bottom/>
      <diagonal/>
    </border>
    <border>
      <left style="medium">
        <color rgb="FF000000"/>
      </left>
      <right/>
      <top style="medium">
        <color indexed="64"/>
      </top>
      <bottom/>
      <diagonal/>
    </border>
    <border>
      <left/>
      <right/>
      <top style="medium">
        <color indexed="64"/>
      </top>
      <bottom/>
      <diagonal/>
    </border>
    <border>
      <left/>
      <right style="medium">
        <color rgb="FF000000"/>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rgb="FF000000"/>
      </left>
      <right/>
      <top style="medium">
        <color rgb="FF000000"/>
      </top>
      <bottom/>
      <diagonal/>
    </border>
    <border>
      <left style="medium">
        <color rgb="FF000000"/>
      </left>
      <right/>
      <top/>
      <bottom/>
      <diagonal/>
    </border>
    <border>
      <left/>
      <right style="medium">
        <color rgb="FF000000"/>
      </right>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style="medium">
        <color indexed="64"/>
      </left>
      <right style="thin">
        <color auto="1"/>
      </right>
      <top style="medium">
        <color indexed="64"/>
      </top>
      <bottom/>
      <diagonal/>
    </border>
    <border>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rgb="FF000000"/>
      </right>
      <top style="medium">
        <color indexed="64"/>
      </top>
      <bottom/>
      <diagonal/>
    </border>
    <border>
      <left/>
      <right style="thin">
        <color rgb="FF000000"/>
      </right>
      <top style="medium">
        <color indexed="64"/>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bottom style="medium">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style="thin">
        <color rgb="FF000000"/>
      </top>
      <bottom/>
      <diagonal/>
    </border>
    <border>
      <left/>
      <right style="thin">
        <color auto="1"/>
      </right>
      <top/>
      <bottom/>
      <diagonal/>
    </border>
  </borders>
  <cellStyleXfs count="3">
    <xf numFmtId="0" fontId="0" fillId="0" borderId="0"/>
    <xf numFmtId="0" fontId="1" fillId="0" borderId="0"/>
    <xf numFmtId="0" fontId="1" fillId="0" borderId="0"/>
  </cellStyleXfs>
  <cellXfs count="210">
    <xf numFmtId="0" fontId="0" fillId="0" borderId="0" xfId="0"/>
    <xf numFmtId="0" fontId="2" fillId="0" borderId="0" xfId="1" applyFont="1" applyAlignment="1">
      <alignment horizontal="left"/>
    </xf>
    <xf numFmtId="164" fontId="8" fillId="6" borderId="3" xfId="1" applyNumberFormat="1" applyFont="1" applyFill="1" applyBorder="1" applyAlignment="1">
      <alignment horizontal="center" vertical="center" wrapText="1"/>
    </xf>
    <xf numFmtId="164" fontId="9" fillId="5" borderId="3" xfId="1" applyNumberFormat="1" applyFont="1" applyFill="1" applyBorder="1" applyAlignment="1">
      <alignment horizontal="center" vertical="center" wrapText="1"/>
    </xf>
    <xf numFmtId="165" fontId="8" fillId="6" borderId="3" xfId="1" applyNumberFormat="1" applyFont="1" applyFill="1" applyBorder="1" applyAlignment="1">
      <alignment horizontal="center" vertical="center" wrapText="1"/>
    </xf>
    <xf numFmtId="164" fontId="8" fillId="6" borderId="4" xfId="1" applyNumberFormat="1" applyFont="1" applyFill="1" applyBorder="1" applyAlignment="1">
      <alignment horizontal="center" vertical="center" wrapText="1"/>
    </xf>
    <xf numFmtId="164" fontId="8" fillId="5" borderId="5" xfId="1" applyNumberFormat="1" applyFont="1" applyFill="1" applyBorder="1" applyAlignment="1">
      <alignment horizontal="center" vertical="center" wrapText="1"/>
    </xf>
    <xf numFmtId="0" fontId="8" fillId="5" borderId="3" xfId="1" applyFont="1" applyFill="1" applyBorder="1" applyAlignment="1">
      <alignment horizontal="center" vertical="center" wrapText="1"/>
    </xf>
    <xf numFmtId="0" fontId="8" fillId="5" borderId="4" xfId="1" applyFont="1" applyFill="1" applyBorder="1" applyAlignment="1">
      <alignment horizontal="center" vertical="center" wrapText="1"/>
    </xf>
    <xf numFmtId="0" fontId="9" fillId="5" borderId="4" xfId="1" applyFont="1" applyFill="1" applyBorder="1" applyAlignment="1">
      <alignment horizontal="center" vertical="center" wrapText="1"/>
    </xf>
    <xf numFmtId="165" fontId="8" fillId="5" borderId="4" xfId="1" applyNumberFormat="1" applyFont="1" applyFill="1" applyBorder="1" applyAlignment="1">
      <alignment horizontal="center" vertical="center" wrapText="1"/>
    </xf>
    <xf numFmtId="0" fontId="8" fillId="5" borderId="7" xfId="1" applyFont="1" applyFill="1" applyBorder="1" applyAlignment="1">
      <alignment horizontal="center" vertical="center" wrapText="1"/>
    </xf>
    <xf numFmtId="164" fontId="9" fillId="8" borderId="6" xfId="1" applyNumberFormat="1" applyFont="1" applyFill="1" applyBorder="1" applyAlignment="1">
      <alignment horizontal="center" vertical="center" wrapText="1"/>
    </xf>
    <xf numFmtId="164" fontId="9" fillId="8" borderId="3" xfId="1" applyNumberFormat="1" applyFont="1" applyFill="1" applyBorder="1" applyAlignment="1">
      <alignment horizontal="center" vertical="center" wrapText="1"/>
    </xf>
    <xf numFmtId="164" fontId="9" fillId="9" borderId="6" xfId="0" applyNumberFormat="1" applyFont="1" applyFill="1" applyBorder="1" applyAlignment="1">
      <alignment horizontal="center" vertical="center" wrapText="1"/>
    </xf>
    <xf numFmtId="164" fontId="9" fillId="10" borderId="6" xfId="1" applyNumberFormat="1" applyFont="1" applyFill="1" applyBorder="1" applyAlignment="1">
      <alignment horizontal="center" vertical="center" wrapText="1"/>
    </xf>
    <xf numFmtId="164" fontId="9" fillId="11" borderId="6" xfId="0" applyNumberFormat="1" applyFont="1" applyFill="1" applyBorder="1" applyAlignment="1">
      <alignment horizontal="center" vertical="center" wrapText="1"/>
    </xf>
    <xf numFmtId="164" fontId="9" fillId="12" borderId="8" xfId="2" applyNumberFormat="1" applyFont="1" applyFill="1" applyBorder="1" applyAlignment="1">
      <alignment horizontal="center" vertical="center" wrapText="1"/>
    </xf>
    <xf numFmtId="0" fontId="10" fillId="0" borderId="0" xfId="0" applyFont="1"/>
    <xf numFmtId="164" fontId="9" fillId="9" borderId="8" xfId="0" applyNumberFormat="1" applyFont="1" applyFill="1" applyBorder="1" applyAlignment="1">
      <alignment horizontal="center" vertical="center" wrapText="1"/>
    </xf>
    <xf numFmtId="164" fontId="7" fillId="2" borderId="18" xfId="0" applyNumberFormat="1" applyFont="1" applyFill="1" applyBorder="1" applyAlignment="1">
      <alignment horizontal="center" vertical="top"/>
    </xf>
    <xf numFmtId="0" fontId="7" fillId="0" borderId="0" xfId="0" applyFont="1"/>
    <xf numFmtId="0" fontId="3" fillId="0" borderId="0" xfId="1" quotePrefix="1" applyFont="1" applyAlignment="1">
      <alignment horizontal="left"/>
    </xf>
    <xf numFmtId="0" fontId="11" fillId="0" borderId="0" xfId="0" applyFont="1"/>
    <xf numFmtId="0" fontId="12" fillId="0" borderId="0" xfId="0" quotePrefix="1" applyFont="1"/>
    <xf numFmtId="0" fontId="16" fillId="0" borderId="0" xfId="0" applyFont="1"/>
    <xf numFmtId="165" fontId="8" fillId="6" borderId="5" xfId="1" applyNumberFormat="1" applyFont="1" applyFill="1" applyBorder="1" applyAlignment="1">
      <alignment horizontal="center" vertical="center" wrapText="1"/>
    </xf>
    <xf numFmtId="165" fontId="9" fillId="3" borderId="14" xfId="1" applyNumberFormat="1" applyFont="1" applyFill="1" applyBorder="1" applyAlignment="1">
      <alignment horizontal="center" vertical="center" wrapText="1"/>
    </xf>
    <xf numFmtId="164" fontId="9" fillId="3" borderId="19" xfId="1" applyNumberFormat="1" applyFont="1" applyFill="1" applyBorder="1" applyAlignment="1">
      <alignment horizontal="center" vertical="center" wrapText="1"/>
    </xf>
    <xf numFmtId="165" fontId="9" fillId="3" borderId="12" xfId="1" applyNumberFormat="1" applyFont="1" applyFill="1" applyBorder="1" applyAlignment="1">
      <alignment horizontal="center" vertical="center" wrapText="1"/>
    </xf>
    <xf numFmtId="164" fontId="9" fillId="3" borderId="20" xfId="1" applyNumberFormat="1" applyFont="1" applyFill="1" applyBorder="1" applyAlignment="1">
      <alignment horizontal="center" vertical="center" wrapText="1"/>
    </xf>
    <xf numFmtId="164" fontId="8" fillId="4" borderId="21" xfId="1" applyNumberFormat="1" applyFont="1" applyFill="1" applyBorder="1" applyAlignment="1">
      <alignment horizontal="center" vertical="center" wrapText="1"/>
    </xf>
    <xf numFmtId="0" fontId="8" fillId="4" borderId="22" xfId="1" applyFont="1" applyFill="1" applyBorder="1" applyAlignment="1">
      <alignment horizontal="center" vertical="center" wrapText="1"/>
    </xf>
    <xf numFmtId="0" fontId="8" fillId="7" borderId="22" xfId="1" applyFont="1" applyFill="1" applyBorder="1" applyAlignment="1">
      <alignment horizontal="center" vertical="center" wrapText="1"/>
    </xf>
    <xf numFmtId="165" fontId="8" fillId="7" borderId="23" xfId="1" applyNumberFormat="1" applyFont="1" applyFill="1" applyBorder="1" applyAlignment="1">
      <alignment horizontal="center" vertical="center" wrapText="1"/>
    </xf>
    <xf numFmtId="0" fontId="8" fillId="7" borderId="24" xfId="1" applyFont="1" applyFill="1" applyBorder="1" applyAlignment="1">
      <alignment horizontal="center" vertical="center" wrapText="1"/>
    </xf>
    <xf numFmtId="0" fontId="8" fillId="7" borderId="23" xfId="1" applyFont="1" applyFill="1" applyBorder="1" applyAlignment="1">
      <alignment horizontal="center" vertical="center" wrapText="1"/>
    </xf>
    <xf numFmtId="0" fontId="8" fillId="5" borderId="21" xfId="1" applyFont="1" applyFill="1" applyBorder="1" applyAlignment="1">
      <alignment horizontal="center" vertical="center" wrapText="1"/>
    </xf>
    <xf numFmtId="165" fontId="8" fillId="5" borderId="22" xfId="1" applyNumberFormat="1" applyFont="1" applyFill="1" applyBorder="1" applyAlignment="1">
      <alignment horizontal="center" vertical="center" wrapText="1"/>
    </xf>
    <xf numFmtId="0" fontId="8" fillId="5" borderId="23" xfId="1" applyFont="1" applyFill="1" applyBorder="1" applyAlignment="1">
      <alignment horizontal="center" vertical="center" wrapText="1"/>
    </xf>
    <xf numFmtId="165" fontId="8" fillId="5" borderId="23" xfId="1" quotePrefix="1" applyNumberFormat="1" applyFont="1" applyFill="1" applyBorder="1" applyAlignment="1">
      <alignment horizontal="center" vertical="center" wrapText="1"/>
    </xf>
    <xf numFmtId="0" fontId="9" fillId="5" borderId="23" xfId="1" quotePrefix="1" applyFont="1" applyFill="1" applyBorder="1" applyAlignment="1">
      <alignment horizontal="center" vertical="center" wrapText="1"/>
    </xf>
    <xf numFmtId="0" fontId="9" fillId="5" borderId="23" xfId="1" applyFont="1" applyFill="1" applyBorder="1" applyAlignment="1">
      <alignment horizontal="center" vertical="center" wrapText="1"/>
    </xf>
    <xf numFmtId="165" fontId="9" fillId="5" borderId="23" xfId="1" applyNumberFormat="1" applyFont="1" applyFill="1" applyBorder="1" applyAlignment="1">
      <alignment horizontal="center" vertical="center" wrapText="1"/>
    </xf>
    <xf numFmtId="0" fontId="9" fillId="5" borderId="24" xfId="1" quotePrefix="1" applyFont="1" applyFill="1" applyBorder="1" applyAlignment="1">
      <alignment horizontal="center" vertical="center" wrapText="1"/>
    </xf>
    <xf numFmtId="0" fontId="8" fillId="3" borderId="21" xfId="1" applyFont="1" applyFill="1" applyBorder="1" applyAlignment="1">
      <alignment horizontal="center" vertical="center" wrapText="1"/>
    </xf>
    <xf numFmtId="165" fontId="8" fillId="3" borderId="23" xfId="1" applyNumberFormat="1" applyFont="1" applyFill="1" applyBorder="1" applyAlignment="1">
      <alignment horizontal="center" vertical="center" wrapText="1"/>
    </xf>
    <xf numFmtId="165" fontId="8" fillId="3" borderId="23" xfId="1" quotePrefix="1" applyNumberFormat="1" applyFont="1" applyFill="1" applyBorder="1" applyAlignment="1">
      <alignment horizontal="center" vertical="center" wrapText="1"/>
    </xf>
    <xf numFmtId="0" fontId="8" fillId="3" borderId="23" xfId="1" quotePrefix="1" applyFont="1" applyFill="1" applyBorder="1" applyAlignment="1">
      <alignment horizontal="center" vertical="center" wrapText="1"/>
    </xf>
    <xf numFmtId="0" fontId="8" fillId="3" borderId="23" xfId="1" applyFont="1" applyFill="1" applyBorder="1" applyAlignment="1">
      <alignment horizontal="center" vertical="center" wrapText="1"/>
    </xf>
    <xf numFmtId="0" fontId="8" fillId="3" borderId="24" xfId="1" quotePrefix="1" applyFont="1" applyFill="1" applyBorder="1" applyAlignment="1">
      <alignment horizontal="center" vertical="center" wrapText="1"/>
    </xf>
    <xf numFmtId="164" fontId="9" fillId="8" borderId="25" xfId="1" applyNumberFormat="1" applyFont="1" applyFill="1" applyBorder="1" applyAlignment="1">
      <alignment horizontal="center" vertical="center" wrapText="1"/>
    </xf>
    <xf numFmtId="164" fontId="9" fillId="8" borderId="19" xfId="1" applyNumberFormat="1" applyFont="1" applyFill="1" applyBorder="1" applyAlignment="1">
      <alignment horizontal="center" vertical="center" wrapText="1"/>
    </xf>
    <xf numFmtId="164" fontId="9" fillId="8" borderId="20" xfId="1" applyNumberFormat="1" applyFont="1" applyFill="1" applyBorder="1" applyAlignment="1">
      <alignment horizontal="center" vertical="center" wrapText="1"/>
    </xf>
    <xf numFmtId="164" fontId="9" fillId="8" borderId="26" xfId="1" applyNumberFormat="1" applyFont="1" applyFill="1" applyBorder="1" applyAlignment="1">
      <alignment horizontal="center" vertical="center" wrapText="1"/>
    </xf>
    <xf numFmtId="164" fontId="9" fillId="8" borderId="15" xfId="1" applyNumberFormat="1" applyFont="1" applyFill="1" applyBorder="1" applyAlignment="1">
      <alignment horizontal="center" vertical="center" wrapText="1"/>
    </xf>
    <xf numFmtId="164" fontId="9" fillId="8" borderId="22" xfId="1" applyNumberFormat="1" applyFont="1" applyFill="1" applyBorder="1" applyAlignment="1">
      <alignment horizontal="center" vertical="center" wrapText="1"/>
    </xf>
    <xf numFmtId="164" fontId="9" fillId="6" borderId="3" xfId="1" applyNumberFormat="1" applyFont="1" applyFill="1" applyBorder="1" applyAlignment="1">
      <alignment horizontal="center" vertical="center" wrapText="1"/>
    </xf>
    <xf numFmtId="165" fontId="0" fillId="0" borderId="9" xfId="0" applyNumberFormat="1" applyBorder="1" applyAlignment="1">
      <alignment horizontal="left"/>
    </xf>
    <xf numFmtId="0" fontId="0" fillId="0" borderId="9" xfId="0" applyBorder="1" applyAlignment="1">
      <alignment horizontal="left"/>
    </xf>
    <xf numFmtId="0" fontId="6" fillId="0" borderId="9" xfId="0" applyFont="1" applyBorder="1" applyAlignment="1">
      <alignment horizontal="left"/>
    </xf>
    <xf numFmtId="167" fontId="19" fillId="6" borderId="6" xfId="1" applyNumberFormat="1" applyFont="1" applyFill="1" applyBorder="1" applyAlignment="1">
      <alignment horizontal="center" vertical="center" wrapText="1"/>
    </xf>
    <xf numFmtId="164" fontId="19" fillId="6" borderId="6" xfId="1" applyNumberFormat="1" applyFont="1" applyFill="1" applyBorder="1" applyAlignment="1">
      <alignment horizontal="center" vertical="center" wrapText="1"/>
    </xf>
    <xf numFmtId="165" fontId="8" fillId="6" borderId="6" xfId="1" applyNumberFormat="1" applyFont="1" applyFill="1" applyBorder="1" applyAlignment="1">
      <alignment horizontal="center" vertical="center" wrapText="1"/>
    </xf>
    <xf numFmtId="0" fontId="8" fillId="6" borderId="6" xfId="1" applyFont="1" applyFill="1" applyBorder="1" applyAlignment="1">
      <alignment horizontal="center" vertical="center" wrapText="1"/>
    </xf>
    <xf numFmtId="164" fontId="8" fillId="6" borderId="6" xfId="1" applyNumberFormat="1" applyFont="1" applyFill="1" applyBorder="1" applyAlignment="1">
      <alignment horizontal="center" vertical="center" wrapText="1"/>
    </xf>
    <xf numFmtId="164" fontId="8" fillId="5" borderId="8" xfId="1" applyNumberFormat="1" applyFont="1" applyFill="1" applyBorder="1" applyAlignment="1">
      <alignment horizontal="center" vertical="center" wrapText="1"/>
    </xf>
    <xf numFmtId="0" fontId="0" fillId="0" borderId="0" xfId="0" applyAlignment="1">
      <alignment horizontal="center"/>
    </xf>
    <xf numFmtId="0" fontId="0" fillId="0" borderId="0" xfId="0" applyAlignment="1">
      <alignment horizontal="left"/>
    </xf>
    <xf numFmtId="1" fontId="0" fillId="0" borderId="9" xfId="0" applyNumberFormat="1" applyBorder="1" applyAlignment="1">
      <alignment horizontal="left"/>
    </xf>
    <xf numFmtId="0" fontId="18" fillId="0" borderId="9" xfId="0" applyFont="1" applyBorder="1" applyAlignment="1">
      <alignment horizontal="left"/>
    </xf>
    <xf numFmtId="0" fontId="22" fillId="0" borderId="0" xfId="0" applyFont="1" applyAlignment="1">
      <alignment horizontal="left"/>
    </xf>
    <xf numFmtId="0" fontId="0" fillId="0" borderId="9" xfId="0" applyBorder="1" applyAlignment="1">
      <alignment horizontal="left" wrapText="1"/>
    </xf>
    <xf numFmtId="14" fontId="0" fillId="0" borderId="9" xfId="0" applyNumberFormat="1" applyBorder="1" applyAlignment="1">
      <alignment horizontal="left"/>
    </xf>
    <xf numFmtId="0" fontId="2" fillId="0" borderId="0" xfId="1" applyFont="1" applyAlignment="1">
      <alignment horizontal="center" vertical="center"/>
    </xf>
    <xf numFmtId="164" fontId="3" fillId="0" borderId="0" xfId="1" applyNumberFormat="1" applyFont="1" applyAlignment="1">
      <alignment horizontal="center"/>
    </xf>
    <xf numFmtId="165" fontId="3" fillId="0" borderId="0" xfId="1" applyNumberFormat="1" applyFont="1" applyAlignment="1">
      <alignment horizontal="center"/>
    </xf>
    <xf numFmtId="0" fontId="2" fillId="0" borderId="0" xfId="1" applyFont="1" applyAlignment="1">
      <alignment horizontal="center"/>
    </xf>
    <xf numFmtId="164" fontId="0" fillId="0" borderId="0" xfId="0" applyNumberFormat="1" applyAlignment="1">
      <alignment horizontal="center"/>
    </xf>
    <xf numFmtId="164" fontId="5" fillId="0" borderId="0" xfId="1" applyNumberFormat="1" applyFont="1" applyAlignment="1">
      <alignment horizontal="center"/>
    </xf>
    <xf numFmtId="165" fontId="5" fillId="0" borderId="0" xfId="1" applyNumberFormat="1" applyFont="1" applyAlignment="1">
      <alignment horizontal="center"/>
    </xf>
    <xf numFmtId="164" fontId="6" fillId="0" borderId="1" xfId="1" applyNumberFormat="1" applyFont="1" applyBorder="1" applyAlignment="1">
      <alignment horizontal="center"/>
    </xf>
    <xf numFmtId="165" fontId="6" fillId="0" borderId="1" xfId="1" applyNumberFormat="1" applyFont="1" applyBorder="1" applyAlignment="1">
      <alignment horizontal="center"/>
    </xf>
    <xf numFmtId="0" fontId="3" fillId="0" borderId="0" xfId="1" applyFont="1" applyAlignment="1">
      <alignment horizontal="center"/>
    </xf>
    <xf numFmtId="165" fontId="4" fillId="0" borderId="0" xfId="1" applyNumberFormat="1" applyFont="1" applyAlignment="1">
      <alignment horizontal="center"/>
    </xf>
    <xf numFmtId="164" fontId="6" fillId="0" borderId="0" xfId="1" applyNumberFormat="1" applyFont="1" applyAlignment="1">
      <alignment horizontal="center"/>
    </xf>
    <xf numFmtId="165" fontId="6" fillId="0" borderId="0" xfId="1" applyNumberFormat="1" applyFont="1" applyAlignment="1">
      <alignment horizontal="center"/>
    </xf>
    <xf numFmtId="0" fontId="6" fillId="0" borderId="0" xfId="1" applyFont="1" applyAlignment="1">
      <alignment horizontal="center"/>
    </xf>
    <xf numFmtId="164" fontId="6" fillId="0" borderId="0" xfId="1" applyNumberFormat="1" applyFont="1" applyAlignment="1">
      <alignment horizontal="center" wrapText="1"/>
    </xf>
    <xf numFmtId="165" fontId="0" fillId="0" borderId="0" xfId="0" applyNumberFormat="1" applyAlignment="1">
      <alignment horizontal="center"/>
    </xf>
    <xf numFmtId="0" fontId="21" fillId="0" borderId="0" xfId="0" applyFont="1" applyAlignment="1">
      <alignment horizontal="left"/>
    </xf>
    <xf numFmtId="0" fontId="23" fillId="0" borderId="0" xfId="0" applyFont="1"/>
    <xf numFmtId="0" fontId="0" fillId="0" borderId="30" xfId="0" applyBorder="1"/>
    <xf numFmtId="165" fontId="0" fillId="0" borderId="9" xfId="0" applyNumberFormat="1" applyBorder="1" applyAlignment="1">
      <alignment horizontal="left" vertical="center"/>
    </xf>
    <xf numFmtId="0" fontId="20" fillId="0" borderId="9" xfId="0" applyFont="1" applyBorder="1" applyAlignment="1">
      <alignment horizontal="left"/>
    </xf>
    <xf numFmtId="164" fontId="0" fillId="0" borderId="9" xfId="0" applyNumberFormat="1" applyBorder="1" applyAlignment="1">
      <alignment horizontal="left"/>
    </xf>
    <xf numFmtId="165" fontId="16" fillId="0" borderId="9" xfId="0" applyNumberFormat="1" applyFont="1" applyBorder="1" applyAlignment="1">
      <alignment horizontal="left"/>
    </xf>
    <xf numFmtId="166" fontId="6" fillId="0" borderId="9" xfId="0" applyNumberFormat="1" applyFont="1" applyBorder="1" applyAlignment="1">
      <alignment horizontal="left"/>
    </xf>
    <xf numFmtId="166" fontId="6" fillId="0" borderId="9" xfId="1" applyNumberFormat="1" applyFont="1" applyBorder="1" applyAlignment="1">
      <alignment horizontal="left"/>
    </xf>
    <xf numFmtId="0" fontId="6" fillId="0" borderId="9" xfId="1" applyFont="1" applyBorder="1" applyAlignment="1">
      <alignment horizontal="left"/>
    </xf>
    <xf numFmtId="168" fontId="0" fillId="0" borderId="0" xfId="0" applyNumberFormat="1"/>
    <xf numFmtId="0" fontId="9" fillId="6" borderId="9" xfId="1" applyFont="1" applyFill="1" applyBorder="1" applyAlignment="1">
      <alignment horizontal="center" vertical="center" wrapText="1"/>
    </xf>
    <xf numFmtId="0" fontId="18" fillId="0" borderId="0" xfId="0" applyFont="1"/>
    <xf numFmtId="168" fontId="8" fillId="6" borderId="5" xfId="1" applyNumberFormat="1" applyFont="1" applyFill="1" applyBorder="1" applyAlignment="1">
      <alignment horizontal="center" vertical="center" wrapText="1"/>
    </xf>
    <xf numFmtId="168" fontId="8" fillId="6" borderId="33" xfId="1" applyNumberFormat="1" applyFont="1" applyFill="1" applyBorder="1" applyAlignment="1">
      <alignment horizontal="center" vertical="center" wrapText="1"/>
    </xf>
    <xf numFmtId="164" fontId="8" fillId="6" borderId="5" xfId="1" applyNumberFormat="1" applyFont="1" applyFill="1" applyBorder="1" applyAlignment="1">
      <alignment horizontal="center" vertical="center" wrapText="1"/>
    </xf>
    <xf numFmtId="168" fontId="8" fillId="6" borderId="3" xfId="1" applyNumberFormat="1" applyFont="1" applyFill="1" applyBorder="1" applyAlignment="1">
      <alignment horizontal="center" vertical="center" wrapText="1"/>
    </xf>
    <xf numFmtId="164" fontId="8" fillId="13" borderId="3" xfId="1" applyNumberFormat="1" applyFont="1" applyFill="1" applyBorder="1" applyAlignment="1">
      <alignment horizontal="center" vertical="center" wrapText="1"/>
    </xf>
    <xf numFmtId="1" fontId="0" fillId="0" borderId="9" xfId="0" applyNumberFormat="1" applyBorder="1"/>
    <xf numFmtId="0" fontId="0" fillId="0" borderId="32" xfId="0" applyBorder="1"/>
    <xf numFmtId="0" fontId="0" fillId="0" borderId="9" xfId="0" applyBorder="1"/>
    <xf numFmtId="0" fontId="0" fillId="0" borderId="31" xfId="0" applyBorder="1"/>
    <xf numFmtId="168" fontId="0" fillId="0" borderId="32" xfId="0" applyNumberFormat="1" applyBorder="1"/>
    <xf numFmtId="168" fontId="0" fillId="0" borderId="9" xfId="0" applyNumberFormat="1" applyBorder="1"/>
    <xf numFmtId="168" fontId="0" fillId="0" borderId="31" xfId="0" applyNumberFormat="1" applyBorder="1"/>
    <xf numFmtId="0" fontId="25" fillId="0" borderId="9" xfId="0" quotePrefix="1" applyFont="1" applyBorder="1"/>
    <xf numFmtId="0" fontId="18" fillId="0" borderId="32" xfId="0" applyFont="1" applyBorder="1"/>
    <xf numFmtId="0" fontId="18" fillId="0" borderId="9" xfId="0" applyFont="1" applyBorder="1"/>
    <xf numFmtId="0" fontId="0" fillId="0" borderId="9" xfId="0" applyBorder="1" applyAlignment="1">
      <alignment horizontal="center"/>
    </xf>
    <xf numFmtId="168" fontId="18" fillId="0" borderId="31" xfId="0" applyNumberFormat="1" applyFont="1" applyBorder="1"/>
    <xf numFmtId="0" fontId="26" fillId="0" borderId="9" xfId="0" applyFont="1" applyBorder="1" applyAlignment="1">
      <alignment horizontal="center"/>
    </xf>
    <xf numFmtId="0" fontId="15" fillId="0" borderId="0" xfId="0" applyFont="1"/>
    <xf numFmtId="1" fontId="0" fillId="0" borderId="34" xfId="0" applyNumberFormat="1" applyBorder="1"/>
    <xf numFmtId="0" fontId="18" fillId="0" borderId="35" xfId="0" applyFont="1" applyBorder="1"/>
    <xf numFmtId="0" fontId="0" fillId="0" borderId="36" xfId="0" applyBorder="1"/>
    <xf numFmtId="0" fontId="0" fillId="0" borderId="34" xfId="0" applyBorder="1"/>
    <xf numFmtId="168" fontId="0" fillId="0" borderId="35" xfId="0" applyNumberFormat="1" applyBorder="1"/>
    <xf numFmtId="0" fontId="18" fillId="0" borderId="34" xfId="0" applyFont="1" applyBorder="1"/>
    <xf numFmtId="168" fontId="0" fillId="0" borderId="34" xfId="0" applyNumberFormat="1" applyBorder="1"/>
    <xf numFmtId="168" fontId="18" fillId="0" borderId="36" xfId="0" applyNumberFormat="1" applyFont="1" applyBorder="1"/>
    <xf numFmtId="0" fontId="25" fillId="0" borderId="34" xfId="0" quotePrefix="1" applyFont="1" applyBorder="1"/>
    <xf numFmtId="0" fontId="26" fillId="0" borderId="34" xfId="0" applyFont="1" applyBorder="1" applyAlignment="1">
      <alignment horizontal="center"/>
    </xf>
    <xf numFmtId="0" fontId="0" fillId="0" borderId="37" xfId="0" applyBorder="1"/>
    <xf numFmtId="1" fontId="0" fillId="0" borderId="38" xfId="0" applyNumberFormat="1" applyBorder="1"/>
    <xf numFmtId="0" fontId="18" fillId="0" borderId="39" xfId="0" applyFont="1" applyBorder="1"/>
    <xf numFmtId="0" fontId="0" fillId="0" borderId="40" xfId="0" applyBorder="1"/>
    <xf numFmtId="0" fontId="0" fillId="0" borderId="38" xfId="0" applyBorder="1"/>
    <xf numFmtId="168" fontId="0" fillId="0" borderId="39" xfId="0" applyNumberFormat="1" applyBorder="1"/>
    <xf numFmtId="0" fontId="18" fillId="0" borderId="38" xfId="0" applyFont="1" applyBorder="1"/>
    <xf numFmtId="168" fontId="0" fillId="0" borderId="38" xfId="0" applyNumberFormat="1" applyBorder="1"/>
    <xf numFmtId="168" fontId="0" fillId="0" borderId="40" xfId="0" applyNumberFormat="1" applyBorder="1"/>
    <xf numFmtId="0" fontId="25" fillId="0" borderId="38" xfId="0" quotePrefix="1" applyFont="1" applyBorder="1"/>
    <xf numFmtId="0" fontId="26" fillId="0" borderId="38" xfId="0" applyFont="1" applyBorder="1" applyAlignment="1">
      <alignment horizontal="center"/>
    </xf>
    <xf numFmtId="0" fontId="20" fillId="0" borderId="32" xfId="0" applyFont="1" applyBorder="1"/>
    <xf numFmtId="1" fontId="0" fillId="0" borderId="31" xfId="0" applyNumberFormat="1" applyBorder="1"/>
    <xf numFmtId="1" fontId="16" fillId="0" borderId="9" xfId="0" applyNumberFormat="1" applyFont="1" applyBorder="1"/>
    <xf numFmtId="0" fontId="16" fillId="0" borderId="31" xfId="0" applyFont="1" applyBorder="1"/>
    <xf numFmtId="0" fontId="15" fillId="0" borderId="9" xfId="0" applyFont="1" applyBorder="1"/>
    <xf numFmtId="0" fontId="24" fillId="0" borderId="9" xfId="0" applyFont="1" applyBorder="1"/>
    <xf numFmtId="168" fontId="0" fillId="0" borderId="36" xfId="0" applyNumberFormat="1" applyBorder="1"/>
    <xf numFmtId="0" fontId="0" fillId="0" borderId="39" xfId="0" applyBorder="1"/>
    <xf numFmtId="0" fontId="0" fillId="0" borderId="35" xfId="0" applyBorder="1"/>
    <xf numFmtId="0" fontId="0" fillId="0" borderId="34" xfId="0" applyBorder="1" applyAlignment="1">
      <alignment horizontal="left"/>
    </xf>
    <xf numFmtId="0" fontId="0" fillId="0" borderId="38" xfId="0" applyBorder="1" applyAlignment="1">
      <alignment horizontal="left"/>
    </xf>
    <xf numFmtId="0" fontId="18" fillId="14" borderId="9" xfId="0" applyFont="1" applyFill="1" applyBorder="1" applyAlignment="1">
      <alignment horizontal="center"/>
    </xf>
    <xf numFmtId="0" fontId="0" fillId="14" borderId="9" xfId="0" applyFill="1" applyBorder="1"/>
    <xf numFmtId="0" fontId="26" fillId="14" borderId="9" xfId="0" applyFont="1" applyFill="1" applyBorder="1" applyAlignment="1">
      <alignment horizontal="center"/>
    </xf>
    <xf numFmtId="0" fontId="18" fillId="14" borderId="9" xfId="0" applyFont="1" applyFill="1" applyBorder="1"/>
    <xf numFmtId="0" fontId="20" fillId="14" borderId="32" xfId="0" applyFont="1" applyFill="1" applyBorder="1"/>
    <xf numFmtId="164" fontId="8" fillId="15" borderId="4" xfId="1" applyNumberFormat="1" applyFont="1" applyFill="1" applyBorder="1" applyAlignment="1">
      <alignment horizontal="center" vertical="center" wrapText="1"/>
    </xf>
    <xf numFmtId="164" fontId="9" fillId="15" borderId="8" xfId="1" applyNumberFormat="1" applyFont="1" applyFill="1" applyBorder="1" applyAlignment="1">
      <alignment horizontal="center" vertical="center" wrapText="1"/>
    </xf>
    <xf numFmtId="1" fontId="0" fillId="6" borderId="9" xfId="0" applyNumberFormat="1" applyFill="1" applyBorder="1"/>
    <xf numFmtId="0" fontId="18" fillId="6" borderId="32" xfId="0" applyFont="1" applyFill="1" applyBorder="1"/>
    <xf numFmtId="0" fontId="0" fillId="6" borderId="31" xfId="0" applyFill="1" applyBorder="1"/>
    <xf numFmtId="0" fontId="0" fillId="6" borderId="9" xfId="0" applyFill="1" applyBorder="1"/>
    <xf numFmtId="168" fontId="0" fillId="6" borderId="32" xfId="0" applyNumberFormat="1" applyFill="1" applyBorder="1"/>
    <xf numFmtId="0" fontId="18" fillId="6" borderId="9" xfId="0" applyFont="1" applyFill="1" applyBorder="1"/>
    <xf numFmtId="168" fontId="0" fillId="6" borderId="9" xfId="0" applyNumberFormat="1" applyFill="1" applyBorder="1"/>
    <xf numFmtId="168" fontId="18" fillId="6" borderId="31" xfId="0" applyNumberFormat="1" applyFont="1" applyFill="1" applyBorder="1"/>
    <xf numFmtId="0" fontId="25" fillId="6" borderId="9" xfId="0" quotePrefix="1" applyFont="1" applyFill="1" applyBorder="1"/>
    <xf numFmtId="0" fontId="26" fillId="6" borderId="9" xfId="0" applyFont="1" applyFill="1" applyBorder="1" applyAlignment="1">
      <alignment horizontal="center"/>
    </xf>
    <xf numFmtId="0" fontId="0" fillId="6" borderId="0" xfId="0" applyFill="1"/>
    <xf numFmtId="164" fontId="7" fillId="2" borderId="0" xfId="0" applyNumberFormat="1" applyFont="1" applyFill="1" applyAlignment="1">
      <alignment horizontal="center" vertical="top"/>
    </xf>
    <xf numFmtId="164" fontId="7" fillId="2" borderId="11" xfId="0" applyNumberFormat="1" applyFont="1" applyFill="1" applyBorder="1" applyAlignment="1">
      <alignment horizontal="center" vertical="top"/>
    </xf>
    <xf numFmtId="164" fontId="7" fillId="2" borderId="12" xfId="0" applyNumberFormat="1" applyFont="1" applyFill="1" applyBorder="1" applyAlignment="1">
      <alignment horizontal="center" vertical="top"/>
    </xf>
    <xf numFmtId="164" fontId="7" fillId="2" borderId="13" xfId="0" applyNumberFormat="1" applyFont="1" applyFill="1" applyBorder="1" applyAlignment="1">
      <alignment horizontal="center" vertical="top"/>
    </xf>
    <xf numFmtId="164" fontId="7" fillId="2" borderId="27" xfId="0" applyNumberFormat="1" applyFont="1" applyFill="1" applyBorder="1" applyAlignment="1">
      <alignment horizontal="center" vertical="top"/>
    </xf>
    <xf numFmtId="164" fontId="7" fillId="2" borderId="28" xfId="0" applyNumberFormat="1" applyFont="1" applyFill="1" applyBorder="1" applyAlignment="1">
      <alignment horizontal="center" vertical="top"/>
    </xf>
    <xf numFmtId="164" fontId="7" fillId="2" borderId="29" xfId="0" applyNumberFormat="1" applyFont="1" applyFill="1" applyBorder="1" applyAlignment="1">
      <alignment horizontal="center" vertical="top"/>
    </xf>
    <xf numFmtId="164" fontId="7" fillId="3" borderId="14" xfId="0" applyNumberFormat="1" applyFont="1" applyFill="1" applyBorder="1" applyAlignment="1">
      <alignment horizontal="center" vertical="center"/>
    </xf>
    <xf numFmtId="164" fontId="7" fillId="3" borderId="12" xfId="0" applyNumberFormat="1" applyFont="1" applyFill="1" applyBorder="1" applyAlignment="1">
      <alignment horizontal="center" vertical="center"/>
    </xf>
    <xf numFmtId="164" fontId="7" fillId="3" borderId="15" xfId="0" applyNumberFormat="1" applyFont="1" applyFill="1" applyBorder="1" applyAlignment="1">
      <alignment horizontal="center" vertical="center"/>
    </xf>
    <xf numFmtId="164" fontId="7" fillId="4" borderId="2" xfId="0" applyNumberFormat="1" applyFont="1" applyFill="1" applyBorder="1" applyAlignment="1">
      <alignment horizontal="center" vertical="top"/>
    </xf>
    <xf numFmtId="164" fontId="7" fillId="4" borderId="10" xfId="0" applyNumberFormat="1" applyFont="1" applyFill="1" applyBorder="1" applyAlignment="1">
      <alignment horizontal="center" vertical="top"/>
    </xf>
    <xf numFmtId="164" fontId="7" fillId="5" borderId="16" xfId="0" applyNumberFormat="1" applyFont="1" applyFill="1" applyBorder="1" applyAlignment="1">
      <alignment horizontal="center" vertical="top"/>
    </xf>
    <xf numFmtId="164" fontId="7" fillId="5" borderId="2" xfId="0" applyNumberFormat="1" applyFont="1" applyFill="1" applyBorder="1" applyAlignment="1">
      <alignment horizontal="center" vertical="top"/>
    </xf>
    <xf numFmtId="164" fontId="7" fillId="5" borderId="10" xfId="0" applyNumberFormat="1" applyFont="1" applyFill="1" applyBorder="1" applyAlignment="1">
      <alignment horizontal="center" vertical="top"/>
    </xf>
    <xf numFmtId="164" fontId="7" fillId="3" borderId="16" xfId="0" applyNumberFormat="1" applyFont="1" applyFill="1" applyBorder="1" applyAlignment="1">
      <alignment horizontal="center" vertical="top"/>
    </xf>
    <xf numFmtId="164" fontId="7" fillId="3" borderId="2" xfId="0" applyNumberFormat="1" applyFont="1" applyFill="1" applyBorder="1" applyAlignment="1">
      <alignment horizontal="center" vertical="top"/>
    </xf>
    <xf numFmtId="164" fontId="7" fillId="3" borderId="10" xfId="0" applyNumberFormat="1" applyFont="1" applyFill="1" applyBorder="1" applyAlignment="1">
      <alignment horizontal="center" vertical="top"/>
    </xf>
    <xf numFmtId="164" fontId="7" fillId="2" borderId="17" xfId="0" applyNumberFormat="1" applyFont="1" applyFill="1" applyBorder="1" applyAlignment="1">
      <alignment horizontal="center" vertical="top"/>
    </xf>
    <xf numFmtId="1" fontId="0" fillId="0" borderId="6" xfId="0" applyNumberFormat="1" applyBorder="1" applyAlignment="1">
      <alignment horizontal="left"/>
    </xf>
    <xf numFmtId="0" fontId="0" fillId="0" borderId="6" xfId="0" applyBorder="1" applyAlignment="1">
      <alignment horizontal="left"/>
    </xf>
    <xf numFmtId="165" fontId="0" fillId="0" borderId="6" xfId="0" applyNumberFormat="1" applyBorder="1" applyAlignment="1">
      <alignment horizontal="left"/>
    </xf>
    <xf numFmtId="0" fontId="6" fillId="0" borderId="6" xfId="0" applyFont="1" applyBorder="1" applyAlignment="1">
      <alignment horizontal="left"/>
    </xf>
    <xf numFmtId="14" fontId="0" fillId="0" borderId="6" xfId="0" applyNumberFormat="1" applyBorder="1" applyAlignment="1">
      <alignment horizontal="left"/>
    </xf>
    <xf numFmtId="165" fontId="16" fillId="0" borderId="6" xfId="0" applyNumberFormat="1" applyFont="1" applyBorder="1" applyAlignment="1">
      <alignment horizontal="left"/>
    </xf>
    <xf numFmtId="164" fontId="9" fillId="12" borderId="41" xfId="2" applyNumberFormat="1" applyFont="1" applyFill="1" applyBorder="1" applyAlignment="1">
      <alignment horizontal="center" vertical="center" wrapText="1"/>
    </xf>
    <xf numFmtId="1" fontId="0" fillId="0" borderId="6" xfId="0" applyNumberFormat="1" applyBorder="1"/>
    <xf numFmtId="0" fontId="0" fillId="0" borderId="8" xfId="0" applyBorder="1"/>
    <xf numFmtId="0" fontId="18" fillId="0" borderId="8" xfId="0" applyFont="1" applyBorder="1"/>
    <xf numFmtId="0" fontId="0" fillId="0" borderId="33" xfId="0" applyBorder="1"/>
    <xf numFmtId="0" fontId="0" fillId="0" borderId="6" xfId="0" applyBorder="1"/>
    <xf numFmtId="168" fontId="0" fillId="0" borderId="8" xfId="0" applyNumberFormat="1" applyBorder="1"/>
    <xf numFmtId="0" fontId="18" fillId="0" borderId="6" xfId="0" applyFont="1" applyBorder="1"/>
    <xf numFmtId="168" fontId="0" fillId="0" borderId="6" xfId="0" applyNumberFormat="1" applyBorder="1"/>
    <xf numFmtId="168" fontId="0" fillId="0" borderId="33" xfId="0" applyNumberFormat="1" applyBorder="1"/>
    <xf numFmtId="0" fontId="25" fillId="0" borderId="6" xfId="0" quotePrefix="1" applyFont="1" applyBorder="1"/>
    <xf numFmtId="0" fontId="26" fillId="0" borderId="6" xfId="0" applyFont="1" applyBorder="1" applyAlignment="1">
      <alignment horizontal="center"/>
    </xf>
    <xf numFmtId="164" fontId="9" fillId="5" borderId="42" xfId="1" applyNumberFormat="1" applyFont="1" applyFill="1" applyBorder="1" applyAlignment="1">
      <alignment horizontal="center" vertical="center" wrapText="1"/>
    </xf>
  </cellXfs>
  <cellStyles count="3">
    <cellStyle name="Normal" xfId="0" builtinId="0"/>
    <cellStyle name="Normal 2" xfId="1" xr:uid="{00000000-0005-0000-0000-000001000000}"/>
    <cellStyle name="Normal 2 2" xfId="2" xr:uid="{00000000-0005-0000-0000-000002000000}"/>
  </cellStyles>
  <dxfs count="375">
    <dxf>
      <font>
        <b/>
        <i val="0"/>
        <strike val="0"/>
        <condense val="0"/>
        <extend val="0"/>
        <outline val="0"/>
        <shadow val="0"/>
        <u val="none"/>
        <vertAlign val="baseline"/>
        <sz val="11"/>
        <color rgb="FF000000"/>
        <name val="Calibri"/>
        <family val="2"/>
        <scheme val="none"/>
      </font>
      <numFmt numFmtId="164" formatCode="dd/mm/yyyy;@"/>
      <fill>
        <patternFill patternType="solid">
          <fgColor indexed="64"/>
          <bgColor rgb="FF9BC2E6"/>
        </patternFill>
      </fill>
      <alignment horizontal="center" vertical="center" textRotation="0" wrapText="1"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auto="1"/>
        </top>
        <bottom style="thin">
          <color rgb="FF000000"/>
        </bottom>
      </border>
    </dxf>
    <dxf>
      <border diagonalUp="0" diagonalDown="0">
        <left style="thin">
          <color rgb="FF000000"/>
        </left>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font>
        <b val="0"/>
        <i val="0"/>
        <strike val="0"/>
        <condense val="0"/>
        <extend val="0"/>
        <outline val="0"/>
        <shadow val="0"/>
        <u val="none"/>
        <vertAlign val="baseline"/>
        <sz val="9"/>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medium">
          <color rgb="FF000000"/>
        </bottom>
        <vertical/>
        <horizontal/>
      </border>
    </dxf>
    <dxf>
      <font>
        <b val="0"/>
        <i val="0"/>
        <strike val="0"/>
        <condense val="0"/>
        <extend val="0"/>
        <outline val="0"/>
        <shadow val="0"/>
        <u val="none"/>
        <vertAlign val="baseline"/>
        <sz val="10"/>
        <color rgb="FF000000"/>
        <name val="Arial"/>
        <family val="2"/>
        <scheme val="none"/>
      </font>
      <border diagonalUp="0" diagonalDown="0">
        <left/>
        <right style="thin">
          <color rgb="FF000000"/>
        </right>
        <top style="thin">
          <color rgb="FF000000"/>
        </top>
        <bottom style="medium">
          <color rgb="FF000000"/>
        </bottom>
        <vertical/>
        <horizontal/>
      </border>
    </dxf>
    <dxf>
      <font>
        <b val="0"/>
        <i val="0"/>
        <strike val="0"/>
        <condense val="0"/>
        <extend val="0"/>
        <outline val="0"/>
        <shadow val="0"/>
        <u val="none"/>
        <vertAlign val="baseline"/>
        <sz val="11"/>
        <color rgb="FF000000"/>
        <name val="Calibri"/>
        <scheme val="none"/>
      </font>
      <border diagonalUp="0" diagonalDown="0">
        <left style="thin">
          <color rgb="FF000000"/>
        </left>
        <right style="thin">
          <color rgb="FF000000"/>
        </right>
        <top style="thin">
          <color rgb="FF000000"/>
        </top>
        <bottom style="medium">
          <color rgb="FF000000"/>
        </bottom>
        <vertical/>
        <horizontal/>
      </border>
    </dxf>
    <dxf>
      <numFmt numFmtId="168" formatCode="[$-809]d\ mmmm\ yyyy;@"/>
      <border diagonalUp="0" diagonalDown="0">
        <left style="thin">
          <color rgb="FF000000"/>
        </left>
        <right/>
        <top style="thin">
          <color rgb="FF000000"/>
        </top>
        <bottom style="medium">
          <color rgb="FF000000"/>
        </bottom>
        <vertical/>
        <horizontal/>
      </border>
    </dxf>
    <dxf>
      <numFmt numFmtId="168" formatCode="[$-809]d\ mmmm\ yyyy;@"/>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font>
        <b val="0"/>
        <i val="0"/>
        <strike val="0"/>
        <condense val="0"/>
        <extend val="0"/>
        <outline val="0"/>
        <shadow val="0"/>
        <u val="none"/>
        <vertAlign val="baseline"/>
        <sz val="10"/>
        <color rgb="FF000000"/>
        <name val="Arial"/>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family val="2"/>
        <scheme val="none"/>
      </font>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numFmt numFmtId="168" formatCode="[$-809]d\ mmmm\ yyyy;@"/>
      <border diagonalUp="0" diagonalDown="0">
        <left/>
        <right style="thin">
          <color rgb="FF000000"/>
        </right>
        <top style="thin">
          <color rgb="FF000000"/>
        </top>
        <bottom style="medium">
          <color rgb="FF000000"/>
        </bottom>
        <vertical/>
        <horizontal/>
      </border>
    </dxf>
    <dxf>
      <border diagonalUp="0" diagonalDown="0">
        <left style="thin">
          <color rgb="FF000000"/>
        </left>
        <right style="thin">
          <color rgb="FF000000"/>
        </right>
        <top style="thin">
          <color rgb="FF000000"/>
        </top>
        <bottom style="medium">
          <color rgb="FF000000"/>
        </bottom>
        <vertical/>
        <horizontal/>
      </border>
    </dxf>
    <dxf>
      <border diagonalUp="0" diagonalDown="0">
        <left style="thin">
          <color rgb="FF000000"/>
        </left>
        <right/>
        <top style="thin">
          <color rgb="FF000000"/>
        </top>
        <bottom style="medium">
          <color rgb="FF000000"/>
        </bottom>
        <vertical/>
        <horizontal/>
      </border>
    </dxf>
    <dxf>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Arial"/>
        <family val="2"/>
        <scheme val="none"/>
      </font>
      <border diagonalUp="0" diagonalDown="0">
        <left/>
        <right style="thin">
          <color rgb="FF000000"/>
        </right>
        <top style="thin">
          <color rgb="FF000000"/>
        </top>
        <bottom style="medium">
          <color rgb="FF000000"/>
        </bottom>
        <vertical/>
        <horizontal/>
      </border>
    </dxf>
    <dxf>
      <border diagonalUp="0" diagonalDown="0">
        <left/>
        <right style="thin">
          <color rgb="FF000000"/>
        </right>
        <top style="thin">
          <color rgb="FF000000"/>
        </top>
        <bottom style="medium">
          <color rgb="FF000000"/>
        </bottom>
        <vertical/>
        <horizontal/>
      </border>
    </dxf>
    <dxf>
      <numFmt numFmtId="1" formatCode="0"/>
      <border diagonalUp="0" diagonalDown="0">
        <left style="thin">
          <color rgb="FF000000"/>
        </left>
        <right style="thin">
          <color rgb="FF000000"/>
        </right>
        <top style="thin">
          <color rgb="FF000000"/>
        </top>
        <bottom style="medium">
          <color rgb="FF000000"/>
        </bottom>
        <vertical/>
        <horizontal/>
      </border>
    </dxf>
    <dxf>
      <border outline="0">
        <right style="thin">
          <color rgb="FF000000"/>
        </right>
        <bottom style="thin">
          <color rgb="FF000000"/>
        </bottom>
      </border>
    </dxf>
    <dxf>
      <alignment horizontal="left" vertical="bottom" textRotation="0" wrapText="0" indent="0" justifyLastLine="0" shrinkToFit="0" readingOrder="0"/>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5" formatCode="[$-809]dd\ mmmm\ yyyy;@"/>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65" formatCode="[$-809]dd\ mmmm\ yyyy;@"/>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bottom style="thin">
          <color rgb="FF000000"/>
        </bottom>
      </border>
    </dxf>
    <dxf>
      <alignment horizontal="center"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5" formatCode="[$-809]dd\ mmmm\ yyyy;@"/>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5" formatCode="[$-809]dd\ mmmm\ yyyy;@"/>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5" formatCode="[$-809]dd\ mmmm\ yyyy;@"/>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5" formatCode="[$-809]dd\ mmmm\ yyyy;@"/>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 formatCode="0"/>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bottom style="thin">
          <color rgb="FF000000"/>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eetMetadata" Target="metadata.xml"/></Relationships>
</file>

<file path=xl/persons/person.xml><?xml version="1.0" encoding="utf-8"?>
<personList xmlns="http://schemas.microsoft.com/office/spreadsheetml/2018/threadedcomments" xmlns:x="http://schemas.openxmlformats.org/spreadsheetml/2006/main">
  <person displayName="ORSI, Nicolas (LEEDS TEACHING HOSPITALS NHS TRUST)" id="{130CA80F-AF75-4735-9097-DAFEA62F791C}" userId="nicolas.orsi@nhs.net" providerId="PeoplePicker"/>
  <person displayName="GAHIR, Narinder (LEEDS TEACHING HOSPITALS NHS TRUST)" id="{695B3104-33C0-4504-A8A5-7EF3A3D15049}" userId="GAHIR, Narinder (LEEDS TEACHING HOSPITALS NHS TRUST)" providerId="None"/>
  <person displayName="CUMMINGS, Michele (LEEDS TEACHING HOSPITALS NHS TRUST)" id="{9000A0BC-22BB-4AAA-A1CE-4B0A9426306B}" userId="S::m.cummings3@nhs.net::464af9cb-2ac6-4a60-90d5-810b97c47694" providerId="AD"/>
  <person displayName="OZBER, Claire (LEEDS TEACHING HOSPITALS NHS TRUST)" id="{D9C75BE5-44C4-4D6C-84DF-D183372EF0F9}" userId="S::claire.ozber@nhs.net::e05f69d5-c801-4453-b0e3-82b4f4bb5540" providerId="AD"/>
  <person displayName="FREER, Clare (LEEDS TEACHING HOSPITALS NHS TRUST)" id="{EE56E34F-F175-4504-94ED-43486E7AEECA}" userId="S::clare.freer2@nhs.net::38188dba-d054-4eda-9019-5e8a7b85df1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EE9CD8-5A49-427F-BC36-B4EA458C9A9C}" name="FollowUp_1" displayName="FollowUp_1" ref="A2:FE82" totalsRowShown="0" headerRowDxfId="198" dataDxfId="199" tableBorderDxfId="361">
  <autoFilter ref="A2:FE82" xr:uid="{8DEE9CD8-5A49-427F-BC36-B4EA458C9A9C}"/>
  <tableColumns count="161">
    <tableColumn id="1" xr3:uid="{597126F3-C3AB-445C-9D71-F1B27C537D63}" name="Column1" dataDxfId="360"/>
    <tableColumn id="2" xr3:uid="{3D1EB9A5-8929-484A-8551-2B4709E6F14A}" name="Column2" dataDxfId="359"/>
    <tableColumn id="3" xr3:uid="{CAA62045-E920-4884-8FF0-9B4E5E10CC91}" name="Column3" dataDxfId="358"/>
    <tableColumn id="4" xr3:uid="{677F5F47-EBD5-4B7D-99A8-97C421AB7BD2}" name="Column4" dataDxfId="357"/>
    <tableColumn id="5" xr3:uid="{D16BEFF9-04E2-46DA-A4D2-EBCD61E76628}" name="Column5" dataDxfId="356"/>
    <tableColumn id="6" xr3:uid="{D7A627F0-8637-42B6-B790-5F2A56F75D3D}" name="Column6" dataDxfId="355"/>
    <tableColumn id="7" xr3:uid="{ACBA8D96-31F5-49EC-811D-D3DAC440089B}" name="Column7" dataDxfId="354"/>
    <tableColumn id="8" xr3:uid="{CB79F469-A92E-4FE5-81B7-6F3042483BC5}" name="Column8" dataDxfId="353"/>
    <tableColumn id="9" xr3:uid="{E098B916-4C78-446F-A800-D18253234FFC}" name="Column9" dataDxfId="352"/>
    <tableColumn id="10" xr3:uid="{186F2DE9-511F-4346-977E-26D7E18BBE9D}" name="Column10" dataDxfId="351"/>
    <tableColumn id="11" xr3:uid="{FF8576F4-4AC2-4AE7-BE66-E0ED070E6C6F}" name="Column11" dataDxfId="350"/>
    <tableColumn id="12" xr3:uid="{E3274C6A-DF66-4A99-AF95-E0873DE6CA4C}" name="Column12" dataDxfId="349"/>
    <tableColumn id="13" xr3:uid="{7FE8B71E-E253-42D2-88DD-A3A8960262BC}" name="Column13" dataDxfId="348"/>
    <tableColumn id="14" xr3:uid="{C3B2FFDE-ECE5-47CC-B829-7633996CDD12}" name="Column14" dataDxfId="347"/>
    <tableColumn id="15" xr3:uid="{11216AE6-1397-43E5-906A-92599EAA03EA}" name="Column15" dataDxfId="346"/>
    <tableColumn id="16" xr3:uid="{C345D810-29EE-4B6B-B7BC-719B8D5AD188}" name="Column16" dataDxfId="345"/>
    <tableColumn id="17" xr3:uid="{CA2E593D-9A18-48EB-AEA9-E62356BF9DDD}" name="Column17" dataDxfId="344">
      <calculatedColumnFormula>DATEDIF(O3, P3,"Y")</calculatedColumnFormula>
    </tableColumn>
    <tableColumn id="18" xr3:uid="{7915E27A-B89D-421E-B139-A43830B25C2B}" name="Column18" dataDxfId="343"/>
    <tableColumn id="19" xr3:uid="{BA88B41F-5A53-4B27-B86F-CFA02F58BEBB}" name="Column19" dataDxfId="342"/>
    <tableColumn id="20" xr3:uid="{762F578A-1E9E-4DA2-851A-0AB8808376C1}" name="Column20" dataDxfId="341"/>
    <tableColumn id="21" xr3:uid="{C24BE732-C6C8-4FD9-89E5-A8C8E85ECA81}" name="Column21" dataDxfId="340"/>
    <tableColumn id="22" xr3:uid="{E02F8B6A-FD2F-4447-80D1-B39A50A56563}" name="Column22" dataDxfId="339"/>
    <tableColumn id="23" xr3:uid="{3C156A32-DF9C-4AEA-9B16-686C03B38548}" name="Column23" dataDxfId="338"/>
    <tableColumn id="24" xr3:uid="{762D2952-9EC9-4084-9E04-ED5799D8D8FF}" name="Column24" dataDxfId="337"/>
    <tableColumn id="25" xr3:uid="{88D56A5A-6E3C-460E-8B47-91D6573E7801}" name="Column25" dataDxfId="336"/>
    <tableColumn id="26" xr3:uid="{0457E448-EC33-49B3-87F2-B953534B49CD}" name="Column26" dataDxfId="335"/>
    <tableColumn id="27" xr3:uid="{A7A7F537-8A72-4F67-B13C-BCCF5874391F}" name="Column27" dataDxfId="334"/>
    <tableColumn id="28" xr3:uid="{B724B1FE-F1F1-48CF-97F9-CED1DE104B9E}" name="Column28" dataDxfId="333"/>
    <tableColumn id="29" xr3:uid="{A77705D4-25BC-435E-9F7A-03C00E740096}" name="Column29" dataDxfId="332"/>
    <tableColumn id="30" xr3:uid="{4936AA8B-4D1B-446C-91E3-F21BE3AB6785}" name="Column30" dataDxfId="331"/>
    <tableColumn id="31" xr3:uid="{D1E8FBDC-2CE4-4683-90BB-0BE685C8236E}" name="Column31" dataDxfId="330"/>
    <tableColumn id="32" xr3:uid="{795B6573-14CA-481D-9A06-48D5F8C7B59E}" name="Column32" dataDxfId="329"/>
    <tableColumn id="33" xr3:uid="{A9DF151A-E238-41F0-8593-A86982AE6654}" name="Column33" dataDxfId="328"/>
    <tableColumn id="34" xr3:uid="{50C25FB0-1762-46FC-A812-51AAE4EA05C2}" name="Column34" dataDxfId="327"/>
    <tableColumn id="35" xr3:uid="{C4338CE5-C747-4253-8FA9-4454EE1B9A14}" name="Column35" dataDxfId="326"/>
    <tableColumn id="36" xr3:uid="{3B0F0EC7-68FC-4123-895D-1CC920BA2556}" name="Column36" dataDxfId="325"/>
    <tableColumn id="37" xr3:uid="{3EDEB543-8899-46E0-8953-142BE553C680}" name="Column37" dataDxfId="324"/>
    <tableColumn id="38" xr3:uid="{A589F7EE-8710-4FD8-8E04-AE794A2141E2}" name="Column38" dataDxfId="323"/>
    <tableColumn id="39" xr3:uid="{096C9E51-B65E-4CFF-85F0-65670003BCAC}" name="Column39" dataDxfId="322"/>
    <tableColumn id="40" xr3:uid="{E91839BC-A4EE-4319-BE30-4EE85CF5963F}" name="Column40" dataDxfId="321"/>
    <tableColumn id="41" xr3:uid="{AA06CFCA-7C4C-4231-8B0E-AA9F34EEE687}" name="Column41" dataDxfId="320"/>
    <tableColumn id="42" xr3:uid="{C71D3687-0B39-4792-880B-C3FF511BA77B}" name="Column42" dataDxfId="319"/>
    <tableColumn id="43" xr3:uid="{24D18BE4-1226-4779-89FE-7D6A12B61472}" name="Column43" dataDxfId="318"/>
    <tableColumn id="44" xr3:uid="{ADCCB4EB-2BFA-4901-8B7E-88EC5372A106}" name="Column44" dataDxfId="317"/>
    <tableColumn id="45" xr3:uid="{842ACF67-F183-4562-9495-EFD37DB6E48C}" name="Column45" dataDxfId="316"/>
    <tableColumn id="46" xr3:uid="{E975BA45-FEDC-40C4-9E3B-0A85A9D42530}" name="Column46" dataDxfId="315"/>
    <tableColumn id="47" xr3:uid="{B5134CAB-1137-4B79-B6FE-BE9517E28E6A}" name="Column47" dataDxfId="314"/>
    <tableColumn id="48" xr3:uid="{5201F974-6926-4C4C-A918-AB6C0E00244F}" name="Column48" dataDxfId="313"/>
    <tableColumn id="49" xr3:uid="{B6C59795-DFB4-4E16-B6E7-870160E8FE22}" name="Column49" dataDxfId="312"/>
    <tableColumn id="50" xr3:uid="{12348C3B-7414-4C7A-9E4A-8A7C6847103E}" name="Column50" dataDxfId="311"/>
    <tableColumn id="51" xr3:uid="{0C49C361-2A51-46CA-A900-DC971102A7E7}" name="Column51" dataDxfId="310"/>
    <tableColumn id="52" xr3:uid="{F2953F19-A92E-4A46-BD8B-AF62F30C1D59}" name="Column52" dataDxfId="309"/>
    <tableColumn id="53" xr3:uid="{D5B64627-43A0-48AB-AC7A-380BD4298172}" name="Column53" dataDxfId="308"/>
    <tableColumn id="54" xr3:uid="{413C0AB0-4667-4E78-9B59-FB4CE67CE994}" name="Column54" dataDxfId="307"/>
    <tableColumn id="55" xr3:uid="{29FA8B16-3F67-4E2B-80D3-75BEF2D46483}" name="Column55" dataDxfId="306"/>
    <tableColumn id="56" xr3:uid="{95973B4B-E1F3-4867-B4D1-E6BCDD6D9D81}" name="Column56" dataDxfId="305"/>
    <tableColumn id="57" xr3:uid="{9CB114F4-FA1E-41CC-97C1-E83F64F26C84}" name="Column57" dataDxfId="304"/>
    <tableColumn id="58" xr3:uid="{F07AD10A-BFF2-43F7-965C-93F3BF889F66}" name="Column58" dataDxfId="303"/>
    <tableColumn id="59" xr3:uid="{6F054F27-7E75-4DF5-89E8-E8FC5D5F9682}" name="Column59" dataDxfId="302"/>
    <tableColumn id="60" xr3:uid="{BF210ADE-2290-45D7-AC97-8846020F6E52}" name="Column60" dataDxfId="301"/>
    <tableColumn id="61" xr3:uid="{5AE39AA4-FAA0-4508-9817-1225CC4A626B}" name="Column61" dataDxfId="300"/>
    <tableColumn id="62" xr3:uid="{C5424337-9FB2-410B-8DD7-D294AA4B40C0}" name="Column62" dataDxfId="299"/>
    <tableColumn id="63" xr3:uid="{DB5B3694-7D68-4DEF-A085-ABB2E1FD3B23}" name="Column63" dataDxfId="298"/>
    <tableColumn id="64" xr3:uid="{E3463481-6372-433D-B5E2-EFA194C0E53E}" name="Column64" dataDxfId="297"/>
    <tableColumn id="65" xr3:uid="{F37C1F2A-196D-4679-A30D-9C020F4C5969}" name="Column65" dataDxfId="296"/>
    <tableColumn id="66" xr3:uid="{644A0430-4504-48A9-8B84-EFB77B8F9C81}" name="Column66" dataDxfId="295"/>
    <tableColumn id="67" xr3:uid="{CE691614-F514-4699-840B-FBFA3A300113}" name="Column67" dataDxfId="294"/>
    <tableColumn id="68" xr3:uid="{93CC8995-C907-4DFD-852E-D66AD7540B7D}" name="Column68" dataDxfId="293"/>
    <tableColumn id="69" xr3:uid="{42A35420-6504-461A-903B-08153B6FF325}" name="Column69" dataDxfId="292"/>
    <tableColumn id="70" xr3:uid="{7E39F55F-080A-40D8-A1C6-1C230D0C317E}" name="Column70" dataDxfId="291"/>
    <tableColumn id="71" xr3:uid="{5773B764-DACE-4F6E-8A8F-1DEC649B5278}" name="Column71" dataDxfId="290"/>
    <tableColumn id="72" xr3:uid="{52B1166D-B913-47BC-8B92-0856F91D94F5}" name="Column72" dataDxfId="289"/>
    <tableColumn id="73" xr3:uid="{4B1A0436-C177-45FF-84F2-4331C337D52F}" name="Column73" dataDxfId="288"/>
    <tableColumn id="74" xr3:uid="{B5C22915-6656-4C3A-BA99-C1FC4C8C384A}" name="Column74" dataDxfId="287"/>
    <tableColumn id="75" xr3:uid="{6B59B2EC-B53D-407D-B8D7-772635A3F9AD}" name="Column75" dataDxfId="286"/>
    <tableColumn id="76" xr3:uid="{7A837C5C-5FB3-4F92-816A-4DF1CED8207A}" name="Column76" dataDxfId="285"/>
    <tableColumn id="77" xr3:uid="{7479A7F7-238B-49B1-A5F1-30024334A3FC}" name="Column77" dataDxfId="284"/>
    <tableColumn id="78" xr3:uid="{D4C8CDC7-8BDE-4333-A948-3768C691182E}" name="Column78" dataDxfId="283"/>
    <tableColumn id="79" xr3:uid="{F7BF8354-20BD-4317-B98E-771A1EB3DBC9}" name="Column79" dataDxfId="282"/>
    <tableColumn id="80" xr3:uid="{27EC9ED9-68F2-4B03-BDD6-24A319436032}" name="Column80" dataDxfId="281"/>
    <tableColumn id="81" xr3:uid="{3C26E354-8184-4647-B9F6-B1CCEC58C416}" name="Column81" dataDxfId="280"/>
    <tableColumn id="82" xr3:uid="{4ACC9FC9-6D87-47EA-9F06-0773F89C9B69}" name="Column82" dataDxfId="279"/>
    <tableColumn id="83" xr3:uid="{C26E92E2-0DA7-4E9F-94F0-FB2535C43112}" name="Column83" dataDxfId="278"/>
    <tableColumn id="84" xr3:uid="{D90D94A9-307F-4656-890E-EEA3E9A60AF1}" name="Column84" dataDxfId="277"/>
    <tableColumn id="85" xr3:uid="{FE0FE572-4AFE-4B03-A12E-3E0300D8802D}" name="Column85" dataDxfId="276"/>
    <tableColumn id="86" xr3:uid="{C9F1E9E5-A7A1-4A22-B919-85DE2E9C1D05}" name="Column86" dataDxfId="275"/>
    <tableColumn id="87" xr3:uid="{DD37CA24-6ABF-4B90-8147-134EE7B02482}" name="Column87" dataDxfId="274"/>
    <tableColumn id="88" xr3:uid="{A1378C5D-D00C-4259-B1BB-F2007C6B1EA0}" name="Column88" dataDxfId="273"/>
    <tableColumn id="89" xr3:uid="{6760B4AA-6871-476A-A131-78E85DDB6F99}" name="Column89" dataDxfId="272"/>
    <tableColumn id="90" xr3:uid="{94919DA5-218D-40EA-B483-0C9907B593D2}" name="Column90" dataDxfId="271"/>
    <tableColumn id="91" xr3:uid="{3839654F-5177-4CEE-9D01-06BD494575F4}" name="Column91" dataDxfId="270"/>
    <tableColumn id="92" xr3:uid="{0D376EA4-61B4-40CF-977E-4FE742F4C217}" name="Column92" dataDxfId="269"/>
    <tableColumn id="93" xr3:uid="{DD256CCB-1590-40E8-B225-8DEE1F567453}" name="Column93" dataDxfId="268"/>
    <tableColumn id="94" xr3:uid="{E0559FA1-3C34-4708-A741-8166088B3373}" name="Column94" dataDxfId="267"/>
    <tableColumn id="95" xr3:uid="{C3B22F22-C403-4FAA-A1E1-6F07F13C090A}" name="Column95" dataDxfId="266"/>
    <tableColumn id="96" xr3:uid="{D65B62A9-7A61-4A55-B761-EEA7EDDD8165}" name="Column96" dataDxfId="265"/>
    <tableColumn id="97" xr3:uid="{A2F55BD6-CCAD-4759-8A87-6AAA8BCA4B13}" name="Column97" dataDxfId="264"/>
    <tableColumn id="98" xr3:uid="{6F054920-6EB8-4EEA-9CCC-E947421B1E19}" name="Column98" dataDxfId="263"/>
    <tableColumn id="99" xr3:uid="{EEDB27C3-1355-4862-99D9-84A9EC7739D7}" name="Column99" dataDxfId="262"/>
    <tableColumn id="100" xr3:uid="{0FF79F7E-2711-4F5B-A028-55B4B4CC48CA}" name="Column100" dataDxfId="261"/>
    <tableColumn id="101" xr3:uid="{680AE45F-24CD-4726-B7FB-668F3CCF1E8D}" name="Column101" dataDxfId="260"/>
    <tableColumn id="102" xr3:uid="{156232BC-D408-4CA9-9313-A36B19BF9477}" name="Column102" dataDxfId="259"/>
    <tableColumn id="103" xr3:uid="{4048F561-08AE-4D10-9FA9-0C93DD3E5251}" name="Column103" dataDxfId="258"/>
    <tableColumn id="104" xr3:uid="{337DC6AB-7712-4445-9408-EE30127B29D3}" name="Column104" dataDxfId="257"/>
    <tableColumn id="105" xr3:uid="{0068EC0D-E689-42DB-972C-6EE51911C55A}" name="Column105" dataDxfId="256"/>
    <tableColumn id="106" xr3:uid="{889EB597-A0ED-4E13-8300-9D9A405299B6}" name="Column106" dataDxfId="255"/>
    <tableColumn id="107" xr3:uid="{58229506-3078-435E-BB8F-A3DF060F5EBA}" name="Column107" dataDxfId="254"/>
    <tableColumn id="108" xr3:uid="{791B1479-5B24-4B08-BACF-99C3631DB77C}" name="Column108" dataDxfId="253"/>
    <tableColumn id="109" xr3:uid="{2FAD8B49-F9A4-47CD-A660-B5C5C333762D}" name="Column109" dataDxfId="252"/>
    <tableColumn id="110" xr3:uid="{A8D7F513-801D-45E8-BF76-547D025BD203}" name="Time to event (in months)" dataDxfId="251"/>
    <tableColumn id="111" xr3:uid="{86612ADE-DA6F-47B7-B2E4-474A6ECDC1AE}" name="Column110" dataDxfId="250"/>
    <tableColumn id="112" xr3:uid="{41FDD9EE-E879-4033-A4C8-1AE1EAA82E74}" name="Column111" dataDxfId="249"/>
    <tableColumn id="113" xr3:uid="{6C1B5B3B-2058-43C8-A975-5F1984C5608E}" name="Column112" dataDxfId="248"/>
    <tableColumn id="114" xr3:uid="{3ED410CC-71E8-429B-B56A-ED3DC1549926}" name="Column113" dataDxfId="247"/>
    <tableColumn id="115" xr3:uid="{4C87428F-97FC-4E20-B651-12EF743C3DB5}" name="Column114" dataDxfId="246"/>
    <tableColumn id="116" xr3:uid="{1B20E867-24A7-4E53-B43E-4C42531A3807}" name="Column115" dataDxfId="245"/>
    <tableColumn id="117" xr3:uid="{B23B27BE-CE57-4188-96DD-060D53E8433B}" name="Column116" dataDxfId="244"/>
    <tableColumn id="118" xr3:uid="{C9D98198-C172-4363-9ACD-9A2BD83020A5}" name="Column117" dataDxfId="243"/>
    <tableColumn id="119" xr3:uid="{D2BDB19D-5A62-49C8-9F0D-2D7A35386E8F}" name="Column118" dataDxfId="242"/>
    <tableColumn id="120" xr3:uid="{94954186-4D71-448F-9876-F83A7AEF4378}" name="Column119" dataDxfId="241"/>
    <tableColumn id="121" xr3:uid="{4CE7AB5C-D54B-4268-88B6-3EA3B6047B3D}" name="Column120" dataDxfId="240"/>
    <tableColumn id="122" xr3:uid="{1641A6CF-0BA8-4D05-A986-858211A0FBBA}" name="Column121" dataDxfId="239"/>
    <tableColumn id="123" xr3:uid="{22539E34-0E3C-410A-9366-E362E891BBAF}" name="Column122" dataDxfId="238"/>
    <tableColumn id="124" xr3:uid="{74614E85-1B9F-40E2-8AFA-7E8BAC3FFA65}" name="Column123" dataDxfId="237"/>
    <tableColumn id="125" xr3:uid="{ACE82C7B-398C-4FA4-941E-FC1802B35B06}" name="Column124" dataDxfId="236"/>
    <tableColumn id="126" xr3:uid="{0AAC8477-490A-4389-BB0A-452B654B4033}" name="Column125" dataDxfId="235"/>
    <tableColumn id="127" xr3:uid="{74B20CEE-69FF-4E9D-9088-23537665DCCA}" name="Column126" dataDxfId="234"/>
    <tableColumn id="128" xr3:uid="{86A82CF0-D461-49DF-8E0E-400B897E5BC8}" name="Column127" dataDxfId="233"/>
    <tableColumn id="129" xr3:uid="{1D06B3CF-D48E-423A-B357-3B669726BDE5}" name="Column128" dataDxfId="232"/>
    <tableColumn id="130" xr3:uid="{C899D464-E74A-4712-9B24-5F847744DD75}" name="Column129" dataDxfId="231"/>
    <tableColumn id="131" xr3:uid="{AA287D49-CCCF-4779-B894-A029FF2EB410}" name="Column130" dataDxfId="230"/>
    <tableColumn id="132" xr3:uid="{7B727E1D-D70D-4C7E-8B4A-69D80D5B199F}" name="Column131" dataDxfId="229"/>
    <tableColumn id="133" xr3:uid="{7F4F6E33-68A0-4F42-8E6B-A68B8EDD9662}" name="Column132" dataDxfId="228"/>
    <tableColumn id="134" xr3:uid="{A888F513-2C1A-4E5F-B353-1C7D31955B68}" name="Column133" dataDxfId="227"/>
    <tableColumn id="135" xr3:uid="{0FF35D17-1F30-42F3-A9DB-DD85655D0C55}" name="Column134" dataDxfId="226"/>
    <tableColumn id="136" xr3:uid="{163D25C6-B728-4AA8-B284-EE8EF32732D1}" name="Column135" dataDxfId="225"/>
    <tableColumn id="137" xr3:uid="{5116A39C-D3C4-44F2-95DC-361B838C3F94}" name="Column136" dataDxfId="224"/>
    <tableColumn id="138" xr3:uid="{990D90A6-98CE-4237-B1ED-6F5CC5197088}" name="Column137" dataDxfId="223"/>
    <tableColumn id="139" xr3:uid="{926B7F3C-EAAF-42C0-AB1A-18EE9802A26B}" name="Column138" dataDxfId="222"/>
    <tableColumn id="140" xr3:uid="{7699921A-4BA8-47ED-95E0-AC07AE6A67AA}" name="Column139" dataDxfId="221"/>
    <tableColumn id="141" xr3:uid="{AFB5124B-FE00-48EB-B6E4-9FE219B9765C}" name="Column140" dataDxfId="220"/>
    <tableColumn id="142" xr3:uid="{239F4560-E9D2-4BD7-A8AB-FF9AAB45AA7C}" name="Column141" dataDxfId="219"/>
    <tableColumn id="143" xr3:uid="{D943F045-B384-4037-BCEE-6591F7D1E6CC}" name="Column142" dataDxfId="218"/>
    <tableColumn id="144" xr3:uid="{E8FFABE5-5A7E-4794-A74A-773F6D96C1EE}" name="Column143" dataDxfId="217"/>
    <tableColumn id="145" xr3:uid="{8932BDEE-E374-4AB1-9684-EE10D0A85B8F}" name="Column144" dataDxfId="216"/>
    <tableColumn id="146" xr3:uid="{E551971A-CE46-448F-AF0F-422AD75D6D3D}" name="Column145" dataDxfId="215"/>
    <tableColumn id="147" xr3:uid="{C03A1C34-54E7-4150-9FE5-565476776D4F}" name="Column146" dataDxfId="214"/>
    <tableColumn id="148" xr3:uid="{6629CBD7-801A-42D8-ACA6-8FBFFCA6BBC4}" name="Column147" dataDxfId="213"/>
    <tableColumn id="149" xr3:uid="{421DACA6-BF20-4264-9AAF-61F284E4CEE4}" name="Column148" dataDxfId="212"/>
    <tableColumn id="150" xr3:uid="{6A1EC268-391D-4205-A781-8DA54D3F3EBB}" name="Column149" dataDxfId="211"/>
    <tableColumn id="151" xr3:uid="{8E59E4DC-5E37-4BEC-A002-68DEA460427A}" name="Column150" dataDxfId="210"/>
    <tableColumn id="152" xr3:uid="{B606669D-DBE7-4E83-A831-3DDCBC477691}" name="Column151" dataDxfId="209"/>
    <tableColumn id="153" xr3:uid="{ED79597C-6031-45B8-88DB-EE7C6FE28088}" name="Column152" dataDxfId="208"/>
    <tableColumn id="154" xr3:uid="{FA1206DA-8ED7-436A-91C7-7C2B90DCD8C9}" name="Column153" dataDxfId="207"/>
    <tableColumn id="155" xr3:uid="{909CD427-8AE1-4775-A217-8774C99730F8}" name="Column154" dataDxfId="206"/>
    <tableColumn id="156" xr3:uid="{0666201A-3845-4867-B4AD-48A49E13BD04}" name="Column155" dataDxfId="205"/>
    <tableColumn id="157" xr3:uid="{046DEC07-F99C-40F0-9AF3-1B3BAC153D5D}" name="Column156" dataDxfId="204"/>
    <tableColumn id="158" xr3:uid="{6FD4AAE8-6F57-4068-93E4-3A9F349E9F3E}" name="Column157" dataDxfId="203"/>
    <tableColumn id="159" xr3:uid="{0BB587A1-7B7B-4415-94CC-63ED3B7B9C04}" name="Column158" dataDxfId="202"/>
    <tableColumn id="160" xr3:uid="{73D66C9B-389B-4B9D-813D-74948E922335}" name="Column159" dataDxfId="201"/>
    <tableColumn id="161" xr3:uid="{67857325-D0E3-4B45-9BB4-424B13DDF609}" name="Column160" dataDxfId="200"/>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B4CE88-4119-4FDA-92FB-C27B78D1829C}" name="Prelim_1" displayName="Prelim_1" ref="A1:X79" totalsRowShown="0" dataDxfId="172" tableBorderDxfId="197">
  <autoFilter ref="A1:X79" xr:uid="{1FB4CE88-4119-4FDA-92FB-C27B78D1829C}"/>
  <tableColumns count="24">
    <tableColumn id="1" xr3:uid="{AA79DD78-26E8-4E3F-9570-CFE442AAFF1F}" name="Specimen is a recurrence (Y/N)" dataDxfId="196"/>
    <tableColumn id="2" xr3:uid="{EDE52A0D-72A8-45F8-A03E-74B3FFB98A49}" name="Selected specimen Anonymised ID" dataDxfId="195"/>
    <tableColumn id="3" xr3:uid="{C0051687-7415-4A80-A471-2C39F2639386}" name="Specimen Block number" dataDxfId="194"/>
    <tableColumn id="4" xr3:uid="{C77117E2-FC8B-4652-98F3-17D2CCF41B9B}" name="Specimen Surgery Date (DD/MM/YYYY)" dataDxfId="193">
      <calculatedColumnFormula>IFERROR("Q" &amp;INT((MONTH('Follow up (ship 1)'!F5)+2)/3) &amp; "-" &amp; YEAR('Follow up (ship 1)'!F5),"N/A")</calculatedColumnFormula>
    </tableColumn>
    <tableColumn id="5" xr3:uid="{5B96E4AB-BE86-417F-A6D9-5DF885A11EA0}" name="Anonymized ID Normal tissue" dataDxfId="192"/>
    <tableColumn id="6" xr3:uid="{1B90E1BE-30D2-4634-868C-4111EFF0BA1E}" name="Matched Normal tissue Block Number" dataDxfId="191"/>
    <tableColumn id="7" xr3:uid="{0184D8D3-A881-4051-BCB0-7808B17169C2}" name="Matched Normal tissue Site" dataDxfId="190"/>
    <tableColumn id="8" xr3:uid="{FB665434-E84A-4381-9F52-FB00108F00C3}" name="Matched Normal tissue Surgery Date (DD/MM/YY)" dataDxfId="189">
      <calculatedColumnFormula>IFERROR("Q" &amp;INT((MONTH('Follow up (ship 1)'!J5)+2)/3) &amp; "-" &amp; YEAR('Follow up (ship 1)'!J5),"N/A")</calculatedColumnFormula>
    </tableColumn>
    <tableColumn id="9" xr3:uid="{857250F6-5BC1-4672-9416-6C44BCFC278C}" name="Specimen surgery" dataDxfId="188"/>
    <tableColumn id="10" xr3:uid="{5A6DFE33-BCE8-4AF5-A60F-6B2B53561D9A}" name="Specimen tumour site" dataDxfId="187"/>
    <tableColumn id="11" xr3:uid="{856C1886-5ECA-4F98-B309-92BA8670D0E1}" name="Primary tumour site" dataDxfId="186"/>
    <tableColumn id="12" xr3:uid="{E356A3DA-EE78-4150-B310-2C5429D07BE7}" name="Gender" dataDxfId="185"/>
    <tableColumn id="13" xr3:uid="{302EFD3B-D03E-4E19-BF8F-418B6831DF4A}" name="Date of DX (DD/MM/YYYY)" dataDxfId="184">
      <calculatedColumnFormula>IFERROR("Q" &amp;INT((MONTH('Follow up (ship 1)'!P5)+2)/3) &amp; "-" &amp; YEAR('Follow up (ship 1)'!P5),"N/A")</calculatedColumnFormula>
    </tableColumn>
    <tableColumn id="14" xr3:uid="{92FD5C05-D248-427F-9BA6-82A624DABF4D}" name="Age at Diagnosis (years)" dataDxfId="183"/>
    <tableColumn id="15" xr3:uid="{D8A99EDB-447D-4AEB-8CA0-180B7D7B906C}" name="Specimen Histological Diagnosis" dataDxfId="182"/>
    <tableColumn id="16" xr3:uid="{6EA9FFF4-A4F1-4009-9236-93B856B89AC1}" name="Resection margins clear (Y/N)" dataDxfId="181"/>
    <tableColumn id="17" xr3:uid="{D0C087E9-B9C1-4C21-9C9F-E431F681D699}" name="pT" dataDxfId="180"/>
    <tableColumn id="18" xr3:uid="{DD8E22BF-6A26-4D80-9CCA-4EB55419DB2A}" name="pN" dataDxfId="179"/>
    <tableColumn id="19" xr3:uid="{8677F719-8A5B-4EB2-94EF-A2BC6245ACB3}" name="pM" dataDxfId="178"/>
    <tableColumn id="20" xr3:uid="{EE75C4DE-3BD6-4C1E-AA6B-BA2760FD0E70}" name="cM" dataDxfId="177"/>
    <tableColumn id="21" xr3:uid="{9110912A-4D8E-4925-9500-23C7E4E54673}" name="FIGO Grade" dataDxfId="176"/>
    <tableColumn id="22" xr3:uid="{D19CD9EA-A06A-4331-BB7F-1D5C80AEE2E8}" name="Grade" dataDxfId="175"/>
    <tableColumn id="23" xr3:uid="{BFF029BE-CFAD-464E-95A7-1EBDB68B4A2B}" name="TNM stage" dataDxfId="174"/>
    <tableColumn id="24" xr3:uid="{0C073415-F9F2-4C99-AD20-61C500195A49}" name="Stage at DX (AJCC)" dataDxfId="173"/>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036FCB6-F71C-4272-AC3A-CDFD712347CE}" name="FollowUp_2" displayName="FollowUp_2" ref="A1:EV90" totalsRowShown="0" tableBorderDxfId="171">
  <autoFilter ref="A1:EV90" xr:uid="{6036FCB6-F71C-4272-AC3A-CDFD712347CE}"/>
  <tableColumns count="152">
    <tableColumn id="1" xr3:uid="{5B9D7E1C-4666-4496-A7D5-77951CA4BA61}" name="NHS" dataDxfId="170"/>
    <tableColumn id="2" xr3:uid="{89807607-CBA4-4DDF-A35A-CC0487A661B3}" name="Any Immunotherapy" dataDxfId="169"/>
    <tableColumn id="3" xr3:uid="{28871205-C870-4F22-A3B2-24C2D994BF8A}" name="Specimen is a recurrence (Y/N)" dataDxfId="168"/>
    <tableColumn id="4" xr3:uid="{FBF74153-06B5-49EC-B05A-066B9C1A7D00}" name="Specimen IO naive (Y/N)" dataDxfId="167"/>
    <tableColumn id="5" xr3:uid="{1E075C49-947C-40E2-A6CF-AC73C720E805}" name="Selected specimen Anonymised ID" dataDxfId="166"/>
    <tableColumn id="6" xr3:uid="{98EBC2E9-277C-41C4-9D1B-747FCFC5CE87}" name="Specimen Block number" dataDxfId="165"/>
    <tableColumn id="7" xr3:uid="{3C93B91F-7D45-48A4-8FEF-467210552930}" name="Specimen Surgery Date (DD/MM/YYYY)" dataDxfId="164"/>
    <tableColumn id="8" xr3:uid="{77406A28-DA1B-4337-8739-67EC1AE05C22}" name="Specimen surgery" dataDxfId="163"/>
    <tableColumn id="9" xr3:uid="{C0BBF7BD-C20F-4194-8DC1-EFEA6B2CF090}" name="Specimen tumour site" dataDxfId="162"/>
    <tableColumn id="10" xr3:uid="{A6FB94EE-1513-4500-8DDF-EAE3AFB90624}" name="Primary tumour site" dataDxfId="161"/>
    <tableColumn id="11" xr3:uid="{915E737F-836D-4EC1-A12A-4667D1C6C28C}" name="Gender" dataDxfId="160"/>
    <tableColumn id="12" xr3:uid="{34CCE85D-EE04-4F39-B4D2-A19CBB6E328F}" name="DOB (DD/MM/YYYY)" dataDxfId="159"/>
    <tableColumn id="13" xr3:uid="{6844D44F-ED65-46E5-A977-A6474FDA2CF0}" name="Date of DX (DD/MM/YYYY)" dataDxfId="158"/>
    <tableColumn id="14" xr3:uid="{A73FA4FD-6951-4175-9C16-29E0BD10B09E}" name="Age at Diagnosis (years)" dataDxfId="157">
      <calculatedColumnFormula>DATEDIF(L2, M2,"Y")</calculatedColumnFormula>
    </tableColumn>
    <tableColumn id="15" xr3:uid="{8569BD42-FC33-43A9-BA05-1F65BE030E3A}" name="Specimen Histological Diagnosis" dataDxfId="156"/>
    <tableColumn id="16" xr3:uid="{D3040D48-631C-4A65-B620-9C77A203446B}" name="Resection margins clear (Y/N)" dataDxfId="155"/>
    <tableColumn id="17" xr3:uid="{24A497D0-B16E-448D-B9E1-2722D9B8A0F8}" name="FIGO Grade" dataDxfId="154"/>
    <tableColumn id="18" xr3:uid="{BC8D5DA5-5F5D-499E-8675-3AE01A5FBFC0}" name="Stage at DX (FIGO)" dataDxfId="153"/>
    <tableColumn id="19" xr3:uid="{D4CE558B-5A8E-420D-9B91-3F0F0CF1A01B}" name="Neoadjuvant therapy (Y/N)" dataDxfId="152"/>
    <tableColumn id="20" xr3:uid="{1A53BFB2-F7E6-4D81-A1B9-EDF0777B606C}" name="Response to neoadjuvant therapy (TRS score)" dataDxfId="151"/>
    <tableColumn id="21" xr3:uid="{C63573D9-1948-4EC4-9B9C-E76EABEFFC27}" name="Neoadjuvant radioTx" dataDxfId="150"/>
    <tableColumn id="22" xr3:uid="{891DC84E-CD31-4B03-A1B2-B37D8C9B472C}" name="Start Date" dataDxfId="149"/>
    <tableColumn id="23" xr3:uid="{083AB219-20E9-4B32-B4C0-EBBDC8CD701E}" name="End Date" dataDxfId="148"/>
    <tableColumn id="24" xr3:uid="{AC3F56DA-C76F-4278-8B7E-CC0005DE2E2D}" name="Tumour response" dataDxfId="147"/>
    <tableColumn id="25" xr3:uid="{1BE0C40C-E9E3-4EE9-A3E5-CF7A37A59141}" name="Neoadjuvant chemo Tx1" dataDxfId="146"/>
    <tableColumn id="26" xr3:uid="{2ED2910F-AA71-40E2-B70B-60EDA7565C00}" name="Start Date2" dataDxfId="145"/>
    <tableColumn id="27" xr3:uid="{CEDDF7D5-656C-4A7D-BA4C-6A5116CA7B2B}" name="End Date3" dataDxfId="144"/>
    <tableColumn id="28" xr3:uid="{47B335FF-80ED-415D-A239-DEB7A4F4B7F7}" name="Tumour response4" dataDxfId="143"/>
    <tableColumn id="29" xr3:uid="{E32981F6-C060-447A-8EA3-164D33A0D5E4}" name="Neoadjuvant chemo Tx2" dataDxfId="142"/>
    <tableColumn id="30" xr3:uid="{E6FDC482-7D9A-4EB5-A456-49F60A1C3725}" name="Start Date5" dataDxfId="141"/>
    <tableColumn id="31" xr3:uid="{1B356515-38D0-4D4E-AB00-34B36428C243}" name="End Date6" dataDxfId="140"/>
    <tableColumn id="32" xr3:uid="{4CBEAF73-F63C-4AB2-94F4-6BADB8AEBAF9}" name="Tumour response7" dataDxfId="139"/>
    <tableColumn id="33" xr3:uid="{200B644D-5313-4603-B864-0AD05CD1CF69}" name="Neoadjuvant chemoTx 3" dataDxfId="138"/>
    <tableColumn id="34" xr3:uid="{9D08C266-5789-47CC-94B7-F792CC3E2070}" name="Start Date8" dataDxfId="137"/>
    <tableColumn id="35" xr3:uid="{1F00F847-5AF1-4D2C-9AE1-E0CDA1F0B00E}" name="End Date9" dataDxfId="136"/>
    <tableColumn id="36" xr3:uid="{972BB45E-874E-4351-8ABE-E2DEE3A6CCC8}" name="Tumour response10" dataDxfId="135"/>
    <tableColumn id="37" xr3:uid="{FD31D0DB-19D1-45E6-BC30-F0FEC4F2E6F5}" name="Neoadjuvant Immunotherapy Tx 1" dataDxfId="134"/>
    <tableColumn id="38" xr3:uid="{6A6C0DFD-0D77-454C-A529-05ACBE203AB9}" name="Start Date11" dataDxfId="133"/>
    <tableColumn id="39" xr3:uid="{F33EF289-251F-4BD9-A543-3BBF5E67AF44}" name="End Date12" dataDxfId="132"/>
    <tableColumn id="40" xr3:uid="{4FC5CE30-0F25-4652-8655-854DBD1F10C4}" name="Tumour response13" dataDxfId="131"/>
    <tableColumn id="41" xr3:uid="{20DFE947-A263-4902-9216-69B0FE8D55B6}" name="Neoadjuvant Immunotherapy Tx 2" dataDxfId="130"/>
    <tableColumn id="42" xr3:uid="{0833E320-C273-407F-BF62-6B3CE630FBCD}" name="Start Date14" dataDxfId="129"/>
    <tableColumn id="43" xr3:uid="{59A48C00-378A-4BF7-B9B3-D65EE4A3F7D6}" name="End Date15" dataDxfId="128"/>
    <tableColumn id="44" xr3:uid="{D280D0CC-A8FF-40A4-9C52-9656EFE7651C}" name="Tumour response16" dataDxfId="127"/>
    <tableColumn id="45" xr3:uid="{85171F7A-721E-4C75-9DFD-1031D990EAE5}" name="Adjuvant radio Tx 1" dataDxfId="126"/>
    <tableColumn id="46" xr3:uid="{AFCA9F38-7122-4226-8A67-49AB845EE728}" name="Start Date " dataDxfId="125"/>
    <tableColumn id="47" xr3:uid="{A29C92C5-C0B0-42CF-85DE-00D90A49D1A7}" name="End Date17" dataDxfId="124"/>
    <tableColumn id="48" xr3:uid="{36B921B6-DF8D-43FB-B920-5C172937C1C0}" name="Adjuvant ChemoTx 1" dataDxfId="123"/>
    <tableColumn id="49" xr3:uid="{CCFF4F44-CB49-45AE-B396-47EC5A9A196B}" name="Start Date18" dataDxfId="122"/>
    <tableColumn id="50" xr3:uid="{7EBE9EC2-EB93-49DF-8EE0-AE97EB8C4C36}" name="End Date19" dataDxfId="121"/>
    <tableColumn id="51" xr3:uid="{9133DF74-6FA7-49A3-BC14-DB4A5D1CAF1F}" name="Tumour response20" dataDxfId="120"/>
    <tableColumn id="52" xr3:uid="{79C421C4-1D25-4EC9-9191-50435C4FFE72}" name="Adjuvant ChemoTx  2" dataDxfId="119"/>
    <tableColumn id="53" xr3:uid="{358B6C3F-4008-4D11-80CB-C8347526C12B}" name="Start Date21" dataDxfId="118"/>
    <tableColumn id="54" xr3:uid="{27820998-E118-4467-ABCD-DEC2E1539D29}" name="End Date22" dataDxfId="117"/>
    <tableColumn id="55" xr3:uid="{17470B6A-438E-4DEC-A84A-07F78AFCBF1B}" name="Tumour response " dataDxfId="116"/>
    <tableColumn id="56" xr3:uid="{A96F6AB7-639A-48B9-B4B5-D48E8A1C4B03}" name="Adjuvant ChemoTx  3" dataDxfId="115"/>
    <tableColumn id="57" xr3:uid="{ABA66CC3-29BA-4260-A653-18AFAE8B754D}" name="Start Date23" dataDxfId="114"/>
    <tableColumn id="58" xr3:uid="{0FA36C5A-1E11-456B-B709-9AADFCFD24E0}" name="End Date24" dataDxfId="113"/>
    <tableColumn id="59" xr3:uid="{87F84B47-D850-42B3-94CB-9FEE35E3D5AD}" name="Tumour response25" dataDxfId="112"/>
    <tableColumn id="60" xr3:uid="{B7A369FA-454A-490D-81F3-821DB7DA4DC2}" name="Adjuvant Imunnotherapy Tx1" dataDxfId="111"/>
    <tableColumn id="61" xr3:uid="{85DB4B00-11A0-4956-B897-3651F897D082}" name="Start Date26" dataDxfId="110"/>
    <tableColumn id="62" xr3:uid="{FE1F6E81-82BB-4D58-8840-3146BD7C9AD3}" name="End Date27" dataDxfId="109"/>
    <tableColumn id="63" xr3:uid="{90E3452B-2224-4F16-B6F5-60FB5C6B4367}" name="Tumour response 28" dataDxfId="108"/>
    <tableColumn id="64" xr3:uid="{18DEE81C-3948-4860-A46A-736B49913C63}" name="Date relapse/ progression 1" dataDxfId="107"/>
    <tableColumn id="65" xr3:uid="{CC7F6E72-FBB0-4AE5-A638-0C713852A67A}" name="Sites relapse/ progression 1" dataDxfId="106"/>
    <tableColumn id="66" xr3:uid="{26DC020A-D954-46E6-9586-79FCE2C5BA84}" name="Date relapse/ progression 2" dataDxfId="105"/>
    <tableColumn id="67" xr3:uid="{80CB1F9D-062F-42D3-A912-1A46B3382095}" name="Sites relapse/ progression 2" dataDxfId="104"/>
    <tableColumn id="68" xr3:uid="{AE126AC5-00F8-48F0-B521-256BE1F14FB6}" name="Date relapse/ progression 3" dataDxfId="103"/>
    <tableColumn id="69" xr3:uid="{E23D1E5D-7E31-4F85-812B-16EDB29DBBE2}" name="Sites relapse/ progression 3" dataDxfId="102"/>
    <tableColumn id="70" xr3:uid="{213086BD-159B-46EA-A71F-2E51B69F18A2}" name="Date relapse/ progression 4" dataDxfId="101"/>
    <tableColumn id="71" xr3:uid="{A4A3094F-31E7-4970-89B9-A3E8BEB17AB4}" name="Sites relapse/ progression 4" dataDxfId="100"/>
    <tableColumn id="72" xr3:uid="{448FE690-9A58-4A06-A91C-588E4193F52B}" name="Date relapse/ progression 5" dataDxfId="99"/>
    <tableColumn id="73" xr3:uid="{52DE902B-2DBF-4203-B907-7498BD2CFCD7}" name="Sites relapse/ progression 5" dataDxfId="98"/>
    <tableColumn id="74" xr3:uid="{F816BF28-C5E0-442B-B113-7AEA44624F27}" name="Date relapse/ progression 6" dataDxfId="97"/>
    <tableColumn id="75" xr3:uid="{66C03B6C-9DB1-4B03-862B-E99A4B111DEB}" name="Sites relapse/ progression 6" dataDxfId="96"/>
    <tableColumn id="76" xr3:uid="{1C5F5DB0-C1D8-48A9-B4A6-0EE56C212617}" name="Date relapse/ progression 7" dataDxfId="95"/>
    <tableColumn id="77" xr3:uid="{A10D1ECA-3021-48AA-9389-DB306F31D356}" name="Sites relapse/ progression 7" dataDxfId="94"/>
    <tableColumn id="78" xr3:uid="{BE9117C5-376C-4A2C-85B9-5E0C62FFF3C0}" name="Date relapse/ progression 8" dataDxfId="93"/>
    <tableColumn id="79" xr3:uid="{38B2269D-A714-442B-959C-1BFE0521FCCA}" name="Sites relapse/ progression 8" dataDxfId="92"/>
    <tableColumn id="80" xr3:uid="{E8167453-19A4-4344-80D4-D85F9A1FD36A}" name="Date relapse/ progression 9" dataDxfId="91"/>
    <tableColumn id="81" xr3:uid="{0F913394-B79F-4612-AB61-397551905153}" name="Sites relapse/ progression 9" dataDxfId="90"/>
    <tableColumn id="82" xr3:uid="{823F0D0A-1309-449B-99CF-D52232BDB97F}" name="Metastatic/ recurrent                      Tx 1" dataDxfId="89"/>
    <tableColumn id="83" xr3:uid="{9B704453-C38F-49CD-ACC1-AC4140ED3C2B}" name="Start Date29" dataDxfId="88"/>
    <tableColumn id="84" xr3:uid="{6B447FA1-1D40-4713-B42B-C92F74C4D5EF}" name="Finish Date" dataDxfId="87"/>
    <tableColumn id="85" xr3:uid="{C57A3AA6-7153-403A-BEB5-1825859A63C7}" name="Tumour response30" dataDxfId="86"/>
    <tableColumn id="86" xr3:uid="{81ECF9DB-37B3-47B8-BC4C-573A03347BDA}" name="Metastatic/ recurrent Tx 2" dataDxfId="85"/>
    <tableColumn id="87" xr3:uid="{DA50484A-1CA7-4E65-B260-488506FF5466}" name="Start Date31" dataDxfId="84"/>
    <tableColumn id="88" xr3:uid="{4F490F44-2D74-4DD1-9BAC-1D62068E7C85}" name="Finish Date32" dataDxfId="83"/>
    <tableColumn id="89" xr3:uid="{B5F5E3F9-1FB3-469B-8629-A219E61A29F4}" name="Tumour response33" dataDxfId="82"/>
    <tableColumn id="90" xr3:uid="{C97E40B8-38C4-4307-B71D-5DF0C097D576}" name="Metastatic/ recurrent Tx 3" dataDxfId="81"/>
    <tableColumn id="91" xr3:uid="{DB23DEC4-8050-4655-B835-A3831C89CB3D}" name="Start Date34" dataDxfId="80"/>
    <tableColumn id="92" xr3:uid="{3ACFB29B-0D3D-4908-B480-B402763AFC54}" name="Finish Date35" dataDxfId="79"/>
    <tableColumn id="93" xr3:uid="{36DAC7F0-6204-4DB0-8A36-2D218CE87E07}" name="Tumour response36" dataDxfId="78"/>
    <tableColumn id="94" xr3:uid="{EF4F2DBC-9B2A-4E08-ADCC-BB2A101522A7}" name="Current Status" dataDxfId="77"/>
    <tableColumn id="95" xr3:uid="{2763B0B8-844B-4D62-A51F-0BE351B16950}" name="Death date" dataDxfId="76"/>
    <tableColumn id="96" xr3:uid="{5FB025EC-66DC-4CF2-8AE6-557E37512C61}" name="Death due to tumour/ assumed tumour related? (Y/N)" dataDxfId="75"/>
    <tableColumn id="97" xr3:uid="{716597A2-59A5-4DB4-A376-D1A97D9235EE}" name="Cause of death" dataDxfId="74"/>
    <tableColumn id="98" xr3:uid="{E544615F-8F6A-4400-B28C-B57299BEB41C}" name="Date last follow-up" dataDxfId="73"/>
    <tableColumn id="99" xr3:uid="{FEFF3DF4-CC10-4802-B38C-DAF512F11B66}" name="Date Last Seen" dataDxfId="72"/>
    <tableColumn id="100" xr3:uid="{5011EEDB-1CFA-426C-A830-F2BA366E7895}" name="Concurrent Medical Conditions" dataDxfId="71"/>
    <tableColumn id="101" xr3:uid="{3556DF5E-243C-4D32-8001-C81CBE8F0A8E}" name="Rx1 start " dataDxfId="70"/>
    <tableColumn id="102" xr3:uid="{94F8483E-C70B-4902-8CF9-EB55BA2D6D66}" name="Rx1 end " dataDxfId="69"/>
    <tableColumn id="103" xr3:uid="{1326A317-07E5-41A3-8758-0960DACCA963}" name="Chemo Tx1 start " dataDxfId="68"/>
    <tableColumn id="104" xr3:uid="{49B212A4-4C83-4631-B1A0-C919F1120A66}" name="Chemo Tx1 end " dataDxfId="67"/>
    <tableColumn id="105" xr3:uid="{7D07FDD3-1D91-4B5D-A03F-E79DC5E0A92B}" name="Chemo Tx2 start " dataDxfId="66"/>
    <tableColumn id="106" xr3:uid="{021BB369-18C7-4317-A5DF-EE8E62A873D8}" name="Chemo Tx2 end " dataDxfId="65"/>
    <tableColumn id="107" xr3:uid="{9C9E2A7D-4EF6-4F88-984C-16C440C06609}" name="Chemo Tx3 start " dataDxfId="64"/>
    <tableColumn id="108" xr3:uid="{30648221-94BE-41CF-B619-017BC62D590B}" name="Chemo Tx3 end " dataDxfId="63"/>
    <tableColumn id="109" xr3:uid="{6A87E0DF-F43B-4B89-BBBC-CA12FF36DB9E}" name="Immunotherapy Tx1 start" dataDxfId="62"/>
    <tableColumn id="110" xr3:uid="{D3C16BF9-2D4F-4E2F-AE96-CEA5063BE208}" name="Immunotherapy Tx1 end " dataDxfId="61"/>
    <tableColumn id="111" xr3:uid="{41E2488D-7139-4E48-92A2-D2C3F2103814}" name="Immunotherapy Tx2 start" dataDxfId="60"/>
    <tableColumn id="112" xr3:uid="{D28AA400-373F-4B48-938A-F46A541D2322}" name="Immunotherapy Tx2 end " dataDxfId="59"/>
    <tableColumn id="113" xr3:uid="{D5C2B8DE-605E-4D39-A941-ACBA6EF438E0}" name="Specimen surgery37" dataDxfId="58"/>
    <tableColumn id="114" xr3:uid="{08BA0428-7352-4260-BF55-B837109B5475}" name="Matched met 1 surgery" dataDxfId="57"/>
    <tableColumn id="115" xr3:uid="{CC594270-5D72-4BE1-952B-AFBFC8F8EA99}" name="Matched met 2 surgery " dataDxfId="56"/>
    <tableColumn id="116" xr3:uid="{12956238-A1CD-4EBD-B4B6-1EB68E1DCC0F}" name="Normal tissue surgery " dataDxfId="55"/>
    <tableColumn id="117" xr3:uid="{DF3C3D1C-BCE1-47E2-8F40-F69F8F5C99F4}" name="Adjuvant Rx1 start " dataDxfId="54"/>
    <tableColumn id="118" xr3:uid="{8F10D9B9-3C1C-43EA-BDE5-81858286FDBF}" name="Adjuvant Rx1 end " dataDxfId="53"/>
    <tableColumn id="119" xr3:uid="{5DD2DCCB-EA1C-4568-93C4-47FF9C3335C1}" name="Adjuvant Chemo Tx1 start " dataDxfId="52"/>
    <tableColumn id="120" xr3:uid="{27BBE5D2-48D6-430A-9EFE-8565D2A17AC8}" name="Adjuvant Chemo Tx1 end" dataDxfId="51"/>
    <tableColumn id="121" xr3:uid="{8B253A78-D704-4724-B9D9-46516614C028}" name="Adjuvant Chemo Tx2 start " dataDxfId="50"/>
    <tableColumn id="122" xr3:uid="{A6B5518C-5F41-4F66-8806-B99730850E0D}" name="Adjuvant Chemo Tx2 end" dataDxfId="49"/>
    <tableColumn id="123" xr3:uid="{1E06BA9C-7C61-4AD1-94B8-94C371D8E328}" name="Adjuvant Chemo Tx3 start " dataDxfId="48"/>
    <tableColumn id="124" xr3:uid="{9ABE8CDF-7A52-4E45-9023-257DBFC85052}" name="Adjuvant Chemo Tx3 end" dataDxfId="47"/>
    <tableColumn id="125" xr3:uid="{DF6E5E60-8FFA-4FA3-B15F-37B6841E24C0}" name="Immunotherapy Tx1 start38" dataDxfId="46"/>
    <tableColumn id="126" xr3:uid="{A9BDDE00-35DD-474B-AEF6-99AA1A6DFE3C}" name="Immunotherapy Tx1 end 39" dataDxfId="45"/>
    <tableColumn id="127" xr3:uid="{3F2E098A-356F-494C-ACAE-9A99FFB99243}" name="Relapse/ progression 1" dataDxfId="44"/>
    <tableColumn id="128" xr3:uid="{AF151D41-C877-418F-8BC9-65C6EE90705D}" name="Relapse/ progression 2" dataDxfId="43"/>
    <tableColumn id="129" xr3:uid="{1CFC3A49-9750-4704-8A8A-0B5429F442DF}" name="Relapse/ progression 3" dataDxfId="42"/>
    <tableColumn id="130" xr3:uid="{715BE767-8606-4488-9A20-7DB91672CD8B}" name="Relapse/ progression 4" dataDxfId="41"/>
    <tableColumn id="131" xr3:uid="{FDE08AB8-A4F0-402F-A124-0D2333D1F4B9}" name="Relapse/ progression 5" dataDxfId="40"/>
    <tableColumn id="132" xr3:uid="{489B4E84-4AD1-4EBE-884E-7DC9EB086949}" name="Relapse/ progression 6" dataDxfId="39"/>
    <tableColumn id="133" xr3:uid="{BD2D07F3-FD4C-48BE-9188-DB58522B156F}" name="Relapse/ progression 7" dataDxfId="38"/>
    <tableColumn id="134" xr3:uid="{A257ECBA-38CE-47A4-A924-59C06D917BC0}" name="Relapse/ progression 8" dataDxfId="37"/>
    <tableColumn id="135" xr3:uid="{F57F106A-B6AF-437A-98B3-5F1CC691B246}" name="Relapse/ progression 9" dataDxfId="36"/>
    <tableColumn id="136" xr3:uid="{50BAEBEF-CE4C-4B14-837F-FF47430181FF}" name="Metastatic Tx1 start " dataDxfId="35"/>
    <tableColumn id="137" xr3:uid="{0C6DE797-B018-4A0D-BFD0-97A9A4140F87}" name="Metastatic Tx1 end " dataDxfId="34"/>
    <tableColumn id="138" xr3:uid="{0D1E7837-21B4-4130-9725-8771A346FA45}" name="Metastatic Tx2 start " dataDxfId="33"/>
    <tableColumn id="139" xr3:uid="{453A9D10-2409-46F5-96D9-17CCBDD8648B}" name="Metastatic Tx2 end " dataDxfId="32"/>
    <tableColumn id="140" xr3:uid="{BD02EA69-382A-48FB-A521-4B5E8B3D87DE}" name="Metastatic Tx3 start " dataDxfId="31"/>
    <tableColumn id="141" xr3:uid="{7D7EEFE7-CC1F-4854-AA1A-E704578FF8E1}" name="Metastatic Tx3 end " dataDxfId="30"/>
    <tableColumn id="142" xr3:uid="{BE6D58AD-5A11-4E6D-943B-CCE7A7699EE2}" name="Recurrence (PFS)" dataDxfId="29"/>
    <tableColumn id="143" xr3:uid="{DA8F2E02-B6EB-455D-BABB-D3AA1B5DA8E6}" name="Death (OS and PFS)" dataDxfId="28"/>
    <tableColumn id="144" xr3:uid="{059EFBB2-D26A-4AAB-BE9A-DB0FC2FF97C8}" name="Date last follow-up (PFS)" dataDxfId="27"/>
    <tableColumn id="145" xr3:uid="{97C95AB0-A0E0-4CB7-864D-7C857FDAE14A}" name="Date last seen (OS)" dataDxfId="26"/>
    <tableColumn id="146" xr3:uid="{BC85FEBE-0F9E-4FC2-B3E8-2A2548F9D470}" name="Overall survival (OS) in months" dataDxfId="25"/>
    <tableColumn id="147" xr3:uid="{69BB2A1D-6F76-4163-95E7-D1970D48B053}" name="Progression free survival (PFS) in months" dataDxfId="24"/>
    <tableColumn id="148" xr3:uid="{2EBB66A8-FBC5-4311-8C94-42E1B920FBE2}" name="Event (recurrence/progression)" dataDxfId="23"/>
    <tableColumn id="149" xr3:uid="{16DE7DFC-C5E6-493B-9EB6-5EF511A9E431}" name="Event (cancer death)" dataDxfId="22"/>
    <tableColumn id="150" xr3:uid="{3C53FB47-380B-4002-B992-CC246216211F}" name="Event (death; all causes)" dataDxfId="21"/>
    <tableColumn id="151" xr3:uid="{9DA4326B-A33A-46E6-A314-0DA19117A216}" name="Event (recurrence or cancer death)" dataDxfId="20"/>
    <tableColumn id="152" xr3:uid="{1D8156AD-1F94-4A25-AE60-777B3695EBAE}" name="Comments from clinical team" dataDxfId="19"/>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4615735-9674-492F-97E7-53E0175FDC48}" name="Prelim_2" displayName="Prelim_2" ref="A1:P90" totalsRowShown="0" headerRowDxfId="0" dataDxfId="1" tableBorderDxfId="18" headerRowCellStyle="Normal 2">
  <autoFilter ref="A1:P90" xr:uid="{F4615735-9674-492F-97E7-53E0175FDC48}"/>
  <tableColumns count="16">
    <tableColumn id="1" xr3:uid="{72AEB77B-3A9A-4754-9EF5-09677EA26A99}" name="Any Immunotherapy" dataDxfId="17"/>
    <tableColumn id="2" xr3:uid="{729DD336-50E5-4A68-B4FB-CD4CFC65A7CC}" name="Specimen IO naive (Y/N)" dataDxfId="16"/>
    <tableColumn id="3" xr3:uid="{E6842113-BFA1-46E7-A15B-A21668BE1E06}" name="Specimen is a recurrence (Y/N)" dataDxfId="15"/>
    <tableColumn id="4" xr3:uid="{09DF0FEC-02D9-4F21-B2FF-C8864E31F598}" name="Selected specimen Anonymised ID" dataDxfId="14"/>
    <tableColumn id="5" xr3:uid="{B69BC03A-CBD4-4DDD-B5F9-1DBF54B6B1BE}" name="Specimen Block number" dataDxfId="13"/>
    <tableColumn id="6" xr3:uid="{ADC851EA-34F3-424B-B75C-456D80210556}" name="Specimen Surgery Date (Q/YYYY)" dataDxfId="12">
      <calculatedColumnFormula>IFERROR("Q" &amp;INT((MONTH('Follow up (ship 2)'!G2)+2)/3) &amp; "-" &amp; YEAR('Follow up (ship 2)'!G2),"N/A")</calculatedColumnFormula>
    </tableColumn>
    <tableColumn id="7" xr3:uid="{89068377-7095-40F7-9BFE-B6A51E68CBB9}" name="Specimen surgery" dataDxfId="11"/>
    <tableColumn id="8" xr3:uid="{36EFB81E-6975-4A68-A0B6-66289F0FA18C}" name="Specimen tumour site" dataDxfId="10"/>
    <tableColumn id="9" xr3:uid="{072F6A39-5876-4AEF-9E2F-7B1169D521B0}" name="Primary tumour site" dataDxfId="9"/>
    <tableColumn id="10" xr3:uid="{5A14041B-EA87-47F7-823C-20C5A0CFC1D9}" name="Gender" dataDxfId="8"/>
    <tableColumn id="11" xr3:uid="{EBFD7A95-5135-415D-A852-CAAE3EE1FEBE}" name="Date of DX (Q/YYYY)" dataDxfId="7">
      <calculatedColumnFormula>IFERROR("Q" &amp;INT((MONTH('Follow up (ship 2)'!M2)+2)/3) &amp; "-" &amp; YEAR('Follow up (ship 2)'!M2),"N/A")</calculatedColumnFormula>
    </tableColumn>
    <tableColumn id="12" xr3:uid="{88E1AA9B-5650-4ACD-AF47-186486402200}" name="Age at Diagnosis (years)" dataDxfId="6"/>
    <tableColumn id="13" xr3:uid="{B07C7C39-CEC0-49B0-9790-5A885EF709D8}" name="Specimen Histological Diagnosis" dataDxfId="5"/>
    <tableColumn id="14" xr3:uid="{C380C319-E762-4FC3-AEFF-F84111D3DBCE}" name="Resection margins clear (Y/N)" dataDxfId="4"/>
    <tableColumn id="15" xr3:uid="{4608C8B0-1E84-4384-8F9C-7609A927A4C1}" name="FIGO Grade" dataDxfId="3"/>
    <tableColumn id="16" xr3:uid="{6694FA6C-2661-4367-9420-CBBA614A496E}" name="Stage at DX (FIGO)" dataDxfId="2"/>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4" dT="2023-03-06T14:35:11.13" personId="{EE56E34F-F175-4504-94ED-43486E7AEECA}" id="{5FB08450-117C-4427-B683-1C3227880B0A}">
    <text>Add full surgery (tubes, ovaries, omentum etc)</text>
  </threadedComment>
  <threadedComment ref="Y4" dT="2023-01-11T09:12:36.55" personId="{EE56E34F-F175-4504-94ED-43486E7AEECA}" id="{E57C00A3-1A62-47DA-BFAC-2EE1394FBBBC}">
    <text>1= Well differentiated, 2= Moderately differentiated, 3 = Poorly differentiated</text>
  </threadedComment>
  <threadedComment ref="E7" dT="2023-01-06T13:23:39.86" personId="{EE56E34F-F175-4504-94ED-43486E7AEECA}" id="{406560AF-4E64-49F8-B524-500B77DFAAD0}">
    <text>Not mentioned in path report</text>
  </threadedComment>
  <threadedComment ref="H7" dT="2023-01-06T13:24:05.15" personId="{EE56E34F-F175-4504-94ED-43486E7AEECA}" id="{17614868-3B24-48DB-9095-3F60A84304B8}">
    <text>Not mentioned in path report</text>
  </threadedComment>
</ThreadedComments>
</file>

<file path=xl/threadedComments/threadedComment2.xml><?xml version="1.0" encoding="utf-8"?>
<ThreadedComments xmlns="http://schemas.microsoft.com/office/spreadsheetml/2018/threadedcomments" xmlns:x="http://schemas.openxmlformats.org/spreadsheetml/2006/main">
  <threadedComment ref="V1" dT="2023-01-11T09:12:36.55" personId="{EE56E34F-F175-4504-94ED-43486E7AEECA}" id="{21A36177-3E6F-45D9-AF46-740AA4D238A2}">
    <text>1= Well differentiated, 2= Moderately differentiated, 3 = Poorly differentiated</text>
  </threadedComment>
  <threadedComment ref="C4" dT="2023-01-06T13:23:39.86" personId="{EE56E34F-F175-4504-94ED-43486E7AEECA}" id="{6CC4C9B4-3C5A-429E-BB64-70835829AF5E}">
    <text>Not mentioned in path report</text>
  </threadedComment>
  <threadedComment ref="F4" dT="2023-01-06T13:24:05.15" personId="{EE56E34F-F175-4504-94ED-43486E7AEECA}" id="{AE820ABB-B905-42C7-8797-367D81858FFD}">
    <text>Not mentioned in path report</text>
  </threadedComment>
</ThreadedComments>
</file>

<file path=xl/threadedComments/threadedComment3.xml><?xml version="1.0" encoding="utf-8"?>
<ThreadedComments xmlns="http://schemas.microsoft.com/office/spreadsheetml/2018/threadedcomments" xmlns:x="http://schemas.openxmlformats.org/spreadsheetml/2006/main">
  <threadedComment ref="B1" dT="2023-02-21T14:03:19.94" personId="{D9C75BE5-44C4-4D6C-84DF-D183372EF0F9}" id="{8EE402BD-BF09-41C1-B4EF-EB9E06B1BC17}">
    <text>@ORSI, Nicolas (LEEDS TEACHING HOSPITALS NHS TRUST) am I right in thinking that pembro and dostarlimab have only been licensed for endometrial cancer in 2022/2023 therefore almost all of these would be a no?</text>
    <mentions>
      <mention mentionpersonId="{130CA80F-AF75-4735-9097-DAFEA62F791C}" mentionId="{5AD13797-5073-4525-8124-ECE2A4628AC9}" startIndex="0" length="51"/>
    </mentions>
  </threadedComment>
  <threadedComment ref="O1" dT="2023-03-06T14:34:55.27" personId="{EE56E34F-F175-4504-94ED-43486E7AEECA}" id="{0CA4883F-DB17-4098-B3AE-3D94C4E70DE5}">
    <text>Add full surgery (tubes, ovaries, omentum etc)</text>
  </threadedComment>
  <threadedComment ref="P2" dT="2023-02-21T10:20:25.16" personId="{D9C75BE5-44C4-4D6C-84DF-D183372EF0F9}" id="{E3911E3D-69D1-488F-B17A-AAACCA6EBBD1}">
    <text>"6mm from serosa"</text>
  </threadedComment>
  <threadedComment ref="Q2" dT="2023-03-02T15:32:36.80" personId="{D9C75BE5-44C4-4D6C-84DF-D183372EF0F9}" id="{3FDF02E3-B17A-4C75-9FAE-B7BCE3B8EEAB}">
    <text>"grade 3 endometrioid
adenocarcinoma"</text>
  </threadedComment>
  <threadedComment ref="M3" dT="2023-02-23T16:04:11.90" personId="{D9C75BE5-44C4-4D6C-84DF-D183372EF0F9}" id="{4034D298-F40D-45CB-9A5B-86A51B0857E5}">
    <text>MDT review of foreign films - MRI from bradford - 
"G3 adenoca endometrium
Bradford MR 22.3.18
dumb-bell shaped tumour extending into cervix and onto vagina.
no nodes
kidneys not obstructed"</text>
  </threadedComment>
  <threadedComment ref="P3" dT="2023-02-21T10:36:45.33" personId="{D9C75BE5-44C4-4D6C-84DF-D183372EF0F9}" id="{4F56BDA9-1DED-4BE0-A527-7688031E7E32}">
    <text>"At least 2.8mm of uninvolved myometrium separates the serosa from the tumour front"</text>
  </threadedComment>
  <threadedComment ref="R3" dT="2023-03-01T13:19:24.23" personId="{EE56E34F-F175-4504-94ED-43486E7AEECA}" id="{761E5D97-2EBE-4B44-90D4-FB96DE792C03}">
    <text>FIGO Grade 3, Stage II?</text>
  </threadedComment>
  <threadedComment ref="R3" dT="2023-03-06T10:33:56.50" personId="{9000A0BC-22BB-4AAA-A1CE-4B0A9426306B}" id="{3EB7EC55-7916-420B-86D1-40782808D496}" parentId="{761E5D97-2EBE-4B44-90D4-FB96DE792C03}">
    <text>Correct. NB PPM wrong about stage 2A (no such thing). Changed to stage 2</text>
  </threadedComment>
  <threadedComment ref="M4" dT="2023-02-23T16:08:54.42" personId="{D9C75BE5-44C4-4D6C-84DF-D183372EF0F9}" id="{3B63185A-D52D-4E49-B12E-EC9C9A5ED69B}">
    <text>Gynae oncology MDT review 14/02/2018
"MR 7.2.18 Ponte
endometrial ca - bulky 1b disease near to serosa
benign right adnexal cyst"</text>
  </threadedComment>
  <threadedComment ref="P4" dT="2023-02-27T13:11:30.08" personId="{D9C75BE5-44C4-4D6C-84DF-D183372EF0F9}" id="{3D09A1B3-9BB1-4FFC-AE33-3A00B788A1A6}">
    <text>"tumour free distance to serosa = 1mm"</text>
  </threadedComment>
  <threadedComment ref="H5" dT="2023-03-06T10:41:49.08" personId="{9000A0BC-22BB-4AAA-A1CE-4B0A9426306B}" id="{A8A7ACEC-A10D-4393-B8FF-B59D6ABDFBB3}">
    <text>OK for now but will need the full surgery details as in this example for when we send the full follow-up data</text>
  </threadedComment>
  <threadedComment ref="M5" dT="2023-02-23T16:11:46.99" personId="{D9C75BE5-44C4-4D6C-84DF-D183372EF0F9}" id="{15142D00-EBC5-413F-94E9-F232FAEABDF8}">
    <text>York pathologist biopsy report found via file link is dated 7 Dec 17 - states "endometrioid endometrial cancer, FIGO grade 1"</text>
  </threadedComment>
  <threadedComment ref="O6" dT="2023-02-27T13:14:14.76" personId="{D9C75BE5-44C4-4D6C-84DF-D183372EF0F9}" id="{8FBC91AB-B2E9-4C3D-BC82-FF52D16D97AD}">
    <text>" Squamous differentiation is noted."</text>
  </threadedComment>
  <threadedComment ref="O9" dT="2023-02-22T15:42:42.90" personId="{D9C75BE5-44C4-4D6C-84DF-D183372EF0F9}" id="{95F8326F-6BF8-4923-9B21-1EA544D7171F}">
    <text>Path report states "Grade 1 endometrioid adenocarcinoma with mucinous differentiation"</text>
  </threadedComment>
  <threadedComment ref="Q10" dT="2023-03-02T15:38:46.90" personId="{D9C75BE5-44C4-4D6C-84DF-D183372EF0F9}" id="{43A753D2-7037-4412-A535-29C6ADC3A791}">
    <text>"The carcinomatous component (10%) shows moderate to poorly differentiated
endometrioid carcinoma (G2/G3) "</text>
  </threadedComment>
  <threadedComment ref="O11" dT="2023-02-22T15:47:08.73" personId="{D9C75BE5-44C4-4D6C-84DF-D183372EF0F9}" id="{C208435E-FD6A-432A-8327-3F68DD6F24D6}">
    <text>"the polypoidal endometrial tumour shows clear cell carcinoma... There is also acomponent of G2 endometrioid carcinoma..."</text>
  </threadedComment>
  <threadedComment ref="Q11" dT="2023-03-02T15:39:49.65" personId="{D9C75BE5-44C4-4D6C-84DF-D183372EF0F9}" id="{D4F232C3-0E59-4614-B3E7-C9973D4BCED4}">
    <text>Endometrioid component is G2</text>
  </threadedComment>
  <threadedComment ref="P13" dT="2023-02-22T15:49:05.85" personId="{D9C75BE5-44C4-4D6C-84DF-D183372EF0F9}" id="{5B71A458-11F6-46CD-B8B5-BB8F88E554AF}">
    <text>"Serosal breach present"</text>
  </threadedComment>
  <threadedComment ref="Q13" dT="2023-03-02T15:41:10.65" personId="{D9C75BE5-44C4-4D6C-84DF-D183372EF0F9}" id="{8786EEB2-D763-4FAE-8BFF-556745B137D7}">
    <text>"High grade serous endometrial carcinoma"</text>
  </threadedComment>
  <threadedComment ref="O16" dT="2023-02-22T15:56:50.34" personId="{D9C75BE5-44C4-4D6C-84DF-D183372EF0F9}" id="{9EFDBD85-D9B0-47D7-A8C0-A624496F5219}">
    <text>"biphasic malignant
neoplasm composed of high-grade carcinomatous and sarcomatous elements"</text>
  </threadedComment>
  <threadedComment ref="M20" dT="2023-02-23T16:25:29.62" personId="{D9C75BE5-44C4-4D6C-84DF-D183372EF0F9}" id="{6C52D23F-8F49-4451-BFE3-8AB5A72E16F7}">
    <text>Bx reported in "MYH Investigations" paperwork - via file link - dated 18 june 18</text>
  </threadedComment>
  <threadedComment ref="O20" dT="2023-02-28T11:51:29.98" personId="{D9C75BE5-44C4-4D6C-84DF-D183372EF0F9}" id="{E875CDBE-24E3-4FCE-BF78-AF6FCECC8B41}">
    <text>"Extensive infiltration of the cervix and myometrium by a carcinosarcoma
predominantly composed of the carcinomatous component and in particular serous
carcinoma."</text>
  </threadedComment>
  <threadedComment ref="P20" dT="2023-02-27T09:09:24.26" personId="{D9C75BE5-44C4-4D6C-84DF-D183372EF0F9}" id="{4E930F49-2E0A-4A67-B99F-B0AE2FE93BBC}">
    <text>"Below the posterior peritoneal reflection however, the
adenocarcinoma component is infiltrating up to the soft tissue margin"</text>
  </threadedComment>
  <threadedComment ref="P21" dT="2023-02-27T13:35:18.66" personId="{D9C75BE5-44C4-4D6C-84DF-D183372EF0F9}" id="{54CB02F7-2E57-487D-8ECC-946620647755}">
    <text>"less than 0.1mm from the nearest serosal surface"</text>
  </threadedComment>
  <threadedComment ref="P23" dT="2023-02-27T13:36:47.82" personId="{D9C75BE5-44C4-4D6C-84DF-D183372EF0F9}" id="{459EE85A-DCE3-4798-B570-4F2F63F50EB5}">
    <text>"Tumour free distance to serosa=0.7mm"</text>
  </threadedComment>
  <threadedComment ref="P23" dT="2023-03-06T11:12:48.30" personId="{9000A0BC-22BB-4AAA-A1CE-4B0A9426306B}" id="{32E8D10C-E0BA-45AC-A182-8300D336CF71}" parentId="{459EE85A-DCE3-4798-B570-4F2F63F50EB5}">
    <text>Needs to be serosal breach to restate to IIIA</text>
  </threadedComment>
  <threadedComment ref="P24" dT="2023-02-27T13:37:47.53" personId="{D9C75BE5-44C4-4D6C-84DF-D183372EF0F9}" id="{BD211749-8A6F-4902-AABD-74BAF96B79F0}">
    <text>"0.5mm from the closest serosal margin"</text>
  </threadedComment>
  <threadedComment ref="P24" dT="2023-03-06T11:20:03.95" personId="{9000A0BC-22BB-4AAA-A1CE-4B0A9426306B}" id="{E67D3DD3-2228-4E27-A80A-71CD3E5F5115}" parentId="{BD211749-8A6F-4902-AABD-74BAF96B79F0}">
    <text>No serosal breach so not upstaged</text>
  </threadedComment>
  <threadedComment ref="O25" dT="2023-02-27T13:39:44.06" personId="{D9C75BE5-44C4-4D6C-84DF-D183372EF0F9}" id="{4312E3FE-9490-41E5-9F97-1F3B9F77E64A}">
    <text>"endometrioid carcinoma (25%) ... clear cell carcinoma (75%)"</text>
  </threadedComment>
  <threadedComment ref="O27" dT="2023-02-27T13:41:45.14" personId="{D9C75BE5-44C4-4D6C-84DF-D183372EF0F9}" id="{16F921B6-79B6-4334-BBB4-4737DF817295}">
    <text>Report was inconclusive as to carcinoma type</text>
  </threadedComment>
  <threadedComment ref="P28" dT="2023-03-06T11:22:46.59" personId="{9000A0BC-22BB-4AAA-A1CE-4B0A9426306B}" id="{F599CEB3-C231-48DE-93C7-944BAB57E51C}">
    <text>Does not breach serosal surface</text>
  </threadedComment>
  <threadedComment ref="R28" dT="2023-03-06T11:05:08.32" personId="{9000A0BC-22BB-4AAA-A1CE-4B0A9426306B}" id="{63006BB3-5441-4C73-8E6F-3B889CBE29F6}">
    <text>Path report contradicts PPM (stage 1A). Going with path report</text>
  </threadedComment>
  <threadedComment ref="P29" dT="2023-02-27T10:47:29.18" personId="{D9C75BE5-44C4-4D6C-84DF-D183372EF0F9}" id="{AA22A5F4-722B-4691-80AC-3E0DDA68B783}">
    <text>"Serosal breach present"</text>
  </threadedComment>
  <threadedComment ref="M30" dT="2023-02-23T16:38:34.00" personId="{D9C75BE5-44C4-4D6C-84DF-D183372EF0F9}" id="{BC9EF93B-67FC-4C7A-B5A7-6F2860DC2BCF}">
    <text>MDT proforma 9/Aug/18 cited 
"Local MDT 09.08.18. 
Pathology: high grade serous carcinoma"
Cannot find date for the Bx itself</text>
  </threadedComment>
  <threadedComment ref="P30" dT="2023-02-27T13:46:42.08" personId="{D9C75BE5-44C4-4D6C-84DF-D183372EF0F9}" id="{13417646-C76C-4E36-80BA-FF1BC797263A}">
    <text>"Tumour involves full thickness of the myometrium reaching subserosa.
No obvious serosal breach seen."</text>
  </threadedComment>
  <threadedComment ref="O32" dT="2023-02-28T11:34:49.07" personId="{D9C75BE5-44C4-4D6C-84DF-D183372EF0F9}" id="{5F56C57E-F901-47DA-896A-C11C2373366D}">
    <text>Path report unclear as to the differentiation</text>
  </threadedComment>
  <threadedComment ref="P32" dT="2023-02-27T10:51:35.77" personId="{D9C75BE5-44C4-4D6C-84DF-D183372EF0F9}" id="{BD95A9BF-07E3-4ECC-B800-B0F83BBC800C}">
    <text>"Poorly differentiated tumour is seen at posterior serosal surface"
"Omentum - Metastatic serous adenocarcinoma"
"Small bowel mesentery biopsy - Metastatic carcinosarcoma"
"Right hemicolectomy - Metastatic carcinosarcoma"
"Appendix - Metastatic tumour in periappendiceal fat"
Suggests widespread therefore residual tumour must remain</text>
  </threadedComment>
  <threadedComment ref="M33" dT="2023-02-23T16:47:42.77" personId="{D9C75BE5-44C4-4D6C-84DF-D183372EF0F9}" id="{8BEFD58E-FB45-4218-8C5D-EBAB94E46AD3}">
    <text>Surgery date given: Imaging suggested ovarian tumours, found to be endometrial post hysterectomy</text>
  </threadedComment>
  <threadedComment ref="P33" dT="2023-02-27T10:52:27.73" personId="{D9C75BE5-44C4-4D6C-84DF-D183372EF0F9}" id="{4F306847-8BDF-4336-9133-F4F6BAB0F5D3}">
    <text>"The tumour show extensive diffuse infiltration of the myometrium and breaches the serosa. The tumour invades directly into the right ovary and paraovarian tissue."</text>
  </threadedComment>
  <threadedComment ref="P40" dT="2023-03-06T11:26:43.58" personId="{9000A0BC-22BB-4AAA-A1CE-4B0A9426306B}" id="{408A95FE-D2FF-42D7-AA2D-7C814A49F0B5}">
    <text>No serosal breach</text>
  </threadedComment>
  <threadedComment ref="M41" dT="2023-02-27T13:05:56.39" personId="{D9C75BE5-44C4-4D6C-84DF-D183372EF0F9}" id="{A850F935-281C-43C2-94D0-F35FF1E088EC}">
    <text>Date of surgery given as previous Bx showed hyperplasia but not malignancy</text>
  </threadedComment>
  <threadedComment ref="P44" dT="2023-02-28T11:29:08.63" personId="{D9C75BE5-44C4-4D6C-84DF-D183372EF0F9}" id="{AFF554BB-BBC3-4884-9EDF-ED2EE8371E64}">
    <text>Serosal breach and "left parametrium is involved by tumour"</text>
  </threadedComment>
  <threadedComment ref="P49" dT="2023-02-28T11:43:24.67" personId="{D9C75BE5-44C4-4D6C-84DF-D183372EF0F9}" id="{7524A358-B75C-4324-BA6F-C0127CD84F16}">
    <text>"The distance of the tumour from the nearest serosal surface
is 5.1mm. Extensive lymphovascular space invasion by tumour is seen...
Tumour within lymphovascular spaces is seen very close to the serosal surface
(&lt;0.3mm)."
"The parametrium and cornua on both sides contain tumour, mainly within
lymphovascular spaces."</text>
  </threadedComment>
  <threadedComment ref="P49" dT="2023-03-06T11:28:55.00" personId="{9000A0BC-22BB-4AAA-A1CE-4B0A9426306B}" id="{A3D05D31-579B-4C29-A959-E509E21EE9A6}" parentId="{7524A358-B75C-4324-BA6F-C0127CD84F16}">
    <text>Paracervical tissue also involved by tumour</text>
  </threadedComment>
  <threadedComment ref="B53" personId="{695B3104-33C0-4504-A8A5-7EF3A3D15049}" id="{01E94D89-AF4B-4A95-B6CE-76A31CD2374C}">
    <text>Feb 2023: starting pembrolizumab immunotherapy.</text>
  </threadedComment>
  <threadedComment ref="B53" dT="2023-02-28T11:27:58.31" personId="{D9C75BE5-44C4-4D6C-84DF-D183372EF0F9}" id="{F5BDE0C7-70BD-4FA2-8623-EC8BAC00194E}" parentId="{01E94D89-AF4B-4A95-B6CE-76A31CD2374C}">
    <text>Received first dose on 11/Feb/23 - has been prescribed to treat Colorectal cancer. Arguably not relevant to this case?</text>
  </threadedComment>
  <threadedComment ref="B53" dT="2023-03-06T12:01:10.28" personId="{9000A0BC-22BB-4AAA-A1CE-4B0A9426306B}" id="{5E686561-97DD-44C3-BFC2-9E179700F165}" parentId="{01E94D89-AF4B-4A95-B6CE-76A31CD2374C}">
    <text>I think we should record it as N if it isn't used to treat the cancer in question</text>
  </threadedComment>
  <threadedComment ref="B55" dT="2023-02-28T12:20:43.47" personId="{D9C75BE5-44C4-4D6C-84DF-D183372EF0F9}" id="{00181B10-017C-4138-B45A-4EE21CD10290}">
    <text>Dostarlimab treatment commenced Jun 22 for recurrent disease</text>
  </threadedComment>
  <threadedComment ref="B55" dT="2023-03-06T12:08:04.44" personId="{9000A0BC-22BB-4AAA-A1CE-4B0A9426306B}" id="{7F96E626-5B82-43EA-AA77-7A47E27E3BAE}" parentId="{00181B10-017C-4138-B45A-4EE21CD10290}">
    <text>I have made a note that it is for a recurrence so it is clear that the primary tumour is immunotherapy native</text>
  </threadedComment>
  <threadedComment ref="O64" dT="2023-02-28T12:30:58.40" personId="{D9C75BE5-44C4-4D6C-84DF-D183372EF0F9}" id="{35922036-F5AF-43A0-B30F-33536A7E43DB}">
    <text>@ORSI, Nicolas (LEEDS TEACHING HOSPITALS NHS TRUST)  would this count as mixed?</text>
    <mentions>
      <mention mentionpersonId="{130CA80F-AF75-4735-9097-DAFEA62F791C}" mentionId="{12F674C0-C9E1-4B60-96E0-DE88ABF71C7E}" startIndex="0" length="51"/>
    </mentions>
  </threadedComment>
  <threadedComment ref="O64" dT="2023-02-28T12:31:47.35" personId="{D9C75BE5-44C4-4D6C-84DF-D183372EF0F9}" id="{917AFA60-8C0B-426E-BAD6-10BD55E68924}" parentId="{35922036-F5AF-43A0-B30F-33536A7E43DB}">
    <text>"The endometrium shows features of grade 2 endometrioid adenocarcinoma, seen infiltrating into the outer half of myometrium. [...]
The fundal nodule noted macroscopically (block A7) represents an adenomatoid
tumour (WT1, AE1/3 and Calretinin positive)."</text>
  </threadedComment>
  <threadedComment ref="P64" dT="2023-02-28T12:32:49.42" personId="{D9C75BE5-44C4-4D6C-84DF-D183372EF0F9}" id="{57176A70-0195-4905-B981-FA6AF4C70F77}">
    <text>Tumour is 1mm from serosa within uterus, but "the fallopian tube and ovary show evidence of serosal deposits"</text>
  </threadedComment>
  <threadedComment ref="O66" dT="2023-02-28T12:47:39.11" personId="{D9C75BE5-44C4-4D6C-84DF-D183372EF0F9}" id="{70232D51-DFD3-48C1-994B-FB004D3BDF15}">
    <text>90% sarcoma, 10% endometrioid adenocarcinoma</text>
  </threadedComment>
  <threadedComment ref="P66" dT="2023-03-06T11:41:56.68" personId="{9000A0BC-22BB-4AAA-A1CE-4B0A9426306B}" id="{91766C6D-0C18-47EC-B851-F86E9D4E8FA0}">
    <text>No serosal breach</text>
  </threadedComment>
  <threadedComment ref="O72" dT="2023-02-28T12:56:45.96" personId="{D9C75BE5-44C4-4D6C-84DF-D183372EF0F9}" id="{062FAC58-D8A9-44B1-AE0D-491631435774}">
    <text>@ORSI, Nicolas (LEEDS TEACHING HOSPITALS NHS TRUST) path report also states there is a "Müllerian adenofibroma left cornu" - should I include this?</text>
    <mentions>
      <mention mentionpersonId="{130CA80F-AF75-4735-9097-DAFEA62F791C}" mentionId="{1CBFFC18-E39F-401E-BC65-3CBF4AA20E70}" startIndex="0" length="51"/>
    </mentions>
  </threadedComment>
  <threadedComment ref="P74" dT="2023-02-28T12:57:53.71" personId="{D9C75BE5-44C4-4D6C-84DF-D183372EF0F9}" id="{D56095D0-5D6A-474F-BC06-ED11726F3B10}">
    <text>"0.4mm (block A8) clear of the serosa."</text>
  </threadedComment>
  <threadedComment ref="P74" dT="2023-03-06T11:46:55.42" personId="{9000A0BC-22BB-4AAA-A1CE-4B0A9426306B}" id="{E16AA677-DCCD-4166-84CF-8C7A1866296D}" parentId="{D56095D0-5D6A-474F-BC06-ED11726F3B10}">
    <text>No serosal breach</text>
  </threadedComment>
  <threadedComment ref="O76" dT="2023-02-28T13:00:35.45" personId="{D9C75BE5-44C4-4D6C-84DF-D183372EF0F9}" id="{FD718A40-4C9D-4A46-8CBA-0C3319A523F9}">
    <text>&gt;95% Serous carcinoma, &lt;5% "pleomorphic bizarre cells within the
stroma"</text>
  </threadedComment>
  <threadedComment ref="O79" dT="2023-02-28T13:13:29.93" personId="{D9C75BE5-44C4-4D6C-84DF-D183372EF0F9}" id="{677EB6B5-2460-468C-938E-E3084E055899}">
    <text>"The tumour in endomyometrium shows variable pattern and
immunohistochemistry is not entirely supportive and helpful. However there is definite metastasis of clear cell carcinoma in right pelvic node and para-aortic nodes."</text>
  </threadedComment>
  <threadedComment ref="O81" dT="2023-02-28T13:14:36.30" personId="{D9C75BE5-44C4-4D6C-84DF-D183372EF0F9}" id="{B802071E-5F1C-467F-BBFD-DD5CD1B1816F}">
    <text>80% carcinoma, 20% sarcoma</text>
  </threadedComment>
  <threadedComment ref="O83" dT="2023-02-28T13:14:36.30" personId="{D9C75BE5-44C4-4D6C-84DF-D183372EF0F9}" id="{8CB46A98-488A-48A8-82EC-7BF39632AA50}">
    <text>80% carcinoma, 20% sarcoma</text>
  </threadedComment>
  <threadedComment ref="O87" dT="2023-02-28T13:23:39.85" personId="{D9C75BE5-44C4-4D6C-84DF-D183372EF0F9}" id="{FE440B8F-4D6E-4F25-B95C-47BD9E6E5F1B}">
    <text>to review with @ORSI, Nicolas (LEEDS TEACHING HOSPITALS NHS TRUST) as path report indeterminate - may be serous carcinoma - pt recd chemo prior to resection for suspected peritoneal primary</text>
    <mentions>
      <mention mentionpersonId="{130CA80F-AF75-4735-9097-DAFEA62F791C}" mentionId="{3A382D4F-74C7-4900-8F60-2E687163FF76}" startIndex="15" length="51"/>
    </mentions>
  </threadedComment>
  <threadedComment ref="P88" dT="2023-02-28T13:25:41.70" personId="{D9C75BE5-44C4-4D6C-84DF-D183372EF0F9}" id="{559D08DF-1213-438D-8C01-44E839870A76}">
    <text>tumour "reaches 0.1mm from nearest serosal surface"</text>
  </threadedComment>
  <threadedComment ref="P88" dT="2023-03-06T11:56:13.09" personId="{9000A0BC-22BB-4AAA-A1CE-4B0A9426306B}" id="{F73637B3-2AB4-43A4-B4D5-91EDFB2E4EE2}" parentId="{559D08DF-1213-438D-8C01-44E839870A76}">
    <text>Also invasion of paratubal tissue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3.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E82"/>
  <sheetViews>
    <sheetView zoomScaleNormal="100" workbookViewId="0">
      <pane xSplit="4" ySplit="4" topLeftCell="E78" activePane="bottomRight" state="frozen"/>
      <selection pane="topRight"/>
      <selection pane="bottomLeft"/>
      <selection pane="bottomRight" activeCell="G78" sqref="G78"/>
    </sheetView>
  </sheetViews>
  <sheetFormatPr defaultColWidth="9.1796875" defaultRowHeight="12.5" x14ac:dyDescent="0.25"/>
  <cols>
    <col min="1" max="1" width="13.54296875" style="68" customWidth="1"/>
    <col min="2" max="2" width="10.36328125" style="68" customWidth="1"/>
    <col min="3" max="3" width="10.453125" style="68" customWidth="1"/>
    <col min="4" max="4" width="12.1796875" style="68" customWidth="1"/>
    <col min="5" max="5" width="14.26953125" style="68" bestFit="1" customWidth="1"/>
    <col min="6" max="6" width="19.1796875" style="68" bestFit="1" customWidth="1"/>
    <col min="7" max="7" width="19.1796875" style="68" customWidth="1"/>
    <col min="8" max="10" width="19.1796875" style="68" hidden="1" customWidth="1"/>
    <col min="11" max="11" width="43.81640625" style="68" hidden="1" customWidth="1"/>
    <col min="12" max="12" width="34.81640625" style="68" hidden="1" customWidth="1"/>
    <col min="13" max="13" width="8.81640625" style="68" hidden="1" customWidth="1"/>
    <col min="14" max="14" width="12.08984375" style="68" customWidth="1"/>
    <col min="15" max="16" width="17.7265625" style="68" bestFit="1" customWidth="1"/>
    <col min="17" max="17" width="13.1796875" style="68" customWidth="1"/>
    <col min="18" max="18" width="47.54296875" style="68" customWidth="1"/>
    <col min="19" max="19" width="13.1796875" style="68" customWidth="1"/>
    <col min="20" max="25" width="12.08984375" style="68" customWidth="1"/>
    <col min="26" max="26" width="15.54296875" style="68" bestFit="1" customWidth="1"/>
    <col min="27" max="27" width="12.08984375" style="68" customWidth="1"/>
    <col min="28" max="72" width="12" style="68" customWidth="1"/>
    <col min="73" max="75" width="12.08984375" style="68" customWidth="1"/>
    <col min="76" max="99" width="12" style="68" customWidth="1"/>
    <col min="100" max="102" width="12.36328125" style="68" customWidth="1"/>
    <col min="103" max="104" width="12.7265625" style="68" customWidth="1"/>
    <col min="105" max="105" width="16.81640625" style="68" customWidth="1"/>
    <col min="106" max="109" width="12.7265625" style="68" customWidth="1"/>
    <col min="110" max="110" width="26.1796875" style="68" customWidth="1"/>
    <col min="111" max="150" width="13.1796875" style="68" customWidth="1"/>
    <col min="151" max="160" width="12.36328125" style="68" customWidth="1"/>
    <col min="161" max="161" width="14.26953125" style="68" bestFit="1" customWidth="1"/>
    <col min="162" max="16384" width="9.1796875" style="68"/>
  </cols>
  <sheetData>
    <row r="1" spans="1:161" s="67" customFormat="1" ht="15.5" x14ac:dyDescent="0.35">
      <c r="D1" s="74"/>
      <c r="E1" s="75"/>
      <c r="F1" s="76"/>
      <c r="G1" s="76"/>
      <c r="H1" s="76"/>
      <c r="I1" s="76"/>
      <c r="J1" s="76"/>
      <c r="K1" s="77"/>
      <c r="L1" s="77"/>
      <c r="M1" s="77"/>
      <c r="N1" s="75"/>
      <c r="O1" s="76"/>
      <c r="P1" s="83"/>
      <c r="Q1" s="83"/>
      <c r="R1" s="83"/>
      <c r="S1" s="83"/>
      <c r="T1" s="83"/>
      <c r="U1" s="75"/>
      <c r="V1" s="76"/>
      <c r="W1" s="76"/>
      <c r="X1" s="83"/>
      <c r="Y1" s="83"/>
      <c r="AB1" s="83"/>
      <c r="AC1" s="76"/>
      <c r="AD1" s="83"/>
      <c r="AE1" s="83"/>
      <c r="AF1" s="75"/>
      <c r="AG1" s="75"/>
      <c r="AH1" s="76"/>
      <c r="AI1" s="76"/>
      <c r="AJ1" s="75"/>
      <c r="AK1" s="75"/>
      <c r="AL1" s="76"/>
      <c r="AM1" s="76"/>
      <c r="AN1" s="75"/>
      <c r="AO1" s="75"/>
      <c r="AP1" s="76"/>
      <c r="AQ1" s="76"/>
      <c r="AR1" s="75"/>
      <c r="AS1" s="75"/>
      <c r="AT1" s="76"/>
      <c r="AU1" s="76"/>
      <c r="AV1" s="75"/>
      <c r="AW1" s="75"/>
      <c r="AX1" s="76"/>
      <c r="AY1" s="76"/>
      <c r="AZ1" s="75"/>
      <c r="BA1" s="75"/>
      <c r="BB1" s="76"/>
      <c r="BC1" s="76"/>
      <c r="BD1" s="75"/>
      <c r="BE1" s="75"/>
      <c r="BF1" s="76"/>
      <c r="BG1" s="76"/>
      <c r="BH1" s="75"/>
      <c r="BI1" s="76"/>
      <c r="BJ1" s="76"/>
      <c r="BK1" s="75"/>
      <c r="BL1" s="75"/>
      <c r="BM1" s="76"/>
      <c r="BN1" s="76"/>
      <c r="BO1" s="75"/>
      <c r="BP1" s="75"/>
      <c r="BQ1" s="76"/>
      <c r="BR1" s="76"/>
      <c r="BS1" s="75"/>
      <c r="BT1" s="75"/>
      <c r="BV1" s="83"/>
      <c r="BW1" s="83"/>
      <c r="BX1" s="76"/>
      <c r="BY1" s="83"/>
      <c r="BZ1" s="76"/>
      <c r="CA1" s="83"/>
      <c r="CB1" s="76"/>
      <c r="CC1" s="83"/>
      <c r="CD1" s="76"/>
      <c r="CE1" s="83"/>
      <c r="CF1" s="76"/>
      <c r="CG1" s="83"/>
      <c r="CH1" s="76"/>
      <c r="CI1" s="83"/>
      <c r="CJ1" s="76"/>
      <c r="CK1" s="83"/>
      <c r="CL1" s="76"/>
      <c r="CM1" s="76"/>
      <c r="CN1" s="76"/>
      <c r="CO1" s="75"/>
      <c r="CP1" s="75"/>
      <c r="CQ1" s="76"/>
      <c r="CR1" s="76"/>
      <c r="CS1" s="75"/>
      <c r="CT1" s="75"/>
      <c r="CU1" s="76"/>
      <c r="CV1" s="76"/>
      <c r="CW1" s="75"/>
      <c r="CX1" s="83"/>
      <c r="CY1" s="76"/>
      <c r="CZ1" s="76"/>
      <c r="DA1" s="75"/>
      <c r="DB1" s="83"/>
      <c r="DC1" s="76"/>
      <c r="DD1" s="83"/>
      <c r="DE1" s="83"/>
      <c r="DF1" s="76"/>
      <c r="DG1" s="84"/>
      <c r="DH1" s="83"/>
      <c r="DI1" s="83"/>
      <c r="DJ1" s="83"/>
      <c r="DK1" s="83"/>
      <c r="DL1" s="83"/>
      <c r="DM1" s="83"/>
      <c r="DN1" s="83"/>
      <c r="DO1" s="83"/>
      <c r="DP1" s="83"/>
      <c r="DQ1" s="83"/>
      <c r="DR1" s="83"/>
      <c r="DS1" s="83"/>
      <c r="DT1" s="83"/>
      <c r="DU1" s="83"/>
      <c r="DV1" s="83"/>
      <c r="DW1" s="83"/>
      <c r="DX1" s="83"/>
      <c r="DY1" s="83"/>
      <c r="DZ1" s="83"/>
      <c r="EA1" s="83"/>
      <c r="EB1" s="83"/>
      <c r="EC1" s="83"/>
      <c r="ED1" s="83"/>
      <c r="EE1" s="83"/>
      <c r="EF1" s="83"/>
      <c r="EG1" s="83"/>
      <c r="EH1" s="83"/>
      <c r="EI1" s="83"/>
      <c r="EJ1" s="83"/>
      <c r="EK1" s="83"/>
      <c r="EL1" s="83"/>
      <c r="EM1" s="83"/>
      <c r="EN1" s="83"/>
      <c r="EO1" s="83"/>
      <c r="EP1" s="83"/>
      <c r="EQ1" s="83"/>
      <c r="ER1" s="83"/>
    </row>
    <row r="2" spans="1:161" s="67" customFormat="1" ht="15.5" x14ac:dyDescent="0.35">
      <c r="A2" s="78" t="s">
        <v>657</v>
      </c>
      <c r="B2" s="78" t="s">
        <v>658</v>
      </c>
      <c r="C2" s="78" t="s">
        <v>659</v>
      </c>
      <c r="D2" s="78" t="s">
        <v>660</v>
      </c>
      <c r="E2" s="79" t="s">
        <v>661</v>
      </c>
      <c r="F2" s="80" t="s">
        <v>662</v>
      </c>
      <c r="G2" s="80" t="s">
        <v>663</v>
      </c>
      <c r="H2" s="80" t="s">
        <v>664</v>
      </c>
      <c r="I2" s="80" t="s">
        <v>665</v>
      </c>
      <c r="J2" s="80" t="s">
        <v>666</v>
      </c>
      <c r="K2" s="79" t="s">
        <v>667</v>
      </c>
      <c r="L2" s="85" t="s">
        <v>668</v>
      </c>
      <c r="M2" s="85" t="s">
        <v>669</v>
      </c>
      <c r="N2" s="85" t="s">
        <v>670</v>
      </c>
      <c r="O2" s="86" t="s">
        <v>671</v>
      </c>
      <c r="P2" s="85" t="s">
        <v>672</v>
      </c>
      <c r="Q2" s="87" t="s">
        <v>673</v>
      </c>
      <c r="R2" s="87" t="s">
        <v>674</v>
      </c>
      <c r="S2" s="87" t="s">
        <v>675</v>
      </c>
      <c r="T2" s="85" t="s">
        <v>676</v>
      </c>
      <c r="U2" s="85" t="s">
        <v>677</v>
      </c>
      <c r="V2" s="86" t="s">
        <v>678</v>
      </c>
      <c r="W2" s="86" t="s">
        <v>679</v>
      </c>
      <c r="X2" s="87" t="s">
        <v>680</v>
      </c>
      <c r="Y2" s="87" t="s">
        <v>681</v>
      </c>
      <c r="Z2" s="88" t="s">
        <v>682</v>
      </c>
      <c r="AA2" s="85" t="s">
        <v>683</v>
      </c>
      <c r="AB2" s="78" t="s">
        <v>684</v>
      </c>
      <c r="AC2" s="89" t="s">
        <v>685</v>
      </c>
      <c r="AD2" s="78" t="s">
        <v>686</v>
      </c>
      <c r="AE2" s="78" t="s">
        <v>687</v>
      </c>
      <c r="AF2" s="67" t="s">
        <v>688</v>
      </c>
      <c r="AG2" s="67" t="s">
        <v>689</v>
      </c>
      <c r="AH2" s="89" t="s">
        <v>690</v>
      </c>
      <c r="AI2" s="89" t="s">
        <v>691</v>
      </c>
      <c r="AJ2" s="67" t="s">
        <v>692</v>
      </c>
      <c r="AK2" s="67" t="s">
        <v>693</v>
      </c>
      <c r="AL2" s="89" t="s">
        <v>694</v>
      </c>
      <c r="AM2" s="89" t="s">
        <v>695</v>
      </c>
      <c r="AN2" s="67" t="s">
        <v>696</v>
      </c>
      <c r="AO2" s="67" t="s">
        <v>697</v>
      </c>
      <c r="AP2" s="89" t="s">
        <v>698</v>
      </c>
      <c r="AQ2" s="89" t="s">
        <v>699</v>
      </c>
      <c r="AR2" s="67" t="s">
        <v>700</v>
      </c>
      <c r="AS2" s="67" t="s">
        <v>701</v>
      </c>
      <c r="AT2" s="89" t="s">
        <v>702</v>
      </c>
      <c r="AU2" s="89" t="s">
        <v>703</v>
      </c>
      <c r="AV2" s="67" t="s">
        <v>704</v>
      </c>
      <c r="AW2" s="67" t="s">
        <v>705</v>
      </c>
      <c r="AX2" s="89" t="s">
        <v>706</v>
      </c>
      <c r="AY2" s="89" t="s">
        <v>707</v>
      </c>
      <c r="AZ2" s="67" t="s">
        <v>708</v>
      </c>
      <c r="BA2" s="67" t="s">
        <v>709</v>
      </c>
      <c r="BB2" s="89" t="s">
        <v>710</v>
      </c>
      <c r="BC2" s="89" t="s">
        <v>711</v>
      </c>
      <c r="BD2" s="67" t="s">
        <v>712</v>
      </c>
      <c r="BE2" s="67" t="s">
        <v>713</v>
      </c>
      <c r="BF2" s="89" t="s">
        <v>714</v>
      </c>
      <c r="BG2" s="89" t="s">
        <v>715</v>
      </c>
      <c r="BH2" s="67" t="s">
        <v>716</v>
      </c>
      <c r="BI2" s="89" t="s">
        <v>717</v>
      </c>
      <c r="BJ2" s="89" t="s">
        <v>718</v>
      </c>
      <c r="BK2" s="67" t="s">
        <v>719</v>
      </c>
      <c r="BL2" s="67" t="s">
        <v>720</v>
      </c>
      <c r="BM2" s="89" t="s">
        <v>721</v>
      </c>
      <c r="BN2" s="89" t="s">
        <v>722</v>
      </c>
      <c r="BO2" s="67" t="s">
        <v>723</v>
      </c>
      <c r="BP2" s="67" t="s">
        <v>724</v>
      </c>
      <c r="BQ2" s="89" t="s">
        <v>725</v>
      </c>
      <c r="BR2" s="89" t="s">
        <v>726</v>
      </c>
      <c r="BS2" s="67" t="s">
        <v>727</v>
      </c>
      <c r="BT2" s="67" t="s">
        <v>728</v>
      </c>
      <c r="BU2" s="85" t="s">
        <v>729</v>
      </c>
      <c r="BV2" s="85" t="s">
        <v>730</v>
      </c>
      <c r="BW2" s="85" t="s">
        <v>731</v>
      </c>
      <c r="BX2" s="89" t="s">
        <v>732</v>
      </c>
      <c r="BY2" s="78" t="s">
        <v>733</v>
      </c>
      <c r="BZ2" s="89" t="s">
        <v>734</v>
      </c>
      <c r="CA2" s="78" t="s">
        <v>735</v>
      </c>
      <c r="CB2" s="89" t="s">
        <v>736</v>
      </c>
      <c r="CC2" s="78" t="s">
        <v>737</v>
      </c>
      <c r="CD2" s="89" t="s">
        <v>738</v>
      </c>
      <c r="CE2" s="78" t="s">
        <v>739</v>
      </c>
      <c r="CF2" s="89" t="s">
        <v>740</v>
      </c>
      <c r="CG2" s="78" t="s">
        <v>741</v>
      </c>
      <c r="CH2" s="89" t="s">
        <v>742</v>
      </c>
      <c r="CI2" s="78" t="s">
        <v>743</v>
      </c>
      <c r="CJ2" s="89" t="s">
        <v>744</v>
      </c>
      <c r="CK2" s="78" t="s">
        <v>745</v>
      </c>
      <c r="CL2" s="89" t="s">
        <v>746</v>
      </c>
      <c r="CM2" s="67" t="s">
        <v>747</v>
      </c>
      <c r="CN2" s="67" t="s">
        <v>748</v>
      </c>
      <c r="CO2" s="67" t="s">
        <v>749</v>
      </c>
      <c r="CP2" s="67" t="s">
        <v>750</v>
      </c>
      <c r="CQ2" s="67" t="s">
        <v>751</v>
      </c>
      <c r="CR2" s="67" t="s">
        <v>752</v>
      </c>
      <c r="CS2" s="67" t="s">
        <v>753</v>
      </c>
      <c r="CT2" s="67" t="s">
        <v>754</v>
      </c>
      <c r="CU2" s="67" t="s">
        <v>755</v>
      </c>
      <c r="CV2" s="67" t="s">
        <v>756</v>
      </c>
      <c r="CW2" s="67" t="s">
        <v>757</v>
      </c>
      <c r="CX2" s="67" t="s">
        <v>758</v>
      </c>
      <c r="CY2" s="67" t="s">
        <v>759</v>
      </c>
      <c r="CZ2" s="67" t="s">
        <v>760</v>
      </c>
      <c r="DA2" s="67" t="s">
        <v>761</v>
      </c>
      <c r="DB2" s="67" t="s">
        <v>762</v>
      </c>
      <c r="DC2" s="67" t="s">
        <v>763</v>
      </c>
      <c r="DD2" s="67" t="s">
        <v>764</v>
      </c>
      <c r="DE2" s="67" t="s">
        <v>765</v>
      </c>
      <c r="DF2" s="176" t="s">
        <v>0</v>
      </c>
      <c r="DG2" s="177" t="s">
        <v>766</v>
      </c>
      <c r="DH2" s="177" t="s">
        <v>767</v>
      </c>
      <c r="DI2" s="177" t="s">
        <v>768</v>
      </c>
      <c r="DJ2" s="177" t="s">
        <v>769</v>
      </c>
      <c r="DK2" s="177" t="s">
        <v>770</v>
      </c>
      <c r="DL2" s="177" t="s">
        <v>771</v>
      </c>
      <c r="DM2" s="177" t="s">
        <v>772</v>
      </c>
      <c r="DN2" s="177" t="s">
        <v>773</v>
      </c>
      <c r="DO2" s="177" t="s">
        <v>774</v>
      </c>
      <c r="DP2" s="177" t="s">
        <v>775</v>
      </c>
      <c r="DQ2" s="177" t="s">
        <v>776</v>
      </c>
      <c r="DR2" s="177" t="s">
        <v>777</v>
      </c>
      <c r="DS2" s="177" t="s">
        <v>778</v>
      </c>
      <c r="DT2" s="177" t="s">
        <v>779</v>
      </c>
      <c r="DU2" s="177" t="s">
        <v>780</v>
      </c>
      <c r="DV2" s="177" t="s">
        <v>781</v>
      </c>
      <c r="DW2" s="177" t="s">
        <v>782</v>
      </c>
      <c r="DX2" s="177" t="s">
        <v>783</v>
      </c>
      <c r="DY2" s="177" t="s">
        <v>784</v>
      </c>
      <c r="DZ2" s="177" t="s">
        <v>785</v>
      </c>
      <c r="EA2" s="177" t="s">
        <v>786</v>
      </c>
      <c r="EB2" s="177" t="s">
        <v>787</v>
      </c>
      <c r="EC2" s="177" t="s">
        <v>788</v>
      </c>
      <c r="ED2" s="177" t="s">
        <v>789</v>
      </c>
      <c r="EE2" s="177" t="s">
        <v>790</v>
      </c>
      <c r="EF2" s="177" t="s">
        <v>791</v>
      </c>
      <c r="EG2" s="177" t="s">
        <v>792</v>
      </c>
      <c r="EH2" s="177" t="s">
        <v>793</v>
      </c>
      <c r="EI2" s="177" t="s">
        <v>794</v>
      </c>
      <c r="EJ2" s="177" t="s">
        <v>795</v>
      </c>
      <c r="EK2" s="177" t="s">
        <v>796</v>
      </c>
      <c r="EL2" s="177" t="s">
        <v>797</v>
      </c>
      <c r="EM2" s="177" t="s">
        <v>798</v>
      </c>
      <c r="EN2" s="177" t="s">
        <v>799</v>
      </c>
      <c r="EO2" s="177" t="s">
        <v>800</v>
      </c>
      <c r="EP2" s="177" t="s">
        <v>801</v>
      </c>
      <c r="EQ2" s="177" t="s">
        <v>802</v>
      </c>
      <c r="ER2" s="177" t="s">
        <v>803</v>
      </c>
      <c r="ES2" s="177" t="s">
        <v>804</v>
      </c>
      <c r="ET2" s="178" t="s">
        <v>805</v>
      </c>
      <c r="EU2" s="67" t="s">
        <v>806</v>
      </c>
      <c r="EV2" s="67" t="s">
        <v>807</v>
      </c>
      <c r="EW2" s="67" t="s">
        <v>808</v>
      </c>
      <c r="EX2" s="67" t="s">
        <v>809</v>
      </c>
      <c r="EY2" s="67" t="s">
        <v>810</v>
      </c>
      <c r="EZ2" s="67" t="s">
        <v>811</v>
      </c>
      <c r="FA2" s="67" t="s">
        <v>812</v>
      </c>
      <c r="FB2" s="67" t="s">
        <v>813</v>
      </c>
      <c r="FC2" s="67" t="s">
        <v>814</v>
      </c>
      <c r="FD2" s="67" t="s">
        <v>815</v>
      </c>
      <c r="FE2" s="67" t="s">
        <v>816</v>
      </c>
    </row>
    <row r="3" spans="1:161" s="67" customFormat="1" ht="15.5" x14ac:dyDescent="0.35">
      <c r="A3" s="81"/>
      <c r="B3" s="81"/>
      <c r="C3" s="81"/>
      <c r="D3" s="81"/>
      <c r="E3" s="81"/>
      <c r="F3" s="82"/>
      <c r="G3" s="82"/>
      <c r="H3" s="82"/>
      <c r="I3" s="82"/>
      <c r="J3" s="82"/>
      <c r="K3" s="81"/>
      <c r="L3" s="81"/>
      <c r="M3" s="81"/>
      <c r="N3" s="81"/>
      <c r="O3" s="82"/>
      <c r="P3" s="79"/>
      <c r="T3" s="79"/>
      <c r="U3" s="79"/>
      <c r="V3" s="79"/>
      <c r="W3" s="79"/>
      <c r="X3" s="79"/>
      <c r="Y3" s="79"/>
      <c r="Z3" s="79"/>
      <c r="AA3" s="81"/>
      <c r="AB3" s="182" t="s">
        <v>1</v>
      </c>
      <c r="AC3" s="182"/>
      <c r="AD3" s="182"/>
      <c r="AE3" s="182"/>
      <c r="AF3" s="182"/>
      <c r="AG3" s="182"/>
      <c r="AH3" s="182"/>
      <c r="AI3" s="182"/>
      <c r="AJ3" s="182"/>
      <c r="AK3" s="182"/>
      <c r="AL3" s="182"/>
      <c r="AM3" s="182"/>
      <c r="AN3" s="182"/>
      <c r="AO3" s="182"/>
      <c r="AP3" s="182"/>
      <c r="AQ3" s="182"/>
      <c r="AR3" s="182"/>
      <c r="AS3" s="182"/>
      <c r="AT3" s="182"/>
      <c r="AU3" s="182"/>
      <c r="AV3" s="182"/>
      <c r="AW3" s="182"/>
      <c r="AX3" s="182"/>
      <c r="AY3" s="182"/>
      <c r="AZ3" s="182"/>
      <c r="BA3" s="183"/>
      <c r="BB3" s="184" t="s">
        <v>2</v>
      </c>
      <c r="BC3" s="185"/>
      <c r="BD3" s="185"/>
      <c r="BE3" s="185"/>
      <c r="BF3" s="185"/>
      <c r="BG3" s="185"/>
      <c r="BH3" s="185"/>
      <c r="BI3" s="185"/>
      <c r="BJ3" s="185"/>
      <c r="BK3" s="185"/>
      <c r="BL3" s="185"/>
      <c r="BM3" s="185"/>
      <c r="BN3" s="185"/>
      <c r="BO3" s="185"/>
      <c r="BP3" s="185"/>
      <c r="BQ3" s="185"/>
      <c r="BR3" s="185"/>
      <c r="BS3" s="185"/>
      <c r="BT3" s="186"/>
      <c r="BU3" s="179" t="s">
        <v>3</v>
      </c>
      <c r="BV3" s="180"/>
      <c r="BW3" s="180"/>
      <c r="BX3" s="180"/>
      <c r="BY3" s="180"/>
      <c r="BZ3" s="180"/>
      <c r="CA3" s="180"/>
      <c r="CB3" s="180"/>
      <c r="CC3" s="180"/>
      <c r="CD3" s="180"/>
      <c r="CE3" s="180"/>
      <c r="CF3" s="180"/>
      <c r="CG3" s="180"/>
      <c r="CH3" s="180"/>
      <c r="CI3" s="180"/>
      <c r="CJ3" s="180"/>
      <c r="CK3" s="180"/>
      <c r="CL3" s="181"/>
      <c r="CM3" s="187" t="s">
        <v>4</v>
      </c>
      <c r="CN3" s="188"/>
      <c r="CO3" s="188"/>
      <c r="CP3" s="188"/>
      <c r="CQ3" s="188"/>
      <c r="CR3" s="188"/>
      <c r="CS3" s="188"/>
      <c r="CT3" s="188"/>
      <c r="CU3" s="188"/>
      <c r="CV3" s="188"/>
      <c r="CW3" s="188"/>
      <c r="CX3" s="189"/>
      <c r="CZ3" s="89"/>
      <c r="DC3" s="89"/>
      <c r="DD3" s="89"/>
      <c r="DF3" s="190" t="s">
        <v>1</v>
      </c>
      <c r="DG3" s="172"/>
      <c r="DH3" s="172"/>
      <c r="DI3" s="172"/>
      <c r="DJ3" s="172"/>
      <c r="DK3" s="172"/>
      <c r="DL3" s="172"/>
      <c r="DM3" s="172"/>
      <c r="DN3" s="172"/>
      <c r="DO3" s="172"/>
      <c r="DP3" s="172"/>
      <c r="DQ3" s="20"/>
      <c r="DR3" s="190" t="s">
        <v>5</v>
      </c>
      <c r="DS3" s="172"/>
      <c r="DT3" s="172"/>
      <c r="DU3" s="20"/>
      <c r="DV3" s="190" t="s">
        <v>2</v>
      </c>
      <c r="DW3" s="172"/>
      <c r="DX3" s="172"/>
      <c r="DY3" s="172"/>
      <c r="DZ3" s="172"/>
      <c r="EA3" s="172"/>
      <c r="EB3" s="172"/>
      <c r="EC3" s="172"/>
      <c r="ED3" s="172"/>
      <c r="EE3" s="20"/>
      <c r="EF3" s="190" t="s">
        <v>3</v>
      </c>
      <c r="EG3" s="172"/>
      <c r="EH3" s="172"/>
      <c r="EI3" s="172"/>
      <c r="EJ3" s="172"/>
      <c r="EK3" s="172"/>
      <c r="EL3" s="172"/>
      <c r="EM3" s="172" t="s">
        <v>4</v>
      </c>
      <c r="EN3" s="172"/>
      <c r="EO3" s="172"/>
      <c r="EP3" s="172"/>
      <c r="EQ3" s="172"/>
      <c r="ER3" s="172"/>
      <c r="ES3" s="172"/>
      <c r="ET3" s="20"/>
      <c r="EU3" s="173" t="s">
        <v>6</v>
      </c>
      <c r="EV3" s="174"/>
      <c r="EW3" s="174"/>
      <c r="EX3" s="175"/>
      <c r="EY3" s="78"/>
      <c r="EZ3" s="78"/>
      <c r="FA3" s="78"/>
      <c r="FB3" s="78"/>
      <c r="FC3" s="78"/>
      <c r="FD3" s="78"/>
      <c r="FE3" s="78"/>
    </row>
    <row r="4" spans="1:161" s="67" customFormat="1" ht="58.5" customHeight="1" x14ac:dyDescent="0.25">
      <c r="A4" s="2" t="s">
        <v>7</v>
      </c>
      <c r="B4" s="3" t="s">
        <v>8</v>
      </c>
      <c r="C4" s="2" t="s">
        <v>9</v>
      </c>
      <c r="D4" s="2" t="s">
        <v>10</v>
      </c>
      <c r="E4" s="2" t="s">
        <v>11</v>
      </c>
      <c r="F4" s="4" t="s">
        <v>12</v>
      </c>
      <c r="G4" s="61" t="s">
        <v>13</v>
      </c>
      <c r="H4" s="61" t="s">
        <v>14</v>
      </c>
      <c r="I4" s="61" t="s">
        <v>15</v>
      </c>
      <c r="J4" s="62" t="s">
        <v>16</v>
      </c>
      <c r="K4" s="159" t="s">
        <v>17</v>
      </c>
      <c r="L4" s="5" t="s">
        <v>18</v>
      </c>
      <c r="M4" s="57" t="s">
        <v>19</v>
      </c>
      <c r="N4" s="2" t="s">
        <v>20</v>
      </c>
      <c r="O4" s="26" t="s">
        <v>21</v>
      </c>
      <c r="P4" s="63" t="s">
        <v>22</v>
      </c>
      <c r="Q4" s="64" t="s">
        <v>23</v>
      </c>
      <c r="R4" s="65" t="s">
        <v>24</v>
      </c>
      <c r="S4" s="64" t="s">
        <v>25</v>
      </c>
      <c r="T4" s="64" t="s">
        <v>26</v>
      </c>
      <c r="U4" s="64" t="s">
        <v>27</v>
      </c>
      <c r="V4" s="64" t="s">
        <v>28</v>
      </c>
      <c r="W4" s="64" t="s">
        <v>29</v>
      </c>
      <c r="X4" s="65" t="s">
        <v>30</v>
      </c>
      <c r="Y4" s="65" t="s">
        <v>31</v>
      </c>
      <c r="Z4" s="66" t="s">
        <v>32</v>
      </c>
      <c r="AA4" s="6" t="s">
        <v>33</v>
      </c>
      <c r="AB4" s="31" t="s">
        <v>34</v>
      </c>
      <c r="AC4" s="32" t="s">
        <v>35</v>
      </c>
      <c r="AD4" s="33" t="s">
        <v>36</v>
      </c>
      <c r="AE4" s="34" t="s">
        <v>37</v>
      </c>
      <c r="AF4" s="34" t="s">
        <v>38</v>
      </c>
      <c r="AG4" s="35" t="s">
        <v>39</v>
      </c>
      <c r="AH4" s="36" t="s">
        <v>40</v>
      </c>
      <c r="AI4" s="34" t="s">
        <v>37</v>
      </c>
      <c r="AJ4" s="34" t="s">
        <v>38</v>
      </c>
      <c r="AK4" s="35" t="s">
        <v>39</v>
      </c>
      <c r="AL4" s="36" t="s">
        <v>41</v>
      </c>
      <c r="AM4" s="34" t="s">
        <v>37</v>
      </c>
      <c r="AN4" s="34" t="s">
        <v>38</v>
      </c>
      <c r="AO4" s="35" t="s">
        <v>39</v>
      </c>
      <c r="AP4" s="36" t="s">
        <v>42</v>
      </c>
      <c r="AQ4" s="34" t="s">
        <v>37</v>
      </c>
      <c r="AR4" s="34" t="s">
        <v>38</v>
      </c>
      <c r="AS4" s="35" t="s">
        <v>39</v>
      </c>
      <c r="AT4" s="36" t="s">
        <v>43</v>
      </c>
      <c r="AU4" s="34" t="s">
        <v>37</v>
      </c>
      <c r="AV4" s="34" t="s">
        <v>38</v>
      </c>
      <c r="AW4" s="35" t="s">
        <v>39</v>
      </c>
      <c r="AX4" s="36" t="s">
        <v>44</v>
      </c>
      <c r="AY4" s="34" t="s">
        <v>37</v>
      </c>
      <c r="AZ4" s="34" t="s">
        <v>38</v>
      </c>
      <c r="BA4" s="35" t="s">
        <v>39</v>
      </c>
      <c r="BB4" s="37" t="s">
        <v>45</v>
      </c>
      <c r="BC4" s="38" t="s">
        <v>46</v>
      </c>
      <c r="BD4" s="38" t="s">
        <v>38</v>
      </c>
      <c r="BE4" s="39" t="s">
        <v>47</v>
      </c>
      <c r="BF4" s="40" t="s">
        <v>37</v>
      </c>
      <c r="BG4" s="38" t="s">
        <v>38</v>
      </c>
      <c r="BH4" s="41" t="s">
        <v>39</v>
      </c>
      <c r="BI4" s="39" t="s">
        <v>48</v>
      </c>
      <c r="BJ4" s="40" t="s">
        <v>37</v>
      </c>
      <c r="BK4" s="38" t="s">
        <v>38</v>
      </c>
      <c r="BL4" s="41" t="s">
        <v>49</v>
      </c>
      <c r="BM4" s="39" t="s">
        <v>50</v>
      </c>
      <c r="BN4" s="40" t="s">
        <v>37</v>
      </c>
      <c r="BO4" s="38" t="s">
        <v>38</v>
      </c>
      <c r="BP4" s="41" t="s">
        <v>39</v>
      </c>
      <c r="BQ4" s="42" t="s">
        <v>51</v>
      </c>
      <c r="BR4" s="43" t="s">
        <v>37</v>
      </c>
      <c r="BS4" s="38" t="s">
        <v>38</v>
      </c>
      <c r="BT4" s="44" t="s">
        <v>49</v>
      </c>
      <c r="BU4" s="27" t="s">
        <v>52</v>
      </c>
      <c r="BV4" s="28" t="s">
        <v>53</v>
      </c>
      <c r="BW4" s="29" t="s">
        <v>54</v>
      </c>
      <c r="BX4" s="28" t="s">
        <v>55</v>
      </c>
      <c r="BY4" s="29" t="s">
        <v>56</v>
      </c>
      <c r="BZ4" s="28" t="s">
        <v>57</v>
      </c>
      <c r="CA4" s="29" t="s">
        <v>58</v>
      </c>
      <c r="CB4" s="28" t="s">
        <v>59</v>
      </c>
      <c r="CC4" s="29" t="s">
        <v>60</v>
      </c>
      <c r="CD4" s="28" t="s">
        <v>61</v>
      </c>
      <c r="CE4" s="29" t="s">
        <v>62</v>
      </c>
      <c r="CF4" s="28" t="s">
        <v>63</v>
      </c>
      <c r="CG4" s="29" t="s">
        <v>64</v>
      </c>
      <c r="CH4" s="28" t="s">
        <v>65</v>
      </c>
      <c r="CI4" s="29" t="s">
        <v>66</v>
      </c>
      <c r="CJ4" s="28" t="s">
        <v>67</v>
      </c>
      <c r="CK4" s="29" t="s">
        <v>68</v>
      </c>
      <c r="CL4" s="30" t="s">
        <v>69</v>
      </c>
      <c r="CM4" s="45" t="s">
        <v>70</v>
      </c>
      <c r="CN4" s="46" t="s">
        <v>37</v>
      </c>
      <c r="CO4" s="47" t="s">
        <v>71</v>
      </c>
      <c r="CP4" s="48" t="s">
        <v>39</v>
      </c>
      <c r="CQ4" s="49" t="s">
        <v>72</v>
      </c>
      <c r="CR4" s="46" t="s">
        <v>37</v>
      </c>
      <c r="CS4" s="47" t="s">
        <v>71</v>
      </c>
      <c r="CT4" s="48" t="s">
        <v>39</v>
      </c>
      <c r="CU4" s="49" t="s">
        <v>73</v>
      </c>
      <c r="CV4" s="46" t="s">
        <v>37</v>
      </c>
      <c r="CW4" s="47" t="s">
        <v>71</v>
      </c>
      <c r="CX4" s="50" t="s">
        <v>39</v>
      </c>
      <c r="CY4" s="7" t="s">
        <v>74</v>
      </c>
      <c r="CZ4" s="10" t="s">
        <v>75</v>
      </c>
      <c r="DA4" s="9" t="s">
        <v>76</v>
      </c>
      <c r="DB4" s="8" t="s">
        <v>77</v>
      </c>
      <c r="DC4" s="10" t="s">
        <v>78</v>
      </c>
      <c r="DD4" s="10" t="s">
        <v>79</v>
      </c>
      <c r="DE4" s="11" t="s">
        <v>80</v>
      </c>
      <c r="DF4" s="51" t="s">
        <v>81</v>
      </c>
      <c r="DG4" s="52" t="s">
        <v>82</v>
      </c>
      <c r="DH4" s="52" t="s">
        <v>83</v>
      </c>
      <c r="DI4" s="52" t="s">
        <v>84</v>
      </c>
      <c r="DJ4" s="52" t="s">
        <v>85</v>
      </c>
      <c r="DK4" s="52" t="s">
        <v>86</v>
      </c>
      <c r="DL4" s="52" t="s">
        <v>87</v>
      </c>
      <c r="DM4" s="52" t="s">
        <v>88</v>
      </c>
      <c r="DN4" s="52" t="s">
        <v>89</v>
      </c>
      <c r="DO4" s="52" t="s">
        <v>90</v>
      </c>
      <c r="DP4" s="52" t="s">
        <v>91</v>
      </c>
      <c r="DQ4" s="53" t="s">
        <v>92</v>
      </c>
      <c r="DR4" s="51" t="s">
        <v>17</v>
      </c>
      <c r="DS4" s="52" t="s">
        <v>93</v>
      </c>
      <c r="DT4" s="52" t="s">
        <v>94</v>
      </c>
      <c r="DU4" s="53" t="s">
        <v>95</v>
      </c>
      <c r="DV4" s="51" t="s">
        <v>96</v>
      </c>
      <c r="DW4" s="52" t="s">
        <v>97</v>
      </c>
      <c r="DX4" s="52" t="s">
        <v>98</v>
      </c>
      <c r="DY4" s="52" t="s">
        <v>99</v>
      </c>
      <c r="DZ4" s="52" t="s">
        <v>100</v>
      </c>
      <c r="EA4" s="52" t="s">
        <v>101</v>
      </c>
      <c r="EB4" s="52" t="s">
        <v>102</v>
      </c>
      <c r="EC4" s="52" t="s">
        <v>103</v>
      </c>
      <c r="ED4" s="52" t="s">
        <v>89</v>
      </c>
      <c r="EE4" s="53" t="s">
        <v>90</v>
      </c>
      <c r="EF4" s="51" t="s">
        <v>104</v>
      </c>
      <c r="EG4" s="54" t="s">
        <v>105</v>
      </c>
      <c r="EH4" s="54" t="s">
        <v>106</v>
      </c>
      <c r="EI4" s="54" t="s">
        <v>107</v>
      </c>
      <c r="EJ4" s="54" t="s">
        <v>108</v>
      </c>
      <c r="EK4" s="54" t="s">
        <v>109</v>
      </c>
      <c r="EL4" s="54" t="s">
        <v>110</v>
      </c>
      <c r="EM4" s="54" t="s">
        <v>111</v>
      </c>
      <c r="EN4" s="55" t="s">
        <v>112</v>
      </c>
      <c r="EO4" s="51" t="s">
        <v>113</v>
      </c>
      <c r="EP4" s="54" t="s">
        <v>114</v>
      </c>
      <c r="EQ4" s="54" t="s">
        <v>115</v>
      </c>
      <c r="ER4" s="54" t="s">
        <v>116</v>
      </c>
      <c r="ES4" s="54" t="s">
        <v>117</v>
      </c>
      <c r="ET4" s="55" t="s">
        <v>118</v>
      </c>
      <c r="EU4" s="51" t="s">
        <v>119</v>
      </c>
      <c r="EV4" s="56" t="s">
        <v>120</v>
      </c>
      <c r="EW4" s="52" t="s">
        <v>121</v>
      </c>
      <c r="EX4" s="55" t="s">
        <v>122</v>
      </c>
      <c r="EY4" s="19" t="s">
        <v>123</v>
      </c>
      <c r="EZ4" s="15" t="s">
        <v>124</v>
      </c>
      <c r="FA4" s="12" t="s">
        <v>125</v>
      </c>
      <c r="FB4" s="13" t="s">
        <v>126</v>
      </c>
      <c r="FC4" s="14" t="s">
        <v>127</v>
      </c>
      <c r="FD4" s="16" t="s">
        <v>128</v>
      </c>
      <c r="FE4" s="17" t="s">
        <v>129</v>
      </c>
    </row>
    <row r="5" spans="1:161" ht="15.75" customHeight="1" x14ac:dyDescent="0.35">
      <c r="A5" s="69">
        <v>4520256615</v>
      </c>
      <c r="B5" s="59"/>
      <c r="C5" s="59" t="s">
        <v>130</v>
      </c>
      <c r="D5" s="59" t="s">
        <v>131</v>
      </c>
      <c r="E5" s="59" t="s">
        <v>132</v>
      </c>
      <c r="F5" s="96">
        <v>42753</v>
      </c>
      <c r="G5" s="59" t="s">
        <v>133</v>
      </c>
      <c r="H5" s="59" t="s">
        <v>133</v>
      </c>
      <c r="I5" s="59" t="s">
        <v>133</v>
      </c>
      <c r="J5" s="59" t="s">
        <v>133</v>
      </c>
      <c r="K5" s="59" t="s">
        <v>134</v>
      </c>
      <c r="L5" s="59" t="s">
        <v>135</v>
      </c>
      <c r="M5" s="59" t="s">
        <v>133</v>
      </c>
      <c r="N5" s="95" t="s">
        <v>136</v>
      </c>
      <c r="O5" s="58">
        <v>18552</v>
      </c>
      <c r="P5" s="58">
        <v>42703</v>
      </c>
      <c r="Q5" s="60">
        <f>DATEDIF(O5, P5,"Y")</f>
        <v>66</v>
      </c>
      <c r="R5" s="72" t="s">
        <v>137</v>
      </c>
      <c r="S5" s="60" t="s">
        <v>138</v>
      </c>
      <c r="T5" s="59">
        <v>2</v>
      </c>
      <c r="U5" s="59">
        <v>1</v>
      </c>
      <c r="V5" s="59">
        <v>0</v>
      </c>
      <c r="W5" s="70">
        <v>0</v>
      </c>
      <c r="X5" s="59" t="s">
        <v>139</v>
      </c>
      <c r="Y5" s="70" t="s">
        <v>140</v>
      </c>
      <c r="Z5" s="70" t="s">
        <v>141</v>
      </c>
      <c r="AA5" s="59" t="s">
        <v>139</v>
      </c>
      <c r="AB5" s="59"/>
      <c r="AC5" s="95"/>
      <c r="AD5" s="95"/>
      <c r="AE5" s="58"/>
      <c r="AF5" s="58"/>
      <c r="AG5" s="95"/>
      <c r="AH5" s="95"/>
      <c r="AI5" s="58"/>
      <c r="AJ5" s="58"/>
      <c r="AK5" s="95"/>
      <c r="AL5" s="95"/>
      <c r="AM5" s="58"/>
      <c r="AN5" s="58"/>
      <c r="AO5" s="95"/>
      <c r="AP5" s="95"/>
      <c r="AQ5" s="58"/>
      <c r="AR5" s="58"/>
      <c r="AS5" s="95"/>
      <c r="AT5" s="95"/>
      <c r="AU5" s="58"/>
      <c r="AV5" s="58"/>
      <c r="AW5" s="95"/>
      <c r="AX5" s="59"/>
      <c r="AY5" s="58"/>
      <c r="AZ5" s="58"/>
      <c r="BA5" s="95"/>
      <c r="BB5" s="59"/>
      <c r="BC5" s="58"/>
      <c r="BD5" s="58"/>
      <c r="BE5" s="95"/>
      <c r="BF5" s="58"/>
      <c r="BG5" s="58"/>
      <c r="BH5" s="95"/>
      <c r="BI5" s="95"/>
      <c r="BJ5" s="58"/>
      <c r="BK5" s="58"/>
      <c r="BL5" s="95"/>
      <c r="BM5" s="95"/>
      <c r="BN5" s="58"/>
      <c r="BO5" s="58"/>
      <c r="BP5" s="95"/>
      <c r="BQ5" s="95"/>
      <c r="BR5" s="58"/>
      <c r="BS5" s="58"/>
      <c r="BT5" s="95"/>
      <c r="BU5" s="58"/>
      <c r="BV5" s="59"/>
      <c r="BW5" s="58"/>
      <c r="BX5" s="59"/>
      <c r="BY5" s="58"/>
      <c r="BZ5" s="59"/>
      <c r="CA5" s="58"/>
      <c r="CB5" s="59"/>
      <c r="CC5" s="58"/>
      <c r="CD5" s="59"/>
      <c r="CE5" s="58"/>
      <c r="CF5" s="59"/>
      <c r="CG5" s="58"/>
      <c r="CH5" s="59"/>
      <c r="CI5" s="58"/>
      <c r="CJ5" s="59"/>
      <c r="CK5" s="58"/>
      <c r="CL5" s="59"/>
      <c r="CM5" s="95"/>
      <c r="CN5" s="58"/>
      <c r="CO5" s="58"/>
      <c r="CP5" s="95"/>
      <c r="CQ5" s="95"/>
      <c r="CR5" s="58"/>
      <c r="CS5" s="58"/>
      <c r="CT5" s="95"/>
      <c r="CU5" s="59"/>
      <c r="CV5" s="58"/>
      <c r="CW5" s="58"/>
      <c r="CX5" s="95"/>
      <c r="CY5" s="59"/>
      <c r="CZ5" s="58"/>
      <c r="DA5" s="59"/>
      <c r="DB5" s="70"/>
      <c r="DC5" s="58"/>
      <c r="DD5" s="58"/>
      <c r="DE5" s="59" t="s">
        <v>142</v>
      </c>
      <c r="DF5" s="97">
        <f>IFERROR((YEARFRAC(P5,AE5)*12),"N/A")</f>
        <v>1402.9666666666667</v>
      </c>
      <c r="DG5" s="97">
        <f>IFERROR((YEARFRAC(P5,AF5)*12),"N/A")</f>
        <v>1402.9666666666667</v>
      </c>
      <c r="DH5" s="97">
        <f>IFERROR((YEARFRAC(P5,AI5)*12),"N/A")</f>
        <v>1402.9666666666667</v>
      </c>
      <c r="DI5" s="98">
        <f>IFERROR((YEARFRAC(P5,AJ5)*12),"N/A")</f>
        <v>1402.9666666666667</v>
      </c>
      <c r="DJ5" s="98">
        <f>IFERROR((YEARFRAC(P5,AM5)*12),"N/A")</f>
        <v>1402.9666666666667</v>
      </c>
      <c r="DK5" s="98">
        <f>IFERROR((YEARFRAC(P5,AN5)*12),"N/A")</f>
        <v>1402.9666666666667</v>
      </c>
      <c r="DL5" s="98">
        <f>IFERROR((YEARFRAC(P5,AQ5)*12),"N/A")</f>
        <v>1402.9666666666667</v>
      </c>
      <c r="DM5" s="98">
        <f>IFERROR((YEARFRAC(P5,AR5)*12),"N/A")</f>
        <v>1402.9666666666667</v>
      </c>
      <c r="DN5" s="98">
        <f>IFERROR((YEARFRAC(P5,AU5)*12),"N/A")</f>
        <v>1402.9666666666667</v>
      </c>
      <c r="DO5" s="98">
        <f>IFERROR((YEARFRAC(P5,AV5)*12),"N/A")</f>
        <v>1402.9666666666667</v>
      </c>
      <c r="DP5" s="98">
        <f>IFERROR((YEARFRAC(P5,AY5)*12),"N/A")</f>
        <v>1402.9666666666667</v>
      </c>
      <c r="DQ5" s="98">
        <f>IFERROR((YEARFRAC(P5,AZ5)*12),"N/A")</f>
        <v>1402.9666666666667</v>
      </c>
      <c r="DR5" s="98">
        <f>IFERROR((YEARFRAC(P5,F5)*12),"N/A")</f>
        <v>1.6333333333333333</v>
      </c>
      <c r="DS5" s="98" t="str">
        <f>IFERROR((YEARFRAC(P5,#REF!)*12),"N/A")</f>
        <v>N/A</v>
      </c>
      <c r="DT5" s="98" t="str">
        <f>IFERROR((YEARFRAC(P5,#REF!)*12),"N/A")</f>
        <v>N/A</v>
      </c>
      <c r="DU5" s="98" t="str">
        <f>IFERROR((YEARFRAC(P5,#REF!)*12),"N/A")</f>
        <v>N/A</v>
      </c>
      <c r="DV5" s="98">
        <f>IFERROR((YEARFRAC(P5,BC5)*12),"N/A")</f>
        <v>1402.9666666666667</v>
      </c>
      <c r="DW5" s="98">
        <f>IFERROR((YEARFRAC(P5,BD5)*12),"N/A")</f>
        <v>1402.9666666666667</v>
      </c>
      <c r="DX5" s="98">
        <f>IFERROR((YEARFRAC(P5,BF5)*12),"N/A")</f>
        <v>1402.9666666666667</v>
      </c>
      <c r="DY5" s="98">
        <f>IFERROR((YEARFRAC(P5,BG5)*12),"N/A")</f>
        <v>1402.9666666666667</v>
      </c>
      <c r="DZ5" s="98">
        <f>IFERROR((YEARFRAC(P5,BJ5)*12),"N/A")</f>
        <v>1402.9666666666667</v>
      </c>
      <c r="EA5" s="98">
        <f>IFERROR((YEARFRAC(P5,BK5)*12),"N/A")</f>
        <v>1402.9666666666667</v>
      </c>
      <c r="EB5" s="98">
        <f>IFERROR((YEARFRAC(P5,BN5)*12),"N/A")</f>
        <v>1402.9666666666667</v>
      </c>
      <c r="EC5" s="98">
        <f>IFERROR((YEARFRAC(P5,BO5)*12),"N/A")</f>
        <v>1402.9666666666667</v>
      </c>
      <c r="ED5" s="98">
        <f>IFERROR((YEARFRAC(P5,BR5)*12),"N/A")</f>
        <v>1402.9666666666667</v>
      </c>
      <c r="EE5" s="98">
        <f>IFERROR((YEARFRAC(P5,BS5)*12),"N/A")</f>
        <v>1402.9666666666667</v>
      </c>
      <c r="EF5" s="98">
        <f>IFERROR((YEARFRAC(P5,BU5)*12),"N/A")</f>
        <v>1402.9666666666667</v>
      </c>
      <c r="EG5" s="98">
        <f>IFERROR((YEARFRAC(P5,BW5)*12),"N/A")</f>
        <v>1402.9666666666667</v>
      </c>
      <c r="EH5" s="98">
        <f>IFERROR((YEARFRAC(P5,BY5)*12),"N/A")</f>
        <v>1402.9666666666667</v>
      </c>
      <c r="EI5" s="98">
        <f>IFERROR((YEARFRAC(P5,CA5)*12),"N/A")</f>
        <v>1402.9666666666667</v>
      </c>
      <c r="EJ5" s="98">
        <f>IFERROR((YEARFRAC(P5,CC5)*12),"N/A")</f>
        <v>1402.9666666666667</v>
      </c>
      <c r="EK5" s="98">
        <f>IFERROR((YEARFRAC(P5,CE5)*12),"N/A")</f>
        <v>1402.9666666666667</v>
      </c>
      <c r="EL5" s="98">
        <f>IFERROR((YEARFRAC(P5,CG5)*12),"N/A")</f>
        <v>1402.9666666666667</v>
      </c>
      <c r="EM5" s="98">
        <f>IFERROR((YEARFRAC(P5,CI5)*12),"N/A")</f>
        <v>1402.9666666666667</v>
      </c>
      <c r="EN5" s="98">
        <f>IFERROR((YEARFRAC(P5,CK5)*12),"N/A")</f>
        <v>1402.9666666666667</v>
      </c>
      <c r="EO5" s="98">
        <f>IFERROR((YEARFRAC(P5,CN5)*12),"N/A")</f>
        <v>1402.9666666666667</v>
      </c>
      <c r="EP5" s="98">
        <f>IFERROR((YEARFRAC(P5,CO5)*12),"N/A")</f>
        <v>1402.9666666666667</v>
      </c>
      <c r="EQ5" s="98">
        <f>IFERROR((YEARFRAC(P5,CR5)*12),"N/A")</f>
        <v>1402.9666666666667</v>
      </c>
      <c r="ER5" s="98">
        <f>IFERROR((YEARFRAC(P5,CS5)*12),"N/A")</f>
        <v>1402.9666666666667</v>
      </c>
      <c r="ES5" s="98">
        <f>IFERROR((YEARFRAC(P5,CV5)*12),"N/A")</f>
        <v>1402.9666666666667</v>
      </c>
      <c r="ET5" s="98">
        <f>IFERROR((YEARFRAC(P5,CW5)*12),"N/A")</f>
        <v>1402.9666666666667</v>
      </c>
      <c r="EU5" s="98">
        <f t="shared" ref="EU5" si="0">EF5</f>
        <v>1402.9666666666667</v>
      </c>
      <c r="EV5" s="98">
        <f>IFERROR((YEARFRAC(P5,CZ5)*12),"N/A")</f>
        <v>1402.9666666666667</v>
      </c>
      <c r="EW5" s="98">
        <f>IFERROR((YEARFRAC(P5,DC5)*12),"N/A")</f>
        <v>1402.9666666666667</v>
      </c>
      <c r="EX5" s="98">
        <f>IFERROR((YEARFRAC(P5,DD5)*12),"N/A")</f>
        <v>1402.9666666666667</v>
      </c>
      <c r="EY5" s="98">
        <f>SUM(EV5,EX5)</f>
        <v>2805.9333333333334</v>
      </c>
      <c r="EZ5" s="98" cm="1">
        <f t="array" ref="EZ5">INDEX(EU5:EX5,MATCH(TRUE,INDEX(ISNUMBER(EU5:EX5),0),0))</f>
        <v>1402.9666666666667</v>
      </c>
      <c r="FA5" s="99">
        <f>IF(EU5="N/A",0,1)</f>
        <v>1</v>
      </c>
      <c r="FB5" s="99">
        <f>IF(DA5="Y",1,0)</f>
        <v>0</v>
      </c>
      <c r="FC5" s="99">
        <f>IF(EV5="N/A",0,1)</f>
        <v>1</v>
      </c>
      <c r="FD5" s="99" t="str">
        <f>IF(OR(FA5=1,FB5=1),"1","0")</f>
        <v>1</v>
      </c>
      <c r="FE5" s="99"/>
    </row>
    <row r="6" spans="1:161" ht="15.75" customHeight="1" x14ac:dyDescent="0.35">
      <c r="A6" s="69">
        <v>4250445798</v>
      </c>
      <c r="B6" s="59"/>
      <c r="C6" s="59" t="s">
        <v>130</v>
      </c>
      <c r="D6" s="59" t="s">
        <v>143</v>
      </c>
      <c r="E6" s="59" t="s">
        <v>144</v>
      </c>
      <c r="F6" s="58">
        <v>42774</v>
      </c>
      <c r="G6" s="59" t="s">
        <v>143</v>
      </c>
      <c r="H6" s="59" t="s">
        <v>145</v>
      </c>
      <c r="I6" s="59" t="s">
        <v>146</v>
      </c>
      <c r="J6" s="58">
        <v>42774</v>
      </c>
      <c r="K6" s="59" t="s">
        <v>134</v>
      </c>
      <c r="L6" s="59" t="s">
        <v>135</v>
      </c>
      <c r="M6" s="59" t="s">
        <v>133</v>
      </c>
      <c r="N6" s="95" t="s">
        <v>136</v>
      </c>
      <c r="O6" s="58">
        <v>16856</v>
      </c>
      <c r="P6" s="58">
        <v>42740</v>
      </c>
      <c r="Q6" s="60">
        <f t="shared" ref="Q6:Q69" si="1">DATEDIF(O6, P6,"Y")</f>
        <v>70</v>
      </c>
      <c r="R6" s="59" t="s">
        <v>147</v>
      </c>
      <c r="S6" s="59" t="s">
        <v>138</v>
      </c>
      <c r="T6" s="59" t="s">
        <v>148</v>
      </c>
      <c r="U6" s="59">
        <v>0</v>
      </c>
      <c r="V6" s="59" t="s">
        <v>149</v>
      </c>
      <c r="W6" s="59">
        <v>0</v>
      </c>
      <c r="X6" s="59" t="s">
        <v>150</v>
      </c>
      <c r="Y6" s="59">
        <v>1</v>
      </c>
      <c r="Z6" s="59" t="s">
        <v>151</v>
      </c>
      <c r="AA6" s="59" t="s">
        <v>150</v>
      </c>
      <c r="AB6" s="59"/>
      <c r="AC6" s="59"/>
      <c r="AD6" s="59"/>
      <c r="AE6" s="59"/>
      <c r="AF6" s="59"/>
      <c r="AG6" s="59"/>
      <c r="AH6" s="59"/>
      <c r="AI6" s="59"/>
      <c r="AJ6" s="59"/>
      <c r="AK6" s="59"/>
      <c r="AL6" s="59"/>
      <c r="AM6" s="59"/>
      <c r="AN6" s="59"/>
      <c r="AO6" s="59"/>
      <c r="AP6" s="59"/>
      <c r="AQ6" s="59"/>
      <c r="AR6" s="59"/>
      <c r="AS6" s="59"/>
      <c r="AT6" s="59"/>
      <c r="AU6" s="59"/>
      <c r="AV6" s="59"/>
      <c r="AW6" s="59"/>
      <c r="AX6" s="59"/>
      <c r="AY6" s="59"/>
      <c r="AZ6" s="59"/>
      <c r="BA6" s="59"/>
      <c r="BB6" s="59"/>
      <c r="BC6" s="59"/>
      <c r="BD6" s="59"/>
      <c r="BE6" s="59"/>
      <c r="BF6" s="59"/>
      <c r="BG6" s="59"/>
      <c r="BH6" s="59"/>
      <c r="BI6" s="59"/>
      <c r="BJ6" s="59"/>
      <c r="BK6" s="59"/>
      <c r="BL6" s="59"/>
      <c r="BM6" s="59"/>
      <c r="BN6" s="59"/>
      <c r="BO6" s="59"/>
      <c r="BP6" s="59"/>
      <c r="BQ6" s="59"/>
      <c r="BR6" s="59"/>
      <c r="BS6" s="59"/>
      <c r="BT6" s="59"/>
      <c r="BU6" s="59"/>
      <c r="BV6" s="59"/>
      <c r="BW6" s="59"/>
      <c r="BX6" s="59"/>
      <c r="BY6" s="59"/>
      <c r="BZ6" s="59"/>
      <c r="CA6" s="59"/>
      <c r="CB6" s="59"/>
      <c r="CC6" s="59"/>
      <c r="CD6" s="59"/>
      <c r="CE6" s="59"/>
      <c r="CF6" s="59"/>
      <c r="CG6" s="59"/>
      <c r="CH6" s="59"/>
      <c r="CI6" s="59"/>
      <c r="CJ6" s="59"/>
      <c r="CK6" s="59"/>
      <c r="CL6" s="59"/>
      <c r="CM6" s="59"/>
      <c r="CN6" s="59"/>
      <c r="CO6" s="59"/>
      <c r="CP6" s="59"/>
      <c r="CQ6" s="59"/>
      <c r="CR6" s="59"/>
      <c r="CS6" s="59"/>
      <c r="CT6" s="59"/>
      <c r="CU6" s="59"/>
      <c r="CV6" s="59"/>
      <c r="CW6" s="59"/>
      <c r="CX6" s="59"/>
      <c r="CY6" s="59"/>
      <c r="CZ6" s="59"/>
      <c r="DA6" s="59"/>
      <c r="DB6" s="59"/>
      <c r="DC6" s="59"/>
      <c r="DD6" s="59"/>
      <c r="DE6" s="59"/>
      <c r="DF6" s="59"/>
      <c r="DG6" s="59"/>
      <c r="DH6" s="59"/>
      <c r="DI6" s="59"/>
      <c r="DJ6" s="59"/>
      <c r="DK6" s="59"/>
      <c r="DL6" s="59"/>
      <c r="DM6" s="59"/>
      <c r="DN6" s="59"/>
      <c r="DO6" s="59"/>
      <c r="DP6" s="59"/>
      <c r="DQ6" s="59"/>
      <c r="DR6" s="59"/>
      <c r="DS6" s="59"/>
      <c r="DT6" s="59"/>
      <c r="DU6" s="59"/>
      <c r="DV6" s="59"/>
      <c r="DW6" s="59"/>
      <c r="DX6" s="59"/>
      <c r="DY6" s="59"/>
      <c r="DZ6" s="59"/>
      <c r="EA6" s="59"/>
      <c r="EB6" s="59"/>
      <c r="EC6" s="59"/>
      <c r="ED6" s="59"/>
      <c r="EE6" s="59"/>
      <c r="EF6" s="59"/>
      <c r="EG6" s="59"/>
      <c r="EH6" s="59"/>
      <c r="EI6" s="59"/>
      <c r="EJ6" s="59"/>
      <c r="EK6" s="59"/>
      <c r="EL6" s="59"/>
      <c r="EM6" s="59"/>
      <c r="EN6" s="59"/>
      <c r="EO6" s="59"/>
      <c r="EP6" s="59"/>
      <c r="EQ6" s="59"/>
      <c r="ER6" s="59"/>
      <c r="ES6" s="59"/>
      <c r="ET6" s="59"/>
      <c r="EU6" s="59"/>
      <c r="EV6" s="59"/>
      <c r="EW6" s="59"/>
      <c r="EX6" s="59"/>
      <c r="EY6" s="59"/>
      <c r="EZ6" s="59"/>
      <c r="FA6" s="59"/>
      <c r="FB6" s="59"/>
      <c r="FC6" s="59"/>
      <c r="FD6" s="59"/>
      <c r="FE6" s="59"/>
    </row>
    <row r="7" spans="1:161" ht="15.75" customHeight="1" x14ac:dyDescent="0.35">
      <c r="A7" s="69">
        <v>4946723307</v>
      </c>
      <c r="B7" s="59"/>
      <c r="C7" s="59" t="s">
        <v>130</v>
      </c>
      <c r="D7" s="59" t="s">
        <v>152</v>
      </c>
      <c r="E7" s="94" t="s">
        <v>153</v>
      </c>
      <c r="F7" s="58">
        <v>42783</v>
      </c>
      <c r="G7" s="59" t="s">
        <v>152</v>
      </c>
      <c r="H7" s="94" t="s">
        <v>154</v>
      </c>
      <c r="I7" s="59" t="s">
        <v>146</v>
      </c>
      <c r="J7" s="58">
        <v>42783</v>
      </c>
      <c r="K7" s="59" t="s">
        <v>134</v>
      </c>
      <c r="L7" s="59" t="s">
        <v>135</v>
      </c>
      <c r="M7" s="59" t="s">
        <v>133</v>
      </c>
      <c r="N7" s="95" t="s">
        <v>136</v>
      </c>
      <c r="O7" s="58">
        <v>15135</v>
      </c>
      <c r="P7" s="58">
        <v>42751</v>
      </c>
      <c r="Q7" s="60">
        <f t="shared" si="1"/>
        <v>75</v>
      </c>
      <c r="R7" s="59" t="s">
        <v>155</v>
      </c>
      <c r="S7" s="59" t="s">
        <v>138</v>
      </c>
      <c r="T7" s="59" t="s">
        <v>148</v>
      </c>
      <c r="U7" s="59">
        <v>0</v>
      </c>
      <c r="V7" s="59">
        <v>0</v>
      </c>
      <c r="W7" s="59">
        <v>0</v>
      </c>
      <c r="X7" s="59" t="s">
        <v>150</v>
      </c>
      <c r="Y7" s="59">
        <v>3</v>
      </c>
      <c r="Z7" s="59" t="s">
        <v>151</v>
      </c>
      <c r="AA7" s="59" t="s">
        <v>150</v>
      </c>
      <c r="AB7" s="59"/>
      <c r="AC7" s="59"/>
      <c r="AD7" s="59"/>
      <c r="AE7" s="59"/>
      <c r="AF7" s="59"/>
      <c r="AG7" s="59"/>
      <c r="AH7" s="59"/>
      <c r="AI7" s="59"/>
      <c r="AJ7" s="59"/>
      <c r="AK7" s="59"/>
      <c r="AL7" s="59"/>
      <c r="AM7" s="59"/>
      <c r="AN7" s="59"/>
      <c r="AO7" s="59"/>
      <c r="AP7" s="59"/>
      <c r="AQ7" s="59"/>
      <c r="AR7" s="59"/>
      <c r="AS7" s="59"/>
      <c r="AT7" s="59"/>
      <c r="AU7" s="59"/>
      <c r="AV7" s="59"/>
      <c r="AW7" s="59"/>
      <c r="AX7" s="59"/>
      <c r="AY7" s="59"/>
      <c r="AZ7" s="59"/>
      <c r="BA7" s="59"/>
      <c r="BB7" s="59"/>
      <c r="BC7" s="59"/>
      <c r="BD7" s="59"/>
      <c r="BE7" s="59"/>
      <c r="BF7" s="59"/>
      <c r="BG7" s="59"/>
      <c r="BH7" s="59"/>
      <c r="BI7" s="59"/>
      <c r="BJ7" s="59"/>
      <c r="BK7" s="59"/>
      <c r="BL7" s="59"/>
      <c r="BM7" s="59"/>
      <c r="BN7" s="59"/>
      <c r="BO7" s="59"/>
      <c r="BP7" s="59"/>
      <c r="BQ7" s="59"/>
      <c r="BR7" s="59"/>
      <c r="BS7" s="59"/>
      <c r="BT7" s="59"/>
      <c r="BU7" s="59"/>
      <c r="BV7" s="59"/>
      <c r="BW7" s="59"/>
      <c r="BX7" s="59"/>
      <c r="BY7" s="59"/>
      <c r="BZ7" s="59"/>
      <c r="CA7" s="59"/>
      <c r="CB7" s="59"/>
      <c r="CC7" s="59"/>
      <c r="CD7" s="59"/>
      <c r="CE7" s="59"/>
      <c r="CF7" s="59"/>
      <c r="CG7" s="59"/>
      <c r="CH7" s="59"/>
      <c r="CI7" s="59"/>
      <c r="CJ7" s="59"/>
      <c r="CK7" s="59"/>
      <c r="CL7" s="59"/>
      <c r="CM7" s="59"/>
      <c r="CN7" s="59"/>
      <c r="CO7" s="59"/>
      <c r="CP7" s="59"/>
      <c r="CQ7" s="59"/>
      <c r="CR7" s="59"/>
      <c r="CS7" s="59"/>
      <c r="CT7" s="59"/>
      <c r="CU7" s="59"/>
      <c r="CV7" s="59"/>
      <c r="CW7" s="59"/>
      <c r="CX7" s="59"/>
      <c r="CY7" s="59"/>
      <c r="CZ7" s="59"/>
      <c r="DA7" s="59"/>
      <c r="DB7" s="59"/>
      <c r="DC7" s="59"/>
      <c r="DD7" s="59"/>
      <c r="DE7" s="59"/>
      <c r="DF7" s="59"/>
      <c r="DG7" s="59"/>
      <c r="DH7" s="59"/>
      <c r="DI7" s="59"/>
      <c r="DJ7" s="59"/>
      <c r="DK7" s="59"/>
      <c r="DL7" s="59"/>
      <c r="DM7" s="59"/>
      <c r="DN7" s="59"/>
      <c r="DO7" s="59"/>
      <c r="DP7" s="59"/>
      <c r="DQ7" s="59"/>
      <c r="DR7" s="59"/>
      <c r="DS7" s="59"/>
      <c r="DT7" s="59"/>
      <c r="DU7" s="59"/>
      <c r="DV7" s="59"/>
      <c r="DW7" s="59"/>
      <c r="DX7" s="59"/>
      <c r="DY7" s="59"/>
      <c r="DZ7" s="59"/>
      <c r="EA7" s="59"/>
      <c r="EB7" s="59"/>
      <c r="EC7" s="59"/>
      <c r="ED7" s="59"/>
      <c r="EE7" s="59"/>
      <c r="EF7" s="59"/>
      <c r="EG7" s="59"/>
      <c r="EH7" s="59"/>
      <c r="EI7" s="59"/>
      <c r="EJ7" s="59"/>
      <c r="EK7" s="59"/>
      <c r="EL7" s="59"/>
      <c r="EM7" s="59"/>
      <c r="EN7" s="59"/>
      <c r="EO7" s="59"/>
      <c r="EP7" s="59"/>
      <c r="EQ7" s="59"/>
      <c r="ER7" s="59"/>
      <c r="ES7" s="59"/>
      <c r="ET7" s="59"/>
      <c r="EU7" s="59"/>
      <c r="EV7" s="59"/>
      <c r="EW7" s="59"/>
      <c r="EX7" s="59"/>
      <c r="EY7" s="59"/>
      <c r="EZ7" s="59"/>
      <c r="FA7" s="59"/>
      <c r="FB7" s="59"/>
      <c r="FC7" s="59"/>
      <c r="FD7" s="59"/>
      <c r="FE7" s="59"/>
    </row>
    <row r="8" spans="1:161" ht="15.75" customHeight="1" x14ac:dyDescent="0.35">
      <c r="A8" s="69">
        <v>4362503161</v>
      </c>
      <c r="B8" s="59"/>
      <c r="C8" s="59" t="s">
        <v>130</v>
      </c>
      <c r="D8" s="59" t="s">
        <v>156</v>
      </c>
      <c r="E8" s="59" t="s">
        <v>157</v>
      </c>
      <c r="F8" s="58">
        <v>42801</v>
      </c>
      <c r="G8" s="59" t="s">
        <v>133</v>
      </c>
      <c r="H8" s="59" t="s">
        <v>133</v>
      </c>
      <c r="I8" s="59" t="s">
        <v>133</v>
      </c>
      <c r="J8" s="59" t="s">
        <v>133</v>
      </c>
      <c r="K8" s="59" t="s">
        <v>134</v>
      </c>
      <c r="L8" s="59" t="s">
        <v>135</v>
      </c>
      <c r="M8" s="59" t="s">
        <v>133</v>
      </c>
      <c r="N8" s="59" t="s">
        <v>136</v>
      </c>
      <c r="O8" s="58">
        <v>9597</v>
      </c>
      <c r="P8" s="58">
        <v>42727</v>
      </c>
      <c r="Q8" s="60">
        <f t="shared" si="1"/>
        <v>90</v>
      </c>
      <c r="R8" s="90" t="s">
        <v>158</v>
      </c>
      <c r="S8" s="59" t="s">
        <v>138</v>
      </c>
      <c r="T8" s="59">
        <v>2</v>
      </c>
      <c r="U8" s="59">
        <v>0</v>
      </c>
      <c r="V8" s="59">
        <v>0</v>
      </c>
      <c r="W8" s="59">
        <v>0</v>
      </c>
      <c r="X8" s="70" t="s">
        <v>159</v>
      </c>
      <c r="Y8" s="68">
        <v>3</v>
      </c>
      <c r="Z8" s="59" t="s">
        <v>160</v>
      </c>
      <c r="AA8" s="70" t="s">
        <v>159</v>
      </c>
      <c r="AB8" s="59"/>
      <c r="AC8" s="59"/>
      <c r="AD8" s="59"/>
      <c r="AE8" s="59"/>
      <c r="AF8" s="59"/>
      <c r="AG8" s="59"/>
      <c r="AH8" s="59"/>
      <c r="AI8" s="59"/>
      <c r="AJ8" s="59"/>
      <c r="AK8" s="59"/>
      <c r="AL8" s="59"/>
      <c r="AM8" s="59"/>
      <c r="AN8" s="59"/>
      <c r="AO8" s="59"/>
      <c r="AP8" s="59"/>
      <c r="AQ8" s="59"/>
      <c r="AR8" s="59"/>
      <c r="AS8" s="59"/>
      <c r="AT8" s="59"/>
      <c r="AU8" s="59"/>
      <c r="AV8" s="59"/>
      <c r="AW8" s="59"/>
      <c r="AX8" s="59"/>
      <c r="AY8" s="59"/>
      <c r="AZ8" s="59"/>
      <c r="BA8" s="59"/>
      <c r="BB8" s="59"/>
      <c r="BC8" s="59"/>
      <c r="BD8" s="59"/>
      <c r="BE8" s="59"/>
      <c r="BF8" s="59"/>
      <c r="BG8" s="59"/>
      <c r="BH8" s="59"/>
      <c r="BI8" s="59"/>
      <c r="BJ8" s="59"/>
      <c r="BK8" s="59"/>
      <c r="BL8" s="59"/>
      <c r="BM8" s="59"/>
      <c r="BN8" s="59"/>
      <c r="BO8" s="59"/>
      <c r="BP8" s="59"/>
      <c r="BQ8" s="59"/>
      <c r="BR8" s="59"/>
      <c r="BS8" s="59"/>
      <c r="BT8" s="59"/>
      <c r="BU8" s="59"/>
      <c r="BV8" s="59"/>
      <c r="BW8" s="59"/>
      <c r="BX8" s="59"/>
      <c r="BY8" s="59"/>
      <c r="BZ8" s="59"/>
      <c r="CA8" s="59"/>
      <c r="CB8" s="59"/>
      <c r="CC8" s="59"/>
      <c r="CD8" s="59"/>
      <c r="CE8" s="59"/>
      <c r="CF8" s="59"/>
      <c r="CG8" s="59"/>
      <c r="CH8" s="59"/>
      <c r="CI8" s="59"/>
      <c r="CJ8" s="59"/>
      <c r="CK8" s="59"/>
      <c r="CL8" s="59"/>
      <c r="CM8" s="59"/>
      <c r="CN8" s="59"/>
      <c r="CO8" s="59"/>
      <c r="CP8" s="59"/>
      <c r="CQ8" s="59"/>
      <c r="CR8" s="59"/>
      <c r="CS8" s="59"/>
      <c r="CT8" s="59"/>
      <c r="CU8" s="59"/>
      <c r="CV8" s="59"/>
      <c r="CW8" s="59"/>
      <c r="CX8" s="59"/>
      <c r="CY8" s="59"/>
      <c r="CZ8" s="59"/>
      <c r="DA8" s="59"/>
      <c r="DB8" s="59"/>
      <c r="DC8" s="59"/>
      <c r="DD8" s="59"/>
      <c r="DE8" s="59"/>
      <c r="DF8" s="59"/>
      <c r="DG8" s="59"/>
      <c r="DH8" s="59"/>
      <c r="DI8" s="59"/>
      <c r="DJ8" s="59"/>
      <c r="DK8" s="59"/>
      <c r="DL8" s="59"/>
      <c r="DM8" s="59"/>
      <c r="DN8" s="59"/>
      <c r="DO8" s="59"/>
      <c r="DP8" s="59"/>
      <c r="DQ8" s="59"/>
      <c r="DR8" s="59"/>
      <c r="DS8" s="59"/>
      <c r="DT8" s="59"/>
      <c r="DU8" s="59"/>
      <c r="DV8" s="59"/>
      <c r="DW8" s="59"/>
      <c r="DX8" s="59"/>
      <c r="DY8" s="59"/>
      <c r="DZ8" s="59"/>
      <c r="EA8" s="59"/>
      <c r="EB8" s="59"/>
      <c r="EC8" s="59"/>
      <c r="ED8" s="59"/>
      <c r="EE8" s="59"/>
      <c r="EF8" s="59"/>
      <c r="EG8" s="59"/>
      <c r="EH8" s="59"/>
      <c r="EI8" s="59"/>
      <c r="EJ8" s="59"/>
      <c r="EK8" s="59"/>
      <c r="EL8" s="59"/>
      <c r="EM8" s="59"/>
      <c r="EN8" s="59"/>
      <c r="EO8" s="59"/>
      <c r="EP8" s="59"/>
      <c r="EQ8" s="59"/>
      <c r="ER8" s="59"/>
      <c r="ES8" s="59"/>
      <c r="ET8" s="59"/>
      <c r="EU8" s="59"/>
      <c r="EV8" s="59"/>
      <c r="EW8" s="59"/>
      <c r="EX8" s="59"/>
      <c r="EY8" s="59"/>
      <c r="EZ8" s="59"/>
      <c r="FA8" s="59"/>
      <c r="FB8" s="59"/>
      <c r="FC8" s="59"/>
      <c r="FD8" s="59"/>
      <c r="FE8" s="59"/>
    </row>
    <row r="9" spans="1:161" ht="15.75" customHeight="1" x14ac:dyDescent="0.35">
      <c r="A9" s="69">
        <v>4363753323</v>
      </c>
      <c r="B9" s="59"/>
      <c r="C9" s="59" t="s">
        <v>130</v>
      </c>
      <c r="D9" s="59" t="s">
        <v>161</v>
      </c>
      <c r="E9" s="59" t="s">
        <v>162</v>
      </c>
      <c r="F9" s="58">
        <v>42807</v>
      </c>
      <c r="G9" s="59" t="s">
        <v>133</v>
      </c>
      <c r="H9" s="59" t="s">
        <v>133</v>
      </c>
      <c r="I9" s="59" t="s">
        <v>133</v>
      </c>
      <c r="J9" s="59" t="s">
        <v>133</v>
      </c>
      <c r="K9" s="59" t="s">
        <v>134</v>
      </c>
      <c r="L9" s="59" t="s">
        <v>135</v>
      </c>
      <c r="M9" s="59" t="s">
        <v>133</v>
      </c>
      <c r="N9" s="59" t="s">
        <v>136</v>
      </c>
      <c r="O9" s="58">
        <v>12131</v>
      </c>
      <c r="P9" s="58">
        <v>37568</v>
      </c>
      <c r="Q9" s="60">
        <f t="shared" si="1"/>
        <v>69</v>
      </c>
      <c r="R9" s="59" t="s">
        <v>163</v>
      </c>
      <c r="S9" s="59" t="s">
        <v>138</v>
      </c>
      <c r="T9" s="59" t="s">
        <v>164</v>
      </c>
      <c r="U9" s="59">
        <v>1</v>
      </c>
      <c r="V9" s="59">
        <v>0</v>
      </c>
      <c r="W9" s="59">
        <v>0</v>
      </c>
      <c r="X9" s="59" t="s">
        <v>139</v>
      </c>
      <c r="Y9" s="59">
        <v>3</v>
      </c>
      <c r="Z9" s="59" t="s">
        <v>165</v>
      </c>
      <c r="AA9" s="59" t="s">
        <v>139</v>
      </c>
      <c r="AB9" s="59"/>
      <c r="AC9" s="59"/>
      <c r="AD9" s="59"/>
      <c r="AE9" s="59"/>
      <c r="AF9" s="59"/>
      <c r="AG9" s="59"/>
      <c r="AH9" s="59"/>
      <c r="AI9" s="59"/>
      <c r="AJ9" s="59"/>
      <c r="AK9" s="59"/>
      <c r="AL9" s="59"/>
      <c r="AM9" s="59"/>
      <c r="AN9" s="59"/>
      <c r="AO9" s="59"/>
      <c r="AP9" s="59"/>
      <c r="AQ9" s="59"/>
      <c r="AR9" s="59"/>
      <c r="AS9" s="59"/>
      <c r="AT9" s="59"/>
      <c r="AU9" s="59"/>
      <c r="AV9" s="59"/>
      <c r="AW9" s="59"/>
      <c r="AX9" s="59"/>
      <c r="AY9" s="59"/>
      <c r="AZ9" s="59"/>
      <c r="BA9" s="59"/>
      <c r="BB9" s="59"/>
      <c r="BC9" s="59"/>
      <c r="BD9" s="59"/>
      <c r="BE9" s="59"/>
      <c r="BF9" s="59"/>
      <c r="BG9" s="59"/>
      <c r="BH9" s="59"/>
      <c r="BI9" s="59"/>
      <c r="BJ9" s="59"/>
      <c r="BK9" s="59"/>
      <c r="BL9" s="59"/>
      <c r="BM9" s="59"/>
      <c r="BN9" s="59"/>
      <c r="BO9" s="59"/>
      <c r="BP9" s="59"/>
      <c r="BQ9" s="59"/>
      <c r="BR9" s="59"/>
      <c r="BS9" s="59"/>
      <c r="BT9" s="59"/>
      <c r="BU9" s="59"/>
      <c r="BV9" s="59"/>
      <c r="BW9" s="59"/>
      <c r="BX9" s="59"/>
      <c r="BY9" s="59"/>
      <c r="BZ9" s="59"/>
      <c r="CA9" s="59"/>
      <c r="CB9" s="59"/>
      <c r="CC9" s="59"/>
      <c r="CD9" s="59"/>
      <c r="CE9" s="59"/>
      <c r="CF9" s="59"/>
      <c r="CG9" s="59"/>
      <c r="CH9" s="59"/>
      <c r="CI9" s="59"/>
      <c r="CJ9" s="59"/>
      <c r="CK9" s="59"/>
      <c r="CL9" s="59"/>
      <c r="CM9" s="59"/>
      <c r="CN9" s="59"/>
      <c r="CO9" s="59"/>
      <c r="CP9" s="59"/>
      <c r="CQ9" s="59"/>
      <c r="CR9" s="59"/>
      <c r="CS9" s="59"/>
      <c r="CT9" s="59"/>
      <c r="CU9" s="59"/>
      <c r="CV9" s="59"/>
      <c r="CW9" s="59"/>
      <c r="CX9" s="59"/>
      <c r="CY9" s="59"/>
      <c r="CZ9" s="59"/>
      <c r="DA9" s="59"/>
      <c r="DB9" s="59"/>
      <c r="DC9" s="59"/>
      <c r="DD9" s="59"/>
      <c r="DE9" s="59" t="s">
        <v>166</v>
      </c>
      <c r="DF9" s="59"/>
      <c r="DG9" s="59"/>
      <c r="DH9" s="59"/>
      <c r="DI9" s="59"/>
      <c r="DJ9" s="59"/>
      <c r="DK9" s="59"/>
      <c r="DL9" s="59"/>
      <c r="DM9" s="59"/>
      <c r="DN9" s="59"/>
      <c r="DO9" s="59"/>
      <c r="DP9" s="59"/>
      <c r="DQ9" s="59"/>
      <c r="DR9" s="59"/>
      <c r="DS9" s="59"/>
      <c r="DT9" s="59"/>
      <c r="DU9" s="59"/>
      <c r="DV9" s="59"/>
      <c r="DW9" s="59"/>
      <c r="DX9" s="59"/>
      <c r="DY9" s="59"/>
      <c r="DZ9" s="59"/>
      <c r="EA9" s="59"/>
      <c r="EB9" s="59"/>
      <c r="EC9" s="59"/>
      <c r="ED9" s="59"/>
      <c r="EE9" s="59"/>
      <c r="EF9" s="59"/>
      <c r="EG9" s="59"/>
      <c r="EH9" s="59"/>
      <c r="EI9" s="59"/>
      <c r="EJ9" s="59"/>
      <c r="EK9" s="59"/>
      <c r="EL9" s="59"/>
      <c r="EM9" s="59"/>
      <c r="EN9" s="59"/>
      <c r="EO9" s="59"/>
      <c r="EP9" s="59"/>
      <c r="EQ9" s="59"/>
      <c r="ER9" s="59"/>
      <c r="ES9" s="59"/>
      <c r="ET9" s="59"/>
      <c r="EU9" s="59"/>
      <c r="EV9" s="59"/>
      <c r="EW9" s="59"/>
      <c r="EX9" s="59"/>
      <c r="EY9" s="59"/>
      <c r="EZ9" s="59"/>
      <c r="FA9" s="59"/>
      <c r="FB9" s="59"/>
      <c r="FC9" s="59"/>
      <c r="FD9" s="59"/>
      <c r="FE9" s="59"/>
    </row>
    <row r="10" spans="1:161" ht="15.75" customHeight="1" x14ac:dyDescent="0.35">
      <c r="A10" s="69">
        <v>4662799619</v>
      </c>
      <c r="B10" s="59" t="s">
        <v>133</v>
      </c>
      <c r="C10" s="59" t="s">
        <v>133</v>
      </c>
      <c r="D10" s="59" t="s">
        <v>133</v>
      </c>
      <c r="E10" s="59" t="s">
        <v>133</v>
      </c>
      <c r="F10" s="58" t="s">
        <v>133</v>
      </c>
      <c r="G10" s="59" t="s">
        <v>167</v>
      </c>
      <c r="H10" s="59" t="s">
        <v>168</v>
      </c>
      <c r="I10" s="59" t="s">
        <v>169</v>
      </c>
      <c r="J10" s="58">
        <v>42808</v>
      </c>
      <c r="K10" s="59" t="s">
        <v>133</v>
      </c>
      <c r="L10" s="59" t="s">
        <v>133</v>
      </c>
      <c r="M10" s="59" t="s">
        <v>133</v>
      </c>
      <c r="N10" s="59" t="s">
        <v>136</v>
      </c>
      <c r="O10" s="58">
        <v>12867</v>
      </c>
      <c r="P10" s="58">
        <v>42808</v>
      </c>
      <c r="Q10" s="60">
        <f t="shared" si="1"/>
        <v>81</v>
      </c>
      <c r="R10" s="59" t="s">
        <v>133</v>
      </c>
      <c r="S10" s="59" t="s">
        <v>133</v>
      </c>
      <c r="T10" s="70" t="s">
        <v>133</v>
      </c>
      <c r="U10" s="70" t="s">
        <v>133</v>
      </c>
      <c r="V10" s="70" t="s">
        <v>133</v>
      </c>
      <c r="W10" s="70" t="s">
        <v>133</v>
      </c>
      <c r="X10" s="70" t="s">
        <v>133</v>
      </c>
      <c r="Y10" s="70" t="s">
        <v>133</v>
      </c>
      <c r="Z10" s="59" t="s">
        <v>133</v>
      </c>
      <c r="AA10" s="70" t="s">
        <v>133</v>
      </c>
      <c r="AB10" s="59" t="s">
        <v>133</v>
      </c>
      <c r="AC10" s="59" t="s">
        <v>133</v>
      </c>
      <c r="AD10" s="59" t="s">
        <v>133</v>
      </c>
      <c r="AE10" s="59" t="s">
        <v>133</v>
      </c>
      <c r="AF10" s="59" t="s">
        <v>133</v>
      </c>
      <c r="AG10" s="59" t="s">
        <v>133</v>
      </c>
      <c r="AH10" s="59" t="s">
        <v>133</v>
      </c>
      <c r="AI10" s="59" t="s">
        <v>133</v>
      </c>
      <c r="AJ10" s="59" t="s">
        <v>133</v>
      </c>
      <c r="AK10" s="59" t="s">
        <v>133</v>
      </c>
      <c r="AL10" s="59" t="s">
        <v>133</v>
      </c>
      <c r="AM10" s="59" t="s">
        <v>133</v>
      </c>
      <c r="AN10" s="59" t="s">
        <v>133</v>
      </c>
      <c r="AO10" s="59" t="s">
        <v>133</v>
      </c>
      <c r="AP10" s="59" t="s">
        <v>133</v>
      </c>
      <c r="AQ10" s="59" t="s">
        <v>133</v>
      </c>
      <c r="AR10" s="59" t="s">
        <v>133</v>
      </c>
      <c r="AS10" s="59" t="s">
        <v>133</v>
      </c>
      <c r="AT10" s="59" t="s">
        <v>133</v>
      </c>
      <c r="AU10" s="59" t="s">
        <v>133</v>
      </c>
      <c r="AV10" s="59" t="s">
        <v>133</v>
      </c>
      <c r="AW10" s="59" t="s">
        <v>133</v>
      </c>
      <c r="AX10" s="59" t="s">
        <v>133</v>
      </c>
      <c r="AY10" s="59" t="s">
        <v>133</v>
      </c>
      <c r="AZ10" s="59" t="s">
        <v>133</v>
      </c>
      <c r="BA10" s="59" t="s">
        <v>133</v>
      </c>
      <c r="BB10" s="59" t="s">
        <v>133</v>
      </c>
      <c r="BC10" s="59" t="s">
        <v>133</v>
      </c>
      <c r="BD10" s="59" t="s">
        <v>133</v>
      </c>
      <c r="BE10" s="59" t="s">
        <v>133</v>
      </c>
      <c r="BF10" s="59" t="s">
        <v>133</v>
      </c>
      <c r="BG10" s="59" t="s">
        <v>133</v>
      </c>
      <c r="BH10" s="59" t="s">
        <v>133</v>
      </c>
      <c r="BI10" s="59" t="s">
        <v>133</v>
      </c>
      <c r="BJ10" s="59" t="s">
        <v>133</v>
      </c>
      <c r="BK10" s="59" t="s">
        <v>133</v>
      </c>
      <c r="BL10" s="59" t="s">
        <v>133</v>
      </c>
      <c r="BM10" s="59" t="s">
        <v>133</v>
      </c>
      <c r="BN10" s="59" t="s">
        <v>133</v>
      </c>
      <c r="BO10" s="59" t="s">
        <v>133</v>
      </c>
      <c r="BP10" s="59" t="s">
        <v>133</v>
      </c>
      <c r="BQ10" s="59" t="s">
        <v>133</v>
      </c>
      <c r="BR10" s="59" t="s">
        <v>133</v>
      </c>
      <c r="BS10" s="59" t="s">
        <v>133</v>
      </c>
      <c r="BT10" s="59" t="s">
        <v>133</v>
      </c>
      <c r="BU10" s="59" t="s">
        <v>133</v>
      </c>
      <c r="BV10" s="59" t="s">
        <v>133</v>
      </c>
      <c r="BW10" s="59" t="s">
        <v>133</v>
      </c>
      <c r="BX10" s="59" t="s">
        <v>133</v>
      </c>
      <c r="BY10" s="59" t="s">
        <v>133</v>
      </c>
      <c r="BZ10" s="59" t="s">
        <v>133</v>
      </c>
      <c r="CA10" s="59" t="s">
        <v>133</v>
      </c>
      <c r="CB10" s="59" t="s">
        <v>133</v>
      </c>
      <c r="CC10" s="59" t="s">
        <v>133</v>
      </c>
      <c r="CD10" s="59" t="s">
        <v>133</v>
      </c>
      <c r="CE10" s="59" t="s">
        <v>133</v>
      </c>
      <c r="CF10" s="59" t="s">
        <v>133</v>
      </c>
      <c r="CG10" s="59" t="s">
        <v>133</v>
      </c>
      <c r="CH10" s="59" t="s">
        <v>133</v>
      </c>
      <c r="CI10" s="59" t="s">
        <v>133</v>
      </c>
      <c r="CJ10" s="59" t="s">
        <v>133</v>
      </c>
      <c r="CK10" s="59" t="s">
        <v>133</v>
      </c>
      <c r="CL10" s="59" t="s">
        <v>133</v>
      </c>
      <c r="CM10" s="59" t="s">
        <v>133</v>
      </c>
      <c r="CN10" s="59" t="s">
        <v>133</v>
      </c>
      <c r="CO10" s="59" t="s">
        <v>133</v>
      </c>
      <c r="CP10" s="59" t="s">
        <v>133</v>
      </c>
      <c r="CQ10" s="59" t="s">
        <v>133</v>
      </c>
      <c r="CR10" s="59" t="s">
        <v>133</v>
      </c>
      <c r="CS10" s="59" t="s">
        <v>133</v>
      </c>
      <c r="CT10" s="59" t="s">
        <v>133</v>
      </c>
      <c r="CU10" s="59" t="s">
        <v>133</v>
      </c>
      <c r="CV10" s="59" t="s">
        <v>133</v>
      </c>
      <c r="CW10" s="59" t="s">
        <v>133</v>
      </c>
      <c r="CX10" s="59" t="s">
        <v>133</v>
      </c>
      <c r="CY10" s="59" t="s">
        <v>133</v>
      </c>
      <c r="CZ10" s="59" t="s">
        <v>133</v>
      </c>
      <c r="DA10" s="59" t="s">
        <v>133</v>
      </c>
      <c r="DB10" s="59" t="s">
        <v>133</v>
      </c>
      <c r="DC10" s="59" t="s">
        <v>133</v>
      </c>
      <c r="DD10" s="59" t="s">
        <v>133</v>
      </c>
      <c r="DE10" s="59" t="s">
        <v>133</v>
      </c>
      <c r="DF10" s="59"/>
      <c r="DG10" s="59"/>
      <c r="DH10" s="59"/>
      <c r="DI10" s="59"/>
      <c r="DJ10" s="59"/>
      <c r="DK10" s="59"/>
      <c r="DL10" s="59"/>
      <c r="DM10" s="59"/>
      <c r="DN10" s="59"/>
      <c r="DO10" s="59"/>
      <c r="DP10" s="59"/>
      <c r="DQ10" s="59"/>
      <c r="DR10" s="59"/>
      <c r="DS10" s="59"/>
      <c r="DT10" s="59"/>
      <c r="DU10" s="59"/>
      <c r="DV10" s="59"/>
      <c r="DW10" s="59"/>
      <c r="DX10" s="59"/>
      <c r="DY10" s="59"/>
      <c r="DZ10" s="59"/>
      <c r="EA10" s="59"/>
      <c r="EB10" s="59"/>
      <c r="EC10" s="59"/>
      <c r="ED10" s="59"/>
      <c r="EE10" s="59"/>
      <c r="EF10" s="59"/>
      <c r="EG10" s="59"/>
      <c r="EH10" s="59"/>
      <c r="EI10" s="59"/>
      <c r="EJ10" s="59"/>
      <c r="EK10" s="59"/>
      <c r="EL10" s="59"/>
      <c r="EM10" s="59"/>
      <c r="EN10" s="59"/>
      <c r="EO10" s="59"/>
      <c r="EP10" s="59"/>
      <c r="EQ10" s="59"/>
      <c r="ER10" s="59"/>
      <c r="ES10" s="59"/>
      <c r="ET10" s="59"/>
      <c r="EU10" s="59"/>
      <c r="EV10" s="59"/>
      <c r="EW10" s="59"/>
      <c r="EX10" s="59"/>
      <c r="EY10" s="59"/>
      <c r="EZ10" s="59"/>
      <c r="FA10" s="59"/>
      <c r="FB10" s="59"/>
      <c r="FC10" s="59"/>
      <c r="FD10" s="59"/>
      <c r="FE10" s="59"/>
    </row>
    <row r="11" spans="1:161" ht="15.75" customHeight="1" x14ac:dyDescent="0.35">
      <c r="A11" s="69">
        <v>4367569659</v>
      </c>
      <c r="B11" s="59"/>
      <c r="C11" s="59" t="s">
        <v>130</v>
      </c>
      <c r="D11" s="59" t="s">
        <v>170</v>
      </c>
      <c r="E11" s="59" t="s">
        <v>171</v>
      </c>
      <c r="F11" s="93">
        <v>42808</v>
      </c>
      <c r="G11" s="59" t="s">
        <v>170</v>
      </c>
      <c r="H11" s="59" t="s">
        <v>172</v>
      </c>
      <c r="I11" s="59" t="s">
        <v>146</v>
      </c>
      <c r="J11" s="58">
        <v>42808</v>
      </c>
      <c r="K11" s="59" t="s">
        <v>173</v>
      </c>
      <c r="L11" s="59" t="s">
        <v>135</v>
      </c>
      <c r="M11" s="59" t="s">
        <v>133</v>
      </c>
      <c r="N11" s="59" t="s">
        <v>136</v>
      </c>
      <c r="O11" s="58">
        <v>12927</v>
      </c>
      <c r="P11" s="58">
        <v>42783</v>
      </c>
      <c r="Q11" s="60">
        <f t="shared" si="1"/>
        <v>81</v>
      </c>
      <c r="R11" s="59" t="s">
        <v>147</v>
      </c>
      <c r="S11" s="59" t="s">
        <v>138</v>
      </c>
      <c r="T11" s="59" t="s">
        <v>148</v>
      </c>
      <c r="U11" s="59">
        <v>0</v>
      </c>
      <c r="V11" s="59">
        <v>0</v>
      </c>
      <c r="W11" s="59">
        <v>0</v>
      </c>
      <c r="X11" s="59" t="s">
        <v>150</v>
      </c>
      <c r="Y11" s="59">
        <v>3</v>
      </c>
      <c r="Z11" s="59" t="s">
        <v>151</v>
      </c>
      <c r="AA11" s="59" t="s">
        <v>150</v>
      </c>
      <c r="AB11" s="59"/>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59"/>
      <c r="BA11" s="59"/>
      <c r="BB11" s="59"/>
      <c r="BC11" s="59"/>
      <c r="BD11" s="59"/>
      <c r="BE11" s="59"/>
      <c r="BF11" s="59"/>
      <c r="BG11" s="59"/>
      <c r="BH11" s="59"/>
      <c r="BI11" s="59"/>
      <c r="BJ11" s="59"/>
      <c r="BK11" s="59"/>
      <c r="BL11" s="59"/>
      <c r="BM11" s="59"/>
      <c r="BN11" s="59"/>
      <c r="BO11" s="59"/>
      <c r="BP11" s="59"/>
      <c r="BQ11" s="59"/>
      <c r="BR11" s="59"/>
      <c r="BS11" s="59"/>
      <c r="BT11" s="59"/>
      <c r="BU11" s="59"/>
      <c r="BV11" s="59"/>
      <c r="BW11" s="59"/>
      <c r="BX11" s="59"/>
      <c r="BY11" s="59"/>
      <c r="BZ11" s="59"/>
      <c r="CA11" s="59"/>
      <c r="CB11" s="59"/>
      <c r="CC11" s="59"/>
      <c r="CD11" s="59"/>
      <c r="CE11" s="59"/>
      <c r="CF11" s="59"/>
      <c r="CG11" s="59"/>
      <c r="CH11" s="59"/>
      <c r="CI11" s="59"/>
      <c r="CJ11" s="59"/>
      <c r="CK11" s="59"/>
      <c r="CL11" s="59"/>
      <c r="CM11" s="59"/>
      <c r="CN11" s="59"/>
      <c r="CO11" s="59"/>
      <c r="CP11" s="59"/>
      <c r="CQ11" s="59"/>
      <c r="CR11" s="59"/>
      <c r="CS11" s="59"/>
      <c r="CT11" s="59"/>
      <c r="CU11" s="59"/>
      <c r="CV11" s="59"/>
      <c r="CW11" s="59"/>
      <c r="CX11" s="59"/>
      <c r="CY11" s="59"/>
      <c r="CZ11" s="59"/>
      <c r="DA11" s="59"/>
      <c r="DB11" s="59"/>
      <c r="DC11" s="59"/>
      <c r="DD11" s="59"/>
      <c r="DE11" s="59"/>
      <c r="DF11" s="59"/>
      <c r="DG11" s="59"/>
      <c r="DH11" s="59"/>
      <c r="DI11" s="59"/>
      <c r="DJ11" s="59"/>
      <c r="DK11" s="59"/>
      <c r="DL11" s="59"/>
      <c r="DM11" s="59"/>
      <c r="DN11" s="59"/>
      <c r="DO11" s="59"/>
      <c r="DP11" s="59"/>
      <c r="DQ11" s="59"/>
      <c r="DR11" s="59"/>
      <c r="DS11" s="59"/>
      <c r="DT11" s="59"/>
      <c r="DU11" s="59"/>
      <c r="DV11" s="59"/>
      <c r="DW11" s="59"/>
      <c r="DX11" s="59"/>
      <c r="DY11" s="59"/>
      <c r="DZ11" s="59"/>
      <c r="EA11" s="59"/>
      <c r="EB11" s="59"/>
      <c r="EC11" s="59"/>
      <c r="ED11" s="59"/>
      <c r="EE11" s="59"/>
      <c r="EF11" s="59"/>
      <c r="EG11" s="59"/>
      <c r="EH11" s="59"/>
      <c r="EI11" s="59"/>
      <c r="EJ11" s="59"/>
      <c r="EK11" s="59"/>
      <c r="EL11" s="59"/>
      <c r="EM11" s="59"/>
      <c r="EN11" s="59"/>
      <c r="EO11" s="59"/>
      <c r="EP11" s="59"/>
      <c r="EQ11" s="59"/>
      <c r="ER11" s="59"/>
      <c r="ES11" s="59"/>
      <c r="ET11" s="59"/>
      <c r="EU11" s="59"/>
      <c r="EV11" s="59"/>
      <c r="EW11" s="59"/>
      <c r="EX11" s="59"/>
      <c r="EY11" s="59"/>
      <c r="EZ11" s="59"/>
      <c r="FA11" s="59"/>
      <c r="FB11" s="59"/>
      <c r="FC11" s="59"/>
      <c r="FD11" s="59"/>
      <c r="FE11" s="59"/>
    </row>
    <row r="12" spans="1:161" ht="15.75" customHeight="1" x14ac:dyDescent="0.35">
      <c r="A12" s="69">
        <v>4581564212</v>
      </c>
      <c r="B12" s="59"/>
      <c r="C12" s="59" t="s">
        <v>130</v>
      </c>
      <c r="D12" s="59" t="s">
        <v>174</v>
      </c>
      <c r="E12" s="59" t="s">
        <v>175</v>
      </c>
      <c r="F12" s="58">
        <v>42809</v>
      </c>
      <c r="G12" s="59" t="s">
        <v>133</v>
      </c>
      <c r="H12" s="59" t="s">
        <v>133</v>
      </c>
      <c r="I12" s="59" t="s">
        <v>133</v>
      </c>
      <c r="J12" s="59" t="s">
        <v>133</v>
      </c>
      <c r="K12" s="59" t="s">
        <v>134</v>
      </c>
      <c r="L12" s="59" t="s">
        <v>135</v>
      </c>
      <c r="M12" s="59" t="s">
        <v>133</v>
      </c>
      <c r="N12" s="59" t="s">
        <v>136</v>
      </c>
      <c r="O12" s="58">
        <v>19418</v>
      </c>
      <c r="P12" s="58">
        <v>42739</v>
      </c>
      <c r="Q12" s="60">
        <f t="shared" si="1"/>
        <v>63</v>
      </c>
      <c r="R12" s="59" t="s">
        <v>176</v>
      </c>
      <c r="S12" s="59" t="s">
        <v>138</v>
      </c>
      <c r="T12" s="59">
        <v>2</v>
      </c>
      <c r="U12" s="59">
        <v>0</v>
      </c>
      <c r="V12" s="59">
        <v>0</v>
      </c>
      <c r="W12" s="59">
        <v>0</v>
      </c>
      <c r="X12" s="59" t="s">
        <v>159</v>
      </c>
      <c r="Y12" s="70">
        <v>3</v>
      </c>
      <c r="Z12" s="59" t="s">
        <v>160</v>
      </c>
      <c r="AA12" s="59" t="s">
        <v>159</v>
      </c>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59"/>
      <c r="AZ12" s="59"/>
      <c r="BA12" s="59"/>
      <c r="BB12" s="59"/>
      <c r="BC12" s="59"/>
      <c r="BD12" s="59"/>
      <c r="BE12" s="59"/>
      <c r="BF12" s="59"/>
      <c r="BG12" s="59"/>
      <c r="BH12" s="59"/>
      <c r="BI12" s="59"/>
      <c r="BJ12" s="59"/>
      <c r="BK12" s="59"/>
      <c r="BL12" s="59"/>
      <c r="BM12" s="59"/>
      <c r="BN12" s="59"/>
      <c r="BO12" s="59"/>
      <c r="BP12" s="59"/>
      <c r="BQ12" s="59"/>
      <c r="BR12" s="59"/>
      <c r="BS12" s="59"/>
      <c r="BT12" s="59"/>
      <c r="BU12" s="59"/>
      <c r="BV12" s="59"/>
      <c r="BW12" s="59"/>
      <c r="BX12" s="59"/>
      <c r="BY12" s="59"/>
      <c r="BZ12" s="59"/>
      <c r="CA12" s="59"/>
      <c r="CB12" s="59"/>
      <c r="CC12" s="59"/>
      <c r="CD12" s="59"/>
      <c r="CE12" s="59"/>
      <c r="CF12" s="59"/>
      <c r="CG12" s="59"/>
      <c r="CH12" s="59"/>
      <c r="CI12" s="59"/>
      <c r="CJ12" s="59"/>
      <c r="CK12" s="59"/>
      <c r="CL12" s="59"/>
      <c r="CM12" s="59"/>
      <c r="CN12" s="59"/>
      <c r="CO12" s="59"/>
      <c r="CP12" s="59"/>
      <c r="CQ12" s="59"/>
      <c r="CR12" s="59"/>
      <c r="CS12" s="59"/>
      <c r="CT12" s="59"/>
      <c r="CU12" s="59"/>
      <c r="CV12" s="59"/>
      <c r="CW12" s="59"/>
      <c r="CX12" s="59"/>
      <c r="CY12" s="59"/>
      <c r="CZ12" s="59"/>
      <c r="DA12" s="59"/>
      <c r="DB12" s="59"/>
      <c r="DC12" s="59"/>
      <c r="DD12" s="59"/>
      <c r="DE12" s="59"/>
      <c r="DF12" s="59"/>
      <c r="DG12" s="59"/>
      <c r="DH12" s="59"/>
      <c r="DI12" s="59"/>
      <c r="DJ12" s="59"/>
      <c r="DK12" s="59"/>
      <c r="DL12" s="59"/>
      <c r="DM12" s="59"/>
      <c r="DN12" s="59"/>
      <c r="DO12" s="59"/>
      <c r="DP12" s="59"/>
      <c r="DQ12" s="59"/>
      <c r="DR12" s="59"/>
      <c r="DS12" s="59"/>
      <c r="DT12" s="59"/>
      <c r="DU12" s="59"/>
      <c r="DV12" s="59"/>
      <c r="DW12" s="59"/>
      <c r="DX12" s="59"/>
      <c r="DY12" s="59"/>
      <c r="DZ12" s="59"/>
      <c r="EA12" s="59"/>
      <c r="EB12" s="59"/>
      <c r="EC12" s="59"/>
      <c r="ED12" s="59"/>
      <c r="EE12" s="59"/>
      <c r="EF12" s="59"/>
      <c r="EG12" s="59"/>
      <c r="EH12" s="59"/>
      <c r="EI12" s="59"/>
      <c r="EJ12" s="59"/>
      <c r="EK12" s="59"/>
      <c r="EL12" s="59"/>
      <c r="EM12" s="59"/>
      <c r="EN12" s="59"/>
      <c r="EO12" s="59"/>
      <c r="EP12" s="59"/>
      <c r="EQ12" s="59"/>
      <c r="ER12" s="59"/>
      <c r="ES12" s="59"/>
      <c r="ET12" s="59"/>
      <c r="EU12" s="59"/>
      <c r="EV12" s="59"/>
      <c r="EW12" s="59"/>
      <c r="EX12" s="59"/>
      <c r="EY12" s="59"/>
      <c r="EZ12" s="59"/>
      <c r="FA12" s="59"/>
      <c r="FB12" s="59"/>
      <c r="FC12" s="59"/>
      <c r="FD12" s="59"/>
      <c r="FE12" s="59"/>
    </row>
    <row r="13" spans="1:161" ht="15.75" customHeight="1" x14ac:dyDescent="0.35">
      <c r="A13" s="69">
        <v>4706490731</v>
      </c>
      <c r="B13" s="59"/>
      <c r="C13" s="59" t="s">
        <v>130</v>
      </c>
      <c r="D13" s="59" t="s">
        <v>177</v>
      </c>
      <c r="E13" s="59" t="s">
        <v>178</v>
      </c>
      <c r="F13" s="58">
        <v>42817</v>
      </c>
      <c r="G13" s="59" t="s">
        <v>177</v>
      </c>
      <c r="H13" s="59" t="s">
        <v>154</v>
      </c>
      <c r="I13" s="59" t="s">
        <v>169</v>
      </c>
      <c r="J13" s="58">
        <v>42817</v>
      </c>
      <c r="K13" s="59" t="s">
        <v>134</v>
      </c>
      <c r="L13" s="59" t="s">
        <v>135</v>
      </c>
      <c r="M13" s="59" t="s">
        <v>133</v>
      </c>
      <c r="N13" s="59" t="s">
        <v>136</v>
      </c>
      <c r="O13" s="58">
        <v>17832</v>
      </c>
      <c r="P13" s="58">
        <v>42748</v>
      </c>
      <c r="Q13" s="60">
        <f t="shared" si="1"/>
        <v>68</v>
      </c>
      <c r="R13" s="59" t="s">
        <v>147</v>
      </c>
      <c r="S13" s="59" t="s">
        <v>138</v>
      </c>
      <c r="T13" s="59">
        <v>2</v>
      </c>
      <c r="U13" s="59">
        <v>0</v>
      </c>
      <c r="V13" s="59">
        <v>0</v>
      </c>
      <c r="W13" s="59">
        <v>0</v>
      </c>
      <c r="X13" s="59" t="s">
        <v>159</v>
      </c>
      <c r="Y13" s="59">
        <v>1</v>
      </c>
      <c r="Z13" s="59" t="s">
        <v>160</v>
      </c>
      <c r="AA13" s="59" t="s">
        <v>159</v>
      </c>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59"/>
      <c r="BB13" s="59"/>
      <c r="BC13" s="59"/>
      <c r="BD13" s="59"/>
      <c r="BE13" s="59"/>
      <c r="BF13" s="59"/>
      <c r="BG13" s="59"/>
      <c r="BH13" s="59"/>
      <c r="BI13" s="59"/>
      <c r="BJ13" s="59"/>
      <c r="BK13" s="59"/>
      <c r="BL13" s="59"/>
      <c r="BM13" s="59"/>
      <c r="BN13" s="59"/>
      <c r="BO13" s="59"/>
      <c r="BP13" s="59"/>
      <c r="BQ13" s="59"/>
      <c r="BR13" s="59"/>
      <c r="BS13" s="59"/>
      <c r="BT13" s="59"/>
      <c r="BU13" s="59"/>
      <c r="BV13" s="59"/>
      <c r="BW13" s="59"/>
      <c r="BX13" s="59"/>
      <c r="BY13" s="59"/>
      <c r="BZ13" s="59"/>
      <c r="CA13" s="59"/>
      <c r="CB13" s="59"/>
      <c r="CC13" s="59"/>
      <c r="CD13" s="59"/>
      <c r="CE13" s="59"/>
      <c r="CF13" s="59"/>
      <c r="CG13" s="59"/>
      <c r="CH13" s="59"/>
      <c r="CI13" s="59"/>
      <c r="CJ13" s="59"/>
      <c r="CK13" s="59"/>
      <c r="CL13" s="59"/>
      <c r="CM13" s="59"/>
      <c r="CN13" s="59"/>
      <c r="CO13" s="59"/>
      <c r="CP13" s="59"/>
      <c r="CQ13" s="59"/>
      <c r="CR13" s="59"/>
      <c r="CS13" s="59"/>
      <c r="CT13" s="59"/>
      <c r="CU13" s="59"/>
      <c r="CV13" s="59"/>
      <c r="CW13" s="59"/>
      <c r="CX13" s="59"/>
      <c r="CY13" s="59"/>
      <c r="CZ13" s="59"/>
      <c r="DA13" s="59"/>
      <c r="DB13" s="59"/>
      <c r="DC13" s="59"/>
      <c r="DD13" s="59"/>
      <c r="DE13" s="59" t="s">
        <v>179</v>
      </c>
      <c r="DF13" s="59"/>
      <c r="DG13" s="59"/>
      <c r="DH13" s="59"/>
      <c r="DI13" s="59"/>
      <c r="DJ13" s="59"/>
      <c r="DK13" s="59"/>
      <c r="DL13" s="59"/>
      <c r="DM13" s="59"/>
      <c r="DN13" s="59"/>
      <c r="DO13" s="59"/>
      <c r="DP13" s="59"/>
      <c r="DQ13" s="59"/>
      <c r="DR13" s="59"/>
      <c r="DS13" s="59"/>
      <c r="DT13" s="59"/>
      <c r="DU13" s="59"/>
      <c r="DV13" s="59"/>
      <c r="DW13" s="59"/>
      <c r="DX13" s="59"/>
      <c r="DY13" s="59"/>
      <c r="DZ13" s="59"/>
      <c r="EA13" s="59"/>
      <c r="EB13" s="59"/>
      <c r="EC13" s="59"/>
      <c r="ED13" s="59"/>
      <c r="EE13" s="59"/>
      <c r="EF13" s="59"/>
      <c r="EG13" s="59"/>
      <c r="EH13" s="59"/>
      <c r="EI13" s="59"/>
      <c r="EJ13" s="59"/>
      <c r="EK13" s="59"/>
      <c r="EL13" s="59"/>
      <c r="EM13" s="59"/>
      <c r="EN13" s="59"/>
      <c r="EO13" s="59"/>
      <c r="EP13" s="59"/>
      <c r="EQ13" s="59"/>
      <c r="ER13" s="59"/>
      <c r="ES13" s="59"/>
      <c r="ET13" s="59"/>
      <c r="EU13" s="59"/>
      <c r="EV13" s="59"/>
      <c r="EW13" s="59"/>
      <c r="EX13" s="59"/>
      <c r="EY13" s="59"/>
      <c r="EZ13" s="59"/>
      <c r="FA13" s="59"/>
      <c r="FB13" s="59"/>
      <c r="FC13" s="59"/>
      <c r="FD13" s="59"/>
      <c r="FE13" s="59"/>
    </row>
    <row r="14" spans="1:161" ht="15.75" customHeight="1" x14ac:dyDescent="0.35">
      <c r="A14" s="69">
        <v>4366490994</v>
      </c>
      <c r="B14" s="59"/>
      <c r="C14" s="59" t="s">
        <v>130</v>
      </c>
      <c r="D14" s="59" t="s">
        <v>180</v>
      </c>
      <c r="E14" s="59" t="s">
        <v>181</v>
      </c>
      <c r="F14" s="58">
        <v>42824</v>
      </c>
      <c r="G14" s="59" t="s">
        <v>133</v>
      </c>
      <c r="H14" s="59" t="s">
        <v>133</v>
      </c>
      <c r="I14" s="59" t="s">
        <v>133</v>
      </c>
      <c r="J14" s="59" t="s">
        <v>133</v>
      </c>
      <c r="K14" s="59" t="s">
        <v>134</v>
      </c>
      <c r="L14" s="59" t="s">
        <v>135</v>
      </c>
      <c r="M14" s="59" t="s">
        <v>133</v>
      </c>
      <c r="N14" s="59" t="s">
        <v>136</v>
      </c>
      <c r="O14" s="58">
        <v>11938</v>
      </c>
      <c r="P14" s="58">
        <v>42779</v>
      </c>
      <c r="Q14" s="60">
        <f t="shared" si="1"/>
        <v>84</v>
      </c>
      <c r="R14" s="92" t="s">
        <v>182</v>
      </c>
      <c r="S14" s="59" t="s">
        <v>133</v>
      </c>
      <c r="T14" s="59" t="s">
        <v>183</v>
      </c>
      <c r="U14" s="59" t="s">
        <v>183</v>
      </c>
      <c r="V14" s="59" t="s">
        <v>184</v>
      </c>
      <c r="W14" s="59" t="s">
        <v>185</v>
      </c>
      <c r="X14" s="59" t="s">
        <v>186</v>
      </c>
      <c r="Y14" s="59">
        <v>3</v>
      </c>
      <c r="Z14" s="59" t="s">
        <v>133</v>
      </c>
      <c r="AA14" s="59" t="s">
        <v>186</v>
      </c>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59"/>
      <c r="BA14" s="59"/>
      <c r="BB14" s="59"/>
      <c r="BC14" s="59"/>
      <c r="BD14" s="59"/>
      <c r="BE14" s="59"/>
      <c r="BF14" s="59"/>
      <c r="BG14" s="59"/>
      <c r="BH14" s="59"/>
      <c r="BI14" s="59"/>
      <c r="BJ14" s="59"/>
      <c r="BK14" s="59"/>
      <c r="BL14" s="59"/>
      <c r="BM14" s="59"/>
      <c r="BN14" s="59"/>
      <c r="BO14" s="59"/>
      <c r="BP14" s="59"/>
      <c r="BQ14" s="59"/>
      <c r="BR14" s="59"/>
      <c r="BS14" s="59"/>
      <c r="BT14" s="59"/>
      <c r="BU14" s="59"/>
      <c r="BV14" s="59"/>
      <c r="BW14" s="59"/>
      <c r="BX14" s="59"/>
      <c r="BY14" s="59"/>
      <c r="BZ14" s="59"/>
      <c r="CA14" s="59"/>
      <c r="CB14" s="59"/>
      <c r="CC14" s="59"/>
      <c r="CD14" s="59"/>
      <c r="CE14" s="59"/>
      <c r="CF14" s="59"/>
      <c r="CG14" s="59"/>
      <c r="CH14" s="59"/>
      <c r="CI14" s="59"/>
      <c r="CJ14" s="59"/>
      <c r="CK14" s="59"/>
      <c r="CL14" s="59"/>
      <c r="CM14" s="59"/>
      <c r="CN14" s="59"/>
      <c r="CO14" s="59"/>
      <c r="CP14" s="59"/>
      <c r="CQ14" s="59"/>
      <c r="CR14" s="59"/>
      <c r="CS14" s="59"/>
      <c r="CT14" s="59"/>
      <c r="CU14" s="59"/>
      <c r="CV14" s="59"/>
      <c r="CW14" s="59"/>
      <c r="CX14" s="59"/>
      <c r="CY14" s="59"/>
      <c r="CZ14" s="59"/>
      <c r="DA14" s="59"/>
      <c r="DB14" s="59"/>
      <c r="DC14" s="59"/>
      <c r="DD14" s="59"/>
      <c r="DE14" t="s">
        <v>187</v>
      </c>
      <c r="DF14" s="59"/>
      <c r="DG14" s="59"/>
      <c r="DH14" s="59"/>
      <c r="DI14" s="59"/>
      <c r="DJ14" s="59"/>
      <c r="DK14" s="59"/>
      <c r="DL14" s="59"/>
      <c r="DM14" s="59"/>
      <c r="DN14" s="59"/>
      <c r="DO14" s="59"/>
      <c r="DP14" s="59"/>
      <c r="DQ14" s="59"/>
      <c r="DR14" s="59"/>
      <c r="DS14" s="59"/>
      <c r="DT14" s="59"/>
      <c r="DU14" s="59"/>
      <c r="DV14" s="59"/>
      <c r="DW14" s="59"/>
      <c r="DX14" s="59"/>
      <c r="DY14" s="59"/>
      <c r="DZ14" s="59"/>
      <c r="EA14" s="59"/>
      <c r="EB14" s="59"/>
      <c r="EC14" s="59"/>
      <c r="ED14" s="59"/>
      <c r="EE14" s="59"/>
      <c r="EF14" s="59"/>
      <c r="EG14" s="59"/>
      <c r="EH14" s="59"/>
      <c r="EI14" s="59"/>
      <c r="EJ14" s="59"/>
      <c r="EK14" s="59"/>
      <c r="EL14" s="59"/>
      <c r="EM14" s="59"/>
      <c r="EN14" s="59"/>
      <c r="EO14" s="59"/>
      <c r="EP14" s="59"/>
      <c r="EQ14" s="59"/>
      <c r="ER14" s="59"/>
      <c r="ES14" s="59"/>
      <c r="ET14" s="59"/>
      <c r="EU14" s="59"/>
      <c r="EV14" s="59"/>
      <c r="EW14" s="59"/>
      <c r="EX14" s="59"/>
      <c r="EY14" s="59"/>
      <c r="EZ14" s="59"/>
      <c r="FA14" s="59"/>
      <c r="FB14" s="59"/>
      <c r="FC14" s="59"/>
      <c r="FD14" s="59"/>
      <c r="FE14" s="59"/>
    </row>
    <row r="15" spans="1:161" ht="15.75" customHeight="1" x14ac:dyDescent="0.35">
      <c r="A15" s="69">
        <v>4508221386</v>
      </c>
      <c r="B15" s="59"/>
      <c r="C15" s="59" t="s">
        <v>130</v>
      </c>
      <c r="D15" s="59" t="s">
        <v>188</v>
      </c>
      <c r="E15" s="59" t="s">
        <v>189</v>
      </c>
      <c r="F15" s="58">
        <v>42835</v>
      </c>
      <c r="G15" s="59" t="s">
        <v>188</v>
      </c>
      <c r="H15" s="59" t="s">
        <v>190</v>
      </c>
      <c r="I15" s="59" t="s">
        <v>146</v>
      </c>
      <c r="J15" s="58">
        <v>42835</v>
      </c>
      <c r="K15" s="59" t="s">
        <v>134</v>
      </c>
      <c r="L15" s="59" t="s">
        <v>135</v>
      </c>
      <c r="M15" s="59" t="s">
        <v>133</v>
      </c>
      <c r="N15" s="59" t="s">
        <v>136</v>
      </c>
      <c r="O15" s="58">
        <v>17315</v>
      </c>
      <c r="P15" s="58">
        <v>42830</v>
      </c>
      <c r="Q15" s="60">
        <f t="shared" si="1"/>
        <v>69</v>
      </c>
      <c r="R15" s="90" t="s">
        <v>191</v>
      </c>
      <c r="S15" s="59" t="s">
        <v>138</v>
      </c>
      <c r="T15" s="59" t="s">
        <v>148</v>
      </c>
      <c r="U15" s="59">
        <v>0</v>
      </c>
      <c r="V15" s="59">
        <v>0</v>
      </c>
      <c r="W15" s="59">
        <v>0</v>
      </c>
      <c r="X15" s="59" t="s">
        <v>150</v>
      </c>
      <c r="Y15" s="59">
        <v>3</v>
      </c>
      <c r="Z15" s="59" t="s">
        <v>151</v>
      </c>
      <c r="AA15" s="59" t="s">
        <v>150</v>
      </c>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59"/>
      <c r="AZ15" s="59"/>
      <c r="BA15" s="59"/>
      <c r="BB15" s="59"/>
      <c r="BC15" s="59"/>
      <c r="BD15" s="59"/>
      <c r="BE15" s="59"/>
      <c r="BF15" s="59"/>
      <c r="BG15" s="59"/>
      <c r="BH15" s="59"/>
      <c r="BI15" s="59"/>
      <c r="BJ15" s="59"/>
      <c r="BK15" s="59"/>
      <c r="BL15" s="59"/>
      <c r="BM15" s="59"/>
      <c r="BN15" s="59"/>
      <c r="BO15" s="59"/>
      <c r="BP15" s="59"/>
      <c r="BQ15" s="59"/>
      <c r="BR15" s="59"/>
      <c r="BS15" s="59"/>
      <c r="BT15" s="59"/>
      <c r="BU15" s="59"/>
      <c r="BV15" s="59"/>
      <c r="BW15" s="59"/>
      <c r="BX15" s="59"/>
      <c r="BY15" s="59"/>
      <c r="BZ15" s="59"/>
      <c r="CA15" s="59"/>
      <c r="CB15" s="59"/>
      <c r="CC15" s="59"/>
      <c r="CD15" s="59"/>
      <c r="CE15" s="59"/>
      <c r="CF15" s="59"/>
      <c r="CG15" s="59"/>
      <c r="CH15" s="59"/>
      <c r="CI15" s="59"/>
      <c r="CJ15" s="59"/>
      <c r="CK15" s="59"/>
      <c r="CL15" s="59"/>
      <c r="CM15" s="59"/>
      <c r="CN15" s="59"/>
      <c r="CO15" s="59"/>
      <c r="CP15" s="59"/>
      <c r="CQ15" s="59"/>
      <c r="CR15" s="59"/>
      <c r="CS15" s="59"/>
      <c r="CT15" s="59"/>
      <c r="CU15" s="59"/>
      <c r="CV15" s="59"/>
      <c r="CW15" s="59"/>
      <c r="CX15" s="59"/>
      <c r="CY15" s="59"/>
      <c r="CZ15" s="59"/>
      <c r="DA15" s="59"/>
      <c r="DB15" s="59"/>
      <c r="DC15" s="59"/>
      <c r="DD15" s="59"/>
      <c r="DE15" s="59"/>
      <c r="DF15" s="59"/>
      <c r="DG15" s="59"/>
      <c r="DH15" s="59"/>
      <c r="DI15" s="59"/>
      <c r="DJ15" s="59"/>
      <c r="DK15" s="59"/>
      <c r="DL15" s="59"/>
      <c r="DM15" s="59"/>
      <c r="DN15" s="59"/>
      <c r="DO15" s="59"/>
      <c r="DP15" s="59"/>
      <c r="DQ15" s="59"/>
      <c r="DR15" s="59"/>
      <c r="DS15" s="59"/>
      <c r="DT15" s="59"/>
      <c r="DU15" s="59"/>
      <c r="DV15" s="59"/>
      <c r="DW15" s="59"/>
      <c r="DX15" s="59"/>
      <c r="DY15" s="59"/>
      <c r="DZ15" s="59"/>
      <c r="EA15" s="59"/>
      <c r="EB15" s="59"/>
      <c r="EC15" s="59"/>
      <c r="ED15" s="59"/>
      <c r="EE15" s="59"/>
      <c r="EF15" s="59"/>
      <c r="EG15" s="59"/>
      <c r="EH15" s="59"/>
      <c r="EI15" s="59"/>
      <c r="EJ15" s="59"/>
      <c r="EK15" s="59"/>
      <c r="EL15" s="59"/>
      <c r="EM15" s="59"/>
      <c r="EN15" s="59"/>
      <c r="EO15" s="59"/>
      <c r="EP15" s="59"/>
      <c r="EQ15" s="59"/>
      <c r="ER15" s="59"/>
      <c r="ES15" s="59"/>
      <c r="ET15" s="59"/>
      <c r="EU15" s="59"/>
      <c r="EV15" s="59"/>
      <c r="EW15" s="59"/>
      <c r="EX15" s="59"/>
      <c r="EY15" s="59"/>
      <c r="EZ15" s="59"/>
      <c r="FA15" s="59"/>
      <c r="FB15" s="59"/>
      <c r="FC15" s="59"/>
      <c r="FD15" s="59"/>
      <c r="FE15" s="59"/>
    </row>
    <row r="16" spans="1:161" ht="15.75" customHeight="1" x14ac:dyDescent="0.35">
      <c r="A16" s="69">
        <v>4905526434</v>
      </c>
      <c r="B16" s="59"/>
      <c r="C16" s="59" t="s">
        <v>130</v>
      </c>
      <c r="D16" s="59" t="s">
        <v>192</v>
      </c>
      <c r="E16" s="59" t="s">
        <v>193</v>
      </c>
      <c r="F16" s="58">
        <v>42843</v>
      </c>
      <c r="G16" s="59" t="s">
        <v>133</v>
      </c>
      <c r="H16" s="59" t="s">
        <v>133</v>
      </c>
      <c r="I16" s="59" t="s">
        <v>133</v>
      </c>
      <c r="J16" s="59" t="s">
        <v>133</v>
      </c>
      <c r="K16" s="59" t="s">
        <v>134</v>
      </c>
      <c r="L16" s="59" t="s">
        <v>135</v>
      </c>
      <c r="M16" s="59" t="s">
        <v>133</v>
      </c>
      <c r="N16" s="59" t="s">
        <v>136</v>
      </c>
      <c r="O16" s="58">
        <v>17188</v>
      </c>
      <c r="P16" s="58">
        <v>42818</v>
      </c>
      <c r="Q16" s="60">
        <f t="shared" si="1"/>
        <v>70</v>
      </c>
      <c r="R16" s="59" t="s">
        <v>194</v>
      </c>
      <c r="S16" s="59" t="s">
        <v>138</v>
      </c>
      <c r="T16" s="59" t="s">
        <v>148</v>
      </c>
      <c r="U16" s="59">
        <v>0</v>
      </c>
      <c r="V16" s="59">
        <v>0</v>
      </c>
      <c r="W16" s="59">
        <v>0</v>
      </c>
      <c r="X16" s="59" t="s">
        <v>150</v>
      </c>
      <c r="Y16" s="59">
        <v>3</v>
      </c>
      <c r="Z16" s="59" t="s">
        <v>151</v>
      </c>
      <c r="AA16" s="59" t="s">
        <v>150</v>
      </c>
      <c r="AB16" s="59"/>
      <c r="AC16" s="59"/>
      <c r="AD16" s="59"/>
      <c r="AE16" s="59"/>
      <c r="AF16" s="59"/>
      <c r="AG16" s="59"/>
      <c r="AH16" s="59"/>
      <c r="AI16" s="59"/>
      <c r="AJ16" s="59"/>
      <c r="AK16" s="59"/>
      <c r="AL16" s="59"/>
      <c r="AM16" s="59"/>
      <c r="AN16" s="59"/>
      <c r="AO16" s="59"/>
      <c r="AP16" s="59"/>
      <c r="AQ16" s="59"/>
      <c r="AR16" s="59"/>
      <c r="AS16" s="59"/>
      <c r="AT16" s="59"/>
      <c r="AU16" s="59"/>
      <c r="AV16" s="59"/>
      <c r="AW16" s="59"/>
      <c r="AX16" s="59"/>
      <c r="AY16" s="59"/>
      <c r="AZ16" s="59"/>
      <c r="BA16" s="59"/>
      <c r="BB16" s="59"/>
      <c r="BC16" s="59"/>
      <c r="BD16" s="59"/>
      <c r="BE16" s="59"/>
      <c r="BF16" s="59"/>
      <c r="BG16" s="59"/>
      <c r="BH16" s="59"/>
      <c r="BI16" s="59"/>
      <c r="BJ16" s="59"/>
      <c r="BK16" s="59"/>
      <c r="BL16" s="59"/>
      <c r="BM16" s="59"/>
      <c r="BN16" s="59"/>
      <c r="BO16" s="59"/>
      <c r="BP16" s="59"/>
      <c r="BQ16" s="59"/>
      <c r="BR16" s="59"/>
      <c r="BS16" s="59"/>
      <c r="BT16" s="59"/>
      <c r="BU16" s="59"/>
      <c r="BV16" s="59"/>
      <c r="BW16" s="59"/>
      <c r="BX16" s="59"/>
      <c r="BY16" s="59"/>
      <c r="BZ16" s="59"/>
      <c r="CA16" s="59"/>
      <c r="CB16" s="59"/>
      <c r="CC16" s="59"/>
      <c r="CD16" s="59"/>
      <c r="CE16" s="59"/>
      <c r="CF16" s="59"/>
      <c r="CG16" s="59"/>
      <c r="CH16" s="59"/>
      <c r="CI16" s="59"/>
      <c r="CJ16" s="59"/>
      <c r="CK16" s="59"/>
      <c r="CL16" s="59"/>
      <c r="CM16" s="59"/>
      <c r="CN16" s="59"/>
      <c r="CO16" s="59"/>
      <c r="CP16" s="59"/>
      <c r="CQ16" s="59"/>
      <c r="CR16" s="59"/>
      <c r="CS16" s="59"/>
      <c r="CT16" s="59"/>
      <c r="CU16" s="59"/>
      <c r="CV16" s="59"/>
      <c r="CW16" s="59"/>
      <c r="CX16" s="59"/>
      <c r="CY16" s="59"/>
      <c r="CZ16" s="59"/>
      <c r="DA16" s="59"/>
      <c r="DB16" s="59"/>
      <c r="DC16" s="59"/>
      <c r="DD16" s="59"/>
      <c r="DE16" s="59"/>
      <c r="DF16" s="59"/>
      <c r="DG16" s="59"/>
      <c r="DH16" s="59"/>
      <c r="DI16" s="59"/>
      <c r="DJ16" s="59"/>
      <c r="DK16" s="59"/>
      <c r="DL16" s="59"/>
      <c r="DM16" s="59"/>
      <c r="DN16" s="59"/>
      <c r="DO16" s="59"/>
      <c r="DP16" s="59"/>
      <c r="DQ16" s="59"/>
      <c r="DR16" s="59"/>
      <c r="DS16" s="59"/>
      <c r="DT16" s="59"/>
      <c r="DU16" s="59"/>
      <c r="DV16" s="59"/>
      <c r="DW16" s="59"/>
      <c r="DX16" s="59"/>
      <c r="DY16" s="59"/>
      <c r="DZ16" s="59"/>
      <c r="EA16" s="59"/>
      <c r="EB16" s="59"/>
      <c r="EC16" s="59"/>
      <c r="ED16" s="59"/>
      <c r="EE16" s="59"/>
      <c r="EF16" s="59"/>
      <c r="EG16" s="59"/>
      <c r="EH16" s="59"/>
      <c r="EI16" s="59"/>
      <c r="EJ16" s="59"/>
      <c r="EK16" s="59"/>
      <c r="EL16" s="59"/>
      <c r="EM16" s="59"/>
      <c r="EN16" s="59"/>
      <c r="EO16" s="59"/>
      <c r="EP16" s="59"/>
      <c r="EQ16" s="59"/>
      <c r="ER16" s="59"/>
      <c r="ES16" s="59"/>
      <c r="ET16" s="59"/>
      <c r="EU16" s="59"/>
      <c r="EV16" s="59"/>
      <c r="EW16" s="59"/>
      <c r="EX16" s="59"/>
      <c r="EY16" s="59"/>
      <c r="EZ16" s="59"/>
      <c r="FA16" s="59"/>
      <c r="FB16" s="59"/>
      <c r="FC16" s="59"/>
      <c r="FD16" s="59"/>
      <c r="FE16" s="59"/>
    </row>
    <row r="17" spans="1:161" ht="15.75" customHeight="1" x14ac:dyDescent="0.35">
      <c r="A17" s="69">
        <v>4663105459</v>
      </c>
      <c r="B17" s="59"/>
      <c r="C17" s="59" t="s">
        <v>130</v>
      </c>
      <c r="D17" s="59" t="s">
        <v>195</v>
      </c>
      <c r="E17" s="59" t="s">
        <v>196</v>
      </c>
      <c r="F17" s="58">
        <v>42844</v>
      </c>
      <c r="G17" s="59" t="s">
        <v>133</v>
      </c>
      <c r="H17" s="59" t="s">
        <v>133</v>
      </c>
      <c r="I17" s="59" t="s">
        <v>133</v>
      </c>
      <c r="J17" s="59" t="s">
        <v>133</v>
      </c>
      <c r="K17" s="59" t="s">
        <v>134</v>
      </c>
      <c r="L17" s="59" t="s">
        <v>135</v>
      </c>
      <c r="M17" s="59" t="s">
        <v>133</v>
      </c>
      <c r="N17" s="59" t="s">
        <v>136</v>
      </c>
      <c r="O17" s="58">
        <v>14460</v>
      </c>
      <c r="P17" s="58">
        <v>42796</v>
      </c>
      <c r="Q17" s="60">
        <f t="shared" si="1"/>
        <v>77</v>
      </c>
      <c r="R17" s="59" t="s">
        <v>197</v>
      </c>
      <c r="S17" s="59" t="s">
        <v>138</v>
      </c>
      <c r="T17" s="59" t="s">
        <v>198</v>
      </c>
      <c r="U17" s="59">
        <v>0</v>
      </c>
      <c r="V17" s="59">
        <v>0</v>
      </c>
      <c r="W17" s="59">
        <v>0</v>
      </c>
      <c r="X17" s="59" t="s">
        <v>199</v>
      </c>
      <c r="Y17" s="59" t="s">
        <v>183</v>
      </c>
      <c r="Z17" s="59" t="s">
        <v>200</v>
      </c>
      <c r="AA17" s="59" t="s">
        <v>199</v>
      </c>
      <c r="AB17" s="59"/>
      <c r="AC17" s="59"/>
      <c r="AD17" s="59"/>
      <c r="AE17" s="59"/>
      <c r="AF17" s="59"/>
      <c r="AG17" s="59"/>
      <c r="AH17" s="59"/>
      <c r="AI17" s="59"/>
      <c r="AJ17" s="59"/>
      <c r="AK17" s="59"/>
      <c r="AL17" s="59"/>
      <c r="AM17" s="59"/>
      <c r="AN17" s="59"/>
      <c r="AO17" s="59"/>
      <c r="AP17" s="59"/>
      <c r="AQ17" s="59"/>
      <c r="AR17" s="59"/>
      <c r="AS17" s="59"/>
      <c r="AT17" s="59"/>
      <c r="AU17" s="59"/>
      <c r="AV17" s="59"/>
      <c r="AW17" s="59"/>
      <c r="AX17" s="59"/>
      <c r="AY17" s="59"/>
      <c r="AZ17" s="59"/>
      <c r="BA17" s="59"/>
      <c r="BB17" s="59"/>
      <c r="BC17" s="59"/>
      <c r="BD17" s="59"/>
      <c r="BE17" s="59"/>
      <c r="BF17" s="59"/>
      <c r="BG17" s="59"/>
      <c r="BH17" s="59"/>
      <c r="BI17" s="59"/>
      <c r="BJ17" s="59"/>
      <c r="BK17" s="59"/>
      <c r="BL17" s="59"/>
      <c r="BM17" s="59"/>
      <c r="BN17" s="59"/>
      <c r="BO17" s="59"/>
      <c r="BP17" s="59"/>
      <c r="BQ17" s="59"/>
      <c r="BR17" s="59"/>
      <c r="BS17" s="59"/>
      <c r="BT17" s="59"/>
      <c r="BU17" s="59"/>
      <c r="BV17" s="59"/>
      <c r="BW17" s="59"/>
      <c r="BX17" s="59"/>
      <c r="BY17" s="59"/>
      <c r="BZ17" s="59"/>
      <c r="CA17" s="59"/>
      <c r="CB17" s="59"/>
      <c r="CC17" s="59"/>
      <c r="CD17" s="59"/>
      <c r="CE17" s="59"/>
      <c r="CF17" s="59"/>
      <c r="CG17" s="59"/>
      <c r="CH17" s="59"/>
      <c r="CI17" s="59"/>
      <c r="CJ17" s="59"/>
      <c r="CK17" s="59"/>
      <c r="CL17" s="59"/>
      <c r="CM17" s="59"/>
      <c r="CN17" s="59"/>
      <c r="CO17" s="59"/>
      <c r="CP17" s="59"/>
      <c r="CQ17" s="59"/>
      <c r="CR17" s="59"/>
      <c r="CS17" s="59"/>
      <c r="CT17" s="59"/>
      <c r="CU17" s="59"/>
      <c r="CV17" s="59"/>
      <c r="CW17" s="59"/>
      <c r="CX17" s="59"/>
      <c r="CY17" s="59"/>
      <c r="CZ17" s="59"/>
      <c r="DA17" s="59"/>
      <c r="DB17" s="59"/>
      <c r="DC17" s="59"/>
      <c r="DD17" s="59"/>
      <c r="DE17" s="59"/>
      <c r="DF17" s="59"/>
      <c r="DG17" s="59"/>
      <c r="DH17" s="59"/>
      <c r="DI17" s="59"/>
      <c r="DJ17" s="59"/>
      <c r="DK17" s="59"/>
      <c r="DL17" s="59"/>
      <c r="DM17" s="59"/>
      <c r="DN17" s="59"/>
      <c r="DO17" s="59"/>
      <c r="DP17" s="59"/>
      <c r="DQ17" s="59"/>
      <c r="DR17" s="59"/>
      <c r="DS17" s="59"/>
      <c r="DT17" s="59"/>
      <c r="DU17" s="59"/>
      <c r="DV17" s="59"/>
      <c r="DW17" s="59"/>
      <c r="DX17" s="59"/>
      <c r="DY17" s="59"/>
      <c r="DZ17" s="59"/>
      <c r="EA17" s="59"/>
      <c r="EB17" s="59"/>
      <c r="EC17" s="59"/>
      <c r="ED17" s="59"/>
      <c r="EE17" s="59"/>
      <c r="EF17" s="59"/>
      <c r="EG17" s="59"/>
      <c r="EH17" s="59"/>
      <c r="EI17" s="59"/>
      <c r="EJ17" s="59"/>
      <c r="EK17" s="59"/>
      <c r="EL17" s="59"/>
      <c r="EM17" s="59"/>
      <c r="EN17" s="59"/>
      <c r="EO17" s="59"/>
      <c r="EP17" s="59"/>
      <c r="EQ17" s="59"/>
      <c r="ER17" s="59"/>
      <c r="ES17" s="59"/>
      <c r="ET17" s="59"/>
      <c r="EU17" s="59"/>
      <c r="EV17" s="59"/>
      <c r="EW17" s="59"/>
      <c r="EX17" s="59"/>
      <c r="EY17" s="59"/>
      <c r="EZ17" s="59"/>
      <c r="FA17" s="59"/>
      <c r="FB17" s="59"/>
      <c r="FC17" s="59"/>
      <c r="FD17" s="59"/>
      <c r="FE17" s="59"/>
    </row>
    <row r="18" spans="1:161" ht="15.75" customHeight="1" x14ac:dyDescent="0.35">
      <c r="A18" s="69">
        <v>4389042653</v>
      </c>
      <c r="B18" s="59"/>
      <c r="C18" s="59" t="s">
        <v>130</v>
      </c>
      <c r="D18" s="59" t="s">
        <v>201</v>
      </c>
      <c r="E18" s="59" t="s">
        <v>202</v>
      </c>
      <c r="F18" s="58">
        <v>42870</v>
      </c>
      <c r="G18" s="59" t="s">
        <v>133</v>
      </c>
      <c r="H18" s="59" t="s">
        <v>133</v>
      </c>
      <c r="I18" s="59" t="s">
        <v>133</v>
      </c>
      <c r="J18" s="59" t="s">
        <v>133</v>
      </c>
      <c r="K18" s="59" t="s">
        <v>203</v>
      </c>
      <c r="L18" s="59" t="s">
        <v>135</v>
      </c>
      <c r="M18" s="59" t="s">
        <v>133</v>
      </c>
      <c r="N18" s="59" t="s">
        <v>136</v>
      </c>
      <c r="O18" s="58">
        <v>13661</v>
      </c>
      <c r="P18" s="58">
        <v>42852</v>
      </c>
      <c r="Q18" s="60">
        <f t="shared" si="1"/>
        <v>79</v>
      </c>
      <c r="R18" s="59" t="s">
        <v>147</v>
      </c>
      <c r="S18" s="59" t="s">
        <v>138</v>
      </c>
      <c r="T18" s="59" t="s">
        <v>148</v>
      </c>
      <c r="U18" s="59">
        <v>0</v>
      </c>
      <c r="V18" s="59">
        <v>0</v>
      </c>
      <c r="W18" s="59">
        <v>0</v>
      </c>
      <c r="X18" s="59" t="s">
        <v>150</v>
      </c>
      <c r="Y18" s="59">
        <v>1</v>
      </c>
      <c r="Z18" s="59" t="s">
        <v>151</v>
      </c>
      <c r="AA18" s="59" t="s">
        <v>150</v>
      </c>
      <c r="AB18" s="59"/>
      <c r="AC18" s="59"/>
      <c r="AD18" s="59"/>
      <c r="AE18" s="59"/>
      <c r="AF18" s="59"/>
      <c r="AG18" s="59"/>
      <c r="AH18" s="59"/>
      <c r="AI18" s="59"/>
      <c r="AJ18" s="59"/>
      <c r="AK18" s="59"/>
      <c r="AL18" s="59"/>
      <c r="AM18" s="59"/>
      <c r="AN18" s="59"/>
      <c r="AO18" s="59"/>
      <c r="AP18" s="59"/>
      <c r="AQ18" s="59"/>
      <c r="AR18" s="59"/>
      <c r="AS18" s="59"/>
      <c r="AT18" s="59"/>
      <c r="AU18" s="59"/>
      <c r="AV18" s="59"/>
      <c r="AW18" s="59"/>
      <c r="AX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c r="CG18" s="59"/>
      <c r="CH18" s="59"/>
      <c r="CI18" s="59"/>
      <c r="CJ18" s="59"/>
      <c r="CK18" s="59"/>
      <c r="CL18" s="59"/>
      <c r="CM18" s="59"/>
      <c r="CN18" s="59"/>
      <c r="CO18" s="59"/>
      <c r="CP18" s="59"/>
      <c r="CQ18" s="59"/>
      <c r="CR18" s="59"/>
      <c r="CS18" s="59"/>
      <c r="CT18" s="59"/>
      <c r="CU18" s="59"/>
      <c r="CV18" s="59"/>
      <c r="CW18" s="59"/>
      <c r="CX18" s="59"/>
      <c r="CY18" s="59"/>
      <c r="CZ18" s="59"/>
      <c r="DA18" s="59"/>
      <c r="DB18" s="59"/>
      <c r="DC18" s="59"/>
      <c r="DD18" s="59"/>
      <c r="DE18" s="59"/>
      <c r="DF18" s="59"/>
      <c r="DG18" s="59"/>
      <c r="DH18" s="59"/>
      <c r="DI18" s="59"/>
      <c r="DJ18" s="59"/>
      <c r="DK18" s="59"/>
      <c r="DL18" s="59"/>
      <c r="DM18" s="59"/>
      <c r="DN18" s="59"/>
      <c r="DO18" s="59"/>
      <c r="DP18" s="59"/>
      <c r="DQ18" s="59"/>
      <c r="DR18" s="59"/>
      <c r="DS18" s="59"/>
      <c r="DT18" s="59"/>
      <c r="DU18" s="59"/>
      <c r="DV18" s="59"/>
      <c r="DW18" s="59"/>
      <c r="DX18" s="59"/>
      <c r="DY18" s="59"/>
      <c r="DZ18" s="59"/>
      <c r="EA18" s="59"/>
      <c r="EB18" s="59"/>
      <c r="EC18" s="59"/>
      <c r="ED18" s="59"/>
      <c r="EE18" s="59"/>
      <c r="EF18" s="59"/>
      <c r="EG18" s="59"/>
      <c r="EH18" s="59"/>
      <c r="EI18" s="59"/>
      <c r="EJ18" s="59"/>
      <c r="EK18" s="59"/>
      <c r="EL18" s="59"/>
      <c r="EM18" s="59"/>
      <c r="EN18" s="59"/>
      <c r="EO18" s="59"/>
      <c r="EP18" s="59"/>
      <c r="EQ18" s="59"/>
      <c r="ER18" s="59"/>
      <c r="ES18" s="59"/>
      <c r="ET18" s="59"/>
      <c r="EU18" s="59"/>
      <c r="EV18" s="59"/>
      <c r="EW18" s="59"/>
      <c r="EX18" s="59"/>
      <c r="EY18" s="59"/>
      <c r="EZ18" s="59"/>
      <c r="FA18" s="59"/>
      <c r="FB18" s="59"/>
      <c r="FC18" s="59"/>
      <c r="FD18" s="59"/>
      <c r="FE18" s="59"/>
    </row>
    <row r="19" spans="1:161" ht="15.75" customHeight="1" x14ac:dyDescent="0.35">
      <c r="A19" s="69">
        <v>6100474530</v>
      </c>
      <c r="B19" s="59"/>
      <c r="C19" s="59" t="s">
        <v>130</v>
      </c>
      <c r="D19" s="59" t="s">
        <v>204</v>
      </c>
      <c r="E19" s="59" t="s">
        <v>205</v>
      </c>
      <c r="F19" s="58">
        <v>42886</v>
      </c>
      <c r="G19" s="59" t="s">
        <v>133</v>
      </c>
      <c r="H19" s="59" t="s">
        <v>133</v>
      </c>
      <c r="I19" s="59" t="s">
        <v>133</v>
      </c>
      <c r="J19" s="59" t="s">
        <v>133</v>
      </c>
      <c r="K19" s="59" t="s">
        <v>203</v>
      </c>
      <c r="L19" s="59" t="s">
        <v>135</v>
      </c>
      <c r="M19" s="59" t="s">
        <v>133</v>
      </c>
      <c r="N19" s="59" t="s">
        <v>136</v>
      </c>
      <c r="O19" s="58">
        <v>13548</v>
      </c>
      <c r="P19" s="58">
        <v>42808</v>
      </c>
      <c r="Q19" s="60">
        <f t="shared" si="1"/>
        <v>80</v>
      </c>
      <c r="R19" s="59" t="s">
        <v>147</v>
      </c>
      <c r="S19" s="59" t="s">
        <v>138</v>
      </c>
      <c r="T19" s="59" t="s">
        <v>148</v>
      </c>
      <c r="U19" s="59">
        <v>0</v>
      </c>
      <c r="V19" s="59">
        <v>0</v>
      </c>
      <c r="W19" s="59">
        <v>0</v>
      </c>
      <c r="X19" s="59" t="s">
        <v>150</v>
      </c>
      <c r="Y19" s="59">
        <v>1</v>
      </c>
      <c r="Z19" s="59" t="s">
        <v>151</v>
      </c>
      <c r="AA19" s="59" t="s">
        <v>150</v>
      </c>
      <c r="AB19" s="59"/>
      <c r="AC19" s="59"/>
      <c r="AD19" s="59"/>
      <c r="AE19" s="59"/>
      <c r="AF19" s="59"/>
      <c r="AG19" s="59"/>
      <c r="AH19" s="59"/>
      <c r="AI19" s="59"/>
      <c r="AJ19" s="59"/>
      <c r="AK19" s="59"/>
      <c r="AL19" s="59"/>
      <c r="AM19" s="59"/>
      <c r="AN19" s="59"/>
      <c r="AO19" s="59"/>
      <c r="AP19" s="59"/>
      <c r="AQ19" s="59"/>
      <c r="AR19" s="59"/>
      <c r="AS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59"/>
      <c r="CF19" s="59"/>
      <c r="CG19" s="59"/>
      <c r="CH19" s="59"/>
      <c r="CI19" s="59"/>
      <c r="CJ19" s="59"/>
      <c r="CK19" s="59"/>
      <c r="CL19" s="59"/>
      <c r="CM19" s="59"/>
      <c r="CN19" s="59"/>
      <c r="CO19" s="59"/>
      <c r="CP19" s="59"/>
      <c r="CQ19" s="59"/>
      <c r="CR19" s="59"/>
      <c r="CS19" s="59"/>
      <c r="CT19" s="59"/>
      <c r="CU19" s="59"/>
      <c r="CV19" s="59"/>
      <c r="CW19" s="59"/>
      <c r="CX19" s="59"/>
      <c r="CY19" s="59"/>
      <c r="CZ19" s="59"/>
      <c r="DA19" s="59"/>
      <c r="DB19" s="59"/>
      <c r="DC19" s="59"/>
      <c r="DD19" s="59"/>
      <c r="DE19" s="59"/>
      <c r="DF19" s="59"/>
      <c r="DG19" s="59"/>
      <c r="DH19" s="59"/>
      <c r="DI19" s="59"/>
      <c r="DJ19" s="59"/>
      <c r="DK19" s="59"/>
      <c r="DL19" s="59"/>
      <c r="DM19" s="59"/>
      <c r="DN19" s="59"/>
      <c r="DO19" s="59"/>
      <c r="DP19" s="59"/>
      <c r="DQ19" s="59"/>
      <c r="DR19" s="59"/>
      <c r="DS19" s="59"/>
      <c r="DT19" s="59"/>
      <c r="DU19" s="59"/>
      <c r="DV19" s="59"/>
      <c r="DW19" s="59"/>
      <c r="DX19" s="59"/>
      <c r="DY19" s="59"/>
      <c r="DZ19" s="59"/>
      <c r="EA19" s="59"/>
      <c r="EB19" s="59"/>
      <c r="EC19" s="59"/>
      <c r="ED19" s="59"/>
      <c r="EE19" s="59"/>
      <c r="EF19" s="59"/>
      <c r="EG19" s="59"/>
      <c r="EH19" s="59"/>
      <c r="EI19" s="59"/>
      <c r="EJ19" s="59"/>
      <c r="EK19" s="59"/>
      <c r="EL19" s="59"/>
      <c r="EM19" s="59"/>
      <c r="EN19" s="59"/>
      <c r="EO19" s="59"/>
      <c r="EP19" s="59"/>
      <c r="EQ19" s="59"/>
      <c r="ER19" s="59"/>
      <c r="ES19" s="59"/>
      <c r="ET19" s="59"/>
      <c r="EU19" s="59"/>
      <c r="EV19" s="59"/>
      <c r="EW19" s="59"/>
      <c r="EX19" s="59"/>
      <c r="EY19" s="59"/>
      <c r="EZ19" s="59"/>
      <c r="FA19" s="59"/>
      <c r="FB19" s="59"/>
      <c r="FC19" s="59"/>
      <c r="FD19" s="59"/>
      <c r="FE19" s="59"/>
    </row>
    <row r="20" spans="1:161" ht="15.75" customHeight="1" x14ac:dyDescent="0.35">
      <c r="A20" s="69">
        <v>4426025737</v>
      </c>
      <c r="B20" s="59"/>
      <c r="C20" s="59" t="s">
        <v>130</v>
      </c>
      <c r="D20" s="59" t="s">
        <v>206</v>
      </c>
      <c r="E20" s="59" t="s">
        <v>207</v>
      </c>
      <c r="F20" s="58">
        <v>42905</v>
      </c>
      <c r="G20" s="59" t="s">
        <v>206</v>
      </c>
      <c r="H20" s="59" t="s">
        <v>208</v>
      </c>
      <c r="I20" s="59" t="s">
        <v>169</v>
      </c>
      <c r="J20" s="58">
        <v>42905</v>
      </c>
      <c r="K20" s="59" t="s">
        <v>134</v>
      </c>
      <c r="L20" s="59" t="s">
        <v>135</v>
      </c>
      <c r="M20" s="59" t="s">
        <v>133</v>
      </c>
      <c r="N20" s="59" t="s">
        <v>136</v>
      </c>
      <c r="O20" s="58">
        <v>16269</v>
      </c>
      <c r="P20" s="58">
        <v>42843</v>
      </c>
      <c r="Q20" s="60">
        <f>DATEDIF(O20, P20,"Y")</f>
        <v>72</v>
      </c>
      <c r="R20" s="59" t="s">
        <v>147</v>
      </c>
      <c r="S20" s="59" t="s">
        <v>138</v>
      </c>
      <c r="T20" s="59" t="s">
        <v>198</v>
      </c>
      <c r="U20" s="59">
        <v>0</v>
      </c>
      <c r="V20" s="59">
        <v>0</v>
      </c>
      <c r="W20" s="59">
        <v>0</v>
      </c>
      <c r="X20" s="59" t="s">
        <v>199</v>
      </c>
      <c r="Y20" s="59">
        <v>2</v>
      </c>
      <c r="Z20" s="59" t="s">
        <v>200</v>
      </c>
      <c r="AA20" s="59" t="s">
        <v>199</v>
      </c>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59"/>
      <c r="BA20" s="59"/>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c r="CG20" s="59"/>
      <c r="CH20" s="59"/>
      <c r="CI20" s="59"/>
      <c r="CJ20" s="59"/>
      <c r="CK20" s="59"/>
      <c r="CL20" s="59"/>
      <c r="CM20" s="59"/>
      <c r="CN20" s="59"/>
      <c r="CO20" s="59"/>
      <c r="CP20" s="59"/>
      <c r="CQ20" s="59"/>
      <c r="CR20" s="59"/>
      <c r="CS20" s="59"/>
      <c r="CT20" s="59"/>
      <c r="CU20" s="59"/>
      <c r="CV20" s="59"/>
      <c r="CW20" s="59"/>
      <c r="CX20" s="59"/>
      <c r="CY20" s="59"/>
      <c r="CZ20" s="59"/>
      <c r="DA20" s="59"/>
      <c r="DB20" s="59"/>
      <c r="DC20" s="59"/>
      <c r="DD20" s="59"/>
      <c r="DE20" s="59"/>
      <c r="DF20" s="59"/>
      <c r="DG20" s="59"/>
      <c r="DH20" s="59"/>
      <c r="DI20" s="59"/>
      <c r="DJ20" s="59"/>
      <c r="DK20" s="59"/>
      <c r="DL20" s="59"/>
      <c r="DM20" s="59"/>
      <c r="DN20" s="59"/>
      <c r="DO20" s="59"/>
      <c r="DP20" s="59"/>
      <c r="DQ20" s="59"/>
      <c r="DR20" s="59"/>
      <c r="DS20" s="59"/>
      <c r="DT20" s="59"/>
      <c r="DU20" s="59"/>
      <c r="DV20" s="59"/>
      <c r="DW20" s="59"/>
      <c r="DX20" s="59"/>
      <c r="DY20" s="59"/>
      <c r="DZ20" s="59"/>
      <c r="EA20" s="59"/>
      <c r="EB20" s="59"/>
      <c r="EC20" s="59"/>
      <c r="ED20" s="59"/>
      <c r="EE20" s="59"/>
      <c r="EF20" s="59"/>
      <c r="EG20" s="59"/>
      <c r="EH20" s="59"/>
      <c r="EI20" s="59"/>
      <c r="EJ20" s="59"/>
      <c r="EK20" s="59"/>
      <c r="EL20" s="59"/>
      <c r="EM20" s="59"/>
      <c r="EN20" s="59"/>
      <c r="EO20" s="59"/>
      <c r="EP20" s="59"/>
      <c r="EQ20" s="59"/>
      <c r="ER20" s="59"/>
      <c r="ES20" s="59"/>
      <c r="ET20" s="59"/>
      <c r="EU20" s="59"/>
      <c r="EV20" s="59"/>
      <c r="EW20" s="59"/>
      <c r="EX20" s="59"/>
      <c r="EY20" s="59"/>
      <c r="EZ20" s="59"/>
      <c r="FA20" s="59"/>
      <c r="FB20" s="59"/>
      <c r="FC20" s="59"/>
      <c r="FD20" s="59"/>
      <c r="FE20" s="59"/>
    </row>
    <row r="21" spans="1:161" ht="15.75" customHeight="1" x14ac:dyDescent="0.35">
      <c r="A21" s="69">
        <v>6189690610</v>
      </c>
      <c r="B21" s="59"/>
      <c r="C21" s="59" t="s">
        <v>130</v>
      </c>
      <c r="D21" s="59" t="s">
        <v>209</v>
      </c>
      <c r="E21" s="59" t="s">
        <v>210</v>
      </c>
      <c r="F21" s="58">
        <v>42919</v>
      </c>
      <c r="G21" s="59" t="s">
        <v>133</v>
      </c>
      <c r="H21" s="59" t="s">
        <v>133</v>
      </c>
      <c r="I21" s="59" t="s">
        <v>133</v>
      </c>
      <c r="J21" s="59" t="s">
        <v>133</v>
      </c>
      <c r="K21" s="59" t="s">
        <v>211</v>
      </c>
      <c r="L21" s="59" t="s">
        <v>135</v>
      </c>
      <c r="M21" s="59" t="s">
        <v>133</v>
      </c>
      <c r="N21" s="59" t="s">
        <v>136</v>
      </c>
      <c r="O21" s="58">
        <v>10969</v>
      </c>
      <c r="P21" s="58">
        <v>42879</v>
      </c>
      <c r="Q21" s="60">
        <f>DATEDIF(O21, P21,"Y")</f>
        <v>87</v>
      </c>
      <c r="R21" s="59" t="s">
        <v>212</v>
      </c>
      <c r="S21" s="59" t="s">
        <v>138</v>
      </c>
      <c r="T21" s="59" t="s">
        <v>148</v>
      </c>
      <c r="U21" s="59">
        <v>0</v>
      </c>
      <c r="V21" s="59">
        <v>0</v>
      </c>
      <c r="W21" s="59">
        <v>0</v>
      </c>
      <c r="X21" s="59" t="s">
        <v>150</v>
      </c>
      <c r="Y21" s="59">
        <v>3</v>
      </c>
      <c r="Z21" s="59" t="s">
        <v>151</v>
      </c>
      <c r="AA21" s="59" t="s">
        <v>150</v>
      </c>
      <c r="AB21" s="59"/>
      <c r="AC21" s="59"/>
      <c r="AD21" s="59"/>
      <c r="AE21" s="59"/>
      <c r="AF21" s="59"/>
      <c r="AG21" s="59"/>
      <c r="AH21" s="59"/>
      <c r="AI21" s="59"/>
      <c r="AJ21" s="59"/>
      <c r="AK21" s="59"/>
      <c r="AL21" s="59"/>
      <c r="AM21" s="59"/>
      <c r="AN21" s="59"/>
      <c r="AO21" s="59"/>
      <c r="AP21" s="59"/>
      <c r="AQ21" s="59"/>
      <c r="AR21" s="59"/>
      <c r="AS21" s="59"/>
      <c r="AT21" s="59"/>
      <c r="AU21" s="59"/>
      <c r="AV21" s="59"/>
      <c r="AW21" s="59"/>
      <c r="AX21" s="59"/>
      <c r="AY21" s="59"/>
      <c r="AZ21" s="59"/>
      <c r="BA21" s="59"/>
      <c r="BB21" s="59"/>
      <c r="BC21" s="59"/>
      <c r="BD21" s="59"/>
      <c r="BE21" s="59"/>
      <c r="BF21" s="59"/>
      <c r="BG21" s="59"/>
      <c r="BH21" s="59"/>
      <c r="BI21" s="59"/>
      <c r="BJ21" s="59"/>
      <c r="BK21" s="59"/>
      <c r="BL21" s="59"/>
      <c r="BM21" s="59"/>
      <c r="BN21" s="59"/>
      <c r="BO21" s="59"/>
      <c r="BP21" s="59"/>
      <c r="BQ21" s="59"/>
      <c r="BR21" s="59"/>
      <c r="BS21" s="59"/>
      <c r="BT21" s="59"/>
      <c r="BU21" s="59"/>
      <c r="BV21" s="59"/>
      <c r="BW21" s="59"/>
      <c r="BX21" s="59"/>
      <c r="BY21" s="59"/>
      <c r="BZ21" s="59"/>
      <c r="CA21" s="59"/>
      <c r="CB21" s="59"/>
      <c r="CC21" s="59"/>
      <c r="CD21" s="59"/>
      <c r="CE21" s="59"/>
      <c r="CF21" s="59"/>
      <c r="CG21" s="59"/>
      <c r="CH21" s="59"/>
      <c r="CI21" s="59"/>
      <c r="CJ21" s="59"/>
      <c r="CK21" s="59"/>
      <c r="CL21" s="59"/>
      <c r="CM21" s="59"/>
      <c r="CN21" s="59"/>
      <c r="CO21" s="59"/>
      <c r="CP21" s="59"/>
      <c r="CQ21" s="59"/>
      <c r="CR21" s="59"/>
      <c r="CS21" s="59"/>
      <c r="CT21" s="59"/>
      <c r="CU21" s="59"/>
      <c r="CV21" s="59"/>
      <c r="CW21" s="59"/>
      <c r="CX21" s="59"/>
      <c r="CY21" s="59"/>
      <c r="CZ21" s="59"/>
      <c r="DA21" s="59"/>
      <c r="DB21" s="59"/>
      <c r="DC21" s="59"/>
      <c r="DD21" s="59"/>
      <c r="DE21" s="59"/>
      <c r="DF21" s="59"/>
      <c r="DG21" s="59"/>
      <c r="DH21" s="59"/>
      <c r="DI21" s="59"/>
      <c r="DJ21" s="59"/>
      <c r="DK21" s="59"/>
      <c r="DL21" s="59"/>
      <c r="DM21" s="59"/>
      <c r="DN21" s="59"/>
      <c r="DO21" s="59"/>
      <c r="DP21" s="59"/>
      <c r="DQ21" s="59"/>
      <c r="DR21" s="59"/>
      <c r="DS21" s="59"/>
      <c r="DT21" s="59"/>
      <c r="DU21" s="59"/>
      <c r="DV21" s="59"/>
      <c r="DW21" s="59"/>
      <c r="DX21" s="59"/>
      <c r="DY21" s="59"/>
      <c r="DZ21" s="59"/>
      <c r="EA21" s="59"/>
      <c r="EB21" s="59"/>
      <c r="EC21" s="59"/>
      <c r="ED21" s="59"/>
      <c r="EE21" s="59"/>
      <c r="EF21" s="59"/>
      <c r="EG21" s="59"/>
      <c r="EH21" s="59"/>
      <c r="EI21" s="59"/>
      <c r="EJ21" s="59"/>
      <c r="EK21" s="59"/>
      <c r="EL21" s="59"/>
      <c r="EM21" s="59"/>
      <c r="EN21" s="59"/>
      <c r="EO21" s="59"/>
      <c r="EP21" s="59"/>
      <c r="EQ21" s="59"/>
      <c r="ER21" s="59"/>
      <c r="ES21" s="59"/>
      <c r="ET21" s="59"/>
      <c r="EU21" s="59"/>
      <c r="EV21" s="59"/>
      <c r="EW21" s="59"/>
      <c r="EX21" s="59"/>
      <c r="EY21" s="59"/>
      <c r="EZ21" s="59"/>
      <c r="FA21" s="59"/>
      <c r="FB21" s="59"/>
      <c r="FC21" s="59"/>
      <c r="FD21" s="59"/>
      <c r="FE21" s="59"/>
    </row>
    <row r="22" spans="1:161" ht="15.75" customHeight="1" x14ac:dyDescent="0.35">
      <c r="A22" s="69">
        <v>4740277069</v>
      </c>
      <c r="B22" s="59"/>
      <c r="C22" s="59" t="s">
        <v>130</v>
      </c>
      <c r="D22" s="59" t="s">
        <v>213</v>
      </c>
      <c r="E22" s="59" t="s">
        <v>214</v>
      </c>
      <c r="F22" s="58">
        <v>42922</v>
      </c>
      <c r="G22" s="59" t="s">
        <v>133</v>
      </c>
      <c r="H22" s="59" t="s">
        <v>133</v>
      </c>
      <c r="I22" s="59" t="s">
        <v>133</v>
      </c>
      <c r="J22" s="59" t="s">
        <v>133</v>
      </c>
      <c r="K22" s="59" t="s">
        <v>211</v>
      </c>
      <c r="L22" s="59" t="s">
        <v>135</v>
      </c>
      <c r="M22" s="59" t="s">
        <v>133</v>
      </c>
      <c r="N22" s="59" t="s">
        <v>136</v>
      </c>
      <c r="O22" s="58">
        <v>16888</v>
      </c>
      <c r="P22" s="58">
        <v>42880</v>
      </c>
      <c r="Q22" s="60">
        <f t="shared" si="1"/>
        <v>71</v>
      </c>
      <c r="R22" s="59" t="s">
        <v>147</v>
      </c>
      <c r="S22" s="59" t="s">
        <v>183</v>
      </c>
      <c r="T22" s="59" t="s">
        <v>148</v>
      </c>
      <c r="U22" s="59">
        <v>0</v>
      </c>
      <c r="V22" s="59">
        <v>0</v>
      </c>
      <c r="W22" s="59">
        <v>0</v>
      </c>
      <c r="X22" s="59" t="s">
        <v>150</v>
      </c>
      <c r="Y22" s="59">
        <v>1</v>
      </c>
      <c r="Z22" s="59" t="s">
        <v>151</v>
      </c>
      <c r="AA22" s="59" t="s">
        <v>150</v>
      </c>
      <c r="AB22" s="59"/>
      <c r="AC22" s="59"/>
      <c r="AD22" s="59"/>
      <c r="AE22" s="59"/>
      <c r="AF22" s="59"/>
      <c r="AG22" s="59"/>
      <c r="AH22" s="59"/>
      <c r="AI22" s="59"/>
      <c r="AJ22" s="59"/>
      <c r="AK22" s="59"/>
      <c r="AL22" s="59"/>
      <c r="AM22" s="59"/>
      <c r="AN22" s="59"/>
      <c r="AO22" s="59"/>
      <c r="AP22" s="59"/>
      <c r="AQ22" s="59"/>
      <c r="AR22" s="59"/>
      <c r="AS22" s="59"/>
      <c r="AT22" s="59"/>
      <c r="AU22" s="59"/>
      <c r="AV22" s="59"/>
      <c r="AW22" s="59"/>
      <c r="AX22" s="59"/>
      <c r="AY22" s="59"/>
      <c r="AZ22" s="59"/>
      <c r="BA22" s="59"/>
      <c r="BB22" s="59"/>
      <c r="BC22" s="59"/>
      <c r="BD22" s="59"/>
      <c r="BE22" s="59"/>
      <c r="BF22" s="59"/>
      <c r="BG22" s="59"/>
      <c r="BH22" s="59"/>
      <c r="BI22" s="59"/>
      <c r="BJ22" s="59"/>
      <c r="BK22" s="59"/>
      <c r="BL22" s="59"/>
      <c r="BM22" s="59"/>
      <c r="BN22" s="59"/>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M22" s="59"/>
      <c r="CN22" s="59"/>
      <c r="CO22" s="59"/>
      <c r="CP22" s="59"/>
      <c r="CQ22" s="59"/>
      <c r="CR22" s="59"/>
      <c r="CS22" s="59"/>
      <c r="CT22" s="59"/>
      <c r="CU22" s="59"/>
      <c r="CV22" s="59"/>
      <c r="CW22" s="59"/>
      <c r="CX22" s="59"/>
      <c r="CY22" s="59"/>
      <c r="CZ22" s="59"/>
      <c r="DA22" s="59"/>
      <c r="DB22" s="59"/>
      <c r="DC22" s="59"/>
      <c r="DD22" s="59"/>
      <c r="DE22" s="59"/>
      <c r="DF22" s="59"/>
      <c r="DG22" s="59"/>
      <c r="DH22" s="59"/>
      <c r="DI22" s="59"/>
      <c r="DJ22" s="59"/>
      <c r="DK22" s="59"/>
      <c r="DL22" s="59"/>
      <c r="DM22" s="59"/>
      <c r="DN22" s="59"/>
      <c r="DO22" s="59"/>
      <c r="DP22" s="59"/>
      <c r="DQ22" s="59"/>
      <c r="DR22" s="59"/>
      <c r="DS22" s="59"/>
      <c r="DT22" s="59"/>
      <c r="DU22" s="59"/>
      <c r="DV22" s="59"/>
      <c r="DW22" s="59"/>
      <c r="DX22" s="59"/>
      <c r="DY22" s="59"/>
      <c r="DZ22" s="59"/>
      <c r="EA22" s="59"/>
      <c r="EB22" s="59"/>
      <c r="EC22" s="59"/>
      <c r="ED22" s="59"/>
      <c r="EE22" s="59"/>
      <c r="EF22" s="59"/>
      <c r="EG22" s="59"/>
      <c r="EH22" s="59"/>
      <c r="EI22" s="59"/>
      <c r="EJ22" s="59"/>
      <c r="EK22" s="59"/>
      <c r="EL22" s="59"/>
      <c r="EM22" s="59"/>
      <c r="EN22" s="59"/>
      <c r="EO22" s="59"/>
      <c r="EP22" s="59"/>
      <c r="EQ22" s="59"/>
      <c r="ER22" s="59"/>
      <c r="ES22" s="59"/>
      <c r="ET22" s="59"/>
      <c r="EU22" s="59"/>
      <c r="EV22" s="59"/>
      <c r="EW22" s="59"/>
      <c r="EX22" s="59"/>
      <c r="EY22" s="59"/>
      <c r="EZ22" s="59"/>
      <c r="FA22" s="59"/>
      <c r="FB22" s="59"/>
      <c r="FC22" s="59"/>
      <c r="FD22" s="59"/>
      <c r="FE22" s="59"/>
    </row>
    <row r="23" spans="1:161" ht="15.75" customHeight="1" x14ac:dyDescent="0.35">
      <c r="A23" s="69">
        <v>4100098251</v>
      </c>
      <c r="B23" s="59"/>
      <c r="C23" s="59" t="s">
        <v>130</v>
      </c>
      <c r="D23" s="59" t="s">
        <v>215</v>
      </c>
      <c r="E23" s="59" t="s">
        <v>216</v>
      </c>
      <c r="F23" s="58">
        <v>42929</v>
      </c>
      <c r="G23" s="59" t="s">
        <v>133</v>
      </c>
      <c r="H23" s="59" t="s">
        <v>133</v>
      </c>
      <c r="I23" s="59" t="s">
        <v>133</v>
      </c>
      <c r="J23" s="59" t="s">
        <v>133</v>
      </c>
      <c r="K23" s="59" t="s">
        <v>211</v>
      </c>
      <c r="L23" s="59" t="s">
        <v>135</v>
      </c>
      <c r="M23" s="59" t="s">
        <v>133</v>
      </c>
      <c r="N23" s="59" t="s">
        <v>136</v>
      </c>
      <c r="O23" s="58">
        <v>15527</v>
      </c>
      <c r="P23" s="58">
        <v>42786</v>
      </c>
      <c r="Q23" s="60">
        <f t="shared" si="1"/>
        <v>74</v>
      </c>
      <c r="R23" s="59" t="s">
        <v>147</v>
      </c>
      <c r="S23" s="59" t="s">
        <v>183</v>
      </c>
      <c r="T23" s="59" t="s">
        <v>198</v>
      </c>
      <c r="U23" s="59">
        <v>0</v>
      </c>
      <c r="V23" s="59">
        <v>0</v>
      </c>
      <c r="W23" s="59">
        <v>0</v>
      </c>
      <c r="X23" s="59" t="s">
        <v>199</v>
      </c>
      <c r="Y23" s="59">
        <v>1</v>
      </c>
      <c r="Z23" s="59" t="s">
        <v>200</v>
      </c>
      <c r="AA23" s="59" t="s">
        <v>199</v>
      </c>
      <c r="AB23" s="59"/>
      <c r="AC23" s="59"/>
      <c r="AD23" s="59"/>
      <c r="AE23" s="59"/>
      <c r="AF23" s="59"/>
      <c r="AG23" s="59"/>
      <c r="AH23" s="59"/>
      <c r="AI23" s="59"/>
      <c r="AJ23" s="59"/>
      <c r="AK23" s="59"/>
      <c r="AL23" s="59"/>
      <c r="AM23" s="59"/>
      <c r="AN23" s="59"/>
      <c r="AO23" s="59"/>
      <c r="AP23" s="59"/>
      <c r="AQ23" s="59"/>
      <c r="AR23" s="59"/>
      <c r="AS23" s="59"/>
      <c r="AT23" s="59"/>
      <c r="AU23" s="59"/>
      <c r="AV23" s="59"/>
      <c r="AW23" s="59"/>
      <c r="AX23" s="59"/>
      <c r="AY23" s="59"/>
      <c r="AZ23" s="59"/>
      <c r="BA23" s="59"/>
      <c r="BB23" s="59"/>
      <c r="BC23" s="59"/>
      <c r="BD23" s="59"/>
      <c r="BE23" s="59"/>
      <c r="BF23" s="59"/>
      <c r="BG23" s="59"/>
      <c r="BH23" s="59"/>
      <c r="BI23" s="59"/>
      <c r="BJ23" s="59"/>
      <c r="BK23" s="59"/>
      <c r="BL23" s="59"/>
      <c r="BM23" s="59"/>
      <c r="BN23" s="59"/>
      <c r="BO23" s="59"/>
      <c r="BP23" s="59"/>
      <c r="BQ23" s="59"/>
      <c r="BR23" s="59"/>
      <c r="BS23" s="59"/>
      <c r="BT23" s="59"/>
      <c r="BU23" s="59"/>
      <c r="BV23" s="59"/>
      <c r="BW23" s="59"/>
      <c r="BX23" s="59"/>
      <c r="BY23" s="59"/>
      <c r="BZ23" s="59"/>
      <c r="CA23" s="59"/>
      <c r="CB23" s="59"/>
      <c r="CC23" s="59"/>
      <c r="CD23" s="59"/>
      <c r="CE23" s="59"/>
      <c r="CF23" s="59"/>
      <c r="CG23" s="59"/>
      <c r="CH23" s="59"/>
      <c r="CI23" s="59"/>
      <c r="CJ23" s="59"/>
      <c r="CK23" s="59"/>
      <c r="CL23" s="59"/>
      <c r="CM23" s="59"/>
      <c r="CN23" s="59"/>
      <c r="CO23" s="59"/>
      <c r="CP23" s="59"/>
      <c r="CQ23" s="59"/>
      <c r="CR23" s="59"/>
      <c r="CS23" s="59"/>
      <c r="CT23" s="59"/>
      <c r="CU23" s="59"/>
      <c r="CV23" s="59"/>
      <c r="CW23" s="59"/>
      <c r="CX23" s="59"/>
      <c r="CY23" s="59"/>
      <c r="CZ23" s="59"/>
      <c r="DA23" s="59"/>
      <c r="DB23" s="59"/>
      <c r="DC23" s="59"/>
      <c r="DD23" s="59"/>
      <c r="DE23" s="59"/>
      <c r="DF23" s="59"/>
      <c r="DG23" s="59"/>
      <c r="DH23" s="59"/>
      <c r="DI23" s="59"/>
      <c r="DJ23" s="59"/>
      <c r="DK23" s="59"/>
      <c r="DL23" s="59"/>
      <c r="DM23" s="59"/>
      <c r="DN23" s="59"/>
      <c r="DO23" s="59"/>
      <c r="DP23" s="59"/>
      <c r="DQ23" s="59"/>
      <c r="DR23" s="59"/>
      <c r="DS23" s="59"/>
      <c r="DT23" s="59"/>
      <c r="DU23" s="59"/>
      <c r="DV23" s="59"/>
      <c r="DW23" s="59"/>
      <c r="DX23" s="59"/>
      <c r="DY23" s="59"/>
      <c r="DZ23" s="59"/>
      <c r="EA23" s="59"/>
      <c r="EB23" s="59"/>
      <c r="EC23" s="59"/>
      <c r="ED23" s="59"/>
      <c r="EE23" s="59"/>
      <c r="EF23" s="59"/>
      <c r="EG23" s="59"/>
      <c r="EH23" s="59"/>
      <c r="EI23" s="59"/>
      <c r="EJ23" s="59"/>
      <c r="EK23" s="59"/>
      <c r="EL23" s="59"/>
      <c r="EM23" s="59"/>
      <c r="EN23" s="59"/>
      <c r="EO23" s="59"/>
      <c r="EP23" s="59"/>
      <c r="EQ23" s="59"/>
      <c r="ER23" s="59"/>
      <c r="ES23" s="59"/>
      <c r="ET23" s="59"/>
      <c r="EU23" s="59"/>
      <c r="EV23" s="59"/>
      <c r="EW23" s="59"/>
      <c r="EX23" s="59"/>
      <c r="EY23" s="59"/>
      <c r="EZ23" s="59"/>
      <c r="FA23" s="59"/>
      <c r="FB23" s="59"/>
      <c r="FC23" s="59"/>
      <c r="FD23" s="59"/>
      <c r="FE23" s="59"/>
    </row>
    <row r="24" spans="1:161" ht="15.75" customHeight="1" x14ac:dyDescent="0.35">
      <c r="A24" s="69">
        <v>4860460391</v>
      </c>
      <c r="B24" s="59"/>
      <c r="C24" s="59" t="s">
        <v>130</v>
      </c>
      <c r="D24" s="59" t="s">
        <v>217</v>
      </c>
      <c r="E24" s="59" t="s">
        <v>218</v>
      </c>
      <c r="F24" s="58">
        <v>42935</v>
      </c>
      <c r="G24" s="59" t="s">
        <v>217</v>
      </c>
      <c r="H24" s="59" t="s">
        <v>219</v>
      </c>
      <c r="I24" s="59" t="s">
        <v>169</v>
      </c>
      <c r="J24" s="58">
        <v>42935</v>
      </c>
      <c r="K24" s="59" t="s">
        <v>203</v>
      </c>
      <c r="L24" s="59" t="s">
        <v>135</v>
      </c>
      <c r="M24" s="59" t="s">
        <v>133</v>
      </c>
      <c r="N24" s="59" t="s">
        <v>136</v>
      </c>
      <c r="O24" s="58">
        <v>21181</v>
      </c>
      <c r="P24" s="58">
        <v>42921</v>
      </c>
      <c r="Q24" s="60">
        <f t="shared" si="1"/>
        <v>59</v>
      </c>
      <c r="R24" s="59" t="s">
        <v>147</v>
      </c>
      <c r="S24" s="59" t="s">
        <v>138</v>
      </c>
      <c r="T24" s="59" t="s">
        <v>148</v>
      </c>
      <c r="U24" s="59">
        <v>0</v>
      </c>
      <c r="V24" s="59">
        <v>0</v>
      </c>
      <c r="W24" s="59">
        <v>0</v>
      </c>
      <c r="X24" s="59" t="s">
        <v>150</v>
      </c>
      <c r="Y24" s="59">
        <v>3</v>
      </c>
      <c r="Z24" s="59" t="s">
        <v>151</v>
      </c>
      <c r="AA24" s="59" t="s">
        <v>150</v>
      </c>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59"/>
      <c r="BE24" s="59"/>
      <c r="BF24" s="59"/>
      <c r="BG24" s="59"/>
      <c r="BH24" s="59"/>
      <c r="BI24" s="59"/>
      <c r="BJ24" s="59"/>
      <c r="BK24" s="59"/>
      <c r="BL24" s="59"/>
      <c r="BM24" s="59"/>
      <c r="BN24" s="59"/>
      <c r="BO24" s="59"/>
      <c r="BP24" s="59"/>
      <c r="BQ24" s="59"/>
      <c r="BR24" s="59"/>
      <c r="BS24" s="59"/>
      <c r="BT24" s="59"/>
      <c r="BU24" s="59"/>
      <c r="BV24" s="59"/>
      <c r="BW24" s="59"/>
      <c r="BX24" s="59"/>
      <c r="BY24" s="59"/>
      <c r="BZ24" s="59"/>
      <c r="CA24" s="59"/>
      <c r="CB24" s="59"/>
      <c r="CC24" s="59"/>
      <c r="CD24" s="59"/>
      <c r="CE24" s="59"/>
      <c r="CF24" s="59"/>
      <c r="CG24" s="59"/>
      <c r="CH24" s="59"/>
      <c r="CI24" s="59"/>
      <c r="CJ24" s="59"/>
      <c r="CK24" s="59"/>
      <c r="CL24" s="59"/>
      <c r="CM24" s="59"/>
      <c r="CN24" s="59"/>
      <c r="CO24" s="59"/>
      <c r="CP24" s="59"/>
      <c r="CQ24" s="59"/>
      <c r="CR24" s="59"/>
      <c r="CS24" s="59"/>
      <c r="CT24" s="59"/>
      <c r="CU24" s="59"/>
      <c r="CV24" s="59"/>
      <c r="CW24" s="59"/>
      <c r="CX24" s="59"/>
      <c r="CY24" s="59"/>
      <c r="CZ24" s="59"/>
      <c r="DA24" s="59"/>
      <c r="DB24" s="59"/>
      <c r="DC24" s="59"/>
      <c r="DD24" s="59"/>
      <c r="DE24" s="59"/>
      <c r="DF24" s="59"/>
      <c r="DG24" s="59"/>
      <c r="DH24" s="59"/>
      <c r="DI24" s="59"/>
      <c r="DJ24" s="59"/>
      <c r="DK24" s="59"/>
      <c r="DL24" s="59"/>
      <c r="DM24" s="59"/>
      <c r="DN24" s="59"/>
      <c r="DO24" s="59"/>
      <c r="DP24" s="59"/>
      <c r="DQ24" s="59"/>
      <c r="DR24" s="59"/>
      <c r="DS24" s="59"/>
      <c r="DT24" s="59"/>
      <c r="DU24" s="59"/>
      <c r="DV24" s="59"/>
      <c r="DW24" s="59"/>
      <c r="DX24" s="59"/>
      <c r="DY24" s="59"/>
      <c r="DZ24" s="59"/>
      <c r="EA24" s="59"/>
      <c r="EB24" s="59"/>
      <c r="EC24" s="59"/>
      <c r="ED24" s="59"/>
      <c r="EE24" s="59"/>
      <c r="EF24" s="59"/>
      <c r="EG24" s="59"/>
      <c r="EH24" s="59"/>
      <c r="EI24" s="59"/>
      <c r="EJ24" s="59"/>
      <c r="EK24" s="59"/>
      <c r="EL24" s="59"/>
      <c r="EM24" s="59"/>
      <c r="EN24" s="59"/>
      <c r="EO24" s="59"/>
      <c r="EP24" s="59"/>
      <c r="EQ24" s="59"/>
      <c r="ER24" s="59"/>
      <c r="ES24" s="59"/>
      <c r="ET24" s="59"/>
      <c r="EU24" s="59"/>
      <c r="EV24" s="59"/>
      <c r="EW24" s="59"/>
      <c r="EX24" s="59"/>
      <c r="EY24" s="59"/>
      <c r="EZ24" s="59"/>
      <c r="FA24" s="59"/>
      <c r="FB24" s="59"/>
      <c r="FC24" s="59"/>
      <c r="FD24" s="59"/>
      <c r="FE24" s="59"/>
    </row>
    <row r="25" spans="1:161" ht="15.75" customHeight="1" x14ac:dyDescent="0.35">
      <c r="A25" s="69">
        <v>4424137554</v>
      </c>
      <c r="B25" s="59"/>
      <c r="C25" s="59" t="s">
        <v>133</v>
      </c>
      <c r="D25" s="59" t="s">
        <v>133</v>
      </c>
      <c r="E25" s="59" t="s">
        <v>133</v>
      </c>
      <c r="F25" s="58" t="s">
        <v>133</v>
      </c>
      <c r="G25" s="59" t="s">
        <v>220</v>
      </c>
      <c r="H25" s="59" t="s">
        <v>221</v>
      </c>
      <c r="I25" s="59" t="s">
        <v>169</v>
      </c>
      <c r="J25" s="58">
        <v>42936</v>
      </c>
      <c r="K25" s="59" t="s">
        <v>133</v>
      </c>
      <c r="L25" s="59" t="s">
        <v>133</v>
      </c>
      <c r="M25" s="59" t="s">
        <v>133</v>
      </c>
      <c r="N25" s="59" t="s">
        <v>136</v>
      </c>
      <c r="O25" s="58">
        <v>15088</v>
      </c>
      <c r="P25" s="58">
        <v>42936</v>
      </c>
      <c r="Q25" s="60">
        <f t="shared" si="1"/>
        <v>76</v>
      </c>
      <c r="R25" s="59" t="s">
        <v>133</v>
      </c>
      <c r="S25" s="59" t="s">
        <v>133</v>
      </c>
      <c r="T25" s="70" t="s">
        <v>133</v>
      </c>
      <c r="U25" s="70" t="s">
        <v>133</v>
      </c>
      <c r="V25" s="70" t="s">
        <v>133</v>
      </c>
      <c r="W25" s="70" t="s">
        <v>133</v>
      </c>
      <c r="X25" s="70" t="s">
        <v>133</v>
      </c>
      <c r="Y25" s="70" t="s">
        <v>133</v>
      </c>
      <c r="Z25" s="59" t="s">
        <v>133</v>
      </c>
      <c r="AA25" s="70" t="s">
        <v>133</v>
      </c>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c r="BC25" s="59"/>
      <c r="BD25" s="59"/>
      <c r="BE25" s="59"/>
      <c r="BF25" s="59"/>
      <c r="BG25" s="59"/>
      <c r="BH25" s="59"/>
      <c r="BI25" s="59"/>
      <c r="BJ25" s="59"/>
      <c r="BK25" s="59"/>
      <c r="BL25" s="59"/>
      <c r="BM25" s="59"/>
      <c r="BN25" s="59"/>
      <c r="BO25" s="59"/>
      <c r="BP25" s="59"/>
      <c r="BQ25" s="59"/>
      <c r="BR25" s="59"/>
      <c r="BS25" s="59"/>
      <c r="BT25" s="59"/>
      <c r="BU25" s="59"/>
      <c r="BV25" s="59"/>
      <c r="BW25" s="59"/>
      <c r="BX25" s="59"/>
      <c r="BY25" s="59"/>
      <c r="BZ25" s="59"/>
      <c r="CA25" s="59"/>
      <c r="CB25" s="59"/>
      <c r="CC25" s="59"/>
      <c r="CD25" s="59"/>
      <c r="CE25" s="59"/>
      <c r="CF25" s="59"/>
      <c r="CG25" s="59"/>
      <c r="CH25" s="59"/>
      <c r="CI25" s="59"/>
      <c r="CJ25" s="59"/>
      <c r="CK25" s="59"/>
      <c r="CL25" s="59"/>
      <c r="CM25" s="59"/>
      <c r="CN25" s="59"/>
      <c r="CO25" s="59"/>
      <c r="CP25" s="59"/>
      <c r="CQ25" s="59"/>
      <c r="CR25" s="59"/>
      <c r="CS25" s="59"/>
      <c r="CT25" s="59"/>
      <c r="CU25" s="59"/>
      <c r="CV25" s="59"/>
      <c r="CW25" s="59"/>
      <c r="CX25" s="59"/>
      <c r="CY25" s="59"/>
      <c r="CZ25" s="59"/>
      <c r="DA25" s="59"/>
      <c r="DB25" s="59"/>
      <c r="DC25" s="59"/>
      <c r="DD25" s="59"/>
      <c r="DE25" s="59"/>
      <c r="DF25" s="59"/>
      <c r="DG25" s="59"/>
      <c r="DH25" s="59"/>
      <c r="DI25" s="59"/>
      <c r="DJ25" s="59"/>
      <c r="DK25" s="59"/>
      <c r="DL25" s="59"/>
      <c r="DM25" s="59"/>
      <c r="DN25" s="59"/>
      <c r="DO25" s="59"/>
      <c r="DP25" s="59"/>
      <c r="DQ25" s="59"/>
      <c r="DR25" s="59"/>
      <c r="DS25" s="59"/>
      <c r="DT25" s="59"/>
      <c r="DU25" s="59"/>
      <c r="DV25" s="59"/>
      <c r="DW25" s="59"/>
      <c r="DX25" s="59"/>
      <c r="DY25" s="59"/>
      <c r="DZ25" s="59"/>
      <c r="EA25" s="59"/>
      <c r="EB25" s="59"/>
      <c r="EC25" s="59"/>
      <c r="ED25" s="59"/>
      <c r="EE25" s="59"/>
      <c r="EF25" s="59"/>
      <c r="EG25" s="59"/>
      <c r="EH25" s="59"/>
      <c r="EI25" s="59"/>
      <c r="EJ25" s="59"/>
      <c r="EK25" s="59"/>
      <c r="EL25" s="59"/>
      <c r="EM25" s="59"/>
      <c r="EN25" s="59"/>
      <c r="EO25" s="59"/>
      <c r="EP25" s="59"/>
      <c r="EQ25" s="59"/>
      <c r="ER25" s="59"/>
      <c r="ES25" s="59"/>
      <c r="ET25" s="59"/>
      <c r="EU25" s="59"/>
      <c r="EV25" s="59"/>
      <c r="EW25" s="59"/>
      <c r="EX25" s="59"/>
      <c r="EY25" s="59"/>
      <c r="EZ25" s="59"/>
      <c r="FA25" s="59"/>
      <c r="FB25" s="59"/>
      <c r="FC25" s="59"/>
      <c r="FD25" s="59"/>
      <c r="FE25" s="59"/>
    </row>
    <row r="26" spans="1:161" ht="15.75" customHeight="1" x14ac:dyDescent="0.35">
      <c r="A26" s="69">
        <v>4308926637</v>
      </c>
      <c r="B26" s="59"/>
      <c r="C26" s="59" t="s">
        <v>130</v>
      </c>
      <c r="D26" s="59" t="s">
        <v>222</v>
      </c>
      <c r="E26" s="59" t="s">
        <v>223</v>
      </c>
      <c r="F26" s="58">
        <v>42936</v>
      </c>
      <c r="G26" s="59" t="s">
        <v>133</v>
      </c>
      <c r="H26" s="59" t="s">
        <v>133</v>
      </c>
      <c r="I26" s="59" t="s">
        <v>133</v>
      </c>
      <c r="J26" s="59" t="s">
        <v>133</v>
      </c>
      <c r="K26" s="59" t="s">
        <v>224</v>
      </c>
      <c r="L26" s="59" t="s">
        <v>135</v>
      </c>
      <c r="M26" s="59" t="s">
        <v>133</v>
      </c>
      <c r="N26" s="59" t="s">
        <v>136</v>
      </c>
      <c r="O26" s="58">
        <v>14734</v>
      </c>
      <c r="P26" s="58">
        <v>42895</v>
      </c>
      <c r="Q26" s="60">
        <f t="shared" si="1"/>
        <v>77</v>
      </c>
      <c r="R26" s="59" t="s">
        <v>225</v>
      </c>
      <c r="S26" s="59" t="s">
        <v>138</v>
      </c>
      <c r="T26" s="59" t="s">
        <v>198</v>
      </c>
      <c r="U26" s="59">
        <v>0</v>
      </c>
      <c r="V26" s="59">
        <v>0</v>
      </c>
      <c r="W26" s="59">
        <v>0</v>
      </c>
      <c r="X26" s="59" t="s">
        <v>199</v>
      </c>
      <c r="Y26" s="59">
        <v>1</v>
      </c>
      <c r="Z26" s="59" t="s">
        <v>200</v>
      </c>
      <c r="AA26" s="59" t="s">
        <v>199</v>
      </c>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59"/>
      <c r="BK26" s="59"/>
      <c r="BL26" s="59"/>
      <c r="BM26" s="59"/>
      <c r="BN26" s="59"/>
      <c r="BO26" s="59"/>
      <c r="BP26" s="59"/>
      <c r="BQ26" s="59"/>
      <c r="BR26" s="59"/>
      <c r="BS26" s="59"/>
      <c r="BT26" s="59"/>
      <c r="BU26" s="59"/>
      <c r="BV26" s="59"/>
      <c r="BW26" s="59"/>
      <c r="BX26" s="59"/>
      <c r="BY26" s="59"/>
      <c r="BZ26" s="59"/>
      <c r="CA26" s="59"/>
      <c r="CB26" s="59"/>
      <c r="CC26" s="59"/>
      <c r="CD26" s="59"/>
      <c r="CE26" s="59"/>
      <c r="CF26" s="59"/>
      <c r="CG26" s="59"/>
      <c r="CH26" s="59"/>
      <c r="CI26" s="59"/>
      <c r="CJ26" s="59"/>
      <c r="CK26" s="59"/>
      <c r="CL26" s="59"/>
      <c r="CM26" s="59"/>
      <c r="CN26" s="59"/>
      <c r="CO26" s="59"/>
      <c r="CP26" s="59"/>
      <c r="CQ26" s="59"/>
      <c r="CR26" s="59"/>
      <c r="CS26" s="59"/>
      <c r="CT26" s="59"/>
      <c r="CU26" s="59"/>
      <c r="CV26" s="59"/>
      <c r="CW26" s="59"/>
      <c r="CX26" s="59"/>
      <c r="CY26" s="59"/>
      <c r="CZ26" s="59"/>
      <c r="DA26" s="59"/>
      <c r="DB26" s="59"/>
      <c r="DC26" s="59"/>
      <c r="DD26" s="59"/>
      <c r="DE26" s="59"/>
      <c r="DF26" s="59"/>
      <c r="DG26" s="59"/>
      <c r="DH26" s="59"/>
      <c r="DI26" s="59"/>
      <c r="DJ26" s="59"/>
      <c r="DK26" s="59"/>
      <c r="DL26" s="59"/>
      <c r="DM26" s="59"/>
      <c r="DN26" s="59"/>
      <c r="DO26" s="59"/>
      <c r="DP26" s="59"/>
      <c r="DQ26" s="59"/>
      <c r="DR26" s="59"/>
      <c r="DS26" s="59"/>
      <c r="DT26" s="59"/>
      <c r="DU26" s="59"/>
      <c r="DV26" s="59"/>
      <c r="DW26" s="59"/>
      <c r="DX26" s="59"/>
      <c r="DY26" s="59"/>
      <c r="DZ26" s="59"/>
      <c r="EA26" s="59"/>
      <c r="EB26" s="59"/>
      <c r="EC26" s="59"/>
      <c r="ED26" s="59"/>
      <c r="EE26" s="59"/>
      <c r="EF26" s="59"/>
      <c r="EG26" s="59"/>
      <c r="EH26" s="59"/>
      <c r="EI26" s="59"/>
      <c r="EJ26" s="59"/>
      <c r="EK26" s="59"/>
      <c r="EL26" s="59"/>
      <c r="EM26" s="59"/>
      <c r="EN26" s="59"/>
      <c r="EO26" s="59"/>
      <c r="EP26" s="59"/>
      <c r="EQ26" s="59"/>
      <c r="ER26" s="59"/>
      <c r="ES26" s="59"/>
      <c r="ET26" s="59"/>
      <c r="EU26" s="59"/>
      <c r="EV26" s="59"/>
      <c r="EW26" s="59"/>
      <c r="EX26" s="59"/>
      <c r="EY26" s="59"/>
      <c r="EZ26" s="59"/>
      <c r="FA26" s="59"/>
      <c r="FB26" s="59"/>
      <c r="FC26" s="59"/>
      <c r="FD26" s="59"/>
      <c r="FE26" s="59"/>
    </row>
    <row r="27" spans="1:161" ht="15.75" customHeight="1" x14ac:dyDescent="0.35">
      <c r="A27" s="69">
        <v>4861789125</v>
      </c>
      <c r="B27" s="59"/>
      <c r="C27" s="59" t="s">
        <v>130</v>
      </c>
      <c r="D27" s="59" t="s">
        <v>226</v>
      </c>
      <c r="E27" s="59" t="s">
        <v>227</v>
      </c>
      <c r="F27" s="58">
        <v>42937</v>
      </c>
      <c r="G27" s="59" t="s">
        <v>133</v>
      </c>
      <c r="H27" s="59" t="s">
        <v>133</v>
      </c>
      <c r="I27" s="59" t="s">
        <v>133</v>
      </c>
      <c r="J27" s="59" t="s">
        <v>133</v>
      </c>
      <c r="K27" s="59" t="s">
        <v>134</v>
      </c>
      <c r="L27" s="59" t="s">
        <v>135</v>
      </c>
      <c r="M27" s="59" t="s">
        <v>133</v>
      </c>
      <c r="N27" s="59" t="s">
        <v>136</v>
      </c>
      <c r="O27" s="58">
        <v>22500</v>
      </c>
      <c r="P27" s="58">
        <v>41233</v>
      </c>
      <c r="Q27" s="60">
        <f t="shared" si="1"/>
        <v>51</v>
      </c>
      <c r="R27" s="59" t="s">
        <v>147</v>
      </c>
      <c r="S27" s="59" t="s">
        <v>138</v>
      </c>
      <c r="T27" s="59" t="s">
        <v>198</v>
      </c>
      <c r="U27" s="59">
        <v>0</v>
      </c>
      <c r="V27" s="59">
        <v>0</v>
      </c>
      <c r="W27" s="59">
        <v>0</v>
      </c>
      <c r="X27" s="59" t="s">
        <v>199</v>
      </c>
      <c r="Y27" s="59">
        <v>1</v>
      </c>
      <c r="Z27" s="59" t="s">
        <v>200</v>
      </c>
      <c r="AA27" s="59" t="s">
        <v>199</v>
      </c>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M27" s="59"/>
      <c r="CN27" s="59"/>
      <c r="CO27" s="59"/>
      <c r="CP27" s="59"/>
      <c r="CQ27" s="59"/>
      <c r="CR27" s="59"/>
      <c r="CS27" s="59"/>
      <c r="CT27" s="59"/>
      <c r="CU27" s="59"/>
      <c r="CV27" s="59"/>
      <c r="CW27" s="59"/>
      <c r="CX27" s="59"/>
      <c r="CY27" s="59"/>
      <c r="CZ27" s="59"/>
      <c r="DA27" s="59"/>
      <c r="DB27" s="59"/>
      <c r="DC27" s="59"/>
      <c r="DD27" s="59"/>
      <c r="DE27" s="59"/>
      <c r="DF27" s="59"/>
      <c r="DG27" s="59"/>
      <c r="DH27" s="59"/>
      <c r="DI27" s="59"/>
      <c r="DJ27" s="59"/>
      <c r="DK27" s="59"/>
      <c r="DL27" s="59"/>
      <c r="DM27" s="59"/>
      <c r="DN27" s="59"/>
      <c r="DO27" s="59"/>
      <c r="DP27" s="59"/>
      <c r="DQ27" s="59"/>
      <c r="DR27" s="59"/>
      <c r="DS27" s="59"/>
      <c r="DT27" s="59"/>
      <c r="DU27" s="59"/>
      <c r="DV27" s="59"/>
      <c r="DW27" s="59"/>
      <c r="DX27" s="59"/>
      <c r="DY27" s="59"/>
      <c r="DZ27" s="59"/>
      <c r="EA27" s="59"/>
      <c r="EB27" s="59"/>
      <c r="EC27" s="59"/>
      <c r="ED27" s="59"/>
      <c r="EE27" s="59"/>
      <c r="EF27" s="59"/>
      <c r="EG27" s="59"/>
      <c r="EH27" s="59"/>
      <c r="EI27" s="59"/>
      <c r="EJ27" s="59"/>
      <c r="EK27" s="59"/>
      <c r="EL27" s="59"/>
      <c r="EM27" s="59"/>
      <c r="EN27" s="59"/>
      <c r="EO27" s="59"/>
      <c r="EP27" s="59"/>
      <c r="EQ27" s="59"/>
      <c r="ER27" s="59"/>
      <c r="ES27" s="59"/>
      <c r="ET27" s="59"/>
      <c r="EU27" s="59"/>
      <c r="EV27" s="59"/>
      <c r="EW27" s="59"/>
      <c r="EX27" s="59"/>
      <c r="EY27" s="59"/>
      <c r="EZ27" s="59"/>
      <c r="FA27" s="59"/>
      <c r="FB27" s="59"/>
      <c r="FC27" s="59"/>
      <c r="FD27" s="59"/>
      <c r="FE27" s="59"/>
    </row>
    <row r="28" spans="1:161" ht="15.75" customHeight="1" x14ac:dyDescent="0.35">
      <c r="A28" s="69">
        <v>4520776414</v>
      </c>
      <c r="B28" s="59"/>
      <c r="C28" s="59" t="s">
        <v>130</v>
      </c>
      <c r="D28" s="59" t="s">
        <v>228</v>
      </c>
      <c r="E28" s="59" t="s">
        <v>229</v>
      </c>
      <c r="F28" s="58">
        <v>42948</v>
      </c>
      <c r="G28" s="59" t="s">
        <v>133</v>
      </c>
      <c r="H28" s="59" t="s">
        <v>133</v>
      </c>
      <c r="I28" s="59" t="s">
        <v>133</v>
      </c>
      <c r="J28" s="59" t="s">
        <v>133</v>
      </c>
      <c r="K28" s="59" t="s">
        <v>203</v>
      </c>
      <c r="L28" s="59" t="s">
        <v>135</v>
      </c>
      <c r="M28" s="59" t="s">
        <v>133</v>
      </c>
      <c r="N28" s="59" t="s">
        <v>136</v>
      </c>
      <c r="O28" s="58">
        <v>19253</v>
      </c>
      <c r="P28" s="58">
        <v>42891</v>
      </c>
      <c r="Q28" s="60">
        <f t="shared" si="1"/>
        <v>64</v>
      </c>
      <c r="R28" s="59" t="s">
        <v>147</v>
      </c>
      <c r="S28" s="59" t="s">
        <v>138</v>
      </c>
      <c r="T28" s="59" t="s">
        <v>148</v>
      </c>
      <c r="U28" s="59">
        <v>0</v>
      </c>
      <c r="V28" s="59">
        <v>0</v>
      </c>
      <c r="W28" s="59">
        <v>0</v>
      </c>
      <c r="X28" s="59" t="s">
        <v>150</v>
      </c>
      <c r="Y28" s="59">
        <v>1</v>
      </c>
      <c r="Z28" s="59" t="s">
        <v>151</v>
      </c>
      <c r="AA28" s="59" t="s">
        <v>150</v>
      </c>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c r="BC28" s="59"/>
      <c r="BD28" s="59"/>
      <c r="BE28" s="59"/>
      <c r="BF28" s="59"/>
      <c r="BG28" s="59"/>
      <c r="BH28" s="59"/>
      <c r="BI28" s="59"/>
      <c r="BJ28" s="59"/>
      <c r="BK28" s="59"/>
      <c r="BL28" s="59"/>
      <c r="BM28" s="59"/>
      <c r="BN28" s="59"/>
      <c r="BO28" s="59"/>
      <c r="BP28" s="59"/>
      <c r="BQ28" s="59"/>
      <c r="BR28" s="59"/>
      <c r="BS28" s="59"/>
      <c r="BT28" s="59"/>
      <c r="BU28" s="59"/>
      <c r="BV28" s="59"/>
      <c r="BW28" s="59"/>
      <c r="BX28" s="59"/>
      <c r="BY28" s="59"/>
      <c r="BZ28" s="59"/>
      <c r="CA28" s="59"/>
      <c r="CB28" s="59"/>
      <c r="CC28" s="59"/>
      <c r="CD28" s="59"/>
      <c r="CE28" s="59"/>
      <c r="CF28" s="59"/>
      <c r="CG28" s="59"/>
      <c r="CH28" s="59"/>
      <c r="CI28" s="59"/>
      <c r="CJ28" s="59"/>
      <c r="CK28" s="59"/>
      <c r="CL28" s="59"/>
      <c r="CM28" s="59"/>
      <c r="CN28" s="59"/>
      <c r="CO28" s="59"/>
      <c r="CP28" s="59"/>
      <c r="CQ28" s="59"/>
      <c r="CR28" s="59"/>
      <c r="CS28" s="59"/>
      <c r="CT28" s="59"/>
      <c r="CU28" s="59"/>
      <c r="CV28" s="59"/>
      <c r="CW28" s="59"/>
      <c r="CX28" s="59"/>
      <c r="CY28" s="59"/>
      <c r="CZ28" s="59"/>
      <c r="DA28" s="59"/>
      <c r="DB28" s="59"/>
      <c r="DC28" s="59"/>
      <c r="DD28" s="59"/>
      <c r="DE28" s="59"/>
      <c r="DF28" s="59"/>
      <c r="DG28" s="59"/>
      <c r="DH28" s="59"/>
      <c r="DI28" s="59"/>
      <c r="DJ28" s="59"/>
      <c r="DK28" s="59"/>
      <c r="DL28" s="59"/>
      <c r="DM28" s="59"/>
      <c r="DN28" s="59"/>
      <c r="DO28" s="59"/>
      <c r="DP28" s="59"/>
      <c r="DQ28" s="59"/>
      <c r="DR28" s="59"/>
      <c r="DS28" s="59"/>
      <c r="DT28" s="59"/>
      <c r="DU28" s="59"/>
      <c r="DV28" s="59"/>
      <c r="DW28" s="59"/>
      <c r="DX28" s="59"/>
      <c r="DY28" s="59"/>
      <c r="DZ28" s="59"/>
      <c r="EA28" s="59"/>
      <c r="EB28" s="59"/>
      <c r="EC28" s="59"/>
      <c r="ED28" s="59"/>
      <c r="EE28" s="59"/>
      <c r="EF28" s="59"/>
      <c r="EG28" s="59"/>
      <c r="EH28" s="59"/>
      <c r="EI28" s="59"/>
      <c r="EJ28" s="59"/>
      <c r="EK28" s="59"/>
      <c r="EL28" s="59"/>
      <c r="EM28" s="59"/>
      <c r="EN28" s="59"/>
      <c r="EO28" s="59"/>
      <c r="EP28" s="59"/>
      <c r="EQ28" s="59"/>
      <c r="ER28" s="59"/>
      <c r="ES28" s="59"/>
      <c r="ET28" s="59"/>
      <c r="EU28" s="59"/>
      <c r="EV28" s="59"/>
      <c r="EW28" s="59"/>
      <c r="EX28" s="59"/>
      <c r="EY28" s="59"/>
      <c r="EZ28" s="59"/>
      <c r="FA28" s="59"/>
      <c r="FB28" s="59"/>
      <c r="FC28" s="59"/>
      <c r="FD28" s="59"/>
      <c r="FE28" s="59"/>
    </row>
    <row r="29" spans="1:161" ht="15.75" customHeight="1" x14ac:dyDescent="0.35">
      <c r="A29" s="69">
        <v>4582803245</v>
      </c>
      <c r="B29" s="59"/>
      <c r="C29" s="59" t="s">
        <v>130</v>
      </c>
      <c r="D29" s="59" t="s">
        <v>230</v>
      </c>
      <c r="E29" s="59" t="s">
        <v>231</v>
      </c>
      <c r="F29" s="58">
        <v>42950</v>
      </c>
      <c r="G29" s="59" t="s">
        <v>133</v>
      </c>
      <c r="H29" s="59" t="s">
        <v>133</v>
      </c>
      <c r="I29" s="59" t="s">
        <v>133</v>
      </c>
      <c r="J29" s="59" t="s">
        <v>133</v>
      </c>
      <c r="K29" s="91" t="s">
        <v>211</v>
      </c>
      <c r="L29" s="59" t="s">
        <v>135</v>
      </c>
      <c r="M29" s="59" t="s">
        <v>133</v>
      </c>
      <c r="N29" s="59" t="s">
        <v>136</v>
      </c>
      <c r="O29" s="58">
        <v>20209</v>
      </c>
      <c r="P29" s="58">
        <v>42909</v>
      </c>
      <c r="Q29" s="60">
        <f t="shared" si="1"/>
        <v>62</v>
      </c>
      <c r="R29" s="59" t="s">
        <v>225</v>
      </c>
      <c r="S29" s="59" t="s">
        <v>183</v>
      </c>
      <c r="T29" s="59">
        <v>2</v>
      </c>
      <c r="U29" s="59">
        <v>0</v>
      </c>
      <c r="V29" s="59">
        <v>0</v>
      </c>
      <c r="W29" s="59">
        <v>0</v>
      </c>
      <c r="X29" s="59" t="s">
        <v>159</v>
      </c>
      <c r="Y29" s="59">
        <v>2</v>
      </c>
      <c r="Z29" s="59" t="s">
        <v>160</v>
      </c>
      <c r="AA29" s="59" t="s">
        <v>159</v>
      </c>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59"/>
      <c r="BK29" s="59"/>
      <c r="BL29" s="59"/>
      <c r="BM29" s="59"/>
      <c r="BN29" s="59"/>
      <c r="BO29" s="59"/>
      <c r="BP29" s="59"/>
      <c r="BQ29" s="59"/>
      <c r="BR29" s="59"/>
      <c r="BS29" s="59"/>
      <c r="BT29" s="59"/>
      <c r="BU29" s="59"/>
      <c r="BV29" s="59"/>
      <c r="BW29" s="59"/>
      <c r="BX29" s="59"/>
      <c r="BY29" s="59"/>
      <c r="BZ29" s="59"/>
      <c r="CA29" s="59"/>
      <c r="CB29" s="59"/>
      <c r="CC29" s="59"/>
      <c r="CD29" s="59"/>
      <c r="CE29" s="59"/>
      <c r="CF29" s="59"/>
      <c r="CG29" s="59"/>
      <c r="CH29" s="59"/>
      <c r="CI29" s="59"/>
      <c r="CJ29" s="59"/>
      <c r="CK29" s="59"/>
      <c r="CL29" s="59"/>
      <c r="CM29" s="59"/>
      <c r="CN29" s="59"/>
      <c r="CO29" s="59"/>
      <c r="CP29" s="59"/>
      <c r="CQ29" s="59"/>
      <c r="CR29" s="59"/>
      <c r="CS29" s="59"/>
      <c r="CT29" s="59"/>
      <c r="CU29" s="59"/>
      <c r="CV29" s="59"/>
      <c r="CW29" s="59"/>
      <c r="CX29" s="59"/>
      <c r="CY29" s="59"/>
      <c r="CZ29" s="59"/>
      <c r="DA29" s="59"/>
      <c r="DB29" s="59"/>
      <c r="DC29" s="59"/>
      <c r="DD29" s="59"/>
      <c r="DE29" s="59"/>
      <c r="DF29" s="59"/>
      <c r="DG29" s="59"/>
      <c r="DH29" s="59"/>
      <c r="DI29" s="59"/>
      <c r="DJ29" s="59"/>
      <c r="DK29" s="59"/>
      <c r="DL29" s="59"/>
      <c r="DM29" s="59"/>
      <c r="DN29" s="59"/>
      <c r="DO29" s="59"/>
      <c r="DP29" s="59"/>
      <c r="DQ29" s="59"/>
      <c r="DR29" s="59"/>
      <c r="DS29" s="59"/>
      <c r="DT29" s="59"/>
      <c r="DU29" s="59"/>
      <c r="DV29" s="59"/>
      <c r="DW29" s="59"/>
      <c r="DX29" s="59"/>
      <c r="DY29" s="59"/>
      <c r="DZ29" s="59"/>
      <c r="EA29" s="59"/>
      <c r="EB29" s="59"/>
      <c r="EC29" s="59"/>
      <c r="ED29" s="59"/>
      <c r="EE29" s="59"/>
      <c r="EF29" s="59"/>
      <c r="EG29" s="59"/>
      <c r="EH29" s="59"/>
      <c r="EI29" s="59"/>
      <c r="EJ29" s="59"/>
      <c r="EK29" s="59"/>
      <c r="EL29" s="59"/>
      <c r="EM29" s="59"/>
      <c r="EN29" s="59"/>
      <c r="EO29" s="59"/>
      <c r="EP29" s="59"/>
      <c r="EQ29" s="59"/>
      <c r="ER29" s="59"/>
      <c r="ES29" s="59"/>
      <c r="ET29" s="59"/>
      <c r="EU29" s="59"/>
      <c r="EV29" s="59"/>
      <c r="EW29" s="59"/>
      <c r="EX29" s="59"/>
      <c r="EY29" s="59"/>
      <c r="EZ29" s="59"/>
      <c r="FA29" s="59"/>
      <c r="FB29" s="59"/>
      <c r="FC29" s="59"/>
      <c r="FD29" s="59"/>
      <c r="FE29" s="59"/>
    </row>
    <row r="30" spans="1:161" ht="15.75" customHeight="1" x14ac:dyDescent="0.35">
      <c r="A30" s="69">
        <v>4948238384</v>
      </c>
      <c r="B30" s="59"/>
      <c r="C30" s="59" t="s">
        <v>130</v>
      </c>
      <c r="D30" s="59" t="s">
        <v>232</v>
      </c>
      <c r="E30" s="59" t="s">
        <v>144</v>
      </c>
      <c r="F30" s="58">
        <v>42956</v>
      </c>
      <c r="G30" s="59" t="s">
        <v>232</v>
      </c>
      <c r="H30" s="59" t="s">
        <v>208</v>
      </c>
      <c r="I30" s="59" t="s">
        <v>169</v>
      </c>
      <c r="J30" s="58">
        <v>42956</v>
      </c>
      <c r="K30" s="59" t="s">
        <v>233</v>
      </c>
      <c r="L30" s="59" t="s">
        <v>135</v>
      </c>
      <c r="M30" s="59" t="s">
        <v>133</v>
      </c>
      <c r="N30" s="59" t="s">
        <v>136</v>
      </c>
      <c r="O30" s="58">
        <v>12619</v>
      </c>
      <c r="P30" s="58">
        <v>42909</v>
      </c>
      <c r="Q30" s="60">
        <f t="shared" si="1"/>
        <v>82</v>
      </c>
      <c r="R30" s="59" t="s">
        <v>147</v>
      </c>
      <c r="S30" s="59" t="s">
        <v>138</v>
      </c>
      <c r="T30" s="59" t="s">
        <v>234</v>
      </c>
      <c r="U30" s="59">
        <v>0</v>
      </c>
      <c r="V30" s="59">
        <v>0</v>
      </c>
      <c r="W30" s="59">
        <v>0</v>
      </c>
      <c r="X30" s="59" t="s">
        <v>235</v>
      </c>
      <c r="Y30" s="59">
        <v>3</v>
      </c>
      <c r="Z30" s="59" t="s">
        <v>236</v>
      </c>
      <c r="AA30" s="59" t="s">
        <v>235</v>
      </c>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59"/>
      <c r="BB30" s="59"/>
      <c r="BC30" s="59"/>
      <c r="BD30" s="59"/>
      <c r="BE30" s="59"/>
      <c r="BF30" s="59"/>
      <c r="BG30" s="59"/>
      <c r="BH30" s="59"/>
      <c r="BI30" s="59"/>
      <c r="BJ30" s="59"/>
      <c r="BK30" s="59"/>
      <c r="BL30" s="59"/>
      <c r="BM30" s="59"/>
      <c r="BN30" s="59"/>
      <c r="BO30" s="59"/>
      <c r="BP30" s="59"/>
      <c r="BQ30" s="59"/>
      <c r="BR30" s="59"/>
      <c r="BS30" s="59"/>
      <c r="BT30" s="59"/>
      <c r="BU30" s="59"/>
      <c r="BV30" s="59"/>
      <c r="BW30" s="59"/>
      <c r="BX30" s="59"/>
      <c r="BY30" s="59"/>
      <c r="BZ30" s="59"/>
      <c r="CA30" s="59"/>
      <c r="CB30" s="59"/>
      <c r="CC30" s="59"/>
      <c r="CD30" s="59"/>
      <c r="CE30" s="59"/>
      <c r="CF30" s="59"/>
      <c r="CG30" s="59"/>
      <c r="CH30" s="59"/>
      <c r="CI30" s="59"/>
      <c r="CJ30" s="59"/>
      <c r="CK30" s="59"/>
      <c r="CL30" s="59"/>
      <c r="CM30" s="59"/>
      <c r="CN30" s="59"/>
      <c r="CO30" s="59"/>
      <c r="CP30" s="59"/>
      <c r="CQ30" s="59"/>
      <c r="CR30" s="59"/>
      <c r="CS30" s="59"/>
      <c r="CT30" s="59"/>
      <c r="CU30" s="59"/>
      <c r="CV30" s="59"/>
      <c r="CW30" s="59"/>
      <c r="CX30" s="59"/>
      <c r="CY30" s="59"/>
      <c r="CZ30" s="59"/>
      <c r="DA30" s="59"/>
      <c r="DB30" s="59"/>
      <c r="DC30" s="59"/>
      <c r="DD30" s="59"/>
      <c r="DE30" s="59"/>
      <c r="DF30" s="59"/>
      <c r="DG30" s="59"/>
      <c r="DH30" s="59"/>
      <c r="DI30" s="59"/>
      <c r="DJ30" s="59"/>
      <c r="DK30" s="59"/>
      <c r="DL30" s="59"/>
      <c r="DM30" s="59"/>
      <c r="DN30" s="59"/>
      <c r="DO30" s="59"/>
      <c r="DP30" s="59"/>
      <c r="DQ30" s="59"/>
      <c r="DR30" s="59"/>
      <c r="DS30" s="59"/>
      <c r="DT30" s="59"/>
      <c r="DU30" s="59"/>
      <c r="DV30" s="59"/>
      <c r="DW30" s="59"/>
      <c r="DX30" s="59"/>
      <c r="DY30" s="59"/>
      <c r="DZ30" s="59"/>
      <c r="EA30" s="59"/>
      <c r="EB30" s="59"/>
      <c r="EC30" s="59"/>
      <c r="ED30" s="59"/>
      <c r="EE30" s="59"/>
      <c r="EF30" s="59"/>
      <c r="EG30" s="59"/>
      <c r="EH30" s="59"/>
      <c r="EI30" s="59"/>
      <c r="EJ30" s="59"/>
      <c r="EK30" s="59"/>
      <c r="EL30" s="59"/>
      <c r="EM30" s="59"/>
      <c r="EN30" s="59"/>
      <c r="EO30" s="59"/>
      <c r="EP30" s="59"/>
      <c r="EQ30" s="59"/>
      <c r="ER30" s="59"/>
      <c r="ES30" s="59"/>
      <c r="ET30" s="59"/>
      <c r="EU30" s="59"/>
      <c r="EV30" s="59"/>
      <c r="EW30" s="59"/>
      <c r="EX30" s="59"/>
      <c r="EY30" s="59"/>
      <c r="EZ30" s="59"/>
      <c r="FA30" s="59"/>
      <c r="FB30" s="59"/>
      <c r="FC30" s="59"/>
      <c r="FD30" s="59"/>
      <c r="FE30" s="59"/>
    </row>
    <row r="31" spans="1:161" ht="15.75" customHeight="1" x14ac:dyDescent="0.35">
      <c r="A31" s="69">
        <v>4583815352</v>
      </c>
      <c r="B31" s="59"/>
      <c r="C31" s="59" t="s">
        <v>130</v>
      </c>
      <c r="D31" s="59" t="s">
        <v>237</v>
      </c>
      <c r="E31" s="59">
        <v>4</v>
      </c>
      <c r="F31" s="58">
        <v>42957</v>
      </c>
      <c r="G31" s="59" t="s">
        <v>133</v>
      </c>
      <c r="H31" s="59" t="s">
        <v>133</v>
      </c>
      <c r="I31" s="59" t="s">
        <v>133</v>
      </c>
      <c r="J31" s="59" t="s">
        <v>133</v>
      </c>
      <c r="K31" s="59" t="s">
        <v>203</v>
      </c>
      <c r="L31" s="59" t="s">
        <v>135</v>
      </c>
      <c r="M31" s="59" t="s">
        <v>133</v>
      </c>
      <c r="N31" s="59" t="s">
        <v>136</v>
      </c>
      <c r="O31" s="58">
        <v>20935</v>
      </c>
      <c r="P31" s="58">
        <v>42932</v>
      </c>
      <c r="Q31" s="60">
        <f t="shared" si="1"/>
        <v>60</v>
      </c>
      <c r="R31" s="59" t="s">
        <v>147</v>
      </c>
      <c r="S31" s="59" t="s">
        <v>183</v>
      </c>
      <c r="T31" s="59" t="s">
        <v>198</v>
      </c>
      <c r="U31" s="59">
        <v>0</v>
      </c>
      <c r="V31" s="59">
        <v>0</v>
      </c>
      <c r="W31" s="59">
        <v>0</v>
      </c>
      <c r="X31" s="59" t="s">
        <v>199</v>
      </c>
      <c r="Y31" s="59">
        <v>1</v>
      </c>
      <c r="Z31" s="59" t="s">
        <v>200</v>
      </c>
      <c r="AA31" s="59" t="s">
        <v>199</v>
      </c>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59"/>
      <c r="BC31" s="59"/>
      <c r="BD31" s="59"/>
      <c r="BE31" s="59"/>
      <c r="BF31" s="59"/>
      <c r="BG31" s="59"/>
      <c r="BH31" s="59"/>
      <c r="BI31" s="59"/>
      <c r="BJ31" s="59"/>
      <c r="BK31" s="59"/>
      <c r="BL31" s="59"/>
      <c r="BM31" s="59"/>
      <c r="BN31" s="59"/>
      <c r="BO31" s="59"/>
      <c r="BP31" s="59"/>
      <c r="BQ31" s="59"/>
      <c r="BR31" s="59"/>
      <c r="BS31" s="59"/>
      <c r="BT31" s="59"/>
      <c r="BU31" s="59"/>
      <c r="BV31" s="59"/>
      <c r="BW31" s="59"/>
      <c r="BX31" s="59"/>
      <c r="BY31" s="59"/>
      <c r="BZ31" s="59"/>
      <c r="CA31" s="59"/>
      <c r="CB31" s="59"/>
      <c r="CC31" s="59"/>
      <c r="CD31" s="59"/>
      <c r="CE31" s="59"/>
      <c r="CF31" s="59"/>
      <c r="CG31" s="59"/>
      <c r="CH31" s="59"/>
      <c r="CI31" s="59"/>
      <c r="CJ31" s="59"/>
      <c r="CK31" s="59"/>
      <c r="CL31" s="59"/>
      <c r="CM31" s="59"/>
      <c r="CN31" s="59"/>
      <c r="CO31" s="59"/>
      <c r="CP31" s="59"/>
      <c r="CQ31" s="59"/>
      <c r="CR31" s="59"/>
      <c r="CS31" s="59"/>
      <c r="CT31" s="59"/>
      <c r="CU31" s="59"/>
      <c r="CV31" s="59"/>
      <c r="CW31" s="59"/>
      <c r="CX31" s="59"/>
      <c r="CY31" s="59"/>
      <c r="CZ31" s="59"/>
      <c r="DA31" s="59"/>
      <c r="DB31" s="59"/>
      <c r="DC31" s="59"/>
      <c r="DD31" s="59"/>
      <c r="DE31" s="59"/>
      <c r="DF31" s="59"/>
      <c r="DG31" s="59"/>
      <c r="DH31" s="59"/>
      <c r="DI31" s="59"/>
      <c r="DJ31" s="59"/>
      <c r="DK31" s="59"/>
      <c r="DL31" s="59"/>
      <c r="DM31" s="59"/>
      <c r="DN31" s="59"/>
      <c r="DO31" s="59"/>
      <c r="DP31" s="59"/>
      <c r="DQ31" s="59"/>
      <c r="DR31" s="59"/>
      <c r="DS31" s="59"/>
      <c r="DT31" s="59"/>
      <c r="DU31" s="59"/>
      <c r="DV31" s="59"/>
      <c r="DW31" s="59"/>
      <c r="DX31" s="59"/>
      <c r="DY31" s="59"/>
      <c r="DZ31" s="59"/>
      <c r="EA31" s="59"/>
      <c r="EB31" s="59"/>
      <c r="EC31" s="59"/>
      <c r="ED31" s="59"/>
      <c r="EE31" s="59"/>
      <c r="EF31" s="59"/>
      <c r="EG31" s="59"/>
      <c r="EH31" s="59"/>
      <c r="EI31" s="59"/>
      <c r="EJ31" s="59"/>
      <c r="EK31" s="59"/>
      <c r="EL31" s="59"/>
      <c r="EM31" s="59"/>
      <c r="EN31" s="59"/>
      <c r="EO31" s="59"/>
      <c r="EP31" s="59"/>
      <c r="EQ31" s="59"/>
      <c r="ER31" s="59"/>
      <c r="ES31" s="59"/>
      <c r="ET31" s="59"/>
      <c r="EU31" s="59"/>
      <c r="EV31" s="59"/>
      <c r="EW31" s="59"/>
      <c r="EX31" s="59"/>
      <c r="EY31" s="59"/>
      <c r="EZ31" s="59"/>
      <c r="FA31" s="59"/>
      <c r="FB31" s="59"/>
      <c r="FC31" s="59"/>
      <c r="FD31" s="59"/>
      <c r="FE31" s="59"/>
    </row>
    <row r="32" spans="1:161" ht="15.75" customHeight="1" x14ac:dyDescent="0.35">
      <c r="A32" s="69">
        <v>4109016088</v>
      </c>
      <c r="B32" s="59"/>
      <c r="C32" s="59" t="s">
        <v>130</v>
      </c>
      <c r="D32" s="59" t="s">
        <v>238</v>
      </c>
      <c r="E32" s="59" t="s">
        <v>239</v>
      </c>
      <c r="F32" s="58">
        <v>42961</v>
      </c>
      <c r="G32" s="59" t="s">
        <v>133</v>
      </c>
      <c r="H32" s="59" t="s">
        <v>133</v>
      </c>
      <c r="I32" s="59" t="s">
        <v>133</v>
      </c>
      <c r="J32" s="59" t="s">
        <v>133</v>
      </c>
      <c r="K32" s="59" t="s">
        <v>134</v>
      </c>
      <c r="L32" s="59" t="s">
        <v>135</v>
      </c>
      <c r="M32" s="59" t="s">
        <v>133</v>
      </c>
      <c r="N32" s="59" t="s">
        <v>136</v>
      </c>
      <c r="O32" s="58">
        <v>16954</v>
      </c>
      <c r="P32" s="58">
        <v>42909</v>
      </c>
      <c r="Q32" s="60">
        <f t="shared" si="1"/>
        <v>71</v>
      </c>
      <c r="R32" s="59" t="s">
        <v>240</v>
      </c>
      <c r="S32" s="59" t="s">
        <v>138</v>
      </c>
      <c r="T32" s="59">
        <v>3</v>
      </c>
      <c r="U32" s="59">
        <v>2</v>
      </c>
      <c r="V32" s="59">
        <v>0</v>
      </c>
      <c r="W32" s="59">
        <v>0</v>
      </c>
      <c r="X32" s="59" t="s">
        <v>241</v>
      </c>
      <c r="Y32" s="59" t="s">
        <v>183</v>
      </c>
      <c r="Z32" s="70" t="s">
        <v>242</v>
      </c>
      <c r="AA32" s="59" t="s">
        <v>241</v>
      </c>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59"/>
      <c r="BA32" s="59"/>
      <c r="BB32" s="59"/>
      <c r="BC32" s="59"/>
      <c r="BD32" s="59"/>
      <c r="BE32" s="59"/>
      <c r="BF32" s="59"/>
      <c r="BG32" s="59"/>
      <c r="BH32" s="59"/>
      <c r="BI32" s="59"/>
      <c r="BJ32" s="59"/>
      <c r="BK32" s="59"/>
      <c r="BL32" s="59"/>
      <c r="BM32" s="59"/>
      <c r="BN32" s="59"/>
      <c r="BO32" s="59"/>
      <c r="BP32" s="59"/>
      <c r="BQ32" s="59"/>
      <c r="BR32" s="59"/>
      <c r="BS32" s="59"/>
      <c r="BT32" s="59"/>
      <c r="BU32" s="59"/>
      <c r="BV32" s="59"/>
      <c r="BW32" s="59"/>
      <c r="BX32" s="59"/>
      <c r="BY32" s="59"/>
      <c r="BZ32" s="59"/>
      <c r="CA32" s="59"/>
      <c r="CB32" s="59"/>
      <c r="CC32" s="59"/>
      <c r="CD32" s="59"/>
      <c r="CE32" s="59"/>
      <c r="CF32" s="59"/>
      <c r="CG32" s="59"/>
      <c r="CH32" s="59"/>
      <c r="CI32" s="59"/>
      <c r="CJ32" s="59"/>
      <c r="CK32" s="59"/>
      <c r="CL32" s="59"/>
      <c r="CM32" s="59"/>
      <c r="CN32" s="59"/>
      <c r="CO32" s="59"/>
      <c r="CP32" s="59"/>
      <c r="CQ32" s="59"/>
      <c r="CR32" s="59"/>
      <c r="CS32" s="59"/>
      <c r="CT32" s="59"/>
      <c r="CU32" s="59"/>
      <c r="CV32" s="59"/>
      <c r="CW32" s="59"/>
      <c r="CX32" s="59"/>
      <c r="CY32" s="59"/>
      <c r="CZ32" s="59"/>
      <c r="DA32" s="59"/>
      <c r="DB32" s="59"/>
      <c r="DC32" s="59"/>
      <c r="DD32" s="59"/>
      <c r="DE32" s="59"/>
      <c r="DF32" s="59"/>
      <c r="DG32" s="59"/>
      <c r="DH32" s="59"/>
      <c r="DI32" s="59"/>
      <c r="DJ32" s="59"/>
      <c r="DK32" s="59"/>
      <c r="DL32" s="59"/>
      <c r="DM32" s="59"/>
      <c r="DN32" s="59"/>
      <c r="DO32" s="59"/>
      <c r="DP32" s="59"/>
      <c r="DQ32" s="59"/>
      <c r="DR32" s="59"/>
      <c r="DS32" s="59"/>
      <c r="DT32" s="59"/>
      <c r="DU32" s="59"/>
      <c r="DV32" s="59"/>
      <c r="DW32" s="59"/>
      <c r="DX32" s="59"/>
      <c r="DY32" s="59"/>
      <c r="DZ32" s="59"/>
      <c r="EA32" s="59"/>
      <c r="EB32" s="59"/>
      <c r="EC32" s="59"/>
      <c r="ED32" s="59"/>
      <c r="EE32" s="59"/>
      <c r="EF32" s="59"/>
      <c r="EG32" s="59"/>
      <c r="EH32" s="59"/>
      <c r="EI32" s="59"/>
      <c r="EJ32" s="59"/>
      <c r="EK32" s="59"/>
      <c r="EL32" s="59"/>
      <c r="EM32" s="59"/>
      <c r="EN32" s="59"/>
      <c r="EO32" s="59"/>
      <c r="EP32" s="59"/>
      <c r="EQ32" s="59"/>
      <c r="ER32" s="59"/>
      <c r="ES32" s="59"/>
      <c r="ET32" s="59"/>
      <c r="EU32" s="59"/>
      <c r="EV32" s="59"/>
      <c r="EW32" s="59"/>
      <c r="EX32" s="59"/>
      <c r="EY32" s="59"/>
      <c r="EZ32" s="59"/>
      <c r="FA32" s="59"/>
      <c r="FB32" s="59"/>
      <c r="FC32" s="59"/>
      <c r="FD32" s="59"/>
      <c r="FE32" s="59"/>
    </row>
    <row r="33" spans="1:161" ht="15.75" customHeight="1" x14ac:dyDescent="0.35">
      <c r="A33" s="69">
        <v>4343616568</v>
      </c>
      <c r="B33" s="59"/>
      <c r="C33" s="59" t="s">
        <v>130</v>
      </c>
      <c r="D33" s="59" t="s">
        <v>243</v>
      </c>
      <c r="E33" s="59" t="s">
        <v>244</v>
      </c>
      <c r="F33" s="58">
        <v>42968</v>
      </c>
      <c r="G33" s="59" t="s">
        <v>133</v>
      </c>
      <c r="H33" s="59" t="s">
        <v>133</v>
      </c>
      <c r="I33" s="59" t="s">
        <v>133</v>
      </c>
      <c r="J33" s="59" t="s">
        <v>133</v>
      </c>
      <c r="K33" s="59" t="s">
        <v>203</v>
      </c>
      <c r="L33" s="59" t="s">
        <v>135</v>
      </c>
      <c r="M33" s="59" t="s">
        <v>133</v>
      </c>
      <c r="N33" s="59" t="s">
        <v>136</v>
      </c>
      <c r="O33" s="58">
        <v>12808</v>
      </c>
      <c r="P33" s="58">
        <v>42916</v>
      </c>
      <c r="Q33" s="60">
        <f t="shared" si="1"/>
        <v>82</v>
      </c>
      <c r="R33" s="59" t="s">
        <v>225</v>
      </c>
      <c r="S33" s="59" t="s">
        <v>138</v>
      </c>
      <c r="T33" s="59" t="s">
        <v>198</v>
      </c>
      <c r="U33" s="59">
        <v>0</v>
      </c>
      <c r="V33" s="59">
        <v>0</v>
      </c>
      <c r="W33" s="59">
        <v>0</v>
      </c>
      <c r="X33" s="59" t="s">
        <v>199</v>
      </c>
      <c r="Y33" s="59">
        <v>1</v>
      </c>
      <c r="Z33" s="59" t="s">
        <v>200</v>
      </c>
      <c r="AA33" s="59" t="s">
        <v>199</v>
      </c>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59"/>
      <c r="BL33" s="59"/>
      <c r="BM33" s="59"/>
      <c r="BN33" s="59"/>
      <c r="BO33" s="59"/>
      <c r="BP33" s="59"/>
      <c r="BQ33" s="59"/>
      <c r="BR33" s="59"/>
      <c r="BS33" s="59"/>
      <c r="BT33" s="59"/>
      <c r="BU33" s="59"/>
      <c r="BV33" s="59"/>
      <c r="BW33" s="59"/>
      <c r="BX33" s="59"/>
      <c r="BY33" s="59"/>
      <c r="BZ33" s="59"/>
      <c r="CA33" s="59"/>
      <c r="CB33" s="59"/>
      <c r="CC33" s="59"/>
      <c r="CD33" s="59"/>
      <c r="CE33" s="59"/>
      <c r="CF33" s="59"/>
      <c r="CG33" s="59"/>
      <c r="CH33" s="59"/>
      <c r="CI33" s="59"/>
      <c r="CJ33" s="59"/>
      <c r="CK33" s="59"/>
      <c r="CL33" s="59"/>
      <c r="CM33" s="59"/>
      <c r="CN33" s="59"/>
      <c r="CO33" s="59"/>
      <c r="CP33" s="59"/>
      <c r="CQ33" s="59"/>
      <c r="CR33" s="59"/>
      <c r="CS33" s="59"/>
      <c r="CT33" s="59"/>
      <c r="CU33" s="59"/>
      <c r="CV33" s="59"/>
      <c r="CW33" s="59"/>
      <c r="CX33" s="59"/>
      <c r="CY33" s="59"/>
      <c r="CZ33" s="59"/>
      <c r="DA33" s="59"/>
      <c r="DB33" s="59"/>
      <c r="DC33" s="59"/>
      <c r="DD33" s="59"/>
      <c r="DE33" s="59"/>
      <c r="DF33" s="59"/>
      <c r="DG33" s="59"/>
      <c r="DH33" s="59"/>
      <c r="DI33" s="59"/>
      <c r="DJ33" s="59"/>
      <c r="DK33" s="59"/>
      <c r="DL33" s="59"/>
      <c r="DM33" s="59"/>
      <c r="DN33" s="59"/>
      <c r="DO33" s="59"/>
      <c r="DP33" s="59"/>
      <c r="DQ33" s="59"/>
      <c r="DR33" s="59"/>
      <c r="DS33" s="59"/>
      <c r="DT33" s="59"/>
      <c r="DU33" s="59"/>
      <c r="DV33" s="59"/>
      <c r="DW33" s="59"/>
      <c r="DX33" s="59"/>
      <c r="DY33" s="59"/>
      <c r="DZ33" s="59"/>
      <c r="EA33" s="59"/>
      <c r="EB33" s="59"/>
      <c r="EC33" s="59"/>
      <c r="ED33" s="59"/>
      <c r="EE33" s="59"/>
      <c r="EF33" s="59"/>
      <c r="EG33" s="59"/>
      <c r="EH33" s="59"/>
      <c r="EI33" s="59"/>
      <c r="EJ33" s="59"/>
      <c r="EK33" s="59"/>
      <c r="EL33" s="59"/>
      <c r="EM33" s="59"/>
      <c r="EN33" s="59"/>
      <c r="EO33" s="59"/>
      <c r="EP33" s="59"/>
      <c r="EQ33" s="59"/>
      <c r="ER33" s="59"/>
      <c r="ES33" s="59"/>
      <c r="ET33" s="59"/>
      <c r="EU33" s="59"/>
      <c r="EV33" s="59"/>
      <c r="EW33" s="59"/>
      <c r="EX33" s="59"/>
      <c r="EY33" s="59"/>
      <c r="EZ33" s="59"/>
      <c r="FA33" s="59"/>
      <c r="FB33" s="59"/>
      <c r="FC33" s="59"/>
      <c r="FD33" s="59"/>
      <c r="FE33" s="59"/>
    </row>
    <row r="34" spans="1:161" ht="15.75" customHeight="1" x14ac:dyDescent="0.35">
      <c r="A34" s="69">
        <v>4483680641</v>
      </c>
      <c r="B34" s="59"/>
      <c r="C34" s="59" t="s">
        <v>130</v>
      </c>
      <c r="D34" s="59" t="s">
        <v>245</v>
      </c>
      <c r="E34" s="59" t="s">
        <v>246</v>
      </c>
      <c r="F34" s="58">
        <v>42970</v>
      </c>
      <c r="G34" s="59" t="s">
        <v>245</v>
      </c>
      <c r="H34" s="59" t="s">
        <v>247</v>
      </c>
      <c r="I34" s="59" t="s">
        <v>146</v>
      </c>
      <c r="J34" s="58">
        <v>42970</v>
      </c>
      <c r="K34" s="59" t="s">
        <v>248</v>
      </c>
      <c r="L34" s="59" t="s">
        <v>135</v>
      </c>
      <c r="M34" s="59" t="s">
        <v>133</v>
      </c>
      <c r="N34" s="59" t="s">
        <v>136</v>
      </c>
      <c r="O34" s="58">
        <v>20760</v>
      </c>
      <c r="P34" s="58">
        <v>42927</v>
      </c>
      <c r="Q34" s="60">
        <f t="shared" si="1"/>
        <v>60</v>
      </c>
      <c r="R34" s="59" t="s">
        <v>249</v>
      </c>
      <c r="S34" s="59" t="s">
        <v>138</v>
      </c>
      <c r="T34" s="59">
        <v>2</v>
      </c>
      <c r="U34" s="59">
        <v>0</v>
      </c>
      <c r="V34" s="59">
        <v>0</v>
      </c>
      <c r="W34" s="59">
        <v>0</v>
      </c>
      <c r="X34" s="59" t="s">
        <v>159</v>
      </c>
      <c r="Y34" s="59">
        <v>3</v>
      </c>
      <c r="Z34" s="59" t="s">
        <v>160</v>
      </c>
      <c r="AA34" s="59" t="s">
        <v>159</v>
      </c>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59"/>
      <c r="BK34" s="59"/>
      <c r="BL34" s="59"/>
      <c r="BM34" s="59"/>
      <c r="BN34" s="59"/>
      <c r="BO34" s="59"/>
      <c r="BP34" s="59"/>
      <c r="BQ34" s="59"/>
      <c r="BR34" s="59"/>
      <c r="BS34" s="59"/>
      <c r="BT34" s="59"/>
      <c r="BU34" s="59"/>
      <c r="BV34" s="59"/>
      <c r="BW34" s="59"/>
      <c r="BX34" s="59"/>
      <c r="BY34" s="59"/>
      <c r="BZ34" s="59"/>
      <c r="CA34" s="59"/>
      <c r="CB34" s="59"/>
      <c r="CC34" s="59"/>
      <c r="CD34" s="59"/>
      <c r="CE34" s="59"/>
      <c r="CF34" s="59"/>
      <c r="CG34" s="59"/>
      <c r="CH34" s="59"/>
      <c r="CI34" s="59"/>
      <c r="CJ34" s="59"/>
      <c r="CK34" s="59"/>
      <c r="CL34" s="59"/>
      <c r="CM34" s="59"/>
      <c r="CN34" s="59"/>
      <c r="CO34" s="59"/>
      <c r="CP34" s="59"/>
      <c r="CQ34" s="59"/>
      <c r="CR34" s="59"/>
      <c r="CS34" s="59"/>
      <c r="CT34" s="59"/>
      <c r="CU34" s="59"/>
      <c r="CV34" s="59"/>
      <c r="CW34" s="59"/>
      <c r="CX34" s="59"/>
      <c r="CY34" s="59"/>
      <c r="CZ34" s="59"/>
      <c r="DA34" s="59"/>
      <c r="DB34" s="59"/>
      <c r="DC34" s="59"/>
      <c r="DD34" s="59"/>
      <c r="DE34" s="59"/>
      <c r="DF34" s="59"/>
      <c r="DG34" s="59"/>
      <c r="DH34" s="59"/>
      <c r="DI34" s="59"/>
      <c r="DJ34" s="59"/>
      <c r="DK34" s="59"/>
      <c r="DL34" s="59"/>
      <c r="DM34" s="59"/>
      <c r="DN34" s="59"/>
      <c r="DO34" s="59"/>
      <c r="DP34" s="59"/>
      <c r="DQ34" s="59"/>
      <c r="DR34" s="59"/>
      <c r="DS34" s="59"/>
      <c r="DT34" s="59"/>
      <c r="DU34" s="59"/>
      <c r="DV34" s="59"/>
      <c r="DW34" s="59"/>
      <c r="DX34" s="59"/>
      <c r="DY34" s="59"/>
      <c r="DZ34" s="59"/>
      <c r="EA34" s="59"/>
      <c r="EB34" s="59"/>
      <c r="EC34" s="59"/>
      <c r="ED34" s="59"/>
      <c r="EE34" s="59"/>
      <c r="EF34" s="59"/>
      <c r="EG34" s="59"/>
      <c r="EH34" s="59"/>
      <c r="EI34" s="59"/>
      <c r="EJ34" s="59"/>
      <c r="EK34" s="59"/>
      <c r="EL34" s="59"/>
      <c r="EM34" s="59"/>
      <c r="EN34" s="59"/>
      <c r="EO34" s="59"/>
      <c r="EP34" s="59"/>
      <c r="EQ34" s="59"/>
      <c r="ER34" s="59"/>
      <c r="ES34" s="59"/>
      <c r="ET34" s="59"/>
      <c r="EU34" s="59"/>
      <c r="EV34" s="59"/>
      <c r="EW34" s="59"/>
      <c r="EX34" s="59"/>
      <c r="EY34" s="59"/>
      <c r="EZ34" s="59"/>
      <c r="FA34" s="59"/>
      <c r="FB34" s="59"/>
      <c r="FC34" s="59"/>
      <c r="FD34" s="59"/>
      <c r="FE34" s="59"/>
    </row>
    <row r="35" spans="1:161" ht="15.75" customHeight="1" x14ac:dyDescent="0.35">
      <c r="A35" s="69">
        <v>4347092857</v>
      </c>
      <c r="B35" s="59"/>
      <c r="C35" s="59" t="s">
        <v>130</v>
      </c>
      <c r="D35" s="59" t="s">
        <v>250</v>
      </c>
      <c r="E35" s="59" t="s">
        <v>239</v>
      </c>
      <c r="F35" s="58">
        <v>42976</v>
      </c>
      <c r="G35" s="59" t="s">
        <v>133</v>
      </c>
      <c r="H35" s="59" t="s">
        <v>133</v>
      </c>
      <c r="I35" s="59" t="s">
        <v>133</v>
      </c>
      <c r="J35" s="59" t="s">
        <v>133</v>
      </c>
      <c r="K35" s="59" t="s">
        <v>203</v>
      </c>
      <c r="L35" s="59" t="s">
        <v>135</v>
      </c>
      <c r="M35" s="59" t="s">
        <v>133</v>
      </c>
      <c r="N35" s="59" t="s">
        <v>136</v>
      </c>
      <c r="O35" s="58">
        <v>12091</v>
      </c>
      <c r="P35" s="58">
        <v>42920</v>
      </c>
      <c r="Q35" s="60">
        <f t="shared" si="1"/>
        <v>84</v>
      </c>
      <c r="R35" s="59" t="s">
        <v>225</v>
      </c>
      <c r="S35" s="59" t="s">
        <v>138</v>
      </c>
      <c r="T35" s="59">
        <v>3</v>
      </c>
      <c r="U35" s="59">
        <v>1</v>
      </c>
      <c r="V35" s="59">
        <v>0</v>
      </c>
      <c r="W35" s="59">
        <v>0</v>
      </c>
      <c r="X35" s="59" t="s">
        <v>139</v>
      </c>
      <c r="Y35" s="59">
        <v>2</v>
      </c>
      <c r="Z35" s="70" t="s">
        <v>251</v>
      </c>
      <c r="AA35" s="59" t="s">
        <v>139</v>
      </c>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59"/>
      <c r="BK35" s="59"/>
      <c r="BL35" s="59"/>
      <c r="BM35" s="59"/>
      <c r="BN35" s="59"/>
      <c r="BO35" s="59"/>
      <c r="BP35" s="59"/>
      <c r="BQ35" s="59"/>
      <c r="BR35" s="59"/>
      <c r="BS35" s="59"/>
      <c r="BT35" s="59"/>
      <c r="BU35" s="59"/>
      <c r="BV35" s="59"/>
      <c r="BW35" s="59"/>
      <c r="BX35" s="59"/>
      <c r="BY35" s="59"/>
      <c r="BZ35" s="59"/>
      <c r="CA35" s="59"/>
      <c r="CB35" s="59"/>
      <c r="CC35" s="59"/>
      <c r="CD35" s="59"/>
      <c r="CE35" s="59"/>
      <c r="CF35" s="59"/>
      <c r="CG35" s="59"/>
      <c r="CH35" s="59"/>
      <c r="CI35" s="59"/>
      <c r="CJ35" s="59"/>
      <c r="CK35" s="59"/>
      <c r="CL35" s="59"/>
      <c r="CM35" s="59"/>
      <c r="CN35" s="59"/>
      <c r="CO35" s="59"/>
      <c r="CP35" s="59"/>
      <c r="CQ35" s="59"/>
      <c r="CR35" s="59"/>
      <c r="CS35" s="59"/>
      <c r="CT35" s="59"/>
      <c r="CU35" s="59"/>
      <c r="CV35" s="59"/>
      <c r="CW35" s="59"/>
      <c r="CX35" s="59"/>
      <c r="CY35" s="59"/>
      <c r="CZ35" s="59"/>
      <c r="DA35" s="59"/>
      <c r="DB35" s="59"/>
      <c r="DC35" s="59"/>
      <c r="DD35" s="59"/>
      <c r="DE35" s="59"/>
      <c r="DF35" s="59"/>
      <c r="DG35" s="59"/>
      <c r="DH35" s="59"/>
      <c r="DI35" s="59"/>
      <c r="DJ35" s="59"/>
      <c r="DK35" s="59"/>
      <c r="DL35" s="59"/>
      <c r="DM35" s="59"/>
      <c r="DN35" s="59"/>
      <c r="DO35" s="59"/>
      <c r="DP35" s="59"/>
      <c r="DQ35" s="59"/>
      <c r="DR35" s="59"/>
      <c r="DS35" s="59"/>
      <c r="DT35" s="59"/>
      <c r="DU35" s="59"/>
      <c r="DV35" s="59"/>
      <c r="DW35" s="59"/>
      <c r="DX35" s="59"/>
      <c r="DY35" s="59"/>
      <c r="DZ35" s="59"/>
      <c r="EA35" s="59"/>
      <c r="EB35" s="59"/>
      <c r="EC35" s="59"/>
      <c r="ED35" s="59"/>
      <c r="EE35" s="59"/>
      <c r="EF35" s="59"/>
      <c r="EG35" s="59"/>
      <c r="EH35" s="59"/>
      <c r="EI35" s="59"/>
      <c r="EJ35" s="59"/>
      <c r="EK35" s="59"/>
      <c r="EL35" s="59"/>
      <c r="EM35" s="59"/>
      <c r="EN35" s="59"/>
      <c r="EO35" s="59"/>
      <c r="EP35" s="59"/>
      <c r="EQ35" s="59"/>
      <c r="ER35" s="59"/>
      <c r="ES35" s="59"/>
      <c r="ET35" s="59"/>
      <c r="EU35" s="59"/>
      <c r="EV35" s="59"/>
      <c r="EW35" s="59"/>
      <c r="EX35" s="59"/>
      <c r="EY35" s="59"/>
      <c r="EZ35" s="59"/>
      <c r="FA35" s="59"/>
      <c r="FB35" s="59"/>
      <c r="FC35" s="59"/>
      <c r="FD35" s="59"/>
      <c r="FE35" s="59"/>
    </row>
    <row r="36" spans="1:161" ht="15.75" customHeight="1" x14ac:dyDescent="0.35">
      <c r="A36" s="69">
        <v>4583119461</v>
      </c>
      <c r="B36" s="59"/>
      <c r="C36" s="59" t="s">
        <v>130</v>
      </c>
      <c r="D36" s="59" t="s">
        <v>252</v>
      </c>
      <c r="E36" s="59" t="s">
        <v>153</v>
      </c>
      <c r="F36" s="58">
        <v>42976</v>
      </c>
      <c r="G36" s="59" t="s">
        <v>133</v>
      </c>
      <c r="H36" s="59" t="s">
        <v>133</v>
      </c>
      <c r="I36" s="59" t="s">
        <v>133</v>
      </c>
      <c r="J36" s="59" t="s">
        <v>133</v>
      </c>
      <c r="K36" s="59" t="s">
        <v>134</v>
      </c>
      <c r="L36" s="59" t="s">
        <v>135</v>
      </c>
      <c r="M36" s="59" t="s">
        <v>133</v>
      </c>
      <c r="N36" s="59" t="s">
        <v>136</v>
      </c>
      <c r="O36" s="58">
        <v>20795</v>
      </c>
      <c r="P36" s="58">
        <v>42909</v>
      </c>
      <c r="Q36" s="60">
        <f t="shared" si="1"/>
        <v>60</v>
      </c>
      <c r="R36" s="59" t="s">
        <v>225</v>
      </c>
      <c r="S36" s="59" t="s">
        <v>138</v>
      </c>
      <c r="T36" s="59">
        <v>3</v>
      </c>
      <c r="U36" s="59">
        <v>2</v>
      </c>
      <c r="V36" s="59">
        <v>0</v>
      </c>
      <c r="W36" s="59">
        <v>0</v>
      </c>
      <c r="X36" s="59" t="s">
        <v>241</v>
      </c>
      <c r="Y36" s="59">
        <v>2</v>
      </c>
      <c r="Z36" s="70" t="s">
        <v>242</v>
      </c>
      <c r="AA36" s="59" t="s">
        <v>241</v>
      </c>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59"/>
      <c r="BK36" s="59"/>
      <c r="BL36" s="59"/>
      <c r="BM36" s="59"/>
      <c r="BN36" s="59"/>
      <c r="BO36" s="59"/>
      <c r="BP36" s="59"/>
      <c r="BQ36" s="59"/>
      <c r="BR36" s="59"/>
      <c r="BS36" s="59"/>
      <c r="BT36" s="59"/>
      <c r="BU36" s="59"/>
      <c r="BV36" s="59"/>
      <c r="BW36" s="59"/>
      <c r="BX36" s="59"/>
      <c r="BY36" s="59"/>
      <c r="BZ36" s="59"/>
      <c r="CA36" s="59"/>
      <c r="CB36" s="59"/>
      <c r="CC36" s="59"/>
      <c r="CD36" s="59"/>
      <c r="CE36" s="59"/>
      <c r="CF36" s="59"/>
      <c r="CG36" s="59"/>
      <c r="CH36" s="59"/>
      <c r="CI36" s="59"/>
      <c r="CJ36" s="59"/>
      <c r="CK36" s="59"/>
      <c r="CL36" s="59"/>
      <c r="CM36" s="59"/>
      <c r="CN36" s="59"/>
      <c r="CO36" s="59"/>
      <c r="CP36" s="59"/>
      <c r="CQ36" s="59"/>
      <c r="CR36" s="59"/>
      <c r="CS36" s="59"/>
      <c r="CT36" s="59"/>
      <c r="CU36" s="59"/>
      <c r="CV36" s="59"/>
      <c r="CW36" s="59"/>
      <c r="CX36" s="59"/>
      <c r="CY36" s="59"/>
      <c r="CZ36" s="59"/>
      <c r="DA36" s="59"/>
      <c r="DB36" s="59"/>
      <c r="DC36" s="59"/>
      <c r="DD36" s="59"/>
      <c r="DE36" s="59"/>
      <c r="DF36" s="59"/>
      <c r="DG36" s="59"/>
      <c r="DH36" s="59"/>
      <c r="DI36" s="59"/>
      <c r="DJ36" s="59"/>
      <c r="DK36" s="59"/>
      <c r="DL36" s="59"/>
      <c r="DM36" s="59"/>
      <c r="DN36" s="59"/>
      <c r="DO36" s="59"/>
      <c r="DP36" s="59"/>
      <c r="DQ36" s="59"/>
      <c r="DR36" s="59"/>
      <c r="DS36" s="59"/>
      <c r="DT36" s="59"/>
      <c r="DU36" s="59"/>
      <c r="DV36" s="59"/>
      <c r="DW36" s="59"/>
      <c r="DX36" s="59"/>
      <c r="DY36" s="59"/>
      <c r="DZ36" s="59"/>
      <c r="EA36" s="59"/>
      <c r="EB36" s="59"/>
      <c r="EC36" s="59"/>
      <c r="ED36" s="59"/>
      <c r="EE36" s="59"/>
      <c r="EF36" s="59"/>
      <c r="EG36" s="59"/>
      <c r="EH36" s="59"/>
      <c r="EI36" s="59"/>
      <c r="EJ36" s="59"/>
      <c r="EK36" s="59"/>
      <c r="EL36" s="59"/>
      <c r="EM36" s="59"/>
      <c r="EN36" s="59"/>
      <c r="EO36" s="59"/>
      <c r="EP36" s="59"/>
      <c r="EQ36" s="59"/>
      <c r="ER36" s="59"/>
      <c r="ES36" s="59"/>
      <c r="ET36" s="59"/>
      <c r="EU36" s="59"/>
      <c r="EV36" s="59"/>
      <c r="EW36" s="59"/>
      <c r="EX36" s="59"/>
      <c r="EY36" s="59"/>
      <c r="EZ36" s="59"/>
      <c r="FA36" s="59"/>
      <c r="FB36" s="59"/>
      <c r="FC36" s="59"/>
      <c r="FD36" s="59"/>
      <c r="FE36" s="59"/>
    </row>
    <row r="37" spans="1:161" ht="15.75" customHeight="1" x14ac:dyDescent="0.35">
      <c r="A37" s="69">
        <v>4425422260</v>
      </c>
      <c r="B37" s="59"/>
      <c r="C37" s="59" t="s">
        <v>130</v>
      </c>
      <c r="D37" s="59" t="s">
        <v>253</v>
      </c>
      <c r="E37" s="59" t="s">
        <v>254</v>
      </c>
      <c r="F37" s="58">
        <v>42979</v>
      </c>
      <c r="G37" s="59" t="s">
        <v>133</v>
      </c>
      <c r="H37" s="59" t="s">
        <v>133</v>
      </c>
      <c r="I37" s="59" t="s">
        <v>133</v>
      </c>
      <c r="J37" s="59" t="s">
        <v>133</v>
      </c>
      <c r="K37" s="59" t="s">
        <v>134</v>
      </c>
      <c r="L37" s="59" t="s">
        <v>135</v>
      </c>
      <c r="M37" s="59" t="s">
        <v>133</v>
      </c>
      <c r="N37" s="59" t="s">
        <v>136</v>
      </c>
      <c r="O37" s="58">
        <v>15300</v>
      </c>
      <c r="P37" s="58">
        <v>42926</v>
      </c>
      <c r="Q37" s="60">
        <f t="shared" si="1"/>
        <v>75</v>
      </c>
      <c r="R37" s="59" t="s">
        <v>240</v>
      </c>
      <c r="S37" s="59" t="s">
        <v>138</v>
      </c>
      <c r="T37" s="59" t="s">
        <v>148</v>
      </c>
      <c r="U37" s="59">
        <v>0</v>
      </c>
      <c r="V37" s="59">
        <v>0</v>
      </c>
      <c r="W37" s="59">
        <v>0</v>
      </c>
      <c r="X37" s="59" t="s">
        <v>150</v>
      </c>
      <c r="Y37" s="59">
        <v>3</v>
      </c>
      <c r="Z37" s="59" t="s">
        <v>151</v>
      </c>
      <c r="AA37" s="59" t="s">
        <v>150</v>
      </c>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c r="BC37" s="59"/>
      <c r="BD37" s="59"/>
      <c r="BE37" s="59"/>
      <c r="BF37" s="59"/>
      <c r="BG37" s="59"/>
      <c r="BH37" s="59"/>
      <c r="BI37" s="59"/>
      <c r="BJ37" s="59"/>
      <c r="BK37" s="59"/>
      <c r="BL37" s="59"/>
      <c r="BM37" s="59"/>
      <c r="BN37" s="59"/>
      <c r="BO37" s="59"/>
      <c r="BP37" s="59"/>
      <c r="BQ37" s="59"/>
      <c r="BR37" s="59"/>
      <c r="BS37" s="59"/>
      <c r="BT37" s="59"/>
      <c r="BU37" s="59"/>
      <c r="BV37" s="59"/>
      <c r="BW37" s="59"/>
      <c r="BX37" s="59"/>
      <c r="BY37" s="59"/>
      <c r="BZ37" s="59"/>
      <c r="CA37" s="59"/>
      <c r="CB37" s="59"/>
      <c r="CC37" s="59"/>
      <c r="CD37" s="59"/>
      <c r="CE37" s="59"/>
      <c r="CF37" s="59"/>
      <c r="CG37" s="59"/>
      <c r="CH37" s="59"/>
      <c r="CI37" s="59"/>
      <c r="CJ37" s="59"/>
      <c r="CK37" s="59"/>
      <c r="CL37" s="59"/>
      <c r="CM37" s="59"/>
      <c r="CN37" s="59"/>
      <c r="CO37" s="59"/>
      <c r="CP37" s="59"/>
      <c r="CQ37" s="59"/>
      <c r="CR37" s="59"/>
      <c r="CS37" s="59"/>
      <c r="CT37" s="59"/>
      <c r="CU37" s="59"/>
      <c r="CV37" s="59"/>
      <c r="CW37" s="59"/>
      <c r="CX37" s="59"/>
      <c r="CY37" s="59"/>
      <c r="CZ37" s="59"/>
      <c r="DA37" s="59"/>
      <c r="DB37" s="59"/>
      <c r="DC37" s="59"/>
      <c r="DD37" s="59"/>
      <c r="DE37" s="59"/>
      <c r="DF37" s="59"/>
      <c r="DG37" s="59"/>
      <c r="DH37" s="59"/>
      <c r="DI37" s="59"/>
      <c r="DJ37" s="59"/>
      <c r="DK37" s="59"/>
      <c r="DL37" s="59"/>
      <c r="DM37" s="59"/>
      <c r="DN37" s="59"/>
      <c r="DO37" s="59"/>
      <c r="DP37" s="59"/>
      <c r="DQ37" s="59"/>
      <c r="DR37" s="59"/>
      <c r="DS37" s="59"/>
      <c r="DT37" s="59"/>
      <c r="DU37" s="59"/>
      <c r="DV37" s="59"/>
      <c r="DW37" s="59"/>
      <c r="DX37" s="59"/>
      <c r="DY37" s="59"/>
      <c r="DZ37" s="59"/>
      <c r="EA37" s="59"/>
      <c r="EB37" s="59"/>
      <c r="EC37" s="59"/>
      <c r="ED37" s="59"/>
      <c r="EE37" s="59"/>
      <c r="EF37" s="59"/>
      <c r="EG37" s="59"/>
      <c r="EH37" s="59"/>
      <c r="EI37" s="59"/>
      <c r="EJ37" s="59"/>
      <c r="EK37" s="59"/>
      <c r="EL37" s="59"/>
      <c r="EM37" s="59"/>
      <c r="EN37" s="59"/>
      <c r="EO37" s="59"/>
      <c r="EP37" s="59"/>
      <c r="EQ37" s="59"/>
      <c r="ER37" s="59"/>
      <c r="ES37" s="59"/>
      <c r="ET37" s="59"/>
      <c r="EU37" s="59"/>
      <c r="EV37" s="59"/>
      <c r="EW37" s="59"/>
      <c r="EX37" s="59"/>
      <c r="EY37" s="59"/>
      <c r="EZ37" s="59"/>
      <c r="FA37" s="59"/>
      <c r="FB37" s="59"/>
      <c r="FC37" s="59"/>
      <c r="FD37" s="59"/>
      <c r="FE37" s="59"/>
    </row>
    <row r="38" spans="1:161" ht="15.75" customHeight="1" x14ac:dyDescent="0.35">
      <c r="A38" s="69">
        <v>4382637317</v>
      </c>
      <c r="B38" s="59"/>
      <c r="C38" s="59" t="s">
        <v>130</v>
      </c>
      <c r="D38" s="59" t="s">
        <v>255</v>
      </c>
      <c r="E38" s="59" t="s">
        <v>256</v>
      </c>
      <c r="F38" s="58">
        <v>42984</v>
      </c>
      <c r="G38" s="59" t="s">
        <v>133</v>
      </c>
      <c r="H38" s="59" t="s">
        <v>133</v>
      </c>
      <c r="I38" s="59" t="s">
        <v>133</v>
      </c>
      <c r="J38" s="59" t="s">
        <v>133</v>
      </c>
      <c r="K38" s="59" t="s">
        <v>134</v>
      </c>
      <c r="L38" s="59" t="s">
        <v>135</v>
      </c>
      <c r="M38" s="59" t="s">
        <v>133</v>
      </c>
      <c r="N38" s="59" t="s">
        <v>136</v>
      </c>
      <c r="O38" s="58">
        <v>19707</v>
      </c>
      <c r="P38" s="58">
        <v>42936</v>
      </c>
      <c r="Q38" s="60">
        <f t="shared" si="1"/>
        <v>63</v>
      </c>
      <c r="R38" s="59" t="s">
        <v>257</v>
      </c>
      <c r="S38" s="59" t="s">
        <v>138</v>
      </c>
      <c r="T38" s="59" t="s">
        <v>148</v>
      </c>
      <c r="U38" s="59">
        <v>0</v>
      </c>
      <c r="V38" s="59">
        <v>0</v>
      </c>
      <c r="W38" s="59">
        <v>0</v>
      </c>
      <c r="X38" s="59" t="s">
        <v>150</v>
      </c>
      <c r="Y38" s="59">
        <v>2</v>
      </c>
      <c r="Z38" s="59" t="s">
        <v>151</v>
      </c>
      <c r="AA38" s="59" t="s">
        <v>150</v>
      </c>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59"/>
      <c r="AZ38" s="59"/>
      <c r="BA38" s="59"/>
      <c r="BB38" s="59"/>
      <c r="BC38" s="59"/>
      <c r="BD38" s="59"/>
      <c r="BE38" s="59"/>
      <c r="BF38" s="59"/>
      <c r="BG38" s="59"/>
      <c r="BH38" s="59"/>
      <c r="BI38" s="59"/>
      <c r="BJ38" s="59"/>
      <c r="BK38" s="59"/>
      <c r="BL38" s="59"/>
      <c r="BM38" s="59"/>
      <c r="BN38" s="59"/>
      <c r="BO38" s="59"/>
      <c r="BP38" s="59"/>
      <c r="BQ38" s="59"/>
      <c r="BR38" s="59"/>
      <c r="BS38" s="59"/>
      <c r="BT38" s="59"/>
      <c r="BU38" s="59"/>
      <c r="BV38" s="59"/>
      <c r="BW38" s="59"/>
      <c r="BX38" s="59"/>
      <c r="BY38" s="59"/>
      <c r="BZ38" s="59"/>
      <c r="CA38" s="59"/>
      <c r="CB38" s="59"/>
      <c r="CC38" s="59"/>
      <c r="CD38" s="59"/>
      <c r="CE38" s="59"/>
      <c r="CF38" s="59"/>
      <c r="CG38" s="59"/>
      <c r="CH38" s="59"/>
      <c r="CI38" s="59"/>
      <c r="CJ38" s="59"/>
      <c r="CK38" s="59"/>
      <c r="CL38" s="59"/>
      <c r="CM38" s="59"/>
      <c r="CN38" s="59"/>
      <c r="CO38" s="59"/>
      <c r="CP38" s="59"/>
      <c r="CQ38" s="59"/>
      <c r="CR38" s="59"/>
      <c r="CS38" s="59"/>
      <c r="CT38" s="59"/>
      <c r="CU38" s="59"/>
      <c r="CV38" s="59"/>
      <c r="CW38" s="59"/>
      <c r="CX38" s="59"/>
      <c r="CY38" s="59"/>
      <c r="CZ38" s="59"/>
      <c r="DA38" s="59"/>
      <c r="DB38" s="59"/>
      <c r="DC38" s="59"/>
      <c r="DD38" s="59"/>
      <c r="DE38" s="59"/>
      <c r="DF38" s="59"/>
      <c r="DG38" s="59"/>
      <c r="DH38" s="59"/>
      <c r="DI38" s="59"/>
      <c r="DJ38" s="59"/>
      <c r="DK38" s="59"/>
      <c r="DL38" s="59"/>
      <c r="DM38" s="59"/>
      <c r="DN38" s="59"/>
      <c r="DO38" s="59"/>
      <c r="DP38" s="59"/>
      <c r="DQ38" s="59"/>
      <c r="DR38" s="59"/>
      <c r="DS38" s="59"/>
      <c r="DT38" s="59"/>
      <c r="DU38" s="59"/>
      <c r="DV38" s="59"/>
      <c r="DW38" s="59"/>
      <c r="DX38" s="59"/>
      <c r="DY38" s="59"/>
      <c r="DZ38" s="59"/>
      <c r="EA38" s="59"/>
      <c r="EB38" s="59"/>
      <c r="EC38" s="59"/>
      <c r="ED38" s="59"/>
      <c r="EE38" s="59"/>
      <c r="EF38" s="59"/>
      <c r="EG38" s="59"/>
      <c r="EH38" s="59"/>
      <c r="EI38" s="59"/>
      <c r="EJ38" s="59"/>
      <c r="EK38" s="59"/>
      <c r="EL38" s="59"/>
      <c r="EM38" s="59"/>
      <c r="EN38" s="59"/>
      <c r="EO38" s="59"/>
      <c r="EP38" s="59"/>
      <c r="EQ38" s="59"/>
      <c r="ER38" s="59"/>
      <c r="ES38" s="59"/>
      <c r="ET38" s="59"/>
      <c r="EU38" s="59"/>
      <c r="EV38" s="59"/>
      <c r="EW38" s="59"/>
      <c r="EX38" s="59"/>
      <c r="EY38" s="59"/>
      <c r="EZ38" s="59"/>
      <c r="FA38" s="59"/>
      <c r="FB38" s="59"/>
      <c r="FC38" s="59"/>
      <c r="FD38" s="59"/>
      <c r="FE38" s="59"/>
    </row>
    <row r="39" spans="1:161" ht="15.75" customHeight="1" x14ac:dyDescent="0.35">
      <c r="A39" s="69">
        <v>6263484020</v>
      </c>
      <c r="B39" s="59"/>
      <c r="C39" s="59" t="s">
        <v>130</v>
      </c>
      <c r="D39" s="59" t="s">
        <v>258</v>
      </c>
      <c r="E39" s="59" t="s">
        <v>239</v>
      </c>
      <c r="F39" s="58">
        <v>42989</v>
      </c>
      <c r="G39" s="59" t="s">
        <v>133</v>
      </c>
      <c r="H39" s="59" t="s">
        <v>133</v>
      </c>
      <c r="I39" s="59" t="s">
        <v>133</v>
      </c>
      <c r="J39" s="59" t="s">
        <v>133</v>
      </c>
      <c r="K39" s="59" t="s">
        <v>134</v>
      </c>
      <c r="L39" s="59" t="s">
        <v>135</v>
      </c>
      <c r="M39" s="59" t="s">
        <v>133</v>
      </c>
      <c r="N39" s="59" t="s">
        <v>136</v>
      </c>
      <c r="O39" s="58">
        <v>19352</v>
      </c>
      <c r="P39" s="58">
        <v>42990</v>
      </c>
      <c r="Q39" s="60">
        <f t="shared" si="1"/>
        <v>64</v>
      </c>
      <c r="R39" s="59" t="s">
        <v>225</v>
      </c>
      <c r="S39" s="59" t="s">
        <v>138</v>
      </c>
      <c r="T39" s="59">
        <v>3</v>
      </c>
      <c r="U39" s="59">
        <v>1</v>
      </c>
      <c r="V39" s="59">
        <v>0</v>
      </c>
      <c r="W39" s="59">
        <v>0</v>
      </c>
      <c r="X39" s="59" t="s">
        <v>139</v>
      </c>
      <c r="Y39" s="59">
        <v>2</v>
      </c>
      <c r="Z39" s="70" t="s">
        <v>251</v>
      </c>
      <c r="AA39" s="59" t="s">
        <v>139</v>
      </c>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59"/>
      <c r="AZ39" s="59"/>
      <c r="BA39" s="59"/>
      <c r="BB39" s="59"/>
      <c r="BC39" s="59"/>
      <c r="BD39" s="59"/>
      <c r="BE39" s="59"/>
      <c r="BF39" s="59"/>
      <c r="BG39" s="59"/>
      <c r="BH39" s="59"/>
      <c r="BI39" s="59"/>
      <c r="BJ39" s="59"/>
      <c r="BK39" s="59"/>
      <c r="BL39" s="59"/>
      <c r="BM39" s="59"/>
      <c r="BN39" s="59"/>
      <c r="BO39" s="59"/>
      <c r="BP39" s="59"/>
      <c r="BQ39" s="59"/>
      <c r="BR39" s="59"/>
      <c r="BS39" s="59"/>
      <c r="BT39" s="59"/>
      <c r="BU39" s="59"/>
      <c r="BV39" s="59"/>
      <c r="BW39" s="59"/>
      <c r="BX39" s="59"/>
      <c r="BY39" s="59"/>
      <c r="BZ39" s="59"/>
      <c r="CA39" s="59"/>
      <c r="CB39" s="59"/>
      <c r="CC39" s="59"/>
      <c r="CD39" s="59"/>
      <c r="CE39" s="59"/>
      <c r="CF39" s="59"/>
      <c r="CG39" s="59"/>
      <c r="CH39" s="59"/>
      <c r="CI39" s="59"/>
      <c r="CJ39" s="59"/>
      <c r="CK39" s="59"/>
      <c r="CL39" s="59"/>
      <c r="CM39" s="59"/>
      <c r="CN39" s="59"/>
      <c r="CO39" s="59"/>
      <c r="CP39" s="59"/>
      <c r="CQ39" s="59"/>
      <c r="CR39" s="59"/>
      <c r="CS39" s="59"/>
      <c r="CT39" s="59"/>
      <c r="CU39" s="59"/>
      <c r="CV39" s="59"/>
      <c r="CW39" s="59"/>
      <c r="CX39" s="59"/>
      <c r="CY39" s="59"/>
      <c r="CZ39" s="59"/>
      <c r="DA39" s="59"/>
      <c r="DB39" s="59"/>
      <c r="DC39" s="59"/>
      <c r="DD39" s="59"/>
      <c r="DE39" s="59"/>
      <c r="DF39" s="59"/>
      <c r="DG39" s="59"/>
      <c r="DH39" s="59"/>
      <c r="DI39" s="59"/>
      <c r="DJ39" s="59"/>
      <c r="DK39" s="59"/>
      <c r="DL39" s="59"/>
      <c r="DM39" s="59"/>
      <c r="DN39" s="59"/>
      <c r="DO39" s="59"/>
      <c r="DP39" s="59"/>
      <c r="DQ39" s="59"/>
      <c r="DR39" s="59"/>
      <c r="DS39" s="59"/>
      <c r="DT39" s="59"/>
      <c r="DU39" s="59"/>
      <c r="DV39" s="59"/>
      <c r="DW39" s="59"/>
      <c r="DX39" s="59"/>
      <c r="DY39" s="59"/>
      <c r="DZ39" s="59"/>
      <c r="EA39" s="59"/>
      <c r="EB39" s="59"/>
      <c r="EC39" s="59"/>
      <c r="ED39" s="59"/>
      <c r="EE39" s="59"/>
      <c r="EF39" s="59"/>
      <c r="EG39" s="59"/>
      <c r="EH39" s="59"/>
      <c r="EI39" s="59"/>
      <c r="EJ39" s="59"/>
      <c r="EK39" s="59"/>
      <c r="EL39" s="59"/>
      <c r="EM39" s="59"/>
      <c r="EN39" s="59"/>
      <c r="EO39" s="59"/>
      <c r="EP39" s="59"/>
      <c r="EQ39" s="59"/>
      <c r="ER39" s="59"/>
      <c r="ES39" s="59"/>
      <c r="ET39" s="59"/>
      <c r="EU39" s="59"/>
      <c r="EV39" s="59"/>
      <c r="EW39" s="59"/>
      <c r="EX39" s="59"/>
      <c r="EY39" s="59"/>
      <c r="EZ39" s="59"/>
      <c r="FA39" s="59"/>
      <c r="FB39" s="59"/>
      <c r="FC39" s="59"/>
      <c r="FD39" s="59"/>
      <c r="FE39" s="59"/>
    </row>
    <row r="40" spans="1:161" ht="15.75" customHeight="1" x14ac:dyDescent="0.35">
      <c r="A40" s="69">
        <v>4508116930</v>
      </c>
      <c r="B40" s="59"/>
      <c r="C40" s="59" t="s">
        <v>130</v>
      </c>
      <c r="D40" s="59" t="s">
        <v>259</v>
      </c>
      <c r="E40" s="59" t="s">
        <v>260</v>
      </c>
      <c r="F40" s="58">
        <v>43000</v>
      </c>
      <c r="G40" s="59" t="s">
        <v>259</v>
      </c>
      <c r="H40" s="59" t="s">
        <v>261</v>
      </c>
      <c r="I40" s="59" t="s">
        <v>169</v>
      </c>
      <c r="J40" s="58">
        <v>43000</v>
      </c>
      <c r="K40" s="59" t="s">
        <v>262</v>
      </c>
      <c r="L40" s="59" t="s">
        <v>135</v>
      </c>
      <c r="M40" s="59" t="s">
        <v>133</v>
      </c>
      <c r="N40" s="59" t="s">
        <v>136</v>
      </c>
      <c r="O40" s="58">
        <v>17624</v>
      </c>
      <c r="P40" s="58">
        <v>42949</v>
      </c>
      <c r="Q40" s="60">
        <f t="shared" si="1"/>
        <v>69</v>
      </c>
      <c r="R40" s="59" t="s">
        <v>263</v>
      </c>
      <c r="S40" s="59" t="s">
        <v>138</v>
      </c>
      <c r="T40" s="59" t="s">
        <v>148</v>
      </c>
      <c r="U40" s="59">
        <v>0</v>
      </c>
      <c r="V40" s="59">
        <v>0</v>
      </c>
      <c r="W40" s="59">
        <v>0</v>
      </c>
      <c r="X40" s="59" t="s">
        <v>150</v>
      </c>
      <c r="Y40" s="59">
        <v>3</v>
      </c>
      <c r="Z40" s="59" t="s">
        <v>151</v>
      </c>
      <c r="AA40" s="59" t="s">
        <v>150</v>
      </c>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59"/>
      <c r="AZ40" s="59"/>
      <c r="BA40" s="59"/>
      <c r="BB40" s="59"/>
      <c r="BC40" s="59"/>
      <c r="BD40" s="59"/>
      <c r="BE40" s="59"/>
      <c r="BF40" s="59"/>
      <c r="BG40" s="59"/>
      <c r="BH40" s="59"/>
      <c r="BI40" s="59"/>
      <c r="BJ40" s="59"/>
      <c r="BK40" s="59"/>
      <c r="BL40" s="59"/>
      <c r="BM40" s="59"/>
      <c r="BN40" s="59"/>
      <c r="BO40" s="59"/>
      <c r="BP40" s="59"/>
      <c r="BQ40" s="59"/>
      <c r="BR40" s="59"/>
      <c r="BS40" s="59"/>
      <c r="BT40" s="59"/>
      <c r="BU40" s="59"/>
      <c r="BV40" s="59"/>
      <c r="BW40" s="59"/>
      <c r="BX40" s="59"/>
      <c r="BY40" s="59"/>
      <c r="BZ40" s="59"/>
      <c r="CA40" s="59"/>
      <c r="CB40" s="59"/>
      <c r="CC40" s="59"/>
      <c r="CD40" s="59"/>
      <c r="CE40" s="59"/>
      <c r="CF40" s="59"/>
      <c r="CG40" s="59"/>
      <c r="CH40" s="59"/>
      <c r="CI40" s="59"/>
      <c r="CJ40" s="59"/>
      <c r="CK40" s="59"/>
      <c r="CL40" s="59"/>
      <c r="CM40" s="59"/>
      <c r="CN40" s="59"/>
      <c r="CO40" s="59"/>
      <c r="CP40" s="59"/>
      <c r="CQ40" s="59"/>
      <c r="CR40" s="59"/>
      <c r="CS40" s="59"/>
      <c r="CT40" s="59"/>
      <c r="CU40" s="59"/>
      <c r="CV40" s="59"/>
      <c r="CW40" s="59"/>
      <c r="CX40" s="59"/>
      <c r="CY40" s="59"/>
      <c r="CZ40" s="59"/>
      <c r="DA40" s="59"/>
      <c r="DB40" s="59"/>
      <c r="DC40" s="59"/>
      <c r="DD40" s="59"/>
      <c r="DE40" s="59"/>
      <c r="DF40" s="59"/>
      <c r="DG40" s="59"/>
      <c r="DH40" s="59"/>
      <c r="DI40" s="59"/>
      <c r="DJ40" s="59"/>
      <c r="DK40" s="59"/>
      <c r="DL40" s="59"/>
      <c r="DM40" s="59"/>
      <c r="DN40" s="59"/>
      <c r="DO40" s="59"/>
      <c r="DP40" s="59"/>
      <c r="DQ40" s="59"/>
      <c r="DR40" s="59"/>
      <c r="DS40" s="59"/>
      <c r="DT40" s="59"/>
      <c r="DU40" s="59"/>
      <c r="DV40" s="59"/>
      <c r="DW40" s="59"/>
      <c r="DX40" s="59"/>
      <c r="DY40" s="59"/>
      <c r="DZ40" s="59"/>
      <c r="EA40" s="59"/>
      <c r="EB40" s="59"/>
      <c r="EC40" s="59"/>
      <c r="ED40" s="59"/>
      <c r="EE40" s="59"/>
      <c r="EF40" s="59"/>
      <c r="EG40" s="59"/>
      <c r="EH40" s="59"/>
      <c r="EI40" s="59"/>
      <c r="EJ40" s="59"/>
      <c r="EK40" s="59"/>
      <c r="EL40" s="59"/>
      <c r="EM40" s="59"/>
      <c r="EN40" s="59"/>
      <c r="EO40" s="59"/>
      <c r="EP40" s="59"/>
      <c r="EQ40" s="59"/>
      <c r="ER40" s="59"/>
      <c r="ES40" s="59"/>
      <c r="ET40" s="59"/>
      <c r="EU40" s="59"/>
      <c r="EV40" s="59"/>
      <c r="EW40" s="59"/>
      <c r="EX40" s="59"/>
      <c r="EY40" s="59"/>
      <c r="EZ40" s="59"/>
      <c r="FA40" s="59"/>
      <c r="FB40" s="59"/>
      <c r="FC40" s="59"/>
      <c r="FD40" s="59"/>
      <c r="FE40" s="59"/>
    </row>
    <row r="41" spans="1:161" ht="15.75" customHeight="1" x14ac:dyDescent="0.35">
      <c r="A41" s="69">
        <v>6164754372</v>
      </c>
      <c r="B41" s="59"/>
      <c r="C41" s="59" t="s">
        <v>130</v>
      </c>
      <c r="D41" s="59" t="s">
        <v>264</v>
      </c>
      <c r="E41" s="59" t="s">
        <v>265</v>
      </c>
      <c r="F41" s="58">
        <v>43005</v>
      </c>
      <c r="G41" s="59" t="s">
        <v>133</v>
      </c>
      <c r="H41" s="59" t="s">
        <v>133</v>
      </c>
      <c r="I41" s="59" t="s">
        <v>133</v>
      </c>
      <c r="J41" s="59" t="s">
        <v>133</v>
      </c>
      <c r="K41" s="59" t="s">
        <v>266</v>
      </c>
      <c r="L41" s="59" t="s">
        <v>135</v>
      </c>
      <c r="M41" s="59" t="s">
        <v>133</v>
      </c>
      <c r="N41" s="59" t="s">
        <v>136</v>
      </c>
      <c r="O41" s="58">
        <v>15130</v>
      </c>
      <c r="P41" s="58">
        <v>43026</v>
      </c>
      <c r="Q41" s="60">
        <f t="shared" si="1"/>
        <v>76</v>
      </c>
      <c r="R41" s="59" t="s">
        <v>267</v>
      </c>
      <c r="S41" s="59" t="s">
        <v>138</v>
      </c>
      <c r="T41" s="59">
        <v>3</v>
      </c>
      <c r="U41" s="59">
        <v>2</v>
      </c>
      <c r="V41" s="59">
        <v>0</v>
      </c>
      <c r="W41" s="59">
        <v>0</v>
      </c>
      <c r="X41" s="59" t="s">
        <v>241</v>
      </c>
      <c r="Y41" s="59">
        <v>3</v>
      </c>
      <c r="Z41" s="70" t="s">
        <v>242</v>
      </c>
      <c r="AA41" s="59" t="s">
        <v>241</v>
      </c>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59"/>
      <c r="AZ41" s="59"/>
      <c r="BA41" s="59"/>
      <c r="BB41" s="59"/>
      <c r="BC41" s="59"/>
      <c r="BD41" s="59"/>
      <c r="BE41" s="59"/>
      <c r="BF41" s="59"/>
      <c r="BG41" s="59"/>
      <c r="BH41" s="59"/>
      <c r="BI41" s="59"/>
      <c r="BJ41" s="59"/>
      <c r="BK41" s="59"/>
      <c r="BL41" s="59"/>
      <c r="BM41" s="59"/>
      <c r="BN41" s="59"/>
      <c r="BO41" s="59"/>
      <c r="BP41" s="59"/>
      <c r="BQ41" s="59"/>
      <c r="BR41" s="59"/>
      <c r="BS41" s="59"/>
      <c r="BT41" s="59"/>
      <c r="BU41" s="59"/>
      <c r="BV41" s="59"/>
      <c r="BW41" s="59"/>
      <c r="BX41" s="59"/>
      <c r="BY41" s="59"/>
      <c r="BZ41" s="59"/>
      <c r="CA41" s="59"/>
      <c r="CB41" s="59"/>
      <c r="CC41" s="59"/>
      <c r="CD41" s="59"/>
      <c r="CE41" s="59"/>
      <c r="CF41" s="59"/>
      <c r="CG41" s="59"/>
      <c r="CH41" s="59"/>
      <c r="CI41" s="59"/>
      <c r="CJ41" s="59"/>
      <c r="CK41" s="59"/>
      <c r="CL41" s="59"/>
      <c r="CM41" s="59"/>
      <c r="CN41" s="59"/>
      <c r="CO41" s="59"/>
      <c r="CP41" s="59"/>
      <c r="CQ41" s="59"/>
      <c r="CR41" s="59"/>
      <c r="CS41" s="59"/>
      <c r="CT41" s="59"/>
      <c r="CU41" s="59"/>
      <c r="CV41" s="59"/>
      <c r="CW41" s="59"/>
      <c r="CX41" s="59"/>
      <c r="CY41" s="59"/>
      <c r="CZ41" s="59"/>
      <c r="DA41" s="59"/>
      <c r="DB41" s="59"/>
      <c r="DC41" s="59"/>
      <c r="DD41" s="59"/>
      <c r="DE41" s="59"/>
      <c r="DF41" s="59"/>
      <c r="DG41" s="59"/>
      <c r="DH41" s="59"/>
      <c r="DI41" s="59"/>
      <c r="DJ41" s="59"/>
      <c r="DK41" s="59"/>
      <c r="DL41" s="59"/>
      <c r="DM41" s="59"/>
      <c r="DN41" s="59"/>
      <c r="DO41" s="59"/>
      <c r="DP41" s="59"/>
      <c r="DQ41" s="59"/>
      <c r="DR41" s="59"/>
      <c r="DS41" s="59"/>
      <c r="DT41" s="59"/>
      <c r="DU41" s="59"/>
      <c r="DV41" s="59"/>
      <c r="DW41" s="59"/>
      <c r="DX41" s="59"/>
      <c r="DY41" s="59"/>
      <c r="DZ41" s="59"/>
      <c r="EA41" s="59"/>
      <c r="EB41" s="59"/>
      <c r="EC41" s="59"/>
      <c r="ED41" s="59"/>
      <c r="EE41" s="59"/>
      <c r="EF41" s="59"/>
      <c r="EG41" s="59"/>
      <c r="EH41" s="59"/>
      <c r="EI41" s="59"/>
      <c r="EJ41" s="59"/>
      <c r="EK41" s="59"/>
      <c r="EL41" s="59"/>
      <c r="EM41" s="59"/>
      <c r="EN41" s="59"/>
      <c r="EO41" s="59"/>
      <c r="EP41" s="59"/>
      <c r="EQ41" s="59"/>
      <c r="ER41" s="59"/>
      <c r="ES41" s="59"/>
      <c r="ET41" s="59"/>
      <c r="EU41" s="59"/>
      <c r="EV41" s="59"/>
      <c r="EW41" s="59"/>
      <c r="EX41" s="59"/>
      <c r="EY41" s="59"/>
      <c r="EZ41" s="59"/>
      <c r="FA41" s="59"/>
      <c r="FB41" s="59"/>
      <c r="FC41" s="59"/>
      <c r="FD41" s="59"/>
      <c r="FE41" s="59"/>
    </row>
    <row r="42" spans="1:161" ht="15.75" customHeight="1" x14ac:dyDescent="0.35">
      <c r="A42" s="69">
        <v>4041363497</v>
      </c>
      <c r="B42" s="59"/>
      <c r="C42" s="59" t="s">
        <v>130</v>
      </c>
      <c r="D42" s="59" t="s">
        <v>268</v>
      </c>
      <c r="E42" s="59" t="s">
        <v>269</v>
      </c>
      <c r="F42" s="58">
        <v>43006</v>
      </c>
      <c r="G42" s="59" t="s">
        <v>133</v>
      </c>
      <c r="H42" s="59" t="s">
        <v>133</v>
      </c>
      <c r="I42" s="59" t="s">
        <v>133</v>
      </c>
      <c r="J42" s="59" t="s">
        <v>133</v>
      </c>
      <c r="K42" s="59" t="s">
        <v>270</v>
      </c>
      <c r="L42" s="59" t="s">
        <v>135</v>
      </c>
      <c r="M42" s="59" t="s">
        <v>133</v>
      </c>
      <c r="N42" s="59" t="s">
        <v>136</v>
      </c>
      <c r="O42" s="58">
        <v>15879</v>
      </c>
      <c r="P42" s="58">
        <v>42916</v>
      </c>
      <c r="Q42" s="60">
        <f t="shared" si="1"/>
        <v>74</v>
      </c>
      <c r="R42" s="59" t="s">
        <v>147</v>
      </c>
      <c r="S42" s="59" t="s">
        <v>138</v>
      </c>
      <c r="T42" s="59">
        <v>3</v>
      </c>
      <c r="U42" s="59">
        <v>1</v>
      </c>
      <c r="V42" s="59">
        <v>0</v>
      </c>
      <c r="W42" s="59">
        <v>0</v>
      </c>
      <c r="X42" s="59" t="s">
        <v>139</v>
      </c>
      <c r="Y42" s="59">
        <v>3</v>
      </c>
      <c r="Z42" s="70" t="s">
        <v>251</v>
      </c>
      <c r="AA42" s="59" t="s">
        <v>139</v>
      </c>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59"/>
      <c r="AZ42" s="59"/>
      <c r="BA42" s="59"/>
      <c r="BB42" s="59"/>
      <c r="BC42" s="59"/>
      <c r="BD42" s="59"/>
      <c r="BE42" s="59"/>
      <c r="BF42" s="59"/>
      <c r="BG42" s="59"/>
      <c r="BH42" s="59"/>
      <c r="BI42" s="59"/>
      <c r="BJ42" s="59"/>
      <c r="BK42" s="59"/>
      <c r="BL42" s="59"/>
      <c r="BM42" s="59"/>
      <c r="BN42" s="59"/>
      <c r="BO42" s="59"/>
      <c r="BP42" s="59"/>
      <c r="BQ42" s="59"/>
      <c r="BR42" s="59"/>
      <c r="BS42" s="59"/>
      <c r="BT42" s="59"/>
      <c r="BU42" s="59"/>
      <c r="BV42" s="59"/>
      <c r="BW42" s="59"/>
      <c r="BX42" s="59"/>
      <c r="BY42" s="59"/>
      <c r="BZ42" s="59"/>
      <c r="CA42" s="59"/>
      <c r="CB42" s="59"/>
      <c r="CC42" s="59"/>
      <c r="CD42" s="59"/>
      <c r="CE42" s="59"/>
      <c r="CF42" s="59"/>
      <c r="CG42" s="59"/>
      <c r="CH42" s="59"/>
      <c r="CI42" s="59"/>
      <c r="CJ42" s="59"/>
      <c r="CK42" s="59"/>
      <c r="CL42" s="59"/>
      <c r="CM42" s="59"/>
      <c r="CN42" s="59"/>
      <c r="CO42" s="59"/>
      <c r="CP42" s="59"/>
      <c r="CQ42" s="59"/>
      <c r="CR42" s="59"/>
      <c r="CS42" s="59"/>
      <c r="CT42" s="59"/>
      <c r="CU42" s="59"/>
      <c r="CV42" s="59"/>
      <c r="CW42" s="59"/>
      <c r="CX42" s="59"/>
      <c r="CY42" s="59"/>
      <c r="CZ42" s="59"/>
      <c r="DA42" s="59"/>
      <c r="DB42" s="59"/>
      <c r="DC42" s="59"/>
      <c r="DD42" s="59"/>
      <c r="DE42" s="59"/>
      <c r="DF42" s="59"/>
      <c r="DG42" s="59"/>
      <c r="DH42" s="59"/>
      <c r="DI42" s="59"/>
      <c r="DJ42" s="59"/>
      <c r="DK42" s="59"/>
      <c r="DL42" s="59"/>
      <c r="DM42" s="59"/>
      <c r="DN42" s="59"/>
      <c r="DO42" s="59"/>
      <c r="DP42" s="59"/>
      <c r="DQ42" s="59"/>
      <c r="DR42" s="59"/>
      <c r="DS42" s="59"/>
      <c r="DT42" s="59"/>
      <c r="DU42" s="59"/>
      <c r="DV42" s="59"/>
      <c r="DW42" s="59"/>
      <c r="DX42" s="59"/>
      <c r="DY42" s="59"/>
      <c r="DZ42" s="59"/>
      <c r="EA42" s="59"/>
      <c r="EB42" s="59"/>
      <c r="EC42" s="59"/>
      <c r="ED42" s="59"/>
      <c r="EE42" s="59"/>
      <c r="EF42" s="59"/>
      <c r="EG42" s="59"/>
      <c r="EH42" s="59"/>
      <c r="EI42" s="59"/>
      <c r="EJ42" s="59"/>
      <c r="EK42" s="59"/>
      <c r="EL42" s="59"/>
      <c r="EM42" s="59"/>
      <c r="EN42" s="59"/>
      <c r="EO42" s="59"/>
      <c r="EP42" s="59"/>
      <c r="EQ42" s="59"/>
      <c r="ER42" s="59"/>
      <c r="ES42" s="59"/>
      <c r="ET42" s="59"/>
      <c r="EU42" s="59"/>
      <c r="EV42" s="59"/>
      <c r="EW42" s="59"/>
      <c r="EX42" s="59"/>
      <c r="EY42" s="59"/>
      <c r="EZ42" s="59"/>
      <c r="FA42" s="59"/>
      <c r="FB42" s="59"/>
      <c r="FC42" s="59"/>
      <c r="FD42" s="59"/>
      <c r="FE42" s="59"/>
    </row>
    <row r="43" spans="1:161" ht="15.75" customHeight="1" x14ac:dyDescent="0.35">
      <c r="A43" s="69">
        <v>4581977029</v>
      </c>
      <c r="B43" s="59"/>
      <c r="C43" s="59" t="s">
        <v>130</v>
      </c>
      <c r="D43" s="59" t="s">
        <v>271</v>
      </c>
      <c r="E43" s="59" t="s">
        <v>272</v>
      </c>
      <c r="F43" s="58">
        <v>43007</v>
      </c>
      <c r="G43" s="59" t="s">
        <v>133</v>
      </c>
      <c r="H43" s="59" t="s">
        <v>133</v>
      </c>
      <c r="I43" s="59" t="s">
        <v>133</v>
      </c>
      <c r="J43" s="59" t="s">
        <v>133</v>
      </c>
      <c r="K43" s="59" t="s">
        <v>273</v>
      </c>
      <c r="L43" s="59" t="s">
        <v>135</v>
      </c>
      <c r="M43" s="59" t="s">
        <v>133</v>
      </c>
      <c r="N43" s="59" t="s">
        <v>136</v>
      </c>
      <c r="O43" s="58">
        <v>19463</v>
      </c>
      <c r="P43" s="58">
        <v>42933</v>
      </c>
      <c r="Q43" s="60">
        <f t="shared" si="1"/>
        <v>64</v>
      </c>
      <c r="R43" s="59" t="s">
        <v>147</v>
      </c>
      <c r="S43" s="59" t="s">
        <v>138</v>
      </c>
      <c r="T43" s="59" t="s">
        <v>198</v>
      </c>
      <c r="U43" s="59">
        <v>0</v>
      </c>
      <c r="V43" s="59">
        <v>0</v>
      </c>
      <c r="W43" s="59">
        <v>0</v>
      </c>
      <c r="X43" s="59" t="s">
        <v>199</v>
      </c>
      <c r="Y43" s="59">
        <v>1</v>
      </c>
      <c r="Z43" s="59" t="s">
        <v>200</v>
      </c>
      <c r="AA43" s="59" t="s">
        <v>199</v>
      </c>
      <c r="AB43" s="59"/>
      <c r="AC43" s="59"/>
      <c r="AD43" s="59"/>
      <c r="AE43" s="59"/>
      <c r="AF43" s="59"/>
      <c r="AG43" s="59"/>
      <c r="AH43" s="59"/>
      <c r="AI43" s="59"/>
      <c r="AJ43" s="59"/>
      <c r="AK43" s="59"/>
      <c r="AL43" s="59"/>
      <c r="AM43" s="59"/>
      <c r="AN43" s="59"/>
      <c r="AO43" s="59"/>
      <c r="AP43" s="59"/>
      <c r="AQ43" s="59"/>
      <c r="AR43" s="59"/>
      <c r="AS43" s="59"/>
      <c r="AT43" s="59"/>
      <c r="AU43" s="59"/>
      <c r="AV43" s="59"/>
      <c r="AW43" s="59"/>
      <c r="AX43" s="59"/>
      <c r="AY43" s="59"/>
      <c r="AZ43" s="59"/>
      <c r="BA43" s="59"/>
      <c r="BB43" s="59"/>
      <c r="BC43" s="59"/>
      <c r="BD43" s="59"/>
      <c r="BE43" s="59"/>
      <c r="BF43" s="59"/>
      <c r="BG43" s="59"/>
      <c r="BH43" s="59"/>
      <c r="BI43" s="59"/>
      <c r="BJ43" s="59"/>
      <c r="BK43" s="59"/>
      <c r="BL43" s="59"/>
      <c r="BM43" s="59"/>
      <c r="BN43" s="59"/>
      <c r="BO43" s="59"/>
      <c r="BP43" s="59"/>
      <c r="BQ43" s="59"/>
      <c r="BR43" s="59"/>
      <c r="BS43" s="59"/>
      <c r="BT43" s="59"/>
      <c r="BU43" s="59"/>
      <c r="BV43" s="59"/>
      <c r="BW43" s="59"/>
      <c r="BX43" s="59"/>
      <c r="BY43" s="59"/>
      <c r="BZ43" s="59"/>
      <c r="CA43" s="59"/>
      <c r="CB43" s="59"/>
      <c r="CC43" s="59"/>
      <c r="CD43" s="59"/>
      <c r="CE43" s="59"/>
      <c r="CF43" s="59"/>
      <c r="CG43" s="59"/>
      <c r="CH43" s="59"/>
      <c r="CI43" s="59"/>
      <c r="CJ43" s="59"/>
      <c r="CK43" s="59"/>
      <c r="CL43" s="59"/>
      <c r="CM43" s="59"/>
      <c r="CN43" s="59"/>
      <c r="CO43" s="59"/>
      <c r="CP43" s="59"/>
      <c r="CQ43" s="59"/>
      <c r="CR43" s="59"/>
      <c r="CS43" s="59"/>
      <c r="CT43" s="59"/>
      <c r="CU43" s="59"/>
      <c r="CV43" s="59"/>
      <c r="CW43" s="59"/>
      <c r="CX43" s="59"/>
      <c r="CY43" s="59"/>
      <c r="CZ43" s="59"/>
      <c r="DA43" s="59"/>
      <c r="DB43" s="59"/>
      <c r="DC43" s="59"/>
      <c r="DD43" s="59"/>
      <c r="DE43" s="59"/>
      <c r="DF43" s="59"/>
      <c r="DG43" s="59"/>
      <c r="DH43" s="59"/>
      <c r="DI43" s="59"/>
      <c r="DJ43" s="59"/>
      <c r="DK43" s="59"/>
      <c r="DL43" s="59"/>
      <c r="DM43" s="59"/>
      <c r="DN43" s="59"/>
      <c r="DO43" s="59"/>
      <c r="DP43" s="59"/>
      <c r="DQ43" s="59"/>
      <c r="DR43" s="59"/>
      <c r="DS43" s="59"/>
      <c r="DT43" s="59"/>
      <c r="DU43" s="59"/>
      <c r="DV43" s="59"/>
      <c r="DW43" s="59"/>
      <c r="DX43" s="59"/>
      <c r="DY43" s="59"/>
      <c r="DZ43" s="59"/>
      <c r="EA43" s="59"/>
      <c r="EB43" s="59"/>
      <c r="EC43" s="59"/>
      <c r="ED43" s="59"/>
      <c r="EE43" s="59"/>
      <c r="EF43" s="59"/>
      <c r="EG43" s="59"/>
      <c r="EH43" s="59"/>
      <c r="EI43" s="59"/>
      <c r="EJ43" s="59"/>
      <c r="EK43" s="59"/>
      <c r="EL43" s="59"/>
      <c r="EM43" s="59"/>
      <c r="EN43" s="59"/>
      <c r="EO43" s="59"/>
      <c r="EP43" s="59"/>
      <c r="EQ43" s="59"/>
      <c r="ER43" s="59"/>
      <c r="ES43" s="59"/>
      <c r="ET43" s="59"/>
      <c r="EU43" s="59"/>
      <c r="EV43" s="59"/>
      <c r="EW43" s="59"/>
      <c r="EX43" s="59"/>
      <c r="EY43" s="59"/>
      <c r="EZ43" s="59"/>
      <c r="FA43" s="59"/>
      <c r="FB43" s="59"/>
      <c r="FC43" s="59"/>
      <c r="FD43" s="59"/>
      <c r="FE43" s="59"/>
    </row>
    <row r="44" spans="1:161" ht="15.75" customHeight="1" x14ac:dyDescent="0.35">
      <c r="A44" s="69">
        <v>4381180755</v>
      </c>
      <c r="B44" s="59"/>
      <c r="C44" s="59" t="s">
        <v>130</v>
      </c>
      <c r="D44" s="59" t="s">
        <v>274</v>
      </c>
      <c r="E44" s="59" t="s">
        <v>229</v>
      </c>
      <c r="F44" s="58">
        <v>43010</v>
      </c>
      <c r="G44" s="59" t="s">
        <v>133</v>
      </c>
      <c r="H44" s="59" t="s">
        <v>133</v>
      </c>
      <c r="I44" s="59" t="s">
        <v>133</v>
      </c>
      <c r="J44" s="59" t="s">
        <v>133</v>
      </c>
      <c r="K44" s="59" t="s">
        <v>203</v>
      </c>
      <c r="L44" s="59" t="s">
        <v>135</v>
      </c>
      <c r="M44" s="59" t="s">
        <v>133</v>
      </c>
      <c r="N44" s="59" t="s">
        <v>136</v>
      </c>
      <c r="O44" s="58">
        <v>15743</v>
      </c>
      <c r="P44" s="58">
        <v>42948</v>
      </c>
      <c r="Q44" s="60">
        <f t="shared" si="1"/>
        <v>74</v>
      </c>
      <c r="R44" s="59" t="s">
        <v>225</v>
      </c>
      <c r="S44" s="59" t="s">
        <v>138</v>
      </c>
      <c r="T44" s="59" t="s">
        <v>148</v>
      </c>
      <c r="U44" s="59">
        <v>0</v>
      </c>
      <c r="V44" s="59">
        <v>0</v>
      </c>
      <c r="W44" s="59">
        <v>0</v>
      </c>
      <c r="X44" s="59" t="s">
        <v>150</v>
      </c>
      <c r="Y44" s="59">
        <v>2</v>
      </c>
      <c r="Z44" s="59" t="s">
        <v>151</v>
      </c>
      <c r="AA44" s="59" t="s">
        <v>150</v>
      </c>
      <c r="AB44" s="59"/>
      <c r="AC44" s="59"/>
      <c r="AD44" s="59"/>
      <c r="AE44" s="59"/>
      <c r="AF44" s="59"/>
      <c r="AG44" s="59"/>
      <c r="AH44" s="59"/>
      <c r="AI44" s="59"/>
      <c r="AJ44" s="59"/>
      <c r="AK44" s="59"/>
      <c r="AL44" s="59"/>
      <c r="AM44" s="59"/>
      <c r="AN44" s="59"/>
      <c r="AO44" s="59"/>
      <c r="AP44" s="59"/>
      <c r="AQ44" s="59"/>
      <c r="AR44" s="59"/>
      <c r="AS44" s="59"/>
      <c r="AT44" s="59"/>
      <c r="AU44" s="59"/>
      <c r="AV44" s="59"/>
      <c r="AW44" s="59"/>
      <c r="AX44" s="59"/>
      <c r="AY44" s="59"/>
      <c r="AZ44" s="59"/>
      <c r="BA44" s="59"/>
      <c r="BB44" s="59"/>
      <c r="BC44" s="59"/>
      <c r="BD44" s="59"/>
      <c r="BE44" s="59"/>
      <c r="BF44" s="59"/>
      <c r="BG44" s="59"/>
      <c r="BH44" s="59"/>
      <c r="BI44" s="59"/>
      <c r="BJ44" s="59"/>
      <c r="BK44" s="59"/>
      <c r="BL44" s="59"/>
      <c r="BM44" s="59"/>
      <c r="BN44" s="59"/>
      <c r="BO44" s="59"/>
      <c r="BP44" s="59"/>
      <c r="BQ44" s="59"/>
      <c r="BR44" s="59"/>
      <c r="BS44" s="59"/>
      <c r="BT44" s="59"/>
      <c r="BU44" s="59"/>
      <c r="BV44" s="59"/>
      <c r="BW44" s="59"/>
      <c r="BX44" s="59"/>
      <c r="BY44" s="59"/>
      <c r="BZ44" s="59"/>
      <c r="CA44" s="59"/>
      <c r="CB44" s="59"/>
      <c r="CC44" s="59"/>
      <c r="CD44" s="59"/>
      <c r="CE44" s="59"/>
      <c r="CF44" s="59"/>
      <c r="CG44" s="59"/>
      <c r="CH44" s="59"/>
      <c r="CI44" s="59"/>
      <c r="CJ44" s="59"/>
      <c r="CK44" s="59"/>
      <c r="CL44" s="59"/>
      <c r="CM44" s="59"/>
      <c r="CN44" s="59"/>
      <c r="CO44" s="59"/>
      <c r="CP44" s="59"/>
      <c r="CQ44" s="59"/>
      <c r="CR44" s="59"/>
      <c r="CS44" s="59"/>
      <c r="CT44" s="59"/>
      <c r="CU44" s="59"/>
      <c r="CV44" s="59"/>
      <c r="CW44" s="59"/>
      <c r="CX44" s="59"/>
      <c r="CY44" s="59"/>
      <c r="CZ44" s="59"/>
      <c r="DA44" s="59"/>
      <c r="DB44" s="59"/>
      <c r="DC44" s="59"/>
      <c r="DD44" s="59"/>
      <c r="DE44" s="59"/>
      <c r="DF44" s="59"/>
      <c r="DG44" s="59"/>
      <c r="DH44" s="59"/>
      <c r="DI44" s="59"/>
      <c r="DJ44" s="59"/>
      <c r="DK44" s="59"/>
      <c r="DL44" s="59"/>
      <c r="DM44" s="59"/>
      <c r="DN44" s="59"/>
      <c r="DO44" s="59"/>
      <c r="DP44" s="59"/>
      <c r="DQ44" s="59"/>
      <c r="DR44" s="59"/>
      <c r="DS44" s="59"/>
      <c r="DT44" s="59"/>
      <c r="DU44" s="59"/>
      <c r="DV44" s="59"/>
      <c r="DW44" s="59"/>
      <c r="DX44" s="59"/>
      <c r="DY44" s="59"/>
      <c r="DZ44" s="59"/>
      <c r="EA44" s="59"/>
      <c r="EB44" s="59"/>
      <c r="EC44" s="59"/>
      <c r="ED44" s="59"/>
      <c r="EE44" s="59"/>
      <c r="EF44" s="59"/>
      <c r="EG44" s="59"/>
      <c r="EH44" s="59"/>
      <c r="EI44" s="59"/>
      <c r="EJ44" s="59"/>
      <c r="EK44" s="59"/>
      <c r="EL44" s="59"/>
      <c r="EM44" s="59"/>
      <c r="EN44" s="59"/>
      <c r="EO44" s="59"/>
      <c r="EP44" s="59"/>
      <c r="EQ44" s="59"/>
      <c r="ER44" s="59"/>
      <c r="ES44" s="59"/>
      <c r="ET44" s="59"/>
      <c r="EU44" s="59"/>
      <c r="EV44" s="59"/>
      <c r="EW44" s="59"/>
      <c r="EX44" s="59"/>
      <c r="EY44" s="59"/>
      <c r="EZ44" s="59"/>
      <c r="FA44" s="59"/>
      <c r="FB44" s="59"/>
      <c r="FC44" s="59"/>
      <c r="FD44" s="59"/>
      <c r="FE44" s="59"/>
    </row>
    <row r="45" spans="1:161" ht="15.75" customHeight="1" x14ac:dyDescent="0.35">
      <c r="A45" s="69">
        <v>6307569778</v>
      </c>
      <c r="B45" s="59"/>
      <c r="C45" s="59" t="s">
        <v>130</v>
      </c>
      <c r="D45" s="59" t="s">
        <v>275</v>
      </c>
      <c r="E45" s="59" t="s">
        <v>276</v>
      </c>
      <c r="F45" s="58">
        <v>43013</v>
      </c>
      <c r="G45" s="59" t="s">
        <v>275</v>
      </c>
      <c r="H45" s="59" t="s">
        <v>277</v>
      </c>
      <c r="I45" s="59" t="s">
        <v>169</v>
      </c>
      <c r="J45" s="58">
        <v>43013</v>
      </c>
      <c r="K45" s="59" t="s">
        <v>134</v>
      </c>
      <c r="L45" s="59" t="s">
        <v>135</v>
      </c>
      <c r="M45" s="59" t="s">
        <v>133</v>
      </c>
      <c r="N45" s="59" t="s">
        <v>136</v>
      </c>
      <c r="O45" s="58">
        <v>19034</v>
      </c>
      <c r="P45" s="58">
        <v>42950</v>
      </c>
      <c r="Q45" s="60">
        <f t="shared" si="1"/>
        <v>65</v>
      </c>
      <c r="R45" s="59" t="s">
        <v>278</v>
      </c>
      <c r="S45" s="59" t="s">
        <v>138</v>
      </c>
      <c r="T45" s="59">
        <v>2</v>
      </c>
      <c r="U45" s="59">
        <v>0</v>
      </c>
      <c r="V45" s="59">
        <v>0</v>
      </c>
      <c r="W45" s="59">
        <v>0</v>
      </c>
      <c r="X45" s="59" t="s">
        <v>159</v>
      </c>
      <c r="Y45" s="59">
        <v>3</v>
      </c>
      <c r="Z45" s="59" t="s">
        <v>160</v>
      </c>
      <c r="AA45" s="59" t="s">
        <v>159</v>
      </c>
      <c r="AB45" s="59"/>
      <c r="AC45" s="59"/>
      <c r="AD45" s="59"/>
      <c r="AE45" s="59"/>
      <c r="AF45" s="59"/>
      <c r="AG45" s="59"/>
      <c r="AH45" s="59"/>
      <c r="AI45" s="59"/>
      <c r="AJ45" s="59"/>
      <c r="AK45" s="59"/>
      <c r="AL45" s="59"/>
      <c r="AM45" s="59"/>
      <c r="AN45" s="59"/>
      <c r="AO45" s="59"/>
      <c r="AP45" s="59"/>
      <c r="AQ45" s="59"/>
      <c r="AR45" s="59"/>
      <c r="AS45" s="59"/>
      <c r="AT45" s="59"/>
      <c r="AU45" s="59"/>
      <c r="AV45" s="59"/>
      <c r="AW45" s="59"/>
      <c r="AX45" s="59"/>
      <c r="AY45" s="59"/>
      <c r="AZ45" s="59"/>
      <c r="BA45" s="59"/>
      <c r="BB45" s="59"/>
      <c r="BC45" s="59"/>
      <c r="BD45" s="59"/>
      <c r="BE45" s="59"/>
      <c r="BF45" s="59"/>
      <c r="BG45" s="59"/>
      <c r="BH45" s="59"/>
      <c r="BI45" s="59"/>
      <c r="BJ45" s="59"/>
      <c r="BK45" s="59"/>
      <c r="BL45" s="59"/>
      <c r="BM45" s="59"/>
      <c r="BN45" s="59"/>
      <c r="BO45" s="59"/>
      <c r="BP45" s="59"/>
      <c r="BQ45" s="59"/>
      <c r="BR45" s="59"/>
      <c r="BS45" s="59"/>
      <c r="BT45" s="59"/>
      <c r="BU45" s="59"/>
      <c r="BV45" s="59"/>
      <c r="BW45" s="59"/>
      <c r="BX45" s="59"/>
      <c r="BY45" s="59"/>
      <c r="BZ45" s="59"/>
      <c r="CA45" s="59"/>
      <c r="CB45" s="59"/>
      <c r="CC45" s="59"/>
      <c r="CD45" s="59"/>
      <c r="CE45" s="59"/>
      <c r="CF45" s="59"/>
      <c r="CG45" s="59"/>
      <c r="CH45" s="59"/>
      <c r="CI45" s="59"/>
      <c r="CJ45" s="59"/>
      <c r="CK45" s="59"/>
      <c r="CL45" s="59"/>
      <c r="CM45" s="59"/>
      <c r="CN45" s="59"/>
      <c r="CO45" s="59"/>
      <c r="CP45" s="59"/>
      <c r="CQ45" s="59"/>
      <c r="CR45" s="59"/>
      <c r="CS45" s="59"/>
      <c r="CT45" s="59"/>
      <c r="CU45" s="59"/>
      <c r="CV45" s="59"/>
      <c r="CW45" s="59"/>
      <c r="CX45" s="59"/>
      <c r="CY45" s="59"/>
      <c r="CZ45" s="59"/>
      <c r="DA45" s="59"/>
      <c r="DB45" s="59"/>
      <c r="DC45" s="59"/>
      <c r="DD45" s="59"/>
      <c r="DE45" s="59"/>
      <c r="DF45" s="59"/>
      <c r="DG45" s="59"/>
      <c r="DH45" s="59"/>
      <c r="DI45" s="59"/>
      <c r="DJ45" s="59"/>
      <c r="DK45" s="59"/>
      <c r="DL45" s="59"/>
      <c r="DM45" s="59"/>
      <c r="DN45" s="59"/>
      <c r="DO45" s="59"/>
      <c r="DP45" s="59"/>
      <c r="DQ45" s="59"/>
      <c r="DR45" s="59"/>
      <c r="DS45" s="59"/>
      <c r="DT45" s="59"/>
      <c r="DU45" s="59"/>
      <c r="DV45" s="59"/>
      <c r="DW45" s="59"/>
      <c r="DX45" s="59"/>
      <c r="DY45" s="59"/>
      <c r="DZ45" s="59"/>
      <c r="EA45" s="59"/>
      <c r="EB45" s="59"/>
      <c r="EC45" s="59"/>
      <c r="ED45" s="59"/>
      <c r="EE45" s="59"/>
      <c r="EF45" s="59"/>
      <c r="EG45" s="59"/>
      <c r="EH45" s="59"/>
      <c r="EI45" s="59"/>
      <c r="EJ45" s="59"/>
      <c r="EK45" s="59"/>
      <c r="EL45" s="59"/>
      <c r="EM45" s="59"/>
      <c r="EN45" s="59"/>
      <c r="EO45" s="59"/>
      <c r="EP45" s="59"/>
      <c r="EQ45" s="59"/>
      <c r="ER45" s="59"/>
      <c r="ES45" s="59"/>
      <c r="ET45" s="59"/>
      <c r="EU45" s="59"/>
      <c r="EV45" s="59"/>
      <c r="EW45" s="59"/>
      <c r="EX45" s="59"/>
      <c r="EY45" s="59"/>
      <c r="EZ45" s="59"/>
      <c r="FA45" s="59"/>
      <c r="FB45" s="59"/>
      <c r="FC45" s="59"/>
      <c r="FD45" s="59"/>
      <c r="FE45" s="59"/>
    </row>
    <row r="46" spans="1:161" ht="15.75" customHeight="1" x14ac:dyDescent="0.35">
      <c r="A46" s="69">
        <v>4122056497</v>
      </c>
      <c r="B46" s="59"/>
      <c r="C46" s="59" t="s">
        <v>130</v>
      </c>
      <c r="D46" s="59" t="s">
        <v>279</v>
      </c>
      <c r="E46" s="59" t="s">
        <v>280</v>
      </c>
      <c r="F46" s="58">
        <v>43018</v>
      </c>
      <c r="G46" s="59" t="s">
        <v>133</v>
      </c>
      <c r="H46" s="59" t="s">
        <v>133</v>
      </c>
      <c r="I46" s="59" t="s">
        <v>133</v>
      </c>
      <c r="J46" s="59" t="s">
        <v>133</v>
      </c>
      <c r="K46" s="59" t="s">
        <v>134</v>
      </c>
      <c r="L46" s="59" t="s">
        <v>135</v>
      </c>
      <c r="M46" s="59" t="s">
        <v>133</v>
      </c>
      <c r="N46" s="59" t="s">
        <v>136</v>
      </c>
      <c r="O46" s="58">
        <v>26259</v>
      </c>
      <c r="P46" s="58">
        <v>42877</v>
      </c>
      <c r="Q46" s="60">
        <f t="shared" si="1"/>
        <v>45</v>
      </c>
      <c r="R46" s="59" t="s">
        <v>225</v>
      </c>
      <c r="S46" s="59" t="s">
        <v>138</v>
      </c>
      <c r="T46" s="59">
        <v>3</v>
      </c>
      <c r="U46" s="59">
        <v>2</v>
      </c>
      <c r="V46" s="59">
        <v>0</v>
      </c>
      <c r="W46" s="59">
        <v>0</v>
      </c>
      <c r="X46" s="70" t="s">
        <v>241</v>
      </c>
      <c r="Y46" s="59">
        <v>2</v>
      </c>
      <c r="Z46" s="70" t="s">
        <v>242</v>
      </c>
      <c r="AA46" s="70" t="s">
        <v>241</v>
      </c>
      <c r="AB46" s="59"/>
      <c r="AC46" s="59"/>
      <c r="AD46" s="59"/>
      <c r="AE46" s="59"/>
      <c r="AF46" s="59"/>
      <c r="AG46" s="59"/>
      <c r="AH46" s="59"/>
      <c r="AI46" s="59"/>
      <c r="AJ46" s="59"/>
      <c r="AK46" s="59"/>
      <c r="AL46" s="59"/>
      <c r="AM46" s="59"/>
      <c r="AN46" s="59"/>
      <c r="AO46" s="59"/>
      <c r="AP46" s="59"/>
      <c r="AQ46" s="59"/>
      <c r="AR46" s="59"/>
      <c r="AS46" s="59"/>
      <c r="AT46" s="59"/>
      <c r="AU46" s="59"/>
      <c r="AV46" s="59"/>
      <c r="AW46" s="59"/>
      <c r="AX46" s="59"/>
      <c r="AY46" s="59"/>
      <c r="AZ46" s="59"/>
      <c r="BA46" s="59"/>
      <c r="BB46" s="59"/>
      <c r="BC46" s="59"/>
      <c r="BD46" s="59"/>
      <c r="BE46" s="59"/>
      <c r="BF46" s="59"/>
      <c r="BG46" s="59"/>
      <c r="BH46" s="59"/>
      <c r="BI46" s="59"/>
      <c r="BJ46" s="59"/>
      <c r="BK46" s="59"/>
      <c r="BL46" s="59"/>
      <c r="BM46" s="59"/>
      <c r="BN46" s="59"/>
      <c r="BO46" s="59"/>
      <c r="BP46" s="59"/>
      <c r="BQ46" s="59"/>
      <c r="BR46" s="59"/>
      <c r="BS46" s="59"/>
      <c r="BT46" s="59"/>
      <c r="BU46" s="59"/>
      <c r="BV46" s="59"/>
      <c r="BW46" s="59"/>
      <c r="BX46" s="59"/>
      <c r="BY46" s="59"/>
      <c r="BZ46" s="59"/>
      <c r="CA46" s="59"/>
      <c r="CB46" s="59"/>
      <c r="CC46" s="59"/>
      <c r="CD46" s="59"/>
      <c r="CE46" s="59"/>
      <c r="CF46" s="59"/>
      <c r="CG46" s="59"/>
      <c r="CH46" s="59"/>
      <c r="CI46" s="59"/>
      <c r="CJ46" s="59"/>
      <c r="CK46" s="59"/>
      <c r="CL46" s="59"/>
      <c r="CM46" s="59"/>
      <c r="CN46" s="59"/>
      <c r="CO46" s="59"/>
      <c r="CP46" s="59"/>
      <c r="CQ46" s="59"/>
      <c r="CR46" s="59"/>
      <c r="CS46" s="59"/>
      <c r="CT46" s="59"/>
      <c r="CU46" s="59"/>
      <c r="CV46" s="59"/>
      <c r="CW46" s="59"/>
      <c r="CX46" s="59"/>
      <c r="CY46" s="59"/>
      <c r="CZ46" s="59"/>
      <c r="DA46" s="59"/>
      <c r="DB46" s="59"/>
      <c r="DC46" s="59"/>
      <c r="DD46" s="59"/>
      <c r="DE46" s="59"/>
      <c r="DF46" s="59"/>
      <c r="DG46" s="59"/>
      <c r="DH46" s="59"/>
      <c r="DI46" s="59"/>
      <c r="DJ46" s="59"/>
      <c r="DK46" s="59"/>
      <c r="DL46" s="59"/>
      <c r="DM46" s="59"/>
      <c r="DN46" s="59"/>
      <c r="DO46" s="59"/>
      <c r="DP46" s="59"/>
      <c r="DQ46" s="59"/>
      <c r="DR46" s="59"/>
      <c r="DS46" s="59"/>
      <c r="DT46" s="59"/>
      <c r="DU46" s="59"/>
      <c r="DV46" s="59"/>
      <c r="DW46" s="59"/>
      <c r="DX46" s="59"/>
      <c r="DY46" s="59"/>
      <c r="DZ46" s="59"/>
      <c r="EA46" s="59"/>
      <c r="EB46" s="59"/>
      <c r="EC46" s="59"/>
      <c r="ED46" s="59"/>
      <c r="EE46" s="59"/>
      <c r="EF46" s="59"/>
      <c r="EG46" s="59"/>
      <c r="EH46" s="59"/>
      <c r="EI46" s="59"/>
      <c r="EJ46" s="59"/>
      <c r="EK46" s="59"/>
      <c r="EL46" s="59"/>
      <c r="EM46" s="59"/>
      <c r="EN46" s="59"/>
      <c r="EO46" s="59"/>
      <c r="EP46" s="59"/>
      <c r="EQ46" s="59"/>
      <c r="ER46" s="59"/>
      <c r="ES46" s="59"/>
      <c r="ET46" s="59"/>
      <c r="EU46" s="59"/>
      <c r="EV46" s="59"/>
      <c r="EW46" s="59"/>
      <c r="EX46" s="59"/>
      <c r="EY46" s="59"/>
      <c r="EZ46" s="59"/>
      <c r="FA46" s="59"/>
      <c r="FB46" s="59"/>
      <c r="FC46" s="59"/>
      <c r="FD46" s="59"/>
      <c r="FE46" s="59"/>
    </row>
    <row r="47" spans="1:161" ht="15.75" customHeight="1" x14ac:dyDescent="0.35">
      <c r="A47" s="69">
        <v>4462765699</v>
      </c>
      <c r="B47" s="59"/>
      <c r="C47" s="59" t="s">
        <v>130</v>
      </c>
      <c r="D47" s="59" t="s">
        <v>281</v>
      </c>
      <c r="E47" s="59" t="s">
        <v>282</v>
      </c>
      <c r="F47" s="58">
        <v>43018</v>
      </c>
      <c r="G47" s="59" t="s">
        <v>133</v>
      </c>
      <c r="H47" s="59" t="s">
        <v>133</v>
      </c>
      <c r="I47" s="59" t="s">
        <v>133</v>
      </c>
      <c r="J47" s="59" t="s">
        <v>133</v>
      </c>
      <c r="K47" s="59" t="s">
        <v>134</v>
      </c>
      <c r="L47" s="59" t="s">
        <v>135</v>
      </c>
      <c r="M47" s="59" t="s">
        <v>133</v>
      </c>
      <c r="N47" s="59" t="s">
        <v>136</v>
      </c>
      <c r="O47" s="58">
        <v>21157</v>
      </c>
      <c r="P47" s="58">
        <v>42935</v>
      </c>
      <c r="Q47" s="60">
        <f t="shared" si="1"/>
        <v>59</v>
      </c>
      <c r="R47" s="59" t="s">
        <v>283</v>
      </c>
      <c r="S47" s="68" t="s">
        <v>138</v>
      </c>
      <c r="T47" s="59" t="s">
        <v>234</v>
      </c>
      <c r="U47" s="59">
        <v>0</v>
      </c>
      <c r="V47" s="59">
        <v>0</v>
      </c>
      <c r="W47" s="59">
        <v>0</v>
      </c>
      <c r="X47" s="59" t="s">
        <v>235</v>
      </c>
      <c r="Y47" s="59">
        <v>3</v>
      </c>
      <c r="Z47" s="59" t="s">
        <v>236</v>
      </c>
      <c r="AA47" s="59" t="s">
        <v>235</v>
      </c>
      <c r="AB47" s="59"/>
      <c r="AC47" s="59"/>
      <c r="AD47" s="59"/>
      <c r="AE47" s="59"/>
      <c r="AF47" s="59"/>
      <c r="AG47" s="59"/>
      <c r="AH47" s="59"/>
      <c r="AI47" s="59"/>
      <c r="AJ47" s="59"/>
      <c r="AK47" s="59"/>
      <c r="AL47" s="59"/>
      <c r="AM47" s="59"/>
      <c r="AN47" s="59"/>
      <c r="AO47" s="59"/>
      <c r="AP47" s="59"/>
      <c r="AQ47" s="59"/>
      <c r="AR47" s="59"/>
      <c r="AS47" s="59"/>
      <c r="AT47" s="59"/>
      <c r="AU47" s="59"/>
      <c r="AV47" s="59"/>
      <c r="AW47" s="59"/>
      <c r="AX47" s="59"/>
      <c r="AY47" s="59"/>
      <c r="AZ47" s="59"/>
      <c r="BA47" s="59"/>
      <c r="BB47" s="59"/>
      <c r="BC47" s="59"/>
      <c r="BD47" s="59"/>
      <c r="BE47" s="59"/>
      <c r="BF47" s="59"/>
      <c r="BG47" s="59"/>
      <c r="BH47" s="59"/>
      <c r="BI47" s="59"/>
      <c r="BJ47" s="59"/>
      <c r="BK47" s="59"/>
      <c r="BL47" s="59"/>
      <c r="BM47" s="59"/>
      <c r="BN47" s="59"/>
      <c r="BO47" s="59"/>
      <c r="BP47" s="59"/>
      <c r="BQ47" s="59"/>
      <c r="BR47" s="59"/>
      <c r="BS47" s="59"/>
      <c r="BT47" s="59"/>
      <c r="BU47" s="59"/>
      <c r="BV47" s="59"/>
      <c r="BW47" s="59"/>
      <c r="BX47" s="59"/>
      <c r="BY47" s="59"/>
      <c r="BZ47" s="59"/>
      <c r="CA47" s="59"/>
      <c r="CB47" s="59"/>
      <c r="CC47" s="59"/>
      <c r="CD47" s="59"/>
      <c r="CE47" s="59"/>
      <c r="CF47" s="59"/>
      <c r="CG47" s="59"/>
      <c r="CH47" s="59"/>
      <c r="CI47" s="59"/>
      <c r="CJ47" s="59"/>
      <c r="CK47" s="59"/>
      <c r="CL47" s="59"/>
      <c r="CM47" s="59"/>
      <c r="CN47" s="59"/>
      <c r="CO47" s="59"/>
      <c r="CP47" s="59"/>
      <c r="CQ47" s="59"/>
      <c r="CR47" s="59"/>
      <c r="CS47" s="59"/>
      <c r="CT47" s="59"/>
      <c r="CU47" s="59"/>
      <c r="CV47" s="59"/>
      <c r="CW47" s="59"/>
      <c r="CX47" s="59"/>
      <c r="CY47" s="59"/>
      <c r="CZ47" s="59"/>
      <c r="DA47" s="59"/>
      <c r="DB47" s="59"/>
      <c r="DC47" s="59"/>
      <c r="DD47" s="59"/>
      <c r="DE47" s="59"/>
      <c r="DF47" s="59"/>
      <c r="DG47" s="59"/>
      <c r="DH47" s="59"/>
      <c r="DI47" s="59"/>
      <c r="DJ47" s="59"/>
      <c r="DK47" s="59"/>
      <c r="DL47" s="59"/>
      <c r="DM47" s="59"/>
      <c r="DN47" s="59"/>
      <c r="DO47" s="59"/>
      <c r="DP47" s="59"/>
      <c r="DQ47" s="59"/>
      <c r="DR47" s="59"/>
      <c r="DS47" s="59"/>
      <c r="DT47" s="59"/>
      <c r="DU47" s="59"/>
      <c r="DV47" s="59"/>
      <c r="DW47" s="59"/>
      <c r="DX47" s="59"/>
      <c r="DY47" s="59"/>
      <c r="DZ47" s="59"/>
      <c r="EA47" s="59"/>
      <c r="EB47" s="59"/>
      <c r="EC47" s="59"/>
      <c r="ED47" s="59"/>
      <c r="EE47" s="59"/>
      <c r="EF47" s="59"/>
      <c r="EG47" s="59"/>
      <c r="EH47" s="59"/>
      <c r="EI47" s="59"/>
      <c r="EJ47" s="59"/>
      <c r="EK47" s="59"/>
      <c r="EL47" s="59"/>
      <c r="EM47" s="59"/>
      <c r="EN47" s="59"/>
      <c r="EO47" s="59"/>
      <c r="EP47" s="59"/>
      <c r="EQ47" s="59"/>
      <c r="ER47" s="59"/>
      <c r="ES47" s="59"/>
      <c r="ET47" s="59"/>
      <c r="EU47" s="59"/>
      <c r="EV47" s="59"/>
      <c r="EW47" s="59"/>
      <c r="EX47" s="59"/>
      <c r="EY47" s="59"/>
      <c r="EZ47" s="59"/>
      <c r="FA47" s="59"/>
      <c r="FB47" s="59"/>
      <c r="FC47" s="59"/>
      <c r="FD47" s="59"/>
      <c r="FE47" s="59"/>
    </row>
    <row r="48" spans="1:161" ht="15.75" customHeight="1" x14ac:dyDescent="0.35">
      <c r="A48" s="69">
        <v>4520183251</v>
      </c>
      <c r="B48" s="59"/>
      <c r="C48" s="59" t="s">
        <v>130</v>
      </c>
      <c r="D48" s="59" t="s">
        <v>284</v>
      </c>
      <c r="E48" s="59" t="s">
        <v>285</v>
      </c>
      <c r="F48" s="58">
        <v>43024</v>
      </c>
      <c r="G48" s="59" t="s">
        <v>284</v>
      </c>
      <c r="H48" s="59" t="s">
        <v>286</v>
      </c>
      <c r="I48" s="59" t="s">
        <v>169</v>
      </c>
      <c r="J48" s="58">
        <v>43024</v>
      </c>
      <c r="K48" s="59" t="s">
        <v>134</v>
      </c>
      <c r="L48" s="59" t="s">
        <v>135</v>
      </c>
      <c r="M48" s="59" t="s">
        <v>133</v>
      </c>
      <c r="N48" s="59" t="s">
        <v>136</v>
      </c>
      <c r="O48" s="58">
        <v>18198</v>
      </c>
      <c r="P48" s="58">
        <v>42991</v>
      </c>
      <c r="Q48" s="60">
        <f t="shared" si="1"/>
        <v>67</v>
      </c>
      <c r="R48" s="59" t="s">
        <v>287</v>
      </c>
      <c r="S48" s="59" t="s">
        <v>138</v>
      </c>
      <c r="T48" s="59" t="s">
        <v>140</v>
      </c>
      <c r="U48" s="59" t="s">
        <v>140</v>
      </c>
      <c r="V48" s="59" t="s">
        <v>288</v>
      </c>
      <c r="W48" s="59">
        <v>0</v>
      </c>
      <c r="X48" s="59" t="s">
        <v>186</v>
      </c>
      <c r="Y48" s="59">
        <v>3</v>
      </c>
      <c r="Z48" s="59" t="s">
        <v>133</v>
      </c>
      <c r="AA48" s="59" t="s">
        <v>186</v>
      </c>
      <c r="AB48" s="59"/>
      <c r="AC48" s="59"/>
      <c r="AD48" s="59"/>
      <c r="AE48" s="59"/>
      <c r="AF48" s="59"/>
      <c r="AG48" s="59"/>
      <c r="AH48" s="59"/>
      <c r="AI48" s="59"/>
      <c r="AJ48" s="59"/>
      <c r="AK48" s="59"/>
      <c r="AL48" s="59"/>
      <c r="AM48" s="59"/>
      <c r="AN48" s="59"/>
      <c r="AO48" s="59"/>
      <c r="AP48" s="59"/>
      <c r="AQ48" s="59"/>
      <c r="AR48" s="59"/>
      <c r="AS48" s="59"/>
      <c r="AT48" s="59"/>
      <c r="AU48" s="59"/>
      <c r="AV48" s="59"/>
      <c r="AW48" s="59"/>
      <c r="AX48" s="59"/>
      <c r="AY48" s="59"/>
      <c r="AZ48" s="59"/>
      <c r="BA48" s="59"/>
      <c r="BB48" s="59"/>
      <c r="BC48" s="59"/>
      <c r="BD48" s="59"/>
      <c r="BE48" s="59"/>
      <c r="BF48" s="59"/>
      <c r="BG48" s="59"/>
      <c r="BH48" s="59"/>
      <c r="BI48" s="59"/>
      <c r="BJ48" s="59"/>
      <c r="BK48" s="59"/>
      <c r="BL48" s="59"/>
      <c r="BM48" s="59"/>
      <c r="BN48" s="59"/>
      <c r="BO48" s="59"/>
      <c r="BP48" s="59"/>
      <c r="BQ48" s="59"/>
      <c r="BR48" s="59"/>
      <c r="BS48" s="59"/>
      <c r="BT48" s="59"/>
      <c r="BU48" s="59"/>
      <c r="BV48" s="59"/>
      <c r="BW48" s="59"/>
      <c r="BX48" s="59"/>
      <c r="BY48" s="59"/>
      <c r="BZ48" s="59"/>
      <c r="CA48" s="59"/>
      <c r="CB48" s="59"/>
      <c r="CC48" s="59"/>
      <c r="CD48" s="59"/>
      <c r="CE48" s="59"/>
      <c r="CF48" s="59"/>
      <c r="CG48" s="59"/>
      <c r="CH48" s="59"/>
      <c r="CI48" s="59"/>
      <c r="CJ48" s="59"/>
      <c r="CK48" s="59"/>
      <c r="CL48" s="59"/>
      <c r="CM48" s="59"/>
      <c r="CN48" s="59"/>
      <c r="CO48" s="59"/>
      <c r="CP48" s="59"/>
      <c r="CQ48" s="59"/>
      <c r="CR48" s="59"/>
      <c r="CS48" s="59"/>
      <c r="CT48" s="59"/>
      <c r="CU48" s="59"/>
      <c r="CV48" s="59"/>
      <c r="CW48" s="59"/>
      <c r="CX48" s="59"/>
      <c r="CY48" s="59"/>
      <c r="CZ48" s="59"/>
      <c r="DA48" s="59"/>
      <c r="DB48" s="59"/>
      <c r="DC48" s="59"/>
      <c r="DD48" s="59"/>
      <c r="DE48" s="59"/>
      <c r="DF48" s="59"/>
      <c r="DG48" s="59"/>
      <c r="DH48" s="59"/>
      <c r="DI48" s="59"/>
      <c r="DJ48" s="59"/>
      <c r="DK48" s="59"/>
      <c r="DL48" s="59"/>
      <c r="DM48" s="59"/>
      <c r="DN48" s="59"/>
      <c r="DO48" s="59"/>
      <c r="DP48" s="59"/>
      <c r="DQ48" s="59"/>
      <c r="DR48" s="59"/>
      <c r="DS48" s="59"/>
      <c r="DT48" s="59"/>
      <c r="DU48" s="59"/>
      <c r="DV48" s="59"/>
      <c r="DW48" s="59"/>
      <c r="DX48" s="59"/>
      <c r="DY48" s="59"/>
      <c r="DZ48" s="59"/>
      <c r="EA48" s="59"/>
      <c r="EB48" s="59"/>
      <c r="EC48" s="59"/>
      <c r="ED48" s="59"/>
      <c r="EE48" s="59"/>
      <c r="EF48" s="59"/>
      <c r="EG48" s="59"/>
      <c r="EH48" s="59"/>
      <c r="EI48" s="59"/>
      <c r="EJ48" s="59"/>
      <c r="EK48" s="59"/>
      <c r="EL48" s="59"/>
      <c r="EM48" s="59"/>
      <c r="EN48" s="59"/>
      <c r="EO48" s="59"/>
      <c r="EP48" s="59"/>
      <c r="EQ48" s="59"/>
      <c r="ER48" s="59"/>
      <c r="ES48" s="59"/>
      <c r="ET48" s="59"/>
      <c r="EU48" s="59"/>
      <c r="EV48" s="59"/>
      <c r="EW48" s="59"/>
      <c r="EX48" s="59"/>
      <c r="EY48" s="59"/>
      <c r="EZ48" s="59"/>
      <c r="FA48" s="59"/>
      <c r="FB48" s="59"/>
      <c r="FC48" s="59"/>
      <c r="FD48" s="59"/>
      <c r="FE48" s="59"/>
    </row>
    <row r="49" spans="1:161" ht="16.5" customHeight="1" x14ac:dyDescent="0.35">
      <c r="A49" s="69">
        <v>4382520843</v>
      </c>
      <c r="B49" s="59"/>
      <c r="C49" s="59" t="s">
        <v>130</v>
      </c>
      <c r="D49" s="59" t="s">
        <v>289</v>
      </c>
      <c r="E49" s="59" t="s">
        <v>290</v>
      </c>
      <c r="F49" s="58">
        <v>43027</v>
      </c>
      <c r="G49" s="59" t="s">
        <v>133</v>
      </c>
      <c r="H49" s="59" t="s">
        <v>133</v>
      </c>
      <c r="I49" s="59" t="s">
        <v>133</v>
      </c>
      <c r="J49" s="59" t="s">
        <v>133</v>
      </c>
      <c r="K49" s="59" t="s">
        <v>134</v>
      </c>
      <c r="L49" s="59" t="s">
        <v>135</v>
      </c>
      <c r="M49" s="59" t="s">
        <v>133</v>
      </c>
      <c r="N49" s="59" t="s">
        <v>136</v>
      </c>
      <c r="O49" s="58">
        <v>16412</v>
      </c>
      <c r="P49" s="58">
        <v>42934</v>
      </c>
      <c r="Q49" s="60">
        <f t="shared" si="1"/>
        <v>72</v>
      </c>
      <c r="R49" s="59" t="s">
        <v>291</v>
      </c>
      <c r="S49" s="70" t="s">
        <v>130</v>
      </c>
      <c r="T49" s="59" t="s">
        <v>164</v>
      </c>
      <c r="U49" s="59">
        <v>0</v>
      </c>
      <c r="V49" s="59">
        <v>0</v>
      </c>
      <c r="W49" s="59">
        <v>0</v>
      </c>
      <c r="X49" s="59" t="s">
        <v>292</v>
      </c>
      <c r="Y49" s="59">
        <v>2</v>
      </c>
      <c r="Z49" s="59" t="s">
        <v>293</v>
      </c>
      <c r="AA49" s="59" t="s">
        <v>292</v>
      </c>
      <c r="AB49" s="59"/>
      <c r="AC49" s="59"/>
      <c r="AD49" s="59"/>
      <c r="AE49" s="59"/>
      <c r="AF49" s="59"/>
      <c r="AG49" s="59"/>
      <c r="AH49" s="59"/>
      <c r="AI49" s="59"/>
      <c r="AJ49" s="59"/>
      <c r="AK49" s="59"/>
      <c r="AL49" s="59"/>
      <c r="AM49" s="59"/>
      <c r="AN49" s="59"/>
      <c r="AO49" s="59"/>
      <c r="AP49" s="59"/>
      <c r="AQ49" s="59"/>
      <c r="AR49" s="59"/>
      <c r="AS49" s="59"/>
      <c r="AT49" s="59"/>
      <c r="AU49" s="59"/>
      <c r="AV49" s="59"/>
      <c r="AW49" s="59"/>
      <c r="AX49" s="59"/>
      <c r="AY49" s="59"/>
      <c r="AZ49" s="59"/>
      <c r="BA49" s="59"/>
      <c r="BB49" s="59"/>
      <c r="BC49" s="59"/>
      <c r="BD49" s="59"/>
      <c r="BE49" s="59"/>
      <c r="BF49" s="59"/>
      <c r="BG49" s="59"/>
      <c r="BH49" s="59"/>
      <c r="BI49" s="59"/>
      <c r="BJ49" s="59"/>
      <c r="BK49" s="59"/>
      <c r="BL49" s="59"/>
      <c r="BM49" s="59"/>
      <c r="BN49" s="59"/>
      <c r="BO49" s="59"/>
      <c r="BP49" s="59"/>
      <c r="BQ49" s="59"/>
      <c r="BR49" s="59"/>
      <c r="BS49" s="59"/>
      <c r="BT49" s="59"/>
      <c r="BU49" s="59"/>
      <c r="BV49" s="59"/>
      <c r="BW49" s="59"/>
      <c r="BX49" s="59"/>
      <c r="BY49" s="59"/>
      <c r="BZ49" s="59"/>
      <c r="CA49" s="59"/>
      <c r="CB49" s="59"/>
      <c r="CC49" s="59"/>
      <c r="CD49" s="59"/>
      <c r="CE49" s="59"/>
      <c r="CF49" s="59"/>
      <c r="CG49" s="59"/>
      <c r="CH49" s="59"/>
      <c r="CI49" s="59"/>
      <c r="CJ49" s="59"/>
      <c r="CK49" s="59"/>
      <c r="CL49" s="59"/>
      <c r="CM49" s="59"/>
      <c r="CN49" s="59"/>
      <c r="CO49" s="59"/>
      <c r="CP49" s="59"/>
      <c r="CQ49" s="59"/>
      <c r="CR49" s="59"/>
      <c r="CS49" s="59"/>
      <c r="CT49" s="59"/>
      <c r="CU49" s="59"/>
      <c r="CV49" s="59"/>
      <c r="CW49" s="59"/>
      <c r="CX49" s="59"/>
      <c r="CY49" s="59"/>
      <c r="CZ49" s="59"/>
      <c r="DA49" s="59"/>
      <c r="DB49" s="59"/>
      <c r="DC49" s="59"/>
      <c r="DD49" s="59"/>
      <c r="DE49" s="59"/>
      <c r="DF49" s="59"/>
      <c r="DG49" s="59"/>
      <c r="DH49" s="59"/>
      <c r="DI49" s="59"/>
      <c r="DJ49" s="59"/>
      <c r="DK49" s="59"/>
      <c r="DL49" s="59"/>
      <c r="DM49" s="59"/>
      <c r="DN49" s="59"/>
      <c r="DO49" s="59"/>
      <c r="DP49" s="59"/>
      <c r="DQ49" s="59"/>
      <c r="DR49" s="59"/>
      <c r="DS49" s="59"/>
      <c r="DT49" s="59"/>
      <c r="DU49" s="59"/>
      <c r="DV49" s="59"/>
      <c r="DW49" s="59"/>
      <c r="DX49" s="59"/>
      <c r="DY49" s="59"/>
      <c r="DZ49" s="59"/>
      <c r="EA49" s="59"/>
      <c r="EB49" s="59"/>
      <c r="EC49" s="59"/>
      <c r="ED49" s="59"/>
      <c r="EE49" s="59"/>
      <c r="EF49" s="59"/>
      <c r="EG49" s="59"/>
      <c r="EH49" s="59"/>
      <c r="EI49" s="59"/>
      <c r="EJ49" s="59"/>
      <c r="EK49" s="59"/>
      <c r="EL49" s="59"/>
      <c r="EM49" s="59"/>
      <c r="EN49" s="59"/>
      <c r="EO49" s="59"/>
      <c r="EP49" s="59"/>
      <c r="EQ49" s="59"/>
      <c r="ER49" s="59"/>
      <c r="ES49" s="59"/>
      <c r="ET49" s="59"/>
      <c r="EU49" s="59"/>
      <c r="EV49" s="59"/>
      <c r="EW49" s="59"/>
      <c r="EX49" s="59"/>
      <c r="EY49" s="59"/>
      <c r="EZ49" s="59"/>
      <c r="FA49" s="59"/>
      <c r="FB49" s="59"/>
      <c r="FC49" s="59"/>
      <c r="FD49" s="59"/>
      <c r="FE49" s="59"/>
    </row>
    <row r="50" spans="1:161" ht="15.75" customHeight="1" x14ac:dyDescent="0.35">
      <c r="A50" s="69">
        <v>6187579429</v>
      </c>
      <c r="B50" s="59"/>
      <c r="C50" s="59" t="s">
        <v>130</v>
      </c>
      <c r="D50" s="59" t="s">
        <v>294</v>
      </c>
      <c r="E50" s="59" t="s">
        <v>295</v>
      </c>
      <c r="F50" s="58">
        <v>43032</v>
      </c>
      <c r="G50" s="59" t="s">
        <v>133</v>
      </c>
      <c r="H50" s="59" t="s">
        <v>133</v>
      </c>
      <c r="I50" s="59" t="s">
        <v>133</v>
      </c>
      <c r="J50" s="59" t="s">
        <v>133</v>
      </c>
      <c r="K50" s="59" t="s">
        <v>203</v>
      </c>
      <c r="L50" s="59" t="s">
        <v>135</v>
      </c>
      <c r="M50" s="59" t="s">
        <v>133</v>
      </c>
      <c r="N50" s="59" t="s">
        <v>136</v>
      </c>
      <c r="O50" s="58">
        <v>11629</v>
      </c>
      <c r="P50" s="58">
        <v>42969</v>
      </c>
      <c r="Q50" s="60">
        <f t="shared" si="1"/>
        <v>85</v>
      </c>
      <c r="R50" s="59" t="s">
        <v>225</v>
      </c>
      <c r="S50" s="59" t="s">
        <v>138</v>
      </c>
      <c r="T50" s="59" t="s">
        <v>148</v>
      </c>
      <c r="U50" s="59">
        <v>0</v>
      </c>
      <c r="V50" s="59">
        <v>0</v>
      </c>
      <c r="W50" s="59">
        <v>0</v>
      </c>
      <c r="X50" s="68" t="s">
        <v>150</v>
      </c>
      <c r="Y50" s="59">
        <v>1</v>
      </c>
      <c r="Z50" s="59" t="s">
        <v>151</v>
      </c>
      <c r="AA50" s="68" t="s">
        <v>150</v>
      </c>
      <c r="AB50" s="59"/>
      <c r="AC50" s="59"/>
      <c r="AD50" s="59"/>
      <c r="AE50" s="59"/>
      <c r="AF50" s="59"/>
      <c r="AG50" s="59"/>
      <c r="AH50" s="59"/>
      <c r="AI50" s="59"/>
      <c r="AJ50" s="59"/>
      <c r="AK50" s="59"/>
      <c r="AL50" s="59"/>
      <c r="AM50" s="59"/>
      <c r="AN50" s="59"/>
      <c r="AO50" s="59"/>
      <c r="AP50" s="59"/>
      <c r="AQ50" s="59"/>
      <c r="AR50" s="59"/>
      <c r="AS50" s="59"/>
      <c r="AT50" s="59"/>
      <c r="AU50" s="59"/>
      <c r="AV50" s="59"/>
      <c r="AW50" s="59"/>
      <c r="AX50" s="59"/>
      <c r="AY50" s="59"/>
      <c r="AZ50" s="59"/>
      <c r="BA50" s="59"/>
      <c r="BB50" s="59"/>
      <c r="BC50" s="59"/>
      <c r="BD50" s="59"/>
      <c r="BE50" s="59"/>
      <c r="BF50" s="59"/>
      <c r="BG50" s="59"/>
      <c r="BH50" s="59"/>
      <c r="BI50" s="59"/>
      <c r="BJ50" s="59"/>
      <c r="BK50" s="59"/>
      <c r="BL50" s="59"/>
      <c r="BM50" s="59"/>
      <c r="BN50" s="59"/>
      <c r="BO50" s="59"/>
      <c r="BP50" s="59"/>
      <c r="BQ50" s="59"/>
      <c r="BR50" s="59"/>
      <c r="BS50" s="59"/>
      <c r="BT50" s="59"/>
      <c r="BU50" s="59"/>
      <c r="BV50" s="59"/>
      <c r="BW50" s="59"/>
      <c r="BX50" s="59"/>
      <c r="BY50" s="59"/>
      <c r="BZ50" s="59"/>
      <c r="CA50" s="59"/>
      <c r="CB50" s="59"/>
      <c r="CC50" s="59"/>
      <c r="CD50" s="59"/>
      <c r="CE50" s="59"/>
      <c r="CF50" s="59"/>
      <c r="CG50" s="59"/>
      <c r="CH50" s="59"/>
      <c r="CI50" s="59"/>
      <c r="CJ50" s="59"/>
      <c r="CK50" s="59"/>
      <c r="CL50" s="59"/>
      <c r="CM50" s="59"/>
      <c r="CN50" s="59"/>
      <c r="CO50" s="59"/>
      <c r="CP50" s="59"/>
      <c r="CQ50" s="59"/>
      <c r="CR50" s="59"/>
      <c r="CS50" s="59"/>
      <c r="CT50" s="59"/>
      <c r="CU50" s="59"/>
      <c r="CV50" s="59"/>
      <c r="CW50" s="59"/>
      <c r="CX50" s="59"/>
      <c r="CY50" s="59"/>
      <c r="CZ50" s="59"/>
      <c r="DA50" s="59"/>
      <c r="DB50" s="59"/>
      <c r="DC50" s="59"/>
      <c r="DD50" s="59"/>
      <c r="DE50" s="59"/>
      <c r="DF50" s="59"/>
      <c r="DG50" s="59"/>
      <c r="DH50" s="59"/>
      <c r="DI50" s="59"/>
      <c r="DJ50" s="59"/>
      <c r="DK50" s="59"/>
      <c r="DL50" s="59"/>
      <c r="DM50" s="59"/>
      <c r="DN50" s="59"/>
      <c r="DO50" s="59"/>
      <c r="DP50" s="59"/>
      <c r="DQ50" s="59"/>
      <c r="DR50" s="59"/>
      <c r="DS50" s="59"/>
      <c r="DT50" s="59"/>
      <c r="DU50" s="59"/>
      <c r="DV50" s="59"/>
      <c r="DW50" s="59"/>
      <c r="DX50" s="59"/>
      <c r="DY50" s="59"/>
      <c r="DZ50" s="59"/>
      <c r="EA50" s="59"/>
      <c r="EB50" s="59"/>
      <c r="EC50" s="59"/>
      <c r="ED50" s="59"/>
      <c r="EE50" s="59"/>
      <c r="EF50" s="59"/>
      <c r="EG50" s="59"/>
      <c r="EH50" s="59"/>
      <c r="EI50" s="59"/>
      <c r="EJ50" s="59"/>
      <c r="EK50" s="59"/>
      <c r="EL50" s="59"/>
      <c r="EM50" s="59"/>
      <c r="EN50" s="59"/>
      <c r="EO50" s="59"/>
      <c r="EP50" s="59"/>
      <c r="EQ50" s="59"/>
      <c r="ER50" s="59"/>
      <c r="ES50" s="59"/>
      <c r="ET50" s="59"/>
      <c r="EU50" s="59"/>
      <c r="EV50" s="59"/>
      <c r="EW50" s="59"/>
      <c r="EX50" s="59"/>
      <c r="EY50" s="59"/>
      <c r="EZ50" s="59"/>
      <c r="FA50" s="59"/>
      <c r="FB50" s="59"/>
      <c r="FC50" s="59"/>
      <c r="FD50" s="59"/>
      <c r="FE50" s="59"/>
    </row>
    <row r="51" spans="1:161" ht="15.75" customHeight="1" x14ac:dyDescent="0.35">
      <c r="A51" s="69">
        <v>4985797839</v>
      </c>
      <c r="B51" s="59"/>
      <c r="C51" s="59" t="s">
        <v>130</v>
      </c>
      <c r="D51" s="59" t="s">
        <v>296</v>
      </c>
      <c r="E51" s="59" t="s">
        <v>297</v>
      </c>
      <c r="F51" s="58">
        <v>43035</v>
      </c>
      <c r="G51" s="59" t="s">
        <v>133</v>
      </c>
      <c r="H51" s="59" t="s">
        <v>133</v>
      </c>
      <c r="I51" s="59" t="s">
        <v>133</v>
      </c>
      <c r="J51" s="59" t="s">
        <v>133</v>
      </c>
      <c r="K51" s="59" t="s">
        <v>134</v>
      </c>
      <c r="L51" s="59" t="s">
        <v>135</v>
      </c>
      <c r="M51" s="59" t="s">
        <v>133</v>
      </c>
      <c r="N51" s="59" t="s">
        <v>136</v>
      </c>
      <c r="O51" s="58">
        <v>10699</v>
      </c>
      <c r="P51" s="58">
        <v>42962</v>
      </c>
      <c r="Q51" s="60">
        <f t="shared" si="1"/>
        <v>88</v>
      </c>
      <c r="R51" s="59" t="s">
        <v>225</v>
      </c>
      <c r="S51" s="59" t="s">
        <v>130</v>
      </c>
      <c r="T51" s="59">
        <v>3</v>
      </c>
      <c r="U51" s="59">
        <v>1</v>
      </c>
      <c r="V51" s="59">
        <v>0</v>
      </c>
      <c r="W51" s="59">
        <v>0</v>
      </c>
      <c r="X51" s="59" t="s">
        <v>139</v>
      </c>
      <c r="Y51" s="59">
        <v>2</v>
      </c>
      <c r="Z51" s="70" t="s">
        <v>251</v>
      </c>
      <c r="AA51" s="59" t="s">
        <v>139</v>
      </c>
      <c r="AB51" s="59"/>
      <c r="AC51" s="59"/>
      <c r="AD51" s="59"/>
      <c r="AE51" s="59"/>
      <c r="AF51" s="59"/>
      <c r="AG51" s="59"/>
      <c r="AH51" s="59"/>
      <c r="AI51" s="59"/>
      <c r="AJ51" s="59"/>
      <c r="AK51" s="59"/>
      <c r="AL51" s="59"/>
      <c r="AM51" s="59"/>
      <c r="AN51" s="59"/>
      <c r="AO51" s="59"/>
      <c r="AP51" s="59"/>
      <c r="AQ51" s="59"/>
      <c r="AR51" s="59"/>
      <c r="AS51" s="59"/>
      <c r="AT51" s="59"/>
      <c r="AU51" s="59"/>
      <c r="AV51" s="59"/>
      <c r="AW51" s="59"/>
      <c r="AX51" s="59"/>
      <c r="AY51" s="59"/>
      <c r="AZ51" s="59"/>
      <c r="BA51" s="59"/>
      <c r="BB51" s="59"/>
      <c r="BC51" s="59"/>
      <c r="BD51" s="59"/>
      <c r="BE51" s="59"/>
      <c r="BF51" s="59"/>
      <c r="BG51" s="59"/>
      <c r="BH51" s="59"/>
      <c r="BI51" s="59"/>
      <c r="BJ51" s="59"/>
      <c r="BK51" s="59"/>
      <c r="BL51" s="59"/>
      <c r="BM51" s="59"/>
      <c r="BN51" s="59"/>
      <c r="BO51" s="59"/>
      <c r="BP51" s="59"/>
      <c r="BQ51" s="59"/>
      <c r="BR51" s="59"/>
      <c r="BS51" s="59"/>
      <c r="BT51" s="59"/>
      <c r="BU51" s="59"/>
      <c r="BV51" s="59"/>
      <c r="BW51" s="59"/>
      <c r="BX51" s="59"/>
      <c r="BY51" s="59"/>
      <c r="BZ51" s="59"/>
      <c r="CA51" s="59"/>
      <c r="CB51" s="59"/>
      <c r="CC51" s="59"/>
      <c r="CD51" s="59"/>
      <c r="CE51" s="59"/>
      <c r="CF51" s="59"/>
      <c r="CG51" s="59"/>
      <c r="CH51" s="59"/>
      <c r="CI51" s="59"/>
      <c r="CJ51" s="59"/>
      <c r="CK51" s="59"/>
      <c r="CL51" s="59"/>
      <c r="CM51" s="59"/>
      <c r="CN51" s="59"/>
      <c r="CO51" s="59"/>
      <c r="CP51" s="59"/>
      <c r="CQ51" s="59"/>
      <c r="CR51" s="59"/>
      <c r="CS51" s="59"/>
      <c r="CT51" s="59"/>
      <c r="CU51" s="59"/>
      <c r="CV51" s="59"/>
      <c r="CW51" s="59"/>
      <c r="CX51" s="59"/>
      <c r="CY51" s="59"/>
      <c r="CZ51" s="59"/>
      <c r="DA51" s="59"/>
      <c r="DB51" s="59"/>
      <c r="DC51" s="59"/>
      <c r="DD51" s="59"/>
      <c r="DE51" s="59"/>
      <c r="DF51" s="59"/>
      <c r="DG51" s="59"/>
      <c r="DH51" s="59"/>
      <c r="DI51" s="59"/>
      <c r="DJ51" s="59"/>
      <c r="DK51" s="59"/>
      <c r="DL51" s="59"/>
      <c r="DM51" s="59"/>
      <c r="DN51" s="59"/>
      <c r="DO51" s="59"/>
      <c r="DP51" s="59"/>
      <c r="DQ51" s="59"/>
      <c r="DR51" s="59"/>
      <c r="DS51" s="59"/>
      <c r="DT51" s="59"/>
      <c r="DU51" s="59"/>
      <c r="DV51" s="59"/>
      <c r="DW51" s="59"/>
      <c r="DX51" s="59"/>
      <c r="DY51" s="59"/>
      <c r="DZ51" s="59"/>
      <c r="EA51" s="59"/>
      <c r="EB51" s="59"/>
      <c r="EC51" s="59"/>
      <c r="ED51" s="59"/>
      <c r="EE51" s="59"/>
      <c r="EF51" s="59"/>
      <c r="EG51" s="59"/>
      <c r="EH51" s="59"/>
      <c r="EI51" s="59"/>
      <c r="EJ51" s="59"/>
      <c r="EK51" s="59"/>
      <c r="EL51" s="59"/>
      <c r="EM51" s="59"/>
      <c r="EN51" s="59"/>
      <c r="EO51" s="59"/>
      <c r="EP51" s="59"/>
      <c r="EQ51" s="59"/>
      <c r="ER51" s="59"/>
      <c r="ES51" s="59"/>
      <c r="ET51" s="59"/>
      <c r="EU51" s="59"/>
      <c r="EV51" s="59"/>
      <c r="EW51" s="59"/>
      <c r="EX51" s="59"/>
      <c r="EY51" s="59"/>
      <c r="EZ51" s="59"/>
      <c r="FA51" s="59"/>
      <c r="FB51" s="59"/>
      <c r="FC51" s="59"/>
      <c r="FD51" s="59"/>
      <c r="FE51" s="59"/>
    </row>
    <row r="52" spans="1:161" ht="15.75" customHeight="1" x14ac:dyDescent="0.35">
      <c r="A52" s="69">
        <v>4487137144</v>
      </c>
      <c r="B52" s="59"/>
      <c r="C52" s="59" t="s">
        <v>130</v>
      </c>
      <c r="D52" s="59" t="s">
        <v>298</v>
      </c>
      <c r="E52" s="59" t="s">
        <v>299</v>
      </c>
      <c r="F52" s="58">
        <v>43049</v>
      </c>
      <c r="G52" s="59" t="s">
        <v>133</v>
      </c>
      <c r="H52" s="59" t="s">
        <v>133</v>
      </c>
      <c r="I52" s="59" t="s">
        <v>133</v>
      </c>
      <c r="J52" s="59" t="s">
        <v>133</v>
      </c>
      <c r="K52" s="59" t="s">
        <v>203</v>
      </c>
      <c r="L52" s="59" t="s">
        <v>135</v>
      </c>
      <c r="M52" s="59" t="s">
        <v>133</v>
      </c>
      <c r="N52" s="59" t="s">
        <v>136</v>
      </c>
      <c r="O52" s="58">
        <v>21530</v>
      </c>
      <c r="P52" s="58">
        <v>42956</v>
      </c>
      <c r="Q52" s="60">
        <f t="shared" si="1"/>
        <v>58</v>
      </c>
      <c r="R52" s="59" t="s">
        <v>147</v>
      </c>
      <c r="S52" s="59" t="s">
        <v>138</v>
      </c>
      <c r="T52" s="59" t="s">
        <v>198</v>
      </c>
      <c r="U52" s="59">
        <v>0</v>
      </c>
      <c r="V52" s="59">
        <v>0</v>
      </c>
      <c r="W52" s="59">
        <v>0</v>
      </c>
      <c r="X52" s="59" t="s">
        <v>199</v>
      </c>
      <c r="Y52" s="59">
        <v>1</v>
      </c>
      <c r="Z52" s="59" t="s">
        <v>200</v>
      </c>
      <c r="AA52" s="59" t="s">
        <v>199</v>
      </c>
      <c r="AB52" s="59"/>
      <c r="AC52" s="59"/>
      <c r="AD52" s="59"/>
      <c r="AE52" s="59"/>
      <c r="AF52" s="59"/>
      <c r="AG52" s="59"/>
      <c r="AH52" s="59"/>
      <c r="AI52" s="59"/>
      <c r="AJ52" s="59"/>
      <c r="AK52" s="59"/>
      <c r="AL52" s="59"/>
      <c r="AM52" s="59"/>
      <c r="AN52" s="59"/>
      <c r="AO52" s="59"/>
      <c r="AP52" s="59"/>
      <c r="AQ52" s="59"/>
      <c r="AR52" s="59"/>
      <c r="AS52" s="59"/>
      <c r="AT52" s="59"/>
      <c r="AU52" s="59"/>
      <c r="AV52" s="59"/>
      <c r="AW52" s="59"/>
      <c r="AX52" s="59"/>
      <c r="AY52" s="59"/>
      <c r="AZ52" s="59"/>
      <c r="BA52" s="59"/>
      <c r="BB52" s="59"/>
      <c r="BC52" s="59"/>
      <c r="BD52" s="59"/>
      <c r="BE52" s="59"/>
      <c r="BF52" s="59"/>
      <c r="BG52" s="59"/>
      <c r="BH52" s="59"/>
      <c r="BI52" s="59"/>
      <c r="BJ52" s="59"/>
      <c r="BK52" s="59"/>
      <c r="BL52" s="59"/>
      <c r="BM52" s="59"/>
      <c r="BN52" s="59"/>
      <c r="BO52" s="59"/>
      <c r="BP52" s="59"/>
      <c r="BQ52" s="59"/>
      <c r="BR52" s="59"/>
      <c r="BS52" s="59"/>
      <c r="BT52" s="59"/>
      <c r="BU52" s="59"/>
      <c r="BV52" s="59"/>
      <c r="BW52" s="59"/>
      <c r="BX52" s="59"/>
      <c r="BY52" s="59"/>
      <c r="BZ52" s="59"/>
      <c r="CA52" s="59"/>
      <c r="CB52" s="59"/>
      <c r="CC52" s="59"/>
      <c r="CD52" s="59"/>
      <c r="CE52" s="59"/>
      <c r="CF52" s="59"/>
      <c r="CG52" s="59"/>
      <c r="CH52" s="59"/>
      <c r="CI52" s="59"/>
      <c r="CJ52" s="59"/>
      <c r="CK52" s="59"/>
      <c r="CL52" s="59"/>
      <c r="CM52" s="59"/>
      <c r="CN52" s="59"/>
      <c r="CO52" s="59"/>
      <c r="CP52" s="59"/>
      <c r="CQ52" s="59"/>
      <c r="CR52" s="59"/>
      <c r="CS52" s="59"/>
      <c r="CT52" s="59"/>
      <c r="CU52" s="59"/>
      <c r="CV52" s="59"/>
      <c r="CW52" s="59"/>
      <c r="CX52" s="59"/>
      <c r="CY52" s="59"/>
      <c r="CZ52" s="59"/>
      <c r="DA52" s="59"/>
      <c r="DB52" s="59"/>
      <c r="DC52" s="59"/>
      <c r="DD52" s="59"/>
      <c r="DE52" s="59"/>
      <c r="DF52" s="59"/>
      <c r="DG52" s="59"/>
      <c r="DH52" s="59"/>
      <c r="DI52" s="59"/>
      <c r="DJ52" s="59"/>
      <c r="DK52" s="59"/>
      <c r="DL52" s="59"/>
      <c r="DM52" s="59"/>
      <c r="DN52" s="59"/>
      <c r="DO52" s="59"/>
      <c r="DP52" s="59"/>
      <c r="DQ52" s="59"/>
      <c r="DR52" s="59"/>
      <c r="DS52" s="59"/>
      <c r="DT52" s="59"/>
      <c r="DU52" s="59"/>
      <c r="DV52" s="59"/>
      <c r="DW52" s="59"/>
      <c r="DX52" s="59"/>
      <c r="DY52" s="59"/>
      <c r="DZ52" s="59"/>
      <c r="EA52" s="59"/>
      <c r="EB52" s="59"/>
      <c r="EC52" s="59"/>
      <c r="ED52" s="59"/>
      <c r="EE52" s="59"/>
      <c r="EF52" s="59"/>
      <c r="EG52" s="59"/>
      <c r="EH52" s="59"/>
      <c r="EI52" s="59"/>
      <c r="EJ52" s="59"/>
      <c r="EK52" s="59"/>
      <c r="EL52" s="59"/>
      <c r="EM52" s="59"/>
      <c r="EN52" s="59"/>
      <c r="EO52" s="59"/>
      <c r="EP52" s="59"/>
      <c r="EQ52" s="59"/>
      <c r="ER52" s="59"/>
      <c r="ES52" s="59"/>
      <c r="ET52" s="59"/>
      <c r="EU52" s="59"/>
      <c r="EV52" s="59"/>
      <c r="EW52" s="59"/>
      <c r="EX52" s="59"/>
      <c r="EY52" s="59"/>
      <c r="EZ52" s="59"/>
      <c r="FA52" s="59"/>
      <c r="FB52" s="59"/>
      <c r="FC52" s="59"/>
      <c r="FD52" s="59"/>
      <c r="FE52" s="59"/>
    </row>
    <row r="53" spans="1:161" ht="15.75" customHeight="1" x14ac:dyDescent="0.35">
      <c r="A53" s="69">
        <v>4360677073</v>
      </c>
      <c r="B53" s="59"/>
      <c r="C53" s="59" t="s">
        <v>130</v>
      </c>
      <c r="D53" s="59" t="s">
        <v>300</v>
      </c>
      <c r="E53" s="59" t="s">
        <v>301</v>
      </c>
      <c r="F53" s="58">
        <v>43045</v>
      </c>
      <c r="G53" s="59" t="s">
        <v>300</v>
      </c>
      <c r="H53" s="59" t="s">
        <v>302</v>
      </c>
      <c r="I53" s="59" t="s">
        <v>169</v>
      </c>
      <c r="J53" s="58">
        <v>43045</v>
      </c>
      <c r="K53" s="59" t="s">
        <v>134</v>
      </c>
      <c r="L53" s="59" t="s">
        <v>135</v>
      </c>
      <c r="M53" s="59" t="s">
        <v>133</v>
      </c>
      <c r="N53" s="59" t="s">
        <v>136</v>
      </c>
      <c r="O53" s="58">
        <v>14313</v>
      </c>
      <c r="P53" s="58">
        <v>43002</v>
      </c>
      <c r="Q53" s="60">
        <f t="shared" si="1"/>
        <v>78</v>
      </c>
      <c r="R53" s="59" t="s">
        <v>303</v>
      </c>
      <c r="S53" s="59" t="s">
        <v>138</v>
      </c>
      <c r="T53" s="59" t="s">
        <v>140</v>
      </c>
      <c r="U53" s="59" t="s">
        <v>140</v>
      </c>
      <c r="V53" s="59" t="s">
        <v>304</v>
      </c>
      <c r="W53" s="59" t="s">
        <v>288</v>
      </c>
      <c r="X53" s="59" t="s">
        <v>186</v>
      </c>
      <c r="Y53" s="59">
        <v>3</v>
      </c>
      <c r="Z53" s="59" t="s">
        <v>133</v>
      </c>
      <c r="AA53" s="59" t="s">
        <v>186</v>
      </c>
      <c r="AB53" s="59"/>
      <c r="AC53" s="59"/>
      <c r="AD53" s="59"/>
      <c r="AE53" s="59"/>
      <c r="AF53" s="59"/>
      <c r="AG53" s="59"/>
      <c r="AH53" s="59"/>
      <c r="AI53" s="59"/>
      <c r="AJ53" s="59"/>
      <c r="AK53" s="59"/>
      <c r="AL53" s="59"/>
      <c r="AM53" s="59"/>
      <c r="AN53" s="59"/>
      <c r="AO53" s="59"/>
      <c r="AP53" s="59"/>
      <c r="AQ53" s="59"/>
      <c r="AR53" s="59"/>
      <c r="AS53" s="59"/>
      <c r="AT53" s="59"/>
      <c r="AU53" s="59"/>
      <c r="AV53" s="59"/>
      <c r="AW53" s="59"/>
      <c r="AX53" s="59"/>
      <c r="AY53" s="59"/>
      <c r="AZ53" s="59"/>
      <c r="BA53" s="59"/>
      <c r="BB53" s="59"/>
      <c r="BC53" s="59"/>
      <c r="BD53" s="59"/>
      <c r="BE53" s="59"/>
      <c r="BF53" s="59"/>
      <c r="BG53" s="59"/>
      <c r="BH53" s="59"/>
      <c r="BI53" s="59"/>
      <c r="BJ53" s="59"/>
      <c r="BK53" s="59"/>
      <c r="BL53" s="59"/>
      <c r="BM53" s="59"/>
      <c r="BN53" s="59"/>
      <c r="BO53" s="59"/>
      <c r="BP53" s="59"/>
      <c r="BQ53" s="59"/>
      <c r="BR53" s="59"/>
      <c r="BS53" s="59"/>
      <c r="BT53" s="59"/>
      <c r="BU53" s="59"/>
      <c r="BV53" s="59"/>
      <c r="BW53" s="59"/>
      <c r="BX53" s="59"/>
      <c r="BY53" s="59"/>
      <c r="BZ53" s="59"/>
      <c r="CA53" s="59"/>
      <c r="CB53" s="59"/>
      <c r="CC53" s="59"/>
      <c r="CD53" s="59"/>
      <c r="CE53" s="59"/>
      <c r="CF53" s="59"/>
      <c r="CG53" s="59"/>
      <c r="CH53" s="59"/>
      <c r="CI53" s="59"/>
      <c r="CJ53" s="59"/>
      <c r="CK53" s="59"/>
      <c r="CL53" s="59"/>
      <c r="CM53" s="59"/>
      <c r="CN53" s="59"/>
      <c r="CO53" s="59"/>
      <c r="CP53" s="59"/>
      <c r="CQ53" s="59"/>
      <c r="CR53" s="59"/>
      <c r="CS53" s="59"/>
      <c r="CT53" s="59"/>
      <c r="CU53" s="59"/>
      <c r="CV53" s="59"/>
      <c r="CW53" s="59"/>
      <c r="CX53" s="59"/>
      <c r="CY53" s="59"/>
      <c r="CZ53" s="59"/>
      <c r="DA53" s="59"/>
      <c r="DB53" s="59"/>
      <c r="DC53" s="59"/>
      <c r="DD53" s="59"/>
      <c r="DE53" s="59"/>
      <c r="DF53" s="59"/>
      <c r="DG53" s="59"/>
      <c r="DH53" s="59"/>
      <c r="DI53" s="59"/>
      <c r="DJ53" s="59"/>
      <c r="DK53" s="59"/>
      <c r="DL53" s="59"/>
      <c r="DM53" s="59"/>
      <c r="DN53" s="59"/>
      <c r="DO53" s="59"/>
      <c r="DP53" s="59"/>
      <c r="DQ53" s="59"/>
      <c r="DR53" s="59"/>
      <c r="DS53" s="59"/>
      <c r="DT53" s="59"/>
      <c r="DU53" s="59"/>
      <c r="DV53" s="59"/>
      <c r="DW53" s="59"/>
      <c r="DX53" s="59"/>
      <c r="DY53" s="59"/>
      <c r="DZ53" s="59"/>
      <c r="EA53" s="59"/>
      <c r="EB53" s="59"/>
      <c r="EC53" s="59"/>
      <c r="ED53" s="59"/>
      <c r="EE53" s="59"/>
      <c r="EF53" s="59"/>
      <c r="EG53" s="59"/>
      <c r="EH53" s="59"/>
      <c r="EI53" s="59"/>
      <c r="EJ53" s="59"/>
      <c r="EK53" s="59"/>
      <c r="EL53" s="59"/>
      <c r="EM53" s="59"/>
      <c r="EN53" s="59"/>
      <c r="EO53" s="59"/>
      <c r="EP53" s="59"/>
      <c r="EQ53" s="59"/>
      <c r="ER53" s="59"/>
      <c r="ES53" s="59"/>
      <c r="ET53" s="59"/>
      <c r="EU53" s="59"/>
      <c r="EV53" s="59"/>
      <c r="EW53" s="59"/>
      <c r="EX53" s="59"/>
      <c r="EY53" s="59"/>
      <c r="EZ53" s="59"/>
      <c r="FA53" s="59"/>
      <c r="FB53" s="59"/>
      <c r="FC53" s="59"/>
      <c r="FD53" s="59"/>
      <c r="FE53" s="59"/>
    </row>
    <row r="54" spans="1:161" ht="15.75" customHeight="1" x14ac:dyDescent="0.35">
      <c r="A54" s="69">
        <v>6229912589</v>
      </c>
      <c r="B54" s="59"/>
      <c r="C54" s="59" t="s">
        <v>130</v>
      </c>
      <c r="D54" s="59" t="s">
        <v>305</v>
      </c>
      <c r="E54" s="59" t="s">
        <v>306</v>
      </c>
      <c r="F54" s="58">
        <v>43056</v>
      </c>
      <c r="G54" s="59" t="s">
        <v>133</v>
      </c>
      <c r="H54" s="59" t="s">
        <v>133</v>
      </c>
      <c r="I54" s="59" t="s">
        <v>133</v>
      </c>
      <c r="J54" s="59" t="s">
        <v>133</v>
      </c>
      <c r="K54" s="59" t="s">
        <v>203</v>
      </c>
      <c r="L54" s="59" t="s">
        <v>135</v>
      </c>
      <c r="M54" s="59" t="s">
        <v>133</v>
      </c>
      <c r="N54" s="59" t="s">
        <v>136</v>
      </c>
      <c r="O54" s="58">
        <v>15313</v>
      </c>
      <c r="P54" s="58">
        <v>42951</v>
      </c>
      <c r="Q54" s="60">
        <f t="shared" si="1"/>
        <v>75</v>
      </c>
      <c r="R54" s="59" t="s">
        <v>147</v>
      </c>
      <c r="S54" s="59" t="s">
        <v>138</v>
      </c>
      <c r="T54" s="59" t="s">
        <v>148</v>
      </c>
      <c r="U54" s="59">
        <v>0</v>
      </c>
      <c r="V54" s="59">
        <v>0</v>
      </c>
      <c r="W54" s="59">
        <v>0</v>
      </c>
      <c r="X54" s="68" t="s">
        <v>150</v>
      </c>
      <c r="Y54" s="59">
        <v>1</v>
      </c>
      <c r="Z54" s="59" t="s">
        <v>151</v>
      </c>
      <c r="AA54" s="68" t="s">
        <v>150</v>
      </c>
      <c r="AB54" s="59"/>
      <c r="AC54" s="59"/>
      <c r="AD54" s="59"/>
      <c r="AE54" s="59"/>
      <c r="AF54" s="59"/>
      <c r="AG54" s="59"/>
      <c r="AH54" s="59"/>
      <c r="AI54" s="59"/>
      <c r="AJ54" s="59"/>
      <c r="AK54" s="59"/>
      <c r="AL54" s="59"/>
      <c r="AM54" s="59"/>
      <c r="AN54" s="59"/>
      <c r="AO54" s="59"/>
      <c r="AP54" s="59"/>
      <c r="AQ54" s="59"/>
      <c r="AR54" s="59"/>
      <c r="AS54" s="59"/>
      <c r="AT54" s="59"/>
      <c r="AU54" s="59"/>
      <c r="AV54" s="59"/>
      <c r="AW54" s="59"/>
      <c r="AX54" s="59"/>
      <c r="AY54" s="59"/>
      <c r="AZ54" s="59"/>
      <c r="BA54" s="59"/>
      <c r="BB54" s="59"/>
      <c r="BC54" s="59"/>
      <c r="BD54" s="59"/>
      <c r="BE54" s="59"/>
      <c r="BF54" s="59"/>
      <c r="BG54" s="59"/>
      <c r="BH54" s="59"/>
      <c r="BI54" s="59"/>
      <c r="BJ54" s="59"/>
      <c r="BK54" s="59"/>
      <c r="BL54" s="59"/>
      <c r="BM54" s="59"/>
      <c r="BN54" s="59"/>
      <c r="BO54" s="59"/>
      <c r="BP54" s="59"/>
      <c r="BQ54" s="59"/>
      <c r="BR54" s="59"/>
      <c r="BS54" s="59"/>
      <c r="BT54" s="59"/>
      <c r="BU54" s="59"/>
      <c r="BV54" s="59"/>
      <c r="BW54" s="59"/>
      <c r="BX54" s="59"/>
      <c r="BY54" s="59"/>
      <c r="BZ54" s="59"/>
      <c r="CA54" s="59"/>
      <c r="CB54" s="59"/>
      <c r="CC54" s="59"/>
      <c r="CD54" s="59"/>
      <c r="CE54" s="59"/>
      <c r="CF54" s="59"/>
      <c r="CG54" s="59"/>
      <c r="CH54" s="59"/>
      <c r="CI54" s="59"/>
      <c r="CJ54" s="59"/>
      <c r="CK54" s="59"/>
      <c r="CL54" s="59"/>
      <c r="CM54" s="59"/>
      <c r="CN54" s="59"/>
      <c r="CO54" s="59"/>
      <c r="CP54" s="59"/>
      <c r="CQ54" s="59"/>
      <c r="CR54" s="59"/>
      <c r="CS54" s="59"/>
      <c r="CT54" s="59"/>
      <c r="CU54" s="59"/>
      <c r="CV54" s="59"/>
      <c r="CW54" s="59"/>
      <c r="CX54" s="59"/>
      <c r="CY54" s="59"/>
      <c r="CZ54" s="59"/>
      <c r="DA54" s="59"/>
      <c r="DB54" s="59"/>
      <c r="DC54" s="59"/>
      <c r="DD54" s="59"/>
      <c r="DE54" s="59"/>
      <c r="DF54" s="59"/>
      <c r="DG54" s="59"/>
      <c r="DH54" s="59"/>
      <c r="DI54" s="59"/>
      <c r="DJ54" s="59"/>
      <c r="DK54" s="59"/>
      <c r="DL54" s="59"/>
      <c r="DM54" s="59"/>
      <c r="DN54" s="59"/>
      <c r="DO54" s="59"/>
      <c r="DP54" s="59"/>
      <c r="DQ54" s="59"/>
      <c r="DR54" s="59"/>
      <c r="DS54" s="59"/>
      <c r="DT54" s="59"/>
      <c r="DU54" s="59"/>
      <c r="DV54" s="59"/>
      <c r="DW54" s="59"/>
      <c r="DX54" s="59"/>
      <c r="DY54" s="59"/>
      <c r="DZ54" s="59"/>
      <c r="EA54" s="59"/>
      <c r="EB54" s="59"/>
      <c r="EC54" s="59"/>
      <c r="ED54" s="59"/>
      <c r="EE54" s="59"/>
      <c r="EF54" s="59"/>
      <c r="EG54" s="59"/>
      <c r="EH54" s="59"/>
      <c r="EI54" s="59"/>
      <c r="EJ54" s="59"/>
      <c r="EK54" s="59"/>
      <c r="EL54" s="59"/>
      <c r="EM54" s="59"/>
      <c r="EN54" s="59"/>
      <c r="EO54" s="59"/>
      <c r="EP54" s="59"/>
      <c r="EQ54" s="59"/>
      <c r="ER54" s="59"/>
      <c r="ES54" s="59"/>
      <c r="ET54" s="59"/>
      <c r="EU54" s="59"/>
      <c r="EV54" s="59"/>
      <c r="EW54" s="59"/>
      <c r="EX54" s="59"/>
      <c r="EY54" s="59"/>
      <c r="EZ54" s="59"/>
      <c r="FA54" s="59"/>
      <c r="FB54" s="59"/>
      <c r="FC54" s="59"/>
      <c r="FD54" s="59"/>
      <c r="FE54" s="59"/>
    </row>
    <row r="55" spans="1:161" ht="15.75" customHeight="1" x14ac:dyDescent="0.35">
      <c r="A55" s="69">
        <v>4861611415</v>
      </c>
      <c r="B55" s="59"/>
      <c r="C55" s="59" t="s">
        <v>130</v>
      </c>
      <c r="D55" s="59" t="s">
        <v>307</v>
      </c>
      <c r="E55" s="59" t="s">
        <v>210</v>
      </c>
      <c r="F55" s="58">
        <v>43056</v>
      </c>
      <c r="G55" s="59" t="s">
        <v>133</v>
      </c>
      <c r="H55" s="59" t="s">
        <v>133</v>
      </c>
      <c r="I55" s="59" t="s">
        <v>133</v>
      </c>
      <c r="J55" s="59" t="s">
        <v>133</v>
      </c>
      <c r="K55" s="59" t="s">
        <v>203</v>
      </c>
      <c r="L55" s="59" t="s">
        <v>135</v>
      </c>
      <c r="M55" s="59" t="s">
        <v>133</v>
      </c>
      <c r="N55" s="59" t="s">
        <v>136</v>
      </c>
      <c r="O55" s="58">
        <v>21568</v>
      </c>
      <c r="P55" s="58">
        <v>42991</v>
      </c>
      <c r="Q55" s="60">
        <f t="shared" si="1"/>
        <v>58</v>
      </c>
      <c r="R55" s="59" t="s">
        <v>147</v>
      </c>
      <c r="S55" s="59"/>
      <c r="T55" s="59" t="s">
        <v>198</v>
      </c>
      <c r="U55" s="59">
        <v>0</v>
      </c>
      <c r="V55" s="59">
        <v>0</v>
      </c>
      <c r="W55" s="59">
        <v>0</v>
      </c>
      <c r="X55" s="59" t="s">
        <v>199</v>
      </c>
      <c r="Y55" s="59">
        <v>1</v>
      </c>
      <c r="Z55" s="59" t="s">
        <v>200</v>
      </c>
      <c r="AA55" s="59" t="s">
        <v>199</v>
      </c>
      <c r="AB55" s="59"/>
      <c r="AC55" s="59"/>
      <c r="AD55" s="59"/>
      <c r="AE55" s="59"/>
      <c r="AF55" s="59"/>
      <c r="AG55" s="59"/>
      <c r="AH55" s="59"/>
      <c r="AI55" s="59"/>
      <c r="AJ55" s="59"/>
      <c r="AK55" s="59"/>
      <c r="AL55" s="59"/>
      <c r="AM55" s="59"/>
      <c r="AN55" s="59"/>
      <c r="AO55" s="59"/>
      <c r="AP55" s="59"/>
      <c r="AQ55" s="59"/>
      <c r="AR55" s="59"/>
      <c r="AS55" s="59"/>
      <c r="AT55" s="59"/>
      <c r="AU55" s="59"/>
      <c r="AV55" s="59"/>
      <c r="AW55" s="59"/>
      <c r="AX55" s="59"/>
      <c r="AY55" s="59"/>
      <c r="AZ55" s="59"/>
      <c r="BA55" s="59"/>
      <c r="BB55" s="59"/>
      <c r="BC55" s="59"/>
      <c r="BD55" s="59"/>
      <c r="BE55" s="59"/>
      <c r="BF55" s="59"/>
      <c r="BG55" s="59"/>
      <c r="BH55" s="59"/>
      <c r="BI55" s="59"/>
      <c r="BJ55" s="59"/>
      <c r="BK55" s="59"/>
      <c r="BL55" s="59"/>
      <c r="BM55" s="59"/>
      <c r="BN55" s="59"/>
      <c r="BO55" s="59"/>
      <c r="BP55" s="59"/>
      <c r="BQ55" s="59"/>
      <c r="BR55" s="59"/>
      <c r="BS55" s="59"/>
      <c r="BT55" s="59"/>
      <c r="BU55" s="59"/>
      <c r="BV55" s="59"/>
      <c r="BW55" s="59"/>
      <c r="BX55" s="59"/>
      <c r="BY55" s="59"/>
      <c r="BZ55" s="59"/>
      <c r="CA55" s="59"/>
      <c r="CB55" s="59"/>
      <c r="CC55" s="59"/>
      <c r="CD55" s="59"/>
      <c r="CE55" s="59"/>
      <c r="CF55" s="59"/>
      <c r="CG55" s="59"/>
      <c r="CH55" s="59"/>
      <c r="CI55" s="59"/>
      <c r="CJ55" s="59"/>
      <c r="CK55" s="59"/>
      <c r="CL55" s="59"/>
      <c r="CM55" s="59"/>
      <c r="CN55" s="59"/>
      <c r="CO55" s="59"/>
      <c r="CP55" s="59"/>
      <c r="CQ55" s="59"/>
      <c r="CR55" s="59"/>
      <c r="CS55" s="59"/>
      <c r="CT55" s="59"/>
      <c r="CU55" s="59"/>
      <c r="CV55" s="59"/>
      <c r="CW55" s="59"/>
      <c r="CX55" s="59"/>
      <c r="CY55" s="59"/>
      <c r="CZ55" s="59"/>
      <c r="DA55" s="59"/>
      <c r="DB55" s="59"/>
      <c r="DC55" s="59"/>
      <c r="DD55" s="59"/>
      <c r="DE55" s="59"/>
      <c r="DF55" s="59"/>
      <c r="DG55" s="59"/>
      <c r="DH55" s="59"/>
      <c r="DI55" s="59"/>
      <c r="DJ55" s="59"/>
      <c r="DK55" s="59"/>
      <c r="DL55" s="59"/>
      <c r="DM55" s="59"/>
      <c r="DN55" s="59"/>
      <c r="DO55" s="59"/>
      <c r="DP55" s="59"/>
      <c r="DQ55" s="59"/>
      <c r="DR55" s="59"/>
      <c r="DS55" s="59"/>
      <c r="DT55" s="59"/>
      <c r="DU55" s="59"/>
      <c r="DV55" s="59"/>
      <c r="DW55" s="59"/>
      <c r="DX55" s="59"/>
      <c r="DY55" s="59"/>
      <c r="DZ55" s="59"/>
      <c r="EA55" s="59"/>
      <c r="EB55" s="59"/>
      <c r="EC55" s="59"/>
      <c r="ED55" s="59"/>
      <c r="EE55" s="59"/>
      <c r="EF55" s="59"/>
      <c r="EG55" s="59"/>
      <c r="EH55" s="59"/>
      <c r="EI55" s="59"/>
      <c r="EJ55" s="59"/>
      <c r="EK55" s="59"/>
      <c r="EL55" s="59"/>
      <c r="EM55" s="59"/>
      <c r="EN55" s="59"/>
      <c r="EO55" s="59"/>
      <c r="EP55" s="59"/>
      <c r="EQ55" s="59"/>
      <c r="ER55" s="59"/>
      <c r="ES55" s="59"/>
      <c r="ET55" s="59"/>
      <c r="EU55" s="59"/>
      <c r="EV55" s="59"/>
      <c r="EW55" s="59"/>
      <c r="EX55" s="59"/>
      <c r="EY55" s="59"/>
      <c r="EZ55" s="59"/>
      <c r="FA55" s="59"/>
      <c r="FB55" s="59"/>
      <c r="FC55" s="59"/>
      <c r="FD55" s="59"/>
      <c r="FE55" s="59"/>
    </row>
    <row r="56" spans="1:161" ht="15.75" customHeight="1" x14ac:dyDescent="0.35">
      <c r="A56" s="69">
        <v>4489146531</v>
      </c>
      <c r="B56" s="59"/>
      <c r="C56" s="59" t="s">
        <v>130</v>
      </c>
      <c r="D56" s="59" t="s">
        <v>308</v>
      </c>
      <c r="E56" s="59" t="s">
        <v>309</v>
      </c>
      <c r="F56" s="58">
        <v>43056</v>
      </c>
      <c r="G56" s="59" t="s">
        <v>308</v>
      </c>
      <c r="H56" s="59" t="s">
        <v>310</v>
      </c>
      <c r="I56" s="59" t="s">
        <v>311</v>
      </c>
      <c r="J56" s="58">
        <v>43056</v>
      </c>
      <c r="K56" s="59" t="s">
        <v>203</v>
      </c>
      <c r="L56" s="59" t="s">
        <v>135</v>
      </c>
      <c r="M56" s="59" t="s">
        <v>133</v>
      </c>
      <c r="N56" s="59" t="s">
        <v>136</v>
      </c>
      <c r="O56" s="58">
        <v>21139</v>
      </c>
      <c r="P56" s="58">
        <v>42991</v>
      </c>
      <c r="Q56" s="60">
        <f t="shared" si="1"/>
        <v>59</v>
      </c>
      <c r="R56" s="59" t="s">
        <v>312</v>
      </c>
      <c r="S56" s="59" t="s">
        <v>138</v>
      </c>
      <c r="T56" s="59">
        <v>2</v>
      </c>
      <c r="U56" s="59">
        <v>0</v>
      </c>
      <c r="V56" s="59">
        <v>0</v>
      </c>
      <c r="W56" s="59">
        <v>0</v>
      </c>
      <c r="X56" s="59" t="s">
        <v>159</v>
      </c>
      <c r="Y56" s="59">
        <v>3</v>
      </c>
      <c r="Z56" s="59" t="s">
        <v>160</v>
      </c>
      <c r="AA56" s="59" t="s">
        <v>159</v>
      </c>
      <c r="AB56" s="59"/>
      <c r="AC56" s="59"/>
      <c r="AD56" s="59"/>
      <c r="AE56" s="59"/>
      <c r="AF56" s="59"/>
      <c r="AG56" s="59"/>
      <c r="AH56" s="59"/>
      <c r="AI56" s="59"/>
      <c r="AJ56" s="59"/>
      <c r="AK56" s="59"/>
      <c r="AL56" s="59"/>
      <c r="AM56" s="59"/>
      <c r="AN56" s="59"/>
      <c r="AO56" s="59"/>
      <c r="AP56" s="59"/>
      <c r="AQ56" s="59"/>
      <c r="AR56" s="59"/>
      <c r="AS56" s="59"/>
      <c r="AT56" s="59"/>
      <c r="AU56" s="59"/>
      <c r="AV56" s="59"/>
      <c r="AW56" s="59"/>
      <c r="AX56" s="59"/>
      <c r="AY56" s="59"/>
      <c r="AZ56" s="59"/>
      <c r="BA56" s="59"/>
      <c r="BB56" s="59"/>
      <c r="BC56" s="59"/>
      <c r="BD56" s="59"/>
      <c r="BE56" s="59"/>
      <c r="BF56" s="59"/>
      <c r="BG56" s="59"/>
      <c r="BH56" s="59"/>
      <c r="BI56" s="59"/>
      <c r="BJ56" s="59"/>
      <c r="BK56" s="59"/>
      <c r="BL56" s="59"/>
      <c r="BM56" s="59"/>
      <c r="BN56" s="59"/>
      <c r="BO56" s="59"/>
      <c r="BP56" s="59"/>
      <c r="BQ56" s="59"/>
      <c r="BR56" s="59"/>
      <c r="BS56" s="59"/>
      <c r="BT56" s="59"/>
      <c r="BU56" s="59"/>
      <c r="BV56" s="59"/>
      <c r="BW56" s="59"/>
      <c r="BX56" s="59"/>
      <c r="BY56" s="59"/>
      <c r="BZ56" s="59"/>
      <c r="CA56" s="59"/>
      <c r="CB56" s="59"/>
      <c r="CC56" s="59"/>
      <c r="CD56" s="59"/>
      <c r="CE56" s="59"/>
      <c r="CF56" s="59"/>
      <c r="CG56" s="59"/>
      <c r="CH56" s="59"/>
      <c r="CI56" s="59"/>
      <c r="CJ56" s="59"/>
      <c r="CK56" s="59"/>
      <c r="CL56" s="59"/>
      <c r="CM56" s="59"/>
      <c r="CN56" s="59"/>
      <c r="CO56" s="59"/>
      <c r="CP56" s="59"/>
      <c r="CQ56" s="59"/>
      <c r="CR56" s="59"/>
      <c r="CS56" s="59"/>
      <c r="CT56" s="59"/>
      <c r="CU56" s="59"/>
      <c r="CV56" s="59"/>
      <c r="CW56" s="59"/>
      <c r="CX56" s="59"/>
      <c r="CY56" s="59"/>
      <c r="CZ56" s="59"/>
      <c r="DA56" s="59"/>
      <c r="DB56" s="59"/>
      <c r="DC56" s="59"/>
      <c r="DD56" s="59"/>
      <c r="DE56" s="59" t="s">
        <v>313</v>
      </c>
      <c r="DF56" s="59"/>
      <c r="DG56" s="59"/>
      <c r="DH56" s="59"/>
      <c r="DI56" s="59"/>
      <c r="DJ56" s="59"/>
      <c r="DK56" s="59"/>
      <c r="DL56" s="59"/>
      <c r="DM56" s="59"/>
      <c r="DN56" s="59"/>
      <c r="DO56" s="59"/>
      <c r="DP56" s="59"/>
      <c r="DQ56" s="59"/>
      <c r="DR56" s="59"/>
      <c r="DS56" s="59"/>
      <c r="DT56" s="59"/>
      <c r="DU56" s="59"/>
      <c r="DV56" s="59"/>
      <c r="DW56" s="59"/>
      <c r="DX56" s="59"/>
      <c r="DY56" s="59"/>
      <c r="DZ56" s="59"/>
      <c r="EA56" s="59"/>
      <c r="EB56" s="59"/>
      <c r="EC56" s="59"/>
      <c r="ED56" s="59"/>
      <c r="EE56" s="59"/>
      <c r="EF56" s="59"/>
      <c r="EG56" s="59"/>
      <c r="EH56" s="59"/>
      <c r="EI56" s="59"/>
      <c r="EJ56" s="59"/>
      <c r="EK56" s="59"/>
      <c r="EL56" s="59"/>
      <c r="EM56" s="59"/>
      <c r="EN56" s="59"/>
      <c r="EO56" s="59"/>
      <c r="EP56" s="59"/>
      <c r="EQ56" s="59"/>
      <c r="ER56" s="59"/>
      <c r="ES56" s="59"/>
      <c r="ET56" s="59"/>
      <c r="EU56" s="59"/>
      <c r="EV56" s="59"/>
      <c r="EW56" s="59"/>
      <c r="EX56" s="59"/>
      <c r="EY56" s="59"/>
      <c r="EZ56" s="59"/>
      <c r="FA56" s="59"/>
      <c r="FB56" s="59"/>
      <c r="FC56" s="59"/>
      <c r="FD56" s="59"/>
      <c r="FE56" s="59"/>
    </row>
    <row r="57" spans="1:161" ht="15.75" customHeight="1" x14ac:dyDescent="0.35">
      <c r="A57" s="69">
        <v>4861418305</v>
      </c>
      <c r="B57" s="59"/>
      <c r="C57" s="59" t="s">
        <v>130</v>
      </c>
      <c r="D57" s="59" t="s">
        <v>314</v>
      </c>
      <c r="E57" s="59" t="s">
        <v>315</v>
      </c>
      <c r="F57" s="58">
        <v>43059</v>
      </c>
      <c r="G57" s="59" t="s">
        <v>314</v>
      </c>
      <c r="H57" s="59" t="s">
        <v>219</v>
      </c>
      <c r="I57" s="59" t="s">
        <v>169</v>
      </c>
      <c r="J57" s="58">
        <v>43059</v>
      </c>
      <c r="K57" s="59" t="s">
        <v>134</v>
      </c>
      <c r="L57" s="59" t="s">
        <v>135</v>
      </c>
      <c r="M57" s="59" t="s">
        <v>133</v>
      </c>
      <c r="N57" s="59" t="s">
        <v>136</v>
      </c>
      <c r="O57" s="58">
        <v>22169</v>
      </c>
      <c r="P57" s="58">
        <v>43025</v>
      </c>
      <c r="Q57" s="60">
        <f t="shared" si="1"/>
        <v>57</v>
      </c>
      <c r="R57" s="59" t="s">
        <v>316</v>
      </c>
      <c r="S57" s="59" t="s">
        <v>138</v>
      </c>
      <c r="T57" s="59" t="s">
        <v>198</v>
      </c>
      <c r="U57" s="59">
        <v>0</v>
      </c>
      <c r="V57" s="59">
        <v>0</v>
      </c>
      <c r="W57" s="59">
        <v>0</v>
      </c>
      <c r="X57" s="59" t="s">
        <v>199</v>
      </c>
      <c r="Y57" s="59">
        <v>3</v>
      </c>
      <c r="Z57" s="59" t="s">
        <v>200</v>
      </c>
      <c r="AA57" s="59" t="s">
        <v>199</v>
      </c>
      <c r="AB57" s="59"/>
      <c r="AC57" s="59"/>
      <c r="AD57" s="59"/>
      <c r="AE57" s="59"/>
      <c r="AF57" s="59"/>
      <c r="AG57" s="59"/>
      <c r="AH57" s="59"/>
      <c r="AI57" s="59"/>
      <c r="AJ57" s="59"/>
      <c r="AK57" s="59"/>
      <c r="AL57" s="59"/>
      <c r="AM57" s="59"/>
      <c r="AN57" s="59"/>
      <c r="AO57" s="59"/>
      <c r="AP57" s="59"/>
      <c r="AQ57" s="59"/>
      <c r="AR57" s="59"/>
      <c r="AS57" s="59"/>
      <c r="AT57" s="59"/>
      <c r="AU57" s="59"/>
      <c r="AV57" s="59"/>
      <c r="AW57" s="59"/>
      <c r="AX57" s="59"/>
      <c r="AY57" s="59"/>
      <c r="AZ57" s="59"/>
      <c r="BA57" s="59"/>
      <c r="BB57" s="59"/>
      <c r="BC57" s="59"/>
      <c r="BD57" s="59"/>
      <c r="BE57" s="59"/>
      <c r="BF57" s="59"/>
      <c r="BG57" s="59"/>
      <c r="BH57" s="59"/>
      <c r="BI57" s="59"/>
      <c r="BJ57" s="59"/>
      <c r="BK57" s="59"/>
      <c r="BL57" s="59"/>
      <c r="BM57" s="59"/>
      <c r="BN57" s="59"/>
      <c r="BO57" s="59"/>
      <c r="BP57" s="59"/>
      <c r="BQ57" s="59"/>
      <c r="BR57" s="59"/>
      <c r="BS57" s="59"/>
      <c r="BT57" s="59"/>
      <c r="BU57" s="59"/>
      <c r="BV57" s="59"/>
      <c r="BW57" s="59"/>
      <c r="BX57" s="59"/>
      <c r="BY57" s="59"/>
      <c r="BZ57" s="59"/>
      <c r="CA57" s="59"/>
      <c r="CB57" s="59"/>
      <c r="CC57" s="59"/>
      <c r="CD57" s="59"/>
      <c r="CE57" s="59"/>
      <c r="CF57" s="59"/>
      <c r="CG57" s="59"/>
      <c r="CH57" s="59"/>
      <c r="CI57" s="59"/>
      <c r="CJ57" s="59"/>
      <c r="CK57" s="59"/>
      <c r="CL57" s="59"/>
      <c r="CM57" s="59"/>
      <c r="CN57" s="59"/>
      <c r="CO57" s="59"/>
      <c r="CP57" s="59"/>
      <c r="CQ57" s="59"/>
      <c r="CR57" s="59"/>
      <c r="CS57" s="59"/>
      <c r="CT57" s="59"/>
      <c r="CU57" s="59"/>
      <c r="CV57" s="59"/>
      <c r="CW57" s="59"/>
      <c r="CX57" s="59"/>
      <c r="CY57" s="59"/>
      <c r="CZ57" s="59"/>
      <c r="DA57" s="59"/>
      <c r="DB57" s="59"/>
      <c r="DC57" s="59"/>
      <c r="DD57" s="59"/>
      <c r="DE57" s="59"/>
      <c r="DF57" s="59"/>
      <c r="DG57" s="59"/>
      <c r="DH57" s="59"/>
      <c r="DI57" s="59"/>
      <c r="DJ57" s="59"/>
      <c r="DK57" s="59"/>
      <c r="DL57" s="59"/>
      <c r="DM57" s="59"/>
      <c r="DN57" s="59"/>
      <c r="DO57" s="59"/>
      <c r="DP57" s="59"/>
      <c r="DQ57" s="59"/>
      <c r="DR57" s="59"/>
      <c r="DS57" s="59"/>
      <c r="DT57" s="59"/>
      <c r="DU57" s="59"/>
      <c r="DV57" s="59"/>
      <c r="DW57" s="59"/>
      <c r="DX57" s="59"/>
      <c r="DY57" s="59"/>
      <c r="DZ57" s="59"/>
      <c r="EA57" s="59"/>
      <c r="EB57" s="59"/>
      <c r="EC57" s="59"/>
      <c r="ED57" s="59"/>
      <c r="EE57" s="59"/>
      <c r="EF57" s="59"/>
      <c r="EG57" s="59"/>
      <c r="EH57" s="59"/>
      <c r="EI57" s="59"/>
      <c r="EJ57" s="59"/>
      <c r="EK57" s="59"/>
      <c r="EL57" s="59"/>
      <c r="EM57" s="59"/>
      <c r="EN57" s="59"/>
      <c r="EO57" s="59"/>
      <c r="EP57" s="59"/>
      <c r="EQ57" s="59"/>
      <c r="ER57" s="59"/>
      <c r="ES57" s="59"/>
      <c r="ET57" s="59"/>
      <c r="EU57" s="59"/>
      <c r="EV57" s="59"/>
      <c r="EW57" s="59"/>
      <c r="EX57" s="59"/>
      <c r="EY57" s="59"/>
      <c r="EZ57" s="59"/>
      <c r="FA57" s="59"/>
      <c r="FB57" s="59"/>
      <c r="FC57" s="59"/>
      <c r="FD57" s="59"/>
      <c r="FE57" s="59"/>
    </row>
    <row r="58" spans="1:161" ht="15.75" customHeight="1" x14ac:dyDescent="0.35">
      <c r="A58" s="69">
        <v>4982509905</v>
      </c>
      <c r="B58" s="59"/>
      <c r="C58" s="59" t="s">
        <v>133</v>
      </c>
      <c r="D58" s="59" t="s">
        <v>133</v>
      </c>
      <c r="E58" s="59" t="s">
        <v>133</v>
      </c>
      <c r="F58" s="59" t="s">
        <v>133</v>
      </c>
      <c r="G58" s="59" t="s">
        <v>317</v>
      </c>
      <c r="H58" s="59" t="s">
        <v>208</v>
      </c>
      <c r="I58" s="59" t="s">
        <v>169</v>
      </c>
      <c r="J58" s="58">
        <v>43062</v>
      </c>
      <c r="K58" s="59" t="s">
        <v>133</v>
      </c>
      <c r="L58" s="59" t="s">
        <v>133</v>
      </c>
      <c r="M58" s="59" t="s">
        <v>133</v>
      </c>
      <c r="N58" s="59" t="s">
        <v>136</v>
      </c>
      <c r="O58" s="58">
        <v>19838</v>
      </c>
      <c r="P58" s="58">
        <v>43062</v>
      </c>
      <c r="Q58" s="60">
        <f t="shared" si="1"/>
        <v>63</v>
      </c>
      <c r="R58" s="59" t="s">
        <v>133</v>
      </c>
      <c r="S58" s="59" t="s">
        <v>133</v>
      </c>
      <c r="T58" s="59" t="s">
        <v>133</v>
      </c>
      <c r="U58" s="59" t="s">
        <v>133</v>
      </c>
      <c r="V58" s="59" t="s">
        <v>133</v>
      </c>
      <c r="W58" s="59" t="s">
        <v>133</v>
      </c>
      <c r="X58" s="59" t="s">
        <v>133</v>
      </c>
      <c r="Y58" s="59" t="s">
        <v>133</v>
      </c>
      <c r="Z58" s="59" t="s">
        <v>133</v>
      </c>
      <c r="AA58" s="59" t="s">
        <v>133</v>
      </c>
      <c r="AB58" s="59"/>
      <c r="AC58" s="59"/>
      <c r="AD58" s="59"/>
      <c r="AE58" s="59"/>
      <c r="AF58" s="59"/>
      <c r="AG58" s="59"/>
      <c r="AH58" s="59"/>
      <c r="AI58" s="59"/>
      <c r="AJ58" s="59"/>
      <c r="AK58" s="59"/>
      <c r="AL58" s="59"/>
      <c r="AM58" s="59"/>
      <c r="AN58" s="59"/>
      <c r="AO58" s="59"/>
      <c r="AP58" s="59"/>
      <c r="AQ58" s="59"/>
      <c r="AR58" s="59"/>
      <c r="AS58" s="59"/>
      <c r="AT58" s="59"/>
      <c r="AU58" s="59"/>
      <c r="AV58" s="59"/>
      <c r="AW58" s="59"/>
      <c r="AX58" s="59"/>
      <c r="AY58" s="59"/>
      <c r="AZ58" s="59"/>
      <c r="BA58" s="59"/>
      <c r="BB58" s="59"/>
      <c r="BC58" s="59"/>
      <c r="BD58" s="59"/>
      <c r="BE58" s="59"/>
      <c r="BF58" s="59"/>
      <c r="BG58" s="59"/>
      <c r="BH58" s="59"/>
      <c r="BI58" s="59"/>
      <c r="BJ58" s="59"/>
      <c r="BK58" s="59"/>
      <c r="BL58" s="59"/>
      <c r="BM58" s="59"/>
      <c r="BN58" s="59"/>
      <c r="BO58" s="59"/>
      <c r="BP58" s="59"/>
      <c r="BQ58" s="59"/>
      <c r="BR58" s="59"/>
      <c r="BS58" s="59"/>
      <c r="BT58" s="59"/>
      <c r="BU58" s="59"/>
      <c r="BV58" s="59"/>
      <c r="BW58" s="59"/>
      <c r="BX58" s="59"/>
      <c r="BY58" s="59"/>
      <c r="BZ58" s="59"/>
      <c r="CA58" s="59"/>
      <c r="CB58" s="59"/>
      <c r="CC58" s="59"/>
      <c r="CD58" s="59"/>
      <c r="CE58" s="59"/>
      <c r="CF58" s="59"/>
      <c r="CG58" s="59"/>
      <c r="CH58" s="59"/>
      <c r="CI58" s="59"/>
      <c r="CJ58" s="59"/>
      <c r="CK58" s="59"/>
      <c r="CL58" s="59"/>
      <c r="CM58" s="59"/>
      <c r="CN58" s="59"/>
      <c r="CO58" s="59"/>
      <c r="CP58" s="59"/>
      <c r="CQ58" s="59"/>
      <c r="CR58" s="59"/>
      <c r="CS58" s="59"/>
      <c r="CT58" s="59"/>
      <c r="CU58" s="59"/>
      <c r="CV58" s="59"/>
      <c r="CW58" s="59"/>
      <c r="CX58" s="59"/>
      <c r="CY58" s="59"/>
      <c r="CZ58" s="59"/>
      <c r="DA58" s="59"/>
      <c r="DB58" s="59"/>
      <c r="DC58" s="59"/>
      <c r="DD58" s="59"/>
      <c r="DE58" s="59"/>
      <c r="DF58" s="59"/>
      <c r="DG58" s="59"/>
      <c r="DH58" s="59"/>
      <c r="DI58" s="59"/>
      <c r="DJ58" s="59"/>
      <c r="DK58" s="59"/>
      <c r="DL58" s="59"/>
      <c r="DM58" s="59"/>
      <c r="DN58" s="59"/>
      <c r="DO58" s="59"/>
      <c r="DP58" s="59"/>
      <c r="DQ58" s="59"/>
      <c r="DR58" s="59"/>
      <c r="DS58" s="59"/>
      <c r="DT58" s="59"/>
      <c r="DU58" s="59"/>
      <c r="DV58" s="59"/>
      <c r="DW58" s="59"/>
      <c r="DX58" s="59"/>
      <c r="DY58" s="59"/>
      <c r="DZ58" s="59"/>
      <c r="EA58" s="59"/>
      <c r="EB58" s="59"/>
      <c r="EC58" s="59"/>
      <c r="ED58" s="59"/>
      <c r="EE58" s="59"/>
      <c r="EF58" s="59"/>
      <c r="EG58" s="59"/>
      <c r="EH58" s="59"/>
      <c r="EI58" s="59"/>
      <c r="EJ58" s="59"/>
      <c r="EK58" s="59"/>
      <c r="EL58" s="59"/>
      <c r="EM58" s="59"/>
      <c r="EN58" s="59"/>
      <c r="EO58" s="59"/>
      <c r="EP58" s="59"/>
      <c r="EQ58" s="59"/>
      <c r="ER58" s="59"/>
      <c r="ES58" s="59"/>
      <c r="ET58" s="59"/>
      <c r="EU58" s="59"/>
      <c r="EV58" s="59"/>
      <c r="EW58" s="59"/>
      <c r="EX58" s="59"/>
      <c r="EY58" s="59"/>
      <c r="EZ58" s="59"/>
      <c r="FA58" s="59"/>
      <c r="FB58" s="59"/>
      <c r="FC58" s="59"/>
      <c r="FD58" s="59"/>
      <c r="FE58" s="59"/>
    </row>
    <row r="59" spans="1:161" ht="15.75" customHeight="1" x14ac:dyDescent="0.35">
      <c r="A59" s="69">
        <v>4960912111</v>
      </c>
      <c r="B59" s="59"/>
      <c r="C59" s="59" t="s">
        <v>130</v>
      </c>
      <c r="D59" s="59" t="s">
        <v>318</v>
      </c>
      <c r="E59" s="59" t="s">
        <v>315</v>
      </c>
      <c r="F59" s="58">
        <v>43068</v>
      </c>
      <c r="G59" s="59" t="s">
        <v>318</v>
      </c>
      <c r="H59" s="59" t="s">
        <v>319</v>
      </c>
      <c r="I59" s="59" t="s">
        <v>169</v>
      </c>
      <c r="J59" s="58">
        <v>43068</v>
      </c>
      <c r="K59" s="59" t="s">
        <v>134</v>
      </c>
      <c r="L59" s="59" t="s">
        <v>135</v>
      </c>
      <c r="M59" s="59" t="s">
        <v>133</v>
      </c>
      <c r="N59" s="59" t="s">
        <v>136</v>
      </c>
      <c r="O59" s="58">
        <v>14195</v>
      </c>
      <c r="P59" s="58">
        <v>42977</v>
      </c>
      <c r="Q59" s="60">
        <f t="shared" si="1"/>
        <v>78</v>
      </c>
      <c r="R59" s="59" t="s">
        <v>147</v>
      </c>
      <c r="S59" s="59" t="s">
        <v>138</v>
      </c>
      <c r="T59" s="59" t="s">
        <v>164</v>
      </c>
      <c r="U59" s="59">
        <v>0</v>
      </c>
      <c r="V59" s="59">
        <v>0</v>
      </c>
      <c r="W59" s="59">
        <v>0</v>
      </c>
      <c r="X59" s="59" t="s">
        <v>320</v>
      </c>
      <c r="Y59" s="59">
        <v>2</v>
      </c>
      <c r="Z59" s="59" t="s">
        <v>293</v>
      </c>
      <c r="AA59" s="59" t="s">
        <v>320</v>
      </c>
      <c r="AB59" s="59"/>
      <c r="AC59" s="59"/>
      <c r="AD59" s="59"/>
      <c r="AE59" s="59"/>
      <c r="AF59" s="59"/>
      <c r="AG59" s="59"/>
      <c r="AH59" s="59"/>
      <c r="AI59" s="59"/>
      <c r="AJ59" s="59"/>
      <c r="AK59" s="59"/>
      <c r="AL59" s="59"/>
      <c r="AM59" s="59"/>
      <c r="AN59" s="59"/>
      <c r="AO59" s="59"/>
      <c r="AP59" s="59"/>
      <c r="AQ59" s="59"/>
      <c r="AR59" s="59"/>
      <c r="AS59" s="59"/>
      <c r="AT59" s="59"/>
      <c r="AU59" s="59"/>
      <c r="AV59" s="59"/>
      <c r="AW59" s="59"/>
      <c r="AX59" s="59"/>
      <c r="AY59" s="59"/>
      <c r="AZ59" s="59"/>
      <c r="BA59" s="59"/>
      <c r="BB59" s="59"/>
      <c r="BC59" s="59"/>
      <c r="BD59" s="59"/>
      <c r="BE59" s="59"/>
      <c r="BF59" s="59"/>
      <c r="BG59" s="59"/>
      <c r="BH59" s="59"/>
      <c r="BI59" s="59"/>
      <c r="BJ59" s="59"/>
      <c r="BK59" s="59"/>
      <c r="BL59" s="59"/>
      <c r="BM59" s="59"/>
      <c r="BN59" s="59"/>
      <c r="BO59" s="59"/>
      <c r="BP59" s="59"/>
      <c r="BQ59" s="59"/>
      <c r="BR59" s="59"/>
      <c r="BS59" s="59"/>
      <c r="BT59" s="59"/>
      <c r="BU59" s="59"/>
      <c r="BV59" s="59"/>
      <c r="BW59" s="59"/>
      <c r="BX59" s="59"/>
      <c r="BY59" s="59"/>
      <c r="BZ59" s="59"/>
      <c r="CA59" s="59"/>
      <c r="CB59" s="59"/>
      <c r="CC59" s="59"/>
      <c r="CD59" s="59"/>
      <c r="CE59" s="59"/>
      <c r="CF59" s="59"/>
      <c r="CG59" s="59"/>
      <c r="CH59" s="59"/>
      <c r="CI59" s="59"/>
      <c r="CJ59" s="59"/>
      <c r="CK59" s="59"/>
      <c r="CL59" s="59"/>
      <c r="CM59" s="59"/>
      <c r="CN59" s="59"/>
      <c r="CO59" s="59"/>
      <c r="CP59" s="59"/>
      <c r="CQ59" s="59"/>
      <c r="CR59" s="59"/>
      <c r="CS59" s="59"/>
      <c r="CT59" s="59"/>
      <c r="CU59" s="59"/>
      <c r="CV59" s="59"/>
      <c r="CW59" s="59"/>
      <c r="CX59" s="59"/>
      <c r="CY59" s="59"/>
      <c r="CZ59" s="59"/>
      <c r="DA59" s="59"/>
      <c r="DB59" s="59"/>
      <c r="DC59" s="59"/>
      <c r="DD59" s="59"/>
      <c r="DE59" s="59"/>
      <c r="DF59" s="59"/>
      <c r="DG59" s="59"/>
      <c r="DH59" s="59"/>
      <c r="DI59" s="59"/>
      <c r="DJ59" s="59"/>
      <c r="DK59" s="59"/>
      <c r="DL59" s="59"/>
      <c r="DM59" s="59"/>
      <c r="DN59" s="59"/>
      <c r="DO59" s="59"/>
      <c r="DP59" s="59"/>
      <c r="DQ59" s="59"/>
      <c r="DR59" s="59"/>
      <c r="DS59" s="59"/>
      <c r="DT59" s="59"/>
      <c r="DU59" s="59"/>
      <c r="DV59" s="59"/>
      <c r="DW59" s="59"/>
      <c r="DX59" s="59"/>
      <c r="DY59" s="59"/>
      <c r="DZ59" s="59"/>
      <c r="EA59" s="59"/>
      <c r="EB59" s="59"/>
      <c r="EC59" s="59"/>
      <c r="ED59" s="59"/>
      <c r="EE59" s="59"/>
      <c r="EF59" s="59"/>
      <c r="EG59" s="59"/>
      <c r="EH59" s="59"/>
      <c r="EI59" s="59"/>
      <c r="EJ59" s="59"/>
      <c r="EK59" s="59"/>
      <c r="EL59" s="59"/>
      <c r="EM59" s="59"/>
      <c r="EN59" s="59"/>
      <c r="EO59" s="59"/>
      <c r="EP59" s="59"/>
      <c r="EQ59" s="59"/>
      <c r="ER59" s="59"/>
      <c r="ES59" s="59"/>
      <c r="ET59" s="59"/>
      <c r="EU59" s="59"/>
      <c r="EV59" s="59"/>
      <c r="EW59" s="59"/>
      <c r="EX59" s="59"/>
      <c r="EY59" s="59"/>
      <c r="EZ59" s="59"/>
      <c r="FA59" s="59"/>
      <c r="FB59" s="59"/>
      <c r="FC59" s="59"/>
      <c r="FD59" s="59"/>
      <c r="FE59" s="59"/>
    </row>
    <row r="60" spans="1:161" ht="15.75" customHeight="1" x14ac:dyDescent="0.35">
      <c r="A60" s="69">
        <v>4989469372</v>
      </c>
      <c r="B60" s="59"/>
      <c r="C60" s="59" t="s">
        <v>130</v>
      </c>
      <c r="D60" s="59" t="s">
        <v>321</v>
      </c>
      <c r="E60" s="59" t="s">
        <v>322</v>
      </c>
      <c r="F60" s="58">
        <v>43073</v>
      </c>
      <c r="G60" s="59" t="s">
        <v>133</v>
      </c>
      <c r="H60" s="59" t="s">
        <v>133</v>
      </c>
      <c r="I60" s="59" t="s">
        <v>133</v>
      </c>
      <c r="J60" s="59" t="s">
        <v>133</v>
      </c>
      <c r="K60" s="59" t="s">
        <v>203</v>
      </c>
      <c r="L60" s="59" t="s">
        <v>135</v>
      </c>
      <c r="M60" s="59" t="s">
        <v>133</v>
      </c>
      <c r="N60" s="59" t="s">
        <v>136</v>
      </c>
      <c r="O60" s="58">
        <v>14706</v>
      </c>
      <c r="P60" s="58">
        <v>42986</v>
      </c>
      <c r="Q60" s="60">
        <f t="shared" si="1"/>
        <v>77</v>
      </c>
      <c r="R60" s="59" t="s">
        <v>323</v>
      </c>
      <c r="S60" s="59" t="s">
        <v>138</v>
      </c>
      <c r="T60" s="59" t="s">
        <v>148</v>
      </c>
      <c r="U60" s="59">
        <v>0</v>
      </c>
      <c r="V60" s="59">
        <v>0</v>
      </c>
      <c r="W60" s="59">
        <v>0</v>
      </c>
      <c r="X60" s="68" t="s">
        <v>150</v>
      </c>
      <c r="Y60" s="59">
        <v>1</v>
      </c>
      <c r="Z60" s="59" t="s">
        <v>151</v>
      </c>
      <c r="AA60" s="68" t="s">
        <v>150</v>
      </c>
      <c r="AB60" s="59"/>
      <c r="AC60" s="59"/>
      <c r="AD60" s="59"/>
      <c r="AE60" s="59"/>
      <c r="AF60" s="59"/>
      <c r="AG60" s="59"/>
      <c r="AH60" s="59"/>
      <c r="AI60" s="59"/>
      <c r="AJ60" s="59"/>
      <c r="AK60" s="59"/>
      <c r="AL60" s="59"/>
      <c r="AM60" s="59"/>
      <c r="AN60" s="59"/>
      <c r="AO60" s="59"/>
      <c r="AP60" s="59"/>
      <c r="AQ60" s="59"/>
      <c r="AR60" s="59"/>
      <c r="AS60" s="59"/>
      <c r="AT60" s="59"/>
      <c r="AU60" s="59"/>
      <c r="AV60" s="59"/>
      <c r="AW60" s="59"/>
      <c r="AX60" s="59"/>
      <c r="AY60" s="59"/>
      <c r="AZ60" s="59"/>
      <c r="BA60" s="59"/>
      <c r="BB60" s="59"/>
      <c r="BC60" s="59"/>
      <c r="BD60" s="59"/>
      <c r="BE60" s="59"/>
      <c r="BF60" s="59"/>
      <c r="BG60" s="59"/>
      <c r="BH60" s="59"/>
      <c r="BI60" s="59"/>
      <c r="BJ60" s="59"/>
      <c r="BK60" s="59"/>
      <c r="BL60" s="59"/>
      <c r="BM60" s="59"/>
      <c r="BN60" s="59"/>
      <c r="BO60" s="59"/>
      <c r="BP60" s="59"/>
      <c r="BQ60" s="59"/>
      <c r="BR60" s="59"/>
      <c r="BS60" s="59"/>
      <c r="BT60" s="59"/>
      <c r="BU60" s="59"/>
      <c r="BV60" s="59"/>
      <c r="BW60" s="59"/>
      <c r="BX60" s="59"/>
      <c r="BY60" s="59"/>
      <c r="BZ60" s="59"/>
      <c r="CA60" s="59"/>
      <c r="CB60" s="59"/>
      <c r="CC60" s="59"/>
      <c r="CD60" s="59"/>
      <c r="CE60" s="59"/>
      <c r="CF60" s="59"/>
      <c r="CG60" s="59"/>
      <c r="CH60" s="59"/>
      <c r="CI60" s="59"/>
      <c r="CJ60" s="59"/>
      <c r="CK60" s="59"/>
      <c r="CL60" s="59"/>
      <c r="CM60" s="59"/>
      <c r="CN60" s="59"/>
      <c r="CO60" s="59"/>
      <c r="CP60" s="59"/>
      <c r="CQ60" s="59"/>
      <c r="CR60" s="59"/>
      <c r="CS60" s="59"/>
      <c r="CT60" s="59"/>
      <c r="CU60" s="59"/>
      <c r="CV60" s="59"/>
      <c r="CW60" s="59"/>
      <c r="CX60" s="59"/>
      <c r="CY60" s="59"/>
      <c r="CZ60" s="59"/>
      <c r="DA60" s="59"/>
      <c r="DB60" s="59"/>
      <c r="DC60" s="59"/>
      <c r="DD60" s="59"/>
      <c r="DE60" s="59"/>
      <c r="DF60" s="59"/>
      <c r="DG60" s="59"/>
      <c r="DH60" s="59"/>
      <c r="DI60" s="59"/>
      <c r="DJ60" s="59"/>
      <c r="DK60" s="59"/>
      <c r="DL60" s="59"/>
      <c r="DM60" s="59"/>
      <c r="DN60" s="59"/>
      <c r="DO60" s="59"/>
      <c r="DP60" s="59"/>
      <c r="DQ60" s="59"/>
      <c r="DR60" s="59"/>
      <c r="DS60" s="59"/>
      <c r="DT60" s="59"/>
      <c r="DU60" s="59"/>
      <c r="DV60" s="59"/>
      <c r="DW60" s="59"/>
      <c r="DX60" s="59"/>
      <c r="DY60" s="59"/>
      <c r="DZ60" s="59"/>
      <c r="EA60" s="59"/>
      <c r="EB60" s="59"/>
      <c r="EC60" s="59"/>
      <c r="ED60" s="59"/>
      <c r="EE60" s="59"/>
      <c r="EF60" s="59"/>
      <c r="EG60" s="59"/>
      <c r="EH60" s="59"/>
      <c r="EI60" s="59"/>
      <c r="EJ60" s="59"/>
      <c r="EK60" s="59"/>
      <c r="EL60" s="59"/>
      <c r="EM60" s="59"/>
      <c r="EN60" s="59"/>
      <c r="EO60" s="59"/>
      <c r="EP60" s="59"/>
      <c r="EQ60" s="59"/>
      <c r="ER60" s="59"/>
      <c r="ES60" s="59"/>
      <c r="ET60" s="59"/>
      <c r="EU60" s="59"/>
      <c r="EV60" s="59"/>
      <c r="EW60" s="59"/>
      <c r="EX60" s="59"/>
      <c r="EY60" s="59"/>
      <c r="EZ60" s="59"/>
      <c r="FA60" s="59"/>
      <c r="FB60" s="59"/>
      <c r="FC60" s="59"/>
      <c r="FD60" s="59"/>
      <c r="FE60" s="59"/>
    </row>
    <row r="61" spans="1:161" ht="15.75" customHeight="1" x14ac:dyDescent="0.35">
      <c r="A61" s="69">
        <v>4582002722</v>
      </c>
      <c r="B61" s="59"/>
      <c r="C61" s="59" t="s">
        <v>133</v>
      </c>
      <c r="D61" s="59" t="s">
        <v>133</v>
      </c>
      <c r="E61" s="59" t="s">
        <v>133</v>
      </c>
      <c r="F61" s="59" t="s">
        <v>133</v>
      </c>
      <c r="G61" s="59" t="s">
        <v>324</v>
      </c>
      <c r="H61" s="59" t="s">
        <v>219</v>
      </c>
      <c r="I61" s="59" t="s">
        <v>169</v>
      </c>
      <c r="J61" s="58">
        <v>43075</v>
      </c>
      <c r="K61" s="59" t="s">
        <v>133</v>
      </c>
      <c r="L61" s="59" t="s">
        <v>133</v>
      </c>
      <c r="M61" s="59" t="s">
        <v>133</v>
      </c>
      <c r="N61" s="59" t="s">
        <v>133</v>
      </c>
      <c r="O61" s="58">
        <v>19492</v>
      </c>
      <c r="P61" s="58">
        <v>43075</v>
      </c>
      <c r="Q61" s="60">
        <f t="shared" si="1"/>
        <v>64</v>
      </c>
      <c r="R61" s="59" t="s">
        <v>133</v>
      </c>
      <c r="S61" s="59" t="s">
        <v>133</v>
      </c>
      <c r="T61" s="70" t="s">
        <v>133</v>
      </c>
      <c r="U61" s="70" t="s">
        <v>133</v>
      </c>
      <c r="V61" s="70" t="s">
        <v>133</v>
      </c>
      <c r="W61" s="70" t="s">
        <v>133</v>
      </c>
      <c r="X61" s="59" t="s">
        <v>133</v>
      </c>
      <c r="Y61" s="59" t="s">
        <v>133</v>
      </c>
      <c r="Z61" s="59" t="s">
        <v>133</v>
      </c>
      <c r="AA61" s="59" t="s">
        <v>133</v>
      </c>
      <c r="AB61" s="59"/>
      <c r="AC61" s="59"/>
      <c r="AD61" s="59"/>
      <c r="AE61" s="59"/>
      <c r="AF61" s="59"/>
      <c r="AG61" s="59"/>
      <c r="AH61" s="59"/>
      <c r="AI61" s="59"/>
      <c r="AJ61" s="59"/>
      <c r="AK61" s="59"/>
      <c r="AL61" s="59"/>
      <c r="AM61" s="59"/>
      <c r="AN61" s="59"/>
      <c r="AO61" s="59"/>
      <c r="AP61" s="59"/>
      <c r="AQ61" s="59"/>
      <c r="AR61" s="59"/>
      <c r="AS61" s="59"/>
      <c r="AT61" s="59"/>
      <c r="AU61" s="59"/>
      <c r="AV61" s="59"/>
      <c r="AW61" s="59"/>
      <c r="AX61" s="59"/>
      <c r="AY61" s="59"/>
      <c r="AZ61" s="59"/>
      <c r="BA61" s="59"/>
      <c r="BB61" s="59"/>
      <c r="BC61" s="59"/>
      <c r="BD61" s="59"/>
      <c r="BE61" s="59"/>
      <c r="BF61" s="59"/>
      <c r="BG61" s="59"/>
      <c r="BH61" s="59"/>
      <c r="BI61" s="59"/>
      <c r="BJ61" s="59"/>
      <c r="BK61" s="59"/>
      <c r="BL61" s="59"/>
      <c r="BM61" s="59"/>
      <c r="BN61" s="59"/>
      <c r="BO61" s="59"/>
      <c r="BP61" s="59"/>
      <c r="BQ61" s="59"/>
      <c r="BR61" s="59"/>
      <c r="BS61" s="59"/>
      <c r="BT61" s="59"/>
      <c r="BU61" s="59"/>
      <c r="BV61" s="59"/>
      <c r="BW61" s="59"/>
      <c r="BX61" s="59"/>
      <c r="BY61" s="59"/>
      <c r="BZ61" s="59"/>
      <c r="CA61" s="59"/>
      <c r="CB61" s="59"/>
      <c r="CC61" s="59"/>
      <c r="CD61" s="59"/>
      <c r="CE61" s="59"/>
      <c r="CF61" s="59"/>
      <c r="CG61" s="59"/>
      <c r="CH61" s="59"/>
      <c r="CI61" s="59"/>
      <c r="CJ61" s="59"/>
      <c r="CK61" s="59"/>
      <c r="CL61" s="59"/>
      <c r="CM61" s="59"/>
      <c r="CN61" s="59"/>
      <c r="CO61" s="59"/>
      <c r="CP61" s="59"/>
      <c r="CQ61" s="59"/>
      <c r="CR61" s="59"/>
      <c r="CS61" s="59"/>
      <c r="CT61" s="59"/>
      <c r="CU61" s="59"/>
      <c r="CV61" s="59"/>
      <c r="CW61" s="59"/>
      <c r="CX61" s="59"/>
      <c r="CY61" s="59"/>
      <c r="CZ61" s="59"/>
      <c r="DA61" s="59"/>
      <c r="DB61" s="59"/>
      <c r="DC61" s="59"/>
      <c r="DD61" s="59"/>
      <c r="DE61" s="59"/>
      <c r="DF61" s="59"/>
      <c r="DG61" s="59"/>
      <c r="DH61" s="59"/>
      <c r="DI61" s="59"/>
      <c r="DJ61" s="59"/>
      <c r="DK61" s="59"/>
      <c r="DL61" s="59"/>
      <c r="DM61" s="59"/>
      <c r="DN61" s="59"/>
      <c r="DO61" s="59"/>
      <c r="DP61" s="59"/>
      <c r="DQ61" s="59"/>
      <c r="DR61" s="59"/>
      <c r="DS61" s="59"/>
      <c r="DT61" s="59"/>
      <c r="DU61" s="59"/>
      <c r="DV61" s="59"/>
      <c r="DW61" s="59"/>
      <c r="DX61" s="59"/>
      <c r="DY61" s="59"/>
      <c r="DZ61" s="59"/>
      <c r="EA61" s="59"/>
      <c r="EB61" s="59"/>
      <c r="EC61" s="59"/>
      <c r="ED61" s="59"/>
      <c r="EE61" s="59"/>
      <c r="EF61" s="59"/>
      <c r="EG61" s="59"/>
      <c r="EH61" s="59"/>
      <c r="EI61" s="59"/>
      <c r="EJ61" s="59"/>
      <c r="EK61" s="59"/>
      <c r="EL61" s="59"/>
      <c r="EM61" s="59"/>
      <c r="EN61" s="59"/>
      <c r="EO61" s="59"/>
      <c r="EP61" s="59"/>
      <c r="EQ61" s="59"/>
      <c r="ER61" s="59"/>
      <c r="ES61" s="59"/>
      <c r="ET61" s="59"/>
      <c r="EU61" s="59"/>
      <c r="EV61" s="59"/>
      <c r="EW61" s="59"/>
      <c r="EX61" s="59"/>
      <c r="EY61" s="59"/>
      <c r="EZ61" s="59"/>
      <c r="FA61" s="59"/>
      <c r="FB61" s="59"/>
      <c r="FC61" s="59"/>
      <c r="FD61" s="59"/>
      <c r="FE61" s="59"/>
    </row>
    <row r="62" spans="1:161" ht="15.75" customHeight="1" x14ac:dyDescent="0.35">
      <c r="A62" s="69">
        <v>6286806113</v>
      </c>
      <c r="B62" s="59"/>
      <c r="C62" s="59" t="s">
        <v>130</v>
      </c>
      <c r="D62" s="59" t="s">
        <v>325</v>
      </c>
      <c r="E62" s="59" t="s">
        <v>326</v>
      </c>
      <c r="F62" s="58">
        <v>43077</v>
      </c>
      <c r="G62" s="59" t="s">
        <v>133</v>
      </c>
      <c r="H62" s="59" t="s">
        <v>133</v>
      </c>
      <c r="I62" s="59" t="s">
        <v>133</v>
      </c>
      <c r="J62" s="59" t="s">
        <v>133</v>
      </c>
      <c r="K62" s="59" t="s">
        <v>233</v>
      </c>
      <c r="L62" s="59" t="s">
        <v>135</v>
      </c>
      <c r="M62" s="59" t="s">
        <v>133</v>
      </c>
      <c r="N62" s="59" t="s">
        <v>136</v>
      </c>
      <c r="O62" s="58">
        <v>16104</v>
      </c>
      <c r="P62" s="58">
        <v>42996</v>
      </c>
      <c r="Q62" s="60">
        <f t="shared" si="1"/>
        <v>73</v>
      </c>
      <c r="R62" s="59" t="s">
        <v>327</v>
      </c>
      <c r="S62" s="59" t="s">
        <v>138</v>
      </c>
      <c r="T62" s="59" t="s">
        <v>198</v>
      </c>
      <c r="U62" s="59">
        <v>0</v>
      </c>
      <c r="V62" s="59">
        <v>0</v>
      </c>
      <c r="W62" s="59">
        <v>0</v>
      </c>
      <c r="X62" s="59" t="s">
        <v>199</v>
      </c>
      <c r="Y62" s="59">
        <v>3</v>
      </c>
      <c r="Z62" s="59" t="s">
        <v>200</v>
      </c>
      <c r="AA62" s="59" t="s">
        <v>199</v>
      </c>
      <c r="AB62" s="59"/>
      <c r="AC62" s="59"/>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59"/>
      <c r="BB62" s="59"/>
      <c r="BC62" s="59"/>
      <c r="BD62" s="59"/>
      <c r="BE62" s="59"/>
      <c r="BF62" s="59"/>
      <c r="BG62" s="59"/>
      <c r="BH62" s="59"/>
      <c r="BI62" s="59"/>
      <c r="BJ62" s="59"/>
      <c r="BK62" s="59"/>
      <c r="BL62" s="59"/>
      <c r="BM62" s="59"/>
      <c r="BN62" s="59"/>
      <c r="BO62" s="59"/>
      <c r="BP62" s="59"/>
      <c r="BQ62" s="59"/>
      <c r="BR62" s="59"/>
      <c r="BS62" s="59"/>
      <c r="BT62" s="59"/>
      <c r="BU62" s="59"/>
      <c r="BV62" s="59"/>
      <c r="BW62" s="59"/>
      <c r="BX62" s="59"/>
      <c r="BY62" s="59"/>
      <c r="BZ62" s="59"/>
      <c r="CA62" s="59"/>
      <c r="CB62" s="59"/>
      <c r="CC62" s="59"/>
      <c r="CD62" s="59"/>
      <c r="CE62" s="59"/>
      <c r="CF62" s="59"/>
      <c r="CG62" s="59"/>
      <c r="CH62" s="59"/>
      <c r="CI62" s="59"/>
      <c r="CJ62" s="59"/>
      <c r="CK62" s="59"/>
      <c r="CL62" s="59"/>
      <c r="CM62" s="59"/>
      <c r="CN62" s="59"/>
      <c r="CO62" s="59"/>
      <c r="CP62" s="59"/>
      <c r="CQ62" s="59"/>
      <c r="CR62" s="59"/>
      <c r="CS62" s="59"/>
      <c r="CT62" s="59"/>
      <c r="CU62" s="59"/>
      <c r="CV62" s="59"/>
      <c r="CW62" s="59"/>
      <c r="CX62" s="59"/>
      <c r="CY62" s="59"/>
      <c r="CZ62" s="59"/>
      <c r="DA62" s="59"/>
      <c r="DB62" s="59"/>
      <c r="DC62" s="59"/>
      <c r="DD62" s="59"/>
      <c r="DE62" s="59"/>
      <c r="DF62" s="59"/>
      <c r="DG62" s="59"/>
      <c r="DH62" s="59"/>
      <c r="DI62" s="59"/>
      <c r="DJ62" s="59"/>
      <c r="DK62" s="59"/>
      <c r="DL62" s="59"/>
      <c r="DM62" s="59"/>
      <c r="DN62" s="59"/>
      <c r="DO62" s="59"/>
      <c r="DP62" s="59"/>
      <c r="DQ62" s="59"/>
      <c r="DR62" s="59"/>
      <c r="DS62" s="59"/>
      <c r="DT62" s="59"/>
      <c r="DU62" s="59"/>
      <c r="DV62" s="59"/>
      <c r="DW62" s="59"/>
      <c r="DX62" s="59"/>
      <c r="DY62" s="59"/>
      <c r="DZ62" s="59"/>
      <c r="EA62" s="59"/>
      <c r="EB62" s="59"/>
      <c r="EC62" s="59"/>
      <c r="ED62" s="59"/>
      <c r="EE62" s="59"/>
      <c r="EF62" s="59"/>
      <c r="EG62" s="59"/>
      <c r="EH62" s="59"/>
      <c r="EI62" s="59"/>
      <c r="EJ62" s="59"/>
      <c r="EK62" s="59"/>
      <c r="EL62" s="59"/>
      <c r="EM62" s="59"/>
      <c r="EN62" s="59"/>
      <c r="EO62" s="59"/>
      <c r="EP62" s="59"/>
      <c r="EQ62" s="59"/>
      <c r="ER62" s="59"/>
      <c r="ES62" s="59"/>
      <c r="ET62" s="59"/>
      <c r="EU62" s="59"/>
      <c r="EV62" s="59"/>
      <c r="EW62" s="59"/>
      <c r="EX62" s="59"/>
      <c r="EY62" s="59"/>
      <c r="EZ62" s="59"/>
      <c r="FA62" s="59"/>
      <c r="FB62" s="59"/>
      <c r="FC62" s="59"/>
      <c r="FD62" s="59"/>
      <c r="FE62" s="59"/>
    </row>
    <row r="63" spans="1:161" ht="15.75" customHeight="1" x14ac:dyDescent="0.35">
      <c r="A63" s="69">
        <v>4509149697</v>
      </c>
      <c r="B63" s="59"/>
      <c r="C63" s="59" t="s">
        <v>130</v>
      </c>
      <c r="D63" s="59" t="s">
        <v>328</v>
      </c>
      <c r="E63" s="59" t="s">
        <v>329</v>
      </c>
      <c r="F63" s="58">
        <v>43082</v>
      </c>
      <c r="G63" s="59" t="s">
        <v>133</v>
      </c>
      <c r="H63" s="59" t="s">
        <v>133</v>
      </c>
      <c r="I63" s="59" t="s">
        <v>133</v>
      </c>
      <c r="J63" s="59" t="s">
        <v>133</v>
      </c>
      <c r="K63" s="59" t="s">
        <v>203</v>
      </c>
      <c r="L63" s="59" t="s">
        <v>135</v>
      </c>
      <c r="M63" s="59" t="s">
        <v>133</v>
      </c>
      <c r="N63" s="59" t="s">
        <v>136</v>
      </c>
      <c r="O63" s="58">
        <v>18238</v>
      </c>
      <c r="P63" s="58">
        <v>42971</v>
      </c>
      <c r="Q63" s="60">
        <f t="shared" si="1"/>
        <v>67</v>
      </c>
      <c r="R63" s="59" t="s">
        <v>240</v>
      </c>
      <c r="S63" s="59" t="s">
        <v>138</v>
      </c>
      <c r="T63" s="59">
        <v>2</v>
      </c>
      <c r="U63" s="59">
        <v>0</v>
      </c>
      <c r="V63" s="59">
        <v>0</v>
      </c>
      <c r="W63" s="59">
        <v>0</v>
      </c>
      <c r="X63" s="59" t="s">
        <v>159</v>
      </c>
      <c r="Y63" s="59" t="s">
        <v>140</v>
      </c>
      <c r="Z63" s="59" t="s">
        <v>160</v>
      </c>
      <c r="AA63" s="59" t="s">
        <v>159</v>
      </c>
      <c r="AB63" s="59"/>
      <c r="AC63" s="59"/>
      <c r="AD63" s="59"/>
      <c r="AE63" s="59"/>
      <c r="AF63" s="59"/>
      <c r="AG63" s="59"/>
      <c r="AH63" s="59"/>
      <c r="AI63" s="59"/>
      <c r="AJ63" s="59"/>
      <c r="AK63" s="59"/>
      <c r="AL63" s="59"/>
      <c r="AM63" s="59"/>
      <c r="AN63" s="59"/>
      <c r="AO63" s="59"/>
      <c r="AP63" s="59"/>
      <c r="AQ63" s="59"/>
      <c r="AR63" s="59"/>
      <c r="AS63" s="59"/>
      <c r="AT63" s="59"/>
      <c r="AU63" s="59"/>
      <c r="AV63" s="59"/>
      <c r="AW63" s="59"/>
      <c r="AX63" s="59"/>
      <c r="AY63" s="59"/>
      <c r="AZ63" s="59"/>
      <c r="BA63" s="59"/>
      <c r="BB63" s="59"/>
      <c r="BC63" s="59"/>
      <c r="BD63" s="59"/>
      <c r="BE63" s="59"/>
      <c r="BF63" s="59"/>
      <c r="BG63" s="59"/>
      <c r="BH63" s="59"/>
      <c r="BI63" s="59"/>
      <c r="BJ63" s="59"/>
      <c r="BK63" s="59"/>
      <c r="BL63" s="59"/>
      <c r="BM63" s="59"/>
      <c r="BN63" s="59"/>
      <c r="BO63" s="59"/>
      <c r="BP63" s="59"/>
      <c r="BQ63" s="59"/>
      <c r="BR63" s="59"/>
      <c r="BS63" s="59"/>
      <c r="BT63" s="59"/>
      <c r="BU63" s="59"/>
      <c r="BV63" s="59"/>
      <c r="BW63" s="59"/>
      <c r="BX63" s="59"/>
      <c r="BY63" s="59"/>
      <c r="BZ63" s="59"/>
      <c r="CA63" s="59"/>
      <c r="CB63" s="59"/>
      <c r="CC63" s="59"/>
      <c r="CD63" s="59"/>
      <c r="CE63" s="59"/>
      <c r="CF63" s="59"/>
      <c r="CG63" s="59"/>
      <c r="CH63" s="59"/>
      <c r="CI63" s="59"/>
      <c r="CJ63" s="59"/>
      <c r="CK63" s="59"/>
      <c r="CL63" s="59"/>
      <c r="CM63" s="59"/>
      <c r="CN63" s="59"/>
      <c r="CO63" s="59"/>
      <c r="CP63" s="59"/>
      <c r="CQ63" s="59"/>
      <c r="CR63" s="59"/>
      <c r="CS63" s="59"/>
      <c r="CT63" s="59"/>
      <c r="CU63" s="59"/>
      <c r="CV63" s="59"/>
      <c r="CW63" s="59"/>
      <c r="CX63" s="59"/>
      <c r="CY63" s="59"/>
      <c r="CZ63" s="59"/>
      <c r="DA63" s="59"/>
      <c r="DB63" s="59"/>
      <c r="DC63" s="59"/>
      <c r="DD63" s="59"/>
      <c r="DE63" s="59"/>
      <c r="DF63" s="59"/>
      <c r="DG63" s="59"/>
      <c r="DH63" s="59"/>
      <c r="DI63" s="59"/>
      <c r="DJ63" s="59"/>
      <c r="DK63" s="59"/>
      <c r="DL63" s="59"/>
      <c r="DM63" s="59"/>
      <c r="DN63" s="59"/>
      <c r="DO63" s="59"/>
      <c r="DP63" s="59"/>
      <c r="DQ63" s="59"/>
      <c r="DR63" s="59"/>
      <c r="DS63" s="59"/>
      <c r="DT63" s="59"/>
      <c r="DU63" s="59"/>
      <c r="DV63" s="59"/>
      <c r="DW63" s="59"/>
      <c r="DX63" s="59"/>
      <c r="DY63" s="59"/>
      <c r="DZ63" s="59"/>
      <c r="EA63" s="59"/>
      <c r="EB63" s="59"/>
      <c r="EC63" s="59"/>
      <c r="ED63" s="59"/>
      <c r="EE63" s="59"/>
      <c r="EF63" s="59"/>
      <c r="EG63" s="59"/>
      <c r="EH63" s="59"/>
      <c r="EI63" s="59"/>
      <c r="EJ63" s="59"/>
      <c r="EK63" s="59"/>
      <c r="EL63" s="59"/>
      <c r="EM63" s="59"/>
      <c r="EN63" s="59"/>
      <c r="EO63" s="59"/>
      <c r="EP63" s="59"/>
      <c r="EQ63" s="59"/>
      <c r="ER63" s="59"/>
      <c r="ES63" s="59"/>
      <c r="ET63" s="59"/>
      <c r="EU63" s="59"/>
      <c r="EV63" s="59"/>
      <c r="EW63" s="59"/>
      <c r="EX63" s="59"/>
      <c r="EY63" s="59"/>
      <c r="EZ63" s="59"/>
      <c r="FA63" s="59"/>
      <c r="FB63" s="59"/>
      <c r="FC63" s="59"/>
      <c r="FD63" s="59"/>
      <c r="FE63" s="59"/>
    </row>
    <row r="64" spans="1:161" ht="15.75" customHeight="1" x14ac:dyDescent="0.35">
      <c r="A64" s="69">
        <v>4343549844</v>
      </c>
      <c r="B64" s="59"/>
      <c r="C64" s="59" t="s">
        <v>130</v>
      </c>
      <c r="D64" s="59" t="s">
        <v>330</v>
      </c>
      <c r="E64" s="59" t="s">
        <v>331</v>
      </c>
      <c r="F64" s="58">
        <v>43089</v>
      </c>
      <c r="G64" s="59" t="s">
        <v>133</v>
      </c>
      <c r="H64" s="59" t="s">
        <v>133</v>
      </c>
      <c r="I64" s="59" t="s">
        <v>133</v>
      </c>
      <c r="J64" s="59" t="s">
        <v>133</v>
      </c>
      <c r="K64" s="59" t="s">
        <v>203</v>
      </c>
      <c r="L64" s="59" t="s">
        <v>135</v>
      </c>
      <c r="M64" s="59" t="s">
        <v>133</v>
      </c>
      <c r="N64" s="59" t="s">
        <v>136</v>
      </c>
      <c r="O64" s="58">
        <v>13918</v>
      </c>
      <c r="P64" s="58">
        <v>43027</v>
      </c>
      <c r="Q64" s="60">
        <f t="shared" si="1"/>
        <v>79</v>
      </c>
      <c r="R64" s="59" t="s">
        <v>225</v>
      </c>
      <c r="S64" s="59" t="s">
        <v>138</v>
      </c>
      <c r="T64" s="59" t="s">
        <v>198</v>
      </c>
      <c r="U64" s="59">
        <v>0</v>
      </c>
      <c r="V64" s="59">
        <v>0</v>
      </c>
      <c r="W64" s="59">
        <v>0</v>
      </c>
      <c r="X64" s="59" t="s">
        <v>199</v>
      </c>
      <c r="Y64" s="59">
        <v>2</v>
      </c>
      <c r="Z64" s="59" t="s">
        <v>200</v>
      </c>
      <c r="AA64" s="59" t="s">
        <v>199</v>
      </c>
      <c r="AB64" s="59"/>
      <c r="AC64" s="59"/>
      <c r="AD64" s="59"/>
      <c r="AE64" s="59"/>
      <c r="AF64" s="59"/>
      <c r="AG64" s="59"/>
      <c r="AH64" s="59"/>
      <c r="AI64" s="59"/>
      <c r="AJ64" s="59"/>
      <c r="AK64" s="59"/>
      <c r="AL64" s="59"/>
      <c r="AM64" s="59"/>
      <c r="AN64" s="59"/>
      <c r="AO64" s="59"/>
      <c r="AP64" s="59"/>
      <c r="AQ64" s="59"/>
      <c r="AR64" s="59"/>
      <c r="AS64" s="59"/>
      <c r="AT64" s="59"/>
      <c r="AU64" s="59"/>
      <c r="AV64" s="59"/>
      <c r="AW64" s="59"/>
      <c r="AX64" s="59"/>
      <c r="AY64" s="59"/>
      <c r="AZ64" s="59"/>
      <c r="BA64" s="59"/>
      <c r="BB64" s="59"/>
      <c r="BC64" s="59"/>
      <c r="BD64" s="59"/>
      <c r="BE64" s="59"/>
      <c r="BF64" s="59"/>
      <c r="BG64" s="59"/>
      <c r="BH64" s="59"/>
      <c r="BI64" s="59"/>
      <c r="BJ64" s="59"/>
      <c r="BK64" s="59"/>
      <c r="BL64" s="59"/>
      <c r="BM64" s="59"/>
      <c r="BN64" s="59"/>
      <c r="BO64" s="59"/>
      <c r="BP64" s="59"/>
      <c r="BQ64" s="59"/>
      <c r="BR64" s="59"/>
      <c r="BS64" s="59"/>
      <c r="BT64" s="59"/>
      <c r="BU64" s="59"/>
      <c r="BV64" s="59"/>
      <c r="BW64" s="59"/>
      <c r="BX64" s="59"/>
      <c r="BY64" s="59"/>
      <c r="BZ64" s="59"/>
      <c r="CA64" s="59"/>
      <c r="CB64" s="59"/>
      <c r="CC64" s="59"/>
      <c r="CD64" s="59"/>
      <c r="CE64" s="59"/>
      <c r="CF64" s="59"/>
      <c r="CG64" s="59"/>
      <c r="CH64" s="59"/>
      <c r="CI64" s="59"/>
      <c r="CJ64" s="59"/>
      <c r="CK64" s="59"/>
      <c r="CL64" s="59"/>
      <c r="CM64" s="59"/>
      <c r="CN64" s="59"/>
      <c r="CO64" s="59"/>
      <c r="CP64" s="59"/>
      <c r="CQ64" s="59"/>
      <c r="CR64" s="59"/>
      <c r="CS64" s="59"/>
      <c r="CT64" s="59"/>
      <c r="CU64" s="59"/>
      <c r="CV64" s="59"/>
      <c r="CW64" s="59"/>
      <c r="CX64" s="59"/>
      <c r="CY64" s="59"/>
      <c r="CZ64" s="59"/>
      <c r="DA64" s="59"/>
      <c r="DB64" s="59"/>
      <c r="DC64" s="59"/>
      <c r="DD64" s="59"/>
      <c r="DE64" s="59"/>
      <c r="DF64" s="59"/>
      <c r="DG64" s="59"/>
      <c r="DH64" s="59"/>
      <c r="DI64" s="59"/>
      <c r="DJ64" s="59"/>
      <c r="DK64" s="59"/>
      <c r="DL64" s="59"/>
      <c r="DM64" s="59"/>
      <c r="DN64" s="59"/>
      <c r="DO64" s="59"/>
      <c r="DP64" s="59"/>
      <c r="DQ64" s="59"/>
      <c r="DR64" s="59"/>
      <c r="DS64" s="59"/>
      <c r="DT64" s="59"/>
      <c r="DU64" s="59"/>
      <c r="DV64" s="59"/>
      <c r="DW64" s="59"/>
      <c r="DX64" s="59"/>
      <c r="DY64" s="59"/>
      <c r="DZ64" s="59"/>
      <c r="EA64" s="59"/>
      <c r="EB64" s="59"/>
      <c r="EC64" s="59"/>
      <c r="ED64" s="59"/>
      <c r="EE64" s="59"/>
      <c r="EF64" s="59"/>
      <c r="EG64" s="59"/>
      <c r="EH64" s="59"/>
      <c r="EI64" s="59"/>
      <c r="EJ64" s="59"/>
      <c r="EK64" s="59"/>
      <c r="EL64" s="59"/>
      <c r="EM64" s="59"/>
      <c r="EN64" s="59"/>
      <c r="EO64" s="59"/>
      <c r="EP64" s="59"/>
      <c r="EQ64" s="59"/>
      <c r="ER64" s="59"/>
      <c r="ES64" s="59"/>
      <c r="ET64" s="59"/>
      <c r="EU64" s="59"/>
      <c r="EV64" s="59"/>
      <c r="EW64" s="59"/>
      <c r="EX64" s="59"/>
      <c r="EY64" s="59"/>
      <c r="EZ64" s="59"/>
      <c r="FA64" s="59"/>
      <c r="FB64" s="59"/>
      <c r="FC64" s="59"/>
      <c r="FD64" s="59"/>
      <c r="FE64" s="59"/>
    </row>
    <row r="65" spans="1:161" ht="15.75" customHeight="1" x14ac:dyDescent="0.35">
      <c r="A65" s="69">
        <v>4884142810</v>
      </c>
      <c r="B65" s="59"/>
      <c r="C65" s="59" t="s">
        <v>130</v>
      </c>
      <c r="D65" s="59" t="s">
        <v>332</v>
      </c>
      <c r="E65" s="59" t="s">
        <v>333</v>
      </c>
      <c r="F65" s="58">
        <v>43096</v>
      </c>
      <c r="G65" s="59" t="s">
        <v>332</v>
      </c>
      <c r="H65" s="59" t="s">
        <v>334</v>
      </c>
      <c r="I65" s="59" t="s">
        <v>169</v>
      </c>
      <c r="J65" s="58">
        <v>43096</v>
      </c>
      <c r="K65" s="59" t="s">
        <v>134</v>
      </c>
      <c r="L65" s="59" t="s">
        <v>135</v>
      </c>
      <c r="M65" s="59" t="s">
        <v>133</v>
      </c>
      <c r="N65" s="59" t="s">
        <v>136</v>
      </c>
      <c r="O65" s="58">
        <v>15728</v>
      </c>
      <c r="P65" s="58">
        <v>43038</v>
      </c>
      <c r="Q65" s="60">
        <f>DATEDIF(O65, P65,"Y")</f>
        <v>74</v>
      </c>
      <c r="R65" s="59" t="s">
        <v>240</v>
      </c>
      <c r="S65" s="59" t="s">
        <v>138</v>
      </c>
      <c r="T65" s="59" t="s">
        <v>164</v>
      </c>
      <c r="U65" s="59">
        <v>0</v>
      </c>
      <c r="V65" s="59">
        <v>0</v>
      </c>
      <c r="W65" s="59">
        <v>0</v>
      </c>
      <c r="X65" s="59" t="s">
        <v>292</v>
      </c>
      <c r="Y65" s="59" t="s">
        <v>140</v>
      </c>
      <c r="Z65" s="59" t="s">
        <v>293</v>
      </c>
      <c r="AA65" s="59" t="s">
        <v>292</v>
      </c>
      <c r="AB65" s="59"/>
      <c r="AC65" s="59"/>
      <c r="AD65" s="59"/>
      <c r="AE65" s="59"/>
      <c r="AF65" s="59"/>
      <c r="AG65" s="59"/>
      <c r="AH65" s="59"/>
      <c r="AI65" s="59"/>
      <c r="AJ65" s="59"/>
      <c r="AK65" s="59"/>
      <c r="AL65" s="59"/>
      <c r="AM65" s="59"/>
      <c r="AN65" s="59"/>
      <c r="AO65" s="59"/>
      <c r="AP65" s="59"/>
      <c r="AQ65" s="59"/>
      <c r="AR65" s="59"/>
      <c r="AS65" s="59"/>
      <c r="AT65" s="59"/>
      <c r="AU65" s="59"/>
      <c r="AV65" s="59"/>
      <c r="AW65" s="59"/>
      <c r="AX65" s="59"/>
      <c r="AY65" s="59"/>
      <c r="AZ65" s="59"/>
      <c r="BA65" s="59"/>
      <c r="BB65" s="59"/>
      <c r="BC65" s="59"/>
      <c r="BD65" s="59"/>
      <c r="BE65" s="59"/>
      <c r="BF65" s="59"/>
      <c r="BG65" s="59"/>
      <c r="BH65" s="59"/>
      <c r="BI65" s="59"/>
      <c r="BJ65" s="59"/>
      <c r="BK65" s="59"/>
      <c r="BL65" s="59"/>
      <c r="BM65" s="59"/>
      <c r="BN65" s="59"/>
      <c r="BO65" s="59"/>
      <c r="BP65" s="59"/>
      <c r="BQ65" s="59"/>
      <c r="BR65" s="59"/>
      <c r="BS65" s="59"/>
      <c r="BT65" s="59"/>
      <c r="BU65" s="59"/>
      <c r="BV65" s="59"/>
      <c r="BW65" s="59"/>
      <c r="BX65" s="59"/>
      <c r="BY65" s="59"/>
      <c r="BZ65" s="59"/>
      <c r="CA65" s="59"/>
      <c r="CB65" s="59"/>
      <c r="CC65" s="59"/>
      <c r="CD65" s="59"/>
      <c r="CE65" s="59"/>
      <c r="CF65" s="59"/>
      <c r="CG65" s="59"/>
      <c r="CH65" s="59"/>
      <c r="CI65" s="59"/>
      <c r="CJ65" s="59"/>
      <c r="CK65" s="59"/>
      <c r="CL65" s="59"/>
      <c r="CM65" s="59"/>
      <c r="CN65" s="59"/>
      <c r="CO65" s="59"/>
      <c r="CP65" s="59"/>
      <c r="CQ65" s="59"/>
      <c r="CR65" s="59"/>
      <c r="CS65" s="59"/>
      <c r="CT65" s="59"/>
      <c r="CU65" s="59"/>
      <c r="CV65" s="59"/>
      <c r="CW65" s="59"/>
      <c r="CX65" s="59"/>
      <c r="CY65" s="59"/>
      <c r="CZ65" s="59"/>
      <c r="DA65" s="59"/>
      <c r="DB65" s="59"/>
      <c r="DC65" s="59"/>
      <c r="DD65" s="59"/>
      <c r="DE65" s="59" t="s">
        <v>335</v>
      </c>
      <c r="DF65" s="59"/>
      <c r="DG65" s="59"/>
      <c r="DH65" s="59"/>
      <c r="DI65" s="59"/>
      <c r="DJ65" s="59"/>
      <c r="DK65" s="59"/>
      <c r="DL65" s="59"/>
      <c r="DM65" s="59"/>
      <c r="DN65" s="59"/>
      <c r="DO65" s="59"/>
      <c r="DP65" s="59"/>
      <c r="DQ65" s="59"/>
      <c r="DR65" s="59"/>
      <c r="DS65" s="59"/>
      <c r="DT65" s="59"/>
      <c r="DU65" s="59"/>
      <c r="DV65" s="59"/>
      <c r="DW65" s="59"/>
      <c r="DX65" s="59"/>
      <c r="DY65" s="59"/>
      <c r="DZ65" s="59"/>
      <c r="EA65" s="59"/>
      <c r="EB65" s="59"/>
      <c r="EC65" s="59"/>
      <c r="ED65" s="59"/>
      <c r="EE65" s="59"/>
      <c r="EF65" s="59"/>
      <c r="EG65" s="59"/>
      <c r="EH65" s="59"/>
      <c r="EI65" s="59"/>
      <c r="EJ65" s="59"/>
      <c r="EK65" s="59"/>
      <c r="EL65" s="59"/>
      <c r="EM65" s="59"/>
      <c r="EN65" s="59"/>
      <c r="EO65" s="59"/>
      <c r="EP65" s="59"/>
      <c r="EQ65" s="59"/>
      <c r="ER65" s="59"/>
      <c r="ES65" s="59"/>
      <c r="ET65" s="59"/>
      <c r="EU65" s="59"/>
      <c r="EV65" s="59"/>
      <c r="EW65" s="59"/>
      <c r="EX65" s="59"/>
      <c r="EY65" s="59"/>
      <c r="EZ65" s="59"/>
      <c r="FA65" s="59"/>
      <c r="FB65" s="59"/>
      <c r="FC65" s="59"/>
      <c r="FD65" s="59"/>
      <c r="FE65" s="59"/>
    </row>
    <row r="66" spans="1:161" ht="15.75" customHeight="1" x14ac:dyDescent="0.35">
      <c r="A66" s="69">
        <v>4520918901</v>
      </c>
      <c r="B66" s="59"/>
      <c r="C66" s="59" t="s">
        <v>130</v>
      </c>
      <c r="D66" s="59" t="s">
        <v>336</v>
      </c>
      <c r="E66" s="59" t="s">
        <v>337</v>
      </c>
      <c r="F66" s="58">
        <v>43104</v>
      </c>
      <c r="G66" s="59" t="s">
        <v>133</v>
      </c>
      <c r="H66" s="59" t="s">
        <v>133</v>
      </c>
      <c r="I66" s="59" t="s">
        <v>133</v>
      </c>
      <c r="J66" s="59" t="s">
        <v>133</v>
      </c>
      <c r="K66" s="59" t="s">
        <v>203</v>
      </c>
      <c r="L66" s="59" t="s">
        <v>135</v>
      </c>
      <c r="M66" s="59" t="s">
        <v>133</v>
      </c>
      <c r="N66" s="59" t="s">
        <v>136</v>
      </c>
      <c r="O66" s="58">
        <v>18755</v>
      </c>
      <c r="P66" s="58">
        <v>43034</v>
      </c>
      <c r="Q66" s="60">
        <f t="shared" si="1"/>
        <v>66</v>
      </c>
      <c r="R66" s="71" t="s">
        <v>338</v>
      </c>
      <c r="S66" s="59" t="s">
        <v>138</v>
      </c>
      <c r="T66" s="59">
        <v>3</v>
      </c>
      <c r="U66" s="59">
        <v>2</v>
      </c>
      <c r="V66" s="59">
        <v>0</v>
      </c>
      <c r="W66" s="59">
        <v>0</v>
      </c>
      <c r="X66" s="59" t="s">
        <v>241</v>
      </c>
      <c r="Y66" s="59">
        <v>3</v>
      </c>
      <c r="Z66" s="70" t="s">
        <v>242</v>
      </c>
      <c r="AA66" s="59" t="s">
        <v>241</v>
      </c>
      <c r="AB66" s="59"/>
      <c r="AC66" s="59"/>
      <c r="AD66" s="59"/>
      <c r="AE66" s="59"/>
      <c r="AF66" s="59"/>
      <c r="AG66" s="59"/>
      <c r="AH66" s="59"/>
      <c r="AI66" s="59"/>
      <c r="AJ66" s="59"/>
      <c r="AK66" s="59"/>
      <c r="AL66" s="59"/>
      <c r="AM66" s="59"/>
      <c r="AN66" s="59"/>
      <c r="AO66" s="59"/>
      <c r="AP66" s="59"/>
      <c r="AQ66" s="59"/>
      <c r="AR66" s="59"/>
      <c r="AS66" s="59"/>
      <c r="AT66" s="59"/>
      <c r="AU66" s="59"/>
      <c r="AV66" s="59"/>
      <c r="AW66" s="59"/>
      <c r="AX66" s="59"/>
      <c r="AY66" s="59"/>
      <c r="AZ66" s="59"/>
      <c r="BA66" s="59"/>
      <c r="BB66" s="59"/>
      <c r="BC66" s="59"/>
      <c r="BD66" s="59"/>
      <c r="BE66" s="59"/>
      <c r="BF66" s="59"/>
      <c r="BG66" s="59"/>
      <c r="BH66" s="59"/>
      <c r="BI66" s="59"/>
      <c r="BJ66" s="59"/>
      <c r="BK66" s="59"/>
      <c r="BL66" s="59"/>
      <c r="BM66" s="59"/>
      <c r="BN66" s="59"/>
      <c r="BO66" s="59"/>
      <c r="BP66" s="59"/>
      <c r="BQ66" s="59"/>
      <c r="BR66" s="59"/>
      <c r="BS66" s="59"/>
      <c r="BT66" s="59"/>
      <c r="BU66" s="59"/>
      <c r="BV66" s="59"/>
      <c r="BW66" s="59"/>
      <c r="BX66" s="59"/>
      <c r="BY66" s="59"/>
      <c r="BZ66" s="59"/>
      <c r="CA66" s="59"/>
      <c r="CB66" s="59"/>
      <c r="CC66" s="59"/>
      <c r="CD66" s="59"/>
      <c r="CE66" s="59"/>
      <c r="CF66" s="59"/>
      <c r="CG66" s="59"/>
      <c r="CH66" s="59"/>
      <c r="CI66" s="59"/>
      <c r="CJ66" s="59"/>
      <c r="CK66" s="59"/>
      <c r="CL66" s="59"/>
      <c r="CM66" s="59"/>
      <c r="CN66" s="59"/>
      <c r="CO66" s="59"/>
      <c r="CP66" s="59"/>
      <c r="CQ66" s="59"/>
      <c r="CR66" s="59"/>
      <c r="CS66" s="59"/>
      <c r="CT66" s="59"/>
      <c r="CU66" s="59"/>
      <c r="CV66" s="59"/>
      <c r="CW66" s="59"/>
      <c r="CX66" s="59"/>
      <c r="CY66" s="59"/>
      <c r="CZ66" s="59"/>
      <c r="DA66" s="59"/>
      <c r="DB66" s="59"/>
      <c r="DC66" s="59"/>
      <c r="DD66" s="59"/>
      <c r="DE66" s="59"/>
      <c r="DF66" s="59"/>
      <c r="DG66" s="59"/>
      <c r="DH66" s="59"/>
      <c r="DI66" s="59"/>
      <c r="DJ66" s="59"/>
      <c r="DK66" s="59"/>
      <c r="DL66" s="59"/>
      <c r="DM66" s="59"/>
      <c r="DN66" s="59"/>
      <c r="DO66" s="59"/>
      <c r="DP66" s="59"/>
      <c r="DQ66" s="59"/>
      <c r="DR66" s="59"/>
      <c r="DS66" s="59"/>
      <c r="DT66" s="59"/>
      <c r="DU66" s="59"/>
      <c r="DV66" s="59"/>
      <c r="DW66" s="59"/>
      <c r="DX66" s="59"/>
      <c r="DY66" s="59"/>
      <c r="DZ66" s="59"/>
      <c r="EA66" s="59"/>
      <c r="EB66" s="59"/>
      <c r="EC66" s="59"/>
      <c r="ED66" s="59"/>
      <c r="EE66" s="59"/>
      <c r="EF66" s="59"/>
      <c r="EG66" s="59"/>
      <c r="EH66" s="59"/>
      <c r="EI66" s="59"/>
      <c r="EJ66" s="59"/>
      <c r="EK66" s="59"/>
      <c r="EL66" s="59"/>
      <c r="EM66" s="59"/>
      <c r="EN66" s="59"/>
      <c r="EO66" s="59"/>
      <c r="EP66" s="59"/>
      <c r="EQ66" s="59"/>
      <c r="ER66" s="59"/>
      <c r="ES66" s="59"/>
      <c r="ET66" s="59"/>
      <c r="EU66" s="59"/>
      <c r="EV66" s="59"/>
      <c r="EW66" s="59"/>
      <c r="EX66" s="59"/>
      <c r="EY66" s="59"/>
      <c r="EZ66" s="59"/>
      <c r="FA66" s="59"/>
      <c r="FB66" s="59"/>
      <c r="FC66" s="59"/>
      <c r="FD66" s="59"/>
      <c r="FE66" s="59"/>
    </row>
    <row r="67" spans="1:161" ht="15.75" customHeight="1" x14ac:dyDescent="0.35">
      <c r="A67" s="69">
        <v>4681263087</v>
      </c>
      <c r="B67" s="59"/>
      <c r="C67" s="59" t="s">
        <v>130</v>
      </c>
      <c r="D67" s="59" t="s">
        <v>339</v>
      </c>
      <c r="E67" s="59" t="s">
        <v>340</v>
      </c>
      <c r="F67" s="58">
        <v>43111</v>
      </c>
      <c r="G67" s="59" t="s">
        <v>339</v>
      </c>
      <c r="H67" s="59" t="s">
        <v>341</v>
      </c>
      <c r="I67" s="59" t="s">
        <v>146</v>
      </c>
      <c r="J67" s="58">
        <v>43111</v>
      </c>
      <c r="K67" s="59" t="s">
        <v>134</v>
      </c>
      <c r="L67" s="59" t="s">
        <v>135</v>
      </c>
      <c r="M67" s="59" t="s">
        <v>133</v>
      </c>
      <c r="N67" s="59" t="s">
        <v>136</v>
      </c>
      <c r="O67" s="58">
        <v>12652</v>
      </c>
      <c r="P67" s="58">
        <v>43045</v>
      </c>
      <c r="Q67" s="60">
        <f t="shared" si="1"/>
        <v>83</v>
      </c>
      <c r="R67" s="59" t="s">
        <v>225</v>
      </c>
      <c r="S67" s="59" t="s">
        <v>138</v>
      </c>
      <c r="T67" s="59" t="s">
        <v>148</v>
      </c>
      <c r="U67" s="59">
        <v>0</v>
      </c>
      <c r="V67" s="59">
        <v>0</v>
      </c>
      <c r="W67" s="59">
        <v>0</v>
      </c>
      <c r="X67" s="59" t="s">
        <v>150</v>
      </c>
      <c r="Y67" s="59">
        <v>3</v>
      </c>
      <c r="Z67" s="59" t="s">
        <v>151</v>
      </c>
      <c r="AA67" s="59" t="s">
        <v>150</v>
      </c>
      <c r="AB67" s="59"/>
      <c r="AC67" s="59"/>
      <c r="AD67" s="59"/>
      <c r="AE67" s="59"/>
      <c r="AF67" s="59"/>
      <c r="AG67" s="59"/>
      <c r="AH67" s="59"/>
      <c r="AI67" s="59"/>
      <c r="AJ67" s="59"/>
      <c r="AK67" s="59"/>
      <c r="AL67" s="59"/>
      <c r="AM67" s="59"/>
      <c r="AN67" s="59"/>
      <c r="AO67" s="59"/>
      <c r="AP67" s="59"/>
      <c r="AQ67" s="59"/>
      <c r="AR67" s="59"/>
      <c r="AS67" s="59"/>
      <c r="AT67" s="59"/>
      <c r="AU67" s="59"/>
      <c r="AV67" s="59"/>
      <c r="AW67" s="59"/>
      <c r="AX67" s="59"/>
      <c r="AY67" s="59"/>
      <c r="AZ67" s="59"/>
      <c r="BA67" s="59"/>
      <c r="BB67" s="59"/>
      <c r="BC67" s="59"/>
      <c r="BD67" s="59"/>
      <c r="BE67" s="59"/>
      <c r="BF67" s="59"/>
      <c r="BG67" s="59"/>
      <c r="BH67" s="59"/>
      <c r="BI67" s="59"/>
      <c r="BJ67" s="59"/>
      <c r="BK67" s="59"/>
      <c r="BL67" s="59"/>
      <c r="BM67" s="59"/>
      <c r="BN67" s="59"/>
      <c r="BO67" s="59"/>
      <c r="BP67" s="59"/>
      <c r="BQ67" s="59"/>
      <c r="BR67" s="59"/>
      <c r="BS67" s="59"/>
      <c r="BT67" s="59"/>
      <c r="BU67" s="59"/>
      <c r="BV67" s="59"/>
      <c r="BW67" s="59"/>
      <c r="BX67" s="59"/>
      <c r="BY67" s="59"/>
      <c r="BZ67" s="59"/>
      <c r="CA67" s="59"/>
      <c r="CB67" s="59"/>
      <c r="CC67" s="59"/>
      <c r="CD67" s="59"/>
      <c r="CE67" s="59"/>
      <c r="CF67" s="59"/>
      <c r="CG67" s="59"/>
      <c r="CH67" s="59"/>
      <c r="CI67" s="59"/>
      <c r="CJ67" s="59"/>
      <c r="CK67" s="59"/>
      <c r="CL67" s="59"/>
      <c r="CM67" s="59"/>
      <c r="CN67" s="59"/>
      <c r="CO67" s="59"/>
      <c r="CP67" s="59"/>
      <c r="CQ67" s="59"/>
      <c r="CR67" s="59"/>
      <c r="CS67" s="59"/>
      <c r="CT67" s="59"/>
      <c r="CU67" s="59"/>
      <c r="CV67" s="59"/>
      <c r="CW67" s="59"/>
      <c r="CX67" s="59"/>
      <c r="CY67" s="59"/>
      <c r="CZ67" s="59"/>
      <c r="DA67" s="59"/>
      <c r="DB67" s="59"/>
      <c r="DC67" s="59"/>
      <c r="DD67" s="59"/>
      <c r="DE67" s="59"/>
      <c r="DF67" s="59"/>
      <c r="DG67" s="59"/>
      <c r="DH67" s="59"/>
      <c r="DI67" s="59"/>
      <c r="DJ67" s="59"/>
      <c r="DK67" s="59"/>
      <c r="DL67" s="59"/>
      <c r="DM67" s="59"/>
      <c r="DN67" s="59"/>
      <c r="DO67" s="59"/>
      <c r="DP67" s="59"/>
      <c r="DQ67" s="59"/>
      <c r="DR67" s="59"/>
      <c r="DS67" s="59"/>
      <c r="DT67" s="59"/>
      <c r="DU67" s="59"/>
      <c r="DV67" s="59"/>
      <c r="DW67" s="59"/>
      <c r="DX67" s="59"/>
      <c r="DY67" s="59"/>
      <c r="DZ67" s="59"/>
      <c r="EA67" s="59"/>
      <c r="EB67" s="59"/>
      <c r="EC67" s="59"/>
      <c r="ED67" s="59"/>
      <c r="EE67" s="59"/>
      <c r="EF67" s="59"/>
      <c r="EG67" s="59"/>
      <c r="EH67" s="59"/>
      <c r="EI67" s="59"/>
      <c r="EJ67" s="59"/>
      <c r="EK67" s="59"/>
      <c r="EL67" s="59"/>
      <c r="EM67" s="59"/>
      <c r="EN67" s="59"/>
      <c r="EO67" s="59"/>
      <c r="EP67" s="59"/>
      <c r="EQ67" s="59"/>
      <c r="ER67" s="59"/>
      <c r="ES67" s="59"/>
      <c r="ET67" s="59"/>
      <c r="EU67" s="59"/>
      <c r="EV67" s="59"/>
      <c r="EW67" s="59"/>
      <c r="EX67" s="59"/>
      <c r="EY67" s="59"/>
      <c r="EZ67" s="59"/>
      <c r="FA67" s="59"/>
      <c r="FB67" s="59"/>
      <c r="FC67" s="59"/>
      <c r="FD67" s="59"/>
      <c r="FE67" s="59"/>
    </row>
    <row r="68" spans="1:161" ht="15.75" customHeight="1" x14ac:dyDescent="0.35">
      <c r="A68" s="69">
        <v>4509320175</v>
      </c>
      <c r="B68" s="59"/>
      <c r="C68" s="59" t="s">
        <v>130</v>
      </c>
      <c r="D68" s="59" t="s">
        <v>342</v>
      </c>
      <c r="E68" s="59" t="s">
        <v>343</v>
      </c>
      <c r="F68" s="58">
        <v>43125</v>
      </c>
      <c r="G68" s="59" t="s">
        <v>133</v>
      </c>
      <c r="H68" s="59" t="s">
        <v>133</v>
      </c>
      <c r="I68" s="59" t="s">
        <v>133</v>
      </c>
      <c r="J68" s="59" t="s">
        <v>133</v>
      </c>
      <c r="K68" s="59" t="s">
        <v>203</v>
      </c>
      <c r="L68" s="59" t="s">
        <v>135</v>
      </c>
      <c r="M68" s="59" t="s">
        <v>133</v>
      </c>
      <c r="N68" s="59" t="s">
        <v>136</v>
      </c>
      <c r="O68" s="58">
        <v>18082</v>
      </c>
      <c r="P68" s="58">
        <v>43033</v>
      </c>
      <c r="Q68" s="60">
        <f t="shared" si="1"/>
        <v>68</v>
      </c>
      <c r="R68" s="59" t="s">
        <v>327</v>
      </c>
      <c r="S68" s="59" t="s">
        <v>138</v>
      </c>
      <c r="T68" s="59" t="s">
        <v>140</v>
      </c>
      <c r="U68" s="59">
        <v>0</v>
      </c>
      <c r="V68" s="59">
        <v>0</v>
      </c>
      <c r="W68" s="59" t="s">
        <v>184</v>
      </c>
      <c r="X68" s="59" t="s">
        <v>186</v>
      </c>
      <c r="Y68" s="59">
        <v>2</v>
      </c>
      <c r="Z68" s="59" t="s">
        <v>133</v>
      </c>
      <c r="AA68" s="59" t="s">
        <v>186</v>
      </c>
      <c r="AB68" s="59"/>
      <c r="AC68" s="59"/>
      <c r="AD68" s="59"/>
      <c r="AE68" s="59"/>
      <c r="AF68" s="59"/>
      <c r="AG68" s="59"/>
      <c r="AH68" s="59"/>
      <c r="AI68" s="59"/>
      <c r="AJ68" s="59"/>
      <c r="AK68" s="59"/>
      <c r="AL68" s="59"/>
      <c r="AM68" s="59"/>
      <c r="AN68" s="59"/>
      <c r="AO68" s="59"/>
      <c r="AP68" s="59"/>
      <c r="AQ68" s="59"/>
      <c r="AR68" s="59"/>
      <c r="AS68" s="59"/>
      <c r="AT68" s="59"/>
      <c r="AU68" s="59"/>
      <c r="AV68" s="59"/>
      <c r="AW68" s="59"/>
      <c r="AX68" s="59"/>
      <c r="AY68" s="59"/>
      <c r="AZ68" s="59"/>
      <c r="BA68" s="59"/>
      <c r="BB68" s="59"/>
      <c r="BC68" s="59"/>
      <c r="BD68" s="59"/>
      <c r="BE68" s="59"/>
      <c r="BF68" s="59"/>
      <c r="BG68" s="59"/>
      <c r="BH68" s="59"/>
      <c r="BI68" s="59"/>
      <c r="BJ68" s="59"/>
      <c r="BK68" s="59"/>
      <c r="BL68" s="59"/>
      <c r="BM68" s="59"/>
      <c r="BN68" s="59"/>
      <c r="BO68" s="59"/>
      <c r="BP68" s="59"/>
      <c r="BQ68" s="59"/>
      <c r="BR68" s="59"/>
      <c r="BS68" s="59"/>
      <c r="BT68" s="59"/>
      <c r="BU68" s="59"/>
      <c r="BV68" s="59"/>
      <c r="BW68" s="59"/>
      <c r="BX68" s="59"/>
      <c r="BY68" s="59"/>
      <c r="BZ68" s="59"/>
      <c r="CA68" s="59"/>
      <c r="CB68" s="59"/>
      <c r="CC68" s="59"/>
      <c r="CD68" s="59"/>
      <c r="CE68" s="59"/>
      <c r="CF68" s="59"/>
      <c r="CG68" s="59"/>
      <c r="CH68" s="59"/>
      <c r="CI68" s="59"/>
      <c r="CJ68" s="59"/>
      <c r="CK68" s="59"/>
      <c r="CL68" s="59"/>
      <c r="CM68" s="59"/>
      <c r="CN68" s="59"/>
      <c r="CO68" s="59"/>
      <c r="CP68" s="59"/>
      <c r="CQ68" s="59"/>
      <c r="CR68" s="59"/>
      <c r="CS68" s="59"/>
      <c r="CT68" s="59"/>
      <c r="CU68" s="59"/>
      <c r="CV68" s="59"/>
      <c r="CW68" s="59"/>
      <c r="CX68" s="59"/>
      <c r="CY68" s="59"/>
      <c r="CZ68" s="59"/>
      <c r="DA68" s="59"/>
      <c r="DB68" s="59"/>
      <c r="DC68" s="59"/>
      <c r="DD68" s="59"/>
      <c r="DE68" s="59" t="s">
        <v>344</v>
      </c>
      <c r="DF68" s="59"/>
      <c r="DG68" s="59"/>
      <c r="DH68" s="59"/>
      <c r="DI68" s="59"/>
      <c r="DJ68" s="59"/>
      <c r="DK68" s="59"/>
      <c r="DL68" s="59"/>
      <c r="DM68" s="59"/>
      <c r="DN68" s="59"/>
      <c r="DO68" s="59"/>
      <c r="DP68" s="59"/>
      <c r="DQ68" s="59"/>
      <c r="DR68" s="59"/>
      <c r="DS68" s="59"/>
      <c r="DT68" s="59"/>
      <c r="DU68" s="59"/>
      <c r="DV68" s="59"/>
      <c r="DW68" s="59"/>
      <c r="DX68" s="59"/>
      <c r="DY68" s="59"/>
      <c r="DZ68" s="59"/>
      <c r="EA68" s="59"/>
      <c r="EB68" s="59"/>
      <c r="EC68" s="59"/>
      <c r="ED68" s="59"/>
      <c r="EE68" s="59"/>
      <c r="EF68" s="59"/>
      <c r="EG68" s="59"/>
      <c r="EH68" s="59"/>
      <c r="EI68" s="59"/>
      <c r="EJ68" s="59"/>
      <c r="EK68" s="59"/>
      <c r="EL68" s="59"/>
      <c r="EM68" s="59"/>
      <c r="EN68" s="59"/>
      <c r="EO68" s="59"/>
      <c r="EP68" s="59"/>
      <c r="EQ68" s="59"/>
      <c r="ER68" s="59"/>
      <c r="ES68" s="59"/>
      <c r="ET68" s="59"/>
      <c r="EU68" s="59"/>
      <c r="EV68" s="59"/>
      <c r="EW68" s="59"/>
      <c r="EX68" s="59"/>
      <c r="EY68" s="59"/>
      <c r="EZ68" s="59"/>
      <c r="FA68" s="59"/>
      <c r="FB68" s="59"/>
      <c r="FC68" s="59"/>
      <c r="FD68" s="59"/>
      <c r="FE68" s="59"/>
    </row>
    <row r="69" spans="1:161" ht="15.75" customHeight="1" x14ac:dyDescent="0.35">
      <c r="A69" s="69">
        <v>4508605656</v>
      </c>
      <c r="B69" s="59"/>
      <c r="C69" s="59" t="s">
        <v>130</v>
      </c>
      <c r="D69" s="59" t="s">
        <v>345</v>
      </c>
      <c r="E69" s="59" t="s">
        <v>346</v>
      </c>
      <c r="F69" s="58">
        <v>43126</v>
      </c>
      <c r="G69" s="59" t="s">
        <v>345</v>
      </c>
      <c r="H69" s="59" t="s">
        <v>347</v>
      </c>
      <c r="I69" s="59" t="s">
        <v>169</v>
      </c>
      <c r="J69" s="58">
        <v>43126</v>
      </c>
      <c r="K69" s="59" t="s">
        <v>134</v>
      </c>
      <c r="L69" s="59" t="s">
        <v>135</v>
      </c>
      <c r="M69" s="59" t="s">
        <v>133</v>
      </c>
      <c r="N69" s="59" t="s">
        <v>136</v>
      </c>
      <c r="O69" s="58">
        <v>17822</v>
      </c>
      <c r="P69" s="58">
        <v>43075</v>
      </c>
      <c r="Q69" s="60">
        <f t="shared" si="1"/>
        <v>69</v>
      </c>
      <c r="R69" s="59" t="s">
        <v>348</v>
      </c>
      <c r="S69" s="59" t="s">
        <v>138</v>
      </c>
      <c r="T69" s="59" t="s">
        <v>148</v>
      </c>
      <c r="U69" s="59">
        <v>0</v>
      </c>
      <c r="V69" s="59">
        <v>0</v>
      </c>
      <c r="W69" s="59">
        <v>0</v>
      </c>
      <c r="X69" s="59" t="s">
        <v>150</v>
      </c>
      <c r="Y69" s="59">
        <v>3</v>
      </c>
      <c r="Z69" s="59" t="s">
        <v>151</v>
      </c>
      <c r="AA69" s="59" t="s">
        <v>150</v>
      </c>
      <c r="AB69" s="59"/>
      <c r="AC69" s="59"/>
      <c r="AD69" s="59"/>
      <c r="AE69" s="59"/>
      <c r="AF69" s="59"/>
      <c r="AG69" s="59"/>
      <c r="AH69" s="59"/>
      <c r="AI69" s="59"/>
      <c r="AJ69" s="59"/>
      <c r="AK69" s="59"/>
      <c r="AL69" s="59"/>
      <c r="AM69" s="59"/>
      <c r="AN69" s="59"/>
      <c r="AO69" s="59"/>
      <c r="AP69" s="59"/>
      <c r="AQ69" s="59"/>
      <c r="AR69" s="59"/>
      <c r="AS69" s="59"/>
      <c r="AT69" s="59"/>
      <c r="AU69" s="59"/>
      <c r="AV69" s="59"/>
      <c r="AW69" s="59"/>
      <c r="AX69" s="59"/>
      <c r="AY69" s="59"/>
      <c r="AZ69" s="59"/>
      <c r="BA69" s="59"/>
      <c r="BB69" s="59"/>
      <c r="BC69" s="59"/>
      <c r="BD69" s="59"/>
      <c r="BE69" s="59"/>
      <c r="BF69" s="59"/>
      <c r="BG69" s="59"/>
      <c r="BH69" s="59"/>
      <c r="BI69" s="59"/>
      <c r="BJ69" s="59"/>
      <c r="BK69" s="59"/>
      <c r="BL69" s="59"/>
      <c r="BM69" s="59"/>
      <c r="BN69" s="59"/>
      <c r="BO69" s="59"/>
      <c r="BP69" s="59"/>
      <c r="BQ69" s="59"/>
      <c r="BR69" s="59"/>
      <c r="BS69" s="59"/>
      <c r="BT69" s="59"/>
      <c r="BU69" s="59"/>
      <c r="BV69" s="59"/>
      <c r="BW69" s="59"/>
      <c r="BX69" s="59"/>
      <c r="BY69" s="59"/>
      <c r="BZ69" s="59"/>
      <c r="CA69" s="59"/>
      <c r="CB69" s="59"/>
      <c r="CC69" s="59"/>
      <c r="CD69" s="59"/>
      <c r="CE69" s="59"/>
      <c r="CF69" s="59"/>
      <c r="CG69" s="59"/>
      <c r="CH69" s="59"/>
      <c r="CI69" s="59"/>
      <c r="CJ69" s="59"/>
      <c r="CK69" s="59"/>
      <c r="CL69" s="59"/>
      <c r="CM69" s="59"/>
      <c r="CN69" s="59"/>
      <c r="CO69" s="59"/>
      <c r="CP69" s="59"/>
      <c r="CQ69" s="59"/>
      <c r="CR69" s="59"/>
      <c r="CS69" s="59"/>
      <c r="CT69" s="59"/>
      <c r="CU69" s="59"/>
      <c r="CV69" s="59"/>
      <c r="CW69" s="59"/>
      <c r="CX69" s="59"/>
      <c r="CY69" s="59"/>
      <c r="CZ69" s="59"/>
      <c r="DA69" s="59"/>
      <c r="DB69" s="59"/>
      <c r="DC69" s="59"/>
      <c r="DD69" s="59"/>
      <c r="DE69" s="59"/>
      <c r="DF69" s="59"/>
      <c r="DG69" s="59"/>
      <c r="DH69" s="59"/>
      <c r="DI69" s="59"/>
      <c r="DJ69" s="59"/>
      <c r="DK69" s="59"/>
      <c r="DL69" s="59"/>
      <c r="DM69" s="59"/>
      <c r="DN69" s="59"/>
      <c r="DO69" s="59"/>
      <c r="DP69" s="59"/>
      <c r="DQ69" s="59"/>
      <c r="DR69" s="59"/>
      <c r="DS69" s="59"/>
      <c r="DT69" s="59"/>
      <c r="DU69" s="59"/>
      <c r="DV69" s="59"/>
      <c r="DW69" s="59"/>
      <c r="DX69" s="59"/>
      <c r="DY69" s="59"/>
      <c r="DZ69" s="59"/>
      <c r="EA69" s="59"/>
      <c r="EB69" s="59"/>
      <c r="EC69" s="59"/>
      <c r="ED69" s="59"/>
      <c r="EE69" s="59"/>
      <c r="EF69" s="59"/>
      <c r="EG69" s="59"/>
      <c r="EH69" s="59"/>
      <c r="EI69" s="59"/>
      <c r="EJ69" s="59"/>
      <c r="EK69" s="59"/>
      <c r="EL69" s="59"/>
      <c r="EM69" s="59"/>
      <c r="EN69" s="59"/>
      <c r="EO69" s="59"/>
      <c r="EP69" s="59"/>
      <c r="EQ69" s="59"/>
      <c r="ER69" s="59"/>
      <c r="ES69" s="59"/>
      <c r="ET69" s="59"/>
      <c r="EU69" s="59"/>
      <c r="EV69" s="59"/>
      <c r="EW69" s="59"/>
      <c r="EX69" s="59"/>
      <c r="EY69" s="59"/>
      <c r="EZ69" s="59"/>
      <c r="FA69" s="59"/>
      <c r="FB69" s="59"/>
      <c r="FC69" s="59"/>
      <c r="FD69" s="59"/>
      <c r="FE69" s="59"/>
    </row>
    <row r="70" spans="1:161" ht="15.75" customHeight="1" x14ac:dyDescent="0.35">
      <c r="A70" s="69">
        <v>4450205227</v>
      </c>
      <c r="B70" s="59"/>
      <c r="C70" s="59" t="s">
        <v>130</v>
      </c>
      <c r="D70" s="59" t="s">
        <v>349</v>
      </c>
      <c r="E70" s="59" t="s">
        <v>350</v>
      </c>
      <c r="F70" s="58">
        <v>43136</v>
      </c>
      <c r="G70" s="59" t="s">
        <v>349</v>
      </c>
      <c r="H70" s="59" t="s">
        <v>154</v>
      </c>
      <c r="I70" s="59" t="s">
        <v>169</v>
      </c>
      <c r="J70" s="58">
        <v>43136</v>
      </c>
      <c r="K70" s="59" t="s">
        <v>134</v>
      </c>
      <c r="L70" s="59" t="s">
        <v>135</v>
      </c>
      <c r="M70" s="59" t="s">
        <v>133</v>
      </c>
      <c r="N70" s="59" t="s">
        <v>136</v>
      </c>
      <c r="O70" s="58">
        <v>20407</v>
      </c>
      <c r="P70" s="58">
        <v>43084</v>
      </c>
      <c r="Q70" s="60">
        <f t="shared" ref="Q70:Q82" si="2">DATEDIF(O70, P70,"Y")</f>
        <v>62</v>
      </c>
      <c r="R70" s="59" t="s">
        <v>327</v>
      </c>
      <c r="S70" s="59" t="s">
        <v>138</v>
      </c>
      <c r="T70" s="59" t="s">
        <v>198</v>
      </c>
      <c r="U70" s="59">
        <v>0</v>
      </c>
      <c r="V70" s="59">
        <v>0</v>
      </c>
      <c r="W70" s="59">
        <v>0</v>
      </c>
      <c r="X70" s="59" t="s">
        <v>199</v>
      </c>
      <c r="Y70" s="59">
        <v>3</v>
      </c>
      <c r="Z70" s="59" t="s">
        <v>200</v>
      </c>
      <c r="AA70" s="59" t="s">
        <v>199</v>
      </c>
      <c r="AB70" s="59"/>
      <c r="AC70" s="59"/>
      <c r="AD70" s="59"/>
      <c r="AE70" s="59"/>
      <c r="AF70" s="59"/>
      <c r="AG70" s="59"/>
      <c r="AH70" s="59"/>
      <c r="AI70" s="59"/>
      <c r="AJ70" s="59"/>
      <c r="AK70" s="59"/>
      <c r="AL70" s="59"/>
      <c r="AM70" s="59"/>
      <c r="AN70" s="59"/>
      <c r="AO70" s="59"/>
      <c r="AP70" s="59"/>
      <c r="AQ70" s="59"/>
      <c r="AR70" s="59"/>
      <c r="AS70" s="59"/>
      <c r="AT70" s="59"/>
      <c r="AU70" s="59"/>
      <c r="AV70" s="59"/>
      <c r="AW70" s="59"/>
      <c r="AX70" s="59"/>
      <c r="AY70" s="59"/>
      <c r="AZ70" s="59"/>
      <c r="BA70" s="59"/>
      <c r="BB70" s="59"/>
      <c r="BC70" s="59"/>
      <c r="BD70" s="59"/>
      <c r="BE70" s="59"/>
      <c r="BF70" s="59"/>
      <c r="BG70" s="59"/>
      <c r="BH70" s="59"/>
      <c r="BI70" s="59"/>
      <c r="BJ70" s="59"/>
      <c r="BK70" s="59"/>
      <c r="BL70" s="59"/>
      <c r="BM70" s="59"/>
      <c r="BN70" s="59"/>
      <c r="BO70" s="59"/>
      <c r="BP70" s="59"/>
      <c r="BQ70" s="59"/>
      <c r="BR70" s="59"/>
      <c r="BS70" s="59"/>
      <c r="BT70" s="59"/>
      <c r="BU70" s="59"/>
      <c r="BV70" s="59"/>
      <c r="BW70" s="59"/>
      <c r="BX70" s="59"/>
      <c r="BY70" s="59"/>
      <c r="BZ70" s="59"/>
      <c r="CA70" s="59"/>
      <c r="CB70" s="59"/>
      <c r="CC70" s="59"/>
      <c r="CD70" s="59"/>
      <c r="CE70" s="59"/>
      <c r="CF70" s="59"/>
      <c r="CG70" s="59"/>
      <c r="CH70" s="59"/>
      <c r="CI70" s="59"/>
      <c r="CJ70" s="59"/>
      <c r="CK70" s="59"/>
      <c r="CL70" s="59"/>
      <c r="CM70" s="59"/>
      <c r="CN70" s="59"/>
      <c r="CO70" s="59"/>
      <c r="CP70" s="59"/>
      <c r="CQ70" s="59"/>
      <c r="CR70" s="59"/>
      <c r="CS70" s="59"/>
      <c r="CT70" s="59"/>
      <c r="CU70" s="59"/>
      <c r="CV70" s="59"/>
      <c r="CW70" s="59"/>
      <c r="CX70" s="59"/>
      <c r="CY70" s="59"/>
      <c r="CZ70" s="59"/>
      <c r="DA70" s="59"/>
      <c r="DB70" s="59"/>
      <c r="DC70" s="59"/>
      <c r="DD70" s="59"/>
      <c r="DE70" s="59" t="s">
        <v>351</v>
      </c>
      <c r="DF70" s="59"/>
      <c r="DG70" s="59"/>
      <c r="DH70" s="59"/>
      <c r="DI70" s="59"/>
      <c r="DJ70" s="59"/>
      <c r="DK70" s="59"/>
      <c r="DL70" s="59"/>
      <c r="DM70" s="59"/>
      <c r="DN70" s="59"/>
      <c r="DO70" s="59"/>
      <c r="DP70" s="59"/>
      <c r="DQ70" s="59"/>
      <c r="DR70" s="59"/>
      <c r="DS70" s="59"/>
      <c r="DT70" s="59"/>
      <c r="DU70" s="59"/>
      <c r="DV70" s="59"/>
      <c r="DW70" s="59"/>
      <c r="DX70" s="59"/>
      <c r="DY70" s="59"/>
      <c r="DZ70" s="59"/>
      <c r="EA70" s="59"/>
      <c r="EB70" s="59"/>
      <c r="EC70" s="59"/>
      <c r="ED70" s="59"/>
      <c r="EE70" s="59"/>
      <c r="EF70" s="59"/>
      <c r="EG70" s="59"/>
      <c r="EH70" s="59"/>
      <c r="EI70" s="59"/>
      <c r="EJ70" s="59"/>
      <c r="EK70" s="59"/>
      <c r="EL70" s="59"/>
      <c r="EM70" s="59"/>
      <c r="EN70" s="59"/>
      <c r="EO70" s="59"/>
      <c r="EP70" s="59"/>
      <c r="EQ70" s="59"/>
      <c r="ER70" s="59"/>
      <c r="ES70" s="59"/>
      <c r="ET70" s="59"/>
      <c r="EU70" s="59"/>
      <c r="EV70" s="59"/>
      <c r="EW70" s="59"/>
      <c r="EX70" s="59"/>
      <c r="EY70" s="59"/>
      <c r="EZ70" s="59"/>
      <c r="FA70" s="59"/>
      <c r="FB70" s="59"/>
      <c r="FC70" s="59"/>
      <c r="FD70" s="59"/>
      <c r="FE70" s="59"/>
    </row>
    <row r="71" spans="1:161" ht="15.75" customHeight="1" x14ac:dyDescent="0.35">
      <c r="A71" s="69">
        <v>4860694163</v>
      </c>
      <c r="B71" s="59"/>
      <c r="C71" s="59" t="s">
        <v>130</v>
      </c>
      <c r="D71" s="59" t="s">
        <v>352</v>
      </c>
      <c r="E71" s="59" t="s">
        <v>353</v>
      </c>
      <c r="F71" s="58">
        <v>43145</v>
      </c>
      <c r="G71" s="59" t="s">
        <v>133</v>
      </c>
      <c r="H71" s="59" t="s">
        <v>133</v>
      </c>
      <c r="I71" s="59" t="s">
        <v>133</v>
      </c>
      <c r="J71" s="59" t="s">
        <v>133</v>
      </c>
      <c r="K71" s="59" t="s">
        <v>134</v>
      </c>
      <c r="L71" s="59" t="s">
        <v>135</v>
      </c>
      <c r="M71" s="59" t="s">
        <v>133</v>
      </c>
      <c r="N71" s="59" t="s">
        <v>136</v>
      </c>
      <c r="O71" s="58">
        <v>23255</v>
      </c>
      <c r="P71" s="58">
        <v>43111</v>
      </c>
      <c r="Q71" s="60">
        <f t="shared" si="2"/>
        <v>54</v>
      </c>
      <c r="R71" s="59" t="s">
        <v>354</v>
      </c>
      <c r="S71" s="59" t="s">
        <v>138</v>
      </c>
      <c r="T71" s="59" t="s">
        <v>140</v>
      </c>
      <c r="U71" s="59" t="s">
        <v>140</v>
      </c>
      <c r="V71" s="59" t="s">
        <v>140</v>
      </c>
      <c r="W71" s="59" t="s">
        <v>355</v>
      </c>
      <c r="X71" s="59" t="s">
        <v>186</v>
      </c>
      <c r="Y71" s="59">
        <v>2</v>
      </c>
      <c r="Z71" s="59" t="s">
        <v>133</v>
      </c>
      <c r="AA71" s="59" t="s">
        <v>186</v>
      </c>
      <c r="AB71" s="59"/>
      <c r="AC71" s="59"/>
      <c r="AD71" s="59"/>
      <c r="AE71" s="59"/>
      <c r="AF71" s="59"/>
      <c r="AG71" s="59"/>
      <c r="AH71" s="59"/>
      <c r="AI71" s="59"/>
      <c r="AJ71" s="59"/>
      <c r="AK71" s="59"/>
      <c r="AL71" s="59"/>
      <c r="AM71" s="59"/>
      <c r="AN71" s="59"/>
      <c r="AO71" s="59"/>
      <c r="AP71" s="59"/>
      <c r="AQ71" s="59"/>
      <c r="AR71" s="59"/>
      <c r="AS71" s="59"/>
      <c r="AT71" s="59"/>
      <c r="AU71" s="59"/>
      <c r="AV71" s="59"/>
      <c r="AW71" s="59"/>
      <c r="AX71" s="59"/>
      <c r="AY71" s="59"/>
      <c r="AZ71" s="59"/>
      <c r="BA71" s="59"/>
      <c r="BB71" s="59"/>
      <c r="BC71" s="59"/>
      <c r="BD71" s="59"/>
      <c r="BE71" s="59"/>
      <c r="BF71" s="59"/>
      <c r="BG71" s="59"/>
      <c r="BH71" s="59"/>
      <c r="BI71" s="59"/>
      <c r="BJ71" s="59"/>
      <c r="BK71" s="59"/>
      <c r="BL71" s="59"/>
      <c r="BM71" s="59"/>
      <c r="BN71" s="59"/>
      <c r="BO71" s="59"/>
      <c r="BP71" s="59"/>
      <c r="BQ71" s="59"/>
      <c r="BR71" s="59"/>
      <c r="BS71" s="59"/>
      <c r="BT71" s="59"/>
      <c r="BU71" s="59"/>
      <c r="BV71" s="59"/>
      <c r="BW71" s="59"/>
      <c r="BX71" s="59"/>
      <c r="BY71" s="59"/>
      <c r="BZ71" s="59"/>
      <c r="CA71" s="59"/>
      <c r="CB71" s="59"/>
      <c r="CC71" s="59"/>
      <c r="CD71" s="59"/>
      <c r="CE71" s="59"/>
      <c r="CF71" s="59"/>
      <c r="CG71" s="59"/>
      <c r="CH71" s="59"/>
      <c r="CI71" s="59"/>
      <c r="CJ71" s="59"/>
      <c r="CK71" s="59"/>
      <c r="CL71" s="59"/>
      <c r="CM71" s="59"/>
      <c r="CN71" s="59"/>
      <c r="CO71" s="59"/>
      <c r="CP71" s="59"/>
      <c r="CQ71" s="59"/>
      <c r="CR71" s="59"/>
      <c r="CS71" s="59"/>
      <c r="CT71" s="59"/>
      <c r="CU71" s="59"/>
      <c r="CV71" s="59"/>
      <c r="CW71" s="59"/>
      <c r="CX71" s="59"/>
      <c r="CY71" s="59"/>
      <c r="CZ71" s="59"/>
      <c r="DA71" s="59"/>
      <c r="DB71" s="59"/>
      <c r="DC71" s="59"/>
      <c r="DD71" s="59"/>
      <c r="DE71" s="59"/>
      <c r="DF71" s="59"/>
      <c r="DG71" s="59"/>
      <c r="DH71" s="59"/>
      <c r="DI71" s="59"/>
      <c r="DJ71" s="59"/>
      <c r="DK71" s="59"/>
      <c r="DL71" s="59"/>
      <c r="DM71" s="59"/>
      <c r="DN71" s="59"/>
      <c r="DO71" s="59"/>
      <c r="DP71" s="59"/>
      <c r="DQ71" s="59"/>
      <c r="DR71" s="59"/>
      <c r="DS71" s="59"/>
      <c r="DT71" s="59"/>
      <c r="DU71" s="59"/>
      <c r="DV71" s="59"/>
      <c r="DW71" s="59"/>
      <c r="DX71" s="59"/>
      <c r="DY71" s="59"/>
      <c r="DZ71" s="59"/>
      <c r="EA71" s="59"/>
      <c r="EB71" s="59"/>
      <c r="EC71" s="59"/>
      <c r="ED71" s="59"/>
      <c r="EE71" s="59"/>
      <c r="EF71" s="59"/>
      <c r="EG71" s="59"/>
      <c r="EH71" s="59"/>
      <c r="EI71" s="59"/>
      <c r="EJ71" s="59"/>
      <c r="EK71" s="59"/>
      <c r="EL71" s="59"/>
      <c r="EM71" s="59"/>
      <c r="EN71" s="59"/>
      <c r="EO71" s="59"/>
      <c r="EP71" s="59"/>
      <c r="EQ71" s="59"/>
      <c r="ER71" s="59"/>
      <c r="ES71" s="59"/>
      <c r="ET71" s="59"/>
      <c r="EU71" s="59"/>
      <c r="EV71" s="59"/>
      <c r="EW71" s="59"/>
      <c r="EX71" s="59"/>
      <c r="EY71" s="59"/>
      <c r="EZ71" s="59"/>
      <c r="FA71" s="59"/>
      <c r="FB71" s="59"/>
      <c r="FC71" s="59"/>
      <c r="FD71" s="59"/>
      <c r="FE71" s="59"/>
    </row>
    <row r="72" spans="1:161" ht="15.75" customHeight="1" x14ac:dyDescent="0.35">
      <c r="A72" s="69">
        <v>6060078338</v>
      </c>
      <c r="B72" s="59"/>
      <c r="C72" s="59" t="s">
        <v>130</v>
      </c>
      <c r="D72" s="59" t="s">
        <v>356</v>
      </c>
      <c r="E72" s="59" t="s">
        <v>350</v>
      </c>
      <c r="F72" s="58">
        <v>43153</v>
      </c>
      <c r="G72" s="59" t="s">
        <v>133</v>
      </c>
      <c r="H72" s="59" t="s">
        <v>133</v>
      </c>
      <c r="I72" s="59" t="s">
        <v>133</v>
      </c>
      <c r="J72" s="59" t="s">
        <v>133</v>
      </c>
      <c r="K72" s="59" t="s">
        <v>203</v>
      </c>
      <c r="L72" s="59" t="s">
        <v>135</v>
      </c>
      <c r="M72" s="59" t="s">
        <v>133</v>
      </c>
      <c r="N72" s="59" t="s">
        <v>136</v>
      </c>
      <c r="O72" s="58">
        <v>20665</v>
      </c>
      <c r="P72" s="58">
        <v>43091</v>
      </c>
      <c r="Q72" s="60">
        <f t="shared" si="2"/>
        <v>61</v>
      </c>
      <c r="R72" s="59" t="s">
        <v>147</v>
      </c>
      <c r="S72" s="59" t="s">
        <v>138</v>
      </c>
      <c r="T72" s="59" t="s">
        <v>148</v>
      </c>
      <c r="U72" s="59">
        <v>0</v>
      </c>
      <c r="V72" s="59">
        <v>0</v>
      </c>
      <c r="W72" s="59">
        <v>0</v>
      </c>
      <c r="X72" s="59" t="s">
        <v>150</v>
      </c>
      <c r="Y72" s="59">
        <v>1</v>
      </c>
      <c r="Z72" s="59" t="s">
        <v>151</v>
      </c>
      <c r="AA72" s="59" t="s">
        <v>150</v>
      </c>
      <c r="AB72" s="59"/>
      <c r="AC72" s="59"/>
      <c r="AD72" s="59"/>
      <c r="AE72" s="59"/>
      <c r="AF72" s="59"/>
      <c r="AG72" s="59"/>
      <c r="AH72" s="59"/>
      <c r="AI72" s="59"/>
      <c r="AJ72" s="59"/>
      <c r="AK72" s="59"/>
      <c r="AL72" s="59"/>
      <c r="AM72" s="59"/>
      <c r="AN72" s="59"/>
      <c r="AO72" s="59"/>
      <c r="AP72" s="59"/>
      <c r="AQ72" s="59"/>
      <c r="AR72" s="59"/>
      <c r="AS72" s="59"/>
      <c r="AT72" s="59"/>
      <c r="AU72" s="59"/>
      <c r="AV72" s="59"/>
      <c r="AW72" s="59"/>
      <c r="AX72" s="59"/>
      <c r="AY72" s="59"/>
      <c r="AZ72" s="59"/>
      <c r="BA72" s="59"/>
      <c r="BB72" s="59"/>
      <c r="BC72" s="59"/>
      <c r="BD72" s="59"/>
      <c r="BE72" s="59"/>
      <c r="BF72" s="59"/>
      <c r="BG72" s="59"/>
      <c r="BH72" s="59"/>
      <c r="BI72" s="59"/>
      <c r="BJ72" s="59"/>
      <c r="BK72" s="59"/>
      <c r="BL72" s="59"/>
      <c r="BM72" s="59"/>
      <c r="BN72" s="59"/>
      <c r="BO72" s="59"/>
      <c r="BP72" s="59"/>
      <c r="BQ72" s="59"/>
      <c r="BR72" s="59"/>
      <c r="BS72" s="59"/>
      <c r="BT72" s="59"/>
      <c r="BU72" s="59"/>
      <c r="BV72" s="59"/>
      <c r="BW72" s="59"/>
      <c r="BX72" s="59"/>
      <c r="BY72" s="59"/>
      <c r="BZ72" s="59"/>
      <c r="CA72" s="59"/>
      <c r="CB72" s="59"/>
      <c r="CC72" s="59"/>
      <c r="CD72" s="59"/>
      <c r="CE72" s="59"/>
      <c r="CF72" s="59"/>
      <c r="CG72" s="59"/>
      <c r="CH72" s="59"/>
      <c r="CI72" s="59"/>
      <c r="CJ72" s="59"/>
      <c r="CK72" s="59"/>
      <c r="CL72" s="59"/>
      <c r="CM72" s="59"/>
      <c r="CN72" s="59"/>
      <c r="CO72" s="59"/>
      <c r="CP72" s="59"/>
      <c r="CQ72" s="59"/>
      <c r="CR72" s="59"/>
      <c r="CS72" s="59"/>
      <c r="CT72" s="59"/>
      <c r="CU72" s="59"/>
      <c r="CV72" s="59"/>
      <c r="CW72" s="59"/>
      <c r="CX72" s="59"/>
      <c r="CY72" s="59"/>
      <c r="CZ72" s="59"/>
      <c r="DA72" s="59"/>
      <c r="DB72" s="59"/>
      <c r="DC72" s="59"/>
      <c r="DD72" s="59"/>
      <c r="DE72" s="59"/>
      <c r="DF72" s="59"/>
      <c r="DG72" s="59"/>
      <c r="DH72" s="59"/>
      <c r="DI72" s="59"/>
      <c r="DJ72" s="59"/>
      <c r="DK72" s="59"/>
      <c r="DL72" s="59"/>
      <c r="DM72" s="59"/>
      <c r="DN72" s="59"/>
      <c r="DO72" s="59"/>
      <c r="DP72" s="59"/>
      <c r="DQ72" s="59"/>
      <c r="DR72" s="59"/>
      <c r="DS72" s="59"/>
      <c r="DT72" s="59"/>
      <c r="DU72" s="59"/>
      <c r="DV72" s="59"/>
      <c r="DW72" s="59"/>
      <c r="DX72" s="59"/>
      <c r="DY72" s="59"/>
      <c r="DZ72" s="59"/>
      <c r="EA72" s="59"/>
      <c r="EB72" s="59"/>
      <c r="EC72" s="59"/>
      <c r="ED72" s="59"/>
      <c r="EE72" s="59"/>
      <c r="EF72" s="59"/>
      <c r="EG72" s="59"/>
      <c r="EH72" s="59"/>
      <c r="EI72" s="59"/>
      <c r="EJ72" s="59"/>
      <c r="EK72" s="59"/>
      <c r="EL72" s="59"/>
      <c r="EM72" s="59"/>
      <c r="EN72" s="59"/>
      <c r="EO72" s="59"/>
      <c r="EP72" s="59"/>
      <c r="EQ72" s="59"/>
      <c r="ER72" s="59"/>
      <c r="ES72" s="59"/>
      <c r="ET72" s="59"/>
      <c r="EU72" s="59"/>
      <c r="EV72" s="59"/>
      <c r="EW72" s="59"/>
      <c r="EX72" s="59"/>
      <c r="EY72" s="59"/>
      <c r="EZ72" s="59"/>
      <c r="FA72" s="59"/>
      <c r="FB72" s="59"/>
      <c r="FC72" s="59"/>
      <c r="FD72" s="59"/>
      <c r="FE72" s="59"/>
    </row>
    <row r="73" spans="1:161" ht="15.75" customHeight="1" x14ac:dyDescent="0.35">
      <c r="A73" s="69">
        <v>4382127971</v>
      </c>
      <c r="B73" s="59"/>
      <c r="C73" s="59" t="s">
        <v>130</v>
      </c>
      <c r="D73" s="59" t="s">
        <v>357</v>
      </c>
      <c r="E73" s="59" t="s">
        <v>358</v>
      </c>
      <c r="F73" s="58">
        <v>43157</v>
      </c>
      <c r="G73" s="59" t="s">
        <v>133</v>
      </c>
      <c r="H73" s="59" t="s">
        <v>133</v>
      </c>
      <c r="I73" s="59" t="s">
        <v>133</v>
      </c>
      <c r="J73" s="59" t="s">
        <v>133</v>
      </c>
      <c r="K73" s="59" t="s">
        <v>134</v>
      </c>
      <c r="L73" s="59" t="s">
        <v>135</v>
      </c>
      <c r="M73" s="59" t="s">
        <v>133</v>
      </c>
      <c r="N73" s="59" t="s">
        <v>136</v>
      </c>
      <c r="O73" s="58">
        <v>16344</v>
      </c>
      <c r="P73" s="58">
        <v>43125</v>
      </c>
      <c r="Q73" s="60">
        <f t="shared" si="2"/>
        <v>73</v>
      </c>
      <c r="R73" s="59" t="s">
        <v>147</v>
      </c>
      <c r="S73" s="59" t="s">
        <v>138</v>
      </c>
      <c r="T73" s="59" t="s">
        <v>148</v>
      </c>
      <c r="U73" s="59">
        <v>0</v>
      </c>
      <c r="V73" s="59">
        <v>0</v>
      </c>
      <c r="W73" s="59">
        <v>0</v>
      </c>
      <c r="X73" s="59" t="s">
        <v>150</v>
      </c>
      <c r="Y73" s="59">
        <v>3</v>
      </c>
      <c r="Z73" s="59" t="s">
        <v>151</v>
      </c>
      <c r="AA73" s="59" t="s">
        <v>150</v>
      </c>
      <c r="AB73" s="59"/>
      <c r="AC73" s="59"/>
      <c r="AD73" s="59"/>
      <c r="AE73" s="59"/>
      <c r="AF73" s="59"/>
      <c r="AG73" s="59"/>
      <c r="AH73" s="59"/>
      <c r="AI73" s="59"/>
      <c r="AJ73" s="59"/>
      <c r="AK73" s="59"/>
      <c r="AL73" s="59"/>
      <c r="AM73" s="59"/>
      <c r="AN73" s="59"/>
      <c r="AO73" s="59"/>
      <c r="AP73" s="59"/>
      <c r="AQ73" s="59"/>
      <c r="AR73" s="59"/>
      <c r="AS73" s="59"/>
      <c r="AT73" s="59"/>
      <c r="AU73" s="59"/>
      <c r="AV73" s="59"/>
      <c r="AW73" s="59"/>
      <c r="AX73" s="59"/>
      <c r="AY73" s="59"/>
      <c r="AZ73" s="59"/>
      <c r="BA73" s="59"/>
      <c r="BB73" s="59"/>
      <c r="BC73" s="59"/>
      <c r="BD73" s="59"/>
      <c r="BE73" s="59"/>
      <c r="BF73" s="59"/>
      <c r="BG73" s="59"/>
      <c r="BH73" s="59"/>
      <c r="BI73" s="59"/>
      <c r="BJ73" s="59"/>
      <c r="BK73" s="59"/>
      <c r="BL73" s="59"/>
      <c r="BM73" s="59"/>
      <c r="BN73" s="59"/>
      <c r="BO73" s="59"/>
      <c r="BP73" s="59"/>
      <c r="BQ73" s="59"/>
      <c r="BR73" s="59"/>
      <c r="BS73" s="59"/>
      <c r="BT73" s="59"/>
      <c r="BU73" s="59"/>
      <c r="BV73" s="59"/>
      <c r="BW73" s="59"/>
      <c r="BX73" s="59"/>
      <c r="BY73" s="59"/>
      <c r="BZ73" s="59"/>
      <c r="CA73" s="59"/>
      <c r="CB73" s="59"/>
      <c r="CC73" s="59"/>
      <c r="CD73" s="59"/>
      <c r="CE73" s="59"/>
      <c r="CF73" s="59"/>
      <c r="CG73" s="59"/>
      <c r="CH73" s="59"/>
      <c r="CI73" s="59"/>
      <c r="CJ73" s="59"/>
      <c r="CK73" s="59"/>
      <c r="CL73" s="59"/>
      <c r="CM73" s="59"/>
      <c r="CN73" s="59"/>
      <c r="CO73" s="59"/>
      <c r="CP73" s="59"/>
      <c r="CQ73" s="59"/>
      <c r="CR73" s="59"/>
      <c r="CS73" s="59"/>
      <c r="CT73" s="59"/>
      <c r="CU73" s="59"/>
      <c r="CV73" s="59"/>
      <c r="CW73" s="59"/>
      <c r="CX73" s="59"/>
      <c r="CY73" s="59"/>
      <c r="CZ73" s="59"/>
      <c r="DA73" s="59"/>
      <c r="DB73" s="59"/>
      <c r="DC73" s="59"/>
      <c r="DD73" s="59"/>
      <c r="DE73" s="59"/>
      <c r="DF73" s="59"/>
      <c r="DG73" s="59"/>
      <c r="DH73" s="59"/>
      <c r="DI73" s="59"/>
      <c r="DJ73" s="59"/>
      <c r="DK73" s="59"/>
      <c r="DL73" s="59"/>
      <c r="DM73" s="59"/>
      <c r="DN73" s="59"/>
      <c r="DO73" s="59"/>
      <c r="DP73" s="59"/>
      <c r="DQ73" s="59"/>
      <c r="DR73" s="59"/>
      <c r="DS73" s="59"/>
      <c r="DT73" s="59"/>
      <c r="DU73" s="59"/>
      <c r="DV73" s="59"/>
      <c r="DW73" s="59"/>
      <c r="DX73" s="59"/>
      <c r="DY73" s="59"/>
      <c r="DZ73" s="59"/>
      <c r="EA73" s="59"/>
      <c r="EB73" s="59"/>
      <c r="EC73" s="59"/>
      <c r="ED73" s="59"/>
      <c r="EE73" s="59"/>
      <c r="EF73" s="59"/>
      <c r="EG73" s="59"/>
      <c r="EH73" s="59"/>
      <c r="EI73" s="59"/>
      <c r="EJ73" s="59"/>
      <c r="EK73" s="59"/>
      <c r="EL73" s="59"/>
      <c r="EM73" s="59"/>
      <c r="EN73" s="59"/>
      <c r="EO73" s="59"/>
      <c r="EP73" s="59"/>
      <c r="EQ73" s="59"/>
      <c r="ER73" s="59"/>
      <c r="ES73" s="59"/>
      <c r="ET73" s="59"/>
      <c r="EU73" s="59"/>
      <c r="EV73" s="59"/>
      <c r="EW73" s="59"/>
      <c r="EX73" s="59"/>
      <c r="EY73" s="59"/>
      <c r="EZ73" s="59"/>
      <c r="FA73" s="59"/>
      <c r="FB73" s="59"/>
      <c r="FC73" s="59"/>
      <c r="FD73" s="59"/>
      <c r="FE73" s="59"/>
    </row>
    <row r="74" spans="1:161" ht="15.75" customHeight="1" x14ac:dyDescent="0.35">
      <c r="A74" s="69">
        <v>4980896464</v>
      </c>
      <c r="B74" s="59"/>
      <c r="C74" s="59" t="s">
        <v>130</v>
      </c>
      <c r="D74" s="59" t="s">
        <v>359</v>
      </c>
      <c r="E74" s="59" t="s">
        <v>265</v>
      </c>
      <c r="F74" s="58">
        <v>43158</v>
      </c>
      <c r="G74" s="59" t="s">
        <v>133</v>
      </c>
      <c r="H74" s="59" t="s">
        <v>133</v>
      </c>
      <c r="I74" s="59" t="s">
        <v>133</v>
      </c>
      <c r="J74" s="59" t="s">
        <v>133</v>
      </c>
      <c r="K74" s="59" t="s">
        <v>134</v>
      </c>
      <c r="L74" s="59" t="s">
        <v>135</v>
      </c>
      <c r="M74" s="59" t="s">
        <v>133</v>
      </c>
      <c r="N74" s="59" t="s">
        <v>136</v>
      </c>
      <c r="O74" s="58">
        <v>17827</v>
      </c>
      <c r="P74" s="58">
        <v>43108</v>
      </c>
      <c r="Q74" s="60">
        <f t="shared" si="2"/>
        <v>69</v>
      </c>
      <c r="R74" s="59" t="s">
        <v>360</v>
      </c>
      <c r="S74" s="59" t="s">
        <v>138</v>
      </c>
      <c r="T74" s="59">
        <v>3</v>
      </c>
      <c r="U74" s="59">
        <v>2</v>
      </c>
      <c r="V74" s="59">
        <v>0</v>
      </c>
      <c r="W74" s="59">
        <v>0</v>
      </c>
      <c r="X74" s="59" t="s">
        <v>241</v>
      </c>
      <c r="Y74" s="59">
        <v>2</v>
      </c>
      <c r="Z74" s="70" t="s">
        <v>242</v>
      </c>
      <c r="AA74" s="59" t="s">
        <v>241</v>
      </c>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59"/>
      <c r="BA74" s="59"/>
      <c r="BB74" s="59"/>
      <c r="BC74" s="59"/>
      <c r="BD74" s="59"/>
      <c r="BE74" s="59"/>
      <c r="BF74" s="59"/>
      <c r="BG74" s="59"/>
      <c r="BH74" s="59"/>
      <c r="BI74" s="59"/>
      <c r="BJ74" s="59"/>
      <c r="BK74" s="59"/>
      <c r="BL74" s="59"/>
      <c r="BM74" s="59"/>
      <c r="BN74" s="59"/>
      <c r="BO74" s="59"/>
      <c r="BP74" s="59"/>
      <c r="BQ74" s="59"/>
      <c r="BR74" s="59"/>
      <c r="BS74" s="59"/>
      <c r="BT74" s="59"/>
      <c r="BU74" s="59"/>
      <c r="BV74" s="59"/>
      <c r="BW74" s="59"/>
      <c r="BX74" s="59"/>
      <c r="BY74" s="59"/>
      <c r="BZ74" s="59"/>
      <c r="CA74" s="59"/>
      <c r="CB74" s="59"/>
      <c r="CC74" s="59"/>
      <c r="CD74" s="59"/>
      <c r="CE74" s="59"/>
      <c r="CF74" s="59"/>
      <c r="CG74" s="59"/>
      <c r="CH74" s="59"/>
      <c r="CI74" s="59"/>
      <c r="CJ74" s="59"/>
      <c r="CK74" s="59"/>
      <c r="CL74" s="59"/>
      <c r="CM74" s="59"/>
      <c r="CN74" s="59"/>
      <c r="CO74" s="59"/>
      <c r="CP74" s="59"/>
      <c r="CQ74" s="59"/>
      <c r="CR74" s="59"/>
      <c r="CS74" s="59"/>
      <c r="CT74" s="59"/>
      <c r="CU74" s="59"/>
      <c r="CV74" s="59"/>
      <c r="CW74" s="59"/>
      <c r="CX74" s="59"/>
      <c r="CY74" s="59"/>
      <c r="CZ74" s="59"/>
      <c r="DA74" s="59"/>
      <c r="DB74" s="59"/>
      <c r="DC74" s="59"/>
      <c r="DD74" s="59"/>
      <c r="DE74" s="59"/>
      <c r="DF74" s="59"/>
      <c r="DG74" s="59"/>
      <c r="DH74" s="59"/>
      <c r="DI74" s="59"/>
      <c r="DJ74" s="59"/>
      <c r="DK74" s="59"/>
      <c r="DL74" s="59"/>
      <c r="DM74" s="59"/>
      <c r="DN74" s="59"/>
      <c r="DO74" s="59"/>
      <c r="DP74" s="59"/>
      <c r="DQ74" s="59"/>
      <c r="DR74" s="59"/>
      <c r="DS74" s="59"/>
      <c r="DT74" s="59"/>
      <c r="DU74" s="59"/>
      <c r="DV74" s="59"/>
      <c r="DW74" s="59"/>
      <c r="DX74" s="59"/>
      <c r="DY74" s="59"/>
      <c r="DZ74" s="59"/>
      <c r="EA74" s="59"/>
      <c r="EB74" s="59"/>
      <c r="EC74" s="59"/>
      <c r="ED74" s="59"/>
      <c r="EE74" s="59"/>
      <c r="EF74" s="59"/>
      <c r="EG74" s="59"/>
      <c r="EH74" s="59"/>
      <c r="EI74" s="59"/>
      <c r="EJ74" s="59"/>
      <c r="EK74" s="59"/>
      <c r="EL74" s="59"/>
      <c r="EM74" s="59"/>
      <c r="EN74" s="59"/>
      <c r="EO74" s="59"/>
      <c r="EP74" s="59"/>
      <c r="EQ74" s="59"/>
      <c r="ER74" s="59"/>
      <c r="ES74" s="59"/>
      <c r="ET74" s="59"/>
      <c r="EU74" s="59"/>
      <c r="EV74" s="59"/>
      <c r="EW74" s="59"/>
      <c r="EX74" s="59"/>
      <c r="EY74" s="59"/>
      <c r="EZ74" s="59"/>
      <c r="FA74" s="59"/>
      <c r="FB74" s="59"/>
      <c r="FC74" s="59"/>
      <c r="FD74" s="59"/>
      <c r="FE74" s="59"/>
    </row>
    <row r="75" spans="1:161" ht="15.75" customHeight="1" x14ac:dyDescent="0.35">
      <c r="A75" s="69">
        <v>4607910880</v>
      </c>
      <c r="B75" s="59"/>
      <c r="C75" s="59" t="s">
        <v>130</v>
      </c>
      <c r="D75" s="59" t="s">
        <v>361</v>
      </c>
      <c r="E75" s="59" t="s">
        <v>362</v>
      </c>
      <c r="F75" s="58">
        <v>43164</v>
      </c>
      <c r="G75" s="59" t="s">
        <v>133</v>
      </c>
      <c r="H75" s="59" t="s">
        <v>133</v>
      </c>
      <c r="I75" s="59" t="s">
        <v>133</v>
      </c>
      <c r="J75" s="59" t="s">
        <v>133</v>
      </c>
      <c r="K75" s="59" t="s">
        <v>134</v>
      </c>
      <c r="L75" s="59" t="s">
        <v>135</v>
      </c>
      <c r="M75" s="59" t="s">
        <v>133</v>
      </c>
      <c r="N75" s="59" t="s">
        <v>136</v>
      </c>
      <c r="O75" s="58">
        <v>19821</v>
      </c>
      <c r="P75" s="58">
        <v>43111</v>
      </c>
      <c r="Q75" s="60">
        <f t="shared" si="2"/>
        <v>63</v>
      </c>
      <c r="R75" s="59" t="s">
        <v>147</v>
      </c>
      <c r="S75" s="59" t="s">
        <v>138</v>
      </c>
      <c r="T75" s="59" t="s">
        <v>148</v>
      </c>
      <c r="U75" s="59">
        <v>0</v>
      </c>
      <c r="V75" s="59">
        <v>0</v>
      </c>
      <c r="W75" s="59">
        <v>0</v>
      </c>
      <c r="X75" s="59" t="s">
        <v>150</v>
      </c>
      <c r="Y75" s="59">
        <v>1</v>
      </c>
      <c r="Z75" s="59" t="s">
        <v>151</v>
      </c>
      <c r="AA75" s="59" t="s">
        <v>150</v>
      </c>
      <c r="AB75" s="59"/>
      <c r="AC75" s="59"/>
      <c r="AD75" s="59"/>
      <c r="AE75" s="59"/>
      <c r="AF75" s="59"/>
      <c r="AG75" s="59"/>
      <c r="AH75" s="59"/>
      <c r="AI75" s="59"/>
      <c r="AJ75" s="59"/>
      <c r="AK75" s="59"/>
      <c r="AL75" s="59"/>
      <c r="AM75" s="59"/>
      <c r="AN75" s="59"/>
      <c r="AO75" s="59"/>
      <c r="AP75" s="59"/>
      <c r="AQ75" s="59"/>
      <c r="AR75" s="59"/>
      <c r="AS75" s="59"/>
      <c r="AT75" s="59"/>
      <c r="AU75" s="59"/>
      <c r="AV75" s="59"/>
      <c r="AW75" s="59"/>
      <c r="AX75" s="59"/>
      <c r="AY75" s="59"/>
      <c r="AZ75" s="59"/>
      <c r="BA75" s="59"/>
      <c r="BB75" s="59"/>
      <c r="BC75" s="59"/>
      <c r="BD75" s="59"/>
      <c r="BE75" s="59"/>
      <c r="BF75" s="59"/>
      <c r="BG75" s="59"/>
      <c r="BH75" s="59"/>
      <c r="BI75" s="59"/>
      <c r="BJ75" s="59"/>
      <c r="BK75" s="59"/>
      <c r="BL75" s="59"/>
      <c r="BM75" s="59"/>
      <c r="BN75" s="59"/>
      <c r="BO75" s="59"/>
      <c r="BP75" s="59"/>
      <c r="BQ75" s="59"/>
      <c r="BR75" s="59"/>
      <c r="BS75" s="59"/>
      <c r="BT75" s="59"/>
      <c r="BU75" s="59"/>
      <c r="BV75" s="59"/>
      <c r="BW75" s="59"/>
      <c r="BX75" s="59"/>
      <c r="BY75" s="59"/>
      <c r="BZ75" s="59"/>
      <c r="CA75" s="59"/>
      <c r="CB75" s="59"/>
      <c r="CC75" s="59"/>
      <c r="CD75" s="59"/>
      <c r="CE75" s="59"/>
      <c r="CF75" s="59"/>
      <c r="CG75" s="59"/>
      <c r="CH75" s="59"/>
      <c r="CI75" s="59"/>
      <c r="CJ75" s="59"/>
      <c r="CK75" s="59"/>
      <c r="CL75" s="59"/>
      <c r="CM75" s="59"/>
      <c r="CN75" s="59"/>
      <c r="CO75" s="59"/>
      <c r="CP75" s="59"/>
      <c r="CQ75" s="59"/>
      <c r="CR75" s="59"/>
      <c r="CS75" s="59"/>
      <c r="CT75" s="59"/>
      <c r="CU75" s="59"/>
      <c r="CV75" s="59"/>
      <c r="CW75" s="59"/>
      <c r="CX75" s="59"/>
      <c r="CY75" s="59"/>
      <c r="CZ75" s="59"/>
      <c r="DA75" s="59"/>
      <c r="DB75" s="59"/>
      <c r="DC75" s="59"/>
      <c r="DD75" s="59"/>
      <c r="DE75" s="59"/>
      <c r="DF75" s="59"/>
      <c r="DG75" s="59"/>
      <c r="DH75" s="59"/>
      <c r="DI75" s="59"/>
      <c r="DJ75" s="59"/>
      <c r="DK75" s="59"/>
      <c r="DL75" s="59"/>
      <c r="DM75" s="59"/>
      <c r="DN75" s="59"/>
      <c r="DO75" s="59"/>
      <c r="DP75" s="59"/>
      <c r="DQ75" s="59"/>
      <c r="DR75" s="59"/>
      <c r="DS75" s="59"/>
      <c r="DT75" s="59"/>
      <c r="DU75" s="59"/>
      <c r="DV75" s="59"/>
      <c r="DW75" s="59"/>
      <c r="DX75" s="59"/>
      <c r="DY75" s="59"/>
      <c r="DZ75" s="59"/>
      <c r="EA75" s="59"/>
      <c r="EB75" s="59"/>
      <c r="EC75" s="59"/>
      <c r="ED75" s="59"/>
      <c r="EE75" s="59"/>
      <c r="EF75" s="59"/>
      <c r="EG75" s="59"/>
      <c r="EH75" s="59"/>
      <c r="EI75" s="59"/>
      <c r="EJ75" s="59"/>
      <c r="EK75" s="59"/>
      <c r="EL75" s="59"/>
      <c r="EM75" s="59"/>
      <c r="EN75" s="59"/>
      <c r="EO75" s="59"/>
      <c r="EP75" s="59"/>
      <c r="EQ75" s="59"/>
      <c r="ER75" s="59"/>
      <c r="ES75" s="59"/>
      <c r="ET75" s="59"/>
      <c r="EU75" s="59"/>
      <c r="EV75" s="59"/>
      <c r="EW75" s="59"/>
      <c r="EX75" s="59"/>
      <c r="EY75" s="59"/>
      <c r="EZ75" s="59"/>
      <c r="FA75" s="59"/>
      <c r="FB75" s="59"/>
      <c r="FC75" s="59"/>
      <c r="FD75" s="59"/>
      <c r="FE75" s="59"/>
    </row>
    <row r="76" spans="1:161" ht="15.75" customHeight="1" x14ac:dyDescent="0.35">
      <c r="A76" s="69">
        <v>4981932650</v>
      </c>
      <c r="B76" s="59"/>
      <c r="C76" s="59" t="s">
        <v>130</v>
      </c>
      <c r="D76" s="59" t="s">
        <v>363</v>
      </c>
      <c r="E76" s="59" t="s">
        <v>364</v>
      </c>
      <c r="F76" s="58">
        <v>43173</v>
      </c>
      <c r="G76" s="59" t="s">
        <v>133</v>
      </c>
      <c r="H76" s="59" t="s">
        <v>133</v>
      </c>
      <c r="I76" s="59" t="s">
        <v>133</v>
      </c>
      <c r="J76" s="59" t="s">
        <v>133</v>
      </c>
      <c r="K76" s="59" t="s">
        <v>134</v>
      </c>
      <c r="L76" s="59" t="s">
        <v>135</v>
      </c>
      <c r="M76" s="59" t="s">
        <v>133</v>
      </c>
      <c r="N76" s="59" t="s">
        <v>136</v>
      </c>
      <c r="O76" s="58">
        <v>20114</v>
      </c>
      <c r="P76" s="58">
        <v>43124</v>
      </c>
      <c r="Q76" s="60">
        <f t="shared" si="2"/>
        <v>62</v>
      </c>
      <c r="R76" s="59" t="s">
        <v>147</v>
      </c>
      <c r="S76" s="59" t="s">
        <v>138</v>
      </c>
      <c r="T76" s="59" t="s">
        <v>148</v>
      </c>
      <c r="U76" s="59">
        <v>0</v>
      </c>
      <c r="V76" s="59">
        <v>0</v>
      </c>
      <c r="W76" s="59">
        <v>0</v>
      </c>
      <c r="X76" s="59" t="s">
        <v>150</v>
      </c>
      <c r="Y76" s="59">
        <v>2</v>
      </c>
      <c r="Z76" s="59" t="s">
        <v>151</v>
      </c>
      <c r="AA76" s="59" t="s">
        <v>150</v>
      </c>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59"/>
      <c r="BA76" s="59"/>
      <c r="BB76" s="59"/>
      <c r="BC76" s="59"/>
      <c r="BD76" s="59"/>
      <c r="BE76" s="59"/>
      <c r="BF76" s="59"/>
      <c r="BG76" s="59"/>
      <c r="BH76" s="59"/>
      <c r="BI76" s="59"/>
      <c r="BJ76" s="59"/>
      <c r="BK76" s="59"/>
      <c r="BL76" s="59"/>
      <c r="BM76" s="59"/>
      <c r="BN76" s="59"/>
      <c r="BO76" s="59"/>
      <c r="BP76" s="59"/>
      <c r="BQ76" s="59"/>
      <c r="BR76" s="59"/>
      <c r="BS76" s="59"/>
      <c r="BT76" s="59"/>
      <c r="BU76" s="59"/>
      <c r="BV76" s="59"/>
      <c r="BW76" s="59"/>
      <c r="BX76" s="59"/>
      <c r="BY76" s="59"/>
      <c r="BZ76" s="59"/>
      <c r="CA76" s="59"/>
      <c r="CB76" s="59"/>
      <c r="CC76" s="59"/>
      <c r="CD76" s="59"/>
      <c r="CE76" s="59"/>
      <c r="CF76" s="59"/>
      <c r="CG76" s="59"/>
      <c r="CH76" s="59"/>
      <c r="CI76" s="59"/>
      <c r="CJ76" s="59"/>
      <c r="CK76" s="59"/>
      <c r="CL76" s="59"/>
      <c r="CM76" s="59"/>
      <c r="CN76" s="59"/>
      <c r="CO76" s="59"/>
      <c r="CP76" s="59"/>
      <c r="CQ76" s="59"/>
      <c r="CR76" s="59"/>
      <c r="CS76" s="59"/>
      <c r="CT76" s="59"/>
      <c r="CU76" s="59"/>
      <c r="CV76" s="59"/>
      <c r="CW76" s="59"/>
      <c r="CX76" s="59"/>
      <c r="CY76" s="59"/>
      <c r="CZ76" s="59"/>
      <c r="DA76" s="59"/>
      <c r="DB76" s="59"/>
      <c r="DC76" s="59"/>
      <c r="DD76" s="59"/>
      <c r="DE76" s="59"/>
      <c r="DF76" s="59"/>
      <c r="DG76" s="59"/>
      <c r="DH76" s="59"/>
      <c r="DI76" s="59"/>
      <c r="DJ76" s="59"/>
      <c r="DK76" s="59"/>
      <c r="DL76" s="59"/>
      <c r="DM76" s="59"/>
      <c r="DN76" s="59"/>
      <c r="DO76" s="59"/>
      <c r="DP76" s="59"/>
      <c r="DQ76" s="59"/>
      <c r="DR76" s="59"/>
      <c r="DS76" s="59"/>
      <c r="DT76" s="59"/>
      <c r="DU76" s="59"/>
      <c r="DV76" s="59"/>
      <c r="DW76" s="59"/>
      <c r="DX76" s="59"/>
      <c r="DY76" s="59"/>
      <c r="DZ76" s="59"/>
      <c r="EA76" s="59"/>
      <c r="EB76" s="59"/>
      <c r="EC76" s="59"/>
      <c r="ED76" s="59"/>
      <c r="EE76" s="59"/>
      <c r="EF76" s="59"/>
      <c r="EG76" s="59"/>
      <c r="EH76" s="59"/>
      <c r="EI76" s="59"/>
      <c r="EJ76" s="59"/>
      <c r="EK76" s="59"/>
      <c r="EL76" s="59"/>
      <c r="EM76" s="59"/>
      <c r="EN76" s="59"/>
      <c r="EO76" s="59"/>
      <c r="EP76" s="59"/>
      <c r="EQ76" s="59"/>
      <c r="ER76" s="59"/>
      <c r="ES76" s="59"/>
      <c r="ET76" s="59"/>
      <c r="EU76" s="59"/>
      <c r="EV76" s="59"/>
      <c r="EW76" s="59"/>
      <c r="EX76" s="59"/>
      <c r="EY76" s="59"/>
      <c r="EZ76" s="59"/>
      <c r="FA76" s="59"/>
      <c r="FB76" s="59"/>
      <c r="FC76" s="59"/>
      <c r="FD76" s="59"/>
      <c r="FE76" s="59"/>
    </row>
    <row r="77" spans="1:161" ht="15.75" customHeight="1" x14ac:dyDescent="0.35">
      <c r="A77" s="69">
        <v>4148143605</v>
      </c>
      <c r="B77" s="59"/>
      <c r="C77" s="59" t="s">
        <v>130</v>
      </c>
      <c r="D77" s="59" t="s">
        <v>365</v>
      </c>
      <c r="E77" s="59" t="s">
        <v>366</v>
      </c>
      <c r="F77" s="58">
        <v>43174</v>
      </c>
      <c r="G77" s="59" t="s">
        <v>133</v>
      </c>
      <c r="H77" s="59" t="s">
        <v>133</v>
      </c>
      <c r="I77" s="59" t="s">
        <v>133</v>
      </c>
      <c r="J77" s="59" t="s">
        <v>133</v>
      </c>
      <c r="K77" s="59" t="s">
        <v>367</v>
      </c>
      <c r="L77" s="59" t="s">
        <v>135</v>
      </c>
      <c r="M77" s="59" t="s">
        <v>133</v>
      </c>
      <c r="N77" s="59" t="s">
        <v>136</v>
      </c>
      <c r="O77" s="58">
        <v>25020</v>
      </c>
      <c r="P77" s="58">
        <v>43123</v>
      </c>
      <c r="Q77" s="60">
        <f t="shared" si="2"/>
        <v>49</v>
      </c>
      <c r="R77" s="59" t="s">
        <v>225</v>
      </c>
      <c r="S77" s="59" t="s">
        <v>138</v>
      </c>
      <c r="T77" s="59" t="s">
        <v>198</v>
      </c>
      <c r="U77" s="59">
        <v>0</v>
      </c>
      <c r="V77" s="59">
        <v>0</v>
      </c>
      <c r="W77" s="59">
        <v>0</v>
      </c>
      <c r="X77" s="59" t="s">
        <v>199</v>
      </c>
      <c r="Y77" s="59">
        <v>1</v>
      </c>
      <c r="Z77" s="59" t="s">
        <v>200</v>
      </c>
      <c r="AA77" s="59" t="s">
        <v>199</v>
      </c>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9"/>
      <c r="AZ77" s="59"/>
      <c r="BA77" s="59"/>
      <c r="BB77" s="59"/>
      <c r="BC77" s="59"/>
      <c r="BD77" s="59"/>
      <c r="BE77" s="59"/>
      <c r="BF77" s="59"/>
      <c r="BG77" s="59"/>
      <c r="BH77" s="59"/>
      <c r="BI77" s="59"/>
      <c r="BJ77" s="59"/>
      <c r="BK77" s="59"/>
      <c r="BL77" s="59"/>
      <c r="BM77" s="59"/>
      <c r="BN77" s="59"/>
      <c r="BO77" s="59"/>
      <c r="BP77" s="59"/>
      <c r="BQ77" s="59"/>
      <c r="BR77" s="59"/>
      <c r="BS77" s="59"/>
      <c r="BT77" s="59"/>
      <c r="BU77" s="59"/>
      <c r="BV77" s="59"/>
      <c r="BW77" s="59"/>
      <c r="BX77" s="59"/>
      <c r="BY77" s="59"/>
      <c r="BZ77" s="59"/>
      <c r="CA77" s="59"/>
      <c r="CB77" s="59"/>
      <c r="CC77" s="59"/>
      <c r="CD77" s="59"/>
      <c r="CE77" s="59"/>
      <c r="CF77" s="59"/>
      <c r="CG77" s="59"/>
      <c r="CH77" s="59"/>
      <c r="CI77" s="59"/>
      <c r="CJ77" s="59"/>
      <c r="CK77" s="59"/>
      <c r="CL77" s="59"/>
      <c r="CM77" s="59"/>
      <c r="CN77" s="59"/>
      <c r="CO77" s="59"/>
      <c r="CP77" s="59"/>
      <c r="CQ77" s="59"/>
      <c r="CR77" s="59"/>
      <c r="CS77" s="59"/>
      <c r="CT77" s="59"/>
      <c r="CU77" s="59"/>
      <c r="CV77" s="59"/>
      <c r="CW77" s="59"/>
      <c r="CX77" s="59"/>
      <c r="CY77" s="59"/>
      <c r="CZ77" s="59"/>
      <c r="DA77" s="59"/>
      <c r="DB77" s="59"/>
      <c r="DC77" s="59"/>
      <c r="DD77" s="59"/>
      <c r="DE77" s="59"/>
      <c r="DF77" s="59"/>
      <c r="DG77" s="59"/>
      <c r="DH77" s="59"/>
      <c r="DI77" s="59"/>
      <c r="DJ77" s="59"/>
      <c r="DK77" s="59"/>
      <c r="DL77" s="59"/>
      <c r="DM77" s="59"/>
      <c r="DN77" s="59"/>
      <c r="DO77" s="59"/>
      <c r="DP77" s="59"/>
      <c r="DQ77" s="59"/>
      <c r="DR77" s="59"/>
      <c r="DS77" s="59"/>
      <c r="DT77" s="59"/>
      <c r="DU77" s="59"/>
      <c r="DV77" s="59"/>
      <c r="DW77" s="59"/>
      <c r="DX77" s="59"/>
      <c r="DY77" s="59"/>
      <c r="DZ77" s="59"/>
      <c r="EA77" s="59"/>
      <c r="EB77" s="59"/>
      <c r="EC77" s="59"/>
      <c r="ED77" s="59"/>
      <c r="EE77" s="59"/>
      <c r="EF77" s="59"/>
      <c r="EG77" s="59"/>
      <c r="EH77" s="59"/>
      <c r="EI77" s="59"/>
      <c r="EJ77" s="59"/>
      <c r="EK77" s="59"/>
      <c r="EL77" s="59"/>
      <c r="EM77" s="59"/>
      <c r="EN77" s="59"/>
      <c r="EO77" s="59"/>
      <c r="EP77" s="59"/>
      <c r="EQ77" s="59"/>
      <c r="ER77" s="59"/>
      <c r="ES77" s="59"/>
      <c r="ET77" s="59"/>
      <c r="EU77" s="59"/>
      <c r="EV77" s="59"/>
      <c r="EW77" s="59"/>
      <c r="EX77" s="59"/>
      <c r="EY77" s="59"/>
      <c r="EZ77" s="59"/>
      <c r="FA77" s="59"/>
      <c r="FB77" s="59"/>
      <c r="FC77" s="59"/>
      <c r="FD77" s="59"/>
      <c r="FE77" s="59"/>
    </row>
    <row r="78" spans="1:161" ht="15.75" customHeight="1" x14ac:dyDescent="0.35">
      <c r="A78" s="69">
        <v>4329476711</v>
      </c>
      <c r="B78" s="59"/>
      <c r="C78" s="59" t="s">
        <v>133</v>
      </c>
      <c r="D78" s="59" t="s">
        <v>133</v>
      </c>
      <c r="E78" s="59" t="s">
        <v>133</v>
      </c>
      <c r="F78" s="59" t="s">
        <v>133</v>
      </c>
      <c r="G78" s="59" t="s">
        <v>368</v>
      </c>
      <c r="H78" s="59" t="s">
        <v>369</v>
      </c>
      <c r="I78" s="59" t="s">
        <v>169</v>
      </c>
      <c r="J78" s="58">
        <v>43180</v>
      </c>
      <c r="K78" s="59" t="s">
        <v>133</v>
      </c>
      <c r="L78" s="59" t="s">
        <v>133</v>
      </c>
      <c r="M78" s="59" t="s">
        <v>133</v>
      </c>
      <c r="N78" s="59" t="s">
        <v>133</v>
      </c>
      <c r="O78" s="58">
        <v>12714</v>
      </c>
      <c r="P78" s="58">
        <v>43180</v>
      </c>
      <c r="Q78" s="60">
        <f t="shared" si="2"/>
        <v>83</v>
      </c>
      <c r="R78" s="59" t="s">
        <v>133</v>
      </c>
      <c r="S78" s="59" t="s">
        <v>133</v>
      </c>
      <c r="T78" s="70" t="s">
        <v>133</v>
      </c>
      <c r="U78" s="70" t="s">
        <v>133</v>
      </c>
      <c r="V78" s="70" t="s">
        <v>133</v>
      </c>
      <c r="W78" s="70" t="s">
        <v>133</v>
      </c>
      <c r="X78" s="59" t="s">
        <v>133</v>
      </c>
      <c r="Y78" s="59" t="s">
        <v>133</v>
      </c>
      <c r="Z78" s="59" t="s">
        <v>133</v>
      </c>
      <c r="AA78" s="59" t="s">
        <v>133</v>
      </c>
      <c r="AB78" s="59" t="s">
        <v>133</v>
      </c>
      <c r="AC78" s="59" t="s">
        <v>133</v>
      </c>
      <c r="AD78" s="59" t="s">
        <v>133</v>
      </c>
      <c r="AE78" s="59" t="s">
        <v>133</v>
      </c>
      <c r="AF78" s="59" t="s">
        <v>133</v>
      </c>
      <c r="AG78" s="59" t="s">
        <v>133</v>
      </c>
      <c r="AH78" s="59" t="s">
        <v>133</v>
      </c>
      <c r="AI78" s="59" t="s">
        <v>133</v>
      </c>
      <c r="AJ78" s="59" t="s">
        <v>133</v>
      </c>
      <c r="AK78" s="59" t="s">
        <v>133</v>
      </c>
      <c r="AL78" s="59" t="s">
        <v>133</v>
      </c>
      <c r="AM78" s="59" t="s">
        <v>133</v>
      </c>
      <c r="AN78" s="59" t="s">
        <v>133</v>
      </c>
      <c r="AO78" s="59" t="s">
        <v>133</v>
      </c>
      <c r="AP78" s="59" t="s">
        <v>133</v>
      </c>
      <c r="AQ78" s="59" t="s">
        <v>133</v>
      </c>
      <c r="AR78" s="59" t="s">
        <v>133</v>
      </c>
      <c r="AS78" s="59" t="s">
        <v>133</v>
      </c>
      <c r="AT78" s="59" t="s">
        <v>133</v>
      </c>
      <c r="AU78" s="59" t="s">
        <v>133</v>
      </c>
      <c r="AV78" s="59" t="s">
        <v>133</v>
      </c>
      <c r="AW78" s="59" t="s">
        <v>133</v>
      </c>
      <c r="AX78" s="59" t="s">
        <v>133</v>
      </c>
      <c r="AY78" s="59" t="s">
        <v>133</v>
      </c>
      <c r="AZ78" s="59" t="s">
        <v>133</v>
      </c>
      <c r="BA78" s="59" t="s">
        <v>133</v>
      </c>
      <c r="BB78" s="59" t="s">
        <v>133</v>
      </c>
      <c r="BC78" s="59" t="s">
        <v>133</v>
      </c>
      <c r="BD78" s="59" t="s">
        <v>133</v>
      </c>
      <c r="BE78" s="59" t="s">
        <v>133</v>
      </c>
      <c r="BF78" s="59" t="s">
        <v>133</v>
      </c>
      <c r="BG78" s="59" t="s">
        <v>133</v>
      </c>
      <c r="BH78" s="59" t="s">
        <v>133</v>
      </c>
      <c r="BI78" s="59" t="s">
        <v>133</v>
      </c>
      <c r="BJ78" s="59" t="s">
        <v>133</v>
      </c>
      <c r="BK78" s="59" t="s">
        <v>133</v>
      </c>
      <c r="BL78" s="59" t="s">
        <v>133</v>
      </c>
      <c r="BM78" s="59" t="s">
        <v>133</v>
      </c>
      <c r="BN78" s="59" t="s">
        <v>133</v>
      </c>
      <c r="BO78" s="59" t="s">
        <v>133</v>
      </c>
      <c r="BP78" s="59" t="s">
        <v>133</v>
      </c>
      <c r="BQ78" s="59" t="s">
        <v>133</v>
      </c>
      <c r="BR78" s="59" t="s">
        <v>133</v>
      </c>
      <c r="BS78" s="59" t="s">
        <v>133</v>
      </c>
      <c r="BT78" s="59" t="s">
        <v>133</v>
      </c>
      <c r="BU78" s="59" t="s">
        <v>133</v>
      </c>
      <c r="BV78" s="59" t="s">
        <v>133</v>
      </c>
      <c r="BW78" s="59" t="s">
        <v>133</v>
      </c>
      <c r="BX78" s="59" t="s">
        <v>133</v>
      </c>
      <c r="BY78" s="59" t="s">
        <v>133</v>
      </c>
      <c r="BZ78" s="59" t="s">
        <v>133</v>
      </c>
      <c r="CA78" s="59" t="s">
        <v>133</v>
      </c>
      <c r="CB78" s="59" t="s">
        <v>133</v>
      </c>
      <c r="CC78" s="59" t="s">
        <v>133</v>
      </c>
      <c r="CD78" s="59" t="s">
        <v>133</v>
      </c>
      <c r="CE78" s="59" t="s">
        <v>133</v>
      </c>
      <c r="CF78" s="59" t="s">
        <v>133</v>
      </c>
      <c r="CG78" s="59" t="s">
        <v>133</v>
      </c>
      <c r="CH78" s="59" t="s">
        <v>133</v>
      </c>
      <c r="CI78" s="59" t="s">
        <v>133</v>
      </c>
      <c r="CJ78" s="59" t="s">
        <v>133</v>
      </c>
      <c r="CK78" s="59" t="s">
        <v>133</v>
      </c>
      <c r="CL78" s="59" t="s">
        <v>133</v>
      </c>
      <c r="CM78" s="59" t="s">
        <v>133</v>
      </c>
      <c r="CN78" s="59" t="s">
        <v>133</v>
      </c>
      <c r="CO78" s="59" t="s">
        <v>133</v>
      </c>
      <c r="CP78" s="59" t="s">
        <v>133</v>
      </c>
      <c r="CQ78" s="59" t="s">
        <v>133</v>
      </c>
      <c r="CR78" s="59" t="s">
        <v>133</v>
      </c>
      <c r="CS78" s="59" t="s">
        <v>133</v>
      </c>
      <c r="CT78" s="59" t="s">
        <v>133</v>
      </c>
      <c r="CU78" s="59" t="s">
        <v>133</v>
      </c>
      <c r="CV78" s="59" t="s">
        <v>133</v>
      </c>
      <c r="CW78" s="59" t="s">
        <v>133</v>
      </c>
      <c r="CX78" s="59" t="s">
        <v>133</v>
      </c>
      <c r="CY78" s="59" t="s">
        <v>133</v>
      </c>
      <c r="CZ78" s="59" t="s">
        <v>133</v>
      </c>
      <c r="DA78" s="59" t="s">
        <v>133</v>
      </c>
      <c r="DB78" s="59" t="s">
        <v>133</v>
      </c>
      <c r="DC78" s="59" t="s">
        <v>133</v>
      </c>
      <c r="DD78" s="59" t="s">
        <v>133</v>
      </c>
      <c r="DE78" s="59" t="s">
        <v>133</v>
      </c>
      <c r="DF78" s="59" t="s">
        <v>133</v>
      </c>
      <c r="DG78" s="59" t="s">
        <v>133</v>
      </c>
      <c r="DH78" s="59" t="s">
        <v>133</v>
      </c>
      <c r="DI78" s="59" t="s">
        <v>133</v>
      </c>
      <c r="DJ78" s="59" t="s">
        <v>133</v>
      </c>
      <c r="DK78" s="59" t="s">
        <v>133</v>
      </c>
      <c r="DL78" s="59" t="s">
        <v>133</v>
      </c>
      <c r="DM78" s="59" t="s">
        <v>133</v>
      </c>
      <c r="DN78" s="59" t="s">
        <v>133</v>
      </c>
      <c r="DO78" s="59" t="s">
        <v>133</v>
      </c>
      <c r="DP78" s="59" t="s">
        <v>133</v>
      </c>
      <c r="DQ78" s="59" t="s">
        <v>133</v>
      </c>
      <c r="DR78" s="59" t="s">
        <v>133</v>
      </c>
      <c r="DS78" s="59" t="s">
        <v>133</v>
      </c>
      <c r="DT78" s="59" t="s">
        <v>133</v>
      </c>
      <c r="DU78" s="59" t="s">
        <v>133</v>
      </c>
      <c r="DV78" s="59" t="s">
        <v>133</v>
      </c>
      <c r="DW78" s="59" t="s">
        <v>133</v>
      </c>
      <c r="DX78" s="59" t="s">
        <v>133</v>
      </c>
      <c r="DY78" s="59" t="s">
        <v>133</v>
      </c>
      <c r="DZ78" s="59" t="s">
        <v>133</v>
      </c>
      <c r="EA78" s="59" t="s">
        <v>133</v>
      </c>
      <c r="EB78" s="59" t="s">
        <v>133</v>
      </c>
      <c r="EC78" s="59" t="s">
        <v>133</v>
      </c>
      <c r="ED78" s="59" t="s">
        <v>133</v>
      </c>
      <c r="EE78" s="59" t="s">
        <v>133</v>
      </c>
      <c r="EF78" s="59" t="s">
        <v>133</v>
      </c>
      <c r="EG78" s="59" t="s">
        <v>133</v>
      </c>
      <c r="EH78" s="59" t="s">
        <v>133</v>
      </c>
      <c r="EI78" s="59" t="s">
        <v>133</v>
      </c>
      <c r="EJ78" s="59" t="s">
        <v>133</v>
      </c>
      <c r="EK78" s="59" t="s">
        <v>133</v>
      </c>
      <c r="EL78" s="59" t="s">
        <v>133</v>
      </c>
      <c r="EM78" s="59" t="s">
        <v>133</v>
      </c>
      <c r="EN78" s="59" t="s">
        <v>133</v>
      </c>
      <c r="EO78" s="59" t="s">
        <v>133</v>
      </c>
      <c r="EP78" s="59" t="s">
        <v>133</v>
      </c>
      <c r="EQ78" s="59" t="s">
        <v>133</v>
      </c>
      <c r="ER78" s="59" t="s">
        <v>133</v>
      </c>
      <c r="ES78" s="59" t="s">
        <v>133</v>
      </c>
      <c r="ET78" s="59" t="s">
        <v>133</v>
      </c>
      <c r="EU78" s="59" t="s">
        <v>133</v>
      </c>
      <c r="EV78" s="59" t="s">
        <v>133</v>
      </c>
      <c r="EW78" s="59" t="s">
        <v>133</v>
      </c>
      <c r="EX78" s="59" t="s">
        <v>133</v>
      </c>
      <c r="EY78" s="59" t="s">
        <v>133</v>
      </c>
      <c r="EZ78" s="59" t="s">
        <v>133</v>
      </c>
      <c r="FA78" s="59" t="s">
        <v>133</v>
      </c>
      <c r="FB78" s="59" t="s">
        <v>133</v>
      </c>
      <c r="FC78" s="59" t="s">
        <v>133</v>
      </c>
      <c r="FD78" s="59" t="s">
        <v>133</v>
      </c>
      <c r="FE78" s="59" t="s">
        <v>133</v>
      </c>
    </row>
    <row r="79" spans="1:161" ht="15.75" customHeight="1" x14ac:dyDescent="0.35">
      <c r="A79" s="69">
        <v>4382069122</v>
      </c>
      <c r="B79" s="59"/>
      <c r="C79" s="59" t="s">
        <v>130</v>
      </c>
      <c r="D79" s="59" t="s">
        <v>370</v>
      </c>
      <c r="E79" s="59" t="s">
        <v>223</v>
      </c>
      <c r="F79" s="58">
        <v>43182</v>
      </c>
      <c r="G79" s="59" t="s">
        <v>370</v>
      </c>
      <c r="H79" s="59" t="s">
        <v>334</v>
      </c>
      <c r="I79" s="59" t="s">
        <v>169</v>
      </c>
      <c r="J79" s="58">
        <v>43182</v>
      </c>
      <c r="K79" s="59" t="s">
        <v>203</v>
      </c>
      <c r="L79" s="59" t="s">
        <v>135</v>
      </c>
      <c r="M79" s="59" t="s">
        <v>133</v>
      </c>
      <c r="N79" s="59" t="s">
        <v>136</v>
      </c>
      <c r="O79" s="58">
        <v>16245</v>
      </c>
      <c r="P79" s="58">
        <v>43130</v>
      </c>
      <c r="Q79" s="60">
        <f t="shared" si="2"/>
        <v>73</v>
      </c>
      <c r="R79" s="59" t="s">
        <v>225</v>
      </c>
      <c r="S79" s="59" t="s">
        <v>138</v>
      </c>
      <c r="T79" s="59" t="s">
        <v>148</v>
      </c>
      <c r="U79" s="59">
        <v>0</v>
      </c>
      <c r="V79" s="59">
        <v>0</v>
      </c>
      <c r="W79" s="59">
        <v>0</v>
      </c>
      <c r="X79" s="59" t="s">
        <v>150</v>
      </c>
      <c r="Y79" s="59">
        <v>3</v>
      </c>
      <c r="Z79" s="59" t="s">
        <v>151</v>
      </c>
      <c r="AA79" s="59" t="s">
        <v>150</v>
      </c>
      <c r="AB79" s="59"/>
      <c r="AC79" s="59"/>
      <c r="AD79" s="59"/>
      <c r="AE79" s="59"/>
      <c r="AF79" s="59"/>
      <c r="AG79" s="59"/>
      <c r="AH79" s="59"/>
      <c r="AI79" s="59"/>
      <c r="AJ79" s="59"/>
      <c r="AK79" s="59"/>
      <c r="AL79" s="59"/>
      <c r="AM79" s="59"/>
      <c r="AN79" s="59"/>
      <c r="AO79" s="59"/>
      <c r="AP79" s="59"/>
      <c r="AQ79" s="59"/>
      <c r="AR79" s="59"/>
      <c r="AS79" s="59"/>
      <c r="AT79" s="59"/>
      <c r="AU79" s="59"/>
      <c r="AV79" s="59"/>
      <c r="AW79" s="59"/>
      <c r="AX79" s="59"/>
      <c r="AY79" s="59"/>
      <c r="AZ79" s="59"/>
      <c r="BA79" s="59"/>
      <c r="BB79" s="59"/>
      <c r="BC79" s="59"/>
      <c r="BD79" s="59"/>
      <c r="BE79" s="59"/>
      <c r="BF79" s="59"/>
      <c r="BG79" s="59"/>
      <c r="BH79" s="59"/>
      <c r="BI79" s="59"/>
      <c r="BJ79" s="59"/>
      <c r="BK79" s="59"/>
      <c r="BL79" s="59"/>
      <c r="BM79" s="59"/>
      <c r="BN79" s="59"/>
      <c r="BO79" s="59"/>
      <c r="BP79" s="59"/>
      <c r="BQ79" s="59"/>
      <c r="BR79" s="59"/>
      <c r="BS79" s="59"/>
      <c r="BT79" s="59"/>
      <c r="BU79" s="59"/>
      <c r="BV79" s="59"/>
      <c r="BW79" s="59"/>
      <c r="BX79" s="59"/>
      <c r="BY79" s="59"/>
      <c r="BZ79" s="59"/>
      <c r="CA79" s="59"/>
      <c r="CB79" s="59"/>
      <c r="CC79" s="59"/>
      <c r="CD79" s="59"/>
      <c r="CE79" s="59"/>
      <c r="CF79" s="59"/>
      <c r="CG79" s="59"/>
      <c r="CH79" s="59"/>
      <c r="CI79" s="59"/>
      <c r="CJ79" s="59"/>
      <c r="CK79" s="59"/>
      <c r="CL79" s="59"/>
      <c r="CM79" s="59"/>
      <c r="CN79" s="59"/>
      <c r="CO79" s="59"/>
      <c r="CP79" s="59"/>
      <c r="CQ79" s="59"/>
      <c r="CR79" s="59"/>
      <c r="CS79" s="59"/>
      <c r="CT79" s="59"/>
      <c r="CU79" s="59"/>
      <c r="CV79" s="59"/>
      <c r="CW79" s="59"/>
      <c r="CX79" s="59"/>
      <c r="CY79" s="59"/>
      <c r="CZ79" s="59"/>
      <c r="DA79" s="59"/>
      <c r="DB79" s="59"/>
      <c r="DC79" s="59"/>
      <c r="DD79" s="59"/>
      <c r="DE79" s="59" t="s">
        <v>371</v>
      </c>
      <c r="DF79" s="59"/>
      <c r="DG79" s="59"/>
      <c r="DH79" s="59"/>
      <c r="DI79" s="59"/>
      <c r="DJ79" s="59"/>
      <c r="DK79" s="59"/>
      <c r="DL79" s="59"/>
      <c r="DM79" s="59"/>
      <c r="DN79" s="59"/>
      <c r="DO79" s="59"/>
      <c r="DP79" s="59"/>
      <c r="DQ79" s="59"/>
      <c r="DR79" s="59"/>
      <c r="DS79" s="59"/>
      <c r="DT79" s="59"/>
      <c r="DU79" s="59"/>
      <c r="DV79" s="59"/>
      <c r="DW79" s="59"/>
      <c r="DX79" s="59"/>
      <c r="DY79" s="59"/>
      <c r="DZ79" s="59"/>
      <c r="EA79" s="59"/>
      <c r="EB79" s="59"/>
      <c r="EC79" s="59"/>
      <c r="ED79" s="59"/>
      <c r="EE79" s="59"/>
      <c r="EF79" s="59"/>
      <c r="EG79" s="59"/>
      <c r="EH79" s="59"/>
      <c r="EI79" s="59"/>
      <c r="EJ79" s="59"/>
      <c r="EK79" s="59"/>
      <c r="EL79" s="59"/>
      <c r="EM79" s="59"/>
      <c r="EN79" s="59"/>
      <c r="EO79" s="59"/>
      <c r="EP79" s="59"/>
      <c r="EQ79" s="59"/>
      <c r="ER79" s="59"/>
      <c r="ES79" s="59"/>
      <c r="ET79" s="59"/>
      <c r="EU79" s="59"/>
      <c r="EV79" s="59"/>
      <c r="EW79" s="59"/>
      <c r="EX79" s="59"/>
      <c r="EY79" s="59"/>
      <c r="EZ79" s="59"/>
      <c r="FA79" s="59"/>
      <c r="FB79" s="59"/>
      <c r="FC79" s="59"/>
      <c r="FD79" s="59"/>
      <c r="FE79" s="59"/>
    </row>
    <row r="80" spans="1:161" ht="15.75" customHeight="1" x14ac:dyDescent="0.35">
      <c r="A80" s="69">
        <v>4862265421</v>
      </c>
      <c r="B80" s="59"/>
      <c r="C80" s="59" t="s">
        <v>130</v>
      </c>
      <c r="D80" s="59" t="s">
        <v>372</v>
      </c>
      <c r="E80" s="59" t="s">
        <v>373</v>
      </c>
      <c r="F80" s="58">
        <v>43185</v>
      </c>
      <c r="G80" s="59" t="s">
        <v>133</v>
      </c>
      <c r="H80" s="59" t="s">
        <v>133</v>
      </c>
      <c r="I80" s="59" t="s">
        <v>133</v>
      </c>
      <c r="J80" s="59" t="s">
        <v>133</v>
      </c>
      <c r="K80" s="72" t="s">
        <v>374</v>
      </c>
      <c r="L80" s="59" t="s">
        <v>135</v>
      </c>
      <c r="M80" s="59" t="s">
        <v>133</v>
      </c>
      <c r="N80" s="59" t="s">
        <v>136</v>
      </c>
      <c r="O80" s="58">
        <v>22666</v>
      </c>
      <c r="P80" s="58">
        <v>43130</v>
      </c>
      <c r="Q80" s="60">
        <f t="shared" si="2"/>
        <v>56</v>
      </c>
      <c r="R80" s="59" t="s">
        <v>225</v>
      </c>
      <c r="S80" s="59" t="s">
        <v>138</v>
      </c>
      <c r="T80" s="59">
        <v>3</v>
      </c>
      <c r="U80" s="59">
        <v>2</v>
      </c>
      <c r="V80" s="59">
        <v>0</v>
      </c>
      <c r="W80" s="59">
        <v>0</v>
      </c>
      <c r="X80" s="59" t="s">
        <v>241</v>
      </c>
      <c r="Y80" s="59">
        <v>3</v>
      </c>
      <c r="Z80" s="70" t="s">
        <v>242</v>
      </c>
      <c r="AA80" s="59" t="s">
        <v>241</v>
      </c>
      <c r="AB80" s="59"/>
      <c r="AC80" s="59"/>
      <c r="AD80" s="59"/>
      <c r="AE80" s="59"/>
      <c r="AF80" s="59"/>
      <c r="AG80" s="59"/>
      <c r="AH80" s="59"/>
      <c r="AI80" s="59"/>
      <c r="AJ80" s="59"/>
      <c r="AK80" s="59"/>
      <c r="AL80" s="59"/>
      <c r="AM80" s="59"/>
      <c r="AN80" s="59"/>
      <c r="AO80" s="59"/>
      <c r="AP80" s="59"/>
      <c r="AQ80" s="59"/>
      <c r="AR80" s="59"/>
      <c r="AS80" s="59"/>
      <c r="AT80" s="59"/>
      <c r="AU80" s="59"/>
      <c r="AV80" s="59"/>
      <c r="AW80" s="59"/>
      <c r="AX80" s="59"/>
      <c r="AY80" s="59"/>
      <c r="AZ80" s="59"/>
      <c r="BA80" s="59"/>
      <c r="BB80" s="59"/>
      <c r="BC80" s="59"/>
      <c r="BD80" s="59"/>
      <c r="BE80" s="59"/>
      <c r="BF80" s="59"/>
      <c r="BG80" s="59"/>
      <c r="BH80" s="59"/>
      <c r="BI80" s="59"/>
      <c r="BJ80" s="59"/>
      <c r="BK80" s="59"/>
      <c r="BL80" s="59"/>
      <c r="BM80" s="59"/>
      <c r="BN80" s="59"/>
      <c r="BO80" s="59"/>
      <c r="BP80" s="59"/>
      <c r="BQ80" s="59"/>
      <c r="BR80" s="59"/>
      <c r="BS80" s="59"/>
      <c r="BT80" s="59"/>
      <c r="BU80" s="59"/>
      <c r="BV80" s="59"/>
      <c r="BW80" s="59"/>
      <c r="BX80" s="59"/>
      <c r="BY80" s="59"/>
      <c r="BZ80" s="59"/>
      <c r="CA80" s="59"/>
      <c r="CB80" s="59"/>
      <c r="CC80" s="59"/>
      <c r="CD80" s="59"/>
      <c r="CE80" s="59"/>
      <c r="CF80" s="59"/>
      <c r="CG80" s="59"/>
      <c r="CH80" s="59"/>
      <c r="CI80" s="59"/>
      <c r="CJ80" s="59"/>
      <c r="CK80" s="59"/>
      <c r="CL80" s="59"/>
      <c r="CM80" s="59"/>
      <c r="CN80" s="59"/>
      <c r="CO80" s="59"/>
      <c r="CP80" s="59"/>
      <c r="CQ80" s="59"/>
      <c r="CR80" s="59"/>
      <c r="CS80" s="59"/>
      <c r="CT80" s="59"/>
      <c r="CU80" s="59"/>
      <c r="CV80" s="59"/>
      <c r="CW80" s="59"/>
      <c r="CX80" s="59"/>
      <c r="CY80" s="59"/>
      <c r="CZ80" s="59"/>
      <c r="DA80" s="59"/>
      <c r="DB80" s="59"/>
      <c r="DC80" s="59"/>
      <c r="DD80" s="59"/>
      <c r="DE80" s="59"/>
      <c r="DF80" s="59"/>
      <c r="DG80" s="59"/>
      <c r="DH80" s="59"/>
      <c r="DI80" s="59"/>
      <c r="DJ80" s="59"/>
      <c r="DK80" s="59"/>
      <c r="DL80" s="59"/>
      <c r="DM80" s="59"/>
      <c r="DN80" s="59"/>
      <c r="DO80" s="59"/>
      <c r="DP80" s="59"/>
      <c r="DQ80" s="59"/>
      <c r="DR80" s="59"/>
      <c r="DS80" s="59"/>
      <c r="DT80" s="59"/>
      <c r="DU80" s="59"/>
      <c r="DV80" s="59"/>
      <c r="DW80" s="59"/>
      <c r="DX80" s="59"/>
      <c r="DY80" s="59"/>
      <c r="DZ80" s="59"/>
      <c r="EA80" s="59"/>
      <c r="EB80" s="59"/>
      <c r="EC80" s="59"/>
      <c r="ED80" s="59"/>
      <c r="EE80" s="59"/>
      <c r="EF80" s="59"/>
      <c r="EG80" s="59"/>
      <c r="EH80" s="59"/>
      <c r="EI80" s="59"/>
      <c r="EJ80" s="59"/>
      <c r="EK80" s="59"/>
      <c r="EL80" s="59"/>
      <c r="EM80" s="59"/>
      <c r="EN80" s="59"/>
      <c r="EO80" s="59"/>
      <c r="EP80" s="59"/>
      <c r="EQ80" s="59"/>
      <c r="ER80" s="59"/>
      <c r="ES80" s="59"/>
      <c r="ET80" s="59"/>
      <c r="EU80" s="59"/>
      <c r="EV80" s="59"/>
      <c r="EW80" s="59"/>
      <c r="EX80" s="59"/>
      <c r="EY80" s="59"/>
      <c r="EZ80" s="59"/>
      <c r="FA80" s="59"/>
      <c r="FB80" s="59"/>
      <c r="FC80" s="59"/>
      <c r="FD80" s="59"/>
      <c r="FE80" s="59"/>
    </row>
    <row r="81" spans="1:161" ht="15.75" customHeight="1" x14ac:dyDescent="0.35">
      <c r="A81" s="69">
        <v>4581417937</v>
      </c>
      <c r="B81" s="59"/>
      <c r="C81" s="59" t="s">
        <v>130</v>
      </c>
      <c r="D81" s="59" t="s">
        <v>375</v>
      </c>
      <c r="E81" s="59" t="s">
        <v>376</v>
      </c>
      <c r="F81" s="58">
        <v>43187</v>
      </c>
      <c r="G81" s="59" t="s">
        <v>133</v>
      </c>
      <c r="H81" s="59" t="s">
        <v>133</v>
      </c>
      <c r="I81" s="59" t="s">
        <v>133</v>
      </c>
      <c r="J81" s="59" t="s">
        <v>133</v>
      </c>
      <c r="K81" s="59" t="s">
        <v>203</v>
      </c>
      <c r="L81" s="59" t="s">
        <v>135</v>
      </c>
      <c r="M81" s="59" t="s">
        <v>133</v>
      </c>
      <c r="N81" s="59" t="s">
        <v>136</v>
      </c>
      <c r="O81" s="58">
        <v>19361</v>
      </c>
      <c r="P81" s="58">
        <v>43154</v>
      </c>
      <c r="Q81" s="60">
        <f t="shared" si="2"/>
        <v>65</v>
      </c>
      <c r="R81" s="59" t="s">
        <v>225</v>
      </c>
      <c r="S81" s="73" t="s">
        <v>138</v>
      </c>
      <c r="T81" s="59" t="s">
        <v>198</v>
      </c>
      <c r="U81" s="59">
        <v>0</v>
      </c>
      <c r="V81" s="59">
        <v>0</v>
      </c>
      <c r="W81" s="59">
        <v>0</v>
      </c>
      <c r="X81" s="59" t="s">
        <v>199</v>
      </c>
      <c r="Y81" s="59">
        <v>1</v>
      </c>
      <c r="Z81" s="59" t="s">
        <v>200</v>
      </c>
      <c r="AA81" s="59" t="s">
        <v>199</v>
      </c>
      <c r="AB81" s="59"/>
      <c r="AC81" s="59"/>
      <c r="AD81" s="59"/>
      <c r="AE81" s="59"/>
      <c r="AF81" s="59"/>
      <c r="AG81" s="59"/>
      <c r="AH81" s="59"/>
      <c r="AI81" s="59"/>
      <c r="AJ81" s="59"/>
      <c r="AK81" s="59"/>
      <c r="AL81" s="59"/>
      <c r="AM81" s="59"/>
      <c r="AN81" s="59"/>
      <c r="AO81" s="59"/>
      <c r="AP81" s="59"/>
      <c r="AQ81" s="59"/>
      <c r="AR81" s="59"/>
      <c r="AS81" s="59"/>
      <c r="AT81" s="59"/>
      <c r="AU81" s="59"/>
      <c r="AV81" s="59"/>
      <c r="AW81" s="59"/>
      <c r="AX81" s="59"/>
      <c r="AY81" s="59"/>
      <c r="AZ81" s="59"/>
      <c r="BA81" s="59"/>
      <c r="BB81" s="59"/>
      <c r="BC81" s="59"/>
      <c r="BD81" s="59"/>
      <c r="BE81" s="59"/>
      <c r="BF81" s="59"/>
      <c r="BG81" s="59"/>
      <c r="BH81" s="59"/>
      <c r="BI81" s="59"/>
      <c r="BJ81" s="59"/>
      <c r="BK81" s="59"/>
      <c r="BL81" s="59"/>
      <c r="BM81" s="59"/>
      <c r="BN81" s="59"/>
      <c r="BO81" s="59"/>
      <c r="BP81" s="59"/>
      <c r="BQ81" s="59"/>
      <c r="BR81" s="59"/>
      <c r="BS81" s="59"/>
      <c r="BT81" s="59"/>
      <c r="BU81" s="59"/>
      <c r="BV81" s="59"/>
      <c r="BW81" s="59"/>
      <c r="BX81" s="59"/>
      <c r="BY81" s="59"/>
      <c r="BZ81" s="59"/>
      <c r="CA81" s="59"/>
      <c r="CB81" s="59"/>
      <c r="CC81" s="59"/>
      <c r="CD81" s="59"/>
      <c r="CE81" s="59"/>
      <c r="CF81" s="59"/>
      <c r="CG81" s="59"/>
      <c r="CH81" s="59"/>
      <c r="CI81" s="59"/>
      <c r="CJ81" s="59"/>
      <c r="CK81" s="59"/>
      <c r="CL81" s="59"/>
      <c r="CM81" s="59"/>
      <c r="CN81" s="59"/>
      <c r="CO81" s="59"/>
      <c r="CP81" s="59"/>
      <c r="CQ81" s="59"/>
      <c r="CR81" s="59"/>
      <c r="CS81" s="59"/>
      <c r="CT81" s="59"/>
      <c r="CU81" s="59"/>
      <c r="CV81" s="59"/>
      <c r="CW81" s="59"/>
      <c r="CX81" s="59"/>
      <c r="CY81" s="59"/>
      <c r="CZ81" s="59"/>
      <c r="DA81" s="59"/>
      <c r="DB81" s="59"/>
      <c r="DC81" s="59"/>
      <c r="DD81" s="59"/>
      <c r="DE81" s="59"/>
      <c r="DF81" s="59"/>
      <c r="DG81" s="59"/>
      <c r="DH81" s="59"/>
      <c r="DI81" s="59"/>
      <c r="DJ81" s="59"/>
      <c r="DK81" s="59"/>
      <c r="DL81" s="59"/>
      <c r="DM81" s="59"/>
      <c r="DN81" s="59"/>
      <c r="DO81" s="59"/>
      <c r="DP81" s="59"/>
      <c r="DQ81" s="59"/>
      <c r="DR81" s="59"/>
      <c r="DS81" s="59"/>
      <c r="DT81" s="59"/>
      <c r="DU81" s="59"/>
      <c r="DV81" s="59"/>
      <c r="DW81" s="59"/>
      <c r="DX81" s="59"/>
      <c r="DY81" s="59"/>
      <c r="DZ81" s="59"/>
      <c r="EA81" s="59"/>
      <c r="EB81" s="59"/>
      <c r="EC81" s="59"/>
      <c r="ED81" s="59"/>
      <c r="EE81" s="59"/>
      <c r="EF81" s="59"/>
      <c r="EG81" s="59"/>
      <c r="EH81" s="59"/>
      <c r="EI81" s="59"/>
      <c r="EJ81" s="59"/>
      <c r="EK81" s="59"/>
      <c r="EL81" s="59"/>
      <c r="EM81" s="59"/>
      <c r="EN81" s="59"/>
      <c r="EO81" s="59"/>
      <c r="EP81" s="59"/>
      <c r="EQ81" s="59"/>
      <c r="ER81" s="59"/>
      <c r="ES81" s="59"/>
      <c r="ET81" s="59"/>
      <c r="EU81" s="59"/>
      <c r="EV81" s="59"/>
      <c r="EW81" s="59"/>
      <c r="EX81" s="59"/>
      <c r="EY81" s="59"/>
      <c r="EZ81" s="59"/>
      <c r="FA81" s="59"/>
      <c r="FB81" s="59"/>
      <c r="FC81" s="59"/>
      <c r="FD81" s="59"/>
      <c r="FE81" s="59"/>
    </row>
    <row r="82" spans="1:161" ht="15.75" customHeight="1" x14ac:dyDescent="0.35">
      <c r="A82" s="191">
        <v>6302622166</v>
      </c>
      <c r="B82" s="192"/>
      <c r="C82" s="192" t="s">
        <v>130</v>
      </c>
      <c r="D82" s="192" t="s">
        <v>377</v>
      </c>
      <c r="E82" s="192" t="s">
        <v>378</v>
      </c>
      <c r="F82" s="193">
        <v>43195</v>
      </c>
      <c r="G82" s="192" t="s">
        <v>377</v>
      </c>
      <c r="H82" s="192" t="s">
        <v>319</v>
      </c>
      <c r="I82" s="192" t="s">
        <v>379</v>
      </c>
      <c r="J82" s="193">
        <v>43195</v>
      </c>
      <c r="K82" s="192" t="s">
        <v>203</v>
      </c>
      <c r="L82" s="192" t="s">
        <v>135</v>
      </c>
      <c r="M82" s="192" t="s">
        <v>133</v>
      </c>
      <c r="N82" s="192" t="s">
        <v>136</v>
      </c>
      <c r="O82" s="193">
        <v>20597</v>
      </c>
      <c r="P82" s="193">
        <v>43140</v>
      </c>
      <c r="Q82" s="194">
        <f t="shared" si="2"/>
        <v>61</v>
      </c>
      <c r="R82" s="192" t="s">
        <v>225</v>
      </c>
      <c r="S82" s="195" t="s">
        <v>138</v>
      </c>
      <c r="T82" s="192" t="s">
        <v>198</v>
      </c>
      <c r="U82" s="192">
        <v>0</v>
      </c>
      <c r="V82" s="192">
        <v>0</v>
      </c>
      <c r="W82" s="192">
        <v>0</v>
      </c>
      <c r="X82" s="192" t="s">
        <v>199</v>
      </c>
      <c r="Y82" s="192">
        <v>3</v>
      </c>
      <c r="Z82" s="192" t="s">
        <v>200</v>
      </c>
      <c r="AA82" s="192" t="s">
        <v>199</v>
      </c>
      <c r="AB82" s="192"/>
      <c r="AC82" s="192"/>
      <c r="AD82" s="192"/>
      <c r="AE82" s="192"/>
      <c r="AF82" s="192"/>
      <c r="AG82" s="192"/>
      <c r="AH82" s="192"/>
      <c r="AI82" s="192"/>
      <c r="AJ82" s="192"/>
      <c r="AK82" s="192"/>
      <c r="AL82" s="192"/>
      <c r="AM82" s="192"/>
      <c r="AN82" s="192"/>
      <c r="AO82" s="192"/>
      <c r="AP82" s="192"/>
      <c r="AQ82" s="192"/>
      <c r="AR82" s="192"/>
      <c r="AS82" s="192"/>
      <c r="AT82" s="192"/>
      <c r="AU82" s="192"/>
      <c r="AV82" s="192"/>
      <c r="AW82" s="192"/>
      <c r="AX82" s="192"/>
      <c r="AY82" s="192"/>
      <c r="AZ82" s="192"/>
      <c r="BA82" s="192"/>
      <c r="BB82" s="192"/>
      <c r="BC82" s="192"/>
      <c r="BD82" s="192"/>
      <c r="BE82" s="192"/>
      <c r="BF82" s="192"/>
      <c r="BG82" s="192"/>
      <c r="BH82" s="192"/>
      <c r="BI82" s="192"/>
      <c r="BJ82" s="192"/>
      <c r="BK82" s="192"/>
      <c r="BL82" s="192"/>
      <c r="BM82" s="192"/>
      <c r="BN82" s="192"/>
      <c r="BO82" s="192"/>
      <c r="BP82" s="192"/>
      <c r="BQ82" s="192"/>
      <c r="BR82" s="192"/>
      <c r="BS82" s="192"/>
      <c r="BT82" s="192"/>
      <c r="BU82" s="192"/>
      <c r="BV82" s="192"/>
      <c r="BW82" s="192"/>
      <c r="BX82" s="192"/>
      <c r="BY82" s="192"/>
      <c r="BZ82" s="192"/>
      <c r="CA82" s="192"/>
      <c r="CB82" s="192"/>
      <c r="CC82" s="192"/>
      <c r="CD82" s="192"/>
      <c r="CE82" s="192"/>
      <c r="CF82" s="192"/>
      <c r="CG82" s="192"/>
      <c r="CH82" s="192"/>
      <c r="CI82" s="192"/>
      <c r="CJ82" s="192"/>
      <c r="CK82" s="192"/>
      <c r="CL82" s="192"/>
      <c r="CM82" s="192"/>
      <c r="CN82" s="192"/>
      <c r="CO82" s="192"/>
      <c r="CP82" s="192"/>
      <c r="CQ82" s="192"/>
      <c r="CR82" s="192"/>
      <c r="CS82" s="192"/>
      <c r="CT82" s="192"/>
      <c r="CU82" s="192"/>
      <c r="CV82" s="192"/>
      <c r="CW82" s="192"/>
      <c r="CX82" s="192"/>
      <c r="CY82" s="192"/>
      <c r="CZ82" s="192"/>
      <c r="DA82" s="192"/>
      <c r="DB82" s="192"/>
      <c r="DC82" s="192"/>
      <c r="DD82" s="192"/>
      <c r="DE82" s="192"/>
      <c r="DF82" s="192"/>
      <c r="DG82" s="192"/>
      <c r="DH82" s="192"/>
      <c r="DI82" s="192"/>
      <c r="DJ82" s="192"/>
      <c r="DK82" s="192"/>
      <c r="DL82" s="192"/>
      <c r="DM82" s="192"/>
      <c r="DN82" s="192"/>
      <c r="DO82" s="192"/>
      <c r="DP82" s="192"/>
      <c r="DQ82" s="192"/>
      <c r="DR82" s="192"/>
      <c r="DS82" s="192"/>
      <c r="DT82" s="192"/>
      <c r="DU82" s="192"/>
      <c r="DV82" s="192"/>
      <c r="DW82" s="192"/>
      <c r="DX82" s="192"/>
      <c r="DY82" s="192"/>
      <c r="DZ82" s="192"/>
      <c r="EA82" s="192"/>
      <c r="EB82" s="192"/>
      <c r="EC82" s="192"/>
      <c r="ED82" s="192"/>
      <c r="EE82" s="192"/>
      <c r="EF82" s="192"/>
      <c r="EG82" s="192"/>
      <c r="EH82" s="192"/>
      <c r="EI82" s="192"/>
      <c r="EJ82" s="192"/>
      <c r="EK82" s="192"/>
      <c r="EL82" s="192"/>
      <c r="EM82" s="192"/>
      <c r="EN82" s="192"/>
      <c r="EO82" s="192"/>
      <c r="EP82" s="192"/>
      <c r="EQ82" s="192"/>
      <c r="ER82" s="192"/>
      <c r="ES82" s="192"/>
      <c r="ET82" s="192"/>
      <c r="EU82" s="192"/>
      <c r="EV82" s="192"/>
      <c r="EW82" s="192"/>
      <c r="EX82" s="192"/>
      <c r="EY82" s="192"/>
      <c r="EZ82" s="192"/>
      <c r="FA82" s="192"/>
      <c r="FB82" s="192"/>
      <c r="FC82" s="192"/>
      <c r="FD82" s="192"/>
      <c r="FE82" s="192"/>
    </row>
  </sheetData>
  <conditionalFormatting sqref="A5:A82">
    <cfRule type="duplicateValues" dxfId="374" priority="141"/>
  </conditionalFormatting>
  <conditionalFormatting sqref="A28:A65">
    <cfRule type="duplicateValues" dxfId="373" priority="102"/>
  </conditionalFormatting>
  <conditionalFormatting sqref="A66:A82">
    <cfRule type="duplicateValues" dxfId="372" priority="131"/>
  </conditionalFormatting>
  <conditionalFormatting sqref="D5:D9 D11:D24 D26:D57 D59:D60 D62:D77 D79:D82">
    <cfRule type="duplicateValues" dxfId="371" priority="126"/>
  </conditionalFormatting>
  <conditionalFormatting sqref="D28:D57 D59:D60 D62:D65">
    <cfRule type="duplicateValues" dxfId="370" priority="100"/>
  </conditionalFormatting>
  <conditionalFormatting sqref="D66:D77 D79:D82">
    <cfRule type="duplicateValues" dxfId="369" priority="56"/>
  </conditionalFormatting>
  <conditionalFormatting sqref="G30 G34 G40 G45 G48 G53 G56:G59 G61 G65">
    <cfRule type="duplicateValues" dxfId="368" priority="104"/>
  </conditionalFormatting>
  <conditionalFormatting sqref="G67 G69:G70 G78:G79 G81:G82">
    <cfRule type="duplicateValues" dxfId="367" priority="64"/>
  </conditionalFormatting>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B5283-C053-425F-9DE4-8368273C416B}">
  <sheetPr codeName="Sheet2"/>
  <dimension ref="A1:X79"/>
  <sheetViews>
    <sheetView tabSelected="1" workbookViewId="0">
      <selection activeCell="G13" sqref="G13"/>
    </sheetView>
  </sheetViews>
  <sheetFormatPr defaultRowHeight="12.5" x14ac:dyDescent="0.25"/>
  <cols>
    <col min="1" max="1" width="28.26953125" customWidth="1"/>
    <col min="2" max="2" width="31.26953125" customWidth="1"/>
    <col min="3" max="3" width="22.81640625" customWidth="1"/>
    <col min="4" max="4" width="35.36328125" customWidth="1"/>
    <col min="5" max="5" width="27.453125" customWidth="1"/>
    <col min="6" max="6" width="34.453125" customWidth="1"/>
    <col min="7" max="7" width="25.81640625" customWidth="1"/>
    <col min="8" max="8" width="44.81640625" customWidth="1"/>
    <col min="9" max="9" width="58.1796875" customWidth="1"/>
    <col min="10" max="10" width="21.08984375" customWidth="1"/>
    <col min="11" max="11" width="19.6328125" customWidth="1"/>
    <col min="12" max="12" width="9" customWidth="1"/>
    <col min="13" max="13" width="25.1796875" customWidth="1"/>
    <col min="14" max="14" width="22.6328125" customWidth="1"/>
    <col min="15" max="15" width="85.54296875" bestFit="1" customWidth="1"/>
    <col min="16" max="16" width="27.26953125" customWidth="1"/>
    <col min="17" max="17" width="4.90625" customWidth="1"/>
    <col min="18" max="18" width="5.1796875" customWidth="1"/>
    <col min="19" max="19" width="18.7265625" bestFit="1" customWidth="1"/>
    <col min="20" max="20" width="30" bestFit="1" customWidth="1"/>
    <col min="21" max="21" width="12.453125" customWidth="1"/>
    <col min="22" max="22" width="7.90625" customWidth="1"/>
    <col min="23" max="23" width="11.7265625" customWidth="1"/>
    <col min="24" max="24" width="18.08984375" customWidth="1"/>
  </cols>
  <sheetData>
    <row r="1" spans="1:24" ht="56.25" customHeight="1" x14ac:dyDescent="0.25">
      <c r="A1" s="2" t="s">
        <v>9</v>
      </c>
      <c r="B1" s="2" t="s">
        <v>10</v>
      </c>
      <c r="C1" s="2" t="s">
        <v>11</v>
      </c>
      <c r="D1" s="4" t="s">
        <v>12</v>
      </c>
      <c r="E1" s="61" t="s">
        <v>13</v>
      </c>
      <c r="F1" s="61" t="s">
        <v>14</v>
      </c>
      <c r="G1" s="61" t="s">
        <v>15</v>
      </c>
      <c r="H1" s="62" t="s">
        <v>16</v>
      </c>
      <c r="I1" s="5" t="s">
        <v>17</v>
      </c>
      <c r="J1" s="5" t="s">
        <v>18</v>
      </c>
      <c r="K1" s="57" t="s">
        <v>19</v>
      </c>
      <c r="L1" s="2" t="s">
        <v>20</v>
      </c>
      <c r="M1" s="63" t="s">
        <v>22</v>
      </c>
      <c r="N1" s="64" t="s">
        <v>23</v>
      </c>
      <c r="O1" s="65" t="s">
        <v>24</v>
      </c>
      <c r="P1" s="64" t="s">
        <v>25</v>
      </c>
      <c r="Q1" s="64" t="s">
        <v>26</v>
      </c>
      <c r="R1" s="64" t="s">
        <v>27</v>
      </c>
      <c r="S1" s="64" t="s">
        <v>28</v>
      </c>
      <c r="T1" s="64" t="s">
        <v>29</v>
      </c>
      <c r="U1" s="65" t="s">
        <v>30</v>
      </c>
      <c r="V1" s="65" t="s">
        <v>31</v>
      </c>
      <c r="W1" s="66" t="s">
        <v>32</v>
      </c>
      <c r="X1" s="6" t="s">
        <v>33</v>
      </c>
    </row>
    <row r="2" spans="1:24" ht="15.5" x14ac:dyDescent="0.35">
      <c r="A2" s="59" t="s">
        <v>130</v>
      </c>
      <c r="B2" s="59" t="s">
        <v>380</v>
      </c>
      <c r="C2" s="59" t="s">
        <v>132</v>
      </c>
      <c r="D2" s="96" t="str">
        <f>IFERROR("Q" &amp;INT((MONTH('Follow up (ship 1)'!F5)+2)/3) &amp; "-" &amp; YEAR('Follow up (ship 1)'!F5),"N/A")</f>
        <v>Q1-2017</v>
      </c>
      <c r="E2" s="59" t="s">
        <v>133</v>
      </c>
      <c r="F2" s="59" t="s">
        <v>133</v>
      </c>
      <c r="G2" s="59" t="s">
        <v>133</v>
      </c>
      <c r="H2" s="59" t="str">
        <f>IFERROR("Q" &amp;INT((MONTH('Follow up (ship 1)'!J5)+2)/3) &amp; "-" &amp; YEAR('Follow up (ship 1)'!J5),"N/A")</f>
        <v>N/A</v>
      </c>
      <c r="I2" s="59" t="s">
        <v>134</v>
      </c>
      <c r="J2" s="59" t="s">
        <v>135</v>
      </c>
      <c r="K2" s="59" t="s">
        <v>133</v>
      </c>
      <c r="L2" s="95" t="s">
        <v>136</v>
      </c>
      <c r="M2" s="58" t="str">
        <f>IFERROR("Q" &amp;INT((MONTH('Follow up (ship 1)'!P5)+2)/3) &amp; "-" &amp; YEAR('Follow up (ship 1)'!P5),"N/A")</f>
        <v>Q4-2016</v>
      </c>
      <c r="N2" s="60">
        <v>66</v>
      </c>
      <c r="O2" s="59" t="s">
        <v>137</v>
      </c>
      <c r="P2" s="60" t="s">
        <v>138</v>
      </c>
      <c r="Q2" s="59" t="s">
        <v>381</v>
      </c>
      <c r="R2" s="59">
        <v>1</v>
      </c>
      <c r="S2" s="59">
        <v>0</v>
      </c>
      <c r="T2" s="70">
        <v>0</v>
      </c>
      <c r="U2" s="59" t="s">
        <v>139</v>
      </c>
      <c r="V2" s="70" t="s">
        <v>140</v>
      </c>
      <c r="W2" s="70" t="s">
        <v>251</v>
      </c>
      <c r="X2" s="59" t="s">
        <v>139</v>
      </c>
    </row>
    <row r="3" spans="1:24" ht="15.5" x14ac:dyDescent="0.35">
      <c r="A3" s="59" t="s">
        <v>130</v>
      </c>
      <c r="B3" s="59" t="s">
        <v>382</v>
      </c>
      <c r="C3" s="59" t="s">
        <v>144</v>
      </c>
      <c r="D3" s="96" t="str">
        <f>IFERROR("Q" &amp;INT((MONTH('Follow up (ship 1)'!F6)+2)/3) &amp; "-" &amp; YEAR('Follow up (ship 1)'!F6),"N/A")</f>
        <v>Q1-2017</v>
      </c>
      <c r="E3" s="59" t="s">
        <v>382</v>
      </c>
      <c r="F3" s="59" t="s">
        <v>145</v>
      </c>
      <c r="G3" s="59" t="s">
        <v>146</v>
      </c>
      <c r="H3" s="59" t="str">
        <f>IFERROR("Q" &amp;INT((MONTH('Follow up (ship 1)'!J6)+2)/3) &amp; "-" &amp; YEAR('Follow up (ship 1)'!J6),"N/A")</f>
        <v>Q1-2017</v>
      </c>
      <c r="I3" s="59" t="s">
        <v>134</v>
      </c>
      <c r="J3" s="59" t="s">
        <v>135</v>
      </c>
      <c r="K3" s="59" t="s">
        <v>133</v>
      </c>
      <c r="L3" s="95" t="s">
        <v>136</v>
      </c>
      <c r="M3" s="58" t="str">
        <f>IFERROR("Q" &amp;INT((MONTH('Follow up (ship 1)'!P6)+2)/3) &amp; "-" &amp; YEAR('Follow up (ship 1)'!P6),"N/A")</f>
        <v>Q1-2017</v>
      </c>
      <c r="N3" s="60">
        <v>70</v>
      </c>
      <c r="O3" s="59" t="s">
        <v>147</v>
      </c>
      <c r="P3" s="59" t="s">
        <v>138</v>
      </c>
      <c r="Q3" s="59" t="s">
        <v>148</v>
      </c>
      <c r="R3" s="59">
        <v>0</v>
      </c>
      <c r="S3" s="59" t="s">
        <v>149</v>
      </c>
      <c r="T3" s="59">
        <v>0</v>
      </c>
      <c r="U3" s="59" t="s">
        <v>150</v>
      </c>
      <c r="V3" s="59">
        <v>1</v>
      </c>
      <c r="W3" s="59" t="s">
        <v>151</v>
      </c>
      <c r="X3" s="59" t="s">
        <v>150</v>
      </c>
    </row>
    <row r="4" spans="1:24" ht="15.5" x14ac:dyDescent="0.35">
      <c r="A4" s="59" t="s">
        <v>130</v>
      </c>
      <c r="B4" s="59" t="s">
        <v>383</v>
      </c>
      <c r="C4" s="94" t="s">
        <v>153</v>
      </c>
      <c r="D4" s="96" t="str">
        <f>IFERROR("Q" &amp;INT((MONTH('Follow up (ship 1)'!F7)+2)/3) &amp; "-" &amp; YEAR('Follow up (ship 1)'!F7),"N/A")</f>
        <v>Q1-2017</v>
      </c>
      <c r="E4" s="59" t="s">
        <v>383</v>
      </c>
      <c r="F4" s="94" t="s">
        <v>154</v>
      </c>
      <c r="G4" s="59" t="s">
        <v>146</v>
      </c>
      <c r="H4" s="59" t="str">
        <f>IFERROR("Q" &amp;INT((MONTH('Follow up (ship 1)'!J7)+2)/3) &amp; "-" &amp; YEAR('Follow up (ship 1)'!J7),"N/A")</f>
        <v>Q1-2017</v>
      </c>
      <c r="I4" s="59" t="s">
        <v>134</v>
      </c>
      <c r="J4" s="59" t="s">
        <v>135</v>
      </c>
      <c r="K4" s="59" t="s">
        <v>133</v>
      </c>
      <c r="L4" s="95" t="s">
        <v>136</v>
      </c>
      <c r="M4" s="58" t="str">
        <f>IFERROR("Q" &amp;INT((MONTH('Follow up (ship 1)'!P7)+2)/3) &amp; "-" &amp; YEAR('Follow up (ship 1)'!P7),"N/A")</f>
        <v>Q1-2017</v>
      </c>
      <c r="N4" s="60">
        <v>75</v>
      </c>
      <c r="O4" s="59" t="s">
        <v>155</v>
      </c>
      <c r="P4" s="59" t="s">
        <v>138</v>
      </c>
      <c r="Q4" s="59" t="s">
        <v>148</v>
      </c>
      <c r="R4" s="59">
        <v>0</v>
      </c>
      <c r="S4" s="59">
        <v>0</v>
      </c>
      <c r="T4" s="59">
        <v>0</v>
      </c>
      <c r="U4" s="59" t="s">
        <v>150</v>
      </c>
      <c r="V4" s="59">
        <v>3</v>
      </c>
      <c r="W4" s="59" t="s">
        <v>151</v>
      </c>
      <c r="X4" s="59" t="s">
        <v>150</v>
      </c>
    </row>
    <row r="5" spans="1:24" ht="15.5" x14ac:dyDescent="0.35">
      <c r="A5" s="59" t="s">
        <v>130</v>
      </c>
      <c r="B5" s="59" t="s">
        <v>156</v>
      </c>
      <c r="C5" s="59" t="s">
        <v>157</v>
      </c>
      <c r="D5" s="96" t="str">
        <f>IFERROR("Q" &amp;INT((MONTH('Follow up (ship 1)'!F8)+2)/3) &amp; "-" &amp; YEAR('Follow up (ship 1)'!F8),"N/A")</f>
        <v>Q1-2017</v>
      </c>
      <c r="E5" s="59" t="s">
        <v>133</v>
      </c>
      <c r="F5" s="59" t="s">
        <v>133</v>
      </c>
      <c r="G5" s="59" t="s">
        <v>133</v>
      </c>
      <c r="H5" s="59" t="str">
        <f>IFERROR("Q" &amp;INT((MONTH('Follow up (ship 1)'!J8)+2)/3) &amp; "-" &amp; YEAR('Follow up (ship 1)'!J8),"N/A")</f>
        <v>N/A</v>
      </c>
      <c r="I5" s="59" t="s">
        <v>134</v>
      </c>
      <c r="J5" s="59" t="s">
        <v>135</v>
      </c>
      <c r="K5" s="59" t="s">
        <v>133</v>
      </c>
      <c r="L5" s="59" t="s">
        <v>136</v>
      </c>
      <c r="M5" s="58" t="str">
        <f>IFERROR("Q" &amp;INT((MONTH('Follow up (ship 1)'!P8)+2)/3) &amp; "-" &amp; YEAR('Follow up (ship 1)'!P8),"N/A")</f>
        <v>Q4-2016</v>
      </c>
      <c r="N5" s="60">
        <v>90</v>
      </c>
      <c r="O5" s="90" t="s">
        <v>158</v>
      </c>
      <c r="P5" s="59" t="s">
        <v>138</v>
      </c>
      <c r="Q5" s="59">
        <v>2</v>
      </c>
      <c r="R5" s="59">
        <v>0</v>
      </c>
      <c r="S5" s="59">
        <v>0</v>
      </c>
      <c r="T5" s="59">
        <v>0</v>
      </c>
      <c r="U5" s="70" t="s">
        <v>159</v>
      </c>
      <c r="V5" s="68">
        <v>3</v>
      </c>
      <c r="W5" s="59" t="s">
        <v>160</v>
      </c>
      <c r="X5" s="70" t="s">
        <v>159</v>
      </c>
    </row>
    <row r="6" spans="1:24" ht="15.5" x14ac:dyDescent="0.35">
      <c r="A6" s="59" t="s">
        <v>130</v>
      </c>
      <c r="B6" s="59" t="s">
        <v>161</v>
      </c>
      <c r="C6" s="59" t="s">
        <v>162</v>
      </c>
      <c r="D6" s="96" t="str">
        <f>IFERROR("Q" &amp;INT((MONTH('Follow up (ship 1)'!F9)+2)/3) &amp; "-" &amp; YEAR('Follow up (ship 1)'!F9),"N/A")</f>
        <v>Q1-2017</v>
      </c>
      <c r="E6" s="59" t="s">
        <v>133</v>
      </c>
      <c r="F6" s="59" t="s">
        <v>133</v>
      </c>
      <c r="G6" s="59" t="s">
        <v>133</v>
      </c>
      <c r="H6" s="59" t="str">
        <f>IFERROR("Q" &amp;INT((MONTH('Follow up (ship 1)'!J9)+2)/3) &amp; "-" &amp; YEAR('Follow up (ship 1)'!J9),"N/A")</f>
        <v>N/A</v>
      </c>
      <c r="I6" s="59" t="s">
        <v>134</v>
      </c>
      <c r="J6" s="59" t="s">
        <v>135</v>
      </c>
      <c r="K6" s="59" t="s">
        <v>133</v>
      </c>
      <c r="L6" s="59" t="s">
        <v>136</v>
      </c>
      <c r="M6" s="58" t="str">
        <f>IFERROR("Q" &amp;INT((MONTH('Follow up (ship 1)'!P9)+2)/3) &amp; "-" &amp; YEAR('Follow up (ship 1)'!P9),"N/A")</f>
        <v>Q4-2002</v>
      </c>
      <c r="N6" s="60">
        <v>69</v>
      </c>
      <c r="O6" s="59" t="s">
        <v>163</v>
      </c>
      <c r="P6" s="59" t="s">
        <v>138</v>
      </c>
      <c r="Q6" s="59" t="s">
        <v>148</v>
      </c>
      <c r="R6" s="59">
        <v>2</v>
      </c>
      <c r="S6" s="59">
        <v>0</v>
      </c>
      <c r="T6" s="59">
        <v>0</v>
      </c>
      <c r="U6" s="59" t="s">
        <v>150</v>
      </c>
      <c r="V6" s="59">
        <v>3</v>
      </c>
      <c r="W6" s="59" t="s">
        <v>384</v>
      </c>
      <c r="X6" s="59" t="s">
        <v>150</v>
      </c>
    </row>
    <row r="7" spans="1:24" ht="15.5" x14ac:dyDescent="0.35">
      <c r="A7" s="59" t="s">
        <v>133</v>
      </c>
      <c r="B7" s="59" t="s">
        <v>133</v>
      </c>
      <c r="C7" s="59" t="s">
        <v>133</v>
      </c>
      <c r="D7" s="96" t="str">
        <f>IFERROR("Q" &amp;INT((MONTH('Follow up (ship 1)'!F10)+2)/3) &amp; "-" &amp; YEAR('Follow up (ship 1)'!F10),"N/A")</f>
        <v>N/A</v>
      </c>
      <c r="E7" s="59" t="s">
        <v>167</v>
      </c>
      <c r="F7" s="59" t="s">
        <v>168</v>
      </c>
      <c r="G7" s="59" t="s">
        <v>169</v>
      </c>
      <c r="H7" s="59" t="str">
        <f>IFERROR("Q" &amp;INT((MONTH('Follow up (ship 1)'!J10)+2)/3) &amp; "-" &amp; YEAR('Follow up (ship 1)'!J10),"N/A")</f>
        <v>Q1-2017</v>
      </c>
      <c r="I7" s="59" t="s">
        <v>133</v>
      </c>
      <c r="J7" s="59" t="s">
        <v>133</v>
      </c>
      <c r="K7" s="59" t="s">
        <v>133</v>
      </c>
      <c r="L7" s="59" t="s">
        <v>136</v>
      </c>
      <c r="M7" s="58" t="str">
        <f>IFERROR("Q" &amp;INT((MONTH('Follow up (ship 1)'!P10)+2)/3) &amp; "-" &amp; YEAR('Follow up (ship 1)'!P10),"N/A")</f>
        <v>Q1-2017</v>
      </c>
      <c r="N7" s="60">
        <v>81</v>
      </c>
      <c r="O7" s="59" t="s">
        <v>133</v>
      </c>
      <c r="P7" s="59" t="s">
        <v>133</v>
      </c>
      <c r="Q7" s="70" t="s">
        <v>133</v>
      </c>
      <c r="R7" s="70" t="s">
        <v>133</v>
      </c>
      <c r="S7" s="70" t="s">
        <v>133</v>
      </c>
      <c r="T7" s="70" t="s">
        <v>133</v>
      </c>
      <c r="U7" s="70" t="s">
        <v>133</v>
      </c>
      <c r="V7" s="70" t="s">
        <v>133</v>
      </c>
      <c r="W7" s="59" t="s">
        <v>133</v>
      </c>
      <c r="X7" s="70" t="s">
        <v>133</v>
      </c>
    </row>
    <row r="8" spans="1:24" ht="15.5" x14ac:dyDescent="0.35">
      <c r="A8" s="59" t="s">
        <v>130</v>
      </c>
      <c r="B8" s="59" t="s">
        <v>170</v>
      </c>
      <c r="C8" s="59" t="s">
        <v>171</v>
      </c>
      <c r="D8" s="96" t="str">
        <f>IFERROR("Q" &amp;INT((MONTH('Follow up (ship 1)'!F11)+2)/3) &amp; "-" &amp; YEAR('Follow up (ship 1)'!F11),"N/A")</f>
        <v>Q1-2017</v>
      </c>
      <c r="E8" s="59" t="s">
        <v>170</v>
      </c>
      <c r="F8" s="59" t="s">
        <v>172</v>
      </c>
      <c r="G8" s="59" t="s">
        <v>146</v>
      </c>
      <c r="H8" s="59" t="str">
        <f>IFERROR("Q" &amp;INT((MONTH('Follow up (ship 1)'!J11)+2)/3) &amp; "-" &amp; YEAR('Follow up (ship 1)'!J11),"N/A")</f>
        <v>Q1-2017</v>
      </c>
      <c r="I8" s="59" t="s">
        <v>173</v>
      </c>
      <c r="J8" s="59" t="s">
        <v>135</v>
      </c>
      <c r="K8" s="59" t="s">
        <v>133</v>
      </c>
      <c r="L8" s="59" t="s">
        <v>136</v>
      </c>
      <c r="M8" s="58" t="str">
        <f>IFERROR("Q" &amp;INT((MONTH('Follow up (ship 1)'!P11)+2)/3) &amp; "-" &amp; YEAR('Follow up (ship 1)'!P11),"N/A")</f>
        <v>Q1-2017</v>
      </c>
      <c r="N8" s="60">
        <v>81</v>
      </c>
      <c r="O8" s="59" t="s">
        <v>147</v>
      </c>
      <c r="P8" s="59" t="s">
        <v>138</v>
      </c>
      <c r="Q8" s="59" t="s">
        <v>148</v>
      </c>
      <c r="R8" s="59">
        <v>0</v>
      </c>
      <c r="S8" s="59">
        <v>0</v>
      </c>
      <c r="T8" s="59">
        <v>0</v>
      </c>
      <c r="U8" s="59" t="s">
        <v>150</v>
      </c>
      <c r="V8" s="59">
        <v>3</v>
      </c>
      <c r="W8" s="59" t="s">
        <v>151</v>
      </c>
      <c r="X8" s="59" t="s">
        <v>150</v>
      </c>
    </row>
    <row r="9" spans="1:24" ht="15.5" x14ac:dyDescent="0.35">
      <c r="A9" s="59" t="s">
        <v>130</v>
      </c>
      <c r="B9" s="59" t="s">
        <v>174</v>
      </c>
      <c r="C9" s="59" t="s">
        <v>175</v>
      </c>
      <c r="D9" s="96" t="str">
        <f>IFERROR("Q" &amp;INT((MONTH('Follow up (ship 1)'!F12)+2)/3) &amp; "-" &amp; YEAR('Follow up (ship 1)'!F12),"N/A")</f>
        <v>Q1-2017</v>
      </c>
      <c r="E9" s="59" t="s">
        <v>133</v>
      </c>
      <c r="F9" s="59" t="s">
        <v>133</v>
      </c>
      <c r="G9" s="59" t="s">
        <v>133</v>
      </c>
      <c r="H9" s="59" t="str">
        <f>IFERROR("Q" &amp;INT((MONTH('Follow up (ship 1)'!J12)+2)/3) &amp; "-" &amp; YEAR('Follow up (ship 1)'!J12),"N/A")</f>
        <v>N/A</v>
      </c>
      <c r="I9" s="59" t="s">
        <v>134</v>
      </c>
      <c r="J9" s="59" t="s">
        <v>135</v>
      </c>
      <c r="K9" s="59" t="s">
        <v>133</v>
      </c>
      <c r="L9" s="59" t="s">
        <v>136</v>
      </c>
      <c r="M9" s="58" t="str">
        <f>IFERROR("Q" &amp;INT((MONTH('Follow up (ship 1)'!P12)+2)/3) &amp; "-" &amp; YEAR('Follow up (ship 1)'!P12),"N/A")</f>
        <v>Q1-2017</v>
      </c>
      <c r="N9" s="60">
        <v>63</v>
      </c>
      <c r="O9" s="59" t="s">
        <v>176</v>
      </c>
      <c r="P9" s="59" t="s">
        <v>138</v>
      </c>
      <c r="Q9" s="59">
        <v>2</v>
      </c>
      <c r="R9" s="59">
        <v>0</v>
      </c>
      <c r="S9" s="59">
        <v>0</v>
      </c>
      <c r="T9" s="59">
        <v>0</v>
      </c>
      <c r="U9" s="59" t="s">
        <v>159</v>
      </c>
      <c r="V9" s="70">
        <v>3</v>
      </c>
      <c r="W9" s="59" t="s">
        <v>160</v>
      </c>
      <c r="X9" s="59" t="s">
        <v>159</v>
      </c>
    </row>
    <row r="10" spans="1:24" ht="15.5" x14ac:dyDescent="0.35">
      <c r="A10" s="59" t="s">
        <v>130</v>
      </c>
      <c r="B10" s="59" t="s">
        <v>177</v>
      </c>
      <c r="C10" s="59" t="s">
        <v>178</v>
      </c>
      <c r="D10" s="96" t="str">
        <f>IFERROR("Q" &amp;INT((MONTH('Follow up (ship 1)'!F13)+2)/3) &amp; "-" &amp; YEAR('Follow up (ship 1)'!F13),"N/A")</f>
        <v>Q1-2017</v>
      </c>
      <c r="E10" s="59" t="s">
        <v>177</v>
      </c>
      <c r="F10" s="59" t="s">
        <v>154</v>
      </c>
      <c r="G10" s="59" t="s">
        <v>169</v>
      </c>
      <c r="H10" s="59" t="str">
        <f>IFERROR("Q" &amp;INT((MONTH('Follow up (ship 1)'!J13)+2)/3) &amp; "-" &amp; YEAR('Follow up (ship 1)'!J13),"N/A")</f>
        <v>Q1-2017</v>
      </c>
      <c r="I10" s="59" t="s">
        <v>134</v>
      </c>
      <c r="J10" s="59" t="s">
        <v>135</v>
      </c>
      <c r="K10" s="59" t="s">
        <v>133</v>
      </c>
      <c r="L10" s="59" t="s">
        <v>136</v>
      </c>
      <c r="M10" s="58" t="str">
        <f>IFERROR("Q" &amp;INT((MONTH('Follow up (ship 1)'!P13)+2)/3) &amp; "-" &amp; YEAR('Follow up (ship 1)'!P13),"N/A")</f>
        <v>Q1-2017</v>
      </c>
      <c r="N10" s="60">
        <v>68</v>
      </c>
      <c r="O10" s="59" t="s">
        <v>147</v>
      </c>
      <c r="P10" s="59" t="s">
        <v>138</v>
      </c>
      <c r="Q10" s="59">
        <v>2</v>
      </c>
      <c r="R10" s="59">
        <v>0</v>
      </c>
      <c r="S10" s="59">
        <v>0</v>
      </c>
      <c r="T10" s="59">
        <v>0</v>
      </c>
      <c r="U10" s="59" t="s">
        <v>159</v>
      </c>
      <c r="V10" s="59">
        <v>1</v>
      </c>
      <c r="W10" s="59" t="s">
        <v>160</v>
      </c>
      <c r="X10" s="59" t="s">
        <v>159</v>
      </c>
    </row>
    <row r="11" spans="1:24" ht="15.5" x14ac:dyDescent="0.35">
      <c r="A11" s="59" t="s">
        <v>130</v>
      </c>
      <c r="B11" s="59" t="s">
        <v>180</v>
      </c>
      <c r="C11" s="59" t="s">
        <v>181</v>
      </c>
      <c r="D11" s="96" t="str">
        <f>IFERROR("Q" &amp;INT((MONTH('Follow up (ship 1)'!F14)+2)/3) &amp; "-" &amp; YEAR('Follow up (ship 1)'!F14),"N/A")</f>
        <v>Q1-2017</v>
      </c>
      <c r="E11" s="59" t="s">
        <v>133</v>
      </c>
      <c r="F11" s="59" t="s">
        <v>133</v>
      </c>
      <c r="G11" s="59" t="s">
        <v>133</v>
      </c>
      <c r="H11" s="59" t="str">
        <f>IFERROR("Q" &amp;INT((MONTH('Follow up (ship 1)'!J14)+2)/3) &amp; "-" &amp; YEAR('Follow up (ship 1)'!J14),"N/A")</f>
        <v>N/A</v>
      </c>
      <c r="I11" s="59" t="s">
        <v>134</v>
      </c>
      <c r="J11" s="59" t="s">
        <v>135</v>
      </c>
      <c r="K11" s="59" t="s">
        <v>133</v>
      </c>
      <c r="L11" s="59" t="s">
        <v>136</v>
      </c>
      <c r="M11" s="58" t="str">
        <f>IFERROR("Q" &amp;INT((MONTH('Follow up (ship 1)'!P14)+2)/3) &amp; "-" &amp; YEAR('Follow up (ship 1)'!P14),"N/A")</f>
        <v>Q1-2017</v>
      </c>
      <c r="N11" s="60">
        <v>84</v>
      </c>
      <c r="O11" s="92" t="s">
        <v>182</v>
      </c>
      <c r="P11" s="59" t="s">
        <v>133</v>
      </c>
      <c r="Q11" s="59" t="s">
        <v>183</v>
      </c>
      <c r="R11" s="59" t="s">
        <v>183</v>
      </c>
      <c r="S11" s="59" t="s">
        <v>184</v>
      </c>
      <c r="T11" s="59" t="s">
        <v>185</v>
      </c>
      <c r="U11" s="59" t="s">
        <v>186</v>
      </c>
      <c r="V11" s="59">
        <v>3</v>
      </c>
      <c r="W11" s="59" t="s">
        <v>133</v>
      </c>
      <c r="X11" s="59" t="s">
        <v>186</v>
      </c>
    </row>
    <row r="12" spans="1:24" ht="15.5" x14ac:dyDescent="0.35">
      <c r="A12" s="59" t="s">
        <v>130</v>
      </c>
      <c r="B12" s="59" t="s">
        <v>188</v>
      </c>
      <c r="C12" s="59" t="s">
        <v>189</v>
      </c>
      <c r="D12" s="96" t="str">
        <f>IFERROR("Q" &amp;INT((MONTH('Follow up (ship 1)'!F15)+2)/3) &amp; "-" &amp; YEAR('Follow up (ship 1)'!F15),"N/A")</f>
        <v>Q2-2017</v>
      </c>
      <c r="E12" s="59" t="s">
        <v>188</v>
      </c>
      <c r="F12" s="59" t="s">
        <v>190</v>
      </c>
      <c r="G12" s="59" t="s">
        <v>146</v>
      </c>
      <c r="H12" s="59" t="str">
        <f>IFERROR("Q" &amp;INT((MONTH('Follow up (ship 1)'!J15)+2)/3) &amp; "-" &amp; YEAR('Follow up (ship 1)'!J15),"N/A")</f>
        <v>Q2-2017</v>
      </c>
      <c r="I12" s="59" t="s">
        <v>134</v>
      </c>
      <c r="J12" s="59" t="s">
        <v>135</v>
      </c>
      <c r="K12" s="59" t="s">
        <v>133</v>
      </c>
      <c r="L12" s="59" t="s">
        <v>136</v>
      </c>
      <c r="M12" s="58" t="str">
        <f>IFERROR("Q" &amp;INT((MONTH('Follow up (ship 1)'!P15)+2)/3) &amp; "-" &amp; YEAR('Follow up (ship 1)'!P15),"N/A")</f>
        <v>Q2-2017</v>
      </c>
      <c r="N12" s="60">
        <v>69</v>
      </c>
      <c r="O12" s="90" t="s">
        <v>191</v>
      </c>
      <c r="P12" s="59" t="s">
        <v>138</v>
      </c>
      <c r="Q12" s="59" t="s">
        <v>148</v>
      </c>
      <c r="R12" s="59">
        <v>0</v>
      </c>
      <c r="S12" s="59">
        <v>0</v>
      </c>
      <c r="T12" s="59">
        <v>0</v>
      </c>
      <c r="U12" s="59" t="s">
        <v>150</v>
      </c>
      <c r="V12" s="59">
        <v>3</v>
      </c>
      <c r="W12" s="59" t="s">
        <v>151</v>
      </c>
      <c r="X12" s="59" t="s">
        <v>150</v>
      </c>
    </row>
    <row r="13" spans="1:24" ht="15.5" x14ac:dyDescent="0.35">
      <c r="A13" s="59" t="s">
        <v>130</v>
      </c>
      <c r="B13" s="59" t="s">
        <v>192</v>
      </c>
      <c r="C13" s="59" t="s">
        <v>193</v>
      </c>
      <c r="D13" s="96" t="str">
        <f>IFERROR("Q" &amp;INT((MONTH('Follow up (ship 1)'!F16)+2)/3) &amp; "-" &amp; YEAR('Follow up (ship 1)'!F16),"N/A")</f>
        <v>Q2-2017</v>
      </c>
      <c r="E13" s="59" t="s">
        <v>133</v>
      </c>
      <c r="F13" s="59" t="s">
        <v>133</v>
      </c>
      <c r="G13" s="59" t="s">
        <v>133</v>
      </c>
      <c r="H13" s="59" t="str">
        <f>IFERROR("Q" &amp;INT((MONTH('Follow up (ship 1)'!J16)+2)/3) &amp; "-" &amp; YEAR('Follow up (ship 1)'!J16),"N/A")</f>
        <v>N/A</v>
      </c>
      <c r="I13" s="59" t="s">
        <v>134</v>
      </c>
      <c r="J13" s="59" t="s">
        <v>135</v>
      </c>
      <c r="K13" s="59" t="s">
        <v>133</v>
      </c>
      <c r="L13" s="59" t="s">
        <v>136</v>
      </c>
      <c r="M13" s="58" t="str">
        <f>IFERROR("Q" &amp;INT((MONTH('Follow up (ship 1)'!P16)+2)/3) &amp; "-" &amp; YEAR('Follow up (ship 1)'!P16),"N/A")</f>
        <v>Q1-2017</v>
      </c>
      <c r="N13" s="60">
        <v>70</v>
      </c>
      <c r="O13" s="59" t="s">
        <v>194</v>
      </c>
      <c r="P13" s="59" t="s">
        <v>138</v>
      </c>
      <c r="Q13" s="59" t="s">
        <v>148</v>
      </c>
      <c r="R13" s="59">
        <v>0</v>
      </c>
      <c r="S13" s="59">
        <v>0</v>
      </c>
      <c r="T13" s="59">
        <v>0</v>
      </c>
      <c r="U13" s="59" t="s">
        <v>150</v>
      </c>
      <c r="V13" s="59">
        <v>3</v>
      </c>
      <c r="W13" s="59" t="s">
        <v>151</v>
      </c>
      <c r="X13" s="59" t="s">
        <v>150</v>
      </c>
    </row>
    <row r="14" spans="1:24" ht="15.5" x14ac:dyDescent="0.35">
      <c r="A14" s="59" t="s">
        <v>130</v>
      </c>
      <c r="B14" s="59" t="s">
        <v>195</v>
      </c>
      <c r="C14" s="59" t="s">
        <v>196</v>
      </c>
      <c r="D14" s="96" t="str">
        <f>IFERROR("Q" &amp;INT((MONTH('Follow up (ship 1)'!F17)+2)/3) &amp; "-" &amp; YEAR('Follow up (ship 1)'!F17),"N/A")</f>
        <v>Q2-2017</v>
      </c>
      <c r="E14" s="59" t="s">
        <v>133</v>
      </c>
      <c r="F14" s="59" t="s">
        <v>133</v>
      </c>
      <c r="G14" s="59" t="s">
        <v>133</v>
      </c>
      <c r="H14" s="59" t="str">
        <f>IFERROR("Q" &amp;INT((MONTH('Follow up (ship 1)'!J17)+2)/3) &amp; "-" &amp; YEAR('Follow up (ship 1)'!J17),"N/A")</f>
        <v>N/A</v>
      </c>
      <c r="I14" s="59" t="s">
        <v>134</v>
      </c>
      <c r="J14" s="59" t="s">
        <v>135</v>
      </c>
      <c r="K14" s="59" t="s">
        <v>133</v>
      </c>
      <c r="L14" s="59" t="s">
        <v>136</v>
      </c>
      <c r="M14" s="58" t="str">
        <f>IFERROR("Q" &amp;INT((MONTH('Follow up (ship 1)'!P17)+2)/3) &amp; "-" &amp; YEAR('Follow up (ship 1)'!P17),"N/A")</f>
        <v>Q1-2017</v>
      </c>
      <c r="N14" s="60">
        <v>77</v>
      </c>
      <c r="O14" s="59" t="s">
        <v>197</v>
      </c>
      <c r="P14" s="59" t="s">
        <v>138</v>
      </c>
      <c r="Q14" s="59" t="s">
        <v>198</v>
      </c>
      <c r="R14" s="59">
        <v>0</v>
      </c>
      <c r="S14" s="59">
        <v>0</v>
      </c>
      <c r="T14" s="59">
        <v>0</v>
      </c>
      <c r="U14" s="59" t="s">
        <v>199</v>
      </c>
      <c r="V14" s="59" t="s">
        <v>183</v>
      </c>
      <c r="W14" s="59" t="s">
        <v>200</v>
      </c>
      <c r="X14" s="59" t="s">
        <v>199</v>
      </c>
    </row>
    <row r="15" spans="1:24" ht="15.5" x14ac:dyDescent="0.35">
      <c r="A15" s="59" t="s">
        <v>130</v>
      </c>
      <c r="B15" s="59" t="s">
        <v>201</v>
      </c>
      <c r="C15" s="59" t="s">
        <v>202</v>
      </c>
      <c r="D15" s="96" t="str">
        <f>IFERROR("Q" &amp;INT((MONTH('Follow up (ship 1)'!F18)+2)/3) &amp; "-" &amp; YEAR('Follow up (ship 1)'!F18),"N/A")</f>
        <v>Q2-2017</v>
      </c>
      <c r="E15" s="59" t="s">
        <v>133</v>
      </c>
      <c r="F15" s="59" t="s">
        <v>133</v>
      </c>
      <c r="G15" s="59" t="s">
        <v>133</v>
      </c>
      <c r="H15" s="59" t="str">
        <f>IFERROR("Q" &amp;INT((MONTH('Follow up (ship 1)'!J18)+2)/3) &amp; "-" &amp; YEAR('Follow up (ship 1)'!J18),"N/A")</f>
        <v>N/A</v>
      </c>
      <c r="I15" s="59" t="s">
        <v>203</v>
      </c>
      <c r="J15" s="59" t="s">
        <v>135</v>
      </c>
      <c r="K15" s="59" t="s">
        <v>133</v>
      </c>
      <c r="L15" s="59" t="s">
        <v>136</v>
      </c>
      <c r="M15" s="58" t="str">
        <f>IFERROR("Q" &amp;INT((MONTH('Follow up (ship 1)'!P18)+2)/3) &amp; "-" &amp; YEAR('Follow up (ship 1)'!P18),"N/A")</f>
        <v>Q2-2017</v>
      </c>
      <c r="N15" s="60">
        <v>79</v>
      </c>
      <c r="O15" s="59" t="s">
        <v>147</v>
      </c>
      <c r="P15" s="59" t="s">
        <v>138</v>
      </c>
      <c r="Q15" s="59" t="s">
        <v>148</v>
      </c>
      <c r="R15" s="59">
        <v>0</v>
      </c>
      <c r="S15" s="59">
        <v>0</v>
      </c>
      <c r="T15" s="59">
        <v>0</v>
      </c>
      <c r="U15" s="59" t="s">
        <v>150</v>
      </c>
      <c r="V15" s="59">
        <v>1</v>
      </c>
      <c r="W15" s="59" t="s">
        <v>151</v>
      </c>
      <c r="X15" s="59" t="s">
        <v>150</v>
      </c>
    </row>
    <row r="16" spans="1:24" ht="15.5" x14ac:dyDescent="0.35">
      <c r="A16" s="59" t="s">
        <v>130</v>
      </c>
      <c r="B16" s="59" t="s">
        <v>204</v>
      </c>
      <c r="C16" s="59" t="s">
        <v>205</v>
      </c>
      <c r="D16" s="96" t="str">
        <f>IFERROR("Q" &amp;INT((MONTH('Follow up (ship 1)'!F19)+2)/3) &amp; "-" &amp; YEAR('Follow up (ship 1)'!F19),"N/A")</f>
        <v>Q2-2017</v>
      </c>
      <c r="E16" s="59" t="s">
        <v>133</v>
      </c>
      <c r="F16" s="59" t="s">
        <v>133</v>
      </c>
      <c r="G16" s="59" t="s">
        <v>133</v>
      </c>
      <c r="H16" s="59" t="str">
        <f>IFERROR("Q" &amp;INT((MONTH('Follow up (ship 1)'!J19)+2)/3) &amp; "-" &amp; YEAR('Follow up (ship 1)'!J19),"N/A")</f>
        <v>N/A</v>
      </c>
      <c r="I16" s="59" t="s">
        <v>203</v>
      </c>
      <c r="J16" s="59" t="s">
        <v>135</v>
      </c>
      <c r="K16" s="59" t="s">
        <v>133</v>
      </c>
      <c r="L16" s="59" t="s">
        <v>136</v>
      </c>
      <c r="M16" s="58" t="str">
        <f>IFERROR("Q" &amp;INT((MONTH('Follow up (ship 1)'!P19)+2)/3) &amp; "-" &amp; YEAR('Follow up (ship 1)'!P19),"N/A")</f>
        <v>Q1-2017</v>
      </c>
      <c r="N16" s="60">
        <v>80</v>
      </c>
      <c r="O16" s="59" t="s">
        <v>147</v>
      </c>
      <c r="P16" s="59" t="s">
        <v>138</v>
      </c>
      <c r="Q16" s="59" t="s">
        <v>148</v>
      </c>
      <c r="R16" s="59">
        <v>0</v>
      </c>
      <c r="S16" s="59">
        <v>0</v>
      </c>
      <c r="T16" s="59">
        <v>0</v>
      </c>
      <c r="U16" s="59" t="s">
        <v>150</v>
      </c>
      <c r="V16" s="59">
        <v>1</v>
      </c>
      <c r="W16" s="59" t="s">
        <v>151</v>
      </c>
      <c r="X16" s="59" t="s">
        <v>150</v>
      </c>
    </row>
    <row r="17" spans="1:24" ht="15.5" x14ac:dyDescent="0.35">
      <c r="A17" s="59" t="s">
        <v>130</v>
      </c>
      <c r="B17" s="59" t="s">
        <v>206</v>
      </c>
      <c r="C17" s="59" t="s">
        <v>207</v>
      </c>
      <c r="D17" s="96" t="str">
        <f>IFERROR("Q" &amp;INT((MONTH('Follow up (ship 1)'!F20)+2)/3) &amp; "-" &amp; YEAR('Follow up (ship 1)'!F20),"N/A")</f>
        <v>Q2-2017</v>
      </c>
      <c r="E17" s="59" t="s">
        <v>206</v>
      </c>
      <c r="F17" s="59" t="s">
        <v>208</v>
      </c>
      <c r="G17" s="59" t="s">
        <v>169</v>
      </c>
      <c r="H17" s="59" t="str">
        <f>IFERROR("Q" &amp;INT((MONTH('Follow up (ship 1)'!J20)+2)/3) &amp; "-" &amp; YEAR('Follow up (ship 1)'!J20),"N/A")</f>
        <v>Q2-2017</v>
      </c>
      <c r="I17" s="59" t="s">
        <v>134</v>
      </c>
      <c r="J17" s="59" t="s">
        <v>135</v>
      </c>
      <c r="K17" s="59" t="s">
        <v>133</v>
      </c>
      <c r="L17" s="59" t="s">
        <v>136</v>
      </c>
      <c r="M17" s="58" t="str">
        <f>IFERROR("Q" &amp;INT((MONTH('Follow up (ship 1)'!P20)+2)/3) &amp; "-" &amp; YEAR('Follow up (ship 1)'!P20),"N/A")</f>
        <v>Q2-2017</v>
      </c>
      <c r="N17" s="60">
        <v>72</v>
      </c>
      <c r="O17" s="59" t="s">
        <v>147</v>
      </c>
      <c r="P17" s="59" t="s">
        <v>138</v>
      </c>
      <c r="Q17" s="59" t="s">
        <v>198</v>
      </c>
      <c r="R17" s="59">
        <v>0</v>
      </c>
      <c r="S17" s="59">
        <v>0</v>
      </c>
      <c r="T17" s="59">
        <v>0</v>
      </c>
      <c r="U17" s="59" t="s">
        <v>199</v>
      </c>
      <c r="V17" s="59">
        <v>2</v>
      </c>
      <c r="W17" s="59" t="s">
        <v>200</v>
      </c>
      <c r="X17" s="59" t="s">
        <v>199</v>
      </c>
    </row>
    <row r="18" spans="1:24" ht="15.5" x14ac:dyDescent="0.35">
      <c r="A18" s="59" t="s">
        <v>130</v>
      </c>
      <c r="B18" s="59" t="s">
        <v>209</v>
      </c>
      <c r="C18" s="59" t="s">
        <v>210</v>
      </c>
      <c r="D18" s="96" t="str">
        <f>IFERROR("Q" &amp;INT((MONTH('Follow up (ship 1)'!F21)+2)/3) &amp; "-" &amp; YEAR('Follow up (ship 1)'!F21),"N/A")</f>
        <v>Q3-2017</v>
      </c>
      <c r="E18" s="59" t="s">
        <v>133</v>
      </c>
      <c r="F18" s="59" t="s">
        <v>133</v>
      </c>
      <c r="G18" s="59" t="s">
        <v>133</v>
      </c>
      <c r="H18" s="59" t="str">
        <f>IFERROR("Q" &amp;INT((MONTH('Follow up (ship 1)'!J21)+2)/3) &amp; "-" &amp; YEAR('Follow up (ship 1)'!J21),"N/A")</f>
        <v>N/A</v>
      </c>
      <c r="I18" s="59" t="s">
        <v>203</v>
      </c>
      <c r="J18" s="59" t="s">
        <v>135</v>
      </c>
      <c r="K18" s="59" t="s">
        <v>133</v>
      </c>
      <c r="L18" s="59" t="s">
        <v>136</v>
      </c>
      <c r="M18" s="58" t="str">
        <f>IFERROR("Q" &amp;INT((MONTH('Follow up (ship 1)'!P21)+2)/3) &amp; "-" &amp; YEAR('Follow up (ship 1)'!P21),"N/A")</f>
        <v>Q2-2017</v>
      </c>
      <c r="N18" s="60">
        <v>87</v>
      </c>
      <c r="O18" s="59" t="s">
        <v>212</v>
      </c>
      <c r="P18" s="59" t="s">
        <v>138</v>
      </c>
      <c r="Q18" s="59" t="s">
        <v>148</v>
      </c>
      <c r="R18" s="59">
        <v>0</v>
      </c>
      <c r="S18" s="59">
        <v>0</v>
      </c>
      <c r="T18" s="59">
        <v>0</v>
      </c>
      <c r="U18" s="59" t="s">
        <v>150</v>
      </c>
      <c r="V18" s="59">
        <v>3</v>
      </c>
      <c r="W18" s="59" t="s">
        <v>151</v>
      </c>
      <c r="X18" s="59" t="s">
        <v>150</v>
      </c>
    </row>
    <row r="19" spans="1:24" ht="15.5" x14ac:dyDescent="0.35">
      <c r="A19" s="59" t="s">
        <v>130</v>
      </c>
      <c r="B19" s="59" t="s">
        <v>213</v>
      </c>
      <c r="C19" s="59" t="s">
        <v>214</v>
      </c>
      <c r="D19" s="96" t="str">
        <f>IFERROR("Q" &amp;INT((MONTH('Follow up (ship 1)'!F22)+2)/3) &amp; "-" &amp; YEAR('Follow up (ship 1)'!F22),"N/A")</f>
        <v>Q3-2017</v>
      </c>
      <c r="E19" s="59" t="s">
        <v>133</v>
      </c>
      <c r="F19" s="59" t="s">
        <v>133</v>
      </c>
      <c r="G19" s="59" t="s">
        <v>133</v>
      </c>
      <c r="H19" s="59" t="str">
        <f>IFERROR("Q" &amp;INT((MONTH('Follow up (ship 1)'!J22)+2)/3) &amp; "-" &amp; YEAR('Follow up (ship 1)'!J22),"N/A")</f>
        <v>N/A</v>
      </c>
      <c r="I19" s="59" t="s">
        <v>203</v>
      </c>
      <c r="J19" s="59" t="s">
        <v>135</v>
      </c>
      <c r="K19" s="59" t="s">
        <v>133</v>
      </c>
      <c r="L19" s="59" t="s">
        <v>136</v>
      </c>
      <c r="M19" s="58" t="str">
        <f>IFERROR("Q" &amp;INT((MONTH('Follow up (ship 1)'!P22)+2)/3) &amp; "-" &amp; YEAR('Follow up (ship 1)'!P22),"N/A")</f>
        <v>Q2-2017</v>
      </c>
      <c r="N19" s="60">
        <v>71</v>
      </c>
      <c r="O19" s="59" t="s">
        <v>147</v>
      </c>
      <c r="P19" s="59" t="s">
        <v>183</v>
      </c>
      <c r="Q19" s="59" t="s">
        <v>148</v>
      </c>
      <c r="R19" s="59">
        <v>0</v>
      </c>
      <c r="S19" s="59">
        <v>0</v>
      </c>
      <c r="T19" s="59">
        <v>0</v>
      </c>
      <c r="U19" s="59" t="s">
        <v>150</v>
      </c>
      <c r="V19" s="59">
        <v>1</v>
      </c>
      <c r="W19" s="59" t="s">
        <v>151</v>
      </c>
      <c r="X19" s="59" t="s">
        <v>150</v>
      </c>
    </row>
    <row r="20" spans="1:24" ht="15.5" x14ac:dyDescent="0.35">
      <c r="A20" s="59" t="s">
        <v>130</v>
      </c>
      <c r="B20" s="59" t="s">
        <v>215</v>
      </c>
      <c r="C20" s="59" t="s">
        <v>216</v>
      </c>
      <c r="D20" s="96" t="str">
        <f>IFERROR("Q" &amp;INT((MONTH('Follow up (ship 1)'!F23)+2)/3) &amp; "-" &amp; YEAR('Follow up (ship 1)'!F23),"N/A")</f>
        <v>Q3-2017</v>
      </c>
      <c r="E20" s="59" t="s">
        <v>133</v>
      </c>
      <c r="F20" s="59" t="s">
        <v>133</v>
      </c>
      <c r="G20" s="59" t="s">
        <v>133</v>
      </c>
      <c r="H20" s="59" t="str">
        <f>IFERROR("Q" &amp;INT((MONTH('Follow up (ship 1)'!J23)+2)/3) &amp; "-" &amp; YEAR('Follow up (ship 1)'!J23),"N/A")</f>
        <v>N/A</v>
      </c>
      <c r="I20" s="59" t="s">
        <v>203</v>
      </c>
      <c r="J20" s="59" t="s">
        <v>135</v>
      </c>
      <c r="K20" s="59" t="s">
        <v>133</v>
      </c>
      <c r="L20" s="59" t="s">
        <v>136</v>
      </c>
      <c r="M20" s="58" t="str">
        <f>IFERROR("Q" &amp;INT((MONTH('Follow up (ship 1)'!P23)+2)/3) &amp; "-" &amp; YEAR('Follow up (ship 1)'!P23),"N/A")</f>
        <v>Q1-2017</v>
      </c>
      <c r="N20" s="60">
        <v>74</v>
      </c>
      <c r="O20" s="59" t="s">
        <v>147</v>
      </c>
      <c r="P20" s="59" t="s">
        <v>183</v>
      </c>
      <c r="Q20" s="59" t="s">
        <v>198</v>
      </c>
      <c r="R20" s="59">
        <v>0</v>
      </c>
      <c r="S20" s="59">
        <v>0</v>
      </c>
      <c r="T20" s="59">
        <v>0</v>
      </c>
      <c r="U20" s="59" t="s">
        <v>199</v>
      </c>
      <c r="V20" s="59">
        <v>1</v>
      </c>
      <c r="W20" s="59" t="s">
        <v>200</v>
      </c>
      <c r="X20" s="59" t="s">
        <v>199</v>
      </c>
    </row>
    <row r="21" spans="1:24" ht="15.5" x14ac:dyDescent="0.35">
      <c r="A21" s="59" t="s">
        <v>130</v>
      </c>
      <c r="B21" s="59" t="s">
        <v>217</v>
      </c>
      <c r="C21" s="59" t="s">
        <v>218</v>
      </c>
      <c r="D21" s="96" t="str">
        <f>IFERROR("Q" &amp;INT((MONTH('Follow up (ship 1)'!F24)+2)/3) &amp; "-" &amp; YEAR('Follow up (ship 1)'!F24),"N/A")</f>
        <v>Q3-2017</v>
      </c>
      <c r="E21" s="59" t="s">
        <v>217</v>
      </c>
      <c r="F21" s="59" t="s">
        <v>219</v>
      </c>
      <c r="G21" s="59" t="s">
        <v>169</v>
      </c>
      <c r="H21" s="59" t="str">
        <f>IFERROR("Q" &amp;INT((MONTH('Follow up (ship 1)'!J24)+2)/3) &amp; "-" &amp; YEAR('Follow up (ship 1)'!J24),"N/A")</f>
        <v>Q3-2017</v>
      </c>
      <c r="I21" s="59" t="s">
        <v>203</v>
      </c>
      <c r="J21" s="59" t="s">
        <v>135</v>
      </c>
      <c r="K21" s="59" t="s">
        <v>133</v>
      </c>
      <c r="L21" s="59" t="s">
        <v>136</v>
      </c>
      <c r="M21" s="58" t="str">
        <f>IFERROR("Q" &amp;INT((MONTH('Follow up (ship 1)'!P24)+2)/3) &amp; "-" &amp; YEAR('Follow up (ship 1)'!P24),"N/A")</f>
        <v>Q3-2017</v>
      </c>
      <c r="N21" s="60">
        <v>59</v>
      </c>
      <c r="O21" s="59" t="s">
        <v>147</v>
      </c>
      <c r="P21" s="59" t="s">
        <v>138</v>
      </c>
      <c r="Q21" s="59" t="s">
        <v>148</v>
      </c>
      <c r="R21" s="59">
        <v>0</v>
      </c>
      <c r="S21" s="59">
        <v>0</v>
      </c>
      <c r="T21" s="59">
        <v>0</v>
      </c>
      <c r="U21" s="59" t="s">
        <v>150</v>
      </c>
      <c r="V21" s="59">
        <v>3</v>
      </c>
      <c r="W21" s="59" t="s">
        <v>151</v>
      </c>
      <c r="X21" s="59" t="s">
        <v>150</v>
      </c>
    </row>
    <row r="22" spans="1:24" ht="15.5" x14ac:dyDescent="0.35">
      <c r="A22" s="59" t="s">
        <v>133</v>
      </c>
      <c r="B22" s="59" t="s">
        <v>133</v>
      </c>
      <c r="C22" s="59" t="s">
        <v>133</v>
      </c>
      <c r="D22" s="96" t="str">
        <f>IFERROR("Q" &amp;INT((MONTH('Follow up (ship 1)'!F25)+2)/3) &amp; "-" &amp; YEAR('Follow up (ship 1)'!F25),"N/A")</f>
        <v>N/A</v>
      </c>
      <c r="E22" s="59" t="s">
        <v>220</v>
      </c>
      <c r="F22" s="59" t="s">
        <v>221</v>
      </c>
      <c r="G22" s="59" t="s">
        <v>169</v>
      </c>
      <c r="H22" s="59" t="str">
        <f>IFERROR("Q" &amp;INT((MONTH('Follow up (ship 1)'!J25)+2)/3) &amp; "-" &amp; YEAR('Follow up (ship 1)'!J25),"N/A")</f>
        <v>Q3-2017</v>
      </c>
      <c r="I22" s="59" t="s">
        <v>133</v>
      </c>
      <c r="J22" s="59" t="s">
        <v>133</v>
      </c>
      <c r="K22" s="59" t="s">
        <v>133</v>
      </c>
      <c r="L22" s="59" t="s">
        <v>136</v>
      </c>
      <c r="M22" s="58" t="str">
        <f>IFERROR("Q" &amp;INT((MONTH('Follow up (ship 1)'!P25)+2)/3) &amp; "-" &amp; YEAR('Follow up (ship 1)'!P25),"N/A")</f>
        <v>Q3-2017</v>
      </c>
      <c r="N22" s="60">
        <v>76</v>
      </c>
      <c r="O22" s="59" t="s">
        <v>133</v>
      </c>
      <c r="P22" s="59" t="s">
        <v>133</v>
      </c>
      <c r="Q22" s="70" t="s">
        <v>133</v>
      </c>
      <c r="R22" s="70" t="s">
        <v>133</v>
      </c>
      <c r="S22" s="70" t="s">
        <v>133</v>
      </c>
      <c r="T22" s="70" t="s">
        <v>133</v>
      </c>
      <c r="U22" s="70" t="s">
        <v>133</v>
      </c>
      <c r="V22" s="70" t="s">
        <v>133</v>
      </c>
      <c r="W22" s="59" t="s">
        <v>133</v>
      </c>
      <c r="X22" s="70" t="s">
        <v>133</v>
      </c>
    </row>
    <row r="23" spans="1:24" ht="15.5" x14ac:dyDescent="0.35">
      <c r="A23" s="59" t="s">
        <v>130</v>
      </c>
      <c r="B23" s="59" t="s">
        <v>222</v>
      </c>
      <c r="C23" s="59" t="s">
        <v>223</v>
      </c>
      <c r="D23" s="96" t="str">
        <f>IFERROR("Q" &amp;INT((MONTH('Follow up (ship 1)'!F26)+2)/3) &amp; "-" &amp; YEAR('Follow up (ship 1)'!F26),"N/A")</f>
        <v>Q3-2017</v>
      </c>
      <c r="E23" s="59" t="s">
        <v>133</v>
      </c>
      <c r="F23" s="59" t="s">
        <v>133</v>
      </c>
      <c r="G23" s="59" t="s">
        <v>133</v>
      </c>
      <c r="H23" s="59" t="str">
        <f>IFERROR("Q" &amp;INT((MONTH('Follow up (ship 1)'!J26)+2)/3) &amp; "-" &amp; YEAR('Follow up (ship 1)'!J26),"N/A")</f>
        <v>N/A</v>
      </c>
      <c r="I23" s="59" t="s">
        <v>134</v>
      </c>
      <c r="J23" s="59" t="s">
        <v>135</v>
      </c>
      <c r="K23" s="59" t="s">
        <v>133</v>
      </c>
      <c r="L23" s="59" t="s">
        <v>136</v>
      </c>
      <c r="M23" s="58" t="str">
        <f>IFERROR("Q" &amp;INT((MONTH('Follow up (ship 1)'!P26)+2)/3) &amp; "-" &amp; YEAR('Follow up (ship 1)'!P26),"N/A")</f>
        <v>Q2-2017</v>
      </c>
      <c r="N23" s="60">
        <v>77</v>
      </c>
      <c r="O23" s="59" t="s">
        <v>225</v>
      </c>
      <c r="P23" s="59" t="s">
        <v>138</v>
      </c>
      <c r="Q23" s="59" t="s">
        <v>198</v>
      </c>
      <c r="R23" s="59">
        <v>0</v>
      </c>
      <c r="S23" s="59">
        <v>0</v>
      </c>
      <c r="T23" s="59">
        <v>0</v>
      </c>
      <c r="U23" s="59" t="s">
        <v>199</v>
      </c>
      <c r="V23" s="59">
        <v>1</v>
      </c>
      <c r="W23" s="59" t="s">
        <v>200</v>
      </c>
      <c r="X23" s="59" t="s">
        <v>199</v>
      </c>
    </row>
    <row r="24" spans="1:24" ht="15.5" x14ac:dyDescent="0.35">
      <c r="A24" s="59" t="s">
        <v>130</v>
      </c>
      <c r="B24" s="59" t="s">
        <v>226</v>
      </c>
      <c r="C24" s="59" t="s">
        <v>227</v>
      </c>
      <c r="D24" s="96" t="str">
        <f>IFERROR("Q" &amp;INT((MONTH('Follow up (ship 1)'!F27)+2)/3) &amp; "-" &amp; YEAR('Follow up (ship 1)'!F27),"N/A")</f>
        <v>Q3-2017</v>
      </c>
      <c r="E24" s="59" t="s">
        <v>133</v>
      </c>
      <c r="F24" s="59" t="s">
        <v>133</v>
      </c>
      <c r="G24" s="59" t="s">
        <v>133</v>
      </c>
      <c r="H24" s="59" t="str">
        <f>IFERROR("Q" &amp;INT((MONTH('Follow up (ship 1)'!J27)+2)/3) &amp; "-" &amp; YEAR('Follow up (ship 1)'!J27),"N/A")</f>
        <v>N/A</v>
      </c>
      <c r="I24" s="59" t="s">
        <v>134</v>
      </c>
      <c r="J24" s="59" t="s">
        <v>135</v>
      </c>
      <c r="K24" s="59" t="s">
        <v>133</v>
      </c>
      <c r="L24" s="59" t="s">
        <v>136</v>
      </c>
      <c r="M24" s="58" t="str">
        <f>IFERROR("Q" &amp;INT((MONTH('Follow up (ship 1)'!P27)+2)/3) &amp; "-" &amp; YEAR('Follow up (ship 1)'!P27),"N/A")</f>
        <v>Q4-2012</v>
      </c>
      <c r="N24" s="60">
        <v>51</v>
      </c>
      <c r="O24" s="59" t="s">
        <v>147</v>
      </c>
      <c r="P24" s="59" t="s">
        <v>138</v>
      </c>
      <c r="Q24" s="59" t="s">
        <v>198</v>
      </c>
      <c r="R24" s="59">
        <v>0</v>
      </c>
      <c r="S24" s="59">
        <v>0</v>
      </c>
      <c r="T24" s="59">
        <v>0</v>
      </c>
      <c r="U24" s="59" t="s">
        <v>199</v>
      </c>
      <c r="V24" s="59">
        <v>1</v>
      </c>
      <c r="W24" s="59" t="s">
        <v>200</v>
      </c>
      <c r="X24" s="59" t="s">
        <v>199</v>
      </c>
    </row>
    <row r="25" spans="1:24" ht="15.5" x14ac:dyDescent="0.35">
      <c r="A25" s="59" t="s">
        <v>130</v>
      </c>
      <c r="B25" s="59" t="s">
        <v>228</v>
      </c>
      <c r="C25" s="59" t="s">
        <v>229</v>
      </c>
      <c r="D25" s="96" t="str">
        <f>IFERROR("Q" &amp;INT((MONTH('Follow up (ship 1)'!F28)+2)/3) &amp; "-" &amp; YEAR('Follow up (ship 1)'!F28),"N/A")</f>
        <v>Q3-2017</v>
      </c>
      <c r="E25" s="59" t="s">
        <v>133</v>
      </c>
      <c r="F25" s="59" t="s">
        <v>133</v>
      </c>
      <c r="G25" s="59" t="s">
        <v>133</v>
      </c>
      <c r="H25" s="59" t="str">
        <f>IFERROR("Q" &amp;INT((MONTH('Follow up (ship 1)'!J28)+2)/3) &amp; "-" &amp; YEAR('Follow up (ship 1)'!J28),"N/A")</f>
        <v>N/A</v>
      </c>
      <c r="I25" s="59" t="s">
        <v>203</v>
      </c>
      <c r="J25" s="59" t="s">
        <v>135</v>
      </c>
      <c r="K25" s="59" t="s">
        <v>133</v>
      </c>
      <c r="L25" s="59" t="s">
        <v>136</v>
      </c>
      <c r="M25" s="58" t="str">
        <f>IFERROR("Q" &amp;INT((MONTH('Follow up (ship 1)'!P28)+2)/3) &amp; "-" &amp; YEAR('Follow up (ship 1)'!P28),"N/A")</f>
        <v>Q2-2017</v>
      </c>
      <c r="N25" s="60">
        <v>64</v>
      </c>
      <c r="O25" s="59" t="s">
        <v>147</v>
      </c>
      <c r="P25" s="59" t="s">
        <v>138</v>
      </c>
      <c r="Q25" s="59" t="s">
        <v>148</v>
      </c>
      <c r="R25" s="59">
        <v>0</v>
      </c>
      <c r="S25" s="59">
        <v>0</v>
      </c>
      <c r="T25" s="59">
        <v>0</v>
      </c>
      <c r="U25" s="59" t="s">
        <v>150</v>
      </c>
      <c r="V25" s="59">
        <v>1</v>
      </c>
      <c r="W25" s="59" t="s">
        <v>151</v>
      </c>
      <c r="X25" s="59" t="s">
        <v>150</v>
      </c>
    </row>
    <row r="26" spans="1:24" ht="15.5" x14ac:dyDescent="0.35">
      <c r="A26" s="59" t="s">
        <v>130</v>
      </c>
      <c r="B26" s="59" t="s">
        <v>230</v>
      </c>
      <c r="C26" s="59" t="s">
        <v>231</v>
      </c>
      <c r="D26" s="96" t="str">
        <f>IFERROR("Q" &amp;INT((MONTH('Follow up (ship 1)'!F29)+2)/3) &amp; "-" &amp; YEAR('Follow up (ship 1)'!F29),"N/A")</f>
        <v>Q3-2017</v>
      </c>
      <c r="E26" s="59" t="s">
        <v>133</v>
      </c>
      <c r="F26" s="59" t="s">
        <v>133</v>
      </c>
      <c r="G26" s="59" t="s">
        <v>133</v>
      </c>
      <c r="H26" s="59" t="str">
        <f>IFERROR("Q" &amp;INT((MONTH('Follow up (ship 1)'!J29)+2)/3) &amp; "-" &amp; YEAR('Follow up (ship 1)'!J29),"N/A")</f>
        <v>N/A</v>
      </c>
      <c r="I26" s="59" t="s">
        <v>203</v>
      </c>
      <c r="J26" s="59" t="s">
        <v>135</v>
      </c>
      <c r="K26" s="59" t="s">
        <v>133</v>
      </c>
      <c r="L26" s="59" t="s">
        <v>136</v>
      </c>
      <c r="M26" s="58" t="str">
        <f>IFERROR("Q" &amp;INT((MONTH('Follow up (ship 1)'!P29)+2)/3) &amp; "-" &amp; YEAR('Follow up (ship 1)'!P29),"N/A")</f>
        <v>Q2-2017</v>
      </c>
      <c r="N26" s="60">
        <v>62</v>
      </c>
      <c r="O26" s="59" t="s">
        <v>225</v>
      </c>
      <c r="P26" s="59" t="s">
        <v>183</v>
      </c>
      <c r="Q26" s="59">
        <v>2</v>
      </c>
      <c r="R26" s="59">
        <v>0</v>
      </c>
      <c r="S26" s="59">
        <v>0</v>
      </c>
      <c r="T26" s="59">
        <v>0</v>
      </c>
      <c r="U26" s="59" t="s">
        <v>159</v>
      </c>
      <c r="V26" s="59">
        <v>2</v>
      </c>
      <c r="W26" s="59" t="s">
        <v>160</v>
      </c>
      <c r="X26" s="59" t="s">
        <v>159</v>
      </c>
    </row>
    <row r="27" spans="1:24" ht="15.5" x14ac:dyDescent="0.35">
      <c r="A27" s="59" t="s">
        <v>130</v>
      </c>
      <c r="B27" s="59" t="s">
        <v>232</v>
      </c>
      <c r="C27" s="59" t="s">
        <v>144</v>
      </c>
      <c r="D27" s="96" t="str">
        <f>IFERROR("Q" &amp;INT((MONTH('Follow up (ship 1)'!F30)+2)/3) &amp; "-" &amp; YEAR('Follow up (ship 1)'!F30),"N/A")</f>
        <v>Q3-2017</v>
      </c>
      <c r="E27" s="59" t="s">
        <v>232</v>
      </c>
      <c r="F27" s="59" t="s">
        <v>208</v>
      </c>
      <c r="G27" s="59" t="s">
        <v>169</v>
      </c>
      <c r="H27" s="59" t="str">
        <f>IFERROR("Q" &amp;INT((MONTH('Follow up (ship 1)'!J30)+2)/3) &amp; "-" &amp; YEAR('Follow up (ship 1)'!J30),"N/A")</f>
        <v>Q3-2017</v>
      </c>
      <c r="I27" s="59" t="s">
        <v>233</v>
      </c>
      <c r="J27" s="59" t="s">
        <v>135</v>
      </c>
      <c r="K27" s="59" t="s">
        <v>133</v>
      </c>
      <c r="L27" s="59" t="s">
        <v>136</v>
      </c>
      <c r="M27" s="58" t="str">
        <f>IFERROR("Q" &amp;INT((MONTH('Follow up (ship 1)'!P30)+2)/3) &amp; "-" &amp; YEAR('Follow up (ship 1)'!P30),"N/A")</f>
        <v>Q2-2017</v>
      </c>
      <c r="N27" s="60">
        <v>82</v>
      </c>
      <c r="O27" s="59" t="s">
        <v>147</v>
      </c>
      <c r="P27" s="59" t="s">
        <v>138</v>
      </c>
      <c r="Q27" s="59" t="s">
        <v>234</v>
      </c>
      <c r="R27" s="59">
        <v>0</v>
      </c>
      <c r="S27" s="59">
        <v>0</v>
      </c>
      <c r="T27" s="59">
        <v>0</v>
      </c>
      <c r="U27" s="59" t="s">
        <v>235</v>
      </c>
      <c r="V27" s="59">
        <v>3</v>
      </c>
      <c r="W27" s="59" t="s">
        <v>236</v>
      </c>
      <c r="X27" s="59" t="s">
        <v>235</v>
      </c>
    </row>
    <row r="28" spans="1:24" ht="15.5" x14ac:dyDescent="0.35">
      <c r="A28" s="59" t="s">
        <v>130</v>
      </c>
      <c r="B28" s="59" t="s">
        <v>237</v>
      </c>
      <c r="C28" s="59">
        <v>4</v>
      </c>
      <c r="D28" s="96" t="str">
        <f>IFERROR("Q" &amp;INT((MONTH('Follow up (ship 1)'!F31)+2)/3) &amp; "-" &amp; YEAR('Follow up (ship 1)'!F31),"N/A")</f>
        <v>Q3-2017</v>
      </c>
      <c r="E28" s="59" t="s">
        <v>133</v>
      </c>
      <c r="F28" s="59" t="s">
        <v>133</v>
      </c>
      <c r="G28" s="59" t="s">
        <v>133</v>
      </c>
      <c r="H28" s="59" t="str">
        <f>IFERROR("Q" &amp;INT((MONTH('Follow up (ship 1)'!J31)+2)/3) &amp; "-" &amp; YEAR('Follow up (ship 1)'!J31),"N/A")</f>
        <v>N/A</v>
      </c>
      <c r="I28" s="59" t="s">
        <v>203</v>
      </c>
      <c r="J28" s="59" t="s">
        <v>135</v>
      </c>
      <c r="K28" s="59" t="s">
        <v>133</v>
      </c>
      <c r="L28" s="59" t="s">
        <v>136</v>
      </c>
      <c r="M28" s="58" t="str">
        <f>IFERROR("Q" &amp;INT((MONTH('Follow up (ship 1)'!P31)+2)/3) &amp; "-" &amp; YEAR('Follow up (ship 1)'!P31),"N/A")</f>
        <v>Q3-2017</v>
      </c>
      <c r="N28" s="60">
        <v>60</v>
      </c>
      <c r="O28" s="59" t="s">
        <v>147</v>
      </c>
      <c r="P28" s="59" t="s">
        <v>183</v>
      </c>
      <c r="Q28" s="59" t="s">
        <v>198</v>
      </c>
      <c r="R28" s="59">
        <v>0</v>
      </c>
      <c r="S28" s="59">
        <v>0</v>
      </c>
      <c r="T28" s="59">
        <v>0</v>
      </c>
      <c r="U28" s="59" t="s">
        <v>199</v>
      </c>
      <c r="V28" s="59">
        <v>1</v>
      </c>
      <c r="W28" s="59" t="s">
        <v>200</v>
      </c>
      <c r="X28" s="59" t="s">
        <v>199</v>
      </c>
    </row>
    <row r="29" spans="1:24" ht="15.5" x14ac:dyDescent="0.35">
      <c r="A29" s="59" t="s">
        <v>130</v>
      </c>
      <c r="B29" s="59" t="s">
        <v>238</v>
      </c>
      <c r="C29" s="59" t="s">
        <v>239</v>
      </c>
      <c r="D29" s="96" t="str">
        <f>IFERROR("Q" &amp;INT((MONTH('Follow up (ship 1)'!F32)+2)/3) &amp; "-" &amp; YEAR('Follow up (ship 1)'!F32),"N/A")</f>
        <v>Q3-2017</v>
      </c>
      <c r="E29" s="59" t="s">
        <v>133</v>
      </c>
      <c r="F29" s="59" t="s">
        <v>133</v>
      </c>
      <c r="G29" s="59" t="s">
        <v>133</v>
      </c>
      <c r="H29" s="59" t="str">
        <f>IFERROR("Q" &amp;INT((MONTH('Follow up (ship 1)'!J32)+2)/3) &amp; "-" &amp; YEAR('Follow up (ship 1)'!J32),"N/A")</f>
        <v>N/A</v>
      </c>
      <c r="I29" s="59" t="s">
        <v>134</v>
      </c>
      <c r="J29" s="59" t="s">
        <v>135</v>
      </c>
      <c r="K29" s="59" t="s">
        <v>133</v>
      </c>
      <c r="L29" s="59" t="s">
        <v>136</v>
      </c>
      <c r="M29" s="58" t="str">
        <f>IFERROR("Q" &amp;INT((MONTH('Follow up (ship 1)'!P32)+2)/3) &amp; "-" &amp; YEAR('Follow up (ship 1)'!P32),"N/A")</f>
        <v>Q2-2017</v>
      </c>
      <c r="N29" s="60">
        <v>71</v>
      </c>
      <c r="O29" s="59" t="s">
        <v>240</v>
      </c>
      <c r="P29" s="59" t="s">
        <v>138</v>
      </c>
      <c r="Q29" s="59">
        <v>3</v>
      </c>
      <c r="R29" s="59">
        <v>2</v>
      </c>
      <c r="S29" s="59">
        <v>0</v>
      </c>
      <c r="T29" s="59">
        <v>0</v>
      </c>
      <c r="U29" s="59" t="s">
        <v>241</v>
      </c>
      <c r="V29" s="59" t="s">
        <v>183</v>
      </c>
      <c r="W29" s="70" t="s">
        <v>242</v>
      </c>
      <c r="X29" s="59" t="s">
        <v>241</v>
      </c>
    </row>
    <row r="30" spans="1:24" ht="15.5" x14ac:dyDescent="0.35">
      <c r="A30" s="59" t="s">
        <v>130</v>
      </c>
      <c r="B30" s="59" t="s">
        <v>243</v>
      </c>
      <c r="C30" s="59" t="s">
        <v>244</v>
      </c>
      <c r="D30" s="96" t="str">
        <f>IFERROR("Q" &amp;INT((MONTH('Follow up (ship 1)'!F33)+2)/3) &amp; "-" &amp; YEAR('Follow up (ship 1)'!F33),"N/A")</f>
        <v>Q3-2017</v>
      </c>
      <c r="E30" s="59" t="s">
        <v>133</v>
      </c>
      <c r="F30" s="59" t="s">
        <v>133</v>
      </c>
      <c r="G30" s="59" t="s">
        <v>133</v>
      </c>
      <c r="H30" s="59" t="str">
        <f>IFERROR("Q" &amp;INT((MONTH('Follow up (ship 1)'!J33)+2)/3) &amp; "-" &amp; YEAR('Follow up (ship 1)'!J33),"N/A")</f>
        <v>N/A</v>
      </c>
      <c r="I30" s="59" t="s">
        <v>203</v>
      </c>
      <c r="J30" s="59" t="s">
        <v>135</v>
      </c>
      <c r="K30" s="59" t="s">
        <v>133</v>
      </c>
      <c r="L30" s="59" t="s">
        <v>136</v>
      </c>
      <c r="M30" s="58" t="str">
        <f>IFERROR("Q" &amp;INT((MONTH('Follow up (ship 1)'!P33)+2)/3) &amp; "-" &amp; YEAR('Follow up (ship 1)'!P33),"N/A")</f>
        <v>Q2-2017</v>
      </c>
      <c r="N30" s="60">
        <v>82</v>
      </c>
      <c r="O30" s="59" t="s">
        <v>225</v>
      </c>
      <c r="P30" s="59" t="s">
        <v>138</v>
      </c>
      <c r="Q30" s="59" t="s">
        <v>198</v>
      </c>
      <c r="R30" s="59">
        <v>0</v>
      </c>
      <c r="S30" s="59">
        <v>0</v>
      </c>
      <c r="T30" s="59">
        <v>0</v>
      </c>
      <c r="U30" s="59" t="s">
        <v>199</v>
      </c>
      <c r="V30" s="59">
        <v>1</v>
      </c>
      <c r="W30" s="59" t="s">
        <v>200</v>
      </c>
      <c r="X30" s="59" t="s">
        <v>199</v>
      </c>
    </row>
    <row r="31" spans="1:24" ht="15.5" x14ac:dyDescent="0.35">
      <c r="A31" s="59" t="s">
        <v>130</v>
      </c>
      <c r="B31" s="59" t="s">
        <v>245</v>
      </c>
      <c r="C31" s="59" t="s">
        <v>246</v>
      </c>
      <c r="D31" s="96" t="str">
        <f>IFERROR("Q" &amp;INT((MONTH('Follow up (ship 1)'!F34)+2)/3) &amp; "-" &amp; YEAR('Follow up (ship 1)'!F34),"N/A")</f>
        <v>Q3-2017</v>
      </c>
      <c r="E31" s="59" t="s">
        <v>245</v>
      </c>
      <c r="F31" s="59" t="s">
        <v>247</v>
      </c>
      <c r="G31" s="59" t="s">
        <v>146</v>
      </c>
      <c r="H31" s="59" t="str">
        <f>IFERROR("Q" &amp;INT((MONTH('Follow up (ship 1)'!J34)+2)/3) &amp; "-" &amp; YEAR('Follow up (ship 1)'!J34),"N/A")</f>
        <v>Q3-2017</v>
      </c>
      <c r="I31" s="59" t="s">
        <v>203</v>
      </c>
      <c r="J31" s="59" t="s">
        <v>135</v>
      </c>
      <c r="K31" s="59" t="s">
        <v>133</v>
      </c>
      <c r="L31" s="59" t="s">
        <v>136</v>
      </c>
      <c r="M31" s="58" t="str">
        <f>IFERROR("Q" &amp;INT((MONTH('Follow up (ship 1)'!P34)+2)/3) &amp; "-" &amp; YEAR('Follow up (ship 1)'!P34),"N/A")</f>
        <v>Q3-2017</v>
      </c>
      <c r="N31" s="60">
        <v>60</v>
      </c>
      <c r="O31" s="59" t="s">
        <v>249</v>
      </c>
      <c r="P31" s="59" t="s">
        <v>138</v>
      </c>
      <c r="Q31" s="59">
        <v>2</v>
      </c>
      <c r="R31" s="59">
        <v>0</v>
      </c>
      <c r="S31" s="59">
        <v>0</v>
      </c>
      <c r="T31" s="59">
        <v>0</v>
      </c>
      <c r="U31" s="59" t="s">
        <v>159</v>
      </c>
      <c r="V31" s="59">
        <v>3</v>
      </c>
      <c r="W31" s="59" t="s">
        <v>160</v>
      </c>
      <c r="X31" s="59" t="s">
        <v>159</v>
      </c>
    </row>
    <row r="32" spans="1:24" ht="15.5" x14ac:dyDescent="0.35">
      <c r="A32" s="59" t="s">
        <v>130</v>
      </c>
      <c r="B32" s="59" t="s">
        <v>250</v>
      </c>
      <c r="C32" s="59" t="s">
        <v>239</v>
      </c>
      <c r="D32" s="96" t="str">
        <f>IFERROR("Q" &amp;INT((MONTH('Follow up (ship 1)'!F35)+2)/3) &amp; "-" &amp; YEAR('Follow up (ship 1)'!F35),"N/A")</f>
        <v>Q3-2017</v>
      </c>
      <c r="E32" s="59" t="s">
        <v>133</v>
      </c>
      <c r="F32" s="59" t="s">
        <v>133</v>
      </c>
      <c r="G32" s="59" t="s">
        <v>133</v>
      </c>
      <c r="H32" s="59" t="str">
        <f>IFERROR("Q" &amp;INT((MONTH('Follow up (ship 1)'!J35)+2)/3) &amp; "-" &amp; YEAR('Follow up (ship 1)'!J35),"N/A")</f>
        <v>N/A</v>
      </c>
      <c r="I32" s="59" t="s">
        <v>203</v>
      </c>
      <c r="J32" s="59" t="s">
        <v>135</v>
      </c>
      <c r="K32" s="59" t="s">
        <v>133</v>
      </c>
      <c r="L32" s="59" t="s">
        <v>136</v>
      </c>
      <c r="M32" s="58" t="str">
        <f>IFERROR("Q" &amp;INT((MONTH('Follow up (ship 1)'!P35)+2)/3) &amp; "-" &amp; YEAR('Follow up (ship 1)'!P35),"N/A")</f>
        <v>Q3-2017</v>
      </c>
      <c r="N32" s="60">
        <v>84</v>
      </c>
      <c r="O32" s="59" t="s">
        <v>225</v>
      </c>
      <c r="P32" s="59" t="s">
        <v>138</v>
      </c>
      <c r="Q32" s="59">
        <v>3</v>
      </c>
      <c r="R32" s="59">
        <v>1</v>
      </c>
      <c r="S32" s="59">
        <v>0</v>
      </c>
      <c r="T32" s="59">
        <v>0</v>
      </c>
      <c r="U32" s="59" t="s">
        <v>139</v>
      </c>
      <c r="V32" s="59">
        <v>2</v>
      </c>
      <c r="W32" s="70" t="s">
        <v>251</v>
      </c>
      <c r="X32" s="59" t="s">
        <v>139</v>
      </c>
    </row>
    <row r="33" spans="1:24" ht="15.5" x14ac:dyDescent="0.35">
      <c r="A33" s="59" t="s">
        <v>130</v>
      </c>
      <c r="B33" s="59" t="s">
        <v>252</v>
      </c>
      <c r="C33" s="59" t="s">
        <v>153</v>
      </c>
      <c r="D33" s="96" t="str">
        <f>IFERROR("Q" &amp;INT((MONTH('Follow up (ship 1)'!F36)+2)/3) &amp; "-" &amp; YEAR('Follow up (ship 1)'!F36),"N/A")</f>
        <v>Q3-2017</v>
      </c>
      <c r="E33" s="59" t="s">
        <v>133</v>
      </c>
      <c r="F33" s="59" t="s">
        <v>133</v>
      </c>
      <c r="G33" s="59" t="s">
        <v>133</v>
      </c>
      <c r="H33" s="59" t="str">
        <f>IFERROR("Q" &amp;INT((MONTH('Follow up (ship 1)'!J36)+2)/3) &amp; "-" &amp; YEAR('Follow up (ship 1)'!J36),"N/A")</f>
        <v>N/A</v>
      </c>
      <c r="I33" s="59" t="s">
        <v>134</v>
      </c>
      <c r="J33" s="59" t="s">
        <v>135</v>
      </c>
      <c r="K33" s="59" t="s">
        <v>133</v>
      </c>
      <c r="L33" s="59" t="s">
        <v>136</v>
      </c>
      <c r="M33" s="58" t="str">
        <f>IFERROR("Q" &amp;INT((MONTH('Follow up (ship 1)'!P36)+2)/3) &amp; "-" &amp; YEAR('Follow up (ship 1)'!P36),"N/A")</f>
        <v>Q2-2017</v>
      </c>
      <c r="N33" s="60">
        <v>60</v>
      </c>
      <c r="O33" s="59" t="s">
        <v>225</v>
      </c>
      <c r="P33" s="59" t="s">
        <v>138</v>
      </c>
      <c r="Q33" s="59">
        <v>3</v>
      </c>
      <c r="R33" s="59">
        <v>2</v>
      </c>
      <c r="S33" s="59">
        <v>0</v>
      </c>
      <c r="T33" s="59">
        <v>0</v>
      </c>
      <c r="U33" s="59" t="s">
        <v>241</v>
      </c>
      <c r="V33" s="59">
        <v>2</v>
      </c>
      <c r="W33" s="70" t="s">
        <v>242</v>
      </c>
      <c r="X33" s="59" t="s">
        <v>241</v>
      </c>
    </row>
    <row r="34" spans="1:24" ht="15.5" x14ac:dyDescent="0.35">
      <c r="A34" s="59" t="s">
        <v>130</v>
      </c>
      <c r="B34" s="59" t="s">
        <v>253</v>
      </c>
      <c r="C34" s="59" t="s">
        <v>254</v>
      </c>
      <c r="D34" s="96" t="str">
        <f>IFERROR("Q" &amp;INT((MONTH('Follow up (ship 1)'!F37)+2)/3) &amp; "-" &amp; YEAR('Follow up (ship 1)'!F37),"N/A")</f>
        <v>Q3-2017</v>
      </c>
      <c r="E34" s="59" t="s">
        <v>133</v>
      </c>
      <c r="F34" s="59" t="s">
        <v>133</v>
      </c>
      <c r="G34" s="59" t="s">
        <v>133</v>
      </c>
      <c r="H34" s="59" t="str">
        <f>IFERROR("Q" &amp;INT((MONTH('Follow up (ship 1)'!J37)+2)/3) &amp; "-" &amp; YEAR('Follow up (ship 1)'!J37),"N/A")</f>
        <v>N/A</v>
      </c>
      <c r="I34" s="59" t="s">
        <v>134</v>
      </c>
      <c r="J34" s="59" t="s">
        <v>135</v>
      </c>
      <c r="K34" s="59" t="s">
        <v>133</v>
      </c>
      <c r="L34" s="59" t="s">
        <v>136</v>
      </c>
      <c r="M34" s="58" t="str">
        <f>IFERROR("Q" &amp;INT((MONTH('Follow up (ship 1)'!P37)+2)/3) &amp; "-" &amp; YEAR('Follow up (ship 1)'!P37),"N/A")</f>
        <v>Q3-2017</v>
      </c>
      <c r="N34" s="60">
        <v>75</v>
      </c>
      <c r="O34" s="59" t="s">
        <v>240</v>
      </c>
      <c r="P34" s="59" t="s">
        <v>138</v>
      </c>
      <c r="Q34" s="59" t="s">
        <v>148</v>
      </c>
      <c r="R34" s="59">
        <v>0</v>
      </c>
      <c r="S34" s="59">
        <v>0</v>
      </c>
      <c r="T34" s="59">
        <v>0</v>
      </c>
      <c r="U34" s="59" t="s">
        <v>150</v>
      </c>
      <c r="V34" s="59">
        <v>3</v>
      </c>
      <c r="W34" s="59" t="s">
        <v>151</v>
      </c>
      <c r="X34" s="59" t="s">
        <v>150</v>
      </c>
    </row>
    <row r="35" spans="1:24" ht="15.5" x14ac:dyDescent="0.35">
      <c r="A35" s="59" t="s">
        <v>130</v>
      </c>
      <c r="B35" s="59" t="s">
        <v>255</v>
      </c>
      <c r="C35" s="59" t="s">
        <v>256</v>
      </c>
      <c r="D35" s="96" t="str">
        <f>IFERROR("Q" &amp;INT((MONTH('Follow up (ship 1)'!F38)+2)/3) &amp; "-" &amp; YEAR('Follow up (ship 1)'!F38),"N/A")</f>
        <v>Q3-2017</v>
      </c>
      <c r="E35" s="59" t="s">
        <v>133</v>
      </c>
      <c r="F35" s="59" t="s">
        <v>133</v>
      </c>
      <c r="G35" s="59" t="s">
        <v>133</v>
      </c>
      <c r="H35" s="59" t="str">
        <f>IFERROR("Q" &amp;INT((MONTH('Follow up (ship 1)'!J38)+2)/3) &amp; "-" &amp; YEAR('Follow up (ship 1)'!J38),"N/A")</f>
        <v>N/A</v>
      </c>
      <c r="I35" s="59" t="s">
        <v>134</v>
      </c>
      <c r="J35" s="59" t="s">
        <v>135</v>
      </c>
      <c r="K35" s="59" t="s">
        <v>133</v>
      </c>
      <c r="L35" s="59" t="s">
        <v>136</v>
      </c>
      <c r="M35" s="58" t="str">
        <f>IFERROR("Q" &amp;INT((MONTH('Follow up (ship 1)'!P38)+2)/3) &amp; "-" &amp; YEAR('Follow up (ship 1)'!P38),"N/A")</f>
        <v>Q3-2017</v>
      </c>
      <c r="N35" s="60">
        <v>63</v>
      </c>
      <c r="O35" s="59" t="s">
        <v>257</v>
      </c>
      <c r="P35" s="59" t="s">
        <v>138</v>
      </c>
      <c r="Q35" s="59" t="s">
        <v>148</v>
      </c>
      <c r="R35" s="59">
        <v>0</v>
      </c>
      <c r="S35" s="59">
        <v>0</v>
      </c>
      <c r="T35" s="59">
        <v>0</v>
      </c>
      <c r="U35" s="59" t="s">
        <v>150</v>
      </c>
      <c r="V35" s="59">
        <v>2</v>
      </c>
      <c r="W35" s="59" t="s">
        <v>151</v>
      </c>
      <c r="X35" s="59" t="s">
        <v>150</v>
      </c>
    </row>
    <row r="36" spans="1:24" ht="15.5" x14ac:dyDescent="0.35">
      <c r="A36" s="59" t="s">
        <v>130</v>
      </c>
      <c r="B36" s="59" t="s">
        <v>258</v>
      </c>
      <c r="C36" s="59" t="s">
        <v>239</v>
      </c>
      <c r="D36" s="96" t="str">
        <f>IFERROR("Q" &amp;INT((MONTH('Follow up (ship 1)'!F39)+2)/3) &amp; "-" &amp; YEAR('Follow up (ship 1)'!F39),"N/A")</f>
        <v>Q3-2017</v>
      </c>
      <c r="E36" s="59" t="s">
        <v>133</v>
      </c>
      <c r="F36" s="59" t="s">
        <v>133</v>
      </c>
      <c r="G36" s="59" t="s">
        <v>133</v>
      </c>
      <c r="H36" s="59" t="str">
        <f>IFERROR("Q" &amp;INT((MONTH('Follow up (ship 1)'!J39)+2)/3) &amp; "-" &amp; YEAR('Follow up (ship 1)'!J39),"N/A")</f>
        <v>N/A</v>
      </c>
      <c r="I36" s="59" t="s">
        <v>134</v>
      </c>
      <c r="J36" s="59" t="s">
        <v>135</v>
      </c>
      <c r="K36" s="59" t="s">
        <v>133</v>
      </c>
      <c r="L36" s="59" t="s">
        <v>136</v>
      </c>
      <c r="M36" s="58" t="str">
        <f>IFERROR("Q" &amp;INT((MONTH('Follow up (ship 1)'!P39)+2)/3) &amp; "-" &amp; YEAR('Follow up (ship 1)'!P39),"N/A")</f>
        <v>Q3-2017</v>
      </c>
      <c r="N36" s="60">
        <v>64</v>
      </c>
      <c r="O36" s="59" t="s">
        <v>225</v>
      </c>
      <c r="P36" s="59" t="s">
        <v>138</v>
      </c>
      <c r="Q36" s="59">
        <v>3</v>
      </c>
      <c r="R36" s="59">
        <v>1</v>
      </c>
      <c r="S36" s="59">
        <v>0</v>
      </c>
      <c r="T36" s="59">
        <v>0</v>
      </c>
      <c r="U36" s="59" t="s">
        <v>139</v>
      </c>
      <c r="V36" s="59">
        <v>2</v>
      </c>
      <c r="W36" s="70" t="s">
        <v>251</v>
      </c>
      <c r="X36" s="59" t="s">
        <v>139</v>
      </c>
    </row>
    <row r="37" spans="1:24" ht="15.5" x14ac:dyDescent="0.35">
      <c r="A37" s="59" t="s">
        <v>130</v>
      </c>
      <c r="B37" s="59" t="s">
        <v>259</v>
      </c>
      <c r="C37" s="59" t="s">
        <v>260</v>
      </c>
      <c r="D37" s="96" t="str">
        <f>IFERROR("Q" &amp;INT((MONTH('Follow up (ship 1)'!F40)+2)/3) &amp; "-" &amp; YEAR('Follow up (ship 1)'!F40),"N/A")</f>
        <v>Q3-2017</v>
      </c>
      <c r="E37" s="59" t="s">
        <v>259</v>
      </c>
      <c r="F37" s="59" t="s">
        <v>261</v>
      </c>
      <c r="G37" s="59" t="s">
        <v>169</v>
      </c>
      <c r="H37" s="59" t="str">
        <f>IFERROR("Q" &amp;INT((MONTH('Follow up (ship 1)'!J40)+2)/3) &amp; "-" &amp; YEAR('Follow up (ship 1)'!J40),"N/A")</f>
        <v>Q3-2017</v>
      </c>
      <c r="I37" s="59" t="s">
        <v>134</v>
      </c>
      <c r="J37" s="59" t="s">
        <v>135</v>
      </c>
      <c r="K37" s="59" t="s">
        <v>133</v>
      </c>
      <c r="L37" s="59" t="s">
        <v>136</v>
      </c>
      <c r="M37" s="58" t="str">
        <f>IFERROR("Q" &amp;INT((MONTH('Follow up (ship 1)'!P40)+2)/3) &amp; "-" &amp; YEAR('Follow up (ship 1)'!P40),"N/A")</f>
        <v>Q3-2017</v>
      </c>
      <c r="N37" s="60">
        <v>69</v>
      </c>
      <c r="O37" s="59" t="s">
        <v>263</v>
      </c>
      <c r="P37" s="59" t="s">
        <v>138</v>
      </c>
      <c r="Q37" s="59" t="s">
        <v>148</v>
      </c>
      <c r="R37" s="59">
        <v>0</v>
      </c>
      <c r="S37" s="59">
        <v>0</v>
      </c>
      <c r="T37" s="59">
        <v>0</v>
      </c>
      <c r="U37" s="59" t="s">
        <v>150</v>
      </c>
      <c r="V37" s="59">
        <v>3</v>
      </c>
      <c r="W37" s="59" t="s">
        <v>151</v>
      </c>
      <c r="X37" s="59" t="s">
        <v>150</v>
      </c>
    </row>
    <row r="38" spans="1:24" ht="15.5" x14ac:dyDescent="0.35">
      <c r="A38" s="59" t="s">
        <v>130</v>
      </c>
      <c r="B38" s="59" t="s">
        <v>264</v>
      </c>
      <c r="C38" s="59" t="s">
        <v>265</v>
      </c>
      <c r="D38" s="96" t="str">
        <f>IFERROR("Q" &amp;INT((MONTH('Follow up (ship 1)'!F41)+2)/3) &amp; "-" &amp; YEAR('Follow up (ship 1)'!F41),"N/A")</f>
        <v>Q3-2017</v>
      </c>
      <c r="E38" s="59" t="s">
        <v>133</v>
      </c>
      <c r="F38" s="59" t="s">
        <v>133</v>
      </c>
      <c r="G38" s="59" t="s">
        <v>133</v>
      </c>
      <c r="H38" s="59" t="str">
        <f>IFERROR("Q" &amp;INT((MONTH('Follow up (ship 1)'!J41)+2)/3) &amp; "-" &amp; YEAR('Follow up (ship 1)'!J41),"N/A")</f>
        <v>N/A</v>
      </c>
      <c r="I38" s="59" t="s">
        <v>134</v>
      </c>
      <c r="J38" s="59" t="s">
        <v>135</v>
      </c>
      <c r="K38" s="59" t="s">
        <v>133</v>
      </c>
      <c r="L38" s="59" t="s">
        <v>136</v>
      </c>
      <c r="M38" s="58" t="str">
        <f>IFERROR("Q" &amp;INT((MONTH('Follow up (ship 1)'!P41)+2)/3) &amp; "-" &amp; YEAR('Follow up (ship 1)'!P41),"N/A")</f>
        <v>Q4-2017</v>
      </c>
      <c r="N38" s="60">
        <v>76</v>
      </c>
      <c r="O38" s="59" t="s">
        <v>267</v>
      </c>
      <c r="P38" s="59" t="s">
        <v>138</v>
      </c>
      <c r="Q38" s="59">
        <v>3</v>
      </c>
      <c r="R38" s="59">
        <v>2</v>
      </c>
      <c r="S38" s="59">
        <v>0</v>
      </c>
      <c r="T38" s="59">
        <v>0</v>
      </c>
      <c r="U38" s="59" t="s">
        <v>241</v>
      </c>
      <c r="V38" s="59">
        <v>3</v>
      </c>
      <c r="W38" s="70" t="s">
        <v>242</v>
      </c>
      <c r="X38" s="59" t="s">
        <v>241</v>
      </c>
    </row>
    <row r="39" spans="1:24" ht="15.5" x14ac:dyDescent="0.35">
      <c r="A39" s="59" t="s">
        <v>130</v>
      </c>
      <c r="B39" s="59" t="s">
        <v>268</v>
      </c>
      <c r="C39" s="59" t="s">
        <v>269</v>
      </c>
      <c r="D39" s="96" t="str">
        <f>IFERROR("Q" &amp;INT((MONTH('Follow up (ship 1)'!F42)+2)/3) &amp; "-" &amp; YEAR('Follow up (ship 1)'!F42),"N/A")</f>
        <v>Q3-2017</v>
      </c>
      <c r="E39" s="59" t="s">
        <v>133</v>
      </c>
      <c r="F39" s="59" t="s">
        <v>133</v>
      </c>
      <c r="G39" s="59" t="s">
        <v>133</v>
      </c>
      <c r="H39" s="59" t="str">
        <f>IFERROR("Q" &amp;INT((MONTH('Follow up (ship 1)'!J42)+2)/3) &amp; "-" &amp; YEAR('Follow up (ship 1)'!J42),"N/A")</f>
        <v>N/A</v>
      </c>
      <c r="I39" s="59" t="s">
        <v>270</v>
      </c>
      <c r="J39" s="59" t="s">
        <v>135</v>
      </c>
      <c r="K39" s="59" t="s">
        <v>133</v>
      </c>
      <c r="L39" s="59" t="s">
        <v>136</v>
      </c>
      <c r="M39" s="58" t="str">
        <f>IFERROR("Q" &amp;INT((MONTH('Follow up (ship 1)'!P42)+2)/3) &amp; "-" &amp; YEAR('Follow up (ship 1)'!P42),"N/A")</f>
        <v>Q2-2017</v>
      </c>
      <c r="N39" s="60">
        <v>74</v>
      </c>
      <c r="O39" s="59" t="s">
        <v>147</v>
      </c>
      <c r="P39" s="59" t="s">
        <v>138</v>
      </c>
      <c r="Q39" s="59">
        <v>3</v>
      </c>
      <c r="R39" s="59">
        <v>1</v>
      </c>
      <c r="S39" s="59">
        <v>0</v>
      </c>
      <c r="T39" s="59">
        <v>0</v>
      </c>
      <c r="U39" s="59" t="s">
        <v>139</v>
      </c>
      <c r="V39" s="59">
        <v>3</v>
      </c>
      <c r="W39" s="70" t="s">
        <v>251</v>
      </c>
      <c r="X39" s="59" t="s">
        <v>139</v>
      </c>
    </row>
    <row r="40" spans="1:24" ht="15.5" x14ac:dyDescent="0.35">
      <c r="A40" s="59" t="s">
        <v>130</v>
      </c>
      <c r="B40" s="59" t="s">
        <v>271</v>
      </c>
      <c r="C40" s="59" t="s">
        <v>272</v>
      </c>
      <c r="D40" s="96" t="str">
        <f>IFERROR("Q" &amp;INT((MONTH('Follow up (ship 1)'!F43)+2)/3) &amp; "-" &amp; YEAR('Follow up (ship 1)'!F43),"N/A")</f>
        <v>Q3-2017</v>
      </c>
      <c r="E40" s="59" t="s">
        <v>133</v>
      </c>
      <c r="F40" s="59" t="s">
        <v>133</v>
      </c>
      <c r="G40" s="59" t="s">
        <v>133</v>
      </c>
      <c r="H40" s="59" t="str">
        <f>IFERROR("Q" &amp;INT((MONTH('Follow up (ship 1)'!J43)+2)/3) &amp; "-" &amp; YEAR('Follow up (ship 1)'!J43),"N/A")</f>
        <v>N/A</v>
      </c>
      <c r="I40" s="59" t="s">
        <v>134</v>
      </c>
      <c r="J40" s="59" t="s">
        <v>135</v>
      </c>
      <c r="K40" s="59" t="s">
        <v>133</v>
      </c>
      <c r="L40" s="59" t="s">
        <v>136</v>
      </c>
      <c r="M40" s="58" t="str">
        <f>IFERROR("Q" &amp;INT((MONTH('Follow up (ship 1)'!P43)+2)/3) &amp; "-" &amp; YEAR('Follow up (ship 1)'!P43),"N/A")</f>
        <v>Q3-2017</v>
      </c>
      <c r="N40" s="60">
        <v>64</v>
      </c>
      <c r="O40" s="59" t="s">
        <v>147</v>
      </c>
      <c r="P40" s="59" t="s">
        <v>138</v>
      </c>
      <c r="Q40" s="59" t="s">
        <v>198</v>
      </c>
      <c r="R40" s="59">
        <v>0</v>
      </c>
      <c r="S40" s="59">
        <v>0</v>
      </c>
      <c r="T40" s="59">
        <v>0</v>
      </c>
      <c r="U40" s="59" t="s">
        <v>199</v>
      </c>
      <c r="V40" s="59">
        <v>1</v>
      </c>
      <c r="W40" s="59" t="s">
        <v>200</v>
      </c>
      <c r="X40" s="59" t="s">
        <v>199</v>
      </c>
    </row>
    <row r="41" spans="1:24" ht="15.5" x14ac:dyDescent="0.35">
      <c r="A41" s="59" t="s">
        <v>130</v>
      </c>
      <c r="B41" s="59" t="s">
        <v>274</v>
      </c>
      <c r="C41" s="59" t="s">
        <v>229</v>
      </c>
      <c r="D41" s="96" t="str">
        <f>IFERROR("Q" &amp;INT((MONTH('Follow up (ship 1)'!F44)+2)/3) &amp; "-" &amp; YEAR('Follow up (ship 1)'!F44),"N/A")</f>
        <v>Q4-2017</v>
      </c>
      <c r="E41" s="59" t="s">
        <v>133</v>
      </c>
      <c r="F41" s="59" t="s">
        <v>133</v>
      </c>
      <c r="G41" s="59" t="s">
        <v>133</v>
      </c>
      <c r="H41" s="59" t="str">
        <f>IFERROR("Q" &amp;INT((MONTH('Follow up (ship 1)'!J44)+2)/3) &amp; "-" &amp; YEAR('Follow up (ship 1)'!J44),"N/A")</f>
        <v>N/A</v>
      </c>
      <c r="I41" s="59" t="s">
        <v>203</v>
      </c>
      <c r="J41" s="59" t="s">
        <v>135</v>
      </c>
      <c r="K41" s="59" t="s">
        <v>133</v>
      </c>
      <c r="L41" s="59" t="s">
        <v>136</v>
      </c>
      <c r="M41" s="58" t="str">
        <f>IFERROR("Q" &amp;INT((MONTH('Follow up (ship 1)'!P44)+2)/3) &amp; "-" &amp; YEAR('Follow up (ship 1)'!P44),"N/A")</f>
        <v>Q3-2017</v>
      </c>
      <c r="N41" s="60">
        <v>74</v>
      </c>
      <c r="O41" s="59" t="s">
        <v>225</v>
      </c>
      <c r="P41" s="59" t="s">
        <v>138</v>
      </c>
      <c r="Q41" s="59" t="s">
        <v>148</v>
      </c>
      <c r="R41" s="59">
        <v>0</v>
      </c>
      <c r="S41" s="59">
        <v>0</v>
      </c>
      <c r="T41" s="59">
        <v>0</v>
      </c>
      <c r="U41" s="59" t="s">
        <v>150</v>
      </c>
      <c r="V41" s="59">
        <v>2</v>
      </c>
      <c r="W41" s="59" t="s">
        <v>151</v>
      </c>
      <c r="X41" s="59" t="s">
        <v>150</v>
      </c>
    </row>
    <row r="42" spans="1:24" ht="15.5" x14ac:dyDescent="0.35">
      <c r="A42" s="59" t="s">
        <v>130</v>
      </c>
      <c r="B42" s="59" t="s">
        <v>275</v>
      </c>
      <c r="C42" s="59" t="s">
        <v>276</v>
      </c>
      <c r="D42" s="96" t="str">
        <f>IFERROR("Q" &amp;INT((MONTH('Follow up (ship 1)'!F45)+2)/3) &amp; "-" &amp; YEAR('Follow up (ship 1)'!F45),"N/A")</f>
        <v>Q4-2017</v>
      </c>
      <c r="E42" s="59" t="s">
        <v>275</v>
      </c>
      <c r="F42" s="59" t="s">
        <v>277</v>
      </c>
      <c r="G42" s="59" t="s">
        <v>169</v>
      </c>
      <c r="H42" s="59" t="str">
        <f>IFERROR("Q" &amp;INT((MONTH('Follow up (ship 1)'!J45)+2)/3) &amp; "-" &amp; YEAR('Follow up (ship 1)'!J45),"N/A")</f>
        <v>Q4-2017</v>
      </c>
      <c r="I42" s="59" t="s">
        <v>134</v>
      </c>
      <c r="J42" s="59" t="s">
        <v>135</v>
      </c>
      <c r="K42" s="59" t="s">
        <v>133</v>
      </c>
      <c r="L42" s="59" t="s">
        <v>136</v>
      </c>
      <c r="M42" s="58" t="str">
        <f>IFERROR("Q" &amp;INT((MONTH('Follow up (ship 1)'!P45)+2)/3) &amp; "-" &amp; YEAR('Follow up (ship 1)'!P45),"N/A")</f>
        <v>Q3-2017</v>
      </c>
      <c r="N42" s="60">
        <v>65</v>
      </c>
      <c r="O42" s="59" t="s">
        <v>278</v>
      </c>
      <c r="P42" s="59" t="s">
        <v>138</v>
      </c>
      <c r="Q42" s="59">
        <v>2</v>
      </c>
      <c r="R42" s="59">
        <v>0</v>
      </c>
      <c r="S42" s="59">
        <v>0</v>
      </c>
      <c r="T42" s="59">
        <v>0</v>
      </c>
      <c r="U42" s="59" t="s">
        <v>159</v>
      </c>
      <c r="V42" s="59">
        <v>3</v>
      </c>
      <c r="W42" s="59" t="s">
        <v>160</v>
      </c>
      <c r="X42" s="59" t="s">
        <v>159</v>
      </c>
    </row>
    <row r="43" spans="1:24" ht="15.5" x14ac:dyDescent="0.35">
      <c r="A43" s="59" t="s">
        <v>130</v>
      </c>
      <c r="B43" s="59" t="s">
        <v>279</v>
      </c>
      <c r="C43" s="59" t="s">
        <v>280</v>
      </c>
      <c r="D43" s="96" t="str">
        <f>IFERROR("Q" &amp;INT((MONTH('Follow up (ship 1)'!F46)+2)/3) &amp; "-" &amp; YEAR('Follow up (ship 1)'!F46),"N/A")</f>
        <v>Q4-2017</v>
      </c>
      <c r="E43" s="59" t="s">
        <v>133</v>
      </c>
      <c r="F43" s="59" t="s">
        <v>133</v>
      </c>
      <c r="G43" s="59" t="s">
        <v>133</v>
      </c>
      <c r="H43" s="59" t="str">
        <f>IFERROR("Q" &amp;INT((MONTH('Follow up (ship 1)'!J46)+2)/3) &amp; "-" &amp; YEAR('Follow up (ship 1)'!J46),"N/A")</f>
        <v>N/A</v>
      </c>
      <c r="I43" s="59" t="s">
        <v>134</v>
      </c>
      <c r="J43" s="59" t="s">
        <v>135</v>
      </c>
      <c r="K43" s="59" t="s">
        <v>133</v>
      </c>
      <c r="L43" s="59" t="s">
        <v>136</v>
      </c>
      <c r="M43" s="58" t="str">
        <f>IFERROR("Q" &amp;INT((MONTH('Follow up (ship 1)'!P46)+2)/3) &amp; "-" &amp; YEAR('Follow up (ship 1)'!P46),"N/A")</f>
        <v>Q2-2017</v>
      </c>
      <c r="N43" s="60">
        <v>45</v>
      </c>
      <c r="O43" s="59" t="s">
        <v>225</v>
      </c>
      <c r="P43" s="59" t="s">
        <v>138</v>
      </c>
      <c r="Q43" s="59">
        <v>3</v>
      </c>
      <c r="R43" s="59">
        <v>2</v>
      </c>
      <c r="S43" s="59">
        <v>0</v>
      </c>
      <c r="T43" s="59">
        <v>0</v>
      </c>
      <c r="U43" s="70" t="s">
        <v>241</v>
      </c>
      <c r="V43" s="59">
        <v>2</v>
      </c>
      <c r="W43" s="70" t="s">
        <v>242</v>
      </c>
      <c r="X43" s="70" t="s">
        <v>241</v>
      </c>
    </row>
    <row r="44" spans="1:24" ht="15.5" x14ac:dyDescent="0.35">
      <c r="A44" s="59" t="s">
        <v>130</v>
      </c>
      <c r="B44" s="59" t="s">
        <v>281</v>
      </c>
      <c r="C44" s="59" t="s">
        <v>282</v>
      </c>
      <c r="D44" s="96" t="str">
        <f>IFERROR("Q" &amp;INT((MONTH('Follow up (ship 1)'!F47)+2)/3) &amp; "-" &amp; YEAR('Follow up (ship 1)'!F47),"N/A")</f>
        <v>Q4-2017</v>
      </c>
      <c r="E44" s="59" t="s">
        <v>133</v>
      </c>
      <c r="F44" s="59" t="s">
        <v>133</v>
      </c>
      <c r="G44" s="59" t="s">
        <v>133</v>
      </c>
      <c r="H44" s="59" t="str">
        <f>IFERROR("Q" &amp;INT((MONTH('Follow up (ship 1)'!J47)+2)/3) &amp; "-" &amp; YEAR('Follow up (ship 1)'!J47),"N/A")</f>
        <v>N/A</v>
      </c>
      <c r="I44" s="59" t="s">
        <v>134</v>
      </c>
      <c r="J44" s="59" t="s">
        <v>135</v>
      </c>
      <c r="K44" s="59" t="s">
        <v>133</v>
      </c>
      <c r="L44" s="59" t="s">
        <v>136</v>
      </c>
      <c r="M44" s="58" t="str">
        <f>IFERROR("Q" &amp;INT((MONTH('Follow up (ship 1)'!P47)+2)/3) &amp; "-" &amp; YEAR('Follow up (ship 1)'!P47),"N/A")</f>
        <v>Q3-2017</v>
      </c>
      <c r="N44" s="60">
        <v>59</v>
      </c>
      <c r="O44" s="59" t="s">
        <v>283</v>
      </c>
      <c r="P44" s="68" t="s">
        <v>138</v>
      </c>
      <c r="Q44" s="59" t="s">
        <v>234</v>
      </c>
      <c r="R44" s="59">
        <v>0</v>
      </c>
      <c r="S44" s="59">
        <v>0</v>
      </c>
      <c r="T44" s="59">
        <v>0</v>
      </c>
      <c r="U44" s="59" t="s">
        <v>235</v>
      </c>
      <c r="V44" s="59">
        <v>3</v>
      </c>
      <c r="W44" s="59" t="s">
        <v>236</v>
      </c>
      <c r="X44" s="59" t="s">
        <v>235</v>
      </c>
    </row>
    <row r="45" spans="1:24" ht="15.5" x14ac:dyDescent="0.35">
      <c r="A45" s="59" t="s">
        <v>130</v>
      </c>
      <c r="B45" s="59" t="s">
        <v>284</v>
      </c>
      <c r="C45" s="59" t="s">
        <v>285</v>
      </c>
      <c r="D45" s="96" t="str">
        <f>IFERROR("Q" &amp;INT((MONTH('Follow up (ship 1)'!F48)+2)/3) &amp; "-" &amp; YEAR('Follow up (ship 1)'!F48),"N/A")</f>
        <v>Q4-2017</v>
      </c>
      <c r="E45" s="59" t="s">
        <v>284</v>
      </c>
      <c r="F45" s="59" t="s">
        <v>286</v>
      </c>
      <c r="G45" s="59" t="s">
        <v>169</v>
      </c>
      <c r="H45" s="59" t="str">
        <f>IFERROR("Q" &amp;INT((MONTH('Follow up (ship 1)'!J48)+2)/3) &amp; "-" &amp; YEAR('Follow up (ship 1)'!J48),"N/A")</f>
        <v>Q4-2017</v>
      </c>
      <c r="I45" s="59" t="s">
        <v>134</v>
      </c>
      <c r="J45" s="59" t="s">
        <v>135</v>
      </c>
      <c r="K45" s="59" t="s">
        <v>133</v>
      </c>
      <c r="L45" s="59" t="s">
        <v>136</v>
      </c>
      <c r="M45" s="58" t="str">
        <f>IFERROR("Q" &amp;INT((MONTH('Follow up (ship 1)'!P48)+2)/3) &amp; "-" &amp; YEAR('Follow up (ship 1)'!P48),"N/A")</f>
        <v>Q3-2017</v>
      </c>
      <c r="N45" s="60">
        <v>67</v>
      </c>
      <c r="O45" s="59" t="s">
        <v>287</v>
      </c>
      <c r="P45" s="59" t="s">
        <v>138</v>
      </c>
      <c r="Q45" s="59" t="s">
        <v>140</v>
      </c>
      <c r="R45" s="59" t="s">
        <v>140</v>
      </c>
      <c r="S45" s="59" t="s">
        <v>288</v>
      </c>
      <c r="T45" s="59">
        <v>0</v>
      </c>
      <c r="U45" s="59" t="s">
        <v>186</v>
      </c>
      <c r="V45" s="59">
        <v>3</v>
      </c>
      <c r="W45" s="59" t="s">
        <v>133</v>
      </c>
      <c r="X45" s="59" t="s">
        <v>186</v>
      </c>
    </row>
    <row r="46" spans="1:24" ht="15.5" x14ac:dyDescent="0.35">
      <c r="A46" s="59" t="s">
        <v>130</v>
      </c>
      <c r="B46" s="59" t="s">
        <v>289</v>
      </c>
      <c r="C46" s="59" t="s">
        <v>290</v>
      </c>
      <c r="D46" s="96" t="str">
        <f>IFERROR("Q" &amp;INT((MONTH('Follow up (ship 1)'!F49)+2)/3) &amp; "-" &amp; YEAR('Follow up (ship 1)'!F49),"N/A")</f>
        <v>Q4-2017</v>
      </c>
      <c r="E46" s="59" t="s">
        <v>133</v>
      </c>
      <c r="F46" s="59" t="s">
        <v>133</v>
      </c>
      <c r="G46" s="59" t="s">
        <v>133</v>
      </c>
      <c r="H46" s="59" t="str">
        <f>IFERROR("Q" &amp;INT((MONTH('Follow up (ship 1)'!J49)+2)/3) &amp; "-" &amp; YEAR('Follow up (ship 1)'!J49),"N/A")</f>
        <v>N/A</v>
      </c>
      <c r="I46" s="59" t="s">
        <v>134</v>
      </c>
      <c r="J46" s="59" t="s">
        <v>135</v>
      </c>
      <c r="K46" s="59" t="s">
        <v>133</v>
      </c>
      <c r="L46" s="59" t="s">
        <v>136</v>
      </c>
      <c r="M46" s="58" t="str">
        <f>IFERROR("Q" &amp;INT((MONTH('Follow up (ship 1)'!P49)+2)/3) &amp; "-" &amp; YEAR('Follow up (ship 1)'!P49),"N/A")</f>
        <v>Q3-2017</v>
      </c>
      <c r="N46" s="60">
        <v>72</v>
      </c>
      <c r="O46" s="59" t="s">
        <v>291</v>
      </c>
      <c r="P46" s="70" t="s">
        <v>130</v>
      </c>
      <c r="Q46" s="59" t="s">
        <v>164</v>
      </c>
      <c r="R46" s="59">
        <v>0</v>
      </c>
      <c r="S46" s="59">
        <v>0</v>
      </c>
      <c r="T46" s="59">
        <v>0</v>
      </c>
      <c r="U46" s="59" t="s">
        <v>292</v>
      </c>
      <c r="V46" s="59">
        <v>2</v>
      </c>
      <c r="W46" s="59" t="s">
        <v>293</v>
      </c>
      <c r="X46" s="59" t="s">
        <v>292</v>
      </c>
    </row>
    <row r="47" spans="1:24" ht="15.5" x14ac:dyDescent="0.35">
      <c r="A47" s="59" t="s">
        <v>130</v>
      </c>
      <c r="B47" s="59" t="s">
        <v>294</v>
      </c>
      <c r="C47" s="59" t="s">
        <v>295</v>
      </c>
      <c r="D47" s="96" t="str">
        <f>IFERROR("Q" &amp;INT((MONTH('Follow up (ship 1)'!F50)+2)/3) &amp; "-" &amp; YEAR('Follow up (ship 1)'!F50),"N/A")</f>
        <v>Q4-2017</v>
      </c>
      <c r="E47" s="59" t="s">
        <v>133</v>
      </c>
      <c r="F47" s="59" t="s">
        <v>133</v>
      </c>
      <c r="G47" s="59" t="s">
        <v>133</v>
      </c>
      <c r="H47" s="59" t="str">
        <f>IFERROR("Q" &amp;INT((MONTH('Follow up (ship 1)'!J50)+2)/3) &amp; "-" &amp; YEAR('Follow up (ship 1)'!J50),"N/A")</f>
        <v>N/A</v>
      </c>
      <c r="I47" s="59" t="s">
        <v>203</v>
      </c>
      <c r="J47" s="59" t="s">
        <v>135</v>
      </c>
      <c r="K47" s="59" t="s">
        <v>133</v>
      </c>
      <c r="L47" s="59" t="s">
        <v>136</v>
      </c>
      <c r="M47" s="58" t="str">
        <f>IFERROR("Q" &amp;INT((MONTH('Follow up (ship 1)'!P50)+2)/3) &amp; "-" &amp; YEAR('Follow up (ship 1)'!P50),"N/A")</f>
        <v>Q3-2017</v>
      </c>
      <c r="N47" s="60">
        <v>85</v>
      </c>
      <c r="O47" s="59" t="s">
        <v>225</v>
      </c>
      <c r="P47" s="59" t="s">
        <v>138</v>
      </c>
      <c r="Q47" s="59" t="s">
        <v>148</v>
      </c>
      <c r="R47" s="59">
        <v>0</v>
      </c>
      <c r="S47" s="59">
        <v>0</v>
      </c>
      <c r="T47" s="59">
        <v>0</v>
      </c>
      <c r="U47" s="68" t="s">
        <v>150</v>
      </c>
      <c r="V47" s="59">
        <v>1</v>
      </c>
      <c r="W47" s="59" t="s">
        <v>151</v>
      </c>
      <c r="X47" s="68" t="s">
        <v>150</v>
      </c>
    </row>
    <row r="48" spans="1:24" ht="15.5" x14ac:dyDescent="0.35">
      <c r="A48" s="59" t="s">
        <v>130</v>
      </c>
      <c r="B48" s="59" t="s">
        <v>296</v>
      </c>
      <c r="C48" s="59" t="s">
        <v>297</v>
      </c>
      <c r="D48" s="96" t="str">
        <f>IFERROR("Q" &amp;INT((MONTH('Follow up (ship 1)'!F51)+2)/3) &amp; "-" &amp; YEAR('Follow up (ship 1)'!F51),"N/A")</f>
        <v>Q4-2017</v>
      </c>
      <c r="E48" s="59" t="s">
        <v>133</v>
      </c>
      <c r="F48" s="59" t="s">
        <v>133</v>
      </c>
      <c r="G48" s="59" t="s">
        <v>133</v>
      </c>
      <c r="H48" s="59" t="str">
        <f>IFERROR("Q" &amp;INT((MONTH('Follow up (ship 1)'!J51)+2)/3) &amp; "-" &amp; YEAR('Follow up (ship 1)'!J51),"N/A")</f>
        <v>N/A</v>
      </c>
      <c r="I48" s="59" t="s">
        <v>134</v>
      </c>
      <c r="J48" s="59" t="s">
        <v>135</v>
      </c>
      <c r="K48" s="59" t="s">
        <v>133</v>
      </c>
      <c r="L48" s="59" t="s">
        <v>136</v>
      </c>
      <c r="M48" s="58" t="str">
        <f>IFERROR("Q" &amp;INT((MONTH('Follow up (ship 1)'!P51)+2)/3) &amp; "-" &amp; YEAR('Follow up (ship 1)'!P51),"N/A")</f>
        <v>Q3-2017</v>
      </c>
      <c r="N48" s="60">
        <v>88</v>
      </c>
      <c r="O48" s="59" t="s">
        <v>225</v>
      </c>
      <c r="P48" s="59" t="s">
        <v>130</v>
      </c>
      <c r="Q48" s="59">
        <v>3</v>
      </c>
      <c r="R48" s="59">
        <v>1</v>
      </c>
      <c r="S48" s="59">
        <v>0</v>
      </c>
      <c r="T48" s="59">
        <v>0</v>
      </c>
      <c r="U48" s="59" t="s">
        <v>139</v>
      </c>
      <c r="V48" s="59">
        <v>2</v>
      </c>
      <c r="W48" s="70" t="s">
        <v>251</v>
      </c>
      <c r="X48" s="59" t="s">
        <v>139</v>
      </c>
    </row>
    <row r="49" spans="1:24" ht="15.5" x14ac:dyDescent="0.35">
      <c r="A49" s="59" t="s">
        <v>130</v>
      </c>
      <c r="B49" s="59" t="s">
        <v>298</v>
      </c>
      <c r="C49" s="59" t="s">
        <v>299</v>
      </c>
      <c r="D49" s="96" t="str">
        <f>IFERROR("Q" &amp;INT((MONTH('Follow up (ship 1)'!F52)+2)/3) &amp; "-" &amp; YEAR('Follow up (ship 1)'!F52),"N/A")</f>
        <v>Q4-2017</v>
      </c>
      <c r="E49" s="59" t="s">
        <v>133</v>
      </c>
      <c r="F49" s="59" t="s">
        <v>133</v>
      </c>
      <c r="G49" s="59" t="s">
        <v>133</v>
      </c>
      <c r="H49" s="59" t="str">
        <f>IFERROR("Q" &amp;INT((MONTH('Follow up (ship 1)'!J52)+2)/3) &amp; "-" &amp; YEAR('Follow up (ship 1)'!J52),"N/A")</f>
        <v>N/A</v>
      </c>
      <c r="I49" s="59" t="s">
        <v>203</v>
      </c>
      <c r="J49" s="59" t="s">
        <v>135</v>
      </c>
      <c r="K49" s="59" t="s">
        <v>133</v>
      </c>
      <c r="L49" s="59" t="s">
        <v>136</v>
      </c>
      <c r="M49" s="58" t="str">
        <f>IFERROR("Q" &amp;INT((MONTH('Follow up (ship 1)'!P52)+2)/3) &amp; "-" &amp; YEAR('Follow up (ship 1)'!P52),"N/A")</f>
        <v>Q3-2017</v>
      </c>
      <c r="N49" s="60">
        <v>58</v>
      </c>
      <c r="O49" s="59" t="s">
        <v>147</v>
      </c>
      <c r="P49" s="59" t="s">
        <v>138</v>
      </c>
      <c r="Q49" s="59" t="s">
        <v>198</v>
      </c>
      <c r="R49" s="59">
        <v>0</v>
      </c>
      <c r="S49" s="59">
        <v>0</v>
      </c>
      <c r="T49" s="59">
        <v>0</v>
      </c>
      <c r="U49" s="59" t="s">
        <v>199</v>
      </c>
      <c r="V49" s="59">
        <v>1</v>
      </c>
      <c r="W49" s="59" t="s">
        <v>200</v>
      </c>
      <c r="X49" s="59" t="s">
        <v>199</v>
      </c>
    </row>
    <row r="50" spans="1:24" ht="15.5" x14ac:dyDescent="0.35">
      <c r="A50" s="59" t="s">
        <v>130</v>
      </c>
      <c r="B50" s="59" t="s">
        <v>300</v>
      </c>
      <c r="C50" s="59" t="s">
        <v>301</v>
      </c>
      <c r="D50" s="96" t="str">
        <f>IFERROR("Q" &amp;INT((MONTH('Follow up (ship 1)'!F53)+2)/3) &amp; "-" &amp; YEAR('Follow up (ship 1)'!F53),"N/A")</f>
        <v>Q4-2017</v>
      </c>
      <c r="E50" s="59" t="s">
        <v>300</v>
      </c>
      <c r="F50" s="59" t="s">
        <v>302</v>
      </c>
      <c r="G50" s="59" t="s">
        <v>169</v>
      </c>
      <c r="H50" s="59" t="str">
        <f>IFERROR("Q" &amp;INT((MONTH('Follow up (ship 1)'!J53)+2)/3) &amp; "-" &amp; YEAR('Follow up (ship 1)'!J53),"N/A")</f>
        <v>Q4-2017</v>
      </c>
      <c r="I50" s="59" t="s">
        <v>134</v>
      </c>
      <c r="J50" s="59" t="s">
        <v>135</v>
      </c>
      <c r="K50" s="59" t="s">
        <v>133</v>
      </c>
      <c r="L50" s="59" t="s">
        <v>136</v>
      </c>
      <c r="M50" s="58" t="str">
        <f>IFERROR("Q" &amp;INT((MONTH('Follow up (ship 1)'!P53)+2)/3) &amp; "-" &amp; YEAR('Follow up (ship 1)'!P53),"N/A")</f>
        <v>Q3-2017</v>
      </c>
      <c r="N50" s="60">
        <v>78</v>
      </c>
      <c r="O50" s="59" t="s">
        <v>303</v>
      </c>
      <c r="P50" s="59" t="s">
        <v>138</v>
      </c>
      <c r="Q50" s="59" t="s">
        <v>140</v>
      </c>
      <c r="R50" s="59" t="s">
        <v>140</v>
      </c>
      <c r="S50" s="59" t="s">
        <v>304</v>
      </c>
      <c r="T50" s="59" t="s">
        <v>288</v>
      </c>
      <c r="U50" s="59" t="s">
        <v>186</v>
      </c>
      <c r="V50" s="59">
        <v>3</v>
      </c>
      <c r="W50" s="59" t="s">
        <v>133</v>
      </c>
      <c r="X50" s="59" t="s">
        <v>186</v>
      </c>
    </row>
    <row r="51" spans="1:24" ht="15.5" x14ac:dyDescent="0.35">
      <c r="A51" s="59" t="s">
        <v>130</v>
      </c>
      <c r="B51" s="59" t="s">
        <v>305</v>
      </c>
      <c r="C51" s="59" t="s">
        <v>306</v>
      </c>
      <c r="D51" s="96" t="str">
        <f>IFERROR("Q" &amp;INT((MONTH('Follow up (ship 1)'!F54)+2)/3) &amp; "-" &amp; YEAR('Follow up (ship 1)'!F54),"N/A")</f>
        <v>Q4-2017</v>
      </c>
      <c r="E51" s="59" t="s">
        <v>133</v>
      </c>
      <c r="F51" s="59" t="s">
        <v>133</v>
      </c>
      <c r="G51" s="59" t="s">
        <v>133</v>
      </c>
      <c r="H51" s="59" t="str">
        <f>IFERROR("Q" &amp;INT((MONTH('Follow up (ship 1)'!J54)+2)/3) &amp; "-" &amp; YEAR('Follow up (ship 1)'!J54),"N/A")</f>
        <v>N/A</v>
      </c>
      <c r="I51" s="59" t="s">
        <v>203</v>
      </c>
      <c r="J51" s="59" t="s">
        <v>135</v>
      </c>
      <c r="K51" s="59" t="s">
        <v>133</v>
      </c>
      <c r="L51" s="59" t="s">
        <v>136</v>
      </c>
      <c r="M51" s="58" t="str">
        <f>IFERROR("Q" &amp;INT((MONTH('Follow up (ship 1)'!P54)+2)/3) &amp; "-" &amp; YEAR('Follow up (ship 1)'!P54),"N/A")</f>
        <v>Q3-2017</v>
      </c>
      <c r="N51" s="60">
        <v>75</v>
      </c>
      <c r="O51" s="59" t="s">
        <v>147</v>
      </c>
      <c r="P51" s="59" t="s">
        <v>138</v>
      </c>
      <c r="Q51" s="59" t="s">
        <v>148</v>
      </c>
      <c r="R51" s="59">
        <v>0</v>
      </c>
      <c r="S51" s="59">
        <v>0</v>
      </c>
      <c r="T51" s="59">
        <v>0</v>
      </c>
      <c r="U51" s="68" t="s">
        <v>150</v>
      </c>
      <c r="V51" s="59">
        <v>1</v>
      </c>
      <c r="W51" s="59" t="s">
        <v>151</v>
      </c>
      <c r="X51" s="68" t="s">
        <v>150</v>
      </c>
    </row>
    <row r="52" spans="1:24" ht="15.5" x14ac:dyDescent="0.35">
      <c r="A52" s="59" t="s">
        <v>130</v>
      </c>
      <c r="B52" s="59" t="s">
        <v>307</v>
      </c>
      <c r="C52" s="59" t="s">
        <v>210</v>
      </c>
      <c r="D52" s="96" t="str">
        <f>IFERROR("Q" &amp;INT((MONTH('Follow up (ship 1)'!F55)+2)/3) &amp; "-" &amp; YEAR('Follow up (ship 1)'!F55),"N/A")</f>
        <v>Q4-2017</v>
      </c>
      <c r="E52" s="59" t="s">
        <v>133</v>
      </c>
      <c r="F52" s="59" t="s">
        <v>133</v>
      </c>
      <c r="G52" s="59" t="s">
        <v>133</v>
      </c>
      <c r="H52" s="59" t="str">
        <f>IFERROR("Q" &amp;INT((MONTH('Follow up (ship 1)'!J55)+2)/3) &amp; "-" &amp; YEAR('Follow up (ship 1)'!J55),"N/A")</f>
        <v>N/A</v>
      </c>
      <c r="I52" s="59" t="s">
        <v>203</v>
      </c>
      <c r="J52" s="59" t="s">
        <v>135</v>
      </c>
      <c r="K52" s="59" t="s">
        <v>133</v>
      </c>
      <c r="L52" s="59" t="s">
        <v>136</v>
      </c>
      <c r="M52" s="58" t="str">
        <f>IFERROR("Q" &amp;INT((MONTH('Follow up (ship 1)'!P55)+2)/3) &amp; "-" &amp; YEAR('Follow up (ship 1)'!P55),"N/A")</f>
        <v>Q3-2017</v>
      </c>
      <c r="N52" s="60">
        <v>58</v>
      </c>
      <c r="O52" s="59" t="s">
        <v>147</v>
      </c>
      <c r="P52" s="59"/>
      <c r="Q52" s="59" t="s">
        <v>198</v>
      </c>
      <c r="R52" s="59">
        <v>0</v>
      </c>
      <c r="S52" s="59">
        <v>0</v>
      </c>
      <c r="T52" s="59">
        <v>0</v>
      </c>
      <c r="U52" s="59" t="s">
        <v>199</v>
      </c>
      <c r="V52" s="59">
        <v>1</v>
      </c>
      <c r="W52" s="59" t="s">
        <v>200</v>
      </c>
      <c r="X52" s="59" t="s">
        <v>199</v>
      </c>
    </row>
    <row r="53" spans="1:24" ht="15.5" x14ac:dyDescent="0.35">
      <c r="A53" s="59" t="s">
        <v>130</v>
      </c>
      <c r="B53" s="59" t="s">
        <v>308</v>
      </c>
      <c r="C53" s="59" t="s">
        <v>309</v>
      </c>
      <c r="D53" s="96" t="str">
        <f>IFERROR("Q" &amp;INT((MONTH('Follow up (ship 1)'!F56)+2)/3) &amp; "-" &amp; YEAR('Follow up (ship 1)'!F56),"N/A")</f>
        <v>Q4-2017</v>
      </c>
      <c r="E53" s="59" t="s">
        <v>308</v>
      </c>
      <c r="F53" s="59" t="s">
        <v>310</v>
      </c>
      <c r="G53" s="59" t="s">
        <v>311</v>
      </c>
      <c r="H53" s="59" t="str">
        <f>IFERROR("Q" &amp;INT((MONTH('Follow up (ship 1)'!J56)+2)/3) &amp; "-" &amp; YEAR('Follow up (ship 1)'!J56),"N/A")</f>
        <v>Q4-2017</v>
      </c>
      <c r="I53" s="59" t="s">
        <v>203</v>
      </c>
      <c r="J53" s="59" t="s">
        <v>135</v>
      </c>
      <c r="K53" s="59" t="s">
        <v>133</v>
      </c>
      <c r="L53" s="59" t="s">
        <v>136</v>
      </c>
      <c r="M53" s="58" t="str">
        <f>IFERROR("Q" &amp;INT((MONTH('Follow up (ship 1)'!P56)+2)/3) &amp; "-" &amp; YEAR('Follow up (ship 1)'!P56),"N/A")</f>
        <v>Q3-2017</v>
      </c>
      <c r="N53" s="60">
        <v>59</v>
      </c>
      <c r="O53" s="59" t="s">
        <v>312</v>
      </c>
      <c r="P53" s="59" t="s">
        <v>138</v>
      </c>
      <c r="Q53" s="59">
        <v>2</v>
      </c>
      <c r="R53" s="59">
        <v>0</v>
      </c>
      <c r="S53" s="59">
        <v>0</v>
      </c>
      <c r="T53" s="59">
        <v>0</v>
      </c>
      <c r="U53" s="59" t="s">
        <v>159</v>
      </c>
      <c r="V53" s="59">
        <v>3</v>
      </c>
      <c r="W53" s="59" t="s">
        <v>160</v>
      </c>
      <c r="X53" s="59" t="s">
        <v>159</v>
      </c>
    </row>
    <row r="54" spans="1:24" ht="15.5" x14ac:dyDescent="0.35">
      <c r="A54" s="59" t="s">
        <v>130</v>
      </c>
      <c r="B54" s="59" t="s">
        <v>314</v>
      </c>
      <c r="C54" s="59" t="s">
        <v>315</v>
      </c>
      <c r="D54" s="96" t="str">
        <f>IFERROR("Q" &amp;INT((MONTH('Follow up (ship 1)'!F57)+2)/3) &amp; "-" &amp; YEAR('Follow up (ship 1)'!F57),"N/A")</f>
        <v>Q4-2017</v>
      </c>
      <c r="E54" s="59" t="s">
        <v>314</v>
      </c>
      <c r="F54" s="59" t="s">
        <v>219</v>
      </c>
      <c r="G54" s="59" t="s">
        <v>169</v>
      </c>
      <c r="H54" s="59" t="str">
        <f>IFERROR("Q" &amp;INT((MONTH('Follow up (ship 1)'!J57)+2)/3) &amp; "-" &amp; YEAR('Follow up (ship 1)'!J57),"N/A")</f>
        <v>Q4-2017</v>
      </c>
      <c r="I54" s="59" t="s">
        <v>134</v>
      </c>
      <c r="J54" s="59" t="s">
        <v>135</v>
      </c>
      <c r="K54" s="59" t="s">
        <v>133</v>
      </c>
      <c r="L54" s="59" t="s">
        <v>136</v>
      </c>
      <c r="M54" s="58" t="str">
        <f>IFERROR("Q" &amp;INT((MONTH('Follow up (ship 1)'!P57)+2)/3) &amp; "-" &amp; YEAR('Follow up (ship 1)'!P57),"N/A")</f>
        <v>Q4-2017</v>
      </c>
      <c r="N54" s="60">
        <v>57</v>
      </c>
      <c r="O54" s="59" t="s">
        <v>316</v>
      </c>
      <c r="P54" s="59" t="s">
        <v>138</v>
      </c>
      <c r="Q54" s="59" t="s">
        <v>198</v>
      </c>
      <c r="R54" s="59">
        <v>0</v>
      </c>
      <c r="S54" s="59">
        <v>0</v>
      </c>
      <c r="T54" s="59">
        <v>0</v>
      </c>
      <c r="U54" s="59" t="s">
        <v>199</v>
      </c>
      <c r="V54" s="59">
        <v>3</v>
      </c>
      <c r="W54" s="59" t="s">
        <v>200</v>
      </c>
      <c r="X54" s="59" t="s">
        <v>199</v>
      </c>
    </row>
    <row r="55" spans="1:24" ht="15.5" x14ac:dyDescent="0.35">
      <c r="A55" s="59" t="s">
        <v>133</v>
      </c>
      <c r="B55" s="59" t="s">
        <v>133</v>
      </c>
      <c r="C55" s="59" t="s">
        <v>133</v>
      </c>
      <c r="D55" s="96" t="str">
        <f>IFERROR("Q" &amp;INT((MONTH('Follow up (ship 1)'!F58)+2)/3) &amp; "-" &amp; YEAR('Follow up (ship 1)'!F58),"N/A")</f>
        <v>N/A</v>
      </c>
      <c r="E55" s="59" t="s">
        <v>317</v>
      </c>
      <c r="F55" s="59" t="s">
        <v>208</v>
      </c>
      <c r="G55" s="59" t="s">
        <v>169</v>
      </c>
      <c r="H55" s="59" t="str">
        <f>IFERROR("Q" &amp;INT((MONTH('Follow up (ship 1)'!J58)+2)/3) &amp; "-" &amp; YEAR('Follow up (ship 1)'!J58),"N/A")</f>
        <v>Q4-2017</v>
      </c>
      <c r="I55" s="59" t="s">
        <v>133</v>
      </c>
      <c r="J55" s="59" t="s">
        <v>133</v>
      </c>
      <c r="K55" s="59" t="s">
        <v>133</v>
      </c>
      <c r="L55" s="59" t="s">
        <v>136</v>
      </c>
      <c r="M55" s="58" t="str">
        <f>IFERROR("Q" &amp;INT((MONTH('Follow up (ship 1)'!P58)+2)/3) &amp; "-" &amp; YEAR('Follow up (ship 1)'!P58),"N/A")</f>
        <v>Q4-2017</v>
      </c>
      <c r="N55" s="60">
        <v>63</v>
      </c>
      <c r="O55" s="59" t="s">
        <v>133</v>
      </c>
      <c r="P55" s="59" t="s">
        <v>133</v>
      </c>
      <c r="Q55" s="59" t="s">
        <v>133</v>
      </c>
      <c r="R55" s="59" t="s">
        <v>133</v>
      </c>
      <c r="S55" s="59" t="s">
        <v>133</v>
      </c>
      <c r="T55" s="59" t="s">
        <v>133</v>
      </c>
      <c r="U55" s="59" t="s">
        <v>133</v>
      </c>
      <c r="V55" s="59" t="s">
        <v>133</v>
      </c>
      <c r="W55" s="59" t="s">
        <v>133</v>
      </c>
      <c r="X55" s="59" t="s">
        <v>133</v>
      </c>
    </row>
    <row r="56" spans="1:24" ht="15.5" x14ac:dyDescent="0.35">
      <c r="A56" s="59" t="s">
        <v>130</v>
      </c>
      <c r="B56" s="59" t="s">
        <v>318</v>
      </c>
      <c r="C56" s="59" t="s">
        <v>315</v>
      </c>
      <c r="D56" s="96" t="str">
        <f>IFERROR("Q" &amp;INT((MONTH('Follow up (ship 1)'!F59)+2)/3) &amp; "-" &amp; YEAR('Follow up (ship 1)'!F59),"N/A")</f>
        <v>Q4-2017</v>
      </c>
      <c r="E56" s="59" t="s">
        <v>318</v>
      </c>
      <c r="F56" s="59" t="s">
        <v>319</v>
      </c>
      <c r="G56" s="59" t="s">
        <v>169</v>
      </c>
      <c r="H56" s="59" t="str">
        <f>IFERROR("Q" &amp;INT((MONTH('Follow up (ship 1)'!J59)+2)/3) &amp; "-" &amp; YEAR('Follow up (ship 1)'!J59),"N/A")</f>
        <v>Q4-2017</v>
      </c>
      <c r="I56" s="59" t="s">
        <v>134</v>
      </c>
      <c r="J56" s="59" t="s">
        <v>135</v>
      </c>
      <c r="K56" s="59" t="s">
        <v>133</v>
      </c>
      <c r="L56" s="59" t="s">
        <v>136</v>
      </c>
      <c r="M56" s="58" t="str">
        <f>IFERROR("Q" &amp;INT((MONTH('Follow up (ship 1)'!P59)+2)/3) &amp; "-" &amp; YEAR('Follow up (ship 1)'!P59),"N/A")</f>
        <v>Q3-2017</v>
      </c>
      <c r="N56" s="60">
        <v>78</v>
      </c>
      <c r="O56" s="59" t="s">
        <v>147</v>
      </c>
      <c r="P56" s="59" t="s">
        <v>138</v>
      </c>
      <c r="Q56" s="59" t="s">
        <v>164</v>
      </c>
      <c r="R56" s="59">
        <v>0</v>
      </c>
      <c r="S56" s="59">
        <v>0</v>
      </c>
      <c r="T56" s="59">
        <v>0</v>
      </c>
      <c r="U56" s="59" t="s">
        <v>320</v>
      </c>
      <c r="V56" s="59">
        <v>2</v>
      </c>
      <c r="W56" s="59" t="s">
        <v>293</v>
      </c>
      <c r="X56" s="59" t="s">
        <v>320</v>
      </c>
    </row>
    <row r="57" spans="1:24" ht="15.5" x14ac:dyDescent="0.35">
      <c r="A57" s="59" t="s">
        <v>130</v>
      </c>
      <c r="B57" s="59" t="s">
        <v>321</v>
      </c>
      <c r="C57" s="59" t="s">
        <v>322</v>
      </c>
      <c r="D57" s="96" t="str">
        <f>IFERROR("Q" &amp;INT((MONTH('Follow up (ship 1)'!F60)+2)/3) &amp; "-" &amp; YEAR('Follow up (ship 1)'!F60),"N/A")</f>
        <v>Q4-2017</v>
      </c>
      <c r="E57" s="59" t="s">
        <v>133</v>
      </c>
      <c r="F57" s="59" t="s">
        <v>133</v>
      </c>
      <c r="G57" s="59" t="s">
        <v>133</v>
      </c>
      <c r="H57" s="59" t="str">
        <f>IFERROR("Q" &amp;INT((MONTH('Follow up (ship 1)'!J60)+2)/3) &amp; "-" &amp; YEAR('Follow up (ship 1)'!J60),"N/A")</f>
        <v>N/A</v>
      </c>
      <c r="I57" s="59" t="s">
        <v>203</v>
      </c>
      <c r="J57" s="59" t="s">
        <v>135</v>
      </c>
      <c r="K57" s="59" t="s">
        <v>133</v>
      </c>
      <c r="L57" s="59" t="s">
        <v>136</v>
      </c>
      <c r="M57" s="58" t="str">
        <f>IFERROR("Q" &amp;INT((MONTH('Follow up (ship 1)'!P60)+2)/3) &amp; "-" &amp; YEAR('Follow up (ship 1)'!P60),"N/A")</f>
        <v>Q3-2017</v>
      </c>
      <c r="N57" s="60">
        <v>77</v>
      </c>
      <c r="O57" s="59" t="s">
        <v>323</v>
      </c>
      <c r="P57" s="59" t="s">
        <v>138</v>
      </c>
      <c r="Q57" s="59" t="s">
        <v>148</v>
      </c>
      <c r="R57" s="59">
        <v>0</v>
      </c>
      <c r="S57" s="59">
        <v>0</v>
      </c>
      <c r="T57" s="59">
        <v>0</v>
      </c>
      <c r="U57" s="68" t="s">
        <v>150</v>
      </c>
      <c r="V57" s="59">
        <v>1</v>
      </c>
      <c r="W57" s="59" t="s">
        <v>151</v>
      </c>
      <c r="X57" s="68" t="s">
        <v>150</v>
      </c>
    </row>
    <row r="58" spans="1:24" ht="15.5" x14ac:dyDescent="0.35">
      <c r="A58" s="59" t="s">
        <v>133</v>
      </c>
      <c r="B58" s="59" t="s">
        <v>133</v>
      </c>
      <c r="C58" s="59" t="s">
        <v>133</v>
      </c>
      <c r="D58" s="96" t="str">
        <f>IFERROR("Q" &amp;INT((MONTH('Follow up (ship 1)'!F61)+2)/3) &amp; "-" &amp; YEAR('Follow up (ship 1)'!F61),"N/A")</f>
        <v>N/A</v>
      </c>
      <c r="E58" s="59" t="s">
        <v>324</v>
      </c>
      <c r="F58" s="59" t="s">
        <v>219</v>
      </c>
      <c r="G58" s="59" t="s">
        <v>169</v>
      </c>
      <c r="H58" s="59" t="str">
        <f>IFERROR("Q" &amp;INT((MONTH('Follow up (ship 1)'!J61)+2)/3) &amp; "-" &amp; YEAR('Follow up (ship 1)'!J61),"N/A")</f>
        <v>Q4-2017</v>
      </c>
      <c r="I58" s="59" t="s">
        <v>133</v>
      </c>
      <c r="J58" s="59" t="s">
        <v>133</v>
      </c>
      <c r="K58" s="59" t="s">
        <v>133</v>
      </c>
      <c r="L58" s="59" t="s">
        <v>133</v>
      </c>
      <c r="M58" s="58" t="str">
        <f>IFERROR("Q" &amp;INT((MONTH('Follow up (ship 1)'!P61)+2)/3) &amp; "-" &amp; YEAR('Follow up (ship 1)'!P61),"N/A")</f>
        <v>Q4-2017</v>
      </c>
      <c r="N58" s="60">
        <v>64</v>
      </c>
      <c r="O58" s="59" t="s">
        <v>133</v>
      </c>
      <c r="P58" s="59" t="s">
        <v>133</v>
      </c>
      <c r="Q58" s="70" t="s">
        <v>133</v>
      </c>
      <c r="R58" s="70" t="s">
        <v>133</v>
      </c>
      <c r="S58" s="70" t="s">
        <v>133</v>
      </c>
      <c r="T58" s="70" t="s">
        <v>133</v>
      </c>
      <c r="U58" s="59" t="s">
        <v>133</v>
      </c>
      <c r="V58" s="59" t="s">
        <v>133</v>
      </c>
      <c r="W58" s="59" t="s">
        <v>133</v>
      </c>
      <c r="X58" s="59" t="s">
        <v>133</v>
      </c>
    </row>
    <row r="59" spans="1:24" ht="15.5" x14ac:dyDescent="0.35">
      <c r="A59" s="59" t="s">
        <v>130</v>
      </c>
      <c r="B59" s="59" t="s">
        <v>325</v>
      </c>
      <c r="C59" s="59" t="s">
        <v>326</v>
      </c>
      <c r="D59" s="96" t="str">
        <f>IFERROR("Q" &amp;INT((MONTH('Follow up (ship 1)'!F62)+2)/3) &amp; "-" &amp; YEAR('Follow up (ship 1)'!F62),"N/A")</f>
        <v>Q4-2017</v>
      </c>
      <c r="E59" s="59" t="s">
        <v>133</v>
      </c>
      <c r="F59" s="59" t="s">
        <v>133</v>
      </c>
      <c r="G59" s="59" t="s">
        <v>133</v>
      </c>
      <c r="H59" s="59" t="str">
        <f>IFERROR("Q" &amp;INT((MONTH('Follow up (ship 1)'!J62)+2)/3) &amp; "-" &amp; YEAR('Follow up (ship 1)'!J62),"N/A")</f>
        <v>N/A</v>
      </c>
      <c r="I59" s="59" t="s">
        <v>233</v>
      </c>
      <c r="J59" s="59" t="s">
        <v>135</v>
      </c>
      <c r="K59" s="59" t="s">
        <v>133</v>
      </c>
      <c r="L59" s="59" t="s">
        <v>136</v>
      </c>
      <c r="M59" s="58" t="str">
        <f>IFERROR("Q" &amp;INT((MONTH('Follow up (ship 1)'!P62)+2)/3) &amp; "-" &amp; YEAR('Follow up (ship 1)'!P62),"N/A")</f>
        <v>Q3-2017</v>
      </c>
      <c r="N59" s="60">
        <v>73</v>
      </c>
      <c r="O59" s="59" t="s">
        <v>327</v>
      </c>
      <c r="P59" s="59" t="s">
        <v>138</v>
      </c>
      <c r="Q59" s="59" t="s">
        <v>198</v>
      </c>
      <c r="R59" s="59">
        <v>0</v>
      </c>
      <c r="S59" s="59">
        <v>0</v>
      </c>
      <c r="T59" s="59">
        <v>0</v>
      </c>
      <c r="U59" s="59" t="s">
        <v>199</v>
      </c>
      <c r="V59" s="59">
        <v>3</v>
      </c>
      <c r="W59" s="59" t="s">
        <v>200</v>
      </c>
      <c r="X59" s="59" t="s">
        <v>199</v>
      </c>
    </row>
    <row r="60" spans="1:24" ht="15.5" x14ac:dyDescent="0.35">
      <c r="A60" s="59" t="s">
        <v>130</v>
      </c>
      <c r="B60" s="59" t="s">
        <v>328</v>
      </c>
      <c r="C60" s="59" t="s">
        <v>329</v>
      </c>
      <c r="D60" s="96" t="str">
        <f>IFERROR("Q" &amp;INT((MONTH('Follow up (ship 1)'!F63)+2)/3) &amp; "-" &amp; YEAR('Follow up (ship 1)'!F63),"N/A")</f>
        <v>Q4-2017</v>
      </c>
      <c r="E60" s="59" t="s">
        <v>133</v>
      </c>
      <c r="F60" s="59" t="s">
        <v>133</v>
      </c>
      <c r="G60" s="59" t="s">
        <v>133</v>
      </c>
      <c r="H60" s="59" t="str">
        <f>IFERROR("Q" &amp;INT((MONTH('Follow up (ship 1)'!J63)+2)/3) &amp; "-" &amp; YEAR('Follow up (ship 1)'!J63),"N/A")</f>
        <v>N/A</v>
      </c>
      <c r="I60" s="59" t="s">
        <v>203</v>
      </c>
      <c r="J60" s="59" t="s">
        <v>135</v>
      </c>
      <c r="K60" s="59" t="s">
        <v>133</v>
      </c>
      <c r="L60" s="59" t="s">
        <v>136</v>
      </c>
      <c r="M60" s="58" t="str">
        <f>IFERROR("Q" &amp;INT((MONTH('Follow up (ship 1)'!P63)+2)/3) &amp; "-" &amp; YEAR('Follow up (ship 1)'!P63),"N/A")</f>
        <v>Q3-2017</v>
      </c>
      <c r="N60" s="60">
        <v>67</v>
      </c>
      <c r="O60" s="59" t="s">
        <v>240</v>
      </c>
      <c r="P60" s="59" t="s">
        <v>138</v>
      </c>
      <c r="Q60" s="59">
        <v>2</v>
      </c>
      <c r="R60" s="59">
        <v>0</v>
      </c>
      <c r="S60" s="59">
        <v>0</v>
      </c>
      <c r="T60" s="59">
        <v>0</v>
      </c>
      <c r="U60" s="59" t="s">
        <v>159</v>
      </c>
      <c r="V60" s="59" t="s">
        <v>140</v>
      </c>
      <c r="W60" s="59" t="s">
        <v>160</v>
      </c>
      <c r="X60" s="59" t="s">
        <v>159</v>
      </c>
    </row>
    <row r="61" spans="1:24" ht="15.5" x14ac:dyDescent="0.35">
      <c r="A61" s="59" t="s">
        <v>130</v>
      </c>
      <c r="B61" s="59" t="s">
        <v>330</v>
      </c>
      <c r="C61" s="59" t="s">
        <v>331</v>
      </c>
      <c r="D61" s="96" t="str">
        <f>IFERROR("Q" &amp;INT((MONTH('Follow up (ship 1)'!F64)+2)/3) &amp; "-" &amp; YEAR('Follow up (ship 1)'!F64),"N/A")</f>
        <v>Q4-2017</v>
      </c>
      <c r="E61" s="59" t="s">
        <v>133</v>
      </c>
      <c r="F61" s="59" t="s">
        <v>133</v>
      </c>
      <c r="G61" s="59" t="s">
        <v>133</v>
      </c>
      <c r="H61" s="59" t="str">
        <f>IFERROR("Q" &amp;INT((MONTH('Follow up (ship 1)'!J64)+2)/3) &amp; "-" &amp; YEAR('Follow up (ship 1)'!J64),"N/A")</f>
        <v>N/A</v>
      </c>
      <c r="I61" s="59" t="s">
        <v>203</v>
      </c>
      <c r="J61" s="59" t="s">
        <v>135</v>
      </c>
      <c r="K61" s="59" t="s">
        <v>133</v>
      </c>
      <c r="L61" s="59" t="s">
        <v>136</v>
      </c>
      <c r="M61" s="58" t="str">
        <f>IFERROR("Q" &amp;INT((MONTH('Follow up (ship 1)'!P64)+2)/3) &amp; "-" &amp; YEAR('Follow up (ship 1)'!P64),"N/A")</f>
        <v>Q4-2017</v>
      </c>
      <c r="N61" s="60">
        <v>79</v>
      </c>
      <c r="O61" s="59" t="s">
        <v>225</v>
      </c>
      <c r="P61" s="59" t="s">
        <v>138</v>
      </c>
      <c r="Q61" s="59" t="s">
        <v>198</v>
      </c>
      <c r="R61" s="59">
        <v>0</v>
      </c>
      <c r="S61" s="59">
        <v>0</v>
      </c>
      <c r="T61" s="59">
        <v>0</v>
      </c>
      <c r="U61" s="59" t="s">
        <v>199</v>
      </c>
      <c r="V61" s="59">
        <v>2</v>
      </c>
      <c r="W61" s="59" t="s">
        <v>200</v>
      </c>
      <c r="X61" s="59" t="s">
        <v>199</v>
      </c>
    </row>
    <row r="62" spans="1:24" ht="15.5" x14ac:dyDescent="0.35">
      <c r="A62" s="59" t="s">
        <v>130</v>
      </c>
      <c r="B62" s="59" t="s">
        <v>332</v>
      </c>
      <c r="C62" s="59" t="s">
        <v>333</v>
      </c>
      <c r="D62" s="96" t="str">
        <f>IFERROR("Q" &amp;INT((MONTH('Follow up (ship 1)'!F65)+2)/3) &amp; "-" &amp; YEAR('Follow up (ship 1)'!F65),"N/A")</f>
        <v>Q4-2017</v>
      </c>
      <c r="E62" s="59" t="s">
        <v>332</v>
      </c>
      <c r="F62" s="59" t="s">
        <v>334</v>
      </c>
      <c r="G62" s="59" t="s">
        <v>169</v>
      </c>
      <c r="H62" s="59" t="str">
        <f>IFERROR("Q" &amp;INT((MONTH('Follow up (ship 1)'!J65)+2)/3) &amp; "-" &amp; YEAR('Follow up (ship 1)'!J65),"N/A")</f>
        <v>Q4-2017</v>
      </c>
      <c r="I62" s="59" t="s">
        <v>134</v>
      </c>
      <c r="J62" s="59" t="s">
        <v>135</v>
      </c>
      <c r="K62" s="59" t="s">
        <v>133</v>
      </c>
      <c r="L62" s="59" t="s">
        <v>136</v>
      </c>
      <c r="M62" s="58" t="str">
        <f>IFERROR("Q" &amp;INT((MONTH('Follow up (ship 1)'!P65)+2)/3) &amp; "-" &amp; YEAR('Follow up (ship 1)'!P65),"N/A")</f>
        <v>Q4-2017</v>
      </c>
      <c r="N62" s="60">
        <v>74</v>
      </c>
      <c r="O62" s="59" t="s">
        <v>240</v>
      </c>
      <c r="P62" s="59" t="s">
        <v>138</v>
      </c>
      <c r="Q62" s="59" t="s">
        <v>164</v>
      </c>
      <c r="R62" s="59">
        <v>0</v>
      </c>
      <c r="S62" s="59">
        <v>0</v>
      </c>
      <c r="T62" s="59">
        <v>0</v>
      </c>
      <c r="U62" s="59" t="s">
        <v>292</v>
      </c>
      <c r="V62" s="59" t="s">
        <v>140</v>
      </c>
      <c r="W62" s="59" t="s">
        <v>293</v>
      </c>
      <c r="X62" s="59" t="s">
        <v>292</v>
      </c>
    </row>
    <row r="63" spans="1:24" ht="15.5" x14ac:dyDescent="0.35">
      <c r="A63" s="59" t="s">
        <v>130</v>
      </c>
      <c r="B63" s="59" t="s">
        <v>336</v>
      </c>
      <c r="C63" s="59" t="s">
        <v>337</v>
      </c>
      <c r="D63" s="96" t="str">
        <f>IFERROR("Q" &amp;INT((MONTH('Follow up (ship 1)'!F66)+2)/3) &amp; "-" &amp; YEAR('Follow up (ship 1)'!F66),"N/A")</f>
        <v>Q1-2018</v>
      </c>
      <c r="E63" s="59" t="s">
        <v>133</v>
      </c>
      <c r="F63" s="59" t="s">
        <v>133</v>
      </c>
      <c r="G63" s="59" t="s">
        <v>133</v>
      </c>
      <c r="H63" s="59" t="str">
        <f>IFERROR("Q" &amp;INT((MONTH('Follow up (ship 1)'!J66)+2)/3) &amp; "-" &amp; YEAR('Follow up (ship 1)'!J66),"N/A")</f>
        <v>N/A</v>
      </c>
      <c r="I63" s="59" t="s">
        <v>203</v>
      </c>
      <c r="J63" s="59" t="s">
        <v>135</v>
      </c>
      <c r="K63" s="59" t="s">
        <v>133</v>
      </c>
      <c r="L63" s="59" t="s">
        <v>136</v>
      </c>
      <c r="M63" s="58" t="str">
        <f>IFERROR("Q" &amp;INT((MONTH('Follow up (ship 1)'!P66)+2)/3) &amp; "-" &amp; YEAR('Follow up (ship 1)'!P66),"N/A")</f>
        <v>Q4-2017</v>
      </c>
      <c r="N63" s="60">
        <v>66</v>
      </c>
      <c r="O63" s="71" t="s">
        <v>338</v>
      </c>
      <c r="P63" s="59" t="s">
        <v>138</v>
      </c>
      <c r="Q63" s="59">
        <v>3</v>
      </c>
      <c r="R63" s="59">
        <v>2</v>
      </c>
      <c r="S63" s="59">
        <v>0</v>
      </c>
      <c r="T63" s="59">
        <v>0</v>
      </c>
      <c r="U63" s="59" t="s">
        <v>241</v>
      </c>
      <c r="V63" s="59">
        <v>3</v>
      </c>
      <c r="W63" s="70" t="s">
        <v>242</v>
      </c>
      <c r="X63" s="59" t="s">
        <v>241</v>
      </c>
    </row>
    <row r="64" spans="1:24" ht="15.5" x14ac:dyDescent="0.35">
      <c r="A64" s="59" t="s">
        <v>130</v>
      </c>
      <c r="B64" s="59" t="s">
        <v>385</v>
      </c>
      <c r="C64" s="59" t="s">
        <v>340</v>
      </c>
      <c r="D64" s="96" t="str">
        <f>IFERROR("Q" &amp;INT((MONTH('Follow up (ship 1)'!F67)+2)/3) &amp; "-" &amp; YEAR('Follow up (ship 1)'!F67),"N/A")</f>
        <v>Q1-2018</v>
      </c>
      <c r="E64" s="59" t="s">
        <v>385</v>
      </c>
      <c r="F64" s="59" t="s">
        <v>341</v>
      </c>
      <c r="G64" s="59" t="s">
        <v>146</v>
      </c>
      <c r="H64" s="59" t="str">
        <f>IFERROR("Q" &amp;INT((MONTH('Follow up (ship 1)'!J67)+2)/3) &amp; "-" &amp; YEAR('Follow up (ship 1)'!J67),"N/A")</f>
        <v>Q1-2018</v>
      </c>
      <c r="I64" s="59" t="s">
        <v>134</v>
      </c>
      <c r="J64" s="59" t="s">
        <v>135</v>
      </c>
      <c r="K64" s="59" t="s">
        <v>133</v>
      </c>
      <c r="L64" s="59" t="s">
        <v>136</v>
      </c>
      <c r="M64" s="58" t="str">
        <f>IFERROR("Q" &amp;INT((MONTH('Follow up (ship 1)'!P67)+2)/3) &amp; "-" &amp; YEAR('Follow up (ship 1)'!P67),"N/A")</f>
        <v>Q4-2017</v>
      </c>
      <c r="N64" s="60">
        <v>83</v>
      </c>
      <c r="O64" s="59" t="s">
        <v>225</v>
      </c>
      <c r="P64" s="59" t="s">
        <v>138</v>
      </c>
      <c r="Q64" s="59" t="s">
        <v>148</v>
      </c>
      <c r="R64" s="59">
        <v>0</v>
      </c>
      <c r="S64" s="59">
        <v>0</v>
      </c>
      <c r="T64" s="59">
        <v>0</v>
      </c>
      <c r="U64" s="59" t="s">
        <v>150</v>
      </c>
      <c r="V64" s="59">
        <v>3</v>
      </c>
      <c r="W64" s="59" t="s">
        <v>151</v>
      </c>
      <c r="X64" s="59" t="s">
        <v>150</v>
      </c>
    </row>
    <row r="65" spans="1:24" ht="15.5" x14ac:dyDescent="0.35">
      <c r="A65" s="59" t="s">
        <v>130</v>
      </c>
      <c r="B65" s="59" t="s">
        <v>386</v>
      </c>
      <c r="C65" s="59" t="s">
        <v>343</v>
      </c>
      <c r="D65" s="96" t="str">
        <f>IFERROR("Q" &amp;INT((MONTH('Follow up (ship 1)'!F68)+2)/3) &amp; "-" &amp; YEAR('Follow up (ship 1)'!F68),"N/A")</f>
        <v>Q1-2018</v>
      </c>
      <c r="E65" s="59" t="s">
        <v>133</v>
      </c>
      <c r="F65" s="59" t="s">
        <v>133</v>
      </c>
      <c r="G65" s="59" t="s">
        <v>133</v>
      </c>
      <c r="H65" s="59" t="str">
        <f>IFERROR("Q" &amp;INT((MONTH('Follow up (ship 1)'!J68)+2)/3) &amp; "-" &amp; YEAR('Follow up (ship 1)'!J68),"N/A")</f>
        <v>N/A</v>
      </c>
      <c r="I65" s="59" t="s">
        <v>203</v>
      </c>
      <c r="J65" s="59" t="s">
        <v>135</v>
      </c>
      <c r="K65" s="59" t="s">
        <v>133</v>
      </c>
      <c r="L65" s="59" t="s">
        <v>136</v>
      </c>
      <c r="M65" s="58" t="str">
        <f>IFERROR("Q" &amp;INT((MONTH('Follow up (ship 1)'!P68)+2)/3) &amp; "-" &amp; YEAR('Follow up (ship 1)'!P68),"N/A")</f>
        <v>Q4-2017</v>
      </c>
      <c r="N65" s="60">
        <v>68</v>
      </c>
      <c r="O65" s="59" t="s">
        <v>327</v>
      </c>
      <c r="P65" s="59" t="s">
        <v>138</v>
      </c>
      <c r="Q65" s="59" t="s">
        <v>140</v>
      </c>
      <c r="R65" s="59">
        <v>0</v>
      </c>
      <c r="S65" s="59" t="s">
        <v>184</v>
      </c>
      <c r="T65" s="59">
        <v>0</v>
      </c>
      <c r="U65" s="59" t="s">
        <v>186</v>
      </c>
      <c r="V65" s="59">
        <v>2</v>
      </c>
      <c r="W65" s="59" t="s">
        <v>133</v>
      </c>
      <c r="X65" s="59" t="s">
        <v>186</v>
      </c>
    </row>
    <row r="66" spans="1:24" ht="15.5" x14ac:dyDescent="0.35">
      <c r="A66" s="59" t="s">
        <v>130</v>
      </c>
      <c r="B66" s="59" t="s">
        <v>387</v>
      </c>
      <c r="C66" s="59" t="s">
        <v>346</v>
      </c>
      <c r="D66" s="96" t="str">
        <f>IFERROR("Q" &amp;INT((MONTH('Follow up (ship 1)'!F69)+2)/3) &amp; "-" &amp; YEAR('Follow up (ship 1)'!F69),"N/A")</f>
        <v>Q1-2018</v>
      </c>
      <c r="E66" s="59" t="s">
        <v>387</v>
      </c>
      <c r="F66" s="59" t="s">
        <v>347</v>
      </c>
      <c r="G66" s="59" t="s">
        <v>169</v>
      </c>
      <c r="H66" s="59" t="str">
        <f>IFERROR("Q" &amp;INT((MONTH('Follow up (ship 1)'!J69)+2)/3) &amp; "-" &amp; YEAR('Follow up (ship 1)'!J69),"N/A")</f>
        <v>Q1-2018</v>
      </c>
      <c r="I66" s="59" t="s">
        <v>134</v>
      </c>
      <c r="J66" s="59" t="s">
        <v>135</v>
      </c>
      <c r="K66" s="59" t="s">
        <v>133</v>
      </c>
      <c r="L66" s="59" t="s">
        <v>136</v>
      </c>
      <c r="M66" s="58" t="str">
        <f>IFERROR("Q" &amp;INT((MONTH('Follow up (ship 1)'!P69)+2)/3) &amp; "-" &amp; YEAR('Follow up (ship 1)'!P69),"N/A")</f>
        <v>Q4-2017</v>
      </c>
      <c r="N66" s="60">
        <v>69</v>
      </c>
      <c r="O66" s="59" t="s">
        <v>348</v>
      </c>
      <c r="P66" s="59" t="s">
        <v>138</v>
      </c>
      <c r="Q66" s="59" t="s">
        <v>148</v>
      </c>
      <c r="R66" s="59">
        <v>0</v>
      </c>
      <c r="S66" s="59">
        <v>0</v>
      </c>
      <c r="T66" s="59">
        <v>0</v>
      </c>
      <c r="U66" s="59" t="s">
        <v>150</v>
      </c>
      <c r="V66" s="59">
        <v>3</v>
      </c>
      <c r="W66" s="59" t="s">
        <v>151</v>
      </c>
      <c r="X66" s="59" t="s">
        <v>150</v>
      </c>
    </row>
    <row r="67" spans="1:24" ht="15.5" x14ac:dyDescent="0.35">
      <c r="A67" s="59" t="s">
        <v>130</v>
      </c>
      <c r="B67" s="59" t="s">
        <v>388</v>
      </c>
      <c r="C67" s="59" t="s">
        <v>350</v>
      </c>
      <c r="D67" s="96" t="str">
        <f>IFERROR("Q" &amp;INT((MONTH('Follow up (ship 1)'!F70)+2)/3) &amp; "-" &amp; YEAR('Follow up (ship 1)'!F70),"N/A")</f>
        <v>Q1-2018</v>
      </c>
      <c r="E67" s="59" t="s">
        <v>388</v>
      </c>
      <c r="F67" s="59" t="s">
        <v>154</v>
      </c>
      <c r="G67" s="59" t="s">
        <v>169</v>
      </c>
      <c r="H67" s="59" t="str">
        <f>IFERROR("Q" &amp;INT((MONTH('Follow up (ship 1)'!J70)+2)/3) &amp; "-" &amp; YEAR('Follow up (ship 1)'!J70),"N/A")</f>
        <v>Q1-2018</v>
      </c>
      <c r="I67" s="59" t="s">
        <v>134</v>
      </c>
      <c r="J67" s="59" t="s">
        <v>135</v>
      </c>
      <c r="K67" s="59" t="s">
        <v>133</v>
      </c>
      <c r="L67" s="59" t="s">
        <v>136</v>
      </c>
      <c r="M67" s="58" t="str">
        <f>IFERROR("Q" &amp;INT((MONTH('Follow up (ship 1)'!P70)+2)/3) &amp; "-" &amp; YEAR('Follow up (ship 1)'!P70),"N/A")</f>
        <v>Q4-2017</v>
      </c>
      <c r="N67" s="60">
        <v>62</v>
      </c>
      <c r="O67" s="59" t="s">
        <v>327</v>
      </c>
      <c r="P67" s="59" t="s">
        <v>138</v>
      </c>
      <c r="Q67" s="59" t="s">
        <v>198</v>
      </c>
      <c r="R67" s="59">
        <v>0</v>
      </c>
      <c r="S67" s="59">
        <v>0</v>
      </c>
      <c r="T67" s="59">
        <v>0</v>
      </c>
      <c r="U67" s="59" t="s">
        <v>199</v>
      </c>
      <c r="V67" s="59">
        <v>3</v>
      </c>
      <c r="W67" s="59" t="s">
        <v>200</v>
      </c>
      <c r="X67" s="59" t="s">
        <v>199</v>
      </c>
    </row>
    <row r="68" spans="1:24" ht="15.5" x14ac:dyDescent="0.35">
      <c r="A68" s="59" t="s">
        <v>130</v>
      </c>
      <c r="B68" s="59" t="s">
        <v>389</v>
      </c>
      <c r="C68" s="59" t="s">
        <v>353</v>
      </c>
      <c r="D68" s="96" t="str">
        <f>IFERROR("Q" &amp;INT((MONTH('Follow up (ship 1)'!F71)+2)/3) &amp; "-" &amp; YEAR('Follow up (ship 1)'!F71),"N/A")</f>
        <v>Q1-2018</v>
      </c>
      <c r="E68" s="59" t="s">
        <v>133</v>
      </c>
      <c r="F68" s="59" t="s">
        <v>133</v>
      </c>
      <c r="G68" s="59" t="s">
        <v>133</v>
      </c>
      <c r="H68" s="59" t="str">
        <f>IFERROR("Q" &amp;INT((MONTH('Follow up (ship 1)'!J71)+2)/3) &amp; "-" &amp; YEAR('Follow up (ship 1)'!J71),"N/A")</f>
        <v>N/A</v>
      </c>
      <c r="I68" s="59" t="s">
        <v>134</v>
      </c>
      <c r="J68" s="59" t="s">
        <v>135</v>
      </c>
      <c r="K68" s="59" t="s">
        <v>133</v>
      </c>
      <c r="L68" s="59" t="s">
        <v>136</v>
      </c>
      <c r="M68" s="58" t="str">
        <f>IFERROR("Q" &amp;INT((MONTH('Follow up (ship 1)'!P71)+2)/3) &amp; "-" &amp; YEAR('Follow up (ship 1)'!P71),"N/A")</f>
        <v>Q1-2018</v>
      </c>
      <c r="N68" s="60">
        <v>54</v>
      </c>
      <c r="O68" s="59" t="s">
        <v>354</v>
      </c>
      <c r="P68" s="59" t="s">
        <v>138</v>
      </c>
      <c r="Q68" s="59" t="s">
        <v>140</v>
      </c>
      <c r="R68" s="59" t="s">
        <v>140</v>
      </c>
      <c r="S68" s="59" t="s">
        <v>140</v>
      </c>
      <c r="T68" s="59" t="s">
        <v>355</v>
      </c>
      <c r="U68" s="59" t="s">
        <v>186</v>
      </c>
      <c r="V68" s="59">
        <v>2</v>
      </c>
      <c r="W68" s="59" t="s">
        <v>133</v>
      </c>
      <c r="X68" s="59" t="s">
        <v>186</v>
      </c>
    </row>
    <row r="69" spans="1:24" ht="15.5" x14ac:dyDescent="0.35">
      <c r="A69" s="59" t="s">
        <v>130</v>
      </c>
      <c r="B69" s="59" t="s">
        <v>390</v>
      </c>
      <c r="C69" s="59" t="s">
        <v>350</v>
      </c>
      <c r="D69" s="96" t="str">
        <f>IFERROR("Q" &amp;INT((MONTH('Follow up (ship 1)'!F72)+2)/3) &amp; "-" &amp; YEAR('Follow up (ship 1)'!F72),"N/A")</f>
        <v>Q1-2018</v>
      </c>
      <c r="E69" s="59" t="s">
        <v>133</v>
      </c>
      <c r="F69" s="59" t="s">
        <v>133</v>
      </c>
      <c r="G69" s="59" t="s">
        <v>133</v>
      </c>
      <c r="H69" s="59" t="str">
        <f>IFERROR("Q" &amp;INT((MONTH('Follow up (ship 1)'!J72)+2)/3) &amp; "-" &amp; YEAR('Follow up (ship 1)'!J72),"N/A")</f>
        <v>N/A</v>
      </c>
      <c r="I69" s="59" t="s">
        <v>203</v>
      </c>
      <c r="J69" s="59" t="s">
        <v>135</v>
      </c>
      <c r="K69" s="59" t="s">
        <v>133</v>
      </c>
      <c r="L69" s="59" t="s">
        <v>136</v>
      </c>
      <c r="M69" s="58" t="str">
        <f>IFERROR("Q" &amp;INT((MONTH('Follow up (ship 1)'!P72)+2)/3) &amp; "-" &amp; YEAR('Follow up (ship 1)'!P72),"N/A")</f>
        <v>Q4-2017</v>
      </c>
      <c r="N69" s="60">
        <v>61</v>
      </c>
      <c r="O69" s="59" t="s">
        <v>147</v>
      </c>
      <c r="P69" s="59" t="s">
        <v>138</v>
      </c>
      <c r="Q69" s="59" t="s">
        <v>148</v>
      </c>
      <c r="R69" s="59">
        <v>0</v>
      </c>
      <c r="S69" s="59">
        <v>0</v>
      </c>
      <c r="T69" s="59">
        <v>0</v>
      </c>
      <c r="U69" s="59" t="s">
        <v>150</v>
      </c>
      <c r="V69" s="59">
        <v>1</v>
      </c>
      <c r="W69" s="59" t="s">
        <v>151</v>
      </c>
      <c r="X69" s="59" t="s">
        <v>150</v>
      </c>
    </row>
    <row r="70" spans="1:24" ht="15.5" x14ac:dyDescent="0.35">
      <c r="A70" s="59" t="s">
        <v>130</v>
      </c>
      <c r="B70" s="59" t="s">
        <v>391</v>
      </c>
      <c r="C70" s="59" t="s">
        <v>358</v>
      </c>
      <c r="D70" s="96" t="str">
        <f>IFERROR("Q" &amp;INT((MONTH('Follow up (ship 1)'!F73)+2)/3) &amp; "-" &amp; YEAR('Follow up (ship 1)'!F73),"N/A")</f>
        <v>Q1-2018</v>
      </c>
      <c r="E70" s="59" t="s">
        <v>133</v>
      </c>
      <c r="F70" s="59" t="s">
        <v>133</v>
      </c>
      <c r="G70" s="59" t="s">
        <v>133</v>
      </c>
      <c r="H70" s="59" t="str">
        <f>IFERROR("Q" &amp;INT((MONTH('Follow up (ship 1)'!J73)+2)/3) &amp; "-" &amp; YEAR('Follow up (ship 1)'!J73),"N/A")</f>
        <v>N/A</v>
      </c>
      <c r="I70" s="59" t="s">
        <v>134</v>
      </c>
      <c r="J70" s="59" t="s">
        <v>135</v>
      </c>
      <c r="K70" s="59" t="s">
        <v>133</v>
      </c>
      <c r="L70" s="59" t="s">
        <v>136</v>
      </c>
      <c r="M70" s="58" t="str">
        <f>IFERROR("Q" &amp;INT((MONTH('Follow up (ship 1)'!P73)+2)/3) &amp; "-" &amp; YEAR('Follow up (ship 1)'!P73),"N/A")</f>
        <v>Q1-2018</v>
      </c>
      <c r="N70" s="60">
        <v>73</v>
      </c>
      <c r="O70" s="59" t="s">
        <v>147</v>
      </c>
      <c r="P70" s="59" t="s">
        <v>138</v>
      </c>
      <c r="Q70" s="59" t="s">
        <v>148</v>
      </c>
      <c r="R70" s="59">
        <v>0</v>
      </c>
      <c r="S70" s="59">
        <v>0</v>
      </c>
      <c r="T70" s="59">
        <v>0</v>
      </c>
      <c r="U70" s="59" t="s">
        <v>150</v>
      </c>
      <c r="V70" s="59">
        <v>3</v>
      </c>
      <c r="W70" s="59" t="s">
        <v>151</v>
      </c>
      <c r="X70" s="59" t="s">
        <v>150</v>
      </c>
    </row>
    <row r="71" spans="1:24" ht="15.5" x14ac:dyDescent="0.35">
      <c r="A71" s="59" t="s">
        <v>130</v>
      </c>
      <c r="B71" s="59" t="s">
        <v>392</v>
      </c>
      <c r="C71" s="59" t="s">
        <v>265</v>
      </c>
      <c r="D71" s="96" t="str">
        <f>IFERROR("Q" &amp;INT((MONTH('Follow up (ship 1)'!F74)+2)/3) &amp; "-" &amp; YEAR('Follow up (ship 1)'!F74),"N/A")</f>
        <v>Q1-2018</v>
      </c>
      <c r="E71" s="59" t="s">
        <v>133</v>
      </c>
      <c r="F71" s="59" t="s">
        <v>133</v>
      </c>
      <c r="G71" s="59" t="s">
        <v>133</v>
      </c>
      <c r="H71" s="59" t="str">
        <f>IFERROR("Q" &amp;INT((MONTH('Follow up (ship 1)'!J74)+2)/3) &amp; "-" &amp; YEAR('Follow up (ship 1)'!J74),"N/A")</f>
        <v>N/A</v>
      </c>
      <c r="I71" s="59" t="s">
        <v>134</v>
      </c>
      <c r="J71" s="59" t="s">
        <v>135</v>
      </c>
      <c r="K71" s="59" t="s">
        <v>133</v>
      </c>
      <c r="L71" s="59" t="s">
        <v>136</v>
      </c>
      <c r="M71" s="58" t="str">
        <f>IFERROR("Q" &amp;INT((MONTH('Follow up (ship 1)'!P74)+2)/3) &amp; "-" &amp; YEAR('Follow up (ship 1)'!P74),"N/A")</f>
        <v>Q1-2018</v>
      </c>
      <c r="N71" s="60">
        <v>69</v>
      </c>
      <c r="O71" s="59" t="s">
        <v>360</v>
      </c>
      <c r="P71" s="59" t="s">
        <v>138</v>
      </c>
      <c r="Q71" s="59">
        <v>3</v>
      </c>
      <c r="R71" s="59">
        <v>2</v>
      </c>
      <c r="S71" s="59">
        <v>0</v>
      </c>
      <c r="T71" s="59">
        <v>0</v>
      </c>
      <c r="U71" s="59" t="s">
        <v>241</v>
      </c>
      <c r="V71" s="59">
        <v>2</v>
      </c>
      <c r="W71" s="70" t="s">
        <v>242</v>
      </c>
      <c r="X71" s="59" t="s">
        <v>241</v>
      </c>
    </row>
    <row r="72" spans="1:24" ht="15.5" x14ac:dyDescent="0.35">
      <c r="A72" s="59" t="s">
        <v>130</v>
      </c>
      <c r="B72" s="59" t="s">
        <v>393</v>
      </c>
      <c r="C72" s="59" t="s">
        <v>362</v>
      </c>
      <c r="D72" s="96" t="str">
        <f>IFERROR("Q" &amp;INT((MONTH('Follow up (ship 1)'!F75)+2)/3) &amp; "-" &amp; YEAR('Follow up (ship 1)'!F75),"N/A")</f>
        <v>Q1-2018</v>
      </c>
      <c r="E72" s="59" t="s">
        <v>133</v>
      </c>
      <c r="F72" s="59" t="s">
        <v>133</v>
      </c>
      <c r="G72" s="59" t="s">
        <v>133</v>
      </c>
      <c r="H72" s="59" t="str">
        <f>IFERROR("Q" &amp;INT((MONTH('Follow up (ship 1)'!J75)+2)/3) &amp; "-" &amp; YEAR('Follow up (ship 1)'!J75),"N/A")</f>
        <v>N/A</v>
      </c>
      <c r="I72" s="59" t="s">
        <v>134</v>
      </c>
      <c r="J72" s="59" t="s">
        <v>135</v>
      </c>
      <c r="K72" s="59" t="s">
        <v>133</v>
      </c>
      <c r="L72" s="59" t="s">
        <v>136</v>
      </c>
      <c r="M72" s="58" t="str">
        <f>IFERROR("Q" &amp;INT((MONTH('Follow up (ship 1)'!P75)+2)/3) &amp; "-" &amp; YEAR('Follow up (ship 1)'!P75),"N/A")</f>
        <v>Q1-2018</v>
      </c>
      <c r="N72" s="60">
        <v>63</v>
      </c>
      <c r="O72" s="59" t="s">
        <v>147</v>
      </c>
      <c r="P72" s="59" t="s">
        <v>138</v>
      </c>
      <c r="Q72" s="59" t="s">
        <v>148</v>
      </c>
      <c r="R72" s="59">
        <v>0</v>
      </c>
      <c r="S72" s="59">
        <v>0</v>
      </c>
      <c r="T72" s="59">
        <v>0</v>
      </c>
      <c r="U72" s="59" t="s">
        <v>150</v>
      </c>
      <c r="V72" s="59">
        <v>1</v>
      </c>
      <c r="W72" s="59" t="s">
        <v>151</v>
      </c>
      <c r="X72" s="59" t="s">
        <v>150</v>
      </c>
    </row>
    <row r="73" spans="1:24" ht="15.5" x14ac:dyDescent="0.35">
      <c r="A73" s="59" t="s">
        <v>130</v>
      </c>
      <c r="B73" s="59" t="s">
        <v>363</v>
      </c>
      <c r="C73" s="59" t="s">
        <v>364</v>
      </c>
      <c r="D73" s="96" t="str">
        <f>IFERROR("Q" &amp;INT((MONTH('Follow up (ship 1)'!F76)+2)/3) &amp; "-" &amp; YEAR('Follow up (ship 1)'!F76),"N/A")</f>
        <v>Q1-2018</v>
      </c>
      <c r="E73" s="59" t="s">
        <v>133</v>
      </c>
      <c r="F73" s="59" t="s">
        <v>133</v>
      </c>
      <c r="G73" s="59" t="s">
        <v>133</v>
      </c>
      <c r="H73" s="59" t="str">
        <f>IFERROR("Q" &amp;INT((MONTH('Follow up (ship 1)'!J76)+2)/3) &amp; "-" &amp; YEAR('Follow up (ship 1)'!J76),"N/A")</f>
        <v>N/A</v>
      </c>
      <c r="I73" s="59" t="s">
        <v>134</v>
      </c>
      <c r="J73" s="59" t="s">
        <v>135</v>
      </c>
      <c r="K73" s="59" t="s">
        <v>133</v>
      </c>
      <c r="L73" s="59" t="s">
        <v>136</v>
      </c>
      <c r="M73" s="58" t="str">
        <f>IFERROR("Q" &amp;INT((MONTH('Follow up (ship 1)'!P76)+2)/3) &amp; "-" &amp; YEAR('Follow up (ship 1)'!P76),"N/A")</f>
        <v>Q1-2018</v>
      </c>
      <c r="N73" s="60">
        <v>62</v>
      </c>
      <c r="O73" s="59" t="s">
        <v>147</v>
      </c>
      <c r="P73" s="59" t="s">
        <v>138</v>
      </c>
      <c r="Q73" s="59" t="s">
        <v>148</v>
      </c>
      <c r="R73" s="59">
        <v>0</v>
      </c>
      <c r="S73" s="59">
        <v>0</v>
      </c>
      <c r="T73" s="59">
        <v>0</v>
      </c>
      <c r="U73" s="59" t="s">
        <v>150</v>
      </c>
      <c r="V73" s="59">
        <v>2</v>
      </c>
      <c r="W73" s="59" t="s">
        <v>151</v>
      </c>
      <c r="X73" s="59" t="s">
        <v>150</v>
      </c>
    </row>
    <row r="74" spans="1:24" ht="15.5" x14ac:dyDescent="0.35">
      <c r="A74" s="59" t="s">
        <v>130</v>
      </c>
      <c r="B74" s="59" t="s">
        <v>365</v>
      </c>
      <c r="C74" s="59" t="s">
        <v>366</v>
      </c>
      <c r="D74" s="96" t="str">
        <f>IFERROR("Q" &amp;INT((MONTH('Follow up (ship 1)'!F77)+2)/3) &amp; "-" &amp; YEAR('Follow up (ship 1)'!F77),"N/A")</f>
        <v>Q1-2018</v>
      </c>
      <c r="E74" s="59" t="s">
        <v>133</v>
      </c>
      <c r="F74" s="59" t="s">
        <v>133</v>
      </c>
      <c r="G74" s="59" t="s">
        <v>133</v>
      </c>
      <c r="H74" s="59" t="str">
        <f>IFERROR("Q" &amp;INT((MONTH('Follow up (ship 1)'!J77)+2)/3) &amp; "-" &amp; YEAR('Follow up (ship 1)'!J77),"N/A")</f>
        <v>N/A</v>
      </c>
      <c r="I74" s="59" t="s">
        <v>367</v>
      </c>
      <c r="J74" s="59" t="s">
        <v>135</v>
      </c>
      <c r="K74" s="59" t="s">
        <v>133</v>
      </c>
      <c r="L74" s="59" t="s">
        <v>136</v>
      </c>
      <c r="M74" s="58" t="str">
        <f>IFERROR("Q" &amp;INT((MONTH('Follow up (ship 1)'!P77)+2)/3) &amp; "-" &amp; YEAR('Follow up (ship 1)'!P77),"N/A")</f>
        <v>Q1-2018</v>
      </c>
      <c r="N74" s="60">
        <v>49</v>
      </c>
      <c r="O74" s="59" t="s">
        <v>225</v>
      </c>
      <c r="P74" s="59" t="s">
        <v>138</v>
      </c>
      <c r="Q74" s="59" t="s">
        <v>198</v>
      </c>
      <c r="R74" s="59">
        <v>0</v>
      </c>
      <c r="S74" s="59">
        <v>0</v>
      </c>
      <c r="T74" s="59">
        <v>0</v>
      </c>
      <c r="U74" s="59" t="s">
        <v>199</v>
      </c>
      <c r="V74" s="59">
        <v>1</v>
      </c>
      <c r="W74" s="59" t="s">
        <v>200</v>
      </c>
      <c r="X74" s="59" t="s">
        <v>199</v>
      </c>
    </row>
    <row r="75" spans="1:24" ht="15.5" x14ac:dyDescent="0.35">
      <c r="A75" s="59" t="s">
        <v>133</v>
      </c>
      <c r="B75" s="59" t="s">
        <v>133</v>
      </c>
      <c r="C75" s="59" t="s">
        <v>133</v>
      </c>
      <c r="D75" s="96" t="str">
        <f>IFERROR("Q" &amp;INT((MONTH('Follow up (ship 1)'!F78)+2)/3) &amp; "-" &amp; YEAR('Follow up (ship 1)'!F78),"N/A")</f>
        <v>N/A</v>
      </c>
      <c r="E75" s="59" t="s">
        <v>368</v>
      </c>
      <c r="F75" s="59" t="s">
        <v>369</v>
      </c>
      <c r="G75" s="59" t="s">
        <v>169</v>
      </c>
      <c r="H75" s="59" t="str">
        <f>IFERROR("Q" &amp;INT((MONTH('Follow up (ship 1)'!J78)+2)/3) &amp; "-" &amp; YEAR('Follow up (ship 1)'!J78),"N/A")</f>
        <v>Q1-2018</v>
      </c>
      <c r="I75" s="59" t="s">
        <v>133</v>
      </c>
      <c r="J75" s="59" t="s">
        <v>133</v>
      </c>
      <c r="K75" s="59" t="s">
        <v>133</v>
      </c>
      <c r="L75" s="59" t="s">
        <v>133</v>
      </c>
      <c r="M75" s="58" t="str">
        <f>IFERROR("Q" &amp;INT((MONTH('Follow up (ship 1)'!P78)+2)/3) &amp; "-" &amp; YEAR('Follow up (ship 1)'!P78),"N/A")</f>
        <v>Q1-2018</v>
      </c>
      <c r="N75" s="60">
        <v>83</v>
      </c>
      <c r="O75" s="59" t="s">
        <v>133</v>
      </c>
      <c r="P75" s="59" t="s">
        <v>133</v>
      </c>
      <c r="Q75" s="70" t="s">
        <v>133</v>
      </c>
      <c r="R75" s="70" t="s">
        <v>133</v>
      </c>
      <c r="S75" s="70" t="s">
        <v>133</v>
      </c>
      <c r="T75" s="70" t="s">
        <v>133</v>
      </c>
      <c r="U75" s="59" t="s">
        <v>133</v>
      </c>
      <c r="V75" s="59" t="s">
        <v>133</v>
      </c>
      <c r="W75" s="59" t="s">
        <v>133</v>
      </c>
      <c r="X75" s="59" t="s">
        <v>133</v>
      </c>
    </row>
    <row r="76" spans="1:24" ht="15.5" x14ac:dyDescent="0.35">
      <c r="A76" s="59" t="s">
        <v>130</v>
      </c>
      <c r="B76" s="59" t="s">
        <v>370</v>
      </c>
      <c r="C76" s="59" t="s">
        <v>223</v>
      </c>
      <c r="D76" s="96" t="str">
        <f>IFERROR("Q" &amp;INT((MONTH('Follow up (ship 1)'!F79)+2)/3) &amp; "-" &amp; YEAR('Follow up (ship 1)'!F79),"N/A")</f>
        <v>Q1-2018</v>
      </c>
      <c r="E76" s="59" t="s">
        <v>370</v>
      </c>
      <c r="F76" s="59" t="s">
        <v>334</v>
      </c>
      <c r="G76" s="59" t="s">
        <v>169</v>
      </c>
      <c r="H76" s="59" t="str">
        <f>IFERROR("Q" &amp;INT((MONTH('Follow up (ship 1)'!J79)+2)/3) &amp; "-" &amp; YEAR('Follow up (ship 1)'!J79),"N/A")</f>
        <v>Q1-2018</v>
      </c>
      <c r="I76" s="59" t="s">
        <v>203</v>
      </c>
      <c r="J76" s="59" t="s">
        <v>135</v>
      </c>
      <c r="K76" s="59" t="s">
        <v>133</v>
      </c>
      <c r="L76" s="59" t="s">
        <v>136</v>
      </c>
      <c r="M76" s="58" t="str">
        <f>IFERROR("Q" &amp;INT((MONTH('Follow up (ship 1)'!P79)+2)/3) &amp; "-" &amp; YEAR('Follow up (ship 1)'!P79),"N/A")</f>
        <v>Q1-2018</v>
      </c>
      <c r="N76" s="60">
        <v>73</v>
      </c>
      <c r="O76" s="59" t="s">
        <v>225</v>
      </c>
      <c r="P76" s="59" t="s">
        <v>138</v>
      </c>
      <c r="Q76" s="59" t="s">
        <v>148</v>
      </c>
      <c r="R76" s="59">
        <v>0</v>
      </c>
      <c r="S76" s="59">
        <v>0</v>
      </c>
      <c r="T76" s="59">
        <v>0</v>
      </c>
      <c r="U76" s="59" t="s">
        <v>150</v>
      </c>
      <c r="V76" s="59">
        <v>3</v>
      </c>
      <c r="W76" s="59" t="s">
        <v>151</v>
      </c>
      <c r="X76" s="59" t="s">
        <v>150</v>
      </c>
    </row>
    <row r="77" spans="1:24" ht="15.5" x14ac:dyDescent="0.35">
      <c r="A77" s="59" t="s">
        <v>130</v>
      </c>
      <c r="B77" s="59" t="s">
        <v>372</v>
      </c>
      <c r="C77" s="59" t="s">
        <v>373</v>
      </c>
      <c r="D77" s="96" t="str">
        <f>IFERROR("Q" &amp;INT((MONTH('Follow up (ship 1)'!F80)+2)/3) &amp; "-" &amp; YEAR('Follow up (ship 1)'!F80),"N/A")</f>
        <v>Q1-2018</v>
      </c>
      <c r="E77" s="59" t="s">
        <v>133</v>
      </c>
      <c r="F77" s="59" t="s">
        <v>133</v>
      </c>
      <c r="G77" s="59" t="s">
        <v>133</v>
      </c>
      <c r="H77" s="59" t="str">
        <f>IFERROR("Q" &amp;INT((MONTH('Follow up (ship 1)'!J80)+2)/3) &amp; "-" &amp; YEAR('Follow up (ship 1)'!J80),"N/A")</f>
        <v>N/A</v>
      </c>
      <c r="I77" s="59" t="s">
        <v>203</v>
      </c>
      <c r="J77" s="59" t="s">
        <v>135</v>
      </c>
      <c r="K77" s="59" t="s">
        <v>133</v>
      </c>
      <c r="L77" s="59" t="s">
        <v>136</v>
      </c>
      <c r="M77" s="58" t="str">
        <f>IFERROR("Q" &amp;INT((MONTH('Follow up (ship 1)'!P80)+2)/3) &amp; "-" &amp; YEAR('Follow up (ship 1)'!P80),"N/A")</f>
        <v>Q1-2018</v>
      </c>
      <c r="N77" s="60">
        <v>56</v>
      </c>
      <c r="O77" s="59" t="s">
        <v>225</v>
      </c>
      <c r="P77" s="59" t="s">
        <v>138</v>
      </c>
      <c r="Q77" s="59">
        <v>3</v>
      </c>
      <c r="R77" s="59">
        <v>2</v>
      </c>
      <c r="S77" s="59">
        <v>0</v>
      </c>
      <c r="T77" s="59">
        <v>0</v>
      </c>
      <c r="U77" s="59" t="s">
        <v>241</v>
      </c>
      <c r="V77" s="59">
        <v>3</v>
      </c>
      <c r="W77" s="70" t="s">
        <v>242</v>
      </c>
      <c r="X77" s="59" t="s">
        <v>241</v>
      </c>
    </row>
    <row r="78" spans="1:24" ht="15.5" x14ac:dyDescent="0.35">
      <c r="A78" s="59" t="s">
        <v>130</v>
      </c>
      <c r="B78" s="59" t="s">
        <v>375</v>
      </c>
      <c r="C78" s="59" t="s">
        <v>376</v>
      </c>
      <c r="D78" s="96" t="str">
        <f>IFERROR("Q" &amp;INT((MONTH('Follow up (ship 1)'!F81)+2)/3) &amp; "-" &amp; YEAR('Follow up (ship 1)'!F81),"N/A")</f>
        <v>Q1-2018</v>
      </c>
      <c r="E78" s="59" t="s">
        <v>133</v>
      </c>
      <c r="F78" s="59" t="s">
        <v>133</v>
      </c>
      <c r="G78" s="59" t="s">
        <v>133</v>
      </c>
      <c r="H78" s="59" t="str">
        <f>IFERROR("Q" &amp;INT((MONTH('Follow up (ship 1)'!J81)+2)/3) &amp; "-" &amp; YEAR('Follow up (ship 1)'!J81),"N/A")</f>
        <v>N/A</v>
      </c>
      <c r="I78" s="59" t="s">
        <v>203</v>
      </c>
      <c r="J78" s="59" t="s">
        <v>135</v>
      </c>
      <c r="K78" s="59" t="s">
        <v>133</v>
      </c>
      <c r="L78" s="59" t="s">
        <v>136</v>
      </c>
      <c r="M78" s="58" t="str">
        <f>IFERROR("Q" &amp;INT((MONTH('Follow up (ship 1)'!P81)+2)/3) &amp; "-" &amp; YEAR('Follow up (ship 1)'!P81),"N/A")</f>
        <v>Q1-2018</v>
      </c>
      <c r="N78" s="60">
        <v>65</v>
      </c>
      <c r="O78" s="59" t="s">
        <v>225</v>
      </c>
      <c r="P78" s="73" t="s">
        <v>138</v>
      </c>
      <c r="Q78" s="59" t="s">
        <v>198</v>
      </c>
      <c r="R78" s="59">
        <v>0</v>
      </c>
      <c r="S78" s="59">
        <v>0</v>
      </c>
      <c r="T78" s="59">
        <v>0</v>
      </c>
      <c r="U78" s="59" t="s">
        <v>199</v>
      </c>
      <c r="V78" s="59">
        <v>1</v>
      </c>
      <c r="W78" s="59" t="s">
        <v>200</v>
      </c>
      <c r="X78" s="59" t="s">
        <v>199</v>
      </c>
    </row>
    <row r="79" spans="1:24" ht="15.5" x14ac:dyDescent="0.35">
      <c r="A79" s="192" t="s">
        <v>130</v>
      </c>
      <c r="B79" s="192" t="s">
        <v>377</v>
      </c>
      <c r="C79" s="192" t="s">
        <v>378</v>
      </c>
      <c r="D79" s="196" t="str">
        <f>IFERROR("Q" &amp;INT((MONTH('Follow up (ship 1)'!F82)+2)/3) &amp; "-" &amp; YEAR('Follow up (ship 1)'!F82),"N/A")</f>
        <v>Q2-2018</v>
      </c>
      <c r="E79" s="192" t="s">
        <v>377</v>
      </c>
      <c r="F79" s="192" t="s">
        <v>319</v>
      </c>
      <c r="G79" s="192" t="s">
        <v>379</v>
      </c>
      <c r="H79" s="192" t="str">
        <f>IFERROR("Q" &amp;INT((MONTH('Follow up (ship 1)'!J82)+2)/3) &amp; "-" &amp; YEAR('Follow up (ship 1)'!J82),"N/A")</f>
        <v>Q2-2018</v>
      </c>
      <c r="I79" s="192" t="s">
        <v>203</v>
      </c>
      <c r="J79" s="192" t="s">
        <v>135</v>
      </c>
      <c r="K79" s="192" t="s">
        <v>133</v>
      </c>
      <c r="L79" s="192" t="s">
        <v>136</v>
      </c>
      <c r="M79" s="193" t="str">
        <f>IFERROR("Q" &amp;INT((MONTH('Follow up (ship 1)'!P82)+2)/3) &amp; "-" &amp; YEAR('Follow up (ship 1)'!P82),"N/A")</f>
        <v>Q1-2018</v>
      </c>
      <c r="N79" s="194">
        <v>61</v>
      </c>
      <c r="O79" s="192" t="s">
        <v>225</v>
      </c>
      <c r="P79" s="195" t="s">
        <v>138</v>
      </c>
      <c r="Q79" s="192" t="s">
        <v>198</v>
      </c>
      <c r="R79" s="192">
        <v>0</v>
      </c>
      <c r="S79" s="192">
        <v>0</v>
      </c>
      <c r="T79" s="192">
        <v>0</v>
      </c>
      <c r="U79" s="192" t="s">
        <v>199</v>
      </c>
      <c r="V79" s="192">
        <v>3</v>
      </c>
      <c r="W79" s="192" t="s">
        <v>200</v>
      </c>
      <c r="X79" s="192" t="s">
        <v>199</v>
      </c>
    </row>
  </sheetData>
  <conditionalFormatting sqref="B2:B6 B8:B21 B23:B54 B56:B57 B59:B74 B76:B79">
    <cfRule type="duplicateValues" dxfId="366" priority="5"/>
  </conditionalFormatting>
  <conditionalFormatting sqref="B25:B54 B56:B57 B59:B62">
    <cfRule type="duplicateValues" dxfId="365" priority="3"/>
  </conditionalFormatting>
  <conditionalFormatting sqref="B63:B74 B76:B79">
    <cfRule type="duplicateValues" dxfId="364" priority="1"/>
  </conditionalFormatting>
  <conditionalFormatting sqref="E27 E31 E37 E42 E45 E50 E53:E56 E58 E62">
    <cfRule type="duplicateValues" dxfId="363" priority="4"/>
  </conditionalFormatting>
  <conditionalFormatting sqref="E64 E66:E67 E75:E76 E78:E79">
    <cfRule type="duplicateValues" dxfId="362" priority="2"/>
  </conditionalFormatting>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0C931-3BAE-4473-B701-719D655619BB}">
  <sheetPr codeName="Sheet3"/>
  <dimension ref="A1:EV90"/>
  <sheetViews>
    <sheetView workbookViewId="0">
      <pane ySplit="1" topLeftCell="A35" activePane="bottomLeft" state="frozen"/>
      <selection pane="bottomLeft" activeCell="I35" sqref="I35"/>
    </sheetView>
  </sheetViews>
  <sheetFormatPr defaultRowHeight="12.5" x14ac:dyDescent="0.25"/>
  <cols>
    <col min="1" max="1" width="11.453125" bestFit="1" customWidth="1"/>
    <col min="2" max="2" width="20.08984375" customWidth="1"/>
    <col min="3" max="3" width="28.26953125" customWidth="1"/>
    <col min="4" max="4" width="22.90625" customWidth="1"/>
    <col min="5" max="5" width="31.26953125" customWidth="1"/>
    <col min="6" max="6" width="22.81640625" customWidth="1"/>
    <col min="7" max="7" width="35.36328125" style="100" customWidth="1"/>
    <col min="8" max="8" width="30.81640625" customWidth="1"/>
    <col min="9" max="9" width="21.08984375" customWidth="1"/>
    <col min="10" max="10" width="19.6328125" customWidth="1"/>
    <col min="11" max="11" width="9" customWidth="1"/>
    <col min="12" max="12" width="19.90625" style="100" customWidth="1"/>
    <col min="13" max="13" width="25.1796875" style="100" customWidth="1"/>
    <col min="14" max="14" width="22.6328125" style="102" customWidth="1"/>
    <col min="15" max="15" width="53.7265625" style="102" customWidth="1"/>
    <col min="16" max="16" width="27.26953125" customWidth="1"/>
    <col min="17" max="17" width="12.453125" customWidth="1"/>
    <col min="18" max="18" width="18.1796875" style="67" customWidth="1"/>
    <col min="19" max="19" width="25.453125" customWidth="1"/>
    <col min="20" max="20" width="40.81640625" customWidth="1"/>
    <col min="21" max="21" width="20.36328125" customWidth="1"/>
    <col min="22" max="22" width="11.36328125" customWidth="1"/>
    <col min="23" max="23" width="10.453125" customWidth="1"/>
    <col min="24" max="24" width="17.54296875" customWidth="1"/>
    <col min="25" max="25" width="23.08984375" customWidth="1"/>
    <col min="26" max="26" width="12.36328125" customWidth="1"/>
    <col min="27" max="27" width="11.453125" customWidth="1"/>
    <col min="28" max="28" width="18.54296875" customWidth="1"/>
    <col min="29" max="29" width="23.08984375" customWidth="1"/>
    <col min="30" max="30" width="12.36328125" customWidth="1"/>
    <col min="31" max="31" width="11.453125" customWidth="1"/>
    <col min="32" max="32" width="18.54296875" customWidth="1"/>
    <col min="33" max="33" width="23.08984375" customWidth="1"/>
    <col min="34" max="34" width="12.36328125" customWidth="1"/>
    <col min="35" max="35" width="11.453125" customWidth="1"/>
    <col min="36" max="36" width="19.54296875" customWidth="1"/>
    <col min="37" max="37" width="31.54296875" customWidth="1"/>
    <col min="38" max="38" width="13.36328125" customWidth="1"/>
    <col min="39" max="39" width="12.453125" customWidth="1"/>
    <col min="40" max="40" width="19.54296875" customWidth="1"/>
    <col min="41" max="41" width="31.54296875" customWidth="1"/>
    <col min="42" max="42" width="13.36328125" customWidth="1"/>
    <col min="43" max="43" width="12.453125" customWidth="1"/>
    <col min="44" max="44" width="19.54296875" customWidth="1"/>
    <col min="45" max="45" width="19.08984375" customWidth="1"/>
    <col min="46" max="46" width="11.81640625" customWidth="1"/>
    <col min="47" max="47" width="12.453125" customWidth="1"/>
    <col min="48" max="48" width="20.1796875" customWidth="1"/>
    <col min="49" max="49" width="13.36328125" customWidth="1"/>
    <col min="50" max="50" width="12.453125" customWidth="1"/>
    <col min="51" max="51" width="19.54296875" customWidth="1"/>
    <col min="52" max="52" width="20.6328125" customWidth="1"/>
    <col min="53" max="53" width="13.36328125" customWidth="1"/>
    <col min="54" max="54" width="12.453125" customWidth="1"/>
    <col min="55" max="55" width="18" customWidth="1"/>
    <col min="56" max="56" width="20.6328125" customWidth="1"/>
    <col min="57" max="57" width="13.36328125" customWidth="1"/>
    <col min="58" max="58" width="12.453125" customWidth="1"/>
    <col min="59" max="59" width="19.54296875" customWidth="1"/>
    <col min="60" max="60" width="27.36328125" customWidth="1"/>
    <col min="61" max="61" width="13.36328125" customWidth="1"/>
    <col min="62" max="62" width="12.453125" customWidth="1"/>
    <col min="63" max="63" width="20" customWidth="1"/>
    <col min="64" max="64" width="25.90625" customWidth="1"/>
    <col min="65" max="65" width="25.81640625" customWidth="1"/>
    <col min="66" max="66" width="25.90625" customWidth="1"/>
    <col min="67" max="67" width="25.81640625" customWidth="1"/>
    <col min="68" max="68" width="25.90625" customWidth="1"/>
    <col min="69" max="69" width="25.81640625" customWidth="1"/>
    <col min="70" max="70" width="25.90625" customWidth="1"/>
    <col min="71" max="71" width="25.81640625" customWidth="1"/>
    <col min="72" max="72" width="25.90625" customWidth="1"/>
    <col min="73" max="73" width="25.81640625" customWidth="1"/>
    <col min="74" max="74" width="25.90625" customWidth="1"/>
    <col min="75" max="75" width="25.81640625" customWidth="1"/>
    <col min="76" max="76" width="25.90625" customWidth="1"/>
    <col min="77" max="77" width="25.81640625" customWidth="1"/>
    <col min="78" max="78" width="25.90625" customWidth="1"/>
    <col min="79" max="79" width="25.81640625" customWidth="1"/>
    <col min="80" max="80" width="25.90625" customWidth="1"/>
    <col min="81" max="81" width="25.81640625" customWidth="1"/>
    <col min="82" max="82" width="34.36328125" customWidth="1"/>
    <col min="83" max="83" width="13.36328125" customWidth="1"/>
    <col min="84" max="84" width="12.08984375" customWidth="1"/>
    <col min="85" max="85" width="19.54296875" customWidth="1"/>
    <col min="86" max="86" width="24.81640625" customWidth="1"/>
    <col min="87" max="87" width="13.36328125" customWidth="1"/>
    <col min="88" max="88" width="14.08984375" customWidth="1"/>
    <col min="89" max="89" width="19.54296875" customWidth="1"/>
    <col min="90" max="90" width="24.81640625" customWidth="1"/>
    <col min="91" max="91" width="13.36328125" customWidth="1"/>
    <col min="92" max="92" width="14.08984375" customWidth="1"/>
    <col min="93" max="93" width="19.54296875" customWidth="1"/>
    <col min="94" max="94" width="15" customWidth="1"/>
    <col min="95" max="95" width="12.1796875" customWidth="1"/>
    <col min="96" max="96" width="46.7265625" customWidth="1"/>
    <col min="97" max="97" width="15.36328125" customWidth="1"/>
    <col min="98" max="98" width="18.7265625" customWidth="1"/>
    <col min="99" max="99" width="15.08984375" customWidth="1"/>
    <col min="100" max="100" width="28.7265625" customWidth="1"/>
    <col min="101" max="101" width="10.7265625" customWidth="1"/>
    <col min="102" max="102" width="9.90625" customWidth="1"/>
    <col min="103" max="103" width="17" customWidth="1"/>
    <col min="104" max="104" width="16.1796875" customWidth="1"/>
    <col min="105" max="105" width="17" customWidth="1"/>
    <col min="106" max="106" width="16.1796875" customWidth="1"/>
    <col min="107" max="107" width="17" customWidth="1"/>
    <col min="108" max="108" width="16.1796875" customWidth="1"/>
    <col min="109" max="109" width="24.26953125" customWidth="1"/>
    <col min="110" max="110" width="23.90625" customWidth="1"/>
    <col min="111" max="111" width="24.26953125" customWidth="1"/>
    <col min="112" max="112" width="23.90625" customWidth="1"/>
    <col min="113" max="113" width="19.453125" customWidth="1"/>
    <col min="114" max="114" width="22.1796875" customWidth="1"/>
    <col min="115" max="115" width="22.6328125" customWidth="1"/>
    <col min="116" max="116" width="21.453125" customWidth="1"/>
    <col min="117" max="117" width="18.81640625" customWidth="1"/>
    <col min="118" max="118" width="18" customWidth="1"/>
    <col min="119" max="119" width="25.08984375" customWidth="1"/>
    <col min="120" max="120" width="23.81640625" customWidth="1"/>
    <col min="121" max="121" width="25.08984375" customWidth="1"/>
    <col min="122" max="122" width="23.81640625" customWidth="1"/>
    <col min="123" max="123" width="25.08984375" customWidth="1"/>
    <col min="124" max="124" width="23.81640625" customWidth="1"/>
    <col min="125" max="125" width="26.26953125" customWidth="1"/>
    <col min="126" max="126" width="25.90625" customWidth="1"/>
    <col min="127" max="135" width="21.81640625" customWidth="1"/>
    <col min="136" max="136" width="20.08984375" customWidth="1"/>
    <col min="137" max="137" width="19.26953125" customWidth="1"/>
    <col min="138" max="138" width="20.08984375" customWidth="1"/>
    <col min="139" max="139" width="19.26953125" customWidth="1"/>
    <col min="140" max="140" width="20.08984375" customWidth="1"/>
    <col min="141" max="141" width="19.26953125" customWidth="1"/>
    <col min="142" max="142" width="16.81640625" customWidth="1"/>
    <col min="143" max="143" width="18.90625" customWidth="1"/>
    <col min="144" max="144" width="23.36328125" customWidth="1"/>
    <col min="145" max="145" width="18.6328125" customWidth="1"/>
    <col min="146" max="146" width="28.453125" customWidth="1"/>
    <col min="147" max="147" width="36.81640625" customWidth="1"/>
    <col min="148" max="148" width="28.90625" customWidth="1"/>
    <col min="149" max="149" width="20.08984375" customWidth="1"/>
    <col min="150" max="150" width="23.08984375" customWidth="1"/>
    <col min="151" max="151" width="31.81640625" customWidth="1"/>
    <col min="152" max="152" width="27.26953125" customWidth="1"/>
  </cols>
  <sheetData>
    <row r="1" spans="1:152" s="67" customFormat="1" ht="58.5" customHeight="1" x14ac:dyDescent="0.25">
      <c r="A1" s="2" t="s">
        <v>7</v>
      </c>
      <c r="B1" s="3" t="s">
        <v>8</v>
      </c>
      <c r="C1" s="107" t="s">
        <v>9</v>
      </c>
      <c r="D1" s="57" t="s">
        <v>394</v>
      </c>
      <c r="E1" s="2" t="s">
        <v>10</v>
      </c>
      <c r="F1" s="2" t="s">
        <v>11</v>
      </c>
      <c r="G1" s="106" t="s">
        <v>12</v>
      </c>
      <c r="H1" s="5" t="s">
        <v>17</v>
      </c>
      <c r="I1" s="5" t="s">
        <v>18</v>
      </c>
      <c r="J1" s="57" t="s">
        <v>19</v>
      </c>
      <c r="K1" s="2" t="s">
        <v>20</v>
      </c>
      <c r="L1" s="103" t="s">
        <v>21</v>
      </c>
      <c r="M1" s="104" t="s">
        <v>22</v>
      </c>
      <c r="N1" s="101" t="s">
        <v>23</v>
      </c>
      <c r="O1" s="160" t="s">
        <v>24</v>
      </c>
      <c r="P1" s="64" t="s">
        <v>25</v>
      </c>
      <c r="Q1" s="65" t="s">
        <v>30</v>
      </c>
      <c r="R1" s="105" t="s">
        <v>395</v>
      </c>
      <c r="S1" s="31" t="s">
        <v>34</v>
      </c>
      <c r="T1" s="32" t="s">
        <v>35</v>
      </c>
      <c r="U1" s="33" t="s">
        <v>36</v>
      </c>
      <c r="V1" s="34" t="s">
        <v>37</v>
      </c>
      <c r="W1" s="34" t="s">
        <v>38</v>
      </c>
      <c r="X1" s="35" t="s">
        <v>39</v>
      </c>
      <c r="Y1" s="36" t="s">
        <v>40</v>
      </c>
      <c r="Z1" s="34" t="s">
        <v>817</v>
      </c>
      <c r="AA1" s="34" t="s">
        <v>818</v>
      </c>
      <c r="AB1" s="35" t="s">
        <v>819</v>
      </c>
      <c r="AC1" s="36" t="s">
        <v>41</v>
      </c>
      <c r="AD1" s="34" t="s">
        <v>820</v>
      </c>
      <c r="AE1" s="34" t="s">
        <v>821</v>
      </c>
      <c r="AF1" s="35" t="s">
        <v>822</v>
      </c>
      <c r="AG1" s="36" t="s">
        <v>42</v>
      </c>
      <c r="AH1" s="34" t="s">
        <v>823</v>
      </c>
      <c r="AI1" s="34" t="s">
        <v>824</v>
      </c>
      <c r="AJ1" s="35" t="s">
        <v>825</v>
      </c>
      <c r="AK1" s="36" t="s">
        <v>43</v>
      </c>
      <c r="AL1" s="34" t="s">
        <v>826</v>
      </c>
      <c r="AM1" s="34" t="s">
        <v>827</v>
      </c>
      <c r="AN1" s="35" t="s">
        <v>828</v>
      </c>
      <c r="AO1" s="36" t="s">
        <v>44</v>
      </c>
      <c r="AP1" s="34" t="s">
        <v>829</v>
      </c>
      <c r="AQ1" s="34" t="s">
        <v>830</v>
      </c>
      <c r="AR1" s="35" t="s">
        <v>831</v>
      </c>
      <c r="AS1" s="37" t="s">
        <v>45</v>
      </c>
      <c r="AT1" s="38" t="s">
        <v>46</v>
      </c>
      <c r="AU1" s="38" t="s">
        <v>832</v>
      </c>
      <c r="AV1" s="39" t="s">
        <v>47</v>
      </c>
      <c r="AW1" s="40" t="s">
        <v>833</v>
      </c>
      <c r="AX1" s="38" t="s">
        <v>834</v>
      </c>
      <c r="AY1" s="41" t="s">
        <v>835</v>
      </c>
      <c r="AZ1" s="39" t="s">
        <v>48</v>
      </c>
      <c r="BA1" s="40" t="s">
        <v>836</v>
      </c>
      <c r="BB1" s="38" t="s">
        <v>837</v>
      </c>
      <c r="BC1" s="41" t="s">
        <v>49</v>
      </c>
      <c r="BD1" s="39" t="s">
        <v>50</v>
      </c>
      <c r="BE1" s="40" t="s">
        <v>838</v>
      </c>
      <c r="BF1" s="38" t="s">
        <v>839</v>
      </c>
      <c r="BG1" s="41" t="s">
        <v>840</v>
      </c>
      <c r="BH1" s="42" t="s">
        <v>51</v>
      </c>
      <c r="BI1" s="43" t="s">
        <v>841</v>
      </c>
      <c r="BJ1" s="38" t="s">
        <v>842</v>
      </c>
      <c r="BK1" s="44" t="s">
        <v>843</v>
      </c>
      <c r="BL1" s="27" t="s">
        <v>52</v>
      </c>
      <c r="BM1" s="28" t="s">
        <v>53</v>
      </c>
      <c r="BN1" s="29" t="s">
        <v>54</v>
      </c>
      <c r="BO1" s="28" t="s">
        <v>55</v>
      </c>
      <c r="BP1" s="29" t="s">
        <v>56</v>
      </c>
      <c r="BQ1" s="28" t="s">
        <v>57</v>
      </c>
      <c r="BR1" s="29" t="s">
        <v>58</v>
      </c>
      <c r="BS1" s="28" t="s">
        <v>59</v>
      </c>
      <c r="BT1" s="29" t="s">
        <v>60</v>
      </c>
      <c r="BU1" s="28" t="s">
        <v>61</v>
      </c>
      <c r="BV1" s="29" t="s">
        <v>62</v>
      </c>
      <c r="BW1" s="28" t="s">
        <v>63</v>
      </c>
      <c r="BX1" s="29" t="s">
        <v>64</v>
      </c>
      <c r="BY1" s="28" t="s">
        <v>65</v>
      </c>
      <c r="BZ1" s="29" t="s">
        <v>66</v>
      </c>
      <c r="CA1" s="28" t="s">
        <v>67</v>
      </c>
      <c r="CB1" s="29" t="s">
        <v>68</v>
      </c>
      <c r="CC1" s="30" t="s">
        <v>69</v>
      </c>
      <c r="CD1" s="45" t="s">
        <v>70</v>
      </c>
      <c r="CE1" s="46" t="s">
        <v>844</v>
      </c>
      <c r="CF1" s="47" t="s">
        <v>71</v>
      </c>
      <c r="CG1" s="48" t="s">
        <v>845</v>
      </c>
      <c r="CH1" s="49" t="s">
        <v>72</v>
      </c>
      <c r="CI1" s="46" t="s">
        <v>846</v>
      </c>
      <c r="CJ1" s="47" t="s">
        <v>847</v>
      </c>
      <c r="CK1" s="48" t="s">
        <v>848</v>
      </c>
      <c r="CL1" s="49" t="s">
        <v>73</v>
      </c>
      <c r="CM1" s="46" t="s">
        <v>849</v>
      </c>
      <c r="CN1" s="47" t="s">
        <v>850</v>
      </c>
      <c r="CO1" s="50" t="s">
        <v>851</v>
      </c>
      <c r="CP1" s="7" t="s">
        <v>74</v>
      </c>
      <c r="CQ1" s="10" t="s">
        <v>75</v>
      </c>
      <c r="CR1" s="9" t="s">
        <v>76</v>
      </c>
      <c r="CS1" s="8" t="s">
        <v>77</v>
      </c>
      <c r="CT1" s="10" t="s">
        <v>78</v>
      </c>
      <c r="CU1" s="10" t="s">
        <v>79</v>
      </c>
      <c r="CV1" s="11" t="s">
        <v>80</v>
      </c>
      <c r="CW1" s="51" t="s">
        <v>81</v>
      </c>
      <c r="CX1" s="52" t="s">
        <v>82</v>
      </c>
      <c r="CY1" s="52" t="s">
        <v>83</v>
      </c>
      <c r="CZ1" s="52" t="s">
        <v>84</v>
      </c>
      <c r="DA1" s="52" t="s">
        <v>85</v>
      </c>
      <c r="DB1" s="52" t="s">
        <v>86</v>
      </c>
      <c r="DC1" s="52" t="s">
        <v>87</v>
      </c>
      <c r="DD1" s="52" t="s">
        <v>88</v>
      </c>
      <c r="DE1" s="52" t="s">
        <v>89</v>
      </c>
      <c r="DF1" s="52" t="s">
        <v>90</v>
      </c>
      <c r="DG1" s="52" t="s">
        <v>91</v>
      </c>
      <c r="DH1" s="53" t="s">
        <v>92</v>
      </c>
      <c r="DI1" s="51" t="s">
        <v>852</v>
      </c>
      <c r="DJ1" s="52" t="s">
        <v>93</v>
      </c>
      <c r="DK1" s="52" t="s">
        <v>94</v>
      </c>
      <c r="DL1" s="53" t="s">
        <v>95</v>
      </c>
      <c r="DM1" s="51" t="s">
        <v>96</v>
      </c>
      <c r="DN1" s="52" t="s">
        <v>97</v>
      </c>
      <c r="DO1" s="52" t="s">
        <v>98</v>
      </c>
      <c r="DP1" s="52" t="s">
        <v>99</v>
      </c>
      <c r="DQ1" s="52" t="s">
        <v>100</v>
      </c>
      <c r="DR1" s="52" t="s">
        <v>101</v>
      </c>
      <c r="DS1" s="52" t="s">
        <v>102</v>
      </c>
      <c r="DT1" s="52" t="s">
        <v>103</v>
      </c>
      <c r="DU1" s="52" t="s">
        <v>853</v>
      </c>
      <c r="DV1" s="53" t="s">
        <v>854</v>
      </c>
      <c r="DW1" s="51" t="s">
        <v>104</v>
      </c>
      <c r="DX1" s="54" t="s">
        <v>105</v>
      </c>
      <c r="DY1" s="54" t="s">
        <v>106</v>
      </c>
      <c r="DZ1" s="54" t="s">
        <v>107</v>
      </c>
      <c r="EA1" s="54" t="s">
        <v>108</v>
      </c>
      <c r="EB1" s="54" t="s">
        <v>109</v>
      </c>
      <c r="EC1" s="54" t="s">
        <v>110</v>
      </c>
      <c r="ED1" s="54" t="s">
        <v>111</v>
      </c>
      <c r="EE1" s="55" t="s">
        <v>112</v>
      </c>
      <c r="EF1" s="51" t="s">
        <v>113</v>
      </c>
      <c r="EG1" s="54" t="s">
        <v>114</v>
      </c>
      <c r="EH1" s="54" t="s">
        <v>115</v>
      </c>
      <c r="EI1" s="54" t="s">
        <v>116</v>
      </c>
      <c r="EJ1" s="54" t="s">
        <v>117</v>
      </c>
      <c r="EK1" s="55" t="s">
        <v>118</v>
      </c>
      <c r="EL1" s="51" t="s">
        <v>119</v>
      </c>
      <c r="EM1" s="56" t="s">
        <v>120</v>
      </c>
      <c r="EN1" s="52" t="s">
        <v>121</v>
      </c>
      <c r="EO1" s="55" t="s">
        <v>122</v>
      </c>
      <c r="EP1" s="19" t="s">
        <v>123</v>
      </c>
      <c r="EQ1" s="15" t="s">
        <v>124</v>
      </c>
      <c r="ER1" s="12" t="s">
        <v>125</v>
      </c>
      <c r="ES1" s="13" t="s">
        <v>126</v>
      </c>
      <c r="ET1" s="14" t="s">
        <v>127</v>
      </c>
      <c r="EU1" s="16" t="s">
        <v>128</v>
      </c>
      <c r="EV1" s="197" t="s">
        <v>129</v>
      </c>
    </row>
    <row r="2" spans="1:152" ht="14.5" x14ac:dyDescent="0.35">
      <c r="A2" s="108">
        <v>4329209322</v>
      </c>
      <c r="B2" s="109" t="s">
        <v>130</v>
      </c>
      <c r="C2" s="110" t="s">
        <v>130</v>
      </c>
      <c r="D2" s="111" t="s">
        <v>138</v>
      </c>
      <c r="E2" s="111" t="s">
        <v>396</v>
      </c>
      <c r="F2" s="110" t="s">
        <v>397</v>
      </c>
      <c r="G2" s="112">
        <v>43201</v>
      </c>
      <c r="H2" s="155" t="s">
        <v>398</v>
      </c>
      <c r="I2" s="110" t="s">
        <v>135</v>
      </c>
      <c r="J2" s="110" t="s">
        <v>133</v>
      </c>
      <c r="K2" s="110" t="s">
        <v>136</v>
      </c>
      <c r="L2" s="113">
        <v>13592</v>
      </c>
      <c r="M2" s="114">
        <v>43172</v>
      </c>
      <c r="N2" s="115">
        <f>DATEDIF(L2, M2,"Y")</f>
        <v>80</v>
      </c>
      <c r="O2" s="116" t="s">
        <v>399</v>
      </c>
      <c r="P2" s="117" t="s">
        <v>138</v>
      </c>
      <c r="Q2" s="110">
        <v>3</v>
      </c>
      <c r="R2" s="118" t="s">
        <v>400</v>
      </c>
      <c r="S2" s="110"/>
      <c r="T2" s="110"/>
      <c r="U2" s="110"/>
      <c r="V2" s="110"/>
      <c r="W2" s="110"/>
      <c r="X2" s="110"/>
      <c r="Y2" s="110"/>
      <c r="Z2" s="110"/>
      <c r="AA2" s="110"/>
      <c r="AB2" s="110"/>
      <c r="AC2" s="110"/>
      <c r="AD2" s="110"/>
      <c r="AE2" s="110"/>
      <c r="AF2" s="110"/>
      <c r="AG2" s="110"/>
      <c r="AH2" s="110"/>
      <c r="AI2" s="110"/>
      <c r="AJ2" s="110"/>
      <c r="AK2" s="110"/>
      <c r="AL2" s="110"/>
      <c r="AM2" s="110"/>
      <c r="AN2" s="110"/>
      <c r="AO2" s="110"/>
      <c r="AP2" s="110"/>
      <c r="AQ2" s="110"/>
      <c r="AR2" s="110"/>
      <c r="AS2" s="110"/>
      <c r="AT2" s="110"/>
      <c r="AU2" s="110"/>
      <c r="AV2" s="110"/>
      <c r="AW2" s="110"/>
      <c r="AX2" s="110"/>
      <c r="AY2" s="110"/>
      <c r="AZ2" s="110"/>
      <c r="BA2" s="110"/>
      <c r="BB2" s="110"/>
      <c r="BC2" s="110"/>
      <c r="BD2" s="110"/>
      <c r="BE2" s="110"/>
      <c r="BF2" s="110"/>
      <c r="BG2" s="110"/>
      <c r="BH2" s="110"/>
      <c r="BI2" s="110"/>
      <c r="BJ2" s="110"/>
      <c r="BK2" s="110"/>
      <c r="BL2" s="110"/>
      <c r="BM2" s="110"/>
      <c r="BN2" s="110"/>
      <c r="BO2" s="110"/>
      <c r="BP2" s="110"/>
      <c r="BQ2" s="110"/>
      <c r="BR2" s="110"/>
      <c r="BS2" s="110"/>
      <c r="BT2" s="110"/>
      <c r="BU2" s="110"/>
      <c r="BV2" s="110"/>
      <c r="BW2" s="110"/>
      <c r="BX2" s="110"/>
      <c r="BY2" s="110"/>
      <c r="BZ2" s="110"/>
      <c r="CA2" s="110"/>
      <c r="CB2" s="110"/>
      <c r="CC2" s="110"/>
      <c r="CD2" s="110"/>
      <c r="CE2" s="110"/>
      <c r="CF2" s="110"/>
      <c r="CG2" s="110"/>
      <c r="CH2" s="110"/>
      <c r="CI2" s="110"/>
      <c r="CJ2" s="110"/>
      <c r="CK2" s="110"/>
      <c r="CL2" s="110"/>
      <c r="CM2" s="110"/>
      <c r="CN2" s="110"/>
      <c r="CO2" s="110"/>
      <c r="CP2" s="110"/>
      <c r="CQ2" s="110"/>
      <c r="CR2" s="110"/>
      <c r="CS2" s="110"/>
      <c r="CT2" s="110"/>
      <c r="CU2" s="110"/>
      <c r="CV2" s="110"/>
      <c r="CW2" s="110"/>
      <c r="CX2" s="110"/>
      <c r="CY2" s="110"/>
      <c r="CZ2" s="110"/>
      <c r="DA2" s="110"/>
      <c r="DB2" s="110"/>
      <c r="DC2" s="110"/>
      <c r="DD2" s="110"/>
      <c r="DE2" s="110"/>
      <c r="DF2" s="110"/>
      <c r="DG2" s="110"/>
      <c r="DH2" s="110"/>
      <c r="DI2" s="110"/>
      <c r="DJ2" s="110"/>
      <c r="DK2" s="110"/>
      <c r="DL2" s="110"/>
      <c r="DM2" s="110"/>
      <c r="DN2" s="110"/>
      <c r="DO2" s="110"/>
      <c r="DP2" s="110"/>
      <c r="DQ2" s="110"/>
      <c r="DR2" s="110"/>
      <c r="DS2" s="110"/>
      <c r="DT2" s="110"/>
      <c r="DU2" s="110"/>
      <c r="DV2" s="110"/>
      <c r="DW2" s="110"/>
      <c r="DX2" s="110"/>
      <c r="DY2" s="110"/>
      <c r="DZ2" s="110"/>
      <c r="EA2" s="110"/>
      <c r="EB2" s="110"/>
      <c r="EC2" s="110"/>
      <c r="ED2" s="110"/>
      <c r="EE2" s="110"/>
      <c r="EF2" s="110"/>
      <c r="EG2" s="110"/>
      <c r="EH2" s="110"/>
      <c r="EI2" s="110"/>
      <c r="EJ2" s="110"/>
      <c r="EK2" s="111"/>
      <c r="EL2" s="110"/>
      <c r="EM2" s="110"/>
      <c r="EN2" s="110"/>
      <c r="EO2" s="110"/>
      <c r="EP2" s="110"/>
      <c r="EQ2" s="110"/>
      <c r="ER2" s="110"/>
      <c r="ES2" s="110"/>
      <c r="ET2" s="110"/>
      <c r="EU2" s="110"/>
      <c r="EV2" s="111"/>
    </row>
    <row r="3" spans="1:152" ht="14.5" x14ac:dyDescent="0.35">
      <c r="A3" s="108">
        <v>4860738853</v>
      </c>
      <c r="B3" s="109" t="s">
        <v>130</v>
      </c>
      <c r="C3" s="110" t="s">
        <v>130</v>
      </c>
      <c r="D3" s="111" t="s">
        <v>138</v>
      </c>
      <c r="E3" s="111" t="s">
        <v>401</v>
      </c>
      <c r="F3" s="110" t="s">
        <v>402</v>
      </c>
      <c r="G3" s="112">
        <v>43201</v>
      </c>
      <c r="H3" s="110" t="s">
        <v>270</v>
      </c>
      <c r="I3" s="110" t="s">
        <v>135</v>
      </c>
      <c r="J3" s="110" t="s">
        <v>133</v>
      </c>
      <c r="K3" s="110" t="s">
        <v>136</v>
      </c>
      <c r="L3" s="113">
        <v>23226</v>
      </c>
      <c r="M3" s="119">
        <v>43194</v>
      </c>
      <c r="N3" s="115">
        <f t="shared" ref="N3:N65" si="0">DATEDIF(L3, M3,"Y")</f>
        <v>54</v>
      </c>
      <c r="O3" s="116" t="s">
        <v>399</v>
      </c>
      <c r="P3" s="117" t="s">
        <v>138</v>
      </c>
      <c r="Q3">
        <v>3</v>
      </c>
      <c r="R3" s="154">
        <v>2</v>
      </c>
      <c r="S3" s="110"/>
      <c r="T3" s="110"/>
      <c r="U3" s="110"/>
      <c r="V3" s="110"/>
      <c r="W3" s="110"/>
      <c r="X3" s="110"/>
      <c r="Y3" s="110"/>
      <c r="Z3" s="110"/>
      <c r="AA3" s="110"/>
      <c r="AB3" s="110"/>
      <c r="AC3" s="110"/>
      <c r="AD3" s="110"/>
      <c r="AE3" s="110"/>
      <c r="AF3" s="110"/>
      <c r="AG3" s="110"/>
      <c r="AH3" s="110"/>
      <c r="AI3" s="110"/>
      <c r="AJ3" s="110"/>
      <c r="AK3" s="110"/>
      <c r="AL3" s="110"/>
      <c r="AM3" s="110"/>
      <c r="AN3" s="110"/>
      <c r="AO3" s="110"/>
      <c r="AP3" s="110"/>
      <c r="AQ3" s="110"/>
      <c r="AR3" s="110"/>
      <c r="AS3" s="110"/>
      <c r="AT3" s="110"/>
      <c r="AU3" s="110"/>
      <c r="AV3" s="110"/>
      <c r="AW3" s="110"/>
      <c r="AX3" s="110"/>
      <c r="AY3" s="110"/>
      <c r="AZ3" s="110"/>
      <c r="BA3" s="110"/>
      <c r="BB3" s="110"/>
      <c r="BC3" s="110"/>
      <c r="BD3" s="110"/>
      <c r="BE3" s="110"/>
      <c r="BF3" s="110"/>
      <c r="BG3" s="110"/>
      <c r="BH3" s="110"/>
      <c r="BI3" s="110"/>
      <c r="BJ3" s="110"/>
      <c r="BK3" s="110"/>
      <c r="BL3" s="110"/>
      <c r="BM3" s="110"/>
      <c r="BN3" s="110"/>
      <c r="BO3" s="110"/>
      <c r="BP3" s="110"/>
      <c r="BQ3" s="110"/>
      <c r="BR3" s="110"/>
      <c r="BS3" s="110"/>
      <c r="BT3" s="110"/>
      <c r="BU3" s="110"/>
      <c r="BV3" s="110"/>
      <c r="BW3" s="110"/>
      <c r="BX3" s="110"/>
      <c r="BY3" s="110"/>
      <c r="BZ3" s="110"/>
      <c r="CA3" s="110"/>
      <c r="CB3" s="110"/>
      <c r="CC3" s="110"/>
      <c r="CD3" s="110"/>
      <c r="CE3" s="110"/>
      <c r="CF3" s="110"/>
      <c r="CG3" s="110"/>
      <c r="CH3" s="110"/>
      <c r="CI3" s="110"/>
      <c r="CJ3" s="110"/>
      <c r="CK3" s="110"/>
      <c r="CL3" s="110"/>
      <c r="CM3" s="110"/>
      <c r="CN3" s="110"/>
      <c r="CO3" s="110"/>
      <c r="CP3" s="110"/>
      <c r="CQ3" s="110"/>
      <c r="CR3" s="110"/>
      <c r="CS3" s="110"/>
      <c r="CT3" s="110"/>
      <c r="CU3" s="110"/>
      <c r="CV3" s="110"/>
      <c r="CW3" s="110"/>
      <c r="CX3" s="110"/>
      <c r="CY3" s="110"/>
      <c r="CZ3" s="110"/>
      <c r="DA3" s="110"/>
      <c r="DB3" s="110"/>
      <c r="DC3" s="110"/>
      <c r="DD3" s="110"/>
      <c r="DE3" s="110"/>
      <c r="DF3" s="110"/>
      <c r="DG3" s="110"/>
      <c r="DH3" s="110"/>
      <c r="DI3" s="110"/>
      <c r="DJ3" s="110"/>
      <c r="DK3" s="110"/>
      <c r="DL3" s="110"/>
      <c r="DM3" s="110"/>
      <c r="DN3" s="110"/>
      <c r="DO3" s="110"/>
      <c r="DP3" s="110"/>
      <c r="DQ3" s="110"/>
      <c r="DR3" s="110"/>
      <c r="DS3" s="110"/>
      <c r="DT3" s="110"/>
      <c r="DU3" s="110"/>
      <c r="DV3" s="110"/>
      <c r="DW3" s="110"/>
      <c r="DX3" s="110"/>
      <c r="DY3" s="110"/>
      <c r="DZ3" s="110"/>
      <c r="EA3" s="110"/>
      <c r="EB3" s="110"/>
      <c r="EC3" s="110"/>
      <c r="ED3" s="110"/>
      <c r="EE3" s="110"/>
      <c r="EF3" s="110"/>
      <c r="EG3" s="110"/>
      <c r="EH3" s="110"/>
      <c r="EI3" s="110"/>
      <c r="EJ3" s="110"/>
      <c r="EK3" s="111"/>
      <c r="EL3" s="110"/>
      <c r="EM3" s="110"/>
      <c r="EN3" s="110"/>
      <c r="EO3" s="110"/>
      <c r="EP3" s="110"/>
      <c r="EQ3" s="110"/>
      <c r="ER3" s="110"/>
      <c r="ES3" s="110"/>
      <c r="ET3" s="110"/>
      <c r="EU3" s="110"/>
      <c r="EV3" s="111"/>
    </row>
    <row r="4" spans="1:152" ht="14.5" x14ac:dyDescent="0.35">
      <c r="A4" s="108">
        <v>4383572731</v>
      </c>
      <c r="B4" s="109" t="s">
        <v>130</v>
      </c>
      <c r="C4" s="110" t="s">
        <v>130</v>
      </c>
      <c r="D4" s="111" t="s">
        <v>138</v>
      </c>
      <c r="E4" s="111" t="s">
        <v>403</v>
      </c>
      <c r="F4" s="110" t="s">
        <v>404</v>
      </c>
      <c r="G4" s="112">
        <v>43203</v>
      </c>
      <c r="H4" s="110" t="s">
        <v>203</v>
      </c>
      <c r="I4" s="110" t="s">
        <v>135</v>
      </c>
      <c r="J4" s="110" t="s">
        <v>133</v>
      </c>
      <c r="K4" s="110" t="s">
        <v>136</v>
      </c>
      <c r="L4" s="113">
        <v>14889</v>
      </c>
      <c r="M4" s="119">
        <v>43145</v>
      </c>
      <c r="N4" s="115">
        <f t="shared" si="0"/>
        <v>77</v>
      </c>
      <c r="O4" s="116" t="s">
        <v>399</v>
      </c>
      <c r="P4" s="117" t="s">
        <v>138</v>
      </c>
      <c r="Q4" s="110">
        <v>2</v>
      </c>
      <c r="R4" s="118">
        <v>2</v>
      </c>
      <c r="S4" s="110"/>
      <c r="T4" s="110"/>
      <c r="U4" s="110"/>
      <c r="V4" s="110"/>
      <c r="W4" s="110"/>
      <c r="X4" s="110"/>
      <c r="Y4" s="110"/>
      <c r="Z4" s="110"/>
      <c r="AA4" s="110"/>
      <c r="AB4" s="110"/>
      <c r="AC4" s="110"/>
      <c r="AD4" s="110"/>
      <c r="AE4" s="110"/>
      <c r="AF4" s="110"/>
      <c r="AG4" s="110"/>
      <c r="AH4" s="110"/>
      <c r="AI4" s="110"/>
      <c r="AJ4" s="110"/>
      <c r="AK4" s="110"/>
      <c r="AL4" s="110"/>
      <c r="AM4" s="110"/>
      <c r="AN4" s="110"/>
      <c r="AO4" s="110"/>
      <c r="AP4" s="110"/>
      <c r="AQ4" s="110"/>
      <c r="AR4" s="110"/>
      <c r="AS4" s="110"/>
      <c r="AT4" s="110"/>
      <c r="AU4" s="110"/>
      <c r="AV4" s="110"/>
      <c r="AW4" s="110"/>
      <c r="AX4" s="110"/>
      <c r="AY4" s="110"/>
      <c r="AZ4" s="110"/>
      <c r="BA4" s="110"/>
      <c r="BB4" s="110"/>
      <c r="BC4" s="110"/>
      <c r="BD4" s="110"/>
      <c r="BE4" s="110"/>
      <c r="BF4" s="110"/>
      <c r="BG4" s="110"/>
      <c r="BH4" s="110"/>
      <c r="BI4" s="110"/>
      <c r="BJ4" s="110"/>
      <c r="BK4" s="110"/>
      <c r="BL4" s="110"/>
      <c r="BM4" s="110"/>
      <c r="BN4" s="110"/>
      <c r="BO4" s="110"/>
      <c r="BP4" s="110"/>
      <c r="BQ4" s="110"/>
      <c r="BR4" s="110"/>
      <c r="BS4" s="110"/>
      <c r="BT4" s="110"/>
      <c r="BU4" s="110"/>
      <c r="BV4" s="110"/>
      <c r="BW4" s="110"/>
      <c r="BX4" s="110"/>
      <c r="BY4" s="110"/>
      <c r="BZ4" s="110"/>
      <c r="CA4" s="110"/>
      <c r="CB4" s="110"/>
      <c r="CC4" s="110"/>
      <c r="CD4" s="110"/>
      <c r="CE4" s="110"/>
      <c r="CF4" s="110"/>
      <c r="CG4" s="110"/>
      <c r="CH4" s="110"/>
      <c r="CI4" s="110"/>
      <c r="CJ4" s="110"/>
      <c r="CK4" s="110"/>
      <c r="CL4" s="110"/>
      <c r="CM4" s="110"/>
      <c r="CN4" s="110"/>
      <c r="CO4" s="110"/>
      <c r="CP4" s="110"/>
      <c r="CQ4" s="110"/>
      <c r="CR4" s="110"/>
      <c r="CS4" s="110"/>
      <c r="CT4" s="110"/>
      <c r="CU4" s="110"/>
      <c r="CV4" s="110"/>
      <c r="CW4" s="110"/>
      <c r="CX4" s="110"/>
      <c r="CY4" s="110"/>
      <c r="CZ4" s="110"/>
      <c r="DA4" s="110"/>
      <c r="DB4" s="110"/>
      <c r="DC4" s="110"/>
      <c r="DD4" s="110"/>
      <c r="DE4" s="110"/>
      <c r="DF4" s="110"/>
      <c r="DG4" s="110"/>
      <c r="DH4" s="110"/>
      <c r="DI4" s="110"/>
      <c r="DJ4" s="110"/>
      <c r="DK4" s="110"/>
      <c r="DL4" s="110"/>
      <c r="DM4" s="110"/>
      <c r="DN4" s="110"/>
      <c r="DO4" s="110"/>
      <c r="DP4" s="110"/>
      <c r="DQ4" s="110"/>
      <c r="DR4" s="110"/>
      <c r="DS4" s="110"/>
      <c r="DT4" s="110"/>
      <c r="DU4" s="110"/>
      <c r="DV4" s="110"/>
      <c r="DW4" s="110"/>
      <c r="DX4" s="110"/>
      <c r="DY4" s="110"/>
      <c r="DZ4" s="110"/>
      <c r="EA4" s="110"/>
      <c r="EB4" s="110"/>
      <c r="EC4" s="110"/>
      <c r="ED4" s="110"/>
      <c r="EE4" s="110"/>
      <c r="EF4" s="110"/>
      <c r="EG4" s="110"/>
      <c r="EH4" s="110"/>
      <c r="EI4" s="110"/>
      <c r="EJ4" s="110"/>
      <c r="EK4" s="111"/>
      <c r="EL4" s="110"/>
      <c r="EM4" s="110"/>
      <c r="EN4" s="110"/>
      <c r="EO4" s="110"/>
      <c r="EP4" s="110"/>
      <c r="EQ4" s="110"/>
      <c r="ER4" s="110"/>
      <c r="ES4" s="110"/>
      <c r="ET4" s="110"/>
      <c r="EU4" s="110"/>
      <c r="EV4" s="111"/>
    </row>
    <row r="5" spans="1:152" ht="14.5" x14ac:dyDescent="0.35">
      <c r="A5" s="108">
        <v>4303155993</v>
      </c>
      <c r="B5" s="109" t="s">
        <v>130</v>
      </c>
      <c r="C5" s="117" t="s">
        <v>130</v>
      </c>
      <c r="D5" s="111" t="s">
        <v>138</v>
      </c>
      <c r="E5" s="111" t="s">
        <v>405</v>
      </c>
      <c r="F5" s="110" t="s">
        <v>406</v>
      </c>
      <c r="G5" s="112">
        <v>43206</v>
      </c>
      <c r="H5" s="110" t="s">
        <v>203</v>
      </c>
      <c r="I5" s="117" t="s">
        <v>135</v>
      </c>
      <c r="J5" s="110" t="s">
        <v>133</v>
      </c>
      <c r="K5" s="110" t="s">
        <v>136</v>
      </c>
      <c r="L5" s="113">
        <v>15806</v>
      </c>
      <c r="M5" s="114">
        <v>43076</v>
      </c>
      <c r="N5" s="115">
        <f t="shared" si="0"/>
        <v>74</v>
      </c>
      <c r="O5" s="116" t="s">
        <v>407</v>
      </c>
      <c r="P5" s="110" t="s">
        <v>138</v>
      </c>
      <c r="Q5" s="110">
        <v>1</v>
      </c>
      <c r="R5" s="120" t="s">
        <v>198</v>
      </c>
      <c r="S5" s="110"/>
      <c r="T5" s="110"/>
      <c r="U5" s="110"/>
      <c r="V5" s="110"/>
      <c r="W5" s="110"/>
      <c r="X5" s="110"/>
      <c r="Y5" s="110"/>
      <c r="Z5" s="110"/>
      <c r="AA5" s="110"/>
      <c r="AB5" s="110"/>
      <c r="AC5" s="110"/>
      <c r="AD5" s="110"/>
      <c r="AE5" s="110"/>
      <c r="AF5" s="110"/>
      <c r="AG5" s="110"/>
      <c r="AH5" s="110"/>
      <c r="AI5" s="110"/>
      <c r="AJ5" s="110"/>
      <c r="AK5" s="110"/>
      <c r="AL5" s="110"/>
      <c r="AM5" s="110"/>
      <c r="AN5" s="110"/>
      <c r="AO5" s="110"/>
      <c r="AP5" s="110"/>
      <c r="AQ5" s="110"/>
      <c r="AR5" s="110"/>
      <c r="AS5" s="110"/>
      <c r="AT5" s="110"/>
      <c r="AU5" s="110"/>
      <c r="AV5" s="110"/>
      <c r="AW5" s="110"/>
      <c r="AX5" s="110"/>
      <c r="AY5" s="110"/>
      <c r="AZ5" s="110"/>
      <c r="BA5" s="110"/>
      <c r="BB5" s="110"/>
      <c r="BC5" s="110"/>
      <c r="BD5" s="110"/>
      <c r="BE5" s="110"/>
      <c r="BF5" s="110"/>
      <c r="BG5" s="110"/>
      <c r="BH5" s="110"/>
      <c r="BI5" s="110"/>
      <c r="BJ5" s="110"/>
      <c r="BK5" s="110"/>
      <c r="BL5" s="110"/>
      <c r="BM5" s="110"/>
      <c r="BN5" s="110"/>
      <c r="BO5" s="110"/>
      <c r="BP5" s="110"/>
      <c r="BQ5" s="110"/>
      <c r="BR5" s="110"/>
      <c r="BS5" s="110"/>
      <c r="BT5" s="110"/>
      <c r="BU5" s="110"/>
      <c r="BV5" s="110"/>
      <c r="BW5" s="110"/>
      <c r="BX5" s="110"/>
      <c r="BY5" s="110"/>
      <c r="BZ5" s="110"/>
      <c r="CA5" s="110"/>
      <c r="CB5" s="110"/>
      <c r="CC5" s="110"/>
      <c r="CD5" s="110"/>
      <c r="CE5" s="110"/>
      <c r="CF5" s="110"/>
      <c r="CG5" s="110"/>
      <c r="CH5" s="110"/>
      <c r="CI5" s="110"/>
      <c r="CJ5" s="110"/>
      <c r="CK5" s="110"/>
      <c r="CL5" s="110"/>
      <c r="CM5" s="110"/>
      <c r="CN5" s="110"/>
      <c r="CO5" s="110"/>
      <c r="CP5" s="110"/>
      <c r="CQ5" s="110"/>
      <c r="CR5" s="110"/>
      <c r="CS5" s="110"/>
      <c r="CT5" s="110"/>
      <c r="CU5" s="110"/>
      <c r="CV5" s="110"/>
      <c r="CW5" s="110"/>
      <c r="CX5" s="110"/>
      <c r="CY5" s="110"/>
      <c r="CZ5" s="110"/>
      <c r="DA5" s="110"/>
      <c r="DB5" s="110"/>
      <c r="DC5" s="110"/>
      <c r="DD5" s="110"/>
      <c r="DE5" s="110"/>
      <c r="DF5" s="110"/>
      <c r="DG5" s="110"/>
      <c r="DH5" s="110"/>
      <c r="DI5" s="110"/>
      <c r="DJ5" s="110"/>
      <c r="DK5" s="110"/>
      <c r="DL5" s="110"/>
      <c r="DM5" s="110"/>
      <c r="DN5" s="110"/>
      <c r="DO5" s="110"/>
      <c r="DP5" s="110"/>
      <c r="DQ5" s="110"/>
      <c r="DR5" s="110"/>
      <c r="DS5" s="110"/>
      <c r="DT5" s="110"/>
      <c r="DU5" s="110"/>
      <c r="DV5" s="110"/>
      <c r="DW5" s="110"/>
      <c r="DX5" s="110"/>
      <c r="DY5" s="110"/>
      <c r="DZ5" s="110"/>
      <c r="EA5" s="110"/>
      <c r="EB5" s="110"/>
      <c r="EC5" s="110"/>
      <c r="ED5" s="110"/>
      <c r="EE5" s="110"/>
      <c r="EF5" s="110"/>
      <c r="EG5" s="110"/>
      <c r="EH5" s="110"/>
      <c r="EI5" s="110"/>
      <c r="EJ5" s="110"/>
      <c r="EK5" s="111"/>
      <c r="EL5" s="110"/>
      <c r="EM5" s="110"/>
      <c r="EN5" s="110"/>
      <c r="EO5" s="110"/>
      <c r="EP5" s="110"/>
      <c r="EQ5" s="110"/>
      <c r="ER5" s="110"/>
      <c r="ES5" s="110"/>
      <c r="ET5" s="110"/>
      <c r="EU5" s="110"/>
      <c r="EV5" s="111"/>
    </row>
    <row r="6" spans="1:152" ht="14.5" x14ac:dyDescent="0.35">
      <c r="A6" s="108">
        <v>4861956706</v>
      </c>
      <c r="B6" s="109" t="s">
        <v>130</v>
      </c>
      <c r="C6" s="110" t="s">
        <v>130</v>
      </c>
      <c r="D6" s="111" t="s">
        <v>138</v>
      </c>
      <c r="E6" s="111" t="s">
        <v>408</v>
      </c>
      <c r="F6" s="110" t="s">
        <v>409</v>
      </c>
      <c r="G6" s="112">
        <v>43214</v>
      </c>
      <c r="H6" s="110" t="s">
        <v>203</v>
      </c>
      <c r="I6" s="117" t="s">
        <v>135</v>
      </c>
      <c r="J6" s="110" t="s">
        <v>133</v>
      </c>
      <c r="K6" s="110" t="s">
        <v>136</v>
      </c>
      <c r="L6" s="113">
        <v>22762</v>
      </c>
      <c r="M6" s="114">
        <v>43174</v>
      </c>
      <c r="N6" s="115">
        <f t="shared" si="0"/>
        <v>55</v>
      </c>
      <c r="O6" s="116" t="s">
        <v>410</v>
      </c>
      <c r="P6" s="110" t="s">
        <v>138</v>
      </c>
      <c r="Q6" s="110">
        <v>1</v>
      </c>
      <c r="R6" s="120">
        <v>2</v>
      </c>
      <c r="S6" s="110"/>
      <c r="T6" s="110"/>
      <c r="U6" s="110"/>
      <c r="V6" s="110"/>
      <c r="W6" s="110"/>
      <c r="X6" s="110"/>
      <c r="Y6" s="110"/>
      <c r="Z6" s="110"/>
      <c r="AA6" s="110"/>
      <c r="AB6" s="110"/>
      <c r="AC6" s="110"/>
      <c r="AD6" s="110"/>
      <c r="AE6" s="110"/>
      <c r="AF6" s="110"/>
      <c r="AG6" s="110"/>
      <c r="AH6" s="110"/>
      <c r="AI6" s="110"/>
      <c r="AJ6" s="110"/>
      <c r="AK6" s="110"/>
      <c r="AL6" s="110"/>
      <c r="AM6" s="110"/>
      <c r="AN6" s="110"/>
      <c r="AO6" s="110"/>
      <c r="AP6" s="110"/>
      <c r="AQ6" s="110"/>
      <c r="AR6" s="110"/>
      <c r="AS6" s="110"/>
      <c r="AT6" s="110"/>
      <c r="AU6" s="110"/>
      <c r="AV6" s="110"/>
      <c r="AW6" s="110"/>
      <c r="AX6" s="110"/>
      <c r="AY6" s="110"/>
      <c r="AZ6" s="110"/>
      <c r="BA6" s="110"/>
      <c r="BB6" s="110"/>
      <c r="BC6" s="110"/>
      <c r="BD6" s="110"/>
      <c r="BE6" s="110"/>
      <c r="BF6" s="110"/>
      <c r="BG6" s="110"/>
      <c r="BH6" s="110"/>
      <c r="BI6" s="110"/>
      <c r="BJ6" s="110"/>
      <c r="BK6" s="110"/>
      <c r="BL6" s="110"/>
      <c r="BM6" s="110"/>
      <c r="BN6" s="110"/>
      <c r="BO6" s="110"/>
      <c r="BP6" s="110"/>
      <c r="BQ6" s="110"/>
      <c r="BR6" s="110"/>
      <c r="BS6" s="110"/>
      <c r="BT6" s="110"/>
      <c r="BU6" s="110"/>
      <c r="BV6" s="110"/>
      <c r="BW6" s="110"/>
      <c r="BX6" s="110"/>
      <c r="BY6" s="110"/>
      <c r="BZ6" s="110"/>
      <c r="CA6" s="110"/>
      <c r="CB6" s="110"/>
      <c r="CC6" s="110"/>
      <c r="CD6" s="110"/>
      <c r="CE6" s="110"/>
      <c r="CF6" s="110"/>
      <c r="CG6" s="110"/>
      <c r="CH6" s="110"/>
      <c r="CI6" s="110"/>
      <c r="CJ6" s="110"/>
      <c r="CK6" s="110"/>
      <c r="CL6" s="110"/>
      <c r="CM6" s="110"/>
      <c r="CN6" s="110"/>
      <c r="CO6" s="110"/>
      <c r="CP6" s="110"/>
      <c r="CQ6" s="110"/>
      <c r="CR6" s="110"/>
      <c r="CS6" s="110"/>
      <c r="CT6" s="110"/>
      <c r="CU6" s="110"/>
      <c r="CV6" s="110"/>
      <c r="CW6" s="110"/>
      <c r="CX6" s="110"/>
      <c r="CY6" s="110"/>
      <c r="CZ6" s="110"/>
      <c r="DA6" s="110"/>
      <c r="DB6" s="110"/>
      <c r="DC6" s="110"/>
      <c r="DD6" s="110"/>
      <c r="DE6" s="110"/>
      <c r="DF6" s="110"/>
      <c r="DG6" s="110"/>
      <c r="DH6" s="110"/>
      <c r="DI6" s="110"/>
      <c r="DJ6" s="110"/>
      <c r="DK6" s="110"/>
      <c r="DL6" s="110"/>
      <c r="DM6" s="110"/>
      <c r="DN6" s="110"/>
      <c r="DO6" s="110"/>
      <c r="DP6" s="110"/>
      <c r="DQ6" s="110"/>
      <c r="DR6" s="110"/>
      <c r="DS6" s="110"/>
      <c r="DT6" s="110"/>
      <c r="DU6" s="110"/>
      <c r="DV6" s="110"/>
      <c r="DW6" s="110"/>
      <c r="DX6" s="110"/>
      <c r="DY6" s="110"/>
      <c r="DZ6" s="110"/>
      <c r="EA6" s="110"/>
      <c r="EB6" s="110"/>
      <c r="EC6" s="110"/>
      <c r="ED6" s="110"/>
      <c r="EE6" s="110"/>
      <c r="EF6" s="110"/>
      <c r="EG6" s="110"/>
      <c r="EH6" s="110"/>
      <c r="EI6" s="110"/>
      <c r="EJ6" s="110"/>
      <c r="EK6" s="111"/>
      <c r="EL6" s="110"/>
      <c r="EM6" s="110"/>
      <c r="EN6" s="110"/>
      <c r="EO6" s="110"/>
      <c r="EP6" s="110"/>
      <c r="EQ6" s="110"/>
      <c r="ER6" s="110"/>
      <c r="ES6" s="110"/>
      <c r="ET6" s="110"/>
      <c r="EU6" s="110"/>
      <c r="EV6" s="111"/>
    </row>
    <row r="7" spans="1:152" ht="14.5" x14ac:dyDescent="0.35">
      <c r="A7" s="108">
        <v>4848783208</v>
      </c>
      <c r="B7" s="109" t="s">
        <v>130</v>
      </c>
      <c r="C7" s="110" t="s">
        <v>130</v>
      </c>
      <c r="D7" s="111" t="s">
        <v>138</v>
      </c>
      <c r="E7" s="111" t="s">
        <v>411</v>
      </c>
      <c r="F7" s="110" t="s">
        <v>412</v>
      </c>
      <c r="G7" s="112">
        <v>43230</v>
      </c>
      <c r="H7" s="110" t="s">
        <v>203</v>
      </c>
      <c r="I7" s="117" t="s">
        <v>135</v>
      </c>
      <c r="J7" s="110" t="s">
        <v>133</v>
      </c>
      <c r="K7" s="110" t="s">
        <v>136</v>
      </c>
      <c r="L7" s="113">
        <v>21767</v>
      </c>
      <c r="M7" s="114">
        <v>43201</v>
      </c>
      <c r="N7" s="115">
        <f t="shared" si="0"/>
        <v>58</v>
      </c>
      <c r="O7" s="116" t="s">
        <v>399</v>
      </c>
      <c r="P7" s="110" t="s">
        <v>138</v>
      </c>
      <c r="Q7" s="110">
        <v>1</v>
      </c>
      <c r="R7" s="120" t="s">
        <v>148</v>
      </c>
      <c r="S7" s="110"/>
      <c r="T7" s="110"/>
      <c r="U7" s="110"/>
      <c r="V7" s="110"/>
      <c r="W7" s="110"/>
      <c r="X7" s="110"/>
      <c r="Y7" s="110"/>
      <c r="Z7" s="110"/>
      <c r="AA7" s="110"/>
      <c r="AB7" s="110"/>
      <c r="AC7" s="110"/>
      <c r="AD7" s="110"/>
      <c r="AE7" s="110"/>
      <c r="AF7" s="110"/>
      <c r="AG7" s="110"/>
      <c r="AH7" s="110"/>
      <c r="AI7" s="110"/>
      <c r="AJ7" s="110"/>
      <c r="AK7" s="110"/>
      <c r="AL7" s="110"/>
      <c r="AM7" s="110"/>
      <c r="AN7" s="110"/>
      <c r="AO7" s="110"/>
      <c r="AP7" s="110"/>
      <c r="AQ7" s="110"/>
      <c r="AR7" s="110"/>
      <c r="AS7" s="110"/>
      <c r="AT7" s="110"/>
      <c r="AU7" s="110"/>
      <c r="AV7" s="110"/>
      <c r="AW7" s="110"/>
      <c r="AX7" s="110"/>
      <c r="AY7" s="110"/>
      <c r="AZ7" s="110"/>
      <c r="BA7" s="110"/>
      <c r="BB7" s="110"/>
      <c r="BC7" s="110"/>
      <c r="BD7" s="110"/>
      <c r="BE7" s="110"/>
      <c r="BF7" s="110"/>
      <c r="BG7" s="110"/>
      <c r="BH7" s="110"/>
      <c r="BI7" s="110"/>
      <c r="BJ7" s="110"/>
      <c r="BK7" s="110"/>
      <c r="BL7" s="110"/>
      <c r="BM7" s="110"/>
      <c r="BN7" s="110"/>
      <c r="BO7" s="110"/>
      <c r="BP7" s="110"/>
      <c r="BQ7" s="110"/>
      <c r="BR7" s="110"/>
      <c r="BS7" s="110"/>
      <c r="BT7" s="110"/>
      <c r="BU7" s="110"/>
      <c r="BV7" s="110"/>
      <c r="BW7" s="110"/>
      <c r="BX7" s="110"/>
      <c r="BY7" s="110"/>
      <c r="BZ7" s="110"/>
      <c r="CA7" s="110"/>
      <c r="CB7" s="110"/>
      <c r="CC7" s="110"/>
      <c r="CD7" s="110"/>
      <c r="CE7" s="110"/>
      <c r="CF7" s="110"/>
      <c r="CG7" s="110"/>
      <c r="CH7" s="110"/>
      <c r="CI7" s="110"/>
      <c r="CJ7" s="110"/>
      <c r="CK7" s="110"/>
      <c r="CL7" s="110"/>
      <c r="CM7" s="110"/>
      <c r="CN7" s="110"/>
      <c r="CO7" s="110"/>
      <c r="CP7" s="110"/>
      <c r="CQ7" s="110"/>
      <c r="CR7" s="110"/>
      <c r="CS7" s="110"/>
      <c r="CT7" s="110"/>
      <c r="CU7" s="110"/>
      <c r="CV7" s="110"/>
      <c r="CW7" s="110"/>
      <c r="CX7" s="110"/>
      <c r="CY7" s="110"/>
      <c r="CZ7" s="110"/>
      <c r="DA7" s="110"/>
      <c r="DB7" s="110"/>
      <c r="DC7" s="110"/>
      <c r="DD7" s="110"/>
      <c r="DE7" s="110"/>
      <c r="DF7" s="110"/>
      <c r="DG7" s="110"/>
      <c r="DH7" s="110"/>
      <c r="DI7" s="110"/>
      <c r="DJ7" s="110"/>
      <c r="DK7" s="110"/>
      <c r="DL7" s="110"/>
      <c r="DM7" s="110"/>
      <c r="DN7" s="110"/>
      <c r="DO7" s="110"/>
      <c r="DP7" s="110"/>
      <c r="DQ7" s="110"/>
      <c r="DR7" s="110"/>
      <c r="DS7" s="110"/>
      <c r="DT7" s="110"/>
      <c r="DU7" s="110"/>
      <c r="DV7" s="110"/>
      <c r="DW7" s="110"/>
      <c r="DX7" s="110"/>
      <c r="DY7" s="110"/>
      <c r="DZ7" s="110"/>
      <c r="EA7" s="110"/>
      <c r="EB7" s="110"/>
      <c r="EC7" s="110"/>
      <c r="ED7" s="110"/>
      <c r="EE7" s="110"/>
      <c r="EF7" s="110"/>
      <c r="EG7" s="110"/>
      <c r="EH7" s="110"/>
      <c r="EI7" s="110"/>
      <c r="EJ7" s="110"/>
      <c r="EK7" s="111"/>
      <c r="EL7" s="110"/>
      <c r="EM7" s="110"/>
      <c r="EN7" s="110"/>
      <c r="EO7" s="110"/>
      <c r="EP7" s="110"/>
      <c r="EQ7" s="110"/>
      <c r="ER7" s="110"/>
      <c r="ES7" s="110"/>
      <c r="ET7" s="110"/>
      <c r="EU7" s="110"/>
      <c r="EV7" s="111"/>
    </row>
    <row r="8" spans="1:152" ht="14.5" x14ac:dyDescent="0.35">
      <c r="A8" s="108">
        <v>4482209414</v>
      </c>
      <c r="B8" s="109" t="s">
        <v>130</v>
      </c>
      <c r="C8" s="110" t="s">
        <v>130</v>
      </c>
      <c r="D8" s="111" t="s">
        <v>138</v>
      </c>
      <c r="E8" s="111" t="s">
        <v>413</v>
      </c>
      <c r="F8" s="110" t="s">
        <v>218</v>
      </c>
      <c r="G8" s="112">
        <v>43231</v>
      </c>
      <c r="H8" s="110" t="s">
        <v>203</v>
      </c>
      <c r="I8" s="117" t="s">
        <v>135</v>
      </c>
      <c r="J8" s="110" t="s">
        <v>133</v>
      </c>
      <c r="K8" s="110" t="s">
        <v>136</v>
      </c>
      <c r="L8" s="113">
        <v>18581</v>
      </c>
      <c r="M8" s="114">
        <v>43186</v>
      </c>
      <c r="N8" s="115">
        <f t="shared" si="0"/>
        <v>67</v>
      </c>
      <c r="O8" s="116" t="s">
        <v>399</v>
      </c>
      <c r="P8" s="110" t="s">
        <v>138</v>
      </c>
      <c r="Q8" s="110">
        <v>3</v>
      </c>
      <c r="R8" s="120">
        <v>2</v>
      </c>
      <c r="S8" s="110"/>
      <c r="T8" s="110"/>
      <c r="U8" s="110"/>
      <c r="V8" s="110"/>
      <c r="W8" s="110"/>
      <c r="X8" s="110"/>
      <c r="Y8" s="110"/>
      <c r="Z8" s="110"/>
      <c r="AA8" s="110"/>
      <c r="AB8" s="110"/>
      <c r="AC8" s="110"/>
      <c r="AD8" s="110"/>
      <c r="AE8" s="110"/>
      <c r="AF8" s="110"/>
      <c r="AG8" s="110"/>
      <c r="AH8" s="110"/>
      <c r="AI8" s="110"/>
      <c r="AJ8" s="110"/>
      <c r="AK8" s="110"/>
      <c r="AL8" s="110"/>
      <c r="AM8" s="110"/>
      <c r="AN8" s="110"/>
      <c r="AO8" s="110"/>
      <c r="AP8" s="110"/>
      <c r="AQ8" s="110"/>
      <c r="AR8" s="110"/>
      <c r="AS8" s="110"/>
      <c r="AT8" s="110"/>
      <c r="AU8" s="110"/>
      <c r="AV8" s="110"/>
      <c r="AW8" s="110"/>
      <c r="AX8" s="110"/>
      <c r="AY8" s="110"/>
      <c r="AZ8" s="110"/>
      <c r="BA8" s="110"/>
      <c r="BB8" s="110"/>
      <c r="BC8" s="110"/>
      <c r="BD8" s="110"/>
      <c r="BE8" s="110"/>
      <c r="BF8" s="110"/>
      <c r="BG8" s="110"/>
      <c r="BH8" s="110"/>
      <c r="BI8" s="110"/>
      <c r="BJ8" s="110"/>
      <c r="BK8" s="110"/>
      <c r="BL8" s="110"/>
      <c r="BM8" s="110"/>
      <c r="BN8" s="110"/>
      <c r="BO8" s="110"/>
      <c r="BP8" s="110"/>
      <c r="BQ8" s="110"/>
      <c r="BR8" s="110"/>
      <c r="BS8" s="110"/>
      <c r="BT8" s="110"/>
      <c r="BU8" s="110"/>
      <c r="BV8" s="110"/>
      <c r="BW8" s="110"/>
      <c r="BX8" s="110"/>
      <c r="BY8" s="110"/>
      <c r="BZ8" s="110"/>
      <c r="CA8" s="110"/>
      <c r="CB8" s="110"/>
      <c r="CC8" s="110"/>
      <c r="CD8" s="110"/>
      <c r="CE8" s="110"/>
      <c r="CF8" s="110"/>
      <c r="CG8" s="110"/>
      <c r="CH8" s="110"/>
      <c r="CI8" s="110"/>
      <c r="CJ8" s="110"/>
      <c r="CK8" s="110"/>
      <c r="CL8" s="110"/>
      <c r="CM8" s="110"/>
      <c r="CN8" s="110"/>
      <c r="CO8" s="110"/>
      <c r="CP8" s="110"/>
      <c r="CQ8" s="110"/>
      <c r="CR8" s="110"/>
      <c r="CS8" s="110"/>
      <c r="CT8" s="110"/>
      <c r="CU8" s="110"/>
      <c r="CV8" s="110"/>
      <c r="CW8" s="110"/>
      <c r="CX8" s="110"/>
      <c r="CY8" s="110"/>
      <c r="CZ8" s="110"/>
      <c r="DA8" s="110"/>
      <c r="DB8" s="110"/>
      <c r="DC8" s="110"/>
      <c r="DD8" s="110"/>
      <c r="DE8" s="110"/>
      <c r="DF8" s="110"/>
      <c r="DG8" s="110"/>
      <c r="DH8" s="110"/>
      <c r="DI8" s="110"/>
      <c r="DJ8" s="110"/>
      <c r="DK8" s="110"/>
      <c r="DL8" s="110"/>
      <c r="DM8" s="110"/>
      <c r="DN8" s="110"/>
      <c r="DO8" s="110"/>
      <c r="DP8" s="110"/>
      <c r="DQ8" s="110"/>
      <c r="DR8" s="110"/>
      <c r="DS8" s="110"/>
      <c r="DT8" s="110"/>
      <c r="DU8" s="110"/>
      <c r="DV8" s="110"/>
      <c r="DW8" s="110"/>
      <c r="DX8" s="110"/>
      <c r="DY8" s="110"/>
      <c r="DZ8" s="110"/>
      <c r="EA8" s="110"/>
      <c r="EB8" s="110"/>
      <c r="EC8" s="110"/>
      <c r="ED8" s="110"/>
      <c r="EE8" s="110"/>
      <c r="EF8" s="110"/>
      <c r="EG8" s="110"/>
      <c r="EH8" s="110"/>
      <c r="EI8" s="110"/>
      <c r="EJ8" s="110"/>
      <c r="EK8" s="111"/>
      <c r="EL8" s="110"/>
      <c r="EM8" s="110"/>
      <c r="EN8" s="110"/>
      <c r="EO8" s="110"/>
      <c r="EP8" s="110"/>
      <c r="EQ8" s="110"/>
      <c r="ER8" s="110"/>
      <c r="ES8" s="110"/>
      <c r="ET8" s="110"/>
      <c r="EU8" s="110"/>
      <c r="EV8" s="111"/>
    </row>
    <row r="9" spans="1:152" ht="14.5" x14ac:dyDescent="0.35">
      <c r="A9" s="108">
        <v>4849472818</v>
      </c>
      <c r="B9" s="109" t="s">
        <v>130</v>
      </c>
      <c r="C9" s="110" t="s">
        <v>130</v>
      </c>
      <c r="D9" s="111" t="s">
        <v>138</v>
      </c>
      <c r="E9" s="111" t="s">
        <v>414</v>
      </c>
      <c r="F9" s="110" t="s">
        <v>415</v>
      </c>
      <c r="G9" s="112">
        <v>43231</v>
      </c>
      <c r="H9" s="110" t="s">
        <v>134</v>
      </c>
      <c r="I9" s="117" t="s">
        <v>135</v>
      </c>
      <c r="J9" s="110" t="s">
        <v>133</v>
      </c>
      <c r="K9" s="110" t="s">
        <v>136</v>
      </c>
      <c r="L9" s="113">
        <v>23252</v>
      </c>
      <c r="M9" s="114">
        <v>43195</v>
      </c>
      <c r="N9" s="115">
        <f t="shared" si="0"/>
        <v>54</v>
      </c>
      <c r="O9" s="116" t="s">
        <v>416</v>
      </c>
      <c r="P9" s="110" t="s">
        <v>138</v>
      </c>
      <c r="Q9" s="110">
        <v>1</v>
      </c>
      <c r="R9" s="120" t="s">
        <v>234</v>
      </c>
      <c r="S9" s="110"/>
      <c r="T9" s="110"/>
      <c r="U9" s="110"/>
      <c r="V9" s="110"/>
      <c r="W9" s="110"/>
      <c r="X9" s="110"/>
      <c r="Y9" s="110"/>
      <c r="Z9" s="110"/>
      <c r="AA9" s="110"/>
      <c r="AB9" s="110"/>
      <c r="AC9" s="110"/>
      <c r="AD9" s="110"/>
      <c r="AE9" s="110"/>
      <c r="AF9" s="110"/>
      <c r="AG9" s="110"/>
      <c r="AH9" s="110"/>
      <c r="AI9" s="110"/>
      <c r="AJ9" s="110"/>
      <c r="AK9" s="110"/>
      <c r="AL9" s="110"/>
      <c r="AM9" s="110"/>
      <c r="AN9" s="110"/>
      <c r="AO9" s="110"/>
      <c r="AP9" s="110"/>
      <c r="AQ9" s="110"/>
      <c r="AR9" s="110"/>
      <c r="AS9" s="110"/>
      <c r="AT9" s="110"/>
      <c r="AU9" s="110"/>
      <c r="AV9" s="110"/>
      <c r="AW9" s="110"/>
      <c r="AX9" s="110"/>
      <c r="AY9" s="110"/>
      <c r="AZ9" s="110"/>
      <c r="BA9" s="110"/>
      <c r="BB9" s="110"/>
      <c r="BC9" s="110"/>
      <c r="BD9" s="110"/>
      <c r="BE9" s="110"/>
      <c r="BF9" s="110"/>
      <c r="BG9" s="110"/>
      <c r="BH9" s="110"/>
      <c r="BI9" s="110"/>
      <c r="BJ9" s="110"/>
      <c r="BK9" s="110"/>
      <c r="BL9" s="110"/>
      <c r="BM9" s="110"/>
      <c r="BN9" s="110"/>
      <c r="BO9" s="110"/>
      <c r="BP9" s="110"/>
      <c r="BQ9" s="110"/>
      <c r="BR9" s="110"/>
      <c r="BS9" s="110"/>
      <c r="BT9" s="110"/>
      <c r="BU9" s="110"/>
      <c r="BV9" s="110"/>
      <c r="BW9" s="110"/>
      <c r="BX9" s="110"/>
      <c r="BY9" s="110"/>
      <c r="BZ9" s="110"/>
      <c r="CA9" s="110"/>
      <c r="CB9" s="110"/>
      <c r="CC9" s="110"/>
      <c r="CD9" s="110"/>
      <c r="CE9" s="110"/>
      <c r="CF9" s="110"/>
      <c r="CG9" s="110"/>
      <c r="CH9" s="110"/>
      <c r="CI9" s="110"/>
      <c r="CJ9" s="110"/>
      <c r="CK9" s="110"/>
      <c r="CL9" s="110"/>
      <c r="CM9" s="110"/>
      <c r="CN9" s="110"/>
      <c r="CO9" s="110"/>
      <c r="CP9" s="110"/>
      <c r="CQ9" s="110"/>
      <c r="CR9" s="110"/>
      <c r="CS9" s="110"/>
      <c r="CT9" s="110"/>
      <c r="CU9" s="110"/>
      <c r="CV9" s="110"/>
      <c r="CW9" s="110"/>
      <c r="CX9" s="110"/>
      <c r="CY9" s="110"/>
      <c r="CZ9" s="110"/>
      <c r="DA9" s="110"/>
      <c r="DB9" s="110"/>
      <c r="DC9" s="110"/>
      <c r="DD9" s="110"/>
      <c r="DE9" s="110"/>
      <c r="DF9" s="110"/>
      <c r="DG9" s="110"/>
      <c r="DH9" s="110"/>
      <c r="DI9" s="110"/>
      <c r="DJ9" s="110"/>
      <c r="DK9" s="110"/>
      <c r="DL9" s="110"/>
      <c r="DM9" s="110"/>
      <c r="DN9" s="110"/>
      <c r="DO9" s="110"/>
      <c r="DP9" s="110"/>
      <c r="DQ9" s="110"/>
      <c r="DR9" s="110"/>
      <c r="DS9" s="110"/>
      <c r="DT9" s="110"/>
      <c r="DU9" s="110"/>
      <c r="DV9" s="110"/>
      <c r="DW9" s="110"/>
      <c r="DX9" s="110"/>
      <c r="DY9" s="110"/>
      <c r="DZ9" s="110"/>
      <c r="EA9" s="110"/>
      <c r="EB9" s="110"/>
      <c r="EC9" s="110"/>
      <c r="ED9" s="110"/>
      <c r="EE9" s="110"/>
      <c r="EF9" s="110"/>
      <c r="EG9" s="110"/>
      <c r="EH9" s="110"/>
      <c r="EI9" s="110"/>
      <c r="EJ9" s="110"/>
      <c r="EK9" s="111"/>
      <c r="EL9" s="110"/>
      <c r="EM9" s="110"/>
      <c r="EN9" s="110"/>
      <c r="EO9" s="110"/>
      <c r="EP9" s="110"/>
      <c r="EQ9" s="110"/>
      <c r="ER9" s="110"/>
      <c r="ES9" s="110"/>
      <c r="ET9" s="110"/>
      <c r="EU9" s="110"/>
      <c r="EV9" s="111"/>
    </row>
    <row r="10" spans="1:152" ht="14.5" x14ac:dyDescent="0.35">
      <c r="A10" s="108">
        <v>4423755157</v>
      </c>
      <c r="B10" s="109" t="s">
        <v>130</v>
      </c>
      <c r="C10" s="110" t="s">
        <v>130</v>
      </c>
      <c r="D10" s="111" t="s">
        <v>138</v>
      </c>
      <c r="E10" s="111" t="s">
        <v>417</v>
      </c>
      <c r="F10" s="110" t="s">
        <v>418</v>
      </c>
      <c r="G10" s="112">
        <v>43236</v>
      </c>
      <c r="H10" s="121" t="s">
        <v>270</v>
      </c>
      <c r="I10" s="117" t="s">
        <v>135</v>
      </c>
      <c r="J10" s="110" t="s">
        <v>133</v>
      </c>
      <c r="K10" s="110" t="s">
        <v>136</v>
      </c>
      <c r="L10" s="113">
        <v>16964</v>
      </c>
      <c r="M10" s="114">
        <v>43208</v>
      </c>
      <c r="N10" s="115">
        <f t="shared" si="0"/>
        <v>71</v>
      </c>
      <c r="O10" s="116" t="s">
        <v>419</v>
      </c>
      <c r="P10" s="117" t="s">
        <v>138</v>
      </c>
      <c r="Q10" s="110">
        <v>3</v>
      </c>
      <c r="R10" s="120" t="s">
        <v>198</v>
      </c>
      <c r="S10" s="110"/>
      <c r="T10" s="110"/>
      <c r="U10" s="110"/>
      <c r="V10" s="110"/>
      <c r="W10" s="110"/>
      <c r="X10" s="110"/>
      <c r="Y10" s="110"/>
      <c r="Z10" s="110"/>
      <c r="AA10" s="110"/>
      <c r="AB10" s="110"/>
      <c r="AC10" s="110"/>
      <c r="AD10" s="110"/>
      <c r="AE10" s="110"/>
      <c r="AF10" s="110"/>
      <c r="AG10" s="110"/>
      <c r="AH10" s="110"/>
      <c r="AI10" s="110"/>
      <c r="AJ10" s="110"/>
      <c r="AK10" s="110"/>
      <c r="AL10" s="110"/>
      <c r="AM10" s="110"/>
      <c r="AN10" s="110"/>
      <c r="AO10" s="110"/>
      <c r="AP10" s="110"/>
      <c r="AQ10" s="110"/>
      <c r="AR10" s="110"/>
      <c r="AS10" s="110"/>
      <c r="AT10" s="110"/>
      <c r="AU10" s="110"/>
      <c r="AV10" s="110"/>
      <c r="AW10" s="110"/>
      <c r="AX10" s="110"/>
      <c r="AY10" s="110"/>
      <c r="AZ10" s="110"/>
      <c r="BA10" s="110"/>
      <c r="BB10" s="110"/>
      <c r="BC10" s="110"/>
      <c r="BD10" s="110"/>
      <c r="BE10" s="110"/>
      <c r="BF10" s="110"/>
      <c r="BG10" s="110"/>
      <c r="BH10" s="110"/>
      <c r="BI10" s="110"/>
      <c r="BJ10" s="110"/>
      <c r="BK10" s="110"/>
      <c r="BL10" s="110"/>
      <c r="BM10" s="110"/>
      <c r="BN10" s="110"/>
      <c r="BO10" s="110"/>
      <c r="BP10" s="110"/>
      <c r="BQ10" s="110"/>
      <c r="BR10" s="110"/>
      <c r="BS10" s="110"/>
      <c r="BT10" s="110"/>
      <c r="BU10" s="110"/>
      <c r="BV10" s="110"/>
      <c r="BW10" s="110"/>
      <c r="BX10" s="110"/>
      <c r="BY10" s="110"/>
      <c r="BZ10" s="110"/>
      <c r="CA10" s="110"/>
      <c r="CB10" s="110"/>
      <c r="CC10" s="110"/>
      <c r="CD10" s="110"/>
      <c r="CE10" s="110"/>
      <c r="CF10" s="110"/>
      <c r="CG10" s="110"/>
      <c r="CH10" s="110"/>
      <c r="CI10" s="110"/>
      <c r="CJ10" s="110"/>
      <c r="CK10" s="110"/>
      <c r="CL10" s="110"/>
      <c r="CM10" s="110"/>
      <c r="CN10" s="110"/>
      <c r="CO10" s="110"/>
      <c r="CP10" s="110"/>
      <c r="CQ10" s="110"/>
      <c r="CR10" s="110"/>
      <c r="CS10" s="110"/>
      <c r="CT10" s="110"/>
      <c r="CU10" s="110"/>
      <c r="CV10" s="110"/>
      <c r="CW10" s="110"/>
      <c r="CX10" s="110"/>
      <c r="CY10" s="110"/>
      <c r="CZ10" s="110"/>
      <c r="DA10" s="110"/>
      <c r="DB10" s="110"/>
      <c r="DC10" s="110"/>
      <c r="DD10" s="110"/>
      <c r="DE10" s="110"/>
      <c r="DF10" s="110"/>
      <c r="DG10" s="110"/>
      <c r="DH10" s="110"/>
      <c r="DI10" s="110"/>
      <c r="DJ10" s="110"/>
      <c r="DK10" s="110"/>
      <c r="DL10" s="110"/>
      <c r="DM10" s="110"/>
      <c r="DN10" s="110"/>
      <c r="DO10" s="110"/>
      <c r="DP10" s="110"/>
      <c r="DQ10" s="110"/>
      <c r="DR10" s="110"/>
      <c r="DS10" s="110"/>
      <c r="DT10" s="110"/>
      <c r="DU10" s="110"/>
      <c r="DV10" s="110"/>
      <c r="DW10" s="110"/>
      <c r="DX10" s="110"/>
      <c r="DY10" s="110"/>
      <c r="DZ10" s="110"/>
      <c r="EA10" s="110"/>
      <c r="EB10" s="110"/>
      <c r="EC10" s="110"/>
      <c r="ED10" s="110"/>
      <c r="EE10" s="110"/>
      <c r="EF10" s="110"/>
      <c r="EG10" s="110"/>
      <c r="EH10" s="110"/>
      <c r="EI10" s="110"/>
      <c r="EJ10" s="110"/>
      <c r="EK10" s="111"/>
      <c r="EL10" s="110"/>
      <c r="EM10" s="110"/>
      <c r="EN10" s="110"/>
      <c r="EO10" s="110"/>
      <c r="EP10" s="110"/>
      <c r="EQ10" s="110"/>
      <c r="ER10" s="110"/>
      <c r="ES10" s="110"/>
      <c r="ET10" s="110"/>
      <c r="EU10" s="110"/>
      <c r="EV10" s="111"/>
    </row>
    <row r="11" spans="1:152" ht="14.5" x14ac:dyDescent="0.35">
      <c r="A11" s="108">
        <v>4606237317</v>
      </c>
      <c r="B11" s="109" t="s">
        <v>130</v>
      </c>
      <c r="C11" s="109" t="s">
        <v>130</v>
      </c>
      <c r="D11" s="111" t="s">
        <v>138</v>
      </c>
      <c r="E11" s="111" t="s">
        <v>420</v>
      </c>
      <c r="F11" s="110" t="s">
        <v>260</v>
      </c>
      <c r="G11" s="112">
        <v>43242</v>
      </c>
      <c r="H11" s="110" t="s">
        <v>270</v>
      </c>
      <c r="I11" s="117" t="s">
        <v>135</v>
      </c>
      <c r="J11" s="110" t="s">
        <v>133</v>
      </c>
      <c r="K11" s="110" t="s">
        <v>136</v>
      </c>
      <c r="L11" s="113">
        <v>19419</v>
      </c>
      <c r="M11" s="114">
        <v>43215</v>
      </c>
      <c r="N11" s="115">
        <f t="shared" si="0"/>
        <v>65</v>
      </c>
      <c r="O11" s="116" t="s">
        <v>421</v>
      </c>
      <c r="P11" s="117" t="s">
        <v>138</v>
      </c>
      <c r="Q11" s="110">
        <v>3</v>
      </c>
      <c r="R11" s="120" t="s">
        <v>422</v>
      </c>
      <c r="S11" s="110"/>
      <c r="T11" s="110"/>
      <c r="U11" s="110"/>
      <c r="V11" s="110"/>
      <c r="W11" s="110"/>
      <c r="X11" s="110"/>
      <c r="Y11" s="110"/>
      <c r="Z11" s="110"/>
      <c r="AA11" s="110"/>
      <c r="AB11" s="110"/>
      <c r="AC11" s="110"/>
      <c r="AD11" s="110"/>
      <c r="AE11" s="110"/>
      <c r="AF11" s="110"/>
      <c r="AG11" s="110"/>
      <c r="AH11" s="110"/>
      <c r="AI11" s="110"/>
      <c r="AJ11" s="110"/>
      <c r="AK11" s="110"/>
      <c r="AL11" s="110"/>
      <c r="AM11" s="110"/>
      <c r="AN11" s="110"/>
      <c r="AO11" s="110"/>
      <c r="AP11" s="110"/>
      <c r="AQ11" s="110"/>
      <c r="AR11" s="110"/>
      <c r="AS11" s="110"/>
      <c r="AT11" s="110"/>
      <c r="AU11" s="110"/>
      <c r="AV11" s="110"/>
      <c r="AW11" s="110"/>
      <c r="AX11" s="110"/>
      <c r="AY11" s="110"/>
      <c r="AZ11" s="110"/>
      <c r="BA11" s="110"/>
      <c r="BB11" s="110"/>
      <c r="BC11" s="110"/>
      <c r="BD11" s="110"/>
      <c r="BE11" s="110"/>
      <c r="BF11" s="110"/>
      <c r="BG11" s="110"/>
      <c r="BH11" s="110"/>
      <c r="BI11" s="110"/>
      <c r="BJ11" s="110"/>
      <c r="BK11" s="110"/>
      <c r="BL11" s="110"/>
      <c r="BM11" s="110"/>
      <c r="BN11" s="110"/>
      <c r="BO11" s="110"/>
      <c r="BP11" s="110"/>
      <c r="BQ11" s="110"/>
      <c r="BR11" s="110"/>
      <c r="BS11" s="110"/>
      <c r="BT11" s="110"/>
      <c r="BU11" s="110"/>
      <c r="BV11" s="110"/>
      <c r="BW11" s="110"/>
      <c r="BX11" s="110"/>
      <c r="BY11" s="110"/>
      <c r="BZ11" s="110"/>
      <c r="CA11" s="110"/>
      <c r="CB11" s="110"/>
      <c r="CC11" s="110"/>
      <c r="CD11" s="110"/>
      <c r="CE11" s="110"/>
      <c r="CF11" s="110"/>
      <c r="CG11" s="110"/>
      <c r="CH11" s="110"/>
      <c r="CI11" s="110"/>
      <c r="CJ11" s="110"/>
      <c r="CK11" s="110"/>
      <c r="CL11" s="110"/>
      <c r="CM11" s="110"/>
      <c r="CN11" s="110"/>
      <c r="CO11" s="110"/>
      <c r="CP11" s="110"/>
      <c r="CQ11" s="110"/>
      <c r="CR11" s="110"/>
      <c r="CS11" s="110"/>
      <c r="CT11" s="110"/>
      <c r="CU11" s="110"/>
      <c r="CV11" s="110"/>
      <c r="CW11" s="110"/>
      <c r="CX11" s="110"/>
      <c r="CY11" s="110"/>
      <c r="CZ11" s="110"/>
      <c r="DA11" s="110"/>
      <c r="DB11" s="110"/>
      <c r="DC11" s="110"/>
      <c r="DD11" s="110"/>
      <c r="DE11" s="110"/>
      <c r="DF11" s="110"/>
      <c r="DG11" s="110"/>
      <c r="DH11" s="110"/>
      <c r="DI11" s="110"/>
      <c r="DJ11" s="110"/>
      <c r="DK11" s="110"/>
      <c r="DL11" s="110"/>
      <c r="DM11" s="110"/>
      <c r="DN11" s="110"/>
      <c r="DO11" s="110"/>
      <c r="DP11" s="110"/>
      <c r="DQ11" s="110"/>
      <c r="DR11" s="110"/>
      <c r="DS11" s="110"/>
      <c r="DT11" s="110"/>
      <c r="DU11" s="110"/>
      <c r="DV11" s="110"/>
      <c r="DW11" s="110"/>
      <c r="DX11" s="110"/>
      <c r="DY11" s="110"/>
      <c r="DZ11" s="110"/>
      <c r="EA11" s="110"/>
      <c r="EB11" s="110"/>
      <c r="EC11" s="110"/>
      <c r="ED11" s="110"/>
      <c r="EE11" s="110"/>
      <c r="EF11" s="110"/>
      <c r="EG11" s="110"/>
      <c r="EH11" s="110"/>
      <c r="EI11" s="110"/>
      <c r="EJ11" s="110"/>
      <c r="EK11" s="111"/>
      <c r="EL11" s="110"/>
      <c r="EM11" s="110"/>
      <c r="EN11" s="110"/>
      <c r="EO11" s="110"/>
      <c r="EP11" s="110"/>
      <c r="EQ11" s="110"/>
      <c r="ER11" s="110"/>
      <c r="ES11" s="110"/>
      <c r="ET11" s="110"/>
      <c r="EU11" s="110"/>
      <c r="EV11" s="111"/>
    </row>
    <row r="12" spans="1:152" ht="14.5" x14ac:dyDescent="0.35">
      <c r="A12" s="108">
        <v>6311634686</v>
      </c>
      <c r="B12" s="109" t="s">
        <v>130</v>
      </c>
      <c r="C12" s="109" t="s">
        <v>130</v>
      </c>
      <c r="D12" s="111" t="s">
        <v>138</v>
      </c>
      <c r="E12" s="111" t="s">
        <v>423</v>
      </c>
      <c r="F12" s="110" t="s">
        <v>256</v>
      </c>
      <c r="G12" s="112">
        <v>43244</v>
      </c>
      <c r="H12" s="117" t="s">
        <v>203</v>
      </c>
      <c r="I12" s="117" t="s">
        <v>135</v>
      </c>
      <c r="J12" s="110" t="s">
        <v>133</v>
      </c>
      <c r="K12" s="110" t="s">
        <v>136</v>
      </c>
      <c r="L12" s="113">
        <v>19906</v>
      </c>
      <c r="M12" s="114">
        <v>43193</v>
      </c>
      <c r="N12" s="115">
        <f t="shared" si="0"/>
        <v>63</v>
      </c>
      <c r="O12" s="116" t="s">
        <v>399</v>
      </c>
      <c r="P12" s="110" t="s">
        <v>138</v>
      </c>
      <c r="Q12" s="110">
        <v>2</v>
      </c>
      <c r="R12" s="120" t="s">
        <v>148</v>
      </c>
      <c r="S12" s="110"/>
      <c r="T12" s="110"/>
      <c r="U12" s="110"/>
      <c r="V12" s="110"/>
      <c r="W12" s="110"/>
      <c r="X12" s="110"/>
      <c r="Y12" s="110"/>
      <c r="Z12" s="110"/>
      <c r="AA12" s="110"/>
      <c r="AB12" s="110"/>
      <c r="AC12" s="110"/>
      <c r="AD12" s="110"/>
      <c r="AE12" s="110"/>
      <c r="AF12" s="110"/>
      <c r="AG12" s="110"/>
      <c r="AH12" s="110"/>
      <c r="AI12" s="110"/>
      <c r="AJ12" s="110"/>
      <c r="AK12" s="110"/>
      <c r="AL12" s="110"/>
      <c r="AM12" s="110"/>
      <c r="AN12" s="110"/>
      <c r="AO12" s="110"/>
      <c r="AP12" s="110"/>
      <c r="AQ12" s="110"/>
      <c r="AR12" s="110"/>
      <c r="AS12" s="110"/>
      <c r="AT12" s="110"/>
      <c r="AU12" s="110"/>
      <c r="AV12" s="110"/>
      <c r="AW12" s="110"/>
      <c r="AX12" s="110"/>
      <c r="AY12" s="110"/>
      <c r="AZ12" s="110"/>
      <c r="BA12" s="110"/>
      <c r="BB12" s="110"/>
      <c r="BC12" s="110"/>
      <c r="BD12" s="110"/>
      <c r="BE12" s="110"/>
      <c r="BF12" s="110"/>
      <c r="BG12" s="110"/>
      <c r="BH12" s="110"/>
      <c r="BI12" s="110"/>
      <c r="BJ12" s="110"/>
      <c r="BK12" s="110"/>
      <c r="BL12" s="110"/>
      <c r="BM12" s="110"/>
      <c r="BN12" s="110"/>
      <c r="BO12" s="110"/>
      <c r="BP12" s="110"/>
      <c r="BQ12" s="110"/>
      <c r="BR12" s="110"/>
      <c r="BS12" s="110"/>
      <c r="BT12" s="110"/>
      <c r="BU12" s="110"/>
      <c r="BV12" s="110"/>
      <c r="BW12" s="110"/>
      <c r="BX12" s="110"/>
      <c r="BY12" s="110"/>
      <c r="BZ12" s="110"/>
      <c r="CA12" s="110"/>
      <c r="CB12" s="110"/>
      <c r="CC12" s="110"/>
      <c r="CD12" s="110"/>
      <c r="CE12" s="110"/>
      <c r="CF12" s="110"/>
      <c r="CG12" s="110"/>
      <c r="CH12" s="110"/>
      <c r="CI12" s="110"/>
      <c r="CJ12" s="110"/>
      <c r="CK12" s="110"/>
      <c r="CL12" s="110"/>
      <c r="CM12" s="110"/>
      <c r="CN12" s="110"/>
      <c r="CO12" s="110"/>
      <c r="CP12" s="110"/>
      <c r="CQ12" s="110"/>
      <c r="CR12" s="110"/>
      <c r="CS12" s="110"/>
      <c r="CT12" s="110"/>
      <c r="CU12" s="110"/>
      <c r="CV12" s="110"/>
      <c r="CW12" s="110"/>
      <c r="CX12" s="110"/>
      <c r="CY12" s="110"/>
      <c r="CZ12" s="110"/>
      <c r="DA12" s="110"/>
      <c r="DB12" s="110"/>
      <c r="DC12" s="110"/>
      <c r="DD12" s="110"/>
      <c r="DE12" s="110"/>
      <c r="DF12" s="110"/>
      <c r="DG12" s="110"/>
      <c r="DH12" s="110"/>
      <c r="DI12" s="110"/>
      <c r="DJ12" s="110"/>
      <c r="DK12" s="110"/>
      <c r="DL12" s="110"/>
      <c r="DM12" s="110"/>
      <c r="DN12" s="110"/>
      <c r="DO12" s="110"/>
      <c r="DP12" s="110"/>
      <c r="DQ12" s="110"/>
      <c r="DR12" s="110"/>
      <c r="DS12" s="110"/>
      <c r="DT12" s="110"/>
      <c r="DU12" s="110"/>
      <c r="DV12" s="110"/>
      <c r="DW12" s="110"/>
      <c r="DX12" s="110"/>
      <c r="DY12" s="110"/>
      <c r="DZ12" s="110"/>
      <c r="EA12" s="110"/>
      <c r="EB12" s="110"/>
      <c r="EC12" s="110"/>
      <c r="ED12" s="110"/>
      <c r="EE12" s="110"/>
      <c r="EF12" s="110"/>
      <c r="EG12" s="110"/>
      <c r="EH12" s="110"/>
      <c r="EI12" s="110"/>
      <c r="EJ12" s="110"/>
      <c r="EK12" s="111"/>
      <c r="EL12" s="110"/>
      <c r="EM12" s="110"/>
      <c r="EN12" s="110"/>
      <c r="EO12" s="110"/>
      <c r="EP12" s="110"/>
      <c r="EQ12" s="110"/>
      <c r="ER12" s="110"/>
      <c r="ES12" s="110"/>
      <c r="ET12" s="110"/>
      <c r="EU12" s="110"/>
      <c r="EV12" s="111"/>
    </row>
    <row r="13" spans="1:152" ht="14.5" x14ac:dyDescent="0.35">
      <c r="A13" s="108">
        <v>4381431065</v>
      </c>
      <c r="B13" s="109" t="s">
        <v>130</v>
      </c>
      <c r="C13" s="109" t="s">
        <v>130</v>
      </c>
      <c r="D13" s="111" t="s">
        <v>138</v>
      </c>
      <c r="E13" s="111" t="s">
        <v>424</v>
      </c>
      <c r="F13" s="110" t="s">
        <v>297</v>
      </c>
      <c r="G13" s="112">
        <v>43245</v>
      </c>
      <c r="H13" s="110" t="s">
        <v>270</v>
      </c>
      <c r="I13" s="117" t="s">
        <v>135</v>
      </c>
      <c r="J13" s="110" t="s">
        <v>133</v>
      </c>
      <c r="K13" s="110" t="s">
        <v>136</v>
      </c>
      <c r="L13" s="113">
        <v>16307</v>
      </c>
      <c r="M13" s="114">
        <v>43216</v>
      </c>
      <c r="N13" s="115">
        <f t="shared" si="0"/>
        <v>73</v>
      </c>
      <c r="O13" s="116" t="s">
        <v>425</v>
      </c>
      <c r="P13" s="117" t="s">
        <v>130</v>
      </c>
      <c r="Q13" s="110">
        <v>3</v>
      </c>
      <c r="R13" s="120" t="s">
        <v>426</v>
      </c>
      <c r="S13" s="110"/>
      <c r="T13" s="110"/>
      <c r="U13" s="110"/>
      <c r="V13" s="110"/>
      <c r="W13" s="110"/>
      <c r="X13" s="110"/>
      <c r="Y13" s="110"/>
      <c r="Z13" s="110"/>
      <c r="AA13" s="110"/>
      <c r="AB13" s="110"/>
      <c r="AC13" s="110"/>
      <c r="AD13" s="110"/>
      <c r="AE13" s="110"/>
      <c r="AF13" s="110"/>
      <c r="AG13" s="110"/>
      <c r="AH13" s="110"/>
      <c r="AI13" s="110"/>
      <c r="AJ13" s="110"/>
      <c r="AK13" s="110"/>
      <c r="AL13" s="110"/>
      <c r="AM13" s="110"/>
      <c r="AN13" s="110"/>
      <c r="AO13" s="110"/>
      <c r="AP13" s="110"/>
      <c r="AQ13" s="110"/>
      <c r="AR13" s="110"/>
      <c r="AS13" s="110"/>
      <c r="AT13" s="110"/>
      <c r="AU13" s="110"/>
      <c r="AV13" s="110"/>
      <c r="AW13" s="110"/>
      <c r="AX13" s="110"/>
      <c r="AY13" s="110"/>
      <c r="AZ13" s="110"/>
      <c r="BA13" s="110"/>
      <c r="BB13" s="110"/>
      <c r="BC13" s="110"/>
      <c r="BD13" s="110"/>
      <c r="BE13" s="110"/>
      <c r="BF13" s="110"/>
      <c r="BG13" s="110"/>
      <c r="BH13" s="110"/>
      <c r="BI13" s="110"/>
      <c r="BJ13" s="110"/>
      <c r="BK13" s="110"/>
      <c r="BL13" s="110"/>
      <c r="BM13" s="110"/>
      <c r="BN13" s="110"/>
      <c r="BO13" s="110"/>
      <c r="BP13" s="110"/>
      <c r="BQ13" s="110"/>
      <c r="BR13" s="110"/>
      <c r="BS13" s="110"/>
      <c r="BT13" s="110"/>
      <c r="BU13" s="110"/>
      <c r="BV13" s="110"/>
      <c r="BW13" s="110"/>
      <c r="BX13" s="110"/>
      <c r="BY13" s="110"/>
      <c r="BZ13" s="110"/>
      <c r="CA13" s="110"/>
      <c r="CB13" s="110"/>
      <c r="CC13" s="110"/>
      <c r="CD13" s="110"/>
      <c r="CE13" s="110"/>
      <c r="CF13" s="110"/>
      <c r="CG13" s="110"/>
      <c r="CH13" s="110"/>
      <c r="CI13" s="110"/>
      <c r="CJ13" s="110"/>
      <c r="CK13" s="110"/>
      <c r="CL13" s="110"/>
      <c r="CM13" s="110"/>
      <c r="CN13" s="110"/>
      <c r="CO13" s="110"/>
      <c r="CP13" s="110"/>
      <c r="CQ13" s="110"/>
      <c r="CR13" s="110"/>
      <c r="CS13" s="110"/>
      <c r="CT13" s="110"/>
      <c r="CU13" s="110"/>
      <c r="CV13" s="110"/>
      <c r="CW13" s="110"/>
      <c r="CX13" s="110"/>
      <c r="CY13" s="110"/>
      <c r="CZ13" s="110"/>
      <c r="DA13" s="110"/>
      <c r="DB13" s="110"/>
      <c r="DC13" s="110"/>
      <c r="DD13" s="110"/>
      <c r="DE13" s="110"/>
      <c r="DF13" s="110"/>
      <c r="DG13" s="110"/>
      <c r="DH13" s="110"/>
      <c r="DI13" s="110"/>
      <c r="DJ13" s="110"/>
      <c r="DK13" s="110"/>
      <c r="DL13" s="110"/>
      <c r="DM13" s="110"/>
      <c r="DN13" s="110"/>
      <c r="DO13" s="110"/>
      <c r="DP13" s="110"/>
      <c r="DQ13" s="110"/>
      <c r="DR13" s="110"/>
      <c r="DS13" s="110"/>
      <c r="DT13" s="110"/>
      <c r="DU13" s="110"/>
      <c r="DV13" s="110"/>
      <c r="DW13" s="110"/>
      <c r="DX13" s="110"/>
      <c r="DY13" s="110"/>
      <c r="DZ13" s="110"/>
      <c r="EA13" s="110"/>
      <c r="EB13" s="110"/>
      <c r="EC13" s="110"/>
      <c r="ED13" s="110"/>
      <c r="EE13" s="110"/>
      <c r="EF13" s="110"/>
      <c r="EG13" s="110"/>
      <c r="EH13" s="110"/>
      <c r="EI13" s="110"/>
      <c r="EJ13" s="110"/>
      <c r="EK13" s="111"/>
      <c r="EL13" s="110"/>
      <c r="EM13" s="110"/>
      <c r="EN13" s="110"/>
      <c r="EO13" s="110"/>
      <c r="EP13" s="110"/>
      <c r="EQ13" s="110"/>
      <c r="ER13" s="110"/>
      <c r="ES13" s="110"/>
      <c r="ET13" s="110"/>
      <c r="EU13" s="110"/>
      <c r="EV13" s="111"/>
    </row>
    <row r="14" spans="1:152" ht="14.5" x14ac:dyDescent="0.35">
      <c r="A14" s="108">
        <v>4861939941</v>
      </c>
      <c r="B14" s="109" t="s">
        <v>130</v>
      </c>
      <c r="C14" s="109" t="s">
        <v>130</v>
      </c>
      <c r="D14" s="111" t="s">
        <v>138</v>
      </c>
      <c r="E14" s="111" t="s">
        <v>427</v>
      </c>
      <c r="F14" s="110" t="s">
        <v>428</v>
      </c>
      <c r="G14" s="112">
        <v>43239</v>
      </c>
      <c r="H14" s="110" t="s">
        <v>203</v>
      </c>
      <c r="I14" s="117" t="s">
        <v>135</v>
      </c>
      <c r="J14" s="110" t="s">
        <v>133</v>
      </c>
      <c r="K14" s="110" t="s">
        <v>136</v>
      </c>
      <c r="L14" s="113">
        <v>22540</v>
      </c>
      <c r="M14" s="114">
        <v>43210</v>
      </c>
      <c r="N14" s="115">
        <f t="shared" si="0"/>
        <v>56</v>
      </c>
      <c r="O14" s="116" t="s">
        <v>429</v>
      </c>
      <c r="P14" s="110" t="s">
        <v>138</v>
      </c>
      <c r="Q14" s="110">
        <v>2</v>
      </c>
      <c r="R14" s="120" t="s">
        <v>198</v>
      </c>
      <c r="S14" s="110"/>
      <c r="T14" s="110"/>
      <c r="U14" s="110"/>
      <c r="V14" s="110"/>
      <c r="W14" s="110"/>
      <c r="X14" s="110"/>
      <c r="Y14" s="110"/>
      <c r="Z14" s="110"/>
      <c r="AA14" s="110"/>
      <c r="AB14" s="110"/>
      <c r="AC14" s="110"/>
      <c r="AD14" s="110"/>
      <c r="AE14" s="110"/>
      <c r="AF14" s="110"/>
      <c r="AG14" s="110"/>
      <c r="AH14" s="110"/>
      <c r="AI14" s="110"/>
      <c r="AJ14" s="110"/>
      <c r="AK14" s="110"/>
      <c r="AL14" s="110"/>
      <c r="AM14" s="110"/>
      <c r="AN14" s="110"/>
      <c r="AO14" s="110"/>
      <c r="AP14" s="110"/>
      <c r="AQ14" s="110"/>
      <c r="AR14" s="110"/>
      <c r="AS14" s="110"/>
      <c r="AT14" s="110"/>
      <c r="AU14" s="110"/>
      <c r="AV14" s="110"/>
      <c r="AW14" s="110"/>
      <c r="AX14" s="110"/>
      <c r="AY14" s="110"/>
      <c r="AZ14" s="110"/>
      <c r="BA14" s="110"/>
      <c r="BB14" s="110"/>
      <c r="BC14" s="110"/>
      <c r="BD14" s="110"/>
      <c r="BE14" s="110"/>
      <c r="BF14" s="110"/>
      <c r="BG14" s="110"/>
      <c r="BH14" s="110"/>
      <c r="BI14" s="110"/>
      <c r="BJ14" s="110"/>
      <c r="BK14" s="110"/>
      <c r="BL14" s="110"/>
      <c r="BM14" s="110"/>
      <c r="BN14" s="110"/>
      <c r="BO14" s="110"/>
      <c r="BP14" s="110"/>
      <c r="BQ14" s="110"/>
      <c r="BR14" s="110"/>
      <c r="BS14" s="110"/>
      <c r="BT14" s="110"/>
      <c r="BU14" s="110"/>
      <c r="BV14" s="110"/>
      <c r="BW14" s="110"/>
      <c r="BX14" s="110"/>
      <c r="BY14" s="110"/>
      <c r="BZ14" s="110"/>
      <c r="CA14" s="110"/>
      <c r="CB14" s="110"/>
      <c r="CC14" s="110"/>
      <c r="CD14" s="110"/>
      <c r="CE14" s="110"/>
      <c r="CF14" s="110"/>
      <c r="CG14" s="110"/>
      <c r="CH14" s="110"/>
      <c r="CI14" s="110"/>
      <c r="CJ14" s="110"/>
      <c r="CK14" s="110"/>
      <c r="CL14" s="110"/>
      <c r="CM14" s="110"/>
      <c r="CN14" s="110"/>
      <c r="CO14" s="110"/>
      <c r="CP14" s="110"/>
      <c r="CQ14" s="110"/>
      <c r="CR14" s="110"/>
      <c r="CS14" s="110"/>
      <c r="CT14" s="110"/>
      <c r="CU14" s="110"/>
      <c r="CV14" s="110"/>
      <c r="CW14" s="110"/>
      <c r="CX14" s="110"/>
      <c r="CY14" s="110"/>
      <c r="CZ14" s="110"/>
      <c r="DA14" s="110"/>
      <c r="DB14" s="110"/>
      <c r="DC14" s="110"/>
      <c r="DD14" s="110"/>
      <c r="DE14" s="110"/>
      <c r="DF14" s="110"/>
      <c r="DG14" s="110"/>
      <c r="DH14" s="110"/>
      <c r="DI14" s="110"/>
      <c r="DJ14" s="110"/>
      <c r="DK14" s="110"/>
      <c r="DL14" s="110"/>
      <c r="DM14" s="110"/>
      <c r="DN14" s="110"/>
      <c r="DO14" s="110"/>
      <c r="DP14" s="110"/>
      <c r="DQ14" s="110"/>
      <c r="DR14" s="110"/>
      <c r="DS14" s="110"/>
      <c r="DT14" s="110"/>
      <c r="DU14" s="110"/>
      <c r="DV14" s="110"/>
      <c r="DW14" s="110"/>
      <c r="DX14" s="110"/>
      <c r="DY14" s="110"/>
      <c r="DZ14" s="110"/>
      <c r="EA14" s="110"/>
      <c r="EB14" s="110"/>
      <c r="EC14" s="110"/>
      <c r="ED14" s="110"/>
      <c r="EE14" s="110"/>
      <c r="EF14" s="110"/>
      <c r="EG14" s="110"/>
      <c r="EH14" s="110"/>
      <c r="EI14" s="110"/>
      <c r="EJ14" s="110"/>
      <c r="EK14" s="111"/>
      <c r="EL14" s="110"/>
      <c r="EM14" s="110"/>
      <c r="EN14" s="110"/>
      <c r="EO14" s="110"/>
      <c r="EP14" s="110"/>
      <c r="EQ14" s="110"/>
      <c r="ER14" s="110"/>
      <c r="ES14" s="110"/>
      <c r="ET14" s="110"/>
      <c r="EU14" s="110"/>
      <c r="EV14" s="111"/>
    </row>
    <row r="15" spans="1:152" ht="14.5" x14ac:dyDescent="0.35">
      <c r="A15" s="108">
        <v>4506116437</v>
      </c>
      <c r="B15" s="109" t="s">
        <v>130</v>
      </c>
      <c r="C15" s="110" t="s">
        <v>130</v>
      </c>
      <c r="D15" s="111" t="s">
        <v>138</v>
      </c>
      <c r="E15" s="111" t="s">
        <v>430</v>
      </c>
      <c r="F15" s="110" t="s">
        <v>431</v>
      </c>
      <c r="G15" s="112">
        <v>43262</v>
      </c>
      <c r="H15" s="110" t="s">
        <v>203</v>
      </c>
      <c r="I15" s="117" t="s">
        <v>135</v>
      </c>
      <c r="J15" s="110" t="s">
        <v>133</v>
      </c>
      <c r="K15" s="110" t="s">
        <v>136</v>
      </c>
      <c r="L15" s="113">
        <v>21088</v>
      </c>
      <c r="M15" s="114">
        <v>43222</v>
      </c>
      <c r="N15" s="115">
        <f t="shared" si="0"/>
        <v>60</v>
      </c>
      <c r="O15" s="116" t="s">
        <v>399</v>
      </c>
      <c r="P15" s="110" t="s">
        <v>138</v>
      </c>
      <c r="Q15" s="110">
        <v>1</v>
      </c>
      <c r="R15" s="120" t="s">
        <v>198</v>
      </c>
      <c r="S15" s="110"/>
      <c r="T15" s="110"/>
      <c r="U15" s="110"/>
      <c r="V15" s="110"/>
      <c r="W15" s="110"/>
      <c r="X15" s="110"/>
      <c r="Y15" s="110"/>
      <c r="Z15" s="110"/>
      <c r="AA15" s="110"/>
      <c r="AB15" s="110"/>
      <c r="AC15" s="110"/>
      <c r="AD15" s="110"/>
      <c r="AE15" s="110"/>
      <c r="AF15" s="110"/>
      <c r="AG15" s="110"/>
      <c r="AH15" s="110"/>
      <c r="AI15" s="110"/>
      <c r="AJ15" s="110"/>
      <c r="AK15" s="110"/>
      <c r="AL15" s="110"/>
      <c r="AM15" s="110"/>
      <c r="AN15" s="110"/>
      <c r="AO15" s="110"/>
      <c r="AP15" s="110"/>
      <c r="AQ15" s="110"/>
      <c r="AR15" s="110"/>
      <c r="AS15" s="110"/>
      <c r="AT15" s="110"/>
      <c r="AU15" s="110"/>
      <c r="AV15" s="110"/>
      <c r="AW15" s="110"/>
      <c r="AX15" s="110"/>
      <c r="AY15" s="110"/>
      <c r="AZ15" s="110"/>
      <c r="BA15" s="110"/>
      <c r="BB15" s="110"/>
      <c r="BC15" s="110"/>
      <c r="BD15" s="110"/>
      <c r="BE15" s="110"/>
      <c r="BF15" s="110"/>
      <c r="BG15" s="110"/>
      <c r="BH15" s="110"/>
      <c r="BI15" s="110"/>
      <c r="BJ15" s="110"/>
      <c r="BK15" s="110"/>
      <c r="BL15" s="110"/>
      <c r="BM15" s="110"/>
      <c r="BN15" s="110"/>
      <c r="BO15" s="110"/>
      <c r="BP15" s="110"/>
      <c r="BQ15" s="110"/>
      <c r="BR15" s="110"/>
      <c r="BS15" s="110"/>
      <c r="BT15" s="110"/>
      <c r="BU15" s="110"/>
      <c r="BV15" s="110"/>
      <c r="BW15" s="110"/>
      <c r="BX15" s="110"/>
      <c r="BY15" s="110"/>
      <c r="BZ15" s="110"/>
      <c r="CA15" s="110"/>
      <c r="CB15" s="110"/>
      <c r="CC15" s="110"/>
      <c r="CD15" s="110"/>
      <c r="CE15" s="110"/>
      <c r="CF15" s="110"/>
      <c r="CG15" s="110"/>
      <c r="CH15" s="110"/>
      <c r="CI15" s="110"/>
      <c r="CJ15" s="110"/>
      <c r="CK15" s="110"/>
      <c r="CL15" s="110"/>
      <c r="CM15" s="110"/>
      <c r="CN15" s="110"/>
      <c r="CO15" s="110"/>
      <c r="CP15" s="110"/>
      <c r="CQ15" s="110"/>
      <c r="CR15" s="110"/>
      <c r="CS15" s="110"/>
      <c r="CT15" s="110"/>
      <c r="CU15" s="110"/>
      <c r="CV15" s="110"/>
      <c r="CW15" s="110"/>
      <c r="CX15" s="110"/>
      <c r="CY15" s="110"/>
      <c r="CZ15" s="110"/>
      <c r="DA15" s="110"/>
      <c r="DB15" s="110"/>
      <c r="DC15" s="110"/>
      <c r="DD15" s="110"/>
      <c r="DE15" s="110"/>
      <c r="DF15" s="110"/>
      <c r="DG15" s="110"/>
      <c r="DH15" s="110"/>
      <c r="DI15" s="110"/>
      <c r="DJ15" s="110"/>
      <c r="DK15" s="110"/>
      <c r="DL15" s="110"/>
      <c r="DM15" s="110"/>
      <c r="DN15" s="110"/>
      <c r="DO15" s="110"/>
      <c r="DP15" s="110"/>
      <c r="DQ15" s="110"/>
      <c r="DR15" s="110"/>
      <c r="DS15" s="110"/>
      <c r="DT15" s="110"/>
      <c r="DU15" s="110"/>
      <c r="DV15" s="110"/>
      <c r="DW15" s="110"/>
      <c r="DX15" s="110"/>
      <c r="DY15" s="110"/>
      <c r="DZ15" s="110"/>
      <c r="EA15" s="110"/>
      <c r="EB15" s="110"/>
      <c r="EC15" s="110"/>
      <c r="ED15" s="110"/>
      <c r="EE15" s="110"/>
      <c r="EF15" s="110"/>
      <c r="EG15" s="110"/>
      <c r="EH15" s="110"/>
      <c r="EI15" s="110"/>
      <c r="EJ15" s="110"/>
      <c r="EK15" s="111"/>
      <c r="EL15" s="110"/>
      <c r="EM15" s="110"/>
      <c r="EN15" s="110"/>
      <c r="EO15" s="110"/>
      <c r="EP15" s="110"/>
      <c r="EQ15" s="110"/>
      <c r="ER15" s="110"/>
      <c r="ES15" s="110"/>
      <c r="ET15" s="110"/>
      <c r="EU15" s="110"/>
      <c r="EV15" s="111"/>
    </row>
    <row r="16" spans="1:152" ht="14.5" x14ac:dyDescent="0.35">
      <c r="A16" s="108">
        <v>4860488067</v>
      </c>
      <c r="B16" s="109" t="s">
        <v>130</v>
      </c>
      <c r="C16" s="117" t="s">
        <v>130</v>
      </c>
      <c r="D16" s="111" t="s">
        <v>138</v>
      </c>
      <c r="E16" s="111" t="s">
        <v>432</v>
      </c>
      <c r="F16" s="110" t="s">
        <v>331</v>
      </c>
      <c r="G16" s="112">
        <v>43279</v>
      </c>
      <c r="H16" s="110" t="s">
        <v>270</v>
      </c>
      <c r="I16" s="117" t="s">
        <v>135</v>
      </c>
      <c r="J16" s="110" t="s">
        <v>133</v>
      </c>
      <c r="K16" s="110" t="s">
        <v>136</v>
      </c>
      <c r="L16" s="113">
        <v>21849</v>
      </c>
      <c r="M16" s="114">
        <v>43238</v>
      </c>
      <c r="N16" s="115">
        <f t="shared" si="0"/>
        <v>58</v>
      </c>
      <c r="O16" s="116" t="s">
        <v>433</v>
      </c>
      <c r="P16" s="110" t="s">
        <v>138</v>
      </c>
      <c r="Q16" s="110">
        <v>3</v>
      </c>
      <c r="R16" s="120" t="s">
        <v>148</v>
      </c>
      <c r="S16" s="110"/>
      <c r="T16" s="110"/>
      <c r="U16" s="110"/>
      <c r="V16" s="110"/>
      <c r="W16" s="110"/>
      <c r="X16" s="110"/>
      <c r="Y16" s="110"/>
      <c r="Z16" s="110"/>
      <c r="AA16" s="110"/>
      <c r="AB16" s="110"/>
      <c r="AC16" s="110"/>
      <c r="AD16" s="110"/>
      <c r="AE16" s="110"/>
      <c r="AF16" s="110"/>
      <c r="AG16" s="110"/>
      <c r="AH16" s="110"/>
      <c r="AI16" s="110"/>
      <c r="AJ16" s="110"/>
      <c r="AK16" s="110"/>
      <c r="AL16" s="110"/>
      <c r="AM16" s="110"/>
      <c r="AN16" s="110"/>
      <c r="AO16" s="110"/>
      <c r="AP16" s="110"/>
      <c r="AQ16" s="110"/>
      <c r="AR16" s="110"/>
      <c r="AS16" s="110"/>
      <c r="AT16" s="110"/>
      <c r="AU16" s="110"/>
      <c r="AV16" s="110"/>
      <c r="AW16" s="110"/>
      <c r="AX16" s="110"/>
      <c r="AY16" s="110"/>
      <c r="AZ16" s="110"/>
      <c r="BA16" s="110"/>
      <c r="BB16" s="110"/>
      <c r="BC16" s="110"/>
      <c r="BD16" s="110"/>
      <c r="BE16" s="110"/>
      <c r="BF16" s="110"/>
      <c r="BG16" s="110"/>
      <c r="BH16" s="110"/>
      <c r="BI16" s="110"/>
      <c r="BJ16" s="110"/>
      <c r="BK16" s="110"/>
      <c r="BL16" s="110"/>
      <c r="BM16" s="110"/>
      <c r="BN16" s="110"/>
      <c r="BO16" s="110"/>
      <c r="BP16" s="110"/>
      <c r="BQ16" s="110"/>
      <c r="BR16" s="110"/>
      <c r="BS16" s="110"/>
      <c r="BT16" s="110"/>
      <c r="BU16" s="110"/>
      <c r="BV16" s="110"/>
      <c r="BW16" s="110"/>
      <c r="BX16" s="110"/>
      <c r="BY16" s="110"/>
      <c r="BZ16" s="110"/>
      <c r="CA16" s="110"/>
      <c r="CB16" s="110"/>
      <c r="CC16" s="110"/>
      <c r="CD16" s="110"/>
      <c r="CE16" s="110"/>
      <c r="CF16" s="110"/>
      <c r="CG16" s="110"/>
      <c r="CH16" s="110"/>
      <c r="CI16" s="110"/>
      <c r="CJ16" s="110"/>
      <c r="CK16" s="110"/>
      <c r="CL16" s="110"/>
      <c r="CM16" s="110"/>
      <c r="CN16" s="110"/>
      <c r="CO16" s="110"/>
      <c r="CP16" s="110"/>
      <c r="CQ16" s="110"/>
      <c r="CR16" s="110"/>
      <c r="CS16" s="110"/>
      <c r="CT16" s="110"/>
      <c r="CU16" s="110"/>
      <c r="CV16" s="110"/>
      <c r="CW16" s="110"/>
      <c r="CX16" s="110"/>
      <c r="CY16" s="110"/>
      <c r="CZ16" s="110"/>
      <c r="DA16" s="110"/>
      <c r="DB16" s="110"/>
      <c r="DC16" s="110"/>
      <c r="DD16" s="110"/>
      <c r="DE16" s="110"/>
      <c r="DF16" s="110"/>
      <c r="DG16" s="110"/>
      <c r="DH16" s="110"/>
      <c r="DI16" s="110"/>
      <c r="DJ16" s="110"/>
      <c r="DK16" s="110"/>
      <c r="DL16" s="110"/>
      <c r="DM16" s="110"/>
      <c r="DN16" s="110"/>
      <c r="DO16" s="110"/>
      <c r="DP16" s="110"/>
      <c r="DQ16" s="110"/>
      <c r="DR16" s="110"/>
      <c r="DS16" s="110"/>
      <c r="DT16" s="110"/>
      <c r="DU16" s="110"/>
      <c r="DV16" s="110"/>
      <c r="DW16" s="110"/>
      <c r="DX16" s="110"/>
      <c r="DY16" s="110"/>
      <c r="DZ16" s="110"/>
      <c r="EA16" s="110"/>
      <c r="EB16" s="110"/>
      <c r="EC16" s="110"/>
      <c r="ED16" s="110"/>
      <c r="EE16" s="110"/>
      <c r="EF16" s="110"/>
      <c r="EG16" s="110"/>
      <c r="EH16" s="110"/>
      <c r="EI16" s="110"/>
      <c r="EJ16" s="110"/>
      <c r="EK16" s="111"/>
      <c r="EL16" s="110"/>
      <c r="EM16" s="110"/>
      <c r="EN16" s="110"/>
      <c r="EO16" s="110"/>
      <c r="EP16" s="110"/>
      <c r="EQ16" s="110"/>
      <c r="ER16" s="110"/>
      <c r="ES16" s="110"/>
      <c r="ET16" s="110"/>
      <c r="EU16" s="110"/>
      <c r="EV16" s="111"/>
    </row>
    <row r="17" spans="1:152" ht="14.5" x14ac:dyDescent="0.35">
      <c r="A17" s="108">
        <v>4182116585</v>
      </c>
      <c r="B17" s="109" t="s">
        <v>130</v>
      </c>
      <c r="C17" s="116" t="s">
        <v>130</v>
      </c>
      <c r="D17" s="111" t="s">
        <v>138</v>
      </c>
      <c r="E17" s="111" t="s">
        <v>434</v>
      </c>
      <c r="F17" s="110" t="s">
        <v>435</v>
      </c>
      <c r="G17" s="112">
        <v>43290</v>
      </c>
      <c r="H17" s="110" t="s">
        <v>270</v>
      </c>
      <c r="I17" s="117" t="s">
        <v>135</v>
      </c>
      <c r="J17" s="117" t="s">
        <v>133</v>
      </c>
      <c r="K17" s="110" t="s">
        <v>136</v>
      </c>
      <c r="L17" s="113">
        <v>15477</v>
      </c>
      <c r="M17" s="114">
        <v>43263</v>
      </c>
      <c r="N17" s="115">
        <f t="shared" si="0"/>
        <v>76</v>
      </c>
      <c r="O17" s="116" t="s">
        <v>436</v>
      </c>
      <c r="P17" s="110" t="s">
        <v>138</v>
      </c>
      <c r="Q17" s="110">
        <v>3</v>
      </c>
      <c r="R17" s="120" t="s">
        <v>198</v>
      </c>
      <c r="S17" s="110"/>
      <c r="T17" s="110"/>
      <c r="U17" s="110"/>
      <c r="V17" s="110"/>
      <c r="W17" s="110"/>
      <c r="X17" s="110"/>
      <c r="Y17" s="110"/>
      <c r="Z17" s="110"/>
      <c r="AA17" s="110"/>
      <c r="AB17" s="110"/>
      <c r="AC17" s="110"/>
      <c r="AD17" s="110"/>
      <c r="AE17" s="110"/>
      <c r="AF17" s="110"/>
      <c r="AG17" s="110"/>
      <c r="AH17" s="110"/>
      <c r="AI17" s="110"/>
      <c r="AJ17" s="110"/>
      <c r="AK17" s="110"/>
      <c r="AL17" s="110"/>
      <c r="AM17" s="110"/>
      <c r="AN17" s="110"/>
      <c r="AO17" s="110"/>
      <c r="AP17" s="110"/>
      <c r="AQ17" s="110"/>
      <c r="AR17" s="110"/>
      <c r="AS17" s="110"/>
      <c r="AT17" s="110"/>
      <c r="AU17" s="110"/>
      <c r="AV17" s="110"/>
      <c r="AW17" s="110"/>
      <c r="AX17" s="110"/>
      <c r="AY17" s="110"/>
      <c r="AZ17" s="110"/>
      <c r="BA17" s="110"/>
      <c r="BB17" s="110"/>
      <c r="BC17" s="110"/>
      <c r="BD17" s="110"/>
      <c r="BE17" s="110"/>
      <c r="BF17" s="110"/>
      <c r="BG17" s="110"/>
      <c r="BH17" s="110"/>
      <c r="BI17" s="110"/>
      <c r="BJ17" s="110"/>
      <c r="BK17" s="110"/>
      <c r="BL17" s="110"/>
      <c r="BM17" s="110"/>
      <c r="BN17" s="110"/>
      <c r="BO17" s="110"/>
      <c r="BP17" s="110"/>
      <c r="BQ17" s="110"/>
      <c r="BR17" s="110"/>
      <c r="BS17" s="110"/>
      <c r="BT17" s="110"/>
      <c r="BU17" s="110"/>
      <c r="BV17" s="110"/>
      <c r="BW17" s="110"/>
      <c r="BX17" s="110"/>
      <c r="BY17" s="110"/>
      <c r="BZ17" s="110"/>
      <c r="CA17" s="110"/>
      <c r="CB17" s="110"/>
      <c r="CC17" s="110"/>
      <c r="CD17" s="110"/>
      <c r="CE17" s="110"/>
      <c r="CF17" s="110"/>
      <c r="CG17" s="110"/>
      <c r="CH17" s="110"/>
      <c r="CI17" s="110"/>
      <c r="CJ17" s="110"/>
      <c r="CK17" s="110"/>
      <c r="CL17" s="110"/>
      <c r="CM17" s="110"/>
      <c r="CN17" s="110"/>
      <c r="CO17" s="110"/>
      <c r="CP17" s="110"/>
      <c r="CQ17" s="110"/>
      <c r="CR17" s="110"/>
      <c r="CS17" s="110"/>
      <c r="CT17" s="110"/>
      <c r="CU17" s="110"/>
      <c r="CV17" s="110"/>
      <c r="CW17" s="110"/>
      <c r="CX17" s="110"/>
      <c r="CY17" s="110"/>
      <c r="CZ17" s="110"/>
      <c r="DA17" s="110"/>
      <c r="DB17" s="110"/>
      <c r="DC17" s="110"/>
      <c r="DD17" s="110"/>
      <c r="DE17" s="110"/>
      <c r="DF17" s="110"/>
      <c r="DG17" s="110"/>
      <c r="DH17" s="110"/>
      <c r="DI17" s="110"/>
      <c r="DJ17" s="110"/>
      <c r="DK17" s="110"/>
      <c r="DL17" s="110"/>
      <c r="DM17" s="110"/>
      <c r="DN17" s="110"/>
      <c r="DO17" s="110"/>
      <c r="DP17" s="110"/>
      <c r="DQ17" s="110"/>
      <c r="DR17" s="110"/>
      <c r="DS17" s="110"/>
      <c r="DT17" s="110"/>
      <c r="DU17" s="110"/>
      <c r="DV17" s="110"/>
      <c r="DW17" s="110"/>
      <c r="DX17" s="110"/>
      <c r="DY17" s="110"/>
      <c r="DZ17" s="110"/>
      <c r="EA17" s="110"/>
      <c r="EB17" s="110"/>
      <c r="EC17" s="110"/>
      <c r="ED17" s="110"/>
      <c r="EE17" s="110"/>
      <c r="EF17" s="110"/>
      <c r="EG17" s="110"/>
      <c r="EH17" s="110"/>
      <c r="EI17" s="110"/>
      <c r="EJ17" s="110"/>
      <c r="EK17" s="111"/>
      <c r="EL17" s="110"/>
      <c r="EM17" s="110"/>
      <c r="EN17" s="110"/>
      <c r="EO17" s="110"/>
      <c r="EP17" s="110"/>
      <c r="EQ17" s="110"/>
      <c r="ER17" s="110"/>
      <c r="ES17" s="110"/>
      <c r="ET17" s="110"/>
      <c r="EU17" s="110"/>
      <c r="EV17" s="111"/>
    </row>
    <row r="18" spans="1:152" ht="14.5" x14ac:dyDescent="0.35">
      <c r="A18" s="108">
        <v>4124725671</v>
      </c>
      <c r="B18" s="109" t="s">
        <v>130</v>
      </c>
      <c r="C18" s="116" t="s">
        <v>130</v>
      </c>
      <c r="D18" s="111" t="s">
        <v>138</v>
      </c>
      <c r="E18" s="111" t="s">
        <v>437</v>
      </c>
      <c r="F18" s="110" t="s">
        <v>438</v>
      </c>
      <c r="G18" s="112">
        <v>43280</v>
      </c>
      <c r="H18" s="110" t="s">
        <v>203</v>
      </c>
      <c r="I18" s="117" t="s">
        <v>135</v>
      </c>
      <c r="J18" s="117" t="s">
        <v>133</v>
      </c>
      <c r="K18" s="110" t="s">
        <v>136</v>
      </c>
      <c r="L18" s="113">
        <v>30158</v>
      </c>
      <c r="M18" s="114">
        <v>43216</v>
      </c>
      <c r="N18" s="115">
        <f t="shared" si="0"/>
        <v>35</v>
      </c>
      <c r="O18" s="116" t="s">
        <v>399</v>
      </c>
      <c r="P18" s="117" t="s">
        <v>138</v>
      </c>
      <c r="Q18" s="110">
        <v>1</v>
      </c>
      <c r="R18" s="120" t="s">
        <v>198</v>
      </c>
      <c r="S18" s="110"/>
      <c r="T18" s="110"/>
      <c r="U18" s="110"/>
      <c r="V18" s="110"/>
      <c r="W18" s="110"/>
      <c r="X18" s="110"/>
      <c r="Y18" s="110"/>
      <c r="Z18" s="110"/>
      <c r="AA18" s="110"/>
      <c r="AB18" s="110"/>
      <c r="AC18" s="110"/>
      <c r="AD18" s="110"/>
      <c r="AE18" s="110"/>
      <c r="AF18" s="110"/>
      <c r="AG18" s="110"/>
      <c r="AH18" s="110"/>
      <c r="AI18" s="110"/>
      <c r="AJ18" s="110"/>
      <c r="AK18" s="110"/>
      <c r="AL18" s="110"/>
      <c r="AM18" s="110"/>
      <c r="AN18" s="110"/>
      <c r="AO18" s="110"/>
      <c r="AP18" s="110"/>
      <c r="AQ18" s="110"/>
      <c r="AR18" s="110"/>
      <c r="AS18" s="110"/>
      <c r="AT18" s="110"/>
      <c r="AU18" s="110"/>
      <c r="AV18" s="110"/>
      <c r="AW18" s="110"/>
      <c r="AX18" s="110"/>
      <c r="AY18" s="110"/>
      <c r="AZ18" s="110"/>
      <c r="BA18" s="110"/>
      <c r="BB18" s="110"/>
      <c r="BC18" s="110"/>
      <c r="BD18" s="110"/>
      <c r="BE18" s="110"/>
      <c r="BF18" s="110"/>
      <c r="BG18" s="110"/>
      <c r="BH18" s="110"/>
      <c r="BI18" s="110"/>
      <c r="BJ18" s="110"/>
      <c r="BK18" s="110"/>
      <c r="BL18" s="110"/>
      <c r="BM18" s="110"/>
      <c r="BN18" s="110"/>
      <c r="BO18" s="110"/>
      <c r="BP18" s="110"/>
      <c r="BQ18" s="110"/>
      <c r="BR18" s="110"/>
      <c r="BS18" s="110"/>
      <c r="BT18" s="110"/>
      <c r="BU18" s="110"/>
      <c r="BV18" s="110"/>
      <c r="BW18" s="110"/>
      <c r="BX18" s="110"/>
      <c r="BY18" s="110"/>
      <c r="BZ18" s="110"/>
      <c r="CA18" s="110"/>
      <c r="CB18" s="110"/>
      <c r="CC18" s="110"/>
      <c r="CD18" s="110"/>
      <c r="CE18" s="110"/>
      <c r="CF18" s="110"/>
      <c r="CG18" s="110"/>
      <c r="CH18" s="110"/>
      <c r="CI18" s="110"/>
      <c r="CJ18" s="110"/>
      <c r="CK18" s="110"/>
      <c r="CL18" s="110"/>
      <c r="CM18" s="110"/>
      <c r="CN18" s="110"/>
      <c r="CO18" s="110"/>
      <c r="CP18" s="110"/>
      <c r="CQ18" s="110"/>
      <c r="CR18" s="110"/>
      <c r="CS18" s="110"/>
      <c r="CT18" s="110"/>
      <c r="CU18" s="110"/>
      <c r="CV18" s="110"/>
      <c r="CW18" s="110"/>
      <c r="CX18" s="110"/>
      <c r="CY18" s="110"/>
      <c r="CZ18" s="110"/>
      <c r="DA18" s="110"/>
      <c r="DB18" s="110"/>
      <c r="DC18" s="110"/>
      <c r="DD18" s="110"/>
      <c r="DE18" s="110"/>
      <c r="DF18" s="110"/>
      <c r="DG18" s="110"/>
      <c r="DH18" s="110"/>
      <c r="DI18" s="110"/>
      <c r="DJ18" s="110"/>
      <c r="DK18" s="110"/>
      <c r="DL18" s="110"/>
      <c r="DM18" s="110"/>
      <c r="DN18" s="110"/>
      <c r="DO18" s="110"/>
      <c r="DP18" s="110"/>
      <c r="DQ18" s="110"/>
      <c r="DR18" s="110"/>
      <c r="DS18" s="110"/>
      <c r="DT18" s="110"/>
      <c r="DU18" s="110"/>
      <c r="DV18" s="110"/>
      <c r="DW18" s="110"/>
      <c r="DX18" s="110"/>
      <c r="DY18" s="110"/>
      <c r="DZ18" s="110"/>
      <c r="EA18" s="110"/>
      <c r="EB18" s="110"/>
      <c r="EC18" s="110"/>
      <c r="ED18" s="110"/>
      <c r="EE18" s="110"/>
      <c r="EF18" s="110"/>
      <c r="EG18" s="110"/>
      <c r="EH18" s="110"/>
      <c r="EI18" s="110"/>
      <c r="EJ18" s="110"/>
      <c r="EK18" s="111"/>
      <c r="EL18" s="110"/>
      <c r="EM18" s="110"/>
      <c r="EN18" s="110"/>
      <c r="EO18" s="110"/>
      <c r="EP18" s="110"/>
      <c r="EQ18" s="110"/>
      <c r="ER18" s="110"/>
      <c r="ES18" s="110"/>
      <c r="ET18" s="110"/>
      <c r="EU18" s="110"/>
      <c r="EV18" s="111"/>
    </row>
    <row r="19" spans="1:152" ht="14.5" x14ac:dyDescent="0.35">
      <c r="A19" s="108">
        <v>4309331165</v>
      </c>
      <c r="B19" s="109" t="s">
        <v>130</v>
      </c>
      <c r="C19" s="116" t="s">
        <v>130</v>
      </c>
      <c r="D19" s="111" t="s">
        <v>138</v>
      </c>
      <c r="E19" s="111" t="s">
        <v>439</v>
      </c>
      <c r="F19" s="110" t="s">
        <v>440</v>
      </c>
      <c r="G19" s="112">
        <v>43294</v>
      </c>
      <c r="H19" s="110" t="s">
        <v>203</v>
      </c>
      <c r="I19" s="117" t="s">
        <v>135</v>
      </c>
      <c r="J19" s="117" t="s">
        <v>133</v>
      </c>
      <c r="K19" s="110" t="s">
        <v>136</v>
      </c>
      <c r="L19" s="113">
        <v>16258</v>
      </c>
      <c r="M19" s="114">
        <v>43249</v>
      </c>
      <c r="N19" s="115">
        <f t="shared" si="0"/>
        <v>73</v>
      </c>
      <c r="O19" s="116" t="s">
        <v>407</v>
      </c>
      <c r="P19" s="110" t="s">
        <v>138</v>
      </c>
      <c r="Q19" s="110">
        <v>1</v>
      </c>
      <c r="R19" s="120" t="s">
        <v>198</v>
      </c>
      <c r="S19" s="110"/>
      <c r="T19" s="110"/>
      <c r="U19" s="110"/>
      <c r="V19" s="110"/>
      <c r="W19" s="110"/>
      <c r="X19" s="110"/>
      <c r="Y19" s="110"/>
      <c r="Z19" s="110"/>
      <c r="AA19" s="110"/>
      <c r="AB19" s="110"/>
      <c r="AC19" s="110"/>
      <c r="AD19" s="110"/>
      <c r="AE19" s="110"/>
      <c r="AF19" s="110"/>
      <c r="AG19" s="110"/>
      <c r="AH19" s="110"/>
      <c r="AI19" s="110"/>
      <c r="AJ19" s="110"/>
      <c r="AK19" s="110"/>
      <c r="AL19" s="110"/>
      <c r="AM19" s="110"/>
      <c r="AN19" s="110"/>
      <c r="AO19" s="110"/>
      <c r="AP19" s="110"/>
      <c r="AQ19" s="110"/>
      <c r="AR19" s="110"/>
      <c r="AS19" s="110"/>
      <c r="AT19" s="110"/>
      <c r="AU19" s="110"/>
      <c r="AV19" s="110"/>
      <c r="AW19" s="110"/>
      <c r="AX19" s="110"/>
      <c r="AY19" s="110"/>
      <c r="AZ19" s="110"/>
      <c r="BA19" s="110"/>
      <c r="BB19" s="110"/>
      <c r="BC19" s="110"/>
      <c r="BD19" s="110"/>
      <c r="BE19" s="110"/>
      <c r="BF19" s="110"/>
      <c r="BG19" s="110"/>
      <c r="BH19" s="110"/>
      <c r="BI19" s="110"/>
      <c r="BJ19" s="110"/>
      <c r="BK19" s="110"/>
      <c r="BL19" s="110"/>
      <c r="BM19" s="110"/>
      <c r="BN19" s="110"/>
      <c r="BO19" s="110"/>
      <c r="BP19" s="110"/>
      <c r="BQ19" s="110"/>
      <c r="BR19" s="110"/>
      <c r="BS19" s="110"/>
      <c r="BT19" s="110"/>
      <c r="BU19" s="110"/>
      <c r="BV19" s="110"/>
      <c r="BW19" s="110"/>
      <c r="BX19" s="110"/>
      <c r="BY19" s="110"/>
      <c r="BZ19" s="110"/>
      <c r="CA19" s="110"/>
      <c r="CB19" s="110"/>
      <c r="CC19" s="110"/>
      <c r="CD19" s="110"/>
      <c r="CE19" s="110"/>
      <c r="CF19" s="110"/>
      <c r="CG19" s="110"/>
      <c r="CH19" s="110"/>
      <c r="CI19" s="110"/>
      <c r="CJ19" s="110"/>
      <c r="CK19" s="110"/>
      <c r="CL19" s="110"/>
      <c r="CM19" s="110"/>
      <c r="CN19" s="110"/>
      <c r="CO19" s="110"/>
      <c r="CP19" s="110"/>
      <c r="CQ19" s="110"/>
      <c r="CR19" s="110"/>
      <c r="CS19" s="110"/>
      <c r="CT19" s="110"/>
      <c r="CU19" s="110"/>
      <c r="CV19" s="110"/>
      <c r="CW19" s="110"/>
      <c r="CX19" s="110"/>
      <c r="CY19" s="110"/>
      <c r="CZ19" s="110"/>
      <c r="DA19" s="110"/>
      <c r="DB19" s="110"/>
      <c r="DC19" s="110"/>
      <c r="DD19" s="110"/>
      <c r="DE19" s="110"/>
      <c r="DF19" s="110"/>
      <c r="DG19" s="110"/>
      <c r="DH19" s="110"/>
      <c r="DI19" s="110"/>
      <c r="DJ19" s="110"/>
      <c r="DK19" s="110"/>
      <c r="DL19" s="110"/>
      <c r="DM19" s="110"/>
      <c r="DN19" s="110"/>
      <c r="DO19" s="110"/>
      <c r="DP19" s="110"/>
      <c r="DQ19" s="110"/>
      <c r="DR19" s="110"/>
      <c r="DS19" s="110"/>
      <c r="DT19" s="110"/>
      <c r="DU19" s="110"/>
      <c r="DV19" s="110"/>
      <c r="DW19" s="110"/>
      <c r="DX19" s="110"/>
      <c r="DY19" s="110"/>
      <c r="DZ19" s="110"/>
      <c r="EA19" s="110"/>
      <c r="EB19" s="110"/>
      <c r="EC19" s="110"/>
      <c r="ED19" s="110"/>
      <c r="EE19" s="110"/>
      <c r="EF19" s="110"/>
      <c r="EG19" s="110"/>
      <c r="EH19" s="110"/>
      <c r="EI19" s="110"/>
      <c r="EJ19" s="110"/>
      <c r="EK19" s="111"/>
      <c r="EL19" s="110"/>
      <c r="EM19" s="110"/>
      <c r="EN19" s="110"/>
      <c r="EO19" s="110"/>
      <c r="EP19" s="110"/>
      <c r="EQ19" s="110"/>
      <c r="ER19" s="110"/>
      <c r="ES19" s="110"/>
      <c r="ET19" s="110"/>
      <c r="EU19" s="110"/>
      <c r="EV19" s="111"/>
    </row>
    <row r="20" spans="1:152" ht="14.5" x14ac:dyDescent="0.35">
      <c r="A20" s="108">
        <v>4925076019</v>
      </c>
      <c r="B20" s="109" t="s">
        <v>130</v>
      </c>
      <c r="C20" s="116" t="s">
        <v>130</v>
      </c>
      <c r="D20" s="111" t="s">
        <v>138</v>
      </c>
      <c r="E20" s="111" t="s">
        <v>441</v>
      </c>
      <c r="F20" s="110" t="s">
        <v>297</v>
      </c>
      <c r="G20" s="112">
        <v>43298</v>
      </c>
      <c r="H20" s="110" t="s">
        <v>270</v>
      </c>
      <c r="I20" s="117" t="s">
        <v>135</v>
      </c>
      <c r="J20" s="117" t="s">
        <v>133</v>
      </c>
      <c r="K20" s="110" t="s">
        <v>136</v>
      </c>
      <c r="L20" s="113">
        <v>17598</v>
      </c>
      <c r="M20" s="114">
        <v>43245</v>
      </c>
      <c r="N20" s="115">
        <f t="shared" si="0"/>
        <v>70</v>
      </c>
      <c r="O20" s="116" t="s">
        <v>442</v>
      </c>
      <c r="P20" s="117" t="s">
        <v>130</v>
      </c>
      <c r="Q20" s="110">
        <v>3</v>
      </c>
      <c r="R20" s="120" t="s">
        <v>443</v>
      </c>
      <c r="S20" s="110"/>
      <c r="T20" s="110"/>
      <c r="U20" s="110"/>
      <c r="V20" s="110"/>
      <c r="W20" s="110"/>
      <c r="X20" s="110"/>
      <c r="Y20" s="110"/>
      <c r="Z20" s="110"/>
      <c r="AA20" s="110"/>
      <c r="AB20" s="110"/>
      <c r="AC20" s="110"/>
      <c r="AD20" s="110"/>
      <c r="AE20" s="110"/>
      <c r="AF20" s="110"/>
      <c r="AG20" s="110"/>
      <c r="AH20" s="110"/>
      <c r="AI20" s="110"/>
      <c r="AJ20" s="110"/>
      <c r="AK20" s="110"/>
      <c r="AL20" s="110"/>
      <c r="AM20" s="110"/>
      <c r="AN20" s="110"/>
      <c r="AO20" s="110"/>
      <c r="AP20" s="110"/>
      <c r="AQ20" s="110"/>
      <c r="AR20" s="110"/>
      <c r="AS20" s="110"/>
      <c r="AT20" s="110"/>
      <c r="AU20" s="110"/>
      <c r="AV20" s="110"/>
      <c r="AW20" s="110"/>
      <c r="AX20" s="110"/>
      <c r="AY20" s="110"/>
      <c r="AZ20" s="110"/>
      <c r="BA20" s="110"/>
      <c r="BB20" s="110"/>
      <c r="BC20" s="110"/>
      <c r="BD20" s="110"/>
      <c r="BE20" s="110"/>
      <c r="BF20" s="110"/>
      <c r="BG20" s="110"/>
      <c r="BH20" s="110"/>
      <c r="BI20" s="110"/>
      <c r="BJ20" s="110"/>
      <c r="BK20" s="110"/>
      <c r="BL20" s="110"/>
      <c r="BM20" s="110"/>
      <c r="BN20" s="110"/>
      <c r="BO20" s="110"/>
      <c r="BP20" s="110"/>
      <c r="BQ20" s="110"/>
      <c r="BR20" s="110"/>
      <c r="BS20" s="110"/>
      <c r="BT20" s="110"/>
      <c r="BU20" s="110"/>
      <c r="BV20" s="110"/>
      <c r="BW20" s="110"/>
      <c r="BX20" s="110"/>
      <c r="BY20" s="110"/>
      <c r="BZ20" s="110"/>
      <c r="CA20" s="110"/>
      <c r="CB20" s="110"/>
      <c r="CC20" s="110"/>
      <c r="CD20" s="110"/>
      <c r="CE20" s="110"/>
      <c r="CF20" s="110"/>
      <c r="CG20" s="110"/>
      <c r="CH20" s="110"/>
      <c r="CI20" s="110"/>
      <c r="CJ20" s="110"/>
      <c r="CK20" s="110"/>
      <c r="CL20" s="110"/>
      <c r="CM20" s="110"/>
      <c r="CN20" s="110"/>
      <c r="CO20" s="110"/>
      <c r="CP20" s="110"/>
      <c r="CQ20" s="110"/>
      <c r="CR20" s="110"/>
      <c r="CS20" s="110"/>
      <c r="CT20" s="110"/>
      <c r="CU20" s="110"/>
      <c r="CV20" s="110"/>
      <c r="CW20" s="110"/>
      <c r="CX20" s="110"/>
      <c r="CY20" s="110"/>
      <c r="CZ20" s="110"/>
      <c r="DA20" s="110"/>
      <c r="DB20" s="110"/>
      <c r="DC20" s="110"/>
      <c r="DD20" s="110"/>
      <c r="DE20" s="110"/>
      <c r="DF20" s="110"/>
      <c r="DG20" s="110"/>
      <c r="DH20" s="110"/>
      <c r="DI20" s="110"/>
      <c r="DJ20" s="110"/>
      <c r="DK20" s="110"/>
      <c r="DL20" s="110"/>
      <c r="DM20" s="110"/>
      <c r="DN20" s="110"/>
      <c r="DO20" s="110"/>
      <c r="DP20" s="110"/>
      <c r="DQ20" s="110"/>
      <c r="DR20" s="110"/>
      <c r="DS20" s="110"/>
      <c r="DT20" s="110"/>
      <c r="DU20" s="110"/>
      <c r="DV20" s="110"/>
      <c r="DW20" s="110"/>
      <c r="DX20" s="110"/>
      <c r="DY20" s="110"/>
      <c r="DZ20" s="110"/>
      <c r="EA20" s="110"/>
      <c r="EB20" s="110"/>
      <c r="EC20" s="110"/>
      <c r="ED20" s="110"/>
      <c r="EE20" s="110"/>
      <c r="EF20" s="110"/>
      <c r="EG20" s="110"/>
      <c r="EH20" s="110"/>
      <c r="EI20" s="110"/>
      <c r="EJ20" s="110"/>
      <c r="EK20" s="111"/>
      <c r="EL20" s="110"/>
      <c r="EM20" s="110"/>
      <c r="EN20" s="110"/>
      <c r="EO20" s="110"/>
      <c r="EP20" s="110"/>
      <c r="EQ20" s="110"/>
      <c r="ER20" s="110"/>
      <c r="ES20" s="110"/>
      <c r="ET20" s="110"/>
      <c r="EU20" s="110"/>
      <c r="EV20" s="111"/>
    </row>
    <row r="21" spans="1:152" ht="14.5" x14ac:dyDescent="0.35">
      <c r="A21" s="108">
        <v>4506292316</v>
      </c>
      <c r="B21" s="109" t="s">
        <v>130</v>
      </c>
      <c r="C21" s="116" t="s">
        <v>130</v>
      </c>
      <c r="D21" s="111" t="s">
        <v>138</v>
      </c>
      <c r="E21" s="111" t="s">
        <v>444</v>
      </c>
      <c r="F21" s="110" t="s">
        <v>445</v>
      </c>
      <c r="G21" s="112">
        <v>43306</v>
      </c>
      <c r="H21" s="110" t="s">
        <v>270</v>
      </c>
      <c r="I21" s="117" t="s">
        <v>135</v>
      </c>
      <c r="J21" s="117" t="s">
        <v>133</v>
      </c>
      <c r="K21" s="110" t="s">
        <v>136</v>
      </c>
      <c r="L21" s="113">
        <v>21014</v>
      </c>
      <c r="M21" s="114">
        <v>43280</v>
      </c>
      <c r="N21" s="115">
        <f t="shared" si="0"/>
        <v>60</v>
      </c>
      <c r="O21" s="116" t="s">
        <v>446</v>
      </c>
      <c r="P21" s="110" t="s">
        <v>130</v>
      </c>
      <c r="Q21" s="110">
        <v>2</v>
      </c>
      <c r="R21" s="120" t="s">
        <v>422</v>
      </c>
      <c r="S21" s="110"/>
      <c r="T21" s="110"/>
      <c r="U21" s="110"/>
      <c r="V21" s="110"/>
      <c r="W21" s="110"/>
      <c r="X21" s="110"/>
      <c r="Y21" s="110"/>
      <c r="Z21" s="110"/>
      <c r="AA21" s="110"/>
      <c r="AB21" s="110"/>
      <c r="AC21" s="110"/>
      <c r="AD21" s="110"/>
      <c r="AE21" s="110"/>
      <c r="AF21" s="110"/>
      <c r="AG21" s="110"/>
      <c r="AH21" s="110"/>
      <c r="AI21" s="110"/>
      <c r="AJ21" s="110"/>
      <c r="AK21" s="110"/>
      <c r="AL21" s="110"/>
      <c r="AM21" s="110"/>
      <c r="AN21" s="110"/>
      <c r="AO21" s="110"/>
      <c r="AP21" s="110"/>
      <c r="AQ21" s="110"/>
      <c r="AR21" s="110"/>
      <c r="AS21" s="110"/>
      <c r="AT21" s="110"/>
      <c r="AU21" s="110"/>
      <c r="AV21" s="110"/>
      <c r="AW21" s="110"/>
      <c r="AX21" s="110"/>
      <c r="AY21" s="110"/>
      <c r="AZ21" s="110"/>
      <c r="BA21" s="110"/>
      <c r="BB21" s="110"/>
      <c r="BC21" s="110"/>
      <c r="BD21" s="110"/>
      <c r="BE21" s="110"/>
      <c r="BF21" s="110"/>
      <c r="BG21" s="110"/>
      <c r="BH21" s="110"/>
      <c r="BI21" s="110"/>
      <c r="BJ21" s="110"/>
      <c r="BK21" s="110"/>
      <c r="BL21" s="110"/>
      <c r="BM21" s="110"/>
      <c r="BN21" s="110"/>
      <c r="BO21" s="110"/>
      <c r="BP21" s="110"/>
      <c r="BQ21" s="110"/>
      <c r="BR21" s="110"/>
      <c r="BS21" s="110"/>
      <c r="BT21" s="110"/>
      <c r="BU21" s="110"/>
      <c r="BV21" s="110"/>
      <c r="BW21" s="110"/>
      <c r="BX21" s="110"/>
      <c r="BY21" s="110"/>
      <c r="BZ21" s="110"/>
      <c r="CA21" s="110"/>
      <c r="CB21" s="110"/>
      <c r="CC21" s="110"/>
      <c r="CD21" s="110"/>
      <c r="CE21" s="110"/>
      <c r="CF21" s="110"/>
      <c r="CG21" s="110"/>
      <c r="CH21" s="110"/>
      <c r="CI21" s="110"/>
      <c r="CJ21" s="110"/>
      <c r="CK21" s="110"/>
      <c r="CL21" s="110"/>
      <c r="CM21" s="110"/>
      <c r="CN21" s="110"/>
      <c r="CO21" s="110"/>
      <c r="CP21" s="110"/>
      <c r="CQ21" s="110"/>
      <c r="CR21" s="110"/>
      <c r="CS21" s="110"/>
      <c r="CT21" s="110"/>
      <c r="CU21" s="110"/>
      <c r="CV21" s="110"/>
      <c r="CW21" s="110"/>
      <c r="CX21" s="110"/>
      <c r="CY21" s="110"/>
      <c r="CZ21" s="110"/>
      <c r="DA21" s="110"/>
      <c r="DB21" s="110"/>
      <c r="DC21" s="110"/>
      <c r="DD21" s="110"/>
      <c r="DE21" s="110"/>
      <c r="DF21" s="110"/>
      <c r="DG21" s="110"/>
      <c r="DH21" s="110"/>
      <c r="DI21" s="110"/>
      <c r="DJ21" s="110"/>
      <c r="DK21" s="110"/>
      <c r="DL21" s="110"/>
      <c r="DM21" s="110"/>
      <c r="DN21" s="110"/>
      <c r="DO21" s="110"/>
      <c r="DP21" s="110"/>
      <c r="DQ21" s="110"/>
      <c r="DR21" s="110"/>
      <c r="DS21" s="110"/>
      <c r="DT21" s="110"/>
      <c r="DU21" s="110"/>
      <c r="DV21" s="110"/>
      <c r="DW21" s="110"/>
      <c r="DX21" s="110"/>
      <c r="DY21" s="110"/>
      <c r="DZ21" s="110"/>
      <c r="EA21" s="110"/>
      <c r="EB21" s="110"/>
      <c r="EC21" s="110"/>
      <c r="ED21" s="110"/>
      <c r="EE21" s="110"/>
      <c r="EF21" s="110"/>
      <c r="EG21" s="110"/>
      <c r="EH21" s="110"/>
      <c r="EI21" s="110"/>
      <c r="EJ21" s="110"/>
      <c r="EK21" s="111"/>
      <c r="EL21" s="110"/>
      <c r="EM21" s="110"/>
      <c r="EN21" s="110"/>
      <c r="EO21" s="110"/>
      <c r="EP21" s="110"/>
      <c r="EQ21" s="110"/>
      <c r="ER21" s="110"/>
      <c r="ES21" s="110"/>
      <c r="ET21" s="110"/>
      <c r="EU21" s="110"/>
      <c r="EV21" s="111"/>
    </row>
    <row r="22" spans="1:152" ht="14.5" x14ac:dyDescent="0.35">
      <c r="A22" s="108">
        <v>4860016092</v>
      </c>
      <c r="B22" s="109" t="s">
        <v>130</v>
      </c>
      <c r="C22" s="116" t="s">
        <v>130</v>
      </c>
      <c r="D22" s="111" t="s">
        <v>138</v>
      </c>
      <c r="E22" s="111" t="s">
        <v>447</v>
      </c>
      <c r="F22" s="110" t="s">
        <v>448</v>
      </c>
      <c r="G22" s="112">
        <v>43314</v>
      </c>
      <c r="H22" s="110" t="s">
        <v>203</v>
      </c>
      <c r="I22" s="117" t="s">
        <v>135</v>
      </c>
      <c r="J22" s="117" t="s">
        <v>133</v>
      </c>
      <c r="K22" s="110" t="s">
        <v>136</v>
      </c>
      <c r="L22" s="113">
        <v>23465</v>
      </c>
      <c r="M22" s="114">
        <v>43271</v>
      </c>
      <c r="N22" s="115">
        <f t="shared" si="0"/>
        <v>54</v>
      </c>
      <c r="O22" s="116" t="s">
        <v>399</v>
      </c>
      <c r="P22" s="110" t="s">
        <v>138</v>
      </c>
      <c r="Q22" s="110">
        <v>2</v>
      </c>
      <c r="R22" s="120" t="s">
        <v>198</v>
      </c>
      <c r="S22" s="110"/>
      <c r="T22" s="110"/>
      <c r="U22" s="110"/>
      <c r="V22" s="110"/>
      <c r="W22" s="110"/>
      <c r="X22" s="110"/>
      <c r="Y22" s="110"/>
      <c r="Z22" s="110"/>
      <c r="AA22" s="110"/>
      <c r="AB22" s="110"/>
      <c r="AC22" s="110"/>
      <c r="AD22" s="110"/>
      <c r="AE22" s="110"/>
      <c r="AF22" s="110"/>
      <c r="AG22" s="110"/>
      <c r="AH22" s="110"/>
      <c r="AI22" s="110"/>
      <c r="AJ22" s="110"/>
      <c r="AK22" s="110"/>
      <c r="AL22" s="110"/>
      <c r="AM22" s="110"/>
      <c r="AN22" s="110"/>
      <c r="AO22" s="110"/>
      <c r="AP22" s="110"/>
      <c r="AQ22" s="110"/>
      <c r="AR22" s="110"/>
      <c r="AS22" s="110"/>
      <c r="AT22" s="110"/>
      <c r="AU22" s="110"/>
      <c r="AV22" s="110"/>
      <c r="AW22" s="110"/>
      <c r="AX22" s="110"/>
      <c r="AY22" s="110"/>
      <c r="AZ22" s="110"/>
      <c r="BA22" s="110"/>
      <c r="BB22" s="110"/>
      <c r="BC22" s="110"/>
      <c r="BD22" s="110"/>
      <c r="BE22" s="110"/>
      <c r="BF22" s="110"/>
      <c r="BG22" s="110"/>
      <c r="BH22" s="110"/>
      <c r="BI22" s="110"/>
      <c r="BJ22" s="110"/>
      <c r="BK22" s="110"/>
      <c r="BL22" s="110"/>
      <c r="BM22" s="110"/>
      <c r="BN22" s="110"/>
      <c r="BO22" s="110"/>
      <c r="BP22" s="110"/>
      <c r="BQ22" s="110"/>
      <c r="BR22" s="110"/>
      <c r="BS22" s="110"/>
      <c r="BT22" s="110"/>
      <c r="BU22" s="110"/>
      <c r="BV22" s="110"/>
      <c r="BW22" s="110"/>
      <c r="BX22" s="110"/>
      <c r="BY22" s="110"/>
      <c r="BZ22" s="110"/>
      <c r="CA22" s="110"/>
      <c r="CB22" s="110"/>
      <c r="CC22" s="110"/>
      <c r="CD22" s="110"/>
      <c r="CE22" s="110"/>
      <c r="CF22" s="110"/>
      <c r="CG22" s="110"/>
      <c r="CH22" s="110"/>
      <c r="CI22" s="110"/>
      <c r="CJ22" s="110"/>
      <c r="CK22" s="110"/>
      <c r="CL22" s="110"/>
      <c r="CM22" s="110"/>
      <c r="CN22" s="110"/>
      <c r="CO22" s="110"/>
      <c r="CP22" s="110"/>
      <c r="CQ22" s="110"/>
      <c r="CR22" s="110"/>
      <c r="CS22" s="110"/>
      <c r="CT22" s="110"/>
      <c r="CU22" s="110"/>
      <c r="CV22" s="110"/>
      <c r="CW22" s="110"/>
      <c r="CX22" s="110"/>
      <c r="CY22" s="110"/>
      <c r="CZ22" s="110"/>
      <c r="DA22" s="110"/>
      <c r="DB22" s="110"/>
      <c r="DC22" s="110"/>
      <c r="DD22" s="110"/>
      <c r="DE22" s="110"/>
      <c r="DF22" s="110"/>
      <c r="DG22" s="110"/>
      <c r="DH22" s="110"/>
      <c r="DI22" s="110"/>
      <c r="DJ22" s="110"/>
      <c r="DK22" s="110"/>
      <c r="DL22" s="110"/>
      <c r="DM22" s="110"/>
      <c r="DN22" s="110"/>
      <c r="DO22" s="110"/>
      <c r="DP22" s="110"/>
      <c r="DQ22" s="110"/>
      <c r="DR22" s="110"/>
      <c r="DS22" s="110"/>
      <c r="DT22" s="110"/>
      <c r="DU22" s="110"/>
      <c r="DV22" s="110"/>
      <c r="DW22" s="110"/>
      <c r="DX22" s="110"/>
      <c r="DY22" s="110"/>
      <c r="DZ22" s="110"/>
      <c r="EA22" s="110"/>
      <c r="EB22" s="110"/>
      <c r="EC22" s="110"/>
      <c r="ED22" s="110"/>
      <c r="EE22" s="110"/>
      <c r="EF22" s="110"/>
      <c r="EG22" s="110"/>
      <c r="EH22" s="110"/>
      <c r="EI22" s="110"/>
      <c r="EJ22" s="110"/>
      <c r="EK22" s="111"/>
      <c r="EL22" s="110"/>
      <c r="EM22" s="110"/>
      <c r="EN22" s="110"/>
      <c r="EO22" s="110"/>
      <c r="EP22" s="110"/>
      <c r="EQ22" s="110"/>
      <c r="ER22" s="110"/>
      <c r="ES22" s="110"/>
      <c r="ET22" s="110"/>
      <c r="EU22" s="110"/>
      <c r="EV22" s="111"/>
    </row>
    <row r="23" spans="1:152" ht="14.5" x14ac:dyDescent="0.35">
      <c r="A23" s="108">
        <v>4360801661</v>
      </c>
      <c r="B23" s="109" t="s">
        <v>130</v>
      </c>
      <c r="C23" s="116" t="s">
        <v>130</v>
      </c>
      <c r="D23" s="111" t="s">
        <v>138</v>
      </c>
      <c r="E23" s="111" t="s">
        <v>449</v>
      </c>
      <c r="F23" s="110" t="s">
        <v>450</v>
      </c>
      <c r="G23" s="112">
        <v>43315</v>
      </c>
      <c r="H23" s="110" t="s">
        <v>134</v>
      </c>
      <c r="I23" s="117" t="s">
        <v>135</v>
      </c>
      <c r="J23" s="117" t="s">
        <v>133</v>
      </c>
      <c r="K23" s="110" t="s">
        <v>136</v>
      </c>
      <c r="L23" s="113">
        <v>12519</v>
      </c>
      <c r="M23" s="114">
        <v>43299</v>
      </c>
      <c r="N23" s="115">
        <f t="shared" si="0"/>
        <v>84</v>
      </c>
      <c r="O23" s="116" t="s">
        <v>451</v>
      </c>
      <c r="P23" s="155" t="s">
        <v>138</v>
      </c>
      <c r="Q23" s="110">
        <v>3</v>
      </c>
      <c r="R23" s="120">
        <v>2</v>
      </c>
      <c r="S23" s="110"/>
      <c r="T23" s="110"/>
      <c r="U23" s="110"/>
      <c r="V23" s="110"/>
      <c r="W23" s="110"/>
      <c r="X23" s="110"/>
      <c r="Y23" s="110"/>
      <c r="Z23" s="110"/>
      <c r="AA23" s="110"/>
      <c r="AB23" s="110"/>
      <c r="AC23" s="110"/>
      <c r="AD23" s="110"/>
      <c r="AE23" s="110"/>
      <c r="AF23" s="110"/>
      <c r="AG23" s="110"/>
      <c r="AH23" s="110"/>
      <c r="AI23" s="110"/>
      <c r="AJ23" s="110"/>
      <c r="AK23" s="110"/>
      <c r="AL23" s="110"/>
      <c r="AM23" s="110"/>
      <c r="AN23" s="110"/>
      <c r="AO23" s="110"/>
      <c r="AP23" s="110"/>
      <c r="AQ23" s="110"/>
      <c r="AR23" s="110"/>
      <c r="AS23" s="110"/>
      <c r="AT23" s="110"/>
      <c r="AU23" s="110"/>
      <c r="AV23" s="110"/>
      <c r="AW23" s="110"/>
      <c r="AX23" s="110"/>
      <c r="AY23" s="110"/>
      <c r="AZ23" s="110"/>
      <c r="BA23" s="110"/>
      <c r="BB23" s="110"/>
      <c r="BC23" s="110"/>
      <c r="BD23" s="110"/>
      <c r="BE23" s="110"/>
      <c r="BF23" s="110"/>
      <c r="BG23" s="110"/>
      <c r="BH23" s="110"/>
      <c r="BI23" s="110"/>
      <c r="BJ23" s="110"/>
      <c r="BK23" s="110"/>
      <c r="BL23" s="110"/>
      <c r="BM23" s="110"/>
      <c r="BN23" s="110"/>
      <c r="BO23" s="110"/>
      <c r="BP23" s="110"/>
      <c r="BQ23" s="110"/>
      <c r="BR23" s="110"/>
      <c r="BS23" s="110"/>
      <c r="BT23" s="110"/>
      <c r="BU23" s="110"/>
      <c r="BV23" s="110"/>
      <c r="BW23" s="110"/>
      <c r="BX23" s="110"/>
      <c r="BY23" s="110"/>
      <c r="BZ23" s="110"/>
      <c r="CA23" s="110"/>
      <c r="CB23" s="110"/>
      <c r="CC23" s="110"/>
      <c r="CD23" s="110"/>
      <c r="CE23" s="110"/>
      <c r="CF23" s="110"/>
      <c r="CG23" s="110"/>
      <c r="CH23" s="110"/>
      <c r="CI23" s="110"/>
      <c r="CJ23" s="110"/>
      <c r="CK23" s="110"/>
      <c r="CL23" s="110"/>
      <c r="CM23" s="110"/>
      <c r="CN23" s="110"/>
      <c r="CO23" s="110"/>
      <c r="CP23" s="110"/>
      <c r="CQ23" s="110"/>
      <c r="CR23" s="110"/>
      <c r="CS23" s="110"/>
      <c r="CT23" s="110"/>
      <c r="CU23" s="110"/>
      <c r="CV23" s="110"/>
      <c r="CW23" s="110"/>
      <c r="CX23" s="110"/>
      <c r="CY23" s="110"/>
      <c r="CZ23" s="110"/>
      <c r="DA23" s="110"/>
      <c r="DB23" s="110"/>
      <c r="DC23" s="110"/>
      <c r="DD23" s="110"/>
      <c r="DE23" s="110"/>
      <c r="DF23" s="110"/>
      <c r="DG23" s="110"/>
      <c r="DH23" s="110"/>
      <c r="DI23" s="110"/>
      <c r="DJ23" s="110"/>
      <c r="DK23" s="110"/>
      <c r="DL23" s="110"/>
      <c r="DM23" s="110"/>
      <c r="DN23" s="110"/>
      <c r="DO23" s="110"/>
      <c r="DP23" s="110"/>
      <c r="DQ23" s="110"/>
      <c r="DR23" s="110"/>
      <c r="DS23" s="110"/>
      <c r="DT23" s="110"/>
      <c r="DU23" s="110"/>
      <c r="DV23" s="110"/>
      <c r="DW23" s="110"/>
      <c r="DX23" s="110"/>
      <c r="DY23" s="110"/>
      <c r="DZ23" s="110"/>
      <c r="EA23" s="110"/>
      <c r="EB23" s="110"/>
      <c r="EC23" s="110"/>
      <c r="ED23" s="110"/>
      <c r="EE23" s="110"/>
      <c r="EF23" s="110"/>
      <c r="EG23" s="110"/>
      <c r="EH23" s="110"/>
      <c r="EI23" s="110"/>
      <c r="EJ23" s="110"/>
      <c r="EK23" s="111"/>
      <c r="EL23" s="110"/>
      <c r="EM23" s="110"/>
      <c r="EN23" s="110"/>
      <c r="EO23" s="110"/>
      <c r="EP23" s="110"/>
      <c r="EQ23" s="110"/>
      <c r="ER23" s="110"/>
      <c r="ES23" s="110"/>
      <c r="ET23" s="110"/>
      <c r="EU23" s="110"/>
      <c r="EV23" s="111"/>
    </row>
    <row r="24" spans="1:152" ht="14.5" x14ac:dyDescent="0.35">
      <c r="A24" s="108">
        <v>4381277902</v>
      </c>
      <c r="B24" s="109" t="s">
        <v>130</v>
      </c>
      <c r="C24" s="116" t="s">
        <v>130</v>
      </c>
      <c r="D24" s="111" t="s">
        <v>138</v>
      </c>
      <c r="E24" s="111" t="s">
        <v>452</v>
      </c>
      <c r="F24" s="110" t="s">
        <v>453</v>
      </c>
      <c r="G24" s="112">
        <v>43318</v>
      </c>
      <c r="H24" s="110" t="s">
        <v>203</v>
      </c>
      <c r="I24" s="117" t="s">
        <v>135</v>
      </c>
      <c r="J24" s="117" t="s">
        <v>133</v>
      </c>
      <c r="K24" s="110" t="s">
        <v>136</v>
      </c>
      <c r="L24" s="113">
        <v>17399</v>
      </c>
      <c r="M24" s="114">
        <v>43290</v>
      </c>
      <c r="N24" s="115">
        <f t="shared" si="0"/>
        <v>70</v>
      </c>
      <c r="O24" s="116" t="s">
        <v>399</v>
      </c>
      <c r="P24" s="155" t="s">
        <v>138</v>
      </c>
      <c r="Q24" s="110">
        <v>3</v>
      </c>
      <c r="R24" s="120" t="s">
        <v>148</v>
      </c>
      <c r="S24" s="110"/>
      <c r="T24" s="110"/>
      <c r="U24" s="110"/>
      <c r="V24" s="110"/>
      <c r="W24" s="110"/>
      <c r="X24" s="110"/>
      <c r="Y24" s="110"/>
      <c r="Z24" s="110"/>
      <c r="AA24" s="110"/>
      <c r="AB24" s="110"/>
      <c r="AC24" s="110"/>
      <c r="AD24" s="110"/>
      <c r="AE24" s="110"/>
      <c r="AF24" s="110"/>
      <c r="AG24" s="110"/>
      <c r="AH24" s="110"/>
      <c r="AI24" s="110"/>
      <c r="AJ24" s="110"/>
      <c r="AK24" s="110"/>
      <c r="AL24" s="110"/>
      <c r="AM24" s="110"/>
      <c r="AN24" s="110"/>
      <c r="AO24" s="110"/>
      <c r="AP24" s="110"/>
      <c r="AQ24" s="110"/>
      <c r="AR24" s="110"/>
      <c r="AS24" s="110"/>
      <c r="AT24" s="110"/>
      <c r="AU24" s="110"/>
      <c r="AV24" s="110"/>
      <c r="AW24" s="110"/>
      <c r="AX24" s="110"/>
      <c r="AY24" s="110"/>
      <c r="AZ24" s="110"/>
      <c r="BA24" s="110"/>
      <c r="BB24" s="110"/>
      <c r="BC24" s="110"/>
      <c r="BD24" s="110"/>
      <c r="BE24" s="110"/>
      <c r="BF24" s="110"/>
      <c r="BG24" s="110"/>
      <c r="BH24" s="110"/>
      <c r="BI24" s="110"/>
      <c r="BJ24" s="110"/>
      <c r="BK24" s="110"/>
      <c r="BL24" s="110"/>
      <c r="BM24" s="110"/>
      <c r="BN24" s="110"/>
      <c r="BO24" s="110"/>
      <c r="BP24" s="110"/>
      <c r="BQ24" s="110"/>
      <c r="BR24" s="110"/>
      <c r="BS24" s="110"/>
      <c r="BT24" s="110"/>
      <c r="BU24" s="110"/>
      <c r="BV24" s="110"/>
      <c r="BW24" s="110"/>
      <c r="BX24" s="110"/>
      <c r="BY24" s="110"/>
      <c r="BZ24" s="110"/>
      <c r="CA24" s="110"/>
      <c r="CB24" s="110"/>
      <c r="CC24" s="110"/>
      <c r="CD24" s="110"/>
      <c r="CE24" s="110"/>
      <c r="CF24" s="110"/>
      <c r="CG24" s="110"/>
      <c r="CH24" s="110"/>
      <c r="CI24" s="110"/>
      <c r="CJ24" s="110"/>
      <c r="CK24" s="110"/>
      <c r="CL24" s="110"/>
      <c r="CM24" s="110"/>
      <c r="CN24" s="110"/>
      <c r="CO24" s="110"/>
      <c r="CP24" s="110"/>
      <c r="CQ24" s="110"/>
      <c r="CR24" s="110"/>
      <c r="CS24" s="110"/>
      <c r="CT24" s="110"/>
      <c r="CU24" s="110"/>
      <c r="CV24" s="110"/>
      <c r="CW24" s="110"/>
      <c r="CX24" s="110"/>
      <c r="CY24" s="110"/>
      <c r="CZ24" s="110"/>
      <c r="DA24" s="110"/>
      <c r="DB24" s="110"/>
      <c r="DC24" s="110"/>
      <c r="DD24" s="110"/>
      <c r="DE24" s="110"/>
      <c r="DF24" s="110"/>
      <c r="DG24" s="110"/>
      <c r="DH24" s="110"/>
      <c r="DI24" s="110"/>
      <c r="DJ24" s="110"/>
      <c r="DK24" s="110"/>
      <c r="DL24" s="110"/>
      <c r="DM24" s="110"/>
      <c r="DN24" s="110"/>
      <c r="DO24" s="110"/>
      <c r="DP24" s="110"/>
      <c r="DQ24" s="110"/>
      <c r="DR24" s="110"/>
      <c r="DS24" s="110"/>
      <c r="DT24" s="110"/>
      <c r="DU24" s="110"/>
      <c r="DV24" s="110"/>
      <c r="DW24" s="110"/>
      <c r="DX24" s="110"/>
      <c r="DY24" s="110"/>
      <c r="DZ24" s="110"/>
      <c r="EA24" s="110"/>
      <c r="EB24" s="110"/>
      <c r="EC24" s="110"/>
      <c r="ED24" s="110"/>
      <c r="EE24" s="110"/>
      <c r="EF24" s="110"/>
      <c r="EG24" s="110"/>
      <c r="EH24" s="110"/>
      <c r="EI24" s="110"/>
      <c r="EJ24" s="110"/>
      <c r="EK24" s="111"/>
      <c r="EL24" s="110"/>
      <c r="EM24" s="110"/>
      <c r="EN24" s="110"/>
      <c r="EO24" s="110"/>
      <c r="EP24" s="110"/>
      <c r="EQ24" s="110"/>
      <c r="ER24" s="110"/>
      <c r="ES24" s="110"/>
      <c r="ET24" s="110"/>
      <c r="EU24" s="110"/>
      <c r="EV24" s="111"/>
    </row>
    <row r="25" spans="1:152" ht="14.5" x14ac:dyDescent="0.35">
      <c r="A25" s="108">
        <v>4360742053</v>
      </c>
      <c r="B25" s="116" t="s">
        <v>130</v>
      </c>
      <c r="C25" s="116" t="s">
        <v>130</v>
      </c>
      <c r="D25" s="111" t="s">
        <v>138</v>
      </c>
      <c r="E25" s="111" t="s">
        <v>454</v>
      </c>
      <c r="F25" s="110" t="s">
        <v>455</v>
      </c>
      <c r="G25" s="112">
        <v>43320</v>
      </c>
      <c r="H25" s="110" t="s">
        <v>203</v>
      </c>
      <c r="I25" s="117" t="s">
        <v>135</v>
      </c>
      <c r="J25" s="117" t="s">
        <v>133</v>
      </c>
      <c r="K25" s="110" t="s">
        <v>136</v>
      </c>
      <c r="L25" s="113">
        <v>14441</v>
      </c>
      <c r="M25" s="114">
        <v>43251</v>
      </c>
      <c r="N25" s="115">
        <f t="shared" si="0"/>
        <v>78</v>
      </c>
      <c r="O25" s="116" t="s">
        <v>421</v>
      </c>
      <c r="P25" s="110" t="s">
        <v>138</v>
      </c>
      <c r="Q25" s="110">
        <v>3</v>
      </c>
      <c r="R25" s="120" t="s">
        <v>198</v>
      </c>
      <c r="S25" s="110"/>
      <c r="T25" s="110"/>
      <c r="U25" s="110"/>
      <c r="V25" s="110"/>
      <c r="W25" s="110"/>
      <c r="X25" s="110"/>
      <c r="Y25" s="110"/>
      <c r="Z25" s="110"/>
      <c r="AA25" s="110"/>
      <c r="AB25" s="110"/>
      <c r="AC25" s="110"/>
      <c r="AD25" s="110"/>
      <c r="AE25" s="110"/>
      <c r="AF25" s="110"/>
      <c r="AG25" s="110"/>
      <c r="AH25" s="110"/>
      <c r="AI25" s="110"/>
      <c r="AJ25" s="110"/>
      <c r="AK25" s="110"/>
      <c r="AL25" s="110"/>
      <c r="AM25" s="110"/>
      <c r="AN25" s="110"/>
      <c r="AO25" s="110"/>
      <c r="AP25" s="110"/>
      <c r="AQ25" s="110"/>
      <c r="AR25" s="110"/>
      <c r="AS25" s="110"/>
      <c r="AT25" s="110"/>
      <c r="AU25" s="110"/>
      <c r="AV25" s="110"/>
      <c r="AW25" s="110"/>
      <c r="AX25" s="110"/>
      <c r="AY25" s="110"/>
      <c r="AZ25" s="110"/>
      <c r="BA25" s="110"/>
      <c r="BB25" s="110"/>
      <c r="BC25" s="110"/>
      <c r="BD25" s="110"/>
      <c r="BE25" s="110"/>
      <c r="BF25" s="110"/>
      <c r="BG25" s="110"/>
      <c r="BH25" s="110"/>
      <c r="BI25" s="110"/>
      <c r="BJ25" s="110"/>
      <c r="BK25" s="110"/>
      <c r="BL25" s="110"/>
      <c r="BM25" s="110"/>
      <c r="BN25" s="110"/>
      <c r="BO25" s="110"/>
      <c r="BP25" s="110"/>
      <c r="BQ25" s="110"/>
      <c r="BR25" s="110"/>
      <c r="BS25" s="110"/>
      <c r="BT25" s="110"/>
      <c r="BU25" s="110"/>
      <c r="BV25" s="110"/>
      <c r="BW25" s="110"/>
      <c r="BX25" s="110"/>
      <c r="BY25" s="110"/>
      <c r="BZ25" s="110"/>
      <c r="CA25" s="110"/>
      <c r="CB25" s="110"/>
      <c r="CC25" s="110"/>
      <c r="CD25" s="110"/>
      <c r="CE25" s="110"/>
      <c r="CF25" s="110"/>
      <c r="CG25" s="110"/>
      <c r="CH25" s="110"/>
      <c r="CI25" s="110"/>
      <c r="CJ25" s="110"/>
      <c r="CK25" s="110"/>
      <c r="CL25" s="110"/>
      <c r="CM25" s="110"/>
      <c r="CN25" s="110"/>
      <c r="CO25" s="110"/>
      <c r="CP25" s="110"/>
      <c r="CQ25" s="110"/>
      <c r="CR25" s="110"/>
      <c r="CS25" s="110"/>
      <c r="CT25" s="110"/>
      <c r="CU25" s="110"/>
      <c r="CV25" s="110"/>
      <c r="CW25" s="110"/>
      <c r="CX25" s="110"/>
      <c r="CY25" s="110"/>
      <c r="CZ25" s="110"/>
      <c r="DA25" s="110"/>
      <c r="DB25" s="110"/>
      <c r="DC25" s="110"/>
      <c r="DD25" s="110"/>
      <c r="DE25" s="110"/>
      <c r="DF25" s="110"/>
      <c r="DG25" s="110"/>
      <c r="DH25" s="110"/>
      <c r="DI25" s="110"/>
      <c r="DJ25" s="110"/>
      <c r="DK25" s="110"/>
      <c r="DL25" s="110"/>
      <c r="DM25" s="110"/>
      <c r="DN25" s="110"/>
      <c r="DO25" s="110"/>
      <c r="DP25" s="110"/>
      <c r="DQ25" s="110"/>
      <c r="DR25" s="110"/>
      <c r="DS25" s="110"/>
      <c r="DT25" s="110"/>
      <c r="DU25" s="110"/>
      <c r="DV25" s="110"/>
      <c r="DW25" s="110"/>
      <c r="DX25" s="110"/>
      <c r="DY25" s="110"/>
      <c r="DZ25" s="110"/>
      <c r="EA25" s="110"/>
      <c r="EB25" s="110"/>
      <c r="EC25" s="110"/>
      <c r="ED25" s="110"/>
      <c r="EE25" s="110"/>
      <c r="EF25" s="110"/>
      <c r="EG25" s="110"/>
      <c r="EH25" s="110"/>
      <c r="EI25" s="110"/>
      <c r="EJ25" s="110"/>
      <c r="EK25" s="111"/>
      <c r="EL25" s="110"/>
      <c r="EM25" s="110"/>
      <c r="EN25" s="110"/>
      <c r="EO25" s="110"/>
      <c r="EP25" s="110"/>
      <c r="EQ25" s="110"/>
      <c r="ER25" s="110"/>
      <c r="ES25" s="110"/>
      <c r="ET25" s="110"/>
      <c r="EU25" s="110"/>
      <c r="EV25" s="111"/>
    </row>
    <row r="26" spans="1:152" ht="14.5" x14ac:dyDescent="0.35">
      <c r="A26" s="108">
        <v>4382000521</v>
      </c>
      <c r="B26" s="116" t="s">
        <v>130</v>
      </c>
      <c r="C26" s="116" t="s">
        <v>130</v>
      </c>
      <c r="D26" s="111" t="s">
        <v>138</v>
      </c>
      <c r="E26" s="111" t="s">
        <v>456</v>
      </c>
      <c r="F26" s="110" t="s">
        <v>331</v>
      </c>
      <c r="G26" s="112">
        <v>43332</v>
      </c>
      <c r="H26" s="110" t="s">
        <v>203</v>
      </c>
      <c r="I26" s="117" t="s">
        <v>135</v>
      </c>
      <c r="J26" s="117" t="s">
        <v>133</v>
      </c>
      <c r="K26" s="110" t="s">
        <v>136</v>
      </c>
      <c r="L26" s="113">
        <v>14734</v>
      </c>
      <c r="M26" s="114">
        <v>43308</v>
      </c>
      <c r="N26" s="115">
        <f t="shared" si="0"/>
        <v>78</v>
      </c>
      <c r="O26" s="116" t="s">
        <v>399</v>
      </c>
      <c r="P26" s="110" t="s">
        <v>138</v>
      </c>
      <c r="Q26" s="110">
        <v>1</v>
      </c>
      <c r="R26" s="120" t="s">
        <v>148</v>
      </c>
      <c r="S26" s="110"/>
      <c r="T26" s="110"/>
      <c r="U26" s="110"/>
      <c r="V26" s="110"/>
      <c r="W26" s="110"/>
      <c r="X26" s="110"/>
      <c r="Y26" s="110"/>
      <c r="Z26" s="110"/>
      <c r="AA26" s="110"/>
      <c r="AB26" s="110"/>
      <c r="AC26" s="110"/>
      <c r="AD26" s="110"/>
      <c r="AE26" s="110"/>
      <c r="AF26" s="110"/>
      <c r="AG26" s="110"/>
      <c r="AH26" s="110"/>
      <c r="AI26" s="110"/>
      <c r="AJ26" s="110"/>
      <c r="AK26" s="110"/>
      <c r="AL26" s="110"/>
      <c r="AM26" s="110"/>
      <c r="AN26" s="110"/>
      <c r="AO26" s="110"/>
      <c r="AP26" s="110"/>
      <c r="AQ26" s="110"/>
      <c r="AR26" s="110"/>
      <c r="AS26" s="110"/>
      <c r="AT26" s="110"/>
      <c r="AU26" s="110"/>
      <c r="AV26" s="110"/>
      <c r="AW26" s="110"/>
      <c r="AX26" s="110"/>
      <c r="AY26" s="110"/>
      <c r="AZ26" s="110"/>
      <c r="BA26" s="110"/>
      <c r="BB26" s="110"/>
      <c r="BC26" s="110"/>
      <c r="BD26" s="110"/>
      <c r="BE26" s="110"/>
      <c r="BF26" s="110"/>
      <c r="BG26" s="110"/>
      <c r="BH26" s="110"/>
      <c r="BI26" s="110"/>
      <c r="BJ26" s="110"/>
      <c r="BK26" s="110"/>
      <c r="BL26" s="110"/>
      <c r="BM26" s="110"/>
      <c r="BN26" s="110"/>
      <c r="BO26" s="110"/>
      <c r="BP26" s="110"/>
      <c r="BQ26" s="110"/>
      <c r="BR26" s="110"/>
      <c r="BS26" s="110"/>
      <c r="BT26" s="110"/>
      <c r="BU26" s="110"/>
      <c r="BV26" s="110"/>
      <c r="BW26" s="110"/>
      <c r="BX26" s="110"/>
      <c r="BY26" s="110"/>
      <c r="BZ26" s="110"/>
      <c r="CA26" s="110"/>
      <c r="CB26" s="110"/>
      <c r="CC26" s="110"/>
      <c r="CD26" s="110"/>
      <c r="CE26" s="110"/>
      <c r="CF26" s="110"/>
      <c r="CG26" s="110"/>
      <c r="CH26" s="110"/>
      <c r="CI26" s="110"/>
      <c r="CJ26" s="110"/>
      <c r="CK26" s="110"/>
      <c r="CL26" s="110"/>
      <c r="CM26" s="110"/>
      <c r="CN26" s="110"/>
      <c r="CO26" s="110"/>
      <c r="CP26" s="110"/>
      <c r="CQ26" s="110"/>
      <c r="CR26" s="110"/>
      <c r="CS26" s="110"/>
      <c r="CT26" s="110"/>
      <c r="CU26" s="110"/>
      <c r="CV26" s="110"/>
      <c r="CW26" s="110"/>
      <c r="CX26" s="110"/>
      <c r="CY26" s="110"/>
      <c r="CZ26" s="110"/>
      <c r="DA26" s="110"/>
      <c r="DB26" s="110"/>
      <c r="DC26" s="110"/>
      <c r="DD26" s="110"/>
      <c r="DE26" s="110"/>
      <c r="DF26" s="110"/>
      <c r="DG26" s="110"/>
      <c r="DH26" s="110"/>
      <c r="DI26" s="110"/>
      <c r="DJ26" s="110"/>
      <c r="DK26" s="110"/>
      <c r="DL26" s="110"/>
      <c r="DM26" s="110"/>
      <c r="DN26" s="110"/>
      <c r="DO26" s="110"/>
      <c r="DP26" s="110"/>
      <c r="DQ26" s="110"/>
      <c r="DR26" s="110"/>
      <c r="DS26" s="110"/>
      <c r="DT26" s="110"/>
      <c r="DU26" s="110"/>
      <c r="DV26" s="110"/>
      <c r="DW26" s="110"/>
      <c r="DX26" s="110"/>
      <c r="DY26" s="110"/>
      <c r="DZ26" s="110"/>
      <c r="EA26" s="110"/>
      <c r="EB26" s="110"/>
      <c r="EC26" s="110"/>
      <c r="ED26" s="110"/>
      <c r="EE26" s="110"/>
      <c r="EF26" s="110"/>
      <c r="EG26" s="110"/>
      <c r="EH26" s="110"/>
      <c r="EI26" s="110"/>
      <c r="EJ26" s="110"/>
      <c r="EK26" s="111"/>
      <c r="EL26" s="110"/>
      <c r="EM26" s="110"/>
      <c r="EN26" s="110"/>
      <c r="EO26" s="110"/>
      <c r="EP26" s="110"/>
      <c r="EQ26" s="110"/>
      <c r="ER26" s="110"/>
      <c r="ES26" s="110"/>
      <c r="ET26" s="110"/>
      <c r="EU26" s="110"/>
      <c r="EV26" s="111"/>
    </row>
    <row r="27" spans="1:152" ht="14.5" x14ac:dyDescent="0.35">
      <c r="A27" s="108">
        <v>6286641513</v>
      </c>
      <c r="B27" s="116" t="s">
        <v>130</v>
      </c>
      <c r="C27" s="116" t="s">
        <v>130</v>
      </c>
      <c r="D27" s="111" t="s">
        <v>138</v>
      </c>
      <c r="E27" s="111" t="s">
        <v>457</v>
      </c>
      <c r="F27" s="110" t="s">
        <v>458</v>
      </c>
      <c r="G27" s="112">
        <v>43335</v>
      </c>
      <c r="H27" s="110" t="s">
        <v>270</v>
      </c>
      <c r="I27" s="117" t="s">
        <v>135</v>
      </c>
      <c r="J27" s="117" t="s">
        <v>133</v>
      </c>
      <c r="K27" s="110" t="s">
        <v>136</v>
      </c>
      <c r="L27" s="113">
        <v>20125</v>
      </c>
      <c r="M27" s="114">
        <v>43300</v>
      </c>
      <c r="N27" s="115">
        <f t="shared" si="0"/>
        <v>63</v>
      </c>
      <c r="O27" s="116" t="s">
        <v>459</v>
      </c>
      <c r="P27" s="117" t="s">
        <v>130</v>
      </c>
      <c r="Q27" s="110">
        <v>3</v>
      </c>
      <c r="R27" s="120" t="s">
        <v>234</v>
      </c>
      <c r="S27" s="110"/>
      <c r="T27" s="110"/>
      <c r="U27" s="110"/>
      <c r="V27" s="110"/>
      <c r="W27" s="110"/>
      <c r="X27" s="110"/>
      <c r="Y27" s="110"/>
      <c r="Z27" s="110"/>
      <c r="AA27" s="110"/>
      <c r="AB27" s="110"/>
      <c r="AC27" s="110"/>
      <c r="AD27" s="110"/>
      <c r="AE27" s="110"/>
      <c r="AF27" s="110"/>
      <c r="AG27" s="110"/>
      <c r="AH27" s="110"/>
      <c r="AI27" s="110"/>
      <c r="AJ27" s="110"/>
      <c r="AK27" s="110"/>
      <c r="AL27" s="110"/>
      <c r="AM27" s="110"/>
      <c r="AN27" s="110"/>
      <c r="AO27" s="110"/>
      <c r="AP27" s="110"/>
      <c r="AQ27" s="110"/>
      <c r="AR27" s="110"/>
      <c r="AS27" s="110"/>
      <c r="AT27" s="110"/>
      <c r="AU27" s="110"/>
      <c r="AV27" s="110"/>
      <c r="AW27" s="110"/>
      <c r="AX27" s="110"/>
      <c r="AY27" s="110"/>
      <c r="AZ27" s="110"/>
      <c r="BA27" s="110"/>
      <c r="BB27" s="110"/>
      <c r="BC27" s="110"/>
      <c r="BD27" s="110"/>
      <c r="BE27" s="110"/>
      <c r="BF27" s="110"/>
      <c r="BG27" s="110"/>
      <c r="BH27" s="110"/>
      <c r="BI27" s="110"/>
      <c r="BJ27" s="110"/>
      <c r="BK27" s="110"/>
      <c r="BL27" s="110"/>
      <c r="BM27" s="110"/>
      <c r="BN27" s="110"/>
      <c r="BO27" s="110"/>
      <c r="BP27" s="110"/>
      <c r="BQ27" s="110"/>
      <c r="BR27" s="110"/>
      <c r="BS27" s="110"/>
      <c r="BT27" s="110"/>
      <c r="BU27" s="110"/>
      <c r="BV27" s="110"/>
      <c r="BW27" s="110"/>
      <c r="BX27" s="110"/>
      <c r="BY27" s="110"/>
      <c r="BZ27" s="110"/>
      <c r="CA27" s="110"/>
      <c r="CB27" s="110"/>
      <c r="CC27" s="110"/>
      <c r="CD27" s="110"/>
      <c r="CE27" s="110"/>
      <c r="CF27" s="110"/>
      <c r="CG27" s="110"/>
      <c r="CH27" s="110"/>
      <c r="CI27" s="110"/>
      <c r="CJ27" s="110"/>
      <c r="CK27" s="110"/>
      <c r="CL27" s="110"/>
      <c r="CM27" s="110"/>
      <c r="CN27" s="110"/>
      <c r="CO27" s="110"/>
      <c r="CP27" s="110"/>
      <c r="CQ27" s="110"/>
      <c r="CR27" s="110"/>
      <c r="CS27" s="110"/>
      <c r="CT27" s="110"/>
      <c r="CU27" s="110"/>
      <c r="CV27" s="110"/>
      <c r="CW27" s="110"/>
      <c r="CX27" s="110"/>
      <c r="CY27" s="110"/>
      <c r="CZ27" s="110"/>
      <c r="DA27" s="110"/>
      <c r="DB27" s="110"/>
      <c r="DC27" s="110"/>
      <c r="DD27" s="110"/>
      <c r="DE27" s="110"/>
      <c r="DF27" s="110"/>
      <c r="DG27" s="110"/>
      <c r="DH27" s="110"/>
      <c r="DI27" s="110"/>
      <c r="DJ27" s="110"/>
      <c r="DK27" s="110"/>
      <c r="DL27" s="110"/>
      <c r="DM27" s="110"/>
      <c r="DN27" s="110"/>
      <c r="DO27" s="110"/>
      <c r="DP27" s="110"/>
      <c r="DQ27" s="110"/>
      <c r="DR27" s="110"/>
      <c r="DS27" s="110"/>
      <c r="DT27" s="110"/>
      <c r="DU27" s="110"/>
      <c r="DV27" s="110"/>
      <c r="DW27" s="110"/>
      <c r="DX27" s="110"/>
      <c r="DY27" s="110"/>
      <c r="DZ27" s="110"/>
      <c r="EA27" s="110"/>
      <c r="EB27" s="110"/>
      <c r="EC27" s="110"/>
      <c r="ED27" s="110"/>
      <c r="EE27" s="110"/>
      <c r="EF27" s="110"/>
      <c r="EG27" s="110"/>
      <c r="EH27" s="110"/>
      <c r="EI27" s="110"/>
      <c r="EJ27" s="110"/>
      <c r="EK27" s="111"/>
      <c r="EL27" s="110"/>
      <c r="EM27" s="110"/>
      <c r="EN27" s="110"/>
      <c r="EO27" s="110"/>
      <c r="EP27" s="110"/>
      <c r="EQ27" s="110"/>
      <c r="ER27" s="110"/>
      <c r="ES27" s="110"/>
      <c r="ET27" s="110"/>
      <c r="EU27" s="110"/>
      <c r="EV27" s="111"/>
    </row>
    <row r="28" spans="1:152" ht="14.5" x14ac:dyDescent="0.35">
      <c r="A28" s="108">
        <v>4343725359</v>
      </c>
      <c r="B28" s="116" t="s">
        <v>130</v>
      </c>
      <c r="C28" s="116" t="s">
        <v>130</v>
      </c>
      <c r="D28" s="111" t="s">
        <v>138</v>
      </c>
      <c r="E28" s="111" t="s">
        <v>460</v>
      </c>
      <c r="F28" s="110" t="s">
        <v>461</v>
      </c>
      <c r="G28" s="112">
        <v>43336</v>
      </c>
      <c r="H28" s="110" t="s">
        <v>203</v>
      </c>
      <c r="I28" s="117" t="s">
        <v>135</v>
      </c>
      <c r="J28" s="117" t="s">
        <v>133</v>
      </c>
      <c r="K28" s="110" t="s">
        <v>136</v>
      </c>
      <c r="L28" s="113">
        <v>12733</v>
      </c>
      <c r="M28" s="114">
        <v>43297</v>
      </c>
      <c r="N28" s="115">
        <f t="shared" si="0"/>
        <v>83</v>
      </c>
      <c r="O28" s="116" t="s">
        <v>399</v>
      </c>
      <c r="P28" s="155" t="s">
        <v>138</v>
      </c>
      <c r="Q28" s="110">
        <v>2</v>
      </c>
      <c r="R28" s="156" t="s">
        <v>148</v>
      </c>
      <c r="S28" s="110"/>
      <c r="T28" s="110"/>
      <c r="U28" s="110"/>
      <c r="V28" s="110"/>
      <c r="W28" s="110"/>
      <c r="X28" s="110"/>
      <c r="Y28" s="110"/>
      <c r="Z28" s="110"/>
      <c r="AA28" s="110"/>
      <c r="AB28" s="110"/>
      <c r="AC28" s="110"/>
      <c r="AD28" s="110"/>
      <c r="AE28" s="110"/>
      <c r="AF28" s="110"/>
      <c r="AG28" s="110"/>
      <c r="AH28" s="110"/>
      <c r="AI28" s="110"/>
      <c r="AJ28" s="110"/>
      <c r="AK28" s="110"/>
      <c r="AL28" s="110"/>
      <c r="AM28" s="110"/>
      <c r="AN28" s="110"/>
      <c r="AO28" s="110"/>
      <c r="AP28" s="110"/>
      <c r="AQ28" s="110"/>
      <c r="AR28" s="110"/>
      <c r="AS28" s="110"/>
      <c r="AT28" s="110"/>
      <c r="AU28" s="110"/>
      <c r="AV28" s="110"/>
      <c r="AW28" s="110"/>
      <c r="AX28" s="110"/>
      <c r="AY28" s="110"/>
      <c r="AZ28" s="110"/>
      <c r="BA28" s="110"/>
      <c r="BB28" s="110"/>
      <c r="BC28" s="110"/>
      <c r="BD28" s="110"/>
      <c r="BE28" s="110"/>
      <c r="BF28" s="110"/>
      <c r="BG28" s="110"/>
      <c r="BH28" s="110"/>
      <c r="BI28" s="110"/>
      <c r="BJ28" s="110"/>
      <c r="BK28" s="110"/>
      <c r="BL28" s="110"/>
      <c r="BM28" s="110"/>
      <c r="BN28" s="110"/>
      <c r="BO28" s="110"/>
      <c r="BP28" s="110"/>
      <c r="BQ28" s="110"/>
      <c r="BR28" s="110"/>
      <c r="BS28" s="110"/>
      <c r="BT28" s="110"/>
      <c r="BU28" s="110"/>
      <c r="BV28" s="110"/>
      <c r="BW28" s="110"/>
      <c r="BX28" s="110"/>
      <c r="BY28" s="110"/>
      <c r="BZ28" s="110"/>
      <c r="CA28" s="110"/>
      <c r="CB28" s="110"/>
      <c r="CC28" s="110"/>
      <c r="CD28" s="110"/>
      <c r="CE28" s="110"/>
      <c r="CF28" s="110"/>
      <c r="CG28" s="110"/>
      <c r="CH28" s="110"/>
      <c r="CI28" s="110"/>
      <c r="CJ28" s="110"/>
      <c r="CK28" s="110"/>
      <c r="CL28" s="110"/>
      <c r="CM28" s="110"/>
      <c r="CN28" s="110"/>
      <c r="CO28" s="110"/>
      <c r="CP28" s="110"/>
      <c r="CQ28" s="110"/>
      <c r="CR28" s="110"/>
      <c r="CS28" s="110"/>
      <c r="CT28" s="110"/>
      <c r="CU28" s="110"/>
      <c r="CV28" s="110"/>
      <c r="CW28" s="110"/>
      <c r="CX28" s="110"/>
      <c r="CY28" s="110"/>
      <c r="CZ28" s="110"/>
      <c r="DA28" s="110"/>
      <c r="DB28" s="110"/>
      <c r="DC28" s="110"/>
      <c r="DD28" s="110"/>
      <c r="DE28" s="110"/>
      <c r="DF28" s="110"/>
      <c r="DG28" s="110"/>
      <c r="DH28" s="110"/>
      <c r="DI28" s="110"/>
      <c r="DJ28" s="110"/>
      <c r="DK28" s="110"/>
      <c r="DL28" s="110"/>
      <c r="DM28" s="110"/>
      <c r="DN28" s="110"/>
      <c r="DO28" s="110"/>
      <c r="DP28" s="110"/>
      <c r="DQ28" s="110"/>
      <c r="DR28" s="110"/>
      <c r="DS28" s="110"/>
      <c r="DT28" s="110"/>
      <c r="DU28" s="110"/>
      <c r="DV28" s="110"/>
      <c r="DW28" s="110"/>
      <c r="DX28" s="110"/>
      <c r="DY28" s="110"/>
      <c r="DZ28" s="110"/>
      <c r="EA28" s="110"/>
      <c r="EB28" s="110"/>
      <c r="EC28" s="110"/>
      <c r="ED28" s="110"/>
      <c r="EE28" s="110"/>
      <c r="EF28" s="110"/>
      <c r="EG28" s="110"/>
      <c r="EH28" s="110"/>
      <c r="EI28" s="110"/>
      <c r="EJ28" s="110"/>
      <c r="EK28" s="111"/>
      <c r="EL28" s="110"/>
      <c r="EM28" s="110"/>
      <c r="EN28" s="110"/>
      <c r="EO28" s="110"/>
      <c r="EP28" s="110"/>
      <c r="EQ28" s="110"/>
      <c r="ER28" s="110"/>
      <c r="ES28" s="110"/>
      <c r="ET28" s="110"/>
      <c r="EU28" s="110"/>
      <c r="EV28" s="111"/>
    </row>
    <row r="29" spans="1:152" ht="14.5" x14ac:dyDescent="0.35">
      <c r="A29" s="108">
        <v>6180835616</v>
      </c>
      <c r="B29" s="116" t="s">
        <v>130</v>
      </c>
      <c r="C29" s="116" t="s">
        <v>130</v>
      </c>
      <c r="D29" s="111" t="s">
        <v>138</v>
      </c>
      <c r="E29" s="111" t="s">
        <v>462</v>
      </c>
      <c r="F29" s="110" t="s">
        <v>463</v>
      </c>
      <c r="G29" s="112">
        <v>43340</v>
      </c>
      <c r="H29" s="110" t="s">
        <v>270</v>
      </c>
      <c r="I29" s="117" t="s">
        <v>135</v>
      </c>
      <c r="J29" s="117" t="s">
        <v>133</v>
      </c>
      <c r="K29" s="110" t="s">
        <v>136</v>
      </c>
      <c r="L29" s="113">
        <v>14022</v>
      </c>
      <c r="M29" s="114">
        <v>43312</v>
      </c>
      <c r="N29" s="115">
        <f t="shared" si="0"/>
        <v>80</v>
      </c>
      <c r="O29" s="116" t="s">
        <v>425</v>
      </c>
      <c r="P29" s="117" t="s">
        <v>130</v>
      </c>
      <c r="Q29" s="110">
        <v>3</v>
      </c>
      <c r="R29" s="120" t="s">
        <v>422</v>
      </c>
      <c r="S29" s="110"/>
      <c r="T29" s="110"/>
      <c r="U29" s="110"/>
      <c r="V29" s="110"/>
      <c r="W29" s="110"/>
      <c r="X29" s="110"/>
      <c r="Y29" s="110"/>
      <c r="Z29" s="110"/>
      <c r="AA29" s="110"/>
      <c r="AB29" s="110"/>
      <c r="AC29" s="110"/>
      <c r="AD29" s="110"/>
      <c r="AE29" s="110"/>
      <c r="AF29" s="110"/>
      <c r="AG29" s="110"/>
      <c r="AH29" s="110"/>
      <c r="AI29" s="110"/>
      <c r="AJ29" s="110"/>
      <c r="AK29" s="110"/>
      <c r="AL29" s="110"/>
      <c r="AM29" s="110"/>
      <c r="AN29" s="110"/>
      <c r="AO29" s="110"/>
      <c r="AP29" s="110"/>
      <c r="AQ29" s="110"/>
      <c r="AR29" s="110"/>
      <c r="AS29" s="110"/>
      <c r="AT29" s="110"/>
      <c r="AU29" s="110"/>
      <c r="AV29" s="110"/>
      <c r="AW29" s="110"/>
      <c r="AX29" s="110"/>
      <c r="AY29" s="110"/>
      <c r="AZ29" s="110"/>
      <c r="BA29" s="110"/>
      <c r="BB29" s="110"/>
      <c r="BC29" s="110"/>
      <c r="BD29" s="110"/>
      <c r="BE29" s="110"/>
      <c r="BF29" s="110"/>
      <c r="BG29" s="110"/>
      <c r="BH29" s="110"/>
      <c r="BI29" s="110"/>
      <c r="BJ29" s="110"/>
      <c r="BK29" s="110"/>
      <c r="BL29" s="110"/>
      <c r="BM29" s="110"/>
      <c r="BN29" s="110"/>
      <c r="BO29" s="110"/>
      <c r="BP29" s="110"/>
      <c r="BQ29" s="110"/>
      <c r="BR29" s="110"/>
      <c r="BS29" s="110"/>
      <c r="BT29" s="110"/>
      <c r="BU29" s="110"/>
      <c r="BV29" s="110"/>
      <c r="BW29" s="110"/>
      <c r="BX29" s="110"/>
      <c r="BY29" s="110"/>
      <c r="BZ29" s="110"/>
      <c r="CA29" s="110"/>
      <c r="CB29" s="110"/>
      <c r="CC29" s="110"/>
      <c r="CD29" s="110"/>
      <c r="CE29" s="110"/>
      <c r="CF29" s="110"/>
      <c r="CG29" s="110"/>
      <c r="CH29" s="110"/>
      <c r="CI29" s="110"/>
      <c r="CJ29" s="110"/>
      <c r="CK29" s="110"/>
      <c r="CL29" s="110"/>
      <c r="CM29" s="110"/>
      <c r="CN29" s="110"/>
      <c r="CO29" s="110"/>
      <c r="CP29" s="110"/>
      <c r="CQ29" s="110"/>
      <c r="CR29" s="110"/>
      <c r="CS29" s="110"/>
      <c r="CT29" s="110"/>
      <c r="CU29" s="110"/>
      <c r="CV29" s="110"/>
      <c r="CW29" s="110"/>
      <c r="CX29" s="110"/>
      <c r="CY29" s="110"/>
      <c r="CZ29" s="110"/>
      <c r="DA29" s="110"/>
      <c r="DB29" s="110"/>
      <c r="DC29" s="110"/>
      <c r="DD29" s="110"/>
      <c r="DE29" s="110"/>
      <c r="DF29" s="110"/>
      <c r="DG29" s="110"/>
      <c r="DH29" s="110"/>
      <c r="DI29" s="110"/>
      <c r="DJ29" s="110"/>
      <c r="DK29" s="110"/>
      <c r="DL29" s="110"/>
      <c r="DM29" s="110"/>
      <c r="DN29" s="110"/>
      <c r="DO29" s="110"/>
      <c r="DP29" s="110"/>
      <c r="DQ29" s="110"/>
      <c r="DR29" s="110"/>
      <c r="DS29" s="110"/>
      <c r="DT29" s="110"/>
      <c r="DU29" s="110"/>
      <c r="DV29" s="110"/>
      <c r="DW29" s="110"/>
      <c r="DX29" s="110"/>
      <c r="DY29" s="110"/>
      <c r="DZ29" s="110"/>
      <c r="EA29" s="110"/>
      <c r="EB29" s="110"/>
      <c r="EC29" s="110"/>
      <c r="ED29" s="110"/>
      <c r="EE29" s="110"/>
      <c r="EF29" s="110"/>
      <c r="EG29" s="110"/>
      <c r="EH29" s="110"/>
      <c r="EI29" s="110"/>
      <c r="EJ29" s="110"/>
      <c r="EK29" s="111"/>
      <c r="EL29" s="110"/>
      <c r="EM29" s="110"/>
      <c r="EN29" s="110"/>
      <c r="EO29" s="110"/>
      <c r="EP29" s="110"/>
      <c r="EQ29" s="110"/>
      <c r="ER29" s="110"/>
      <c r="ES29" s="110"/>
      <c r="ET29" s="110"/>
      <c r="EU29" s="110"/>
      <c r="EV29" s="111"/>
    </row>
    <row r="30" spans="1:152" ht="14.5" x14ac:dyDescent="0.35">
      <c r="A30" s="108">
        <v>4725744840</v>
      </c>
      <c r="B30" s="116" t="s">
        <v>130</v>
      </c>
      <c r="C30" s="116" t="s">
        <v>130</v>
      </c>
      <c r="D30" s="111" t="s">
        <v>138</v>
      </c>
      <c r="E30" s="111" t="s">
        <v>464</v>
      </c>
      <c r="F30" s="110" t="s">
        <v>465</v>
      </c>
      <c r="G30" s="112">
        <v>43340</v>
      </c>
      <c r="H30" s="110" t="s">
        <v>270</v>
      </c>
      <c r="I30" s="117" t="s">
        <v>135</v>
      </c>
      <c r="J30" s="117" t="s">
        <v>133</v>
      </c>
      <c r="K30" s="110" t="s">
        <v>136</v>
      </c>
      <c r="L30" s="113">
        <v>16667</v>
      </c>
      <c r="M30" s="119">
        <v>43321</v>
      </c>
      <c r="N30" s="115">
        <f t="shared" si="0"/>
        <v>72</v>
      </c>
      <c r="O30" s="116" t="s">
        <v>425</v>
      </c>
      <c r="P30" s="117" t="s">
        <v>138</v>
      </c>
      <c r="Q30" s="110">
        <v>3</v>
      </c>
      <c r="R30" s="120" t="s">
        <v>148</v>
      </c>
      <c r="S30" s="110"/>
      <c r="T30" s="110"/>
      <c r="U30" s="110"/>
      <c r="V30" s="110"/>
      <c r="W30" s="110"/>
      <c r="X30" s="110"/>
      <c r="Y30" s="110"/>
      <c r="Z30" s="110"/>
      <c r="AA30" s="110"/>
      <c r="AB30" s="110"/>
      <c r="AC30" s="110"/>
      <c r="AD30" s="110"/>
      <c r="AE30" s="110"/>
      <c r="AF30" s="110"/>
      <c r="AG30" s="110"/>
      <c r="AH30" s="110"/>
      <c r="AI30" s="110"/>
      <c r="AJ30" s="110"/>
      <c r="AK30" s="110"/>
      <c r="AL30" s="110"/>
      <c r="AM30" s="110"/>
      <c r="AN30" s="110"/>
      <c r="AO30" s="110"/>
      <c r="AP30" s="110"/>
      <c r="AQ30" s="110"/>
      <c r="AR30" s="110"/>
      <c r="AS30" s="110"/>
      <c r="AT30" s="110"/>
      <c r="AU30" s="110"/>
      <c r="AV30" s="110"/>
      <c r="AW30" s="110"/>
      <c r="AX30" s="110"/>
      <c r="AY30" s="110"/>
      <c r="AZ30" s="110"/>
      <c r="BA30" s="110"/>
      <c r="BB30" s="110"/>
      <c r="BC30" s="110"/>
      <c r="BD30" s="110"/>
      <c r="BE30" s="110"/>
      <c r="BF30" s="110"/>
      <c r="BG30" s="110"/>
      <c r="BH30" s="110"/>
      <c r="BI30" s="110"/>
      <c r="BJ30" s="110"/>
      <c r="BK30" s="110"/>
      <c r="BL30" s="110"/>
      <c r="BM30" s="110"/>
      <c r="BN30" s="110"/>
      <c r="BO30" s="110"/>
      <c r="BP30" s="110"/>
      <c r="BQ30" s="110"/>
      <c r="BR30" s="110"/>
      <c r="BS30" s="110"/>
      <c r="BT30" s="110"/>
      <c r="BU30" s="110"/>
      <c r="BV30" s="110"/>
      <c r="BW30" s="110"/>
      <c r="BX30" s="110"/>
      <c r="BY30" s="110"/>
      <c r="BZ30" s="110"/>
      <c r="CA30" s="110"/>
      <c r="CB30" s="110"/>
      <c r="CC30" s="110"/>
      <c r="CD30" s="110"/>
      <c r="CE30" s="110"/>
      <c r="CF30" s="110"/>
      <c r="CG30" s="110"/>
      <c r="CH30" s="110"/>
      <c r="CI30" s="110"/>
      <c r="CJ30" s="110"/>
      <c r="CK30" s="110"/>
      <c r="CL30" s="110"/>
      <c r="CM30" s="110"/>
      <c r="CN30" s="110"/>
      <c r="CO30" s="110"/>
      <c r="CP30" s="110"/>
      <c r="CQ30" s="110"/>
      <c r="CR30" s="110"/>
      <c r="CS30" s="110"/>
      <c r="CT30" s="110"/>
      <c r="CU30" s="110"/>
      <c r="CV30" s="110"/>
      <c r="CW30" s="110"/>
      <c r="CX30" s="110"/>
      <c r="CY30" s="110"/>
      <c r="CZ30" s="110"/>
      <c r="DA30" s="110"/>
      <c r="DB30" s="110"/>
      <c r="DC30" s="110"/>
      <c r="DD30" s="110"/>
      <c r="DE30" s="110"/>
      <c r="DF30" s="110"/>
      <c r="DG30" s="110"/>
      <c r="DH30" s="110"/>
      <c r="DI30" s="110"/>
      <c r="DJ30" s="110"/>
      <c r="DK30" s="110"/>
      <c r="DL30" s="110"/>
      <c r="DM30" s="110"/>
      <c r="DN30" s="110"/>
      <c r="DO30" s="110"/>
      <c r="DP30" s="110"/>
      <c r="DQ30" s="110"/>
      <c r="DR30" s="110"/>
      <c r="DS30" s="110"/>
      <c r="DT30" s="110"/>
      <c r="DU30" s="110"/>
      <c r="DV30" s="110"/>
      <c r="DW30" s="110"/>
      <c r="DX30" s="110"/>
      <c r="DY30" s="110"/>
      <c r="DZ30" s="110"/>
      <c r="EA30" s="110"/>
      <c r="EB30" s="110"/>
      <c r="EC30" s="110"/>
      <c r="ED30" s="110"/>
      <c r="EE30" s="110"/>
      <c r="EF30" s="110"/>
      <c r="EG30" s="110"/>
      <c r="EH30" s="110"/>
      <c r="EI30" s="110"/>
      <c r="EJ30" s="110"/>
      <c r="EK30" s="111"/>
      <c r="EL30" s="110"/>
      <c r="EM30" s="110"/>
      <c r="EN30" s="110"/>
      <c r="EO30" s="110"/>
      <c r="EP30" s="110"/>
      <c r="EQ30" s="110"/>
      <c r="ER30" s="110"/>
      <c r="ES30" s="110"/>
      <c r="ET30" s="110"/>
      <c r="EU30" s="110"/>
      <c r="EV30" s="111"/>
    </row>
    <row r="31" spans="1:152" ht="14.5" x14ac:dyDescent="0.35">
      <c r="A31" s="108">
        <v>4330981475</v>
      </c>
      <c r="B31" s="116" t="s">
        <v>130</v>
      </c>
      <c r="C31" s="116" t="s">
        <v>130</v>
      </c>
      <c r="D31" s="111" t="s">
        <v>138</v>
      </c>
      <c r="E31" s="111" t="s">
        <v>466</v>
      </c>
      <c r="F31" s="110" t="s">
        <v>282</v>
      </c>
      <c r="G31" s="112">
        <v>43341</v>
      </c>
      <c r="H31" s="110" t="s">
        <v>203</v>
      </c>
      <c r="I31" s="117" t="s">
        <v>135</v>
      </c>
      <c r="J31" s="117" t="s">
        <v>133</v>
      </c>
      <c r="K31" s="110" t="s">
        <v>136</v>
      </c>
      <c r="L31" s="113">
        <v>14190</v>
      </c>
      <c r="M31" s="114">
        <v>43301</v>
      </c>
      <c r="N31" s="115">
        <f t="shared" si="0"/>
        <v>79</v>
      </c>
      <c r="O31" s="116" t="s">
        <v>399</v>
      </c>
      <c r="P31" s="110" t="s">
        <v>138</v>
      </c>
      <c r="Q31" s="110">
        <v>3</v>
      </c>
      <c r="R31" s="120" t="s">
        <v>198</v>
      </c>
      <c r="S31" s="110"/>
      <c r="T31" s="110"/>
      <c r="U31" s="110"/>
      <c r="V31" s="110"/>
      <c r="W31" s="110"/>
      <c r="X31" s="110"/>
      <c r="Y31" s="110"/>
      <c r="Z31" s="110"/>
      <c r="AA31" s="110"/>
      <c r="AB31" s="110"/>
      <c r="AC31" s="110"/>
      <c r="AD31" s="110"/>
      <c r="AE31" s="110"/>
      <c r="AF31" s="110"/>
      <c r="AG31" s="110"/>
      <c r="AH31" s="110"/>
      <c r="AI31" s="110"/>
      <c r="AJ31" s="110"/>
      <c r="AK31" s="110"/>
      <c r="AL31" s="110"/>
      <c r="AM31" s="110"/>
      <c r="AN31" s="110"/>
      <c r="AO31" s="110"/>
      <c r="AP31" s="110"/>
      <c r="AQ31" s="110"/>
      <c r="AR31" s="110"/>
      <c r="AS31" s="110"/>
      <c r="AT31" s="110"/>
      <c r="AU31" s="110"/>
      <c r="AV31" s="110"/>
      <c r="AW31" s="110"/>
      <c r="AX31" s="110"/>
      <c r="AY31" s="110"/>
      <c r="AZ31" s="110"/>
      <c r="BA31" s="110"/>
      <c r="BB31" s="110"/>
      <c r="BC31" s="110"/>
      <c r="BD31" s="110"/>
      <c r="BE31" s="110"/>
      <c r="BF31" s="110"/>
      <c r="BG31" s="110"/>
      <c r="BH31" s="110"/>
      <c r="BI31" s="110"/>
      <c r="BJ31" s="110"/>
      <c r="BK31" s="110"/>
      <c r="BL31" s="110"/>
      <c r="BM31" s="110"/>
      <c r="BN31" s="110"/>
      <c r="BO31" s="110"/>
      <c r="BP31" s="110"/>
      <c r="BQ31" s="110"/>
      <c r="BR31" s="110"/>
      <c r="BS31" s="110"/>
      <c r="BT31" s="110"/>
      <c r="BU31" s="110"/>
      <c r="BV31" s="110"/>
      <c r="BW31" s="110"/>
      <c r="BX31" s="110"/>
      <c r="BY31" s="110"/>
      <c r="BZ31" s="110"/>
      <c r="CA31" s="110"/>
      <c r="CB31" s="110"/>
      <c r="CC31" s="110"/>
      <c r="CD31" s="110"/>
      <c r="CE31" s="110"/>
      <c r="CF31" s="110"/>
      <c r="CG31" s="110"/>
      <c r="CH31" s="110"/>
      <c r="CI31" s="110"/>
      <c r="CJ31" s="110"/>
      <c r="CK31" s="110"/>
      <c r="CL31" s="110"/>
      <c r="CM31" s="110"/>
      <c r="CN31" s="110"/>
      <c r="CO31" s="110"/>
      <c r="CP31" s="110"/>
      <c r="CQ31" s="110"/>
      <c r="CR31" s="110"/>
      <c r="CS31" s="110"/>
      <c r="CT31" s="110"/>
      <c r="CU31" s="110"/>
      <c r="CV31" s="110"/>
      <c r="CW31" s="110"/>
      <c r="CX31" s="110"/>
      <c r="CY31" s="110"/>
      <c r="CZ31" s="110"/>
      <c r="DA31" s="110"/>
      <c r="DB31" s="110"/>
      <c r="DC31" s="110"/>
      <c r="DD31" s="110"/>
      <c r="DE31" s="110"/>
      <c r="DF31" s="110"/>
      <c r="DG31" s="110"/>
      <c r="DH31" s="110"/>
      <c r="DI31" s="110"/>
      <c r="DJ31" s="110"/>
      <c r="DK31" s="110"/>
      <c r="DL31" s="110"/>
      <c r="DM31" s="110"/>
      <c r="DN31" s="110"/>
      <c r="DO31" s="110"/>
      <c r="DP31" s="110"/>
      <c r="DQ31" s="110"/>
      <c r="DR31" s="110"/>
      <c r="DS31" s="110"/>
      <c r="DT31" s="110"/>
      <c r="DU31" s="110"/>
      <c r="DV31" s="110"/>
      <c r="DW31" s="110"/>
      <c r="DX31" s="110"/>
      <c r="DY31" s="110"/>
      <c r="DZ31" s="110"/>
      <c r="EA31" s="110"/>
      <c r="EB31" s="110"/>
      <c r="EC31" s="110"/>
      <c r="ED31" s="110"/>
      <c r="EE31" s="110"/>
      <c r="EF31" s="110"/>
      <c r="EG31" s="110"/>
      <c r="EH31" s="110"/>
      <c r="EI31" s="110"/>
      <c r="EJ31" s="110"/>
      <c r="EK31" s="111"/>
      <c r="EL31" s="110"/>
      <c r="EM31" s="110"/>
      <c r="EN31" s="110"/>
      <c r="EO31" s="110"/>
      <c r="EP31" s="110"/>
      <c r="EQ31" s="110"/>
      <c r="ER31" s="110"/>
      <c r="ES31" s="110"/>
      <c r="ET31" s="110"/>
      <c r="EU31" s="110"/>
      <c r="EV31" s="111"/>
    </row>
    <row r="32" spans="1:152" ht="14.5" x14ac:dyDescent="0.35">
      <c r="A32" s="108">
        <v>4125089388</v>
      </c>
      <c r="B32" s="116" t="s">
        <v>130</v>
      </c>
      <c r="C32" s="116" t="s">
        <v>130</v>
      </c>
      <c r="D32" s="111" t="s">
        <v>138</v>
      </c>
      <c r="E32" s="111" t="s">
        <v>467</v>
      </c>
      <c r="F32" s="110" t="s">
        <v>455</v>
      </c>
      <c r="G32" s="112">
        <v>43346</v>
      </c>
      <c r="H32" s="110" t="s">
        <v>468</v>
      </c>
      <c r="I32" s="117" t="s">
        <v>135</v>
      </c>
      <c r="J32" s="117" t="s">
        <v>133</v>
      </c>
      <c r="K32" s="110" t="s">
        <v>136</v>
      </c>
      <c r="L32" s="113">
        <v>23777</v>
      </c>
      <c r="M32" s="112">
        <v>43346</v>
      </c>
      <c r="N32" s="115">
        <f t="shared" si="0"/>
        <v>53</v>
      </c>
      <c r="O32" s="116" t="s">
        <v>469</v>
      </c>
      <c r="P32" s="117" t="s">
        <v>130</v>
      </c>
      <c r="Q32" s="117">
        <v>3</v>
      </c>
      <c r="R32" s="120" t="s">
        <v>422</v>
      </c>
      <c r="S32" s="110"/>
      <c r="T32" s="110"/>
      <c r="U32" s="110"/>
      <c r="V32" s="110"/>
      <c r="W32" s="110"/>
      <c r="X32" s="110"/>
      <c r="Y32" s="110"/>
      <c r="Z32" s="110"/>
      <c r="AA32" s="110"/>
      <c r="AB32" s="110"/>
      <c r="AC32" s="110"/>
      <c r="AD32" s="110"/>
      <c r="AE32" s="110"/>
      <c r="AF32" s="110"/>
      <c r="AG32" s="110"/>
      <c r="AH32" s="110"/>
      <c r="AI32" s="110"/>
      <c r="AJ32" s="110"/>
      <c r="AK32" s="110"/>
      <c r="AL32" s="110"/>
      <c r="AM32" s="110"/>
      <c r="AN32" s="110"/>
      <c r="AO32" s="110"/>
      <c r="AP32" s="110"/>
      <c r="AQ32" s="110"/>
      <c r="AR32" s="110"/>
      <c r="AS32" s="110"/>
      <c r="AT32" s="110"/>
      <c r="AU32" s="110"/>
      <c r="AV32" s="110"/>
      <c r="AW32" s="110"/>
      <c r="AX32" s="110"/>
      <c r="AY32" s="110"/>
      <c r="AZ32" s="110"/>
      <c r="BA32" s="110"/>
      <c r="BB32" s="110"/>
      <c r="BC32" s="110"/>
      <c r="BD32" s="110"/>
      <c r="BE32" s="110"/>
      <c r="BF32" s="110"/>
      <c r="BG32" s="110"/>
      <c r="BH32" s="110"/>
      <c r="BI32" s="110"/>
      <c r="BJ32" s="110"/>
      <c r="BK32" s="110"/>
      <c r="BL32" s="110"/>
      <c r="BM32" s="110"/>
      <c r="BN32" s="110"/>
      <c r="BO32" s="110"/>
      <c r="BP32" s="110"/>
      <c r="BQ32" s="110"/>
      <c r="BR32" s="110"/>
      <c r="BS32" s="110"/>
      <c r="BT32" s="110"/>
      <c r="BU32" s="110"/>
      <c r="BV32" s="110"/>
      <c r="BW32" s="110"/>
      <c r="BX32" s="110"/>
      <c r="BY32" s="110"/>
      <c r="BZ32" s="110"/>
      <c r="CA32" s="110"/>
      <c r="CB32" s="110"/>
      <c r="CC32" s="110"/>
      <c r="CD32" s="110"/>
      <c r="CE32" s="110"/>
      <c r="CF32" s="110"/>
      <c r="CG32" s="110"/>
      <c r="CH32" s="110"/>
      <c r="CI32" s="110"/>
      <c r="CJ32" s="110"/>
      <c r="CK32" s="110"/>
      <c r="CL32" s="110"/>
      <c r="CM32" s="110"/>
      <c r="CN32" s="110"/>
      <c r="CO32" s="110"/>
      <c r="CP32" s="110"/>
      <c r="CQ32" s="110"/>
      <c r="CR32" s="110"/>
      <c r="CS32" s="110"/>
      <c r="CT32" s="110"/>
      <c r="CU32" s="110"/>
      <c r="CV32" s="110"/>
      <c r="CW32" s="110"/>
      <c r="CX32" s="110"/>
      <c r="CY32" s="110"/>
      <c r="CZ32" s="110"/>
      <c r="DA32" s="110"/>
      <c r="DB32" s="110"/>
      <c r="DC32" s="110"/>
      <c r="DD32" s="110"/>
      <c r="DE32" s="110"/>
      <c r="DF32" s="110"/>
      <c r="DG32" s="110"/>
      <c r="DH32" s="110"/>
      <c r="DI32" s="110"/>
      <c r="DJ32" s="110"/>
      <c r="DK32" s="110"/>
      <c r="DL32" s="110"/>
      <c r="DM32" s="110"/>
      <c r="DN32" s="110"/>
      <c r="DO32" s="110"/>
      <c r="DP32" s="110"/>
      <c r="DQ32" s="110"/>
      <c r="DR32" s="110"/>
      <c r="DS32" s="110"/>
      <c r="DT32" s="110"/>
      <c r="DU32" s="110"/>
      <c r="DV32" s="110"/>
      <c r="DW32" s="110"/>
      <c r="DX32" s="110"/>
      <c r="DY32" s="110"/>
      <c r="DZ32" s="110"/>
      <c r="EA32" s="110"/>
      <c r="EB32" s="110"/>
      <c r="EC32" s="110"/>
      <c r="ED32" s="110"/>
      <c r="EE32" s="110"/>
      <c r="EF32" s="110"/>
      <c r="EG32" s="110"/>
      <c r="EH32" s="110"/>
      <c r="EI32" s="110"/>
      <c r="EJ32" s="110"/>
      <c r="EK32" s="111"/>
      <c r="EL32" s="110"/>
      <c r="EM32" s="110"/>
      <c r="EN32" s="110"/>
      <c r="EO32" s="110"/>
      <c r="EP32" s="110"/>
      <c r="EQ32" s="110"/>
      <c r="ER32" s="110"/>
      <c r="ES32" s="110"/>
      <c r="ET32" s="110"/>
      <c r="EU32" s="110"/>
      <c r="EV32" s="111"/>
    </row>
    <row r="33" spans="1:152" ht="14.5" x14ac:dyDescent="0.35">
      <c r="A33" s="108">
        <v>6230034816</v>
      </c>
      <c r="B33" s="116" t="s">
        <v>130</v>
      </c>
      <c r="C33" s="116" t="s">
        <v>130</v>
      </c>
      <c r="D33" s="111" t="s">
        <v>138</v>
      </c>
      <c r="E33" s="111" t="s">
        <v>470</v>
      </c>
      <c r="F33" s="110" t="s">
        <v>471</v>
      </c>
      <c r="G33" s="112">
        <v>43348</v>
      </c>
      <c r="H33" s="110" t="s">
        <v>472</v>
      </c>
      <c r="I33" s="117" t="s">
        <v>135</v>
      </c>
      <c r="J33" s="117" t="s">
        <v>133</v>
      </c>
      <c r="K33" s="110" t="s">
        <v>136</v>
      </c>
      <c r="L33" s="113">
        <v>23541</v>
      </c>
      <c r="M33" s="119">
        <v>43348</v>
      </c>
      <c r="N33" s="115">
        <f t="shared" si="0"/>
        <v>54</v>
      </c>
      <c r="O33" s="116" t="s">
        <v>225</v>
      </c>
      <c r="P33" s="117" t="s">
        <v>130</v>
      </c>
      <c r="Q33" s="117">
        <v>2</v>
      </c>
      <c r="R33" s="120" t="s">
        <v>426</v>
      </c>
      <c r="S33" s="110"/>
      <c r="T33" s="110"/>
      <c r="U33" s="110"/>
      <c r="V33" s="110"/>
      <c r="W33" s="110"/>
      <c r="X33" s="110"/>
      <c r="Y33" s="110"/>
      <c r="Z33" s="110"/>
      <c r="AA33" s="110"/>
      <c r="AB33" s="110"/>
      <c r="AC33" s="110"/>
      <c r="AD33" s="110"/>
      <c r="AE33" s="110"/>
      <c r="AF33" s="110"/>
      <c r="AG33" s="110"/>
      <c r="AH33" s="110"/>
      <c r="AI33" s="110"/>
      <c r="AJ33" s="110"/>
      <c r="AK33" s="110"/>
      <c r="AL33" s="110"/>
      <c r="AM33" s="110"/>
      <c r="AN33" s="110"/>
      <c r="AO33" s="110"/>
      <c r="AP33" s="110"/>
      <c r="AQ33" s="110"/>
      <c r="AR33" s="110"/>
      <c r="AS33" s="110"/>
      <c r="AT33" s="110"/>
      <c r="AU33" s="110"/>
      <c r="AV33" s="110"/>
      <c r="AW33" s="110"/>
      <c r="AX33" s="110"/>
      <c r="AY33" s="110"/>
      <c r="AZ33" s="110"/>
      <c r="BA33" s="110"/>
      <c r="BB33" s="110"/>
      <c r="BC33" s="110"/>
      <c r="BD33" s="110"/>
      <c r="BE33" s="110"/>
      <c r="BF33" s="110"/>
      <c r="BG33" s="110"/>
      <c r="BH33" s="110"/>
      <c r="BI33" s="110"/>
      <c r="BJ33" s="110"/>
      <c r="BK33" s="110"/>
      <c r="BL33" s="110"/>
      <c r="BM33" s="110"/>
      <c r="BN33" s="110"/>
      <c r="BO33" s="110"/>
      <c r="BP33" s="110"/>
      <c r="BQ33" s="110"/>
      <c r="BR33" s="110"/>
      <c r="BS33" s="110"/>
      <c r="BT33" s="110"/>
      <c r="BU33" s="110"/>
      <c r="BV33" s="110"/>
      <c r="BW33" s="110"/>
      <c r="BX33" s="110"/>
      <c r="BY33" s="110"/>
      <c r="BZ33" s="110"/>
      <c r="CA33" s="110"/>
      <c r="CB33" s="110"/>
      <c r="CC33" s="110"/>
      <c r="CD33" s="110"/>
      <c r="CE33" s="110"/>
      <c r="CF33" s="110"/>
      <c r="CG33" s="110"/>
      <c r="CH33" s="110"/>
      <c r="CI33" s="110"/>
      <c r="CJ33" s="110"/>
      <c r="CK33" s="110"/>
      <c r="CL33" s="110"/>
      <c r="CM33" s="110"/>
      <c r="CN33" s="110"/>
      <c r="CO33" s="110"/>
      <c r="CP33" s="110"/>
      <c r="CQ33" s="110"/>
      <c r="CR33" s="110"/>
      <c r="CS33" s="110"/>
      <c r="CT33" s="110"/>
      <c r="CU33" s="110"/>
      <c r="CV33" s="110"/>
      <c r="CW33" s="110"/>
      <c r="CX33" s="110"/>
      <c r="CY33" s="110"/>
      <c r="CZ33" s="110"/>
      <c r="DA33" s="110"/>
      <c r="DB33" s="110"/>
      <c r="DC33" s="110"/>
      <c r="DD33" s="110"/>
      <c r="DE33" s="110"/>
      <c r="DF33" s="110"/>
      <c r="DG33" s="110"/>
      <c r="DH33" s="110"/>
      <c r="DI33" s="110"/>
      <c r="DJ33" s="110"/>
      <c r="DK33" s="110"/>
      <c r="DL33" s="110"/>
      <c r="DM33" s="110"/>
      <c r="DN33" s="110"/>
      <c r="DO33" s="110"/>
      <c r="DP33" s="110"/>
      <c r="DQ33" s="110"/>
      <c r="DR33" s="110"/>
      <c r="DS33" s="110"/>
      <c r="DT33" s="110"/>
      <c r="DU33" s="110"/>
      <c r="DV33" s="110"/>
      <c r="DW33" s="110"/>
      <c r="DX33" s="110"/>
      <c r="DY33" s="110"/>
      <c r="DZ33" s="110"/>
      <c r="EA33" s="110"/>
      <c r="EB33" s="110"/>
      <c r="EC33" s="110"/>
      <c r="ED33" s="110"/>
      <c r="EE33" s="110"/>
      <c r="EF33" s="110"/>
      <c r="EG33" s="110"/>
      <c r="EH33" s="110"/>
      <c r="EI33" s="110"/>
      <c r="EJ33" s="110"/>
      <c r="EK33" s="111"/>
      <c r="EL33" s="110"/>
      <c r="EM33" s="110"/>
      <c r="EN33" s="110"/>
      <c r="EO33" s="110"/>
      <c r="EP33" s="110"/>
      <c r="EQ33" s="110"/>
      <c r="ER33" s="110"/>
      <c r="ES33" s="110"/>
      <c r="ET33" s="110"/>
      <c r="EU33" s="110"/>
      <c r="EV33" s="111"/>
    </row>
    <row r="34" spans="1:152" ht="14.5" x14ac:dyDescent="0.35">
      <c r="A34" s="108">
        <v>4185841582</v>
      </c>
      <c r="B34" s="116" t="s">
        <v>130</v>
      </c>
      <c r="C34" s="116" t="s">
        <v>130</v>
      </c>
      <c r="D34" s="111" t="s">
        <v>138</v>
      </c>
      <c r="E34" s="111" t="s">
        <v>473</v>
      </c>
      <c r="F34" s="110" t="s">
        <v>474</v>
      </c>
      <c r="G34" s="112">
        <v>43350</v>
      </c>
      <c r="H34" s="110" t="s">
        <v>203</v>
      </c>
      <c r="I34" s="117" t="s">
        <v>135</v>
      </c>
      <c r="J34" s="117" t="s">
        <v>133</v>
      </c>
      <c r="K34" s="110" t="s">
        <v>136</v>
      </c>
      <c r="L34" s="113">
        <v>24435</v>
      </c>
      <c r="M34" s="119">
        <v>43320</v>
      </c>
      <c r="N34" s="115">
        <f t="shared" si="0"/>
        <v>51</v>
      </c>
      <c r="O34" s="116" t="s">
        <v>475</v>
      </c>
      <c r="P34" s="110" t="s">
        <v>138</v>
      </c>
      <c r="Q34" s="110">
        <v>1</v>
      </c>
      <c r="R34" s="120" t="s">
        <v>198</v>
      </c>
      <c r="S34" s="110"/>
      <c r="T34" s="110"/>
      <c r="U34" s="110"/>
      <c r="V34" s="110"/>
      <c r="W34" s="110"/>
      <c r="X34" s="110"/>
      <c r="Y34" s="110"/>
      <c r="Z34" s="110"/>
      <c r="AA34" s="110"/>
      <c r="AB34" s="110"/>
      <c r="AC34" s="110"/>
      <c r="AD34" s="110"/>
      <c r="AE34" s="110"/>
      <c r="AF34" s="110"/>
      <c r="AG34" s="110"/>
      <c r="AH34" s="110"/>
      <c r="AI34" s="110"/>
      <c r="AJ34" s="110"/>
      <c r="AK34" s="110"/>
      <c r="AL34" s="110"/>
      <c r="AM34" s="110"/>
      <c r="AN34" s="110"/>
      <c r="AO34" s="110"/>
      <c r="AP34" s="110"/>
      <c r="AQ34" s="110"/>
      <c r="AR34" s="110"/>
      <c r="AS34" s="110"/>
      <c r="AT34" s="110"/>
      <c r="AU34" s="110"/>
      <c r="AV34" s="110"/>
      <c r="AW34" s="110"/>
      <c r="AX34" s="110"/>
      <c r="AY34" s="110"/>
      <c r="AZ34" s="110"/>
      <c r="BA34" s="110"/>
      <c r="BB34" s="110"/>
      <c r="BC34" s="110"/>
      <c r="BD34" s="110"/>
      <c r="BE34" s="110"/>
      <c r="BF34" s="110"/>
      <c r="BG34" s="110"/>
      <c r="BH34" s="110"/>
      <c r="BI34" s="110"/>
      <c r="BJ34" s="110"/>
      <c r="BK34" s="110"/>
      <c r="BL34" s="110"/>
      <c r="BM34" s="110"/>
      <c r="BN34" s="110"/>
      <c r="BO34" s="110"/>
      <c r="BP34" s="110"/>
      <c r="BQ34" s="110"/>
      <c r="BR34" s="110"/>
      <c r="BS34" s="110"/>
      <c r="BT34" s="110"/>
      <c r="BU34" s="110"/>
      <c r="BV34" s="110"/>
      <c r="BW34" s="110"/>
      <c r="BX34" s="110"/>
      <c r="BY34" s="110"/>
      <c r="BZ34" s="110"/>
      <c r="CA34" s="110"/>
      <c r="CB34" s="110"/>
      <c r="CC34" s="110"/>
      <c r="CD34" s="110"/>
      <c r="CE34" s="110"/>
      <c r="CF34" s="110"/>
      <c r="CG34" s="110"/>
      <c r="CH34" s="110"/>
      <c r="CI34" s="110"/>
      <c r="CJ34" s="110"/>
      <c r="CK34" s="110"/>
      <c r="CL34" s="110"/>
      <c r="CM34" s="110"/>
      <c r="CN34" s="110"/>
      <c r="CO34" s="110"/>
      <c r="CP34" s="110"/>
      <c r="CQ34" s="110"/>
      <c r="CR34" s="110"/>
      <c r="CS34" s="110"/>
      <c r="CT34" s="110"/>
      <c r="CU34" s="110"/>
      <c r="CV34" s="110"/>
      <c r="CW34" s="110"/>
      <c r="CX34" s="110"/>
      <c r="CY34" s="110"/>
      <c r="CZ34" s="110"/>
      <c r="DA34" s="110"/>
      <c r="DB34" s="110"/>
      <c r="DC34" s="110"/>
      <c r="DD34" s="110"/>
      <c r="DE34" s="110"/>
      <c r="DF34" s="110"/>
      <c r="DG34" s="110"/>
      <c r="DH34" s="110"/>
      <c r="DI34" s="110"/>
      <c r="DJ34" s="110"/>
      <c r="DK34" s="110"/>
      <c r="DL34" s="110"/>
      <c r="DM34" s="110"/>
      <c r="DN34" s="110"/>
      <c r="DO34" s="110"/>
      <c r="DP34" s="110"/>
      <c r="DQ34" s="110"/>
      <c r="DR34" s="110"/>
      <c r="DS34" s="110"/>
      <c r="DT34" s="110"/>
      <c r="DU34" s="110"/>
      <c r="DV34" s="110"/>
      <c r="DW34" s="110"/>
      <c r="DX34" s="110"/>
      <c r="DY34" s="110"/>
      <c r="DZ34" s="110"/>
      <c r="EA34" s="110"/>
      <c r="EB34" s="110"/>
      <c r="EC34" s="110"/>
      <c r="ED34" s="110"/>
      <c r="EE34" s="110"/>
      <c r="EF34" s="110"/>
      <c r="EG34" s="110"/>
      <c r="EH34" s="110"/>
      <c r="EI34" s="110"/>
      <c r="EJ34" s="110"/>
      <c r="EK34" s="111"/>
      <c r="EL34" s="110"/>
      <c r="EM34" s="110"/>
      <c r="EN34" s="110"/>
      <c r="EO34" s="110"/>
      <c r="EP34" s="110"/>
      <c r="EQ34" s="110"/>
      <c r="ER34" s="110"/>
      <c r="ES34" s="110"/>
      <c r="ET34" s="110"/>
      <c r="EU34" s="110"/>
      <c r="EV34" s="111"/>
    </row>
    <row r="35" spans="1:152" ht="14.5" x14ac:dyDescent="0.35">
      <c r="A35" s="108">
        <v>4581811864</v>
      </c>
      <c r="B35" s="116" t="s">
        <v>130</v>
      </c>
      <c r="C35" s="116" t="s">
        <v>130</v>
      </c>
      <c r="D35" s="111" t="s">
        <v>138</v>
      </c>
      <c r="E35" s="111" t="s">
        <v>476</v>
      </c>
      <c r="F35" s="110" t="s">
        <v>477</v>
      </c>
      <c r="G35" s="112">
        <v>43367</v>
      </c>
      <c r="H35" s="110" t="s">
        <v>203</v>
      </c>
      <c r="I35" s="117" t="s">
        <v>135</v>
      </c>
      <c r="J35" s="117" t="s">
        <v>133</v>
      </c>
      <c r="K35" s="110" t="s">
        <v>136</v>
      </c>
      <c r="L35" s="113">
        <v>19250</v>
      </c>
      <c r="M35" s="114">
        <v>43360</v>
      </c>
      <c r="N35" s="115">
        <f t="shared" si="0"/>
        <v>66</v>
      </c>
      <c r="O35" s="116" t="s">
        <v>478</v>
      </c>
      <c r="P35" s="110" t="s">
        <v>138</v>
      </c>
      <c r="Q35" s="110">
        <v>3</v>
      </c>
      <c r="R35" s="120" t="s">
        <v>164</v>
      </c>
      <c r="S35" s="110"/>
      <c r="T35" s="110"/>
      <c r="U35" s="110"/>
      <c r="V35" s="110"/>
      <c r="W35" s="110"/>
      <c r="X35" s="110"/>
      <c r="Y35" s="110"/>
      <c r="Z35" s="110"/>
      <c r="AA35" s="110"/>
      <c r="AB35" s="110"/>
      <c r="AC35" s="110"/>
      <c r="AD35" s="110"/>
      <c r="AE35" s="110"/>
      <c r="AF35" s="110"/>
      <c r="AG35" s="110"/>
      <c r="AH35" s="110"/>
      <c r="AI35" s="110"/>
      <c r="AJ35" s="110"/>
      <c r="AK35" s="110"/>
      <c r="AL35" s="110"/>
      <c r="AM35" s="110"/>
      <c r="AN35" s="110"/>
      <c r="AO35" s="110"/>
      <c r="AP35" s="110"/>
      <c r="AQ35" s="110"/>
      <c r="AR35" s="110"/>
      <c r="AS35" s="110"/>
      <c r="AT35" s="110"/>
      <c r="AU35" s="110"/>
      <c r="AV35" s="110"/>
      <c r="AW35" s="110"/>
      <c r="AX35" s="110"/>
      <c r="AY35" s="110"/>
      <c r="AZ35" s="110"/>
      <c r="BA35" s="110"/>
      <c r="BB35" s="110"/>
      <c r="BC35" s="110"/>
      <c r="BD35" s="110"/>
      <c r="BE35" s="110"/>
      <c r="BF35" s="110"/>
      <c r="BG35" s="110"/>
      <c r="BH35" s="110"/>
      <c r="BI35" s="110"/>
      <c r="BJ35" s="110"/>
      <c r="BK35" s="110"/>
      <c r="BL35" s="110"/>
      <c r="BM35" s="110"/>
      <c r="BN35" s="110"/>
      <c r="BO35" s="110"/>
      <c r="BP35" s="110"/>
      <c r="BQ35" s="110"/>
      <c r="BR35" s="110"/>
      <c r="BS35" s="110"/>
      <c r="BT35" s="110"/>
      <c r="BU35" s="110"/>
      <c r="BV35" s="110"/>
      <c r="BW35" s="110"/>
      <c r="BX35" s="110"/>
      <c r="BY35" s="110"/>
      <c r="BZ35" s="110"/>
      <c r="CA35" s="110"/>
      <c r="CB35" s="110"/>
      <c r="CC35" s="110"/>
      <c r="CD35" s="110"/>
      <c r="CE35" s="110"/>
      <c r="CF35" s="110"/>
      <c r="CG35" s="110"/>
      <c r="CH35" s="110"/>
      <c r="CI35" s="110"/>
      <c r="CJ35" s="110"/>
      <c r="CK35" s="110"/>
      <c r="CL35" s="110"/>
      <c r="CM35" s="110"/>
      <c r="CN35" s="110"/>
      <c r="CO35" s="110"/>
      <c r="CP35" s="110"/>
      <c r="CQ35" s="110"/>
      <c r="CR35" s="110"/>
      <c r="CS35" s="110"/>
      <c r="CT35" s="110"/>
      <c r="CU35" s="110"/>
      <c r="CV35" s="110"/>
      <c r="CW35" s="110"/>
      <c r="CX35" s="110"/>
      <c r="CY35" s="110"/>
      <c r="CZ35" s="110"/>
      <c r="DA35" s="110"/>
      <c r="DB35" s="110"/>
      <c r="DC35" s="110"/>
      <c r="DD35" s="110"/>
      <c r="DE35" s="110"/>
      <c r="DF35" s="110"/>
      <c r="DG35" s="110"/>
      <c r="DH35" s="110"/>
      <c r="DI35" s="110"/>
      <c r="DJ35" s="110"/>
      <c r="DK35" s="110"/>
      <c r="DL35" s="110"/>
      <c r="DM35" s="110"/>
      <c r="DN35" s="110"/>
      <c r="DO35" s="110"/>
      <c r="DP35" s="110"/>
      <c r="DQ35" s="110"/>
      <c r="DR35" s="110"/>
      <c r="DS35" s="110"/>
      <c r="DT35" s="110"/>
      <c r="DU35" s="110"/>
      <c r="DV35" s="110"/>
      <c r="DW35" s="110"/>
      <c r="DX35" s="110"/>
      <c r="DY35" s="110"/>
      <c r="DZ35" s="110"/>
      <c r="EA35" s="110"/>
      <c r="EB35" s="110"/>
      <c r="EC35" s="110"/>
      <c r="ED35" s="110"/>
      <c r="EE35" s="110"/>
      <c r="EF35" s="110"/>
      <c r="EG35" s="110"/>
      <c r="EH35" s="110"/>
      <c r="EI35" s="110"/>
      <c r="EJ35" s="110"/>
      <c r="EK35" s="111"/>
      <c r="EL35" s="110"/>
      <c r="EM35" s="110"/>
      <c r="EN35" s="110"/>
      <c r="EO35" s="110"/>
      <c r="EP35" s="110"/>
      <c r="EQ35" s="110"/>
      <c r="ER35" s="110"/>
      <c r="ES35" s="110"/>
      <c r="ET35" s="110"/>
      <c r="EU35" s="110"/>
      <c r="EV35" s="111"/>
    </row>
    <row r="36" spans="1:152" ht="14.5" x14ac:dyDescent="0.35">
      <c r="A36" s="108">
        <v>4342950030</v>
      </c>
      <c r="B36" s="116" t="s">
        <v>130</v>
      </c>
      <c r="C36" s="116" t="s">
        <v>130</v>
      </c>
      <c r="D36" s="111" t="s">
        <v>138</v>
      </c>
      <c r="E36" s="111" t="s">
        <v>479</v>
      </c>
      <c r="F36" s="110" t="s">
        <v>480</v>
      </c>
      <c r="G36" s="112">
        <v>43368</v>
      </c>
      <c r="H36" s="110" t="s">
        <v>270</v>
      </c>
      <c r="I36" s="117" t="s">
        <v>135</v>
      </c>
      <c r="J36" s="117" t="s">
        <v>133</v>
      </c>
      <c r="K36" s="110" t="s">
        <v>136</v>
      </c>
      <c r="L36" s="113">
        <v>14386</v>
      </c>
      <c r="M36" s="114">
        <v>43318</v>
      </c>
      <c r="N36" s="115">
        <f t="shared" si="0"/>
        <v>79</v>
      </c>
      <c r="O36" s="116" t="s">
        <v>425</v>
      </c>
      <c r="P36" s="110" t="s">
        <v>130</v>
      </c>
      <c r="Q36" s="110">
        <v>3</v>
      </c>
      <c r="R36" s="120" t="s">
        <v>164</v>
      </c>
      <c r="S36" s="110"/>
      <c r="T36" s="110"/>
      <c r="U36" s="110"/>
      <c r="V36" s="110"/>
      <c r="W36" s="110"/>
      <c r="X36" s="110"/>
      <c r="Y36" s="110"/>
      <c r="Z36" s="110"/>
      <c r="AA36" s="110"/>
      <c r="AB36" s="110"/>
      <c r="AC36" s="110"/>
      <c r="AD36" s="110"/>
      <c r="AE36" s="110"/>
      <c r="AF36" s="110"/>
      <c r="AG36" s="110"/>
      <c r="AH36" s="110"/>
      <c r="AI36" s="110"/>
      <c r="AJ36" s="110"/>
      <c r="AK36" s="110"/>
      <c r="AL36" s="110"/>
      <c r="AM36" s="110"/>
      <c r="AN36" s="110"/>
      <c r="AO36" s="110"/>
      <c r="AP36" s="110"/>
      <c r="AQ36" s="110"/>
      <c r="AR36" s="110"/>
      <c r="AS36" s="110"/>
      <c r="AT36" s="110"/>
      <c r="AU36" s="110"/>
      <c r="AV36" s="110"/>
      <c r="AW36" s="110"/>
      <c r="AX36" s="110"/>
      <c r="AY36" s="110"/>
      <c r="AZ36" s="110"/>
      <c r="BA36" s="110"/>
      <c r="BB36" s="110"/>
      <c r="BC36" s="110"/>
      <c r="BD36" s="110"/>
      <c r="BE36" s="110"/>
      <c r="BF36" s="110"/>
      <c r="BG36" s="110"/>
      <c r="BH36" s="110"/>
      <c r="BI36" s="110"/>
      <c r="BJ36" s="110"/>
      <c r="BK36" s="110"/>
      <c r="BL36" s="110"/>
      <c r="BM36" s="110"/>
      <c r="BN36" s="110"/>
      <c r="BO36" s="110"/>
      <c r="BP36" s="110"/>
      <c r="BQ36" s="110"/>
      <c r="BR36" s="110"/>
      <c r="BS36" s="110"/>
      <c r="BT36" s="110"/>
      <c r="BU36" s="110"/>
      <c r="BV36" s="110"/>
      <c r="BW36" s="110"/>
      <c r="BX36" s="110"/>
      <c r="BY36" s="110"/>
      <c r="BZ36" s="110"/>
      <c r="CA36" s="110"/>
      <c r="CB36" s="110"/>
      <c r="CC36" s="110"/>
      <c r="CD36" s="110"/>
      <c r="CE36" s="110"/>
      <c r="CF36" s="110"/>
      <c r="CG36" s="110"/>
      <c r="CH36" s="110"/>
      <c r="CI36" s="110"/>
      <c r="CJ36" s="110"/>
      <c r="CK36" s="110"/>
      <c r="CL36" s="110"/>
      <c r="CM36" s="110"/>
      <c r="CN36" s="110"/>
      <c r="CO36" s="110"/>
      <c r="CP36" s="110"/>
      <c r="CQ36" s="110"/>
      <c r="CR36" s="110"/>
      <c r="CS36" s="110"/>
      <c r="CT36" s="110"/>
      <c r="CU36" s="110"/>
      <c r="CV36" s="110"/>
      <c r="CW36" s="110"/>
      <c r="CX36" s="110"/>
      <c r="CY36" s="110"/>
      <c r="CZ36" s="110"/>
      <c r="DA36" s="110"/>
      <c r="DB36" s="110"/>
      <c r="DC36" s="110"/>
      <c r="DD36" s="110"/>
      <c r="DE36" s="110"/>
      <c r="DF36" s="110"/>
      <c r="DG36" s="110"/>
      <c r="DH36" s="110"/>
      <c r="DI36" s="110"/>
      <c r="DJ36" s="110"/>
      <c r="DK36" s="110"/>
      <c r="DL36" s="110"/>
      <c r="DM36" s="110"/>
      <c r="DN36" s="110"/>
      <c r="DO36" s="110"/>
      <c r="DP36" s="110"/>
      <c r="DQ36" s="110"/>
      <c r="DR36" s="110"/>
      <c r="DS36" s="110"/>
      <c r="DT36" s="110"/>
      <c r="DU36" s="110"/>
      <c r="DV36" s="110"/>
      <c r="DW36" s="110"/>
      <c r="DX36" s="110"/>
      <c r="DY36" s="110"/>
      <c r="DZ36" s="110"/>
      <c r="EA36" s="110"/>
      <c r="EB36" s="110"/>
      <c r="EC36" s="110"/>
      <c r="ED36" s="110"/>
      <c r="EE36" s="110"/>
      <c r="EF36" s="110"/>
      <c r="EG36" s="110"/>
      <c r="EH36" s="110"/>
      <c r="EI36" s="110"/>
      <c r="EJ36" s="110"/>
      <c r="EK36" s="111"/>
      <c r="EL36" s="110"/>
      <c r="EM36" s="110"/>
      <c r="EN36" s="110"/>
      <c r="EO36" s="110"/>
      <c r="EP36" s="110"/>
      <c r="EQ36" s="110"/>
      <c r="ER36" s="110"/>
      <c r="ES36" s="110"/>
      <c r="ET36" s="110"/>
      <c r="EU36" s="110"/>
      <c r="EV36" s="111"/>
    </row>
    <row r="37" spans="1:152" ht="14.5" x14ac:dyDescent="0.35">
      <c r="A37" s="108">
        <v>4425927931</v>
      </c>
      <c r="B37" s="116" t="s">
        <v>130</v>
      </c>
      <c r="C37" s="116" t="s">
        <v>130</v>
      </c>
      <c r="D37" s="111" t="s">
        <v>138</v>
      </c>
      <c r="E37" s="111" t="s">
        <v>481</v>
      </c>
      <c r="F37" s="110" t="s">
        <v>482</v>
      </c>
      <c r="G37" s="112">
        <v>43374</v>
      </c>
      <c r="H37" s="110" t="s">
        <v>203</v>
      </c>
      <c r="I37" s="117" t="s">
        <v>135</v>
      </c>
      <c r="J37" s="117" t="s">
        <v>133</v>
      </c>
      <c r="K37" s="110" t="s">
        <v>136</v>
      </c>
      <c r="L37" s="113">
        <v>16543</v>
      </c>
      <c r="M37" s="114">
        <v>43367</v>
      </c>
      <c r="N37" s="115">
        <f t="shared" si="0"/>
        <v>73</v>
      </c>
      <c r="O37" s="116" t="s">
        <v>475</v>
      </c>
      <c r="P37" s="110" t="s">
        <v>138</v>
      </c>
      <c r="Q37" s="110">
        <v>2</v>
      </c>
      <c r="R37" s="120" t="s">
        <v>234</v>
      </c>
      <c r="S37" s="110"/>
      <c r="T37" s="110"/>
      <c r="U37" s="110"/>
      <c r="V37" s="110"/>
      <c r="W37" s="110"/>
      <c r="X37" s="110"/>
      <c r="Y37" s="110"/>
      <c r="Z37" s="110"/>
      <c r="AA37" s="110"/>
      <c r="AB37" s="110"/>
      <c r="AC37" s="110"/>
      <c r="AD37" s="110"/>
      <c r="AE37" s="110"/>
      <c r="AF37" s="110"/>
      <c r="AG37" s="110"/>
      <c r="AH37" s="110"/>
      <c r="AI37" s="110"/>
      <c r="AJ37" s="110"/>
      <c r="AK37" s="110"/>
      <c r="AL37" s="110"/>
      <c r="AM37" s="110"/>
      <c r="AN37" s="110"/>
      <c r="AO37" s="110"/>
      <c r="AP37" s="110"/>
      <c r="AQ37" s="110"/>
      <c r="AR37" s="110"/>
      <c r="AS37" s="110"/>
      <c r="AT37" s="110"/>
      <c r="AU37" s="110"/>
      <c r="AV37" s="110"/>
      <c r="AW37" s="110"/>
      <c r="AX37" s="110"/>
      <c r="AY37" s="110"/>
      <c r="AZ37" s="110"/>
      <c r="BA37" s="110"/>
      <c r="BB37" s="110"/>
      <c r="BC37" s="110"/>
      <c r="BD37" s="110"/>
      <c r="BE37" s="110"/>
      <c r="BF37" s="110"/>
      <c r="BG37" s="110"/>
      <c r="BH37" s="110"/>
      <c r="BI37" s="110"/>
      <c r="BJ37" s="110"/>
      <c r="BK37" s="110"/>
      <c r="BL37" s="110"/>
      <c r="BM37" s="110"/>
      <c r="BN37" s="110"/>
      <c r="BO37" s="110"/>
      <c r="BP37" s="110"/>
      <c r="BQ37" s="110"/>
      <c r="BR37" s="110"/>
      <c r="BS37" s="110"/>
      <c r="BT37" s="110"/>
      <c r="BU37" s="110"/>
      <c r="BV37" s="110"/>
      <c r="BW37" s="110"/>
      <c r="BX37" s="110"/>
      <c r="BY37" s="110"/>
      <c r="BZ37" s="110"/>
      <c r="CA37" s="110"/>
      <c r="CB37" s="110"/>
      <c r="CC37" s="110"/>
      <c r="CD37" s="110"/>
      <c r="CE37" s="110"/>
      <c r="CF37" s="110"/>
      <c r="CG37" s="110"/>
      <c r="CH37" s="110"/>
      <c r="CI37" s="110"/>
      <c r="CJ37" s="110"/>
      <c r="CK37" s="110"/>
      <c r="CL37" s="110"/>
      <c r="CM37" s="110"/>
      <c r="CN37" s="110"/>
      <c r="CO37" s="110"/>
      <c r="CP37" s="110"/>
      <c r="CQ37" s="110"/>
      <c r="CR37" s="110"/>
      <c r="CS37" s="110"/>
      <c r="CT37" s="110"/>
      <c r="CU37" s="110"/>
      <c r="CV37" s="110"/>
      <c r="CW37" s="110"/>
      <c r="CX37" s="110"/>
      <c r="CY37" s="110"/>
      <c r="CZ37" s="110"/>
      <c r="DA37" s="110"/>
      <c r="DB37" s="110"/>
      <c r="DC37" s="110"/>
      <c r="DD37" s="110"/>
      <c r="DE37" s="110"/>
      <c r="DF37" s="110"/>
      <c r="DG37" s="110"/>
      <c r="DH37" s="110"/>
      <c r="DI37" s="110"/>
      <c r="DJ37" s="110"/>
      <c r="DK37" s="110"/>
      <c r="DL37" s="110"/>
      <c r="DM37" s="110"/>
      <c r="DN37" s="110"/>
      <c r="DO37" s="110"/>
      <c r="DP37" s="110"/>
      <c r="DQ37" s="110"/>
      <c r="DR37" s="110"/>
      <c r="DS37" s="110"/>
      <c r="DT37" s="110"/>
      <c r="DU37" s="110"/>
      <c r="DV37" s="110"/>
      <c r="DW37" s="110"/>
      <c r="DX37" s="110"/>
      <c r="DY37" s="110"/>
      <c r="DZ37" s="110"/>
      <c r="EA37" s="110"/>
      <c r="EB37" s="110"/>
      <c r="EC37" s="110"/>
      <c r="ED37" s="110"/>
      <c r="EE37" s="110"/>
      <c r="EF37" s="110"/>
      <c r="EG37" s="110"/>
      <c r="EH37" s="110"/>
      <c r="EI37" s="110"/>
      <c r="EJ37" s="110"/>
      <c r="EK37" s="111"/>
      <c r="EL37" s="110"/>
      <c r="EM37" s="110"/>
      <c r="EN37" s="110"/>
      <c r="EO37" s="110"/>
      <c r="EP37" s="110"/>
      <c r="EQ37" s="110"/>
      <c r="ER37" s="110"/>
      <c r="ES37" s="110"/>
      <c r="ET37" s="110"/>
      <c r="EU37" s="110"/>
      <c r="EV37" s="111"/>
    </row>
    <row r="38" spans="1:152" ht="14.5" x14ac:dyDescent="0.35">
      <c r="A38" s="108">
        <v>6248127468</v>
      </c>
      <c r="B38" s="116" t="s">
        <v>130</v>
      </c>
      <c r="C38" s="116" t="s">
        <v>130</v>
      </c>
      <c r="D38" s="111" t="s">
        <v>138</v>
      </c>
      <c r="E38" s="111" t="s">
        <v>483</v>
      </c>
      <c r="F38" s="110" t="s">
        <v>346</v>
      </c>
      <c r="G38" s="112">
        <v>43374</v>
      </c>
      <c r="H38" s="110" t="s">
        <v>270</v>
      </c>
      <c r="I38" s="117" t="s">
        <v>135</v>
      </c>
      <c r="J38" s="117" t="s">
        <v>133</v>
      </c>
      <c r="K38" s="110" t="s">
        <v>136</v>
      </c>
      <c r="L38" s="113">
        <v>14977</v>
      </c>
      <c r="M38" s="119">
        <v>43348</v>
      </c>
      <c r="N38" s="115">
        <f t="shared" si="0"/>
        <v>77</v>
      </c>
      <c r="O38" s="116" t="s">
        <v>194</v>
      </c>
      <c r="P38" s="110" t="s">
        <v>138</v>
      </c>
      <c r="Q38" s="110">
        <v>3</v>
      </c>
      <c r="R38" s="120" t="s">
        <v>148</v>
      </c>
      <c r="S38" s="110"/>
      <c r="T38" s="110"/>
      <c r="U38" s="110"/>
      <c r="V38" s="110"/>
      <c r="W38" s="110"/>
      <c r="X38" s="110"/>
      <c r="Y38" s="110"/>
      <c r="Z38" s="110"/>
      <c r="AA38" s="110"/>
      <c r="AB38" s="110"/>
      <c r="AC38" s="110"/>
      <c r="AD38" s="110"/>
      <c r="AE38" s="110"/>
      <c r="AF38" s="110"/>
      <c r="AG38" s="110"/>
      <c r="AH38" s="110"/>
      <c r="AI38" s="110"/>
      <c r="AJ38" s="110"/>
      <c r="AK38" s="110"/>
      <c r="AL38" s="110"/>
      <c r="AM38" s="110"/>
      <c r="AN38" s="110"/>
      <c r="AO38" s="110"/>
      <c r="AP38" s="110"/>
      <c r="AQ38" s="110"/>
      <c r="AR38" s="110"/>
      <c r="AS38" s="110"/>
      <c r="AT38" s="110"/>
      <c r="AU38" s="110"/>
      <c r="AV38" s="110"/>
      <c r="AW38" s="110"/>
      <c r="AX38" s="110"/>
      <c r="AY38" s="110"/>
      <c r="AZ38" s="110"/>
      <c r="BA38" s="110"/>
      <c r="BB38" s="110"/>
      <c r="BC38" s="110"/>
      <c r="BD38" s="110"/>
      <c r="BE38" s="110"/>
      <c r="BF38" s="110"/>
      <c r="BG38" s="110"/>
      <c r="BH38" s="110"/>
      <c r="BI38" s="110"/>
      <c r="BJ38" s="110"/>
      <c r="BK38" s="110"/>
      <c r="BL38" s="110"/>
      <c r="BM38" s="110"/>
      <c r="BN38" s="110"/>
      <c r="BO38" s="110"/>
      <c r="BP38" s="110"/>
      <c r="BQ38" s="110"/>
      <c r="BR38" s="110"/>
      <c r="BS38" s="110"/>
      <c r="BT38" s="110"/>
      <c r="BU38" s="110"/>
      <c r="BV38" s="110"/>
      <c r="BW38" s="110"/>
      <c r="BX38" s="110"/>
      <c r="BY38" s="110"/>
      <c r="BZ38" s="110"/>
      <c r="CA38" s="110"/>
      <c r="CB38" s="110"/>
      <c r="CC38" s="110"/>
      <c r="CD38" s="110"/>
      <c r="CE38" s="110"/>
      <c r="CF38" s="110"/>
      <c r="CG38" s="110"/>
      <c r="CH38" s="110"/>
      <c r="CI38" s="110"/>
      <c r="CJ38" s="110"/>
      <c r="CK38" s="110"/>
      <c r="CL38" s="110"/>
      <c r="CM38" s="110"/>
      <c r="CN38" s="110"/>
      <c r="CO38" s="110"/>
      <c r="CP38" s="110"/>
      <c r="CQ38" s="110"/>
      <c r="CR38" s="110"/>
      <c r="CS38" s="110"/>
      <c r="CT38" s="110"/>
      <c r="CU38" s="110"/>
      <c r="CV38" s="110"/>
      <c r="CW38" s="110"/>
      <c r="CX38" s="110"/>
      <c r="CY38" s="110"/>
      <c r="CZ38" s="110"/>
      <c r="DA38" s="110"/>
      <c r="DB38" s="110"/>
      <c r="DC38" s="110"/>
      <c r="DD38" s="110"/>
      <c r="DE38" s="110"/>
      <c r="DF38" s="110"/>
      <c r="DG38" s="110"/>
      <c r="DH38" s="110"/>
      <c r="DI38" s="110"/>
      <c r="DJ38" s="110"/>
      <c r="DK38" s="110"/>
      <c r="DL38" s="110"/>
      <c r="DM38" s="110"/>
      <c r="DN38" s="110"/>
      <c r="DO38" s="110"/>
      <c r="DP38" s="110"/>
      <c r="DQ38" s="110"/>
      <c r="DR38" s="110"/>
      <c r="DS38" s="110"/>
      <c r="DT38" s="110"/>
      <c r="DU38" s="110"/>
      <c r="DV38" s="110"/>
      <c r="DW38" s="110"/>
      <c r="DX38" s="110"/>
      <c r="DY38" s="110"/>
      <c r="DZ38" s="110"/>
      <c r="EA38" s="110"/>
      <c r="EB38" s="110"/>
      <c r="EC38" s="110"/>
      <c r="ED38" s="110"/>
      <c r="EE38" s="110"/>
      <c r="EF38" s="110"/>
      <c r="EG38" s="110"/>
      <c r="EH38" s="110"/>
      <c r="EI38" s="110"/>
      <c r="EJ38" s="110"/>
      <c r="EK38" s="111"/>
      <c r="EL38" s="110"/>
      <c r="EM38" s="110"/>
      <c r="EN38" s="110"/>
      <c r="EO38" s="110"/>
      <c r="EP38" s="110"/>
      <c r="EQ38" s="110"/>
      <c r="ER38" s="110"/>
      <c r="ES38" s="110"/>
      <c r="ET38" s="110"/>
      <c r="EU38" s="110"/>
      <c r="EV38" s="111"/>
    </row>
    <row r="39" spans="1:152" ht="14.5" x14ac:dyDescent="0.35">
      <c r="A39" s="108">
        <v>4664029551</v>
      </c>
      <c r="B39" s="116" t="s">
        <v>130</v>
      </c>
      <c r="C39" s="116" t="s">
        <v>130</v>
      </c>
      <c r="D39" s="111" t="s">
        <v>138</v>
      </c>
      <c r="E39" s="111" t="s">
        <v>484</v>
      </c>
      <c r="F39" s="110" t="s">
        <v>376</v>
      </c>
      <c r="G39" s="112">
        <v>43377</v>
      </c>
      <c r="H39" s="110" t="s">
        <v>270</v>
      </c>
      <c r="I39" s="117" t="s">
        <v>135</v>
      </c>
      <c r="J39" s="117" t="s">
        <v>133</v>
      </c>
      <c r="K39" s="110" t="s">
        <v>136</v>
      </c>
      <c r="L39" s="113">
        <v>10502</v>
      </c>
      <c r="M39" s="114">
        <v>43321</v>
      </c>
      <c r="N39" s="115">
        <f t="shared" si="0"/>
        <v>89</v>
      </c>
      <c r="O39" s="116" t="s">
        <v>485</v>
      </c>
      <c r="P39" s="110" t="s">
        <v>138</v>
      </c>
      <c r="Q39" s="110">
        <v>2</v>
      </c>
      <c r="R39" s="120" t="s">
        <v>148</v>
      </c>
      <c r="S39" s="110"/>
      <c r="T39" s="110"/>
      <c r="U39" s="110"/>
      <c r="V39" s="110"/>
      <c r="W39" s="110"/>
      <c r="X39" s="110"/>
      <c r="Y39" s="110"/>
      <c r="Z39" s="110"/>
      <c r="AA39" s="110"/>
      <c r="AB39" s="110"/>
      <c r="AC39" s="110"/>
      <c r="AD39" s="110"/>
      <c r="AE39" s="110"/>
      <c r="AF39" s="110"/>
      <c r="AG39" s="110"/>
      <c r="AH39" s="110"/>
      <c r="AI39" s="110"/>
      <c r="AJ39" s="110"/>
      <c r="AK39" s="110"/>
      <c r="AL39" s="110"/>
      <c r="AM39" s="110"/>
      <c r="AN39" s="110"/>
      <c r="AO39" s="110"/>
      <c r="AP39" s="110"/>
      <c r="AQ39" s="110"/>
      <c r="AR39" s="110"/>
      <c r="AS39" s="110"/>
      <c r="AT39" s="110"/>
      <c r="AU39" s="110"/>
      <c r="AV39" s="110"/>
      <c r="AW39" s="110"/>
      <c r="AX39" s="110"/>
      <c r="AY39" s="110"/>
      <c r="AZ39" s="110"/>
      <c r="BA39" s="110"/>
      <c r="BB39" s="110"/>
      <c r="BC39" s="110"/>
      <c r="BD39" s="110"/>
      <c r="BE39" s="110"/>
      <c r="BF39" s="110"/>
      <c r="BG39" s="110"/>
      <c r="BH39" s="110"/>
      <c r="BI39" s="110"/>
      <c r="BJ39" s="110"/>
      <c r="BK39" s="110"/>
      <c r="BL39" s="110"/>
      <c r="BM39" s="110"/>
      <c r="BN39" s="110"/>
      <c r="BO39" s="110"/>
      <c r="BP39" s="110"/>
      <c r="BQ39" s="110"/>
      <c r="BR39" s="110"/>
      <c r="BS39" s="110"/>
      <c r="BT39" s="110"/>
      <c r="BU39" s="110"/>
      <c r="BV39" s="110"/>
      <c r="BW39" s="110"/>
      <c r="BX39" s="110"/>
      <c r="BY39" s="110"/>
      <c r="BZ39" s="110"/>
      <c r="CA39" s="110"/>
      <c r="CB39" s="110"/>
      <c r="CC39" s="110"/>
      <c r="CD39" s="110"/>
      <c r="CE39" s="110"/>
      <c r="CF39" s="110"/>
      <c r="CG39" s="110"/>
      <c r="CH39" s="110"/>
      <c r="CI39" s="110"/>
      <c r="CJ39" s="110"/>
      <c r="CK39" s="110"/>
      <c r="CL39" s="110"/>
      <c r="CM39" s="110"/>
      <c r="CN39" s="110"/>
      <c r="CO39" s="110"/>
      <c r="CP39" s="110"/>
      <c r="CQ39" s="110"/>
      <c r="CR39" s="110"/>
      <c r="CS39" s="110"/>
      <c r="CT39" s="110"/>
      <c r="CU39" s="110"/>
      <c r="CV39" s="110"/>
      <c r="CW39" s="110"/>
      <c r="CX39" s="110"/>
      <c r="CY39" s="110"/>
      <c r="CZ39" s="110"/>
      <c r="DA39" s="110"/>
      <c r="DB39" s="110"/>
      <c r="DC39" s="110"/>
      <c r="DD39" s="110"/>
      <c r="DE39" s="110"/>
      <c r="DF39" s="110"/>
      <c r="DG39" s="110"/>
      <c r="DH39" s="110"/>
      <c r="DI39" s="110"/>
      <c r="DJ39" s="110"/>
      <c r="DK39" s="110"/>
      <c r="DL39" s="110"/>
      <c r="DM39" s="110"/>
      <c r="DN39" s="110"/>
      <c r="DO39" s="110"/>
      <c r="DP39" s="110"/>
      <c r="DQ39" s="110"/>
      <c r="DR39" s="110"/>
      <c r="DS39" s="110"/>
      <c r="DT39" s="110"/>
      <c r="DU39" s="110"/>
      <c r="DV39" s="110"/>
      <c r="DW39" s="110"/>
      <c r="DX39" s="110"/>
      <c r="DY39" s="110"/>
      <c r="DZ39" s="110"/>
      <c r="EA39" s="110"/>
      <c r="EB39" s="110"/>
      <c r="EC39" s="110"/>
      <c r="ED39" s="110"/>
      <c r="EE39" s="110"/>
      <c r="EF39" s="110"/>
      <c r="EG39" s="110"/>
      <c r="EH39" s="110"/>
      <c r="EI39" s="110"/>
      <c r="EJ39" s="110"/>
      <c r="EK39" s="111"/>
      <c r="EL39" s="110"/>
      <c r="EM39" s="110"/>
      <c r="EN39" s="110"/>
      <c r="EO39" s="110"/>
      <c r="EP39" s="110"/>
      <c r="EQ39" s="110"/>
      <c r="ER39" s="110"/>
      <c r="ES39" s="110"/>
      <c r="ET39" s="110"/>
      <c r="EU39" s="110"/>
      <c r="EV39" s="111"/>
    </row>
    <row r="40" spans="1:152" ht="14.5" x14ac:dyDescent="0.35">
      <c r="A40" s="108">
        <v>4740727579</v>
      </c>
      <c r="B40" s="116" t="s">
        <v>130</v>
      </c>
      <c r="C40" s="116" t="s">
        <v>130</v>
      </c>
      <c r="D40" s="111" t="s">
        <v>138</v>
      </c>
      <c r="E40" s="111" t="s">
        <v>486</v>
      </c>
      <c r="F40" s="110" t="s">
        <v>326</v>
      </c>
      <c r="G40" s="112">
        <v>43378</v>
      </c>
      <c r="H40" s="110" t="s">
        <v>203</v>
      </c>
      <c r="I40" s="117" t="s">
        <v>135</v>
      </c>
      <c r="J40" s="117" t="s">
        <v>133</v>
      </c>
      <c r="K40" s="110" t="s">
        <v>136</v>
      </c>
      <c r="L40" s="113">
        <v>15969</v>
      </c>
      <c r="M40" s="119">
        <v>43334</v>
      </c>
      <c r="N40" s="115">
        <f t="shared" si="0"/>
        <v>74</v>
      </c>
      <c r="O40" s="116" t="s">
        <v>225</v>
      </c>
      <c r="P40" s="155" t="s">
        <v>138</v>
      </c>
      <c r="Q40" s="110">
        <v>1</v>
      </c>
      <c r="R40" s="120" t="s">
        <v>148</v>
      </c>
      <c r="S40" s="110"/>
      <c r="T40" s="110"/>
      <c r="U40" s="110"/>
      <c r="V40" s="110"/>
      <c r="W40" s="110"/>
      <c r="X40" s="110"/>
      <c r="Y40" s="110"/>
      <c r="Z40" s="110"/>
      <c r="AA40" s="110"/>
      <c r="AB40" s="110"/>
      <c r="AC40" s="110"/>
      <c r="AD40" s="110"/>
      <c r="AE40" s="110"/>
      <c r="AF40" s="110"/>
      <c r="AG40" s="110"/>
      <c r="AH40" s="110"/>
      <c r="AI40" s="110"/>
      <c r="AJ40" s="110"/>
      <c r="AK40" s="110"/>
      <c r="AL40" s="110"/>
      <c r="AM40" s="110"/>
      <c r="AN40" s="110"/>
      <c r="AO40" s="110"/>
      <c r="AP40" s="110"/>
      <c r="AQ40" s="110"/>
      <c r="AR40" s="110"/>
      <c r="AS40" s="110"/>
      <c r="AT40" s="110"/>
      <c r="AU40" s="110"/>
      <c r="AV40" s="110"/>
      <c r="AW40" s="110"/>
      <c r="AX40" s="110"/>
      <c r="AY40" s="110"/>
      <c r="AZ40" s="110"/>
      <c r="BA40" s="110"/>
      <c r="BB40" s="110"/>
      <c r="BC40" s="110"/>
      <c r="BD40" s="110"/>
      <c r="BE40" s="110"/>
      <c r="BF40" s="110"/>
      <c r="BG40" s="110"/>
      <c r="BH40" s="110"/>
      <c r="BI40" s="110"/>
      <c r="BJ40" s="110"/>
      <c r="BK40" s="110"/>
      <c r="BL40" s="110"/>
      <c r="BM40" s="110"/>
      <c r="BN40" s="110"/>
      <c r="BO40" s="110"/>
      <c r="BP40" s="110"/>
      <c r="BQ40" s="110"/>
      <c r="BR40" s="110"/>
      <c r="BS40" s="110"/>
      <c r="BT40" s="110"/>
      <c r="BU40" s="110"/>
      <c r="BV40" s="110"/>
      <c r="BW40" s="110"/>
      <c r="BX40" s="110"/>
      <c r="BY40" s="110"/>
      <c r="BZ40" s="110"/>
      <c r="CA40" s="110"/>
      <c r="CB40" s="110"/>
      <c r="CC40" s="110"/>
      <c r="CD40" s="110"/>
      <c r="CE40" s="110"/>
      <c r="CF40" s="110"/>
      <c r="CG40" s="110"/>
      <c r="CH40" s="110"/>
      <c r="CI40" s="110"/>
      <c r="CJ40" s="110"/>
      <c r="CK40" s="110"/>
      <c r="CL40" s="110"/>
      <c r="CM40" s="110"/>
      <c r="CN40" s="110"/>
      <c r="CO40" s="110"/>
      <c r="CP40" s="110"/>
      <c r="CQ40" s="110"/>
      <c r="CR40" s="110"/>
      <c r="CS40" s="110"/>
      <c r="CT40" s="110"/>
      <c r="CU40" s="110"/>
      <c r="CV40" s="110"/>
      <c r="CW40" s="110"/>
      <c r="CX40" s="110"/>
      <c r="CY40" s="110"/>
      <c r="CZ40" s="110"/>
      <c r="DA40" s="110"/>
      <c r="DB40" s="110"/>
      <c r="DC40" s="110"/>
      <c r="DD40" s="110"/>
      <c r="DE40" s="110"/>
      <c r="DF40" s="110"/>
      <c r="DG40" s="110"/>
      <c r="DH40" s="110"/>
      <c r="DI40" s="110"/>
      <c r="DJ40" s="110"/>
      <c r="DK40" s="110"/>
      <c r="DL40" s="110"/>
      <c r="DM40" s="110"/>
      <c r="DN40" s="110"/>
      <c r="DO40" s="110"/>
      <c r="DP40" s="110"/>
      <c r="DQ40" s="110"/>
      <c r="DR40" s="110"/>
      <c r="DS40" s="110"/>
      <c r="DT40" s="110"/>
      <c r="DU40" s="110"/>
      <c r="DV40" s="110"/>
      <c r="DW40" s="110"/>
      <c r="DX40" s="110"/>
      <c r="DY40" s="110"/>
      <c r="DZ40" s="110"/>
      <c r="EA40" s="110"/>
      <c r="EB40" s="110"/>
      <c r="EC40" s="110"/>
      <c r="ED40" s="110"/>
      <c r="EE40" s="110"/>
      <c r="EF40" s="110"/>
      <c r="EG40" s="110"/>
      <c r="EH40" s="110"/>
      <c r="EI40" s="110"/>
      <c r="EJ40" s="110"/>
      <c r="EK40" s="111"/>
      <c r="EL40" s="110"/>
      <c r="EM40" s="110"/>
      <c r="EN40" s="110"/>
      <c r="EO40" s="110"/>
      <c r="EP40" s="110"/>
      <c r="EQ40" s="110"/>
      <c r="ER40" s="110"/>
      <c r="ES40" s="110"/>
      <c r="ET40" s="110"/>
      <c r="EU40" s="110"/>
      <c r="EV40" s="111"/>
    </row>
    <row r="41" spans="1:152" ht="14.5" x14ac:dyDescent="0.35">
      <c r="A41" s="108">
        <v>4862161219</v>
      </c>
      <c r="B41" s="116" t="s">
        <v>130</v>
      </c>
      <c r="C41" s="116" t="s">
        <v>130</v>
      </c>
      <c r="D41" s="111" t="s">
        <v>138</v>
      </c>
      <c r="E41" s="111" t="s">
        <v>487</v>
      </c>
      <c r="F41" s="110" t="s">
        <v>488</v>
      </c>
      <c r="G41" s="112">
        <v>43377</v>
      </c>
      <c r="H41" s="110" t="s">
        <v>203</v>
      </c>
      <c r="I41" s="117" t="s">
        <v>135</v>
      </c>
      <c r="J41" s="117" t="s">
        <v>133</v>
      </c>
      <c r="K41" s="110" t="s">
        <v>136</v>
      </c>
      <c r="L41" s="113">
        <v>23482</v>
      </c>
      <c r="M41" s="119">
        <v>43377</v>
      </c>
      <c r="N41" s="115">
        <f t="shared" si="0"/>
        <v>54</v>
      </c>
      <c r="O41" s="116" t="s">
        <v>225</v>
      </c>
      <c r="P41" s="110" t="s">
        <v>138</v>
      </c>
      <c r="Q41" s="110">
        <v>1</v>
      </c>
      <c r="R41" s="120" t="s">
        <v>148</v>
      </c>
      <c r="S41" s="110"/>
      <c r="T41" s="110"/>
      <c r="U41" s="110"/>
      <c r="V41" s="110"/>
      <c r="W41" s="110"/>
      <c r="X41" s="110"/>
      <c r="Y41" s="110"/>
      <c r="Z41" s="110"/>
      <c r="AA41" s="110"/>
      <c r="AB41" s="110"/>
      <c r="AC41" s="110"/>
      <c r="AD41" s="110"/>
      <c r="AE41" s="110"/>
      <c r="AF41" s="110"/>
      <c r="AG41" s="110"/>
      <c r="AH41" s="110"/>
      <c r="AI41" s="110"/>
      <c r="AJ41" s="110"/>
      <c r="AK41" s="110"/>
      <c r="AL41" s="110"/>
      <c r="AM41" s="110"/>
      <c r="AN41" s="110"/>
      <c r="AO41" s="110"/>
      <c r="AP41" s="110"/>
      <c r="AQ41" s="110"/>
      <c r="AR41" s="110"/>
      <c r="AS41" s="110"/>
      <c r="AT41" s="110"/>
      <c r="AU41" s="110"/>
      <c r="AV41" s="110"/>
      <c r="AW41" s="110"/>
      <c r="AX41" s="110"/>
      <c r="AY41" s="110"/>
      <c r="AZ41" s="110"/>
      <c r="BA41" s="110"/>
      <c r="BB41" s="110"/>
      <c r="BC41" s="110"/>
      <c r="BD41" s="110"/>
      <c r="BE41" s="110"/>
      <c r="BF41" s="110"/>
      <c r="BG41" s="110"/>
      <c r="BH41" s="110"/>
      <c r="BI41" s="110"/>
      <c r="BJ41" s="110"/>
      <c r="BK41" s="110"/>
      <c r="BL41" s="110"/>
      <c r="BM41" s="110"/>
      <c r="BN41" s="110"/>
      <c r="BO41" s="110"/>
      <c r="BP41" s="110"/>
      <c r="BQ41" s="110"/>
      <c r="BR41" s="110"/>
      <c r="BS41" s="110"/>
      <c r="BT41" s="110"/>
      <c r="BU41" s="110"/>
      <c r="BV41" s="110"/>
      <c r="BW41" s="110"/>
      <c r="BX41" s="110"/>
      <c r="BY41" s="110"/>
      <c r="BZ41" s="110"/>
      <c r="CA41" s="110"/>
      <c r="CB41" s="110"/>
      <c r="CC41" s="110"/>
      <c r="CD41" s="110"/>
      <c r="CE41" s="110"/>
      <c r="CF41" s="110"/>
      <c r="CG41" s="110"/>
      <c r="CH41" s="110"/>
      <c r="CI41" s="110"/>
      <c r="CJ41" s="110"/>
      <c r="CK41" s="110"/>
      <c r="CL41" s="110"/>
      <c r="CM41" s="110"/>
      <c r="CN41" s="110"/>
      <c r="CO41" s="110"/>
      <c r="CP41" s="110"/>
      <c r="CQ41" s="110"/>
      <c r="CR41" s="110"/>
      <c r="CS41" s="110"/>
      <c r="CT41" s="110"/>
      <c r="CU41" s="110"/>
      <c r="CV41" s="110"/>
      <c r="CW41" s="110"/>
      <c r="CX41" s="110"/>
      <c r="CY41" s="110"/>
      <c r="CZ41" s="110"/>
      <c r="DA41" s="110"/>
      <c r="DB41" s="110"/>
      <c r="DC41" s="110"/>
      <c r="DD41" s="110"/>
      <c r="DE41" s="110"/>
      <c r="DF41" s="110"/>
      <c r="DG41" s="110"/>
      <c r="DH41" s="110"/>
      <c r="DI41" s="110"/>
      <c r="DJ41" s="110"/>
      <c r="DK41" s="110"/>
      <c r="DL41" s="110"/>
      <c r="DM41" s="110"/>
      <c r="DN41" s="110"/>
      <c r="DO41" s="110"/>
      <c r="DP41" s="110"/>
      <c r="DQ41" s="110"/>
      <c r="DR41" s="110"/>
      <c r="DS41" s="110"/>
      <c r="DT41" s="110"/>
      <c r="DU41" s="110"/>
      <c r="DV41" s="110"/>
      <c r="DW41" s="110"/>
      <c r="DX41" s="110"/>
      <c r="DY41" s="110"/>
      <c r="DZ41" s="110"/>
      <c r="EA41" s="110"/>
      <c r="EB41" s="110"/>
      <c r="EC41" s="110"/>
      <c r="ED41" s="110"/>
      <c r="EE41" s="110"/>
      <c r="EF41" s="110"/>
      <c r="EG41" s="110"/>
      <c r="EH41" s="110"/>
      <c r="EI41" s="110"/>
      <c r="EJ41" s="110"/>
      <c r="EK41" s="111"/>
      <c r="EL41" s="110"/>
      <c r="EM41" s="110"/>
      <c r="EN41" s="110"/>
      <c r="EO41" s="110"/>
      <c r="EP41" s="110"/>
      <c r="EQ41" s="110"/>
      <c r="ER41" s="110"/>
      <c r="ES41" s="110"/>
      <c r="ET41" s="110"/>
      <c r="EU41" s="110"/>
      <c r="EV41" s="111"/>
    </row>
    <row r="42" spans="1:152" ht="14.5" x14ac:dyDescent="0.35">
      <c r="A42" s="108">
        <v>4508275591</v>
      </c>
      <c r="B42" s="116" t="s">
        <v>130</v>
      </c>
      <c r="C42" s="116" t="s">
        <v>130</v>
      </c>
      <c r="D42" s="111" t="s">
        <v>138</v>
      </c>
      <c r="E42" s="111" t="s">
        <v>489</v>
      </c>
      <c r="F42" s="110" t="s">
        <v>218</v>
      </c>
      <c r="G42" s="112">
        <v>43392</v>
      </c>
      <c r="H42" s="110" t="s">
        <v>203</v>
      </c>
      <c r="I42" s="117" t="s">
        <v>135</v>
      </c>
      <c r="J42" s="117" t="s">
        <v>133</v>
      </c>
      <c r="K42" s="110" t="s">
        <v>136</v>
      </c>
      <c r="L42" s="113">
        <v>17313</v>
      </c>
      <c r="M42" s="119">
        <v>43364</v>
      </c>
      <c r="N42" s="115">
        <f t="shared" si="0"/>
        <v>71</v>
      </c>
      <c r="O42" s="116" t="s">
        <v>399</v>
      </c>
      <c r="P42" s="110" t="s">
        <v>138</v>
      </c>
      <c r="Q42" s="110">
        <v>1</v>
      </c>
      <c r="R42" s="120" t="s">
        <v>198</v>
      </c>
      <c r="S42" s="110"/>
      <c r="T42" s="110"/>
      <c r="U42" s="110"/>
      <c r="V42" s="110"/>
      <c r="W42" s="110"/>
      <c r="X42" s="110"/>
      <c r="Y42" s="110"/>
      <c r="Z42" s="110"/>
      <c r="AA42" s="110"/>
      <c r="AB42" s="110"/>
      <c r="AC42" s="110"/>
      <c r="AD42" s="110"/>
      <c r="AE42" s="110"/>
      <c r="AF42" s="110"/>
      <c r="AG42" s="110"/>
      <c r="AH42" s="110"/>
      <c r="AI42" s="110"/>
      <c r="AJ42" s="110"/>
      <c r="AK42" s="110"/>
      <c r="AL42" s="110"/>
      <c r="AM42" s="110"/>
      <c r="AN42" s="110"/>
      <c r="AO42" s="110"/>
      <c r="AP42" s="110"/>
      <c r="AQ42" s="110"/>
      <c r="AR42" s="110"/>
      <c r="AS42" s="110"/>
      <c r="AT42" s="110"/>
      <c r="AU42" s="110"/>
      <c r="AV42" s="110"/>
      <c r="AW42" s="110"/>
      <c r="AX42" s="110"/>
      <c r="AY42" s="110"/>
      <c r="AZ42" s="110"/>
      <c r="BA42" s="110"/>
      <c r="BB42" s="110"/>
      <c r="BC42" s="110"/>
      <c r="BD42" s="110"/>
      <c r="BE42" s="110"/>
      <c r="BF42" s="110"/>
      <c r="BG42" s="110"/>
      <c r="BH42" s="110"/>
      <c r="BI42" s="110"/>
      <c r="BJ42" s="110"/>
      <c r="BK42" s="110"/>
      <c r="BL42" s="110"/>
      <c r="BM42" s="110"/>
      <c r="BN42" s="110"/>
      <c r="BO42" s="110"/>
      <c r="BP42" s="110"/>
      <c r="BQ42" s="110"/>
      <c r="BR42" s="110"/>
      <c r="BS42" s="110"/>
      <c r="BT42" s="110"/>
      <c r="BU42" s="110"/>
      <c r="BV42" s="110"/>
      <c r="BW42" s="110"/>
      <c r="BX42" s="110"/>
      <c r="BY42" s="110"/>
      <c r="BZ42" s="110"/>
      <c r="CA42" s="110"/>
      <c r="CB42" s="110"/>
      <c r="CC42" s="110"/>
      <c r="CD42" s="110"/>
      <c r="CE42" s="110"/>
      <c r="CF42" s="110"/>
      <c r="CG42" s="110"/>
      <c r="CH42" s="110"/>
      <c r="CI42" s="110"/>
      <c r="CJ42" s="110"/>
      <c r="CK42" s="110"/>
      <c r="CL42" s="110"/>
      <c r="CM42" s="110"/>
      <c r="CN42" s="110"/>
      <c r="CO42" s="110"/>
      <c r="CP42" s="110"/>
      <c r="CQ42" s="110"/>
      <c r="CR42" s="110"/>
      <c r="CS42" s="110"/>
      <c r="CT42" s="110"/>
      <c r="CU42" s="110"/>
      <c r="CV42" s="110"/>
      <c r="CW42" s="110"/>
      <c r="CX42" s="110"/>
      <c r="CY42" s="110"/>
      <c r="CZ42" s="110"/>
      <c r="DA42" s="110"/>
      <c r="DB42" s="110"/>
      <c r="DC42" s="110"/>
      <c r="DD42" s="110"/>
      <c r="DE42" s="110"/>
      <c r="DF42" s="110"/>
      <c r="DG42" s="110"/>
      <c r="DH42" s="110"/>
      <c r="DI42" s="110"/>
      <c r="DJ42" s="110"/>
      <c r="DK42" s="110"/>
      <c r="DL42" s="110"/>
      <c r="DM42" s="110"/>
      <c r="DN42" s="110"/>
      <c r="DO42" s="110"/>
      <c r="DP42" s="110"/>
      <c r="DQ42" s="110"/>
      <c r="DR42" s="110"/>
      <c r="DS42" s="110"/>
      <c r="DT42" s="110"/>
      <c r="DU42" s="110"/>
      <c r="DV42" s="110"/>
      <c r="DW42" s="110"/>
      <c r="DX42" s="110"/>
      <c r="DY42" s="110"/>
      <c r="DZ42" s="110"/>
      <c r="EA42" s="110"/>
      <c r="EB42" s="110"/>
      <c r="EC42" s="110"/>
      <c r="ED42" s="110"/>
      <c r="EE42" s="110"/>
      <c r="EF42" s="110"/>
      <c r="EG42" s="110"/>
      <c r="EH42" s="110"/>
      <c r="EI42" s="110"/>
      <c r="EJ42" s="110"/>
      <c r="EK42" s="111"/>
      <c r="EL42" s="110"/>
      <c r="EM42" s="110"/>
      <c r="EN42" s="110"/>
      <c r="EO42" s="110"/>
      <c r="EP42" s="110"/>
      <c r="EQ42" s="110"/>
      <c r="ER42" s="110"/>
      <c r="ES42" s="110"/>
      <c r="ET42" s="110"/>
      <c r="EU42" s="110"/>
      <c r="EV42" s="111"/>
    </row>
    <row r="43" spans="1:152" ht="14.5" x14ac:dyDescent="0.35">
      <c r="A43" s="108">
        <v>4584166412</v>
      </c>
      <c r="B43" s="116" t="s">
        <v>130</v>
      </c>
      <c r="C43" s="116" t="s">
        <v>130</v>
      </c>
      <c r="D43" s="111" t="s">
        <v>138</v>
      </c>
      <c r="E43" s="111" t="s">
        <v>490</v>
      </c>
      <c r="F43" s="110" t="s">
        <v>491</v>
      </c>
      <c r="G43" s="112">
        <v>43395</v>
      </c>
      <c r="H43" s="110" t="s">
        <v>203</v>
      </c>
      <c r="I43" s="117" t="s">
        <v>135</v>
      </c>
      <c r="J43" s="117" t="s">
        <v>133</v>
      </c>
      <c r="K43" s="110" t="s">
        <v>136</v>
      </c>
      <c r="L43" s="113">
        <v>20863</v>
      </c>
      <c r="M43" s="119">
        <v>43305</v>
      </c>
      <c r="N43" s="115">
        <f t="shared" si="0"/>
        <v>61</v>
      </c>
      <c r="O43" s="116" t="s">
        <v>399</v>
      </c>
      <c r="P43" s="110" t="s">
        <v>138</v>
      </c>
      <c r="Q43" s="110">
        <v>1</v>
      </c>
      <c r="R43" s="120" t="s">
        <v>198</v>
      </c>
      <c r="S43" s="110"/>
      <c r="T43" s="110"/>
      <c r="U43" s="110"/>
      <c r="V43" s="110"/>
      <c r="W43" s="110"/>
      <c r="X43" s="110"/>
      <c r="Y43" s="110"/>
      <c r="Z43" s="110"/>
      <c r="AA43" s="110"/>
      <c r="AB43" s="110"/>
      <c r="AC43" s="110"/>
      <c r="AD43" s="110"/>
      <c r="AE43" s="110"/>
      <c r="AF43" s="110"/>
      <c r="AG43" s="110"/>
      <c r="AH43" s="110"/>
      <c r="AI43" s="110"/>
      <c r="AJ43" s="110"/>
      <c r="AK43" s="110"/>
      <c r="AL43" s="110"/>
      <c r="AM43" s="110"/>
      <c r="AN43" s="110"/>
      <c r="AO43" s="110"/>
      <c r="AP43" s="110"/>
      <c r="AQ43" s="110"/>
      <c r="AR43" s="110"/>
      <c r="AS43" s="110"/>
      <c r="AT43" s="110"/>
      <c r="AU43" s="110"/>
      <c r="AV43" s="110"/>
      <c r="AW43" s="110"/>
      <c r="AX43" s="110"/>
      <c r="AY43" s="110"/>
      <c r="AZ43" s="110"/>
      <c r="BA43" s="110"/>
      <c r="BB43" s="110"/>
      <c r="BC43" s="110"/>
      <c r="BD43" s="110"/>
      <c r="BE43" s="110"/>
      <c r="BF43" s="110"/>
      <c r="BG43" s="110"/>
      <c r="BH43" s="110"/>
      <c r="BI43" s="110"/>
      <c r="BJ43" s="110"/>
      <c r="BK43" s="110"/>
      <c r="BL43" s="110"/>
      <c r="BM43" s="110"/>
      <c r="BN43" s="110"/>
      <c r="BO43" s="110"/>
      <c r="BP43" s="110"/>
      <c r="BQ43" s="110"/>
      <c r="BR43" s="110"/>
      <c r="BS43" s="110"/>
      <c r="BT43" s="110"/>
      <c r="BU43" s="110"/>
      <c r="BV43" s="110"/>
      <c r="BW43" s="110"/>
      <c r="BX43" s="110"/>
      <c r="BY43" s="110"/>
      <c r="BZ43" s="110"/>
      <c r="CA43" s="110"/>
      <c r="CB43" s="110"/>
      <c r="CC43" s="110"/>
      <c r="CD43" s="110"/>
      <c r="CE43" s="110"/>
      <c r="CF43" s="110"/>
      <c r="CG43" s="110"/>
      <c r="CH43" s="110"/>
      <c r="CI43" s="110"/>
      <c r="CJ43" s="110"/>
      <c r="CK43" s="110"/>
      <c r="CL43" s="110"/>
      <c r="CM43" s="110"/>
      <c r="CN43" s="110"/>
      <c r="CO43" s="110"/>
      <c r="CP43" s="110"/>
      <c r="CQ43" s="110"/>
      <c r="CR43" s="110"/>
      <c r="CS43" s="110"/>
      <c r="CT43" s="110"/>
      <c r="CU43" s="110"/>
      <c r="CV43" s="110"/>
      <c r="CW43" s="110"/>
      <c r="CX43" s="110"/>
      <c r="CY43" s="110"/>
      <c r="CZ43" s="110"/>
      <c r="DA43" s="110"/>
      <c r="DB43" s="110"/>
      <c r="DC43" s="110"/>
      <c r="DD43" s="110"/>
      <c r="DE43" s="110"/>
      <c r="DF43" s="110"/>
      <c r="DG43" s="110"/>
      <c r="DH43" s="110"/>
      <c r="DI43" s="110"/>
      <c r="DJ43" s="110"/>
      <c r="DK43" s="110"/>
      <c r="DL43" s="110"/>
      <c r="DM43" s="110"/>
      <c r="DN43" s="110"/>
      <c r="DO43" s="110"/>
      <c r="DP43" s="110"/>
      <c r="DQ43" s="110"/>
      <c r="DR43" s="110"/>
      <c r="DS43" s="110"/>
      <c r="DT43" s="110"/>
      <c r="DU43" s="110"/>
      <c r="DV43" s="110"/>
      <c r="DW43" s="110"/>
      <c r="DX43" s="110"/>
      <c r="DY43" s="110"/>
      <c r="DZ43" s="110"/>
      <c r="EA43" s="110"/>
      <c r="EB43" s="110"/>
      <c r="EC43" s="110"/>
      <c r="ED43" s="110"/>
      <c r="EE43" s="110"/>
      <c r="EF43" s="110"/>
      <c r="EG43" s="110"/>
      <c r="EH43" s="110"/>
      <c r="EI43" s="110"/>
      <c r="EJ43" s="110"/>
      <c r="EK43" s="111"/>
      <c r="EL43" s="110"/>
      <c r="EM43" s="110"/>
      <c r="EN43" s="110"/>
      <c r="EO43" s="110"/>
      <c r="EP43" s="110"/>
      <c r="EQ43" s="110"/>
      <c r="ER43" s="110"/>
      <c r="ES43" s="110"/>
      <c r="ET43" s="110"/>
      <c r="EU43" s="110"/>
      <c r="EV43" s="111"/>
    </row>
    <row r="44" spans="1:152" ht="14.5" x14ac:dyDescent="0.35">
      <c r="A44" s="108">
        <v>4343073440</v>
      </c>
      <c r="B44" s="116" t="s">
        <v>130</v>
      </c>
      <c r="C44" s="116" t="s">
        <v>130</v>
      </c>
      <c r="D44" s="111" t="s">
        <v>138</v>
      </c>
      <c r="E44" s="111" t="s">
        <v>492</v>
      </c>
      <c r="F44" s="110" t="s">
        <v>493</v>
      </c>
      <c r="G44" s="112">
        <v>43398</v>
      </c>
      <c r="H44" s="110" t="s">
        <v>203</v>
      </c>
      <c r="I44" s="117" t="s">
        <v>135</v>
      </c>
      <c r="J44" s="117" t="s">
        <v>133</v>
      </c>
      <c r="K44" s="110" t="s">
        <v>136</v>
      </c>
      <c r="L44" s="113">
        <v>12297</v>
      </c>
      <c r="M44" s="119">
        <v>43361</v>
      </c>
      <c r="N44" s="115">
        <f t="shared" si="0"/>
        <v>85</v>
      </c>
      <c r="O44" s="116" t="s">
        <v>425</v>
      </c>
      <c r="P44" s="117" t="s">
        <v>130</v>
      </c>
      <c r="Q44" s="110">
        <v>3</v>
      </c>
      <c r="R44" s="120" t="s">
        <v>234</v>
      </c>
      <c r="S44" s="110"/>
      <c r="T44" s="110"/>
      <c r="U44" s="110"/>
      <c r="V44" s="110"/>
      <c r="W44" s="110"/>
      <c r="X44" s="110"/>
      <c r="Y44" s="110"/>
      <c r="Z44" s="110"/>
      <c r="AA44" s="110"/>
      <c r="AB44" s="110"/>
      <c r="AC44" s="110"/>
      <c r="AD44" s="110"/>
      <c r="AE44" s="110"/>
      <c r="AF44" s="110"/>
      <c r="AG44" s="110"/>
      <c r="AH44" s="110"/>
      <c r="AI44" s="110"/>
      <c r="AJ44" s="110"/>
      <c r="AK44" s="110"/>
      <c r="AL44" s="110"/>
      <c r="AM44" s="110"/>
      <c r="AN44" s="110"/>
      <c r="AO44" s="110"/>
      <c r="AP44" s="110"/>
      <c r="AQ44" s="110"/>
      <c r="AR44" s="110"/>
      <c r="AS44" s="110"/>
      <c r="AT44" s="110"/>
      <c r="AU44" s="110"/>
      <c r="AV44" s="110"/>
      <c r="AW44" s="110"/>
      <c r="AX44" s="110"/>
      <c r="AY44" s="110"/>
      <c r="AZ44" s="110"/>
      <c r="BA44" s="110"/>
      <c r="BB44" s="110"/>
      <c r="BC44" s="110"/>
      <c r="BD44" s="110"/>
      <c r="BE44" s="110"/>
      <c r="BF44" s="110"/>
      <c r="BG44" s="110"/>
      <c r="BH44" s="110"/>
      <c r="BI44" s="110"/>
      <c r="BJ44" s="110"/>
      <c r="BK44" s="110"/>
      <c r="BL44" s="110"/>
      <c r="BM44" s="110"/>
      <c r="BN44" s="110"/>
      <c r="BO44" s="110"/>
      <c r="BP44" s="110"/>
      <c r="BQ44" s="110"/>
      <c r="BR44" s="110"/>
      <c r="BS44" s="110"/>
      <c r="BT44" s="110"/>
      <c r="BU44" s="110"/>
      <c r="BV44" s="110"/>
      <c r="BW44" s="110"/>
      <c r="BX44" s="110"/>
      <c r="BY44" s="110"/>
      <c r="BZ44" s="110"/>
      <c r="CA44" s="110"/>
      <c r="CB44" s="110"/>
      <c r="CC44" s="110"/>
      <c r="CD44" s="110"/>
      <c r="CE44" s="110"/>
      <c r="CF44" s="110"/>
      <c r="CG44" s="110"/>
      <c r="CH44" s="110"/>
      <c r="CI44" s="110"/>
      <c r="CJ44" s="110"/>
      <c r="CK44" s="110"/>
      <c r="CL44" s="110"/>
      <c r="CM44" s="110"/>
      <c r="CN44" s="110"/>
      <c r="CO44" s="110"/>
      <c r="CP44" s="110"/>
      <c r="CQ44" s="110"/>
      <c r="CR44" s="110"/>
      <c r="CS44" s="110"/>
      <c r="CT44" s="110"/>
      <c r="CU44" s="110"/>
      <c r="CV44" s="110"/>
      <c r="CW44" s="110"/>
      <c r="CX44" s="110"/>
      <c r="CY44" s="110"/>
      <c r="CZ44" s="110"/>
      <c r="DA44" s="110"/>
      <c r="DB44" s="110"/>
      <c r="DC44" s="110"/>
      <c r="DD44" s="110"/>
      <c r="DE44" s="110"/>
      <c r="DF44" s="110"/>
      <c r="DG44" s="110"/>
      <c r="DH44" s="110"/>
      <c r="DI44" s="110"/>
      <c r="DJ44" s="110"/>
      <c r="DK44" s="110"/>
      <c r="DL44" s="110"/>
      <c r="DM44" s="110"/>
      <c r="DN44" s="110"/>
      <c r="DO44" s="110"/>
      <c r="DP44" s="110"/>
      <c r="DQ44" s="110"/>
      <c r="DR44" s="110"/>
      <c r="DS44" s="110"/>
      <c r="DT44" s="110"/>
      <c r="DU44" s="110"/>
      <c r="DV44" s="110"/>
      <c r="DW44" s="110"/>
      <c r="DX44" s="110"/>
      <c r="DY44" s="110"/>
      <c r="DZ44" s="110"/>
      <c r="EA44" s="110"/>
      <c r="EB44" s="110"/>
      <c r="EC44" s="110"/>
      <c r="ED44" s="110"/>
      <c r="EE44" s="110"/>
      <c r="EF44" s="110"/>
      <c r="EG44" s="110"/>
      <c r="EH44" s="110"/>
      <c r="EI44" s="110"/>
      <c r="EJ44" s="110"/>
      <c r="EK44" s="111"/>
      <c r="EL44" s="110"/>
      <c r="EM44" s="110"/>
      <c r="EN44" s="110"/>
      <c r="EO44" s="110"/>
      <c r="EP44" s="110"/>
      <c r="EQ44" s="110"/>
      <c r="ER44" s="110"/>
      <c r="ES44" s="110"/>
      <c r="ET44" s="110"/>
      <c r="EU44" s="110"/>
      <c r="EV44" s="111"/>
    </row>
    <row r="45" spans="1:152" s="171" customFormat="1" ht="14.5" x14ac:dyDescent="0.35">
      <c r="A45" s="161">
        <v>6140066875</v>
      </c>
      <c r="B45" s="162" t="s">
        <v>130</v>
      </c>
      <c r="C45" s="162" t="s">
        <v>130</v>
      </c>
      <c r="D45" s="163" t="s">
        <v>138</v>
      </c>
      <c r="E45" s="163" t="s">
        <v>494</v>
      </c>
      <c r="F45" s="164" t="s">
        <v>495</v>
      </c>
      <c r="G45" s="165">
        <v>43410</v>
      </c>
      <c r="H45" s="164" t="s">
        <v>270</v>
      </c>
      <c r="I45" s="166" t="s">
        <v>135</v>
      </c>
      <c r="J45" s="166" t="s">
        <v>133</v>
      </c>
      <c r="K45" s="164" t="s">
        <v>136</v>
      </c>
      <c r="L45" s="167">
        <v>25899</v>
      </c>
      <c r="M45" s="168">
        <v>43356</v>
      </c>
      <c r="N45" s="169">
        <f>DATEDIF(L45, M45,"Y")</f>
        <v>47</v>
      </c>
      <c r="O45" s="162" t="s">
        <v>225</v>
      </c>
      <c r="P45" s="164" t="s">
        <v>138</v>
      </c>
      <c r="Q45" s="164">
        <v>2</v>
      </c>
      <c r="R45" s="170" t="s">
        <v>234</v>
      </c>
      <c r="S45" s="164"/>
      <c r="T45" s="164"/>
      <c r="U45" s="164"/>
      <c r="V45" s="164"/>
      <c r="W45" s="164"/>
      <c r="X45" s="164"/>
      <c r="Y45" s="164"/>
      <c r="Z45" s="164"/>
      <c r="AA45" s="164"/>
      <c r="AB45" s="164"/>
      <c r="AC45" s="164"/>
      <c r="AD45" s="164"/>
      <c r="AE45" s="164"/>
      <c r="AF45" s="164"/>
      <c r="AG45" s="164"/>
      <c r="AH45" s="164"/>
      <c r="AI45" s="164"/>
      <c r="AJ45" s="164"/>
      <c r="AK45" s="164"/>
      <c r="AL45" s="164"/>
      <c r="AM45" s="164"/>
      <c r="AN45" s="164"/>
      <c r="AO45" s="164"/>
      <c r="AP45" s="164"/>
      <c r="AQ45" s="164"/>
      <c r="AR45" s="164"/>
      <c r="AS45" s="164"/>
      <c r="AT45" s="164"/>
      <c r="AU45" s="164"/>
      <c r="AV45" s="164"/>
      <c r="AW45" s="164"/>
      <c r="AX45" s="164"/>
      <c r="AY45" s="164"/>
      <c r="AZ45" s="164"/>
      <c r="BA45" s="164"/>
      <c r="BB45" s="164"/>
      <c r="BC45" s="164"/>
      <c r="BD45" s="164"/>
      <c r="BE45" s="164"/>
      <c r="BF45" s="164"/>
      <c r="BG45" s="164"/>
      <c r="BH45" s="164"/>
      <c r="BI45" s="164"/>
      <c r="BJ45" s="164"/>
      <c r="BK45" s="164"/>
      <c r="BL45" s="164"/>
      <c r="BM45" s="164"/>
      <c r="BN45" s="164"/>
      <c r="BO45" s="164"/>
      <c r="BP45" s="164"/>
      <c r="BQ45" s="164"/>
      <c r="BR45" s="164"/>
      <c r="BS45" s="164"/>
      <c r="BT45" s="164"/>
      <c r="BU45" s="164"/>
      <c r="BV45" s="164"/>
      <c r="BW45" s="164"/>
      <c r="BX45" s="164"/>
      <c r="BY45" s="164"/>
      <c r="BZ45" s="164"/>
      <c r="CA45" s="164"/>
      <c r="CB45" s="164"/>
      <c r="CC45" s="164"/>
      <c r="CD45" s="164"/>
      <c r="CE45" s="164"/>
      <c r="CF45" s="164"/>
      <c r="CG45" s="164"/>
      <c r="CH45" s="164"/>
      <c r="CI45" s="164"/>
      <c r="CJ45" s="164"/>
      <c r="CK45" s="164"/>
      <c r="CL45" s="164"/>
      <c r="CM45" s="164"/>
      <c r="CN45" s="164"/>
      <c r="CO45" s="164"/>
      <c r="CP45" s="164"/>
      <c r="CQ45" s="164"/>
      <c r="CR45" s="164"/>
      <c r="CS45" s="164"/>
      <c r="CT45" s="164"/>
      <c r="CU45" s="164"/>
      <c r="CV45" s="164"/>
      <c r="CW45" s="164"/>
      <c r="CX45" s="164"/>
      <c r="CY45" s="164"/>
      <c r="CZ45" s="164"/>
      <c r="DA45" s="164"/>
      <c r="DB45" s="164"/>
      <c r="DC45" s="164"/>
      <c r="DD45" s="164"/>
      <c r="DE45" s="164"/>
      <c r="DF45" s="164"/>
      <c r="DG45" s="164"/>
      <c r="DH45" s="164"/>
      <c r="DI45" s="164"/>
      <c r="DJ45" s="164"/>
      <c r="DK45" s="164"/>
      <c r="DL45" s="164"/>
      <c r="DM45" s="164"/>
      <c r="DN45" s="164"/>
      <c r="DO45" s="164"/>
      <c r="DP45" s="164"/>
      <c r="DQ45" s="164"/>
      <c r="DR45" s="164"/>
      <c r="DS45" s="164"/>
      <c r="DT45" s="164"/>
      <c r="DU45" s="164"/>
      <c r="DV45" s="164"/>
      <c r="DW45" s="164"/>
      <c r="DX45" s="164"/>
      <c r="DY45" s="164"/>
      <c r="DZ45" s="164"/>
      <c r="EA45" s="164"/>
      <c r="EB45" s="164"/>
      <c r="EC45" s="164"/>
      <c r="ED45" s="164"/>
      <c r="EE45" s="164"/>
      <c r="EF45" s="164"/>
      <c r="EG45" s="164"/>
      <c r="EH45" s="164"/>
      <c r="EI45" s="164"/>
      <c r="EJ45" s="164"/>
      <c r="EK45" s="163"/>
      <c r="EL45" s="164"/>
      <c r="EM45" s="164"/>
      <c r="EN45" s="164"/>
      <c r="EO45" s="164"/>
      <c r="EP45" s="164"/>
      <c r="EQ45" s="164"/>
      <c r="ER45" s="164"/>
      <c r="ES45" s="164"/>
      <c r="ET45" s="164"/>
      <c r="EU45" s="164"/>
      <c r="EV45" s="163"/>
    </row>
    <row r="46" spans="1:152" ht="14.5" x14ac:dyDescent="0.35">
      <c r="A46" s="108">
        <v>6285093962</v>
      </c>
      <c r="B46" s="116" t="s">
        <v>130</v>
      </c>
      <c r="C46" s="116" t="s">
        <v>130</v>
      </c>
      <c r="D46" s="111" t="s">
        <v>138</v>
      </c>
      <c r="E46" s="111" t="s">
        <v>496</v>
      </c>
      <c r="F46" s="110" t="s">
        <v>497</v>
      </c>
      <c r="G46" s="112">
        <v>43412</v>
      </c>
      <c r="H46" s="110" t="s">
        <v>203</v>
      </c>
      <c r="I46" s="117" t="s">
        <v>135</v>
      </c>
      <c r="J46" s="117" t="s">
        <v>133</v>
      </c>
      <c r="K46" s="110" t="s">
        <v>136</v>
      </c>
      <c r="L46" s="113">
        <v>15828</v>
      </c>
      <c r="M46" s="119">
        <v>43362</v>
      </c>
      <c r="N46" s="115">
        <f t="shared" si="0"/>
        <v>75</v>
      </c>
      <c r="O46" s="116" t="s">
        <v>425</v>
      </c>
      <c r="P46" s="110" t="s">
        <v>138</v>
      </c>
      <c r="Q46" s="110">
        <v>3</v>
      </c>
      <c r="R46" s="120" t="s">
        <v>443</v>
      </c>
      <c r="S46" s="110"/>
      <c r="T46" s="110"/>
      <c r="U46" s="110"/>
      <c r="V46" s="110"/>
      <c r="W46" s="110"/>
      <c r="X46" s="110"/>
      <c r="Y46" s="110"/>
      <c r="Z46" s="110"/>
      <c r="AA46" s="110"/>
      <c r="AB46" s="110"/>
      <c r="AC46" s="110"/>
      <c r="AD46" s="110"/>
      <c r="AE46" s="110"/>
      <c r="AF46" s="110"/>
      <c r="AG46" s="110"/>
      <c r="AH46" s="110"/>
      <c r="AI46" s="110"/>
      <c r="AJ46" s="110"/>
      <c r="AK46" s="110"/>
      <c r="AL46" s="110"/>
      <c r="AM46" s="110"/>
      <c r="AN46" s="110"/>
      <c r="AO46" s="110"/>
      <c r="AP46" s="110"/>
      <c r="AQ46" s="110"/>
      <c r="AR46" s="110"/>
      <c r="AS46" s="110"/>
      <c r="AT46" s="110"/>
      <c r="AU46" s="110"/>
      <c r="AV46" s="110"/>
      <c r="AW46" s="110"/>
      <c r="AX46" s="110"/>
      <c r="AY46" s="110"/>
      <c r="AZ46" s="110"/>
      <c r="BA46" s="110"/>
      <c r="BB46" s="110"/>
      <c r="BC46" s="110"/>
      <c r="BD46" s="110"/>
      <c r="BE46" s="110"/>
      <c r="BF46" s="110"/>
      <c r="BG46" s="110"/>
      <c r="BH46" s="110"/>
      <c r="BI46" s="110"/>
      <c r="BJ46" s="110"/>
      <c r="BK46" s="110"/>
      <c r="BL46" s="110"/>
      <c r="BM46" s="110"/>
      <c r="BN46" s="110"/>
      <c r="BO46" s="110"/>
      <c r="BP46" s="110"/>
      <c r="BQ46" s="110"/>
      <c r="BR46" s="110"/>
      <c r="BS46" s="110"/>
      <c r="BT46" s="110"/>
      <c r="BU46" s="110"/>
      <c r="BV46" s="110"/>
      <c r="BW46" s="110"/>
      <c r="BX46" s="110"/>
      <c r="BY46" s="110"/>
      <c r="BZ46" s="110"/>
      <c r="CA46" s="110"/>
      <c r="CB46" s="110"/>
      <c r="CC46" s="110"/>
      <c r="CD46" s="110"/>
      <c r="CE46" s="110"/>
      <c r="CF46" s="110"/>
      <c r="CG46" s="110"/>
      <c r="CH46" s="110"/>
      <c r="CI46" s="110"/>
      <c r="CJ46" s="110"/>
      <c r="CK46" s="110"/>
      <c r="CL46" s="110"/>
      <c r="CM46" s="110"/>
      <c r="CN46" s="110"/>
      <c r="CO46" s="110"/>
      <c r="CP46" s="110"/>
      <c r="CQ46" s="110"/>
      <c r="CR46" s="110"/>
      <c r="CS46" s="110"/>
      <c r="CT46" s="110"/>
      <c r="CU46" s="110"/>
      <c r="CV46" s="110"/>
      <c r="CW46" s="110"/>
      <c r="CX46" s="110"/>
      <c r="CY46" s="110"/>
      <c r="CZ46" s="110"/>
      <c r="DA46" s="110"/>
      <c r="DB46" s="110"/>
      <c r="DC46" s="110"/>
      <c r="DD46" s="110"/>
      <c r="DE46" s="110"/>
      <c r="DF46" s="110"/>
      <c r="DG46" s="110"/>
      <c r="DH46" s="110"/>
      <c r="DI46" s="110"/>
      <c r="DJ46" s="110"/>
      <c r="DK46" s="110"/>
      <c r="DL46" s="110"/>
      <c r="DM46" s="110"/>
      <c r="DN46" s="110"/>
      <c r="DO46" s="110"/>
      <c r="DP46" s="110"/>
      <c r="DQ46" s="110"/>
      <c r="DR46" s="110"/>
      <c r="DS46" s="110"/>
      <c r="DT46" s="110"/>
      <c r="DU46" s="110"/>
      <c r="DV46" s="110"/>
      <c r="DW46" s="110"/>
      <c r="DX46" s="110"/>
      <c r="DY46" s="110"/>
      <c r="DZ46" s="110"/>
      <c r="EA46" s="110"/>
      <c r="EB46" s="110"/>
      <c r="EC46" s="110"/>
      <c r="ED46" s="110"/>
      <c r="EE46" s="110"/>
      <c r="EF46" s="110"/>
      <c r="EG46" s="110"/>
      <c r="EH46" s="110"/>
      <c r="EI46" s="110"/>
      <c r="EJ46" s="110"/>
      <c r="EK46" s="111"/>
      <c r="EL46" s="110"/>
      <c r="EM46" s="110"/>
      <c r="EN46" s="110"/>
      <c r="EO46" s="110"/>
      <c r="EP46" s="110"/>
      <c r="EQ46" s="110"/>
      <c r="ER46" s="110"/>
      <c r="ES46" s="110"/>
      <c r="ET46" s="110"/>
      <c r="EU46" s="110"/>
      <c r="EV46" s="111"/>
    </row>
    <row r="47" spans="1:152" ht="14.5" x14ac:dyDescent="0.35">
      <c r="A47" s="108">
        <v>4706064317</v>
      </c>
      <c r="B47" s="116" t="s">
        <v>130</v>
      </c>
      <c r="C47" s="116" t="s">
        <v>130</v>
      </c>
      <c r="D47" s="111" t="s">
        <v>138</v>
      </c>
      <c r="E47" s="111" t="s">
        <v>498</v>
      </c>
      <c r="F47" s="110" t="s">
        <v>499</v>
      </c>
      <c r="G47" s="112">
        <v>43423</v>
      </c>
      <c r="H47" s="110" t="s">
        <v>203</v>
      </c>
      <c r="I47" s="117" t="s">
        <v>135</v>
      </c>
      <c r="J47" s="117" t="s">
        <v>133</v>
      </c>
      <c r="K47" s="110" t="s">
        <v>136</v>
      </c>
      <c r="L47" s="113">
        <v>12699</v>
      </c>
      <c r="M47" s="119">
        <v>43388</v>
      </c>
      <c r="N47" s="115">
        <f t="shared" si="0"/>
        <v>84</v>
      </c>
      <c r="O47" s="116" t="s">
        <v>425</v>
      </c>
      <c r="P47" s="110" t="s">
        <v>138</v>
      </c>
      <c r="Q47" s="110">
        <v>3</v>
      </c>
      <c r="R47" s="120">
        <v>2</v>
      </c>
      <c r="S47" s="110"/>
      <c r="T47" s="110"/>
      <c r="U47" s="110"/>
      <c r="V47" s="110"/>
      <c r="W47" s="110"/>
      <c r="X47" s="110"/>
      <c r="Y47" s="110"/>
      <c r="Z47" s="110"/>
      <c r="AA47" s="110"/>
      <c r="AB47" s="110"/>
      <c r="AC47" s="110"/>
      <c r="AD47" s="110"/>
      <c r="AE47" s="110"/>
      <c r="AF47" s="110"/>
      <c r="AG47" s="110"/>
      <c r="AH47" s="110"/>
      <c r="AI47" s="110"/>
      <c r="AJ47" s="110"/>
      <c r="AK47" s="110"/>
      <c r="AL47" s="110"/>
      <c r="AM47" s="110"/>
      <c r="AN47" s="110"/>
      <c r="AO47" s="110"/>
      <c r="AP47" s="110"/>
      <c r="AQ47" s="110"/>
      <c r="AR47" s="110"/>
      <c r="AS47" s="110"/>
      <c r="AT47" s="110"/>
      <c r="AU47" s="110"/>
      <c r="AV47" s="110"/>
      <c r="AW47" s="110"/>
      <c r="AX47" s="110"/>
      <c r="AY47" s="110"/>
      <c r="AZ47" s="110"/>
      <c r="BA47" s="110"/>
      <c r="BB47" s="110"/>
      <c r="BC47" s="110"/>
      <c r="BD47" s="110"/>
      <c r="BE47" s="110"/>
      <c r="BF47" s="110"/>
      <c r="BG47" s="110"/>
      <c r="BH47" s="110"/>
      <c r="BI47" s="110"/>
      <c r="BJ47" s="110"/>
      <c r="BK47" s="110"/>
      <c r="BL47" s="110"/>
      <c r="BM47" s="110"/>
      <c r="BN47" s="110"/>
      <c r="BO47" s="110"/>
      <c r="BP47" s="110"/>
      <c r="BQ47" s="110"/>
      <c r="BR47" s="110"/>
      <c r="BS47" s="110"/>
      <c r="BT47" s="110"/>
      <c r="BU47" s="110"/>
      <c r="BV47" s="110"/>
      <c r="BW47" s="110"/>
      <c r="BX47" s="110"/>
      <c r="BY47" s="110"/>
      <c r="BZ47" s="110"/>
      <c r="CA47" s="110"/>
      <c r="CB47" s="110"/>
      <c r="CC47" s="110"/>
      <c r="CD47" s="110"/>
      <c r="CE47" s="110"/>
      <c r="CF47" s="110"/>
      <c r="CG47" s="110"/>
      <c r="CH47" s="110"/>
      <c r="CI47" s="110"/>
      <c r="CJ47" s="110"/>
      <c r="CK47" s="110"/>
      <c r="CL47" s="110"/>
      <c r="CM47" s="110"/>
      <c r="CN47" s="110"/>
      <c r="CO47" s="110"/>
      <c r="CP47" s="110"/>
      <c r="CQ47" s="110"/>
      <c r="CR47" s="110"/>
      <c r="CS47" s="110"/>
      <c r="CT47" s="110"/>
      <c r="CU47" s="110"/>
      <c r="CV47" s="110"/>
      <c r="CW47" s="110"/>
      <c r="CX47" s="110"/>
      <c r="CY47" s="110"/>
      <c r="CZ47" s="110"/>
      <c r="DA47" s="110"/>
      <c r="DB47" s="110"/>
      <c r="DC47" s="110"/>
      <c r="DD47" s="110"/>
      <c r="DE47" s="110"/>
      <c r="DF47" s="110"/>
      <c r="DG47" s="110"/>
      <c r="DH47" s="110"/>
      <c r="DI47" s="110"/>
      <c r="DJ47" s="110"/>
      <c r="DK47" s="110"/>
      <c r="DL47" s="110"/>
      <c r="DM47" s="110"/>
      <c r="DN47" s="110"/>
      <c r="DO47" s="110"/>
      <c r="DP47" s="110"/>
      <c r="DQ47" s="110"/>
      <c r="DR47" s="110"/>
      <c r="DS47" s="110"/>
      <c r="DT47" s="110"/>
      <c r="DU47" s="110"/>
      <c r="DV47" s="110"/>
      <c r="DW47" s="110"/>
      <c r="DX47" s="110"/>
      <c r="DY47" s="110"/>
      <c r="DZ47" s="110"/>
      <c r="EA47" s="110"/>
      <c r="EB47" s="110"/>
      <c r="EC47" s="110"/>
      <c r="ED47" s="110"/>
      <c r="EE47" s="110"/>
      <c r="EF47" s="110"/>
      <c r="EG47" s="110"/>
      <c r="EH47" s="110"/>
      <c r="EI47" s="110"/>
      <c r="EJ47" s="110"/>
      <c r="EK47" s="111"/>
      <c r="EL47" s="110"/>
      <c r="EM47" s="110"/>
      <c r="EN47" s="110"/>
      <c r="EO47" s="110"/>
      <c r="EP47" s="110"/>
      <c r="EQ47" s="110"/>
      <c r="ER47" s="110"/>
      <c r="ES47" s="110"/>
      <c r="ET47" s="110"/>
      <c r="EU47" s="110"/>
      <c r="EV47" s="111"/>
    </row>
    <row r="48" spans="1:152" ht="14.5" x14ac:dyDescent="0.35">
      <c r="A48" s="108">
        <v>4520871522</v>
      </c>
      <c r="B48" s="116" t="s">
        <v>130</v>
      </c>
      <c r="C48" s="116" t="s">
        <v>130</v>
      </c>
      <c r="D48" s="111" t="s">
        <v>138</v>
      </c>
      <c r="E48" s="111" t="s">
        <v>500</v>
      </c>
      <c r="F48" s="110" t="s">
        <v>501</v>
      </c>
      <c r="G48" s="112">
        <v>43437</v>
      </c>
      <c r="H48" s="110" t="s">
        <v>203</v>
      </c>
      <c r="I48" s="117" t="s">
        <v>135</v>
      </c>
      <c r="J48" s="117" t="s">
        <v>133</v>
      </c>
      <c r="K48" s="110" t="s">
        <v>136</v>
      </c>
      <c r="L48" s="113">
        <v>18676</v>
      </c>
      <c r="M48" s="119">
        <v>43392</v>
      </c>
      <c r="N48" s="115">
        <f t="shared" si="0"/>
        <v>67</v>
      </c>
      <c r="O48" s="116" t="s">
        <v>225</v>
      </c>
      <c r="P48" s="110" t="s">
        <v>138</v>
      </c>
      <c r="Q48" s="110">
        <v>1</v>
      </c>
      <c r="R48" s="120" t="s">
        <v>198</v>
      </c>
      <c r="S48" s="110"/>
      <c r="T48" s="110"/>
      <c r="U48" s="110"/>
      <c r="V48" s="110"/>
      <c r="W48" s="110"/>
      <c r="X48" s="110"/>
      <c r="Y48" s="110"/>
      <c r="Z48" s="110"/>
      <c r="AA48" s="110"/>
      <c r="AB48" s="110"/>
      <c r="AC48" s="110"/>
      <c r="AD48" s="110"/>
      <c r="AE48" s="110"/>
      <c r="AF48" s="110"/>
      <c r="AG48" s="110"/>
      <c r="AH48" s="110"/>
      <c r="AI48" s="110"/>
      <c r="AJ48" s="110"/>
      <c r="AK48" s="110"/>
      <c r="AL48" s="110"/>
      <c r="AM48" s="110"/>
      <c r="AN48" s="110"/>
      <c r="AO48" s="110"/>
      <c r="AP48" s="110"/>
      <c r="AQ48" s="110"/>
      <c r="AR48" s="110"/>
      <c r="AS48" s="110"/>
      <c r="AT48" s="110"/>
      <c r="AU48" s="110"/>
      <c r="AV48" s="110"/>
      <c r="AW48" s="110"/>
      <c r="AX48" s="110"/>
      <c r="AY48" s="110"/>
      <c r="AZ48" s="110"/>
      <c r="BA48" s="110"/>
      <c r="BB48" s="110"/>
      <c r="BC48" s="110"/>
      <c r="BD48" s="110"/>
      <c r="BE48" s="110"/>
      <c r="BF48" s="110"/>
      <c r="BG48" s="110"/>
      <c r="BH48" s="110"/>
      <c r="BI48" s="110"/>
      <c r="BJ48" s="110"/>
      <c r="BK48" s="110"/>
      <c r="BL48" s="110"/>
      <c r="BM48" s="110"/>
      <c r="BN48" s="110"/>
      <c r="BO48" s="110"/>
      <c r="BP48" s="110"/>
      <c r="BQ48" s="110"/>
      <c r="BR48" s="110"/>
      <c r="BS48" s="110"/>
      <c r="BT48" s="110"/>
      <c r="BU48" s="110"/>
      <c r="BV48" s="110"/>
      <c r="BW48" s="110"/>
      <c r="BX48" s="110"/>
      <c r="BY48" s="110"/>
      <c r="BZ48" s="110"/>
      <c r="CA48" s="110"/>
      <c r="CB48" s="110"/>
      <c r="CC48" s="110"/>
      <c r="CD48" s="110"/>
      <c r="CE48" s="110"/>
      <c r="CF48" s="110"/>
      <c r="CG48" s="110"/>
      <c r="CH48" s="110"/>
      <c r="CI48" s="110"/>
      <c r="CJ48" s="110"/>
      <c r="CK48" s="110"/>
      <c r="CL48" s="110"/>
      <c r="CM48" s="110"/>
      <c r="CN48" s="110"/>
      <c r="CO48" s="110"/>
      <c r="CP48" s="110"/>
      <c r="CQ48" s="110"/>
      <c r="CR48" s="110"/>
      <c r="CS48" s="110"/>
      <c r="CT48" s="110"/>
      <c r="CU48" s="110"/>
      <c r="CV48" s="110"/>
      <c r="CW48" s="110"/>
      <c r="CX48" s="110"/>
      <c r="CY48" s="110"/>
      <c r="CZ48" s="110"/>
      <c r="DA48" s="110"/>
      <c r="DB48" s="110"/>
      <c r="DC48" s="110"/>
      <c r="DD48" s="110"/>
      <c r="DE48" s="110"/>
      <c r="DF48" s="110"/>
      <c r="DG48" s="110"/>
      <c r="DH48" s="110"/>
      <c r="DI48" s="110"/>
      <c r="DJ48" s="110"/>
      <c r="DK48" s="110"/>
      <c r="DL48" s="110"/>
      <c r="DM48" s="110"/>
      <c r="DN48" s="110"/>
      <c r="DO48" s="110"/>
      <c r="DP48" s="110"/>
      <c r="DQ48" s="110"/>
      <c r="DR48" s="110"/>
      <c r="DS48" s="110"/>
      <c r="DT48" s="110"/>
      <c r="DU48" s="110"/>
      <c r="DV48" s="110"/>
      <c r="DW48" s="110"/>
      <c r="DX48" s="110"/>
      <c r="DY48" s="110"/>
      <c r="DZ48" s="110"/>
      <c r="EA48" s="110"/>
      <c r="EB48" s="110"/>
      <c r="EC48" s="110"/>
      <c r="ED48" s="110"/>
      <c r="EE48" s="110"/>
      <c r="EF48" s="110"/>
      <c r="EG48" s="110"/>
      <c r="EH48" s="110"/>
      <c r="EI48" s="110"/>
      <c r="EJ48" s="110"/>
      <c r="EK48" s="111"/>
      <c r="EL48" s="110"/>
      <c r="EM48" s="110"/>
      <c r="EN48" s="110"/>
      <c r="EO48" s="110"/>
      <c r="EP48" s="110"/>
      <c r="EQ48" s="110"/>
      <c r="ER48" s="110"/>
      <c r="ES48" s="110"/>
      <c r="ET48" s="110"/>
      <c r="EU48" s="110"/>
      <c r="EV48" s="111"/>
    </row>
    <row r="49" spans="1:152" ht="14.5" x14ac:dyDescent="0.35">
      <c r="A49" s="108">
        <v>4520069742</v>
      </c>
      <c r="B49" s="116" t="s">
        <v>130</v>
      </c>
      <c r="C49" s="116" t="s">
        <v>130</v>
      </c>
      <c r="D49" s="111" t="s">
        <v>138</v>
      </c>
      <c r="E49" s="111" t="s">
        <v>502</v>
      </c>
      <c r="F49" s="110" t="s">
        <v>503</v>
      </c>
      <c r="G49" s="112">
        <v>43444</v>
      </c>
      <c r="H49" s="110" t="s">
        <v>270</v>
      </c>
      <c r="I49" s="117" t="s">
        <v>135</v>
      </c>
      <c r="J49" s="117" t="s">
        <v>133</v>
      </c>
      <c r="K49" s="110" t="s">
        <v>136</v>
      </c>
      <c r="L49" s="113">
        <v>18430</v>
      </c>
      <c r="M49" s="119">
        <v>43424</v>
      </c>
      <c r="N49" s="115">
        <f t="shared" si="0"/>
        <v>68</v>
      </c>
      <c r="O49" s="116" t="s">
        <v>425</v>
      </c>
      <c r="P49" s="117" t="s">
        <v>130</v>
      </c>
      <c r="Q49" s="110">
        <v>3</v>
      </c>
      <c r="R49" s="120" t="s">
        <v>422</v>
      </c>
      <c r="S49" s="110"/>
      <c r="T49" s="110"/>
      <c r="U49" s="110"/>
      <c r="V49" s="110"/>
      <c r="W49" s="110"/>
      <c r="X49" s="110"/>
      <c r="Y49" s="110"/>
      <c r="Z49" s="110"/>
      <c r="AA49" s="110"/>
      <c r="AB49" s="110"/>
      <c r="AC49" s="110"/>
      <c r="AD49" s="110"/>
      <c r="AE49" s="110"/>
      <c r="AF49" s="110"/>
      <c r="AG49" s="110"/>
      <c r="AH49" s="110"/>
      <c r="AI49" s="110"/>
      <c r="AJ49" s="110"/>
      <c r="AK49" s="110"/>
      <c r="AL49" s="110"/>
      <c r="AM49" s="110"/>
      <c r="AN49" s="110"/>
      <c r="AO49" s="110"/>
      <c r="AP49" s="110"/>
      <c r="AQ49" s="110"/>
      <c r="AR49" s="110"/>
      <c r="AS49" s="110"/>
      <c r="AT49" s="110"/>
      <c r="AU49" s="110"/>
      <c r="AV49" s="110"/>
      <c r="AW49" s="110"/>
      <c r="AX49" s="110"/>
      <c r="AY49" s="110"/>
      <c r="AZ49" s="110"/>
      <c r="BA49" s="110"/>
      <c r="BB49" s="110"/>
      <c r="BC49" s="110"/>
      <c r="BD49" s="110"/>
      <c r="BE49" s="110"/>
      <c r="BF49" s="110"/>
      <c r="BG49" s="110"/>
      <c r="BH49" s="110"/>
      <c r="BI49" s="110"/>
      <c r="BJ49" s="110"/>
      <c r="BK49" s="110"/>
      <c r="BL49" s="110"/>
      <c r="BM49" s="110"/>
      <c r="BN49" s="110"/>
      <c r="BO49" s="110"/>
      <c r="BP49" s="110"/>
      <c r="BQ49" s="110"/>
      <c r="BR49" s="110"/>
      <c r="BS49" s="110"/>
      <c r="BT49" s="110"/>
      <c r="BU49" s="110"/>
      <c r="BV49" s="110"/>
      <c r="BW49" s="110"/>
      <c r="BX49" s="110"/>
      <c r="BY49" s="110"/>
      <c r="BZ49" s="110"/>
      <c r="CA49" s="110"/>
      <c r="CB49" s="110"/>
      <c r="CC49" s="110"/>
      <c r="CD49" s="110"/>
      <c r="CE49" s="110"/>
      <c r="CF49" s="110"/>
      <c r="CG49" s="110"/>
      <c r="CH49" s="110"/>
      <c r="CI49" s="110"/>
      <c r="CJ49" s="110"/>
      <c r="CK49" s="110"/>
      <c r="CL49" s="110"/>
      <c r="CM49" s="110"/>
      <c r="CN49" s="110"/>
      <c r="CO49" s="110"/>
      <c r="CP49" s="110"/>
      <c r="CQ49" s="110"/>
      <c r="CR49" s="110"/>
      <c r="CS49" s="110"/>
      <c r="CT49" s="110"/>
      <c r="CU49" s="110"/>
      <c r="CV49" s="110"/>
      <c r="CW49" s="110"/>
      <c r="CX49" s="110"/>
      <c r="CY49" s="110"/>
      <c r="CZ49" s="110"/>
      <c r="DA49" s="110"/>
      <c r="DB49" s="110"/>
      <c r="DC49" s="110"/>
      <c r="DD49" s="110"/>
      <c r="DE49" s="110"/>
      <c r="DF49" s="110"/>
      <c r="DG49" s="110"/>
      <c r="DH49" s="110"/>
      <c r="DI49" s="110"/>
      <c r="DJ49" s="110"/>
      <c r="DK49" s="110"/>
      <c r="DL49" s="110"/>
      <c r="DM49" s="110"/>
      <c r="DN49" s="110"/>
      <c r="DO49" s="110"/>
      <c r="DP49" s="110"/>
      <c r="DQ49" s="110"/>
      <c r="DR49" s="110"/>
      <c r="DS49" s="110"/>
      <c r="DT49" s="110"/>
      <c r="DU49" s="110"/>
      <c r="DV49" s="110"/>
      <c r="DW49" s="110"/>
      <c r="DX49" s="110"/>
      <c r="DY49" s="110"/>
      <c r="DZ49" s="110"/>
      <c r="EA49" s="110"/>
      <c r="EB49" s="110"/>
      <c r="EC49" s="110"/>
      <c r="ED49" s="110"/>
      <c r="EE49" s="110"/>
      <c r="EF49" s="110"/>
      <c r="EG49" s="110"/>
      <c r="EH49" s="110"/>
      <c r="EI49" s="110"/>
      <c r="EJ49" s="110"/>
      <c r="EK49" s="111"/>
      <c r="EL49" s="110"/>
      <c r="EM49" s="110"/>
      <c r="EN49" s="110"/>
      <c r="EO49" s="110"/>
      <c r="EP49" s="110"/>
      <c r="EQ49" s="110"/>
      <c r="ER49" s="110"/>
      <c r="ES49" s="110"/>
      <c r="ET49" s="110"/>
      <c r="EU49" s="110"/>
      <c r="EV49" s="111"/>
    </row>
    <row r="50" spans="1:152" ht="14.5" x14ac:dyDescent="0.35">
      <c r="A50" s="108">
        <v>6300250199</v>
      </c>
      <c r="B50" s="116" t="s">
        <v>130</v>
      </c>
      <c r="C50" s="116" t="s">
        <v>130</v>
      </c>
      <c r="D50" s="111" t="s">
        <v>138</v>
      </c>
      <c r="E50" s="111" t="s">
        <v>504</v>
      </c>
      <c r="F50" s="110" t="s">
        <v>505</v>
      </c>
      <c r="G50" s="112">
        <v>43447</v>
      </c>
      <c r="H50" s="110" t="s">
        <v>203</v>
      </c>
      <c r="I50" s="117" t="s">
        <v>135</v>
      </c>
      <c r="J50" s="117" t="s">
        <v>133</v>
      </c>
      <c r="K50" s="110" t="s">
        <v>136</v>
      </c>
      <c r="L50" s="113">
        <v>20189</v>
      </c>
      <c r="M50" s="119">
        <v>43410</v>
      </c>
      <c r="N50" s="115">
        <f t="shared" si="0"/>
        <v>63</v>
      </c>
      <c r="O50" s="116" t="s">
        <v>399</v>
      </c>
      <c r="P50" s="117" t="s">
        <v>138</v>
      </c>
      <c r="Q50" s="110">
        <v>1</v>
      </c>
      <c r="R50" s="120" t="s">
        <v>198</v>
      </c>
      <c r="S50" s="110"/>
      <c r="T50" s="110"/>
      <c r="U50" s="110"/>
      <c r="V50" s="110"/>
      <c r="W50" s="110"/>
      <c r="X50" s="110"/>
      <c r="Y50" s="110"/>
      <c r="Z50" s="110"/>
      <c r="AA50" s="110"/>
      <c r="AB50" s="110"/>
      <c r="AC50" s="110"/>
      <c r="AD50" s="110"/>
      <c r="AE50" s="110"/>
      <c r="AF50" s="110"/>
      <c r="AG50" s="110"/>
      <c r="AH50" s="110"/>
      <c r="AI50" s="110"/>
      <c r="AJ50" s="110"/>
      <c r="AK50" s="110"/>
      <c r="AL50" s="110"/>
      <c r="AM50" s="110"/>
      <c r="AN50" s="110"/>
      <c r="AO50" s="110"/>
      <c r="AP50" s="110"/>
      <c r="AQ50" s="110"/>
      <c r="AR50" s="110"/>
      <c r="AS50" s="110"/>
      <c r="AT50" s="110"/>
      <c r="AU50" s="110"/>
      <c r="AV50" s="110"/>
      <c r="AW50" s="110"/>
      <c r="AX50" s="110"/>
      <c r="AY50" s="110"/>
      <c r="AZ50" s="110"/>
      <c r="BA50" s="110"/>
      <c r="BB50" s="110"/>
      <c r="BC50" s="110"/>
      <c r="BD50" s="110"/>
      <c r="BE50" s="110"/>
      <c r="BF50" s="110"/>
      <c r="BG50" s="110"/>
      <c r="BH50" s="110"/>
      <c r="BI50" s="110"/>
      <c r="BJ50" s="110"/>
      <c r="BK50" s="110"/>
      <c r="BL50" s="110"/>
      <c r="BM50" s="110"/>
      <c r="BN50" s="110"/>
      <c r="BO50" s="110"/>
      <c r="BP50" s="110"/>
      <c r="BQ50" s="110"/>
      <c r="BR50" s="110"/>
      <c r="BS50" s="110"/>
      <c r="BT50" s="110"/>
      <c r="BU50" s="110"/>
      <c r="BV50" s="110"/>
      <c r="BW50" s="110"/>
      <c r="BX50" s="110"/>
      <c r="BY50" s="110"/>
      <c r="BZ50" s="110"/>
      <c r="CA50" s="110"/>
      <c r="CB50" s="110"/>
      <c r="CC50" s="110"/>
      <c r="CD50" s="110"/>
      <c r="CE50" s="110"/>
      <c r="CF50" s="110"/>
      <c r="CG50" s="110"/>
      <c r="CH50" s="110"/>
      <c r="CI50" s="110"/>
      <c r="CJ50" s="110"/>
      <c r="CK50" s="110"/>
      <c r="CL50" s="110"/>
      <c r="CM50" s="110"/>
      <c r="CN50" s="110"/>
      <c r="CO50" s="110"/>
      <c r="CP50" s="110"/>
      <c r="CQ50" s="110"/>
      <c r="CR50" s="110"/>
      <c r="CS50" s="110"/>
      <c r="CT50" s="110"/>
      <c r="CU50" s="110"/>
      <c r="CV50" s="110"/>
      <c r="CW50" s="110"/>
      <c r="CX50" s="110"/>
      <c r="CY50" s="110"/>
      <c r="CZ50" s="110"/>
      <c r="DA50" s="110"/>
      <c r="DB50" s="110"/>
      <c r="DC50" s="110"/>
      <c r="DD50" s="110"/>
      <c r="DE50" s="110"/>
      <c r="DF50" s="110"/>
      <c r="DG50" s="110"/>
      <c r="DH50" s="110"/>
      <c r="DI50" s="110"/>
      <c r="DJ50" s="110"/>
      <c r="DK50" s="110"/>
      <c r="DL50" s="110"/>
      <c r="DM50" s="110"/>
      <c r="DN50" s="110"/>
      <c r="DO50" s="110"/>
      <c r="DP50" s="110"/>
      <c r="DQ50" s="110"/>
      <c r="DR50" s="110"/>
      <c r="DS50" s="110"/>
      <c r="DT50" s="110"/>
      <c r="DU50" s="110"/>
      <c r="DV50" s="110"/>
      <c r="DW50" s="110"/>
      <c r="DX50" s="110"/>
      <c r="DY50" s="110"/>
      <c r="DZ50" s="110"/>
      <c r="EA50" s="110"/>
      <c r="EB50" s="110"/>
      <c r="EC50" s="110"/>
      <c r="ED50" s="110"/>
      <c r="EE50" s="110"/>
      <c r="EF50" s="110"/>
      <c r="EG50" s="110"/>
      <c r="EH50" s="110"/>
      <c r="EI50" s="110"/>
      <c r="EJ50" s="110"/>
      <c r="EK50" s="111"/>
      <c r="EL50" s="110"/>
      <c r="EM50" s="110"/>
      <c r="EN50" s="110"/>
      <c r="EO50" s="110"/>
      <c r="EP50" s="110"/>
      <c r="EQ50" s="110"/>
      <c r="ER50" s="110"/>
      <c r="ES50" s="110"/>
      <c r="ET50" s="110"/>
      <c r="EU50" s="110"/>
      <c r="EV50" s="111"/>
    </row>
    <row r="51" spans="1:152" s="132" customFormat="1" ht="14.5" x14ac:dyDescent="0.35">
      <c r="A51" s="122">
        <v>4125382204</v>
      </c>
      <c r="B51" s="123" t="s">
        <v>130</v>
      </c>
      <c r="C51" s="123" t="s">
        <v>130</v>
      </c>
      <c r="D51" s="111" t="s">
        <v>138</v>
      </c>
      <c r="E51" s="124" t="s">
        <v>506</v>
      </c>
      <c r="F51" s="125" t="s">
        <v>507</v>
      </c>
      <c r="G51" s="126">
        <v>43452</v>
      </c>
      <c r="H51" s="125" t="s">
        <v>203</v>
      </c>
      <c r="I51" s="127" t="s">
        <v>135</v>
      </c>
      <c r="J51" s="127" t="s">
        <v>133</v>
      </c>
      <c r="K51" s="125" t="s">
        <v>136</v>
      </c>
      <c r="L51" s="128">
        <v>24371</v>
      </c>
      <c r="M51" s="129">
        <v>43397</v>
      </c>
      <c r="N51" s="130">
        <f t="shared" si="0"/>
        <v>52</v>
      </c>
      <c r="O51" s="123" t="s">
        <v>508</v>
      </c>
      <c r="P51" s="125" t="s">
        <v>138</v>
      </c>
      <c r="Q51" s="125">
        <v>1</v>
      </c>
      <c r="R51" s="131">
        <v>2</v>
      </c>
      <c r="S51" s="125"/>
      <c r="T51" s="125"/>
      <c r="U51" s="125"/>
      <c r="V51" s="125"/>
      <c r="W51" s="125"/>
      <c r="X51" s="125"/>
      <c r="Y51" s="125"/>
      <c r="Z51" s="125"/>
      <c r="AA51" s="125"/>
      <c r="AB51" s="125"/>
      <c r="AC51" s="125"/>
      <c r="AD51" s="125"/>
      <c r="AE51" s="125"/>
      <c r="AF51" s="125"/>
      <c r="AG51" s="125"/>
      <c r="AH51" s="125"/>
      <c r="AI51" s="125"/>
      <c r="AJ51" s="125"/>
      <c r="AK51" s="125"/>
      <c r="AL51" s="125"/>
      <c r="AM51" s="125"/>
      <c r="AN51" s="125"/>
      <c r="AO51" s="125"/>
      <c r="AP51" s="125"/>
      <c r="AQ51" s="125"/>
      <c r="AR51" s="125"/>
      <c r="AS51" s="125"/>
      <c r="AT51" s="125"/>
      <c r="AU51" s="125"/>
      <c r="AV51" s="125"/>
      <c r="AW51" s="125"/>
      <c r="AX51" s="125"/>
      <c r="AY51" s="125"/>
      <c r="AZ51" s="125"/>
      <c r="BA51" s="125"/>
      <c r="BB51" s="125"/>
      <c r="BC51" s="125"/>
      <c r="BD51" s="125"/>
      <c r="BE51" s="125"/>
      <c r="BF51" s="125"/>
      <c r="BG51" s="125"/>
      <c r="BH51" s="125"/>
      <c r="BI51" s="125"/>
      <c r="BJ51" s="125"/>
      <c r="BK51" s="125"/>
      <c r="BL51" s="125"/>
      <c r="BM51" s="125"/>
      <c r="BN51" s="125"/>
      <c r="BO51" s="125"/>
      <c r="BP51" s="125"/>
      <c r="BQ51" s="125"/>
      <c r="BR51" s="125"/>
      <c r="BS51" s="125"/>
      <c r="BT51" s="125"/>
      <c r="BU51" s="125"/>
      <c r="BV51" s="125"/>
      <c r="BW51" s="125"/>
      <c r="BX51" s="125"/>
      <c r="BY51" s="125"/>
      <c r="BZ51" s="125"/>
      <c r="CA51" s="125"/>
      <c r="CB51" s="125"/>
      <c r="CC51" s="125"/>
      <c r="CD51" s="125"/>
      <c r="CE51" s="125"/>
      <c r="CF51" s="125"/>
      <c r="CG51" s="125"/>
      <c r="CH51" s="125"/>
      <c r="CI51" s="125"/>
      <c r="CJ51" s="125"/>
      <c r="CK51" s="125"/>
      <c r="CL51" s="125"/>
      <c r="CM51" s="125"/>
      <c r="CN51" s="125"/>
      <c r="CO51" s="125"/>
      <c r="CP51" s="125"/>
      <c r="CQ51" s="125"/>
      <c r="CR51" s="125"/>
      <c r="CS51" s="125"/>
      <c r="CT51" s="125"/>
      <c r="CU51" s="125"/>
      <c r="CV51" s="125"/>
      <c r="CW51" s="125"/>
      <c r="CX51" s="125"/>
      <c r="CY51" s="125"/>
      <c r="CZ51" s="125"/>
      <c r="DA51" s="125"/>
      <c r="DB51" s="125"/>
      <c r="DC51" s="125"/>
      <c r="DD51" s="125"/>
      <c r="DE51" s="125"/>
      <c r="DF51" s="125"/>
      <c r="DG51" s="125"/>
      <c r="DH51" s="125"/>
      <c r="DI51" s="125"/>
      <c r="DJ51" s="125"/>
      <c r="DK51" s="125"/>
      <c r="DL51" s="125"/>
      <c r="DM51" s="125"/>
      <c r="DN51" s="125"/>
      <c r="DO51" s="125"/>
      <c r="DP51" s="125"/>
      <c r="DQ51" s="125"/>
      <c r="DR51" s="125"/>
      <c r="DS51" s="125"/>
      <c r="DT51" s="125"/>
      <c r="DU51" s="125"/>
      <c r="DV51" s="125"/>
      <c r="DW51" s="125"/>
      <c r="DX51" s="125"/>
      <c r="DY51" s="125"/>
      <c r="DZ51" s="125"/>
      <c r="EA51" s="125"/>
      <c r="EB51" s="125"/>
      <c r="EC51" s="125"/>
      <c r="ED51" s="125"/>
      <c r="EE51" s="125"/>
      <c r="EF51" s="125"/>
      <c r="EG51" s="125"/>
      <c r="EH51" s="125"/>
      <c r="EI51" s="125"/>
      <c r="EJ51" s="125"/>
      <c r="EK51" s="124"/>
      <c r="EL51" s="125"/>
      <c r="EM51" s="125"/>
      <c r="EN51" s="125"/>
      <c r="EO51" s="125"/>
      <c r="EP51" s="125"/>
      <c r="EQ51" s="125"/>
      <c r="ER51" s="125"/>
      <c r="ES51" s="125"/>
      <c r="ET51" s="125"/>
      <c r="EU51" s="125"/>
      <c r="EV51" s="124"/>
    </row>
    <row r="52" spans="1:152" ht="14.5" x14ac:dyDescent="0.35">
      <c r="A52" s="133">
        <v>4581694450</v>
      </c>
      <c r="B52" s="116" t="s">
        <v>130</v>
      </c>
      <c r="C52" s="134" t="s">
        <v>130</v>
      </c>
      <c r="D52" s="111" t="s">
        <v>138</v>
      </c>
      <c r="E52" s="135" t="s">
        <v>509</v>
      </c>
      <c r="F52" s="136" t="s">
        <v>157</v>
      </c>
      <c r="G52" s="137">
        <v>43469</v>
      </c>
      <c r="H52" s="136" t="s">
        <v>203</v>
      </c>
      <c r="I52" s="138" t="s">
        <v>135</v>
      </c>
      <c r="J52" s="138" t="s">
        <v>133</v>
      </c>
      <c r="K52" s="136" t="s">
        <v>136</v>
      </c>
      <c r="L52" s="139">
        <v>19212</v>
      </c>
      <c r="M52" s="140">
        <v>43419</v>
      </c>
      <c r="N52" s="141">
        <f t="shared" si="0"/>
        <v>66</v>
      </c>
      <c r="O52" s="134" t="s">
        <v>399</v>
      </c>
      <c r="P52" s="136" t="s">
        <v>138</v>
      </c>
      <c r="Q52" s="136">
        <v>2</v>
      </c>
      <c r="R52" s="142" t="s">
        <v>148</v>
      </c>
      <c r="S52" s="136"/>
      <c r="T52" s="136"/>
      <c r="U52" s="136"/>
      <c r="V52" s="136"/>
      <c r="W52" s="136"/>
      <c r="X52" s="136"/>
      <c r="Y52" s="136"/>
      <c r="Z52" s="136"/>
      <c r="AA52" s="136"/>
      <c r="AB52" s="136"/>
      <c r="AC52" s="136"/>
      <c r="AD52" s="136"/>
      <c r="AE52" s="136"/>
      <c r="AF52" s="136"/>
      <c r="AG52" s="136"/>
      <c r="AH52" s="136"/>
      <c r="AI52" s="136"/>
      <c r="AJ52" s="136"/>
      <c r="AK52" s="136"/>
      <c r="AL52" s="136"/>
      <c r="AM52" s="136"/>
      <c r="AN52" s="136"/>
      <c r="AO52" s="136"/>
      <c r="AP52" s="136"/>
      <c r="AQ52" s="136"/>
      <c r="AR52" s="136"/>
      <c r="AS52" s="136"/>
      <c r="AT52" s="136"/>
      <c r="AU52" s="136"/>
      <c r="AV52" s="136"/>
      <c r="AW52" s="136"/>
      <c r="AX52" s="136"/>
      <c r="AY52" s="136"/>
      <c r="AZ52" s="136"/>
      <c r="BA52" s="136"/>
      <c r="BB52" s="136"/>
      <c r="BC52" s="136"/>
      <c r="BD52" s="136"/>
      <c r="BE52" s="136"/>
      <c r="BF52" s="136"/>
      <c r="BG52" s="136"/>
      <c r="BH52" s="136"/>
      <c r="BI52" s="136"/>
      <c r="BJ52" s="136"/>
      <c r="BK52" s="136"/>
      <c r="BL52" s="136"/>
      <c r="BM52" s="136"/>
      <c r="BN52" s="136"/>
      <c r="BO52" s="136"/>
      <c r="BP52" s="136"/>
      <c r="BQ52" s="136"/>
      <c r="BR52" s="136"/>
      <c r="BS52" s="136"/>
      <c r="BT52" s="136"/>
      <c r="BU52" s="136"/>
      <c r="BV52" s="136"/>
      <c r="BW52" s="136"/>
      <c r="BX52" s="136"/>
      <c r="BY52" s="136"/>
      <c r="BZ52" s="136"/>
      <c r="CA52" s="136"/>
      <c r="CB52" s="136"/>
      <c r="CC52" s="136"/>
      <c r="CD52" s="136"/>
      <c r="CE52" s="136"/>
      <c r="CF52" s="136"/>
      <c r="CG52" s="136"/>
      <c r="CH52" s="136"/>
      <c r="CI52" s="136"/>
      <c r="CJ52" s="136"/>
      <c r="CK52" s="136"/>
      <c r="CL52" s="136"/>
      <c r="CM52" s="136"/>
      <c r="CN52" s="136"/>
      <c r="CO52" s="136"/>
      <c r="CP52" s="136"/>
      <c r="CQ52" s="136"/>
      <c r="CR52" s="136"/>
      <c r="CS52" s="136"/>
      <c r="CT52" s="136"/>
      <c r="CU52" s="136"/>
      <c r="CV52" s="136"/>
      <c r="CW52" s="136"/>
      <c r="CX52" s="136"/>
      <c r="CY52" s="136"/>
      <c r="CZ52" s="136"/>
      <c r="DA52" s="136"/>
      <c r="DB52" s="136"/>
      <c r="DC52" s="136"/>
      <c r="DD52" s="136"/>
      <c r="DE52" s="136"/>
      <c r="DF52" s="136"/>
      <c r="DG52" s="136"/>
      <c r="DH52" s="136"/>
      <c r="DI52" s="136"/>
      <c r="DJ52" s="136"/>
      <c r="DK52" s="136"/>
      <c r="DL52" s="136"/>
      <c r="DM52" s="136"/>
      <c r="DN52" s="136"/>
      <c r="DO52" s="136"/>
      <c r="DP52" s="136"/>
      <c r="DQ52" s="136"/>
      <c r="DR52" s="136"/>
      <c r="DS52" s="136"/>
      <c r="DT52" s="136"/>
      <c r="DU52" s="136"/>
      <c r="DV52" s="136"/>
      <c r="DW52" s="136"/>
      <c r="DX52" s="136"/>
      <c r="DY52" s="136"/>
      <c r="DZ52" s="136"/>
      <c r="EA52" s="136"/>
      <c r="EB52" s="136"/>
      <c r="EC52" s="136"/>
      <c r="ED52" s="136"/>
      <c r="EE52" s="136"/>
      <c r="EF52" s="136"/>
      <c r="EG52" s="136"/>
      <c r="EH52" s="136"/>
      <c r="EI52" s="136"/>
      <c r="EJ52" s="136"/>
      <c r="EK52" s="135"/>
      <c r="EL52" s="136"/>
      <c r="EM52" s="136"/>
      <c r="EN52" s="136"/>
      <c r="EO52" s="136"/>
      <c r="EP52" s="136"/>
      <c r="EQ52" s="136"/>
      <c r="ER52" s="136"/>
      <c r="ES52" s="136"/>
      <c r="ET52" s="136"/>
      <c r="EU52" s="136"/>
      <c r="EV52" s="135"/>
    </row>
    <row r="53" spans="1:152" ht="14.5" x14ac:dyDescent="0.35">
      <c r="A53" s="108">
        <v>4122675995</v>
      </c>
      <c r="B53" s="158" t="s">
        <v>130</v>
      </c>
      <c r="C53" s="116" t="s">
        <v>130</v>
      </c>
      <c r="D53" s="111" t="s">
        <v>138</v>
      </c>
      <c r="E53" s="111" t="s">
        <v>510</v>
      </c>
      <c r="F53" s="110" t="s">
        <v>299</v>
      </c>
      <c r="G53" s="112">
        <v>43476</v>
      </c>
      <c r="H53" s="110" t="s">
        <v>203</v>
      </c>
      <c r="I53" s="117" t="s">
        <v>135</v>
      </c>
      <c r="J53" s="117" t="s">
        <v>133</v>
      </c>
      <c r="K53" s="110" t="s">
        <v>136</v>
      </c>
      <c r="L53" s="113">
        <v>16842</v>
      </c>
      <c r="M53" s="114">
        <v>43419</v>
      </c>
      <c r="N53" s="115">
        <f t="shared" si="0"/>
        <v>72</v>
      </c>
      <c r="O53" s="116" t="s">
        <v>399</v>
      </c>
      <c r="P53" s="110" t="s">
        <v>138</v>
      </c>
      <c r="Q53" s="110">
        <v>2</v>
      </c>
      <c r="R53" s="120" t="s">
        <v>148</v>
      </c>
      <c r="S53" s="110"/>
      <c r="T53" s="110"/>
      <c r="U53" s="110"/>
      <c r="V53" s="110"/>
      <c r="W53" s="110"/>
      <c r="X53" s="110"/>
      <c r="Y53" s="110"/>
      <c r="Z53" s="110"/>
      <c r="AA53" s="110"/>
      <c r="AB53" s="110"/>
      <c r="AC53" s="110"/>
      <c r="AD53" s="110"/>
      <c r="AE53" s="110"/>
      <c r="AF53" s="110"/>
      <c r="AG53" s="110"/>
      <c r="AH53" s="110"/>
      <c r="AI53" s="110"/>
      <c r="AJ53" s="110"/>
      <c r="AK53" s="110"/>
      <c r="AL53" s="110"/>
      <c r="AM53" s="110"/>
      <c r="AN53" s="110"/>
      <c r="AO53" s="110"/>
      <c r="AP53" s="110"/>
      <c r="AQ53" s="110"/>
      <c r="AR53" s="110"/>
      <c r="AS53" s="110"/>
      <c r="AT53" s="110"/>
      <c r="AU53" s="110"/>
      <c r="AV53" s="110"/>
      <c r="AW53" s="110"/>
      <c r="AX53" s="110"/>
      <c r="AY53" s="110"/>
      <c r="AZ53" s="110"/>
      <c r="BA53" s="110"/>
      <c r="BB53" s="110"/>
      <c r="BC53" s="110"/>
      <c r="BD53" s="110"/>
      <c r="BE53" s="110"/>
      <c r="BF53" s="110"/>
      <c r="BG53" s="110"/>
      <c r="BH53" s="110"/>
      <c r="BI53" s="110"/>
      <c r="BJ53" s="110"/>
      <c r="BK53" s="110"/>
      <c r="BL53" s="110"/>
      <c r="BM53" s="110"/>
      <c r="BN53" s="110"/>
      <c r="BO53" s="110"/>
      <c r="BP53" s="110"/>
      <c r="BQ53" s="110"/>
      <c r="BR53" s="110"/>
      <c r="BS53" s="110"/>
      <c r="BT53" s="110"/>
      <c r="BU53" s="110"/>
      <c r="BV53" s="110"/>
      <c r="BW53" s="110"/>
      <c r="BX53" s="110"/>
      <c r="BY53" s="110"/>
      <c r="BZ53" s="110"/>
      <c r="CA53" s="110"/>
      <c r="CB53" s="110"/>
      <c r="CC53" s="110"/>
      <c r="CD53" s="110"/>
      <c r="CE53" s="110"/>
      <c r="CF53" s="110"/>
      <c r="CG53" s="110"/>
      <c r="CH53" s="110"/>
      <c r="CI53" s="110"/>
      <c r="CJ53" s="110"/>
      <c r="CK53" s="110"/>
      <c r="CL53" s="110"/>
      <c r="CM53" s="110"/>
      <c r="CN53" s="110"/>
      <c r="CO53" s="110"/>
      <c r="CP53" s="110"/>
      <c r="CQ53" s="110"/>
      <c r="CR53" s="110"/>
      <c r="CS53" s="110"/>
      <c r="CT53" s="110"/>
      <c r="CU53" s="110"/>
      <c r="CV53" s="110"/>
      <c r="CW53" s="110"/>
      <c r="CX53" s="110"/>
      <c r="CY53" s="110"/>
      <c r="CZ53" s="110"/>
      <c r="DA53" s="110"/>
      <c r="DB53" s="110"/>
      <c r="DC53" s="110"/>
      <c r="DD53" s="110"/>
      <c r="DE53" s="110"/>
      <c r="DF53" s="110"/>
      <c r="DG53" s="110"/>
      <c r="DH53" s="110"/>
      <c r="DI53" s="110"/>
      <c r="DJ53" s="110"/>
      <c r="DK53" s="110"/>
      <c r="DL53" s="110"/>
      <c r="DM53" s="110"/>
      <c r="DN53" s="110"/>
      <c r="DO53" s="110"/>
      <c r="DP53" s="110"/>
      <c r="DQ53" s="110"/>
      <c r="DR53" s="110"/>
      <c r="DS53" s="110"/>
      <c r="DT53" s="110"/>
      <c r="DU53" s="110"/>
      <c r="DV53" s="110"/>
      <c r="DW53" s="110"/>
      <c r="DX53" s="110"/>
      <c r="DY53" s="110"/>
      <c r="DZ53" s="110"/>
      <c r="EA53" s="110"/>
      <c r="EB53" s="110"/>
      <c r="EC53" s="110"/>
      <c r="ED53" s="110"/>
      <c r="EE53" s="110"/>
      <c r="EF53" s="110"/>
      <c r="EG53" s="110"/>
      <c r="EH53" s="110"/>
      <c r="EI53" s="110"/>
      <c r="EJ53" s="110"/>
      <c r="EK53" s="111"/>
      <c r="EL53" s="110"/>
      <c r="EM53" s="110"/>
      <c r="EN53" s="110"/>
      <c r="EO53" s="110"/>
      <c r="EP53" s="110"/>
      <c r="EQ53" s="110"/>
      <c r="ER53" s="110"/>
      <c r="ES53" s="110"/>
      <c r="ET53" s="110"/>
      <c r="EU53" s="110"/>
      <c r="EV53" s="111"/>
    </row>
    <row r="54" spans="1:152" ht="14.5" x14ac:dyDescent="0.35">
      <c r="A54" s="108">
        <v>4343559440</v>
      </c>
      <c r="B54" s="116" t="s">
        <v>130</v>
      </c>
      <c r="C54" s="116" t="s">
        <v>130</v>
      </c>
      <c r="D54" s="111" t="s">
        <v>138</v>
      </c>
      <c r="E54" s="111" t="s">
        <v>511</v>
      </c>
      <c r="F54" s="110" t="s">
        <v>512</v>
      </c>
      <c r="G54" s="112">
        <v>43483</v>
      </c>
      <c r="H54" s="110" t="s">
        <v>203</v>
      </c>
      <c r="I54" s="117" t="s">
        <v>135</v>
      </c>
      <c r="J54" s="117" t="s">
        <v>133</v>
      </c>
      <c r="K54" s="110" t="s">
        <v>136</v>
      </c>
      <c r="L54" s="113">
        <v>13085</v>
      </c>
      <c r="M54" s="114">
        <v>43430</v>
      </c>
      <c r="N54" s="115">
        <f t="shared" si="0"/>
        <v>83</v>
      </c>
      <c r="O54" s="116" t="s">
        <v>513</v>
      </c>
      <c r="P54" s="110" t="s">
        <v>138</v>
      </c>
      <c r="Q54" s="110">
        <v>2</v>
      </c>
      <c r="R54" s="120" t="s">
        <v>198</v>
      </c>
      <c r="S54" s="110"/>
      <c r="T54" s="110"/>
      <c r="U54" s="110"/>
      <c r="V54" s="110"/>
      <c r="W54" s="110"/>
      <c r="X54" s="110"/>
      <c r="Y54" s="110"/>
      <c r="Z54" s="110"/>
      <c r="AA54" s="110"/>
      <c r="AB54" s="110"/>
      <c r="AC54" s="110"/>
      <c r="AD54" s="110"/>
      <c r="AE54" s="110"/>
      <c r="AF54" s="110"/>
      <c r="AG54" s="110"/>
      <c r="AH54" s="110"/>
      <c r="AI54" s="110"/>
      <c r="AJ54" s="110"/>
      <c r="AK54" s="110"/>
      <c r="AL54" s="110"/>
      <c r="AM54" s="110"/>
      <c r="AN54" s="110"/>
      <c r="AO54" s="110"/>
      <c r="AP54" s="110"/>
      <c r="AQ54" s="110"/>
      <c r="AR54" s="110"/>
      <c r="AS54" s="110"/>
      <c r="AT54" s="110"/>
      <c r="AU54" s="110"/>
      <c r="AV54" s="110"/>
      <c r="AW54" s="110"/>
      <c r="AX54" s="110"/>
      <c r="AY54" s="110"/>
      <c r="AZ54" s="110"/>
      <c r="BA54" s="110"/>
      <c r="BB54" s="110"/>
      <c r="BC54" s="110"/>
      <c r="BD54" s="110"/>
      <c r="BE54" s="110"/>
      <c r="BF54" s="110"/>
      <c r="BG54" s="110"/>
      <c r="BH54" s="110"/>
      <c r="BI54" s="110"/>
      <c r="BJ54" s="110"/>
      <c r="BK54" s="110"/>
      <c r="BL54" s="110"/>
      <c r="BM54" s="110"/>
      <c r="BN54" s="110"/>
      <c r="BO54" s="110"/>
      <c r="BP54" s="110"/>
      <c r="BQ54" s="110"/>
      <c r="BR54" s="110"/>
      <c r="BS54" s="110"/>
      <c r="BT54" s="110"/>
      <c r="BU54" s="110"/>
      <c r="BV54" s="110"/>
      <c r="BW54" s="110"/>
      <c r="BX54" s="110"/>
      <c r="BY54" s="110"/>
      <c r="BZ54" s="110"/>
      <c r="CA54" s="110"/>
      <c r="CB54" s="110"/>
      <c r="CC54" s="110"/>
      <c r="CD54" s="110"/>
      <c r="CE54" s="110"/>
      <c r="CF54" s="110"/>
      <c r="CG54" s="110"/>
      <c r="CH54" s="110"/>
      <c r="CI54" s="110"/>
      <c r="CJ54" s="110"/>
      <c r="CK54" s="110"/>
      <c r="CL54" s="110"/>
      <c r="CM54" s="110"/>
      <c r="CN54" s="110"/>
      <c r="CO54" s="110"/>
      <c r="CP54" s="110"/>
      <c r="CQ54" s="110"/>
      <c r="CR54" s="110"/>
      <c r="CS54" s="110"/>
      <c r="CT54" s="110"/>
      <c r="CU54" s="110"/>
      <c r="CV54" s="110"/>
      <c r="CW54" s="110"/>
      <c r="CX54" s="110"/>
      <c r="CY54" s="110"/>
      <c r="CZ54" s="110"/>
      <c r="DA54" s="110"/>
      <c r="DB54" s="110"/>
      <c r="DC54" s="110"/>
      <c r="DD54" s="110"/>
      <c r="DE54" s="110"/>
      <c r="DF54" s="110"/>
      <c r="DG54" s="110"/>
      <c r="DH54" s="110"/>
      <c r="DI54" s="110"/>
      <c r="DJ54" s="110"/>
      <c r="DK54" s="110"/>
      <c r="DL54" s="110"/>
      <c r="DM54" s="110"/>
      <c r="DN54" s="110"/>
      <c r="DO54" s="110"/>
      <c r="DP54" s="110"/>
      <c r="DQ54" s="110"/>
      <c r="DR54" s="110"/>
      <c r="DS54" s="110"/>
      <c r="DT54" s="110"/>
      <c r="DU54" s="110"/>
      <c r="DV54" s="110"/>
      <c r="DW54" s="110"/>
      <c r="DX54" s="110"/>
      <c r="DY54" s="110"/>
      <c r="DZ54" s="110"/>
      <c r="EA54" s="110"/>
      <c r="EB54" s="110"/>
      <c r="EC54" s="110"/>
      <c r="ED54" s="110"/>
      <c r="EE54" s="110"/>
      <c r="EF54" s="110"/>
      <c r="EG54" s="110"/>
      <c r="EH54" s="110"/>
      <c r="EI54" s="110"/>
      <c r="EJ54" s="110"/>
      <c r="EK54" s="111"/>
      <c r="EL54" s="110"/>
      <c r="EM54" s="110"/>
      <c r="EN54" s="110"/>
      <c r="EO54" s="110"/>
      <c r="EP54" s="110"/>
      <c r="EQ54" s="110"/>
      <c r="ER54" s="110"/>
      <c r="ES54" s="110"/>
      <c r="ET54" s="110"/>
      <c r="EU54" s="110"/>
      <c r="EV54" s="111"/>
    </row>
    <row r="55" spans="1:152" ht="14.5" x14ac:dyDescent="0.35">
      <c r="A55" s="108">
        <v>4508562973</v>
      </c>
      <c r="B55" s="143" t="s">
        <v>514</v>
      </c>
      <c r="C55" s="116" t="s">
        <v>130</v>
      </c>
      <c r="D55" s="111" t="s">
        <v>138</v>
      </c>
      <c r="E55" s="111" t="s">
        <v>515</v>
      </c>
      <c r="F55" s="110" t="s">
        <v>493</v>
      </c>
      <c r="G55" s="112">
        <v>43496</v>
      </c>
      <c r="H55" s="110" t="s">
        <v>270</v>
      </c>
      <c r="I55" s="117" t="s">
        <v>135</v>
      </c>
      <c r="J55" s="117" t="s">
        <v>133</v>
      </c>
      <c r="K55" s="110" t="s">
        <v>136</v>
      </c>
      <c r="L55" s="113">
        <v>17656</v>
      </c>
      <c r="M55" s="114">
        <v>43412</v>
      </c>
      <c r="N55" s="115">
        <f t="shared" si="0"/>
        <v>70</v>
      </c>
      <c r="O55" s="116" t="s">
        <v>399</v>
      </c>
      <c r="P55" s="110" t="s">
        <v>138</v>
      </c>
      <c r="Q55" s="110">
        <v>2</v>
      </c>
      <c r="R55" s="120" t="s">
        <v>148</v>
      </c>
      <c r="S55" s="110"/>
      <c r="T55" s="110"/>
      <c r="U55" s="110"/>
      <c r="V55" s="110"/>
      <c r="W55" s="110"/>
      <c r="X55" s="110"/>
      <c r="Y55" s="110"/>
      <c r="Z55" s="110"/>
      <c r="AA55" s="110"/>
      <c r="AB55" s="110"/>
      <c r="AC55" s="110"/>
      <c r="AD55" s="110"/>
      <c r="AE55" s="110"/>
      <c r="AF55" s="110"/>
      <c r="AG55" s="110"/>
      <c r="AH55" s="110"/>
      <c r="AI55" s="110"/>
      <c r="AJ55" s="110"/>
      <c r="AK55" s="110"/>
      <c r="AL55" s="110"/>
      <c r="AM55" s="110"/>
      <c r="AN55" s="110"/>
      <c r="AO55" s="110"/>
      <c r="AP55" s="110"/>
      <c r="AQ55" s="110"/>
      <c r="AR55" s="110"/>
      <c r="AS55" s="110"/>
      <c r="AT55" s="110"/>
      <c r="AU55" s="110"/>
      <c r="AV55" s="110"/>
      <c r="AW55" s="110"/>
      <c r="AX55" s="110"/>
      <c r="AY55" s="110"/>
      <c r="AZ55" s="110"/>
      <c r="BA55" s="110"/>
      <c r="BB55" s="110"/>
      <c r="BC55" s="110"/>
      <c r="BD55" s="110"/>
      <c r="BE55" s="110"/>
      <c r="BF55" s="110"/>
      <c r="BG55" s="110"/>
      <c r="BH55" s="110"/>
      <c r="BI55" s="110"/>
      <c r="BJ55" s="110"/>
      <c r="BK55" s="110"/>
      <c r="BL55" s="110"/>
      <c r="BM55" s="110"/>
      <c r="BN55" s="110"/>
      <c r="BO55" s="110"/>
      <c r="BP55" s="110"/>
      <c r="BQ55" s="110"/>
      <c r="BR55" s="110"/>
      <c r="BS55" s="110"/>
      <c r="BT55" s="110"/>
      <c r="BU55" s="110"/>
      <c r="BV55" s="110"/>
      <c r="BW55" s="110"/>
      <c r="BX55" s="110"/>
      <c r="BY55" s="110"/>
      <c r="BZ55" s="110"/>
      <c r="CA55" s="110"/>
      <c r="CB55" s="110"/>
      <c r="CC55" s="110"/>
      <c r="CD55" s="110"/>
      <c r="CE55" s="110"/>
      <c r="CF55" s="110"/>
      <c r="CG55" s="110"/>
      <c r="CH55" s="110"/>
      <c r="CI55" s="110"/>
      <c r="CJ55" s="110"/>
      <c r="CK55" s="110"/>
      <c r="CL55" s="110"/>
      <c r="CM55" s="110"/>
      <c r="CN55" s="110"/>
      <c r="CO55" s="110"/>
      <c r="CP55" s="110"/>
      <c r="CQ55" s="110"/>
      <c r="CR55" s="110"/>
      <c r="CS55" s="110"/>
      <c r="CT55" s="110"/>
      <c r="CU55" s="110"/>
      <c r="CV55" s="110"/>
      <c r="CW55" s="110"/>
      <c r="CX55" s="110"/>
      <c r="CY55" s="110"/>
      <c r="CZ55" s="110"/>
      <c r="DA55" s="110"/>
      <c r="DB55" s="110"/>
      <c r="DC55" s="110"/>
      <c r="DD55" s="110"/>
      <c r="DE55" s="110"/>
      <c r="DF55" s="110"/>
      <c r="DG55" s="110"/>
      <c r="DH55" s="110"/>
      <c r="DI55" s="110"/>
      <c r="DJ55" s="110"/>
      <c r="DK55" s="110"/>
      <c r="DL55" s="110"/>
      <c r="DM55" s="110"/>
      <c r="DN55" s="110"/>
      <c r="DO55" s="110"/>
      <c r="DP55" s="110"/>
      <c r="DQ55" s="110"/>
      <c r="DR55" s="110"/>
      <c r="DS55" s="110"/>
      <c r="DT55" s="110"/>
      <c r="DU55" s="110"/>
      <c r="DV55" s="110"/>
      <c r="DW55" s="110"/>
      <c r="DX55" s="110"/>
      <c r="DY55" s="110"/>
      <c r="DZ55" s="110"/>
      <c r="EA55" s="110"/>
      <c r="EB55" s="110"/>
      <c r="EC55" s="110"/>
      <c r="ED55" s="110"/>
      <c r="EE55" s="110"/>
      <c r="EF55" s="110"/>
      <c r="EG55" s="110"/>
      <c r="EH55" s="110"/>
      <c r="EI55" s="110"/>
      <c r="EJ55" s="110"/>
      <c r="EK55" s="111"/>
      <c r="EL55" s="110"/>
      <c r="EM55" s="110"/>
      <c r="EN55" s="110"/>
      <c r="EO55" s="110"/>
      <c r="EP55" s="110"/>
      <c r="EQ55" s="110"/>
      <c r="ER55" s="110"/>
      <c r="ES55" s="110"/>
      <c r="ET55" s="110"/>
      <c r="EU55" s="110"/>
      <c r="EV55" s="111"/>
    </row>
    <row r="56" spans="1:152" ht="14.5" x14ac:dyDescent="0.35">
      <c r="A56" s="108">
        <v>4528612941</v>
      </c>
      <c r="B56" s="116" t="s">
        <v>130</v>
      </c>
      <c r="C56" s="116" t="s">
        <v>130</v>
      </c>
      <c r="D56" s="111" t="s">
        <v>138</v>
      </c>
      <c r="E56" s="111" t="s">
        <v>516</v>
      </c>
      <c r="F56" s="110" t="s">
        <v>260</v>
      </c>
      <c r="G56" s="112">
        <v>43496</v>
      </c>
      <c r="H56" s="110" t="s">
        <v>203</v>
      </c>
      <c r="I56" s="117" t="s">
        <v>135</v>
      </c>
      <c r="J56" s="117" t="s">
        <v>133</v>
      </c>
      <c r="K56" s="110" t="s">
        <v>136</v>
      </c>
      <c r="L56" s="113">
        <v>18023</v>
      </c>
      <c r="M56" s="114">
        <v>43453</v>
      </c>
      <c r="N56" s="115">
        <f t="shared" si="0"/>
        <v>69</v>
      </c>
      <c r="O56" s="116" t="s">
        <v>517</v>
      </c>
      <c r="P56" s="110" t="s">
        <v>138</v>
      </c>
      <c r="Q56" s="110">
        <v>3</v>
      </c>
      <c r="R56" s="120" t="s">
        <v>198</v>
      </c>
      <c r="S56" s="110"/>
      <c r="T56" s="110"/>
      <c r="U56" s="110"/>
      <c r="V56" s="110"/>
      <c r="W56" s="110"/>
      <c r="X56" s="110"/>
      <c r="Y56" s="110"/>
      <c r="Z56" s="110"/>
      <c r="AA56" s="110"/>
      <c r="AB56" s="110"/>
      <c r="AC56" s="110"/>
      <c r="AD56" s="110"/>
      <c r="AE56" s="110"/>
      <c r="AF56" s="110"/>
      <c r="AG56" s="110"/>
      <c r="AH56" s="110"/>
      <c r="AI56" s="110"/>
      <c r="AJ56" s="110"/>
      <c r="AK56" s="110"/>
      <c r="AL56" s="110"/>
      <c r="AM56" s="110"/>
      <c r="AN56" s="110"/>
      <c r="AO56" s="110"/>
      <c r="AP56" s="110"/>
      <c r="AQ56" s="110"/>
      <c r="AR56" s="110"/>
      <c r="AS56" s="110"/>
      <c r="AT56" s="110"/>
      <c r="AU56" s="110"/>
      <c r="AV56" s="110"/>
      <c r="AW56" s="110"/>
      <c r="AX56" s="110"/>
      <c r="AY56" s="110"/>
      <c r="AZ56" s="110"/>
      <c r="BA56" s="110"/>
      <c r="BB56" s="110"/>
      <c r="BC56" s="110"/>
      <c r="BD56" s="110"/>
      <c r="BE56" s="110"/>
      <c r="BF56" s="110"/>
      <c r="BG56" s="110"/>
      <c r="BH56" s="110"/>
      <c r="BI56" s="110"/>
      <c r="BJ56" s="110"/>
      <c r="BK56" s="110"/>
      <c r="BL56" s="110"/>
      <c r="BM56" s="110"/>
      <c r="BN56" s="110"/>
      <c r="BO56" s="110"/>
      <c r="BP56" s="110"/>
      <c r="BQ56" s="110"/>
      <c r="BR56" s="110"/>
      <c r="BS56" s="110"/>
      <c r="BT56" s="110"/>
      <c r="BU56" s="110"/>
      <c r="BV56" s="110"/>
      <c r="BW56" s="110"/>
      <c r="BX56" s="110"/>
      <c r="BY56" s="110"/>
      <c r="BZ56" s="110"/>
      <c r="CA56" s="110"/>
      <c r="CB56" s="110"/>
      <c r="CC56" s="110"/>
      <c r="CD56" s="110"/>
      <c r="CE56" s="110"/>
      <c r="CF56" s="110"/>
      <c r="CG56" s="110"/>
      <c r="CH56" s="110"/>
      <c r="CI56" s="110"/>
      <c r="CJ56" s="110"/>
      <c r="CK56" s="110"/>
      <c r="CL56" s="110"/>
      <c r="CM56" s="110"/>
      <c r="CN56" s="110"/>
      <c r="CO56" s="110"/>
      <c r="CP56" s="110"/>
      <c r="CQ56" s="110"/>
      <c r="CR56" s="110"/>
      <c r="CS56" s="110"/>
      <c r="CT56" s="110"/>
      <c r="CU56" s="110"/>
      <c r="CV56" s="110"/>
      <c r="CW56" s="110"/>
      <c r="CX56" s="110"/>
      <c r="CY56" s="110"/>
      <c r="CZ56" s="110"/>
      <c r="DA56" s="110"/>
      <c r="DB56" s="110"/>
      <c r="DC56" s="110"/>
      <c r="DD56" s="110"/>
      <c r="DE56" s="110"/>
      <c r="DF56" s="110"/>
      <c r="DG56" s="110"/>
      <c r="DH56" s="110"/>
      <c r="DI56" s="110"/>
      <c r="DJ56" s="110"/>
      <c r="DK56" s="110"/>
      <c r="DL56" s="110"/>
      <c r="DM56" s="110"/>
      <c r="DN56" s="110"/>
      <c r="DO56" s="110"/>
      <c r="DP56" s="110"/>
      <c r="DQ56" s="110"/>
      <c r="DR56" s="110"/>
      <c r="DS56" s="110"/>
      <c r="DT56" s="110"/>
      <c r="DU56" s="110"/>
      <c r="DV56" s="110"/>
      <c r="DW56" s="110"/>
      <c r="DX56" s="110"/>
      <c r="DY56" s="110"/>
      <c r="DZ56" s="110"/>
      <c r="EA56" s="110"/>
      <c r="EB56" s="110"/>
      <c r="EC56" s="110"/>
      <c r="ED56" s="110"/>
      <c r="EE56" s="110"/>
      <c r="EF56" s="110"/>
      <c r="EG56" s="110"/>
      <c r="EH56" s="110"/>
      <c r="EI56" s="110"/>
      <c r="EJ56" s="110"/>
      <c r="EK56" s="111"/>
      <c r="EL56" s="110"/>
      <c r="EM56" s="110"/>
      <c r="EN56" s="110"/>
      <c r="EO56" s="110"/>
      <c r="EP56" s="110"/>
      <c r="EQ56" s="110"/>
      <c r="ER56" s="110"/>
      <c r="ES56" s="110"/>
      <c r="ET56" s="110"/>
      <c r="EU56" s="110"/>
      <c r="EV56" s="111"/>
    </row>
    <row r="57" spans="1:152" ht="14.5" x14ac:dyDescent="0.35">
      <c r="A57" s="108">
        <v>4520819644</v>
      </c>
      <c r="B57" s="116" t="s">
        <v>130</v>
      </c>
      <c r="C57" s="116" t="s">
        <v>130</v>
      </c>
      <c r="D57" s="111" t="s">
        <v>138</v>
      </c>
      <c r="E57" s="111" t="s">
        <v>518</v>
      </c>
      <c r="F57" s="110" t="s">
        <v>519</v>
      </c>
      <c r="G57" s="112">
        <v>43503</v>
      </c>
      <c r="H57" s="110" t="s">
        <v>270</v>
      </c>
      <c r="I57" s="117" t="s">
        <v>135</v>
      </c>
      <c r="J57" s="117" t="s">
        <v>133</v>
      </c>
      <c r="K57" s="110" t="s">
        <v>136</v>
      </c>
      <c r="L57" s="113">
        <v>18605</v>
      </c>
      <c r="M57" s="114">
        <v>43480</v>
      </c>
      <c r="N57" s="115">
        <f t="shared" si="0"/>
        <v>68</v>
      </c>
      <c r="O57" s="116" t="s">
        <v>520</v>
      </c>
      <c r="P57" s="110" t="s">
        <v>138</v>
      </c>
      <c r="Q57" s="110">
        <v>3</v>
      </c>
      <c r="R57" s="120" t="s">
        <v>422</v>
      </c>
      <c r="S57" s="110"/>
      <c r="T57" s="110"/>
      <c r="U57" s="110"/>
      <c r="V57" s="110"/>
      <c r="W57" s="110"/>
      <c r="X57" s="110"/>
      <c r="Y57" s="110"/>
      <c r="Z57" s="110"/>
      <c r="AA57" s="110"/>
      <c r="AB57" s="110"/>
      <c r="AC57" s="110"/>
      <c r="AD57" s="110"/>
      <c r="AE57" s="110"/>
      <c r="AF57" s="110"/>
      <c r="AG57" s="110"/>
      <c r="AH57" s="110"/>
      <c r="AI57" s="110"/>
      <c r="AJ57" s="110"/>
      <c r="AK57" s="110"/>
      <c r="AL57" s="110"/>
      <c r="AM57" s="110"/>
      <c r="AN57" s="110"/>
      <c r="AO57" s="110"/>
      <c r="AP57" s="110"/>
      <c r="AQ57" s="110"/>
      <c r="AR57" s="110"/>
      <c r="AS57" s="110"/>
      <c r="AT57" s="110"/>
      <c r="AU57" s="110"/>
      <c r="AV57" s="110"/>
      <c r="AW57" s="110"/>
      <c r="AX57" s="110"/>
      <c r="AY57" s="110"/>
      <c r="AZ57" s="110"/>
      <c r="BA57" s="110"/>
      <c r="BB57" s="110"/>
      <c r="BC57" s="110"/>
      <c r="BD57" s="110"/>
      <c r="BE57" s="110"/>
      <c r="BF57" s="110"/>
      <c r="BG57" s="110"/>
      <c r="BH57" s="110"/>
      <c r="BI57" s="110"/>
      <c r="BJ57" s="110"/>
      <c r="BK57" s="110"/>
      <c r="BL57" s="110"/>
      <c r="BM57" s="110"/>
      <c r="BN57" s="110"/>
      <c r="BO57" s="110"/>
      <c r="BP57" s="110"/>
      <c r="BQ57" s="110"/>
      <c r="BR57" s="110"/>
      <c r="BS57" s="110"/>
      <c r="BT57" s="110"/>
      <c r="BU57" s="110"/>
      <c r="BV57" s="110"/>
      <c r="BW57" s="110"/>
      <c r="BX57" s="110"/>
      <c r="BY57" s="110"/>
      <c r="BZ57" s="110"/>
      <c r="CA57" s="110"/>
      <c r="CB57" s="110"/>
      <c r="CC57" s="110"/>
      <c r="CD57" s="110"/>
      <c r="CE57" s="110"/>
      <c r="CF57" s="110"/>
      <c r="CG57" s="110"/>
      <c r="CH57" s="110"/>
      <c r="CI57" s="110"/>
      <c r="CJ57" s="110"/>
      <c r="CK57" s="110"/>
      <c r="CL57" s="110"/>
      <c r="CM57" s="110"/>
      <c r="CN57" s="110"/>
      <c r="CO57" s="110"/>
      <c r="CP57" s="110"/>
      <c r="CQ57" s="110"/>
      <c r="CR57" s="110"/>
      <c r="CS57" s="110"/>
      <c r="CT57" s="110"/>
      <c r="CU57" s="110"/>
      <c r="CV57" s="110"/>
      <c r="CW57" s="110"/>
      <c r="CX57" s="110"/>
      <c r="CY57" s="110"/>
      <c r="CZ57" s="110"/>
      <c r="DA57" s="110"/>
      <c r="DB57" s="110"/>
      <c r="DC57" s="110"/>
      <c r="DD57" s="110"/>
      <c r="DE57" s="110"/>
      <c r="DF57" s="110"/>
      <c r="DG57" s="110"/>
      <c r="DH57" s="110"/>
      <c r="DI57" s="110"/>
      <c r="DJ57" s="110"/>
      <c r="DK57" s="110"/>
      <c r="DL57" s="110"/>
      <c r="DM57" s="110"/>
      <c r="DN57" s="110"/>
      <c r="DO57" s="110"/>
      <c r="DP57" s="110"/>
      <c r="DQ57" s="110"/>
      <c r="DR57" s="110"/>
      <c r="DS57" s="110"/>
      <c r="DT57" s="110"/>
      <c r="DU57" s="110"/>
      <c r="DV57" s="110"/>
      <c r="DW57" s="110"/>
      <c r="DX57" s="110"/>
      <c r="DY57" s="110"/>
      <c r="DZ57" s="110"/>
      <c r="EA57" s="110"/>
      <c r="EB57" s="110"/>
      <c r="EC57" s="110"/>
      <c r="ED57" s="110"/>
      <c r="EE57" s="110"/>
      <c r="EF57" s="110"/>
      <c r="EG57" s="110"/>
      <c r="EH57" s="110"/>
      <c r="EI57" s="110"/>
      <c r="EJ57" s="110"/>
      <c r="EK57" s="111"/>
      <c r="EL57" s="110"/>
      <c r="EM57" s="110"/>
      <c r="EN57" s="110"/>
      <c r="EO57" s="110"/>
      <c r="EP57" s="110"/>
      <c r="EQ57" s="110"/>
      <c r="ER57" s="110"/>
      <c r="ES57" s="110"/>
      <c r="ET57" s="110"/>
      <c r="EU57" s="110"/>
      <c r="EV57" s="111"/>
    </row>
    <row r="58" spans="1:152" ht="14.5" x14ac:dyDescent="0.35">
      <c r="A58" s="108">
        <v>4121387287</v>
      </c>
      <c r="B58" s="116" t="s">
        <v>130</v>
      </c>
      <c r="C58" s="116" t="s">
        <v>130</v>
      </c>
      <c r="D58" s="111" t="s">
        <v>138</v>
      </c>
      <c r="E58" s="111" t="s">
        <v>521</v>
      </c>
      <c r="F58" s="110" t="s">
        <v>522</v>
      </c>
      <c r="G58" s="112">
        <v>43517</v>
      </c>
      <c r="H58" s="110" t="s">
        <v>270</v>
      </c>
      <c r="I58" s="117" t="s">
        <v>135</v>
      </c>
      <c r="J58" s="117" t="s">
        <v>133</v>
      </c>
      <c r="K58" s="110" t="s">
        <v>136</v>
      </c>
      <c r="L58" s="113">
        <v>17194</v>
      </c>
      <c r="M58" s="114">
        <v>43458</v>
      </c>
      <c r="N58" s="115">
        <f t="shared" si="0"/>
        <v>71</v>
      </c>
      <c r="O58" s="116" t="s">
        <v>225</v>
      </c>
      <c r="P58" s="155" t="s">
        <v>138</v>
      </c>
      <c r="Q58" s="110">
        <v>1</v>
      </c>
      <c r="R58" s="120" t="s">
        <v>148</v>
      </c>
      <c r="S58" s="110"/>
      <c r="T58" s="110"/>
      <c r="U58" s="110"/>
      <c r="V58" s="110"/>
      <c r="W58" s="110"/>
      <c r="X58" s="110"/>
      <c r="Y58" s="110"/>
      <c r="Z58" s="110"/>
      <c r="AA58" s="110"/>
      <c r="AB58" s="110"/>
      <c r="AC58" s="110"/>
      <c r="AD58" s="110"/>
      <c r="AE58" s="110"/>
      <c r="AF58" s="110"/>
      <c r="AG58" s="110"/>
      <c r="AH58" s="110"/>
      <c r="AI58" s="110"/>
      <c r="AJ58" s="110"/>
      <c r="AK58" s="110"/>
      <c r="AL58" s="110"/>
      <c r="AM58" s="110"/>
      <c r="AN58" s="110"/>
      <c r="AO58" s="110"/>
      <c r="AP58" s="110"/>
      <c r="AQ58" s="110"/>
      <c r="AR58" s="110"/>
      <c r="AS58" s="110"/>
      <c r="AT58" s="110"/>
      <c r="AU58" s="110"/>
      <c r="AV58" s="110"/>
      <c r="AW58" s="110"/>
      <c r="AX58" s="110"/>
      <c r="AY58" s="110"/>
      <c r="AZ58" s="110"/>
      <c r="BA58" s="110"/>
      <c r="BB58" s="110"/>
      <c r="BC58" s="110"/>
      <c r="BD58" s="110"/>
      <c r="BE58" s="110"/>
      <c r="BF58" s="110"/>
      <c r="BG58" s="110"/>
      <c r="BH58" s="110"/>
      <c r="BI58" s="110"/>
      <c r="BJ58" s="110"/>
      <c r="BK58" s="110"/>
      <c r="BL58" s="110"/>
      <c r="BM58" s="110"/>
      <c r="BN58" s="110"/>
      <c r="BO58" s="110"/>
      <c r="BP58" s="110"/>
      <c r="BQ58" s="110"/>
      <c r="BR58" s="110"/>
      <c r="BS58" s="110"/>
      <c r="BT58" s="110"/>
      <c r="BU58" s="110"/>
      <c r="BV58" s="110"/>
      <c r="BW58" s="110"/>
      <c r="BX58" s="110"/>
      <c r="BY58" s="110"/>
      <c r="BZ58" s="110"/>
      <c r="CA58" s="110"/>
      <c r="CB58" s="110"/>
      <c r="CC58" s="110"/>
      <c r="CD58" s="110"/>
      <c r="CE58" s="110"/>
      <c r="CF58" s="110"/>
      <c r="CG58" s="110"/>
      <c r="CH58" s="110"/>
      <c r="CI58" s="110"/>
      <c r="CJ58" s="110"/>
      <c r="CK58" s="110"/>
      <c r="CL58" s="110"/>
      <c r="CM58" s="110"/>
      <c r="CN58" s="110"/>
      <c r="CO58" s="110"/>
      <c r="CP58" s="110"/>
      <c r="CQ58" s="110"/>
      <c r="CR58" s="110"/>
      <c r="CS58" s="110"/>
      <c r="CT58" s="110"/>
      <c r="CU58" s="110"/>
      <c r="CV58" s="110"/>
      <c r="CW58" s="110"/>
      <c r="CX58" s="110"/>
      <c r="CY58" s="110"/>
      <c r="CZ58" s="110"/>
      <c r="DA58" s="110"/>
      <c r="DB58" s="110"/>
      <c r="DC58" s="110"/>
      <c r="DD58" s="110"/>
      <c r="DE58" s="110"/>
      <c r="DF58" s="110"/>
      <c r="DG58" s="110"/>
      <c r="DH58" s="110"/>
      <c r="DI58" s="110"/>
      <c r="DJ58" s="110"/>
      <c r="DK58" s="110"/>
      <c r="DL58" s="110"/>
      <c r="DM58" s="110"/>
      <c r="DN58" s="110"/>
      <c r="DO58" s="110"/>
      <c r="DP58" s="110"/>
      <c r="DQ58" s="110"/>
      <c r="DR58" s="110"/>
      <c r="DS58" s="110"/>
      <c r="DT58" s="110"/>
      <c r="DU58" s="110"/>
      <c r="DV58" s="110"/>
      <c r="DW58" s="110"/>
      <c r="DX58" s="110"/>
      <c r="DY58" s="110"/>
      <c r="DZ58" s="110"/>
      <c r="EA58" s="110"/>
      <c r="EB58" s="110"/>
      <c r="EC58" s="110"/>
      <c r="ED58" s="110"/>
      <c r="EE58" s="110"/>
      <c r="EF58" s="110"/>
      <c r="EG58" s="110"/>
      <c r="EH58" s="110"/>
      <c r="EI58" s="110"/>
      <c r="EJ58" s="110"/>
      <c r="EK58" s="111"/>
      <c r="EL58" s="110"/>
      <c r="EM58" s="110"/>
      <c r="EN58" s="110"/>
      <c r="EO58" s="110"/>
      <c r="EP58" s="110"/>
      <c r="EQ58" s="110"/>
      <c r="ER58" s="110"/>
      <c r="ES58" s="110"/>
      <c r="ET58" s="110"/>
      <c r="EU58" s="110"/>
      <c r="EV58" s="111"/>
    </row>
    <row r="59" spans="1:152" ht="14.5" x14ac:dyDescent="0.35">
      <c r="A59" s="108">
        <v>4583223633</v>
      </c>
      <c r="B59" s="116" t="s">
        <v>130</v>
      </c>
      <c r="C59" s="116" t="s">
        <v>130</v>
      </c>
      <c r="D59" s="111" t="s">
        <v>138</v>
      </c>
      <c r="E59" s="144" t="s">
        <v>523</v>
      </c>
      <c r="F59" s="110" t="s">
        <v>524</v>
      </c>
      <c r="G59" s="112">
        <v>43521</v>
      </c>
      <c r="H59" s="110" t="s">
        <v>203</v>
      </c>
      <c r="I59" s="117" t="s">
        <v>135</v>
      </c>
      <c r="J59" s="117" t="s">
        <v>133</v>
      </c>
      <c r="K59" s="110" t="s">
        <v>136</v>
      </c>
      <c r="L59" s="113">
        <v>20302</v>
      </c>
      <c r="M59" s="114">
        <v>43474</v>
      </c>
      <c r="N59" s="115">
        <f t="shared" si="0"/>
        <v>63</v>
      </c>
      <c r="O59" s="116" t="s">
        <v>399</v>
      </c>
      <c r="P59" s="110" t="s">
        <v>138</v>
      </c>
      <c r="Q59" s="110">
        <v>1</v>
      </c>
      <c r="R59" s="120" t="s">
        <v>148</v>
      </c>
      <c r="S59" s="110"/>
      <c r="T59" s="110"/>
      <c r="U59" s="110"/>
      <c r="V59" s="110"/>
      <c r="W59" s="110"/>
      <c r="X59" s="110"/>
      <c r="Y59" s="110"/>
      <c r="Z59" s="110"/>
      <c r="AA59" s="110"/>
      <c r="AB59" s="110"/>
      <c r="AC59" s="110"/>
      <c r="AD59" s="110"/>
      <c r="AE59" s="110"/>
      <c r="AF59" s="110"/>
      <c r="AG59" s="110"/>
      <c r="AH59" s="110"/>
      <c r="AI59" s="110"/>
      <c r="AJ59" s="110"/>
      <c r="AK59" s="110"/>
      <c r="AL59" s="110"/>
      <c r="AM59" s="110"/>
      <c r="AN59" s="110"/>
      <c r="AO59" s="110"/>
      <c r="AP59" s="110"/>
      <c r="AQ59" s="110"/>
      <c r="AR59" s="110"/>
      <c r="AS59" s="110"/>
      <c r="AT59" s="110"/>
      <c r="AU59" s="110"/>
      <c r="AV59" s="110"/>
      <c r="AW59" s="110"/>
      <c r="AX59" s="110"/>
      <c r="AY59" s="110"/>
      <c r="AZ59" s="110"/>
      <c r="BA59" s="110"/>
      <c r="BB59" s="110"/>
      <c r="BC59" s="110"/>
      <c r="BD59" s="110"/>
      <c r="BE59" s="110"/>
      <c r="BF59" s="110"/>
      <c r="BG59" s="110"/>
      <c r="BH59" s="110"/>
      <c r="BI59" s="110"/>
      <c r="BJ59" s="110"/>
      <c r="BK59" s="110"/>
      <c r="BL59" s="110"/>
      <c r="BM59" s="110"/>
      <c r="BN59" s="110"/>
      <c r="BO59" s="110"/>
      <c r="BP59" s="110"/>
      <c r="BQ59" s="110"/>
      <c r="BR59" s="110"/>
      <c r="BS59" s="110"/>
      <c r="BT59" s="110"/>
      <c r="BU59" s="110"/>
      <c r="BV59" s="110"/>
      <c r="BW59" s="110"/>
      <c r="BX59" s="110"/>
      <c r="BY59" s="110"/>
      <c r="BZ59" s="110"/>
      <c r="CA59" s="110"/>
      <c r="CB59" s="110"/>
      <c r="CC59" s="110"/>
      <c r="CD59" s="110"/>
      <c r="CE59" s="110"/>
      <c r="CF59" s="110"/>
      <c r="CG59" s="110"/>
      <c r="CH59" s="110"/>
      <c r="CI59" s="110"/>
      <c r="CJ59" s="110"/>
      <c r="CK59" s="110"/>
      <c r="CL59" s="110"/>
      <c r="CM59" s="110"/>
      <c r="CN59" s="110"/>
      <c r="CO59" s="110"/>
      <c r="CP59" s="110"/>
      <c r="CQ59" s="110"/>
      <c r="CR59" s="110"/>
      <c r="CS59" s="110"/>
      <c r="CT59" s="110"/>
      <c r="CU59" s="110"/>
      <c r="CV59" s="110"/>
      <c r="CW59" s="110"/>
      <c r="CX59" s="110"/>
      <c r="CY59" s="110"/>
      <c r="CZ59" s="110"/>
      <c r="DA59" s="110"/>
      <c r="DB59" s="110"/>
      <c r="DC59" s="110"/>
      <c r="DD59" s="110"/>
      <c r="DE59" s="110"/>
      <c r="DF59" s="110"/>
      <c r="DG59" s="110"/>
      <c r="DH59" s="110"/>
      <c r="DI59" s="110"/>
      <c r="DJ59" s="110"/>
      <c r="DK59" s="110"/>
      <c r="DL59" s="110"/>
      <c r="DM59" s="110"/>
      <c r="DN59" s="110"/>
      <c r="DO59" s="110"/>
      <c r="DP59" s="110"/>
      <c r="DQ59" s="110"/>
      <c r="DR59" s="110"/>
      <c r="DS59" s="110"/>
      <c r="DT59" s="110"/>
      <c r="DU59" s="110"/>
      <c r="DV59" s="110"/>
      <c r="DW59" s="110"/>
      <c r="DX59" s="110"/>
      <c r="DY59" s="110"/>
      <c r="DZ59" s="110"/>
      <c r="EA59" s="110"/>
      <c r="EB59" s="110"/>
      <c r="EC59" s="110"/>
      <c r="ED59" s="110"/>
      <c r="EE59" s="110"/>
      <c r="EF59" s="110"/>
      <c r="EG59" s="110"/>
      <c r="EH59" s="110"/>
      <c r="EI59" s="110"/>
      <c r="EJ59" s="110"/>
      <c r="EK59" s="111"/>
      <c r="EL59" s="110"/>
      <c r="EM59" s="110"/>
      <c r="EN59" s="110"/>
      <c r="EO59" s="110"/>
      <c r="EP59" s="110"/>
      <c r="EQ59" s="110"/>
      <c r="ER59" s="110"/>
      <c r="ES59" s="110"/>
      <c r="ET59" s="110"/>
      <c r="EU59" s="110"/>
      <c r="EV59" s="111"/>
    </row>
    <row r="60" spans="1:152" ht="14.5" x14ac:dyDescent="0.35">
      <c r="A60" s="108">
        <v>6083351375</v>
      </c>
      <c r="B60" s="116" t="s">
        <v>130</v>
      </c>
      <c r="C60" s="116" t="s">
        <v>130</v>
      </c>
      <c r="D60" s="111" t="s">
        <v>138</v>
      </c>
      <c r="E60" s="111" t="s">
        <v>525</v>
      </c>
      <c r="F60" s="110" t="s">
        <v>526</v>
      </c>
      <c r="G60" s="112">
        <v>43522</v>
      </c>
      <c r="H60" s="110" t="s">
        <v>203</v>
      </c>
      <c r="I60" s="117" t="s">
        <v>135</v>
      </c>
      <c r="J60" s="117" t="s">
        <v>133</v>
      </c>
      <c r="K60" s="110" t="s">
        <v>136</v>
      </c>
      <c r="L60" s="113">
        <v>27096</v>
      </c>
      <c r="M60" s="114">
        <v>43437</v>
      </c>
      <c r="N60" s="115">
        <f t="shared" si="0"/>
        <v>44</v>
      </c>
      <c r="O60" s="116" t="s">
        <v>225</v>
      </c>
      <c r="P60" s="110" t="s">
        <v>138</v>
      </c>
      <c r="Q60" s="110">
        <v>2</v>
      </c>
      <c r="R60" s="120" t="s">
        <v>198</v>
      </c>
      <c r="S60" s="110"/>
      <c r="T60" s="110"/>
      <c r="U60" s="110"/>
      <c r="V60" s="110"/>
      <c r="W60" s="110"/>
      <c r="X60" s="110"/>
      <c r="Y60" s="110"/>
      <c r="Z60" s="110"/>
      <c r="AA60" s="110"/>
      <c r="AB60" s="110"/>
      <c r="AC60" s="110"/>
      <c r="AD60" s="110"/>
      <c r="AE60" s="110"/>
      <c r="AF60" s="110"/>
      <c r="AG60" s="110"/>
      <c r="AH60" s="110"/>
      <c r="AI60" s="110"/>
      <c r="AJ60" s="110"/>
      <c r="AK60" s="110"/>
      <c r="AL60" s="110"/>
      <c r="AM60" s="110"/>
      <c r="AN60" s="110"/>
      <c r="AO60" s="110"/>
      <c r="AP60" s="110"/>
      <c r="AQ60" s="110"/>
      <c r="AR60" s="110"/>
      <c r="AS60" s="110"/>
      <c r="AT60" s="110"/>
      <c r="AU60" s="110"/>
      <c r="AV60" s="110"/>
      <c r="AW60" s="110"/>
      <c r="AX60" s="110"/>
      <c r="AY60" s="110"/>
      <c r="AZ60" s="110"/>
      <c r="BA60" s="110"/>
      <c r="BB60" s="110"/>
      <c r="BC60" s="110"/>
      <c r="BD60" s="110"/>
      <c r="BE60" s="110"/>
      <c r="BF60" s="110"/>
      <c r="BG60" s="110"/>
      <c r="BH60" s="110"/>
      <c r="BI60" s="110"/>
      <c r="BJ60" s="110"/>
      <c r="BK60" s="110"/>
      <c r="BL60" s="110"/>
      <c r="BM60" s="110"/>
      <c r="BN60" s="110"/>
      <c r="BO60" s="110"/>
      <c r="BP60" s="110"/>
      <c r="BQ60" s="110"/>
      <c r="BR60" s="110"/>
      <c r="BS60" s="110"/>
      <c r="BT60" s="110"/>
      <c r="BU60" s="110"/>
      <c r="BV60" s="110"/>
      <c r="BW60" s="110"/>
      <c r="BX60" s="110"/>
      <c r="BY60" s="110"/>
      <c r="BZ60" s="110"/>
      <c r="CA60" s="110"/>
      <c r="CB60" s="110"/>
      <c r="CC60" s="110"/>
      <c r="CD60" s="110"/>
      <c r="CE60" s="110"/>
      <c r="CF60" s="110"/>
      <c r="CG60" s="110"/>
      <c r="CH60" s="110"/>
      <c r="CI60" s="110"/>
      <c r="CJ60" s="110"/>
      <c r="CK60" s="110"/>
      <c r="CL60" s="110"/>
      <c r="CM60" s="110"/>
      <c r="CN60" s="110"/>
      <c r="CO60" s="110"/>
      <c r="CP60" s="110"/>
      <c r="CQ60" s="110"/>
      <c r="CR60" s="110"/>
      <c r="CS60" s="110"/>
      <c r="CT60" s="110"/>
      <c r="CU60" s="110"/>
      <c r="CV60" s="110"/>
      <c r="CW60" s="110"/>
      <c r="CX60" s="110"/>
      <c r="CY60" s="110"/>
      <c r="CZ60" s="110"/>
      <c r="DA60" s="110"/>
      <c r="DB60" s="110"/>
      <c r="DC60" s="110"/>
      <c r="DD60" s="110"/>
      <c r="DE60" s="110"/>
      <c r="DF60" s="110"/>
      <c r="DG60" s="110"/>
      <c r="DH60" s="110"/>
      <c r="DI60" s="110"/>
      <c r="DJ60" s="110"/>
      <c r="DK60" s="110"/>
      <c r="DL60" s="110"/>
      <c r="DM60" s="110"/>
      <c r="DN60" s="110"/>
      <c r="DO60" s="110"/>
      <c r="DP60" s="110"/>
      <c r="DQ60" s="110"/>
      <c r="DR60" s="110"/>
      <c r="DS60" s="110"/>
      <c r="DT60" s="110"/>
      <c r="DU60" s="110"/>
      <c r="DV60" s="110"/>
      <c r="DW60" s="110"/>
      <c r="DX60" s="110"/>
      <c r="DY60" s="110"/>
      <c r="DZ60" s="110"/>
      <c r="EA60" s="110"/>
      <c r="EB60" s="110"/>
      <c r="EC60" s="110"/>
      <c r="ED60" s="110"/>
      <c r="EE60" s="110"/>
      <c r="EF60" s="110"/>
      <c r="EG60" s="110"/>
      <c r="EH60" s="110"/>
      <c r="EI60" s="110"/>
      <c r="EJ60" s="110"/>
      <c r="EK60" s="111"/>
      <c r="EL60" s="110"/>
      <c r="EM60" s="110"/>
      <c r="EN60" s="110"/>
      <c r="EO60" s="110"/>
      <c r="EP60" s="110"/>
      <c r="EQ60" s="110"/>
      <c r="ER60" s="110"/>
      <c r="ES60" s="110"/>
      <c r="ET60" s="110"/>
      <c r="EU60" s="110"/>
      <c r="EV60" s="111"/>
    </row>
    <row r="61" spans="1:152" ht="14.5" x14ac:dyDescent="0.35">
      <c r="A61" s="108">
        <v>4380700666</v>
      </c>
      <c r="B61" s="116" t="s">
        <v>130</v>
      </c>
      <c r="C61" s="116" t="s">
        <v>130</v>
      </c>
      <c r="D61" s="111" t="s">
        <v>138</v>
      </c>
      <c r="E61" s="111" t="s">
        <v>527</v>
      </c>
      <c r="F61" s="110" t="s">
        <v>528</v>
      </c>
      <c r="G61" s="112">
        <v>43522</v>
      </c>
      <c r="H61" s="110" t="s">
        <v>270</v>
      </c>
      <c r="I61" s="117" t="s">
        <v>135</v>
      </c>
      <c r="J61" s="117" t="s">
        <v>133</v>
      </c>
      <c r="K61" s="110" t="s">
        <v>136</v>
      </c>
      <c r="L61" s="113">
        <v>16062</v>
      </c>
      <c r="M61" s="114">
        <v>43474</v>
      </c>
      <c r="N61" s="115">
        <f t="shared" si="0"/>
        <v>75</v>
      </c>
      <c r="O61" s="116" t="s">
        <v>520</v>
      </c>
      <c r="P61" s="110" t="s">
        <v>138</v>
      </c>
      <c r="Q61" s="110">
        <v>3</v>
      </c>
      <c r="R61" s="120" t="s">
        <v>148</v>
      </c>
      <c r="S61" s="110"/>
      <c r="T61" s="110"/>
      <c r="U61" s="110"/>
      <c r="V61" s="110"/>
      <c r="W61" s="110"/>
      <c r="X61" s="110"/>
      <c r="Y61" s="110"/>
      <c r="Z61" s="110"/>
      <c r="AA61" s="110"/>
      <c r="AB61" s="110"/>
      <c r="AC61" s="110"/>
      <c r="AD61" s="110"/>
      <c r="AE61" s="110"/>
      <c r="AF61" s="110"/>
      <c r="AG61" s="110"/>
      <c r="AH61" s="110"/>
      <c r="AI61" s="110"/>
      <c r="AJ61" s="110"/>
      <c r="AK61" s="110"/>
      <c r="AL61" s="110"/>
      <c r="AM61" s="110"/>
      <c r="AN61" s="110"/>
      <c r="AO61" s="110"/>
      <c r="AP61" s="110"/>
      <c r="AQ61" s="110"/>
      <c r="AR61" s="110"/>
      <c r="AS61" s="110"/>
      <c r="AT61" s="110"/>
      <c r="AU61" s="110"/>
      <c r="AV61" s="110"/>
      <c r="AW61" s="110"/>
      <c r="AX61" s="110"/>
      <c r="AY61" s="110"/>
      <c r="AZ61" s="110"/>
      <c r="BA61" s="110"/>
      <c r="BB61" s="110"/>
      <c r="BC61" s="110"/>
      <c r="BD61" s="110"/>
      <c r="BE61" s="110"/>
      <c r="BF61" s="110"/>
      <c r="BG61" s="110"/>
      <c r="BH61" s="110"/>
      <c r="BI61" s="110"/>
      <c r="BJ61" s="110"/>
      <c r="BK61" s="110"/>
      <c r="BL61" s="110"/>
      <c r="BM61" s="110"/>
      <c r="BN61" s="110"/>
      <c r="BO61" s="110"/>
      <c r="BP61" s="110"/>
      <c r="BQ61" s="110"/>
      <c r="BR61" s="110"/>
      <c r="BS61" s="110"/>
      <c r="BT61" s="110"/>
      <c r="BU61" s="110"/>
      <c r="BV61" s="110"/>
      <c r="BW61" s="110"/>
      <c r="BX61" s="110"/>
      <c r="BY61" s="110"/>
      <c r="BZ61" s="110"/>
      <c r="CA61" s="110"/>
      <c r="CB61" s="110"/>
      <c r="CC61" s="110"/>
      <c r="CD61" s="110"/>
      <c r="CE61" s="110"/>
      <c r="CF61" s="110"/>
      <c r="CG61" s="110"/>
      <c r="CH61" s="110"/>
      <c r="CI61" s="110"/>
      <c r="CJ61" s="110"/>
      <c r="CK61" s="110"/>
      <c r="CL61" s="110"/>
      <c r="CM61" s="110"/>
      <c r="CN61" s="110"/>
      <c r="CO61" s="110"/>
      <c r="CP61" s="110"/>
      <c r="CQ61" s="110"/>
      <c r="CR61" s="110"/>
      <c r="CS61" s="110"/>
      <c r="CT61" s="110"/>
      <c r="CU61" s="110"/>
      <c r="CV61" s="110"/>
      <c r="CW61" s="110"/>
      <c r="CX61" s="110"/>
      <c r="CY61" s="110"/>
      <c r="CZ61" s="110"/>
      <c r="DA61" s="110"/>
      <c r="DB61" s="110"/>
      <c r="DC61" s="110"/>
      <c r="DD61" s="110"/>
      <c r="DE61" s="110"/>
      <c r="DF61" s="110"/>
      <c r="DG61" s="110"/>
      <c r="DH61" s="110"/>
      <c r="DI61" s="110"/>
      <c r="DJ61" s="110"/>
      <c r="DK61" s="110"/>
      <c r="DL61" s="110"/>
      <c r="DM61" s="110"/>
      <c r="DN61" s="110"/>
      <c r="DO61" s="110"/>
      <c r="DP61" s="110"/>
      <c r="DQ61" s="110"/>
      <c r="DR61" s="110"/>
      <c r="DS61" s="110"/>
      <c r="DT61" s="110"/>
      <c r="DU61" s="110"/>
      <c r="DV61" s="110"/>
      <c r="DW61" s="110"/>
      <c r="DX61" s="110"/>
      <c r="DY61" s="110"/>
      <c r="DZ61" s="110"/>
      <c r="EA61" s="110"/>
      <c r="EB61" s="110"/>
      <c r="EC61" s="110"/>
      <c r="ED61" s="110"/>
      <c r="EE61" s="110"/>
      <c r="EF61" s="110"/>
      <c r="EG61" s="110"/>
      <c r="EH61" s="110"/>
      <c r="EI61" s="110"/>
      <c r="EJ61" s="110"/>
      <c r="EK61" s="111"/>
      <c r="EL61" s="110"/>
      <c r="EM61" s="110"/>
      <c r="EN61" s="110"/>
      <c r="EO61" s="110"/>
      <c r="EP61" s="110"/>
      <c r="EQ61" s="110"/>
      <c r="ER61" s="110"/>
      <c r="ES61" s="110"/>
      <c r="ET61" s="110"/>
      <c r="EU61" s="110"/>
      <c r="EV61" s="111"/>
    </row>
    <row r="62" spans="1:152" ht="14.5" x14ac:dyDescent="0.35">
      <c r="A62" s="108">
        <v>4860641086</v>
      </c>
      <c r="B62" s="116" t="s">
        <v>130</v>
      </c>
      <c r="C62" s="116" t="s">
        <v>130</v>
      </c>
      <c r="D62" s="111" t="s">
        <v>138</v>
      </c>
      <c r="E62" s="144" t="s">
        <v>529</v>
      </c>
      <c r="F62" s="110" t="s">
        <v>530</v>
      </c>
      <c r="G62" s="112">
        <v>43523</v>
      </c>
      <c r="H62" s="110" t="s">
        <v>270</v>
      </c>
      <c r="I62" s="117" t="s">
        <v>135</v>
      </c>
      <c r="J62" s="117" t="s">
        <v>133</v>
      </c>
      <c r="K62" s="110" t="s">
        <v>136</v>
      </c>
      <c r="L62" s="113">
        <v>22515</v>
      </c>
      <c r="M62" s="114">
        <v>43490</v>
      </c>
      <c r="N62" s="115">
        <f t="shared" si="0"/>
        <v>57</v>
      </c>
      <c r="O62" s="116" t="s">
        <v>531</v>
      </c>
      <c r="P62" s="110" t="s">
        <v>138</v>
      </c>
      <c r="Q62" s="110">
        <v>3</v>
      </c>
      <c r="R62" s="120" t="s">
        <v>164</v>
      </c>
      <c r="S62" s="110"/>
      <c r="T62" s="110"/>
      <c r="U62" s="110"/>
      <c r="V62" s="110"/>
      <c r="W62" s="110"/>
      <c r="X62" s="110"/>
      <c r="Y62" s="110"/>
      <c r="Z62" s="110"/>
      <c r="AA62" s="110"/>
      <c r="AB62" s="110"/>
      <c r="AC62" s="110"/>
      <c r="AD62" s="110"/>
      <c r="AE62" s="110"/>
      <c r="AF62" s="110"/>
      <c r="AG62" s="110"/>
      <c r="AH62" s="110"/>
      <c r="AI62" s="110"/>
      <c r="AJ62" s="110"/>
      <c r="AK62" s="110"/>
      <c r="AL62" s="110"/>
      <c r="AM62" s="110"/>
      <c r="AN62" s="110"/>
      <c r="AO62" s="110"/>
      <c r="AP62" s="110"/>
      <c r="AQ62" s="110"/>
      <c r="AR62" s="110"/>
      <c r="AS62" s="110"/>
      <c r="AT62" s="110"/>
      <c r="AU62" s="110"/>
      <c r="AV62" s="110"/>
      <c r="AW62" s="110"/>
      <c r="AX62" s="110"/>
      <c r="AY62" s="110"/>
      <c r="AZ62" s="110"/>
      <c r="BA62" s="110"/>
      <c r="BB62" s="110"/>
      <c r="BC62" s="110"/>
      <c r="BD62" s="110"/>
      <c r="BE62" s="110"/>
      <c r="BF62" s="110"/>
      <c r="BG62" s="110"/>
      <c r="BH62" s="110"/>
      <c r="BI62" s="110"/>
      <c r="BJ62" s="110"/>
      <c r="BK62" s="110"/>
      <c r="BL62" s="110"/>
      <c r="BM62" s="110"/>
      <c r="BN62" s="110"/>
      <c r="BO62" s="110"/>
      <c r="BP62" s="110"/>
      <c r="BQ62" s="110"/>
      <c r="BR62" s="110"/>
      <c r="BS62" s="110"/>
      <c r="BT62" s="110"/>
      <c r="BU62" s="110"/>
      <c r="BV62" s="110"/>
      <c r="BW62" s="110"/>
      <c r="BX62" s="110"/>
      <c r="BY62" s="110"/>
      <c r="BZ62" s="110"/>
      <c r="CA62" s="110"/>
      <c r="CB62" s="110"/>
      <c r="CC62" s="110"/>
      <c r="CD62" s="110"/>
      <c r="CE62" s="110"/>
      <c r="CF62" s="110"/>
      <c r="CG62" s="110"/>
      <c r="CH62" s="110"/>
      <c r="CI62" s="110"/>
      <c r="CJ62" s="110"/>
      <c r="CK62" s="110"/>
      <c r="CL62" s="110"/>
      <c r="CM62" s="110"/>
      <c r="CN62" s="110"/>
      <c r="CO62" s="110"/>
      <c r="CP62" s="110"/>
      <c r="CQ62" s="110"/>
      <c r="CR62" s="110"/>
      <c r="CS62" s="110"/>
      <c r="CT62" s="110"/>
      <c r="CU62" s="110"/>
      <c r="CV62" s="110"/>
      <c r="CW62" s="110"/>
      <c r="CX62" s="110"/>
      <c r="CY62" s="110"/>
      <c r="CZ62" s="110"/>
      <c r="DA62" s="110"/>
      <c r="DB62" s="110"/>
      <c r="DC62" s="110"/>
      <c r="DD62" s="110"/>
      <c r="DE62" s="110"/>
      <c r="DF62" s="110"/>
      <c r="DG62" s="110"/>
      <c r="DH62" s="110"/>
      <c r="DI62" s="110"/>
      <c r="DJ62" s="110"/>
      <c r="DK62" s="110"/>
      <c r="DL62" s="110"/>
      <c r="DM62" s="110"/>
      <c r="DN62" s="110"/>
      <c r="DO62" s="110"/>
      <c r="DP62" s="110"/>
      <c r="DQ62" s="110"/>
      <c r="DR62" s="110"/>
      <c r="DS62" s="110"/>
      <c r="DT62" s="110"/>
      <c r="DU62" s="110"/>
      <c r="DV62" s="110"/>
      <c r="DW62" s="110"/>
      <c r="DX62" s="110"/>
      <c r="DY62" s="110"/>
      <c r="DZ62" s="110"/>
      <c r="EA62" s="110"/>
      <c r="EB62" s="110"/>
      <c r="EC62" s="110"/>
      <c r="ED62" s="110"/>
      <c r="EE62" s="110"/>
      <c r="EF62" s="110"/>
      <c r="EG62" s="110"/>
      <c r="EH62" s="110"/>
      <c r="EI62" s="110"/>
      <c r="EJ62" s="110"/>
      <c r="EK62" s="111"/>
      <c r="EL62" s="110"/>
      <c r="EM62" s="110"/>
      <c r="EN62" s="110"/>
      <c r="EO62" s="110"/>
      <c r="EP62" s="110"/>
      <c r="EQ62" s="110"/>
      <c r="ER62" s="110"/>
      <c r="ES62" s="110"/>
      <c r="ET62" s="110"/>
      <c r="EU62" s="110"/>
      <c r="EV62" s="111"/>
    </row>
    <row r="63" spans="1:152" ht="14.5" x14ac:dyDescent="0.35">
      <c r="A63" s="108">
        <v>4762044482</v>
      </c>
      <c r="B63" s="116" t="s">
        <v>130</v>
      </c>
      <c r="C63" s="116" t="s">
        <v>130</v>
      </c>
      <c r="D63" s="111" t="s">
        <v>138</v>
      </c>
      <c r="E63" s="144" t="s">
        <v>532</v>
      </c>
      <c r="F63" s="110" t="s">
        <v>533</v>
      </c>
      <c r="G63" s="112">
        <v>43532</v>
      </c>
      <c r="H63" s="110" t="s">
        <v>270</v>
      </c>
      <c r="I63" s="117" t="s">
        <v>135</v>
      </c>
      <c r="J63" s="117" t="s">
        <v>133</v>
      </c>
      <c r="K63" s="110" t="s">
        <v>136</v>
      </c>
      <c r="L63" s="113">
        <v>22917</v>
      </c>
      <c r="M63" s="114">
        <v>43488</v>
      </c>
      <c r="N63" s="115">
        <f>DATEDIF(L63, M63,"Y")</f>
        <v>56</v>
      </c>
      <c r="O63" s="116" t="s">
        <v>399</v>
      </c>
      <c r="P63" s="110" t="s">
        <v>138</v>
      </c>
      <c r="Q63" s="110">
        <v>1</v>
      </c>
      <c r="R63" s="120" t="s">
        <v>198</v>
      </c>
      <c r="S63" s="110"/>
      <c r="T63" s="110"/>
      <c r="U63" s="110"/>
      <c r="V63" s="110"/>
      <c r="W63" s="110"/>
      <c r="X63" s="110"/>
      <c r="Y63" s="110"/>
      <c r="Z63" s="110"/>
      <c r="AA63" s="110"/>
      <c r="AB63" s="110"/>
      <c r="AC63" s="110"/>
      <c r="AD63" s="110"/>
      <c r="AE63" s="110"/>
      <c r="AF63" s="110"/>
      <c r="AG63" s="110"/>
      <c r="AH63" s="110"/>
      <c r="AI63" s="110"/>
      <c r="AJ63" s="110"/>
      <c r="AK63" s="110"/>
      <c r="AL63" s="110"/>
      <c r="AM63" s="110"/>
      <c r="AN63" s="110"/>
      <c r="AO63" s="110"/>
      <c r="AP63" s="110"/>
      <c r="AQ63" s="110"/>
      <c r="AR63" s="110"/>
      <c r="AS63" s="110"/>
      <c r="AT63" s="110"/>
      <c r="AU63" s="110"/>
      <c r="AV63" s="110"/>
      <c r="AW63" s="110"/>
      <c r="AX63" s="110"/>
      <c r="AY63" s="110"/>
      <c r="AZ63" s="110"/>
      <c r="BA63" s="110"/>
      <c r="BB63" s="110"/>
      <c r="BC63" s="110"/>
      <c r="BD63" s="110"/>
      <c r="BE63" s="110"/>
      <c r="BF63" s="110"/>
      <c r="BG63" s="110"/>
      <c r="BH63" s="110"/>
      <c r="BI63" s="110"/>
      <c r="BJ63" s="110"/>
      <c r="BK63" s="110"/>
      <c r="BL63" s="110"/>
      <c r="BM63" s="110"/>
      <c r="BN63" s="110"/>
      <c r="BO63" s="110"/>
      <c r="BP63" s="110"/>
      <c r="BQ63" s="110"/>
      <c r="BR63" s="110"/>
      <c r="BS63" s="110"/>
      <c r="BT63" s="110"/>
      <c r="BU63" s="110"/>
      <c r="BV63" s="110"/>
      <c r="BW63" s="110"/>
      <c r="BX63" s="110"/>
      <c r="BY63" s="110"/>
      <c r="BZ63" s="110"/>
      <c r="CA63" s="110"/>
      <c r="CB63" s="110"/>
      <c r="CC63" s="110"/>
      <c r="CD63" s="110"/>
      <c r="CE63" s="110"/>
      <c r="CF63" s="110"/>
      <c r="CG63" s="110"/>
      <c r="CH63" s="110"/>
      <c r="CI63" s="110"/>
      <c r="CJ63" s="110"/>
      <c r="CK63" s="110"/>
      <c r="CL63" s="110"/>
      <c r="CM63" s="110"/>
      <c r="CN63" s="110"/>
      <c r="CO63" s="110"/>
      <c r="CP63" s="110"/>
      <c r="CQ63" s="110"/>
      <c r="CR63" s="110"/>
      <c r="CS63" s="110"/>
      <c r="CT63" s="110"/>
      <c r="CU63" s="110"/>
      <c r="CV63" s="110"/>
      <c r="CW63" s="110"/>
      <c r="CX63" s="110"/>
      <c r="CY63" s="110"/>
      <c r="CZ63" s="110"/>
      <c r="DA63" s="110"/>
      <c r="DB63" s="110"/>
      <c r="DC63" s="110"/>
      <c r="DD63" s="110"/>
      <c r="DE63" s="110"/>
      <c r="DF63" s="110"/>
      <c r="DG63" s="110"/>
      <c r="DH63" s="110"/>
      <c r="DI63" s="110"/>
      <c r="DJ63" s="110"/>
      <c r="DK63" s="110"/>
      <c r="DL63" s="110"/>
      <c r="DM63" s="110"/>
      <c r="DN63" s="110"/>
      <c r="DO63" s="110"/>
      <c r="DP63" s="110"/>
      <c r="DQ63" s="110"/>
      <c r="DR63" s="110"/>
      <c r="DS63" s="110"/>
      <c r="DT63" s="110"/>
      <c r="DU63" s="110"/>
      <c r="DV63" s="110"/>
      <c r="DW63" s="110"/>
      <c r="DX63" s="110"/>
      <c r="DY63" s="110"/>
      <c r="DZ63" s="110"/>
      <c r="EA63" s="110"/>
      <c r="EB63" s="110"/>
      <c r="EC63" s="110"/>
      <c r="ED63" s="110"/>
      <c r="EE63" s="110"/>
      <c r="EF63" s="110"/>
      <c r="EG63" s="110"/>
      <c r="EH63" s="110"/>
      <c r="EI63" s="110"/>
      <c r="EJ63" s="110"/>
      <c r="EK63" s="111"/>
      <c r="EL63" s="110"/>
      <c r="EM63" s="110"/>
      <c r="EN63" s="110"/>
      <c r="EO63" s="110"/>
      <c r="EP63" s="110"/>
      <c r="EQ63" s="110"/>
      <c r="ER63" s="110"/>
      <c r="ES63" s="110"/>
      <c r="ET63" s="110"/>
      <c r="EU63" s="110"/>
      <c r="EV63" s="111"/>
    </row>
    <row r="64" spans="1:152" ht="14.5" x14ac:dyDescent="0.35">
      <c r="A64" s="108">
        <v>6502803008</v>
      </c>
      <c r="B64" s="116" t="s">
        <v>130</v>
      </c>
      <c r="C64" s="116" t="s">
        <v>130</v>
      </c>
      <c r="D64" s="111" t="s">
        <v>138</v>
      </c>
      <c r="E64" s="144" t="s">
        <v>534</v>
      </c>
      <c r="F64" s="110" t="s">
        <v>535</v>
      </c>
      <c r="G64" s="112">
        <v>43535</v>
      </c>
      <c r="H64" s="110" t="s">
        <v>203</v>
      </c>
      <c r="I64" s="117" t="s">
        <v>135</v>
      </c>
      <c r="J64" s="117" t="s">
        <v>133</v>
      </c>
      <c r="K64" s="110" t="s">
        <v>136</v>
      </c>
      <c r="L64" s="113">
        <v>27489</v>
      </c>
      <c r="M64" s="114">
        <v>43473</v>
      </c>
      <c r="N64" s="115">
        <f t="shared" si="0"/>
        <v>43</v>
      </c>
      <c r="O64" s="116" t="s">
        <v>147</v>
      </c>
      <c r="P64" s="117" t="s">
        <v>130</v>
      </c>
      <c r="Q64" s="110">
        <v>2</v>
      </c>
      <c r="R64" s="120" t="s">
        <v>422</v>
      </c>
      <c r="S64" s="110"/>
      <c r="T64" s="110"/>
      <c r="U64" s="110"/>
      <c r="V64" s="110"/>
      <c r="W64" s="110"/>
      <c r="X64" s="110"/>
      <c r="Y64" s="110"/>
      <c r="Z64" s="110"/>
      <c r="AA64" s="110"/>
      <c r="AB64" s="110"/>
      <c r="AC64" s="110"/>
      <c r="AD64" s="110"/>
      <c r="AE64" s="110"/>
      <c r="AF64" s="110"/>
      <c r="AG64" s="110"/>
      <c r="AH64" s="110"/>
      <c r="AI64" s="110"/>
      <c r="AJ64" s="110"/>
      <c r="AK64" s="110"/>
      <c r="AL64" s="110"/>
      <c r="AM64" s="110"/>
      <c r="AN64" s="110"/>
      <c r="AO64" s="110"/>
      <c r="AP64" s="110"/>
      <c r="AQ64" s="110"/>
      <c r="AR64" s="110"/>
      <c r="AS64" s="110"/>
      <c r="AT64" s="110"/>
      <c r="AU64" s="110"/>
      <c r="AV64" s="110"/>
      <c r="AW64" s="110"/>
      <c r="AX64" s="110"/>
      <c r="AY64" s="110"/>
      <c r="AZ64" s="110"/>
      <c r="BA64" s="110"/>
      <c r="BB64" s="110"/>
      <c r="BC64" s="110"/>
      <c r="BD64" s="110"/>
      <c r="BE64" s="110"/>
      <c r="BF64" s="110"/>
      <c r="BG64" s="110"/>
      <c r="BH64" s="110"/>
      <c r="BI64" s="110"/>
      <c r="BJ64" s="110"/>
      <c r="BK64" s="110"/>
      <c r="BL64" s="110"/>
      <c r="BM64" s="110"/>
      <c r="BN64" s="110"/>
      <c r="BO64" s="110"/>
      <c r="BP64" s="110"/>
      <c r="BQ64" s="110"/>
      <c r="BR64" s="110"/>
      <c r="BS64" s="110"/>
      <c r="BT64" s="110"/>
      <c r="BU64" s="110"/>
      <c r="BV64" s="110"/>
      <c r="BW64" s="110"/>
      <c r="BX64" s="110"/>
      <c r="BY64" s="110"/>
      <c r="BZ64" s="110"/>
      <c r="CA64" s="110"/>
      <c r="CB64" s="110"/>
      <c r="CC64" s="110"/>
      <c r="CD64" s="110"/>
      <c r="CE64" s="110"/>
      <c r="CF64" s="110"/>
      <c r="CG64" s="110"/>
      <c r="CH64" s="110"/>
      <c r="CI64" s="110"/>
      <c r="CJ64" s="110"/>
      <c r="CK64" s="110"/>
      <c r="CL64" s="110"/>
      <c r="CM64" s="110"/>
      <c r="CN64" s="110"/>
      <c r="CO64" s="110"/>
      <c r="CP64" s="110"/>
      <c r="CQ64" s="110"/>
      <c r="CR64" s="110"/>
      <c r="CS64" s="110"/>
      <c r="CT64" s="110"/>
      <c r="CU64" s="110"/>
      <c r="CV64" s="110"/>
      <c r="CW64" s="110"/>
      <c r="CX64" s="110"/>
      <c r="CY64" s="110"/>
      <c r="CZ64" s="110"/>
      <c r="DA64" s="110"/>
      <c r="DB64" s="110"/>
      <c r="DC64" s="110"/>
      <c r="DD64" s="110"/>
      <c r="DE64" s="110"/>
      <c r="DF64" s="110"/>
      <c r="DG64" s="110"/>
      <c r="DH64" s="110"/>
      <c r="DI64" s="110"/>
      <c r="DJ64" s="110"/>
      <c r="DK64" s="110"/>
      <c r="DL64" s="110"/>
      <c r="DM64" s="110"/>
      <c r="DN64" s="110"/>
      <c r="DO64" s="110"/>
      <c r="DP64" s="110"/>
      <c r="DQ64" s="110"/>
      <c r="DR64" s="110"/>
      <c r="DS64" s="110"/>
      <c r="DT64" s="110"/>
      <c r="DU64" s="110"/>
      <c r="DV64" s="110"/>
      <c r="DW64" s="110"/>
      <c r="DX64" s="110"/>
      <c r="DY64" s="110"/>
      <c r="DZ64" s="110"/>
      <c r="EA64" s="110"/>
      <c r="EB64" s="110"/>
      <c r="EC64" s="110"/>
      <c r="ED64" s="110"/>
      <c r="EE64" s="110"/>
      <c r="EF64" s="110"/>
      <c r="EG64" s="110"/>
      <c r="EH64" s="110"/>
      <c r="EI64" s="110"/>
      <c r="EJ64" s="110"/>
      <c r="EK64" s="111"/>
      <c r="EL64" s="110"/>
      <c r="EM64" s="110"/>
      <c r="EN64" s="110"/>
      <c r="EO64" s="110"/>
      <c r="EP64" s="110"/>
      <c r="EQ64" s="110"/>
      <c r="ER64" s="110"/>
      <c r="ES64" s="110"/>
      <c r="ET64" s="110"/>
      <c r="EU64" s="110"/>
      <c r="EV64" s="111"/>
    </row>
    <row r="65" spans="1:152" ht="14.5" x14ac:dyDescent="0.35">
      <c r="A65" s="108">
        <v>4861679869</v>
      </c>
      <c r="B65" s="116" t="s">
        <v>130</v>
      </c>
      <c r="C65" s="116" t="s">
        <v>130</v>
      </c>
      <c r="D65" s="111" t="s">
        <v>138</v>
      </c>
      <c r="E65" s="144" t="s">
        <v>536</v>
      </c>
      <c r="F65" s="110" t="s">
        <v>537</v>
      </c>
      <c r="G65" s="112">
        <v>43550</v>
      </c>
      <c r="H65" s="110" t="s">
        <v>203</v>
      </c>
      <c r="I65" s="117" t="s">
        <v>135</v>
      </c>
      <c r="J65" s="117" t="s">
        <v>133</v>
      </c>
      <c r="K65" s="110" t="s">
        <v>136</v>
      </c>
      <c r="L65" s="113">
        <v>21741</v>
      </c>
      <c r="M65" s="114">
        <v>43500</v>
      </c>
      <c r="N65" s="115">
        <f t="shared" si="0"/>
        <v>59</v>
      </c>
      <c r="O65" s="116" t="s">
        <v>538</v>
      </c>
      <c r="P65" s="117" t="s">
        <v>138</v>
      </c>
      <c r="Q65" s="110">
        <v>2</v>
      </c>
      <c r="R65" s="120" t="s">
        <v>198</v>
      </c>
      <c r="S65" s="110"/>
      <c r="T65" s="110"/>
      <c r="U65" s="110"/>
      <c r="V65" s="110"/>
      <c r="W65" s="110"/>
      <c r="X65" s="110"/>
      <c r="Y65" s="110"/>
      <c r="Z65" s="110"/>
      <c r="AA65" s="110"/>
      <c r="AB65" s="110"/>
      <c r="AC65" s="110"/>
      <c r="AD65" s="110"/>
      <c r="AE65" s="110"/>
      <c r="AF65" s="110"/>
      <c r="AG65" s="110"/>
      <c r="AH65" s="110"/>
      <c r="AI65" s="110"/>
      <c r="AJ65" s="110"/>
      <c r="AK65" s="110"/>
      <c r="AL65" s="110"/>
      <c r="AM65" s="110"/>
      <c r="AN65" s="110"/>
      <c r="AO65" s="110"/>
      <c r="AP65" s="110"/>
      <c r="AQ65" s="110"/>
      <c r="AR65" s="110"/>
      <c r="AS65" s="110"/>
      <c r="AT65" s="110"/>
      <c r="AU65" s="110"/>
      <c r="AV65" s="110"/>
      <c r="AW65" s="110"/>
      <c r="AX65" s="110"/>
      <c r="AY65" s="110"/>
      <c r="AZ65" s="110"/>
      <c r="BA65" s="110"/>
      <c r="BB65" s="110"/>
      <c r="BC65" s="110"/>
      <c r="BD65" s="110"/>
      <c r="BE65" s="110"/>
      <c r="BF65" s="110"/>
      <c r="BG65" s="110"/>
      <c r="BH65" s="110"/>
      <c r="BI65" s="110"/>
      <c r="BJ65" s="110"/>
      <c r="BK65" s="110"/>
      <c r="BL65" s="110"/>
      <c r="BM65" s="110"/>
      <c r="BN65" s="110"/>
      <c r="BO65" s="110"/>
      <c r="BP65" s="110"/>
      <c r="BQ65" s="110"/>
      <c r="BR65" s="110"/>
      <c r="BS65" s="110"/>
      <c r="BT65" s="110"/>
      <c r="BU65" s="110"/>
      <c r="BV65" s="110"/>
      <c r="BW65" s="110"/>
      <c r="BX65" s="110"/>
      <c r="BY65" s="110"/>
      <c r="BZ65" s="110"/>
      <c r="CA65" s="110"/>
      <c r="CB65" s="110"/>
      <c r="CC65" s="110"/>
      <c r="CD65" s="110"/>
      <c r="CE65" s="110"/>
      <c r="CF65" s="110"/>
      <c r="CG65" s="110"/>
      <c r="CH65" s="110"/>
      <c r="CI65" s="110"/>
      <c r="CJ65" s="110"/>
      <c r="CK65" s="110"/>
      <c r="CL65" s="110"/>
      <c r="CM65" s="110"/>
      <c r="CN65" s="110"/>
      <c r="CO65" s="110"/>
      <c r="CP65" s="110"/>
      <c r="CQ65" s="110"/>
      <c r="CR65" s="110"/>
      <c r="CS65" s="110"/>
      <c r="CT65" s="110"/>
      <c r="CU65" s="110"/>
      <c r="CV65" s="110"/>
      <c r="CW65" s="110"/>
      <c r="CX65" s="110"/>
      <c r="CY65" s="110"/>
      <c r="CZ65" s="110"/>
      <c r="DA65" s="110"/>
      <c r="DB65" s="110"/>
      <c r="DC65" s="110"/>
      <c r="DD65" s="110"/>
      <c r="DE65" s="110"/>
      <c r="DF65" s="110"/>
      <c r="DG65" s="110"/>
      <c r="DH65" s="110"/>
      <c r="DI65" s="110"/>
      <c r="DJ65" s="110"/>
      <c r="DK65" s="110"/>
      <c r="DL65" s="110"/>
      <c r="DM65" s="110"/>
      <c r="DN65" s="110"/>
      <c r="DO65" s="110"/>
      <c r="DP65" s="110"/>
      <c r="DQ65" s="110"/>
      <c r="DR65" s="110"/>
      <c r="DS65" s="110"/>
      <c r="DT65" s="110"/>
      <c r="DU65" s="110"/>
      <c r="DV65" s="110"/>
      <c r="DW65" s="110"/>
      <c r="DX65" s="110"/>
      <c r="DY65" s="110"/>
      <c r="DZ65" s="110"/>
      <c r="EA65" s="110"/>
      <c r="EB65" s="110"/>
      <c r="EC65" s="110"/>
      <c r="ED65" s="110"/>
      <c r="EE65" s="110"/>
      <c r="EF65" s="110"/>
      <c r="EG65" s="110"/>
      <c r="EH65" s="110"/>
      <c r="EI65" s="110"/>
      <c r="EJ65" s="110"/>
      <c r="EK65" s="111"/>
      <c r="EL65" s="110"/>
      <c r="EM65" s="110"/>
      <c r="EN65" s="110"/>
      <c r="EO65" s="110"/>
      <c r="EP65" s="110"/>
      <c r="EQ65" s="110"/>
      <c r="ER65" s="110"/>
      <c r="ES65" s="110"/>
      <c r="ET65" s="110"/>
      <c r="EU65" s="110"/>
      <c r="EV65" s="111"/>
    </row>
    <row r="66" spans="1:152" ht="14.5" x14ac:dyDescent="0.35">
      <c r="A66" s="108">
        <v>4360860552</v>
      </c>
      <c r="B66" s="116" t="s">
        <v>130</v>
      </c>
      <c r="C66" s="116" t="s">
        <v>130</v>
      </c>
      <c r="D66" s="111" t="s">
        <v>138</v>
      </c>
      <c r="E66" s="111" t="s">
        <v>539</v>
      </c>
      <c r="F66" s="110" t="s">
        <v>540</v>
      </c>
      <c r="G66" s="112">
        <v>43567</v>
      </c>
      <c r="H66" s="110" t="s">
        <v>203</v>
      </c>
      <c r="I66" s="117" t="s">
        <v>135</v>
      </c>
      <c r="J66" s="117" t="s">
        <v>133</v>
      </c>
      <c r="K66" s="110" t="s">
        <v>136</v>
      </c>
      <c r="L66" s="113">
        <v>13537</v>
      </c>
      <c r="M66" s="114">
        <v>43448</v>
      </c>
      <c r="N66" s="115">
        <f>DATEDIF(L66, M66,"Y")</f>
        <v>81</v>
      </c>
      <c r="O66" s="116" t="s">
        <v>520</v>
      </c>
      <c r="P66" s="157" t="s">
        <v>138</v>
      </c>
      <c r="Q66" s="110">
        <v>3</v>
      </c>
      <c r="R66" s="120" t="s">
        <v>148</v>
      </c>
      <c r="S66" s="110"/>
      <c r="T66" s="110"/>
      <c r="U66" s="110"/>
      <c r="V66" s="110"/>
      <c r="W66" s="110"/>
      <c r="X66" s="110"/>
      <c r="Y66" s="110"/>
      <c r="Z66" s="110"/>
      <c r="AA66" s="110"/>
      <c r="AB66" s="110"/>
      <c r="AC66" s="110"/>
      <c r="AD66" s="110"/>
      <c r="AE66" s="110"/>
      <c r="AF66" s="110"/>
      <c r="AG66" s="110"/>
      <c r="AH66" s="110"/>
      <c r="AI66" s="110"/>
      <c r="AJ66" s="110"/>
      <c r="AK66" s="110"/>
      <c r="AL66" s="110"/>
      <c r="AM66" s="110"/>
      <c r="AN66" s="110"/>
      <c r="AO66" s="110"/>
      <c r="AP66" s="110"/>
      <c r="AQ66" s="110"/>
      <c r="AR66" s="110"/>
      <c r="AS66" s="110"/>
      <c r="AT66" s="110"/>
      <c r="AU66" s="110"/>
      <c r="AV66" s="110"/>
      <c r="AW66" s="110"/>
      <c r="AX66" s="110"/>
      <c r="AY66" s="110"/>
      <c r="AZ66" s="110"/>
      <c r="BA66" s="110"/>
      <c r="BB66" s="110"/>
      <c r="BC66" s="110"/>
      <c r="BD66" s="110"/>
      <c r="BE66" s="110"/>
      <c r="BF66" s="110"/>
      <c r="BG66" s="110"/>
      <c r="BH66" s="110"/>
      <c r="BI66" s="110"/>
      <c r="BJ66" s="110"/>
      <c r="BK66" s="110"/>
      <c r="BL66" s="110"/>
      <c r="BM66" s="110"/>
      <c r="BN66" s="110"/>
      <c r="BO66" s="110"/>
      <c r="BP66" s="110"/>
      <c r="BQ66" s="110"/>
      <c r="BR66" s="110"/>
      <c r="BS66" s="110"/>
      <c r="BT66" s="110"/>
      <c r="BU66" s="110"/>
      <c r="BV66" s="110"/>
      <c r="BW66" s="110"/>
      <c r="BX66" s="110"/>
      <c r="BY66" s="110"/>
      <c r="BZ66" s="110"/>
      <c r="CA66" s="110"/>
      <c r="CB66" s="110"/>
      <c r="CC66" s="110"/>
      <c r="CD66" s="110"/>
      <c r="CE66" s="110"/>
      <c r="CF66" s="110"/>
      <c r="CG66" s="110"/>
      <c r="CH66" s="110"/>
      <c r="CI66" s="110"/>
      <c r="CJ66" s="110"/>
      <c r="CK66" s="110"/>
      <c r="CL66" s="110"/>
      <c r="CM66" s="110"/>
      <c r="CN66" s="110"/>
      <c r="CO66" s="110"/>
      <c r="CP66" s="110"/>
      <c r="CQ66" s="110"/>
      <c r="CR66" s="110"/>
      <c r="CS66" s="110"/>
      <c r="CT66" s="110"/>
      <c r="CU66" s="110"/>
      <c r="CV66" s="110"/>
      <c r="CW66" s="110"/>
      <c r="CX66" s="110"/>
      <c r="CY66" s="110"/>
      <c r="CZ66" s="110"/>
      <c r="DA66" s="110"/>
      <c r="DB66" s="110"/>
      <c r="DC66" s="110"/>
      <c r="DD66" s="110"/>
      <c r="DE66" s="110"/>
      <c r="DF66" s="110"/>
      <c r="DG66" s="110"/>
      <c r="DH66" s="110"/>
      <c r="DI66" s="110"/>
      <c r="DJ66" s="110"/>
      <c r="DK66" s="110"/>
      <c r="DL66" s="110"/>
      <c r="DM66" s="110"/>
      <c r="DN66" s="110"/>
      <c r="DO66" s="110"/>
      <c r="DP66" s="110"/>
      <c r="DQ66" s="110"/>
      <c r="DR66" s="110"/>
      <c r="DS66" s="110"/>
      <c r="DT66" s="110"/>
      <c r="DU66" s="110"/>
      <c r="DV66" s="110"/>
      <c r="DW66" s="110"/>
      <c r="DX66" s="110"/>
      <c r="DY66" s="110"/>
      <c r="DZ66" s="110"/>
      <c r="EA66" s="110"/>
      <c r="EB66" s="110"/>
      <c r="EC66" s="110"/>
      <c r="ED66" s="110"/>
      <c r="EE66" s="110"/>
      <c r="EF66" s="110"/>
      <c r="EG66" s="110"/>
      <c r="EH66" s="110"/>
      <c r="EI66" s="110"/>
      <c r="EJ66" s="110"/>
      <c r="EK66" s="111"/>
      <c r="EL66" s="110"/>
      <c r="EM66" s="110"/>
      <c r="EN66" s="110"/>
      <c r="EO66" s="110"/>
      <c r="EP66" s="110"/>
      <c r="EQ66" s="110"/>
      <c r="ER66" s="110"/>
      <c r="ES66" s="110"/>
      <c r="ET66" s="110"/>
      <c r="EU66" s="110"/>
      <c r="EV66" s="111"/>
    </row>
    <row r="67" spans="1:152" ht="14.5" x14ac:dyDescent="0.35">
      <c r="A67" s="108">
        <v>4380890899</v>
      </c>
      <c r="B67" s="116" t="s">
        <v>130</v>
      </c>
      <c r="C67" s="116" t="s">
        <v>130</v>
      </c>
      <c r="D67" s="111" t="s">
        <v>138</v>
      </c>
      <c r="E67" s="144" t="s">
        <v>541</v>
      </c>
      <c r="F67" s="110" t="s">
        <v>542</v>
      </c>
      <c r="G67" s="112">
        <v>43572</v>
      </c>
      <c r="H67" s="110" t="s">
        <v>203</v>
      </c>
      <c r="I67" s="117" t="s">
        <v>135</v>
      </c>
      <c r="J67" s="117" t="s">
        <v>133</v>
      </c>
      <c r="K67" s="110" t="s">
        <v>136</v>
      </c>
      <c r="L67" s="113">
        <v>15839</v>
      </c>
      <c r="M67" s="114">
        <v>43522</v>
      </c>
      <c r="N67" s="115">
        <f t="shared" ref="N67:N90" si="1">DATEDIF(L67, M67,"Y")</f>
        <v>75</v>
      </c>
      <c r="O67" s="116" t="s">
        <v>543</v>
      </c>
      <c r="P67" s="117" t="s">
        <v>138</v>
      </c>
      <c r="Q67" s="110">
        <v>3</v>
      </c>
      <c r="R67" s="120" t="s">
        <v>198</v>
      </c>
      <c r="S67" s="110"/>
      <c r="T67" s="110"/>
      <c r="U67" s="110"/>
      <c r="V67" s="110"/>
      <c r="W67" s="110"/>
      <c r="X67" s="110"/>
      <c r="Y67" s="110"/>
      <c r="Z67" s="110"/>
      <c r="AA67" s="110"/>
      <c r="AB67" s="110"/>
      <c r="AC67" s="110"/>
      <c r="AD67" s="110"/>
      <c r="AE67" s="110"/>
      <c r="AF67" s="110"/>
      <c r="AG67" s="110"/>
      <c r="AH67" s="110"/>
      <c r="AI67" s="110"/>
      <c r="AJ67" s="110"/>
      <c r="AK67" s="110"/>
      <c r="AL67" s="110"/>
      <c r="AM67" s="110"/>
      <c r="AN67" s="110"/>
      <c r="AO67" s="110"/>
      <c r="AP67" s="110"/>
      <c r="AQ67" s="110"/>
      <c r="AR67" s="110"/>
      <c r="AS67" s="110"/>
      <c r="AT67" s="110"/>
      <c r="AU67" s="110"/>
      <c r="AV67" s="110"/>
      <c r="AW67" s="110"/>
      <c r="AX67" s="110"/>
      <c r="AY67" s="110"/>
      <c r="AZ67" s="110"/>
      <c r="BA67" s="110"/>
      <c r="BB67" s="110"/>
      <c r="BC67" s="110"/>
      <c r="BD67" s="110"/>
      <c r="BE67" s="110"/>
      <c r="BF67" s="110"/>
      <c r="BG67" s="110"/>
      <c r="BH67" s="110"/>
      <c r="BI67" s="110"/>
      <c r="BJ67" s="110"/>
      <c r="BK67" s="110"/>
      <c r="BL67" s="110"/>
      <c r="BM67" s="110"/>
      <c r="BN67" s="110"/>
      <c r="BO67" s="110"/>
      <c r="BP67" s="110"/>
      <c r="BQ67" s="110"/>
      <c r="BR67" s="110"/>
      <c r="BS67" s="110"/>
      <c r="BT67" s="110"/>
      <c r="BU67" s="110"/>
      <c r="BV67" s="110"/>
      <c r="BW67" s="110"/>
      <c r="BX67" s="110"/>
      <c r="BY67" s="110"/>
      <c r="BZ67" s="110"/>
      <c r="CA67" s="110"/>
      <c r="CB67" s="110"/>
      <c r="CC67" s="110"/>
      <c r="CD67" s="110"/>
      <c r="CE67" s="110"/>
      <c r="CF67" s="110"/>
      <c r="CG67" s="110"/>
      <c r="CH67" s="110"/>
      <c r="CI67" s="110"/>
      <c r="CJ67" s="110"/>
      <c r="CK67" s="110"/>
      <c r="CL67" s="110"/>
      <c r="CM67" s="110"/>
      <c r="CN67" s="110"/>
      <c r="CO67" s="110"/>
      <c r="CP67" s="110"/>
      <c r="CQ67" s="110"/>
      <c r="CR67" s="110"/>
      <c r="CS67" s="110"/>
      <c r="CT67" s="110"/>
      <c r="CU67" s="110"/>
      <c r="CV67" s="110"/>
      <c r="CW67" s="110"/>
      <c r="CX67" s="110"/>
      <c r="CY67" s="110"/>
      <c r="CZ67" s="110"/>
      <c r="DA67" s="110"/>
      <c r="DB67" s="110"/>
      <c r="DC67" s="110"/>
      <c r="DD67" s="110"/>
      <c r="DE67" s="110"/>
      <c r="DF67" s="110"/>
      <c r="DG67" s="110"/>
      <c r="DH67" s="110"/>
      <c r="DI67" s="110"/>
      <c r="DJ67" s="110"/>
      <c r="DK67" s="110"/>
      <c r="DL67" s="110"/>
      <c r="DM67" s="110"/>
      <c r="DN67" s="110"/>
      <c r="DO67" s="110"/>
      <c r="DP67" s="110"/>
      <c r="DQ67" s="110"/>
      <c r="DR67" s="110"/>
      <c r="DS67" s="110"/>
      <c r="DT67" s="110"/>
      <c r="DU67" s="110"/>
      <c r="DV67" s="110"/>
      <c r="DW67" s="110"/>
      <c r="DX67" s="110"/>
      <c r="DY67" s="110"/>
      <c r="DZ67" s="110"/>
      <c r="EA67" s="110"/>
      <c r="EB67" s="110"/>
      <c r="EC67" s="110"/>
      <c r="ED67" s="110"/>
      <c r="EE67" s="110"/>
      <c r="EF67" s="110"/>
      <c r="EG67" s="110"/>
      <c r="EH67" s="110"/>
      <c r="EI67" s="110"/>
      <c r="EJ67" s="110"/>
      <c r="EK67" s="111"/>
      <c r="EL67" s="110"/>
      <c r="EM67" s="110"/>
      <c r="EN67" s="110"/>
      <c r="EO67" s="110"/>
      <c r="EP67" s="110"/>
      <c r="EQ67" s="110"/>
      <c r="ER67" s="110"/>
      <c r="ES67" s="110"/>
      <c r="ET67" s="110"/>
      <c r="EU67" s="110"/>
      <c r="EV67" s="111"/>
    </row>
    <row r="68" spans="1:152" ht="14.5" x14ac:dyDescent="0.35">
      <c r="A68" s="108">
        <v>4329275333</v>
      </c>
      <c r="B68" s="116" t="s">
        <v>130</v>
      </c>
      <c r="C68" s="116" t="s">
        <v>130</v>
      </c>
      <c r="D68" s="111" t="s">
        <v>138</v>
      </c>
      <c r="E68" s="111" t="s">
        <v>544</v>
      </c>
      <c r="F68" s="110" t="s">
        <v>545</v>
      </c>
      <c r="G68" s="112">
        <v>43579</v>
      </c>
      <c r="H68" s="110" t="s">
        <v>270</v>
      </c>
      <c r="I68" s="117" t="s">
        <v>135</v>
      </c>
      <c r="J68" s="117" t="s">
        <v>133</v>
      </c>
      <c r="K68" s="110" t="s">
        <v>136</v>
      </c>
      <c r="L68" s="113">
        <v>13528</v>
      </c>
      <c r="M68" s="114">
        <v>43536</v>
      </c>
      <c r="N68" s="115">
        <f t="shared" si="1"/>
        <v>82</v>
      </c>
      <c r="O68" s="116" t="s">
        <v>520</v>
      </c>
      <c r="P68" s="117" t="s">
        <v>130</v>
      </c>
      <c r="Q68" s="110">
        <v>3</v>
      </c>
      <c r="R68" s="120" t="s">
        <v>426</v>
      </c>
      <c r="S68" s="110"/>
      <c r="T68" s="110"/>
      <c r="U68" s="110"/>
      <c r="V68" s="110"/>
      <c r="W68" s="110"/>
      <c r="X68" s="110"/>
      <c r="Y68" s="110"/>
      <c r="Z68" s="110"/>
      <c r="AA68" s="110"/>
      <c r="AB68" s="110"/>
      <c r="AC68" s="110"/>
      <c r="AD68" s="110"/>
      <c r="AE68" s="110"/>
      <c r="AF68" s="110"/>
      <c r="AG68" s="110"/>
      <c r="AH68" s="110"/>
      <c r="AI68" s="110"/>
      <c r="AJ68" s="110"/>
      <c r="AK68" s="110"/>
      <c r="AL68" s="110"/>
      <c r="AM68" s="110"/>
      <c r="AN68" s="110"/>
      <c r="AO68" s="110"/>
      <c r="AP68" s="110"/>
      <c r="AQ68" s="110"/>
      <c r="AR68" s="110"/>
      <c r="AS68" s="110"/>
      <c r="AT68" s="110"/>
      <c r="AU68" s="110"/>
      <c r="AV68" s="110"/>
      <c r="AW68" s="110"/>
      <c r="AX68" s="110"/>
      <c r="AY68" s="110"/>
      <c r="AZ68" s="110"/>
      <c r="BA68" s="110"/>
      <c r="BB68" s="110"/>
      <c r="BC68" s="110"/>
      <c r="BD68" s="110"/>
      <c r="BE68" s="110"/>
      <c r="BF68" s="110"/>
      <c r="BG68" s="110"/>
      <c r="BH68" s="110"/>
      <c r="BI68" s="110"/>
      <c r="BJ68" s="110"/>
      <c r="BK68" s="110"/>
      <c r="BL68" s="110"/>
      <c r="BM68" s="110"/>
      <c r="BN68" s="110"/>
      <c r="BO68" s="110"/>
      <c r="BP68" s="110"/>
      <c r="BQ68" s="110"/>
      <c r="BR68" s="110"/>
      <c r="BS68" s="110"/>
      <c r="BT68" s="110"/>
      <c r="BU68" s="110"/>
      <c r="BV68" s="110"/>
      <c r="BW68" s="110"/>
      <c r="BX68" s="110"/>
      <c r="BY68" s="110"/>
      <c r="BZ68" s="110"/>
      <c r="CA68" s="110"/>
      <c r="CB68" s="110"/>
      <c r="CC68" s="110"/>
      <c r="CD68" s="110"/>
      <c r="CE68" s="110"/>
      <c r="CF68" s="110"/>
      <c r="CG68" s="110"/>
      <c r="CH68" s="110"/>
      <c r="CI68" s="110"/>
      <c r="CJ68" s="110"/>
      <c r="CK68" s="110"/>
      <c r="CL68" s="110"/>
      <c r="CM68" s="110"/>
      <c r="CN68" s="110"/>
      <c r="CO68" s="110"/>
      <c r="CP68" s="110"/>
      <c r="CQ68" s="110"/>
      <c r="CR68" s="110"/>
      <c r="CS68" s="110"/>
      <c r="CT68" s="110"/>
      <c r="CU68" s="110"/>
      <c r="CV68" s="110"/>
      <c r="CW68" s="110"/>
      <c r="CX68" s="110"/>
      <c r="CY68" s="110"/>
      <c r="CZ68" s="110"/>
      <c r="DA68" s="110"/>
      <c r="DB68" s="110"/>
      <c r="DC68" s="110"/>
      <c r="DD68" s="110"/>
      <c r="DE68" s="110"/>
      <c r="DF68" s="110"/>
      <c r="DG68" s="110"/>
      <c r="DH68" s="110"/>
      <c r="DI68" s="110"/>
      <c r="DJ68" s="110"/>
      <c r="DK68" s="110"/>
      <c r="DL68" s="110"/>
      <c r="DM68" s="110"/>
      <c r="DN68" s="110"/>
      <c r="DO68" s="110"/>
      <c r="DP68" s="110"/>
      <c r="DQ68" s="110"/>
      <c r="DR68" s="110"/>
      <c r="DS68" s="110"/>
      <c r="DT68" s="110"/>
      <c r="DU68" s="110"/>
      <c r="DV68" s="110"/>
      <c r="DW68" s="110"/>
      <c r="DX68" s="110"/>
      <c r="DY68" s="110"/>
      <c r="DZ68" s="110"/>
      <c r="EA68" s="110"/>
      <c r="EB68" s="110"/>
      <c r="EC68" s="110"/>
      <c r="ED68" s="110"/>
      <c r="EE68" s="110"/>
      <c r="EF68" s="110"/>
      <c r="EG68" s="110"/>
      <c r="EH68" s="110"/>
      <c r="EI68" s="110"/>
      <c r="EJ68" s="110"/>
      <c r="EK68" s="111"/>
      <c r="EL68" s="110"/>
      <c r="EM68" s="110"/>
      <c r="EN68" s="110"/>
      <c r="EO68" s="110"/>
      <c r="EP68" s="110"/>
      <c r="EQ68" s="110"/>
      <c r="ER68" s="110"/>
      <c r="ES68" s="110"/>
      <c r="ET68" s="110"/>
      <c r="EU68" s="110"/>
      <c r="EV68" s="111"/>
    </row>
    <row r="69" spans="1:152" ht="14.5" x14ac:dyDescent="0.35">
      <c r="A69" s="145">
        <v>4363373652</v>
      </c>
      <c r="B69" s="116" t="s">
        <v>130</v>
      </c>
      <c r="C69" s="116" t="s">
        <v>130</v>
      </c>
      <c r="D69" s="111" t="s">
        <v>138</v>
      </c>
      <c r="E69" s="146" t="s">
        <v>546</v>
      </c>
      <c r="F69" s="147" t="s">
        <v>343</v>
      </c>
      <c r="G69" s="112">
        <v>43586</v>
      </c>
      <c r="H69" s="110" t="s">
        <v>270</v>
      </c>
      <c r="I69" s="117" t="s">
        <v>135</v>
      </c>
      <c r="J69" s="117" t="s">
        <v>133</v>
      </c>
      <c r="K69" s="110" t="s">
        <v>136</v>
      </c>
      <c r="L69" s="113">
        <v>14028</v>
      </c>
      <c r="M69" s="114">
        <v>43537</v>
      </c>
      <c r="N69" s="115">
        <f t="shared" si="1"/>
        <v>80</v>
      </c>
      <c r="O69" s="116" t="s">
        <v>399</v>
      </c>
      <c r="P69" s="117" t="s">
        <v>138</v>
      </c>
      <c r="Q69" s="110">
        <v>3</v>
      </c>
      <c r="R69" s="120" t="s">
        <v>164</v>
      </c>
      <c r="S69" s="110"/>
      <c r="T69" s="110"/>
      <c r="U69" s="110"/>
      <c r="V69" s="110"/>
      <c r="W69" s="110"/>
      <c r="X69" s="110"/>
      <c r="Y69" s="110"/>
      <c r="Z69" s="110"/>
      <c r="AA69" s="110"/>
      <c r="AB69" s="110"/>
      <c r="AC69" s="110"/>
      <c r="AD69" s="110"/>
      <c r="AE69" s="110"/>
      <c r="AF69" s="110"/>
      <c r="AG69" s="110"/>
      <c r="AH69" s="110"/>
      <c r="AI69" s="110"/>
      <c r="AJ69" s="110"/>
      <c r="AK69" s="110"/>
      <c r="AL69" s="110"/>
      <c r="AM69" s="110"/>
      <c r="AN69" s="110"/>
      <c r="AO69" s="110"/>
      <c r="AP69" s="110"/>
      <c r="AQ69" s="110"/>
      <c r="AR69" s="110"/>
      <c r="AS69" s="110"/>
      <c r="AT69" s="110"/>
      <c r="AU69" s="110"/>
      <c r="AV69" s="110"/>
      <c r="AW69" s="110"/>
      <c r="AX69" s="110"/>
      <c r="AY69" s="110"/>
      <c r="AZ69" s="110"/>
      <c r="BA69" s="110"/>
      <c r="BB69" s="110"/>
      <c r="BC69" s="110"/>
      <c r="BD69" s="110"/>
      <c r="BE69" s="110"/>
      <c r="BF69" s="110"/>
      <c r="BG69" s="110"/>
      <c r="BH69" s="110"/>
      <c r="BI69" s="110"/>
      <c r="BJ69" s="110"/>
      <c r="BK69" s="110"/>
      <c r="BL69" s="110"/>
      <c r="BM69" s="110"/>
      <c r="BN69" s="110"/>
      <c r="BO69" s="110"/>
      <c r="BP69" s="110"/>
      <c r="BQ69" s="110"/>
      <c r="BR69" s="110"/>
      <c r="BS69" s="110"/>
      <c r="BT69" s="110"/>
      <c r="BU69" s="110"/>
      <c r="BV69" s="110"/>
      <c r="BW69" s="110"/>
      <c r="BX69" s="110"/>
      <c r="BY69" s="110"/>
      <c r="BZ69" s="110"/>
      <c r="CA69" s="110"/>
      <c r="CB69" s="110"/>
      <c r="CC69" s="110"/>
      <c r="CD69" s="110"/>
      <c r="CE69" s="110"/>
      <c r="CF69" s="110"/>
      <c r="CG69" s="110"/>
      <c r="CH69" s="110"/>
      <c r="CI69" s="110"/>
      <c r="CJ69" s="110"/>
      <c r="CK69" s="110"/>
      <c r="CL69" s="110"/>
      <c r="CM69" s="110"/>
      <c r="CN69" s="110"/>
      <c r="CO69" s="110"/>
      <c r="CP69" s="110"/>
      <c r="CQ69" s="110"/>
      <c r="CR69" s="110"/>
      <c r="CS69" s="110"/>
      <c r="CT69" s="110"/>
      <c r="CU69" s="110"/>
      <c r="CV69" s="110"/>
      <c r="CW69" s="110"/>
      <c r="CX69" s="110"/>
      <c r="CY69" s="110"/>
      <c r="CZ69" s="110"/>
      <c r="DA69" s="110"/>
      <c r="DB69" s="110"/>
      <c r="DC69" s="110"/>
      <c r="DD69" s="110"/>
      <c r="DE69" s="110"/>
      <c r="DF69" s="110"/>
      <c r="DG69" s="110"/>
      <c r="DH69" s="110"/>
      <c r="DI69" s="110"/>
      <c r="DJ69" s="110"/>
      <c r="DK69" s="110"/>
      <c r="DL69" s="110"/>
      <c r="DM69" s="110"/>
      <c r="DN69" s="110"/>
      <c r="DO69" s="110"/>
      <c r="DP69" s="110"/>
      <c r="DQ69" s="110"/>
      <c r="DR69" s="110"/>
      <c r="DS69" s="110"/>
      <c r="DT69" s="110"/>
      <c r="DU69" s="110"/>
      <c r="DV69" s="110"/>
      <c r="DW69" s="110"/>
      <c r="DX69" s="110"/>
      <c r="DY69" s="110"/>
      <c r="DZ69" s="110"/>
      <c r="EA69" s="110"/>
      <c r="EB69" s="110"/>
      <c r="EC69" s="110"/>
      <c r="ED69" s="110"/>
      <c r="EE69" s="110"/>
      <c r="EF69" s="110"/>
      <c r="EG69" s="110"/>
      <c r="EH69" s="110"/>
      <c r="EI69" s="110"/>
      <c r="EJ69" s="110"/>
      <c r="EK69" s="111"/>
      <c r="EL69" s="110"/>
      <c r="EM69" s="110"/>
      <c r="EN69" s="110"/>
      <c r="EO69" s="110"/>
      <c r="EP69" s="110"/>
      <c r="EQ69" s="110"/>
      <c r="ER69" s="110"/>
      <c r="ES69" s="110"/>
      <c r="ET69" s="110"/>
      <c r="EU69" s="110"/>
      <c r="EV69" s="111"/>
    </row>
    <row r="70" spans="1:152" ht="14.5" x14ac:dyDescent="0.35">
      <c r="A70" s="108">
        <v>6163743970</v>
      </c>
      <c r="B70" s="116" t="s">
        <v>130</v>
      </c>
      <c r="C70" s="116" t="s">
        <v>130</v>
      </c>
      <c r="D70" s="111" t="s">
        <v>138</v>
      </c>
      <c r="E70" s="144" t="s">
        <v>547</v>
      </c>
      <c r="F70" s="110" t="s">
        <v>548</v>
      </c>
      <c r="G70" s="112">
        <v>43655</v>
      </c>
      <c r="H70" s="110" t="s">
        <v>270</v>
      </c>
      <c r="I70" s="117" t="s">
        <v>135</v>
      </c>
      <c r="J70" s="117" t="s">
        <v>133</v>
      </c>
      <c r="K70" s="110" t="s">
        <v>136</v>
      </c>
      <c r="L70" s="113">
        <v>16692</v>
      </c>
      <c r="M70" s="114">
        <v>43600</v>
      </c>
      <c r="N70" s="115">
        <f t="shared" si="1"/>
        <v>73</v>
      </c>
      <c r="O70" s="116" t="s">
        <v>399</v>
      </c>
      <c r="P70" s="117" t="s">
        <v>130</v>
      </c>
      <c r="Q70" s="110">
        <v>3</v>
      </c>
      <c r="R70" s="120" t="s">
        <v>426</v>
      </c>
      <c r="S70" s="110"/>
      <c r="T70" s="110"/>
      <c r="U70" s="110"/>
      <c r="V70" s="110"/>
      <c r="W70" s="110"/>
      <c r="X70" s="110"/>
      <c r="Y70" s="110"/>
      <c r="Z70" s="110"/>
      <c r="AA70" s="110"/>
      <c r="AB70" s="110"/>
      <c r="AC70" s="110"/>
      <c r="AD70" s="110"/>
      <c r="AE70" s="110"/>
      <c r="AF70" s="110"/>
      <c r="AG70" s="110"/>
      <c r="AH70" s="110"/>
      <c r="AI70" s="110"/>
      <c r="AJ70" s="110"/>
      <c r="AK70" s="110"/>
      <c r="AL70" s="110"/>
      <c r="AM70" s="110"/>
      <c r="AN70" s="110"/>
      <c r="AO70" s="110"/>
      <c r="AP70" s="110"/>
      <c r="AQ70" s="110"/>
      <c r="AR70" s="110"/>
      <c r="AS70" s="110"/>
      <c r="AT70" s="110"/>
      <c r="AU70" s="110"/>
      <c r="AV70" s="110"/>
      <c r="AW70" s="110"/>
      <c r="AX70" s="110"/>
      <c r="AY70" s="110"/>
      <c r="AZ70" s="110"/>
      <c r="BA70" s="110"/>
      <c r="BB70" s="110"/>
      <c r="BC70" s="110"/>
      <c r="BD70" s="110"/>
      <c r="BE70" s="110"/>
      <c r="BF70" s="110"/>
      <c r="BG70" s="110"/>
      <c r="BH70" s="110"/>
      <c r="BI70" s="110"/>
      <c r="BJ70" s="110"/>
      <c r="BK70" s="110"/>
      <c r="BL70" s="110"/>
      <c r="BM70" s="110"/>
      <c r="BN70" s="110"/>
      <c r="BO70" s="110"/>
      <c r="BP70" s="110"/>
      <c r="BQ70" s="110"/>
      <c r="BR70" s="110"/>
      <c r="BS70" s="110"/>
      <c r="BT70" s="110"/>
      <c r="BU70" s="110"/>
      <c r="BV70" s="110"/>
      <c r="BW70" s="110"/>
      <c r="BX70" s="110"/>
      <c r="BY70" s="110"/>
      <c r="BZ70" s="110"/>
      <c r="CA70" s="110"/>
      <c r="CB70" s="110"/>
      <c r="CC70" s="110"/>
      <c r="CD70" s="110"/>
      <c r="CE70" s="110"/>
      <c r="CF70" s="110"/>
      <c r="CG70" s="110"/>
      <c r="CH70" s="110"/>
      <c r="CI70" s="110"/>
      <c r="CJ70" s="110"/>
      <c r="CK70" s="110"/>
      <c r="CL70" s="110"/>
      <c r="CM70" s="110"/>
      <c r="CN70" s="110"/>
      <c r="CO70" s="110"/>
      <c r="CP70" s="110"/>
      <c r="CQ70" s="110"/>
      <c r="CR70" s="110"/>
      <c r="CS70" s="110"/>
      <c r="CT70" s="110"/>
      <c r="CU70" s="110"/>
      <c r="CV70" s="110"/>
      <c r="CW70" s="110"/>
      <c r="CX70" s="110"/>
      <c r="CY70" s="110"/>
      <c r="CZ70" s="110"/>
      <c r="DA70" s="110"/>
      <c r="DB70" s="110"/>
      <c r="DC70" s="110"/>
      <c r="DD70" s="110"/>
      <c r="DE70" s="110"/>
      <c r="DF70" s="110"/>
      <c r="DG70" s="110"/>
      <c r="DH70" s="110"/>
      <c r="DI70" s="110"/>
      <c r="DJ70" s="110"/>
      <c r="DK70" s="110"/>
      <c r="DL70" s="110"/>
      <c r="DM70" s="110"/>
      <c r="DN70" s="110"/>
      <c r="DO70" s="110"/>
      <c r="DP70" s="110"/>
      <c r="DQ70" s="110"/>
      <c r="DR70" s="110"/>
      <c r="DS70" s="110"/>
      <c r="DT70" s="110"/>
      <c r="DU70" s="110"/>
      <c r="DV70" s="110"/>
      <c r="DW70" s="110"/>
      <c r="DX70" s="110"/>
      <c r="DY70" s="110"/>
      <c r="DZ70" s="110"/>
      <c r="EA70" s="110"/>
      <c r="EB70" s="110"/>
      <c r="EC70" s="110"/>
      <c r="ED70" s="110"/>
      <c r="EE70" s="110"/>
      <c r="EF70" s="110"/>
      <c r="EG70" s="110"/>
      <c r="EH70" s="110"/>
      <c r="EI70" s="110"/>
      <c r="EJ70" s="110"/>
      <c r="EK70" s="111"/>
      <c r="EL70" s="110"/>
      <c r="EM70" s="110"/>
      <c r="EN70" s="110"/>
      <c r="EO70" s="110"/>
      <c r="EP70" s="110"/>
      <c r="EQ70" s="110"/>
      <c r="ER70" s="110"/>
      <c r="ES70" s="110"/>
      <c r="ET70" s="110"/>
      <c r="EU70" s="110"/>
      <c r="EV70" s="111"/>
    </row>
    <row r="71" spans="1:152" ht="14.5" x14ac:dyDescent="0.35">
      <c r="A71" s="108">
        <v>6244737083</v>
      </c>
      <c r="B71" s="116" t="s">
        <v>130</v>
      </c>
      <c r="C71" s="116" t="s">
        <v>130</v>
      </c>
      <c r="D71" s="111" t="s">
        <v>138</v>
      </c>
      <c r="E71" s="111" t="s">
        <v>549</v>
      </c>
      <c r="F71" s="110" t="s">
        <v>550</v>
      </c>
      <c r="G71" s="112">
        <v>43657</v>
      </c>
      <c r="H71" s="110" t="s">
        <v>270</v>
      </c>
      <c r="I71" s="117" t="s">
        <v>135</v>
      </c>
      <c r="J71" s="117" t="s">
        <v>133</v>
      </c>
      <c r="K71" s="110" t="s">
        <v>136</v>
      </c>
      <c r="L71" s="113">
        <v>16497</v>
      </c>
      <c r="M71" s="114">
        <v>43640</v>
      </c>
      <c r="N71" s="115">
        <f t="shared" si="1"/>
        <v>74</v>
      </c>
      <c r="O71" s="116" t="s">
        <v>520</v>
      </c>
      <c r="P71" s="117" t="s">
        <v>138</v>
      </c>
      <c r="Q71" s="110">
        <v>3</v>
      </c>
      <c r="R71" s="120" t="s">
        <v>198</v>
      </c>
      <c r="S71" s="110"/>
      <c r="T71" s="110"/>
      <c r="U71" s="110"/>
      <c r="V71" s="110"/>
      <c r="W71" s="110"/>
      <c r="X71" s="110"/>
      <c r="Y71" s="110"/>
      <c r="Z71" s="110"/>
      <c r="AA71" s="110"/>
      <c r="AB71" s="110"/>
      <c r="AC71" s="110"/>
      <c r="AD71" s="110"/>
      <c r="AE71" s="110"/>
      <c r="AF71" s="110"/>
      <c r="AG71" s="110"/>
      <c r="AH71" s="110"/>
      <c r="AI71" s="110"/>
      <c r="AJ71" s="110"/>
      <c r="AK71" s="110"/>
      <c r="AL71" s="110"/>
      <c r="AM71" s="110"/>
      <c r="AN71" s="110"/>
      <c r="AO71" s="110"/>
      <c r="AP71" s="110"/>
      <c r="AQ71" s="110"/>
      <c r="AR71" s="110"/>
      <c r="AS71" s="110"/>
      <c r="AT71" s="110"/>
      <c r="AU71" s="110"/>
      <c r="AV71" s="110"/>
      <c r="AW71" s="110"/>
      <c r="AX71" s="110"/>
      <c r="AY71" s="110"/>
      <c r="AZ71" s="110"/>
      <c r="BA71" s="110"/>
      <c r="BB71" s="110"/>
      <c r="BC71" s="110"/>
      <c r="BD71" s="110"/>
      <c r="BE71" s="110"/>
      <c r="BF71" s="110"/>
      <c r="BG71" s="110"/>
      <c r="BH71" s="110"/>
      <c r="BI71" s="110"/>
      <c r="BJ71" s="110"/>
      <c r="BK71" s="110"/>
      <c r="BL71" s="110"/>
      <c r="BM71" s="110"/>
      <c r="BN71" s="110"/>
      <c r="BO71" s="110"/>
      <c r="BP71" s="110"/>
      <c r="BQ71" s="110"/>
      <c r="BR71" s="110"/>
      <c r="BS71" s="110"/>
      <c r="BT71" s="110"/>
      <c r="BU71" s="110"/>
      <c r="BV71" s="110"/>
      <c r="BW71" s="110"/>
      <c r="BX71" s="110"/>
      <c r="BY71" s="110"/>
      <c r="BZ71" s="110"/>
      <c r="CA71" s="110"/>
      <c r="CB71" s="110"/>
      <c r="CC71" s="110"/>
      <c r="CD71" s="110"/>
      <c r="CE71" s="110"/>
      <c r="CF71" s="110"/>
      <c r="CG71" s="110"/>
      <c r="CH71" s="110"/>
      <c r="CI71" s="110"/>
      <c r="CJ71" s="110"/>
      <c r="CK71" s="110"/>
      <c r="CL71" s="110"/>
      <c r="CM71" s="110"/>
      <c r="CN71" s="110"/>
      <c r="CO71" s="110"/>
      <c r="CP71" s="110"/>
      <c r="CQ71" s="110"/>
      <c r="CR71" s="110"/>
      <c r="CS71" s="110"/>
      <c r="CT71" s="110"/>
      <c r="CU71" s="110"/>
      <c r="CV71" s="110"/>
      <c r="CW71" s="110"/>
      <c r="CX71" s="110"/>
      <c r="CY71" s="110"/>
      <c r="CZ71" s="110"/>
      <c r="DA71" s="110"/>
      <c r="DB71" s="110"/>
      <c r="DC71" s="110"/>
      <c r="DD71" s="110"/>
      <c r="DE71" s="110"/>
      <c r="DF71" s="110"/>
      <c r="DG71" s="110"/>
      <c r="DH71" s="110"/>
      <c r="DI71" s="110"/>
      <c r="DJ71" s="110"/>
      <c r="DK71" s="110"/>
      <c r="DL71" s="110"/>
      <c r="DM71" s="110"/>
      <c r="DN71" s="110"/>
      <c r="DO71" s="110"/>
      <c r="DP71" s="110"/>
      <c r="DQ71" s="110"/>
      <c r="DR71" s="110"/>
      <c r="DS71" s="110"/>
      <c r="DT71" s="110"/>
      <c r="DU71" s="110"/>
      <c r="DV71" s="110"/>
      <c r="DW71" s="110"/>
      <c r="DX71" s="110"/>
      <c r="DY71" s="110"/>
      <c r="DZ71" s="110"/>
      <c r="EA71" s="110"/>
      <c r="EB71" s="110"/>
      <c r="EC71" s="110"/>
      <c r="ED71" s="110"/>
      <c r="EE71" s="110"/>
      <c r="EF71" s="110"/>
      <c r="EG71" s="110"/>
      <c r="EH71" s="110"/>
      <c r="EI71" s="110"/>
      <c r="EJ71" s="110"/>
      <c r="EK71" s="111"/>
      <c r="EL71" s="110"/>
      <c r="EM71" s="110"/>
      <c r="EN71" s="110"/>
      <c r="EO71" s="110"/>
      <c r="EP71" s="110"/>
      <c r="EQ71" s="110"/>
      <c r="ER71" s="110"/>
      <c r="ES71" s="110"/>
      <c r="ET71" s="110"/>
      <c r="EU71" s="110"/>
      <c r="EV71" s="111"/>
    </row>
    <row r="72" spans="1:152" ht="14.5" x14ac:dyDescent="0.35">
      <c r="A72" s="108">
        <v>4227414555</v>
      </c>
      <c r="B72" s="116" t="s">
        <v>130</v>
      </c>
      <c r="C72" s="116" t="s">
        <v>130</v>
      </c>
      <c r="D72" s="111" t="s">
        <v>138</v>
      </c>
      <c r="E72" s="144" t="s">
        <v>551</v>
      </c>
      <c r="F72" s="110" t="s">
        <v>366</v>
      </c>
      <c r="G72" s="112">
        <v>43658</v>
      </c>
      <c r="H72" s="110" t="s">
        <v>270</v>
      </c>
      <c r="I72" s="117" t="s">
        <v>135</v>
      </c>
      <c r="J72" s="117" t="s">
        <v>133</v>
      </c>
      <c r="K72" s="110" t="s">
        <v>136</v>
      </c>
      <c r="L72" s="113">
        <v>17690</v>
      </c>
      <c r="M72" s="114">
        <v>43619</v>
      </c>
      <c r="N72" s="115">
        <f t="shared" si="1"/>
        <v>70</v>
      </c>
      <c r="O72" s="116" t="s">
        <v>147</v>
      </c>
      <c r="P72" s="117" t="s">
        <v>138</v>
      </c>
      <c r="Q72" s="110">
        <v>1</v>
      </c>
      <c r="R72" s="120">
        <v>2</v>
      </c>
      <c r="S72" s="110"/>
      <c r="T72" s="110"/>
      <c r="U72" s="110"/>
      <c r="V72" s="110"/>
      <c r="W72" s="110"/>
      <c r="X72" s="110"/>
      <c r="Y72" s="110"/>
      <c r="Z72" s="110"/>
      <c r="AA72" s="110"/>
      <c r="AB72" s="110"/>
      <c r="AC72" s="110"/>
      <c r="AD72" s="110"/>
      <c r="AE72" s="110"/>
      <c r="AF72" s="110"/>
      <c r="AG72" s="110"/>
      <c r="AH72" s="110"/>
      <c r="AI72" s="110"/>
      <c r="AJ72" s="110"/>
      <c r="AK72" s="110"/>
      <c r="AL72" s="110"/>
      <c r="AM72" s="110"/>
      <c r="AN72" s="110"/>
      <c r="AO72" s="110"/>
      <c r="AP72" s="110"/>
      <c r="AQ72" s="110"/>
      <c r="AR72" s="110"/>
      <c r="AS72" s="110"/>
      <c r="AT72" s="110"/>
      <c r="AU72" s="110"/>
      <c r="AV72" s="110"/>
      <c r="AW72" s="110"/>
      <c r="AX72" s="110"/>
      <c r="AY72" s="110"/>
      <c r="AZ72" s="110"/>
      <c r="BA72" s="110"/>
      <c r="BB72" s="110"/>
      <c r="BC72" s="110"/>
      <c r="BD72" s="110"/>
      <c r="BE72" s="110"/>
      <c r="BF72" s="110"/>
      <c r="BG72" s="110"/>
      <c r="BH72" s="110"/>
      <c r="BI72" s="110"/>
      <c r="BJ72" s="110"/>
      <c r="BK72" s="110"/>
      <c r="BL72" s="110"/>
      <c r="BM72" s="110"/>
      <c r="BN72" s="110"/>
      <c r="BO72" s="110"/>
      <c r="BP72" s="110"/>
      <c r="BQ72" s="110"/>
      <c r="BR72" s="110"/>
      <c r="BS72" s="110"/>
      <c r="BT72" s="110"/>
      <c r="BU72" s="110"/>
      <c r="BV72" s="110"/>
      <c r="BW72" s="110"/>
      <c r="BX72" s="110"/>
      <c r="BY72" s="110"/>
      <c r="BZ72" s="110"/>
      <c r="CA72" s="110"/>
      <c r="CB72" s="110"/>
      <c r="CC72" s="110"/>
      <c r="CD72" s="110"/>
      <c r="CE72" s="110"/>
      <c r="CF72" s="110"/>
      <c r="CG72" s="110"/>
      <c r="CH72" s="110"/>
      <c r="CI72" s="110"/>
      <c r="CJ72" s="110"/>
      <c r="CK72" s="110"/>
      <c r="CL72" s="110"/>
      <c r="CM72" s="110"/>
      <c r="CN72" s="110"/>
      <c r="CO72" s="110"/>
      <c r="CP72" s="110"/>
      <c r="CQ72" s="110"/>
      <c r="CR72" s="110"/>
      <c r="CS72" s="110"/>
      <c r="CT72" s="110"/>
      <c r="CU72" s="110"/>
      <c r="CV72" s="110"/>
      <c r="CW72" s="110"/>
      <c r="CX72" s="110"/>
      <c r="CY72" s="110"/>
      <c r="CZ72" s="110"/>
      <c r="DA72" s="110"/>
      <c r="DB72" s="110"/>
      <c r="DC72" s="110"/>
      <c r="DD72" s="110"/>
      <c r="DE72" s="110"/>
      <c r="DF72" s="110"/>
      <c r="DG72" s="110"/>
      <c r="DH72" s="110"/>
      <c r="DI72" s="110"/>
      <c r="DJ72" s="110"/>
      <c r="DK72" s="110"/>
      <c r="DL72" s="110"/>
      <c r="DM72" s="110"/>
      <c r="DN72" s="110"/>
      <c r="DO72" s="110"/>
      <c r="DP72" s="110"/>
      <c r="DQ72" s="110"/>
      <c r="DR72" s="110"/>
      <c r="DS72" s="110"/>
      <c r="DT72" s="110"/>
      <c r="DU72" s="110"/>
      <c r="DV72" s="110"/>
      <c r="DW72" s="110"/>
      <c r="DX72" s="110"/>
      <c r="DY72" s="110"/>
      <c r="DZ72" s="110"/>
      <c r="EA72" s="110"/>
      <c r="EB72" s="110"/>
      <c r="EC72" s="110"/>
      <c r="ED72" s="110"/>
      <c r="EE72" s="110"/>
      <c r="EF72" s="110"/>
      <c r="EG72" s="110"/>
      <c r="EH72" s="110"/>
      <c r="EI72" s="110"/>
      <c r="EJ72" s="110"/>
      <c r="EK72" s="111"/>
      <c r="EL72" s="110"/>
      <c r="EM72" s="110"/>
      <c r="EN72" s="110"/>
      <c r="EO72" s="110"/>
      <c r="EP72" s="110"/>
      <c r="EQ72" s="110"/>
      <c r="ER72" s="110"/>
      <c r="ES72" s="110"/>
      <c r="ET72" s="110"/>
      <c r="EU72" s="110"/>
      <c r="EV72" s="111"/>
    </row>
    <row r="73" spans="1:152" ht="14.5" x14ac:dyDescent="0.35">
      <c r="A73" s="108">
        <v>4509326874</v>
      </c>
      <c r="B73" s="116" t="s">
        <v>130</v>
      </c>
      <c r="C73" s="116" t="s">
        <v>130</v>
      </c>
      <c r="D73" s="111" t="s">
        <v>138</v>
      </c>
      <c r="E73" s="144" t="s">
        <v>552</v>
      </c>
      <c r="F73" s="110" t="s">
        <v>553</v>
      </c>
      <c r="G73" s="112">
        <v>43658</v>
      </c>
      <c r="H73" s="110" t="s">
        <v>203</v>
      </c>
      <c r="I73" s="117" t="s">
        <v>135</v>
      </c>
      <c r="J73" s="117" t="s">
        <v>133</v>
      </c>
      <c r="K73" s="110" t="s">
        <v>136</v>
      </c>
      <c r="L73" s="113">
        <v>18357</v>
      </c>
      <c r="M73" s="114">
        <v>43619</v>
      </c>
      <c r="N73" s="115">
        <f t="shared" si="1"/>
        <v>69</v>
      </c>
      <c r="O73" s="116" t="s">
        <v>399</v>
      </c>
      <c r="P73" s="117" t="s">
        <v>138</v>
      </c>
      <c r="Q73" s="110">
        <v>2</v>
      </c>
      <c r="R73" s="120" t="s">
        <v>148</v>
      </c>
      <c r="S73" s="110"/>
      <c r="T73" s="110"/>
      <c r="U73" s="110"/>
      <c r="V73" s="110"/>
      <c r="W73" s="110"/>
      <c r="X73" s="110"/>
      <c r="Y73" s="110"/>
      <c r="Z73" s="110"/>
      <c r="AA73" s="110"/>
      <c r="AB73" s="110"/>
      <c r="AC73" s="110"/>
      <c r="AD73" s="110"/>
      <c r="AE73" s="110"/>
      <c r="AF73" s="110"/>
      <c r="AG73" s="110"/>
      <c r="AH73" s="110"/>
      <c r="AI73" s="110"/>
      <c r="AJ73" s="110"/>
      <c r="AK73" s="110"/>
      <c r="AL73" s="110"/>
      <c r="AM73" s="110"/>
      <c r="AN73" s="110"/>
      <c r="AO73" s="110"/>
      <c r="AP73" s="110"/>
      <c r="AQ73" s="110"/>
      <c r="AR73" s="110"/>
      <c r="AS73" s="110"/>
      <c r="AT73" s="110"/>
      <c r="AU73" s="110"/>
      <c r="AV73" s="110"/>
      <c r="AW73" s="110"/>
      <c r="AX73" s="110"/>
      <c r="AY73" s="110"/>
      <c r="AZ73" s="110"/>
      <c r="BA73" s="110"/>
      <c r="BB73" s="110"/>
      <c r="BC73" s="110"/>
      <c r="BD73" s="110"/>
      <c r="BE73" s="110"/>
      <c r="BF73" s="110"/>
      <c r="BG73" s="110"/>
      <c r="BH73" s="110"/>
      <c r="BI73" s="110"/>
      <c r="BJ73" s="110"/>
      <c r="BK73" s="110"/>
      <c r="BL73" s="110"/>
      <c r="BM73" s="110"/>
      <c r="BN73" s="110"/>
      <c r="BO73" s="110"/>
      <c r="BP73" s="110"/>
      <c r="BQ73" s="110"/>
      <c r="BR73" s="110"/>
      <c r="BS73" s="110"/>
      <c r="BT73" s="110"/>
      <c r="BU73" s="110"/>
      <c r="BV73" s="110"/>
      <c r="BW73" s="110"/>
      <c r="BX73" s="110"/>
      <c r="BY73" s="110"/>
      <c r="BZ73" s="110"/>
      <c r="CA73" s="110"/>
      <c r="CB73" s="110"/>
      <c r="CC73" s="110"/>
      <c r="CD73" s="110"/>
      <c r="CE73" s="110"/>
      <c r="CF73" s="110"/>
      <c r="CG73" s="110"/>
      <c r="CH73" s="110"/>
      <c r="CI73" s="110"/>
      <c r="CJ73" s="110"/>
      <c r="CK73" s="110"/>
      <c r="CL73" s="110"/>
      <c r="CM73" s="110"/>
      <c r="CN73" s="110"/>
      <c r="CO73" s="110"/>
      <c r="CP73" s="110"/>
      <c r="CQ73" s="110"/>
      <c r="CR73" s="110"/>
      <c r="CS73" s="110"/>
      <c r="CT73" s="110"/>
      <c r="CU73" s="110"/>
      <c r="CV73" s="110"/>
      <c r="CW73" s="110"/>
      <c r="CX73" s="110"/>
      <c r="CY73" s="110"/>
      <c r="CZ73" s="110"/>
      <c r="DA73" s="110"/>
      <c r="DB73" s="110"/>
      <c r="DC73" s="110"/>
      <c r="DD73" s="110"/>
      <c r="DE73" s="110"/>
      <c r="DF73" s="110"/>
      <c r="DG73" s="110"/>
      <c r="DH73" s="110"/>
      <c r="DI73" s="110"/>
      <c r="DJ73" s="110"/>
      <c r="DK73" s="110"/>
      <c r="DL73" s="110"/>
      <c r="DM73" s="110"/>
      <c r="DN73" s="110"/>
      <c r="DO73" s="110"/>
      <c r="DP73" s="110"/>
      <c r="DQ73" s="110"/>
      <c r="DR73" s="110"/>
      <c r="DS73" s="110"/>
      <c r="DT73" s="110"/>
      <c r="DU73" s="110"/>
      <c r="DV73" s="110"/>
      <c r="DW73" s="110"/>
      <c r="DX73" s="110"/>
      <c r="DY73" s="110"/>
      <c r="DZ73" s="110"/>
      <c r="EA73" s="110"/>
      <c r="EB73" s="110"/>
      <c r="EC73" s="110"/>
      <c r="ED73" s="110"/>
      <c r="EE73" s="110"/>
      <c r="EF73" s="110"/>
      <c r="EG73" s="110"/>
      <c r="EH73" s="110"/>
      <c r="EI73" s="110"/>
      <c r="EJ73" s="110"/>
      <c r="EK73" s="111"/>
      <c r="EL73" s="110"/>
      <c r="EM73" s="110"/>
      <c r="EN73" s="110"/>
      <c r="EO73" s="110"/>
      <c r="EP73" s="110"/>
      <c r="EQ73" s="110"/>
      <c r="ER73" s="110"/>
      <c r="ES73" s="110"/>
      <c r="ET73" s="110"/>
      <c r="EU73" s="110"/>
      <c r="EV73" s="111"/>
    </row>
    <row r="74" spans="1:152" ht="14.5" x14ac:dyDescent="0.35">
      <c r="A74" s="108">
        <v>4860443551</v>
      </c>
      <c r="B74" s="116" t="s">
        <v>130</v>
      </c>
      <c r="C74" s="116" t="s">
        <v>130</v>
      </c>
      <c r="D74" s="111" t="s">
        <v>138</v>
      </c>
      <c r="E74" s="144" t="s">
        <v>554</v>
      </c>
      <c r="F74" s="110" t="s">
        <v>555</v>
      </c>
      <c r="G74" s="112">
        <v>43686</v>
      </c>
      <c r="H74" s="110" t="s">
        <v>556</v>
      </c>
      <c r="I74" s="117" t="s">
        <v>135</v>
      </c>
      <c r="J74" s="117" t="s">
        <v>133</v>
      </c>
      <c r="K74" s="110" t="s">
        <v>136</v>
      </c>
      <c r="L74" s="113">
        <v>21371</v>
      </c>
      <c r="M74" s="114">
        <v>43658</v>
      </c>
      <c r="N74" s="115">
        <f t="shared" si="1"/>
        <v>61</v>
      </c>
      <c r="O74" s="116" t="s">
        <v>399</v>
      </c>
      <c r="P74" s="157" t="s">
        <v>138</v>
      </c>
      <c r="Q74" s="110">
        <v>3</v>
      </c>
      <c r="R74" s="120" t="s">
        <v>148</v>
      </c>
      <c r="S74" s="110"/>
      <c r="T74" s="110"/>
      <c r="U74" s="110"/>
      <c r="V74" s="110"/>
      <c r="W74" s="110"/>
      <c r="X74" s="110"/>
      <c r="Y74" s="110"/>
      <c r="Z74" s="110"/>
      <c r="AA74" s="110"/>
      <c r="AB74" s="110"/>
      <c r="AC74" s="110"/>
      <c r="AD74" s="110"/>
      <c r="AE74" s="110"/>
      <c r="AF74" s="110"/>
      <c r="AG74" s="110"/>
      <c r="AH74" s="110"/>
      <c r="AI74" s="110"/>
      <c r="AJ74" s="110"/>
      <c r="AK74" s="110"/>
      <c r="AL74" s="110"/>
      <c r="AM74" s="110"/>
      <c r="AN74" s="110"/>
      <c r="AO74" s="110"/>
      <c r="AP74" s="110"/>
      <c r="AQ74" s="110"/>
      <c r="AR74" s="110"/>
      <c r="AS74" s="110"/>
      <c r="AT74" s="110"/>
      <c r="AU74" s="110"/>
      <c r="AV74" s="110"/>
      <c r="AW74" s="110"/>
      <c r="AX74" s="110"/>
      <c r="AY74" s="110"/>
      <c r="AZ74" s="110"/>
      <c r="BA74" s="110"/>
      <c r="BB74" s="110"/>
      <c r="BC74" s="110"/>
      <c r="BD74" s="110"/>
      <c r="BE74" s="110"/>
      <c r="BF74" s="110"/>
      <c r="BG74" s="110"/>
      <c r="BH74" s="110"/>
      <c r="BI74" s="110"/>
      <c r="BJ74" s="110"/>
      <c r="BK74" s="110"/>
      <c r="BL74" s="110"/>
      <c r="BM74" s="110"/>
      <c r="BN74" s="110"/>
      <c r="BO74" s="110"/>
      <c r="BP74" s="110"/>
      <c r="BQ74" s="110"/>
      <c r="BR74" s="110"/>
      <c r="BS74" s="110"/>
      <c r="BT74" s="110"/>
      <c r="BU74" s="110"/>
      <c r="BV74" s="110"/>
      <c r="BW74" s="110"/>
      <c r="BX74" s="110"/>
      <c r="BY74" s="110"/>
      <c r="BZ74" s="110"/>
      <c r="CA74" s="110"/>
      <c r="CB74" s="110"/>
      <c r="CC74" s="110"/>
      <c r="CD74" s="110"/>
      <c r="CE74" s="110"/>
      <c r="CF74" s="110"/>
      <c r="CG74" s="110"/>
      <c r="CH74" s="110"/>
      <c r="CI74" s="110"/>
      <c r="CJ74" s="110"/>
      <c r="CK74" s="110"/>
      <c r="CL74" s="110"/>
      <c r="CM74" s="110"/>
      <c r="CN74" s="110"/>
      <c r="CO74" s="110"/>
      <c r="CP74" s="110"/>
      <c r="CQ74" s="110"/>
      <c r="CR74" s="110"/>
      <c r="CS74" s="110"/>
      <c r="CT74" s="110"/>
      <c r="CU74" s="110"/>
      <c r="CV74" s="110"/>
      <c r="CW74" s="110"/>
      <c r="CX74" s="110"/>
      <c r="CY74" s="110"/>
      <c r="CZ74" s="110"/>
      <c r="DA74" s="110"/>
      <c r="DB74" s="110"/>
      <c r="DC74" s="110"/>
      <c r="DD74" s="110"/>
      <c r="DE74" s="110"/>
      <c r="DF74" s="110"/>
      <c r="DG74" s="110"/>
      <c r="DH74" s="110"/>
      <c r="DI74" s="110"/>
      <c r="DJ74" s="110"/>
      <c r="DK74" s="110"/>
      <c r="DL74" s="110"/>
      <c r="DM74" s="110"/>
      <c r="DN74" s="110"/>
      <c r="DO74" s="110"/>
      <c r="DP74" s="110"/>
      <c r="DQ74" s="110"/>
      <c r="DR74" s="110"/>
      <c r="DS74" s="110"/>
      <c r="DT74" s="110"/>
      <c r="DU74" s="110"/>
      <c r="DV74" s="110"/>
      <c r="DW74" s="110"/>
      <c r="DX74" s="110"/>
      <c r="DY74" s="110"/>
      <c r="DZ74" s="110"/>
      <c r="EA74" s="110"/>
      <c r="EB74" s="110"/>
      <c r="EC74" s="110"/>
      <c r="ED74" s="110"/>
      <c r="EE74" s="110"/>
      <c r="EF74" s="110"/>
      <c r="EG74" s="110"/>
      <c r="EH74" s="110"/>
      <c r="EI74" s="110"/>
      <c r="EJ74" s="110"/>
      <c r="EK74" s="111"/>
      <c r="EL74" s="110"/>
      <c r="EM74" s="110"/>
      <c r="EN74" s="110"/>
      <c r="EO74" s="110"/>
      <c r="EP74" s="110"/>
      <c r="EQ74" s="110"/>
      <c r="ER74" s="110"/>
      <c r="ES74" s="110"/>
      <c r="ET74" s="110"/>
      <c r="EU74" s="110"/>
      <c r="EV74" s="111"/>
    </row>
    <row r="75" spans="1:152" ht="14.5" x14ac:dyDescent="0.35">
      <c r="A75" s="108">
        <v>6240274666</v>
      </c>
      <c r="B75" s="116" t="s">
        <v>130</v>
      </c>
      <c r="C75" s="116" t="s">
        <v>130</v>
      </c>
      <c r="D75" s="111" t="s">
        <v>138</v>
      </c>
      <c r="E75" s="111" t="s">
        <v>557</v>
      </c>
      <c r="F75" s="110" t="s">
        <v>558</v>
      </c>
      <c r="G75" s="112">
        <v>43692</v>
      </c>
      <c r="H75" s="110" t="s">
        <v>270</v>
      </c>
      <c r="I75" s="117" t="s">
        <v>135</v>
      </c>
      <c r="J75" s="117" t="s">
        <v>133</v>
      </c>
      <c r="K75" s="110" t="s">
        <v>136</v>
      </c>
      <c r="L75" s="113">
        <v>19084</v>
      </c>
      <c r="M75" s="114">
        <v>43649</v>
      </c>
      <c r="N75" s="115">
        <f t="shared" si="1"/>
        <v>67</v>
      </c>
      <c r="O75" s="116" t="s">
        <v>559</v>
      </c>
      <c r="P75" s="117" t="s">
        <v>138</v>
      </c>
      <c r="Q75" s="110">
        <v>3</v>
      </c>
      <c r="R75" s="120" t="s">
        <v>198</v>
      </c>
      <c r="S75" s="110"/>
      <c r="T75" s="110"/>
      <c r="U75" s="110"/>
      <c r="V75" s="110"/>
      <c r="W75" s="110"/>
      <c r="X75" s="110"/>
      <c r="Y75" s="110"/>
      <c r="Z75" s="110"/>
      <c r="AA75" s="110"/>
      <c r="AB75" s="110"/>
      <c r="AC75" s="110"/>
      <c r="AD75" s="110"/>
      <c r="AE75" s="110"/>
      <c r="AF75" s="110"/>
      <c r="AG75" s="110"/>
      <c r="AH75" s="110"/>
      <c r="AI75" s="110"/>
      <c r="AJ75" s="110"/>
      <c r="AK75" s="110"/>
      <c r="AL75" s="110"/>
      <c r="AM75" s="110"/>
      <c r="AN75" s="110"/>
      <c r="AO75" s="110"/>
      <c r="AP75" s="110"/>
      <c r="AQ75" s="110"/>
      <c r="AR75" s="110"/>
      <c r="AS75" s="110"/>
      <c r="AT75" s="110"/>
      <c r="AU75" s="110"/>
      <c r="AV75" s="110"/>
      <c r="AW75" s="110"/>
      <c r="AX75" s="110"/>
      <c r="AY75" s="110"/>
      <c r="AZ75" s="110"/>
      <c r="BA75" s="110"/>
      <c r="BB75" s="110"/>
      <c r="BC75" s="110"/>
      <c r="BD75" s="110"/>
      <c r="BE75" s="110"/>
      <c r="BF75" s="110"/>
      <c r="BG75" s="110"/>
      <c r="BH75" s="110"/>
      <c r="BI75" s="110"/>
      <c r="BJ75" s="110"/>
      <c r="BK75" s="110"/>
      <c r="BL75" s="110"/>
      <c r="BM75" s="110"/>
      <c r="BN75" s="110"/>
      <c r="BO75" s="110"/>
      <c r="BP75" s="110"/>
      <c r="BQ75" s="110"/>
      <c r="BR75" s="110"/>
      <c r="BS75" s="110"/>
      <c r="BT75" s="110"/>
      <c r="BU75" s="110"/>
      <c r="BV75" s="110"/>
      <c r="BW75" s="110"/>
      <c r="BX75" s="110"/>
      <c r="BY75" s="110"/>
      <c r="BZ75" s="110"/>
      <c r="CA75" s="110"/>
      <c r="CB75" s="110"/>
      <c r="CC75" s="110"/>
      <c r="CD75" s="110"/>
      <c r="CE75" s="110"/>
      <c r="CF75" s="110"/>
      <c r="CG75" s="110"/>
      <c r="CH75" s="110"/>
      <c r="CI75" s="110"/>
      <c r="CJ75" s="110"/>
      <c r="CK75" s="110"/>
      <c r="CL75" s="110"/>
      <c r="CM75" s="110"/>
      <c r="CN75" s="110"/>
      <c r="CO75" s="110"/>
      <c r="CP75" s="110"/>
      <c r="CQ75" s="110"/>
      <c r="CR75" s="110"/>
      <c r="CS75" s="110"/>
      <c r="CT75" s="110"/>
      <c r="CU75" s="110"/>
      <c r="CV75" s="110"/>
      <c r="CW75" s="110"/>
      <c r="CX75" s="110"/>
      <c r="CY75" s="110"/>
      <c r="CZ75" s="110"/>
      <c r="DA75" s="110"/>
      <c r="DB75" s="110"/>
      <c r="DC75" s="110"/>
      <c r="DD75" s="110"/>
      <c r="DE75" s="110"/>
      <c r="DF75" s="110"/>
      <c r="DG75" s="110"/>
      <c r="DH75" s="110"/>
      <c r="DI75" s="110"/>
      <c r="DJ75" s="110"/>
      <c r="DK75" s="110"/>
      <c r="DL75" s="110"/>
      <c r="DM75" s="110"/>
      <c r="DN75" s="110"/>
      <c r="DO75" s="110"/>
      <c r="DP75" s="110"/>
      <c r="DQ75" s="110"/>
      <c r="DR75" s="110"/>
      <c r="DS75" s="110"/>
      <c r="DT75" s="110"/>
      <c r="DU75" s="110"/>
      <c r="DV75" s="110"/>
      <c r="DW75" s="110"/>
      <c r="DX75" s="110"/>
      <c r="DY75" s="110"/>
      <c r="DZ75" s="110"/>
      <c r="EA75" s="110"/>
      <c r="EB75" s="110"/>
      <c r="EC75" s="110"/>
      <c r="ED75" s="110"/>
      <c r="EE75" s="110"/>
      <c r="EF75" s="110"/>
      <c r="EG75" s="110"/>
      <c r="EH75" s="110"/>
      <c r="EI75" s="110"/>
      <c r="EJ75" s="110"/>
      <c r="EK75" s="111"/>
      <c r="EL75" s="110"/>
      <c r="EM75" s="110"/>
      <c r="EN75" s="110"/>
      <c r="EO75" s="110"/>
      <c r="EP75" s="110"/>
      <c r="EQ75" s="110"/>
      <c r="ER75" s="110"/>
      <c r="ES75" s="110"/>
      <c r="ET75" s="110"/>
      <c r="EU75" s="110"/>
      <c r="EV75" s="111"/>
    </row>
    <row r="76" spans="1:152" ht="14.5" x14ac:dyDescent="0.35">
      <c r="A76" s="108">
        <v>4367242315</v>
      </c>
      <c r="B76" s="116" t="s">
        <v>130</v>
      </c>
      <c r="C76" s="116" t="s">
        <v>130</v>
      </c>
      <c r="D76" s="111" t="s">
        <v>138</v>
      </c>
      <c r="E76" s="111" t="s">
        <v>560</v>
      </c>
      <c r="F76" s="110" t="s">
        <v>353</v>
      </c>
      <c r="G76" s="112">
        <v>43707</v>
      </c>
      <c r="H76" s="110" t="s">
        <v>270</v>
      </c>
      <c r="I76" s="117" t="s">
        <v>135</v>
      </c>
      <c r="J76" s="117" t="s">
        <v>133</v>
      </c>
      <c r="K76" s="110" t="s">
        <v>136</v>
      </c>
      <c r="L76" s="113">
        <v>14484</v>
      </c>
      <c r="M76" s="114">
        <v>43651</v>
      </c>
      <c r="N76" s="115">
        <f t="shared" si="1"/>
        <v>79</v>
      </c>
      <c r="O76" s="116" t="s">
        <v>520</v>
      </c>
      <c r="P76" s="117" t="s">
        <v>130</v>
      </c>
      <c r="Q76" s="110">
        <v>3</v>
      </c>
      <c r="R76" s="120" t="s">
        <v>426</v>
      </c>
      <c r="S76" s="110"/>
      <c r="T76" s="110"/>
      <c r="U76" s="110"/>
      <c r="V76" s="110"/>
      <c r="W76" s="110"/>
      <c r="X76" s="110"/>
      <c r="Y76" s="110"/>
      <c r="Z76" s="110"/>
      <c r="AA76" s="110"/>
      <c r="AB76" s="110"/>
      <c r="AC76" s="110"/>
      <c r="AD76" s="110"/>
      <c r="AE76" s="110"/>
      <c r="AF76" s="110"/>
      <c r="AG76" s="110"/>
      <c r="AH76" s="110"/>
      <c r="AI76" s="110"/>
      <c r="AJ76" s="110"/>
      <c r="AK76" s="110"/>
      <c r="AL76" s="110"/>
      <c r="AM76" s="110"/>
      <c r="AN76" s="110"/>
      <c r="AO76" s="110"/>
      <c r="AP76" s="110"/>
      <c r="AQ76" s="110"/>
      <c r="AR76" s="110"/>
      <c r="AS76" s="110"/>
      <c r="AT76" s="110"/>
      <c r="AU76" s="110"/>
      <c r="AV76" s="110"/>
      <c r="AW76" s="110"/>
      <c r="AX76" s="110"/>
      <c r="AY76" s="110"/>
      <c r="AZ76" s="110"/>
      <c r="BA76" s="110"/>
      <c r="BB76" s="110"/>
      <c r="BC76" s="110"/>
      <c r="BD76" s="110"/>
      <c r="BE76" s="110"/>
      <c r="BF76" s="110"/>
      <c r="BG76" s="110"/>
      <c r="BH76" s="110"/>
      <c r="BI76" s="110"/>
      <c r="BJ76" s="110"/>
      <c r="BK76" s="110"/>
      <c r="BL76" s="110"/>
      <c r="BM76" s="110"/>
      <c r="BN76" s="110"/>
      <c r="BO76" s="110"/>
      <c r="BP76" s="110"/>
      <c r="BQ76" s="110"/>
      <c r="BR76" s="110"/>
      <c r="BS76" s="110"/>
      <c r="BT76" s="110"/>
      <c r="BU76" s="110"/>
      <c r="BV76" s="110"/>
      <c r="BW76" s="110"/>
      <c r="BX76" s="110"/>
      <c r="BY76" s="110"/>
      <c r="BZ76" s="110"/>
      <c r="CA76" s="110"/>
      <c r="CB76" s="110"/>
      <c r="CC76" s="110"/>
      <c r="CD76" s="110"/>
      <c r="CE76" s="110"/>
      <c r="CF76" s="110"/>
      <c r="CG76" s="110"/>
      <c r="CH76" s="110"/>
      <c r="CI76" s="110"/>
      <c r="CJ76" s="110"/>
      <c r="CK76" s="110"/>
      <c r="CL76" s="110"/>
      <c r="CM76" s="110"/>
      <c r="CN76" s="110"/>
      <c r="CO76" s="110"/>
      <c r="CP76" s="110"/>
      <c r="CQ76" s="110"/>
      <c r="CR76" s="110"/>
      <c r="CS76" s="110"/>
      <c r="CT76" s="110"/>
      <c r="CU76" s="110"/>
      <c r="CV76" s="110"/>
      <c r="CW76" s="110"/>
      <c r="CX76" s="110"/>
      <c r="CY76" s="110"/>
      <c r="CZ76" s="110"/>
      <c r="DA76" s="110"/>
      <c r="DB76" s="110"/>
      <c r="DC76" s="110"/>
      <c r="DD76" s="110"/>
      <c r="DE76" s="110"/>
      <c r="DF76" s="110"/>
      <c r="DG76" s="110"/>
      <c r="DH76" s="110"/>
      <c r="DI76" s="110"/>
      <c r="DJ76" s="110"/>
      <c r="DK76" s="110"/>
      <c r="DL76" s="110"/>
      <c r="DM76" s="110"/>
      <c r="DN76" s="110"/>
      <c r="DO76" s="110"/>
      <c r="DP76" s="110"/>
      <c r="DQ76" s="110"/>
      <c r="DR76" s="110"/>
      <c r="DS76" s="110"/>
      <c r="DT76" s="110"/>
      <c r="DU76" s="110"/>
      <c r="DV76" s="110"/>
      <c r="DW76" s="110"/>
      <c r="DX76" s="110"/>
      <c r="DY76" s="110"/>
      <c r="DZ76" s="110"/>
      <c r="EA76" s="110"/>
      <c r="EB76" s="110"/>
      <c r="EC76" s="110"/>
      <c r="ED76" s="110"/>
      <c r="EE76" s="110"/>
      <c r="EF76" s="110"/>
      <c r="EG76" s="110"/>
      <c r="EH76" s="110"/>
      <c r="EI76" s="110"/>
      <c r="EJ76" s="110"/>
      <c r="EK76" s="111"/>
      <c r="EL76" s="110"/>
      <c r="EM76" s="110"/>
      <c r="EN76" s="110"/>
      <c r="EO76" s="110"/>
      <c r="EP76" s="110"/>
      <c r="EQ76" s="110"/>
      <c r="ER76" s="110"/>
      <c r="ES76" s="110"/>
      <c r="ET76" s="110"/>
      <c r="EU76" s="110"/>
      <c r="EV76" s="111"/>
    </row>
    <row r="77" spans="1:152" ht="14.5" x14ac:dyDescent="0.35">
      <c r="A77" s="108">
        <v>4089218756</v>
      </c>
      <c r="B77" s="116" t="s">
        <v>130</v>
      </c>
      <c r="C77" s="116" t="s">
        <v>130</v>
      </c>
      <c r="D77" s="111" t="s">
        <v>138</v>
      </c>
      <c r="E77" s="144" t="s">
        <v>561</v>
      </c>
      <c r="F77" s="110" t="s">
        <v>562</v>
      </c>
      <c r="G77" s="112">
        <v>43725</v>
      </c>
      <c r="H77" s="110" t="s">
        <v>203</v>
      </c>
      <c r="I77" s="117" t="s">
        <v>135</v>
      </c>
      <c r="J77" s="117" t="s">
        <v>133</v>
      </c>
      <c r="K77" s="110" t="s">
        <v>136</v>
      </c>
      <c r="L77" s="113">
        <v>26186</v>
      </c>
      <c r="M77" s="114">
        <v>43656</v>
      </c>
      <c r="N77" s="115">
        <f t="shared" si="1"/>
        <v>47</v>
      </c>
      <c r="O77" s="116" t="s">
        <v>399</v>
      </c>
      <c r="P77" s="110" t="s">
        <v>138</v>
      </c>
      <c r="Q77" s="110">
        <v>2</v>
      </c>
      <c r="R77" s="120" t="s">
        <v>148</v>
      </c>
      <c r="S77" s="110"/>
      <c r="T77" s="110"/>
      <c r="U77" s="110"/>
      <c r="V77" s="110"/>
      <c r="W77" s="110"/>
      <c r="X77" s="110"/>
      <c r="Y77" s="110"/>
      <c r="Z77" s="110"/>
      <c r="AA77" s="110"/>
      <c r="AB77" s="110"/>
      <c r="AC77" s="110"/>
      <c r="AD77" s="110"/>
      <c r="AE77" s="110"/>
      <c r="AF77" s="110"/>
      <c r="AG77" s="110"/>
      <c r="AH77" s="110"/>
      <c r="AI77" s="110"/>
      <c r="AJ77" s="110"/>
      <c r="AK77" s="110"/>
      <c r="AL77" s="110"/>
      <c r="AM77" s="110"/>
      <c r="AN77" s="110"/>
      <c r="AO77" s="110"/>
      <c r="AP77" s="110"/>
      <c r="AQ77" s="110"/>
      <c r="AR77" s="110"/>
      <c r="AS77" s="110"/>
      <c r="AT77" s="110"/>
      <c r="AU77" s="110"/>
      <c r="AV77" s="110"/>
      <c r="AW77" s="110"/>
      <c r="AX77" s="110"/>
      <c r="AY77" s="110"/>
      <c r="AZ77" s="110"/>
      <c r="BA77" s="110"/>
      <c r="BB77" s="110"/>
      <c r="BC77" s="110"/>
      <c r="BD77" s="110"/>
      <c r="BE77" s="110"/>
      <c r="BF77" s="110"/>
      <c r="BG77" s="110"/>
      <c r="BH77" s="110"/>
      <c r="BI77" s="110"/>
      <c r="BJ77" s="110"/>
      <c r="BK77" s="110"/>
      <c r="BL77" s="110"/>
      <c r="BM77" s="110"/>
      <c r="BN77" s="110"/>
      <c r="BO77" s="110"/>
      <c r="BP77" s="110"/>
      <c r="BQ77" s="110"/>
      <c r="BR77" s="110"/>
      <c r="BS77" s="110"/>
      <c r="BT77" s="110"/>
      <c r="BU77" s="110"/>
      <c r="BV77" s="110"/>
      <c r="BW77" s="110"/>
      <c r="BX77" s="110"/>
      <c r="BY77" s="110"/>
      <c r="BZ77" s="110"/>
      <c r="CA77" s="110"/>
      <c r="CB77" s="110"/>
      <c r="CC77" s="110"/>
      <c r="CD77" s="110"/>
      <c r="CE77" s="110"/>
      <c r="CF77" s="110"/>
      <c r="CG77" s="110"/>
      <c r="CH77" s="110"/>
      <c r="CI77" s="110"/>
      <c r="CJ77" s="110"/>
      <c r="CK77" s="110"/>
      <c r="CL77" s="110"/>
      <c r="CM77" s="110"/>
      <c r="CN77" s="110"/>
      <c r="CO77" s="110"/>
      <c r="CP77" s="110"/>
      <c r="CQ77" s="110"/>
      <c r="CR77" s="110"/>
      <c r="CS77" s="110"/>
      <c r="CT77" s="110"/>
      <c r="CU77" s="110"/>
      <c r="CV77" s="110"/>
      <c r="CW77" s="110"/>
      <c r="CX77" s="110"/>
      <c r="CY77" s="110"/>
      <c r="CZ77" s="110"/>
      <c r="DA77" s="110"/>
      <c r="DB77" s="110"/>
      <c r="DC77" s="110"/>
      <c r="DD77" s="110"/>
      <c r="DE77" s="110"/>
      <c r="DF77" s="110"/>
      <c r="DG77" s="110"/>
      <c r="DH77" s="110"/>
      <c r="DI77" s="110"/>
      <c r="DJ77" s="110"/>
      <c r="DK77" s="110"/>
      <c r="DL77" s="110"/>
      <c r="DM77" s="110"/>
      <c r="DN77" s="110"/>
      <c r="DO77" s="110"/>
      <c r="DP77" s="110"/>
      <c r="DQ77" s="110"/>
      <c r="DR77" s="110"/>
      <c r="DS77" s="110"/>
      <c r="DT77" s="110"/>
      <c r="DU77" s="110"/>
      <c r="DV77" s="110"/>
      <c r="DW77" s="110"/>
      <c r="DX77" s="110"/>
      <c r="DY77" s="110"/>
      <c r="DZ77" s="110"/>
      <c r="EA77" s="110"/>
      <c r="EB77" s="110"/>
      <c r="EC77" s="110"/>
      <c r="ED77" s="110"/>
      <c r="EE77" s="110"/>
      <c r="EF77" s="110"/>
      <c r="EG77" s="110"/>
      <c r="EH77" s="110"/>
      <c r="EI77" s="110"/>
      <c r="EJ77" s="110"/>
      <c r="EK77" s="111"/>
      <c r="EL77" s="110"/>
      <c r="EM77" s="110"/>
      <c r="EN77" s="110"/>
      <c r="EO77" s="110"/>
      <c r="EP77" s="110"/>
      <c r="EQ77" s="110"/>
      <c r="ER77" s="110"/>
      <c r="ES77" s="110"/>
      <c r="ET77" s="110"/>
      <c r="EU77" s="110"/>
      <c r="EV77" s="111"/>
    </row>
    <row r="78" spans="1:152" ht="15.5" x14ac:dyDescent="0.35">
      <c r="A78" s="108">
        <v>4387681772</v>
      </c>
      <c r="B78" s="116" t="s">
        <v>130</v>
      </c>
      <c r="C78" s="116" t="s">
        <v>130</v>
      </c>
      <c r="D78" s="111" t="s">
        <v>138</v>
      </c>
      <c r="E78" s="111" t="s">
        <v>563</v>
      </c>
      <c r="F78" s="148" t="s">
        <v>564</v>
      </c>
      <c r="G78" s="112">
        <v>43726</v>
      </c>
      <c r="H78" s="110" t="s">
        <v>270</v>
      </c>
      <c r="I78" s="117" t="s">
        <v>135</v>
      </c>
      <c r="J78" s="117" t="s">
        <v>133</v>
      </c>
      <c r="K78" s="110" t="s">
        <v>136</v>
      </c>
      <c r="L78" s="113">
        <v>15803</v>
      </c>
      <c r="M78" s="114">
        <v>43684</v>
      </c>
      <c r="N78" s="115">
        <f t="shared" si="1"/>
        <v>76</v>
      </c>
      <c r="O78" s="116" t="s">
        <v>520</v>
      </c>
      <c r="P78" s="110" t="s">
        <v>138</v>
      </c>
      <c r="Q78" s="110">
        <v>3</v>
      </c>
      <c r="R78" s="120" t="s">
        <v>148</v>
      </c>
      <c r="S78" s="110"/>
      <c r="T78" s="110"/>
      <c r="U78" s="110"/>
      <c r="V78" s="110"/>
      <c r="W78" s="110"/>
      <c r="X78" s="110"/>
      <c r="Y78" s="110"/>
      <c r="Z78" s="110"/>
      <c r="AA78" s="110"/>
      <c r="AB78" s="110"/>
      <c r="AC78" s="110"/>
      <c r="AD78" s="110"/>
      <c r="AE78" s="110"/>
      <c r="AF78" s="110"/>
      <c r="AG78" s="110"/>
      <c r="AH78" s="110"/>
      <c r="AI78" s="110"/>
      <c r="AJ78" s="110"/>
      <c r="AK78" s="110"/>
      <c r="AL78" s="110"/>
      <c r="AM78" s="110"/>
      <c r="AN78" s="110"/>
      <c r="AO78" s="110"/>
      <c r="AP78" s="110"/>
      <c r="AQ78" s="110"/>
      <c r="AR78" s="110"/>
      <c r="AS78" s="110"/>
      <c r="AT78" s="110"/>
      <c r="AU78" s="110"/>
      <c r="AV78" s="110"/>
      <c r="AW78" s="110"/>
      <c r="AX78" s="110"/>
      <c r="AY78" s="110"/>
      <c r="AZ78" s="110"/>
      <c r="BA78" s="110"/>
      <c r="BB78" s="110"/>
      <c r="BC78" s="110"/>
      <c r="BD78" s="110"/>
      <c r="BE78" s="110"/>
      <c r="BF78" s="110"/>
      <c r="BG78" s="110"/>
      <c r="BH78" s="110"/>
      <c r="BI78" s="110"/>
      <c r="BJ78" s="110"/>
      <c r="BK78" s="110"/>
      <c r="BL78" s="110"/>
      <c r="BM78" s="110"/>
      <c r="BN78" s="110"/>
      <c r="BO78" s="110"/>
      <c r="BP78" s="110"/>
      <c r="BQ78" s="110"/>
      <c r="BR78" s="110"/>
      <c r="BS78" s="110"/>
      <c r="BT78" s="110"/>
      <c r="BU78" s="110"/>
      <c r="BV78" s="110"/>
      <c r="BW78" s="110"/>
      <c r="BX78" s="110"/>
      <c r="BY78" s="110"/>
      <c r="BZ78" s="110"/>
      <c r="CA78" s="110"/>
      <c r="CB78" s="110"/>
      <c r="CC78" s="110"/>
      <c r="CD78" s="110"/>
      <c r="CE78" s="110"/>
      <c r="CF78" s="110"/>
      <c r="CG78" s="110"/>
      <c r="CH78" s="110"/>
      <c r="CI78" s="110"/>
      <c r="CJ78" s="110"/>
      <c r="CK78" s="110"/>
      <c r="CL78" s="110"/>
      <c r="CM78" s="110"/>
      <c r="CN78" s="110"/>
      <c r="CO78" s="110"/>
      <c r="CP78" s="110"/>
      <c r="CQ78" s="110"/>
      <c r="CR78" s="110"/>
      <c r="CS78" s="110"/>
      <c r="CT78" s="110"/>
      <c r="CU78" s="110"/>
      <c r="CV78" s="110"/>
      <c r="CW78" s="110"/>
      <c r="CX78" s="110"/>
      <c r="CY78" s="110"/>
      <c r="CZ78" s="110"/>
      <c r="DA78" s="110"/>
      <c r="DB78" s="110"/>
      <c r="DC78" s="110"/>
      <c r="DD78" s="110"/>
      <c r="DE78" s="110"/>
      <c r="DF78" s="110"/>
      <c r="DG78" s="110"/>
      <c r="DH78" s="110"/>
      <c r="DI78" s="110"/>
      <c r="DJ78" s="110"/>
      <c r="DK78" s="110"/>
      <c r="DL78" s="110"/>
      <c r="DM78" s="110"/>
      <c r="DN78" s="110"/>
      <c r="DO78" s="110"/>
      <c r="DP78" s="110"/>
      <c r="DQ78" s="110"/>
      <c r="DR78" s="110"/>
      <c r="DS78" s="110"/>
      <c r="DT78" s="110"/>
      <c r="DU78" s="110"/>
      <c r="DV78" s="110"/>
      <c r="DW78" s="110"/>
      <c r="DX78" s="110"/>
      <c r="DY78" s="110"/>
      <c r="DZ78" s="110"/>
      <c r="EA78" s="110"/>
      <c r="EB78" s="110"/>
      <c r="EC78" s="110"/>
      <c r="ED78" s="110"/>
      <c r="EE78" s="110"/>
      <c r="EF78" s="110"/>
      <c r="EG78" s="110"/>
      <c r="EH78" s="110"/>
      <c r="EI78" s="110"/>
      <c r="EJ78" s="110"/>
      <c r="EK78" s="111"/>
      <c r="EL78" s="110"/>
      <c r="EM78" s="110"/>
      <c r="EN78" s="110"/>
      <c r="EO78" s="110"/>
      <c r="EP78" s="110"/>
      <c r="EQ78" s="110"/>
      <c r="ER78" s="110"/>
      <c r="ES78" s="110"/>
      <c r="ET78" s="110"/>
      <c r="EU78" s="110"/>
      <c r="EV78" s="111"/>
    </row>
    <row r="79" spans="1:152" ht="14.5" x14ac:dyDescent="0.35">
      <c r="A79" s="108">
        <v>4860577809</v>
      </c>
      <c r="B79" s="116" t="s">
        <v>130</v>
      </c>
      <c r="C79" s="116" t="s">
        <v>130</v>
      </c>
      <c r="D79" s="111" t="s">
        <v>138</v>
      </c>
      <c r="E79" s="111" t="s">
        <v>565</v>
      </c>
      <c r="F79" s="110" t="s">
        <v>210</v>
      </c>
      <c r="G79" s="112">
        <v>43731</v>
      </c>
      <c r="H79" s="110" t="s">
        <v>203</v>
      </c>
      <c r="I79" s="117" t="s">
        <v>135</v>
      </c>
      <c r="J79" s="117" t="s">
        <v>133</v>
      </c>
      <c r="K79" s="110" t="s">
        <v>136</v>
      </c>
      <c r="L79" s="113">
        <v>22206</v>
      </c>
      <c r="M79" s="114">
        <v>43691</v>
      </c>
      <c r="N79" s="115">
        <f t="shared" si="1"/>
        <v>58</v>
      </c>
      <c r="O79" s="116" t="s">
        <v>421</v>
      </c>
      <c r="P79" s="110" t="s">
        <v>138</v>
      </c>
      <c r="Q79" s="110">
        <v>3</v>
      </c>
      <c r="R79" s="120" t="s">
        <v>426</v>
      </c>
      <c r="S79" s="110"/>
      <c r="T79" s="110"/>
      <c r="U79" s="110"/>
      <c r="V79" s="110"/>
      <c r="W79" s="110"/>
      <c r="X79" s="110"/>
      <c r="Y79" s="110"/>
      <c r="Z79" s="110"/>
      <c r="AA79" s="110"/>
      <c r="AB79" s="110"/>
      <c r="AC79" s="110"/>
      <c r="AD79" s="110"/>
      <c r="AE79" s="110"/>
      <c r="AF79" s="110"/>
      <c r="AG79" s="110"/>
      <c r="AH79" s="110"/>
      <c r="AI79" s="110"/>
      <c r="AJ79" s="110"/>
      <c r="AK79" s="110"/>
      <c r="AL79" s="110"/>
      <c r="AM79" s="110"/>
      <c r="AN79" s="110"/>
      <c r="AO79" s="110"/>
      <c r="AP79" s="110"/>
      <c r="AQ79" s="110"/>
      <c r="AR79" s="110"/>
      <c r="AS79" s="110"/>
      <c r="AT79" s="110"/>
      <c r="AU79" s="110"/>
      <c r="AV79" s="110"/>
      <c r="AW79" s="110"/>
      <c r="AX79" s="110"/>
      <c r="AY79" s="110"/>
      <c r="AZ79" s="110"/>
      <c r="BA79" s="110"/>
      <c r="BB79" s="110"/>
      <c r="BC79" s="110"/>
      <c r="BD79" s="110"/>
      <c r="BE79" s="110"/>
      <c r="BF79" s="110"/>
      <c r="BG79" s="110"/>
      <c r="BH79" s="110"/>
      <c r="BI79" s="110"/>
      <c r="BJ79" s="110"/>
      <c r="BK79" s="110"/>
      <c r="BL79" s="110"/>
      <c r="BM79" s="110"/>
      <c r="BN79" s="110"/>
      <c r="BO79" s="110"/>
      <c r="BP79" s="110"/>
      <c r="BQ79" s="110"/>
      <c r="BR79" s="110"/>
      <c r="BS79" s="110"/>
      <c r="BT79" s="110"/>
      <c r="BU79" s="110"/>
      <c r="BV79" s="110"/>
      <c r="BW79" s="110"/>
      <c r="BX79" s="110"/>
      <c r="BY79" s="110"/>
      <c r="BZ79" s="110"/>
      <c r="CA79" s="110"/>
      <c r="CB79" s="110"/>
      <c r="CC79" s="110"/>
      <c r="CD79" s="110"/>
      <c r="CE79" s="110"/>
      <c r="CF79" s="110"/>
      <c r="CG79" s="110"/>
      <c r="CH79" s="110"/>
      <c r="CI79" s="110"/>
      <c r="CJ79" s="110"/>
      <c r="CK79" s="110"/>
      <c r="CL79" s="110"/>
      <c r="CM79" s="110"/>
      <c r="CN79" s="110"/>
      <c r="CO79" s="110"/>
      <c r="CP79" s="110"/>
      <c r="CQ79" s="110"/>
      <c r="CR79" s="110"/>
      <c r="CS79" s="110"/>
      <c r="CT79" s="110"/>
      <c r="CU79" s="110"/>
      <c r="CV79" s="110"/>
      <c r="CW79" s="110"/>
      <c r="CX79" s="110"/>
      <c r="CY79" s="110"/>
      <c r="CZ79" s="110"/>
      <c r="DA79" s="110"/>
      <c r="DB79" s="110"/>
      <c r="DC79" s="110"/>
      <c r="DD79" s="110"/>
      <c r="DE79" s="110"/>
      <c r="DF79" s="110"/>
      <c r="DG79" s="110"/>
      <c r="DH79" s="110"/>
      <c r="DI79" s="110"/>
      <c r="DJ79" s="110"/>
      <c r="DK79" s="110"/>
      <c r="DL79" s="110"/>
      <c r="DM79" s="110"/>
      <c r="DN79" s="110"/>
      <c r="DO79" s="110"/>
      <c r="DP79" s="110"/>
      <c r="DQ79" s="110"/>
      <c r="DR79" s="110"/>
      <c r="DS79" s="110"/>
      <c r="DT79" s="110"/>
      <c r="DU79" s="110"/>
      <c r="DV79" s="110"/>
      <c r="DW79" s="110"/>
      <c r="DX79" s="110"/>
      <c r="DY79" s="110"/>
      <c r="DZ79" s="110"/>
      <c r="EA79" s="110"/>
      <c r="EB79" s="110"/>
      <c r="EC79" s="110"/>
      <c r="ED79" s="110"/>
      <c r="EE79" s="110"/>
      <c r="EF79" s="110"/>
      <c r="EG79" s="110"/>
      <c r="EH79" s="110"/>
      <c r="EI79" s="110"/>
      <c r="EJ79" s="110"/>
      <c r="EK79" s="111"/>
      <c r="EL79" s="110"/>
      <c r="EM79" s="110"/>
      <c r="EN79" s="110"/>
      <c r="EO79" s="110"/>
      <c r="EP79" s="110"/>
      <c r="EQ79" s="110"/>
      <c r="ER79" s="110"/>
      <c r="ES79" s="110"/>
      <c r="ET79" s="110"/>
      <c r="EU79" s="110"/>
      <c r="EV79" s="111"/>
    </row>
    <row r="80" spans="1:152" ht="14.5" x14ac:dyDescent="0.35">
      <c r="A80" s="108">
        <v>4860695550</v>
      </c>
      <c r="B80" s="116" t="s">
        <v>130</v>
      </c>
      <c r="C80" s="116" t="s">
        <v>130</v>
      </c>
      <c r="D80" s="111" t="s">
        <v>138</v>
      </c>
      <c r="E80" s="144" t="s">
        <v>566</v>
      </c>
      <c r="F80" s="110" t="s">
        <v>218</v>
      </c>
      <c r="G80" s="112">
        <v>43738</v>
      </c>
      <c r="H80" s="110" t="s">
        <v>203</v>
      </c>
      <c r="I80" s="117" t="s">
        <v>135</v>
      </c>
      <c r="J80" s="117" t="s">
        <v>133</v>
      </c>
      <c r="K80" s="110" t="s">
        <v>136</v>
      </c>
      <c r="L80" s="113">
        <v>23254</v>
      </c>
      <c r="M80" s="114">
        <v>43705</v>
      </c>
      <c r="N80" s="115">
        <f t="shared" si="1"/>
        <v>55</v>
      </c>
      <c r="O80" s="116" t="s">
        <v>399</v>
      </c>
      <c r="P80" s="110" t="s">
        <v>138</v>
      </c>
      <c r="Q80" s="110">
        <v>1</v>
      </c>
      <c r="R80" s="120" t="s">
        <v>198</v>
      </c>
      <c r="S80" s="110"/>
      <c r="T80" s="110"/>
      <c r="U80" s="110"/>
      <c r="V80" s="110"/>
      <c r="W80" s="110"/>
      <c r="X80" s="110"/>
      <c r="Y80" s="110"/>
      <c r="Z80" s="110"/>
      <c r="AA80" s="110"/>
      <c r="AB80" s="110"/>
      <c r="AC80" s="110"/>
      <c r="AD80" s="110"/>
      <c r="AE80" s="110"/>
      <c r="AF80" s="110"/>
      <c r="AG80" s="110"/>
      <c r="AH80" s="110"/>
      <c r="AI80" s="110"/>
      <c r="AJ80" s="110"/>
      <c r="AK80" s="110"/>
      <c r="AL80" s="110"/>
      <c r="AM80" s="110"/>
      <c r="AN80" s="110"/>
      <c r="AO80" s="110"/>
      <c r="AP80" s="110"/>
      <c r="AQ80" s="110"/>
      <c r="AR80" s="110"/>
      <c r="AS80" s="110"/>
      <c r="AT80" s="110"/>
      <c r="AU80" s="110"/>
      <c r="AV80" s="110"/>
      <c r="AW80" s="110"/>
      <c r="AX80" s="110"/>
      <c r="AY80" s="110"/>
      <c r="AZ80" s="110"/>
      <c r="BA80" s="110"/>
      <c r="BB80" s="110"/>
      <c r="BC80" s="110"/>
      <c r="BD80" s="110"/>
      <c r="BE80" s="110"/>
      <c r="BF80" s="110"/>
      <c r="BG80" s="110"/>
      <c r="BH80" s="110"/>
      <c r="BI80" s="110"/>
      <c r="BJ80" s="110"/>
      <c r="BK80" s="110"/>
      <c r="BL80" s="110"/>
      <c r="BM80" s="110"/>
      <c r="BN80" s="110"/>
      <c r="BO80" s="110"/>
      <c r="BP80" s="110"/>
      <c r="BQ80" s="110"/>
      <c r="BR80" s="110"/>
      <c r="BS80" s="110"/>
      <c r="BT80" s="110"/>
      <c r="BU80" s="110"/>
      <c r="BV80" s="110"/>
      <c r="BW80" s="110"/>
      <c r="BX80" s="110"/>
      <c r="BY80" s="110"/>
      <c r="BZ80" s="110"/>
      <c r="CA80" s="110"/>
      <c r="CB80" s="110"/>
      <c r="CC80" s="110"/>
      <c r="CD80" s="110"/>
      <c r="CE80" s="110"/>
      <c r="CF80" s="110"/>
      <c r="CG80" s="110"/>
      <c r="CH80" s="110"/>
      <c r="CI80" s="110"/>
      <c r="CJ80" s="110"/>
      <c r="CK80" s="110"/>
      <c r="CL80" s="110"/>
      <c r="CM80" s="110"/>
      <c r="CN80" s="110"/>
      <c r="CO80" s="110"/>
      <c r="CP80" s="110"/>
      <c r="CQ80" s="110"/>
      <c r="CR80" s="110"/>
      <c r="CS80" s="110"/>
      <c r="CT80" s="110"/>
      <c r="CU80" s="110"/>
      <c r="CV80" s="110"/>
      <c r="CW80" s="110"/>
      <c r="CX80" s="110"/>
      <c r="CY80" s="110"/>
      <c r="CZ80" s="110"/>
      <c r="DA80" s="110"/>
      <c r="DB80" s="110"/>
      <c r="DC80" s="110"/>
      <c r="DD80" s="110"/>
      <c r="DE80" s="110"/>
      <c r="DF80" s="110"/>
      <c r="DG80" s="110"/>
      <c r="DH80" s="110"/>
      <c r="DI80" s="110"/>
      <c r="DJ80" s="110"/>
      <c r="DK80" s="110"/>
      <c r="DL80" s="110"/>
      <c r="DM80" s="110"/>
      <c r="DN80" s="110"/>
      <c r="DO80" s="110"/>
      <c r="DP80" s="110"/>
      <c r="DQ80" s="110"/>
      <c r="DR80" s="110"/>
      <c r="DS80" s="110"/>
      <c r="DT80" s="110"/>
      <c r="DU80" s="110"/>
      <c r="DV80" s="110"/>
      <c r="DW80" s="110"/>
      <c r="DX80" s="110"/>
      <c r="DY80" s="110"/>
      <c r="DZ80" s="110"/>
      <c r="EA80" s="110"/>
      <c r="EB80" s="110"/>
      <c r="EC80" s="110"/>
      <c r="ED80" s="110"/>
      <c r="EE80" s="110"/>
      <c r="EF80" s="110"/>
      <c r="EG80" s="110"/>
      <c r="EH80" s="110"/>
      <c r="EI80" s="110"/>
      <c r="EJ80" s="110"/>
      <c r="EK80" s="111"/>
      <c r="EL80" s="110"/>
      <c r="EM80" s="110"/>
      <c r="EN80" s="110"/>
      <c r="EO80" s="110"/>
      <c r="EP80" s="110"/>
      <c r="EQ80" s="110"/>
      <c r="ER80" s="110"/>
      <c r="ES80" s="110"/>
      <c r="ET80" s="110"/>
      <c r="EU80" s="110"/>
      <c r="EV80" s="111"/>
    </row>
    <row r="81" spans="1:152" ht="15.5" x14ac:dyDescent="0.35">
      <c r="A81" s="108">
        <v>4508880452</v>
      </c>
      <c r="B81" s="116" t="s">
        <v>130</v>
      </c>
      <c r="C81" s="116" t="s">
        <v>130</v>
      </c>
      <c r="D81" s="111" t="s">
        <v>138</v>
      </c>
      <c r="E81" s="111" t="s">
        <v>567</v>
      </c>
      <c r="F81" s="148" t="s">
        <v>568</v>
      </c>
      <c r="G81" s="112">
        <v>43740</v>
      </c>
      <c r="H81" s="110" t="s">
        <v>270</v>
      </c>
      <c r="I81" s="117" t="s">
        <v>135</v>
      </c>
      <c r="J81" s="117" t="s">
        <v>133</v>
      </c>
      <c r="K81" s="110" t="s">
        <v>136</v>
      </c>
      <c r="L81" s="113">
        <v>17994</v>
      </c>
      <c r="M81" s="114">
        <v>43636</v>
      </c>
      <c r="N81" s="115">
        <f t="shared" si="1"/>
        <v>70</v>
      </c>
      <c r="O81" s="116" t="s">
        <v>520</v>
      </c>
      <c r="P81" s="117" t="s">
        <v>130</v>
      </c>
      <c r="Q81" s="110">
        <v>3</v>
      </c>
      <c r="R81" s="120" t="s">
        <v>164</v>
      </c>
      <c r="S81" s="110"/>
      <c r="T81" s="110"/>
      <c r="U81" s="110"/>
      <c r="V81" s="110"/>
      <c r="W81" s="110"/>
      <c r="X81" s="110"/>
      <c r="Y81" s="110"/>
      <c r="Z81" s="110"/>
      <c r="AA81" s="110"/>
      <c r="AB81" s="110"/>
      <c r="AC81" s="110"/>
      <c r="AD81" s="110"/>
      <c r="AE81" s="110"/>
      <c r="AF81" s="110"/>
      <c r="AG81" s="110"/>
      <c r="AH81" s="110"/>
      <c r="AI81" s="110"/>
      <c r="AJ81" s="110"/>
      <c r="AK81" s="110"/>
      <c r="AL81" s="110"/>
      <c r="AM81" s="110"/>
      <c r="AN81" s="110"/>
      <c r="AO81" s="110"/>
      <c r="AP81" s="110"/>
      <c r="AQ81" s="110"/>
      <c r="AR81" s="110"/>
      <c r="AS81" s="110"/>
      <c r="AT81" s="110"/>
      <c r="AU81" s="110"/>
      <c r="AV81" s="110"/>
      <c r="AW81" s="110"/>
      <c r="AX81" s="110"/>
      <c r="AY81" s="110"/>
      <c r="AZ81" s="110"/>
      <c r="BA81" s="110"/>
      <c r="BB81" s="110"/>
      <c r="BC81" s="110"/>
      <c r="BD81" s="110"/>
      <c r="BE81" s="110"/>
      <c r="BF81" s="110"/>
      <c r="BG81" s="110"/>
      <c r="BH81" s="110"/>
      <c r="BI81" s="110"/>
      <c r="BJ81" s="110"/>
      <c r="BK81" s="110"/>
      <c r="BL81" s="110"/>
      <c r="BM81" s="110"/>
      <c r="BN81" s="110"/>
      <c r="BO81" s="110"/>
      <c r="BP81" s="110"/>
      <c r="BQ81" s="110"/>
      <c r="BR81" s="110"/>
      <c r="BS81" s="110"/>
      <c r="BT81" s="110"/>
      <c r="BU81" s="110"/>
      <c r="BV81" s="110"/>
      <c r="BW81" s="110"/>
      <c r="BX81" s="110"/>
      <c r="BY81" s="110"/>
      <c r="BZ81" s="110"/>
      <c r="CA81" s="110"/>
      <c r="CB81" s="110"/>
      <c r="CC81" s="110"/>
      <c r="CD81" s="110"/>
      <c r="CE81" s="110"/>
      <c r="CF81" s="110"/>
      <c r="CG81" s="110"/>
      <c r="CH81" s="110"/>
      <c r="CI81" s="110"/>
      <c r="CJ81" s="110"/>
      <c r="CK81" s="110"/>
      <c r="CL81" s="110"/>
      <c r="CM81" s="110"/>
      <c r="CN81" s="110"/>
      <c r="CO81" s="110"/>
      <c r="CP81" s="110"/>
      <c r="CQ81" s="110"/>
      <c r="CR81" s="110"/>
      <c r="CS81" s="110"/>
      <c r="CT81" s="110"/>
      <c r="CU81" s="110"/>
      <c r="CV81" s="110"/>
      <c r="CW81" s="110"/>
      <c r="CX81" s="110"/>
      <c r="CY81" s="110"/>
      <c r="CZ81" s="110"/>
      <c r="DA81" s="110"/>
      <c r="DB81" s="110"/>
      <c r="DC81" s="110"/>
      <c r="DD81" s="110"/>
      <c r="DE81" s="110"/>
      <c r="DF81" s="110"/>
      <c r="DG81" s="110"/>
      <c r="DH81" s="110"/>
      <c r="DI81" s="110"/>
      <c r="DJ81" s="110"/>
      <c r="DK81" s="110"/>
      <c r="DL81" s="110"/>
      <c r="DM81" s="110"/>
      <c r="DN81" s="110"/>
      <c r="DO81" s="110"/>
      <c r="DP81" s="110"/>
      <c r="DQ81" s="110"/>
      <c r="DR81" s="110"/>
      <c r="DS81" s="110"/>
      <c r="DT81" s="110"/>
      <c r="DU81" s="110"/>
      <c r="DV81" s="110"/>
      <c r="DW81" s="110"/>
      <c r="DX81" s="110"/>
      <c r="DY81" s="110"/>
      <c r="DZ81" s="110"/>
      <c r="EA81" s="110"/>
      <c r="EB81" s="110"/>
      <c r="EC81" s="110"/>
      <c r="ED81" s="110"/>
      <c r="EE81" s="110"/>
      <c r="EF81" s="110"/>
      <c r="EG81" s="110"/>
      <c r="EH81" s="110"/>
      <c r="EI81" s="110"/>
      <c r="EJ81" s="110"/>
      <c r="EK81" s="111"/>
      <c r="EL81" s="110"/>
      <c r="EM81" s="110"/>
      <c r="EN81" s="110"/>
      <c r="EO81" s="110"/>
      <c r="EP81" s="110"/>
      <c r="EQ81" s="110"/>
      <c r="ER81" s="110"/>
      <c r="ES81" s="110"/>
      <c r="ET81" s="110"/>
      <c r="EU81" s="110"/>
      <c r="EV81" s="111"/>
    </row>
    <row r="82" spans="1:152" ht="14.5" x14ac:dyDescent="0.35">
      <c r="A82" s="108">
        <v>4527816896</v>
      </c>
      <c r="B82" s="116" t="s">
        <v>130</v>
      </c>
      <c r="C82" s="116" t="s">
        <v>130</v>
      </c>
      <c r="D82" s="111" t="s">
        <v>138</v>
      </c>
      <c r="E82" s="144" t="s">
        <v>569</v>
      </c>
      <c r="F82" s="110" t="s">
        <v>570</v>
      </c>
      <c r="G82" s="112">
        <v>43741</v>
      </c>
      <c r="H82" s="110" t="s">
        <v>270</v>
      </c>
      <c r="I82" s="117" t="s">
        <v>135</v>
      </c>
      <c r="J82" s="117" t="s">
        <v>133</v>
      </c>
      <c r="K82" s="110" t="s">
        <v>136</v>
      </c>
      <c r="L82" s="113">
        <v>17425</v>
      </c>
      <c r="M82" s="114">
        <v>43704</v>
      </c>
      <c r="N82" s="115">
        <f t="shared" si="1"/>
        <v>71</v>
      </c>
      <c r="O82" s="116" t="s">
        <v>571</v>
      </c>
      <c r="P82" s="110" t="s">
        <v>138</v>
      </c>
      <c r="Q82" s="110">
        <v>2</v>
      </c>
      <c r="R82" s="120" t="s">
        <v>443</v>
      </c>
      <c r="S82" s="110"/>
      <c r="T82" s="110"/>
      <c r="U82" s="110"/>
      <c r="V82" s="110"/>
      <c r="W82" s="110"/>
      <c r="X82" s="110"/>
      <c r="Y82" s="110"/>
      <c r="Z82" s="110"/>
      <c r="AA82" s="110"/>
      <c r="AB82" s="110"/>
      <c r="AC82" s="110"/>
      <c r="AD82" s="110"/>
      <c r="AE82" s="110"/>
      <c r="AF82" s="110"/>
      <c r="AG82" s="110"/>
      <c r="AH82" s="110"/>
      <c r="AI82" s="110"/>
      <c r="AJ82" s="110"/>
      <c r="AK82" s="110"/>
      <c r="AL82" s="110"/>
      <c r="AM82" s="110"/>
      <c r="AN82" s="110"/>
      <c r="AO82" s="110"/>
      <c r="AP82" s="110"/>
      <c r="AQ82" s="110"/>
      <c r="AR82" s="110"/>
      <c r="AS82" s="110"/>
      <c r="AT82" s="110"/>
      <c r="AU82" s="110"/>
      <c r="AV82" s="110"/>
      <c r="AW82" s="110"/>
      <c r="AX82" s="110"/>
      <c r="AY82" s="110"/>
      <c r="AZ82" s="110"/>
      <c r="BA82" s="110"/>
      <c r="BB82" s="110"/>
      <c r="BC82" s="110"/>
      <c r="BD82" s="110"/>
      <c r="BE82" s="110"/>
      <c r="BF82" s="110"/>
      <c r="BG82" s="110"/>
      <c r="BH82" s="110"/>
      <c r="BI82" s="110"/>
      <c r="BJ82" s="110"/>
      <c r="BK82" s="110"/>
      <c r="BL82" s="110"/>
      <c r="BM82" s="110"/>
      <c r="BN82" s="110"/>
      <c r="BO82" s="110"/>
      <c r="BP82" s="110"/>
      <c r="BQ82" s="110"/>
      <c r="BR82" s="110"/>
      <c r="BS82" s="110"/>
      <c r="BT82" s="110"/>
      <c r="BU82" s="110"/>
      <c r="BV82" s="110"/>
      <c r="BW82" s="110"/>
      <c r="BX82" s="110"/>
      <c r="BY82" s="110"/>
      <c r="BZ82" s="110"/>
      <c r="CA82" s="110"/>
      <c r="CB82" s="110"/>
      <c r="CC82" s="110"/>
      <c r="CD82" s="110"/>
      <c r="CE82" s="110"/>
      <c r="CF82" s="110"/>
      <c r="CG82" s="110"/>
      <c r="CH82" s="110"/>
      <c r="CI82" s="110"/>
      <c r="CJ82" s="110"/>
      <c r="CK82" s="110"/>
      <c r="CL82" s="110"/>
      <c r="CM82" s="110"/>
      <c r="CN82" s="110"/>
      <c r="CO82" s="110"/>
      <c r="CP82" s="110"/>
      <c r="CQ82" s="110"/>
      <c r="CR82" s="110"/>
      <c r="CS82" s="110"/>
      <c r="CT82" s="110"/>
      <c r="CU82" s="110"/>
      <c r="CV82" s="110"/>
      <c r="CW82" s="110"/>
      <c r="CX82" s="110"/>
      <c r="CY82" s="110"/>
      <c r="CZ82" s="110"/>
      <c r="DA82" s="110"/>
      <c r="DB82" s="110"/>
      <c r="DC82" s="110"/>
      <c r="DD82" s="110"/>
      <c r="DE82" s="110"/>
      <c r="DF82" s="110"/>
      <c r="DG82" s="110"/>
      <c r="DH82" s="110"/>
      <c r="DI82" s="110"/>
      <c r="DJ82" s="110"/>
      <c r="DK82" s="110"/>
      <c r="DL82" s="110"/>
      <c r="DM82" s="110"/>
      <c r="DN82" s="110"/>
      <c r="DO82" s="110"/>
      <c r="DP82" s="110"/>
      <c r="DQ82" s="110"/>
      <c r="DR82" s="110"/>
      <c r="DS82" s="110"/>
      <c r="DT82" s="110"/>
      <c r="DU82" s="110"/>
      <c r="DV82" s="110"/>
      <c r="DW82" s="110"/>
      <c r="DX82" s="110"/>
      <c r="DY82" s="110"/>
      <c r="DZ82" s="110"/>
      <c r="EA82" s="110"/>
      <c r="EB82" s="110"/>
      <c r="EC82" s="110"/>
      <c r="ED82" s="110"/>
      <c r="EE82" s="110"/>
      <c r="EF82" s="110"/>
      <c r="EG82" s="110"/>
      <c r="EH82" s="110"/>
      <c r="EI82" s="110"/>
      <c r="EJ82" s="110"/>
      <c r="EK82" s="111"/>
      <c r="EL82" s="110"/>
      <c r="EM82" s="110"/>
      <c r="EN82" s="110"/>
      <c r="EO82" s="110"/>
      <c r="EP82" s="110"/>
      <c r="EQ82" s="110"/>
      <c r="ER82" s="110"/>
      <c r="ES82" s="110"/>
      <c r="ET82" s="110"/>
      <c r="EU82" s="110"/>
      <c r="EV82" s="111"/>
    </row>
    <row r="83" spans="1:152" ht="15.5" x14ac:dyDescent="0.35">
      <c r="A83" s="108">
        <v>4381193342</v>
      </c>
      <c r="B83" s="116" t="s">
        <v>130</v>
      </c>
      <c r="C83" s="116" t="s">
        <v>130</v>
      </c>
      <c r="D83" s="111" t="s">
        <v>138</v>
      </c>
      <c r="E83" s="111" t="s">
        <v>572</v>
      </c>
      <c r="F83" s="148" t="s">
        <v>573</v>
      </c>
      <c r="G83" s="112">
        <v>43745</v>
      </c>
      <c r="H83" s="110" t="s">
        <v>270</v>
      </c>
      <c r="I83" s="117" t="s">
        <v>135</v>
      </c>
      <c r="J83" s="117" t="s">
        <v>133</v>
      </c>
      <c r="K83" s="110" t="s">
        <v>136</v>
      </c>
      <c r="L83" s="113">
        <v>16085</v>
      </c>
      <c r="M83" s="114">
        <v>43704</v>
      </c>
      <c r="N83" s="115">
        <f t="shared" si="1"/>
        <v>75</v>
      </c>
      <c r="O83" s="116" t="s">
        <v>520</v>
      </c>
      <c r="P83" s="110" t="s">
        <v>130</v>
      </c>
      <c r="Q83" s="110">
        <v>3</v>
      </c>
      <c r="R83" s="120" t="s">
        <v>426</v>
      </c>
      <c r="S83" s="110"/>
      <c r="T83" s="110"/>
      <c r="U83" s="110"/>
      <c r="V83" s="110"/>
      <c r="W83" s="110"/>
      <c r="X83" s="110"/>
      <c r="Y83" s="110"/>
      <c r="Z83" s="110"/>
      <c r="AA83" s="110"/>
      <c r="AB83" s="110"/>
      <c r="AC83" s="110"/>
      <c r="AD83" s="110"/>
      <c r="AE83" s="110"/>
      <c r="AF83" s="110"/>
      <c r="AG83" s="110"/>
      <c r="AH83" s="110"/>
      <c r="AI83" s="110"/>
      <c r="AJ83" s="110"/>
      <c r="AK83" s="110"/>
      <c r="AL83" s="110"/>
      <c r="AM83" s="110"/>
      <c r="AN83" s="110"/>
      <c r="AO83" s="110"/>
      <c r="AP83" s="110"/>
      <c r="AQ83" s="110"/>
      <c r="AR83" s="110"/>
      <c r="AS83" s="110"/>
      <c r="AT83" s="110"/>
      <c r="AU83" s="110"/>
      <c r="AV83" s="110"/>
      <c r="AW83" s="110"/>
      <c r="AX83" s="110"/>
      <c r="AY83" s="110"/>
      <c r="AZ83" s="110"/>
      <c r="BA83" s="110"/>
      <c r="BB83" s="110"/>
      <c r="BC83" s="110"/>
      <c r="BD83" s="110"/>
      <c r="BE83" s="110"/>
      <c r="BF83" s="110"/>
      <c r="BG83" s="110"/>
      <c r="BH83" s="110"/>
      <c r="BI83" s="110"/>
      <c r="BJ83" s="110"/>
      <c r="BK83" s="110"/>
      <c r="BL83" s="110"/>
      <c r="BM83" s="110"/>
      <c r="BN83" s="110"/>
      <c r="BO83" s="110"/>
      <c r="BP83" s="110"/>
      <c r="BQ83" s="110"/>
      <c r="BR83" s="110"/>
      <c r="BS83" s="110"/>
      <c r="BT83" s="110"/>
      <c r="BU83" s="110"/>
      <c r="BV83" s="110"/>
      <c r="BW83" s="110"/>
      <c r="BX83" s="110"/>
      <c r="BY83" s="110"/>
      <c r="BZ83" s="110"/>
      <c r="CA83" s="110"/>
      <c r="CB83" s="110"/>
      <c r="CC83" s="110"/>
      <c r="CD83" s="110"/>
      <c r="CE83" s="110"/>
      <c r="CF83" s="110"/>
      <c r="CG83" s="110"/>
      <c r="CH83" s="110"/>
      <c r="CI83" s="110"/>
      <c r="CJ83" s="110"/>
      <c r="CK83" s="110"/>
      <c r="CL83" s="110"/>
      <c r="CM83" s="110"/>
      <c r="CN83" s="110"/>
      <c r="CO83" s="110"/>
      <c r="CP83" s="110"/>
      <c r="CQ83" s="110"/>
      <c r="CR83" s="110"/>
      <c r="CS83" s="110"/>
      <c r="CT83" s="110"/>
      <c r="CU83" s="110"/>
      <c r="CV83" s="110"/>
      <c r="CW83" s="110"/>
      <c r="CX83" s="110"/>
      <c r="CY83" s="110"/>
      <c r="CZ83" s="110"/>
      <c r="DA83" s="110"/>
      <c r="DB83" s="110"/>
      <c r="DC83" s="110"/>
      <c r="DD83" s="110"/>
      <c r="DE83" s="110"/>
      <c r="DF83" s="110"/>
      <c r="DG83" s="110"/>
      <c r="DH83" s="110"/>
      <c r="DI83" s="110"/>
      <c r="DJ83" s="110"/>
      <c r="DK83" s="110"/>
      <c r="DL83" s="110"/>
      <c r="DM83" s="110"/>
      <c r="DN83" s="110"/>
      <c r="DO83" s="110"/>
      <c r="DP83" s="110"/>
      <c r="DQ83" s="110"/>
      <c r="DR83" s="110"/>
      <c r="DS83" s="110"/>
      <c r="DT83" s="110"/>
      <c r="DU83" s="110"/>
      <c r="DV83" s="110"/>
      <c r="DW83" s="110"/>
      <c r="DX83" s="110"/>
      <c r="DY83" s="110"/>
      <c r="DZ83" s="110"/>
      <c r="EA83" s="110"/>
      <c r="EB83" s="110"/>
      <c r="EC83" s="110"/>
      <c r="ED83" s="110"/>
      <c r="EE83" s="110"/>
      <c r="EF83" s="110"/>
      <c r="EG83" s="110"/>
      <c r="EH83" s="110"/>
      <c r="EI83" s="110"/>
      <c r="EJ83" s="110"/>
      <c r="EK83" s="111"/>
      <c r="EL83" s="110"/>
      <c r="EM83" s="110"/>
      <c r="EN83" s="110"/>
      <c r="EO83" s="110"/>
      <c r="EP83" s="110"/>
      <c r="EQ83" s="110"/>
      <c r="ER83" s="110"/>
      <c r="ES83" s="110"/>
      <c r="ET83" s="110"/>
      <c r="EU83" s="110"/>
      <c r="EV83" s="111"/>
    </row>
    <row r="84" spans="1:152" ht="14.5" x14ac:dyDescent="0.35">
      <c r="A84" s="108">
        <v>4849146376</v>
      </c>
      <c r="B84" s="116" t="s">
        <v>130</v>
      </c>
      <c r="C84" s="116" t="s">
        <v>130</v>
      </c>
      <c r="D84" s="111" t="s">
        <v>138</v>
      </c>
      <c r="E84" s="144" t="s">
        <v>574</v>
      </c>
      <c r="F84" s="110" t="s">
        <v>575</v>
      </c>
      <c r="G84" s="112">
        <v>43756</v>
      </c>
      <c r="H84" s="110" t="s">
        <v>576</v>
      </c>
      <c r="I84" s="117" t="s">
        <v>135</v>
      </c>
      <c r="J84" s="117" t="s">
        <v>133</v>
      </c>
      <c r="K84" s="110" t="s">
        <v>136</v>
      </c>
      <c r="L84" s="113">
        <v>22802</v>
      </c>
      <c r="M84" s="114">
        <v>43707</v>
      </c>
      <c r="N84" s="115">
        <f t="shared" si="1"/>
        <v>57</v>
      </c>
      <c r="O84" s="116" t="s">
        <v>577</v>
      </c>
      <c r="P84" s="110" t="s">
        <v>138</v>
      </c>
      <c r="Q84" s="110">
        <v>2</v>
      </c>
      <c r="R84" s="120" t="s">
        <v>148</v>
      </c>
      <c r="S84" s="110"/>
      <c r="T84" s="110"/>
      <c r="U84" s="110"/>
      <c r="V84" s="110"/>
      <c r="W84" s="110"/>
      <c r="X84" s="110"/>
      <c r="Y84" s="110"/>
      <c r="Z84" s="110"/>
      <c r="AA84" s="110"/>
      <c r="AB84" s="110"/>
      <c r="AC84" s="110"/>
      <c r="AD84" s="110"/>
      <c r="AE84" s="110"/>
      <c r="AF84" s="110"/>
      <c r="AG84" s="110"/>
      <c r="AH84" s="110"/>
      <c r="AI84" s="110"/>
      <c r="AJ84" s="110"/>
      <c r="AK84" s="110"/>
      <c r="AL84" s="110"/>
      <c r="AM84" s="110"/>
      <c r="AN84" s="110"/>
      <c r="AO84" s="110"/>
      <c r="AP84" s="110"/>
      <c r="AQ84" s="110"/>
      <c r="AR84" s="110"/>
      <c r="AS84" s="110"/>
      <c r="AT84" s="110"/>
      <c r="AU84" s="110"/>
      <c r="AV84" s="110"/>
      <c r="AW84" s="110"/>
      <c r="AX84" s="110"/>
      <c r="AY84" s="110"/>
      <c r="AZ84" s="110"/>
      <c r="BA84" s="110"/>
      <c r="BB84" s="110"/>
      <c r="BC84" s="110"/>
      <c r="BD84" s="110"/>
      <c r="BE84" s="110"/>
      <c r="BF84" s="110"/>
      <c r="BG84" s="110"/>
      <c r="BH84" s="110"/>
      <c r="BI84" s="110"/>
      <c r="BJ84" s="110"/>
      <c r="BK84" s="110"/>
      <c r="BL84" s="110"/>
      <c r="BM84" s="110"/>
      <c r="BN84" s="110"/>
      <c r="BO84" s="110"/>
      <c r="BP84" s="110"/>
      <c r="BQ84" s="110"/>
      <c r="BR84" s="110"/>
      <c r="BS84" s="110"/>
      <c r="BT84" s="110"/>
      <c r="BU84" s="110"/>
      <c r="BV84" s="110"/>
      <c r="BW84" s="110"/>
      <c r="BX84" s="110"/>
      <c r="BY84" s="110"/>
      <c r="BZ84" s="110"/>
      <c r="CA84" s="110"/>
      <c r="CB84" s="110"/>
      <c r="CC84" s="110"/>
      <c r="CD84" s="110"/>
      <c r="CE84" s="110"/>
      <c r="CF84" s="110"/>
      <c r="CG84" s="110"/>
      <c r="CH84" s="110"/>
      <c r="CI84" s="110"/>
      <c r="CJ84" s="110"/>
      <c r="CK84" s="110"/>
      <c r="CL84" s="110"/>
      <c r="CM84" s="110"/>
      <c r="CN84" s="110"/>
      <c r="CO84" s="110"/>
      <c r="CP84" s="110"/>
      <c r="CQ84" s="110"/>
      <c r="CR84" s="110"/>
      <c r="CS84" s="110"/>
      <c r="CT84" s="110"/>
      <c r="CU84" s="110"/>
      <c r="CV84" s="110"/>
      <c r="CW84" s="110"/>
      <c r="CX84" s="110"/>
      <c r="CY84" s="110"/>
      <c r="CZ84" s="110"/>
      <c r="DA84" s="110"/>
      <c r="DB84" s="110"/>
      <c r="DC84" s="110"/>
      <c r="DD84" s="110"/>
      <c r="DE84" s="110"/>
      <c r="DF84" s="110"/>
      <c r="DG84" s="110"/>
      <c r="DH84" s="110"/>
      <c r="DI84" s="110"/>
      <c r="DJ84" s="110"/>
      <c r="DK84" s="110"/>
      <c r="DL84" s="110"/>
      <c r="DM84" s="110"/>
      <c r="DN84" s="110"/>
      <c r="DO84" s="110"/>
      <c r="DP84" s="110"/>
      <c r="DQ84" s="110"/>
      <c r="DR84" s="110"/>
      <c r="DS84" s="110"/>
      <c r="DT84" s="110"/>
      <c r="DU84" s="110"/>
      <c r="DV84" s="110"/>
      <c r="DW84" s="110"/>
      <c r="DX84" s="110"/>
      <c r="DY84" s="110"/>
      <c r="DZ84" s="110"/>
      <c r="EA84" s="110"/>
      <c r="EB84" s="110"/>
      <c r="EC84" s="110"/>
      <c r="ED84" s="110"/>
      <c r="EE84" s="110"/>
      <c r="EF84" s="110"/>
      <c r="EG84" s="110"/>
      <c r="EH84" s="110"/>
      <c r="EI84" s="110"/>
      <c r="EJ84" s="110"/>
      <c r="EK84" s="111"/>
      <c r="EL84" s="110"/>
      <c r="EM84" s="110"/>
      <c r="EN84" s="110"/>
      <c r="EO84" s="110"/>
      <c r="EP84" s="110"/>
      <c r="EQ84" s="110"/>
      <c r="ER84" s="110"/>
      <c r="ES84" s="110"/>
      <c r="ET84" s="110"/>
      <c r="EU84" s="110"/>
      <c r="EV84" s="111"/>
    </row>
    <row r="85" spans="1:152" s="132" customFormat="1" ht="14.5" x14ac:dyDescent="0.35">
      <c r="A85" s="122">
        <v>6285464847</v>
      </c>
      <c r="B85" s="123" t="s">
        <v>130</v>
      </c>
      <c r="C85" s="123" t="s">
        <v>130</v>
      </c>
      <c r="D85" s="111" t="s">
        <v>138</v>
      </c>
      <c r="E85" s="124" t="s">
        <v>578</v>
      </c>
      <c r="F85" s="125" t="s">
        <v>309</v>
      </c>
      <c r="G85" s="126">
        <v>43812</v>
      </c>
      <c r="H85" s="125" t="s">
        <v>203</v>
      </c>
      <c r="I85" s="117" t="s">
        <v>135</v>
      </c>
      <c r="J85" s="117" t="s">
        <v>133</v>
      </c>
      <c r="K85" s="125" t="s">
        <v>136</v>
      </c>
      <c r="L85" s="128">
        <v>15247</v>
      </c>
      <c r="M85" s="149">
        <v>43763</v>
      </c>
      <c r="N85" s="130">
        <f t="shared" si="1"/>
        <v>78</v>
      </c>
      <c r="O85" s="123" t="s">
        <v>579</v>
      </c>
      <c r="P85" s="125" t="s">
        <v>138</v>
      </c>
      <c r="Q85" s="125">
        <v>3</v>
      </c>
      <c r="R85" s="131">
        <v>2</v>
      </c>
      <c r="S85" s="125"/>
      <c r="T85" s="125"/>
      <c r="U85" s="125"/>
      <c r="V85" s="125"/>
      <c r="W85" s="125"/>
      <c r="X85" s="125"/>
      <c r="Y85" s="125"/>
      <c r="Z85" s="125"/>
      <c r="AA85" s="125"/>
      <c r="AB85" s="125"/>
      <c r="AC85" s="125"/>
      <c r="AD85" s="125"/>
      <c r="AE85" s="125"/>
      <c r="AF85" s="125"/>
      <c r="AG85" s="125"/>
      <c r="AH85" s="125"/>
      <c r="AI85" s="125"/>
      <c r="AJ85" s="125"/>
      <c r="AK85" s="125"/>
      <c r="AL85" s="125"/>
      <c r="AM85" s="125"/>
      <c r="AN85" s="125"/>
      <c r="AO85" s="125"/>
      <c r="AP85" s="125"/>
      <c r="AQ85" s="125"/>
      <c r="AR85" s="125"/>
      <c r="AS85" s="125"/>
      <c r="AT85" s="125"/>
      <c r="AU85" s="125"/>
      <c r="AV85" s="125"/>
      <c r="AW85" s="125"/>
      <c r="AX85" s="125"/>
      <c r="AY85" s="125"/>
      <c r="AZ85" s="125"/>
      <c r="BA85" s="125"/>
      <c r="BB85" s="125"/>
      <c r="BC85" s="125"/>
      <c r="BD85" s="125"/>
      <c r="BE85" s="125"/>
      <c r="BF85" s="125"/>
      <c r="BG85" s="125"/>
      <c r="BH85" s="125"/>
      <c r="BI85" s="125"/>
      <c r="BJ85" s="125"/>
      <c r="BK85" s="125"/>
      <c r="BL85" s="125"/>
      <c r="BM85" s="125"/>
      <c r="BN85" s="125"/>
      <c r="BO85" s="125"/>
      <c r="BP85" s="125"/>
      <c r="BQ85" s="125"/>
      <c r="BR85" s="125"/>
      <c r="BS85" s="125"/>
      <c r="BT85" s="125"/>
      <c r="BU85" s="125"/>
      <c r="BV85" s="125"/>
      <c r="BW85" s="125"/>
      <c r="BX85" s="125"/>
      <c r="BY85" s="125"/>
      <c r="BZ85" s="125"/>
      <c r="CA85" s="125"/>
      <c r="CB85" s="125"/>
      <c r="CC85" s="125"/>
      <c r="CD85" s="125"/>
      <c r="CE85" s="125"/>
      <c r="CF85" s="125"/>
      <c r="CG85" s="125"/>
      <c r="CH85" s="125"/>
      <c r="CI85" s="125"/>
      <c r="CJ85" s="125"/>
      <c r="CK85" s="125"/>
      <c r="CL85" s="125"/>
      <c r="CM85" s="125"/>
      <c r="CN85" s="125"/>
      <c r="CO85" s="125"/>
      <c r="CP85" s="125"/>
      <c r="CQ85" s="125"/>
      <c r="CR85" s="125"/>
      <c r="CS85" s="125"/>
      <c r="CT85" s="125"/>
      <c r="CU85" s="125"/>
      <c r="CV85" s="125"/>
      <c r="CW85" s="125"/>
      <c r="CX85" s="125"/>
      <c r="CY85" s="125"/>
      <c r="CZ85" s="125"/>
      <c r="DA85" s="125"/>
      <c r="DB85" s="125"/>
      <c r="DC85" s="125"/>
      <c r="DD85" s="125"/>
      <c r="DE85" s="125"/>
      <c r="DF85" s="125"/>
      <c r="DG85" s="125"/>
      <c r="DH85" s="125"/>
      <c r="DI85" s="125"/>
      <c r="DJ85" s="125"/>
      <c r="DK85" s="125"/>
      <c r="DL85" s="125"/>
      <c r="DM85" s="125"/>
      <c r="DN85" s="125"/>
      <c r="DO85" s="125"/>
      <c r="DP85" s="125"/>
      <c r="DQ85" s="125"/>
      <c r="DR85" s="125"/>
      <c r="DS85" s="125"/>
      <c r="DT85" s="125"/>
      <c r="DU85" s="125"/>
      <c r="DV85" s="125"/>
      <c r="DW85" s="125"/>
      <c r="DX85" s="125"/>
      <c r="DY85" s="125"/>
      <c r="DZ85" s="125"/>
      <c r="EA85" s="125"/>
      <c r="EB85" s="125"/>
      <c r="EC85" s="125"/>
      <c r="ED85" s="125"/>
      <c r="EE85" s="125"/>
      <c r="EF85" s="125"/>
      <c r="EG85" s="125"/>
      <c r="EH85" s="125"/>
      <c r="EI85" s="125"/>
      <c r="EJ85" s="125"/>
      <c r="EK85" s="124"/>
      <c r="EL85" s="125"/>
      <c r="EM85" s="125"/>
      <c r="EN85" s="125"/>
      <c r="EO85" s="125"/>
      <c r="EP85" s="125"/>
      <c r="EQ85" s="125"/>
      <c r="ER85" s="125"/>
      <c r="ES85" s="125"/>
      <c r="ET85" s="125"/>
      <c r="EU85" s="125"/>
      <c r="EV85" s="124"/>
    </row>
    <row r="86" spans="1:152" ht="14.5" x14ac:dyDescent="0.35">
      <c r="A86" s="133">
        <v>4330742578</v>
      </c>
      <c r="B86" s="150" t="s">
        <v>130</v>
      </c>
      <c r="C86" s="134" t="s">
        <v>130</v>
      </c>
      <c r="D86" s="111" t="s">
        <v>138</v>
      </c>
      <c r="E86" s="135" t="s">
        <v>580</v>
      </c>
      <c r="F86" s="136" t="s">
        <v>477</v>
      </c>
      <c r="G86" s="137">
        <v>43839</v>
      </c>
      <c r="H86" s="136" t="s">
        <v>203</v>
      </c>
      <c r="I86" s="117" t="s">
        <v>135</v>
      </c>
      <c r="J86" s="117" t="s">
        <v>133</v>
      </c>
      <c r="K86" s="136" t="s">
        <v>136</v>
      </c>
      <c r="L86" s="139">
        <v>12803</v>
      </c>
      <c r="M86" s="140">
        <v>43791</v>
      </c>
      <c r="N86" s="141">
        <f t="shared" si="1"/>
        <v>84</v>
      </c>
      <c r="O86" s="134" t="s">
        <v>581</v>
      </c>
      <c r="P86" s="136" t="s">
        <v>138</v>
      </c>
      <c r="Q86" s="136">
        <v>3</v>
      </c>
      <c r="R86" s="142">
        <v>2</v>
      </c>
      <c r="S86" s="136"/>
      <c r="T86" s="136"/>
      <c r="U86" s="136"/>
      <c r="V86" s="136"/>
      <c r="W86" s="136"/>
      <c r="X86" s="136"/>
      <c r="Y86" s="136"/>
      <c r="Z86" s="136"/>
      <c r="AA86" s="136"/>
      <c r="AB86" s="136"/>
      <c r="AC86" s="136"/>
      <c r="AD86" s="136"/>
      <c r="AE86" s="136"/>
      <c r="AF86" s="136"/>
      <c r="AG86" s="136"/>
      <c r="AH86" s="136"/>
      <c r="AI86" s="136"/>
      <c r="AJ86" s="136"/>
      <c r="AK86" s="136"/>
      <c r="AL86" s="136"/>
      <c r="AM86" s="136"/>
      <c r="AN86" s="136"/>
      <c r="AO86" s="136"/>
      <c r="AP86" s="136"/>
      <c r="AQ86" s="136"/>
      <c r="AR86" s="136"/>
      <c r="AS86" s="136"/>
      <c r="AT86" s="136"/>
      <c r="AU86" s="136"/>
      <c r="AV86" s="136"/>
      <c r="AW86" s="136"/>
      <c r="AX86" s="136"/>
      <c r="AY86" s="136"/>
      <c r="AZ86" s="136"/>
      <c r="BA86" s="136"/>
      <c r="BB86" s="136"/>
      <c r="BC86" s="136"/>
      <c r="BD86" s="136"/>
      <c r="BE86" s="136"/>
      <c r="BF86" s="136"/>
      <c r="BG86" s="136"/>
      <c r="BH86" s="136"/>
      <c r="BI86" s="136"/>
      <c r="BJ86" s="136"/>
      <c r="BK86" s="136"/>
      <c r="BL86" s="136"/>
      <c r="BM86" s="136"/>
      <c r="BN86" s="136"/>
      <c r="BO86" s="136"/>
      <c r="BP86" s="136"/>
      <c r="BQ86" s="136"/>
      <c r="BR86" s="136"/>
      <c r="BS86" s="136"/>
      <c r="BT86" s="136"/>
      <c r="BU86" s="136"/>
      <c r="BV86" s="136"/>
      <c r="BW86" s="136"/>
      <c r="BX86" s="136"/>
      <c r="BY86" s="136"/>
      <c r="BZ86" s="136"/>
      <c r="CA86" s="136"/>
      <c r="CB86" s="136"/>
      <c r="CC86" s="136"/>
      <c r="CD86" s="136"/>
      <c r="CE86" s="136"/>
      <c r="CF86" s="136"/>
      <c r="CG86" s="136"/>
      <c r="CH86" s="136"/>
      <c r="CI86" s="136"/>
      <c r="CJ86" s="136"/>
      <c r="CK86" s="136"/>
      <c r="CL86" s="136"/>
      <c r="CM86" s="136"/>
      <c r="CN86" s="136"/>
      <c r="CO86" s="136"/>
      <c r="CP86" s="136"/>
      <c r="CQ86" s="136"/>
      <c r="CR86" s="136"/>
      <c r="CS86" s="136"/>
      <c r="CT86" s="136"/>
      <c r="CU86" s="136"/>
      <c r="CV86" s="136"/>
      <c r="CW86" s="136"/>
      <c r="CX86" s="136"/>
      <c r="CY86" s="136"/>
      <c r="CZ86" s="136"/>
      <c r="DA86" s="136"/>
      <c r="DB86" s="136"/>
      <c r="DC86" s="136"/>
      <c r="DD86" s="136"/>
      <c r="DE86" s="136"/>
      <c r="DF86" s="136"/>
      <c r="DG86" s="136"/>
      <c r="DH86" s="136"/>
      <c r="DI86" s="136"/>
      <c r="DJ86" s="136"/>
      <c r="DK86" s="136"/>
      <c r="DL86" s="136"/>
      <c r="DM86" s="136"/>
      <c r="DN86" s="136"/>
      <c r="DO86" s="136"/>
      <c r="DP86" s="136"/>
      <c r="DQ86" s="136"/>
      <c r="DR86" s="136"/>
      <c r="DS86" s="136"/>
      <c r="DT86" s="136"/>
      <c r="DU86" s="136"/>
      <c r="DV86" s="136"/>
      <c r="DW86" s="136"/>
      <c r="DX86" s="136"/>
      <c r="DY86" s="136"/>
      <c r="DZ86" s="136"/>
      <c r="EA86" s="136"/>
      <c r="EB86" s="136"/>
      <c r="EC86" s="136"/>
      <c r="ED86" s="136"/>
      <c r="EE86" s="136"/>
      <c r="EF86" s="136"/>
      <c r="EG86" s="136"/>
      <c r="EH86" s="136"/>
      <c r="EI86" s="136"/>
      <c r="EJ86" s="136"/>
      <c r="EK86" s="135"/>
      <c r="EL86" s="136"/>
      <c r="EM86" s="136"/>
      <c r="EN86" s="136"/>
      <c r="EO86" s="136"/>
      <c r="EP86" s="136"/>
      <c r="EQ86" s="136"/>
      <c r="ER86" s="136"/>
      <c r="ES86" s="136"/>
      <c r="ET86" s="136"/>
      <c r="EU86" s="136"/>
      <c r="EV86" s="135"/>
    </row>
    <row r="87" spans="1:152" ht="14.5" x14ac:dyDescent="0.35">
      <c r="A87" s="108">
        <v>4581628261</v>
      </c>
      <c r="B87" s="109" t="s">
        <v>130</v>
      </c>
      <c r="C87" s="116" t="s">
        <v>130</v>
      </c>
      <c r="D87" s="111" t="s">
        <v>138</v>
      </c>
      <c r="E87" s="111" t="s">
        <v>582</v>
      </c>
      <c r="F87" s="110" t="s">
        <v>583</v>
      </c>
      <c r="G87" s="112">
        <v>43993</v>
      </c>
      <c r="H87" s="110" t="s">
        <v>584</v>
      </c>
      <c r="I87" s="117" t="s">
        <v>135</v>
      </c>
      <c r="J87" s="117" t="s">
        <v>133</v>
      </c>
      <c r="K87" s="110" t="s">
        <v>136</v>
      </c>
      <c r="L87" s="113">
        <v>19183</v>
      </c>
      <c r="M87" s="114">
        <v>43882</v>
      </c>
      <c r="N87" s="115">
        <f t="shared" si="1"/>
        <v>67</v>
      </c>
      <c r="O87" s="116" t="s">
        <v>585</v>
      </c>
      <c r="P87" s="59" t="s">
        <v>138</v>
      </c>
      <c r="Q87" s="110">
        <v>3</v>
      </c>
      <c r="R87" s="120" t="s">
        <v>422</v>
      </c>
      <c r="S87" s="110"/>
      <c r="T87" s="110"/>
      <c r="U87" s="110"/>
      <c r="V87" s="110"/>
      <c r="W87" s="110"/>
      <c r="X87" s="110"/>
      <c r="Y87" s="110"/>
      <c r="Z87" s="110"/>
      <c r="AA87" s="110"/>
      <c r="AB87" s="110"/>
      <c r="AC87" s="110"/>
      <c r="AD87" s="110"/>
      <c r="AE87" s="110"/>
      <c r="AF87" s="110"/>
      <c r="AG87" s="110"/>
      <c r="AH87" s="110"/>
      <c r="AI87" s="110"/>
      <c r="AJ87" s="110"/>
      <c r="AK87" s="110"/>
      <c r="AL87" s="110"/>
      <c r="AM87" s="110"/>
      <c r="AN87" s="110"/>
      <c r="AO87" s="110"/>
      <c r="AP87" s="110"/>
      <c r="AQ87" s="110"/>
      <c r="AR87" s="110"/>
      <c r="AS87" s="110"/>
      <c r="AT87" s="110"/>
      <c r="AU87" s="110"/>
      <c r="AV87" s="110"/>
      <c r="AW87" s="110"/>
      <c r="AX87" s="110"/>
      <c r="AY87" s="110"/>
      <c r="AZ87" s="110"/>
      <c r="BA87" s="110"/>
      <c r="BB87" s="110"/>
      <c r="BC87" s="110"/>
      <c r="BD87" s="110"/>
      <c r="BE87" s="110"/>
      <c r="BF87" s="110"/>
      <c r="BG87" s="110"/>
      <c r="BH87" s="110"/>
      <c r="BI87" s="110"/>
      <c r="BJ87" s="110"/>
      <c r="BK87" s="110"/>
      <c r="BL87" s="110"/>
      <c r="BM87" s="110"/>
      <c r="BN87" s="110"/>
      <c r="BO87" s="110"/>
      <c r="BP87" s="110"/>
      <c r="BQ87" s="110"/>
      <c r="BR87" s="110"/>
      <c r="BS87" s="110"/>
      <c r="BT87" s="110"/>
      <c r="BU87" s="110"/>
      <c r="BV87" s="110"/>
      <c r="BW87" s="110"/>
      <c r="BX87" s="110"/>
      <c r="BY87" s="110"/>
      <c r="BZ87" s="110"/>
      <c r="CA87" s="110"/>
      <c r="CB87" s="110"/>
      <c r="CC87" s="110"/>
      <c r="CD87" s="110"/>
      <c r="CE87" s="110"/>
      <c r="CF87" s="110"/>
      <c r="CG87" s="110"/>
      <c r="CH87" s="110"/>
      <c r="CI87" s="110"/>
      <c r="CJ87" s="110"/>
      <c r="CK87" s="110"/>
      <c r="CL87" s="110"/>
      <c r="CM87" s="110"/>
      <c r="CN87" s="110"/>
      <c r="CO87" s="110"/>
      <c r="CP87" s="110"/>
      <c r="CQ87" s="110"/>
      <c r="CR87" s="110"/>
      <c r="CS87" s="110"/>
      <c r="CT87" s="110"/>
      <c r="CU87" s="110"/>
      <c r="CV87" s="110"/>
      <c r="CW87" s="110"/>
      <c r="CX87" s="110"/>
      <c r="CY87" s="110"/>
      <c r="CZ87" s="110"/>
      <c r="DA87" s="110"/>
      <c r="DB87" s="110"/>
      <c r="DC87" s="110"/>
      <c r="DD87" s="110"/>
      <c r="DE87" s="110"/>
      <c r="DF87" s="110"/>
      <c r="DG87" s="110"/>
      <c r="DH87" s="110"/>
      <c r="DI87" s="110"/>
      <c r="DJ87" s="110"/>
      <c r="DK87" s="110"/>
      <c r="DL87" s="110"/>
      <c r="DM87" s="110"/>
      <c r="DN87" s="110"/>
      <c r="DO87" s="110"/>
      <c r="DP87" s="110"/>
      <c r="DQ87" s="110"/>
      <c r="DR87" s="110"/>
      <c r="DS87" s="110"/>
      <c r="DT87" s="110"/>
      <c r="DU87" s="110"/>
      <c r="DV87" s="110"/>
      <c r="DW87" s="110"/>
      <c r="DX87" s="110"/>
      <c r="DY87" s="110"/>
      <c r="DZ87" s="110"/>
      <c r="EA87" s="110"/>
      <c r="EB87" s="110"/>
      <c r="EC87" s="110"/>
      <c r="ED87" s="110"/>
      <c r="EE87" s="110"/>
      <c r="EF87" s="110"/>
      <c r="EG87" s="110"/>
      <c r="EH87" s="110"/>
      <c r="EI87" s="110"/>
      <c r="EJ87" s="110"/>
      <c r="EK87" s="111"/>
      <c r="EL87" s="110"/>
      <c r="EM87" s="110"/>
      <c r="EN87" s="110"/>
      <c r="EO87" s="110"/>
      <c r="EP87" s="110"/>
      <c r="EQ87" s="110"/>
      <c r="ER87" s="110"/>
      <c r="ES87" s="110"/>
      <c r="ET87" s="110"/>
      <c r="EU87" s="110"/>
      <c r="EV87" s="111"/>
    </row>
    <row r="88" spans="1:152" s="132" customFormat="1" ht="14.5" x14ac:dyDescent="0.35">
      <c r="A88" s="122">
        <v>4507813875</v>
      </c>
      <c r="B88" s="151" t="s">
        <v>130</v>
      </c>
      <c r="C88" s="123" t="s">
        <v>130</v>
      </c>
      <c r="D88" s="111" t="s">
        <v>138</v>
      </c>
      <c r="E88" s="124" t="s">
        <v>586</v>
      </c>
      <c r="F88" s="125" t="s">
        <v>587</v>
      </c>
      <c r="G88" s="126">
        <v>44013</v>
      </c>
      <c r="H88" s="125" t="s">
        <v>203</v>
      </c>
      <c r="I88" s="117" t="s">
        <v>135</v>
      </c>
      <c r="J88" s="117" t="s">
        <v>133</v>
      </c>
      <c r="K88" s="125" t="s">
        <v>136</v>
      </c>
      <c r="L88" s="128">
        <v>17692</v>
      </c>
      <c r="M88" s="149">
        <v>43986</v>
      </c>
      <c r="N88" s="130">
        <f t="shared" si="1"/>
        <v>71</v>
      </c>
      <c r="O88" s="123" t="s">
        <v>588</v>
      </c>
      <c r="P88" s="152" t="s">
        <v>130</v>
      </c>
      <c r="Q88" s="125">
        <v>3</v>
      </c>
      <c r="R88" s="131" t="s">
        <v>426</v>
      </c>
      <c r="S88" s="125"/>
      <c r="T88" s="125"/>
      <c r="U88" s="125"/>
      <c r="V88" s="125"/>
      <c r="W88" s="125"/>
      <c r="X88" s="125"/>
      <c r="Y88" s="125"/>
      <c r="Z88" s="125"/>
      <c r="AA88" s="125"/>
      <c r="AB88" s="125"/>
      <c r="AC88" s="125"/>
      <c r="AD88" s="125"/>
      <c r="AE88" s="125"/>
      <c r="AF88" s="125"/>
      <c r="AG88" s="125"/>
      <c r="AH88" s="125"/>
      <c r="AI88" s="125"/>
      <c r="AJ88" s="125"/>
      <c r="AK88" s="125"/>
      <c r="AL88" s="125"/>
      <c r="AM88" s="125"/>
      <c r="AN88" s="125"/>
      <c r="AO88" s="125"/>
      <c r="AP88" s="125"/>
      <c r="AQ88" s="125"/>
      <c r="AR88" s="125"/>
      <c r="AS88" s="125"/>
      <c r="AT88" s="125"/>
      <c r="AU88" s="125"/>
      <c r="AV88" s="125"/>
      <c r="AW88" s="125"/>
      <c r="AX88" s="125"/>
      <c r="AY88" s="125"/>
      <c r="AZ88" s="125"/>
      <c r="BA88" s="125"/>
      <c r="BB88" s="125"/>
      <c r="BC88" s="125"/>
      <c r="BD88" s="125"/>
      <c r="BE88" s="125"/>
      <c r="BF88" s="125"/>
      <c r="BG88" s="125"/>
      <c r="BH88" s="125"/>
      <c r="BI88" s="125"/>
      <c r="BJ88" s="125"/>
      <c r="BK88" s="125"/>
      <c r="BL88" s="125"/>
      <c r="BM88" s="125"/>
      <c r="BN88" s="125"/>
      <c r="BO88" s="125"/>
      <c r="BP88" s="125"/>
      <c r="BQ88" s="125"/>
      <c r="BR88" s="125"/>
      <c r="BS88" s="125"/>
      <c r="BT88" s="125"/>
      <c r="BU88" s="125"/>
      <c r="BV88" s="125"/>
      <c r="BW88" s="125"/>
      <c r="BX88" s="125"/>
      <c r="BY88" s="125"/>
      <c r="BZ88" s="125"/>
      <c r="CA88" s="125"/>
      <c r="CB88" s="125"/>
      <c r="CC88" s="125"/>
      <c r="CD88" s="125"/>
      <c r="CE88" s="125"/>
      <c r="CF88" s="125"/>
      <c r="CG88" s="125"/>
      <c r="CH88" s="125"/>
      <c r="CI88" s="125"/>
      <c r="CJ88" s="125"/>
      <c r="CK88" s="125"/>
      <c r="CL88" s="125"/>
      <c r="CM88" s="125"/>
      <c r="CN88" s="125"/>
      <c r="CO88" s="125"/>
      <c r="CP88" s="125"/>
      <c r="CQ88" s="125"/>
      <c r="CR88" s="125"/>
      <c r="CS88" s="125"/>
      <c r="CT88" s="125"/>
      <c r="CU88" s="125"/>
      <c r="CV88" s="125"/>
      <c r="CW88" s="125"/>
      <c r="CX88" s="125"/>
      <c r="CY88" s="125"/>
      <c r="CZ88" s="125"/>
      <c r="DA88" s="125"/>
      <c r="DB88" s="125"/>
      <c r="DC88" s="125"/>
      <c r="DD88" s="125"/>
      <c r="DE88" s="125"/>
      <c r="DF88" s="125"/>
      <c r="DG88" s="125"/>
      <c r="DH88" s="125"/>
      <c r="DI88" s="125"/>
      <c r="DJ88" s="125"/>
      <c r="DK88" s="125"/>
      <c r="DL88" s="125"/>
      <c r="DM88" s="125"/>
      <c r="DN88" s="125"/>
      <c r="DO88" s="125"/>
      <c r="DP88" s="125"/>
      <c r="DQ88" s="125"/>
      <c r="DR88" s="125"/>
      <c r="DS88" s="125"/>
      <c r="DT88" s="125"/>
      <c r="DU88" s="125"/>
      <c r="DV88" s="125"/>
      <c r="DW88" s="125"/>
      <c r="DX88" s="125"/>
      <c r="DY88" s="125"/>
      <c r="DZ88" s="125"/>
      <c r="EA88" s="125"/>
      <c r="EB88" s="125"/>
      <c r="EC88" s="125"/>
      <c r="ED88" s="125"/>
      <c r="EE88" s="125"/>
      <c r="EF88" s="125"/>
      <c r="EG88" s="125"/>
      <c r="EH88" s="125"/>
      <c r="EI88" s="125"/>
      <c r="EJ88" s="125"/>
      <c r="EK88" s="124"/>
      <c r="EL88" s="125"/>
      <c r="EM88" s="125"/>
      <c r="EN88" s="125"/>
      <c r="EO88" s="125"/>
      <c r="EP88" s="125"/>
      <c r="EQ88" s="125"/>
      <c r="ER88" s="125"/>
      <c r="ES88" s="125"/>
      <c r="ET88" s="125"/>
      <c r="EU88" s="125"/>
      <c r="EV88" s="124"/>
    </row>
    <row r="89" spans="1:152" ht="14.5" x14ac:dyDescent="0.35">
      <c r="A89" s="133">
        <v>4388418994</v>
      </c>
      <c r="B89" s="150" t="s">
        <v>130</v>
      </c>
      <c r="C89" s="134" t="s">
        <v>130</v>
      </c>
      <c r="D89" s="111" t="s">
        <v>138</v>
      </c>
      <c r="E89" s="135" t="s">
        <v>589</v>
      </c>
      <c r="F89" s="136" t="s">
        <v>256</v>
      </c>
      <c r="G89" s="137">
        <v>44245</v>
      </c>
      <c r="H89" s="136" t="s">
        <v>203</v>
      </c>
      <c r="I89" s="117" t="s">
        <v>135</v>
      </c>
      <c r="J89" s="117" t="s">
        <v>133</v>
      </c>
      <c r="K89" s="136" t="s">
        <v>136</v>
      </c>
      <c r="L89" s="139">
        <v>16400</v>
      </c>
      <c r="M89" s="140">
        <v>44216</v>
      </c>
      <c r="N89" s="141">
        <f t="shared" si="1"/>
        <v>76</v>
      </c>
      <c r="O89" s="134" t="s">
        <v>588</v>
      </c>
      <c r="P89" s="153" t="s">
        <v>138</v>
      </c>
      <c r="Q89" s="136">
        <v>3</v>
      </c>
      <c r="R89" s="142" t="s">
        <v>198</v>
      </c>
      <c r="S89" s="136"/>
      <c r="T89" s="136"/>
      <c r="U89" s="136"/>
      <c r="V89" s="136"/>
      <c r="W89" s="136"/>
      <c r="X89" s="136"/>
      <c r="Y89" s="136"/>
      <c r="Z89" s="136"/>
      <c r="AA89" s="136"/>
      <c r="AB89" s="136"/>
      <c r="AC89" s="136"/>
      <c r="AD89" s="136"/>
      <c r="AE89" s="136"/>
      <c r="AF89" s="136"/>
      <c r="AG89" s="136"/>
      <c r="AH89" s="136"/>
      <c r="AI89" s="136"/>
      <c r="AJ89" s="136"/>
      <c r="AK89" s="136"/>
      <c r="AL89" s="136"/>
      <c r="AM89" s="136"/>
      <c r="AN89" s="136"/>
      <c r="AO89" s="136"/>
      <c r="AP89" s="136"/>
      <c r="AQ89" s="136"/>
      <c r="AR89" s="136"/>
      <c r="AS89" s="136"/>
      <c r="AT89" s="136"/>
      <c r="AU89" s="136"/>
      <c r="AV89" s="136"/>
      <c r="AW89" s="136"/>
      <c r="AX89" s="136"/>
      <c r="AY89" s="136"/>
      <c r="AZ89" s="136"/>
      <c r="BA89" s="136"/>
      <c r="BB89" s="136"/>
      <c r="BC89" s="136"/>
      <c r="BD89" s="136"/>
      <c r="BE89" s="136"/>
      <c r="BF89" s="136"/>
      <c r="BG89" s="136"/>
      <c r="BH89" s="136"/>
      <c r="BI89" s="136"/>
      <c r="BJ89" s="136"/>
      <c r="BK89" s="136"/>
      <c r="BL89" s="136"/>
      <c r="BM89" s="136"/>
      <c r="BN89" s="136"/>
      <c r="BO89" s="136"/>
      <c r="BP89" s="136"/>
      <c r="BQ89" s="136"/>
      <c r="BR89" s="136"/>
      <c r="BS89" s="136"/>
      <c r="BT89" s="136"/>
      <c r="BU89" s="136"/>
      <c r="BV89" s="136"/>
      <c r="BW89" s="136"/>
      <c r="BX89" s="136"/>
      <c r="BY89" s="136"/>
      <c r="BZ89" s="136"/>
      <c r="CA89" s="136"/>
      <c r="CB89" s="136"/>
      <c r="CC89" s="136"/>
      <c r="CD89" s="136"/>
      <c r="CE89" s="136"/>
      <c r="CF89" s="136"/>
      <c r="CG89" s="136"/>
      <c r="CH89" s="136"/>
      <c r="CI89" s="136"/>
      <c r="CJ89" s="136"/>
      <c r="CK89" s="136"/>
      <c r="CL89" s="136"/>
      <c r="CM89" s="136"/>
      <c r="CN89" s="136"/>
      <c r="CO89" s="136"/>
      <c r="CP89" s="136"/>
      <c r="CQ89" s="136"/>
      <c r="CR89" s="136"/>
      <c r="CS89" s="136"/>
      <c r="CT89" s="136"/>
      <c r="CU89" s="136"/>
      <c r="CV89" s="136"/>
      <c r="CW89" s="136"/>
      <c r="CX89" s="136"/>
      <c r="CY89" s="136"/>
      <c r="CZ89" s="136"/>
      <c r="DA89" s="136"/>
      <c r="DB89" s="136"/>
      <c r="DC89" s="136"/>
      <c r="DD89" s="136"/>
      <c r="DE89" s="136"/>
      <c r="DF89" s="136"/>
      <c r="DG89" s="136"/>
      <c r="DH89" s="136"/>
      <c r="DI89" s="136"/>
      <c r="DJ89" s="136"/>
      <c r="DK89" s="136"/>
      <c r="DL89" s="136"/>
      <c r="DM89" s="136"/>
      <c r="DN89" s="136"/>
      <c r="DO89" s="136"/>
      <c r="DP89" s="136"/>
      <c r="DQ89" s="136"/>
      <c r="DR89" s="136"/>
      <c r="DS89" s="136"/>
      <c r="DT89" s="136"/>
      <c r="DU89" s="136"/>
      <c r="DV89" s="136"/>
      <c r="DW89" s="136"/>
      <c r="DX89" s="136"/>
      <c r="DY89" s="136"/>
      <c r="DZ89" s="136"/>
      <c r="EA89" s="136"/>
      <c r="EB89" s="136"/>
      <c r="EC89" s="136"/>
      <c r="ED89" s="136"/>
      <c r="EE89" s="136"/>
      <c r="EF89" s="136"/>
      <c r="EG89" s="136"/>
      <c r="EH89" s="136"/>
      <c r="EI89" s="136"/>
      <c r="EJ89" s="136"/>
      <c r="EK89" s="135"/>
      <c r="EL89" s="136"/>
      <c r="EM89" s="136"/>
      <c r="EN89" s="136"/>
      <c r="EO89" s="136"/>
      <c r="EP89" s="136"/>
      <c r="EQ89" s="136"/>
      <c r="ER89" s="136"/>
      <c r="ES89" s="136"/>
      <c r="ET89" s="136"/>
      <c r="EU89" s="136"/>
      <c r="EV89" s="135"/>
    </row>
    <row r="90" spans="1:152" ht="14.5" x14ac:dyDescent="0.35">
      <c r="A90" s="198">
        <v>4381731344</v>
      </c>
      <c r="B90" s="199" t="s">
        <v>130</v>
      </c>
      <c r="C90" s="200" t="s">
        <v>130</v>
      </c>
      <c r="D90" s="201" t="s">
        <v>138</v>
      </c>
      <c r="E90" s="201" t="s">
        <v>590</v>
      </c>
      <c r="F90" s="202" t="s">
        <v>239</v>
      </c>
      <c r="G90" s="203">
        <v>44286</v>
      </c>
      <c r="H90" s="202" t="s">
        <v>270</v>
      </c>
      <c r="I90" s="204" t="s">
        <v>135</v>
      </c>
      <c r="J90" s="204" t="s">
        <v>133</v>
      </c>
      <c r="K90" s="202" t="s">
        <v>136</v>
      </c>
      <c r="L90" s="205">
        <v>14638</v>
      </c>
      <c r="M90" s="206">
        <v>44256</v>
      </c>
      <c r="N90" s="207">
        <f t="shared" si="1"/>
        <v>81</v>
      </c>
      <c r="O90" s="200" t="s">
        <v>591</v>
      </c>
      <c r="P90" s="192" t="s">
        <v>138</v>
      </c>
      <c r="Q90" s="202">
        <v>3</v>
      </c>
      <c r="R90" s="208">
        <v>2</v>
      </c>
      <c r="S90" s="202"/>
      <c r="T90" s="202"/>
      <c r="U90" s="202"/>
      <c r="V90" s="202"/>
      <c r="W90" s="202"/>
      <c r="X90" s="202"/>
      <c r="Y90" s="202"/>
      <c r="Z90" s="202"/>
      <c r="AA90" s="202"/>
      <c r="AB90" s="202"/>
      <c r="AC90" s="202"/>
      <c r="AD90" s="202"/>
      <c r="AE90" s="202"/>
      <c r="AF90" s="202"/>
      <c r="AG90" s="202"/>
      <c r="AH90" s="202"/>
      <c r="AI90" s="202"/>
      <c r="AJ90" s="202"/>
      <c r="AK90" s="202"/>
      <c r="AL90" s="202"/>
      <c r="AM90" s="202"/>
      <c r="AN90" s="202"/>
      <c r="AO90" s="202"/>
      <c r="AP90" s="202"/>
      <c r="AQ90" s="202"/>
      <c r="AR90" s="202"/>
      <c r="AS90" s="202"/>
      <c r="AT90" s="202"/>
      <c r="AU90" s="202"/>
      <c r="AV90" s="202"/>
      <c r="AW90" s="202"/>
      <c r="AX90" s="202"/>
      <c r="AY90" s="202"/>
      <c r="AZ90" s="202"/>
      <c r="BA90" s="202"/>
      <c r="BB90" s="202"/>
      <c r="BC90" s="202"/>
      <c r="BD90" s="202"/>
      <c r="BE90" s="202"/>
      <c r="BF90" s="202"/>
      <c r="BG90" s="202"/>
      <c r="BH90" s="202"/>
      <c r="BI90" s="202"/>
      <c r="BJ90" s="202"/>
      <c r="BK90" s="202"/>
      <c r="BL90" s="202"/>
      <c r="BM90" s="202"/>
      <c r="BN90" s="202"/>
      <c r="BO90" s="202"/>
      <c r="BP90" s="202"/>
      <c r="BQ90" s="202"/>
      <c r="BR90" s="202"/>
      <c r="BS90" s="202"/>
      <c r="BT90" s="202"/>
      <c r="BU90" s="202"/>
      <c r="BV90" s="202"/>
      <c r="BW90" s="202"/>
      <c r="BX90" s="202"/>
      <c r="BY90" s="202"/>
      <c r="BZ90" s="202"/>
      <c r="CA90" s="202"/>
      <c r="CB90" s="202"/>
      <c r="CC90" s="202"/>
      <c r="CD90" s="202"/>
      <c r="CE90" s="202"/>
      <c r="CF90" s="202"/>
      <c r="CG90" s="202"/>
      <c r="CH90" s="202"/>
      <c r="CI90" s="202"/>
      <c r="CJ90" s="202"/>
      <c r="CK90" s="202"/>
      <c r="CL90" s="202"/>
      <c r="CM90" s="202"/>
      <c r="CN90" s="202"/>
      <c r="CO90" s="202"/>
      <c r="CP90" s="202"/>
      <c r="CQ90" s="202"/>
      <c r="CR90" s="202"/>
      <c r="CS90" s="202"/>
      <c r="CT90" s="202"/>
      <c r="CU90" s="202"/>
      <c r="CV90" s="202"/>
      <c r="CW90" s="202"/>
      <c r="CX90" s="202"/>
      <c r="CY90" s="202"/>
      <c r="CZ90" s="202"/>
      <c r="DA90" s="202"/>
      <c r="DB90" s="202"/>
      <c r="DC90" s="202"/>
      <c r="DD90" s="202"/>
      <c r="DE90" s="202"/>
      <c r="DF90" s="202"/>
      <c r="DG90" s="202"/>
      <c r="DH90" s="202"/>
      <c r="DI90" s="202"/>
      <c r="DJ90" s="202"/>
      <c r="DK90" s="202"/>
      <c r="DL90" s="202"/>
      <c r="DM90" s="202"/>
      <c r="DN90" s="202"/>
      <c r="DO90" s="202"/>
      <c r="DP90" s="202"/>
      <c r="DQ90" s="202"/>
      <c r="DR90" s="202"/>
      <c r="DS90" s="202"/>
      <c r="DT90" s="202"/>
      <c r="DU90" s="202"/>
      <c r="DV90" s="202"/>
      <c r="DW90" s="202"/>
      <c r="DX90" s="202"/>
      <c r="DY90" s="202"/>
      <c r="DZ90" s="202"/>
      <c r="EA90" s="202"/>
      <c r="EB90" s="202"/>
      <c r="EC90" s="202"/>
      <c r="ED90" s="202"/>
      <c r="EE90" s="202"/>
      <c r="EF90" s="202"/>
      <c r="EG90" s="202"/>
      <c r="EH90" s="202"/>
      <c r="EI90" s="202"/>
      <c r="EJ90" s="202"/>
      <c r="EK90" s="201"/>
      <c r="EL90" s="202"/>
      <c r="EM90" s="202"/>
      <c r="EN90" s="202"/>
      <c r="EO90" s="202"/>
      <c r="EP90" s="202"/>
      <c r="EQ90" s="202"/>
      <c r="ER90" s="202"/>
      <c r="ES90" s="202"/>
      <c r="ET90" s="202"/>
      <c r="EU90" s="202"/>
      <c r="EV90" s="201"/>
    </row>
  </sheetData>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5CD9E-AE2D-468C-B99F-99094346439E}">
  <sheetPr codeName="Sheet4"/>
  <dimension ref="A1:P90"/>
  <sheetViews>
    <sheetView topLeftCell="A55" workbookViewId="0">
      <selection activeCell="D1" sqref="D1:D1048576"/>
    </sheetView>
  </sheetViews>
  <sheetFormatPr defaultColWidth="9.1796875" defaultRowHeight="12.5" x14ac:dyDescent="0.25"/>
  <cols>
    <col min="1" max="1" width="20.08984375" style="68" customWidth="1"/>
    <col min="2" max="2" width="22.90625" style="68" customWidth="1"/>
    <col min="3" max="3" width="28.26953125" style="68" customWidth="1"/>
    <col min="4" max="4" width="31.26953125" style="68" customWidth="1"/>
    <col min="5" max="5" width="12.81640625" style="68" hidden="1" customWidth="1"/>
    <col min="6" max="6" width="0" style="68" hidden="1" customWidth="1"/>
    <col min="7" max="7" width="30.1796875" style="68" hidden="1" customWidth="1"/>
    <col min="8" max="8" width="12.1796875" style="68" hidden="1" customWidth="1"/>
    <col min="9" max="9" width="0" style="68" hidden="1" customWidth="1"/>
    <col min="10" max="10" width="9" style="68" customWidth="1"/>
    <col min="11" max="11" width="19.7265625" style="68" customWidth="1"/>
    <col min="12" max="12" width="22.6328125" style="68" customWidth="1"/>
    <col min="13" max="13" width="89.26953125" style="68" bestFit="1" customWidth="1"/>
    <col min="14" max="14" width="27.26953125" style="68" customWidth="1"/>
    <col min="15" max="15" width="12.453125" style="68" customWidth="1"/>
    <col min="16" max="16" width="18.1796875" style="68" customWidth="1"/>
    <col min="17" max="16384" width="9.1796875" style="68"/>
  </cols>
  <sheetData>
    <row r="1" spans="1:16" s="67" customFormat="1" ht="72" customHeight="1" x14ac:dyDescent="0.25">
      <c r="A1" s="209" t="s">
        <v>8</v>
      </c>
      <c r="B1" s="209" t="s">
        <v>394</v>
      </c>
      <c r="C1" s="209" t="s">
        <v>9</v>
      </c>
      <c r="D1" s="209" t="s">
        <v>10</v>
      </c>
      <c r="E1" s="209" t="s">
        <v>11</v>
      </c>
      <c r="F1" s="209" t="s">
        <v>592</v>
      </c>
      <c r="G1" s="209" t="s">
        <v>17</v>
      </c>
      <c r="H1" s="209" t="s">
        <v>18</v>
      </c>
      <c r="I1" s="209" t="s">
        <v>19</v>
      </c>
      <c r="J1" s="209" t="s">
        <v>20</v>
      </c>
      <c r="K1" s="209" t="s">
        <v>593</v>
      </c>
      <c r="L1" s="209" t="s">
        <v>23</v>
      </c>
      <c r="M1" s="209" t="s">
        <v>24</v>
      </c>
      <c r="N1" s="209" t="s">
        <v>25</v>
      </c>
      <c r="O1" s="209" t="s">
        <v>30</v>
      </c>
      <c r="P1" s="209" t="s">
        <v>395</v>
      </c>
    </row>
    <row r="2" spans="1:16" x14ac:dyDescent="0.25">
      <c r="A2" s="59" t="s">
        <v>130</v>
      </c>
      <c r="B2" s="59" t="s">
        <v>138</v>
      </c>
      <c r="C2" s="59" t="s">
        <v>130</v>
      </c>
      <c r="D2" s="59" t="s">
        <v>396</v>
      </c>
      <c r="E2" s="59" t="s">
        <v>397</v>
      </c>
      <c r="F2" s="59" t="str">
        <f>IFERROR("Q" &amp;INT((MONTH('Follow up (ship 2)'!G2)+2)/3) &amp; "-" &amp; YEAR('Follow up (ship 2)'!G2),"N/A")</f>
        <v>Q2-2018</v>
      </c>
      <c r="G2" s="59" t="s">
        <v>398</v>
      </c>
      <c r="H2" s="59" t="s">
        <v>135</v>
      </c>
      <c r="I2" s="59" t="s">
        <v>133</v>
      </c>
      <c r="J2" s="59" t="s">
        <v>136</v>
      </c>
      <c r="K2" s="59" t="str">
        <f>IFERROR("Q" &amp;INT((MONTH('Follow up (ship 2)'!M2)+2)/3) &amp; "-" &amp; YEAR('Follow up (ship 2)'!M2),"N/A")</f>
        <v>Q1-2018</v>
      </c>
      <c r="L2" s="59">
        <v>80</v>
      </c>
      <c r="M2" s="59" t="s">
        <v>399</v>
      </c>
      <c r="N2" s="59" t="s">
        <v>138</v>
      </c>
      <c r="O2" s="59">
        <v>3</v>
      </c>
      <c r="P2" s="59" t="s">
        <v>400</v>
      </c>
    </row>
    <row r="3" spans="1:16" x14ac:dyDescent="0.25">
      <c r="A3" s="59" t="s">
        <v>130</v>
      </c>
      <c r="B3" s="59" t="s">
        <v>138</v>
      </c>
      <c r="C3" s="59" t="s">
        <v>130</v>
      </c>
      <c r="D3" s="59" t="s">
        <v>401</v>
      </c>
      <c r="E3" s="59" t="s">
        <v>402</v>
      </c>
      <c r="F3" s="59" t="str">
        <f>IFERROR("Q" &amp;INT((MONTH('Follow up (ship 2)'!G3)+2)/3) &amp; "-" &amp; YEAR('Follow up (ship 2)'!G3),"N/A")</f>
        <v>Q2-2018</v>
      </c>
      <c r="G3" s="59" t="s">
        <v>270</v>
      </c>
      <c r="H3" s="59" t="s">
        <v>135</v>
      </c>
      <c r="I3" s="59" t="s">
        <v>133</v>
      </c>
      <c r="J3" s="59" t="s">
        <v>136</v>
      </c>
      <c r="K3" s="59" t="str">
        <f>IFERROR("Q" &amp;INT((MONTH('Follow up (ship 2)'!M3)+2)/3) &amp; "-" &amp; YEAR('Follow up (ship 2)'!M3),"N/A")</f>
        <v>Q2-2018</v>
      </c>
      <c r="L3" s="59">
        <v>54</v>
      </c>
      <c r="M3" s="59" t="s">
        <v>399</v>
      </c>
      <c r="N3" s="59" t="s">
        <v>138</v>
      </c>
      <c r="O3" s="59">
        <v>3</v>
      </c>
      <c r="P3" s="59">
        <v>2</v>
      </c>
    </row>
    <row r="4" spans="1:16" x14ac:dyDescent="0.25">
      <c r="A4" s="59" t="s">
        <v>130</v>
      </c>
      <c r="B4" s="59" t="s">
        <v>138</v>
      </c>
      <c r="C4" s="59" t="s">
        <v>130</v>
      </c>
      <c r="D4" s="59" t="s">
        <v>403</v>
      </c>
      <c r="E4" s="59" t="s">
        <v>404</v>
      </c>
      <c r="F4" s="59" t="str">
        <f>IFERROR("Q" &amp;INT((MONTH('Follow up (ship 2)'!G4)+2)/3) &amp; "-" &amp; YEAR('Follow up (ship 2)'!G4),"N/A")</f>
        <v>Q2-2018</v>
      </c>
      <c r="G4" s="59" t="s">
        <v>203</v>
      </c>
      <c r="H4" s="59" t="s">
        <v>135</v>
      </c>
      <c r="I4" s="59" t="s">
        <v>133</v>
      </c>
      <c r="J4" s="59" t="s">
        <v>136</v>
      </c>
      <c r="K4" s="59" t="str">
        <f>IFERROR("Q" &amp;INT((MONTH('Follow up (ship 2)'!M4)+2)/3) &amp; "-" &amp; YEAR('Follow up (ship 2)'!M4),"N/A")</f>
        <v>Q1-2018</v>
      </c>
      <c r="L4" s="59">
        <v>77</v>
      </c>
      <c r="M4" s="59" t="s">
        <v>399</v>
      </c>
      <c r="N4" s="59" t="s">
        <v>138</v>
      </c>
      <c r="O4" s="59">
        <v>2</v>
      </c>
      <c r="P4" s="59">
        <v>2</v>
      </c>
    </row>
    <row r="5" spans="1:16" x14ac:dyDescent="0.25">
      <c r="A5" s="59" t="s">
        <v>130</v>
      </c>
      <c r="B5" s="59" t="s">
        <v>138</v>
      </c>
      <c r="C5" s="59" t="s">
        <v>130</v>
      </c>
      <c r="D5" s="59" t="s">
        <v>405</v>
      </c>
      <c r="E5" s="59" t="s">
        <v>406</v>
      </c>
      <c r="F5" s="59" t="str">
        <f>IFERROR("Q" &amp;INT((MONTH('Follow up (ship 2)'!G5)+2)/3) &amp; "-" &amp; YEAR('Follow up (ship 2)'!G5),"N/A")</f>
        <v>Q2-2018</v>
      </c>
      <c r="G5" s="59" t="s">
        <v>203</v>
      </c>
      <c r="H5" s="59" t="s">
        <v>135</v>
      </c>
      <c r="I5" s="59" t="s">
        <v>133</v>
      </c>
      <c r="J5" s="59" t="s">
        <v>136</v>
      </c>
      <c r="K5" s="59" t="str">
        <f>IFERROR("Q" &amp;INT((MONTH('Follow up (ship 2)'!M5)+2)/3) &amp; "-" &amp; YEAR('Follow up (ship 2)'!M5),"N/A")</f>
        <v>Q4-2017</v>
      </c>
      <c r="L5" s="59">
        <v>74</v>
      </c>
      <c r="M5" s="59" t="s">
        <v>407</v>
      </c>
      <c r="N5" s="59" t="s">
        <v>138</v>
      </c>
      <c r="O5" s="59">
        <v>1</v>
      </c>
      <c r="P5" s="59" t="s">
        <v>198</v>
      </c>
    </row>
    <row r="6" spans="1:16" x14ac:dyDescent="0.25">
      <c r="A6" s="59" t="s">
        <v>130</v>
      </c>
      <c r="B6" s="59" t="s">
        <v>138</v>
      </c>
      <c r="C6" s="59" t="s">
        <v>130</v>
      </c>
      <c r="D6" s="59" t="s">
        <v>408</v>
      </c>
      <c r="E6" s="59" t="s">
        <v>409</v>
      </c>
      <c r="F6" s="59" t="str">
        <f>IFERROR("Q" &amp;INT((MONTH('Follow up (ship 2)'!G6)+2)/3) &amp; "-" &amp; YEAR('Follow up (ship 2)'!G6),"N/A")</f>
        <v>Q2-2018</v>
      </c>
      <c r="G6" s="59" t="s">
        <v>203</v>
      </c>
      <c r="H6" s="59" t="s">
        <v>135</v>
      </c>
      <c r="I6" s="59" t="s">
        <v>133</v>
      </c>
      <c r="J6" s="59" t="s">
        <v>136</v>
      </c>
      <c r="K6" s="59" t="str">
        <f>IFERROR("Q" &amp;INT((MONTH('Follow up (ship 2)'!M6)+2)/3) &amp; "-" &amp; YEAR('Follow up (ship 2)'!M6),"N/A")</f>
        <v>Q1-2018</v>
      </c>
      <c r="L6" s="59">
        <v>55</v>
      </c>
      <c r="M6" s="59" t="s">
        <v>410</v>
      </c>
      <c r="N6" s="59" t="s">
        <v>138</v>
      </c>
      <c r="O6" s="59">
        <v>1</v>
      </c>
      <c r="P6" s="59">
        <v>2</v>
      </c>
    </row>
    <row r="7" spans="1:16" x14ac:dyDescent="0.25">
      <c r="A7" s="59" t="s">
        <v>130</v>
      </c>
      <c r="B7" s="59" t="s">
        <v>138</v>
      </c>
      <c r="C7" s="59" t="s">
        <v>130</v>
      </c>
      <c r="D7" s="59" t="s">
        <v>411</v>
      </c>
      <c r="E7" s="59" t="s">
        <v>412</v>
      </c>
      <c r="F7" s="59" t="str">
        <f>IFERROR("Q" &amp;INT((MONTH('Follow up (ship 2)'!G7)+2)/3) &amp; "-" &amp; YEAR('Follow up (ship 2)'!G7),"N/A")</f>
        <v>Q2-2018</v>
      </c>
      <c r="G7" s="59" t="s">
        <v>203</v>
      </c>
      <c r="H7" s="59" t="s">
        <v>135</v>
      </c>
      <c r="I7" s="59" t="s">
        <v>133</v>
      </c>
      <c r="J7" s="59" t="s">
        <v>136</v>
      </c>
      <c r="K7" s="59" t="str">
        <f>IFERROR("Q" &amp;INT((MONTH('Follow up (ship 2)'!M7)+2)/3) &amp; "-" &amp; YEAR('Follow up (ship 2)'!M7),"N/A")</f>
        <v>Q2-2018</v>
      </c>
      <c r="L7" s="59">
        <v>58</v>
      </c>
      <c r="M7" s="59" t="s">
        <v>399</v>
      </c>
      <c r="N7" s="59" t="s">
        <v>138</v>
      </c>
      <c r="O7" s="59">
        <v>1</v>
      </c>
      <c r="P7" s="59" t="s">
        <v>148</v>
      </c>
    </row>
    <row r="8" spans="1:16" x14ac:dyDescent="0.25">
      <c r="A8" s="59" t="s">
        <v>130</v>
      </c>
      <c r="B8" s="59" t="s">
        <v>138</v>
      </c>
      <c r="C8" s="59" t="s">
        <v>130</v>
      </c>
      <c r="D8" s="59" t="s">
        <v>413</v>
      </c>
      <c r="E8" s="59" t="s">
        <v>218</v>
      </c>
      <c r="F8" s="59" t="str">
        <f>IFERROR("Q" &amp;INT((MONTH('Follow up (ship 2)'!G8)+2)/3) &amp; "-" &amp; YEAR('Follow up (ship 2)'!G8),"N/A")</f>
        <v>Q2-2018</v>
      </c>
      <c r="G8" s="59" t="s">
        <v>203</v>
      </c>
      <c r="H8" s="59" t="s">
        <v>135</v>
      </c>
      <c r="I8" s="59" t="s">
        <v>133</v>
      </c>
      <c r="J8" s="59" t="s">
        <v>136</v>
      </c>
      <c r="K8" s="59" t="str">
        <f>IFERROR("Q" &amp;INT((MONTH('Follow up (ship 2)'!M8)+2)/3) &amp; "-" &amp; YEAR('Follow up (ship 2)'!M8),"N/A")</f>
        <v>Q1-2018</v>
      </c>
      <c r="L8" s="59">
        <v>67</v>
      </c>
      <c r="M8" s="59" t="s">
        <v>399</v>
      </c>
      <c r="N8" s="59" t="s">
        <v>138</v>
      </c>
      <c r="O8" s="59">
        <v>3</v>
      </c>
      <c r="P8" s="59">
        <v>2</v>
      </c>
    </row>
    <row r="9" spans="1:16" x14ac:dyDescent="0.25">
      <c r="A9" s="59" t="s">
        <v>130</v>
      </c>
      <c r="B9" s="59" t="s">
        <v>138</v>
      </c>
      <c r="C9" s="59" t="s">
        <v>130</v>
      </c>
      <c r="D9" s="59" t="s">
        <v>414</v>
      </c>
      <c r="E9" s="59" t="s">
        <v>415</v>
      </c>
      <c r="F9" s="59" t="str">
        <f>IFERROR("Q" &amp;INT((MONTH('Follow up (ship 2)'!G9)+2)/3) &amp; "-" &amp; YEAR('Follow up (ship 2)'!G9),"N/A")</f>
        <v>Q2-2018</v>
      </c>
      <c r="G9" s="59" t="s">
        <v>134</v>
      </c>
      <c r="H9" s="59" t="s">
        <v>135</v>
      </c>
      <c r="I9" s="59" t="s">
        <v>133</v>
      </c>
      <c r="J9" s="59" t="s">
        <v>136</v>
      </c>
      <c r="K9" s="59" t="str">
        <f>IFERROR("Q" &amp;INT((MONTH('Follow up (ship 2)'!M9)+2)/3) &amp; "-" &amp; YEAR('Follow up (ship 2)'!M9),"N/A")</f>
        <v>Q2-2018</v>
      </c>
      <c r="L9" s="59">
        <v>54</v>
      </c>
      <c r="M9" s="59" t="s">
        <v>416</v>
      </c>
      <c r="N9" s="59" t="s">
        <v>138</v>
      </c>
      <c r="O9" s="59">
        <v>1</v>
      </c>
      <c r="P9" s="59" t="s">
        <v>234</v>
      </c>
    </row>
    <row r="10" spans="1:16" x14ac:dyDescent="0.25">
      <c r="A10" s="59" t="s">
        <v>130</v>
      </c>
      <c r="B10" s="59" t="s">
        <v>138</v>
      </c>
      <c r="C10" s="59" t="s">
        <v>130</v>
      </c>
      <c r="D10" s="59" t="s">
        <v>417</v>
      </c>
      <c r="E10" s="59" t="s">
        <v>418</v>
      </c>
      <c r="F10" s="59" t="str">
        <f>IFERROR("Q" &amp;INT((MONTH('Follow up (ship 2)'!G10)+2)/3) &amp; "-" &amp; YEAR('Follow up (ship 2)'!G10),"N/A")</f>
        <v>Q2-2018</v>
      </c>
      <c r="G10" s="59" t="s">
        <v>270</v>
      </c>
      <c r="H10" s="59" t="s">
        <v>135</v>
      </c>
      <c r="I10" s="59" t="s">
        <v>133</v>
      </c>
      <c r="J10" s="59" t="s">
        <v>136</v>
      </c>
      <c r="K10" s="59" t="str">
        <f>IFERROR("Q" &amp;INT((MONTH('Follow up (ship 2)'!M10)+2)/3) &amp; "-" &amp; YEAR('Follow up (ship 2)'!M10),"N/A")</f>
        <v>Q2-2018</v>
      </c>
      <c r="L10" s="59">
        <v>71</v>
      </c>
      <c r="M10" s="59" t="s">
        <v>419</v>
      </c>
      <c r="N10" s="59" t="s">
        <v>138</v>
      </c>
      <c r="O10" s="59">
        <v>3</v>
      </c>
      <c r="P10" s="59" t="s">
        <v>198</v>
      </c>
    </row>
    <row r="11" spans="1:16" x14ac:dyDescent="0.25">
      <c r="A11" s="59" t="s">
        <v>130</v>
      </c>
      <c r="B11" s="59" t="s">
        <v>138</v>
      </c>
      <c r="C11" s="59" t="s">
        <v>130</v>
      </c>
      <c r="D11" s="59" t="s">
        <v>420</v>
      </c>
      <c r="E11" s="59" t="s">
        <v>260</v>
      </c>
      <c r="F11" s="59" t="str">
        <f>IFERROR("Q" &amp;INT((MONTH('Follow up (ship 2)'!G11)+2)/3) &amp; "-" &amp; YEAR('Follow up (ship 2)'!G11),"N/A")</f>
        <v>Q2-2018</v>
      </c>
      <c r="G11" s="59" t="s">
        <v>270</v>
      </c>
      <c r="H11" s="59" t="s">
        <v>135</v>
      </c>
      <c r="I11" s="59" t="s">
        <v>133</v>
      </c>
      <c r="J11" s="59" t="s">
        <v>136</v>
      </c>
      <c r="K11" s="59" t="str">
        <f>IFERROR("Q" &amp;INT((MONTH('Follow up (ship 2)'!M11)+2)/3) &amp; "-" &amp; YEAR('Follow up (ship 2)'!M11),"N/A")</f>
        <v>Q2-2018</v>
      </c>
      <c r="L11" s="59">
        <v>65</v>
      </c>
      <c r="M11" s="59" t="s">
        <v>421</v>
      </c>
      <c r="N11" s="59" t="s">
        <v>138</v>
      </c>
      <c r="O11" s="59">
        <v>3</v>
      </c>
      <c r="P11" s="59" t="s">
        <v>422</v>
      </c>
    </row>
    <row r="12" spans="1:16" x14ac:dyDescent="0.25">
      <c r="A12" s="59" t="s">
        <v>130</v>
      </c>
      <c r="B12" s="59" t="s">
        <v>138</v>
      </c>
      <c r="C12" s="59" t="s">
        <v>130</v>
      </c>
      <c r="D12" s="59" t="s">
        <v>423</v>
      </c>
      <c r="E12" s="59" t="s">
        <v>256</v>
      </c>
      <c r="F12" s="59" t="str">
        <f>IFERROR("Q" &amp;INT((MONTH('Follow up (ship 2)'!G12)+2)/3) &amp; "-" &amp; YEAR('Follow up (ship 2)'!G12),"N/A")</f>
        <v>Q2-2018</v>
      </c>
      <c r="G12" s="59" t="s">
        <v>203</v>
      </c>
      <c r="H12" s="59" t="s">
        <v>135</v>
      </c>
      <c r="I12" s="59" t="s">
        <v>133</v>
      </c>
      <c r="J12" s="59" t="s">
        <v>136</v>
      </c>
      <c r="K12" s="59" t="str">
        <f>IFERROR("Q" &amp;INT((MONTH('Follow up (ship 2)'!M12)+2)/3) &amp; "-" &amp; YEAR('Follow up (ship 2)'!M12),"N/A")</f>
        <v>Q2-2018</v>
      </c>
      <c r="L12" s="59">
        <v>63</v>
      </c>
      <c r="M12" s="59" t="s">
        <v>399</v>
      </c>
      <c r="N12" s="59" t="s">
        <v>138</v>
      </c>
      <c r="O12" s="59">
        <v>2</v>
      </c>
      <c r="P12" s="59" t="s">
        <v>148</v>
      </c>
    </row>
    <row r="13" spans="1:16" x14ac:dyDescent="0.25">
      <c r="A13" s="59" t="s">
        <v>130</v>
      </c>
      <c r="B13" s="59" t="s">
        <v>138</v>
      </c>
      <c r="C13" s="59" t="s">
        <v>130</v>
      </c>
      <c r="D13" s="59" t="s">
        <v>424</v>
      </c>
      <c r="E13" s="59" t="s">
        <v>297</v>
      </c>
      <c r="F13" s="59" t="str">
        <f>IFERROR("Q" &amp;INT((MONTH('Follow up (ship 2)'!G13)+2)/3) &amp; "-" &amp; YEAR('Follow up (ship 2)'!G13),"N/A")</f>
        <v>Q2-2018</v>
      </c>
      <c r="G13" s="59" t="s">
        <v>270</v>
      </c>
      <c r="H13" s="59" t="s">
        <v>135</v>
      </c>
      <c r="I13" s="59" t="s">
        <v>133</v>
      </c>
      <c r="J13" s="59" t="s">
        <v>136</v>
      </c>
      <c r="K13" s="59" t="str">
        <f>IFERROR("Q" &amp;INT((MONTH('Follow up (ship 2)'!M13)+2)/3) &amp; "-" &amp; YEAR('Follow up (ship 2)'!M13),"N/A")</f>
        <v>Q2-2018</v>
      </c>
      <c r="L13" s="59">
        <v>73</v>
      </c>
      <c r="M13" s="59" t="s">
        <v>425</v>
      </c>
      <c r="N13" s="59" t="s">
        <v>130</v>
      </c>
      <c r="O13" s="59">
        <v>3</v>
      </c>
      <c r="P13" s="59" t="s">
        <v>426</v>
      </c>
    </row>
    <row r="14" spans="1:16" x14ac:dyDescent="0.25">
      <c r="A14" s="59" t="s">
        <v>130</v>
      </c>
      <c r="B14" s="59" t="s">
        <v>138</v>
      </c>
      <c r="C14" s="59" t="s">
        <v>130</v>
      </c>
      <c r="D14" s="59" t="s">
        <v>427</v>
      </c>
      <c r="E14" s="59" t="s">
        <v>428</v>
      </c>
      <c r="F14" s="59" t="str">
        <f>IFERROR("Q" &amp;INT((MONTH('Follow up (ship 2)'!G14)+2)/3) &amp; "-" &amp; YEAR('Follow up (ship 2)'!G14),"N/A")</f>
        <v>Q2-2018</v>
      </c>
      <c r="G14" s="59" t="s">
        <v>203</v>
      </c>
      <c r="H14" s="59" t="s">
        <v>135</v>
      </c>
      <c r="I14" s="59" t="s">
        <v>133</v>
      </c>
      <c r="J14" s="59" t="s">
        <v>136</v>
      </c>
      <c r="K14" s="59" t="str">
        <f>IFERROR("Q" &amp;INT((MONTH('Follow up (ship 2)'!M14)+2)/3) &amp; "-" &amp; YEAR('Follow up (ship 2)'!M14),"N/A")</f>
        <v>Q2-2018</v>
      </c>
      <c r="L14" s="59">
        <v>56</v>
      </c>
      <c r="M14" s="59" t="s">
        <v>429</v>
      </c>
      <c r="N14" s="59" t="s">
        <v>138</v>
      </c>
      <c r="O14" s="59">
        <v>2</v>
      </c>
      <c r="P14" s="59" t="s">
        <v>198</v>
      </c>
    </row>
    <row r="15" spans="1:16" x14ac:dyDescent="0.25">
      <c r="A15" s="59" t="s">
        <v>130</v>
      </c>
      <c r="B15" s="59" t="s">
        <v>138</v>
      </c>
      <c r="C15" s="59" t="s">
        <v>130</v>
      </c>
      <c r="D15" s="59" t="s">
        <v>430</v>
      </c>
      <c r="E15" s="59" t="s">
        <v>431</v>
      </c>
      <c r="F15" s="59" t="str">
        <f>IFERROR("Q" &amp;INT((MONTH('Follow up (ship 2)'!G15)+2)/3) &amp; "-" &amp; YEAR('Follow up (ship 2)'!G15),"N/A")</f>
        <v>Q2-2018</v>
      </c>
      <c r="G15" s="59" t="s">
        <v>203</v>
      </c>
      <c r="H15" s="59" t="s">
        <v>135</v>
      </c>
      <c r="I15" s="59" t="s">
        <v>133</v>
      </c>
      <c r="J15" s="59" t="s">
        <v>136</v>
      </c>
      <c r="K15" s="59" t="str">
        <f>IFERROR("Q" &amp;INT((MONTH('Follow up (ship 2)'!M15)+2)/3) &amp; "-" &amp; YEAR('Follow up (ship 2)'!M15),"N/A")</f>
        <v>Q2-2018</v>
      </c>
      <c r="L15" s="59">
        <v>60</v>
      </c>
      <c r="M15" s="59" t="s">
        <v>399</v>
      </c>
      <c r="N15" s="59" t="s">
        <v>138</v>
      </c>
      <c r="O15" s="59">
        <v>1</v>
      </c>
      <c r="P15" s="59" t="s">
        <v>198</v>
      </c>
    </row>
    <row r="16" spans="1:16" x14ac:dyDescent="0.25">
      <c r="A16" s="59" t="s">
        <v>130</v>
      </c>
      <c r="B16" s="59" t="s">
        <v>138</v>
      </c>
      <c r="C16" s="59" t="s">
        <v>130</v>
      </c>
      <c r="D16" s="59" t="s">
        <v>432</v>
      </c>
      <c r="E16" s="59" t="s">
        <v>331</v>
      </c>
      <c r="F16" s="59" t="str">
        <f>IFERROR("Q" &amp;INT((MONTH('Follow up (ship 2)'!G16)+2)/3) &amp; "-" &amp; YEAR('Follow up (ship 2)'!G16),"N/A")</f>
        <v>Q2-2018</v>
      </c>
      <c r="G16" s="59" t="s">
        <v>270</v>
      </c>
      <c r="H16" s="59" t="s">
        <v>135</v>
      </c>
      <c r="I16" s="59" t="s">
        <v>133</v>
      </c>
      <c r="J16" s="59" t="s">
        <v>136</v>
      </c>
      <c r="K16" s="59" t="str">
        <f>IFERROR("Q" &amp;INT((MONTH('Follow up (ship 2)'!M16)+2)/3) &amp; "-" &amp; YEAR('Follow up (ship 2)'!M16),"N/A")</f>
        <v>Q2-2018</v>
      </c>
      <c r="L16" s="59">
        <v>58</v>
      </c>
      <c r="M16" s="59" t="s">
        <v>433</v>
      </c>
      <c r="N16" s="59" t="s">
        <v>138</v>
      </c>
      <c r="O16" s="59">
        <v>3</v>
      </c>
      <c r="P16" s="59" t="s">
        <v>148</v>
      </c>
    </row>
    <row r="17" spans="1:16" x14ac:dyDescent="0.25">
      <c r="A17" s="59" t="s">
        <v>130</v>
      </c>
      <c r="B17" s="59" t="s">
        <v>138</v>
      </c>
      <c r="C17" s="59" t="s">
        <v>130</v>
      </c>
      <c r="D17" s="59" t="s">
        <v>434</v>
      </c>
      <c r="E17" s="59" t="s">
        <v>435</v>
      </c>
      <c r="F17" s="59" t="str">
        <f>IFERROR("Q" &amp;INT((MONTH('Follow up (ship 2)'!G17)+2)/3) &amp; "-" &amp; YEAR('Follow up (ship 2)'!G17),"N/A")</f>
        <v>Q3-2018</v>
      </c>
      <c r="G17" s="59" t="s">
        <v>270</v>
      </c>
      <c r="H17" s="59" t="s">
        <v>135</v>
      </c>
      <c r="I17" s="59" t="s">
        <v>133</v>
      </c>
      <c r="J17" s="59" t="s">
        <v>136</v>
      </c>
      <c r="K17" s="59" t="str">
        <f>IFERROR("Q" &amp;INT((MONTH('Follow up (ship 2)'!M17)+2)/3) &amp; "-" &amp; YEAR('Follow up (ship 2)'!M17),"N/A")</f>
        <v>Q2-2018</v>
      </c>
      <c r="L17" s="59">
        <v>76</v>
      </c>
      <c r="M17" s="59" t="s">
        <v>436</v>
      </c>
      <c r="N17" s="59" t="s">
        <v>138</v>
      </c>
      <c r="O17" s="59">
        <v>3</v>
      </c>
      <c r="P17" s="59" t="s">
        <v>198</v>
      </c>
    </row>
    <row r="18" spans="1:16" x14ac:dyDescent="0.25">
      <c r="A18" s="59" t="s">
        <v>130</v>
      </c>
      <c r="B18" s="59" t="s">
        <v>138</v>
      </c>
      <c r="C18" s="59" t="s">
        <v>130</v>
      </c>
      <c r="D18" s="59" t="s">
        <v>437</v>
      </c>
      <c r="E18" s="59" t="s">
        <v>438</v>
      </c>
      <c r="F18" s="59" t="str">
        <f>IFERROR("Q" &amp;INT((MONTH('Follow up (ship 2)'!G18)+2)/3) &amp; "-" &amp; YEAR('Follow up (ship 2)'!G18),"N/A")</f>
        <v>Q2-2018</v>
      </c>
      <c r="G18" s="59" t="s">
        <v>203</v>
      </c>
      <c r="H18" s="59" t="s">
        <v>135</v>
      </c>
      <c r="I18" s="59" t="s">
        <v>133</v>
      </c>
      <c r="J18" s="59" t="s">
        <v>136</v>
      </c>
      <c r="K18" s="59" t="str">
        <f>IFERROR("Q" &amp;INT((MONTH('Follow up (ship 2)'!M18)+2)/3) &amp; "-" &amp; YEAR('Follow up (ship 2)'!M18),"N/A")</f>
        <v>Q2-2018</v>
      </c>
      <c r="L18" s="59">
        <v>35</v>
      </c>
      <c r="M18" s="59" t="s">
        <v>399</v>
      </c>
      <c r="N18" s="59" t="s">
        <v>138</v>
      </c>
      <c r="O18" s="59">
        <v>1</v>
      </c>
      <c r="P18" s="59" t="s">
        <v>198</v>
      </c>
    </row>
    <row r="19" spans="1:16" x14ac:dyDescent="0.25">
      <c r="A19" s="59" t="s">
        <v>130</v>
      </c>
      <c r="B19" s="59" t="s">
        <v>138</v>
      </c>
      <c r="C19" s="59" t="s">
        <v>130</v>
      </c>
      <c r="D19" s="59" t="s">
        <v>439</v>
      </c>
      <c r="E19" s="59" t="s">
        <v>440</v>
      </c>
      <c r="F19" s="59" t="str">
        <f>IFERROR("Q" &amp;INT((MONTH('Follow up (ship 2)'!G19)+2)/3) &amp; "-" &amp; YEAR('Follow up (ship 2)'!G19),"N/A")</f>
        <v>Q3-2018</v>
      </c>
      <c r="G19" s="59" t="s">
        <v>203</v>
      </c>
      <c r="H19" s="59" t="s">
        <v>135</v>
      </c>
      <c r="I19" s="59" t="s">
        <v>133</v>
      </c>
      <c r="J19" s="59" t="s">
        <v>136</v>
      </c>
      <c r="K19" s="59" t="str">
        <f>IFERROR("Q" &amp;INT((MONTH('Follow up (ship 2)'!M19)+2)/3) &amp; "-" &amp; YEAR('Follow up (ship 2)'!M19),"N/A")</f>
        <v>Q2-2018</v>
      </c>
      <c r="L19" s="59">
        <v>73</v>
      </c>
      <c r="M19" s="59" t="s">
        <v>407</v>
      </c>
      <c r="N19" s="59" t="s">
        <v>138</v>
      </c>
      <c r="O19" s="59">
        <v>1</v>
      </c>
      <c r="P19" s="59" t="s">
        <v>198</v>
      </c>
    </row>
    <row r="20" spans="1:16" x14ac:dyDescent="0.25">
      <c r="A20" s="59" t="s">
        <v>130</v>
      </c>
      <c r="B20" s="59" t="s">
        <v>138</v>
      </c>
      <c r="C20" s="59" t="s">
        <v>130</v>
      </c>
      <c r="D20" s="59" t="s">
        <v>441</v>
      </c>
      <c r="E20" s="59" t="s">
        <v>297</v>
      </c>
      <c r="F20" s="59" t="str">
        <f>IFERROR("Q" &amp;INT((MONTH('Follow up (ship 2)'!G20)+2)/3) &amp; "-" &amp; YEAR('Follow up (ship 2)'!G20),"N/A")</f>
        <v>Q3-2018</v>
      </c>
      <c r="G20" s="59" t="s">
        <v>270</v>
      </c>
      <c r="H20" s="59" t="s">
        <v>135</v>
      </c>
      <c r="I20" s="59" t="s">
        <v>133</v>
      </c>
      <c r="J20" s="59" t="s">
        <v>136</v>
      </c>
      <c r="K20" s="59" t="str">
        <f>IFERROR("Q" &amp;INT((MONTH('Follow up (ship 2)'!M20)+2)/3) &amp; "-" &amp; YEAR('Follow up (ship 2)'!M20),"N/A")</f>
        <v>Q2-2018</v>
      </c>
      <c r="L20" s="59">
        <v>70</v>
      </c>
      <c r="M20" s="59" t="s">
        <v>442</v>
      </c>
      <c r="N20" s="59" t="s">
        <v>130</v>
      </c>
      <c r="O20" s="59">
        <v>3</v>
      </c>
      <c r="P20" s="59" t="s">
        <v>443</v>
      </c>
    </row>
    <row r="21" spans="1:16" x14ac:dyDescent="0.25">
      <c r="A21" s="59" t="s">
        <v>130</v>
      </c>
      <c r="B21" s="59" t="s">
        <v>138</v>
      </c>
      <c r="C21" s="59" t="s">
        <v>130</v>
      </c>
      <c r="D21" s="59" t="s">
        <v>444</v>
      </c>
      <c r="E21" s="59" t="s">
        <v>445</v>
      </c>
      <c r="F21" s="59" t="str">
        <f>IFERROR("Q" &amp;INT((MONTH('Follow up (ship 2)'!G21)+2)/3) &amp; "-" &amp; YEAR('Follow up (ship 2)'!G21),"N/A")</f>
        <v>Q3-2018</v>
      </c>
      <c r="G21" s="59" t="s">
        <v>270</v>
      </c>
      <c r="H21" s="59" t="s">
        <v>135</v>
      </c>
      <c r="I21" s="59" t="s">
        <v>133</v>
      </c>
      <c r="J21" s="59" t="s">
        <v>136</v>
      </c>
      <c r="K21" s="59" t="str">
        <f>IFERROR("Q" &amp;INT((MONTH('Follow up (ship 2)'!M21)+2)/3) &amp; "-" &amp; YEAR('Follow up (ship 2)'!M21),"N/A")</f>
        <v>Q2-2018</v>
      </c>
      <c r="L21" s="59">
        <v>60</v>
      </c>
      <c r="M21" s="59" t="s">
        <v>446</v>
      </c>
      <c r="N21" s="59" t="s">
        <v>130</v>
      </c>
      <c r="O21" s="59">
        <v>2</v>
      </c>
      <c r="P21" s="59" t="s">
        <v>422</v>
      </c>
    </row>
    <row r="22" spans="1:16" x14ac:dyDescent="0.25">
      <c r="A22" s="59" t="s">
        <v>130</v>
      </c>
      <c r="B22" s="59" t="s">
        <v>138</v>
      </c>
      <c r="C22" s="59" t="s">
        <v>130</v>
      </c>
      <c r="D22" s="59" t="s">
        <v>447</v>
      </c>
      <c r="E22" s="59" t="s">
        <v>448</v>
      </c>
      <c r="F22" s="59" t="str">
        <f>IFERROR("Q" &amp;INT((MONTH('Follow up (ship 2)'!G22)+2)/3) &amp; "-" &amp; YEAR('Follow up (ship 2)'!G22),"N/A")</f>
        <v>Q3-2018</v>
      </c>
      <c r="G22" s="59" t="s">
        <v>203</v>
      </c>
      <c r="H22" s="59" t="s">
        <v>135</v>
      </c>
      <c r="I22" s="59" t="s">
        <v>133</v>
      </c>
      <c r="J22" s="59" t="s">
        <v>136</v>
      </c>
      <c r="K22" s="59" t="str">
        <f>IFERROR("Q" &amp;INT((MONTH('Follow up (ship 2)'!M22)+2)/3) &amp; "-" &amp; YEAR('Follow up (ship 2)'!M22),"N/A")</f>
        <v>Q2-2018</v>
      </c>
      <c r="L22" s="59">
        <v>54</v>
      </c>
      <c r="M22" s="59" t="s">
        <v>399</v>
      </c>
      <c r="N22" s="59" t="s">
        <v>138</v>
      </c>
      <c r="O22" s="59">
        <v>2</v>
      </c>
      <c r="P22" s="59" t="s">
        <v>198</v>
      </c>
    </row>
    <row r="23" spans="1:16" x14ac:dyDescent="0.25">
      <c r="A23" s="59" t="s">
        <v>130</v>
      </c>
      <c r="B23" s="59" t="s">
        <v>138</v>
      </c>
      <c r="C23" s="59" t="s">
        <v>130</v>
      </c>
      <c r="D23" s="59" t="s">
        <v>449</v>
      </c>
      <c r="E23" s="59" t="s">
        <v>450</v>
      </c>
      <c r="F23" s="59" t="str">
        <f>IFERROR("Q" &amp;INT((MONTH('Follow up (ship 2)'!G23)+2)/3) &amp; "-" &amp; YEAR('Follow up (ship 2)'!G23),"N/A")</f>
        <v>Q3-2018</v>
      </c>
      <c r="G23" s="59" t="s">
        <v>134</v>
      </c>
      <c r="H23" s="59" t="s">
        <v>135</v>
      </c>
      <c r="I23" s="59" t="s">
        <v>133</v>
      </c>
      <c r="J23" s="59" t="s">
        <v>136</v>
      </c>
      <c r="K23" s="59" t="str">
        <f>IFERROR("Q" &amp;INT((MONTH('Follow up (ship 2)'!M23)+2)/3) &amp; "-" &amp; YEAR('Follow up (ship 2)'!M23),"N/A")</f>
        <v>Q3-2018</v>
      </c>
      <c r="L23" s="59">
        <v>84</v>
      </c>
      <c r="M23" s="59" t="s">
        <v>451</v>
      </c>
      <c r="N23" s="59" t="s">
        <v>138</v>
      </c>
      <c r="O23" s="59">
        <v>3</v>
      </c>
      <c r="P23" s="59">
        <v>2</v>
      </c>
    </row>
    <row r="24" spans="1:16" x14ac:dyDescent="0.25">
      <c r="A24" s="59" t="s">
        <v>130</v>
      </c>
      <c r="B24" s="59" t="s">
        <v>138</v>
      </c>
      <c r="C24" s="59" t="s">
        <v>130</v>
      </c>
      <c r="D24" s="59" t="s">
        <v>452</v>
      </c>
      <c r="E24" s="59" t="s">
        <v>453</v>
      </c>
      <c r="F24" s="59" t="str">
        <f>IFERROR("Q" &amp;INT((MONTH('Follow up (ship 2)'!G24)+2)/3) &amp; "-" &amp; YEAR('Follow up (ship 2)'!G24),"N/A")</f>
        <v>Q3-2018</v>
      </c>
      <c r="G24" s="59" t="s">
        <v>203</v>
      </c>
      <c r="H24" s="59" t="s">
        <v>135</v>
      </c>
      <c r="I24" s="59" t="s">
        <v>133</v>
      </c>
      <c r="J24" s="59" t="s">
        <v>136</v>
      </c>
      <c r="K24" s="59" t="str">
        <f>IFERROR("Q" &amp;INT((MONTH('Follow up (ship 2)'!M24)+2)/3) &amp; "-" &amp; YEAR('Follow up (ship 2)'!M24),"N/A")</f>
        <v>Q3-2018</v>
      </c>
      <c r="L24" s="59">
        <v>70</v>
      </c>
      <c r="M24" s="59" t="s">
        <v>399</v>
      </c>
      <c r="N24" s="59" t="s">
        <v>138</v>
      </c>
      <c r="O24" s="59">
        <v>3</v>
      </c>
      <c r="P24" s="59" t="s">
        <v>148</v>
      </c>
    </row>
    <row r="25" spans="1:16" x14ac:dyDescent="0.25">
      <c r="A25" s="59" t="s">
        <v>130</v>
      </c>
      <c r="B25" s="59" t="s">
        <v>138</v>
      </c>
      <c r="C25" s="59" t="s">
        <v>130</v>
      </c>
      <c r="D25" s="59" t="s">
        <v>454</v>
      </c>
      <c r="E25" s="59" t="s">
        <v>455</v>
      </c>
      <c r="F25" s="59" t="str">
        <f>IFERROR("Q" &amp;INT((MONTH('Follow up (ship 2)'!G25)+2)/3) &amp; "-" &amp; YEAR('Follow up (ship 2)'!G25),"N/A")</f>
        <v>Q3-2018</v>
      </c>
      <c r="G25" s="59" t="s">
        <v>203</v>
      </c>
      <c r="H25" s="59" t="s">
        <v>135</v>
      </c>
      <c r="I25" s="59" t="s">
        <v>133</v>
      </c>
      <c r="J25" s="59" t="s">
        <v>136</v>
      </c>
      <c r="K25" s="59" t="str">
        <f>IFERROR("Q" &amp;INT((MONTH('Follow up (ship 2)'!M25)+2)/3) &amp; "-" &amp; YEAR('Follow up (ship 2)'!M25),"N/A")</f>
        <v>Q2-2018</v>
      </c>
      <c r="L25" s="59">
        <v>78</v>
      </c>
      <c r="M25" s="59" t="s">
        <v>421</v>
      </c>
      <c r="N25" s="59" t="s">
        <v>138</v>
      </c>
      <c r="O25" s="59">
        <v>3</v>
      </c>
      <c r="P25" s="59" t="s">
        <v>198</v>
      </c>
    </row>
    <row r="26" spans="1:16" x14ac:dyDescent="0.25">
      <c r="A26" s="59" t="s">
        <v>130</v>
      </c>
      <c r="B26" s="59" t="s">
        <v>138</v>
      </c>
      <c r="C26" s="59" t="s">
        <v>130</v>
      </c>
      <c r="D26" s="59" t="s">
        <v>456</v>
      </c>
      <c r="E26" s="59" t="s">
        <v>331</v>
      </c>
      <c r="F26" s="59" t="str">
        <f>IFERROR("Q" &amp;INT((MONTH('Follow up (ship 2)'!G26)+2)/3) &amp; "-" &amp; YEAR('Follow up (ship 2)'!G26),"N/A")</f>
        <v>Q3-2018</v>
      </c>
      <c r="G26" s="59" t="s">
        <v>203</v>
      </c>
      <c r="H26" s="59" t="s">
        <v>135</v>
      </c>
      <c r="I26" s="59" t="s">
        <v>133</v>
      </c>
      <c r="J26" s="59" t="s">
        <v>136</v>
      </c>
      <c r="K26" s="59" t="str">
        <f>IFERROR("Q" &amp;INT((MONTH('Follow up (ship 2)'!M26)+2)/3) &amp; "-" &amp; YEAR('Follow up (ship 2)'!M26),"N/A")</f>
        <v>Q3-2018</v>
      </c>
      <c r="L26" s="59">
        <v>78</v>
      </c>
      <c r="M26" s="59" t="s">
        <v>399</v>
      </c>
      <c r="N26" s="59" t="s">
        <v>138</v>
      </c>
      <c r="O26" s="59">
        <v>1</v>
      </c>
      <c r="P26" s="59" t="s">
        <v>148</v>
      </c>
    </row>
    <row r="27" spans="1:16" x14ac:dyDescent="0.25">
      <c r="A27" s="59" t="s">
        <v>130</v>
      </c>
      <c r="B27" s="59" t="s">
        <v>138</v>
      </c>
      <c r="C27" s="59" t="s">
        <v>130</v>
      </c>
      <c r="D27" s="59" t="s">
        <v>457</v>
      </c>
      <c r="E27" s="59" t="s">
        <v>458</v>
      </c>
      <c r="F27" s="59" t="str">
        <f>IFERROR("Q" &amp;INT((MONTH('Follow up (ship 2)'!G27)+2)/3) &amp; "-" &amp; YEAR('Follow up (ship 2)'!G27),"N/A")</f>
        <v>Q3-2018</v>
      </c>
      <c r="G27" s="59" t="s">
        <v>270</v>
      </c>
      <c r="H27" s="59" t="s">
        <v>135</v>
      </c>
      <c r="I27" s="59" t="s">
        <v>133</v>
      </c>
      <c r="J27" s="59" t="s">
        <v>136</v>
      </c>
      <c r="K27" s="59" t="str">
        <f>IFERROR("Q" &amp;INT((MONTH('Follow up (ship 2)'!M27)+2)/3) &amp; "-" &amp; YEAR('Follow up (ship 2)'!M27),"N/A")</f>
        <v>Q3-2018</v>
      </c>
      <c r="L27" s="59">
        <v>63</v>
      </c>
      <c r="M27" s="59" t="s">
        <v>459</v>
      </c>
      <c r="N27" s="59" t="s">
        <v>130</v>
      </c>
      <c r="O27" s="59">
        <v>3</v>
      </c>
      <c r="P27" s="59" t="s">
        <v>234</v>
      </c>
    </row>
    <row r="28" spans="1:16" x14ac:dyDescent="0.25">
      <c r="A28" s="59" t="s">
        <v>130</v>
      </c>
      <c r="B28" s="59" t="s">
        <v>138</v>
      </c>
      <c r="C28" s="59" t="s">
        <v>130</v>
      </c>
      <c r="D28" s="59" t="s">
        <v>460</v>
      </c>
      <c r="E28" s="59" t="s">
        <v>461</v>
      </c>
      <c r="F28" s="59" t="str">
        <f>IFERROR("Q" &amp;INT((MONTH('Follow up (ship 2)'!G28)+2)/3) &amp; "-" &amp; YEAR('Follow up (ship 2)'!G28),"N/A")</f>
        <v>Q3-2018</v>
      </c>
      <c r="G28" s="59" t="s">
        <v>203</v>
      </c>
      <c r="H28" s="59" t="s">
        <v>135</v>
      </c>
      <c r="I28" s="59" t="s">
        <v>133</v>
      </c>
      <c r="J28" s="59" t="s">
        <v>136</v>
      </c>
      <c r="K28" s="59" t="str">
        <f>IFERROR("Q" &amp;INT((MONTH('Follow up (ship 2)'!M28)+2)/3) &amp; "-" &amp; YEAR('Follow up (ship 2)'!M28),"N/A")</f>
        <v>Q3-2018</v>
      </c>
      <c r="L28" s="59">
        <v>83</v>
      </c>
      <c r="M28" s="59" t="s">
        <v>399</v>
      </c>
      <c r="N28" s="59" t="s">
        <v>138</v>
      </c>
      <c r="O28" s="59">
        <v>2</v>
      </c>
      <c r="P28" s="59" t="s">
        <v>148</v>
      </c>
    </row>
    <row r="29" spans="1:16" x14ac:dyDescent="0.25">
      <c r="A29" s="59" t="s">
        <v>130</v>
      </c>
      <c r="B29" s="59" t="s">
        <v>138</v>
      </c>
      <c r="C29" s="59" t="s">
        <v>130</v>
      </c>
      <c r="D29" s="59" t="s">
        <v>462</v>
      </c>
      <c r="E29" s="59" t="s">
        <v>463</v>
      </c>
      <c r="F29" s="59" t="str">
        <f>IFERROR("Q" &amp;INT((MONTH('Follow up (ship 2)'!G29)+2)/3) &amp; "-" &amp; YEAR('Follow up (ship 2)'!G29),"N/A")</f>
        <v>Q3-2018</v>
      </c>
      <c r="G29" s="59" t="s">
        <v>270</v>
      </c>
      <c r="H29" s="59" t="s">
        <v>135</v>
      </c>
      <c r="I29" s="59" t="s">
        <v>133</v>
      </c>
      <c r="J29" s="59" t="s">
        <v>136</v>
      </c>
      <c r="K29" s="59" t="str">
        <f>IFERROR("Q" &amp;INT((MONTH('Follow up (ship 2)'!M29)+2)/3) &amp; "-" &amp; YEAR('Follow up (ship 2)'!M29),"N/A")</f>
        <v>Q3-2018</v>
      </c>
      <c r="L29" s="59">
        <v>80</v>
      </c>
      <c r="M29" s="59" t="s">
        <v>425</v>
      </c>
      <c r="N29" s="59" t="s">
        <v>130</v>
      </c>
      <c r="O29" s="59">
        <v>3</v>
      </c>
      <c r="P29" s="59" t="s">
        <v>422</v>
      </c>
    </row>
    <row r="30" spans="1:16" x14ac:dyDescent="0.25">
      <c r="A30" s="59" t="s">
        <v>130</v>
      </c>
      <c r="B30" s="59" t="s">
        <v>138</v>
      </c>
      <c r="C30" s="59" t="s">
        <v>130</v>
      </c>
      <c r="D30" s="59" t="s">
        <v>464</v>
      </c>
      <c r="E30" s="59" t="s">
        <v>465</v>
      </c>
      <c r="F30" s="59" t="str">
        <f>IFERROR("Q" &amp;INT((MONTH('Follow up (ship 2)'!G30)+2)/3) &amp; "-" &amp; YEAR('Follow up (ship 2)'!G30),"N/A")</f>
        <v>Q3-2018</v>
      </c>
      <c r="G30" s="59" t="s">
        <v>270</v>
      </c>
      <c r="H30" s="59" t="s">
        <v>135</v>
      </c>
      <c r="I30" s="59" t="s">
        <v>133</v>
      </c>
      <c r="J30" s="59" t="s">
        <v>136</v>
      </c>
      <c r="K30" s="59" t="str">
        <f>IFERROR("Q" &amp;INT((MONTH('Follow up (ship 2)'!M30)+2)/3) &amp; "-" &amp; YEAR('Follow up (ship 2)'!M30),"N/A")</f>
        <v>Q3-2018</v>
      </c>
      <c r="L30" s="59">
        <v>72</v>
      </c>
      <c r="M30" s="59" t="s">
        <v>425</v>
      </c>
      <c r="N30" s="59" t="s">
        <v>138</v>
      </c>
      <c r="O30" s="59">
        <v>3</v>
      </c>
      <c r="P30" s="59" t="s">
        <v>148</v>
      </c>
    </row>
    <row r="31" spans="1:16" x14ac:dyDescent="0.25">
      <c r="A31" s="59" t="s">
        <v>130</v>
      </c>
      <c r="B31" s="59" t="s">
        <v>138</v>
      </c>
      <c r="C31" s="59" t="s">
        <v>130</v>
      </c>
      <c r="D31" s="59" t="s">
        <v>466</v>
      </c>
      <c r="E31" s="59" t="s">
        <v>282</v>
      </c>
      <c r="F31" s="59" t="str">
        <f>IFERROR("Q" &amp;INT((MONTH('Follow up (ship 2)'!G31)+2)/3) &amp; "-" &amp; YEAR('Follow up (ship 2)'!G31),"N/A")</f>
        <v>Q3-2018</v>
      </c>
      <c r="G31" s="59" t="s">
        <v>203</v>
      </c>
      <c r="H31" s="59" t="s">
        <v>135</v>
      </c>
      <c r="I31" s="59" t="s">
        <v>133</v>
      </c>
      <c r="J31" s="59" t="s">
        <v>136</v>
      </c>
      <c r="K31" s="59" t="str">
        <f>IFERROR("Q" &amp;INT((MONTH('Follow up (ship 2)'!M31)+2)/3) &amp; "-" &amp; YEAR('Follow up (ship 2)'!M31),"N/A")</f>
        <v>Q3-2018</v>
      </c>
      <c r="L31" s="59">
        <v>79</v>
      </c>
      <c r="M31" s="59" t="s">
        <v>399</v>
      </c>
      <c r="N31" s="59" t="s">
        <v>138</v>
      </c>
      <c r="O31" s="59">
        <v>3</v>
      </c>
      <c r="P31" s="59" t="s">
        <v>198</v>
      </c>
    </row>
    <row r="32" spans="1:16" x14ac:dyDescent="0.25">
      <c r="A32" s="59" t="s">
        <v>130</v>
      </c>
      <c r="B32" s="59" t="s">
        <v>138</v>
      </c>
      <c r="C32" s="59" t="s">
        <v>130</v>
      </c>
      <c r="D32" s="59" t="s">
        <v>467</v>
      </c>
      <c r="E32" s="59" t="s">
        <v>455</v>
      </c>
      <c r="F32" s="59" t="str">
        <f>IFERROR("Q" &amp;INT((MONTH('Follow up (ship 2)'!G32)+2)/3) &amp; "-" &amp; YEAR('Follow up (ship 2)'!G32),"N/A")</f>
        <v>Q3-2018</v>
      </c>
      <c r="G32" s="59" t="s">
        <v>468</v>
      </c>
      <c r="H32" s="59" t="s">
        <v>135</v>
      </c>
      <c r="I32" s="59" t="s">
        <v>133</v>
      </c>
      <c r="J32" s="59" t="s">
        <v>136</v>
      </c>
      <c r="K32" s="59" t="str">
        <f>IFERROR("Q" &amp;INT((MONTH('Follow up (ship 2)'!M32)+2)/3) &amp; "-" &amp; YEAR('Follow up (ship 2)'!M32),"N/A")</f>
        <v>Q3-2018</v>
      </c>
      <c r="L32" s="59">
        <v>53</v>
      </c>
      <c r="M32" s="59" t="s">
        <v>469</v>
      </c>
      <c r="N32" s="59" t="s">
        <v>130</v>
      </c>
      <c r="O32" s="59">
        <v>3</v>
      </c>
      <c r="P32" s="59" t="s">
        <v>422</v>
      </c>
    </row>
    <row r="33" spans="1:16" x14ac:dyDescent="0.25">
      <c r="A33" s="59" t="s">
        <v>130</v>
      </c>
      <c r="B33" s="59" t="s">
        <v>138</v>
      </c>
      <c r="C33" s="59" t="s">
        <v>130</v>
      </c>
      <c r="D33" s="59" t="s">
        <v>470</v>
      </c>
      <c r="E33" s="59" t="s">
        <v>471</v>
      </c>
      <c r="F33" s="59" t="str">
        <f>IFERROR("Q" &amp;INT((MONTH('Follow up (ship 2)'!G33)+2)/3) &amp; "-" &amp; YEAR('Follow up (ship 2)'!G33),"N/A")</f>
        <v>Q3-2018</v>
      </c>
      <c r="G33" s="59" t="s">
        <v>472</v>
      </c>
      <c r="H33" s="59" t="s">
        <v>135</v>
      </c>
      <c r="I33" s="59" t="s">
        <v>133</v>
      </c>
      <c r="J33" s="59" t="s">
        <v>136</v>
      </c>
      <c r="K33" s="59" t="str">
        <f>IFERROR("Q" &amp;INT((MONTH('Follow up (ship 2)'!M33)+2)/3) &amp; "-" &amp; YEAR('Follow up (ship 2)'!M33),"N/A")</f>
        <v>Q3-2018</v>
      </c>
      <c r="L33" s="59">
        <v>54</v>
      </c>
      <c r="M33" s="59" t="s">
        <v>225</v>
      </c>
      <c r="N33" s="59" t="s">
        <v>130</v>
      </c>
      <c r="O33" s="59">
        <v>2</v>
      </c>
      <c r="P33" s="59" t="s">
        <v>426</v>
      </c>
    </row>
    <row r="34" spans="1:16" x14ac:dyDescent="0.25">
      <c r="A34" s="59" t="s">
        <v>130</v>
      </c>
      <c r="B34" s="59" t="s">
        <v>138</v>
      </c>
      <c r="C34" s="59" t="s">
        <v>130</v>
      </c>
      <c r="D34" s="59" t="s">
        <v>473</v>
      </c>
      <c r="E34" s="59" t="s">
        <v>474</v>
      </c>
      <c r="F34" s="59" t="str">
        <f>IFERROR("Q" &amp;INT((MONTH('Follow up (ship 2)'!G34)+2)/3) &amp; "-" &amp; YEAR('Follow up (ship 2)'!G34),"N/A")</f>
        <v>Q3-2018</v>
      </c>
      <c r="G34" s="59" t="s">
        <v>203</v>
      </c>
      <c r="H34" s="59" t="s">
        <v>135</v>
      </c>
      <c r="I34" s="59" t="s">
        <v>133</v>
      </c>
      <c r="J34" s="59" t="s">
        <v>136</v>
      </c>
      <c r="K34" s="59" t="str">
        <f>IFERROR("Q" &amp;INT((MONTH('Follow up (ship 2)'!M34)+2)/3) &amp; "-" &amp; YEAR('Follow up (ship 2)'!M34),"N/A")</f>
        <v>Q3-2018</v>
      </c>
      <c r="L34" s="59">
        <v>51</v>
      </c>
      <c r="M34" s="59" t="s">
        <v>475</v>
      </c>
      <c r="N34" s="59" t="s">
        <v>138</v>
      </c>
      <c r="O34" s="59">
        <v>1</v>
      </c>
      <c r="P34" s="59" t="s">
        <v>198</v>
      </c>
    </row>
    <row r="35" spans="1:16" x14ac:dyDescent="0.25">
      <c r="A35" s="59" t="s">
        <v>130</v>
      </c>
      <c r="B35" s="59" t="s">
        <v>138</v>
      </c>
      <c r="C35" s="59" t="s">
        <v>130</v>
      </c>
      <c r="D35" s="59" t="s">
        <v>476</v>
      </c>
      <c r="E35" s="59" t="s">
        <v>477</v>
      </c>
      <c r="F35" s="59" t="str">
        <f>IFERROR("Q" &amp;INT((MONTH('Follow up (ship 2)'!G35)+2)/3) &amp; "-" &amp; YEAR('Follow up (ship 2)'!G35),"N/A")</f>
        <v>Q3-2018</v>
      </c>
      <c r="G35" s="59" t="s">
        <v>203</v>
      </c>
      <c r="H35" s="59" t="s">
        <v>135</v>
      </c>
      <c r="I35" s="59" t="s">
        <v>133</v>
      </c>
      <c r="J35" s="59" t="s">
        <v>136</v>
      </c>
      <c r="K35" s="59" t="str">
        <f>IFERROR("Q" &amp;INT((MONTH('Follow up (ship 2)'!M35)+2)/3) &amp; "-" &amp; YEAR('Follow up (ship 2)'!M35),"N/A")</f>
        <v>Q3-2018</v>
      </c>
      <c r="L35" s="59">
        <v>66</v>
      </c>
      <c r="M35" s="59" t="s">
        <v>478</v>
      </c>
      <c r="N35" s="59" t="s">
        <v>138</v>
      </c>
      <c r="O35" s="59">
        <v>3</v>
      </c>
      <c r="P35" s="59" t="s">
        <v>164</v>
      </c>
    </row>
    <row r="36" spans="1:16" x14ac:dyDescent="0.25">
      <c r="A36" s="59" t="s">
        <v>130</v>
      </c>
      <c r="B36" s="59" t="s">
        <v>138</v>
      </c>
      <c r="C36" s="59" t="s">
        <v>130</v>
      </c>
      <c r="D36" s="59" t="s">
        <v>479</v>
      </c>
      <c r="E36" s="59" t="s">
        <v>480</v>
      </c>
      <c r="F36" s="59" t="str">
        <f>IFERROR("Q" &amp;INT((MONTH('Follow up (ship 2)'!G36)+2)/3) &amp; "-" &amp; YEAR('Follow up (ship 2)'!G36),"N/A")</f>
        <v>Q3-2018</v>
      </c>
      <c r="G36" s="59" t="s">
        <v>270</v>
      </c>
      <c r="H36" s="59" t="s">
        <v>135</v>
      </c>
      <c r="I36" s="59" t="s">
        <v>133</v>
      </c>
      <c r="J36" s="59" t="s">
        <v>136</v>
      </c>
      <c r="K36" s="59" t="str">
        <f>IFERROR("Q" &amp;INT((MONTH('Follow up (ship 2)'!M36)+2)/3) &amp; "-" &amp; YEAR('Follow up (ship 2)'!M36),"N/A")</f>
        <v>Q3-2018</v>
      </c>
      <c r="L36" s="59">
        <v>79</v>
      </c>
      <c r="M36" s="59" t="s">
        <v>425</v>
      </c>
      <c r="N36" s="59" t="s">
        <v>130</v>
      </c>
      <c r="O36" s="59">
        <v>3</v>
      </c>
      <c r="P36" s="59" t="s">
        <v>164</v>
      </c>
    </row>
    <row r="37" spans="1:16" x14ac:dyDescent="0.25">
      <c r="A37" s="59" t="s">
        <v>130</v>
      </c>
      <c r="B37" s="59" t="s">
        <v>138</v>
      </c>
      <c r="C37" s="59" t="s">
        <v>130</v>
      </c>
      <c r="D37" s="59" t="s">
        <v>481</v>
      </c>
      <c r="E37" s="59" t="s">
        <v>482</v>
      </c>
      <c r="F37" s="59" t="str">
        <f>IFERROR("Q" &amp;INT((MONTH('Follow up (ship 2)'!G37)+2)/3) &amp; "-" &amp; YEAR('Follow up (ship 2)'!G37),"N/A")</f>
        <v>Q4-2018</v>
      </c>
      <c r="G37" s="59" t="s">
        <v>203</v>
      </c>
      <c r="H37" s="59" t="s">
        <v>135</v>
      </c>
      <c r="I37" s="59" t="s">
        <v>133</v>
      </c>
      <c r="J37" s="59" t="s">
        <v>136</v>
      </c>
      <c r="K37" s="59" t="str">
        <f>IFERROR("Q" &amp;INT((MONTH('Follow up (ship 2)'!M37)+2)/3) &amp; "-" &amp; YEAR('Follow up (ship 2)'!M37),"N/A")</f>
        <v>Q3-2018</v>
      </c>
      <c r="L37" s="59">
        <v>73</v>
      </c>
      <c r="M37" s="59" t="s">
        <v>475</v>
      </c>
      <c r="N37" s="59" t="s">
        <v>138</v>
      </c>
      <c r="O37" s="59">
        <v>2</v>
      </c>
      <c r="P37" s="59" t="s">
        <v>234</v>
      </c>
    </row>
    <row r="38" spans="1:16" x14ac:dyDescent="0.25">
      <c r="A38" s="59" t="s">
        <v>130</v>
      </c>
      <c r="B38" s="59" t="s">
        <v>138</v>
      </c>
      <c r="C38" s="59" t="s">
        <v>130</v>
      </c>
      <c r="D38" s="59" t="s">
        <v>483</v>
      </c>
      <c r="E38" s="59" t="s">
        <v>346</v>
      </c>
      <c r="F38" s="59" t="str">
        <f>IFERROR("Q" &amp;INT((MONTH('Follow up (ship 2)'!G38)+2)/3) &amp; "-" &amp; YEAR('Follow up (ship 2)'!G38),"N/A")</f>
        <v>Q4-2018</v>
      </c>
      <c r="G38" s="59" t="s">
        <v>270</v>
      </c>
      <c r="H38" s="59" t="s">
        <v>135</v>
      </c>
      <c r="I38" s="59" t="s">
        <v>133</v>
      </c>
      <c r="J38" s="59" t="s">
        <v>136</v>
      </c>
      <c r="K38" s="59" t="str">
        <f>IFERROR("Q" &amp;INT((MONTH('Follow up (ship 2)'!M38)+2)/3) &amp; "-" &amp; YEAR('Follow up (ship 2)'!M38),"N/A")</f>
        <v>Q3-2018</v>
      </c>
      <c r="L38" s="59">
        <v>77</v>
      </c>
      <c r="M38" s="59" t="s">
        <v>194</v>
      </c>
      <c r="N38" s="59" t="s">
        <v>138</v>
      </c>
      <c r="O38" s="59">
        <v>3</v>
      </c>
      <c r="P38" s="59" t="s">
        <v>148</v>
      </c>
    </row>
    <row r="39" spans="1:16" x14ac:dyDescent="0.25">
      <c r="A39" s="59" t="s">
        <v>130</v>
      </c>
      <c r="B39" s="59" t="s">
        <v>138</v>
      </c>
      <c r="C39" s="59" t="s">
        <v>130</v>
      </c>
      <c r="D39" s="59" t="s">
        <v>484</v>
      </c>
      <c r="E39" s="59" t="s">
        <v>376</v>
      </c>
      <c r="F39" s="59" t="str">
        <f>IFERROR("Q" &amp;INT((MONTH('Follow up (ship 2)'!G39)+2)/3) &amp; "-" &amp; YEAR('Follow up (ship 2)'!G39),"N/A")</f>
        <v>Q4-2018</v>
      </c>
      <c r="G39" s="59" t="s">
        <v>270</v>
      </c>
      <c r="H39" s="59" t="s">
        <v>135</v>
      </c>
      <c r="I39" s="59" t="s">
        <v>133</v>
      </c>
      <c r="J39" s="59" t="s">
        <v>136</v>
      </c>
      <c r="K39" s="59" t="str">
        <f>IFERROR("Q" &amp;INT((MONTH('Follow up (ship 2)'!M39)+2)/3) &amp; "-" &amp; YEAR('Follow up (ship 2)'!M39),"N/A")</f>
        <v>Q3-2018</v>
      </c>
      <c r="L39" s="59">
        <v>89</v>
      </c>
      <c r="M39" s="59" t="s">
        <v>485</v>
      </c>
      <c r="N39" s="59" t="s">
        <v>138</v>
      </c>
      <c r="O39" s="59">
        <v>2</v>
      </c>
      <c r="P39" s="59" t="s">
        <v>148</v>
      </c>
    </row>
    <row r="40" spans="1:16" x14ac:dyDescent="0.25">
      <c r="A40" s="59" t="s">
        <v>130</v>
      </c>
      <c r="B40" s="59" t="s">
        <v>138</v>
      </c>
      <c r="C40" s="59" t="s">
        <v>130</v>
      </c>
      <c r="D40" s="59" t="s">
        <v>486</v>
      </c>
      <c r="E40" s="59" t="s">
        <v>326</v>
      </c>
      <c r="F40" s="59" t="str">
        <f>IFERROR("Q" &amp;INT((MONTH('Follow up (ship 2)'!G40)+2)/3) &amp; "-" &amp; YEAR('Follow up (ship 2)'!G40),"N/A")</f>
        <v>Q4-2018</v>
      </c>
      <c r="G40" s="59" t="s">
        <v>203</v>
      </c>
      <c r="H40" s="59" t="s">
        <v>135</v>
      </c>
      <c r="I40" s="59" t="s">
        <v>133</v>
      </c>
      <c r="J40" s="59" t="s">
        <v>136</v>
      </c>
      <c r="K40" s="59" t="str">
        <f>IFERROR("Q" &amp;INT((MONTH('Follow up (ship 2)'!M40)+2)/3) &amp; "-" &amp; YEAR('Follow up (ship 2)'!M40),"N/A")</f>
        <v>Q3-2018</v>
      </c>
      <c r="L40" s="59">
        <v>74</v>
      </c>
      <c r="M40" s="59" t="s">
        <v>225</v>
      </c>
      <c r="N40" s="59" t="s">
        <v>138</v>
      </c>
      <c r="O40" s="59">
        <v>1</v>
      </c>
      <c r="P40" s="59" t="s">
        <v>148</v>
      </c>
    </row>
    <row r="41" spans="1:16" x14ac:dyDescent="0.25">
      <c r="A41" s="59" t="s">
        <v>130</v>
      </c>
      <c r="B41" s="59" t="s">
        <v>138</v>
      </c>
      <c r="C41" s="59" t="s">
        <v>130</v>
      </c>
      <c r="D41" s="59" t="s">
        <v>487</v>
      </c>
      <c r="E41" s="59" t="s">
        <v>488</v>
      </c>
      <c r="F41" s="59" t="str">
        <f>IFERROR("Q" &amp;INT((MONTH('Follow up (ship 2)'!G41)+2)/3) &amp; "-" &amp; YEAR('Follow up (ship 2)'!G41),"N/A")</f>
        <v>Q4-2018</v>
      </c>
      <c r="G41" s="59" t="s">
        <v>203</v>
      </c>
      <c r="H41" s="59" t="s">
        <v>135</v>
      </c>
      <c r="I41" s="59" t="s">
        <v>133</v>
      </c>
      <c r="J41" s="59" t="s">
        <v>136</v>
      </c>
      <c r="K41" s="59" t="str">
        <f>IFERROR("Q" &amp;INT((MONTH('Follow up (ship 2)'!M41)+2)/3) &amp; "-" &amp; YEAR('Follow up (ship 2)'!M41),"N/A")</f>
        <v>Q4-2018</v>
      </c>
      <c r="L41" s="59">
        <v>54</v>
      </c>
      <c r="M41" s="59" t="s">
        <v>225</v>
      </c>
      <c r="N41" s="59" t="s">
        <v>138</v>
      </c>
      <c r="O41" s="59">
        <v>1</v>
      </c>
      <c r="P41" s="59" t="s">
        <v>148</v>
      </c>
    </row>
    <row r="42" spans="1:16" x14ac:dyDescent="0.25">
      <c r="A42" s="59" t="s">
        <v>130</v>
      </c>
      <c r="B42" s="59" t="s">
        <v>138</v>
      </c>
      <c r="C42" s="59" t="s">
        <v>130</v>
      </c>
      <c r="D42" s="59" t="s">
        <v>489</v>
      </c>
      <c r="E42" s="59" t="s">
        <v>218</v>
      </c>
      <c r="F42" s="59" t="str">
        <f>IFERROR("Q" &amp;INT((MONTH('Follow up (ship 2)'!G42)+2)/3) &amp; "-" &amp; YEAR('Follow up (ship 2)'!G42),"N/A")</f>
        <v>Q4-2018</v>
      </c>
      <c r="G42" s="59" t="s">
        <v>203</v>
      </c>
      <c r="H42" s="59" t="s">
        <v>135</v>
      </c>
      <c r="I42" s="59" t="s">
        <v>133</v>
      </c>
      <c r="J42" s="59" t="s">
        <v>136</v>
      </c>
      <c r="K42" s="59" t="str">
        <f>IFERROR("Q" &amp;INT((MONTH('Follow up (ship 2)'!M42)+2)/3) &amp; "-" &amp; YEAR('Follow up (ship 2)'!M42),"N/A")</f>
        <v>Q3-2018</v>
      </c>
      <c r="L42" s="59">
        <v>71</v>
      </c>
      <c r="M42" s="59" t="s">
        <v>399</v>
      </c>
      <c r="N42" s="59" t="s">
        <v>138</v>
      </c>
      <c r="O42" s="59">
        <v>1</v>
      </c>
      <c r="P42" s="59" t="s">
        <v>198</v>
      </c>
    </row>
    <row r="43" spans="1:16" x14ac:dyDescent="0.25">
      <c r="A43" s="59" t="s">
        <v>130</v>
      </c>
      <c r="B43" s="59" t="s">
        <v>138</v>
      </c>
      <c r="C43" s="59" t="s">
        <v>130</v>
      </c>
      <c r="D43" s="59" t="s">
        <v>490</v>
      </c>
      <c r="E43" s="59" t="s">
        <v>491</v>
      </c>
      <c r="F43" s="59" t="str">
        <f>IFERROR("Q" &amp;INT((MONTH('Follow up (ship 2)'!G43)+2)/3) &amp; "-" &amp; YEAR('Follow up (ship 2)'!G43),"N/A")</f>
        <v>Q4-2018</v>
      </c>
      <c r="G43" s="59" t="s">
        <v>203</v>
      </c>
      <c r="H43" s="59" t="s">
        <v>135</v>
      </c>
      <c r="I43" s="59" t="s">
        <v>133</v>
      </c>
      <c r="J43" s="59" t="s">
        <v>136</v>
      </c>
      <c r="K43" s="59" t="str">
        <f>IFERROR("Q" &amp;INT((MONTH('Follow up (ship 2)'!M43)+2)/3) &amp; "-" &amp; YEAR('Follow up (ship 2)'!M43),"N/A")</f>
        <v>Q3-2018</v>
      </c>
      <c r="L43" s="59">
        <v>61</v>
      </c>
      <c r="M43" s="59" t="s">
        <v>399</v>
      </c>
      <c r="N43" s="59" t="s">
        <v>138</v>
      </c>
      <c r="O43" s="59">
        <v>1</v>
      </c>
      <c r="P43" s="59" t="s">
        <v>198</v>
      </c>
    </row>
    <row r="44" spans="1:16" x14ac:dyDescent="0.25">
      <c r="A44" s="59" t="s">
        <v>130</v>
      </c>
      <c r="B44" s="59" t="s">
        <v>138</v>
      </c>
      <c r="C44" s="59" t="s">
        <v>130</v>
      </c>
      <c r="D44" s="59" t="s">
        <v>492</v>
      </c>
      <c r="E44" s="59" t="s">
        <v>493</v>
      </c>
      <c r="F44" s="59" t="str">
        <f>IFERROR("Q" &amp;INT((MONTH('Follow up (ship 2)'!G44)+2)/3) &amp; "-" &amp; YEAR('Follow up (ship 2)'!G44),"N/A")</f>
        <v>Q4-2018</v>
      </c>
      <c r="G44" s="59" t="s">
        <v>203</v>
      </c>
      <c r="H44" s="59" t="s">
        <v>135</v>
      </c>
      <c r="I44" s="59" t="s">
        <v>133</v>
      </c>
      <c r="J44" s="59" t="s">
        <v>136</v>
      </c>
      <c r="K44" s="59" t="str">
        <f>IFERROR("Q" &amp;INT((MONTH('Follow up (ship 2)'!M44)+2)/3) &amp; "-" &amp; YEAR('Follow up (ship 2)'!M44),"N/A")</f>
        <v>Q3-2018</v>
      </c>
      <c r="L44" s="59">
        <v>85</v>
      </c>
      <c r="M44" s="59" t="s">
        <v>425</v>
      </c>
      <c r="N44" s="59" t="s">
        <v>130</v>
      </c>
      <c r="O44" s="59">
        <v>3</v>
      </c>
      <c r="P44" s="59" t="s">
        <v>234</v>
      </c>
    </row>
    <row r="45" spans="1:16" x14ac:dyDescent="0.25">
      <c r="A45" s="59" t="s">
        <v>130</v>
      </c>
      <c r="B45" s="59" t="s">
        <v>138</v>
      </c>
      <c r="C45" s="59" t="s">
        <v>130</v>
      </c>
      <c r="D45" s="59" t="s">
        <v>494</v>
      </c>
      <c r="E45" s="59" t="s">
        <v>495</v>
      </c>
      <c r="F45" s="59" t="str">
        <f>IFERROR("Q" &amp;INT((MONTH('Follow up (ship 2)'!G45)+2)/3) &amp; "-" &amp; YEAR('Follow up (ship 2)'!G45),"N/A")</f>
        <v>Q4-2018</v>
      </c>
      <c r="G45" s="59" t="s">
        <v>270</v>
      </c>
      <c r="H45" s="59" t="s">
        <v>135</v>
      </c>
      <c r="I45" s="59" t="s">
        <v>133</v>
      </c>
      <c r="J45" s="59" t="s">
        <v>136</v>
      </c>
      <c r="K45" s="59" t="str">
        <f>IFERROR("Q" &amp;INT((MONTH('Follow up (ship 2)'!M45)+2)/3) &amp; "-" &amp; YEAR('Follow up (ship 2)'!M45),"N/A")</f>
        <v>Q3-2018</v>
      </c>
      <c r="L45" s="59">
        <v>47</v>
      </c>
      <c r="M45" s="59" t="s">
        <v>225</v>
      </c>
      <c r="N45" s="59" t="s">
        <v>138</v>
      </c>
      <c r="O45" s="59">
        <v>2</v>
      </c>
      <c r="P45" s="59" t="s">
        <v>234</v>
      </c>
    </row>
    <row r="46" spans="1:16" x14ac:dyDescent="0.25">
      <c r="A46" s="59" t="s">
        <v>130</v>
      </c>
      <c r="B46" s="59" t="s">
        <v>138</v>
      </c>
      <c r="C46" s="59" t="s">
        <v>130</v>
      </c>
      <c r="D46" s="59" t="s">
        <v>496</v>
      </c>
      <c r="E46" s="59" t="s">
        <v>497</v>
      </c>
      <c r="F46" s="59" t="str">
        <f>IFERROR("Q" &amp;INT((MONTH('Follow up (ship 2)'!G46)+2)/3) &amp; "-" &amp; YEAR('Follow up (ship 2)'!G46),"N/A")</f>
        <v>Q4-2018</v>
      </c>
      <c r="G46" s="59" t="s">
        <v>203</v>
      </c>
      <c r="H46" s="59" t="s">
        <v>135</v>
      </c>
      <c r="I46" s="59" t="s">
        <v>133</v>
      </c>
      <c r="J46" s="59" t="s">
        <v>136</v>
      </c>
      <c r="K46" s="59" t="str">
        <f>IFERROR("Q" &amp;INT((MONTH('Follow up (ship 2)'!M46)+2)/3) &amp; "-" &amp; YEAR('Follow up (ship 2)'!M46),"N/A")</f>
        <v>Q3-2018</v>
      </c>
      <c r="L46" s="59">
        <v>75</v>
      </c>
      <c r="M46" s="59" t="s">
        <v>425</v>
      </c>
      <c r="N46" s="59" t="s">
        <v>138</v>
      </c>
      <c r="O46" s="59">
        <v>3</v>
      </c>
      <c r="P46" s="59" t="s">
        <v>443</v>
      </c>
    </row>
    <row r="47" spans="1:16" x14ac:dyDescent="0.25">
      <c r="A47" s="59" t="s">
        <v>130</v>
      </c>
      <c r="B47" s="59" t="s">
        <v>138</v>
      </c>
      <c r="C47" s="59" t="s">
        <v>130</v>
      </c>
      <c r="D47" s="59" t="s">
        <v>498</v>
      </c>
      <c r="E47" s="59" t="s">
        <v>499</v>
      </c>
      <c r="F47" s="59" t="str">
        <f>IFERROR("Q" &amp;INT((MONTH('Follow up (ship 2)'!G47)+2)/3) &amp; "-" &amp; YEAR('Follow up (ship 2)'!G47),"N/A")</f>
        <v>Q4-2018</v>
      </c>
      <c r="G47" s="59" t="s">
        <v>203</v>
      </c>
      <c r="H47" s="59" t="s">
        <v>135</v>
      </c>
      <c r="I47" s="59" t="s">
        <v>133</v>
      </c>
      <c r="J47" s="59" t="s">
        <v>136</v>
      </c>
      <c r="K47" s="59" t="str">
        <f>IFERROR("Q" &amp;INT((MONTH('Follow up (ship 2)'!M47)+2)/3) &amp; "-" &amp; YEAR('Follow up (ship 2)'!M47),"N/A")</f>
        <v>Q4-2018</v>
      </c>
      <c r="L47" s="59">
        <v>84</v>
      </c>
      <c r="M47" s="59" t="s">
        <v>425</v>
      </c>
      <c r="N47" s="59" t="s">
        <v>138</v>
      </c>
      <c r="O47" s="59">
        <v>3</v>
      </c>
      <c r="P47" s="59">
        <v>2</v>
      </c>
    </row>
    <row r="48" spans="1:16" x14ac:dyDescent="0.25">
      <c r="A48" s="59" t="s">
        <v>130</v>
      </c>
      <c r="B48" s="59" t="s">
        <v>138</v>
      </c>
      <c r="C48" s="59" t="s">
        <v>130</v>
      </c>
      <c r="D48" s="59" t="s">
        <v>500</v>
      </c>
      <c r="E48" s="59" t="s">
        <v>501</v>
      </c>
      <c r="F48" s="59" t="str">
        <f>IFERROR("Q" &amp;INT((MONTH('Follow up (ship 2)'!G48)+2)/3) &amp; "-" &amp; YEAR('Follow up (ship 2)'!G48),"N/A")</f>
        <v>Q4-2018</v>
      </c>
      <c r="G48" s="59" t="s">
        <v>203</v>
      </c>
      <c r="H48" s="59" t="s">
        <v>135</v>
      </c>
      <c r="I48" s="59" t="s">
        <v>133</v>
      </c>
      <c r="J48" s="59" t="s">
        <v>136</v>
      </c>
      <c r="K48" s="59" t="str">
        <f>IFERROR("Q" &amp;INT((MONTH('Follow up (ship 2)'!M48)+2)/3) &amp; "-" &amp; YEAR('Follow up (ship 2)'!M48),"N/A")</f>
        <v>Q4-2018</v>
      </c>
      <c r="L48" s="59">
        <v>67</v>
      </c>
      <c r="M48" s="59" t="s">
        <v>225</v>
      </c>
      <c r="N48" s="59" t="s">
        <v>138</v>
      </c>
      <c r="O48" s="59">
        <v>1</v>
      </c>
      <c r="P48" s="59" t="s">
        <v>198</v>
      </c>
    </row>
    <row r="49" spans="1:16" x14ac:dyDescent="0.25">
      <c r="A49" s="59" t="s">
        <v>130</v>
      </c>
      <c r="B49" s="59" t="s">
        <v>138</v>
      </c>
      <c r="C49" s="59" t="s">
        <v>130</v>
      </c>
      <c r="D49" s="59" t="s">
        <v>502</v>
      </c>
      <c r="E49" s="59" t="s">
        <v>503</v>
      </c>
      <c r="F49" s="59" t="str">
        <f>IFERROR("Q" &amp;INT((MONTH('Follow up (ship 2)'!G49)+2)/3) &amp; "-" &amp; YEAR('Follow up (ship 2)'!G49),"N/A")</f>
        <v>Q4-2018</v>
      </c>
      <c r="G49" s="59" t="s">
        <v>270</v>
      </c>
      <c r="H49" s="59" t="s">
        <v>135</v>
      </c>
      <c r="I49" s="59" t="s">
        <v>133</v>
      </c>
      <c r="J49" s="59" t="s">
        <v>136</v>
      </c>
      <c r="K49" s="59" t="str">
        <f>IFERROR("Q" &amp;INT((MONTH('Follow up (ship 2)'!M49)+2)/3) &amp; "-" &amp; YEAR('Follow up (ship 2)'!M49),"N/A")</f>
        <v>Q4-2018</v>
      </c>
      <c r="L49" s="59">
        <v>68</v>
      </c>
      <c r="M49" s="59" t="s">
        <v>425</v>
      </c>
      <c r="N49" s="59" t="s">
        <v>130</v>
      </c>
      <c r="O49" s="59">
        <v>3</v>
      </c>
      <c r="P49" s="59" t="s">
        <v>422</v>
      </c>
    </row>
    <row r="50" spans="1:16" x14ac:dyDescent="0.25">
      <c r="A50" s="59" t="s">
        <v>130</v>
      </c>
      <c r="B50" s="59" t="s">
        <v>138</v>
      </c>
      <c r="C50" s="59" t="s">
        <v>130</v>
      </c>
      <c r="D50" s="59" t="s">
        <v>504</v>
      </c>
      <c r="E50" s="59" t="s">
        <v>505</v>
      </c>
      <c r="F50" s="59" t="str">
        <f>IFERROR("Q" &amp;INT((MONTH('Follow up (ship 2)'!G50)+2)/3) &amp; "-" &amp; YEAR('Follow up (ship 2)'!G50),"N/A")</f>
        <v>Q4-2018</v>
      </c>
      <c r="G50" s="59" t="s">
        <v>203</v>
      </c>
      <c r="H50" s="59" t="s">
        <v>135</v>
      </c>
      <c r="I50" s="59" t="s">
        <v>133</v>
      </c>
      <c r="J50" s="59" t="s">
        <v>136</v>
      </c>
      <c r="K50" s="59" t="str">
        <f>IFERROR("Q" &amp;INT((MONTH('Follow up (ship 2)'!M50)+2)/3) &amp; "-" &amp; YEAR('Follow up (ship 2)'!M50),"N/A")</f>
        <v>Q4-2018</v>
      </c>
      <c r="L50" s="59">
        <v>63</v>
      </c>
      <c r="M50" s="59" t="s">
        <v>399</v>
      </c>
      <c r="N50" s="59" t="s">
        <v>138</v>
      </c>
      <c r="O50" s="59">
        <v>1</v>
      </c>
      <c r="P50" s="59" t="s">
        <v>198</v>
      </c>
    </row>
    <row r="51" spans="1:16" x14ac:dyDescent="0.25">
      <c r="A51" s="59" t="s">
        <v>130</v>
      </c>
      <c r="B51" s="59" t="s">
        <v>138</v>
      </c>
      <c r="C51" s="59" t="s">
        <v>130</v>
      </c>
      <c r="D51" s="59" t="s">
        <v>506</v>
      </c>
      <c r="E51" s="59" t="s">
        <v>507</v>
      </c>
      <c r="F51" s="59" t="str">
        <f>IFERROR("Q" &amp;INT((MONTH('Follow up (ship 2)'!G51)+2)/3) &amp; "-" &amp; YEAR('Follow up (ship 2)'!G51),"N/A")</f>
        <v>Q4-2018</v>
      </c>
      <c r="G51" s="59" t="s">
        <v>203</v>
      </c>
      <c r="H51" s="59" t="s">
        <v>135</v>
      </c>
      <c r="I51" s="59" t="s">
        <v>133</v>
      </c>
      <c r="J51" s="59" t="s">
        <v>136</v>
      </c>
      <c r="K51" s="59" t="str">
        <f>IFERROR("Q" &amp;INT((MONTH('Follow up (ship 2)'!M51)+2)/3) &amp; "-" &amp; YEAR('Follow up (ship 2)'!M51),"N/A")</f>
        <v>Q4-2018</v>
      </c>
      <c r="L51" s="59">
        <v>52</v>
      </c>
      <c r="M51" s="59" t="s">
        <v>508</v>
      </c>
      <c r="N51" s="59" t="s">
        <v>138</v>
      </c>
      <c r="O51" s="59">
        <v>1</v>
      </c>
      <c r="P51" s="59">
        <v>2</v>
      </c>
    </row>
    <row r="52" spans="1:16" x14ac:dyDescent="0.25">
      <c r="A52" s="59" t="s">
        <v>130</v>
      </c>
      <c r="B52" s="59" t="s">
        <v>138</v>
      </c>
      <c r="C52" s="59" t="s">
        <v>130</v>
      </c>
      <c r="D52" s="59" t="s">
        <v>594</v>
      </c>
      <c r="E52" s="59" t="s">
        <v>157</v>
      </c>
      <c r="F52" s="59" t="str">
        <f>IFERROR("Q" &amp;INT((MONTH('Follow up (ship 2)'!G52)+2)/3) &amp; "-" &amp; YEAR('Follow up (ship 2)'!G52),"N/A")</f>
        <v>Q1-2019</v>
      </c>
      <c r="G52" s="59" t="s">
        <v>203</v>
      </c>
      <c r="H52" s="59" t="s">
        <v>135</v>
      </c>
      <c r="I52" s="59" t="s">
        <v>133</v>
      </c>
      <c r="J52" s="59" t="s">
        <v>136</v>
      </c>
      <c r="K52" s="59" t="str">
        <f>IFERROR("Q" &amp;INT((MONTH('Follow up (ship 2)'!M52)+2)/3) &amp; "-" &amp; YEAR('Follow up (ship 2)'!M52),"N/A")</f>
        <v>Q4-2018</v>
      </c>
      <c r="L52" s="59">
        <v>66</v>
      </c>
      <c r="M52" s="59" t="s">
        <v>399</v>
      </c>
      <c r="N52" s="59" t="s">
        <v>138</v>
      </c>
      <c r="O52" s="59">
        <v>2</v>
      </c>
      <c r="P52" s="59" t="s">
        <v>148</v>
      </c>
    </row>
    <row r="53" spans="1:16" x14ac:dyDescent="0.25">
      <c r="A53" s="59" t="s">
        <v>130</v>
      </c>
      <c r="B53" s="59" t="s">
        <v>138</v>
      </c>
      <c r="C53" s="59" t="s">
        <v>130</v>
      </c>
      <c r="D53" s="59" t="s">
        <v>595</v>
      </c>
      <c r="E53" s="59" t="s">
        <v>299</v>
      </c>
      <c r="F53" s="59" t="str">
        <f>IFERROR("Q" &amp;INT((MONTH('Follow up (ship 2)'!G53)+2)/3) &amp; "-" &amp; YEAR('Follow up (ship 2)'!G53),"N/A")</f>
        <v>Q1-2019</v>
      </c>
      <c r="G53" s="59" t="s">
        <v>203</v>
      </c>
      <c r="H53" s="59" t="s">
        <v>135</v>
      </c>
      <c r="I53" s="59" t="s">
        <v>133</v>
      </c>
      <c r="J53" s="59" t="s">
        <v>136</v>
      </c>
      <c r="K53" s="59" t="str">
        <f>IFERROR("Q" &amp;INT((MONTH('Follow up (ship 2)'!M53)+2)/3) &amp; "-" &amp; YEAR('Follow up (ship 2)'!M53),"N/A")</f>
        <v>Q4-2018</v>
      </c>
      <c r="L53" s="59">
        <v>72</v>
      </c>
      <c r="M53" s="59" t="s">
        <v>399</v>
      </c>
      <c r="N53" s="59" t="s">
        <v>138</v>
      </c>
      <c r="O53" s="59">
        <v>2</v>
      </c>
      <c r="P53" s="59" t="s">
        <v>148</v>
      </c>
    </row>
    <row r="54" spans="1:16" x14ac:dyDescent="0.25">
      <c r="A54" s="59" t="s">
        <v>130</v>
      </c>
      <c r="B54" s="59" t="s">
        <v>138</v>
      </c>
      <c r="C54" s="59" t="s">
        <v>130</v>
      </c>
      <c r="D54" s="59" t="s">
        <v>596</v>
      </c>
      <c r="E54" s="59" t="s">
        <v>512</v>
      </c>
      <c r="F54" s="59" t="str">
        <f>IFERROR("Q" &amp;INT((MONTH('Follow up (ship 2)'!G54)+2)/3) &amp; "-" &amp; YEAR('Follow up (ship 2)'!G54),"N/A")</f>
        <v>Q1-2019</v>
      </c>
      <c r="G54" s="59" t="s">
        <v>203</v>
      </c>
      <c r="H54" s="59" t="s">
        <v>135</v>
      </c>
      <c r="I54" s="59" t="s">
        <v>133</v>
      </c>
      <c r="J54" s="59" t="s">
        <v>136</v>
      </c>
      <c r="K54" s="59" t="str">
        <f>IFERROR("Q" &amp;INT((MONTH('Follow up (ship 2)'!M54)+2)/3) &amp; "-" &amp; YEAR('Follow up (ship 2)'!M54),"N/A")</f>
        <v>Q4-2018</v>
      </c>
      <c r="L54" s="59">
        <v>83</v>
      </c>
      <c r="M54" s="59" t="s">
        <v>513</v>
      </c>
      <c r="N54" s="59" t="s">
        <v>138</v>
      </c>
      <c r="O54" s="59">
        <v>2</v>
      </c>
      <c r="P54" s="59" t="s">
        <v>198</v>
      </c>
    </row>
    <row r="55" spans="1:16" x14ac:dyDescent="0.25">
      <c r="A55" s="59" t="s">
        <v>514</v>
      </c>
      <c r="B55" s="59" t="s">
        <v>138</v>
      </c>
      <c r="C55" s="59" t="s">
        <v>130</v>
      </c>
      <c r="D55" s="59" t="s">
        <v>597</v>
      </c>
      <c r="E55" s="59" t="s">
        <v>493</v>
      </c>
      <c r="F55" s="59" t="str">
        <f>IFERROR("Q" &amp;INT((MONTH('Follow up (ship 2)'!G55)+2)/3) &amp; "-" &amp; YEAR('Follow up (ship 2)'!G55),"N/A")</f>
        <v>Q1-2019</v>
      </c>
      <c r="G55" s="59" t="s">
        <v>270</v>
      </c>
      <c r="H55" s="59" t="s">
        <v>135</v>
      </c>
      <c r="I55" s="59" t="s">
        <v>133</v>
      </c>
      <c r="J55" s="59" t="s">
        <v>136</v>
      </c>
      <c r="K55" s="59" t="str">
        <f>IFERROR("Q" &amp;INT((MONTH('Follow up (ship 2)'!M55)+2)/3) &amp; "-" &amp; YEAR('Follow up (ship 2)'!M55),"N/A")</f>
        <v>Q4-2018</v>
      </c>
      <c r="L55" s="59">
        <v>70</v>
      </c>
      <c r="M55" s="59" t="s">
        <v>399</v>
      </c>
      <c r="N55" s="59" t="s">
        <v>138</v>
      </c>
      <c r="O55" s="59">
        <v>2</v>
      </c>
      <c r="P55" s="59" t="s">
        <v>148</v>
      </c>
    </row>
    <row r="56" spans="1:16" x14ac:dyDescent="0.25">
      <c r="A56" s="59" t="s">
        <v>130</v>
      </c>
      <c r="B56" s="59" t="s">
        <v>138</v>
      </c>
      <c r="C56" s="59" t="s">
        <v>130</v>
      </c>
      <c r="D56" s="59" t="s">
        <v>598</v>
      </c>
      <c r="E56" s="59" t="s">
        <v>260</v>
      </c>
      <c r="F56" s="59" t="str">
        <f>IFERROR("Q" &amp;INT((MONTH('Follow up (ship 2)'!G56)+2)/3) &amp; "-" &amp; YEAR('Follow up (ship 2)'!G56),"N/A")</f>
        <v>Q1-2019</v>
      </c>
      <c r="G56" s="59" t="s">
        <v>203</v>
      </c>
      <c r="H56" s="59" t="s">
        <v>135</v>
      </c>
      <c r="I56" s="59" t="s">
        <v>133</v>
      </c>
      <c r="J56" s="59" t="s">
        <v>136</v>
      </c>
      <c r="K56" s="59" t="str">
        <f>IFERROR("Q" &amp;INT((MONTH('Follow up (ship 2)'!M56)+2)/3) &amp; "-" &amp; YEAR('Follow up (ship 2)'!M56),"N/A")</f>
        <v>Q4-2018</v>
      </c>
      <c r="L56" s="59">
        <v>69</v>
      </c>
      <c r="M56" s="59" t="s">
        <v>517</v>
      </c>
      <c r="N56" s="59" t="s">
        <v>138</v>
      </c>
      <c r="O56" s="59">
        <v>3</v>
      </c>
      <c r="P56" s="59" t="s">
        <v>198</v>
      </c>
    </row>
    <row r="57" spans="1:16" x14ac:dyDescent="0.25">
      <c r="A57" s="59" t="s">
        <v>130</v>
      </c>
      <c r="B57" s="59" t="s">
        <v>138</v>
      </c>
      <c r="C57" s="59" t="s">
        <v>130</v>
      </c>
      <c r="D57" s="59" t="s">
        <v>599</v>
      </c>
      <c r="E57" s="59" t="s">
        <v>519</v>
      </c>
      <c r="F57" s="59" t="str">
        <f>IFERROR("Q" &amp;INT((MONTH('Follow up (ship 2)'!G57)+2)/3) &amp; "-" &amp; YEAR('Follow up (ship 2)'!G57),"N/A")</f>
        <v>Q1-2019</v>
      </c>
      <c r="G57" s="59" t="s">
        <v>270</v>
      </c>
      <c r="H57" s="59" t="s">
        <v>135</v>
      </c>
      <c r="I57" s="59" t="s">
        <v>133</v>
      </c>
      <c r="J57" s="59" t="s">
        <v>136</v>
      </c>
      <c r="K57" s="59" t="str">
        <f>IFERROR("Q" &amp;INT((MONTH('Follow up (ship 2)'!M57)+2)/3) &amp; "-" &amp; YEAR('Follow up (ship 2)'!M57),"N/A")</f>
        <v>Q1-2019</v>
      </c>
      <c r="L57" s="59">
        <v>68</v>
      </c>
      <c r="M57" s="59" t="s">
        <v>520</v>
      </c>
      <c r="N57" s="59" t="s">
        <v>138</v>
      </c>
      <c r="O57" s="59">
        <v>3</v>
      </c>
      <c r="P57" s="59" t="s">
        <v>422</v>
      </c>
    </row>
    <row r="58" spans="1:16" x14ac:dyDescent="0.25">
      <c r="A58" s="59" t="s">
        <v>130</v>
      </c>
      <c r="B58" s="59" t="s">
        <v>138</v>
      </c>
      <c r="C58" s="59" t="s">
        <v>130</v>
      </c>
      <c r="D58" s="59" t="s">
        <v>600</v>
      </c>
      <c r="E58" s="59" t="s">
        <v>522</v>
      </c>
      <c r="F58" s="59" t="str">
        <f>IFERROR("Q" &amp;INT((MONTH('Follow up (ship 2)'!G58)+2)/3) &amp; "-" &amp; YEAR('Follow up (ship 2)'!G58),"N/A")</f>
        <v>Q1-2019</v>
      </c>
      <c r="G58" s="59" t="s">
        <v>270</v>
      </c>
      <c r="H58" s="59" t="s">
        <v>135</v>
      </c>
      <c r="I58" s="59" t="s">
        <v>133</v>
      </c>
      <c r="J58" s="59" t="s">
        <v>136</v>
      </c>
      <c r="K58" s="59" t="str">
        <f>IFERROR("Q" &amp;INT((MONTH('Follow up (ship 2)'!M58)+2)/3) &amp; "-" &amp; YEAR('Follow up (ship 2)'!M58),"N/A")</f>
        <v>Q4-2018</v>
      </c>
      <c r="L58" s="59">
        <v>71</v>
      </c>
      <c r="M58" s="59" t="s">
        <v>225</v>
      </c>
      <c r="N58" s="59" t="s">
        <v>138</v>
      </c>
      <c r="O58" s="59">
        <v>1</v>
      </c>
      <c r="P58" s="59" t="s">
        <v>148</v>
      </c>
    </row>
    <row r="59" spans="1:16" x14ac:dyDescent="0.25">
      <c r="A59" s="59" t="s">
        <v>130</v>
      </c>
      <c r="B59" s="59" t="s">
        <v>138</v>
      </c>
      <c r="C59" s="59" t="s">
        <v>130</v>
      </c>
      <c r="D59" s="59" t="s">
        <v>601</v>
      </c>
      <c r="E59" s="59" t="s">
        <v>524</v>
      </c>
      <c r="F59" s="59" t="str">
        <f>IFERROR("Q" &amp;INT((MONTH('Follow up (ship 2)'!G59)+2)/3) &amp; "-" &amp; YEAR('Follow up (ship 2)'!G59),"N/A")</f>
        <v>Q1-2019</v>
      </c>
      <c r="G59" s="59" t="s">
        <v>203</v>
      </c>
      <c r="H59" s="59" t="s">
        <v>135</v>
      </c>
      <c r="I59" s="59" t="s">
        <v>133</v>
      </c>
      <c r="J59" s="59" t="s">
        <v>136</v>
      </c>
      <c r="K59" s="59" t="str">
        <f>IFERROR("Q" &amp;INT((MONTH('Follow up (ship 2)'!M59)+2)/3) &amp; "-" &amp; YEAR('Follow up (ship 2)'!M59),"N/A")</f>
        <v>Q1-2019</v>
      </c>
      <c r="L59" s="59">
        <v>63</v>
      </c>
      <c r="M59" s="59" t="s">
        <v>399</v>
      </c>
      <c r="N59" s="59" t="s">
        <v>138</v>
      </c>
      <c r="O59" s="59">
        <v>1</v>
      </c>
      <c r="P59" s="59" t="s">
        <v>148</v>
      </c>
    </row>
    <row r="60" spans="1:16" x14ac:dyDescent="0.25">
      <c r="A60" s="59" t="s">
        <v>130</v>
      </c>
      <c r="B60" s="59" t="s">
        <v>138</v>
      </c>
      <c r="C60" s="59" t="s">
        <v>130</v>
      </c>
      <c r="D60" s="59" t="s">
        <v>602</v>
      </c>
      <c r="E60" s="59" t="s">
        <v>526</v>
      </c>
      <c r="F60" s="59" t="str">
        <f>IFERROR("Q" &amp;INT((MONTH('Follow up (ship 2)'!G60)+2)/3) &amp; "-" &amp; YEAR('Follow up (ship 2)'!G60),"N/A")</f>
        <v>Q1-2019</v>
      </c>
      <c r="G60" s="59" t="s">
        <v>203</v>
      </c>
      <c r="H60" s="59" t="s">
        <v>135</v>
      </c>
      <c r="I60" s="59" t="s">
        <v>133</v>
      </c>
      <c r="J60" s="59" t="s">
        <v>136</v>
      </c>
      <c r="K60" s="59" t="str">
        <f>IFERROR("Q" &amp;INT((MONTH('Follow up (ship 2)'!M60)+2)/3) &amp; "-" &amp; YEAR('Follow up (ship 2)'!M60),"N/A")</f>
        <v>Q4-2018</v>
      </c>
      <c r="L60" s="59">
        <v>44</v>
      </c>
      <c r="M60" s="59" t="s">
        <v>225</v>
      </c>
      <c r="N60" s="59" t="s">
        <v>138</v>
      </c>
      <c r="O60" s="59">
        <v>2</v>
      </c>
      <c r="P60" s="59" t="s">
        <v>198</v>
      </c>
    </row>
    <row r="61" spans="1:16" x14ac:dyDescent="0.25">
      <c r="A61" s="59" t="s">
        <v>130</v>
      </c>
      <c r="B61" s="59" t="s">
        <v>138</v>
      </c>
      <c r="C61" s="59" t="s">
        <v>130</v>
      </c>
      <c r="D61" s="59" t="s">
        <v>603</v>
      </c>
      <c r="E61" s="59" t="s">
        <v>528</v>
      </c>
      <c r="F61" s="59" t="str">
        <f>IFERROR("Q" &amp;INT((MONTH('Follow up (ship 2)'!G61)+2)/3) &amp; "-" &amp; YEAR('Follow up (ship 2)'!G61),"N/A")</f>
        <v>Q1-2019</v>
      </c>
      <c r="G61" s="59" t="s">
        <v>270</v>
      </c>
      <c r="H61" s="59" t="s">
        <v>135</v>
      </c>
      <c r="I61" s="59" t="s">
        <v>133</v>
      </c>
      <c r="J61" s="59" t="s">
        <v>136</v>
      </c>
      <c r="K61" s="59" t="str">
        <f>IFERROR("Q" &amp;INT((MONTH('Follow up (ship 2)'!M61)+2)/3) &amp; "-" &amp; YEAR('Follow up (ship 2)'!M61),"N/A")</f>
        <v>Q1-2019</v>
      </c>
      <c r="L61" s="59">
        <v>75</v>
      </c>
      <c r="M61" s="59" t="s">
        <v>520</v>
      </c>
      <c r="N61" s="59" t="s">
        <v>138</v>
      </c>
      <c r="O61" s="59">
        <v>3</v>
      </c>
      <c r="P61" s="59" t="s">
        <v>148</v>
      </c>
    </row>
    <row r="62" spans="1:16" x14ac:dyDescent="0.25">
      <c r="A62" s="59" t="s">
        <v>130</v>
      </c>
      <c r="B62" s="59" t="s">
        <v>138</v>
      </c>
      <c r="C62" s="59" t="s">
        <v>130</v>
      </c>
      <c r="D62" s="59" t="s">
        <v>604</v>
      </c>
      <c r="E62" s="59" t="s">
        <v>530</v>
      </c>
      <c r="F62" s="59" t="str">
        <f>IFERROR("Q" &amp;INT((MONTH('Follow up (ship 2)'!G62)+2)/3) &amp; "-" &amp; YEAR('Follow up (ship 2)'!G62),"N/A")</f>
        <v>Q1-2019</v>
      </c>
      <c r="G62" s="59" t="s">
        <v>270</v>
      </c>
      <c r="H62" s="59" t="s">
        <v>135</v>
      </c>
      <c r="I62" s="59" t="s">
        <v>133</v>
      </c>
      <c r="J62" s="59" t="s">
        <v>136</v>
      </c>
      <c r="K62" s="59" t="str">
        <f>IFERROR("Q" &amp;INT((MONTH('Follow up (ship 2)'!M62)+2)/3) &amp; "-" &amp; YEAR('Follow up (ship 2)'!M62),"N/A")</f>
        <v>Q1-2019</v>
      </c>
      <c r="L62" s="59">
        <v>57</v>
      </c>
      <c r="M62" s="59" t="s">
        <v>531</v>
      </c>
      <c r="N62" s="59" t="s">
        <v>138</v>
      </c>
      <c r="O62" s="59">
        <v>3</v>
      </c>
      <c r="P62" s="59" t="s">
        <v>164</v>
      </c>
    </row>
    <row r="63" spans="1:16" x14ac:dyDescent="0.25">
      <c r="A63" s="59" t="s">
        <v>130</v>
      </c>
      <c r="B63" s="59" t="s">
        <v>138</v>
      </c>
      <c r="C63" s="59" t="s">
        <v>130</v>
      </c>
      <c r="D63" s="59" t="s">
        <v>532</v>
      </c>
      <c r="E63" s="59" t="s">
        <v>533</v>
      </c>
      <c r="F63" s="59" t="str">
        <f>IFERROR("Q" &amp;INT((MONTH('Follow up (ship 2)'!G63)+2)/3) &amp; "-" &amp; YEAR('Follow up (ship 2)'!G63),"N/A")</f>
        <v>Q1-2019</v>
      </c>
      <c r="G63" s="59" t="s">
        <v>270</v>
      </c>
      <c r="H63" s="59" t="s">
        <v>135</v>
      </c>
      <c r="I63" s="59" t="s">
        <v>133</v>
      </c>
      <c r="J63" s="59" t="s">
        <v>136</v>
      </c>
      <c r="K63" s="59" t="str">
        <f>IFERROR("Q" &amp;INT((MONTH('Follow up (ship 2)'!M63)+2)/3) &amp; "-" &amp; YEAR('Follow up (ship 2)'!M63),"N/A")</f>
        <v>Q1-2019</v>
      </c>
      <c r="L63" s="59">
        <v>56</v>
      </c>
      <c r="M63" s="59" t="s">
        <v>399</v>
      </c>
      <c r="N63" s="59" t="s">
        <v>138</v>
      </c>
      <c r="O63" s="59">
        <v>1</v>
      </c>
      <c r="P63" s="59" t="s">
        <v>198</v>
      </c>
    </row>
    <row r="64" spans="1:16" x14ac:dyDescent="0.25">
      <c r="A64" s="59" t="s">
        <v>130</v>
      </c>
      <c r="B64" s="59" t="s">
        <v>138</v>
      </c>
      <c r="C64" s="59" t="s">
        <v>130</v>
      </c>
      <c r="D64" s="59" t="s">
        <v>534</v>
      </c>
      <c r="E64" s="59" t="s">
        <v>535</v>
      </c>
      <c r="F64" s="59" t="str">
        <f>IFERROR("Q" &amp;INT((MONTH('Follow up (ship 2)'!G64)+2)/3) &amp; "-" &amp; YEAR('Follow up (ship 2)'!G64),"N/A")</f>
        <v>Q1-2019</v>
      </c>
      <c r="G64" s="59" t="s">
        <v>203</v>
      </c>
      <c r="H64" s="59" t="s">
        <v>135</v>
      </c>
      <c r="I64" s="59" t="s">
        <v>133</v>
      </c>
      <c r="J64" s="59" t="s">
        <v>136</v>
      </c>
      <c r="K64" s="59" t="str">
        <f>IFERROR("Q" &amp;INT((MONTH('Follow up (ship 2)'!M64)+2)/3) &amp; "-" &amp; YEAR('Follow up (ship 2)'!M64),"N/A")</f>
        <v>Q1-2019</v>
      </c>
      <c r="L64" s="59">
        <v>43</v>
      </c>
      <c r="M64" s="59" t="s">
        <v>147</v>
      </c>
      <c r="N64" s="59" t="s">
        <v>130</v>
      </c>
      <c r="O64" s="59">
        <v>2</v>
      </c>
      <c r="P64" s="59" t="s">
        <v>422</v>
      </c>
    </row>
    <row r="65" spans="1:16" x14ac:dyDescent="0.25">
      <c r="A65" s="59" t="s">
        <v>130</v>
      </c>
      <c r="B65" s="59" t="s">
        <v>138</v>
      </c>
      <c r="C65" s="59" t="s">
        <v>130</v>
      </c>
      <c r="D65" s="59" t="s">
        <v>536</v>
      </c>
      <c r="E65" s="59" t="s">
        <v>537</v>
      </c>
      <c r="F65" s="59" t="str">
        <f>IFERROR("Q" &amp;INT((MONTH('Follow up (ship 2)'!G65)+2)/3) &amp; "-" &amp; YEAR('Follow up (ship 2)'!G65),"N/A")</f>
        <v>Q1-2019</v>
      </c>
      <c r="G65" s="59" t="s">
        <v>203</v>
      </c>
      <c r="H65" s="59" t="s">
        <v>135</v>
      </c>
      <c r="I65" s="59" t="s">
        <v>133</v>
      </c>
      <c r="J65" s="59" t="s">
        <v>136</v>
      </c>
      <c r="K65" s="59" t="str">
        <f>IFERROR("Q" &amp;INT((MONTH('Follow up (ship 2)'!M65)+2)/3) &amp; "-" &amp; YEAR('Follow up (ship 2)'!M65),"N/A")</f>
        <v>Q1-2019</v>
      </c>
      <c r="L65" s="59">
        <v>59</v>
      </c>
      <c r="M65" s="59" t="s">
        <v>538</v>
      </c>
      <c r="N65" s="59" t="s">
        <v>138</v>
      </c>
      <c r="O65" s="59">
        <v>2</v>
      </c>
      <c r="P65" s="59" t="s">
        <v>198</v>
      </c>
    </row>
    <row r="66" spans="1:16" x14ac:dyDescent="0.25">
      <c r="A66" s="59" t="s">
        <v>130</v>
      </c>
      <c r="B66" s="59" t="s">
        <v>138</v>
      </c>
      <c r="C66" s="59" t="s">
        <v>130</v>
      </c>
      <c r="D66" s="59" t="s">
        <v>539</v>
      </c>
      <c r="E66" s="59" t="s">
        <v>540</v>
      </c>
      <c r="F66" s="59" t="str">
        <f>IFERROR("Q" &amp;INT((MONTH('Follow up (ship 2)'!G66)+2)/3) &amp; "-" &amp; YEAR('Follow up (ship 2)'!G66),"N/A")</f>
        <v>Q2-2019</v>
      </c>
      <c r="G66" s="59" t="s">
        <v>203</v>
      </c>
      <c r="H66" s="59" t="s">
        <v>135</v>
      </c>
      <c r="I66" s="59" t="s">
        <v>133</v>
      </c>
      <c r="J66" s="59" t="s">
        <v>136</v>
      </c>
      <c r="K66" s="59" t="str">
        <f>IFERROR("Q" &amp;INT((MONTH('Follow up (ship 2)'!M66)+2)/3) &amp; "-" &amp; YEAR('Follow up (ship 2)'!M66),"N/A")</f>
        <v>Q4-2018</v>
      </c>
      <c r="L66" s="59">
        <v>81</v>
      </c>
      <c r="M66" s="59" t="s">
        <v>520</v>
      </c>
      <c r="N66" s="59" t="s">
        <v>138</v>
      </c>
      <c r="O66" s="59">
        <v>3</v>
      </c>
      <c r="P66" s="59" t="s">
        <v>148</v>
      </c>
    </row>
    <row r="67" spans="1:16" x14ac:dyDescent="0.25">
      <c r="A67" s="59" t="s">
        <v>130</v>
      </c>
      <c r="B67" s="59" t="s">
        <v>138</v>
      </c>
      <c r="C67" s="59" t="s">
        <v>130</v>
      </c>
      <c r="D67" s="59" t="s">
        <v>541</v>
      </c>
      <c r="E67" s="59" t="s">
        <v>542</v>
      </c>
      <c r="F67" s="59" t="str">
        <f>IFERROR("Q" &amp;INT((MONTH('Follow up (ship 2)'!G67)+2)/3) &amp; "-" &amp; YEAR('Follow up (ship 2)'!G67),"N/A")</f>
        <v>Q2-2019</v>
      </c>
      <c r="G67" s="59" t="s">
        <v>203</v>
      </c>
      <c r="H67" s="59" t="s">
        <v>135</v>
      </c>
      <c r="I67" s="59" t="s">
        <v>133</v>
      </c>
      <c r="J67" s="59" t="s">
        <v>136</v>
      </c>
      <c r="K67" s="59" t="str">
        <f>IFERROR("Q" &amp;INT((MONTH('Follow up (ship 2)'!M67)+2)/3) &amp; "-" &amp; YEAR('Follow up (ship 2)'!M67),"N/A")</f>
        <v>Q1-2019</v>
      </c>
      <c r="L67" s="59">
        <v>75</v>
      </c>
      <c r="M67" s="59" t="s">
        <v>543</v>
      </c>
      <c r="N67" s="59" t="s">
        <v>138</v>
      </c>
      <c r="O67" s="59">
        <v>3</v>
      </c>
      <c r="P67" s="59" t="s">
        <v>198</v>
      </c>
    </row>
    <row r="68" spans="1:16" x14ac:dyDescent="0.25">
      <c r="A68" s="59" t="s">
        <v>130</v>
      </c>
      <c r="B68" s="59" t="s">
        <v>138</v>
      </c>
      <c r="C68" s="59" t="s">
        <v>130</v>
      </c>
      <c r="D68" s="59" t="s">
        <v>544</v>
      </c>
      <c r="E68" s="59" t="s">
        <v>545</v>
      </c>
      <c r="F68" s="59" t="str">
        <f>IFERROR("Q" &amp;INT((MONTH('Follow up (ship 2)'!G68)+2)/3) &amp; "-" &amp; YEAR('Follow up (ship 2)'!G68),"N/A")</f>
        <v>Q2-2019</v>
      </c>
      <c r="G68" s="59" t="s">
        <v>270</v>
      </c>
      <c r="H68" s="59" t="s">
        <v>135</v>
      </c>
      <c r="I68" s="59" t="s">
        <v>133</v>
      </c>
      <c r="J68" s="59" t="s">
        <v>136</v>
      </c>
      <c r="K68" s="59" t="str">
        <f>IFERROR("Q" &amp;INT((MONTH('Follow up (ship 2)'!M68)+2)/3) &amp; "-" &amp; YEAR('Follow up (ship 2)'!M68),"N/A")</f>
        <v>Q1-2019</v>
      </c>
      <c r="L68" s="59">
        <v>82</v>
      </c>
      <c r="M68" s="59" t="s">
        <v>520</v>
      </c>
      <c r="N68" s="59" t="s">
        <v>130</v>
      </c>
      <c r="O68" s="59">
        <v>3</v>
      </c>
      <c r="P68" s="59" t="s">
        <v>426</v>
      </c>
    </row>
    <row r="69" spans="1:16" x14ac:dyDescent="0.25">
      <c r="A69" s="59" t="s">
        <v>130</v>
      </c>
      <c r="B69" s="59" t="s">
        <v>138</v>
      </c>
      <c r="C69" s="59" t="s">
        <v>130</v>
      </c>
      <c r="D69" s="59" t="s">
        <v>546</v>
      </c>
      <c r="E69" s="59" t="s">
        <v>343</v>
      </c>
      <c r="F69" s="59" t="str">
        <f>IFERROR("Q" &amp;INT((MONTH('Follow up (ship 2)'!G69)+2)/3) &amp; "-" &amp; YEAR('Follow up (ship 2)'!G69),"N/A")</f>
        <v>Q2-2019</v>
      </c>
      <c r="G69" s="59" t="s">
        <v>270</v>
      </c>
      <c r="H69" s="59" t="s">
        <v>135</v>
      </c>
      <c r="I69" s="59" t="s">
        <v>133</v>
      </c>
      <c r="J69" s="59" t="s">
        <v>136</v>
      </c>
      <c r="K69" s="59" t="str">
        <f>IFERROR("Q" &amp;INT((MONTH('Follow up (ship 2)'!M69)+2)/3) &amp; "-" &amp; YEAR('Follow up (ship 2)'!M69),"N/A")</f>
        <v>Q1-2019</v>
      </c>
      <c r="L69" s="59">
        <v>80</v>
      </c>
      <c r="M69" s="59" t="s">
        <v>399</v>
      </c>
      <c r="N69" s="59" t="s">
        <v>138</v>
      </c>
      <c r="O69" s="59">
        <v>3</v>
      </c>
      <c r="P69" s="59" t="s">
        <v>164</v>
      </c>
    </row>
    <row r="70" spans="1:16" x14ac:dyDescent="0.25">
      <c r="A70" s="59" t="s">
        <v>130</v>
      </c>
      <c r="B70" s="59" t="s">
        <v>138</v>
      </c>
      <c r="C70" s="59" t="s">
        <v>130</v>
      </c>
      <c r="D70" s="59" t="s">
        <v>547</v>
      </c>
      <c r="E70" s="59" t="s">
        <v>548</v>
      </c>
      <c r="F70" s="59" t="str">
        <f>IFERROR("Q" &amp;INT((MONTH('Follow up (ship 2)'!G70)+2)/3) &amp; "-" &amp; YEAR('Follow up (ship 2)'!G70),"N/A")</f>
        <v>Q3-2019</v>
      </c>
      <c r="G70" s="59" t="s">
        <v>270</v>
      </c>
      <c r="H70" s="59" t="s">
        <v>135</v>
      </c>
      <c r="I70" s="59" t="s">
        <v>133</v>
      </c>
      <c r="J70" s="59" t="s">
        <v>136</v>
      </c>
      <c r="K70" s="59" t="str">
        <f>IFERROR("Q" &amp;INT((MONTH('Follow up (ship 2)'!M70)+2)/3) &amp; "-" &amp; YEAR('Follow up (ship 2)'!M70),"N/A")</f>
        <v>Q2-2019</v>
      </c>
      <c r="L70" s="59">
        <v>73</v>
      </c>
      <c r="M70" s="59" t="s">
        <v>399</v>
      </c>
      <c r="N70" s="59" t="s">
        <v>130</v>
      </c>
      <c r="O70" s="59">
        <v>3</v>
      </c>
      <c r="P70" s="59" t="s">
        <v>426</v>
      </c>
    </row>
    <row r="71" spans="1:16" x14ac:dyDescent="0.25">
      <c r="A71" s="59" t="s">
        <v>130</v>
      </c>
      <c r="B71" s="59" t="s">
        <v>138</v>
      </c>
      <c r="C71" s="59" t="s">
        <v>130</v>
      </c>
      <c r="D71" s="59" t="s">
        <v>549</v>
      </c>
      <c r="E71" s="59" t="s">
        <v>550</v>
      </c>
      <c r="F71" s="59" t="str">
        <f>IFERROR("Q" &amp;INT((MONTH('Follow up (ship 2)'!G71)+2)/3) &amp; "-" &amp; YEAR('Follow up (ship 2)'!G71),"N/A")</f>
        <v>Q3-2019</v>
      </c>
      <c r="G71" s="59" t="s">
        <v>270</v>
      </c>
      <c r="H71" s="59" t="s">
        <v>135</v>
      </c>
      <c r="I71" s="59" t="s">
        <v>133</v>
      </c>
      <c r="J71" s="59" t="s">
        <v>136</v>
      </c>
      <c r="K71" s="59" t="str">
        <f>IFERROR("Q" &amp;INT((MONTH('Follow up (ship 2)'!M71)+2)/3) &amp; "-" &amp; YEAR('Follow up (ship 2)'!M71),"N/A")</f>
        <v>Q2-2019</v>
      </c>
      <c r="L71" s="59">
        <v>74</v>
      </c>
      <c r="M71" s="59" t="s">
        <v>520</v>
      </c>
      <c r="N71" s="59" t="s">
        <v>138</v>
      </c>
      <c r="O71" s="59">
        <v>3</v>
      </c>
      <c r="P71" s="59" t="s">
        <v>198</v>
      </c>
    </row>
    <row r="72" spans="1:16" x14ac:dyDescent="0.25">
      <c r="A72" s="59" t="s">
        <v>130</v>
      </c>
      <c r="B72" s="59" t="s">
        <v>138</v>
      </c>
      <c r="C72" s="59" t="s">
        <v>130</v>
      </c>
      <c r="D72" s="59" t="s">
        <v>551</v>
      </c>
      <c r="E72" s="59" t="s">
        <v>366</v>
      </c>
      <c r="F72" s="59" t="str">
        <f>IFERROR("Q" &amp;INT((MONTH('Follow up (ship 2)'!G72)+2)/3) &amp; "-" &amp; YEAR('Follow up (ship 2)'!G72),"N/A")</f>
        <v>Q3-2019</v>
      </c>
      <c r="G72" s="59" t="s">
        <v>270</v>
      </c>
      <c r="H72" s="59" t="s">
        <v>135</v>
      </c>
      <c r="I72" s="59" t="s">
        <v>133</v>
      </c>
      <c r="J72" s="59" t="s">
        <v>136</v>
      </c>
      <c r="K72" s="59" t="str">
        <f>IFERROR("Q" &amp;INT((MONTH('Follow up (ship 2)'!M72)+2)/3) &amp; "-" &amp; YEAR('Follow up (ship 2)'!M72),"N/A")</f>
        <v>Q2-2019</v>
      </c>
      <c r="L72" s="59">
        <v>70</v>
      </c>
      <c r="M72" s="59" t="s">
        <v>147</v>
      </c>
      <c r="N72" s="59" t="s">
        <v>138</v>
      </c>
      <c r="O72" s="59">
        <v>1</v>
      </c>
      <c r="P72" s="59">
        <v>2</v>
      </c>
    </row>
    <row r="73" spans="1:16" x14ac:dyDescent="0.25">
      <c r="A73" s="59" t="s">
        <v>130</v>
      </c>
      <c r="B73" s="59" t="s">
        <v>138</v>
      </c>
      <c r="C73" s="59" t="s">
        <v>130</v>
      </c>
      <c r="D73" s="59" t="s">
        <v>552</v>
      </c>
      <c r="E73" s="59" t="s">
        <v>553</v>
      </c>
      <c r="F73" s="59" t="str">
        <f>IFERROR("Q" &amp;INT((MONTH('Follow up (ship 2)'!G73)+2)/3) &amp; "-" &amp; YEAR('Follow up (ship 2)'!G73),"N/A")</f>
        <v>Q3-2019</v>
      </c>
      <c r="G73" s="59" t="s">
        <v>203</v>
      </c>
      <c r="H73" s="59" t="s">
        <v>135</v>
      </c>
      <c r="I73" s="59" t="s">
        <v>133</v>
      </c>
      <c r="J73" s="59" t="s">
        <v>136</v>
      </c>
      <c r="K73" s="59" t="str">
        <f>IFERROR("Q" &amp;INT((MONTH('Follow up (ship 2)'!M73)+2)/3) &amp; "-" &amp; YEAR('Follow up (ship 2)'!M73),"N/A")</f>
        <v>Q2-2019</v>
      </c>
      <c r="L73" s="59">
        <v>69</v>
      </c>
      <c r="M73" s="59" t="s">
        <v>399</v>
      </c>
      <c r="N73" s="59" t="s">
        <v>138</v>
      </c>
      <c r="O73" s="59">
        <v>2</v>
      </c>
      <c r="P73" s="59" t="s">
        <v>148</v>
      </c>
    </row>
    <row r="74" spans="1:16" x14ac:dyDescent="0.25">
      <c r="A74" s="59" t="s">
        <v>130</v>
      </c>
      <c r="B74" s="59" t="s">
        <v>138</v>
      </c>
      <c r="C74" s="59" t="s">
        <v>130</v>
      </c>
      <c r="D74" s="59" t="s">
        <v>554</v>
      </c>
      <c r="E74" s="59" t="s">
        <v>555</v>
      </c>
      <c r="F74" s="59" t="str">
        <f>IFERROR("Q" &amp;INT((MONTH('Follow up (ship 2)'!G74)+2)/3) &amp; "-" &amp; YEAR('Follow up (ship 2)'!G74),"N/A")</f>
        <v>Q3-2019</v>
      </c>
      <c r="G74" s="59" t="s">
        <v>556</v>
      </c>
      <c r="H74" s="59" t="s">
        <v>135</v>
      </c>
      <c r="I74" s="59" t="s">
        <v>133</v>
      </c>
      <c r="J74" s="59" t="s">
        <v>136</v>
      </c>
      <c r="K74" s="59" t="str">
        <f>IFERROR("Q" &amp;INT((MONTH('Follow up (ship 2)'!M74)+2)/3) &amp; "-" &amp; YEAR('Follow up (ship 2)'!M74),"N/A")</f>
        <v>Q3-2019</v>
      </c>
      <c r="L74" s="59">
        <v>61</v>
      </c>
      <c r="M74" s="59" t="s">
        <v>399</v>
      </c>
      <c r="N74" s="59" t="s">
        <v>138</v>
      </c>
      <c r="O74" s="59">
        <v>3</v>
      </c>
      <c r="P74" s="59" t="s">
        <v>148</v>
      </c>
    </row>
    <row r="75" spans="1:16" x14ac:dyDescent="0.25">
      <c r="A75" s="59" t="s">
        <v>130</v>
      </c>
      <c r="B75" s="59" t="s">
        <v>138</v>
      </c>
      <c r="C75" s="59" t="s">
        <v>130</v>
      </c>
      <c r="D75" s="59" t="s">
        <v>557</v>
      </c>
      <c r="E75" s="59" t="s">
        <v>558</v>
      </c>
      <c r="F75" s="59" t="str">
        <f>IFERROR("Q" &amp;INT((MONTH('Follow up (ship 2)'!G75)+2)/3) &amp; "-" &amp; YEAR('Follow up (ship 2)'!G75),"N/A")</f>
        <v>Q3-2019</v>
      </c>
      <c r="G75" s="59" t="s">
        <v>270</v>
      </c>
      <c r="H75" s="59" t="s">
        <v>135</v>
      </c>
      <c r="I75" s="59" t="s">
        <v>133</v>
      </c>
      <c r="J75" s="59" t="s">
        <v>136</v>
      </c>
      <c r="K75" s="59" t="str">
        <f>IFERROR("Q" &amp;INT((MONTH('Follow up (ship 2)'!M75)+2)/3) &amp; "-" &amp; YEAR('Follow up (ship 2)'!M75),"N/A")</f>
        <v>Q3-2019</v>
      </c>
      <c r="L75" s="59">
        <v>67</v>
      </c>
      <c r="M75" s="59" t="s">
        <v>559</v>
      </c>
      <c r="N75" s="59" t="s">
        <v>138</v>
      </c>
      <c r="O75" s="59">
        <v>3</v>
      </c>
      <c r="P75" s="59" t="s">
        <v>198</v>
      </c>
    </row>
    <row r="76" spans="1:16" x14ac:dyDescent="0.25">
      <c r="A76" s="59" t="s">
        <v>130</v>
      </c>
      <c r="B76" s="59" t="s">
        <v>138</v>
      </c>
      <c r="C76" s="59" t="s">
        <v>130</v>
      </c>
      <c r="D76" s="59" t="s">
        <v>560</v>
      </c>
      <c r="E76" s="59" t="s">
        <v>353</v>
      </c>
      <c r="F76" s="59" t="str">
        <f>IFERROR("Q" &amp;INT((MONTH('Follow up (ship 2)'!G76)+2)/3) &amp; "-" &amp; YEAR('Follow up (ship 2)'!G76),"N/A")</f>
        <v>Q3-2019</v>
      </c>
      <c r="G76" s="59" t="s">
        <v>270</v>
      </c>
      <c r="H76" s="59" t="s">
        <v>135</v>
      </c>
      <c r="I76" s="59" t="s">
        <v>133</v>
      </c>
      <c r="J76" s="59" t="s">
        <v>136</v>
      </c>
      <c r="K76" s="59" t="str">
        <f>IFERROR("Q" &amp;INT((MONTH('Follow up (ship 2)'!M76)+2)/3) &amp; "-" &amp; YEAR('Follow up (ship 2)'!M76),"N/A")</f>
        <v>Q3-2019</v>
      </c>
      <c r="L76" s="59">
        <v>79</v>
      </c>
      <c r="M76" s="59" t="s">
        <v>520</v>
      </c>
      <c r="N76" s="59" t="s">
        <v>130</v>
      </c>
      <c r="O76" s="59">
        <v>3</v>
      </c>
      <c r="P76" s="59" t="s">
        <v>426</v>
      </c>
    </row>
    <row r="77" spans="1:16" x14ac:dyDescent="0.25">
      <c r="A77" s="59" t="s">
        <v>130</v>
      </c>
      <c r="B77" s="59" t="s">
        <v>138</v>
      </c>
      <c r="C77" s="59" t="s">
        <v>130</v>
      </c>
      <c r="D77" s="59" t="s">
        <v>561</v>
      </c>
      <c r="E77" s="59" t="s">
        <v>562</v>
      </c>
      <c r="F77" s="59" t="str">
        <f>IFERROR("Q" &amp;INT((MONTH('Follow up (ship 2)'!G77)+2)/3) &amp; "-" &amp; YEAR('Follow up (ship 2)'!G77),"N/A")</f>
        <v>Q3-2019</v>
      </c>
      <c r="G77" s="59" t="s">
        <v>203</v>
      </c>
      <c r="H77" s="59" t="s">
        <v>135</v>
      </c>
      <c r="I77" s="59" t="s">
        <v>133</v>
      </c>
      <c r="J77" s="59" t="s">
        <v>136</v>
      </c>
      <c r="K77" s="59" t="str">
        <f>IFERROR("Q" &amp;INT((MONTH('Follow up (ship 2)'!M77)+2)/3) &amp; "-" &amp; YEAR('Follow up (ship 2)'!M77),"N/A")</f>
        <v>Q3-2019</v>
      </c>
      <c r="L77" s="59">
        <v>47</v>
      </c>
      <c r="M77" s="59" t="s">
        <v>399</v>
      </c>
      <c r="N77" s="59" t="s">
        <v>138</v>
      </c>
      <c r="O77" s="59">
        <v>2</v>
      </c>
      <c r="P77" s="59" t="s">
        <v>148</v>
      </c>
    </row>
    <row r="78" spans="1:16" x14ac:dyDescent="0.25">
      <c r="A78" s="59" t="s">
        <v>130</v>
      </c>
      <c r="B78" s="59" t="s">
        <v>138</v>
      </c>
      <c r="C78" s="59" t="s">
        <v>130</v>
      </c>
      <c r="D78" s="59" t="s">
        <v>563</v>
      </c>
      <c r="E78" s="59" t="s">
        <v>564</v>
      </c>
      <c r="F78" s="59" t="str">
        <f>IFERROR("Q" &amp;INT((MONTH('Follow up (ship 2)'!G78)+2)/3) &amp; "-" &amp; YEAR('Follow up (ship 2)'!G78),"N/A")</f>
        <v>Q3-2019</v>
      </c>
      <c r="G78" s="59" t="s">
        <v>270</v>
      </c>
      <c r="H78" s="59" t="s">
        <v>135</v>
      </c>
      <c r="I78" s="59" t="s">
        <v>133</v>
      </c>
      <c r="J78" s="59" t="s">
        <v>136</v>
      </c>
      <c r="K78" s="59" t="str">
        <f>IFERROR("Q" &amp;INT((MONTH('Follow up (ship 2)'!M78)+2)/3) &amp; "-" &amp; YEAR('Follow up (ship 2)'!M78),"N/A")</f>
        <v>Q3-2019</v>
      </c>
      <c r="L78" s="59">
        <v>76</v>
      </c>
      <c r="M78" s="59" t="s">
        <v>520</v>
      </c>
      <c r="N78" s="59" t="s">
        <v>138</v>
      </c>
      <c r="O78" s="59">
        <v>3</v>
      </c>
      <c r="P78" s="59" t="s">
        <v>148</v>
      </c>
    </row>
    <row r="79" spans="1:16" x14ac:dyDescent="0.25">
      <c r="A79" s="59" t="s">
        <v>130</v>
      </c>
      <c r="B79" s="59" t="s">
        <v>138</v>
      </c>
      <c r="C79" s="59" t="s">
        <v>130</v>
      </c>
      <c r="D79" s="59" t="s">
        <v>565</v>
      </c>
      <c r="E79" s="59" t="s">
        <v>210</v>
      </c>
      <c r="F79" s="59" t="str">
        <f>IFERROR("Q" &amp;INT((MONTH('Follow up (ship 2)'!G79)+2)/3) &amp; "-" &amp; YEAR('Follow up (ship 2)'!G79),"N/A")</f>
        <v>Q3-2019</v>
      </c>
      <c r="G79" s="59" t="s">
        <v>203</v>
      </c>
      <c r="H79" s="59" t="s">
        <v>135</v>
      </c>
      <c r="I79" s="59" t="s">
        <v>133</v>
      </c>
      <c r="J79" s="59" t="s">
        <v>136</v>
      </c>
      <c r="K79" s="59" t="str">
        <f>IFERROR("Q" &amp;INT((MONTH('Follow up (ship 2)'!M79)+2)/3) &amp; "-" &amp; YEAR('Follow up (ship 2)'!M79),"N/A")</f>
        <v>Q3-2019</v>
      </c>
      <c r="L79" s="59">
        <v>58</v>
      </c>
      <c r="M79" s="59" t="s">
        <v>421</v>
      </c>
      <c r="N79" s="59" t="s">
        <v>138</v>
      </c>
      <c r="O79" s="59">
        <v>3</v>
      </c>
      <c r="P79" s="59" t="s">
        <v>426</v>
      </c>
    </row>
    <row r="80" spans="1:16" x14ac:dyDescent="0.25">
      <c r="A80" s="59" t="s">
        <v>130</v>
      </c>
      <c r="B80" s="59" t="s">
        <v>138</v>
      </c>
      <c r="C80" s="59" t="s">
        <v>130</v>
      </c>
      <c r="D80" s="59" t="s">
        <v>566</v>
      </c>
      <c r="E80" s="59" t="s">
        <v>218</v>
      </c>
      <c r="F80" s="59" t="str">
        <f>IFERROR("Q" &amp;INT((MONTH('Follow up (ship 2)'!G80)+2)/3) &amp; "-" &amp; YEAR('Follow up (ship 2)'!G80),"N/A")</f>
        <v>Q3-2019</v>
      </c>
      <c r="G80" s="59" t="s">
        <v>203</v>
      </c>
      <c r="H80" s="59" t="s">
        <v>135</v>
      </c>
      <c r="I80" s="59" t="s">
        <v>133</v>
      </c>
      <c r="J80" s="59" t="s">
        <v>136</v>
      </c>
      <c r="K80" s="59" t="str">
        <f>IFERROR("Q" &amp;INT((MONTH('Follow up (ship 2)'!M80)+2)/3) &amp; "-" &amp; YEAR('Follow up (ship 2)'!M80),"N/A")</f>
        <v>Q3-2019</v>
      </c>
      <c r="L80" s="59">
        <v>55</v>
      </c>
      <c r="M80" s="59" t="s">
        <v>399</v>
      </c>
      <c r="N80" s="59" t="s">
        <v>138</v>
      </c>
      <c r="O80" s="59">
        <v>1</v>
      </c>
      <c r="P80" s="59" t="s">
        <v>198</v>
      </c>
    </row>
    <row r="81" spans="1:16" x14ac:dyDescent="0.25">
      <c r="A81" s="59" t="s">
        <v>130</v>
      </c>
      <c r="B81" s="59" t="s">
        <v>138</v>
      </c>
      <c r="C81" s="59" t="s">
        <v>130</v>
      </c>
      <c r="D81" s="59" t="s">
        <v>567</v>
      </c>
      <c r="E81" s="59" t="s">
        <v>568</v>
      </c>
      <c r="F81" s="59" t="str">
        <f>IFERROR("Q" &amp;INT((MONTH('Follow up (ship 2)'!G81)+2)/3) &amp; "-" &amp; YEAR('Follow up (ship 2)'!G81),"N/A")</f>
        <v>Q4-2019</v>
      </c>
      <c r="G81" s="59" t="s">
        <v>270</v>
      </c>
      <c r="H81" s="59" t="s">
        <v>135</v>
      </c>
      <c r="I81" s="59" t="s">
        <v>133</v>
      </c>
      <c r="J81" s="59" t="s">
        <v>136</v>
      </c>
      <c r="K81" s="59" t="str">
        <f>IFERROR("Q" &amp;INT((MONTH('Follow up (ship 2)'!M81)+2)/3) &amp; "-" &amp; YEAR('Follow up (ship 2)'!M81),"N/A")</f>
        <v>Q2-2019</v>
      </c>
      <c r="L81" s="59">
        <v>70</v>
      </c>
      <c r="M81" s="59" t="s">
        <v>520</v>
      </c>
      <c r="N81" s="59" t="s">
        <v>130</v>
      </c>
      <c r="O81" s="59">
        <v>3</v>
      </c>
      <c r="P81" s="59" t="s">
        <v>164</v>
      </c>
    </row>
    <row r="82" spans="1:16" x14ac:dyDescent="0.25">
      <c r="A82" s="59" t="s">
        <v>130</v>
      </c>
      <c r="B82" s="59" t="s">
        <v>138</v>
      </c>
      <c r="C82" s="59" t="s">
        <v>130</v>
      </c>
      <c r="D82" s="59" t="s">
        <v>569</v>
      </c>
      <c r="E82" s="59" t="s">
        <v>570</v>
      </c>
      <c r="F82" s="59" t="str">
        <f>IFERROR("Q" &amp;INT((MONTH('Follow up (ship 2)'!G82)+2)/3) &amp; "-" &amp; YEAR('Follow up (ship 2)'!G82),"N/A")</f>
        <v>Q4-2019</v>
      </c>
      <c r="G82" s="59" t="s">
        <v>270</v>
      </c>
      <c r="H82" s="59" t="s">
        <v>135</v>
      </c>
      <c r="I82" s="59" t="s">
        <v>133</v>
      </c>
      <c r="J82" s="59" t="s">
        <v>136</v>
      </c>
      <c r="K82" s="59" t="str">
        <f>IFERROR("Q" &amp;INT((MONTH('Follow up (ship 2)'!M82)+2)/3) &amp; "-" &amp; YEAR('Follow up (ship 2)'!M82),"N/A")</f>
        <v>Q3-2019</v>
      </c>
      <c r="L82" s="59">
        <v>71</v>
      </c>
      <c r="M82" s="59" t="s">
        <v>571</v>
      </c>
      <c r="N82" s="59" t="s">
        <v>138</v>
      </c>
      <c r="O82" s="59">
        <v>2</v>
      </c>
      <c r="P82" s="59" t="s">
        <v>443</v>
      </c>
    </row>
    <row r="83" spans="1:16" x14ac:dyDescent="0.25">
      <c r="A83" s="59" t="s">
        <v>130</v>
      </c>
      <c r="B83" s="59" t="s">
        <v>138</v>
      </c>
      <c r="C83" s="59" t="s">
        <v>130</v>
      </c>
      <c r="D83" s="59" t="s">
        <v>572</v>
      </c>
      <c r="E83" s="59" t="s">
        <v>573</v>
      </c>
      <c r="F83" s="59" t="str">
        <f>IFERROR("Q" &amp;INT((MONTH('Follow up (ship 2)'!G83)+2)/3) &amp; "-" &amp; YEAR('Follow up (ship 2)'!G83),"N/A")</f>
        <v>Q4-2019</v>
      </c>
      <c r="G83" s="59" t="s">
        <v>270</v>
      </c>
      <c r="H83" s="59" t="s">
        <v>135</v>
      </c>
      <c r="I83" s="59" t="s">
        <v>133</v>
      </c>
      <c r="J83" s="59" t="s">
        <v>136</v>
      </c>
      <c r="K83" s="59" t="str">
        <f>IFERROR("Q" &amp;INT((MONTH('Follow up (ship 2)'!M83)+2)/3) &amp; "-" &amp; YEAR('Follow up (ship 2)'!M83),"N/A")</f>
        <v>Q3-2019</v>
      </c>
      <c r="L83" s="59">
        <v>75</v>
      </c>
      <c r="M83" s="59" t="s">
        <v>520</v>
      </c>
      <c r="N83" s="59" t="s">
        <v>130</v>
      </c>
      <c r="O83" s="59">
        <v>3</v>
      </c>
      <c r="P83" s="59" t="s">
        <v>426</v>
      </c>
    </row>
    <row r="84" spans="1:16" x14ac:dyDescent="0.25">
      <c r="A84" s="59" t="s">
        <v>130</v>
      </c>
      <c r="B84" s="59" t="s">
        <v>138</v>
      </c>
      <c r="C84" s="59" t="s">
        <v>130</v>
      </c>
      <c r="D84" s="59" t="s">
        <v>574</v>
      </c>
      <c r="E84" s="59" t="s">
        <v>575</v>
      </c>
      <c r="F84" s="59" t="str">
        <f>IFERROR("Q" &amp;INT((MONTH('Follow up (ship 2)'!G84)+2)/3) &amp; "-" &amp; YEAR('Follow up (ship 2)'!G84),"N/A")</f>
        <v>Q4-2019</v>
      </c>
      <c r="G84" s="59" t="s">
        <v>576</v>
      </c>
      <c r="H84" s="59" t="s">
        <v>135</v>
      </c>
      <c r="I84" s="59" t="s">
        <v>133</v>
      </c>
      <c r="J84" s="59" t="s">
        <v>136</v>
      </c>
      <c r="K84" s="59" t="str">
        <f>IFERROR("Q" &amp;INT((MONTH('Follow up (ship 2)'!M84)+2)/3) &amp; "-" &amp; YEAR('Follow up (ship 2)'!M84),"N/A")</f>
        <v>Q3-2019</v>
      </c>
      <c r="L84" s="59">
        <v>57</v>
      </c>
      <c r="M84" s="59" t="s">
        <v>577</v>
      </c>
      <c r="N84" s="59" t="s">
        <v>138</v>
      </c>
      <c r="O84" s="59">
        <v>2</v>
      </c>
      <c r="P84" s="59" t="s">
        <v>148</v>
      </c>
    </row>
    <row r="85" spans="1:16" x14ac:dyDescent="0.25">
      <c r="A85" s="59" t="s">
        <v>130</v>
      </c>
      <c r="B85" s="59" t="s">
        <v>138</v>
      </c>
      <c r="C85" s="59" t="s">
        <v>130</v>
      </c>
      <c r="D85" s="59" t="s">
        <v>578</v>
      </c>
      <c r="E85" s="59" t="s">
        <v>309</v>
      </c>
      <c r="F85" s="59" t="str">
        <f>IFERROR("Q" &amp;INT((MONTH('Follow up (ship 2)'!G85)+2)/3) &amp; "-" &amp; YEAR('Follow up (ship 2)'!G85),"N/A")</f>
        <v>Q4-2019</v>
      </c>
      <c r="G85" s="59" t="s">
        <v>203</v>
      </c>
      <c r="H85" s="59" t="s">
        <v>135</v>
      </c>
      <c r="I85" s="59" t="s">
        <v>133</v>
      </c>
      <c r="J85" s="59" t="s">
        <v>136</v>
      </c>
      <c r="K85" s="59" t="str">
        <f>IFERROR("Q" &amp;INT((MONTH('Follow up (ship 2)'!M85)+2)/3) &amp; "-" &amp; YEAR('Follow up (ship 2)'!M85),"N/A")</f>
        <v>Q4-2019</v>
      </c>
      <c r="L85" s="59">
        <v>78</v>
      </c>
      <c r="M85" s="59" t="s">
        <v>579</v>
      </c>
      <c r="N85" s="59" t="s">
        <v>138</v>
      </c>
      <c r="O85" s="59">
        <v>3</v>
      </c>
      <c r="P85" s="59">
        <v>2</v>
      </c>
    </row>
    <row r="86" spans="1:16" x14ac:dyDescent="0.25">
      <c r="A86" s="59" t="s">
        <v>130</v>
      </c>
      <c r="B86" s="59" t="s">
        <v>138</v>
      </c>
      <c r="C86" s="59" t="s">
        <v>130</v>
      </c>
      <c r="D86" s="59" t="s">
        <v>605</v>
      </c>
      <c r="E86" s="59" t="s">
        <v>477</v>
      </c>
      <c r="F86" s="59" t="str">
        <f>IFERROR("Q" &amp;INT((MONTH('Follow up (ship 2)'!G86)+2)/3) &amp; "-" &amp; YEAR('Follow up (ship 2)'!G86),"N/A")</f>
        <v>Q1-2020</v>
      </c>
      <c r="G86" s="59" t="s">
        <v>203</v>
      </c>
      <c r="H86" s="59" t="s">
        <v>135</v>
      </c>
      <c r="I86" s="59" t="s">
        <v>133</v>
      </c>
      <c r="J86" s="59" t="s">
        <v>136</v>
      </c>
      <c r="K86" s="59" t="str">
        <f>IFERROR("Q" &amp;INT((MONTH('Follow up (ship 2)'!M86)+2)/3) &amp; "-" &amp; YEAR('Follow up (ship 2)'!M86),"N/A")</f>
        <v>Q4-2019</v>
      </c>
      <c r="L86" s="59">
        <v>84</v>
      </c>
      <c r="M86" s="59" t="s">
        <v>581</v>
      </c>
      <c r="N86" s="59" t="s">
        <v>138</v>
      </c>
      <c r="O86" s="59">
        <v>3</v>
      </c>
      <c r="P86" s="59">
        <v>2</v>
      </c>
    </row>
    <row r="87" spans="1:16" x14ac:dyDescent="0.25">
      <c r="A87" s="59" t="s">
        <v>130</v>
      </c>
      <c r="B87" s="59" t="s">
        <v>138</v>
      </c>
      <c r="C87" s="59" t="s">
        <v>130</v>
      </c>
      <c r="D87" s="59" t="s">
        <v>582</v>
      </c>
      <c r="E87" s="59" t="s">
        <v>583</v>
      </c>
      <c r="F87" s="59" t="str">
        <f>IFERROR("Q" &amp;INT((MONTH('Follow up (ship 2)'!G87)+2)/3) &amp; "-" &amp; YEAR('Follow up (ship 2)'!G87),"N/A")</f>
        <v>Q2-2020</v>
      </c>
      <c r="G87" s="59" t="s">
        <v>584</v>
      </c>
      <c r="H87" s="59" t="s">
        <v>135</v>
      </c>
      <c r="I87" s="59" t="s">
        <v>133</v>
      </c>
      <c r="J87" s="59" t="s">
        <v>136</v>
      </c>
      <c r="K87" s="59" t="str">
        <f>IFERROR("Q" &amp;INT((MONTH('Follow up (ship 2)'!M87)+2)/3) &amp; "-" &amp; YEAR('Follow up (ship 2)'!M87),"N/A")</f>
        <v>Q1-2020</v>
      </c>
      <c r="L87" s="59">
        <v>67</v>
      </c>
      <c r="M87" s="59" t="s">
        <v>585</v>
      </c>
      <c r="N87" s="59" t="s">
        <v>138</v>
      </c>
      <c r="O87" s="59">
        <v>3</v>
      </c>
      <c r="P87" s="59" t="s">
        <v>422</v>
      </c>
    </row>
    <row r="88" spans="1:16" x14ac:dyDescent="0.25">
      <c r="A88" s="59" t="s">
        <v>130</v>
      </c>
      <c r="B88" s="59" t="s">
        <v>138</v>
      </c>
      <c r="C88" s="59" t="s">
        <v>130</v>
      </c>
      <c r="D88" s="59" t="s">
        <v>586</v>
      </c>
      <c r="E88" s="59" t="s">
        <v>587</v>
      </c>
      <c r="F88" s="59" t="str">
        <f>IFERROR("Q" &amp;INT((MONTH('Follow up (ship 2)'!G88)+2)/3) &amp; "-" &amp; YEAR('Follow up (ship 2)'!G88),"N/A")</f>
        <v>Q3-2020</v>
      </c>
      <c r="G88" s="59" t="s">
        <v>203</v>
      </c>
      <c r="H88" s="59" t="s">
        <v>135</v>
      </c>
      <c r="I88" s="59" t="s">
        <v>133</v>
      </c>
      <c r="J88" s="59" t="s">
        <v>136</v>
      </c>
      <c r="K88" s="59" t="str">
        <f>IFERROR("Q" &amp;INT((MONTH('Follow up (ship 2)'!M88)+2)/3) &amp; "-" &amp; YEAR('Follow up (ship 2)'!M88),"N/A")</f>
        <v>Q2-2020</v>
      </c>
      <c r="L88" s="59">
        <v>71</v>
      </c>
      <c r="M88" s="59" t="s">
        <v>588</v>
      </c>
      <c r="N88" s="59" t="s">
        <v>130</v>
      </c>
      <c r="O88" s="59">
        <v>3</v>
      </c>
      <c r="P88" s="59" t="s">
        <v>426</v>
      </c>
    </row>
    <row r="89" spans="1:16" x14ac:dyDescent="0.25">
      <c r="A89" s="59" t="s">
        <v>130</v>
      </c>
      <c r="B89" s="59" t="s">
        <v>138</v>
      </c>
      <c r="C89" s="59" t="s">
        <v>130</v>
      </c>
      <c r="D89" s="59" t="s">
        <v>606</v>
      </c>
      <c r="E89" s="59" t="s">
        <v>256</v>
      </c>
      <c r="F89" s="59" t="str">
        <f>IFERROR("Q" &amp;INT((MONTH('Follow up (ship 2)'!G89)+2)/3) &amp; "-" &amp; YEAR('Follow up (ship 2)'!G89),"N/A")</f>
        <v>Q1-2021</v>
      </c>
      <c r="G89" s="59" t="s">
        <v>203</v>
      </c>
      <c r="H89" s="59" t="s">
        <v>135</v>
      </c>
      <c r="I89" s="59" t="s">
        <v>133</v>
      </c>
      <c r="J89" s="59" t="s">
        <v>136</v>
      </c>
      <c r="K89" s="59" t="str">
        <f>IFERROR("Q" &amp;INT((MONTH('Follow up (ship 2)'!M89)+2)/3) &amp; "-" &amp; YEAR('Follow up (ship 2)'!M89),"N/A")</f>
        <v>Q1-2021</v>
      </c>
      <c r="L89" s="59">
        <v>76</v>
      </c>
      <c r="M89" s="59" t="s">
        <v>588</v>
      </c>
      <c r="N89" s="59" t="s">
        <v>138</v>
      </c>
      <c r="O89" s="59">
        <v>3</v>
      </c>
      <c r="P89" s="59" t="s">
        <v>198</v>
      </c>
    </row>
    <row r="90" spans="1:16" x14ac:dyDescent="0.25">
      <c r="A90" s="192" t="s">
        <v>130</v>
      </c>
      <c r="B90" s="192" t="s">
        <v>138</v>
      </c>
      <c r="C90" s="192" t="s">
        <v>130</v>
      </c>
      <c r="D90" s="192" t="s">
        <v>590</v>
      </c>
      <c r="E90" s="192" t="s">
        <v>239</v>
      </c>
      <c r="F90" s="192" t="str">
        <f>IFERROR("Q" &amp;INT((MONTH('Follow up (ship 2)'!G90)+2)/3) &amp; "-" &amp; YEAR('Follow up (ship 2)'!G90),"N/A")</f>
        <v>Q1-2021</v>
      </c>
      <c r="G90" s="192" t="s">
        <v>270</v>
      </c>
      <c r="H90" s="192" t="s">
        <v>135</v>
      </c>
      <c r="I90" s="192" t="s">
        <v>133</v>
      </c>
      <c r="J90" s="192" t="s">
        <v>136</v>
      </c>
      <c r="K90" s="192" t="str">
        <f>IFERROR("Q" &amp;INT((MONTH('Follow up (ship 2)'!M90)+2)/3) &amp; "-" &amp; YEAR('Follow up (ship 2)'!M90),"N/A")</f>
        <v>Q1-2021</v>
      </c>
      <c r="L90" s="192">
        <v>81</v>
      </c>
      <c r="M90" s="192" t="s">
        <v>591</v>
      </c>
      <c r="N90" s="192" t="s">
        <v>138</v>
      </c>
      <c r="O90" s="192">
        <v>3</v>
      </c>
      <c r="P90" s="192">
        <v>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CDCDE-6648-41FE-8F0D-ADD710C198FB}">
  <sheetPr codeName="Sheet5"/>
  <dimension ref="B2:H44"/>
  <sheetViews>
    <sheetView workbookViewId="0">
      <selection activeCell="C7" sqref="C7"/>
    </sheetView>
  </sheetViews>
  <sheetFormatPr defaultRowHeight="12.5" x14ac:dyDescent="0.25"/>
  <cols>
    <col min="2" max="2" width="43.453125" bestFit="1" customWidth="1"/>
    <col min="3" max="3" width="112.81640625" customWidth="1"/>
  </cols>
  <sheetData>
    <row r="2" spans="2:3" x14ac:dyDescent="0.25">
      <c r="B2" s="25" t="s">
        <v>607</v>
      </c>
    </row>
    <row r="3" spans="2:3" x14ac:dyDescent="0.25">
      <c r="B3" s="25" t="s">
        <v>608</v>
      </c>
    </row>
    <row r="4" spans="2:3" x14ac:dyDescent="0.25">
      <c r="B4" s="25"/>
    </row>
    <row r="6" spans="2:3" ht="15.5" x14ac:dyDescent="0.35">
      <c r="B6" s="1" t="s">
        <v>609</v>
      </c>
      <c r="C6" s="24" t="s">
        <v>610</v>
      </c>
    </row>
    <row r="7" spans="2:3" ht="15.5" x14ac:dyDescent="0.35">
      <c r="B7" s="1" t="s">
        <v>611</v>
      </c>
      <c r="C7" s="24" t="s">
        <v>612</v>
      </c>
    </row>
    <row r="8" spans="2:3" ht="15.5" x14ac:dyDescent="0.35">
      <c r="B8" s="21" t="s">
        <v>613</v>
      </c>
      <c r="C8" s="22" t="s">
        <v>614</v>
      </c>
    </row>
    <row r="9" spans="2:3" ht="15.5" x14ac:dyDescent="0.35">
      <c r="B9" s="21" t="s">
        <v>615</v>
      </c>
      <c r="C9" s="24" t="s">
        <v>616</v>
      </c>
    </row>
    <row r="10" spans="2:3" ht="15.5" x14ac:dyDescent="0.35">
      <c r="B10" s="21" t="s">
        <v>617</v>
      </c>
      <c r="C10" s="24" t="s">
        <v>618</v>
      </c>
    </row>
    <row r="11" spans="2:3" ht="15.5" x14ac:dyDescent="0.35">
      <c r="B11" s="23" t="s">
        <v>125</v>
      </c>
      <c r="C11" s="24" t="s">
        <v>619</v>
      </c>
    </row>
    <row r="12" spans="2:3" ht="15.5" x14ac:dyDescent="0.35">
      <c r="B12" s="23" t="s">
        <v>126</v>
      </c>
      <c r="C12" s="24" t="s">
        <v>620</v>
      </c>
    </row>
    <row r="13" spans="2:3" ht="15.5" x14ac:dyDescent="0.35">
      <c r="B13" s="23" t="s">
        <v>127</v>
      </c>
      <c r="C13" s="24" t="s">
        <v>621</v>
      </c>
    </row>
    <row r="14" spans="2:3" ht="15.5" x14ac:dyDescent="0.35">
      <c r="B14" s="23" t="s">
        <v>128</v>
      </c>
      <c r="C14" s="24" t="s">
        <v>622</v>
      </c>
    </row>
    <row r="15" spans="2:3" ht="15.5" x14ac:dyDescent="0.35">
      <c r="B15" s="23" t="s">
        <v>623</v>
      </c>
      <c r="C15" s="24" t="s">
        <v>624</v>
      </c>
    </row>
    <row r="24" spans="4:8" ht="15.5" x14ac:dyDescent="0.35">
      <c r="F24" s="18" t="s">
        <v>625</v>
      </c>
      <c r="G24" t="s">
        <v>626</v>
      </c>
      <c r="H24" t="s">
        <v>627</v>
      </c>
    </row>
    <row r="25" spans="4:8" ht="15.5" x14ac:dyDescent="0.35">
      <c r="D25" s="18" t="s">
        <v>628</v>
      </c>
      <c r="E25" s="18"/>
      <c r="F25" s="18" t="s">
        <v>629</v>
      </c>
      <c r="G25" s="18"/>
    </row>
    <row r="26" spans="4:8" ht="15.5" x14ac:dyDescent="0.35">
      <c r="D26" s="18" t="s">
        <v>630</v>
      </c>
      <c r="E26" s="18"/>
      <c r="F26" s="18" t="s">
        <v>631</v>
      </c>
      <c r="G26" s="18"/>
    </row>
    <row r="27" spans="4:8" ht="15.5" x14ac:dyDescent="0.35">
      <c r="D27" s="18" t="s">
        <v>632</v>
      </c>
      <c r="E27" s="18"/>
      <c r="F27" s="18" t="s">
        <v>633</v>
      </c>
      <c r="G27" s="18"/>
    </row>
    <row r="28" spans="4:8" ht="15.5" x14ac:dyDescent="0.35">
      <c r="D28" s="18" t="s">
        <v>634</v>
      </c>
      <c r="E28" s="18"/>
      <c r="F28" s="18" t="s">
        <v>635</v>
      </c>
      <c r="G28" s="18"/>
    </row>
    <row r="29" spans="4:8" ht="15.5" x14ac:dyDescent="0.35">
      <c r="D29" s="18" t="s">
        <v>636</v>
      </c>
      <c r="E29" s="18"/>
      <c r="F29" s="18" t="s">
        <v>637</v>
      </c>
      <c r="G29" s="18"/>
    </row>
    <row r="30" spans="4:8" ht="15.5" x14ac:dyDescent="0.35">
      <c r="D30" s="18"/>
      <c r="E30" s="18"/>
      <c r="F30" s="18" t="s">
        <v>638</v>
      </c>
      <c r="G30" s="18"/>
    </row>
    <row r="31" spans="4:8" ht="15.5" x14ac:dyDescent="0.35">
      <c r="D31" s="18" t="s">
        <v>639</v>
      </c>
      <c r="E31" s="18"/>
      <c r="F31" s="18"/>
      <c r="G31" s="18"/>
    </row>
    <row r="32" spans="4:8" ht="15.5" x14ac:dyDescent="0.35">
      <c r="D32" s="18" t="s">
        <v>640</v>
      </c>
      <c r="E32" s="18"/>
    </row>
    <row r="33" spans="4:8" ht="15.5" x14ac:dyDescent="0.35">
      <c r="D33" s="18" t="s">
        <v>641</v>
      </c>
      <c r="E33" s="18"/>
      <c r="F33" s="18" t="s">
        <v>642</v>
      </c>
      <c r="G33" t="s">
        <v>626</v>
      </c>
      <c r="H33" t="s">
        <v>627</v>
      </c>
    </row>
    <row r="34" spans="4:8" ht="15.5" x14ac:dyDescent="0.35">
      <c r="D34" s="18" t="s">
        <v>130</v>
      </c>
      <c r="E34" s="18"/>
      <c r="F34" s="18" t="s">
        <v>643</v>
      </c>
      <c r="G34" s="18"/>
    </row>
    <row r="35" spans="4:8" ht="15.5" x14ac:dyDescent="0.35">
      <c r="D35" s="18" t="s">
        <v>644</v>
      </c>
      <c r="E35" s="18"/>
      <c r="F35" s="18" t="s">
        <v>631</v>
      </c>
      <c r="G35" s="18"/>
    </row>
    <row r="36" spans="4:8" ht="15.5" x14ac:dyDescent="0.35">
      <c r="D36" s="18" t="s">
        <v>645</v>
      </c>
      <c r="E36" s="18"/>
      <c r="F36" s="18" t="s">
        <v>633</v>
      </c>
      <c r="G36" s="18"/>
    </row>
    <row r="37" spans="4:8" ht="15.5" x14ac:dyDescent="0.35">
      <c r="D37" s="18" t="s">
        <v>646</v>
      </c>
      <c r="E37" s="18"/>
      <c r="F37" s="18" t="s">
        <v>635</v>
      </c>
      <c r="G37" s="18"/>
    </row>
    <row r="38" spans="4:8" ht="15.5" x14ac:dyDescent="0.35">
      <c r="D38" s="18" t="s">
        <v>647</v>
      </c>
      <c r="E38" s="18"/>
      <c r="F38" s="18" t="s">
        <v>637</v>
      </c>
      <c r="G38" s="18"/>
    </row>
    <row r="39" spans="4:8" ht="15.5" x14ac:dyDescent="0.35">
      <c r="D39" s="18" t="s">
        <v>648</v>
      </c>
      <c r="E39" s="18"/>
      <c r="F39" s="18"/>
      <c r="G39" s="18"/>
    </row>
    <row r="40" spans="4:8" ht="15.5" x14ac:dyDescent="0.35">
      <c r="D40" s="18" t="s">
        <v>649</v>
      </c>
      <c r="E40" s="18"/>
    </row>
    <row r="41" spans="4:8" ht="15.5" x14ac:dyDescent="0.35">
      <c r="D41" s="18" t="s">
        <v>650</v>
      </c>
      <c r="E41" s="18"/>
      <c r="F41" s="18" t="s">
        <v>651</v>
      </c>
      <c r="G41" t="s">
        <v>626</v>
      </c>
      <c r="H41" t="s">
        <v>627</v>
      </c>
    </row>
    <row r="42" spans="4:8" ht="15.5" x14ac:dyDescent="0.35">
      <c r="D42" s="18" t="s">
        <v>652</v>
      </c>
      <c r="E42" s="18"/>
      <c r="F42" s="18" t="s">
        <v>653</v>
      </c>
      <c r="H42" s="18"/>
    </row>
    <row r="43" spans="4:8" ht="15.5" x14ac:dyDescent="0.35">
      <c r="D43" s="18" t="s">
        <v>654</v>
      </c>
      <c r="E43" s="18"/>
      <c r="F43" s="18" t="s">
        <v>655</v>
      </c>
      <c r="H43" s="18"/>
    </row>
    <row r="44" spans="4:8" ht="15.5" x14ac:dyDescent="0.35">
      <c r="F44" s="18" t="s">
        <v>656</v>
      </c>
    </row>
  </sheetData>
  <pageMargins left="0.7" right="0.7" top="0.75" bottom="0.75" header="0.3" footer="0.3"/>
</worksheet>
</file>

<file path=docMetadata/LabelInfo.xml><?xml version="1.0" encoding="utf-8"?>
<clbl:labelList xmlns:clbl="http://schemas.microsoft.com/office/2020/mipLabelMetadata">
  <clbl:label id="{bdeaeda8-c81d-45ce-863e-5232a535b7cb}" enabled="0" method="" siteId="{bdeaeda8-c81d-45ce-863e-5232a535b7c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Follow up (ship 1)</vt:lpstr>
      <vt:lpstr>Prelim (ship 1)</vt:lpstr>
      <vt:lpstr>Follow up (ship 2)</vt:lpstr>
      <vt:lpstr>Prelim (ship 2)</vt:lpstr>
      <vt:lpstr>Calculations</vt:lpstr>
    </vt:vector>
  </TitlesOfParts>
  <Manager/>
  <Company>University of Leeds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Clare Freer</dc:creator>
  <cp:keywords/>
  <dc:description/>
  <cp:lastModifiedBy>Ahmad Ammash</cp:lastModifiedBy>
  <cp:revision/>
  <dcterms:created xsi:type="dcterms:W3CDTF">2022-11-11T10:11:47Z</dcterms:created>
  <dcterms:modified xsi:type="dcterms:W3CDTF">2026-10-22T09:45:53Z</dcterms:modified>
  <cp:category/>
  <cp:contentStatus/>
</cp:coreProperties>
</file>