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codeName="ThisWorkbook"/>
  <mc:AlternateContent xmlns:mc="http://schemas.openxmlformats.org/markup-compatibility/2006">
    <mc:Choice Requires="x15">
      <x15ac:absPath xmlns:x15ac="http://schemas.microsoft.com/office/spreadsheetml/2010/11/ac" url="https://leeds365-my.sharepoint.com/personal/medaamm_leeds_ac_uk/Documents/UOL Data Manager/database_management/data_files/leeds_data/test_conversion/Endometrial/Endometrial 3/"/>
    </mc:Choice>
  </mc:AlternateContent>
  <xr:revisionPtr revIDLastSave="8525" documentId="8_{3140DFD2-7C3F-451A-B46B-7BECFA569EE1}" xr6:coauthVersionLast="47" xr6:coauthVersionMax="47" xr10:uidLastSave="{3AD6A563-D059-4F9D-A30A-3A81B6F3A35A}"/>
  <bookViews>
    <workbookView xWindow="-110" yWindow="-110" windowWidth="38620" windowHeight="21820" firstSheet="1" activeTab="1" xr2:uid="{00000000-000D-0000-FFFF-FFFF00000000}"/>
  </bookViews>
  <sheets>
    <sheet name="Endo 3 (S3) Follow up" sheetId="1" r:id="rId1"/>
    <sheet name="Endo 3 (S3) Supplementary" sheetId="4" r:id="rId2"/>
    <sheet name="Mets" sheetId="5" r:id="rId3"/>
    <sheet name="Calculations &amp; Lists" sheetId="2" r:id="rId4"/>
    <sheet name="TTE Error Log"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I10" i="1" l="1"/>
  <c r="HE10" i="1"/>
  <c r="HD10" i="1"/>
  <c r="HC10" i="1"/>
  <c r="HA10" i="1"/>
  <c r="GZ10" i="1"/>
  <c r="GY10" i="1"/>
  <c r="HB10" i="1" s="1"/>
  <c r="GX10" i="1"/>
  <c r="GW10" i="1"/>
  <c r="GV10" i="1"/>
  <c r="GU10" i="1"/>
  <c r="GT10" i="1"/>
  <c r="GS10" i="1"/>
  <c r="GR10" i="1"/>
  <c r="GQ10" i="1"/>
  <c r="GP10" i="1"/>
  <c r="GO10" i="1"/>
  <c r="GN10" i="1"/>
  <c r="GM10" i="1"/>
  <c r="AT10" i="1"/>
  <c r="BA5" i="1"/>
  <c r="BA6" i="1"/>
  <c r="BA7" i="1"/>
  <c r="BA8" i="1"/>
  <c r="BA9" i="1"/>
  <c r="BA11" i="1"/>
  <c r="BA13" i="1"/>
  <c r="BA14" i="1"/>
  <c r="BA15" i="1"/>
  <c r="BA16" i="1"/>
  <c r="BA17" i="1"/>
  <c r="BA18" i="1"/>
  <c r="BA20" i="1"/>
  <c r="BA21" i="1"/>
  <c r="BA22" i="1"/>
  <c r="BA23" i="1"/>
  <c r="BA24" i="1"/>
  <c r="BA25" i="1"/>
  <c r="BA26" i="1"/>
  <c r="BA27" i="1"/>
  <c r="BA28" i="1"/>
  <c r="BA29" i="1"/>
  <c r="BA30" i="1"/>
  <c r="BA31" i="1"/>
  <c r="BA32"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6" i="1"/>
  <c r="BA69" i="1"/>
  <c r="AT77" i="1"/>
  <c r="AT78" i="1"/>
  <c r="AT79" i="1"/>
  <c r="GM77" i="1"/>
  <c r="GM78" i="1"/>
  <c r="GM79" i="1"/>
  <c r="GN77" i="1"/>
  <c r="GN78" i="1"/>
  <c r="GN79" i="1"/>
  <c r="GO77" i="1"/>
  <c r="GO78" i="1"/>
  <c r="GO79" i="1"/>
  <c r="GP77" i="1"/>
  <c r="GP78" i="1"/>
  <c r="GP79" i="1"/>
  <c r="GQ77" i="1"/>
  <c r="GQ78" i="1"/>
  <c r="GQ79" i="1"/>
  <c r="GR77" i="1"/>
  <c r="GR78" i="1"/>
  <c r="GR79" i="1"/>
  <c r="GS77" i="1"/>
  <c r="GS78" i="1"/>
  <c r="GS79" i="1"/>
  <c r="GT77" i="1"/>
  <c r="GT78" i="1"/>
  <c r="GT79" i="1"/>
  <c r="GU77" i="1"/>
  <c r="GU78" i="1"/>
  <c r="GU79" i="1"/>
  <c r="GV77" i="1"/>
  <c r="GV78" i="1"/>
  <c r="GV79" i="1"/>
  <c r="GW77" i="1"/>
  <c r="GW78" i="1"/>
  <c r="GW79" i="1"/>
  <c r="GX77" i="1"/>
  <c r="GX78" i="1"/>
  <c r="GX79" i="1"/>
  <c r="GY77" i="1"/>
  <c r="GY78" i="1"/>
  <c r="GY79" i="1"/>
  <c r="GZ77" i="1"/>
  <c r="GZ78" i="1"/>
  <c r="GZ79" i="1"/>
  <c r="HA77" i="1"/>
  <c r="HA78" i="1"/>
  <c r="HA79" i="1"/>
  <c r="HB77" i="1"/>
  <c r="HB78" i="1"/>
  <c r="HB79" i="1"/>
  <c r="HC77" i="1"/>
  <c r="HC78" i="1"/>
  <c r="HC79" i="1"/>
  <c r="HD77" i="1"/>
  <c r="HD78" i="1"/>
  <c r="HD79" i="1"/>
  <c r="HE77" i="1"/>
  <c r="HE78" i="1"/>
  <c r="HE79" i="1"/>
  <c r="HF77" i="1"/>
  <c r="HF78" i="1"/>
  <c r="HF79" i="1"/>
  <c r="HG77" i="1" a="1"/>
  <c r="HG78" i="1" a="1"/>
  <c r="HG79" i="1" a="1"/>
  <c r="HH77" i="1"/>
  <c r="HH78" i="1"/>
  <c r="HH79" i="1"/>
  <c r="HI77" i="1"/>
  <c r="HI78" i="1"/>
  <c r="HI79" i="1"/>
  <c r="HJ77" i="1"/>
  <c r="HJ78" i="1"/>
  <c r="HJ79" i="1"/>
  <c r="HK77" i="1"/>
  <c r="HK78" i="1"/>
  <c r="HK79"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GM42" i="1"/>
  <c r="GM43" i="1"/>
  <c r="GM44" i="1"/>
  <c r="GM45" i="1"/>
  <c r="GM46" i="1"/>
  <c r="GM47" i="1"/>
  <c r="GM48" i="1"/>
  <c r="GM49" i="1"/>
  <c r="GM50" i="1"/>
  <c r="GM51" i="1"/>
  <c r="GM52" i="1"/>
  <c r="GM53" i="1"/>
  <c r="GM54" i="1"/>
  <c r="GM55" i="1"/>
  <c r="GM56" i="1"/>
  <c r="GM57" i="1"/>
  <c r="GM58" i="1"/>
  <c r="GM59" i="1"/>
  <c r="GM60" i="1"/>
  <c r="GM61" i="1"/>
  <c r="GM62" i="1"/>
  <c r="GM63" i="1"/>
  <c r="GM64" i="1"/>
  <c r="GM65" i="1"/>
  <c r="GM66" i="1"/>
  <c r="GM67" i="1"/>
  <c r="GM68" i="1"/>
  <c r="GM69" i="1"/>
  <c r="GM70" i="1"/>
  <c r="GM71" i="1"/>
  <c r="GM72" i="1"/>
  <c r="GM73" i="1"/>
  <c r="GM74" i="1"/>
  <c r="GM75" i="1"/>
  <c r="GM76" i="1"/>
  <c r="GN42" i="1"/>
  <c r="GN43" i="1"/>
  <c r="GN44" i="1"/>
  <c r="GN45" i="1"/>
  <c r="GN46" i="1"/>
  <c r="GN47" i="1"/>
  <c r="GN48" i="1"/>
  <c r="GN49" i="1"/>
  <c r="GN50" i="1"/>
  <c r="GN51" i="1"/>
  <c r="GN52" i="1"/>
  <c r="GN53" i="1"/>
  <c r="GN54" i="1"/>
  <c r="GN55" i="1"/>
  <c r="GN56" i="1"/>
  <c r="GN57" i="1"/>
  <c r="GN58" i="1"/>
  <c r="GN59" i="1"/>
  <c r="GN60" i="1"/>
  <c r="GN61" i="1"/>
  <c r="GN62" i="1"/>
  <c r="GN63" i="1"/>
  <c r="GN64" i="1"/>
  <c r="GN65" i="1"/>
  <c r="GN66" i="1"/>
  <c r="GN67" i="1"/>
  <c r="GN68" i="1"/>
  <c r="GN69" i="1"/>
  <c r="GN70" i="1"/>
  <c r="GN71" i="1"/>
  <c r="GN72" i="1"/>
  <c r="GN73" i="1"/>
  <c r="GN74" i="1"/>
  <c r="GN75" i="1"/>
  <c r="GN76" i="1"/>
  <c r="GO42" i="1"/>
  <c r="GO43" i="1"/>
  <c r="GO44" i="1"/>
  <c r="GO45" i="1"/>
  <c r="GO46" i="1"/>
  <c r="GO47" i="1"/>
  <c r="GO48" i="1"/>
  <c r="GO49" i="1"/>
  <c r="GO50" i="1"/>
  <c r="GO51" i="1"/>
  <c r="GO52" i="1"/>
  <c r="GO53" i="1"/>
  <c r="GO54" i="1"/>
  <c r="GO55" i="1"/>
  <c r="GO56" i="1"/>
  <c r="GO57" i="1"/>
  <c r="GO58" i="1"/>
  <c r="GO59" i="1"/>
  <c r="GO60" i="1"/>
  <c r="GO61" i="1"/>
  <c r="GO62" i="1"/>
  <c r="GO63" i="1"/>
  <c r="GO64" i="1"/>
  <c r="GO65" i="1"/>
  <c r="GO66" i="1"/>
  <c r="GO67" i="1"/>
  <c r="GO68" i="1"/>
  <c r="GO69" i="1"/>
  <c r="GO70" i="1"/>
  <c r="GO71" i="1"/>
  <c r="GO72" i="1"/>
  <c r="GO73" i="1"/>
  <c r="GO74" i="1"/>
  <c r="GO75" i="1"/>
  <c r="GO76" i="1"/>
  <c r="GP42" i="1"/>
  <c r="GP43" i="1"/>
  <c r="GP44" i="1"/>
  <c r="GP45" i="1"/>
  <c r="GP46" i="1"/>
  <c r="GP47" i="1"/>
  <c r="GP48" i="1"/>
  <c r="GP49" i="1"/>
  <c r="GP50" i="1"/>
  <c r="GP51" i="1"/>
  <c r="GP52" i="1"/>
  <c r="GP53" i="1"/>
  <c r="GP54" i="1"/>
  <c r="GP55" i="1"/>
  <c r="GP56" i="1"/>
  <c r="GP57" i="1"/>
  <c r="GP58" i="1"/>
  <c r="GP59" i="1"/>
  <c r="GP60" i="1"/>
  <c r="GP61" i="1"/>
  <c r="GP62" i="1"/>
  <c r="GP63" i="1"/>
  <c r="GP64" i="1"/>
  <c r="GP65" i="1"/>
  <c r="GP66" i="1"/>
  <c r="GP67" i="1"/>
  <c r="GP68" i="1"/>
  <c r="GP69" i="1"/>
  <c r="GP70" i="1"/>
  <c r="GP71" i="1"/>
  <c r="GP72" i="1"/>
  <c r="GP73" i="1"/>
  <c r="GP74" i="1"/>
  <c r="GP75" i="1"/>
  <c r="GP76" i="1"/>
  <c r="GQ42" i="1"/>
  <c r="GQ43" i="1"/>
  <c r="GQ44" i="1"/>
  <c r="GQ45" i="1"/>
  <c r="GQ46" i="1"/>
  <c r="GQ47" i="1"/>
  <c r="GQ48" i="1"/>
  <c r="GQ49" i="1"/>
  <c r="GQ50" i="1"/>
  <c r="GQ51" i="1"/>
  <c r="GQ52" i="1"/>
  <c r="GQ53" i="1"/>
  <c r="GQ54" i="1"/>
  <c r="GQ55" i="1"/>
  <c r="GQ56" i="1"/>
  <c r="GQ57" i="1"/>
  <c r="GQ58" i="1"/>
  <c r="GQ59" i="1"/>
  <c r="GQ60" i="1"/>
  <c r="GQ61" i="1"/>
  <c r="GQ62" i="1"/>
  <c r="GQ63" i="1"/>
  <c r="GQ64" i="1"/>
  <c r="GQ65" i="1"/>
  <c r="GQ66" i="1"/>
  <c r="GQ67" i="1"/>
  <c r="GQ68" i="1"/>
  <c r="GQ69" i="1"/>
  <c r="GQ70" i="1"/>
  <c r="GQ71" i="1"/>
  <c r="GQ72" i="1"/>
  <c r="GQ73" i="1"/>
  <c r="GQ74" i="1"/>
  <c r="GQ75" i="1"/>
  <c r="GQ76" i="1"/>
  <c r="GR42" i="1"/>
  <c r="GR43" i="1"/>
  <c r="GR44" i="1"/>
  <c r="GR45" i="1"/>
  <c r="GR46" i="1"/>
  <c r="GR47" i="1"/>
  <c r="GR48" i="1"/>
  <c r="GR49" i="1"/>
  <c r="GR50" i="1"/>
  <c r="GR51" i="1"/>
  <c r="GR52" i="1"/>
  <c r="GR53" i="1"/>
  <c r="GR54" i="1"/>
  <c r="GR55" i="1"/>
  <c r="GR56" i="1"/>
  <c r="GR57" i="1"/>
  <c r="GR58" i="1"/>
  <c r="GR59" i="1"/>
  <c r="GR60" i="1"/>
  <c r="GR61" i="1"/>
  <c r="GR62" i="1"/>
  <c r="GR63" i="1"/>
  <c r="GR64" i="1"/>
  <c r="GR65" i="1"/>
  <c r="GR66" i="1"/>
  <c r="GR67" i="1"/>
  <c r="GR68" i="1"/>
  <c r="GR69" i="1"/>
  <c r="GR70" i="1"/>
  <c r="GR71" i="1"/>
  <c r="GR72" i="1"/>
  <c r="GR73" i="1"/>
  <c r="GR74" i="1"/>
  <c r="GR75" i="1"/>
  <c r="GR76" i="1"/>
  <c r="GS42" i="1"/>
  <c r="GS43" i="1"/>
  <c r="GS44" i="1"/>
  <c r="GS45" i="1"/>
  <c r="GS46" i="1"/>
  <c r="GS47" i="1"/>
  <c r="GS48" i="1"/>
  <c r="GS49" i="1"/>
  <c r="GS50" i="1"/>
  <c r="GS51" i="1"/>
  <c r="GS52" i="1"/>
  <c r="GS53" i="1"/>
  <c r="GS54" i="1"/>
  <c r="GS55" i="1"/>
  <c r="GS56" i="1"/>
  <c r="GS57" i="1"/>
  <c r="GS58" i="1"/>
  <c r="GS59" i="1"/>
  <c r="GS60" i="1"/>
  <c r="GS61" i="1"/>
  <c r="GS62" i="1"/>
  <c r="GS63" i="1"/>
  <c r="GS64" i="1"/>
  <c r="GS65" i="1"/>
  <c r="GS66" i="1"/>
  <c r="GS67" i="1"/>
  <c r="GS68" i="1"/>
  <c r="GS69" i="1"/>
  <c r="GS70" i="1"/>
  <c r="GS71" i="1"/>
  <c r="GS72" i="1"/>
  <c r="GS73" i="1"/>
  <c r="GS74" i="1"/>
  <c r="GS75" i="1"/>
  <c r="GS76" i="1"/>
  <c r="GT42" i="1"/>
  <c r="GT43" i="1"/>
  <c r="GT44" i="1"/>
  <c r="GT45" i="1"/>
  <c r="GT46" i="1"/>
  <c r="GT47" i="1"/>
  <c r="GT48" i="1"/>
  <c r="GT49" i="1"/>
  <c r="GT50" i="1"/>
  <c r="GT51" i="1"/>
  <c r="GT52" i="1"/>
  <c r="GT53" i="1"/>
  <c r="GT54" i="1"/>
  <c r="GT55" i="1"/>
  <c r="GT56" i="1"/>
  <c r="GT57" i="1"/>
  <c r="GT58" i="1"/>
  <c r="GT59" i="1"/>
  <c r="GT60" i="1"/>
  <c r="GT61" i="1"/>
  <c r="GT62" i="1"/>
  <c r="GT63" i="1"/>
  <c r="GT64" i="1"/>
  <c r="GT65" i="1"/>
  <c r="GT66" i="1"/>
  <c r="GT67" i="1"/>
  <c r="GT68" i="1"/>
  <c r="GT69" i="1"/>
  <c r="GT70" i="1"/>
  <c r="GT71" i="1"/>
  <c r="GT72" i="1"/>
  <c r="GT73" i="1"/>
  <c r="GT74" i="1"/>
  <c r="GT75" i="1"/>
  <c r="GT76" i="1"/>
  <c r="GU42" i="1"/>
  <c r="GU43" i="1"/>
  <c r="GU44" i="1"/>
  <c r="GU45" i="1"/>
  <c r="GU46" i="1"/>
  <c r="GU47" i="1"/>
  <c r="GU48" i="1"/>
  <c r="GU49" i="1"/>
  <c r="GU50" i="1"/>
  <c r="GU51" i="1"/>
  <c r="GU52" i="1"/>
  <c r="GU53" i="1"/>
  <c r="GU54" i="1"/>
  <c r="GU55" i="1"/>
  <c r="GU56" i="1"/>
  <c r="GU57" i="1"/>
  <c r="GU58" i="1"/>
  <c r="GU59" i="1"/>
  <c r="GU60" i="1"/>
  <c r="GU61" i="1"/>
  <c r="GU62" i="1"/>
  <c r="GU63" i="1"/>
  <c r="GU64" i="1"/>
  <c r="GU65" i="1"/>
  <c r="GU66" i="1"/>
  <c r="GU67" i="1"/>
  <c r="GU68" i="1"/>
  <c r="GU69" i="1"/>
  <c r="GU70" i="1"/>
  <c r="GU71" i="1"/>
  <c r="GU72" i="1"/>
  <c r="GU73" i="1"/>
  <c r="GU74" i="1"/>
  <c r="GU75" i="1"/>
  <c r="GU76" i="1"/>
  <c r="GV42" i="1"/>
  <c r="GV43" i="1"/>
  <c r="GV44" i="1"/>
  <c r="GV45" i="1"/>
  <c r="GV46" i="1"/>
  <c r="GV47" i="1"/>
  <c r="GV48" i="1"/>
  <c r="GV49" i="1"/>
  <c r="GV50" i="1"/>
  <c r="GV51" i="1"/>
  <c r="GV52" i="1"/>
  <c r="GV53" i="1"/>
  <c r="GV54" i="1"/>
  <c r="GV55" i="1"/>
  <c r="GV56" i="1"/>
  <c r="GV57" i="1"/>
  <c r="GV58" i="1"/>
  <c r="GV59" i="1"/>
  <c r="GV60" i="1"/>
  <c r="GV61" i="1"/>
  <c r="GV62" i="1"/>
  <c r="GV63" i="1"/>
  <c r="GV64" i="1"/>
  <c r="GV65" i="1"/>
  <c r="GV66" i="1"/>
  <c r="GV67" i="1"/>
  <c r="GV68" i="1"/>
  <c r="GV69" i="1"/>
  <c r="GV70" i="1"/>
  <c r="GV71" i="1"/>
  <c r="GV72" i="1"/>
  <c r="GV73" i="1"/>
  <c r="GV74" i="1"/>
  <c r="GV75" i="1"/>
  <c r="GV76" i="1"/>
  <c r="GW42" i="1"/>
  <c r="GW43" i="1"/>
  <c r="GW44" i="1"/>
  <c r="GW45" i="1"/>
  <c r="GW46" i="1"/>
  <c r="GW47" i="1"/>
  <c r="GW48" i="1"/>
  <c r="GW49" i="1"/>
  <c r="GW50" i="1"/>
  <c r="GW51" i="1"/>
  <c r="GW52" i="1"/>
  <c r="GW53" i="1"/>
  <c r="GW54" i="1"/>
  <c r="GW55" i="1"/>
  <c r="GW56" i="1"/>
  <c r="GW57" i="1"/>
  <c r="GW58" i="1"/>
  <c r="GW59" i="1"/>
  <c r="GW60" i="1"/>
  <c r="GW61" i="1"/>
  <c r="GW62" i="1"/>
  <c r="GW63" i="1"/>
  <c r="GW64" i="1"/>
  <c r="GW65" i="1"/>
  <c r="GW66" i="1"/>
  <c r="GW67" i="1"/>
  <c r="GW68" i="1"/>
  <c r="GW69" i="1"/>
  <c r="GW70" i="1"/>
  <c r="GW71" i="1"/>
  <c r="GW72" i="1"/>
  <c r="GW73" i="1"/>
  <c r="GW74" i="1"/>
  <c r="GW75" i="1"/>
  <c r="GW76" i="1"/>
  <c r="GX42" i="1"/>
  <c r="GX43" i="1"/>
  <c r="GX44" i="1"/>
  <c r="GX45" i="1"/>
  <c r="GX46" i="1"/>
  <c r="GX47" i="1"/>
  <c r="GX48" i="1"/>
  <c r="GX49" i="1"/>
  <c r="GX50" i="1"/>
  <c r="GX51" i="1"/>
  <c r="GX52" i="1"/>
  <c r="GX53" i="1"/>
  <c r="GX54" i="1"/>
  <c r="GX55" i="1"/>
  <c r="GX56" i="1"/>
  <c r="GX57" i="1"/>
  <c r="GX58" i="1"/>
  <c r="GX59" i="1"/>
  <c r="GX60" i="1"/>
  <c r="GX61" i="1"/>
  <c r="GX62" i="1"/>
  <c r="GX63" i="1"/>
  <c r="GX64" i="1"/>
  <c r="GX65" i="1"/>
  <c r="GX66" i="1"/>
  <c r="GX67" i="1"/>
  <c r="GX68" i="1"/>
  <c r="GX69" i="1"/>
  <c r="GX70" i="1"/>
  <c r="GX71" i="1"/>
  <c r="GX72" i="1"/>
  <c r="GX73" i="1"/>
  <c r="GX74" i="1"/>
  <c r="GX75" i="1"/>
  <c r="GX76" i="1"/>
  <c r="GY42" i="1"/>
  <c r="GY43" i="1"/>
  <c r="GY44" i="1"/>
  <c r="GY45" i="1"/>
  <c r="GY46" i="1"/>
  <c r="GY47" i="1"/>
  <c r="GY48" i="1"/>
  <c r="GY49" i="1"/>
  <c r="GY50" i="1"/>
  <c r="GY51" i="1"/>
  <c r="GY52" i="1"/>
  <c r="GY53" i="1"/>
  <c r="GY54" i="1"/>
  <c r="GY55" i="1"/>
  <c r="GY56" i="1"/>
  <c r="GY57" i="1"/>
  <c r="GY58" i="1"/>
  <c r="GY59" i="1"/>
  <c r="GY60" i="1"/>
  <c r="GY61" i="1"/>
  <c r="GY62" i="1"/>
  <c r="GY63" i="1"/>
  <c r="GY64" i="1"/>
  <c r="GY65" i="1"/>
  <c r="GY66" i="1"/>
  <c r="GY67" i="1"/>
  <c r="GY68" i="1"/>
  <c r="GY69" i="1"/>
  <c r="GY70" i="1"/>
  <c r="GY71" i="1"/>
  <c r="GY72" i="1"/>
  <c r="GY73" i="1"/>
  <c r="GY74" i="1"/>
  <c r="GY75" i="1"/>
  <c r="GY76" i="1"/>
  <c r="GZ42" i="1"/>
  <c r="GZ43" i="1"/>
  <c r="GZ44" i="1"/>
  <c r="GZ45" i="1"/>
  <c r="GZ46" i="1"/>
  <c r="GZ47" i="1"/>
  <c r="GZ48" i="1"/>
  <c r="GZ49" i="1"/>
  <c r="GZ50" i="1"/>
  <c r="GZ51" i="1"/>
  <c r="GZ52" i="1"/>
  <c r="GZ53" i="1"/>
  <c r="GZ54" i="1"/>
  <c r="GZ55" i="1"/>
  <c r="GZ56" i="1"/>
  <c r="GZ57" i="1"/>
  <c r="GZ58" i="1"/>
  <c r="GZ59" i="1"/>
  <c r="GZ60" i="1"/>
  <c r="GZ61" i="1"/>
  <c r="GZ62" i="1"/>
  <c r="GZ63" i="1"/>
  <c r="GZ64" i="1"/>
  <c r="GZ65" i="1"/>
  <c r="GZ66" i="1"/>
  <c r="GZ67" i="1"/>
  <c r="GZ68" i="1"/>
  <c r="GZ69" i="1"/>
  <c r="GZ70" i="1"/>
  <c r="GZ71" i="1"/>
  <c r="GZ72" i="1"/>
  <c r="GZ73" i="1"/>
  <c r="GZ74" i="1"/>
  <c r="GZ75" i="1"/>
  <c r="GZ76" i="1"/>
  <c r="HA42" i="1"/>
  <c r="HA43" i="1"/>
  <c r="HA44" i="1"/>
  <c r="HA45" i="1"/>
  <c r="HA46" i="1"/>
  <c r="HA47" i="1"/>
  <c r="HA48" i="1"/>
  <c r="HA49" i="1"/>
  <c r="HA50" i="1"/>
  <c r="HA51" i="1"/>
  <c r="HA52" i="1"/>
  <c r="HA53" i="1"/>
  <c r="HA54" i="1"/>
  <c r="HA55" i="1"/>
  <c r="HA56" i="1"/>
  <c r="HA57" i="1"/>
  <c r="HA58" i="1"/>
  <c r="HA59" i="1"/>
  <c r="HA60" i="1"/>
  <c r="HA61" i="1"/>
  <c r="HA62" i="1"/>
  <c r="HA63" i="1"/>
  <c r="HA64" i="1"/>
  <c r="HA65" i="1"/>
  <c r="HA66" i="1"/>
  <c r="HA67" i="1"/>
  <c r="HA68" i="1"/>
  <c r="HA69" i="1"/>
  <c r="HA70" i="1"/>
  <c r="HA71" i="1"/>
  <c r="HA72" i="1"/>
  <c r="HA73" i="1"/>
  <c r="HA74" i="1"/>
  <c r="HA75" i="1"/>
  <c r="HA76" i="1"/>
  <c r="HB42" i="1"/>
  <c r="HB43" i="1"/>
  <c r="HB44" i="1"/>
  <c r="HB45" i="1"/>
  <c r="HB46" i="1"/>
  <c r="HB47" i="1"/>
  <c r="HB48" i="1"/>
  <c r="HB49" i="1"/>
  <c r="HB50" i="1"/>
  <c r="HB51" i="1"/>
  <c r="HB52" i="1"/>
  <c r="HB53" i="1"/>
  <c r="HB54" i="1"/>
  <c r="HB55" i="1"/>
  <c r="HB56" i="1"/>
  <c r="HH56" i="1" s="1"/>
  <c r="HK56" i="1" s="1"/>
  <c r="HB57" i="1"/>
  <c r="HH57" i="1" s="1"/>
  <c r="HK57" i="1" s="1"/>
  <c r="HB58" i="1"/>
  <c r="HH58" i="1" s="1"/>
  <c r="HK58" i="1" s="1"/>
  <c r="HB59" i="1"/>
  <c r="HH59" i="1" s="1"/>
  <c r="HK59" i="1" s="1"/>
  <c r="HB60" i="1"/>
  <c r="HH60" i="1" s="1"/>
  <c r="HK60" i="1" s="1"/>
  <c r="HB61" i="1"/>
  <c r="HH61" i="1" s="1"/>
  <c r="HK61" i="1" s="1"/>
  <c r="HB62" i="1"/>
  <c r="HH62" i="1" s="1"/>
  <c r="HK62" i="1" s="1"/>
  <c r="HB63" i="1"/>
  <c r="HH63" i="1" s="1"/>
  <c r="HK63" i="1" s="1"/>
  <c r="HB64" i="1"/>
  <c r="HH64" i="1" s="1"/>
  <c r="HK64" i="1" s="1"/>
  <c r="HB65" i="1"/>
  <c r="HH65" i="1" s="1"/>
  <c r="HK65" i="1" s="1"/>
  <c r="HB66" i="1"/>
  <c r="HH66" i="1" s="1"/>
  <c r="HK66" i="1" s="1"/>
  <c r="HB67" i="1"/>
  <c r="HH67" i="1" s="1"/>
  <c r="HK67" i="1" s="1"/>
  <c r="HB68" i="1"/>
  <c r="HH68" i="1" s="1"/>
  <c r="HK68" i="1" s="1"/>
  <c r="HB69" i="1"/>
  <c r="HH69" i="1" s="1"/>
  <c r="HB70" i="1"/>
  <c r="HH70" i="1" s="1"/>
  <c r="HK70" i="1" s="1"/>
  <c r="HB71" i="1"/>
  <c r="HH71" i="1" s="1"/>
  <c r="HK71" i="1" s="1"/>
  <c r="HB72" i="1"/>
  <c r="HH72" i="1" s="1"/>
  <c r="HK72" i="1" s="1"/>
  <c r="HB73" i="1"/>
  <c r="HH73" i="1" s="1"/>
  <c r="HK73" i="1" s="1"/>
  <c r="HB74" i="1"/>
  <c r="HH74" i="1" s="1"/>
  <c r="HK74" i="1" s="1"/>
  <c r="HB75" i="1"/>
  <c r="HH75" i="1" s="1"/>
  <c r="HK75" i="1" s="1"/>
  <c r="HB76" i="1"/>
  <c r="HH76" i="1" s="1"/>
  <c r="HK76" i="1" s="1"/>
  <c r="HC42" i="1"/>
  <c r="HJ42" i="1" s="1"/>
  <c r="HC43" i="1"/>
  <c r="HJ43" i="1" s="1"/>
  <c r="HC44" i="1"/>
  <c r="HJ44" i="1" s="1"/>
  <c r="HC45" i="1"/>
  <c r="HJ45" i="1" s="1"/>
  <c r="HC46" i="1"/>
  <c r="HJ46" i="1" s="1"/>
  <c r="HC47" i="1"/>
  <c r="HC48" i="1"/>
  <c r="HJ48" i="1" s="1"/>
  <c r="HC49" i="1"/>
  <c r="HJ49" i="1" s="1"/>
  <c r="HC50" i="1"/>
  <c r="HJ50" i="1" s="1"/>
  <c r="HC51" i="1"/>
  <c r="HJ51" i="1" s="1"/>
  <c r="HC52" i="1"/>
  <c r="HJ52" i="1" s="1"/>
  <c r="HC53" i="1"/>
  <c r="HJ53" i="1" s="1"/>
  <c r="HC54" i="1"/>
  <c r="HJ54" i="1" s="1"/>
  <c r="HC55" i="1"/>
  <c r="HJ55" i="1" s="1"/>
  <c r="HC56" i="1"/>
  <c r="HJ56" i="1" s="1"/>
  <c r="HC57" i="1"/>
  <c r="HJ57" i="1" s="1"/>
  <c r="HC58" i="1"/>
  <c r="HJ58" i="1" s="1"/>
  <c r="HC59" i="1"/>
  <c r="HJ59" i="1" s="1"/>
  <c r="HC60" i="1"/>
  <c r="HJ60" i="1" s="1"/>
  <c r="HC61" i="1"/>
  <c r="HJ61" i="1" s="1"/>
  <c r="HC62" i="1"/>
  <c r="HJ62" i="1" s="1"/>
  <c r="HC63" i="1"/>
  <c r="HJ63" i="1" s="1"/>
  <c r="HC64" i="1"/>
  <c r="HJ64" i="1" s="1"/>
  <c r="HC65" i="1"/>
  <c r="HJ65" i="1" s="1"/>
  <c r="HC66" i="1"/>
  <c r="HJ66" i="1" s="1"/>
  <c r="HC67" i="1"/>
  <c r="HJ67" i="1" s="1"/>
  <c r="HC68" i="1"/>
  <c r="HJ68" i="1" s="1"/>
  <c r="HC69" i="1"/>
  <c r="HJ69" i="1" s="1"/>
  <c r="HC70" i="1"/>
  <c r="HJ70" i="1" s="1"/>
  <c r="HC71" i="1"/>
  <c r="HJ71" i="1" s="1"/>
  <c r="HC72" i="1"/>
  <c r="HJ72" i="1" s="1"/>
  <c r="HC73" i="1"/>
  <c r="HJ73" i="1" s="1"/>
  <c r="HC74" i="1"/>
  <c r="HJ74" i="1" s="1"/>
  <c r="HC75" i="1"/>
  <c r="HJ75" i="1" s="1"/>
  <c r="HC76" i="1"/>
  <c r="HJ76" i="1" s="1"/>
  <c r="HD42" i="1"/>
  <c r="HD43" i="1"/>
  <c r="HD44" i="1"/>
  <c r="HD45" i="1"/>
  <c r="HD46" i="1"/>
  <c r="HD47" i="1"/>
  <c r="HD48" i="1"/>
  <c r="HD49" i="1"/>
  <c r="HD50" i="1"/>
  <c r="HD51" i="1"/>
  <c r="HD52" i="1"/>
  <c r="HD53" i="1"/>
  <c r="HD54" i="1"/>
  <c r="HD55" i="1"/>
  <c r="HD56" i="1"/>
  <c r="HD57" i="1"/>
  <c r="HD58" i="1"/>
  <c r="HD59" i="1"/>
  <c r="HD60" i="1"/>
  <c r="HD61" i="1"/>
  <c r="HD62" i="1"/>
  <c r="HD63" i="1"/>
  <c r="HD64" i="1"/>
  <c r="HD65" i="1"/>
  <c r="HD66" i="1"/>
  <c r="HD67" i="1"/>
  <c r="HD68" i="1"/>
  <c r="HD69" i="1"/>
  <c r="HD70" i="1"/>
  <c r="HD71" i="1"/>
  <c r="HD72" i="1"/>
  <c r="HD73" i="1"/>
  <c r="HD74" i="1"/>
  <c r="HD75" i="1"/>
  <c r="HD76" i="1"/>
  <c r="HE42" i="1"/>
  <c r="HE43" i="1"/>
  <c r="HE44" i="1"/>
  <c r="HE45" i="1"/>
  <c r="HE46" i="1"/>
  <c r="HE47" i="1"/>
  <c r="HE48" i="1"/>
  <c r="HE49" i="1"/>
  <c r="HE50" i="1"/>
  <c r="HE51" i="1"/>
  <c r="HE52" i="1"/>
  <c r="HE53" i="1"/>
  <c r="HE54" i="1"/>
  <c r="HE55" i="1"/>
  <c r="HE56" i="1"/>
  <c r="HE57" i="1"/>
  <c r="HE58" i="1"/>
  <c r="HE59" i="1"/>
  <c r="HE60" i="1"/>
  <c r="HE61" i="1"/>
  <c r="HE62" i="1"/>
  <c r="HE63" i="1"/>
  <c r="HE64" i="1"/>
  <c r="HE65" i="1"/>
  <c r="HE66" i="1"/>
  <c r="HE67" i="1"/>
  <c r="HE68" i="1"/>
  <c r="HE69" i="1"/>
  <c r="HE70" i="1"/>
  <c r="HE71" i="1"/>
  <c r="HE72" i="1"/>
  <c r="HE73" i="1"/>
  <c r="HE74" i="1"/>
  <c r="HE75" i="1"/>
  <c r="HE76" i="1"/>
  <c r="HF42" i="1"/>
  <c r="HF43" i="1"/>
  <c r="HF44" i="1"/>
  <c r="HF45" i="1"/>
  <c r="HF46" i="1"/>
  <c r="HF48" i="1"/>
  <c r="HF49" i="1"/>
  <c r="HF50" i="1"/>
  <c r="HF51" i="1"/>
  <c r="HF52" i="1"/>
  <c r="HF53" i="1"/>
  <c r="HF54" i="1"/>
  <c r="HF55" i="1"/>
  <c r="HF56" i="1"/>
  <c r="HF57" i="1"/>
  <c r="HF58" i="1"/>
  <c r="HF59" i="1"/>
  <c r="HF60" i="1"/>
  <c r="HF61" i="1"/>
  <c r="HF62" i="1"/>
  <c r="HF63" i="1"/>
  <c r="HF64" i="1"/>
  <c r="HF65" i="1"/>
  <c r="HF66" i="1"/>
  <c r="HF67" i="1"/>
  <c r="HF68" i="1"/>
  <c r="HF70" i="1"/>
  <c r="HF71" i="1"/>
  <c r="HF72" i="1"/>
  <c r="HF73" i="1"/>
  <c r="HF74" i="1"/>
  <c r="HF75" i="1"/>
  <c r="HF76" i="1"/>
  <c r="HG42" i="1" a="1"/>
  <c r="HG43" i="1" a="1"/>
  <c r="HG44" i="1" a="1"/>
  <c r="HG45" i="1" a="1"/>
  <c r="HG46" i="1" a="1"/>
  <c r="HG48" i="1" a="1"/>
  <c r="HG49" i="1" a="1"/>
  <c r="HG50" i="1" a="1"/>
  <c r="HG51" i="1" a="1"/>
  <c r="HG52" i="1" a="1"/>
  <c r="HG53" i="1" a="1"/>
  <c r="HG54" i="1" a="1"/>
  <c r="HG55" i="1" a="1"/>
  <c r="HG56" i="1" a="1"/>
  <c r="HG57" i="1" a="1"/>
  <c r="HG58" i="1" a="1"/>
  <c r="HG59" i="1" a="1"/>
  <c r="HG60" i="1" a="1"/>
  <c r="HG61" i="1" a="1"/>
  <c r="HG62" i="1" a="1"/>
  <c r="HG63" i="1" a="1"/>
  <c r="HG64" i="1" a="1"/>
  <c r="HG65" i="1" a="1"/>
  <c r="HG66" i="1" a="1"/>
  <c r="HG67" i="1" a="1"/>
  <c r="HG68" i="1" a="1"/>
  <c r="HG70" i="1" a="1"/>
  <c r="HG71" i="1" a="1"/>
  <c r="HG72" i="1" a="1"/>
  <c r="HG73" i="1" a="1"/>
  <c r="HG74" i="1" a="1"/>
  <c r="HG75" i="1" a="1"/>
  <c r="HG76" i="1" a="1"/>
  <c r="HH42" i="1"/>
  <c r="HK42" i="1" s="1"/>
  <c r="HH43" i="1"/>
  <c r="HK43" i="1" s="1"/>
  <c r="HH44" i="1"/>
  <c r="HK44" i="1" s="1"/>
  <c r="HH45" i="1"/>
  <c r="HK45" i="1" s="1"/>
  <c r="HH46" i="1"/>
  <c r="HK46" i="1" s="1"/>
  <c r="HH47" i="1"/>
  <c r="HH48" i="1"/>
  <c r="HK48" i="1" s="1"/>
  <c r="HH49" i="1"/>
  <c r="HK49" i="1" s="1"/>
  <c r="HH50" i="1"/>
  <c r="HK50" i="1" s="1"/>
  <c r="HH51" i="1"/>
  <c r="HK51" i="1" s="1"/>
  <c r="HH52" i="1"/>
  <c r="HK52" i="1" s="1"/>
  <c r="HH53" i="1"/>
  <c r="HK53" i="1" s="1"/>
  <c r="HH54" i="1"/>
  <c r="HK54" i="1" s="1"/>
  <c r="HH55" i="1"/>
  <c r="HK55" i="1" s="1"/>
  <c r="HI42" i="1"/>
  <c r="HI43" i="1"/>
  <c r="HI44" i="1"/>
  <c r="HI45" i="1"/>
  <c r="HI46" i="1"/>
  <c r="HI47" i="1"/>
  <c r="HI48" i="1"/>
  <c r="HI49" i="1"/>
  <c r="HI50" i="1"/>
  <c r="HI51" i="1"/>
  <c r="HI52" i="1"/>
  <c r="HI53" i="1"/>
  <c r="HI54" i="1"/>
  <c r="HI55" i="1"/>
  <c r="HI56" i="1"/>
  <c r="HI57" i="1"/>
  <c r="HI58" i="1"/>
  <c r="HI59" i="1"/>
  <c r="HI60" i="1"/>
  <c r="HI61" i="1"/>
  <c r="HI62" i="1"/>
  <c r="HI63" i="1"/>
  <c r="HI64" i="1"/>
  <c r="HI65" i="1"/>
  <c r="HI66" i="1"/>
  <c r="HI67" i="1"/>
  <c r="HI68" i="1"/>
  <c r="HI69" i="1"/>
  <c r="HI70" i="1"/>
  <c r="HI71" i="1"/>
  <c r="HI72" i="1"/>
  <c r="HI73" i="1"/>
  <c r="HI74" i="1"/>
  <c r="HI75" i="1"/>
  <c r="HI76" i="1"/>
  <c r="GM5" i="1"/>
  <c r="GN5" i="1"/>
  <c r="GO5" i="1"/>
  <c r="GP5" i="1"/>
  <c r="GQ5" i="1"/>
  <c r="GR5" i="1"/>
  <c r="GS5" i="1"/>
  <c r="GT5" i="1"/>
  <c r="GU5" i="1"/>
  <c r="GV5" i="1"/>
  <c r="GW5" i="1"/>
  <c r="GX5" i="1"/>
  <c r="GY5" i="1"/>
  <c r="GZ5" i="1"/>
  <c r="HA5" i="1"/>
  <c r="HB5" i="1"/>
  <c r="HC5" i="1"/>
  <c r="HD5" i="1"/>
  <c r="HE5" i="1"/>
  <c r="HF5" i="1"/>
  <c r="HG5" i="1" a="1"/>
  <c r="HH5" i="1"/>
  <c r="HI5" i="1"/>
  <c r="HJ5" i="1"/>
  <c r="HK5" i="1"/>
  <c r="GM6" i="1"/>
  <c r="GN6" i="1"/>
  <c r="GO6" i="1"/>
  <c r="GP6" i="1"/>
  <c r="GQ6" i="1"/>
  <c r="GR6" i="1"/>
  <c r="GS6" i="1"/>
  <c r="GT6" i="1"/>
  <c r="GU6" i="1"/>
  <c r="GV6" i="1"/>
  <c r="GW6" i="1"/>
  <c r="GX6" i="1"/>
  <c r="GY6" i="1"/>
  <c r="GZ6" i="1"/>
  <c r="HA6" i="1"/>
  <c r="HB6" i="1"/>
  <c r="HC6" i="1"/>
  <c r="HD6" i="1"/>
  <c r="HE6" i="1"/>
  <c r="HF6" i="1"/>
  <c r="HG6" i="1" a="1"/>
  <c r="HH6" i="1"/>
  <c r="HI6" i="1"/>
  <c r="HJ6" i="1"/>
  <c r="HK6" i="1"/>
  <c r="GM7" i="1"/>
  <c r="GN7" i="1"/>
  <c r="GO7" i="1"/>
  <c r="GP7" i="1"/>
  <c r="GQ7" i="1"/>
  <c r="GR7" i="1"/>
  <c r="GS7" i="1"/>
  <c r="GT7" i="1"/>
  <c r="GU7" i="1"/>
  <c r="GV7" i="1"/>
  <c r="GW7" i="1"/>
  <c r="GX7" i="1"/>
  <c r="GY7" i="1"/>
  <c r="GZ7" i="1"/>
  <c r="HA7" i="1"/>
  <c r="HB7" i="1"/>
  <c r="HC7" i="1"/>
  <c r="HD7" i="1"/>
  <c r="HE7" i="1"/>
  <c r="HF7" i="1"/>
  <c r="HG7" i="1" a="1"/>
  <c r="HH7" i="1"/>
  <c r="HI7" i="1"/>
  <c r="HJ7" i="1"/>
  <c r="HK7" i="1"/>
  <c r="GM8" i="1"/>
  <c r="GN8" i="1"/>
  <c r="GO8" i="1"/>
  <c r="GP8" i="1"/>
  <c r="GQ8" i="1"/>
  <c r="GR8" i="1"/>
  <c r="GS8" i="1"/>
  <c r="GT8" i="1"/>
  <c r="GU8" i="1"/>
  <c r="GV8" i="1"/>
  <c r="GW8" i="1"/>
  <c r="GX8" i="1"/>
  <c r="GY8" i="1"/>
  <c r="GZ8" i="1"/>
  <c r="HA8" i="1"/>
  <c r="HB8" i="1"/>
  <c r="HC8" i="1"/>
  <c r="HD8" i="1"/>
  <c r="HE8" i="1"/>
  <c r="HF8" i="1"/>
  <c r="HG8" i="1" a="1"/>
  <c r="HH8" i="1"/>
  <c r="HI8" i="1"/>
  <c r="HJ8" i="1"/>
  <c r="HK8" i="1"/>
  <c r="GM9" i="1"/>
  <c r="GN9" i="1"/>
  <c r="GO9" i="1"/>
  <c r="GP9" i="1"/>
  <c r="GQ9" i="1"/>
  <c r="GR9" i="1"/>
  <c r="GS9" i="1"/>
  <c r="GT9" i="1"/>
  <c r="GU9" i="1"/>
  <c r="GV9" i="1"/>
  <c r="GW9" i="1"/>
  <c r="GX9" i="1"/>
  <c r="GY9" i="1"/>
  <c r="GZ9" i="1"/>
  <c r="HA9" i="1"/>
  <c r="HB9" i="1"/>
  <c r="HC9" i="1"/>
  <c r="HD9" i="1"/>
  <c r="HE9" i="1"/>
  <c r="HF9" i="1"/>
  <c r="HG9" i="1" a="1"/>
  <c r="HH9" i="1"/>
  <c r="HI9" i="1"/>
  <c r="HJ9" i="1"/>
  <c r="HK9" i="1"/>
  <c r="GM11" i="1"/>
  <c r="GN11" i="1"/>
  <c r="GO11" i="1"/>
  <c r="GP11" i="1"/>
  <c r="GQ11" i="1"/>
  <c r="GR11" i="1"/>
  <c r="GS11" i="1"/>
  <c r="GT11" i="1"/>
  <c r="GU11" i="1"/>
  <c r="GV11" i="1"/>
  <c r="GW11" i="1"/>
  <c r="GX11" i="1"/>
  <c r="GY11" i="1"/>
  <c r="GZ11" i="1"/>
  <c r="HA11" i="1"/>
  <c r="HB11" i="1"/>
  <c r="HC11" i="1"/>
  <c r="HD11" i="1"/>
  <c r="HE11" i="1"/>
  <c r="HF11" i="1"/>
  <c r="HG11" i="1" a="1"/>
  <c r="HH11" i="1"/>
  <c r="HI11" i="1"/>
  <c r="HJ11" i="1"/>
  <c r="HK11" i="1"/>
  <c r="GM12" i="1"/>
  <c r="GN12" i="1"/>
  <c r="GO12" i="1"/>
  <c r="GP12" i="1"/>
  <c r="GQ12" i="1"/>
  <c r="GR12" i="1"/>
  <c r="GS12" i="1"/>
  <c r="GT12" i="1"/>
  <c r="GU12" i="1"/>
  <c r="GV12" i="1"/>
  <c r="GW12" i="1"/>
  <c r="GX12" i="1"/>
  <c r="GY12" i="1"/>
  <c r="GZ12" i="1"/>
  <c r="HA12" i="1"/>
  <c r="HB12" i="1"/>
  <c r="HC12" i="1"/>
  <c r="HD12" i="1"/>
  <c r="HE12" i="1"/>
  <c r="HF12" i="1"/>
  <c r="HG12" i="1" a="1"/>
  <c r="HH12" i="1"/>
  <c r="HI12" i="1"/>
  <c r="HJ12" i="1"/>
  <c r="HK12" i="1"/>
  <c r="GM13" i="1"/>
  <c r="GN13" i="1"/>
  <c r="GO13" i="1"/>
  <c r="GP13" i="1"/>
  <c r="GQ13" i="1"/>
  <c r="GR13" i="1"/>
  <c r="GS13" i="1"/>
  <c r="GT13" i="1"/>
  <c r="GU13" i="1"/>
  <c r="GV13" i="1"/>
  <c r="GW13" i="1"/>
  <c r="GX13" i="1"/>
  <c r="GY13" i="1"/>
  <c r="GZ13" i="1"/>
  <c r="HA13" i="1"/>
  <c r="HB13" i="1"/>
  <c r="HC13" i="1"/>
  <c r="HD13" i="1"/>
  <c r="HE13" i="1"/>
  <c r="HF13" i="1"/>
  <c r="HG13" i="1" a="1"/>
  <c r="HH13" i="1"/>
  <c r="HI13" i="1"/>
  <c r="HJ13" i="1"/>
  <c r="HK13" i="1"/>
  <c r="GM14" i="1"/>
  <c r="GN14" i="1"/>
  <c r="GO14" i="1"/>
  <c r="GP14" i="1"/>
  <c r="GQ14" i="1"/>
  <c r="GR14" i="1"/>
  <c r="GS14" i="1"/>
  <c r="GT14" i="1"/>
  <c r="GU14" i="1"/>
  <c r="GV14" i="1"/>
  <c r="GW14" i="1"/>
  <c r="GX14" i="1"/>
  <c r="GY14" i="1"/>
  <c r="GZ14" i="1"/>
  <c r="HA14" i="1"/>
  <c r="HB14" i="1"/>
  <c r="HC14" i="1"/>
  <c r="HD14" i="1"/>
  <c r="HE14" i="1"/>
  <c r="HF14" i="1"/>
  <c r="HG14" i="1" a="1"/>
  <c r="HH14" i="1"/>
  <c r="HI14" i="1"/>
  <c r="HJ14" i="1"/>
  <c r="HK14" i="1"/>
  <c r="GM15" i="1"/>
  <c r="GN15" i="1"/>
  <c r="GO15" i="1"/>
  <c r="GP15" i="1"/>
  <c r="GQ15" i="1"/>
  <c r="GR15" i="1"/>
  <c r="GS15" i="1"/>
  <c r="GT15" i="1"/>
  <c r="GU15" i="1"/>
  <c r="GV15" i="1"/>
  <c r="GW15" i="1"/>
  <c r="GX15" i="1"/>
  <c r="GY15" i="1"/>
  <c r="GZ15" i="1"/>
  <c r="HA15" i="1"/>
  <c r="HB15" i="1"/>
  <c r="HC15" i="1"/>
  <c r="HD15" i="1"/>
  <c r="HE15" i="1"/>
  <c r="HF15" i="1"/>
  <c r="HG15" i="1" a="1"/>
  <c r="HH15" i="1"/>
  <c r="HI15" i="1"/>
  <c r="HJ15" i="1"/>
  <c r="HK15" i="1"/>
  <c r="GM16" i="1"/>
  <c r="GN16" i="1"/>
  <c r="GO16" i="1"/>
  <c r="GP16" i="1"/>
  <c r="GQ16" i="1"/>
  <c r="GR16" i="1"/>
  <c r="GS16" i="1"/>
  <c r="GT16" i="1"/>
  <c r="GU16" i="1"/>
  <c r="GV16" i="1"/>
  <c r="GW16" i="1"/>
  <c r="GX16" i="1"/>
  <c r="GY16" i="1"/>
  <c r="GZ16" i="1"/>
  <c r="HA16" i="1"/>
  <c r="HB16" i="1"/>
  <c r="HC16" i="1"/>
  <c r="HD16" i="1"/>
  <c r="HE16" i="1"/>
  <c r="HF16" i="1"/>
  <c r="HG16" i="1" a="1"/>
  <c r="HH16" i="1"/>
  <c r="HI16" i="1"/>
  <c r="HJ16" i="1"/>
  <c r="HK16" i="1"/>
  <c r="GM17" i="1"/>
  <c r="GN17" i="1"/>
  <c r="GO17" i="1"/>
  <c r="GP17" i="1"/>
  <c r="GQ17" i="1"/>
  <c r="GR17" i="1"/>
  <c r="GS17" i="1"/>
  <c r="GT17" i="1"/>
  <c r="GU17" i="1"/>
  <c r="GV17" i="1"/>
  <c r="GW17" i="1"/>
  <c r="GX17" i="1"/>
  <c r="GY17" i="1"/>
  <c r="GZ17" i="1"/>
  <c r="HA17" i="1"/>
  <c r="HB17" i="1"/>
  <c r="HC17" i="1"/>
  <c r="HD17" i="1"/>
  <c r="HE17" i="1"/>
  <c r="HI17" i="1"/>
  <c r="GM18" i="1"/>
  <c r="GN18" i="1"/>
  <c r="GO18" i="1"/>
  <c r="GP18" i="1"/>
  <c r="GQ18" i="1"/>
  <c r="GR18" i="1"/>
  <c r="GS18" i="1"/>
  <c r="GT18" i="1"/>
  <c r="GU18" i="1"/>
  <c r="GV18" i="1"/>
  <c r="GW18" i="1"/>
  <c r="GX18" i="1"/>
  <c r="GY18" i="1"/>
  <c r="GZ18" i="1"/>
  <c r="HA18" i="1"/>
  <c r="HB18" i="1"/>
  <c r="HC18" i="1"/>
  <c r="HD18" i="1"/>
  <c r="HE18" i="1"/>
  <c r="HF18" i="1"/>
  <c r="HG18" i="1" a="1"/>
  <c r="HH18" i="1"/>
  <c r="HI18" i="1"/>
  <c r="HJ18" i="1"/>
  <c r="HK18" i="1"/>
  <c r="GM19" i="1"/>
  <c r="GN19" i="1"/>
  <c r="GO19" i="1"/>
  <c r="GP19" i="1"/>
  <c r="GQ19" i="1"/>
  <c r="GR19" i="1"/>
  <c r="GS19" i="1"/>
  <c r="GT19" i="1"/>
  <c r="GU19" i="1"/>
  <c r="GV19" i="1"/>
  <c r="GW19" i="1"/>
  <c r="GX19" i="1"/>
  <c r="GY19" i="1"/>
  <c r="GZ19" i="1"/>
  <c r="HA19" i="1"/>
  <c r="HB19" i="1"/>
  <c r="HC19" i="1"/>
  <c r="HD19" i="1"/>
  <c r="HE19" i="1"/>
  <c r="HF19" i="1"/>
  <c r="HG19" i="1" a="1"/>
  <c r="HH19" i="1"/>
  <c r="HI19" i="1"/>
  <c r="HJ19" i="1"/>
  <c r="HK19" i="1"/>
  <c r="GM20" i="1"/>
  <c r="GN20" i="1"/>
  <c r="GO20" i="1"/>
  <c r="GP20" i="1"/>
  <c r="GQ20" i="1"/>
  <c r="GR20" i="1"/>
  <c r="GS20" i="1"/>
  <c r="GT20" i="1"/>
  <c r="GU20" i="1"/>
  <c r="GV20" i="1"/>
  <c r="GW20" i="1"/>
  <c r="GX20" i="1"/>
  <c r="GY20" i="1"/>
  <c r="GZ20" i="1"/>
  <c r="HA20" i="1"/>
  <c r="HB20" i="1"/>
  <c r="HC20" i="1"/>
  <c r="HD20" i="1"/>
  <c r="HE20" i="1"/>
  <c r="HF20" i="1"/>
  <c r="HG20" i="1" a="1"/>
  <c r="HH20" i="1"/>
  <c r="HI20" i="1"/>
  <c r="HJ20" i="1"/>
  <c r="HK20" i="1"/>
  <c r="GM21" i="1"/>
  <c r="GN21" i="1"/>
  <c r="GO21" i="1"/>
  <c r="GP21" i="1"/>
  <c r="GQ21" i="1"/>
  <c r="GR21" i="1"/>
  <c r="GS21" i="1"/>
  <c r="GT21" i="1"/>
  <c r="GU21" i="1"/>
  <c r="GV21" i="1"/>
  <c r="GW21" i="1"/>
  <c r="GX21" i="1"/>
  <c r="GY21" i="1"/>
  <c r="GZ21" i="1"/>
  <c r="HA21" i="1"/>
  <c r="HB21" i="1"/>
  <c r="HC21" i="1"/>
  <c r="HD21" i="1"/>
  <c r="HE21" i="1"/>
  <c r="HF21" i="1"/>
  <c r="HG21" i="1" a="1"/>
  <c r="HH21" i="1"/>
  <c r="HI21" i="1"/>
  <c r="HJ21" i="1"/>
  <c r="HK21" i="1"/>
  <c r="GM22" i="1"/>
  <c r="GN22" i="1"/>
  <c r="GO22" i="1"/>
  <c r="GP22" i="1"/>
  <c r="GQ22" i="1"/>
  <c r="GR22" i="1"/>
  <c r="GS22" i="1"/>
  <c r="GT22" i="1"/>
  <c r="GU22" i="1"/>
  <c r="GV22" i="1"/>
  <c r="GW22" i="1"/>
  <c r="GX22" i="1"/>
  <c r="GY22" i="1"/>
  <c r="GZ22" i="1"/>
  <c r="HA22" i="1"/>
  <c r="HB22" i="1"/>
  <c r="HC22" i="1"/>
  <c r="HD22" i="1"/>
  <c r="HE22" i="1"/>
  <c r="HF22" i="1"/>
  <c r="HG22" i="1" a="1"/>
  <c r="HH22" i="1"/>
  <c r="HI22" i="1"/>
  <c r="HJ22" i="1"/>
  <c r="HK22" i="1"/>
  <c r="GM23" i="1"/>
  <c r="GN23" i="1"/>
  <c r="GO23" i="1"/>
  <c r="GP23" i="1"/>
  <c r="GQ23" i="1"/>
  <c r="GR23" i="1"/>
  <c r="GS23" i="1"/>
  <c r="GT23" i="1"/>
  <c r="GU23" i="1"/>
  <c r="GV23" i="1"/>
  <c r="GW23" i="1"/>
  <c r="GX23" i="1"/>
  <c r="GY23" i="1"/>
  <c r="GZ23" i="1"/>
  <c r="HA23" i="1"/>
  <c r="HB23" i="1"/>
  <c r="HC23" i="1"/>
  <c r="HD23" i="1"/>
  <c r="HE23" i="1"/>
  <c r="HF23" i="1"/>
  <c r="HG23" i="1" a="1"/>
  <c r="HH23" i="1"/>
  <c r="HI23" i="1"/>
  <c r="HJ23" i="1"/>
  <c r="HK23" i="1"/>
  <c r="GM24" i="1"/>
  <c r="GN24" i="1"/>
  <c r="GO24" i="1"/>
  <c r="GP24" i="1"/>
  <c r="GQ24" i="1"/>
  <c r="GR24" i="1"/>
  <c r="GS24" i="1"/>
  <c r="GT24" i="1"/>
  <c r="GU24" i="1"/>
  <c r="GV24" i="1"/>
  <c r="GW24" i="1"/>
  <c r="GX24" i="1"/>
  <c r="GY24" i="1"/>
  <c r="GZ24" i="1"/>
  <c r="HA24" i="1"/>
  <c r="HB24" i="1"/>
  <c r="HC24" i="1"/>
  <c r="HD24" i="1"/>
  <c r="HE24" i="1"/>
  <c r="HF24" i="1"/>
  <c r="HG24" i="1" a="1"/>
  <c r="HH24" i="1"/>
  <c r="HI24" i="1"/>
  <c r="HJ24" i="1"/>
  <c r="HK24" i="1"/>
  <c r="GM25" i="1"/>
  <c r="GN25" i="1"/>
  <c r="GO25" i="1"/>
  <c r="GP25" i="1"/>
  <c r="GQ25" i="1"/>
  <c r="GR25" i="1"/>
  <c r="GS25" i="1"/>
  <c r="GT25" i="1"/>
  <c r="GU25" i="1"/>
  <c r="GV25" i="1"/>
  <c r="GW25" i="1"/>
  <c r="GX25" i="1"/>
  <c r="GY25" i="1"/>
  <c r="GZ25" i="1"/>
  <c r="HA25" i="1"/>
  <c r="HB25" i="1"/>
  <c r="HC25" i="1"/>
  <c r="HD25" i="1"/>
  <c r="HE25" i="1"/>
  <c r="HF25" i="1"/>
  <c r="HG25" i="1" a="1"/>
  <c r="HH25" i="1"/>
  <c r="HI25" i="1"/>
  <c r="HJ25" i="1"/>
  <c r="HK25" i="1"/>
  <c r="GM26" i="1"/>
  <c r="GN26" i="1"/>
  <c r="GO26" i="1"/>
  <c r="GP26" i="1"/>
  <c r="GQ26" i="1"/>
  <c r="GR26" i="1"/>
  <c r="GS26" i="1"/>
  <c r="GT26" i="1"/>
  <c r="GU26" i="1"/>
  <c r="GV26" i="1"/>
  <c r="GW26" i="1"/>
  <c r="GX26" i="1"/>
  <c r="GY26" i="1"/>
  <c r="GZ26" i="1"/>
  <c r="HA26" i="1"/>
  <c r="HB26" i="1"/>
  <c r="HC26" i="1"/>
  <c r="HD26" i="1"/>
  <c r="HE26" i="1"/>
  <c r="HF26" i="1"/>
  <c r="HG26" i="1" a="1"/>
  <c r="HH26" i="1"/>
  <c r="HI26" i="1"/>
  <c r="HJ26" i="1"/>
  <c r="HK26" i="1"/>
  <c r="GM27" i="1"/>
  <c r="GN27" i="1"/>
  <c r="GO27" i="1"/>
  <c r="GP27" i="1"/>
  <c r="GQ27" i="1"/>
  <c r="GR27" i="1"/>
  <c r="GS27" i="1"/>
  <c r="GT27" i="1"/>
  <c r="GU27" i="1"/>
  <c r="GV27" i="1"/>
  <c r="GW27" i="1"/>
  <c r="GX27" i="1"/>
  <c r="GY27" i="1"/>
  <c r="GZ27" i="1"/>
  <c r="HA27" i="1"/>
  <c r="HB27" i="1"/>
  <c r="HC27" i="1"/>
  <c r="HD27" i="1"/>
  <c r="HE27" i="1"/>
  <c r="HF27" i="1"/>
  <c r="HG27" i="1" a="1"/>
  <c r="HH27" i="1"/>
  <c r="HI27" i="1"/>
  <c r="HJ27" i="1"/>
  <c r="HK27" i="1"/>
  <c r="GM28" i="1"/>
  <c r="GN28" i="1"/>
  <c r="GO28" i="1"/>
  <c r="GP28" i="1"/>
  <c r="GQ28" i="1"/>
  <c r="GR28" i="1"/>
  <c r="GS28" i="1"/>
  <c r="GT28" i="1"/>
  <c r="GU28" i="1"/>
  <c r="GV28" i="1"/>
  <c r="GW28" i="1"/>
  <c r="GX28" i="1"/>
  <c r="GY28" i="1"/>
  <c r="GZ28" i="1"/>
  <c r="HA28" i="1"/>
  <c r="HB28" i="1"/>
  <c r="HC28" i="1"/>
  <c r="HD28" i="1"/>
  <c r="HE28" i="1"/>
  <c r="HF28" i="1"/>
  <c r="HG28" i="1" a="1"/>
  <c r="HH28" i="1"/>
  <c r="HI28" i="1"/>
  <c r="HJ28" i="1"/>
  <c r="HK28" i="1"/>
  <c r="GM29" i="1"/>
  <c r="GN29" i="1"/>
  <c r="GO29" i="1"/>
  <c r="GP29" i="1"/>
  <c r="GQ29" i="1"/>
  <c r="GR29" i="1"/>
  <c r="GS29" i="1"/>
  <c r="GT29" i="1"/>
  <c r="GU29" i="1"/>
  <c r="GV29" i="1"/>
  <c r="GW29" i="1"/>
  <c r="GX29" i="1"/>
  <c r="GY29" i="1"/>
  <c r="GZ29" i="1"/>
  <c r="HA29" i="1"/>
  <c r="HB29" i="1"/>
  <c r="HC29" i="1"/>
  <c r="HD29" i="1"/>
  <c r="HE29" i="1"/>
  <c r="HF29" i="1"/>
  <c r="HG29" i="1" a="1"/>
  <c r="HH29" i="1"/>
  <c r="HI29" i="1"/>
  <c r="HJ29" i="1"/>
  <c r="HK29" i="1"/>
  <c r="GM30" i="1"/>
  <c r="GN30" i="1"/>
  <c r="GO30" i="1"/>
  <c r="GP30" i="1"/>
  <c r="GQ30" i="1"/>
  <c r="GR30" i="1"/>
  <c r="GS30" i="1"/>
  <c r="GT30" i="1"/>
  <c r="GU30" i="1"/>
  <c r="GV30" i="1"/>
  <c r="GW30" i="1"/>
  <c r="GX30" i="1"/>
  <c r="GY30" i="1"/>
  <c r="GZ30" i="1"/>
  <c r="HA30" i="1"/>
  <c r="HB30" i="1"/>
  <c r="HC30" i="1"/>
  <c r="HD30" i="1"/>
  <c r="HE30" i="1"/>
  <c r="HF30" i="1"/>
  <c r="HG30" i="1" a="1"/>
  <c r="HH30" i="1"/>
  <c r="HI30" i="1"/>
  <c r="HJ30" i="1"/>
  <c r="HK30" i="1"/>
  <c r="GM31" i="1"/>
  <c r="GN31" i="1"/>
  <c r="GO31" i="1"/>
  <c r="GP31" i="1"/>
  <c r="GQ31" i="1"/>
  <c r="GR31" i="1"/>
  <c r="GS31" i="1"/>
  <c r="GT31" i="1"/>
  <c r="GU31" i="1"/>
  <c r="GV31" i="1"/>
  <c r="GW31" i="1"/>
  <c r="GX31" i="1"/>
  <c r="GY31" i="1"/>
  <c r="GZ31" i="1"/>
  <c r="HA31" i="1"/>
  <c r="HB31" i="1"/>
  <c r="HC31" i="1"/>
  <c r="HD31" i="1"/>
  <c r="HE31" i="1"/>
  <c r="HF31" i="1"/>
  <c r="HG31" i="1" a="1"/>
  <c r="HH31" i="1"/>
  <c r="HI31" i="1"/>
  <c r="HJ31" i="1"/>
  <c r="HK31" i="1"/>
  <c r="GM32" i="1"/>
  <c r="GN32" i="1"/>
  <c r="GO32" i="1"/>
  <c r="GP32" i="1"/>
  <c r="GQ32" i="1"/>
  <c r="GR32" i="1"/>
  <c r="GS32" i="1"/>
  <c r="GT32" i="1"/>
  <c r="GU32" i="1"/>
  <c r="GV32" i="1"/>
  <c r="GW32" i="1"/>
  <c r="GX32" i="1"/>
  <c r="GY32" i="1"/>
  <c r="GZ32" i="1"/>
  <c r="HA32" i="1"/>
  <c r="HB32" i="1"/>
  <c r="HC32" i="1"/>
  <c r="HD32" i="1"/>
  <c r="HE32" i="1"/>
  <c r="HF32" i="1"/>
  <c r="HG32" i="1" a="1"/>
  <c r="HH32" i="1"/>
  <c r="HI32" i="1"/>
  <c r="HJ32" i="1"/>
  <c r="HK32" i="1"/>
  <c r="GM33" i="1"/>
  <c r="GN33" i="1"/>
  <c r="GO33" i="1"/>
  <c r="GP33" i="1"/>
  <c r="GQ33" i="1"/>
  <c r="GR33" i="1"/>
  <c r="GS33" i="1"/>
  <c r="GT33" i="1"/>
  <c r="GU33" i="1"/>
  <c r="GV33" i="1"/>
  <c r="GW33" i="1"/>
  <c r="GX33" i="1"/>
  <c r="GY33" i="1"/>
  <c r="GZ33" i="1"/>
  <c r="HA33" i="1"/>
  <c r="HB33" i="1"/>
  <c r="HC33" i="1"/>
  <c r="HD33" i="1"/>
  <c r="HE33" i="1"/>
  <c r="HF33" i="1"/>
  <c r="HG33" i="1" a="1"/>
  <c r="HH33" i="1"/>
  <c r="HI33" i="1"/>
  <c r="HJ33" i="1"/>
  <c r="HK33" i="1"/>
  <c r="GM34" i="1"/>
  <c r="GN34" i="1"/>
  <c r="GO34" i="1"/>
  <c r="GP34" i="1"/>
  <c r="GQ34" i="1"/>
  <c r="GR34" i="1"/>
  <c r="GS34" i="1"/>
  <c r="GT34" i="1"/>
  <c r="GU34" i="1"/>
  <c r="GV34" i="1"/>
  <c r="GW34" i="1"/>
  <c r="GX34" i="1"/>
  <c r="GY34" i="1"/>
  <c r="GZ34" i="1"/>
  <c r="HA34" i="1"/>
  <c r="HB34" i="1"/>
  <c r="HC34" i="1"/>
  <c r="HD34" i="1"/>
  <c r="HE34" i="1"/>
  <c r="HF34" i="1"/>
  <c r="HG34" i="1" a="1"/>
  <c r="HH34" i="1"/>
  <c r="HI34" i="1"/>
  <c r="HJ34" i="1"/>
  <c r="HK34" i="1"/>
  <c r="GM35" i="1"/>
  <c r="GN35" i="1"/>
  <c r="GO35" i="1"/>
  <c r="GP35" i="1"/>
  <c r="GQ35" i="1"/>
  <c r="GR35" i="1"/>
  <c r="GS35" i="1"/>
  <c r="GT35" i="1"/>
  <c r="GU35" i="1"/>
  <c r="GV35" i="1"/>
  <c r="GW35" i="1"/>
  <c r="GX35" i="1"/>
  <c r="GY35" i="1"/>
  <c r="GZ35" i="1"/>
  <c r="HA35" i="1"/>
  <c r="HB35" i="1"/>
  <c r="HC35" i="1"/>
  <c r="HD35" i="1"/>
  <c r="HE35" i="1"/>
  <c r="HF35" i="1"/>
  <c r="HG35" i="1" a="1"/>
  <c r="HH35" i="1"/>
  <c r="HI35" i="1"/>
  <c r="HJ35" i="1"/>
  <c r="HK35" i="1"/>
  <c r="GM36" i="1"/>
  <c r="GN36" i="1"/>
  <c r="GO36" i="1"/>
  <c r="GP36" i="1"/>
  <c r="GQ36" i="1"/>
  <c r="GR36" i="1"/>
  <c r="GS36" i="1"/>
  <c r="GT36" i="1"/>
  <c r="GU36" i="1"/>
  <c r="GV36" i="1"/>
  <c r="GW36" i="1"/>
  <c r="GX36" i="1"/>
  <c r="GY36" i="1"/>
  <c r="GZ36" i="1"/>
  <c r="HA36" i="1"/>
  <c r="HB36" i="1"/>
  <c r="HC36" i="1"/>
  <c r="HD36" i="1"/>
  <c r="HE36" i="1"/>
  <c r="HF36" i="1"/>
  <c r="HG36" i="1" a="1"/>
  <c r="HH36" i="1"/>
  <c r="HI36" i="1"/>
  <c r="HJ36" i="1"/>
  <c r="HK36" i="1"/>
  <c r="GM37" i="1"/>
  <c r="GN37" i="1"/>
  <c r="GO37" i="1"/>
  <c r="GP37" i="1"/>
  <c r="GQ37" i="1"/>
  <c r="GR37" i="1"/>
  <c r="GS37" i="1"/>
  <c r="GT37" i="1"/>
  <c r="GU37" i="1"/>
  <c r="GV37" i="1"/>
  <c r="GW37" i="1"/>
  <c r="GX37" i="1"/>
  <c r="GY37" i="1"/>
  <c r="GZ37" i="1"/>
  <c r="HA37" i="1"/>
  <c r="HB37" i="1"/>
  <c r="HC37" i="1"/>
  <c r="HD37" i="1"/>
  <c r="HE37" i="1"/>
  <c r="HF37" i="1"/>
  <c r="HG37" i="1" a="1"/>
  <c r="HH37" i="1"/>
  <c r="HI37" i="1"/>
  <c r="HJ37" i="1"/>
  <c r="HK37" i="1"/>
  <c r="GM38" i="1"/>
  <c r="GN38" i="1"/>
  <c r="GO38" i="1"/>
  <c r="GP38" i="1"/>
  <c r="GQ38" i="1"/>
  <c r="GR38" i="1"/>
  <c r="GS38" i="1"/>
  <c r="GT38" i="1"/>
  <c r="GU38" i="1"/>
  <c r="GV38" i="1"/>
  <c r="GW38" i="1"/>
  <c r="GX38" i="1"/>
  <c r="GY38" i="1"/>
  <c r="GZ38" i="1"/>
  <c r="HA38" i="1"/>
  <c r="HB38" i="1"/>
  <c r="HC38" i="1"/>
  <c r="HD38" i="1"/>
  <c r="HE38" i="1"/>
  <c r="HF38" i="1"/>
  <c r="HG38" i="1" a="1"/>
  <c r="HH38" i="1"/>
  <c r="HI38" i="1"/>
  <c r="HJ38" i="1"/>
  <c r="HK38" i="1"/>
  <c r="GM39" i="1"/>
  <c r="GN39" i="1"/>
  <c r="GO39" i="1"/>
  <c r="GP39" i="1"/>
  <c r="GQ39" i="1"/>
  <c r="GR39" i="1"/>
  <c r="GS39" i="1"/>
  <c r="GT39" i="1"/>
  <c r="GU39" i="1"/>
  <c r="GV39" i="1"/>
  <c r="GW39" i="1"/>
  <c r="GX39" i="1"/>
  <c r="GY39" i="1"/>
  <c r="GZ39" i="1"/>
  <c r="HA39" i="1"/>
  <c r="HB39" i="1"/>
  <c r="HC39" i="1"/>
  <c r="HD39" i="1"/>
  <c r="HE39" i="1"/>
  <c r="HF39" i="1"/>
  <c r="HG39" i="1" a="1"/>
  <c r="HH39" i="1"/>
  <c r="HI39" i="1"/>
  <c r="HJ39" i="1"/>
  <c r="HK39" i="1"/>
  <c r="GM40" i="1"/>
  <c r="GN40" i="1"/>
  <c r="GO40" i="1"/>
  <c r="GP40" i="1"/>
  <c r="GQ40" i="1"/>
  <c r="GR40" i="1"/>
  <c r="GS40" i="1"/>
  <c r="GT40" i="1"/>
  <c r="GU40" i="1"/>
  <c r="GV40" i="1"/>
  <c r="GW40" i="1"/>
  <c r="GX40" i="1"/>
  <c r="GY40" i="1"/>
  <c r="GZ40" i="1"/>
  <c r="HA40" i="1"/>
  <c r="HB40" i="1"/>
  <c r="HC40" i="1"/>
  <c r="HD40" i="1"/>
  <c r="HE40" i="1"/>
  <c r="HF40" i="1"/>
  <c r="HG40" i="1" a="1"/>
  <c r="HH40" i="1"/>
  <c r="HI40" i="1"/>
  <c r="HJ40" i="1"/>
  <c r="HK40" i="1"/>
  <c r="GM41" i="1"/>
  <c r="GN41" i="1"/>
  <c r="GO41" i="1"/>
  <c r="GP41" i="1"/>
  <c r="GQ41" i="1"/>
  <c r="GR41" i="1"/>
  <c r="GS41" i="1"/>
  <c r="GT41" i="1"/>
  <c r="GU41" i="1"/>
  <c r="GV41" i="1"/>
  <c r="GW41" i="1"/>
  <c r="GX41" i="1"/>
  <c r="GY41" i="1"/>
  <c r="GZ41" i="1"/>
  <c r="HA41" i="1"/>
  <c r="HB41" i="1"/>
  <c r="HC41" i="1"/>
  <c r="HD41" i="1"/>
  <c r="HE41" i="1"/>
  <c r="HF41" i="1"/>
  <c r="HG41" i="1" a="1"/>
  <c r="HH41" i="1"/>
  <c r="HI41" i="1"/>
  <c r="HJ41" i="1"/>
  <c r="HK41" i="1"/>
  <c r="HE4" i="1"/>
  <c r="HD4" i="1"/>
  <c r="HC4" i="1"/>
  <c r="HA4" i="1"/>
  <c r="GZ4" i="1"/>
  <c r="GY4" i="1"/>
  <c r="GX4" i="1"/>
  <c r="GW4" i="1"/>
  <c r="GV4" i="1"/>
  <c r="GU4" i="1"/>
  <c r="GT4" i="1"/>
  <c r="GS4" i="1"/>
  <c r="GR4" i="1"/>
  <c r="GQ4" i="1"/>
  <c r="GP4" i="1"/>
  <c r="GO4" i="1"/>
  <c r="GN4" i="1"/>
  <c r="GM4" i="1"/>
  <c r="AT4" i="1"/>
  <c r="HB4" i="1"/>
  <c r="AT5" i="1"/>
  <c r="AT6" i="1"/>
  <c r="AT7" i="1"/>
  <c r="AT8" i="1"/>
  <c r="AT9"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HG47" i="1" l="1" a="1"/>
  <c r="HK47" i="1"/>
  <c r="HG17" i="1" a="1"/>
  <c r="HF17" i="1"/>
  <c r="HK69" i="1"/>
  <c r="HG69" i="1" a="1"/>
  <c r="HF47" i="1"/>
  <c r="HJ17" i="1"/>
  <c r="HF69" i="1"/>
  <c r="HH17" i="1"/>
  <c r="HK17" i="1" s="1"/>
  <c r="HJ47" i="1"/>
  <c r="HH10" i="1"/>
  <c r="HK10" i="1" s="1"/>
  <c r="HG10" i="1" a="1"/>
  <c r="HJ10" i="1"/>
  <c r="HF10" i="1"/>
  <c r="HI4" i="1"/>
  <c r="HH4" i="1" l="1"/>
  <c r="HG4" i="1" a="1"/>
  <c r="HJ4" i="1"/>
  <c r="HF4" i="1"/>
  <c r="HK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tc={33D8584A-5F67-476C-B4CE-1CC4C40D8FA4}</author>
    <author>tc={3834601A-1186-4DE3-B2C3-C16072A94E56}</author>
    <author>tc={FA36528C-D9BA-48CF-9B1F-B2E56488693D}</author>
    <author>tc={BC3D38BC-98A0-4AF1-9E86-27B43F0189CD}</author>
    <author>tc={B6D3FAF7-B0CE-4C10-95A2-5A4411DACD19}</author>
    <author>tc={4757367A-BB2C-4A5C-9A74-975B8A8A1C31}</author>
    <author>tc={E845D1FD-95F0-4784-A159-C54F401FEA74}</author>
    <author>tc={FB944283-0E6F-45DC-A7D1-293E7C181974}</author>
    <author>tc={7D0568B7-0D8E-4654-9418-96EC301EED6C}</author>
    <author>tc={DDD2ABCA-C6FE-4105-9F2F-8DD92C053355}</author>
    <author>tc={CA2CFB51-717A-4C06-A39D-44BD864C91DD}</author>
    <author>tc={6340C7E2-E3B2-46E9-8203-3734D83FE7A9}</author>
    <author>tc={9BB6D1E9-B6D0-4276-A9D3-0A3BBD3D526A}</author>
    <author>tc={45EF7B77-9767-4404-841B-A575C9268CAD}</author>
    <author>tc={7621031A-B507-43F0-B002-A8DA44552989}</author>
    <author>tc={AEFDFA35-21C3-4E45-8D6E-FF13DAADB1E5}</author>
    <author>tc={CE5E1C12-51EB-4157-B5D0-60E11A7CFA11}</author>
    <author>tc={39F4D0AB-E5FB-4D86-96FD-5889A1E37DA0}</author>
    <author>tc={934CBFD9-D71F-479D-8589-DE43882EED2A}</author>
    <author>tc={90E35D1F-9EA1-407B-9032-D12D8C460D6B}</author>
    <author>tc={2BCB0F05-0097-4002-B897-B7099326A986}</author>
  </authors>
  <commentList>
    <comment ref="A5" authorId="0" shapeId="0" xr:uid="{33D8584A-5F67-476C-B4CE-1CC4C40D8FA4}">
      <text>
        <t>[Threaded comment]
Your version of Excel allows you to read this threaded comment; however, any edits to it will get removed if the file is opened in a newer version of Excel. Learn more: https://go.microsoft.com/fwlink/?linkid=870924
Comment:
    see note on block</t>
      </text>
    </comment>
    <comment ref="F5" authorId="1" shapeId="0" xr:uid="{3834601A-1186-4DE3-B2C3-C16072A94E56}">
      <text>
        <t>[Threaded comment]
Your version of Excel allows you to read this threaded comment; however, any edits to it will get removed if the file is opened in a newer version of Excel. Learn more: https://go.microsoft.com/fwlink/?linkid=870924
Comment:
    A18?</t>
      </text>
    </comment>
    <comment ref="EI6" authorId="2" shapeId="0" xr:uid="{FA36528C-D9BA-48CF-9B1F-B2E56488693D}">
      <text>
        <t>[Threaded comment]
Your version of Excel allows you to read this threaded comment; however, any edits to it will get removed if the file is opened in a newer version of Excel. Learn more: https://go.microsoft.com/fwlink/?linkid=870924
Comment:
    this is the first recurrence after diagnosis</t>
      </text>
    </comment>
    <comment ref="EI10" authorId="3" shapeId="0" xr:uid="{BC3D38BC-98A0-4AF1-9E86-27B43F0189CD}">
      <text>
        <t>[Threaded comment]
Your version of Excel allows you to read this threaded comment; however, any edits to it will get removed if the file is opened in a newer version of Excel. Learn more: https://go.microsoft.com/fwlink/?linkid=870924
Comment:
    estimate</t>
      </text>
    </comment>
    <comment ref="EM10" authorId="4" shapeId="0" xr:uid="{B6D3FAF7-B0CE-4C10-95A2-5A4411DACD19}">
      <text>
        <t>[Threaded comment]
Your version of Excel allows you to read this threaded comment; however, any edits to it will get removed if the file is opened in a newer version of Excel. Learn more: https://go.microsoft.com/fwlink/?linkid=870924
Comment:
    estimate</t>
      </text>
    </comment>
    <comment ref="EN10" authorId="5" shapeId="0" xr:uid="{4757367A-BB2C-4A5C-9A74-975B8A8A1C31}">
      <text>
        <t>[Threaded comment]
Your version of Excel allows you to read this threaded comment; however, any edits to it will get removed if the file is opened in a newer version of Excel. Learn more: https://go.microsoft.com/fwlink/?linkid=870924
Comment:
    estimate</t>
      </text>
    </comment>
    <comment ref="A17" authorId="6" shapeId="0" xr:uid="{E845D1FD-95F0-4784-A159-C54F401FEA74}">
      <text>
        <t>[Threaded comment]
Your version of Excel allows you to read this threaded comment; however, any edits to it will get removed if the file is opened in a newer version of Excel. Learn more: https://go.microsoft.com/fwlink/?linkid=870924
Comment:
    This is an ovarian tumour (sorry must have put in wrong search category) - needs to be moved to the ovarian cohort</t>
      </text>
    </comment>
    <comment ref="A24" authorId="7" shapeId="0" xr:uid="{FB944283-0E6F-45DC-A7D1-293E7C181974}">
      <text>
        <t>[Threaded comment]
Your version of Excel allows you to read this threaded comment; however, any edits to it will get removed if the file is opened in a newer version of Excel. Learn more: https://go.microsoft.com/fwlink/?linkid=870924
Comment:
    Sent in Pembro/Nivo 2022-2023 Misc</t>
      </text>
    </comment>
    <comment ref="CR33" authorId="8" shapeId="0" xr:uid="{7D0568B7-0D8E-4654-9418-96EC301EED6C}">
      <text>
        <t>[Threaded comment]
Your version of Excel allows you to read this threaded comment; however, any edits to it will get removed if the file is opened in a newer version of Excel. Learn more: https://go.microsoft.com/fwlink/?linkid=870924
Comment:
    lymph nodes thought to be postoperative changes</t>
      </text>
    </comment>
    <comment ref="BE34" authorId="9" shapeId="0" xr:uid="{DDD2ABCA-C6FE-4105-9F2F-8DD92C053355}">
      <text>
        <t>[Threaded comment]
Your version of Excel allows you to read this threaded comment; however, any edits to it will get removed if the file is opened in a newer version of Excel. Learn more: https://go.microsoft.com/fwlink/?linkid=870924
Comment:
    does not say focal or substantial LVSI - presume substantial</t>
      </text>
    </comment>
    <comment ref="BE35" authorId="10" shapeId="0" xr:uid="{CA2CFB51-717A-4C06-A39D-44BD864C91DD}">
      <text>
        <t>[Threaded comment]
Your version of Excel allows you to read this threaded comment; however, any edits to it will get removed if the file is opened in a newer version of Excel. Learn more: https://go.microsoft.com/fwlink/?linkid=870924
Comment:
    does not say whether focal or substantial but assume substantial LVSI</t>
      </text>
    </comment>
    <comment ref="ER39" authorId="11" shapeId="0" xr:uid="{6340C7E2-E3B2-46E9-8203-3734D83FE7A9}">
      <text>
        <t>[Threaded comment]
Your version of Excel allows you to read this threaded comment; however, any edits to it will get removed if the file is opened in a newer version of Excel. Learn more: https://go.microsoft.com/fwlink/?linkid=870924
Comment:
    Epro 12 nov 2025</t>
      </text>
    </comment>
    <comment ref="BE46" authorId="12" shapeId="0" xr:uid="{9BB6D1E9-B6D0-4276-A9D3-0A3BBD3D526A}">
      <text>
        <t>[Threaded comment]
Your version of Excel allows you to read this threaded comment; however, any edits to it will get removed if the file is opened in a newer version of Excel. Learn more: https://go.microsoft.com/fwlink/?linkid=870924
Comment:
    not mentioned if substantial or focal LVSI - assume substantial</t>
      </text>
    </comment>
    <comment ref="A47" authorId="13" shapeId="0" xr:uid="{45EF7B77-9767-4404-841B-A575C9268CAD}">
      <text>
        <t>[Threaded comment]
Your version of Excel allows you to read this threaded comment; however, any edits to it will get removed if the file is opened in a newer version of Excel. Learn more: https://go.microsoft.com/fwlink/?linkid=870924
Comment:
    is actually an adenocarcinoma of cervix. Needs moving although not sure if we have any cervix cohorts currently</t>
      </text>
    </comment>
    <comment ref="BE50" authorId="14" shapeId="0" xr:uid="{7621031A-B507-43F0-B002-A8DA44552989}">
      <text>
        <t>[Threaded comment]
Your version of Excel allows you to read this threaded comment; however, any edits to it will get removed if the file is opened in a newer version of Excel. Learn more: https://go.microsoft.com/fwlink/?linkid=870924
Comment:
    does not say whether focal or substantial LVSI - assume substantial</t>
      </text>
    </comment>
    <comment ref="BE53" authorId="15" shapeId="0" xr:uid="{AEFDFA35-21C3-4E45-8D6E-FF13DAADB1E5}">
      <text>
        <t>[Threaded comment]
Your version of Excel allows you to read this threaded comment; however, any edits to it will get removed if the file is opened in a newer version of Excel. Learn more: https://go.microsoft.com/fwlink/?linkid=870924
Comment:
    reaches but does not breach serosa (stage IB FIGO 2009)</t>
      </text>
    </comment>
    <comment ref="GG56" authorId="16" shapeId="0" xr:uid="{CE5E1C12-51EB-4157-B5D0-60E11A7CFA11}">
      <text>
        <t>[Threaded comment]
Your version of Excel allows you to read this threaded comment; however, any edits to it will get removed if the file is opened in a newer version of Excel. Learn more: https://go.microsoft.com/fwlink/?linkid=870924
Comment:
    date last seen will have to do (date death missing)</t>
      </text>
    </comment>
    <comment ref="EN57" authorId="17" shapeId="0" xr:uid="{39F4D0AB-E5FB-4D86-96FD-5889A1E37DA0}">
      <text>
        <t>[Threaded comment]
Your version of Excel allows you to read this threaded comment; however, any edits to it will get removed if the file is opened in a newer version of Excel. Learn more: https://go.microsoft.com/fwlink/?linkid=870924
Comment:
    estimate</t>
      </text>
    </comment>
    <comment ref="BE59" authorId="18" shapeId="0" xr:uid="{934CBFD9-D71F-479D-8589-DE43882EED2A}">
      <text>
        <t>[Threaded comment]
Your version of Excel allows you to read this threaded comment; however, any edits to it will get removed if the file is opened in a newer version of Excel. Learn more: https://go.microsoft.com/fwlink/?linkid=870924
Comment:
    prominent LVSI</t>
      </text>
    </comment>
    <comment ref="BE64" authorId="19" shapeId="0" xr:uid="{90E35D1F-9EA1-407B-9032-D12D8C460D6B}">
      <text>
        <t>[Threaded comment]
Your version of Excel allows you to read this threaded comment; however, any edits to it will get removed if the file is opened in a newer version of Excel. Learn more: https://go.microsoft.com/fwlink/?linkid=870924
Comment:
    reaches but does not breach serosa (IB Figo 2009)
Reply:
    Also incomplete lymph node removal (clinically stage 3C2)</t>
      </text>
    </comment>
    <comment ref="A69" authorId="20" shapeId="0" xr:uid="{2BCB0F05-0097-4002-B897-B7099326A986}">
      <text>
        <t>[Threaded comment]
Your version of Excel allows you to read this threaded comment; however, any edits to it will get removed if the file is opened in a newer version of Excel. Learn more: https://go.microsoft.com/fwlink/?linkid=870924
Comment:
    not sure if I should include this case - no invasive carcinoma in the specimen (will ask Nic)
Reply:
    checked with Nic - should not include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tc={3C0FB714-1F6F-4320-BA6A-DA183B5C32F8}</author>
    <author>tc={55700495-09ED-4A15-8F59-1D9B066B1233}</author>
    <author>tc={713B68EF-C14E-4C35-90CA-6FFE3D6837D6}</author>
  </authors>
  <commentList>
    <comment ref="A3" authorId="0" shapeId="0" xr:uid="{3C0FB714-1F6F-4320-BA6A-DA183B5C32F8}">
      <text>
        <t>[Threaded comment]
Your version of Excel allows you to read this threaded comment; however, any edits to it will get removed if the file is opened in a newer version of Excel. Learn more: https://go.microsoft.com/fwlink/?linkid=870924
Comment:
    see note on block</t>
      </text>
    </comment>
    <comment ref="F68" authorId="1" shapeId="0" xr:uid="{55700495-09ED-4A15-8F59-1D9B066B1233}">
      <text>
        <t>[Threaded comment]
Your version of Excel allows you to read this threaded comment; however, any edits to it will get removed if the file is opened in a newer version of Excel. Learn more: https://go.microsoft.com/fwlink/?linkid=870924
Comment:
    file link 11 march 2025</t>
      </text>
    </comment>
    <comment ref="F73" authorId="2" shapeId="0" xr:uid="{713B68EF-C14E-4C35-90CA-6FFE3D6837D6}">
      <text>
        <t>[Threaded comment]
Your version of Excel allows you to read this threaded comment; however, any edits to it will get removed if the file is opened in a newer version of Excel. Learn more: https://go.microsoft.com/fwlink/?linkid=870924
Comment:
    hard to interpret the description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<sst xmlns="http://schemas.openxmlformats.org/spreadsheetml/2006/main" count="16611" uniqueCount="1434">
  <si>
    <t>PLEASE BE AWARE COLUMNS MAY BE 'HIDDEN' OR 'COLLAPSED'</t>
  </si>
  <si>
    <t>NHS number</t>
  </si>
  <si>
    <t>Any Immunotherapy</t>
  </si>
  <si>
    <t>Specimen treatment subgrouping</t>
  </si>
  <si>
    <t>Specimen is a recurrence</t>
  </si>
  <si>
    <t>Selected specimen Anonymised ID</t>
  </si>
  <si>
    <t>Specimen Block number 1</t>
  </si>
  <si>
    <t>Specimen Block number 2</t>
  </si>
  <si>
    <t>Specimen surgery date</t>
  </si>
  <si>
    <t>Specimen surgery</t>
  </si>
  <si>
    <t>Specimen tumour site</t>
  </si>
  <si>
    <t>Primary Surgery date</t>
  </si>
  <si>
    <t>Primary tumour site</t>
  </si>
  <si>
    <t>Anonymized ID Matched met 1</t>
  </si>
  <si>
    <t>Matched met 1 Block Number</t>
  </si>
  <si>
    <t>Matched met 1 Site</t>
  </si>
  <si>
    <t>Matched met 1 Surgery Date</t>
  </si>
  <si>
    <t>Matched met 1 treatment subgrouping</t>
  </si>
  <si>
    <t>Anonymized ID Matched met 2</t>
  </si>
  <si>
    <t>Matched met 2 Block Number</t>
  </si>
  <si>
    <t>Matched met 2 Site</t>
  </si>
  <si>
    <t>Matched met 2 Surgery Date</t>
  </si>
  <si>
    <t>Matched met 2 treatment subgrouping</t>
  </si>
  <si>
    <t>Anonymized ID Matched met 3</t>
  </si>
  <si>
    <t>Matched met 3 Block Number</t>
  </si>
  <si>
    <t>Matched met 3 Site</t>
  </si>
  <si>
    <t>Matched met 3 Surgery Date</t>
  </si>
  <si>
    <t>Matched met 3 treatment subgrouping</t>
  </si>
  <si>
    <t>Anonymized ID Matched met 4</t>
  </si>
  <si>
    <t>Matched met 4 Block Number</t>
  </si>
  <si>
    <t>Matched met 4 Site</t>
  </si>
  <si>
    <t>Matched met 4 Surgery Date</t>
  </si>
  <si>
    <t>Matched met 4 treatment subgrouping</t>
  </si>
  <si>
    <t>Anonymized ID Matched met 5</t>
  </si>
  <si>
    <t>Matched met 5 Block Number</t>
  </si>
  <si>
    <t>Matched met 5 Site</t>
  </si>
  <si>
    <t>Matched met 5 Surgery Date</t>
  </si>
  <si>
    <t>Matched met 5 treatment subgrouping</t>
  </si>
  <si>
    <t>Anonymized ID Normal tissue</t>
  </si>
  <si>
    <t>Matched Normal tissue Block Number</t>
  </si>
  <si>
    <t>Matched Normal tissue Site</t>
  </si>
  <si>
    <t>Matched Normal tissue Surgery Date</t>
  </si>
  <si>
    <t>Matched Normal treatment subgrouping</t>
  </si>
  <si>
    <t>Gender</t>
  </si>
  <si>
    <t>DOB</t>
  </si>
  <si>
    <t>Date of DX</t>
  </si>
  <si>
    <t>Age at Diagnosis</t>
  </si>
  <si>
    <t>Specimen Histological Diagnosis</t>
  </si>
  <si>
    <t>Staging/grading info provided for:</t>
  </si>
  <si>
    <t>Resection margins clear</t>
  </si>
  <si>
    <t>pT</t>
  </si>
  <si>
    <t>pN</t>
  </si>
  <si>
    <t>pM</t>
  </si>
  <si>
    <t>cM</t>
  </si>
  <si>
    <t>TNM stage</t>
  </si>
  <si>
    <t>Grade</t>
  </si>
  <si>
    <t>Staging criteria</t>
  </si>
  <si>
    <t>Stage at DX</t>
  </si>
  <si>
    <t>Any Neoadjuvant therapy</t>
  </si>
  <si>
    <t>Response to neoadjuvant therapy (TRS score)</t>
  </si>
  <si>
    <t>Neoadjuvant Tx1</t>
  </si>
  <si>
    <t>Neoadjuvant Tx1 Agent</t>
  </si>
  <si>
    <t>Neoadjuvant Tx1 Start Date</t>
  </si>
  <si>
    <t>Neoadjuvant Tx1 End Date</t>
  </si>
  <si>
    <t>Tumour response Neoadjuvant Tx1</t>
  </si>
  <si>
    <t>Neoadjuvant Tx2</t>
  </si>
  <si>
    <t>Neoadjuvant Tx2 Agent</t>
  </si>
  <si>
    <t>Tumour response Neoadjuvant  Tx2</t>
  </si>
  <si>
    <t>Neoadjuvant Tx3</t>
  </si>
  <si>
    <t>Neoadjuvant Tx3 Agent</t>
  </si>
  <si>
    <t>Tumour response Neoadjuvant  Tx3</t>
  </si>
  <si>
    <t>Neoadjuvant Tx4</t>
  </si>
  <si>
    <t>Neoadjuvant Tx4 Agent</t>
  </si>
  <si>
    <t>Tumour response Neoadjuvant  Tx4</t>
  </si>
  <si>
    <t>Neoadjuvant Tx5</t>
  </si>
  <si>
    <t>Neoadjuvant Tx5 Agent</t>
  </si>
  <si>
    <t>Tumour response Neoadjuvant  Tx5</t>
  </si>
  <si>
    <t>Neoadjuvant Tx6</t>
  </si>
  <si>
    <t>Neoadjuvant Tx6 Agent</t>
  </si>
  <si>
    <t>Tumour response Neoadjuvant  Tx6</t>
  </si>
  <si>
    <t>Neoadjuvant Tx7</t>
  </si>
  <si>
    <t>Neoadjuvant Tx7 Agent</t>
  </si>
  <si>
    <t>Tumour response Neoadjuvant  Tx7</t>
  </si>
  <si>
    <t>Neoadjuvant Tx8</t>
  </si>
  <si>
    <t>Neoadjuvant Tx8 Agent</t>
  </si>
  <si>
    <t>Tumour response Neoadjuvant  Tx8</t>
  </si>
  <si>
    <t>Neoadjuvant Tx9</t>
  </si>
  <si>
    <t>Neoadjuvant Tx9 Agent</t>
  </si>
  <si>
    <t>Tumour response Neoadjuvant  Tx9</t>
  </si>
  <si>
    <t>Neoadjuvant Tx10</t>
  </si>
  <si>
    <t>Neoadjuvant Tx10 Agent</t>
  </si>
  <si>
    <t>Tumour response Neoadjuvant Tx10</t>
  </si>
  <si>
    <t>Adjuvant Tx1</t>
  </si>
  <si>
    <t>Adjuvant Tx1 Agent</t>
  </si>
  <si>
    <t>Adjuvant Tx1 Start Date</t>
  </si>
  <si>
    <t>Adjuvant Tx1 End Date</t>
  </si>
  <si>
    <t>Tumour response Adjuvant Tx1</t>
  </si>
  <si>
    <t>Adjuvant Tx2</t>
  </si>
  <si>
    <t>Adjuvant Tx2 Agent</t>
  </si>
  <si>
    <t>Tumour response Adjuvant  Tx2</t>
  </si>
  <si>
    <t>Adjuvant Tx3</t>
  </si>
  <si>
    <t>Adjuvant Tx3 Agent</t>
  </si>
  <si>
    <t>Tumour response Adjuvant  Tx3</t>
  </si>
  <si>
    <t>Adjuvant Tx4</t>
  </si>
  <si>
    <t>Adjuvant Tx4 Agent</t>
  </si>
  <si>
    <t>Tumour response Adjuvant  Tx4</t>
  </si>
  <si>
    <t>Adjuvant Tx5</t>
  </si>
  <si>
    <t>Adjuvant Tx5 Agent</t>
  </si>
  <si>
    <t>Tumour response Adjuvant  Tx5</t>
  </si>
  <si>
    <t>Adjuvant Tx6</t>
  </si>
  <si>
    <t>Adjuvant Tx6 Agent</t>
  </si>
  <si>
    <t>Tumour response Adjuvant  Tx6</t>
  </si>
  <si>
    <t>Adjuvant Tx7</t>
  </si>
  <si>
    <t>Adjuvant Tx7 Agent</t>
  </si>
  <si>
    <t>Tumour response Adjuvant  Tx7</t>
  </si>
  <si>
    <t>Adjuvant Tx8</t>
  </si>
  <si>
    <t>Adjuvant Tx8 Agent</t>
  </si>
  <si>
    <t>Tumour response Adjuvant  Tx8</t>
  </si>
  <si>
    <t>Adjuvant Tx9</t>
  </si>
  <si>
    <t>Adjuvant Tx9 Agent</t>
  </si>
  <si>
    <t>Tumour response Adjuvant  Tx9</t>
  </si>
  <si>
    <t>Adjuvant Tx10</t>
  </si>
  <si>
    <t>Adjuvant Tx10 Agent</t>
  </si>
  <si>
    <t>Tumour response Adjuvant Tx10</t>
  </si>
  <si>
    <t>Adjuvant Tx11</t>
  </si>
  <si>
    <t>Adjuvant Tx11 Agent</t>
  </si>
  <si>
    <t>Tumour response Adjuvant Tx11</t>
  </si>
  <si>
    <t>Adjuvant Tx12</t>
  </si>
  <si>
    <t>Adjuvant Tx12 Agent</t>
  </si>
  <si>
    <t>Tumour response Adjuvant Tx12</t>
  </si>
  <si>
    <t>Adjuvant Tx13</t>
  </si>
  <si>
    <t>Adjuvant Tx13 Agent</t>
  </si>
  <si>
    <t>Tumour response Adjuvant Tx13</t>
  </si>
  <si>
    <t>Adjuvant Tx14</t>
  </si>
  <si>
    <t>Adjuvant Tx14 Agent</t>
  </si>
  <si>
    <t>Tumour response Adjuvant Tx14</t>
  </si>
  <si>
    <t>Adjuvant Tx15</t>
  </si>
  <si>
    <t>Adjuvant Tx15 Agent</t>
  </si>
  <si>
    <t>Tumour response Adjuvant Tx15</t>
  </si>
  <si>
    <t>Date recurrence/ progression 1</t>
  </si>
  <si>
    <t>Sites recurrence/ progression 1</t>
  </si>
  <si>
    <t>Subsequent Tx1</t>
  </si>
  <si>
    <t>Subsequent Tx1 Agent</t>
  </si>
  <si>
    <t>Subsequent Tx1 Start Date</t>
  </si>
  <si>
    <t>Subsequent Tx1        End Date</t>
  </si>
  <si>
    <t>Tumour response to Subsequent Tx1</t>
  </si>
  <si>
    <t>Subsequent Tx2</t>
  </si>
  <si>
    <t>Subsequent Tx2 Agent</t>
  </si>
  <si>
    <t>Tumour response to Subsequent Tx2</t>
  </si>
  <si>
    <t>Subsequent Tx3</t>
  </si>
  <si>
    <t>Subsequent Tx3 Agent</t>
  </si>
  <si>
    <t>Tumour response to Subsequent Tx3</t>
  </si>
  <si>
    <t>Subsequent Tx4</t>
  </si>
  <si>
    <t>Subsequent Tx4 Agent</t>
  </si>
  <si>
    <t>Tumour response to Subsequent Tx4</t>
  </si>
  <si>
    <t>Subsequent Tx5</t>
  </si>
  <si>
    <t>Subsequent Tx5 Agent</t>
  </si>
  <si>
    <t>Tumour response to Subsequent Tx5</t>
  </si>
  <si>
    <t>Subsequent Tx6</t>
  </si>
  <si>
    <t>Subsequent Tx6 Agent</t>
  </si>
  <si>
    <t>Tumour response to Subsequent Tx6</t>
  </si>
  <si>
    <t>Subsequent Tx7</t>
  </si>
  <si>
    <t>Subsequent Tx7 Agent</t>
  </si>
  <si>
    <t>Tumour response to Subsequent Tx7</t>
  </si>
  <si>
    <t>Subsequent Tx8</t>
  </si>
  <si>
    <t>Subsequent Tx8 Agent</t>
  </si>
  <si>
    <t>Tumour response to Subsequent Tx8</t>
  </si>
  <si>
    <t>Subsequent Tx9</t>
  </si>
  <si>
    <t>Subsequent Tx9 Agent</t>
  </si>
  <si>
    <t>Tumour response to Subsequent Tx9</t>
  </si>
  <si>
    <t>Subsequent Tx10</t>
  </si>
  <si>
    <t>Subsequent Tx10 Agent</t>
  </si>
  <si>
    <t>Tumour response to Subsequent Tx10</t>
  </si>
  <si>
    <t>Subsequent Tx11</t>
  </si>
  <si>
    <t>Subsequent Tx11 Agent</t>
  </si>
  <si>
    <t>Tumour response to Subsequent Tx11</t>
  </si>
  <si>
    <t>Subsequent Tx12</t>
  </si>
  <si>
    <t>Subsequent Tx12 Agent</t>
  </si>
  <si>
    <t>Tumour response to Subsequent Tx12</t>
  </si>
  <si>
    <t>Subsequent Tx13</t>
  </si>
  <si>
    <t>Subsequent Tx13 Agent</t>
  </si>
  <si>
    <t>Tumour response to Subsequent Tx13</t>
  </si>
  <si>
    <t>Subsequent Tx14</t>
  </si>
  <si>
    <t>Subsequent Tx14 Agent</t>
  </si>
  <si>
    <t>Tumour response to Subsequent Tx14</t>
  </si>
  <si>
    <t>Subsequent Tx15</t>
  </si>
  <si>
    <t>Subsequent Tx15 Agent</t>
  </si>
  <si>
    <t>Tumour response to Subsequent Tx15</t>
  </si>
  <si>
    <t>Current Status</t>
  </si>
  <si>
    <t>Death date</t>
  </si>
  <si>
    <t>Death tumour related</t>
  </si>
  <si>
    <t>Cause of death</t>
  </si>
  <si>
    <t>Date last follow-up</t>
  </si>
  <si>
    <t>Date Last Seen</t>
  </si>
  <si>
    <t>Comments from clinical team</t>
  </si>
  <si>
    <t>TTE Neoadjuvant Tx1 Start Date</t>
  </si>
  <si>
    <t>TTE Neoadjuvant Tx1 End Date</t>
  </si>
  <si>
    <t>TTE Specimen surgery date</t>
  </si>
  <si>
    <t>TTE Primary Surgery date</t>
  </si>
  <si>
    <t>TTE Matched met 1 Surgery Date</t>
  </si>
  <si>
    <t>TTE Matched met 2 Surgery Date</t>
  </si>
  <si>
    <t>TTE Matched met 3 Surgery Date</t>
  </si>
  <si>
    <t>TTE Matched met 4 Surgery Date</t>
  </si>
  <si>
    <t>TTE Matched met 5 Surgery Date</t>
  </si>
  <si>
    <t>TTE Matched Normal tissue Surgery Date</t>
  </si>
  <si>
    <t>TTE Adjuvant Tx1 Start Date</t>
  </si>
  <si>
    <t>TTE Adjuvant Tx1 End Date</t>
  </si>
  <si>
    <t>TTE Date recurrence/ progression 1</t>
  </si>
  <si>
    <t>TTE Subsequent Tx1 Start Date</t>
  </si>
  <si>
    <t>TTE Subsequent Tx1 End Date</t>
  </si>
  <si>
    <t>TTE Recurrence (PFS)</t>
  </si>
  <si>
    <t>TTE Death (OS and PFS)</t>
  </si>
  <si>
    <t>TTE Date last follow-up (PFS)</t>
  </si>
  <si>
    <t>TTE Date last seen (OS)</t>
  </si>
  <si>
    <t>TTE Overall survival (OS) in months</t>
  </si>
  <si>
    <t>TTE Progression free survival (PFS) in months</t>
  </si>
  <si>
    <t>Event (recurrence/progression)</t>
  </si>
  <si>
    <t>Event (cancer death)</t>
  </si>
  <si>
    <t>Event (death; all causes)</t>
  </si>
  <si>
    <t>Event (recurrence or cancer death)</t>
  </si>
  <si>
    <t>No</t>
  </si>
  <si>
    <t>Treatment naïve</t>
  </si>
  <si>
    <t>JH05-00892</t>
  </si>
  <si>
    <t>A3</t>
  </si>
  <si>
    <t>A8</t>
  </si>
  <si>
    <t>Total abdominal hysterectomy + BSO + pelvic lymph node sampling</t>
  </si>
  <si>
    <t>Uterine corpus</t>
  </si>
  <si>
    <t>N/A</t>
  </si>
  <si>
    <t>F</t>
  </si>
  <si>
    <t>Endometrioid adenocarcinoma of the endometrium</t>
  </si>
  <si>
    <t>Specimen</t>
  </si>
  <si>
    <t>NR</t>
  </si>
  <si>
    <t>x</t>
  </si>
  <si>
    <t>FIGO 1988</t>
  </si>
  <si>
    <t>IC</t>
  </si>
  <si>
    <t>Left lung (New met)</t>
  </si>
  <si>
    <t>Deceased</t>
  </si>
  <si>
    <t>Lung met resected, no other treatment</t>
  </si>
  <si>
    <t>JH07-12086</t>
  </si>
  <si>
    <t>A18</t>
  </si>
  <si>
    <t>Laparoscopically assisted vaginal hysterectomy, bilateral salpingo-oophorectomy and bilateral pelvic lymph node sampling</t>
  </si>
  <si>
    <t>Yes</t>
  </si>
  <si>
    <t>T2N0M0</t>
  </si>
  <si>
    <r>
      <rPr>
        <sz val="10"/>
        <color rgb="FF000000"/>
        <rFont val="Calibri"/>
      </rPr>
      <t xml:space="preserve">FIGO 2023 </t>
    </r>
    <r>
      <rPr>
        <i/>
        <sz val="10"/>
        <color rgb="FF000000"/>
        <rFont val="Calibri"/>
      </rPr>
      <t>without</t>
    </r>
    <r>
      <rPr>
        <sz val="10"/>
        <color rgb="FF000000"/>
        <rFont val="Calibri"/>
      </rPr>
      <t xml:space="preserve"> molecular classification</t>
    </r>
  </si>
  <si>
    <t>IIC</t>
  </si>
  <si>
    <t>Vaginal vault (Recurrence)</t>
  </si>
  <si>
    <t>Radiotherapy</t>
  </si>
  <si>
    <t>Brachytherapy 42Gy in 6# (vagina vault)</t>
  </si>
  <si>
    <t>CR</t>
  </si>
  <si>
    <t>Chemotherapy</t>
  </si>
  <si>
    <t>Carboplatin, Paclitaxel (1 cycle)</t>
  </si>
  <si>
    <t>PD</t>
  </si>
  <si>
    <t>Excision of recurrent tumour from vagina</t>
  </si>
  <si>
    <t>LH08-17105</t>
  </si>
  <si>
    <t>Vaginal vault</t>
  </si>
  <si>
    <t>Immunotherapy naïve</t>
  </si>
  <si>
    <t>Primary tumour</t>
  </si>
  <si>
    <t>T1N0M0</t>
  </si>
  <si>
    <t>45Gy in 25#, 18Gy in 10# (pelvis, vagina)</t>
  </si>
  <si>
    <t>Brachytherapy 42Gy in 6# (vaginal vault)</t>
  </si>
  <si>
    <t>Subsequent breast cancer</t>
  </si>
  <si>
    <t>LH09-30013</t>
  </si>
  <si>
    <t>Laparotomy, TAH, BSO, pelvic &amp; PA lymph node sampling, peritoneal biopsies, omentectomy</t>
  </si>
  <si>
    <t>Serous adenocarcinoma of the endometrium</t>
  </si>
  <si>
    <t>1b</t>
  </si>
  <si>
    <t>T1bN0M0</t>
  </si>
  <si>
    <t>45Gy in 25# (Pelvis)</t>
  </si>
  <si>
    <t>Small bowel (New mets)</t>
  </si>
  <si>
    <t>Carboplatin, Paclitaxel (weekly) (3 cycles) Carboplatin, paclitaxel (3-weekly) (2 cycles)</t>
  </si>
  <si>
    <t>1a) Carcinomatosis secondary to endometrial cancer</t>
  </si>
  <si>
    <t>LH12-04256</t>
  </si>
  <si>
    <t>A5</t>
  </si>
  <si>
    <t>Total laparoscopic hysterectomy/Bilateral salpingo-oophorectomy/Peritoneal washings/Pelvic lymph node sampling</t>
  </si>
  <si>
    <t>IIB</t>
  </si>
  <si>
    <t>Left upper lobe lung (New mets)</t>
  </si>
  <si>
    <t>Hormone therapy</t>
  </si>
  <si>
    <t>Anastrazole</t>
  </si>
  <si>
    <t>PR</t>
  </si>
  <si>
    <t>Megestrol acetate</t>
  </si>
  <si>
    <t>SD</t>
  </si>
  <si>
    <t>36Gy in 6# (Lung)</t>
  </si>
  <si>
    <t>LH13-33613</t>
  </si>
  <si>
    <t>A10</t>
  </si>
  <si>
    <t>A12</t>
  </si>
  <si>
    <t>Total Laparoscopic Hysterectomy; Bilateral Salpingo-oophorectomy; Infracolic omental biopsy; Bilateral pelvic node sampling; Peritoneal washings.</t>
  </si>
  <si>
    <t>Mixed serous and endometrioid adenocarcinoma of the endometrium</t>
  </si>
  <si>
    <t>Retroperitoneal and Para-aortic lymph nodes (New mets), left abdominal side wall (new met)</t>
  </si>
  <si>
    <t>Carboplatin, Paclitaxel (6 cycles)</t>
  </si>
  <si>
    <t>Megestrol Acetate, Tamoxifen (5 cycles)</t>
  </si>
  <si>
    <t>MR</t>
  </si>
  <si>
    <t>30Gy in 10# (Abdomen)</t>
  </si>
  <si>
    <t>8Gy in 1# (Bone of pelvis)</t>
  </si>
  <si>
    <t>Bicoronal incision, debulking of right frontal tumour.</t>
  </si>
  <si>
    <t>LH15-33065</t>
  </si>
  <si>
    <t>B1</t>
  </si>
  <si>
    <t>Brain</t>
  </si>
  <si>
    <t>A</t>
  </si>
  <si>
    <t>1 (lung)</t>
  </si>
  <si>
    <t>T1bN1M1</t>
  </si>
  <si>
    <t>FIGO 2009</t>
  </si>
  <si>
    <t>IVB</t>
  </si>
  <si>
    <t>lungs (recurrence)</t>
  </si>
  <si>
    <t>Carboplatin, gemcitabine (6 cycles)</t>
  </si>
  <si>
    <t>Gamma Knife- 16Gy in 1# (Tissue of brain)</t>
  </si>
  <si>
    <t>8Gy in 1# (Pelvis)</t>
  </si>
  <si>
    <t>Colposcopy: Multiple directed biopsy</t>
  </si>
  <si>
    <t>LH17-06635</t>
  </si>
  <si>
    <t>A2</t>
  </si>
  <si>
    <t>Vagina</t>
  </si>
  <si>
    <t>1a</t>
  </si>
  <si>
    <t>T1aN0M0</t>
  </si>
  <si>
    <t>45Gy in 25# (Pelvis), Brachytherapy 28Gy in 4# (vaginal vault)</t>
  </si>
  <si>
    <t>Alive</t>
  </si>
  <si>
    <t>Laparotomy, drainage of ascites, peritoneal biopsy</t>
  </si>
  <si>
    <t>LH19-25044</t>
  </si>
  <si>
    <t>A1</t>
  </si>
  <si>
    <t>Peritoneum</t>
  </si>
  <si>
    <t>1 (omentum)</t>
  </si>
  <si>
    <t>1 (omentum, peritoneum)</t>
  </si>
  <si>
    <t>T1aNxM1</t>
  </si>
  <si>
    <t>Peritoneal/omental disease (new/larger mets), Right adnexa (New met)</t>
  </si>
  <si>
    <t>Carboplatin, Paclitaxel (2 cycles) Paclitaxel, cisplatin (1 cycle)</t>
  </si>
  <si>
    <t>Paclitaxel, Cisplatin (3 cycles)</t>
  </si>
  <si>
    <t>Laparotomy + resection of recurrent pelvic mass</t>
  </si>
  <si>
    <t>LH20-22801</t>
  </si>
  <si>
    <t>Pelvis (between vagina and rectum)</t>
  </si>
  <si>
    <t>Carboplatin, Paclitaxel (5 cycles)</t>
  </si>
  <si>
    <t>Rectosigmoid nodes (Bigger mets), Peritoneal disease (New mets)</t>
  </si>
  <si>
    <t>Carboplatin (6 cycles)</t>
  </si>
  <si>
    <t>LH21-00478</t>
  </si>
  <si>
    <t>A29</t>
  </si>
  <si>
    <t>A31</t>
  </si>
  <si>
    <t>Stagin laparotomy for HGS endometrial cancer with TAH and BSO and omental biopsy and pelvic and paraaortic lymphadenectomy</t>
  </si>
  <si>
    <t>Peritoneal disease (New mets)</t>
  </si>
  <si>
    <t>Carboplatin (1 cycle)</t>
  </si>
  <si>
    <t>Previous anal cancer</t>
  </si>
  <si>
    <t>LH21-00918</t>
  </si>
  <si>
    <t>A7</t>
  </si>
  <si>
    <t>Robotic hysterectomy, bilateral salpingo-oophorectomy and pelvic lymphadenectomy</t>
  </si>
  <si>
    <t>IB</t>
  </si>
  <si>
    <t>Left pelvic wall mass (New mets)</t>
  </si>
  <si>
    <t>Letrozole</t>
  </si>
  <si>
    <t>Tamoxifen, Megestrol acetate</t>
  </si>
  <si>
    <t>LH21-01647</t>
  </si>
  <si>
    <t>A9</t>
  </si>
  <si>
    <t>A17</t>
  </si>
  <si>
    <t>Total abdominal hysterectomy + BSO</t>
  </si>
  <si>
    <t>IA2</t>
  </si>
  <si>
    <t>LH21-02847</t>
  </si>
  <si>
    <t>B4</t>
  </si>
  <si>
    <t>B5</t>
  </si>
  <si>
    <t>LH21-05742</t>
  </si>
  <si>
    <t>Total Abdominal Hysterectomy BSO Pelvic nodes and omental biopsy</t>
  </si>
  <si>
    <t>LH21-06085</t>
  </si>
  <si>
    <t xml:space="preserve">A7 </t>
  </si>
  <si>
    <t>TAH, BSO, pelvic and paraaortic lymph node biop0sy and omental biopsy</t>
  </si>
  <si>
    <t>C1</t>
  </si>
  <si>
    <t>Pelvic lymph nodes</t>
  </si>
  <si>
    <t>Mixed high grade endometrioid and clear cell adenocarcinoma of the endometrium</t>
  </si>
  <si>
    <t>3a</t>
  </si>
  <si>
    <t>T3aN2M0</t>
  </si>
  <si>
    <t>IIIC2</t>
  </si>
  <si>
    <t>Lungs (larger mets), Spine L2 (New mets)</t>
  </si>
  <si>
    <t>LH21-06275</t>
  </si>
  <si>
    <t>A21</t>
  </si>
  <si>
    <t>Laparotomy/Total abdominal hysterectomy/Bilateral salpingo-oophorectomy/Omentectomy/Pelvic and para-aortic lymphadenectomy</t>
  </si>
  <si>
    <t>LH21-06820</t>
  </si>
  <si>
    <t>A6[L]</t>
  </si>
  <si>
    <t>A7[L]</t>
  </si>
  <si>
    <t>Total laparoscopic hysterectomy + BSO</t>
  </si>
  <si>
    <t>IA1</t>
  </si>
  <si>
    <t>Patient given mirena IUS for complex atypical hyperplasia prior to diagnosis</t>
  </si>
  <si>
    <t>LH21-07793</t>
  </si>
  <si>
    <t>A4</t>
  </si>
  <si>
    <t>A6</t>
  </si>
  <si>
    <t>TAH, BSO and bilateral Pelvic lymphadenenctomy</t>
  </si>
  <si>
    <t>T1bN1M0</t>
  </si>
  <si>
    <t>IIIC1</t>
  </si>
  <si>
    <t>Brachytherapy 27Gy in 6# (vaginal vault)</t>
  </si>
  <si>
    <t>LH21-07881</t>
  </si>
  <si>
    <t>Staging laparoscopy with pelvic and paraaortic lymph nodes and omental biopsy and extensive adhesiolysis of the rectum from the posterior uterus and cervix.</t>
  </si>
  <si>
    <t>Cervix (A2) Uterine corpus (A9)</t>
  </si>
  <si>
    <t>IIA</t>
  </si>
  <si>
    <t>LH21-10277</t>
  </si>
  <si>
    <t>A15</t>
  </si>
  <si>
    <t>A13</t>
  </si>
  <si>
    <t>Staging for G1 metastatic endometrioid adeno ca of endometrium Staging endometrial cancer: TAH, BSO, Lymphadenectomy, Omental biopsy, washings</t>
  </si>
  <si>
    <t>G7</t>
  </si>
  <si>
    <t>Paracaval lymph nodes</t>
  </si>
  <si>
    <t>3b</t>
  </si>
  <si>
    <t>T3bN2M1</t>
  </si>
  <si>
    <t>IVC</t>
  </si>
  <si>
    <t>Lung (Bigger mets), Left supraclavicular, retrocrural and retroperitoneal lymph nodes (Bigger mets)</t>
  </si>
  <si>
    <t>Mixed therapy</t>
  </si>
  <si>
    <t>Pembrolizumab, Lenvatinib (3 cycles)</t>
  </si>
  <si>
    <t>LH21-10676</t>
  </si>
  <si>
    <t>T1bNxM0</t>
  </si>
  <si>
    <t>LH21-12066</t>
  </si>
  <si>
    <t>Laparotomy with total abdominal hysterectomy, bilateral salpingo-oophorectomy, infracolic omentectomy and Hartmans procedure</t>
  </si>
  <si>
    <t>1 (bowel)</t>
  </si>
  <si>
    <t>T4NxM1</t>
  </si>
  <si>
    <t>IVA</t>
  </si>
  <si>
    <t>8Gy in 1# (vagina)</t>
  </si>
  <si>
    <t>LH21-12128</t>
  </si>
  <si>
    <t>Laparotomy with total abdominal hysterectomy , bilateral salpingo-oophorectomy, infracolic omentectomy, bilateral pelvic and para-aortic lymphadenectomy</t>
  </si>
  <si>
    <t>Mixed endometrioid and serous adenocarcinoma of the endometrium</t>
  </si>
  <si>
    <t>1 (Omentum)</t>
  </si>
  <si>
    <t>T1aN0M1</t>
  </si>
  <si>
    <t>LH21-12523</t>
  </si>
  <si>
    <t>Total laparoscopic hysterectomy, bilateral salpingo-ophoretomy and bilateral pelvic lymphadenectomy</t>
  </si>
  <si>
    <t xml:space="preserve"> Synchronous malignant perotineal mesothelioma</t>
  </si>
  <si>
    <t>LH21-13379</t>
  </si>
  <si>
    <t>Laparotomy with total abdominal hysterectomy, bilateral salpingo-oophorectomy, infracolic omentectomy, bilateral pelvic and para-aortic lymph node sampling</t>
  </si>
  <si>
    <t>Right VATS Metastasectomy</t>
  </si>
  <si>
    <t>LH21-13836</t>
  </si>
  <si>
    <t>Lung, right upper lobe</t>
  </si>
  <si>
    <t>Carcinosarcoma of the endometrium (recurrent, metastatic)</t>
  </si>
  <si>
    <t>Right Lung (New mets)</t>
  </si>
  <si>
    <t>Liposomal Doxorubicin (2 cycles)</t>
  </si>
  <si>
    <t>LH21-16095</t>
  </si>
  <si>
    <t>LH21-18876</t>
  </si>
  <si>
    <t>Laparotomy with total abdominal hysterectomy, bilateral salpingo-oophorectomy, infracolic omentectomy, bilateral pelvic lymphadenectomy and para-aortic lymph node sampling</t>
  </si>
  <si>
    <t>LH21-19536</t>
  </si>
  <si>
    <t>Staging laparotomy, : TAH, BSO, Pelvic and PA LND, Omentectomy</t>
  </si>
  <si>
    <t>F10</t>
  </si>
  <si>
    <t>Paraaortic lymph nodes</t>
  </si>
  <si>
    <t>T3bN2M0</t>
  </si>
  <si>
    <t>IIIC2ii</t>
  </si>
  <si>
    <t>45Gy in 25# (Pelvis), Brachytherapy 12Gy in 3# (vaginal vault)</t>
  </si>
  <si>
    <t>LH21-20332</t>
  </si>
  <si>
    <t>Total laparoscopic hysterectomy, bilateral salpingo-oophorectomy and bilateral pelvic lymphadenectomy</t>
  </si>
  <si>
    <t>LH21-22627</t>
  </si>
  <si>
    <t>Peritoneal carcinomatosis (confirmed with omental biopsy)</t>
  </si>
  <si>
    <t>LH21-22748</t>
  </si>
  <si>
    <t>Laparotomy with total abdominal hysterectomy, bilateral salpingo-oophorectomy, infracolic omentectomy,bilateral pelvic and para-aortic lymph node sampling</t>
  </si>
  <si>
    <t>Carcinosarcoma of the endometrium with heterologous elements</t>
  </si>
  <si>
    <t>Lungs (New mets), Right supraclavicular fossa, Right paratracheal, prevascular, right hilar groups of the mediastinum, Right retrocrural and left para-aortic lymphadenopathy (New mets)</t>
  </si>
  <si>
    <t>Carboplatin, Paclitaxel (3 cycles)</t>
  </si>
  <si>
    <t>8Gy in 1# (paraaortic mass)</t>
  </si>
  <si>
    <t>1a) Metastatic endometrial cancer</t>
  </si>
  <si>
    <t>LH21-23029</t>
  </si>
  <si>
    <t>Laparotomy/Total abdominal hysterectomy/Bilateral salpingo-oophorectomy/Pelvic and Para-aortic lymphadenectomy/Omentectomy</t>
  </si>
  <si>
    <t>Excision of recurrent carcinosarcoma from vaginal vault</t>
  </si>
  <si>
    <t>LH21-23616</t>
  </si>
  <si>
    <t>Vaginal vault (recurrence)</t>
  </si>
  <si>
    <t>Carcinosarcoma of the endometrium (recurrent/metastatic)</t>
  </si>
  <si>
    <t>T2NxM1</t>
  </si>
  <si>
    <t>Carboplatin, paclitaxel (4 cycles), carboplatin (2 cycles)</t>
  </si>
  <si>
    <t>30Gy in 10# (pelvis)</t>
  </si>
  <si>
    <t>LH21-23862</t>
  </si>
  <si>
    <t>Laparotomy, Total abdominal hysterectomy, bilateral salpingo-oophorectomy, supracolic omentectomy, pelvic and para-aortic node dissection</t>
  </si>
  <si>
    <t>T3aN0M1</t>
  </si>
  <si>
    <t>30Gy in 10# (vagina)</t>
  </si>
  <si>
    <t>LH21-23864</t>
  </si>
  <si>
    <t>Robotic hysterectomy, bilateral salpingo-oophorectomy and omental biopsy</t>
  </si>
  <si>
    <t>Abdominal and pelvic mass (New mets), Lung nodules (New mets), Vagina (Recurrence)</t>
  </si>
  <si>
    <t>Previous tongue and skin cancer</t>
  </si>
  <si>
    <t>LH21-23979</t>
  </si>
  <si>
    <t>A16</t>
  </si>
  <si>
    <t>Laparotomy/Total abdominal hysterectomy/Bilateral salpingo-oophorectomy/Pelvic and Para-aortic lymphadenectomy/Omentectomy/Excision and repair of umbilical hernia</t>
  </si>
  <si>
    <t>Endometrioid adenocarcinoma of the endometrium with squamous differentiation</t>
  </si>
  <si>
    <t>1a) Pneumonia 1b)Rib fractures due to accidental fall, and chronic obstructive pulmonary disease 2)Rheumatoid arthritis</t>
  </si>
  <si>
    <t>LH21-25903</t>
  </si>
  <si>
    <t>Total robotic hysterectomy and Bilateral salpingo-oophorectomy</t>
  </si>
  <si>
    <t>LH21-25997</t>
  </si>
  <si>
    <t>Laparotomy, total abdominal hysterectomy, bilateral salpingo-oophorectomy, infracolic omentectomy, pelvic lymphadenectomy and para-aortic node sampling</t>
  </si>
  <si>
    <t>E1</t>
  </si>
  <si>
    <t>T2N2M0</t>
  </si>
  <si>
    <t>LH21-27277</t>
  </si>
  <si>
    <t>Total laparoscopic hysterectomy, bilateral salpingo-oophorectomy, identification and removal of right pelvic sentinel node and bilateral pelvic lymphadenectomy</t>
  </si>
  <si>
    <t>C9</t>
  </si>
  <si>
    <t>T3aN1M0</t>
  </si>
  <si>
    <t>IIIC1ii</t>
  </si>
  <si>
    <t>45Gy in 25# (pelvis)</t>
  </si>
  <si>
    <t>Omentum (New met)</t>
  </si>
  <si>
    <t>Pembrolizumab, Lenvatinib</t>
  </si>
  <si>
    <t>Megace, tamoxifen</t>
  </si>
  <si>
    <t>Liposomal doxorubicin (1 cycle)</t>
  </si>
  <si>
    <t>Note p53 abnormal (mutant overexpression pattern) on endometrial biopsy</t>
  </si>
  <si>
    <t>LH21-27448</t>
  </si>
  <si>
    <t>Laparotomy with total abdominal hysterectomy, bilateral salpingo-oophorectomy, omentectomy, bilateral pelvic lymphadenectomy and para-aortic lymph node sampling</t>
  </si>
  <si>
    <t>Clear cell adenocarcinoma of the endometrium</t>
  </si>
  <si>
    <t>Peritoneal disease (New mets), Ascites</t>
  </si>
  <si>
    <t>LH21-27965</t>
  </si>
  <si>
    <t>Robotic hysterectomy, bilateral salpingo-oophorectomy</t>
  </si>
  <si>
    <t>LH21-28044</t>
  </si>
  <si>
    <t>LH21-28614</t>
  </si>
  <si>
    <t>Total laparoscopic hysterectomy</t>
  </si>
  <si>
    <t>Cervix (A2) Uterine corpus (A6)</t>
  </si>
  <si>
    <t>LH21-28848</t>
  </si>
  <si>
    <t>Total abdominal hysterectomy nec</t>
  </si>
  <si>
    <t>LH21-29719</t>
  </si>
  <si>
    <t>Robotic hyeterectomy, bilateral salpingo-oophorectomy and bilateral pelvic lymphadenectomy</t>
  </si>
  <si>
    <t>LH21-30135</t>
  </si>
  <si>
    <t>Total laparoscopic hysterectomy and Bilateral salpingo-oophorectomy</t>
  </si>
  <si>
    <t>LH21-30338</t>
  </si>
  <si>
    <t>Total Laparoscopic Hysterectomy; Bilateral Salpingo-oophorectomy; Bilateral Pelvic Node Sampling; Infracolic Omental Bopsy; Peritoneal Washings.</t>
  </si>
  <si>
    <t>T3aN1M1</t>
  </si>
  <si>
    <t>Carboplatin, Paclitaxel (2 cycles)</t>
  </si>
  <si>
    <t>LH21-30452</t>
  </si>
  <si>
    <t>Laparoscopic staging with sentinel lymph node mapping, omental biopsy, TLH and BSO and pelvic and paraaortic lymphadenectomy for high grade endometrial cancer</t>
  </si>
  <si>
    <t>IIIA2</t>
  </si>
  <si>
    <t>Brain, Lungs, Para-aortic and External Iliac lymph nodes (New mets)</t>
  </si>
  <si>
    <t>LH21-31606</t>
  </si>
  <si>
    <t>Robotic hysterectomy with pelvic and para-aortic node sampling</t>
  </si>
  <si>
    <t>Mixed endometrioid and clear cell adenocarcinoma of the endometrium</t>
  </si>
  <si>
    <t>Concurrent relapsed multiple myeloma</t>
  </si>
  <si>
    <t>LH21-32782</t>
  </si>
  <si>
    <t>Patient treated with medroxyprogesterone acetate and mirena IUS for complex atypical hyperplasia</t>
  </si>
  <si>
    <t>LH21-32944</t>
  </si>
  <si>
    <t>A3[L]</t>
  </si>
  <si>
    <t>Total abdominal hysterectomy and bilateral salpingooopherectomy and omental biopsy and pelvic lymphadenectomy and excision of umbilical hernia</t>
  </si>
  <si>
    <t>Carcinosarcoma of the endometrium</t>
  </si>
  <si>
    <t>Pelvic mass (Recurrence)</t>
  </si>
  <si>
    <t>LH21-33122</t>
  </si>
  <si>
    <t>Total laparoscopic hysterectomy and bilateral salpingo-oophorectomy</t>
  </si>
  <si>
    <t>Retroperitoneal adenopathy (New mets), Pelvic disease (Recurrence)</t>
  </si>
  <si>
    <t xml:space="preserve">1a) Recurrent metastatic endometrial cancer </t>
  </si>
  <si>
    <t>LH21-33530</t>
  </si>
  <si>
    <t>Staging Midline laparotomy: Radical Hysterctomy, BSO, Pelvic and PA LND</t>
  </si>
  <si>
    <t>T4N1M1</t>
  </si>
  <si>
    <t>1a) Metastatic endometrial cancer 2) Exhaustion</t>
  </si>
  <si>
    <t>Previous colorectal cancer (Surgery + adjuvant chemotherapy)</t>
  </si>
  <si>
    <t>LH21-33898</t>
  </si>
  <si>
    <t>Total Laparoscopic Hysterectomy+BSO, Left vulval biopsy</t>
  </si>
  <si>
    <t>Cervix (A1) Uterine corpus (A3)</t>
  </si>
  <si>
    <t>T2NxM0</t>
  </si>
  <si>
    <t>45Gy in 25# (pelvis), Brachytherapy 12Gy in 3# (vaginal vault)</t>
  </si>
  <si>
    <t>LH21-35753</t>
  </si>
  <si>
    <t>T3bNxM0</t>
  </si>
  <si>
    <t>IIIB1</t>
  </si>
  <si>
    <t>Left lower lobe lung (larger met)</t>
  </si>
  <si>
    <t>Stereotactic ablative body radiotherapy 50Gy in 5# (Lung)</t>
  </si>
  <si>
    <t>LH21-37538</t>
  </si>
  <si>
    <t>A26</t>
  </si>
  <si>
    <t>A24</t>
  </si>
  <si>
    <t>Laparoscopy and proceed to Total abdominal hysterectomy and bilateral salpingo-oophorectomy</t>
  </si>
  <si>
    <t>Primary squamous cell carcinoma of the endometrium</t>
  </si>
  <si>
    <t>Previous stage 2b serous carcinoma of the cervix (radiotherapy + chemotherapy (cisplatin))</t>
  </si>
  <si>
    <t>LH21-38024</t>
  </si>
  <si>
    <t>Laparotomy: TAH, BSO, omentectomy, LND Midline laparotomy: TAH, BSO, Omentectomy, Pelvic- and Paraaortal lymphadenectomy, and washings</t>
  </si>
  <si>
    <t>C15</t>
  </si>
  <si>
    <t>T1bN2M0</t>
  </si>
  <si>
    <t>Retroperitoneal lymph nodes (Recurrence)</t>
  </si>
  <si>
    <t>30Gy in 10# (Para-aortic lymph nodes)</t>
  </si>
  <si>
    <t>Pembrolizumab, Lenvatinib (2 cycles)</t>
  </si>
  <si>
    <t>LH21-38050</t>
  </si>
  <si>
    <t>Total abdominal Hysterectomy and Bilateral Salpingoopherectomy</t>
  </si>
  <si>
    <t>LH21-38392</t>
  </si>
  <si>
    <t>A18[L]</t>
  </si>
  <si>
    <t>Laparotomy, total abdominal hysterectomy and bilateral salpingo-oophorectomy, infracolic omentectomy, right pelvic node excision</t>
  </si>
  <si>
    <t>Carboplatin, Paclitaxel (5 cycles), carboplatin (1 cycle)</t>
  </si>
  <si>
    <t>55Gy in 25# (Pelvis/ paraaortic lymph nodes)</t>
  </si>
  <si>
    <t>Clinically positive pelvic and paraaortic lymph nodes (could not be removed); clinically stage 3C2</t>
  </si>
  <si>
    <t>LH21-39884</t>
  </si>
  <si>
    <t>Laparotomy/Total abdominal hysterectomy/Bilateral salpingo-oophorectomy/Omentectomy/Pelvic and Para-aortic lymphadenectomy</t>
  </si>
  <si>
    <t>Omentum, ascites (New mets)</t>
  </si>
  <si>
    <t>LH21-40228</t>
  </si>
  <si>
    <t>A14</t>
  </si>
  <si>
    <t>Hysterectomy, BSO, Pelvic and Para-aortal Lymphadenectomy, +Omenetectomy</t>
  </si>
  <si>
    <t>LH21-40442</t>
  </si>
  <si>
    <t>TAH and BSO with adhesiolysis and ureterolysis for stage 1a endoemtrial cancer</t>
  </si>
  <si>
    <t>LH21-41579</t>
  </si>
  <si>
    <t>LH21-43408</t>
  </si>
  <si>
    <t>A19</t>
  </si>
  <si>
    <t>High grade serous intraepithelial carcinoma but carcinosarcoma on biopsy</t>
  </si>
  <si>
    <t>LH21-45245</t>
  </si>
  <si>
    <t>B9</t>
  </si>
  <si>
    <t>Laparotomy/Total abdominal hysterectomy/Bilateral salpingo-oophorectomy/Pelvic lymphadenectomy/Omentectomy</t>
  </si>
  <si>
    <t>T3bN0M0</t>
  </si>
  <si>
    <t>Multiple bilateral lung nodules (New mets)</t>
  </si>
  <si>
    <t>LH21-46468</t>
  </si>
  <si>
    <t>Laparotomy with total abdominal hysterectomy, bilateral salpingo-oophorectomy, infracolic omentectomy and repair of umbilical hernia</t>
  </si>
  <si>
    <t>Megestrol acetate, Tamoxifen (6 cycles)</t>
  </si>
  <si>
    <t>Exemestane</t>
  </si>
  <si>
    <t>Subsequent breast cancer (switched hormone therapy to anastrazole then to exemestane- to target both breast and endometrial cancers)</t>
  </si>
  <si>
    <t>LH21-47262</t>
  </si>
  <si>
    <t>Cervix</t>
  </si>
  <si>
    <t>LH21-48540</t>
  </si>
  <si>
    <t>LH21-48544</t>
  </si>
  <si>
    <t>Vulva (Recurrence). Paraaortic node (new met)</t>
  </si>
  <si>
    <t>Carboplatin, Paclitaxel, dostarlimab (6 cycles)</t>
  </si>
  <si>
    <t>Immunotherapy</t>
  </si>
  <si>
    <t>Dostarlimab</t>
  </si>
  <si>
    <t>30Gy in 10# (aortocaval lymph node)</t>
  </si>
  <si>
    <t>Previous Breast cancer</t>
  </si>
  <si>
    <t>LH21-48790</t>
  </si>
  <si>
    <t>A23</t>
  </si>
  <si>
    <t>Laparoscopic adhesiolysis, ureterolysis, total laparoscopic hysterectomy, bilateral salpingo-oophorectomy, pelvic lymph node sampling</t>
  </si>
  <si>
    <t>LH21-48898</t>
  </si>
  <si>
    <t>A20</t>
  </si>
  <si>
    <t>Staging for endometrial cancer: TAH, BSO, pelvic and para-aortal LND, Omentecty and washings.</t>
  </si>
  <si>
    <t>LH21-49340</t>
  </si>
  <si>
    <t>TRH/BSO/ Lymphadenectomy, adhsiolysis</t>
  </si>
  <si>
    <t>Previous breast cancer, subsequent leiomyosarcoma of the limb</t>
  </si>
  <si>
    <t>Exenteration- Rectosigmoid bowel resection with stoma formation and excision of caecal mesenteric disease and right pevic sidewall and omental biopsy</t>
  </si>
  <si>
    <t>LH22-03491</t>
  </si>
  <si>
    <t>C3</t>
  </si>
  <si>
    <t>Sigmoid colon/rectum</t>
  </si>
  <si>
    <t>C4</t>
  </si>
  <si>
    <t>Endometrioid adenocarcinoma of the endometrium (metastatic)</t>
  </si>
  <si>
    <t>IA</t>
  </si>
  <si>
    <t>Pelvic sidewall/sigmoid colon (new mets)</t>
  </si>
  <si>
    <t>Megestrol acetate, Tamoxifen (8 cycles)</t>
  </si>
  <si>
    <t>N/A (no residual disease post-surgery)</t>
  </si>
  <si>
    <t>45Gy in 25# (vaginal vault)</t>
  </si>
  <si>
    <t>Anastrozole (2 cycles)</t>
  </si>
  <si>
    <t>Right hemiarthroplasty</t>
  </si>
  <si>
    <t>LH22-19387</t>
  </si>
  <si>
    <t>Right femur</t>
  </si>
  <si>
    <t>Serous adenocarcinoma of the endometrium (metastatic)</t>
  </si>
  <si>
    <t>Femur, spine (new mets)</t>
  </si>
  <si>
    <t>Donor ID</t>
  </si>
  <si>
    <t>Specimen used for p53 testing (if different)</t>
  </si>
  <si>
    <t>Block used for p53 testing</t>
  </si>
  <si>
    <t>p53 staining pattern (IHC)</t>
  </si>
  <si>
    <t>Specimen number used for MMR screening (if different)</t>
  </si>
  <si>
    <t>Block used for MMR IHC</t>
  </si>
  <si>
    <t>MMR result (normal(proficient)/abnormal (deficient)</t>
  </si>
  <si>
    <t>MLH1 IHC (pos / neg / clonal neg)</t>
  </si>
  <si>
    <t>PMS2 IHC (pos/ neg / clonal neg</t>
  </si>
  <si>
    <t>MSH2 IHC (pos/ neg / clonal neg</t>
  </si>
  <si>
    <t>MSH6 IHC (pos/ neg/ clonal neg)</t>
  </si>
  <si>
    <t>Specimen used for MSI testing (if different)</t>
  </si>
  <si>
    <t>Block used for MSI testing</t>
  </si>
  <si>
    <t>MSI result (stable/unstable)</t>
  </si>
  <si>
    <t>Specimen used for POLE testing (if different)</t>
  </si>
  <si>
    <t>Block used for testing</t>
  </si>
  <si>
    <t>POLE mutation</t>
  </si>
  <si>
    <t>ER (IHC) Allred score</t>
  </si>
  <si>
    <t>Macroscopic surgical tumour debulking: R0 (no residual disease), R1 (&lt;1 cm residual disease), R2 (1 cm and over residual disease)</t>
  </si>
  <si>
    <t>Indication</t>
  </si>
  <si>
    <t>LDS0006960</t>
  </si>
  <si>
    <r>
      <rPr>
        <sz val="10"/>
        <color rgb="FF000000"/>
        <rFont val="Calibri"/>
      </rPr>
      <t>FIGO 2023 (</t>
    </r>
    <r>
      <rPr>
        <i/>
        <sz val="10"/>
        <color rgb="FF000000"/>
        <rFont val="Calibri"/>
      </rPr>
      <t xml:space="preserve">with </t>
    </r>
    <r>
      <rPr>
        <sz val="10"/>
        <color rgb="FF000000"/>
        <rFont val="Calibri"/>
      </rPr>
      <t>molecular classification)</t>
    </r>
  </si>
  <si>
    <t>Endometrial carcinoma</t>
  </si>
  <si>
    <t>LDS0006961</t>
  </si>
  <si>
    <t>Abnormal</t>
  </si>
  <si>
    <t>R0</t>
  </si>
  <si>
    <t>LDS0006962</t>
  </si>
  <si>
    <t>LDS0006963</t>
  </si>
  <si>
    <t>LDS0006964</t>
  </si>
  <si>
    <t>LDS0006965</t>
  </si>
  <si>
    <t>LDS0006966</t>
  </si>
  <si>
    <t>LDS0006967</t>
  </si>
  <si>
    <t>LDS0006968</t>
  </si>
  <si>
    <t>Positive</t>
  </si>
  <si>
    <t>N/A (unresectable)</t>
  </si>
  <si>
    <t>LDS0006969</t>
  </si>
  <si>
    <t>LH18-12859</t>
  </si>
  <si>
    <t>Normal</t>
  </si>
  <si>
    <t>Negative</t>
  </si>
  <si>
    <t>LDS0006970</t>
  </si>
  <si>
    <t>LDS0006971</t>
  </si>
  <si>
    <t>LDS0006972</t>
  </si>
  <si>
    <t>LDS0006973</t>
  </si>
  <si>
    <t>LH20-38944</t>
  </si>
  <si>
    <t>LDS0006974</t>
  </si>
  <si>
    <t>LH21-02161</t>
  </si>
  <si>
    <t>LDS0006975</t>
  </si>
  <si>
    <t>LH20-37933</t>
  </si>
  <si>
    <t>LDS0006976</t>
  </si>
  <si>
    <t>LH21-01117</t>
  </si>
  <si>
    <t>LDS0006977</t>
  </si>
  <si>
    <t>LDS0006978</t>
  </si>
  <si>
    <t>LH21-02881</t>
  </si>
  <si>
    <t>LDS0006979</t>
  </si>
  <si>
    <t>LH21-05045</t>
  </si>
  <si>
    <t>LDS0006980</t>
  </si>
  <si>
    <t>LDS0006981</t>
  </si>
  <si>
    <t>LDS0006982</t>
  </si>
  <si>
    <t>LDS0006983</t>
  </si>
  <si>
    <t>LDS0006984</t>
  </si>
  <si>
    <t>LDS0006985</t>
  </si>
  <si>
    <t>LH21-05219</t>
  </si>
  <si>
    <t>LDS0006986</t>
  </si>
  <si>
    <t>LH21-11642</t>
  </si>
  <si>
    <t>LDS0006987</t>
  </si>
  <si>
    <t>LH21-11478</t>
  </si>
  <si>
    <t>LDS0006988</t>
  </si>
  <si>
    <t>LH21-11939</t>
  </si>
  <si>
    <t>LDS0006989</t>
  </si>
  <si>
    <t>LH21-17295</t>
  </si>
  <si>
    <t>LDS0006990</t>
  </si>
  <si>
    <t>LH21-18633</t>
  </si>
  <si>
    <t>LDS0006991</t>
  </si>
  <si>
    <t>PH007900D/21</t>
  </si>
  <si>
    <t>LDS0006992</t>
  </si>
  <si>
    <t>B007131/20</t>
  </si>
  <si>
    <t>LH20-21888</t>
  </si>
  <si>
    <t>Positive (focal)</t>
  </si>
  <si>
    <t>LDS0006993</t>
  </si>
  <si>
    <t>LH21-20773</t>
  </si>
  <si>
    <t>LDS0006994</t>
  </si>
  <si>
    <t>LH21-19963/PH009281Y/21</t>
  </si>
  <si>
    <t>LH21-11498/PH009281Y/21</t>
  </si>
  <si>
    <t>LDS0006995</t>
  </si>
  <si>
    <t>LH21-17703</t>
  </si>
  <si>
    <t>LDS0006996</t>
  </si>
  <si>
    <t>LH21-11738/PH9359/21</t>
  </si>
  <si>
    <t>LH21-11497/PH9359/21</t>
  </si>
  <si>
    <t>LDS0006997</t>
  </si>
  <si>
    <t>LH21-20774</t>
  </si>
  <si>
    <t>LDS0006998</t>
  </si>
  <si>
    <t>LH21-21298/PH13199/21</t>
  </si>
  <si>
    <t>LDS0006999</t>
  </si>
  <si>
    <t>LH21-25982</t>
  </si>
  <si>
    <t>LDS0007000</t>
  </si>
  <si>
    <t>H2104357</t>
  </si>
  <si>
    <t>LDS0007001</t>
  </si>
  <si>
    <t>LH21-21137</t>
  </si>
  <si>
    <t>LDS0007002</t>
  </si>
  <si>
    <t>LH21-22201</t>
  </si>
  <si>
    <t>LDS0007003</t>
  </si>
  <si>
    <t>LH21-25121</t>
  </si>
  <si>
    <t>LDS0007004</t>
  </si>
  <si>
    <t>LH21-22066</t>
  </si>
  <si>
    <t>LDS0007005</t>
  </si>
  <si>
    <t>LH21-19761</t>
  </si>
  <si>
    <t>Patchy positive</t>
  </si>
  <si>
    <t>LDS0007006</t>
  </si>
  <si>
    <t>LDS0007007</t>
  </si>
  <si>
    <t>LDS0007008</t>
  </si>
  <si>
    <t>LDS0007009</t>
  </si>
  <si>
    <t>LH21-22789</t>
  </si>
  <si>
    <t>LDS0007010</t>
  </si>
  <si>
    <t>LH21-19762</t>
  </si>
  <si>
    <t>LDS0007011</t>
  </si>
  <si>
    <t>LH21-25984/PH013789E/21</t>
  </si>
  <si>
    <t>LH21-22331/PH013789E/21</t>
  </si>
  <si>
    <t>LDS0007012</t>
  </si>
  <si>
    <t>LDS0007013</t>
  </si>
  <si>
    <t>LH21-29631</t>
  </si>
  <si>
    <t>6 (biopsy), 0 (resection)</t>
  </si>
  <si>
    <t>LDS0007014</t>
  </si>
  <si>
    <t>LDS0007015</t>
  </si>
  <si>
    <t>LH21-31704</t>
  </si>
  <si>
    <t>LDS0007016</t>
  </si>
  <si>
    <t>LDS0007017</t>
  </si>
  <si>
    <t>LH21-34063/PH017530H/21:</t>
  </si>
  <si>
    <t>LH21-27420</t>
  </si>
  <si>
    <t>R2</t>
  </si>
  <si>
    <t>LDS0007018</t>
  </si>
  <si>
    <t>Normal (resection), abnormal (biopsy)</t>
  </si>
  <si>
    <t>PH016196X/21 (biopsy)</t>
  </si>
  <si>
    <t>6 (but negative in some areas)</t>
  </si>
  <si>
    <t>LDS0007019</t>
  </si>
  <si>
    <t>LH21-37139/A013182/21</t>
  </si>
  <si>
    <t>LH21-37034</t>
  </si>
  <si>
    <t>LDS0007020</t>
  </si>
  <si>
    <t>LDS0007021</t>
  </si>
  <si>
    <t>LH21-37004</t>
  </si>
  <si>
    <t>LDS0007022</t>
  </si>
  <si>
    <t>LDS0007023</t>
  </si>
  <si>
    <t>Abnormal (clonal)</t>
  </si>
  <si>
    <t>Clonal negative</t>
  </si>
  <si>
    <t>LDS0007024</t>
  </si>
  <si>
    <t>LDS0007025</t>
  </si>
  <si>
    <t>LDS0007026</t>
  </si>
  <si>
    <t>LH21-40057</t>
  </si>
  <si>
    <t>LDS0007027</t>
  </si>
  <si>
    <t>LH21-40467</t>
  </si>
  <si>
    <t>LDS0007028</t>
  </si>
  <si>
    <t>LH21-38273</t>
  </si>
  <si>
    <t>LDS0007029</t>
  </si>
  <si>
    <t>LH21-41003</t>
  </si>
  <si>
    <t>LDS0007030</t>
  </si>
  <si>
    <t>LH21-39611</t>
  </si>
  <si>
    <t>LDS0007031</t>
  </si>
  <si>
    <t>LH19-13056</t>
  </si>
  <si>
    <t>LH19-27330</t>
  </si>
  <si>
    <t>NHS Number</t>
  </si>
  <si>
    <t>Selected Specimen</t>
  </si>
  <si>
    <t>Additional Metastatic Specimen Number 1</t>
  </si>
  <si>
    <t>Site 1</t>
  </si>
  <si>
    <t>Additional Metastatic Specimen Number 2</t>
  </si>
  <si>
    <t>Site 2</t>
  </si>
  <si>
    <t>Additional Metastatic Specimen Number 3</t>
  </si>
  <si>
    <t>Site 3</t>
  </si>
  <si>
    <t>Additional Metastatic Specimen Number 4</t>
  </si>
  <si>
    <t>Site 4</t>
  </si>
  <si>
    <t>Additional Metastatic Specimen Number 5</t>
  </si>
  <si>
    <t>Site 5</t>
  </si>
  <si>
    <t>Therapy type</t>
  </si>
  <si>
    <t>Yes/No</t>
  </si>
  <si>
    <r>
      <rPr>
        <sz val="10"/>
        <color rgb="FFFF0000"/>
        <rFont val="Calibri Light"/>
        <scheme val="major"/>
      </rPr>
      <t>Red text</t>
    </r>
    <r>
      <rPr>
        <sz val="10"/>
        <color rgb="FF000000"/>
        <rFont val="Calibri Light"/>
        <scheme val="major"/>
      </rPr>
      <t xml:space="preserve"> = cells to select for formula</t>
    </r>
  </si>
  <si>
    <t>AJCC</t>
  </si>
  <si>
    <t>When copying and pasting formulas, you need to delete the ' before the =</t>
  </si>
  <si>
    <t>AJCC 5</t>
  </si>
  <si>
    <t>Header</t>
  </si>
  <si>
    <t>Column</t>
  </si>
  <si>
    <t>Immunotherapy only</t>
  </si>
  <si>
    <t>Other specimen</t>
  </si>
  <si>
    <t>AJCC 6</t>
  </si>
  <si>
    <t>Mixed treatment</t>
  </si>
  <si>
    <t>AJCC 7</t>
  </si>
  <si>
    <t xml:space="preserve">Any Immunotherapy </t>
  </si>
  <si>
    <t>B</t>
  </si>
  <si>
    <t>Age at diagnosis</t>
  </si>
  <si>
    <t>=DATEDIF(DOB, DODx,"Y")</t>
  </si>
  <si>
    <t>AJCC 8</t>
  </si>
  <si>
    <t>C</t>
  </si>
  <si>
    <t>Quarter formula</t>
  </si>
  <si>
    <r>
      <rPr>
        <sz val="10"/>
        <color rgb="FF000000"/>
        <rFont val="Calibri Light"/>
        <scheme val="major"/>
      </rPr>
      <t>=IFERROR("Q" &amp;INT((MONTH(</t>
    </r>
    <r>
      <rPr>
        <sz val="10"/>
        <color rgb="FFFF0000"/>
        <rFont val="Calibri Light"/>
        <scheme val="major"/>
      </rPr>
      <t>cell with date</t>
    </r>
    <r>
      <rPr>
        <sz val="10"/>
        <color rgb="FF000000"/>
        <rFont val="Calibri Light"/>
        <scheme val="major"/>
      </rPr>
      <t>)+2)/3) &amp; "-" &amp; YEAR(</t>
    </r>
    <r>
      <rPr>
        <sz val="10"/>
        <color rgb="FFFF0000"/>
        <rFont val="Calibri Light"/>
        <scheme val="major"/>
      </rPr>
      <t>same cell with date</t>
    </r>
    <r>
      <rPr>
        <sz val="10"/>
        <color rgb="FF000000"/>
        <rFont val="Calibri Light"/>
        <scheme val="major"/>
      </rPr>
      <t>),"N/A")</t>
    </r>
  </si>
  <si>
    <t>Antibody-drug-conjugates</t>
  </si>
  <si>
    <t>Figo</t>
  </si>
  <si>
    <t xml:space="preserve">Specimen is a recurrence </t>
  </si>
  <si>
    <t>D</t>
  </si>
  <si>
    <t>The months between two dates in decimals</t>
  </si>
  <si>
    <r>
      <rPr>
        <sz val="10"/>
        <color rgb="FF000000"/>
        <rFont val="Calibri Light"/>
        <scheme val="major"/>
      </rPr>
      <t>=IFERROR(INT((</t>
    </r>
    <r>
      <rPr>
        <sz val="10"/>
        <color rgb="FFFF0000"/>
        <rFont val="Calibri Light"/>
        <scheme val="major"/>
      </rPr>
      <t>cell with event date</t>
    </r>
    <r>
      <rPr>
        <sz val="10"/>
        <color rgb="FF000000"/>
        <rFont val="Calibri Light"/>
        <scheme val="major"/>
      </rPr>
      <t xml:space="preserve"> - </t>
    </r>
    <r>
      <rPr>
        <sz val="10"/>
        <color rgb="FFFF0000"/>
        <rFont val="Calibri Light"/>
        <scheme val="major"/>
      </rPr>
      <t>DODx</t>
    </r>
    <r>
      <rPr>
        <sz val="10"/>
        <color rgb="FF000000"/>
        <rFont val="Calibri Light"/>
        <scheme val="major"/>
      </rPr>
      <t>)/30),"N/A")</t>
    </r>
  </si>
  <si>
    <t>Other</t>
  </si>
  <si>
    <t>E</t>
  </si>
  <si>
    <t>OS</t>
  </si>
  <si>
    <r>
      <t>=SUM(</t>
    </r>
    <r>
      <rPr>
        <sz val="10"/>
        <color rgb="FFFF0000"/>
        <rFont val="Calibri Light"/>
        <scheme val="major"/>
      </rPr>
      <t>time to event death</t>
    </r>
    <r>
      <rPr>
        <sz val="10"/>
        <color rgb="FF000000"/>
        <rFont val="Calibri Light"/>
        <scheme val="major"/>
      </rPr>
      <t>,Time to event date last seen)</t>
    </r>
  </si>
  <si>
    <t>PFS</t>
  </si>
  <si>
    <r>
      <rPr>
        <sz val="10"/>
        <color rgb="FF000000"/>
        <rFont val="Calibri Light"/>
        <scheme val="major"/>
      </rPr>
      <t>=INDEX(</t>
    </r>
    <r>
      <rPr>
        <sz val="10"/>
        <color rgb="FFFF0000"/>
        <rFont val="Calibri Light"/>
        <scheme val="major"/>
      </rPr>
      <t>Time to event recurrence</t>
    </r>
    <r>
      <rPr>
        <sz val="10"/>
        <color rgb="FF000000"/>
        <rFont val="Calibri Light"/>
        <scheme val="major"/>
      </rPr>
      <t>;</t>
    </r>
    <r>
      <rPr>
        <sz val="10"/>
        <color rgb="FFFF0000"/>
        <rFont val="Calibri Light"/>
        <scheme val="major"/>
      </rPr>
      <t>time to event death</t>
    </r>
    <r>
      <rPr>
        <sz val="10"/>
        <color rgb="FF000000"/>
        <rFont val="Calibri Light"/>
        <scheme val="major"/>
      </rPr>
      <t>;</t>
    </r>
    <r>
      <rPr>
        <sz val="10"/>
        <color rgb="FFFF0000"/>
        <rFont val="Calibri Light"/>
        <scheme val="major"/>
      </rPr>
      <t>Time to event date last follow-up</t>
    </r>
    <r>
      <rPr>
        <sz val="10"/>
        <color rgb="FF000000"/>
        <rFont val="Calibri Light"/>
        <scheme val="major"/>
      </rPr>
      <t>,MATCH(TRUE,INDEX(ISNUMBER(),0),0))</t>
    </r>
  </si>
  <si>
    <t>G</t>
  </si>
  <si>
    <r>
      <t>=IF(</t>
    </r>
    <r>
      <rPr>
        <sz val="10"/>
        <color rgb="FFFF0000"/>
        <rFont val="Calibri Light"/>
        <scheme val="major"/>
      </rPr>
      <t>Time to event recurrence</t>
    </r>
    <r>
      <rPr>
        <sz val="10"/>
        <color rgb="FF000000"/>
        <rFont val="Calibri Light"/>
        <scheme val="major"/>
      </rPr>
      <t>="N/A",0,1)</t>
    </r>
  </si>
  <si>
    <t>H</t>
  </si>
  <si>
    <r>
      <t>=IF(=</t>
    </r>
    <r>
      <rPr>
        <sz val="10"/>
        <color rgb="FFFF0000"/>
        <rFont val="Calibri Light"/>
        <scheme val="major"/>
      </rPr>
      <t>Death due to tumour/ assumed tumour related</t>
    </r>
    <r>
      <rPr>
        <sz val="10"/>
        <color rgb="FF000000"/>
        <rFont val="Calibri Light"/>
        <scheme val="major"/>
      </rPr>
      <t xml:space="preserve"> Yes/No"Yes",1,0)</t>
    </r>
  </si>
  <si>
    <t>I</t>
  </si>
  <si>
    <r>
      <t>=IF(</t>
    </r>
    <r>
      <rPr>
        <sz val="10"/>
        <color rgb="FFFF0000"/>
        <rFont val="Calibri Light"/>
        <scheme val="major"/>
      </rPr>
      <t>time to event death</t>
    </r>
    <r>
      <rPr>
        <sz val="10"/>
        <color rgb="FF000000"/>
        <rFont val="Calibri Light"/>
        <scheme val="major"/>
      </rPr>
      <t>="N/A",0,1)</t>
    </r>
  </si>
  <si>
    <t>J</t>
  </si>
  <si>
    <r>
      <t>=IF(OR(</t>
    </r>
    <r>
      <rPr>
        <sz val="10"/>
        <color rgb="FFFF0000"/>
        <rFont val="Calibri Light"/>
        <scheme val="major"/>
      </rPr>
      <t>Event recurrence/progression</t>
    </r>
    <r>
      <rPr>
        <sz val="10"/>
        <color rgb="FF000000"/>
        <rFont val="Calibri Light"/>
        <scheme val="major"/>
      </rPr>
      <t>=1,</t>
    </r>
    <r>
      <rPr>
        <sz val="10"/>
        <color rgb="FFFF0000"/>
        <rFont val="Calibri Light"/>
        <scheme val="major"/>
      </rPr>
      <t>Event cancer death</t>
    </r>
    <r>
      <rPr>
        <sz val="10"/>
        <color rgb="FF000000"/>
        <rFont val="Calibri Light"/>
        <scheme val="major"/>
      </rPr>
      <t>=1),"1","0")</t>
    </r>
  </si>
  <si>
    <t xml:space="preserve">Primary Surgery date </t>
  </si>
  <si>
    <t>K</t>
  </si>
  <si>
    <t>Combine TNM</t>
  </si>
  <si>
    <r>
      <t>=CONCATENATE("T",</t>
    </r>
    <r>
      <rPr>
        <sz val="10"/>
        <color rgb="FFFF0000"/>
        <rFont val="Calibri Light"/>
        <scheme val="major"/>
      </rPr>
      <t>cell with pT,</t>
    </r>
    <r>
      <rPr>
        <sz val="10"/>
        <color rgb="FF000000"/>
        <rFont val="Calibri Light"/>
        <scheme val="major"/>
      </rPr>
      <t>"N",</t>
    </r>
    <r>
      <rPr>
        <sz val="10"/>
        <color rgb="FFFF0000"/>
        <rFont val="Calibri Light"/>
        <scheme val="major"/>
      </rPr>
      <t>cell with pN</t>
    </r>
    <r>
      <rPr>
        <sz val="10"/>
        <color rgb="FF000000"/>
        <rFont val="Calibri Light"/>
        <scheme val="major"/>
      </rPr>
      <t>,"M",</t>
    </r>
    <r>
      <rPr>
        <sz val="10"/>
        <color rgb="FFFF0000"/>
        <rFont val="Calibri Light"/>
        <scheme val="major"/>
      </rPr>
      <t>cell with cM</t>
    </r>
    <r>
      <rPr>
        <sz val="10"/>
        <color rgb="FF000000"/>
        <rFont val="Calibri Light"/>
        <scheme val="major"/>
      </rPr>
      <t>)</t>
    </r>
  </si>
  <si>
    <t>L</t>
  </si>
  <si>
    <t>Combine text from 2 cells</t>
  </si>
  <si>
    <r>
      <t>=</t>
    </r>
    <r>
      <rPr>
        <sz val="10"/>
        <color rgb="FFFF0000"/>
        <rFont val="Calibri Light"/>
        <scheme val="major"/>
      </rPr>
      <t>cell number</t>
    </r>
    <r>
      <rPr>
        <sz val="10"/>
        <color rgb="FF000000"/>
        <rFont val="Calibri Light"/>
        <scheme val="major"/>
      </rPr>
      <t>&amp;" "&amp;</t>
    </r>
    <r>
      <rPr>
        <sz val="10"/>
        <color rgb="FFFF0000"/>
        <rFont val="Calibri Light"/>
        <scheme val="major"/>
      </rPr>
      <t>second cell</t>
    </r>
  </si>
  <si>
    <t>M</t>
  </si>
  <si>
    <t>N</t>
  </si>
  <si>
    <t>O</t>
  </si>
  <si>
    <t xml:space="preserve">Matched met 1 Surgery Date </t>
  </si>
  <si>
    <t>P</t>
  </si>
  <si>
    <t>Q</t>
  </si>
  <si>
    <t>R</t>
  </si>
  <si>
    <t>S</t>
  </si>
  <si>
    <t>T</t>
  </si>
  <si>
    <t xml:space="preserve">Matched met 2 Surgery Date </t>
  </si>
  <si>
    <t>U</t>
  </si>
  <si>
    <t>V</t>
  </si>
  <si>
    <t>W</t>
  </si>
  <si>
    <t>X</t>
  </si>
  <si>
    <t>Y</t>
  </si>
  <si>
    <t xml:space="preserve">Matched met 3 Surgery Date </t>
  </si>
  <si>
    <t>Z</t>
  </si>
  <si>
    <t>AA</t>
  </si>
  <si>
    <t>AB</t>
  </si>
  <si>
    <t>AC</t>
  </si>
  <si>
    <t>AD</t>
  </si>
  <si>
    <t xml:space="preserve">Matched met 4 Surgery Date </t>
  </si>
  <si>
    <t>AE</t>
  </si>
  <si>
    <t>AF</t>
  </si>
  <si>
    <t>AG</t>
  </si>
  <si>
    <t>AH</t>
  </si>
  <si>
    <t>AI</t>
  </si>
  <si>
    <t xml:space="preserve">Matched met 5 Surgery Date </t>
  </si>
  <si>
    <t>AJ</t>
  </si>
  <si>
    <t>AK</t>
  </si>
  <si>
    <t>AL</t>
  </si>
  <si>
    <t>AM</t>
  </si>
  <si>
    <t>AN</t>
  </si>
  <si>
    <t xml:space="preserve">Matched Normal tissue Surgery Date </t>
  </si>
  <si>
    <t>AO</t>
  </si>
  <si>
    <t>AP</t>
  </si>
  <si>
    <t>AQ</t>
  </si>
  <si>
    <t xml:space="preserve">DOB </t>
  </si>
  <si>
    <t>AR</t>
  </si>
  <si>
    <t>AS</t>
  </si>
  <si>
    <t xml:space="preserve">Age at Diagnosis </t>
  </si>
  <si>
    <t>AT</t>
  </si>
  <si>
    <t>AU</t>
  </si>
  <si>
    <t>AV</t>
  </si>
  <si>
    <t xml:space="preserve">Resection margins clear </t>
  </si>
  <si>
    <t>AW</t>
  </si>
  <si>
    <t>AX</t>
  </si>
  <si>
    <t>AY</t>
  </si>
  <si>
    <t>AZ</t>
  </si>
  <si>
    <t>BA</t>
  </si>
  <si>
    <t>BB</t>
  </si>
  <si>
    <t>BC</t>
  </si>
  <si>
    <t>BD</t>
  </si>
  <si>
    <t>BE</t>
  </si>
  <si>
    <t>BF</t>
  </si>
  <si>
    <t>BG</t>
  </si>
  <si>
    <t>BH</t>
  </si>
  <si>
    <t>BI</t>
  </si>
  <si>
    <t>BJ</t>
  </si>
  <si>
    <t>BK</t>
  </si>
  <si>
    <t>BL</t>
  </si>
  <si>
    <t>BM</t>
  </si>
  <si>
    <t>BN</t>
  </si>
  <si>
    <t>Neoadjuvant Tx2 Start Date</t>
  </si>
  <si>
    <t>BO</t>
  </si>
  <si>
    <t>Neoadjuvant Tx2 End Date</t>
  </si>
  <si>
    <t>BP</t>
  </si>
  <si>
    <t>BQ</t>
  </si>
  <si>
    <t>BR</t>
  </si>
  <si>
    <t>BS</t>
  </si>
  <si>
    <t>Neoadjuvant Tx3 Start Date</t>
  </si>
  <si>
    <t>BT</t>
  </si>
  <si>
    <t>Neoadjuvant Tx3 End Date</t>
  </si>
  <si>
    <t>BU</t>
  </si>
  <si>
    <t>BV</t>
  </si>
  <si>
    <t>BW</t>
  </si>
  <si>
    <t>BX</t>
  </si>
  <si>
    <t>Neoadjuvant Tx4 Start Date</t>
  </si>
  <si>
    <t>BY</t>
  </si>
  <si>
    <t>Neoadjuvant Tx4 End Date</t>
  </si>
  <si>
    <t>BZ</t>
  </si>
  <si>
    <t>CA</t>
  </si>
  <si>
    <t>CB</t>
  </si>
  <si>
    <t>CC</t>
  </si>
  <si>
    <t>Neoadjuvant Tx5 Start Date</t>
  </si>
  <si>
    <t>CD</t>
  </si>
  <si>
    <t>Neoadjuvant Tx5 End Date</t>
  </si>
  <si>
    <t>CE</t>
  </si>
  <si>
    <t>CF</t>
  </si>
  <si>
    <t>CG</t>
  </si>
  <si>
    <t>CH</t>
  </si>
  <si>
    <t>Neoadjuvant Tx6 Start Date</t>
  </si>
  <si>
    <t>CI</t>
  </si>
  <si>
    <t>Neoadjuvant Tx6 End Date</t>
  </si>
  <si>
    <t>CJ</t>
  </si>
  <si>
    <t>CK</t>
  </si>
  <si>
    <t>CL</t>
  </si>
  <si>
    <t>CM</t>
  </si>
  <si>
    <t>Neoadjuvant Tx7 Start Date</t>
  </si>
  <si>
    <t>CN</t>
  </si>
  <si>
    <t>Neoadjuvant Tx7 End Date</t>
  </si>
  <si>
    <t>CO</t>
  </si>
  <si>
    <t>CP</t>
  </si>
  <si>
    <t>CQ</t>
  </si>
  <si>
    <t>Neoadjuvant Tx8 Start Date</t>
  </si>
  <si>
    <t>CS</t>
  </si>
  <si>
    <t>Neoadjuvant Tx8 End Date</t>
  </si>
  <si>
    <t>CT</t>
  </si>
  <si>
    <t>CU</t>
  </si>
  <si>
    <t>CV</t>
  </si>
  <si>
    <t>CW</t>
  </si>
  <si>
    <t>Neoadjuvant Tx9 Start Date</t>
  </si>
  <si>
    <t>CX</t>
  </si>
  <si>
    <t>Neoadjuvant Tx9 End Date</t>
  </si>
  <si>
    <t>CY</t>
  </si>
  <si>
    <t>CZ</t>
  </si>
  <si>
    <t>DA</t>
  </si>
  <si>
    <t>DB</t>
  </si>
  <si>
    <t>Neoadjuvant Tx10 Start Date</t>
  </si>
  <si>
    <t>DC</t>
  </si>
  <si>
    <t>Neoadjuvant Tx10 End Date</t>
  </si>
  <si>
    <t>DD</t>
  </si>
  <si>
    <t>DE</t>
  </si>
  <si>
    <t>DF</t>
  </si>
  <si>
    <t>DG</t>
  </si>
  <si>
    <t>DH</t>
  </si>
  <si>
    <t>DI</t>
  </si>
  <si>
    <t>DJ</t>
  </si>
  <si>
    <t>DK</t>
  </si>
  <si>
    <t>DL</t>
  </si>
  <si>
    <t>Adjuvant Tx2 Start Date</t>
  </si>
  <si>
    <t>DM</t>
  </si>
  <si>
    <t>Adjuvant Tx2 End Date</t>
  </si>
  <si>
    <t>DN</t>
  </si>
  <si>
    <t>DO</t>
  </si>
  <si>
    <t>DP</t>
  </si>
  <si>
    <t>DQ</t>
  </si>
  <si>
    <t>Adjuvant Tx3 Start Date</t>
  </si>
  <si>
    <t>DR</t>
  </si>
  <si>
    <t>Adjuvant Tx3 End Date</t>
  </si>
  <si>
    <t>DS</t>
  </si>
  <si>
    <t>DT</t>
  </si>
  <si>
    <t>DU</t>
  </si>
  <si>
    <t>DV</t>
  </si>
  <si>
    <t>Adjuvant Tx4 Start Date</t>
  </si>
  <si>
    <t>DW</t>
  </si>
  <si>
    <t>Adjuvant Tx4 End Date</t>
  </si>
  <si>
    <t>DX</t>
  </si>
  <si>
    <t>DY</t>
  </si>
  <si>
    <t>DZ</t>
  </si>
  <si>
    <t>EA</t>
  </si>
  <si>
    <t>Adjuvant Tx5 Start Date</t>
  </si>
  <si>
    <t>EB</t>
  </si>
  <si>
    <t>Adjuvant Tx5 End Date</t>
  </si>
  <si>
    <t>EC</t>
  </si>
  <si>
    <t>ED</t>
  </si>
  <si>
    <t>EE</t>
  </si>
  <si>
    <t>EF</t>
  </si>
  <si>
    <t>Adjuvant Tx6 Start Date</t>
  </si>
  <si>
    <t>EG</t>
  </si>
  <si>
    <t>Adjuvant Tx6 End Date</t>
  </si>
  <si>
    <t>EH</t>
  </si>
  <si>
    <t>EI</t>
  </si>
  <si>
    <t>EJ</t>
  </si>
  <si>
    <t>EK</t>
  </si>
  <si>
    <t>Adjuvant Tx7 Start Date</t>
  </si>
  <si>
    <t>EL</t>
  </si>
  <si>
    <t>Adjuvant Tx7 End Date</t>
  </si>
  <si>
    <t>EM</t>
  </si>
  <si>
    <t>EN</t>
  </si>
  <si>
    <t>EO</t>
  </si>
  <si>
    <t>EP</t>
  </si>
  <si>
    <t>Adjuvant Tx8 Start Date</t>
  </si>
  <si>
    <t>EQ</t>
  </si>
  <si>
    <t>Adjuvant Tx8 End Date</t>
  </si>
  <si>
    <t>ER</t>
  </si>
  <si>
    <t>ES</t>
  </si>
  <si>
    <t>ET</t>
  </si>
  <si>
    <t>EU</t>
  </si>
  <si>
    <t>Adjuvant Tx9 Start Date</t>
  </si>
  <si>
    <t>EV</t>
  </si>
  <si>
    <t>Adjuvant Tx9 End Date</t>
  </si>
  <si>
    <t>EW</t>
  </si>
  <si>
    <t>EX</t>
  </si>
  <si>
    <t>EY</t>
  </si>
  <si>
    <t>EZ</t>
  </si>
  <si>
    <t>Adjuvant Tx10 Start Date</t>
  </si>
  <si>
    <t>FA</t>
  </si>
  <si>
    <t>Adjuvant Tx10 End Date</t>
  </si>
  <si>
    <t>FB</t>
  </si>
  <si>
    <t>FC</t>
  </si>
  <si>
    <t>FD</t>
  </si>
  <si>
    <t>FE</t>
  </si>
  <si>
    <t>Adjuvant Tx11 Start Date</t>
  </si>
  <si>
    <t>FF</t>
  </si>
  <si>
    <t>Adjuvant Tx11 End Date</t>
  </si>
  <si>
    <t>FG</t>
  </si>
  <si>
    <t>FH</t>
  </si>
  <si>
    <t>FI</t>
  </si>
  <si>
    <t>FJ</t>
  </si>
  <si>
    <t>Adjuvant Tx12 Start Date</t>
  </si>
  <si>
    <t>FK</t>
  </si>
  <si>
    <t>Adjuvant Tx12 End Date</t>
  </si>
  <si>
    <t>FL</t>
  </si>
  <si>
    <t>FM</t>
  </si>
  <si>
    <t>FN</t>
  </si>
  <si>
    <t>FO</t>
  </si>
  <si>
    <t>Adjuvant Tx13 Start Date</t>
  </si>
  <si>
    <t>FP</t>
  </si>
  <si>
    <t>Adjuvant Tx13 End Date</t>
  </si>
  <si>
    <t>FQ</t>
  </si>
  <si>
    <t>FR</t>
  </si>
  <si>
    <t>FS</t>
  </si>
  <si>
    <t>FT</t>
  </si>
  <si>
    <t>Adjuvant Tx14 Start Date</t>
  </si>
  <si>
    <t>FU</t>
  </si>
  <si>
    <t>Adjuvant Tx14 End Date</t>
  </si>
  <si>
    <t>FV</t>
  </si>
  <si>
    <t>FW</t>
  </si>
  <si>
    <t>FX</t>
  </si>
  <si>
    <t>FY</t>
  </si>
  <si>
    <t>Adjuvant Tx15 Start Date</t>
  </si>
  <si>
    <t>FZ</t>
  </si>
  <si>
    <t>Adjuvant Tx15 End Date</t>
  </si>
  <si>
    <t>GA</t>
  </si>
  <si>
    <t>GB</t>
  </si>
  <si>
    <t>GC</t>
  </si>
  <si>
    <t>GD</t>
  </si>
  <si>
    <t>Date recurrence/ progression 2</t>
  </si>
  <si>
    <t>GE</t>
  </si>
  <si>
    <t>Sites recurrence/ progression 2</t>
  </si>
  <si>
    <t>GF</t>
  </si>
  <si>
    <t>Date recurrence/ progression 3</t>
  </si>
  <si>
    <t>GG</t>
  </si>
  <si>
    <t>Sites recurrence/ progression 3</t>
  </si>
  <si>
    <t>GH</t>
  </si>
  <si>
    <t>Date recurrence/ progression 4</t>
  </si>
  <si>
    <t>GI</t>
  </si>
  <si>
    <t>Sites recurrence/ progression 4</t>
  </si>
  <si>
    <t>GJ</t>
  </si>
  <si>
    <t>Date recurrence/ progression 5</t>
  </si>
  <si>
    <t>GK</t>
  </si>
  <si>
    <t>Sites recurrence/ progression 5</t>
  </si>
  <si>
    <t>GL</t>
  </si>
  <si>
    <t>Date recurrence/ progression 6</t>
  </si>
  <si>
    <t>GM</t>
  </si>
  <si>
    <t>Sites recurrence/ progression 6</t>
  </si>
  <si>
    <t>GN</t>
  </si>
  <si>
    <t>Date recurrence/ progression 7</t>
  </si>
  <si>
    <t>GO</t>
  </si>
  <si>
    <t>Sites recurrence/ progression 7</t>
  </si>
  <si>
    <t>GP</t>
  </si>
  <si>
    <t>Date recurrence/ progression 8</t>
  </si>
  <si>
    <t>GQ</t>
  </si>
  <si>
    <t>Sites recurrence/ progression 8</t>
  </si>
  <si>
    <t>GR</t>
  </si>
  <si>
    <t>Date recurrence/ progression 9</t>
  </si>
  <si>
    <t>GS</t>
  </si>
  <si>
    <t>Sites recurrence/ progression 9</t>
  </si>
  <si>
    <t>GT</t>
  </si>
  <si>
    <t>Date recurrence/ progression 10</t>
  </si>
  <si>
    <t>GU</t>
  </si>
  <si>
    <t>Sites recurrence/ progression 10</t>
  </si>
  <si>
    <t>GV</t>
  </si>
  <si>
    <t>Date recurrence/ progression 11</t>
  </si>
  <si>
    <t>GW</t>
  </si>
  <si>
    <t>Sites recurrence/ progression 11</t>
  </si>
  <si>
    <t>GX</t>
  </si>
  <si>
    <t>Date recurrence/ progression 12</t>
  </si>
  <si>
    <t>GY</t>
  </si>
  <si>
    <t>Sites recurrence/ progression 12</t>
  </si>
  <si>
    <t>GZ</t>
  </si>
  <si>
    <t>Date recurrence/ progression 13</t>
  </si>
  <si>
    <t>HA</t>
  </si>
  <si>
    <t>Sites recurrence/ progression 13</t>
  </si>
  <si>
    <t>HB</t>
  </si>
  <si>
    <t>Date recurrence/ progression 14</t>
  </si>
  <si>
    <t>HC</t>
  </si>
  <si>
    <t>Sites recurrence/ progression 14</t>
  </si>
  <si>
    <t>HD</t>
  </si>
  <si>
    <t>Date recurrence/ progression 15</t>
  </si>
  <si>
    <t>HE</t>
  </si>
  <si>
    <t>Sites recurrence/ progression 15</t>
  </si>
  <si>
    <t>HF</t>
  </si>
  <si>
    <t>HG</t>
  </si>
  <si>
    <t>HH</t>
  </si>
  <si>
    <t>HI</t>
  </si>
  <si>
    <t>Subsequent Tx1 Finish Date</t>
  </si>
  <si>
    <t>HJ</t>
  </si>
  <si>
    <t>HK</t>
  </si>
  <si>
    <t>HL</t>
  </si>
  <si>
    <t>HM</t>
  </si>
  <si>
    <t>Subsequent Tx2 Start Date</t>
  </si>
  <si>
    <t>HN</t>
  </si>
  <si>
    <t>Subsequent Tx2 Finish Date</t>
  </si>
  <si>
    <t>HO</t>
  </si>
  <si>
    <t>HP</t>
  </si>
  <si>
    <t>HQ</t>
  </si>
  <si>
    <t>HR</t>
  </si>
  <si>
    <t>Subsequent Tx3 Start Date</t>
  </si>
  <si>
    <t>HS</t>
  </si>
  <si>
    <t>Subsequent Tx3 Finish Date</t>
  </si>
  <si>
    <t>HT</t>
  </si>
  <si>
    <t>HU</t>
  </si>
  <si>
    <t>HV</t>
  </si>
  <si>
    <t>HW</t>
  </si>
  <si>
    <t>Subsequent Tx4 Start Date</t>
  </si>
  <si>
    <t>HX</t>
  </si>
  <si>
    <t>Subsequent Tx4 Finish Date</t>
  </si>
  <si>
    <t>HY</t>
  </si>
  <si>
    <t>HZ</t>
  </si>
  <si>
    <t>Subsequent Tx5 Start Date</t>
  </si>
  <si>
    <t>Subsequent Tx5 Finish Date</t>
  </si>
  <si>
    <t>ID</t>
  </si>
  <si>
    <t>IE</t>
  </si>
  <si>
    <t>IF</t>
  </si>
  <si>
    <t>IG</t>
  </si>
  <si>
    <t>Subsequent Tx6 Start Date</t>
  </si>
  <si>
    <t>IH</t>
  </si>
  <si>
    <t>Subsequent Tx6 Finish Date</t>
  </si>
  <si>
    <t>II</t>
  </si>
  <si>
    <t>IJ</t>
  </si>
  <si>
    <t>IK</t>
  </si>
  <si>
    <t>IL</t>
  </si>
  <si>
    <t>Subsequent Tx7 Start Date</t>
  </si>
  <si>
    <t>IM</t>
  </si>
  <si>
    <t>Subsequent Tx7 Finish Date</t>
  </si>
  <si>
    <t>IN</t>
  </si>
  <si>
    <t>IO</t>
  </si>
  <si>
    <t>IP</t>
  </si>
  <si>
    <t>IQ</t>
  </si>
  <si>
    <t>Subsequent Tx8 Start Date</t>
  </si>
  <si>
    <t>IR</t>
  </si>
  <si>
    <t>Subsequent Tx8 Finish Date</t>
  </si>
  <si>
    <t>IS</t>
  </si>
  <si>
    <t>IT</t>
  </si>
  <si>
    <t>IU</t>
  </si>
  <si>
    <t>IV</t>
  </si>
  <si>
    <t>Subsequent Tx9 Start Date</t>
  </si>
  <si>
    <t>IW</t>
  </si>
  <si>
    <t>Subsequent Tx9 Finish Date</t>
  </si>
  <si>
    <t>IX</t>
  </si>
  <si>
    <t>IY</t>
  </si>
  <si>
    <t>IZ</t>
  </si>
  <si>
    <t>JA</t>
  </si>
  <si>
    <t>Subsequent Tx10 Start Date</t>
  </si>
  <si>
    <t>JB</t>
  </si>
  <si>
    <t>Subsequent Tx10 Finish Date</t>
  </si>
  <si>
    <t>JC</t>
  </si>
  <si>
    <t>JD</t>
  </si>
  <si>
    <t>JE</t>
  </si>
  <si>
    <t>JF</t>
  </si>
  <si>
    <t>Subsequent Tx11 Start Date</t>
  </si>
  <si>
    <t>JG</t>
  </si>
  <si>
    <t>Subsequent Tx11 Finish Date</t>
  </si>
  <si>
    <t>JH</t>
  </si>
  <si>
    <t>JI</t>
  </si>
  <si>
    <t>JJ</t>
  </si>
  <si>
    <t>JK</t>
  </si>
  <si>
    <t>Subsequent Tx12 Start Date</t>
  </si>
  <si>
    <t>JL</t>
  </si>
  <si>
    <t>Subsequent Tx12 Finish Date</t>
  </si>
  <si>
    <t>JM</t>
  </si>
  <si>
    <t>JN</t>
  </si>
  <si>
    <t>JO</t>
  </si>
  <si>
    <t>JP</t>
  </si>
  <si>
    <t>Subsequent Tx13 Start Date</t>
  </si>
  <si>
    <t>JQ</t>
  </si>
  <si>
    <t>Subsequent Tx13 Finish Date</t>
  </si>
  <si>
    <t>JR</t>
  </si>
  <si>
    <t>JS</t>
  </si>
  <si>
    <t>JT</t>
  </si>
  <si>
    <t>JU</t>
  </si>
  <si>
    <t>Subsequent Tx14 Start Date</t>
  </si>
  <si>
    <t>JV</t>
  </si>
  <si>
    <t>Subsequent Tx14 Finish Date</t>
  </si>
  <si>
    <t>JW</t>
  </si>
  <si>
    <t>JX</t>
  </si>
  <si>
    <t>JY</t>
  </si>
  <si>
    <t>JZ</t>
  </si>
  <si>
    <t>Subsequent Tx15 Start Date</t>
  </si>
  <si>
    <t>KA</t>
  </si>
  <si>
    <t>Subsequent Tx15 Finish Date</t>
  </si>
  <si>
    <t>KB</t>
  </si>
  <si>
    <t>KC</t>
  </si>
  <si>
    <t>KD</t>
  </si>
  <si>
    <t>KE</t>
  </si>
  <si>
    <t>KF</t>
  </si>
  <si>
    <t>KG</t>
  </si>
  <si>
    <t>KH</t>
  </si>
  <si>
    <t>KI</t>
  </si>
  <si>
    <t>Concurrent Medical Conditions</t>
  </si>
  <si>
    <t>KJ</t>
  </si>
  <si>
    <t>KK</t>
  </si>
  <si>
    <t>KL</t>
  </si>
  <si>
    <t>KM</t>
  </si>
  <si>
    <t>TTE Neoadjuvant Tx2 Start Date</t>
  </si>
  <si>
    <t>KN</t>
  </si>
  <si>
    <t>TTE Neoadjuvant Tx2 End Date</t>
  </si>
  <si>
    <t>KO</t>
  </si>
  <si>
    <t>TTE Neoadjuvant Tx3 Start Date</t>
  </si>
  <si>
    <t>KP</t>
  </si>
  <si>
    <t>TTE Neoadjuvant Tx3 End Date</t>
  </si>
  <si>
    <t>KQ</t>
  </si>
  <si>
    <t>TTE Neoadjuvant Tx4 Start Date</t>
  </si>
  <si>
    <t>KR</t>
  </si>
  <si>
    <t>TTE Neoadjuvant Tx4 End Date</t>
  </si>
  <si>
    <t>KS</t>
  </si>
  <si>
    <t>TTE Neoadjuvant Tx5 Start Date</t>
  </si>
  <si>
    <t>KT</t>
  </si>
  <si>
    <t>TTE Neoadjuvant Tx5 End Date</t>
  </si>
  <si>
    <t>KU</t>
  </si>
  <si>
    <t>TTE Neoadjuvant Tx6 Start Date</t>
  </si>
  <si>
    <t>KV</t>
  </si>
  <si>
    <t>TTE Neoadjuvant Tx6 End Date</t>
  </si>
  <si>
    <t>KW</t>
  </si>
  <si>
    <t>TTE Neoadjuvant Tx7 Start Date</t>
  </si>
  <si>
    <t>KX</t>
  </si>
  <si>
    <t>TTE Neoadjuvant Tx7 End Date</t>
  </si>
  <si>
    <t>KY</t>
  </si>
  <si>
    <t>TTE Neoadjuvant Tx8 Start Date</t>
  </si>
  <si>
    <t>KZ</t>
  </si>
  <si>
    <t>TTE Neoadjuvant Tx8 End Date</t>
  </si>
  <si>
    <t>LA</t>
  </si>
  <si>
    <t>TTE Neoadjuvant Tx9 Start Date</t>
  </si>
  <si>
    <t>LB</t>
  </si>
  <si>
    <t>TTE Neoadjuvant Tx9 End Date</t>
  </si>
  <si>
    <t>LC</t>
  </si>
  <si>
    <t>TTE Neoadjuvant Tx10 Start Date</t>
  </si>
  <si>
    <t>LD</t>
  </si>
  <si>
    <t>TTE Neoadjuvant Tx10 End Date</t>
  </si>
  <si>
    <t>LE</t>
  </si>
  <si>
    <t>LF</t>
  </si>
  <si>
    <t xml:space="preserve">TTE Primary Surgery date </t>
  </si>
  <si>
    <t>LG</t>
  </si>
  <si>
    <t xml:space="preserve">TTE Matched met 1 Surgery Date </t>
  </si>
  <si>
    <t>LH</t>
  </si>
  <si>
    <t xml:space="preserve">TTE Matched met 2 Surgery Date </t>
  </si>
  <si>
    <t>LI</t>
  </si>
  <si>
    <t xml:space="preserve">TTE Matched met 3 Surgery Date </t>
  </si>
  <si>
    <t>LJ</t>
  </si>
  <si>
    <t xml:space="preserve">TTE Matched met 4 Surgery Date </t>
  </si>
  <si>
    <t>LK</t>
  </si>
  <si>
    <t xml:space="preserve">TTE Matched met 5 Surgery Date </t>
  </si>
  <si>
    <t>LL</t>
  </si>
  <si>
    <t xml:space="preserve">TTE Matched Normal tissue Surgery Date </t>
  </si>
  <si>
    <t>LM</t>
  </si>
  <si>
    <t>LN</t>
  </si>
  <si>
    <t>LO</t>
  </si>
  <si>
    <t>TTE Adjuvant Tx2 Start Date</t>
  </si>
  <si>
    <t>LP</t>
  </si>
  <si>
    <t>TTE Adjuvant Tx2 End Date</t>
  </si>
  <si>
    <t>LQ</t>
  </si>
  <si>
    <t>TTE Adjuvant Tx3 Start Date</t>
  </si>
  <si>
    <t>LR</t>
  </si>
  <si>
    <t>TTE Adjuvant Tx3 End Date</t>
  </si>
  <si>
    <t>LS</t>
  </si>
  <si>
    <t>TTE Adjuvant Tx4 Start Date</t>
  </si>
  <si>
    <t>LT</t>
  </si>
  <si>
    <t>TTE Adjuvant Tx4 End Date</t>
  </si>
  <si>
    <t>LU</t>
  </si>
  <si>
    <t>TTE Adjuvant Tx5 Start Date</t>
  </si>
  <si>
    <t>LV</t>
  </si>
  <si>
    <t>TTE Adjuvant Tx5 End Date</t>
  </si>
  <si>
    <t>LW</t>
  </si>
  <si>
    <t>TTE Adjuvant Tx6 Start Date</t>
  </si>
  <si>
    <t>LX</t>
  </si>
  <si>
    <t>TTE Adjuvant Tx6 End Date</t>
  </si>
  <si>
    <t>LY</t>
  </si>
  <si>
    <t>TTE Adjuvant Tx7 Start Date</t>
  </si>
  <si>
    <t>LZ</t>
  </si>
  <si>
    <t>TTE Adjuvant Tx7 End Date</t>
  </si>
  <si>
    <t>MA</t>
  </si>
  <si>
    <t>TTE Adjuvant Tx8 Start Date</t>
  </si>
  <si>
    <t>MB</t>
  </si>
  <si>
    <t>TTE Adjuvant Tx8 End Date</t>
  </si>
  <si>
    <t>MC</t>
  </si>
  <si>
    <t>TTE Adjuvant Tx9 Start Date</t>
  </si>
  <si>
    <t>MD</t>
  </si>
  <si>
    <t>TTE Adjuvant Tx9 End Date</t>
  </si>
  <si>
    <t>ME</t>
  </si>
  <si>
    <t>TTE Adjuvant Tx10 Start Date</t>
  </si>
  <si>
    <t>MF</t>
  </si>
  <si>
    <t>TTE Adjuvant Tx10 End Date</t>
  </si>
  <si>
    <t>MG</t>
  </si>
  <si>
    <t>TTE Adjuvant Tx11 Start Date</t>
  </si>
  <si>
    <t>MH</t>
  </si>
  <si>
    <t>TTE Adjuvant Tx11 End Date</t>
  </si>
  <si>
    <t>MI</t>
  </si>
  <si>
    <t>TTE Adjuvant Tx12 Start Date</t>
  </si>
  <si>
    <t>MJ</t>
  </si>
  <si>
    <t>TTE Adjuvant Tx12 End Date</t>
  </si>
  <si>
    <t>MK</t>
  </si>
  <si>
    <t>TTE Adjuvant Tx13 Start Date</t>
  </si>
  <si>
    <t>ML</t>
  </si>
  <si>
    <t>TTE Adjuvant Tx13 End Date</t>
  </si>
  <si>
    <t>MM</t>
  </si>
  <si>
    <t>TTE Adjuvant Tx14 Start Date</t>
  </si>
  <si>
    <t>MN</t>
  </si>
  <si>
    <t>TTE Adjuvant Tx14 End Date</t>
  </si>
  <si>
    <t>MO</t>
  </si>
  <si>
    <t>TTE Adjuvant Tx15 Start Date</t>
  </si>
  <si>
    <t>MP</t>
  </si>
  <si>
    <t>TTE Adjuvant Tx15 End Date</t>
  </si>
  <si>
    <t>MQ</t>
  </si>
  <si>
    <t>TTE Date recurrence/ progression 2</t>
  </si>
  <si>
    <t>MS</t>
  </si>
  <si>
    <t>TTE Date recurrence/ progression 3</t>
  </si>
  <si>
    <t>MT</t>
  </si>
  <si>
    <t>TTE Date recurrence/ progression 4</t>
  </si>
  <si>
    <t>MU</t>
  </si>
  <si>
    <t>TTE Date recurrence/ progression 5</t>
  </si>
  <si>
    <t>MV</t>
  </si>
  <si>
    <t>TTE Date recurrence/ progression 6</t>
  </si>
  <si>
    <t>MW</t>
  </si>
  <si>
    <t>TTE Date recurrence/ progression 7</t>
  </si>
  <si>
    <t>MX</t>
  </si>
  <si>
    <t>TTE Date recurrence/ progression 8</t>
  </si>
  <si>
    <t>MY</t>
  </si>
  <si>
    <t>TTE Date recurrence/ progression 9</t>
  </si>
  <si>
    <t>MZ</t>
  </si>
  <si>
    <t>TTE Date recurrence/ progression 10</t>
  </si>
  <si>
    <t>NA</t>
  </si>
  <si>
    <t>TTE Date recurrence/ progression 11</t>
  </si>
  <si>
    <t>NB</t>
  </si>
  <si>
    <t>TTE Date recurrence/ progression 12</t>
  </si>
  <si>
    <t>NC</t>
  </si>
  <si>
    <t>TTE Date recurrence/ progression 13</t>
  </si>
  <si>
    <t>ND</t>
  </si>
  <si>
    <t>TTE Date recurrence/ progression 14</t>
  </si>
  <si>
    <t>NE</t>
  </si>
  <si>
    <t>TTE Date recurrence/ progression 15</t>
  </si>
  <si>
    <t>NF</t>
  </si>
  <si>
    <t>NG</t>
  </si>
  <si>
    <t>TTE Subsequent Tx1 Finish Date</t>
  </si>
  <si>
    <t>NH</t>
  </si>
  <si>
    <t>TTE Subsequent Tx2 Start Date</t>
  </si>
  <si>
    <t>NI</t>
  </si>
  <si>
    <t>TTE Subsequent Tx2 Finish Date</t>
  </si>
  <si>
    <t>NJ</t>
  </si>
  <si>
    <t>TTE Subsequent Tx3 Start Date</t>
  </si>
  <si>
    <t>NK</t>
  </si>
  <si>
    <t>TTE Subsequent Tx3 Finish Date</t>
  </si>
  <si>
    <t>NL</t>
  </si>
  <si>
    <t>TTE Subsequent Tx4 Start Date</t>
  </si>
  <si>
    <t>NM</t>
  </si>
  <si>
    <t>TTE Subsequent Tx4 Finish Date</t>
  </si>
  <si>
    <t>NN</t>
  </si>
  <si>
    <t>TTE Subsequent Tx5 Start Date</t>
  </si>
  <si>
    <t>NO</t>
  </si>
  <si>
    <t>TTE Subsequent Tx5 Finish Date</t>
  </si>
  <si>
    <t>NP</t>
  </si>
  <si>
    <t>TTE Subsequent Tx6 Start Date</t>
  </si>
  <si>
    <t>NQ</t>
  </si>
  <si>
    <t>TTE Subsequent Tx6 Finish Date</t>
  </si>
  <si>
    <t>TTE Subsequent Tx7 Start Date</t>
  </si>
  <si>
    <t>NS</t>
  </si>
  <si>
    <t>TTE Subsequent Tx7 Finish Date</t>
  </si>
  <si>
    <t>NT</t>
  </si>
  <si>
    <t>TTE Subsequent Tx8 Start Date</t>
  </si>
  <si>
    <t>NU</t>
  </si>
  <si>
    <t>TTE Subsequent Tx8 Finish Date</t>
  </si>
  <si>
    <t>NV</t>
  </si>
  <si>
    <t>TTE Subsequent Tx9 Start Date</t>
  </si>
  <si>
    <t>NW</t>
  </si>
  <si>
    <t>TTE Subsequent Tx9 Finish Date</t>
  </si>
  <si>
    <t>NX</t>
  </si>
  <si>
    <t>TTE Subsequent Tx10 Start Date</t>
  </si>
  <si>
    <t>NY</t>
  </si>
  <si>
    <t>TTE Subsequent Tx10 Finish Date</t>
  </si>
  <si>
    <t>NZ</t>
  </si>
  <si>
    <t>TTE Subsequent Tx11 Start Date</t>
  </si>
  <si>
    <t>OA</t>
  </si>
  <si>
    <t>TTE Subsequent Tx11 Finish Date</t>
  </si>
  <si>
    <t>OB</t>
  </si>
  <si>
    <t>TTE Subsequent Tx12 Start Date</t>
  </si>
  <si>
    <t>OC</t>
  </si>
  <si>
    <t>TTE Subsequent Tx12 Finish Date</t>
  </si>
  <si>
    <t>OD</t>
  </si>
  <si>
    <t>TTE Subsequent Tx13 Start Date</t>
  </si>
  <si>
    <t>OE</t>
  </si>
  <si>
    <t>TTE Subsequent Tx13 Finish Date</t>
  </si>
  <si>
    <t>OF</t>
  </si>
  <si>
    <t>TTE Subsequent Tx14 Start Date</t>
  </si>
  <si>
    <t>OG</t>
  </si>
  <si>
    <t>TTE Subsequent Tx14 Finish Date</t>
  </si>
  <si>
    <t>OH</t>
  </si>
  <si>
    <t>TTE Subsequent Tx15 Start Date</t>
  </si>
  <si>
    <t>OI</t>
  </si>
  <si>
    <t>TTE Subsequent Tx15 Finish Date</t>
  </si>
  <si>
    <t>OJ</t>
  </si>
  <si>
    <t>OK</t>
  </si>
  <si>
    <t>OL</t>
  </si>
  <si>
    <t>OM</t>
  </si>
  <si>
    <t>ON</t>
  </si>
  <si>
    <t>OO</t>
  </si>
  <si>
    <t>OP</t>
  </si>
  <si>
    <t>OQ</t>
  </si>
  <si>
    <t>OR</t>
  </si>
  <si>
    <t>OT</t>
  </si>
  <si>
    <t>Row Number</t>
  </si>
  <si>
    <t>TTE Error Reasoning</t>
  </si>
  <si>
    <t>All good! 😎</t>
  </si>
  <si>
    <t>No errors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</si>
</sst>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809]dd\ mmmm\ yyyy;@"/>
    <numFmt numFmtId="166" formatCode="[$-409]mmm\-yy;@"/>
  </numFmts>
  <fonts count="24" x14ac:knownFonts="1">
    <font>
      <sz val="10"/>
      <color theme="1"/>
      <name val="Arial"/>
      <family val="2"/>
    </font>
    <font>
      <sz val="11"/>
      <color theme="1"/>
      <name val="Calibri"/>
      <family val="2"/>
      <scheme val="minor"/>
    </font>
    <font>
      <b/>
      <sz val="14"/>
      <color rgb="FFFF0000"/>
      <name val="Arial"/>
      <family val="2"/>
    </font>
    <font>
      <sz val="10"/>
      <color rgb="FF000000"/>
      <name val="Calibri"/>
    </font>
    <font>
      <b/>
      <sz val="14"/>
      <color rgb="FFFF0000"/>
      <name val="Calibri"/>
    </font>
    <font>
      <sz val="10"/>
      <color theme="1"/>
      <name val="Calibri"/>
    </font>
    <font>
      <b/>
      <sz val="10"/>
      <color rgb="FF000000"/>
      <name val="Calibri"/>
    </font>
    <font>
      <b/>
      <sz val="10"/>
      <name val="Calibri"/>
    </font>
    <font>
      <b/>
      <sz val="10"/>
      <color theme="1"/>
      <name val="Calibri"/>
    </font>
    <font>
      <sz val="10"/>
      <color rgb="FF000000"/>
      <name val="Calibri Light"/>
      <scheme val="major"/>
    </font>
    <font>
      <sz val="10"/>
      <color rgb="FFFF0000"/>
      <name val="Calibri Light"/>
      <scheme val="major"/>
    </font>
    <font>
      <b/>
      <sz val="10"/>
      <color rgb="FF000000"/>
      <name val="Calibri"/>
      <family val="2"/>
    </font>
    <font>
      <b/>
      <sz val="10"/>
      <name val="Calibri"/>
      <family val="2"/>
    </font>
    <font>
      <sz val="10"/>
      <color theme="1"/>
      <name val="Calibri Light"/>
      <scheme val="major"/>
    </font>
    <font>
      <b/>
      <u/>
      <sz val="10"/>
      <color theme="1"/>
      <name val="Calibri Light"/>
      <scheme val="major"/>
    </font>
    <font>
      <b/>
      <sz val="10"/>
      <color theme="1"/>
      <name val="Calibri Light"/>
      <scheme val="major"/>
    </font>
    <font>
      <b/>
      <sz val="10"/>
      <color rgb="FF000000"/>
      <name val="Calibri Light"/>
      <scheme val="major"/>
    </font>
    <font>
      <sz val="12"/>
      <color rgb="FF000000"/>
      <name val="Calibri Light"/>
      <scheme val="major"/>
    </font>
    <font>
      <sz val="10"/>
      <color theme="1"/>
      <name val="Calibri Light"/>
      <family val="2"/>
      <scheme val="major"/>
    </font>
    <font>
      <sz val="10"/>
      <color rgb="FF000000"/>
      <name val="Calibri"/>
      <family val="2"/>
    </font>
    <font>
      <sz val="10"/>
      <color theme="1"/>
      <name val="Calibri"/>
      <family val="2"/>
    </font>
    <font>
      <b/>
      <sz val="10"/>
      <color theme="1"/>
      <name val="Arial"/>
      <family val="2"/>
    </font>
    <font>
      <i/>
      <sz val="10"/>
      <color rgb="FF000000"/>
      <name val="Calibri"/>
    </font>
    <font>
      <sz val="10"/>
      <color theme="1"/>
      <name val="Calibri"/>
      <scheme val="minor"/>
    </font>
  </fonts>
  <fills count="15">
    <fill>
      <patternFill patternType="none"/>
    </fill>
    <fill>
      <patternFill patternType="gray125"/>
    </fill>
    <fill>
      <patternFill patternType="solid">
        <fgColor rgb="FFF8CBAD"/>
        <bgColor indexed="64"/>
      </patternFill>
    </fill>
    <fill>
      <patternFill patternType="solid">
        <fgColor rgb="FF9BC2E6"/>
        <bgColor indexed="64"/>
      </patternFill>
    </fill>
    <fill>
      <patternFill patternType="solid">
        <fgColor rgb="FFFFFF00"/>
        <bgColor indexed="64"/>
      </patternFill>
    </fill>
    <fill>
      <patternFill patternType="solid">
        <fgColor rgb="FFE7E6E6"/>
        <bgColor indexed="64"/>
      </patternFill>
    </fill>
    <fill>
      <patternFill patternType="solid">
        <fgColor rgb="FFFF8AD8"/>
        <bgColor rgb="FF000000"/>
      </patternFill>
    </fill>
    <fill>
      <patternFill patternType="solid">
        <fgColor rgb="FFA9D08E"/>
        <bgColor rgb="FF000000"/>
      </patternFill>
    </fill>
    <fill>
      <patternFill patternType="solid">
        <fgColor rgb="FFFFC000"/>
        <bgColor indexed="64"/>
      </patternFill>
    </fill>
    <fill>
      <patternFill patternType="solid">
        <fgColor rgb="FFFFD966"/>
        <bgColor indexed="64"/>
      </patternFill>
    </fill>
    <fill>
      <patternFill patternType="solid">
        <fgColor rgb="FFACB9CA"/>
        <bgColor indexed="64"/>
      </patternFill>
    </fill>
    <fill>
      <patternFill patternType="solid">
        <fgColor rgb="FFE7E6E6"/>
        <bgColor rgb="FF000000"/>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18">
    <border>
      <left/>
      <right/>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auto="1"/>
      </top>
      <bottom/>
      <diagonal/>
    </border>
    <border>
      <left style="thin">
        <color rgb="FF000000"/>
      </left>
      <right style="thin">
        <color rgb="FF000000"/>
      </right>
      <top style="thin">
        <color auto="1"/>
      </top>
      <bottom/>
      <diagonal/>
    </border>
    <border>
      <left style="thin">
        <color rgb="FF000000"/>
      </left>
      <right/>
      <top style="thin">
        <color theme="1"/>
      </top>
      <bottom/>
      <diagonal/>
    </border>
  </borders>
  <cellStyleXfs count="3">
    <xf numFmtId="0" fontId="0" fillId="0" borderId="0"/>
    <xf numFmtId="0" fontId="1" fillId="0" borderId="0"/>
    <xf numFmtId="0" fontId="1" fillId="0" borderId="0"/>
  </cellStyleXfs>
  <cellXfs count="209">
    <xf numFmtId="0" fontId="0" fillId="0" borderId="0" xfId="0"/>
    <xf numFmtId="0" fontId="2" fillId="0" borderId="0" xfId="0" applyFont="1"/>
    <xf numFmtId="0" fontId="4" fillId="0" borderId="0" xfId="0" applyFont="1"/>
    <xf numFmtId="0" fontId="5" fillId="0" borderId="0" xfId="0" applyFont="1" applyAlignment="1">
      <alignment wrapText="1"/>
    </xf>
    <xf numFmtId="164" fontId="6" fillId="4" borderId="1" xfId="1" applyNumberFormat="1" applyFont="1" applyFill="1" applyBorder="1" applyAlignment="1">
      <alignment horizontal="center" vertical="center" wrapText="1"/>
    </xf>
    <xf numFmtId="164" fontId="7" fillId="4" borderId="1" xfId="1" applyNumberFormat="1" applyFont="1" applyFill="1" applyBorder="1" applyAlignment="1">
      <alignment horizontal="center" vertical="center" wrapText="1"/>
    </xf>
    <xf numFmtId="165" fontId="7" fillId="4" borderId="1" xfId="1" applyNumberFormat="1" applyFont="1" applyFill="1" applyBorder="1" applyAlignment="1">
      <alignment horizontal="center" vertical="center" wrapText="1"/>
    </xf>
    <xf numFmtId="164" fontId="7" fillId="4" borderId="2" xfId="1" applyNumberFormat="1" applyFont="1" applyFill="1" applyBorder="1" applyAlignment="1">
      <alignment horizontal="center" vertical="center" wrapText="1"/>
    </xf>
    <xf numFmtId="166" fontId="6" fillId="4" borderId="7" xfId="1" applyNumberFormat="1" applyFont="1" applyFill="1" applyBorder="1" applyAlignment="1">
      <alignment horizontal="center" vertical="center" wrapText="1"/>
    </xf>
    <xf numFmtId="164" fontId="6" fillId="4" borderId="7" xfId="1" applyNumberFormat="1" applyFont="1" applyFill="1" applyBorder="1" applyAlignment="1">
      <alignment horizontal="center" vertical="center" wrapText="1"/>
    </xf>
    <xf numFmtId="165" fontId="7" fillId="4" borderId="3" xfId="1" applyNumberFormat="1" applyFont="1" applyFill="1" applyBorder="1" applyAlignment="1">
      <alignment horizontal="center" vertical="center" wrapText="1"/>
    </xf>
    <xf numFmtId="165" fontId="7" fillId="4" borderId="4" xfId="1" applyNumberFormat="1" applyFont="1" applyFill="1" applyBorder="1" applyAlignment="1">
      <alignment horizontal="center" vertical="center" wrapText="1"/>
    </xf>
    <xf numFmtId="0" fontId="7" fillId="4" borderId="4" xfId="1" applyFont="1" applyFill="1" applyBorder="1" applyAlignment="1">
      <alignment horizontal="center" vertical="center" wrapText="1"/>
    </xf>
    <xf numFmtId="164" fontId="7" fillId="4" borderId="7" xfId="1" applyNumberFormat="1" applyFont="1" applyFill="1" applyBorder="1" applyAlignment="1">
      <alignment horizontal="center" vertical="center" wrapText="1"/>
    </xf>
    <xf numFmtId="164" fontId="7" fillId="4" borderId="4" xfId="1" applyNumberFormat="1" applyFont="1" applyFill="1" applyBorder="1" applyAlignment="1">
      <alignment horizontal="center" vertical="center" wrapText="1"/>
    </xf>
    <xf numFmtId="0" fontId="7" fillId="4" borderId="7" xfId="1" applyFont="1" applyFill="1" applyBorder="1" applyAlignment="1">
      <alignment horizontal="center" vertical="center" wrapText="1"/>
    </xf>
    <xf numFmtId="164" fontId="7" fillId="4" borderId="8" xfId="1" applyNumberFormat="1" applyFont="1" applyFill="1" applyBorder="1" applyAlignment="1">
      <alignment horizontal="center" vertical="center" wrapText="1"/>
    </xf>
    <xf numFmtId="164" fontId="7" fillId="4" borderId="3" xfId="1" applyNumberFormat="1" applyFont="1" applyFill="1" applyBorder="1" applyAlignment="1">
      <alignment horizontal="center" vertical="center" wrapText="1"/>
    </xf>
    <xf numFmtId="164" fontId="7" fillId="5" borderId="4" xfId="1" applyNumberFormat="1" applyFont="1" applyFill="1" applyBorder="1" applyAlignment="1">
      <alignment horizontal="center" vertical="center" wrapText="1"/>
    </xf>
    <xf numFmtId="0" fontId="7" fillId="5" borderId="7" xfId="1" applyFont="1" applyFill="1" applyBorder="1" applyAlignment="1">
      <alignment horizontal="center" vertical="center" wrapText="1"/>
    </xf>
    <xf numFmtId="165" fontId="7" fillId="5" borderId="7" xfId="1" applyNumberFormat="1" applyFont="1" applyFill="1" applyBorder="1" applyAlignment="1">
      <alignment horizontal="center" vertical="center" wrapText="1"/>
    </xf>
    <xf numFmtId="0" fontId="7" fillId="3" borderId="7" xfId="1" applyFont="1" applyFill="1" applyBorder="1" applyAlignment="1">
      <alignment horizontal="center" vertical="center" wrapText="1"/>
    </xf>
    <xf numFmtId="165" fontId="7" fillId="3" borderId="7" xfId="1" applyNumberFormat="1" applyFont="1" applyFill="1" applyBorder="1" applyAlignment="1">
      <alignment horizontal="center" vertical="center" wrapText="1"/>
    </xf>
    <xf numFmtId="0" fontId="7" fillId="3" borderId="4" xfId="1" applyFont="1" applyFill="1" applyBorder="1" applyAlignment="1">
      <alignment horizontal="center" vertical="center" wrapText="1"/>
    </xf>
    <xf numFmtId="165" fontId="6" fillId="2" borderId="7" xfId="1" applyNumberFormat="1" applyFont="1" applyFill="1" applyBorder="1" applyAlignment="1">
      <alignment horizontal="center" vertical="center" wrapText="1"/>
    </xf>
    <xf numFmtId="164" fontId="6" fillId="2" borderId="7" xfId="1" applyNumberFormat="1" applyFont="1" applyFill="1" applyBorder="1" applyAlignment="1">
      <alignment horizontal="center" vertical="center" wrapText="1"/>
    </xf>
    <xf numFmtId="0" fontId="7" fillId="9" borderId="7" xfId="1" applyFont="1" applyFill="1" applyBorder="1" applyAlignment="1">
      <alignment horizontal="center" vertical="center" wrapText="1"/>
    </xf>
    <xf numFmtId="165" fontId="7" fillId="9" borderId="7" xfId="1" applyNumberFormat="1" applyFont="1" applyFill="1" applyBorder="1" applyAlignment="1">
      <alignment horizontal="center" vertical="center" wrapText="1"/>
    </xf>
    <xf numFmtId="165" fontId="7" fillId="9" borderId="7" xfId="1" quotePrefix="1" applyNumberFormat="1" applyFont="1" applyFill="1" applyBorder="1" applyAlignment="1">
      <alignment horizontal="center" vertical="center" wrapText="1"/>
    </xf>
    <xf numFmtId="0" fontId="7" fillId="9" borderId="7" xfId="1" quotePrefix="1" applyFont="1" applyFill="1" applyBorder="1" applyAlignment="1">
      <alignment horizontal="center" vertical="center" wrapText="1"/>
    </xf>
    <xf numFmtId="0" fontId="7" fillId="9" borderId="4" xfId="1" applyFont="1" applyFill="1" applyBorder="1" applyAlignment="1">
      <alignment horizontal="center" vertical="center" wrapText="1"/>
    </xf>
    <xf numFmtId="0" fontId="7" fillId="3" borderId="1" xfId="1" applyFont="1" applyFill="1" applyBorder="1" applyAlignment="1">
      <alignment horizontal="center" vertical="center" wrapText="1"/>
    </xf>
    <xf numFmtId="165" fontId="7" fillId="3" borderId="2" xfId="1" applyNumberFormat="1" applyFont="1" applyFill="1" applyBorder="1" applyAlignment="1">
      <alignment horizontal="center" vertical="center" wrapText="1"/>
    </xf>
    <xf numFmtId="0" fontId="6" fillId="3" borderId="2" xfId="1" applyFont="1" applyFill="1" applyBorder="1" applyAlignment="1">
      <alignment horizontal="center" vertical="center" wrapText="1"/>
    </xf>
    <xf numFmtId="0" fontId="7" fillId="3" borderId="2" xfId="1" applyFont="1" applyFill="1" applyBorder="1" applyAlignment="1">
      <alignment horizontal="center" vertical="center" wrapText="1"/>
    </xf>
    <xf numFmtId="0" fontId="7" fillId="3" borderId="5" xfId="1" applyFont="1" applyFill="1" applyBorder="1" applyAlignment="1">
      <alignment horizontal="center" vertical="center" wrapText="1"/>
    </xf>
    <xf numFmtId="164" fontId="6" fillId="8" borderId="7" xfId="2" applyNumberFormat="1" applyFont="1" applyFill="1" applyBorder="1" applyAlignment="1">
      <alignment horizontal="center" vertical="center" wrapText="1"/>
    </xf>
    <xf numFmtId="0" fontId="8" fillId="10" borderId="6" xfId="0"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5" borderId="4" xfId="1" applyNumberFormat="1" applyFont="1" applyFill="1" applyBorder="1" applyAlignment="1">
      <alignment horizontal="center" vertical="center" wrapText="1"/>
    </xf>
    <xf numFmtId="164" fontId="6" fillId="5" borderId="1" xfId="1" applyNumberFormat="1" applyFont="1" applyFill="1" applyBorder="1" applyAlignment="1">
      <alignment horizontal="center" vertical="center" wrapText="1"/>
    </xf>
    <xf numFmtId="0" fontId="3" fillId="0" borderId="12" xfId="0" applyFont="1" applyBorder="1" applyAlignment="1">
      <alignment wrapText="1"/>
    </xf>
    <xf numFmtId="0" fontId="5" fillId="0" borderId="7" xfId="0" applyFont="1" applyBorder="1" applyAlignment="1">
      <alignment wrapText="1"/>
    </xf>
    <xf numFmtId="0" fontId="5" fillId="0" borderId="12" xfId="0" applyFont="1" applyBorder="1" applyAlignment="1">
      <alignment wrapText="1"/>
    </xf>
    <xf numFmtId="0" fontId="11" fillId="11"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0" borderId="7" xfId="0" applyFont="1" applyBorder="1"/>
    <xf numFmtId="0" fontId="3" fillId="0" borderId="7" xfId="0" applyFont="1" applyBorder="1"/>
    <xf numFmtId="0" fontId="13" fillId="0" borderId="0" xfId="0" applyFont="1"/>
    <xf numFmtId="0" fontId="14" fillId="0" borderId="0" xfId="0" applyFont="1"/>
    <xf numFmtId="0" fontId="14" fillId="0" borderId="0" xfId="0" applyFont="1" applyAlignment="1">
      <alignment horizontal="center" vertical="center"/>
    </xf>
    <xf numFmtId="0" fontId="13" fillId="0" borderId="9" xfId="0" applyFont="1" applyBorder="1"/>
    <xf numFmtId="0" fontId="9" fillId="0" borderId="0" xfId="0" quotePrefix="1" applyFont="1"/>
    <xf numFmtId="0" fontId="17" fillId="0" borderId="0" xfId="0" applyFont="1"/>
    <xf numFmtId="0" fontId="13" fillId="0" borderId="2" xfId="0" applyFont="1" applyBorder="1"/>
    <xf numFmtId="0" fontId="8" fillId="10" borderId="4" xfId="0" applyFont="1" applyFill="1" applyBorder="1" applyAlignment="1">
      <alignment horizontal="center" vertical="center" wrapText="1"/>
    </xf>
    <xf numFmtId="0" fontId="18" fillId="0" borderId="2" xfId="0" applyFont="1" applyBorder="1"/>
    <xf numFmtId="0" fontId="18" fillId="0" borderId="9" xfId="0" applyFont="1" applyBorder="1"/>
    <xf numFmtId="0" fontId="15" fillId="0" borderId="7" xfId="1" applyFont="1" applyBorder="1" applyAlignment="1">
      <alignment horizontal="left"/>
    </xf>
    <xf numFmtId="0" fontId="9" fillId="0" borderId="7" xfId="0" quotePrefix="1" applyFont="1" applyBorder="1"/>
    <xf numFmtId="0" fontId="15" fillId="0" borderId="7" xfId="0" applyFont="1" applyBorder="1"/>
    <xf numFmtId="0" fontId="9" fillId="0" borderId="7" xfId="1" quotePrefix="1" applyFont="1" applyBorder="1" applyAlignment="1">
      <alignment horizontal="left"/>
    </xf>
    <xf numFmtId="0" fontId="16" fillId="0" borderId="7" xfId="0" applyFont="1" applyBorder="1"/>
    <xf numFmtId="165" fontId="5" fillId="0" borderId="0" xfId="0" applyNumberFormat="1" applyFont="1" applyAlignment="1">
      <alignment wrapText="1"/>
    </xf>
    <xf numFmtId="165" fontId="5" fillId="0" borderId="12" xfId="0" applyNumberFormat="1" applyFont="1" applyBorder="1" applyAlignment="1">
      <alignment wrapText="1"/>
    </xf>
    <xf numFmtId="1" fontId="5" fillId="0" borderId="0" xfId="0" applyNumberFormat="1" applyFont="1" applyAlignment="1">
      <alignment wrapText="1"/>
    </xf>
    <xf numFmtId="0" fontId="3" fillId="0" borderId="11" xfId="0" applyFont="1" applyBorder="1" applyAlignment="1">
      <alignment horizontal="left"/>
    </xf>
    <xf numFmtId="0" fontId="3" fillId="0" borderId="4" xfId="0" applyFont="1" applyBorder="1" applyAlignment="1" applyProtection="1">
      <alignment horizontal="left"/>
      <protection locked="0"/>
    </xf>
    <xf numFmtId="0" fontId="3" fillId="0" borderId="0" xfId="0" applyFont="1" applyAlignment="1">
      <alignment horizontal="left"/>
    </xf>
    <xf numFmtId="0" fontId="21" fillId="0" borderId="7" xfId="0" applyFont="1" applyBorder="1" applyAlignment="1">
      <alignment horizontal="center" vertical="center" wrapText="1"/>
    </xf>
    <xf numFmtId="0" fontId="5" fillId="0" borderId="0" xfId="0" applyFont="1"/>
    <xf numFmtId="1" fontId="5" fillId="0" borderId="0" xfId="0" applyNumberFormat="1" applyFont="1"/>
    <xf numFmtId="0" fontId="5" fillId="0" borderId="4" xfId="0" applyFont="1" applyBorder="1" applyAlignment="1">
      <alignment wrapText="1"/>
    </xf>
    <xf numFmtId="0" fontId="3" fillId="0" borderId="11" xfId="0" applyFont="1" applyBorder="1" applyAlignment="1">
      <alignment wrapText="1"/>
    </xf>
    <xf numFmtId="0" fontId="3" fillId="0" borderId="4" xfId="0" applyFont="1" applyBorder="1" applyAlignment="1">
      <alignment wrapText="1"/>
    </xf>
    <xf numFmtId="0" fontId="3" fillId="0" borderId="6" xfId="0" applyFont="1" applyBorder="1" applyAlignment="1">
      <alignment wrapText="1"/>
    </xf>
    <xf numFmtId="165" fontId="5" fillId="0" borderId="4" xfId="0" applyNumberFormat="1" applyFont="1" applyBorder="1" applyAlignment="1">
      <alignment wrapText="1"/>
    </xf>
    <xf numFmtId="165" fontId="5" fillId="0" borderId="11" xfId="0" applyNumberFormat="1" applyFont="1" applyBorder="1" applyAlignment="1">
      <alignment wrapText="1"/>
    </xf>
    <xf numFmtId="0" fontId="5" fillId="0" borderId="6" xfId="0" applyFont="1" applyBorder="1" applyAlignment="1">
      <alignment wrapText="1"/>
    </xf>
    <xf numFmtId="0" fontId="5" fillId="0" borderId="11" xfId="0" applyFont="1" applyBorder="1" applyAlignment="1">
      <alignment wrapText="1"/>
    </xf>
    <xf numFmtId="0" fontId="3" fillId="0" borderId="4" xfId="0" applyFont="1" applyBorder="1" applyAlignment="1">
      <alignment horizontal="left" wrapText="1"/>
    </xf>
    <xf numFmtId="1" fontId="5" fillId="0" borderId="6" xfId="0" applyNumberFormat="1" applyFont="1" applyBorder="1" applyAlignment="1">
      <alignment wrapText="1"/>
    </xf>
    <xf numFmtId="164" fontId="3" fillId="0" borderId="4" xfId="0" applyNumberFormat="1" applyFont="1" applyBorder="1" applyAlignment="1">
      <alignment wrapText="1"/>
    </xf>
    <xf numFmtId="165" fontId="5" fillId="0" borderId="10" xfId="0" applyNumberFormat="1" applyFont="1" applyBorder="1" applyAlignment="1">
      <alignment wrapText="1"/>
    </xf>
    <xf numFmtId="2" fontId="3" fillId="0" borderId="4" xfId="1" applyNumberFormat="1" applyFont="1" applyBorder="1" applyAlignment="1">
      <alignment horizontal="left"/>
    </xf>
    <xf numFmtId="0" fontId="3" fillId="0" borderId="4" xfId="1" applyFont="1" applyBorder="1" applyAlignment="1">
      <alignment horizontal="left"/>
    </xf>
    <xf numFmtId="0" fontId="9" fillId="0" borderId="4" xfId="0" applyFont="1" applyBorder="1" applyAlignment="1">
      <alignment wrapText="1"/>
    </xf>
    <xf numFmtId="2" fontId="3" fillId="0" borderId="4" xfId="0" applyNumberFormat="1" applyFont="1" applyBorder="1" applyAlignment="1">
      <alignment horizontal="left"/>
    </xf>
    <xf numFmtId="0" fontId="3" fillId="0" borderId="10" xfId="0" applyFont="1" applyBorder="1" applyProtection="1">
      <protection locked="0"/>
    </xf>
    <xf numFmtId="0" fontId="5" fillId="0" borderId="0" xfId="0" applyFont="1" applyAlignment="1">
      <alignment horizontal="left" wrapText="1"/>
    </xf>
    <xf numFmtId="165" fontId="3" fillId="0" borderId="11" xfId="0" applyNumberFormat="1" applyFont="1" applyBorder="1"/>
    <xf numFmtId="164" fontId="7" fillId="12" borderId="4" xfId="1" applyNumberFormat="1" applyFont="1" applyFill="1" applyBorder="1" applyAlignment="1">
      <alignment horizontal="center" vertical="center" wrapText="1"/>
    </xf>
    <xf numFmtId="0" fontId="5" fillId="4" borderId="7" xfId="0" applyFont="1" applyFill="1" applyBorder="1"/>
    <xf numFmtId="0" fontId="5" fillId="13" borderId="0" xfId="0" applyFont="1" applyFill="1" applyAlignment="1">
      <alignment wrapText="1"/>
    </xf>
    <xf numFmtId="0" fontId="0" fillId="0" borderId="7" xfId="0" applyBorder="1"/>
    <xf numFmtId="0" fontId="12" fillId="11" borderId="4" xfId="0" applyFont="1" applyFill="1" applyBorder="1" applyAlignment="1">
      <alignment horizontal="center" vertical="center" wrapText="1"/>
    </xf>
    <xf numFmtId="0" fontId="0" fillId="0" borderId="4" xfId="0" applyBorder="1"/>
    <xf numFmtId="0" fontId="5" fillId="14" borderId="7" xfId="0" applyFont="1" applyFill="1" applyBorder="1" applyAlignment="1">
      <alignment wrapText="1"/>
    </xf>
    <xf numFmtId="0" fontId="5" fillId="14" borderId="12" xfId="0" applyFont="1" applyFill="1" applyBorder="1" applyAlignment="1">
      <alignment wrapText="1"/>
    </xf>
    <xf numFmtId="0" fontId="0" fillId="0" borderId="8" xfId="0" applyBorder="1"/>
    <xf numFmtId="0" fontId="0" fillId="14" borderId="13" xfId="0" applyFill="1" applyBorder="1"/>
    <xf numFmtId="0" fontId="0" fillId="0" borderId="12" xfId="0" applyBorder="1"/>
    <xf numFmtId="0" fontId="0" fillId="14" borderId="14" xfId="0" applyFill="1" applyBorder="1"/>
    <xf numFmtId="0" fontId="0" fillId="0" borderId="13" xfId="0" applyBorder="1"/>
    <xf numFmtId="0" fontId="0" fillId="14" borderId="7" xfId="0" applyFill="1" applyBorder="1"/>
    <xf numFmtId="0" fontId="0" fillId="14" borderId="8" xfId="0" applyFill="1" applyBorder="1"/>
    <xf numFmtId="0" fontId="5" fillId="14" borderId="13" xfId="0" applyFont="1" applyFill="1" applyBorder="1" applyAlignment="1">
      <alignment wrapText="1"/>
    </xf>
    <xf numFmtId="0" fontId="0" fillId="14" borderId="0" xfId="0" applyFill="1"/>
    <xf numFmtId="165" fontId="5" fillId="14" borderId="4" xfId="0" applyNumberFormat="1" applyFont="1" applyFill="1" applyBorder="1" applyAlignment="1">
      <alignment wrapText="1"/>
    </xf>
    <xf numFmtId="164" fontId="6" fillId="6" borderId="6" xfId="0" applyNumberFormat="1" applyFont="1" applyFill="1" applyBorder="1" applyAlignment="1">
      <alignment horizontal="center" vertical="center" wrapText="1"/>
    </xf>
    <xf numFmtId="0" fontId="3" fillId="0" borderId="8" xfId="1" applyFont="1" applyBorder="1" applyAlignment="1">
      <alignment horizontal="left"/>
    </xf>
    <xf numFmtId="0" fontId="3" fillId="13" borderId="8" xfId="1" applyFont="1" applyFill="1" applyBorder="1" applyAlignment="1">
      <alignment horizontal="left"/>
    </xf>
    <xf numFmtId="0" fontId="3" fillId="0" borderId="6" xfId="1" applyFont="1" applyBorder="1" applyAlignment="1">
      <alignment horizontal="left"/>
    </xf>
    <xf numFmtId="0" fontId="5" fillId="14" borderId="4" xfId="0" applyFont="1" applyFill="1" applyBorder="1" applyAlignment="1">
      <alignment wrapText="1"/>
    </xf>
    <xf numFmtId="0" fontId="5" fillId="0" borderId="4" xfId="0" applyFont="1" applyBorder="1" applyAlignment="1">
      <alignment horizontal="left" wrapText="1"/>
    </xf>
    <xf numFmtId="0" fontId="5" fillId="0" borderId="10" xfId="0" applyFont="1" applyBorder="1"/>
    <xf numFmtId="164" fontId="3" fillId="0" borderId="4" xfId="0" applyNumberFormat="1" applyFont="1" applyBorder="1" applyAlignment="1">
      <alignment horizontal="left"/>
    </xf>
    <xf numFmtId="0" fontId="0" fillId="0" borderId="0" xfId="0" applyAlignment="1">
      <alignment vertical="center"/>
    </xf>
    <xf numFmtId="164" fontId="6" fillId="4" borderId="3" xfId="1" applyNumberFormat="1" applyFont="1" applyFill="1" applyBorder="1" applyAlignment="1">
      <alignment horizontal="center" vertical="center" wrapText="1"/>
    </xf>
    <xf numFmtId="164" fontId="6" fillId="4" borderId="5" xfId="1" applyNumberFormat="1" applyFont="1" applyFill="1" applyBorder="1" applyAlignment="1">
      <alignment horizontal="center" vertical="center" wrapText="1"/>
    </xf>
    <xf numFmtId="164" fontId="7" fillId="4" borderId="5" xfId="1" applyNumberFormat="1" applyFont="1" applyFill="1" applyBorder="1" applyAlignment="1">
      <alignment horizontal="center" vertical="center" wrapText="1"/>
    </xf>
    <xf numFmtId="165" fontId="7" fillId="4" borderId="5" xfId="1" applyNumberFormat="1" applyFont="1" applyFill="1" applyBorder="1" applyAlignment="1">
      <alignment horizontal="center" vertical="center" wrapText="1"/>
    </xf>
    <xf numFmtId="164" fontId="7" fillId="5" borderId="11" xfId="1" applyNumberFormat="1" applyFont="1" applyFill="1" applyBorder="1" applyAlignment="1">
      <alignment horizontal="center" vertical="center" wrapText="1"/>
    </xf>
    <xf numFmtId="1" fontId="7" fillId="5" borderId="11" xfId="1" applyNumberFormat="1" applyFont="1" applyFill="1" applyBorder="1" applyAlignment="1">
      <alignment horizontal="center" vertical="center" wrapText="1"/>
    </xf>
    <xf numFmtId="0" fontId="7" fillId="5" borderId="11" xfId="1" applyFont="1" applyFill="1" applyBorder="1" applyAlignment="1">
      <alignment horizontal="center" vertical="center" wrapText="1"/>
    </xf>
    <xf numFmtId="165" fontId="7" fillId="5" borderId="11" xfId="1" applyNumberFormat="1" applyFont="1" applyFill="1" applyBorder="1" applyAlignment="1">
      <alignment horizontal="center" vertical="center" wrapText="1"/>
    </xf>
    <xf numFmtId="0" fontId="7" fillId="3" borderId="11" xfId="1" applyFont="1" applyFill="1" applyBorder="1" applyAlignment="1">
      <alignment horizontal="center" vertical="center" wrapText="1"/>
    </xf>
    <xf numFmtId="165" fontId="7" fillId="3" borderId="11" xfId="1" applyNumberFormat="1" applyFont="1" applyFill="1" applyBorder="1" applyAlignment="1">
      <alignment horizontal="center" vertical="center" wrapText="1"/>
    </xf>
    <xf numFmtId="165" fontId="6" fillId="2" borderId="11" xfId="1" applyNumberFormat="1" applyFont="1" applyFill="1" applyBorder="1" applyAlignment="1">
      <alignment horizontal="center" vertical="center" wrapText="1"/>
    </xf>
    <xf numFmtId="164" fontId="6" fillId="2" borderId="11" xfId="1" applyNumberFormat="1" applyFont="1" applyFill="1" applyBorder="1" applyAlignment="1">
      <alignment horizontal="center" vertical="center" wrapText="1"/>
    </xf>
    <xf numFmtId="0" fontId="7" fillId="9" borderId="11" xfId="1" applyFont="1" applyFill="1" applyBorder="1" applyAlignment="1">
      <alignment horizontal="center" vertical="center" wrapText="1"/>
    </xf>
    <xf numFmtId="165" fontId="7" fillId="9" borderId="11" xfId="1" applyNumberFormat="1" applyFont="1" applyFill="1" applyBorder="1" applyAlignment="1">
      <alignment horizontal="center" vertical="center" wrapText="1"/>
    </xf>
    <xf numFmtId="0" fontId="7" fillId="3" borderId="15" xfId="1" applyFont="1" applyFill="1" applyBorder="1" applyAlignment="1">
      <alignment horizontal="center" vertical="center" wrapText="1"/>
    </xf>
    <xf numFmtId="165" fontId="7" fillId="3" borderId="5" xfId="1" applyNumberFormat="1" applyFont="1" applyFill="1" applyBorder="1" applyAlignment="1">
      <alignment horizontal="center" vertical="center" wrapText="1"/>
    </xf>
    <xf numFmtId="0" fontId="6" fillId="3" borderId="5" xfId="1" applyFont="1" applyFill="1" applyBorder="1" applyAlignment="1">
      <alignment horizontal="center" vertical="center" wrapText="1"/>
    </xf>
    <xf numFmtId="164" fontId="6" fillId="8" borderId="11" xfId="2" applyNumberFormat="1" applyFont="1" applyFill="1" applyBorder="1" applyAlignment="1">
      <alignment horizontal="center" vertical="center" wrapText="1"/>
    </xf>
    <xf numFmtId="0" fontId="8" fillId="10" borderId="11" xfId="0" applyFont="1" applyFill="1" applyBorder="1" applyAlignment="1">
      <alignment horizontal="center" vertical="center" wrapText="1"/>
    </xf>
    <xf numFmtId="164" fontId="6" fillId="6" borderId="11" xfId="0" applyNumberFormat="1" applyFont="1" applyFill="1" applyBorder="1" applyAlignment="1">
      <alignment horizontal="center" vertical="center" wrapText="1"/>
    </xf>
    <xf numFmtId="164" fontId="6" fillId="7" borderId="11" xfId="0" applyNumberFormat="1" applyFont="1" applyFill="1" applyBorder="1" applyAlignment="1">
      <alignment horizontal="center" vertical="center" wrapText="1"/>
    </xf>
    <xf numFmtId="164" fontId="6" fillId="5" borderId="11" xfId="1" applyNumberFormat="1" applyFont="1" applyFill="1" applyBorder="1" applyAlignment="1">
      <alignment horizontal="center" vertical="center" wrapText="1"/>
    </xf>
    <xf numFmtId="164" fontId="6" fillId="5" borderId="16" xfId="1" applyNumberFormat="1" applyFont="1" applyFill="1" applyBorder="1" applyAlignment="1">
      <alignment horizontal="center" vertical="center" wrapText="1"/>
    </xf>
    <xf numFmtId="0" fontId="3" fillId="0" borderId="10" xfId="0" applyFont="1" applyBorder="1"/>
    <xf numFmtId="49" fontId="3" fillId="0" borderId="11" xfId="0" applyNumberFormat="1" applyFont="1" applyBorder="1" applyAlignment="1">
      <alignment horizontal="left"/>
    </xf>
    <xf numFmtId="165" fontId="3" fillId="0" borderId="11" xfId="0" applyNumberFormat="1" applyFont="1" applyBorder="1" applyAlignment="1">
      <alignment horizontal="left"/>
    </xf>
    <xf numFmtId="0" fontId="3" fillId="14" borderId="11" xfId="0" applyFont="1" applyFill="1" applyBorder="1" applyAlignment="1">
      <alignment horizontal="left"/>
    </xf>
    <xf numFmtId="0" fontId="5" fillId="0" borderId="17" xfId="0" applyFont="1" applyBorder="1" applyAlignment="1">
      <alignment wrapText="1"/>
    </xf>
    <xf numFmtId="164" fontId="3" fillId="0" borderId="11" xfId="0" applyNumberFormat="1" applyFont="1" applyBorder="1" applyAlignment="1">
      <alignment horizontal="left"/>
    </xf>
    <xf numFmtId="0" fontId="9" fillId="0" borderId="11" xfId="0" applyFont="1" applyBorder="1"/>
    <xf numFmtId="0" fontId="3" fillId="0" borderId="17" xfId="0" applyFont="1" applyBorder="1" applyAlignment="1">
      <alignment horizontal="left"/>
    </xf>
    <xf numFmtId="0" fontId="3" fillId="14" borderId="17" xfId="0" applyFont="1" applyFill="1" applyBorder="1" applyAlignment="1">
      <alignment horizontal="left"/>
    </xf>
    <xf numFmtId="0" fontId="3" fillId="4" borderId="11" xfId="0" applyFont="1" applyFill="1" applyBorder="1" applyAlignment="1">
      <alignment horizontal="left"/>
    </xf>
    <xf numFmtId="1" fontId="3" fillId="0" borderId="11" xfId="0" applyNumberFormat="1" applyFont="1" applyBorder="1" applyAlignment="1">
      <alignment horizontal="left"/>
    </xf>
    <xf numFmtId="164" fontId="19" fillId="0" borderId="11" xfId="0" applyNumberFormat="1" applyFont="1" applyBorder="1" applyAlignment="1">
      <alignment horizontal="left"/>
    </xf>
    <xf numFmtId="0" fontId="20" fillId="0" borderId="11" xfId="0" applyFont="1" applyBorder="1" applyAlignment="1">
      <alignment horizontal="left"/>
    </xf>
    <xf numFmtId="165" fontId="20" fillId="0" borderId="11" xfId="0" applyNumberFormat="1" applyFont="1" applyBorder="1" applyAlignment="1">
      <alignment horizontal="left"/>
    </xf>
    <xf numFmtId="165" fontId="5" fillId="14" borderId="11" xfId="0" applyNumberFormat="1" applyFont="1" applyFill="1" applyBorder="1" applyAlignment="1">
      <alignment wrapText="1"/>
    </xf>
    <xf numFmtId="0" fontId="5" fillId="14" borderId="11" xfId="0" applyFont="1" applyFill="1" applyBorder="1" applyAlignment="1">
      <alignment wrapText="1"/>
    </xf>
    <xf numFmtId="165" fontId="3" fillId="14" borderId="11" xfId="0" applyNumberFormat="1" applyFont="1" applyFill="1" applyBorder="1" applyAlignment="1">
      <alignment horizontal="left"/>
    </xf>
    <xf numFmtId="2" fontId="3" fillId="0" borderId="11" xfId="0" applyNumberFormat="1" applyFont="1" applyBorder="1" applyAlignment="1">
      <alignment horizontal="left"/>
    </xf>
    <xf numFmtId="2" fontId="3" fillId="0" borderId="11" xfId="1" applyNumberFormat="1" applyFont="1" applyBorder="1" applyAlignment="1">
      <alignment horizontal="left"/>
    </xf>
    <xf numFmtId="0" fontId="3" fillId="0" borderId="11" xfId="1" applyFont="1" applyBorder="1" applyAlignment="1">
      <alignment horizontal="left"/>
    </xf>
    <xf numFmtId="0" fontId="5" fillId="4" borderId="11" xfId="0" applyFont="1" applyFill="1" applyBorder="1"/>
    <xf numFmtId="0" fontId="3" fillId="0" borderId="11" xfId="0" applyFont="1" applyBorder="1"/>
    <xf numFmtId="0" fontId="5" fillId="0" borderId="11" xfId="0" applyFont="1" applyBorder="1"/>
    <xf numFmtId="1" fontId="5" fillId="0" borderId="11" xfId="0" applyNumberFormat="1" applyFont="1" applyBorder="1" applyAlignment="1">
      <alignment wrapText="1"/>
    </xf>
    <xf numFmtId="164" fontId="3" fillId="0" borderId="11" xfId="0" applyNumberFormat="1" applyFont="1" applyBorder="1" applyAlignment="1">
      <alignment wrapText="1"/>
    </xf>
    <xf numFmtId="0" fontId="3" fillId="0" borderId="11" xfId="0" applyFont="1" applyBorder="1" applyAlignment="1">
      <alignment horizontal="left" wrapText="1"/>
    </xf>
    <xf numFmtId="0" fontId="5" fillId="0" borderId="11" xfId="0" applyFont="1" applyBorder="1" applyAlignment="1">
      <alignment horizontal="left" wrapText="1"/>
    </xf>
    <xf numFmtId="0" fontId="5" fillId="4" borderId="11" xfId="0" applyFont="1" applyFill="1" applyBorder="1" applyAlignment="1">
      <alignment wrapText="1"/>
    </xf>
    <xf numFmtId="0" fontId="3" fillId="14" borderId="11" xfId="0" applyFont="1" applyFill="1" applyBorder="1" applyAlignment="1">
      <alignment wrapText="1"/>
    </xf>
    <xf numFmtId="1" fontId="5" fillId="14" borderId="11" xfId="0" applyNumberFormat="1" applyFont="1" applyFill="1" applyBorder="1" applyAlignment="1">
      <alignment wrapText="1"/>
    </xf>
    <xf numFmtId="164" fontId="3" fillId="14" borderId="11" xfId="0" applyNumberFormat="1" applyFont="1" applyFill="1" applyBorder="1" applyAlignment="1">
      <alignment wrapText="1"/>
    </xf>
    <xf numFmtId="0" fontId="5" fillId="14" borderId="11" xfId="0" applyFont="1" applyFill="1" applyBorder="1"/>
    <xf numFmtId="14" fontId="5" fillId="0" borderId="11" xfId="0" applyNumberFormat="1" applyFont="1" applyBorder="1" applyAlignment="1">
      <alignment wrapText="1"/>
    </xf>
    <xf numFmtId="0" fontId="5" fillId="13" borderId="11" xfId="0" applyFont="1" applyFill="1" applyBorder="1" applyAlignment="1">
      <alignment wrapText="1"/>
    </xf>
    <xf numFmtId="0" fontId="3" fillId="13" borderId="11" xfId="0" applyFont="1" applyFill="1" applyBorder="1" applyAlignment="1">
      <alignment wrapText="1"/>
    </xf>
    <xf numFmtId="165" fontId="5" fillId="13" borderId="11" xfId="0" applyNumberFormat="1" applyFont="1" applyFill="1" applyBorder="1" applyAlignment="1">
      <alignment wrapText="1"/>
    </xf>
    <xf numFmtId="0" fontId="5" fillId="13" borderId="11" xfId="0" applyFont="1" applyFill="1" applyBorder="1" applyAlignment="1">
      <alignment horizontal="left" wrapText="1"/>
    </xf>
    <xf numFmtId="165" fontId="3" fillId="13" borderId="11" xfId="0" applyNumberFormat="1" applyFont="1" applyFill="1" applyBorder="1" applyAlignment="1">
      <alignment wrapText="1"/>
    </xf>
    <xf numFmtId="0" fontId="9" fillId="13" borderId="11" xfId="0" applyFont="1" applyFill="1" applyBorder="1"/>
    <xf numFmtId="0" fontId="5" fillId="13" borderId="11" xfId="0" applyFont="1" applyFill="1" applyBorder="1"/>
    <xf numFmtId="1" fontId="5" fillId="13" borderId="11" xfId="0" applyNumberFormat="1" applyFont="1" applyFill="1" applyBorder="1" applyAlignment="1">
      <alignment wrapText="1"/>
    </xf>
    <xf numFmtId="164" fontId="3" fillId="13" borderId="11" xfId="0" applyNumberFormat="1" applyFont="1" applyFill="1" applyBorder="1" applyAlignment="1">
      <alignment wrapText="1"/>
    </xf>
    <xf numFmtId="0" fontId="3" fillId="13" borderId="11" xfId="0" applyFont="1" applyFill="1" applyBorder="1" applyAlignment="1">
      <alignment horizontal="left" wrapText="1"/>
    </xf>
    <xf numFmtId="2" fontId="3" fillId="13" borderId="11" xfId="0" applyNumberFormat="1" applyFont="1" applyFill="1" applyBorder="1" applyAlignment="1">
      <alignment horizontal="left"/>
    </xf>
    <xf numFmtId="2" fontId="3" fillId="13" borderId="11" xfId="1" applyNumberFormat="1" applyFont="1" applyFill="1" applyBorder="1" applyAlignment="1">
      <alignment horizontal="left"/>
    </xf>
    <xf numFmtId="0" fontId="3" fillId="13" borderId="11" xfId="1" applyFont="1" applyFill="1" applyBorder="1" applyAlignment="1">
      <alignment horizontal="left"/>
    </xf>
    <xf numFmtId="0" fontId="3" fillId="13" borderId="4" xfId="1" applyFont="1" applyFill="1" applyBorder="1" applyAlignment="1">
      <alignment horizontal="left"/>
    </xf>
    <xf numFmtId="0" fontId="9" fillId="0" borderId="11" xfId="0" applyFont="1" applyBorder="1" applyAlignment="1">
      <alignment wrapText="1"/>
    </xf>
    <xf numFmtId="164" fontId="3" fillId="14" borderId="11" xfId="0" applyNumberFormat="1" applyFont="1" applyFill="1" applyBorder="1" applyAlignment="1">
      <alignment horizontal="left"/>
    </xf>
    <xf numFmtId="0" fontId="9" fillId="13" borderId="11" xfId="0" applyFont="1" applyFill="1" applyBorder="1" applyAlignment="1">
      <alignment wrapText="1"/>
    </xf>
    <xf numFmtId="0" fontId="23" fillId="0" borderId="11" xfId="0" applyFont="1" applyBorder="1"/>
    <xf numFmtId="0" fontId="23" fillId="14" borderId="11" xfId="0" applyFont="1" applyFill="1" applyBorder="1"/>
    <xf numFmtId="0" fontId="5" fillId="0" borderId="12" xfId="0" applyFont="1" applyBorder="1" applyAlignment="1">
      <alignment horizontal="left" wrapText="1"/>
    </xf>
    <xf numFmtId="0" fontId="9" fillId="0" borderId="12" xfId="0" applyFont="1" applyBorder="1" applyAlignment="1">
      <alignment wrapText="1"/>
    </xf>
    <xf numFmtId="0" fontId="5" fillId="0" borderId="12" xfId="0" applyFont="1" applyBorder="1"/>
    <xf numFmtId="1" fontId="5" fillId="0" borderId="12" xfId="0" applyNumberFormat="1" applyFont="1" applyBorder="1" applyAlignment="1">
      <alignment wrapText="1"/>
    </xf>
    <xf numFmtId="164" fontId="3" fillId="0" borderId="12" xfId="0" applyNumberFormat="1" applyFont="1" applyBorder="1" applyAlignment="1">
      <alignment wrapText="1"/>
    </xf>
    <xf numFmtId="164" fontId="3" fillId="14" borderId="12" xfId="0" applyNumberFormat="1" applyFont="1" applyFill="1" applyBorder="1" applyAlignment="1">
      <alignment wrapText="1"/>
    </xf>
    <xf numFmtId="165" fontId="5" fillId="14" borderId="12" xfId="0" applyNumberFormat="1" applyFont="1" applyFill="1" applyBorder="1" applyAlignment="1">
      <alignment wrapText="1"/>
    </xf>
    <xf numFmtId="164" fontId="3" fillId="0" borderId="12" xfId="0" applyNumberFormat="1" applyFont="1" applyBorder="1" applyAlignment="1">
      <alignment horizontal="left"/>
    </xf>
    <xf numFmtId="0" fontId="3" fillId="0" borderId="12" xfId="0" applyFont="1" applyBorder="1" applyAlignment="1">
      <alignment horizontal="left" wrapText="1"/>
    </xf>
    <xf numFmtId="2" fontId="3" fillId="0" borderId="12" xfId="0" applyNumberFormat="1" applyFont="1" applyBorder="1" applyAlignment="1">
      <alignment horizontal="left"/>
    </xf>
    <xf numFmtId="2" fontId="3" fillId="0" borderId="12" xfId="1" applyNumberFormat="1" applyFont="1" applyBorder="1" applyAlignment="1">
      <alignment horizontal="left"/>
    </xf>
    <xf numFmtId="0" fontId="3" fillId="0" borderId="12" xfId="1" applyFont="1" applyBorder="1" applyAlignment="1">
      <alignment horizontal="left"/>
    </xf>
    <xf numFmtId="0" fontId="3" fillId="0" borderId="7" xfId="1" applyFont="1" applyBorder="1" applyAlignment="1">
      <alignment horizontal="left"/>
    </xf>
    <xf numFmtId="0" fontId="3" fillId="13" borderId="12" xfId="1" applyFont="1" applyFill="1" applyBorder="1" applyAlignment="1">
      <alignment horizontal="left"/>
    </xf>
    <xf numFmtId="0" fontId="3" fillId="14" borderId="4" xfId="0" applyFont="1" applyFill="1" applyBorder="1" applyAlignment="1">
      <alignment wrapText="1"/>
    </xf>
  </cellXfs>
  <cellStyles count="3">
    <cellStyle name="Normal" xfId="0" builtinId="0"/>
    <cellStyle name="Normal 2" xfId="1" xr:uid="{00000000-0005-0000-0000-000001000000}"/>
    <cellStyle name="Normal 2 2" xfId="2" xr:uid="{00000000-0005-0000-0000-000002000000}"/>
  </cellStyles>
  <dxfs count="253">
    <dxf>
      <font>
        <b/>
        <i val="0"/>
        <strike val="0"/>
        <condense val="0"/>
        <extend val="0"/>
        <outline val="0"/>
        <shadow val="0"/>
        <u val="none"/>
        <vertAlign val="baseline"/>
        <sz val="10"/>
        <color auto="1"/>
        <name val="Calibri"/>
        <family val="2"/>
        <scheme val="none"/>
      </font>
      <fill>
        <patternFill patternType="solid">
          <fgColor rgb="FF000000"/>
          <bgColor rgb="FFE7E6E6"/>
        </patternFill>
      </fill>
      <alignment horizontal="center" vertical="center" textRotation="0" wrapText="1" indent="0" justifyLastLine="0" shrinkToFit="0" readingOrder="0"/>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2" formatCode="0.00"/>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65" formatCode="[$-809]dd\ mmmm\ yyyy;@"/>
      <fill>
        <patternFill patternType="solid">
          <fgColor indexed="64"/>
          <bgColor rgb="FF92D050"/>
        </patternFill>
      </fill>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left"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numFmt numFmtId="164" formatCode="dd/mm/yyyy;@"/>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Light"/>
        <scheme val="major"/>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none"/>
      </font>
      <numFmt numFmtId="165" formatCode="[$-809]dd\ mmmm\ yyyy;@"/>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border outline="0">
        <right style="thin">
          <color rgb="FF000000"/>
        </right>
        <bottom style="thin">
          <color rgb="FF000000"/>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vertical="center"/>
    </dxf>
    <dxf>
      <alignment vertical="center"/>
    </dxf>
    <dxf>
      <alignment vertical="center"/>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b/>
        <i val="0"/>
        <strike val="0"/>
        <condense val="0"/>
        <extend val="0"/>
        <outline val="0"/>
        <shadow val="0"/>
        <u/>
        <vertAlign val="baseline"/>
        <sz val="10"/>
        <color theme="1"/>
        <name val="Calibri Light"/>
        <scheme val="major"/>
      </font>
    </dxf>
  </dxfs>
  <tableStyles count="1" defaultTableStyle="TableStyleMedium2" defaultPivotStyle="PivotStyleLight16">
    <tableStyle name="Invisible" pivot="0" table="0" count="0" xr9:uid="{681BB7B1-F4B2-4BDC-BE59-91659596BB1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CUMMINGS, Michele (LEEDS TEACHING HOSPITALS NHS TRUST)" id="{DFEA95CE-580F-4E3F-BA47-F30C561ED740}" userId="S::m.cummings3@nhs.net::464af9cb-2ac6-4a60-90d5-810b97c47694" providerId="AD"/>
  <person displayName="FREER, Clare (LEEDS TEACHING HOSPITALS NHS TRUST)" id="{647080DA-2812-4452-9BC0-6D2D7D8F825F}" userId="S::clare.freer2@nhs.net::38188dba-d054-4eda-9019-5e8a7b85df1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E7E7E2-0F34-4BD2-A40C-F2EA0B732AB7}" name="FollowUp_1" displayName="FollowUp_1" ref="A3:HK79" totalsRowShown="0" tableBorderDxfId="239">
  <autoFilter ref="A3:HK79" xr:uid="{1DE7E7E2-0F34-4BD2-A40C-F2EA0B732AB7}"/>
  <tableColumns count="219">
    <tableColumn id="1" xr3:uid="{3F755026-6BAC-4123-830E-AF51CCCB640E}" name="NHS number" dataDxfId="238"/>
    <tableColumn id="2" xr3:uid="{1C042776-6B08-40BF-927F-FF8A8945D534}" name="Any Immunotherapy" dataDxfId="237"/>
    <tableColumn id="3" xr3:uid="{A3BE1347-859F-41F5-974F-6EDB7DAA4BA7}" name="Specimen treatment subgrouping" dataDxfId="236"/>
    <tableColumn id="4" xr3:uid="{CB4FB861-E0A8-491F-9A5D-72416BCA51A8}" name="Specimen is a recurrence" dataDxfId="235"/>
    <tableColumn id="5" xr3:uid="{9E9D3394-270B-4FF3-B78A-A6D21121C16C}" name="Selected specimen Anonymised ID" dataDxfId="234"/>
    <tableColumn id="6" xr3:uid="{37FEFE21-CC36-481C-999B-319531A74663}" name="Specimen Block number 1" dataDxfId="233"/>
    <tableColumn id="7" xr3:uid="{47FCD1B3-6617-46F6-8CF5-59628513AB1E}" name="Specimen Block number 2" dataDxfId="232"/>
    <tableColumn id="8" xr3:uid="{25532847-839B-49C5-8565-8C0AB7B206CC}" name="Specimen surgery date" dataDxfId="231"/>
    <tableColumn id="9" xr3:uid="{B5A7FE2F-29E4-4A69-8B9A-89D436D1821C}" name="Specimen surgery" dataDxfId="230"/>
    <tableColumn id="10" xr3:uid="{76191F5F-6128-45E4-B169-6E5C368BC130}" name="Specimen tumour site" dataDxfId="229"/>
    <tableColumn id="11" xr3:uid="{139F35B0-2A8E-445F-BA7A-E04C2D12D8D0}" name="Primary Surgery date" dataDxfId="228"/>
    <tableColumn id="12" xr3:uid="{5D076A1A-0CB8-48E4-B852-107FC4D0F8E4}" name="Primary tumour site" dataDxfId="227"/>
    <tableColumn id="13" xr3:uid="{EE738DC0-59D9-4B9A-AC81-DD0EF88F002F}" name="Anonymized ID Matched met 1" dataDxfId="226"/>
    <tableColumn id="14" xr3:uid="{DB799375-729A-49A6-81CC-9478C8D80D7D}" name="Matched met 1 Block Number" dataDxfId="225"/>
    <tableColumn id="15" xr3:uid="{46AB9E6E-F827-4C84-8457-0264B78F5801}" name="Matched met 1 Site" dataDxfId="224"/>
    <tableColumn id="16" xr3:uid="{470CE8C8-9CAA-4B20-935E-B07C9D9B7BC2}" name="Matched met 1 Surgery Date" dataDxfId="223"/>
    <tableColumn id="17" xr3:uid="{6FE73415-0508-4CA9-ACD1-BD02AE2DE667}" name="Matched met 1 treatment subgrouping" dataDxfId="222"/>
    <tableColumn id="18" xr3:uid="{12F5F586-FD89-4FF2-AB7D-943143D2DA8F}" name="Anonymized ID Matched met 2" dataDxfId="221"/>
    <tableColumn id="19" xr3:uid="{9BBB540E-2148-4277-8306-588EA40B8278}" name="Matched met 2 Block Number" dataDxfId="220"/>
    <tableColumn id="20" xr3:uid="{32021300-2F42-4E9D-9487-85D4216C77EC}" name="Matched met 2 Site" dataDxfId="219"/>
    <tableColumn id="21" xr3:uid="{B7E2984E-1D40-4153-A764-F29F49E00B16}" name="Matched met 2 Surgery Date" dataDxfId="218"/>
    <tableColumn id="22" xr3:uid="{17E3DA3E-55BF-4B9A-B7AD-861C1220891C}" name="Matched met 2 treatment subgrouping" dataDxfId="217"/>
    <tableColumn id="23" xr3:uid="{BA6230E6-9DDB-4AB3-AB6B-54521FB5CE36}" name="Anonymized ID Matched met 3" dataDxfId="216"/>
    <tableColumn id="24" xr3:uid="{4A08320C-12A9-4C2F-8352-59ACE4C9C1F2}" name="Matched met 3 Block Number" dataDxfId="215"/>
    <tableColumn id="25" xr3:uid="{DD85DADC-C61F-4152-B3B6-EECCEC10F304}" name="Matched met 3 Site" dataDxfId="214"/>
    <tableColumn id="26" xr3:uid="{83A47F31-6517-41AE-95BB-3825C27C05BE}" name="Matched met 3 Surgery Date" dataDxfId="213"/>
    <tableColumn id="27" xr3:uid="{AA7D52CF-000B-4A88-8ABD-EB48676AC169}" name="Matched met 3 treatment subgrouping" dataDxfId="212"/>
    <tableColumn id="28" xr3:uid="{C0863226-8533-4122-ABE2-FB49C5C5D4BA}" name="Anonymized ID Matched met 4" dataDxfId="211"/>
    <tableColumn id="29" xr3:uid="{4D22DCB8-0946-4ECE-B375-E06F3386AF06}" name="Matched met 4 Block Number" dataDxfId="210"/>
    <tableColumn id="30" xr3:uid="{DB34CDB7-1894-42AD-83B8-551A62465192}" name="Matched met 4 Site" dataDxfId="209"/>
    <tableColumn id="31" xr3:uid="{309945F7-3161-4ABD-A2CF-43ECB6BD7718}" name="Matched met 4 Surgery Date" dataDxfId="208"/>
    <tableColumn id="32" xr3:uid="{05D44530-2189-4366-A04E-7ADBB4CD941F}" name="Matched met 4 treatment subgrouping" dataDxfId="207"/>
    <tableColumn id="33" xr3:uid="{0249378B-DB08-4007-8B6C-6AE9CBF6CC85}" name="Anonymized ID Matched met 5" dataDxfId="206"/>
    <tableColumn id="34" xr3:uid="{DA840C89-B358-447C-989D-0B87F838B2DF}" name="Matched met 5 Block Number" dataDxfId="205"/>
    <tableColumn id="35" xr3:uid="{269212F7-88D8-4BF3-B77C-45A32CD8BA4A}" name="Matched met 5 Site" dataDxfId="204"/>
    <tableColumn id="36" xr3:uid="{0C6905D3-BB48-43B9-AA77-7764E26D820B}" name="Matched met 5 Surgery Date" dataDxfId="203"/>
    <tableColumn id="37" xr3:uid="{6B836E76-CFE8-4842-8DF6-D61F5B848EDF}" name="Matched met 5 treatment subgrouping" dataDxfId="202"/>
    <tableColumn id="38" xr3:uid="{C8A699ED-2E53-4277-BDCD-217462ED115A}" name="Anonymized ID Normal tissue" dataDxfId="201"/>
    <tableColumn id="39" xr3:uid="{7DF468A0-F6D4-42EE-BEA8-C32120C8C440}" name="Matched Normal tissue Block Number" dataDxfId="200"/>
    <tableColumn id="40" xr3:uid="{9577A891-2DC7-44BB-9FA3-0945EACBF698}" name="Matched Normal tissue Site" dataDxfId="199"/>
    <tableColumn id="41" xr3:uid="{6B3ED03A-7264-4E75-B465-F579003D697C}" name="Matched Normal tissue Surgery Date" dataDxfId="198"/>
    <tableColumn id="42" xr3:uid="{A35B4151-C4A3-466F-ACCF-BB013EA1FA16}" name="Matched Normal treatment subgrouping" dataDxfId="197"/>
    <tableColumn id="43" xr3:uid="{C8B5CE76-C4AD-49EA-B8F5-D0CAFC8794DF}" name="Gender" dataDxfId="196"/>
    <tableColumn id="44" xr3:uid="{1E23B35B-4C7C-4A28-85C3-F6D4BAE08BA7}" name="DOB" dataDxfId="195"/>
    <tableColumn id="45" xr3:uid="{E5E36CE3-776E-4F2F-B89C-27DCC6E39049}" name="Date of DX" dataDxfId="194"/>
    <tableColumn id="46" xr3:uid="{4B1308BF-2F72-4C87-B516-E532FCF6B88B}" name="Age at Diagnosis" dataDxfId="193">
      <calculatedColumnFormula>DATEDIF(AR4, AS4,"Y")</calculatedColumnFormula>
    </tableColumn>
    <tableColumn id="47" xr3:uid="{83C9B08D-8BCF-4F7E-82C3-FE391828DD4D}" name="Specimen Histological Diagnosis" dataDxfId="192"/>
    <tableColumn id="48" xr3:uid="{FC7FA6BA-EBB3-478A-BCEC-F615FC9D8950}" name="Staging/grading info provided for:" dataDxfId="191"/>
    <tableColumn id="49" xr3:uid="{12633B00-9B5B-4215-A2DC-ED7910D8B521}" name="Resection margins clear" dataDxfId="190"/>
    <tableColumn id="50" xr3:uid="{2E720A1C-B97E-4142-B2DC-FD5B2DAC12D7}" name="pT" dataDxfId="189"/>
    <tableColumn id="51" xr3:uid="{7DEC4DDF-B55E-4613-B6EE-63C85F95CB21}" name="pN" dataDxfId="188"/>
    <tableColumn id="52" xr3:uid="{E044C2AB-99C0-4F90-AADB-E9AE7B00FF07}" name="pM" dataDxfId="187"/>
    <tableColumn id="53" xr3:uid="{0D678FC4-732C-42D1-8FF6-1712360A904E}" name="cM" dataDxfId="186"/>
    <tableColumn id="54" xr3:uid="{DD84DB13-55E8-47C5-92EF-D4F1E612870F}" name="TNM stage" dataDxfId="185"/>
    <tableColumn id="55" xr3:uid="{21DDAB69-5041-4BA2-9B08-849A2DBC1C51}" name="Grade" dataDxfId="184"/>
    <tableColumn id="56" xr3:uid="{BCAA455F-DF58-49B6-A8A1-FACA9A14BC1A}" name="Staging criteria" dataDxfId="183"/>
    <tableColumn id="57" xr3:uid="{AC9254D8-F897-46D2-A550-99DFD386472F}" name="Stage at DX" dataDxfId="182"/>
    <tableColumn id="58" xr3:uid="{6C6EF99C-3F36-4651-BFB2-0111037D3C22}" name="Any Neoadjuvant therapy" dataDxfId="181"/>
    <tableColumn id="59" xr3:uid="{CCC55142-5943-4AFE-B9B0-848419E78379}" name="Response to neoadjuvant therapy (TRS score)" dataDxfId="180"/>
    <tableColumn id="60" xr3:uid="{69B3EA20-0153-4D23-A727-1CF388B62524}" name="Neoadjuvant Tx1" dataDxfId="179"/>
    <tableColumn id="61" xr3:uid="{5521DCC0-EEAE-48C6-A5EF-E84B4951B050}" name="Neoadjuvant Tx1 Agent" dataDxfId="178"/>
    <tableColumn id="62" xr3:uid="{3A4D5AAE-0EC1-4E5F-A0B0-315999BA573B}" name="Neoadjuvant Tx1 Start Date" dataDxfId="177"/>
    <tableColumn id="63" xr3:uid="{603566E1-A7A1-4D2D-B318-98CB3442F358}" name="Neoadjuvant Tx1 End Date" dataDxfId="176"/>
    <tableColumn id="64" xr3:uid="{02462F85-1202-4E89-9B6C-46A8A20287B0}" name="Tumour response Neoadjuvant Tx1" dataDxfId="175"/>
    <tableColumn id="65" xr3:uid="{79B802EE-6025-452D-81F0-5EEE72132741}" name="Neoadjuvant Tx2" dataDxfId="174"/>
    <tableColumn id="66" xr3:uid="{9F4D0B12-DB37-48AC-AF7B-B3C7C8AAF4E4}" name="Neoadjuvant Tx2 Agent" dataDxfId="173"/>
    <tableColumn id="67" xr3:uid="{EE680CF0-F37E-4973-92DD-C83589C99453}" name="Tumour response Neoadjuvant  Tx2" dataDxfId="172"/>
    <tableColumn id="68" xr3:uid="{833BF5C3-8916-4569-B4E4-93EAAA900269}" name="Neoadjuvant Tx3" dataDxfId="171"/>
    <tableColumn id="69" xr3:uid="{27213CC2-21CE-4949-8583-84407D7B2DD4}" name="Neoadjuvant Tx3 Agent" dataDxfId="170"/>
    <tableColumn id="70" xr3:uid="{3B0A9AB8-22A9-4004-99ED-D3A7D528C5F7}" name="Tumour response Neoadjuvant  Tx3" dataDxfId="169"/>
    <tableColumn id="71" xr3:uid="{1B0E823C-2DBE-4000-B9F8-869529D2C333}" name="Neoadjuvant Tx4" dataDxfId="168"/>
    <tableColumn id="72" xr3:uid="{6AD46875-F704-43D8-997A-38EF1DC21F42}" name="Neoadjuvant Tx4 Agent" dataDxfId="167"/>
    <tableColumn id="73" xr3:uid="{81AE133B-7C7F-4140-AD09-66B0160E81E5}" name="Tumour response Neoadjuvant  Tx4" dataDxfId="166"/>
    <tableColumn id="74" xr3:uid="{3436C569-6A37-460C-9ED6-3FDE027381A9}" name="Neoadjuvant Tx5" dataDxfId="165"/>
    <tableColumn id="75" xr3:uid="{9E609607-C595-43EA-B8D9-ED333FC3765C}" name="Neoadjuvant Tx5 Agent" dataDxfId="164"/>
    <tableColumn id="76" xr3:uid="{C2DB0F6C-EE1F-4586-8EEE-FD572EBCC45A}" name="Tumour response Neoadjuvant  Tx5" dataDxfId="163"/>
    <tableColumn id="77" xr3:uid="{3CB97981-0C83-49AA-A772-95988536D0E4}" name="Neoadjuvant Tx6" dataDxfId="162"/>
    <tableColumn id="78" xr3:uid="{6EE61AD4-D7FD-4148-95FD-9E3771AC92BA}" name="Neoadjuvant Tx6 Agent" dataDxfId="161"/>
    <tableColumn id="79" xr3:uid="{507688D7-BE1F-4A99-A935-1AF46709A0D0}" name="Tumour response Neoadjuvant  Tx6" dataDxfId="160"/>
    <tableColumn id="80" xr3:uid="{944B8B65-CE5E-4F4E-8C09-CD1F50820683}" name="Neoadjuvant Tx7" dataDxfId="159"/>
    <tableColumn id="81" xr3:uid="{A0BCDFF0-625A-4853-BB70-46DA335691DB}" name="Neoadjuvant Tx7 Agent" dataDxfId="158"/>
    <tableColumn id="82" xr3:uid="{B48AA22D-B8E1-40F9-B6F7-53BC608F9300}" name="Tumour response Neoadjuvant  Tx7" dataDxfId="157"/>
    <tableColumn id="83" xr3:uid="{41BDD25E-6688-415A-804D-16627A15ABB0}" name="Neoadjuvant Tx8" dataDxfId="156"/>
    <tableColumn id="84" xr3:uid="{C9DD64B4-1E08-4B4C-92E3-9D85774CD49F}" name="Neoadjuvant Tx8 Agent" dataDxfId="155"/>
    <tableColumn id="85" xr3:uid="{21C2393F-94D5-404B-8D49-B7787D319BD0}" name="Tumour response Neoadjuvant  Tx8" dataDxfId="154"/>
    <tableColumn id="86" xr3:uid="{B305EBC4-8AB8-407C-AF17-FB09DF4B4FDC}" name="Neoadjuvant Tx9" dataDxfId="153"/>
    <tableColumn id="87" xr3:uid="{CD01E0E8-B120-4173-B161-AB5EF658ACA8}" name="Neoadjuvant Tx9 Agent" dataDxfId="152"/>
    <tableColumn id="88" xr3:uid="{A61EB207-79D6-40AD-B887-2B73C6D74E87}" name="Tumour response Neoadjuvant  Tx9" dataDxfId="151"/>
    <tableColumn id="89" xr3:uid="{BFE30FD8-0920-4A1F-AEB8-8DD7C7AAA821}" name="Neoadjuvant Tx10" dataDxfId="150"/>
    <tableColumn id="90" xr3:uid="{0374737E-0A4D-4EE0-BEBE-BBE0623383F0}" name="Neoadjuvant Tx10 Agent" dataDxfId="149"/>
    <tableColumn id="91" xr3:uid="{8B65E3E8-5691-44E9-9B48-22D7A0B1700E}" name="Tumour response Neoadjuvant Tx10" dataDxfId="148"/>
    <tableColumn id="92" xr3:uid="{B59F6841-1ECC-4302-8400-906618C0949A}" name="Adjuvant Tx1"/>
    <tableColumn id="93" xr3:uid="{66686448-CD4F-4F23-9910-7A348FF09FC5}" name="Adjuvant Tx1 Agent"/>
    <tableColumn id="94" xr3:uid="{9AD0929A-0C35-485B-BDCB-81C0FEE6F0AB}" name="Adjuvant Tx1 Start Date"/>
    <tableColumn id="95" xr3:uid="{D4CA981F-C847-49B8-BFFC-B5FABB0EDB1A}" name="Adjuvant Tx1 End Date"/>
    <tableColumn id="96" xr3:uid="{8C0AC7AF-0685-437F-9BC7-AFA9B4B3975F}" name="Tumour response Adjuvant Tx1" dataDxfId="147"/>
    <tableColumn id="97" xr3:uid="{DCCC334D-550A-42C2-B540-16F92E9F7F60}" name="Adjuvant Tx2" dataDxfId="146"/>
    <tableColumn id="98" xr3:uid="{382E7361-1CF1-4837-8077-2112F58B4CAE}" name="Adjuvant Tx2 Agent" dataDxfId="145"/>
    <tableColumn id="99" xr3:uid="{232CF67D-6FC0-4F53-8D4C-1139D19A199D}" name="Tumour response Adjuvant  Tx2" dataDxfId="144"/>
    <tableColumn id="100" xr3:uid="{351AC47E-0D7A-46E3-ABE5-4FC2F50877A4}" name="Adjuvant Tx3" dataDxfId="143"/>
    <tableColumn id="101" xr3:uid="{C4D9E0A2-7A85-4EC0-9024-F24A1B2EBC9C}" name="Adjuvant Tx3 Agent" dataDxfId="142"/>
    <tableColumn id="102" xr3:uid="{E67C8F88-B3DA-4007-9B74-C655110DEFEE}" name="Tumour response Adjuvant  Tx3" dataDxfId="141"/>
    <tableColumn id="103" xr3:uid="{6F387FCE-52FE-4A22-A934-9B04DA4B6D70}" name="Adjuvant Tx4" dataDxfId="140"/>
    <tableColumn id="104" xr3:uid="{5BEFF86C-253F-42A2-A12A-D5A5562279D0}" name="Adjuvant Tx4 Agent" dataDxfId="139"/>
    <tableColumn id="105" xr3:uid="{2B11B85D-A07C-411B-9D94-A4B1C40CE7CB}" name="Tumour response Adjuvant  Tx4" dataDxfId="138"/>
    <tableColumn id="106" xr3:uid="{AD170CA3-7ED7-4A82-946E-5C7F6D887A16}" name="Adjuvant Tx5" dataDxfId="137"/>
    <tableColumn id="107" xr3:uid="{28EFCC63-C591-4E48-B701-630815776FDA}" name="Adjuvant Tx5 Agent" dataDxfId="136"/>
    <tableColumn id="108" xr3:uid="{AB77C05E-7092-44ED-A1C8-75CE610C50B9}" name="Tumour response Adjuvant  Tx5" dataDxfId="135"/>
    <tableColumn id="109" xr3:uid="{1B4507E3-6607-4621-8C94-D4353311BE75}" name="Adjuvant Tx6" dataDxfId="134"/>
    <tableColumn id="110" xr3:uid="{283D8F02-9DBE-4F47-AD8B-3FF91F6EB5DB}" name="Adjuvant Tx6 Agent" dataDxfId="133"/>
    <tableColumn id="111" xr3:uid="{C3790041-1D35-4EAB-AA53-6A00319E2F36}" name="Tumour response Adjuvant  Tx6" dataDxfId="132"/>
    <tableColumn id="112" xr3:uid="{ECCD3D8C-EA97-4B82-B0D9-DA56D43A85F4}" name="Adjuvant Tx7" dataDxfId="131"/>
    <tableColumn id="113" xr3:uid="{0AD05CED-82C9-48AF-9AB7-F7E05B1C1181}" name="Adjuvant Tx7 Agent" dataDxfId="130"/>
    <tableColumn id="114" xr3:uid="{BCF2FDF0-55CA-485A-82B6-223AD21F0AA6}" name="Tumour response Adjuvant  Tx7" dataDxfId="129"/>
    <tableColumn id="115" xr3:uid="{0891D0A5-75DF-4CCC-963F-CDFA1FF54492}" name="Adjuvant Tx8" dataDxfId="128"/>
    <tableColumn id="116" xr3:uid="{810CB7B6-D6E6-4671-8BAE-C92722D85807}" name="Adjuvant Tx8 Agent" dataDxfId="127"/>
    <tableColumn id="117" xr3:uid="{2E58356D-C957-4658-B690-5A34FAA201C6}" name="Tumour response Adjuvant  Tx8" dataDxfId="126"/>
    <tableColumn id="118" xr3:uid="{15CE80C4-51DC-408F-8CB2-A0320B3A817E}" name="Adjuvant Tx9" dataDxfId="125"/>
    <tableColumn id="119" xr3:uid="{A84117A7-BC60-4A8B-8F9F-76E6F2B6F0F4}" name="Adjuvant Tx9 Agent" dataDxfId="124"/>
    <tableColumn id="120" xr3:uid="{F89E9C48-E2BA-401E-ACBE-A3EA53BA25F8}" name="Tumour response Adjuvant  Tx9" dataDxfId="123"/>
    <tableColumn id="121" xr3:uid="{D23699D4-8A76-4BA5-9808-B56F29CE63C7}" name="Adjuvant Tx10" dataDxfId="122"/>
    <tableColumn id="122" xr3:uid="{E9AB58D6-D05D-44E0-91B0-81779A7ADA48}" name="Adjuvant Tx10 Agent" dataDxfId="121"/>
    <tableColumn id="123" xr3:uid="{CCD8E000-71ED-4DB1-8B10-CDE23FA7DE92}" name="Tumour response Adjuvant Tx10" dataDxfId="120"/>
    <tableColumn id="124" xr3:uid="{AD2EB1A8-DCE2-4005-A6C1-9CF75F7CAD8A}" name="Adjuvant Tx11" dataDxfId="119"/>
    <tableColumn id="125" xr3:uid="{6CBE7146-2803-4E34-BC33-A627AC37859A}" name="Adjuvant Tx11 Agent" dataDxfId="118"/>
    <tableColumn id="126" xr3:uid="{2F404344-0AB0-4FC9-9C08-3301571393CA}" name="Tumour response Adjuvant Tx11" dataDxfId="117"/>
    <tableColumn id="127" xr3:uid="{CE9BB1FC-42B5-4539-92E3-D276D6E09712}" name="Adjuvant Tx12" dataDxfId="116"/>
    <tableColumn id="128" xr3:uid="{B91645D7-D219-48F2-A54D-0CD64AD651ED}" name="Adjuvant Tx12 Agent" dataDxfId="115"/>
    <tableColumn id="129" xr3:uid="{225A8C64-B62C-430A-9041-42CF65D2BE0D}" name="Tumour response Adjuvant Tx12" dataDxfId="114"/>
    <tableColumn id="130" xr3:uid="{C4C78A74-C65F-4A91-8586-AA2710BE28C5}" name="Adjuvant Tx13" dataDxfId="113"/>
    <tableColumn id="131" xr3:uid="{D0D65BCA-00E7-4C58-98D7-5606F29E1254}" name="Adjuvant Tx13 Agent" dataDxfId="112"/>
    <tableColumn id="132" xr3:uid="{60942EC9-9113-4476-843E-DA70B89623AF}" name="Tumour response Adjuvant Tx13" dataDxfId="111"/>
    <tableColumn id="133" xr3:uid="{026E6D4E-D8E8-4D17-9562-15DFA42FD91B}" name="Adjuvant Tx14" dataDxfId="110"/>
    <tableColumn id="134" xr3:uid="{E44FAAEA-C507-43C1-8994-5A66645EB4FE}" name="Adjuvant Tx14 Agent" dataDxfId="109"/>
    <tableColumn id="135" xr3:uid="{724DDDD5-2AA7-45BC-8936-73F488A6E2B0}" name="Tumour response Adjuvant Tx14" dataDxfId="108"/>
    <tableColumn id="136" xr3:uid="{0D74665C-78EF-4BB2-83BA-D59EAC3E1728}" name="Adjuvant Tx15" dataDxfId="107"/>
    <tableColumn id="137" xr3:uid="{C15D402A-1FCA-4FC0-BF22-B70D51C17DC0}" name="Adjuvant Tx15 Agent" dataDxfId="106"/>
    <tableColumn id="138" xr3:uid="{310147BD-3237-4198-8D19-ED89AC81F539}" name="Tumour response Adjuvant Tx15" dataDxfId="105"/>
    <tableColumn id="139" xr3:uid="{C850669A-30B7-405C-9D8C-0BA96364BEDD}" name="Date recurrence/ progression 1" dataDxfId="104"/>
    <tableColumn id="140" xr3:uid="{0806CBE6-6F6D-458F-8B18-AD27832020C5}" name="Sites recurrence/ progression 1" dataDxfId="103"/>
    <tableColumn id="141" xr3:uid="{4BF1B181-8115-418C-9AE8-99340E45608A}" name="Subsequent Tx1" dataDxfId="102"/>
    <tableColumn id="142" xr3:uid="{3E353329-BC08-498C-BC9A-A2B2CCE07BBE}" name="Subsequent Tx1 Agent" dataDxfId="101"/>
    <tableColumn id="143" xr3:uid="{46C5A674-1C08-4073-950A-670C8D6B3CEE}" name="Subsequent Tx1 Start Date" dataDxfId="100"/>
    <tableColumn id="144" xr3:uid="{8413CF6C-0889-4E1A-8F3F-E185F2C23FE0}" name="Subsequent Tx1        End Date" dataDxfId="99"/>
    <tableColumn id="145" xr3:uid="{6B563428-0A74-4031-B407-29496AE1E54C}" name="Tumour response to Subsequent Tx1" dataDxfId="98"/>
    <tableColumn id="146" xr3:uid="{B633D546-D902-469C-A4AF-AC34A94D0C06}" name="Subsequent Tx2" dataDxfId="97"/>
    <tableColumn id="147" xr3:uid="{73D8889E-7F94-4F98-909F-1C4A2BE9A162}" name="Subsequent Tx2 Agent" dataDxfId="96"/>
    <tableColumn id="148" xr3:uid="{A8DCC76A-76A5-492D-A661-A0A9590D8214}" name="Tumour response to Subsequent Tx2" dataDxfId="95"/>
    <tableColumn id="149" xr3:uid="{E8C3DB24-F27A-48D8-A895-0401A9C48ED7}" name="Subsequent Tx3" dataDxfId="94"/>
    <tableColumn id="150" xr3:uid="{12D80CC1-743F-4B96-B933-2D5E05659A67}" name="Subsequent Tx3 Agent" dataDxfId="93"/>
    <tableColumn id="151" xr3:uid="{2FFBDECA-4041-4C4B-9B6E-3F71BCC65FB6}" name="Tumour response to Subsequent Tx3" dataDxfId="92"/>
    <tableColumn id="152" xr3:uid="{D7CFA43A-8ADC-464C-B183-D6CBA2D392A6}" name="Subsequent Tx4" dataDxfId="91"/>
    <tableColumn id="153" xr3:uid="{9E336C7F-A804-40F7-83D9-D61919B0A1AE}" name="Subsequent Tx4 Agent" dataDxfId="90"/>
    <tableColumn id="154" xr3:uid="{EF822E49-0F2E-4A05-96FC-A1EA10492A18}" name="Tumour response to Subsequent Tx4" dataDxfId="89"/>
    <tableColumn id="155" xr3:uid="{2E122F5E-7E0E-489C-AE3D-908DA50B0360}" name="Subsequent Tx5" dataDxfId="88"/>
    <tableColumn id="156" xr3:uid="{868B019F-D086-45C0-83D9-897E33FDE2F6}" name="Subsequent Tx5 Agent" dataDxfId="87"/>
    <tableColumn id="157" xr3:uid="{8C239190-56C2-4FAA-9644-E3D20C1C7426}" name="Tumour response to Subsequent Tx5" dataDxfId="86"/>
    <tableColumn id="158" xr3:uid="{9008CFC6-F9EE-4C68-B072-5B5F9EC6AF40}" name="Subsequent Tx6" dataDxfId="85"/>
    <tableColumn id="159" xr3:uid="{6730F553-7073-4AED-9FAD-FE485B089B1B}" name="Subsequent Tx6 Agent" dataDxfId="84"/>
    <tableColumn id="160" xr3:uid="{600078A6-84DA-4F99-B749-16E4A1834D8E}" name="Tumour response to Subsequent Tx6" dataDxfId="83"/>
    <tableColumn id="161" xr3:uid="{0FDA2D3C-58EA-4A6B-90AE-E276C26F0D41}" name="Subsequent Tx7" dataDxfId="82"/>
    <tableColumn id="162" xr3:uid="{ECBBC53B-7649-4A53-BF5C-5C4016054230}" name="Subsequent Tx7 Agent" dataDxfId="81"/>
    <tableColumn id="163" xr3:uid="{BD0C001E-DF20-4035-951F-18559DBD898B}" name="Tumour response to Subsequent Tx7" dataDxfId="80"/>
    <tableColumn id="164" xr3:uid="{608CA2E8-5B84-4826-9FEF-6C3AF4418826}" name="Subsequent Tx8" dataDxfId="79"/>
    <tableColumn id="165" xr3:uid="{F6E6A564-ECBC-4334-BEAC-193C75F8C84B}" name="Subsequent Tx8 Agent" dataDxfId="78"/>
    <tableColumn id="166" xr3:uid="{685393DB-AA0B-47E2-A476-E2102E200079}" name="Tumour response to Subsequent Tx8" dataDxfId="77"/>
    <tableColumn id="167" xr3:uid="{877B64F4-E8B0-4E84-B514-0E340F929683}" name="Subsequent Tx9" dataDxfId="76"/>
    <tableColumn id="168" xr3:uid="{6D7B2562-0342-42FC-9369-1F0B0788903B}" name="Subsequent Tx9 Agent" dataDxfId="75"/>
    <tableColumn id="169" xr3:uid="{3CF5F106-1CBF-49CF-8727-C804BB8D0F0F}" name="Tumour response to Subsequent Tx9" dataDxfId="74"/>
    <tableColumn id="170" xr3:uid="{58645EF9-8585-466E-9C44-ACDD129395F5}" name="Subsequent Tx10" dataDxfId="73"/>
    <tableColumn id="171" xr3:uid="{2F9D2646-AB3D-4E1A-B8BC-61F7011BA604}" name="Subsequent Tx10 Agent" dataDxfId="72"/>
    <tableColumn id="172" xr3:uid="{DBA0B5F6-570A-4879-856F-0D17E4E6C61F}" name="Tumour response to Subsequent Tx10" dataDxfId="71"/>
    <tableColumn id="173" xr3:uid="{874C41AD-6F4D-4505-97DD-4986E891CE3F}" name="Subsequent Tx11" dataDxfId="70"/>
    <tableColumn id="174" xr3:uid="{420A1C8C-150B-49A3-81F8-16541805227A}" name="Subsequent Tx11 Agent" dataDxfId="69"/>
    <tableColumn id="175" xr3:uid="{87EE317B-3F03-4095-A657-5ECBCFE28AB1}" name="Tumour response to Subsequent Tx11" dataDxfId="68"/>
    <tableColumn id="176" xr3:uid="{DB73DFC6-3673-4941-90AF-04D88904EFCC}" name="Subsequent Tx12" dataDxfId="67"/>
    <tableColumn id="177" xr3:uid="{7C8F0847-6468-4F69-A4C5-3E2305D6E138}" name="Subsequent Tx12 Agent" dataDxfId="66"/>
    <tableColumn id="178" xr3:uid="{B843C70D-504E-4ED3-9E72-6BFA5DB02521}" name="Tumour response to Subsequent Tx12" dataDxfId="65"/>
    <tableColumn id="179" xr3:uid="{50B540AA-1BDE-4608-93AE-2B485516D2DB}" name="Subsequent Tx13" dataDxfId="64"/>
    <tableColumn id="180" xr3:uid="{225E4D3E-4858-4CA7-B452-97DC0DA82FF8}" name="Subsequent Tx13 Agent" dataDxfId="63"/>
    <tableColumn id="181" xr3:uid="{1A7D6819-00B4-42F4-A73E-1E7B83F7E8C6}" name="Tumour response to Subsequent Tx13" dataDxfId="62"/>
    <tableColumn id="182" xr3:uid="{F12904A9-EE5B-426A-8318-BC125AFD0879}" name="Subsequent Tx14" dataDxfId="61"/>
    <tableColumn id="183" xr3:uid="{19693208-4EEC-41DE-82FE-0193278E98E7}" name="Subsequent Tx14 Agent" dataDxfId="60"/>
    <tableColumn id="184" xr3:uid="{6508B2BE-6CEA-4CF1-A760-587B44F88426}" name="Tumour response to Subsequent Tx14" dataDxfId="59"/>
    <tableColumn id="185" xr3:uid="{9008307C-61A1-4F9E-9BB7-5161AC809410}" name="Subsequent Tx15" dataDxfId="58"/>
    <tableColumn id="186" xr3:uid="{0180C35A-5B53-4EFA-A0CE-D58B31A2CEA5}" name="Subsequent Tx15 Agent" dataDxfId="57"/>
    <tableColumn id="187" xr3:uid="{1E3C099B-CC25-4F19-8F73-AAF9898FED20}" name="Tumour response to Subsequent Tx15" dataDxfId="56"/>
    <tableColumn id="188" xr3:uid="{F1B37B10-19D1-4A18-A195-08C0CB257A1C}" name="Current Status" dataDxfId="55"/>
    <tableColumn id="189" xr3:uid="{08B76508-EDF5-49B6-A8FB-83A277BF0F9E}" name="Death date" dataDxfId="54"/>
    <tableColumn id="190" xr3:uid="{2B051E41-D2CE-41D1-8B28-A73A3DE2786E}" name="Death tumour related" dataDxfId="53"/>
    <tableColumn id="191" xr3:uid="{3C7D2C68-E40E-440B-992B-A80342D75019}" name="Cause of death" dataDxfId="52"/>
    <tableColumn id="192" xr3:uid="{905AAFDC-BDA1-4FFB-BC19-2EFD7E985744}" name="Date last follow-up" dataDxfId="51"/>
    <tableColumn id="193" xr3:uid="{6ED96BEF-3720-4470-95DC-9A83939B18FA}" name="Date Last Seen" dataDxfId="50"/>
    <tableColumn id="194" xr3:uid="{EF073C19-DA9B-4861-A226-C137CBB5162A}" name="Comments from clinical team" dataDxfId="49"/>
    <tableColumn id="195" xr3:uid="{0CAAF397-72F5-4D65-AA1D-D4F91BD8B8FB}" name="TTE Neoadjuvant Tx1 Start Date" dataDxfId="48">
      <calculatedColumnFormula>IFERROR(INT(BJ4 - $AS4)/30,"N/A")</calculatedColumnFormula>
    </tableColumn>
    <tableColumn id="196" xr3:uid="{629F64FA-C0CA-48F7-BBEB-F98F78D8121E}" name="TTE Neoadjuvant Tx1 End Date" dataDxfId="47">
      <calculatedColumnFormula>IFERROR(INT(BK4 - $AS4)/30,"N/A")</calculatedColumnFormula>
    </tableColumn>
    <tableColumn id="197" xr3:uid="{BAABAD6F-E484-4D51-AD4E-FF1C5C0C76A4}" name="TTE Specimen surgery date" dataDxfId="46">
      <calculatedColumnFormula>IFERROR(INT(H4 - $AS4)/30,"N/A")</calculatedColumnFormula>
    </tableColumn>
    <tableColumn id="198" xr3:uid="{08082D80-CBAB-44D3-8162-57A8D39C128A}" name="TTE Primary Surgery date" dataDxfId="45">
      <calculatedColumnFormula>IFERROR(INT(K4 - $AS4)/30,"N/A")</calculatedColumnFormula>
    </tableColumn>
    <tableColumn id="199" xr3:uid="{40C6220D-E4E4-4790-9D7C-E58A63165003}" name="TTE Matched met 1 Surgery Date" dataDxfId="44">
      <calculatedColumnFormula>IFERROR(INT(P4 - $AS4)/30,"N/A")</calculatedColumnFormula>
    </tableColumn>
    <tableColumn id="200" xr3:uid="{F4F1C0AE-3F39-4DF3-A935-ACAB95193A95}" name="TTE Matched met 2 Surgery Date" dataDxfId="43">
      <calculatedColumnFormula>IFERROR(INT(U4 - $AS4)/30,"N/A")</calculatedColumnFormula>
    </tableColumn>
    <tableColumn id="201" xr3:uid="{BB9AE036-4905-4B2A-9024-7C81B14D2E05}" name="TTE Matched met 3 Surgery Date" dataDxfId="42">
      <calculatedColumnFormula>IFERROR(INT(Z4 - $AS4)/30,"N/A")</calculatedColumnFormula>
    </tableColumn>
    <tableColumn id="202" xr3:uid="{721C8397-DF48-42CC-8606-A33B4F2392DD}" name="TTE Matched met 4 Surgery Date" dataDxfId="41">
      <calculatedColumnFormula>IFERROR(INT(AE4 - $AS4)/30,"N/A")</calculatedColumnFormula>
    </tableColumn>
    <tableColumn id="203" xr3:uid="{F9EB20E6-8EC6-4878-9617-BA1AF00FA25F}" name="TTE Matched met 5 Surgery Date" dataDxfId="40">
      <calculatedColumnFormula>IFERROR(INT(AJ4 - $AS4)/30,"N/A")</calculatedColumnFormula>
    </tableColumn>
    <tableColumn id="204" xr3:uid="{F647DA22-1F13-42E8-8135-7355FBEB9A2A}" name="TTE Matched Normal tissue Surgery Date" dataDxfId="39">
      <calculatedColumnFormula>IFERROR(INT(AO4 - $AS4)/30,"N/A")</calculatedColumnFormula>
    </tableColumn>
    <tableColumn id="205" xr3:uid="{49480BAA-EA93-4DBD-9DC4-7E0F3B2D716D}" name="TTE Adjuvant Tx1 Start Date" dataDxfId="38">
      <calculatedColumnFormula>IFERROR(INT(CP4 - $AS4)/30,"N/A")</calculatedColumnFormula>
    </tableColumn>
    <tableColumn id="206" xr3:uid="{EEF557F4-2D89-4168-886B-1D0CB8337616}" name="TTE Adjuvant Tx1 End Date" dataDxfId="37">
      <calculatedColumnFormula>IFERROR(INT(CQ4 - $AS4)/30,"N/A")</calculatedColumnFormula>
    </tableColumn>
    <tableColumn id="207" xr3:uid="{D6A5B6E4-DDAA-4AA3-B9AC-23E84AFF3DD9}" name="TTE Date recurrence/ progression 1" dataDxfId="36">
      <calculatedColumnFormula>IFERROR(INT(EI4 - $AS4)/30,"N/A")</calculatedColumnFormula>
    </tableColumn>
    <tableColumn id="208" xr3:uid="{2F2D5115-0E16-4A6C-B85A-3A188D6BA7D5}" name="TTE Subsequent Tx1 Start Date" dataDxfId="35">
      <calculatedColumnFormula>IFERROR(INT(EM4 - $AS4)/30,"N/A")</calculatedColumnFormula>
    </tableColumn>
    <tableColumn id="209" xr3:uid="{E1978161-BC03-48E9-97FA-7C252CD7269E}" name="TTE Subsequent Tx1 End Date" dataDxfId="34">
      <calculatedColumnFormula>IFERROR(INT(EN4 - $AS4)/30,"N/A")</calculatedColumnFormula>
    </tableColumn>
    <tableColumn id="210" xr3:uid="{4AA4C404-8299-4FCA-831B-D4C406A24388}" name="TTE Recurrence (PFS)" dataDxfId="33">
      <calculatedColumnFormula>$GY4</calculatedColumnFormula>
    </tableColumn>
    <tableColumn id="211" xr3:uid="{65B0C63E-CA14-441A-B52F-FB2D1119B03C}" name="TTE Death (OS and PFS)" dataDxfId="32">
      <calculatedColumnFormula>IFERROR(INT(GG4 - $AS4)/30,"N/A")</calculatedColumnFormula>
    </tableColumn>
    <tableColumn id="212" xr3:uid="{459C9E09-97A8-430A-9316-8267D5738D0A}" name="TTE Date last follow-up (PFS)" dataDxfId="31">
      <calculatedColumnFormula>IFERROR(INT(GJ4 - $AS4)/30,"N/A")</calculatedColumnFormula>
    </tableColumn>
    <tableColumn id="213" xr3:uid="{5862B810-0EA8-4B60-BF8B-5CC4172A0F80}" name="TTE Date last seen (OS)" dataDxfId="30">
      <calculatedColumnFormula>IFERROR(INT(GK4 - $AS4)/30,"N/A")</calculatedColumnFormula>
    </tableColumn>
    <tableColumn id="214" xr3:uid="{77A48D9D-CB97-49A9-8FC9-F1D0D30BB8E7}" name="TTE Overall survival (OS) in months" dataDxfId="29" dataCellStyle="Normal 2">
      <calculatedColumnFormula>SUM($HC4,$HE4)</calculatedColumnFormula>
    </tableColumn>
    <tableColumn id="215" xr3:uid="{3E18CF6A-C1B3-4F17-885F-F7C754F19606}" name="TTE Progression free survival (PFS) in months" dataDxfId="28" dataCellStyle="Normal 2">
      <calculatedColumnFormula array="1">INDEX($HB4:$HD4,MATCH(TRUE,INDEX(ISNUMBER($HB4:$HD4),0),0))</calculatedColumnFormula>
    </tableColumn>
    <tableColumn id="216" xr3:uid="{2A368818-FA94-4CD4-A5F4-1A9545184D11}" name="Event (recurrence/progression)" dataDxfId="27" dataCellStyle="Normal 2">
      <calculatedColumnFormula>IF($HB4="N/A",0,1)</calculatedColumnFormula>
    </tableColumn>
    <tableColumn id="217" xr3:uid="{A878225A-7003-44A1-B7BA-221DFB7EB8A3}" name="Event (cancer death)" dataDxfId="26" dataCellStyle="Normal 2">
      <calculatedColumnFormula>IF($GH4="Yes",1,0)</calculatedColumnFormula>
    </tableColumn>
    <tableColumn id="218" xr3:uid="{B66EF5EC-6634-4718-91D9-70290FF57DC2}" name="Event (death; all causes)" dataDxfId="25" dataCellStyle="Normal 2">
      <calculatedColumnFormula>IF($HC4="N/A",0,1)</calculatedColumnFormula>
    </tableColumn>
    <tableColumn id="219" xr3:uid="{5E5DBA39-63CA-4C2C-A0B2-3D887F741BD7}" name="Event (recurrence or cancer death)" dataDxfId="24" dataCellStyle="Normal 2">
      <calculatedColumnFormula>IF(OR($HH4=1,$HI4=1),"1","0")</calculatedColumn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00708E-1F0A-4AD8-8AA2-F2CEF2F69F8F}" name="Supplementary_1" displayName="Supplementary_1" ref="A1:X73" totalsRowShown="0" headerRowDxfId="0">
  <autoFilter ref="A1:X73" xr:uid="{6700708E-1F0A-4AD8-8AA2-F2CEF2F69F8F}"/>
  <tableColumns count="24">
    <tableColumn id="1" xr3:uid="{A84A3CE9-B676-4908-B9D8-4C59D1A952BA}" name="NHS number" dataDxfId="23"/>
    <tableColumn id="2" xr3:uid="{81E0F061-8023-40CF-850F-BD9644956386}" name="Donor ID" dataDxfId="22"/>
    <tableColumn id="3" xr3:uid="{145C725A-A887-4C6F-86D1-F7443E6FD58C}" name="Selected specimen Anonymised ID" dataDxfId="21"/>
    <tableColumn id="4" xr3:uid="{27DD9A5D-354D-4406-8E8B-74743F1FA152}" name="Specimen used for p53 testing (if different)" dataDxfId="20"/>
    <tableColumn id="5" xr3:uid="{08E287FA-34DE-46D3-B11F-D95083ABC846}" name="Block used for p53 testing" dataDxfId="19"/>
    <tableColumn id="6" xr3:uid="{1F04BF6C-6903-45C2-ACD8-A6AA426001E1}" name="p53 staining pattern (IHC)" dataDxfId="18"/>
    <tableColumn id="7" xr3:uid="{92A7F828-5EDD-4A8F-B099-F178706BB3BF}" name="Specimen number used for MMR screening (if different)" dataDxfId="17"/>
    <tableColumn id="8" xr3:uid="{60D9728C-4987-4053-80A7-BBE1BBC3C257}" name="Block used for MMR IHC" dataDxfId="16"/>
    <tableColumn id="9" xr3:uid="{C3734379-EFE7-4FB5-937E-0BBD2482C8E7}" name="MMR result (normal(proficient)/abnormal (deficient)" dataDxfId="15"/>
    <tableColumn id="10" xr3:uid="{FFF876CE-3D83-4F64-8C48-C7D5D1A09C1B}" name="MLH1 IHC (pos / neg / clonal neg)" dataDxfId="14"/>
    <tableColumn id="11" xr3:uid="{04735109-7CF7-4DF0-9418-AFD14A7A8C92}" name="PMS2 IHC (pos/ neg / clonal neg" dataDxfId="13"/>
    <tableColumn id="12" xr3:uid="{10FDEF10-28EE-45AC-ABD5-E0B84C56DD75}" name="MSH2 IHC (pos/ neg / clonal neg" dataDxfId="12"/>
    <tableColumn id="13" xr3:uid="{5D32E4E4-4625-477F-8014-66AA1AA364D4}" name="MSH6 IHC (pos/ neg/ clonal neg)" dataDxfId="11"/>
    <tableColumn id="14" xr3:uid="{2207E912-5B76-4711-90EB-95CAA59B946C}" name="Specimen used for MSI testing (if different)" dataDxfId="10"/>
    <tableColumn id="15" xr3:uid="{5925511C-D284-4CCE-A891-B057DBED7852}" name="Block used for MSI testing" dataDxfId="9"/>
    <tableColumn id="16" xr3:uid="{EB3F7036-3009-40C3-B563-4ACEFB8B6A07}" name="MSI result (stable/unstable)" dataDxfId="8"/>
    <tableColumn id="17" xr3:uid="{4F3E6C3A-FBAA-400E-BB62-971CCE380F0D}" name="Specimen used for POLE testing (if different)" dataDxfId="7"/>
    <tableColumn id="18" xr3:uid="{AAA237DB-91A3-4716-8E9C-F24ABD35762B}" name="Block used for testing" dataDxfId="6"/>
    <tableColumn id="19" xr3:uid="{6DF3009F-4DC4-4900-BF7D-04EABA71EE6C}" name="POLE mutation" dataDxfId="5"/>
    <tableColumn id="20" xr3:uid="{00BE0A49-4F76-443D-AD8F-17BBF9BF6882}" name="ER (IHC) Allred score" dataDxfId="4"/>
    <tableColumn id="21" xr3:uid="{B654988B-8AB9-444E-B6DF-CFCAB1D4B6DB}" name="Staging criteria" dataDxfId="3"/>
    <tableColumn id="22" xr3:uid="{557C9A36-DD37-4994-8C18-CF87D08227A6}" name="Stage at DX" dataDxfId="2"/>
    <tableColumn id="23" xr3:uid="{72EEFE9E-3FD6-4017-9FB6-A2D5D785A470}" name="Macroscopic surgical tumour debulking: R0 (no residual disease), R1 (&lt;1 cm residual disease), R2 (1 cm and over residual disease)"/>
    <tableColumn id="24" xr3:uid="{634F449A-D3D2-45C2-90BC-AE9D3FCAFDA8}" name="Indication" dataDxfId="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CB22BC-1695-4F56-9502-53B227EFDF84}" name="Table1" displayName="Table1" ref="E1:I10" totalsRowShown="0" headerRowDxfId="252" dataDxfId="251">
  <autoFilter ref="E1:I10" xr:uid="{D6CB22BC-1695-4F56-9502-53B227EFDF84}"/>
  <tableColumns count="5">
    <tableColumn id="1" xr3:uid="{63272864-20E5-4A7C-8D58-41CB534C8CC6}" name="Therapy type" dataDxfId="250"/>
    <tableColumn id="2" xr3:uid="{B73E30ED-C9DE-48F0-B683-FC8FE9EC3B63}" name="Yes/No" dataDxfId="249"/>
    <tableColumn id="3" xr3:uid="{03246ABE-255C-4892-868D-F0AEF1FAC5E9}" name="Matched Normal treatment subgrouping" dataDxfId="248"/>
    <tableColumn id="4" xr3:uid="{85936DCB-2C5F-44AE-84FF-5D7F3DD5CA45}" name="Staging/grading info provided for:" dataDxfId="247"/>
    <tableColumn id="5" xr3:uid="{CE5B5999-5BA0-43D3-9526-3C81CFAB2209}" name="Staging criteria" dataDxfId="246"/>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6B1994-05D9-4B8B-8D37-CABE4FADA6F0}" name="error_log" displayName="error_log" ref="A1:C4" totalsRowShown="0">
  <autoFilter ref="A1:C4" xr:uid="{3D6B1994-05D9-4B8B-8D37-CABE4FADA6F0}"/>
  <tableColumns count="3">
    <tableColumn id="1" xr3:uid="{A419A1E3-9C34-4A89-A58D-058A080A98D5}" name="Row Number" dataDxfId="245"/>
    <tableColumn id="2" xr3:uid="{B072FBC3-13C4-4B69-A283-B8E470682A29}" name="NHS Number" dataDxfId="244"/>
    <tableColumn id="3" xr3:uid="{930DCC26-A63F-4A1C-85C0-F29DDA1C503A}" name="TTE Error Reasoning" dataDxfId="2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5" dT="2026-02-17T14:50:25.40" personId="{DFEA95CE-580F-4E3F-BA47-F30C561ED740}" id="{33D8584A-5F67-476C-B4CE-1CC4C40D8FA4}">
    <text>see note on block</text>
  </threadedComment>
  <threadedComment ref="F5" dT="2026-02-16T10:01:52.24" personId="{DFEA95CE-580F-4E3F-BA47-F30C561ED740}" id="{3834601A-1186-4DE3-B2C3-C16072A94E56}" done="1">
    <text>A18?</text>
  </threadedComment>
  <threadedComment ref="EI6" dT="2026-05-22T14:43:02.94" personId="{DFEA95CE-580F-4E3F-BA47-F30C561ED740}" id="{FA36528C-D9BA-48CF-9B1F-B2E56488693D}">
    <text>this is the first recurrence after diagnosis</text>
  </threadedComment>
  <threadedComment ref="EI10" dT="2026-05-27T09:29:11.45" personId="{DFEA95CE-580F-4E3F-BA47-F30C561ED740}" id="{BC3D38BC-98A0-4AF1-9E86-27B43F0189CD}">
    <text>estimate</text>
  </threadedComment>
  <threadedComment ref="EM10" dT="2026-05-27T09:28:38.74" personId="{DFEA95CE-580F-4E3F-BA47-F30C561ED740}" id="{B6D3FAF7-B0CE-4C10-95A2-5A4411DACD19}">
    <text>estimate</text>
  </threadedComment>
  <threadedComment ref="EN10" dT="2026-05-27T09:28:50.34" personId="{DFEA95CE-580F-4E3F-BA47-F30C561ED740}" id="{4757367A-BB2C-4A5C-9A74-975B8A8A1C31}">
    <text>estimate</text>
  </threadedComment>
  <threadedComment ref="A17" dT="2026-02-17T14:15:45.96" personId="{DFEA95CE-580F-4E3F-BA47-F30C561ED740}" id="{E845D1FD-95F0-4784-A159-C54F401FEA74}">
    <text>This is an ovarian tumour (sorry must have put in wrong search category) - needs to be moved to the ovarian cohort</text>
  </threadedComment>
  <threadedComment ref="A24" dT="2026-03-24T13:35:46.14" personId="{647080DA-2812-4452-9BC0-6D2D7D8F825F}" id="{FB944283-0E6F-45DC-A7D1-293E7C181974}">
    <text>Sent in Pembro/Nivo 2022-2023 Misc</text>
  </threadedComment>
  <threadedComment ref="CR33" dT="2026-06-07T10:10:11.82" personId="{DFEA95CE-580F-4E3F-BA47-F30C561ED740}" id="{7D0568B7-0D8E-4654-9418-96EC301EED6C}">
    <text>lymph nodes thought to be postoperative changes</text>
  </threadedComment>
  <threadedComment ref="BE34" dT="2026-02-17T16:26:36.61" personId="{DFEA95CE-580F-4E3F-BA47-F30C561ED740}" id="{DDD2ABCA-C6FE-4105-9F2F-8DD92C053355}">
    <text>does not say focal or substantial LVSI - presume substantial</text>
  </threadedComment>
  <threadedComment ref="BE35" dT="2026-02-17T16:33:13.01" personId="{DFEA95CE-580F-4E3F-BA47-F30C561ED740}" id="{CA2CFB51-717A-4C06-A39D-44BD864C91DD}">
    <text>does not say whether focal or substantial but assume substantial LVSI</text>
  </threadedComment>
  <threadedComment ref="ER39" dT="2026-06-08T12:40:46.02" personId="{DFEA95CE-580F-4E3F-BA47-F30C561ED740}" id="{6340C7E2-E3B2-46E9-8203-3734D83FE7A9}">
    <text>Epro 12 nov 2025</text>
  </threadedComment>
  <threadedComment ref="BE46" dT="2026-02-17T18:03:43.01" personId="{DFEA95CE-580F-4E3F-BA47-F30C561ED740}" id="{9BB6D1E9-B6D0-4276-A9D3-0A3BBD3D526A}">
    <text>not mentioned if substantial or focal LVSI - assume substantial</text>
  </threadedComment>
  <threadedComment ref="A47" dT="2026-02-17T18:08:50.43" personId="{DFEA95CE-580F-4E3F-BA47-F30C561ED740}" id="{45EF7B77-9767-4404-841B-A575C9268CAD}">
    <text>is actually an adenocarcinoma of cervix. Needs moving although not sure if we have any cervix cohorts currently</text>
  </threadedComment>
  <threadedComment ref="BE50" dT="2026-02-17T22:00:58.20" personId="{DFEA95CE-580F-4E3F-BA47-F30C561ED740}" id="{7621031A-B507-43F0-B002-A8DA44552989}">
    <text>does not say whether focal or substantial LVSI - assume substantial</text>
  </threadedComment>
  <threadedComment ref="BE53" dT="2026-02-17T22:15:36.45" personId="{DFEA95CE-580F-4E3F-BA47-F30C561ED740}" id="{AEFDFA35-21C3-4E45-8D6E-FF13DAADB1E5}">
    <text>reaches but does not breach serosa (stage IB FIGO 2009)</text>
  </threadedComment>
  <threadedComment ref="GG56" dT="2026-06-08T17:01:11.14" personId="{DFEA95CE-580F-4E3F-BA47-F30C561ED740}" id="{CE5E1C12-51EB-4157-B5D0-60E11A7CFA11}">
    <text>date last seen will have to do (date death missing)</text>
  </threadedComment>
  <threadedComment ref="EN57" dT="2026-06-09T09:30:14.85" personId="{DFEA95CE-580F-4E3F-BA47-F30C561ED740}" id="{39F4D0AB-E5FB-4D86-96FD-5889A1E37DA0}">
    <text>estimate</text>
  </threadedComment>
  <threadedComment ref="BE59" dT="2026-02-17T22:44:49.20" personId="{DFEA95CE-580F-4E3F-BA47-F30C561ED740}" id="{934CBFD9-D71F-479D-8589-DE43882EED2A}">
    <text>prominent LVSI</text>
  </threadedComment>
  <threadedComment ref="BE64" dT="2026-02-17T23:08:19.68" personId="{DFEA95CE-580F-4E3F-BA47-F30C561ED740}" id="{90E35D1F-9EA1-407B-9032-D12D8C460D6B}">
    <text>reaches but does not breach serosa (IB Figo 2009)</text>
  </threadedComment>
  <threadedComment ref="BE64" dT="2026-06-09T14:39:49.40" personId="{DFEA95CE-580F-4E3F-BA47-F30C561ED740}" id="{C4F98B98-9D18-4C96-A971-9EFCA4E9A5C5}" parentId="{90E35D1F-9EA1-407B-9032-D12D8C460D6B}">
    <text>Also incomplete lymph node removal (clinically stage 3C2)</text>
  </threadedComment>
  <threadedComment ref="A69" dT="2026-02-18T11:44:53.41" personId="{DFEA95CE-580F-4E3F-BA47-F30C561ED740}" id="{2BCB0F05-0097-4002-B897-B7099326A986}">
    <text>not sure if I should include this case - no invasive carcinoma in the specimen (will ask Nic)</text>
  </threadedComment>
  <threadedComment ref="A69" dT="2026-02-19T22:22:31.08" personId="{DFEA95CE-580F-4E3F-BA47-F30C561ED740}" id="{0E5EBB35-76A0-413D-8D75-EE7345C520D8}" parentId="{2BCB0F05-0097-4002-B897-B7099326A986}">
    <text>checked with Nic - should not include</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6-02-17T14:50:25.40" personId="{DFEA95CE-580F-4E3F-BA47-F30C561ED740}" id="{3C0FB714-1F6F-4320-BA6A-DA183B5C32F8}">
    <text>see note on block</text>
  </threadedComment>
  <threadedComment ref="F68" dT="2026-06-09T19:18:47.76" personId="{DFEA95CE-580F-4E3F-BA47-F30C561ED740}" id="{55700495-09ED-4A15-8F59-1D9B066B1233}">
    <text>file link 11 march 2025</text>
  </threadedComment>
  <threadedComment ref="F73" dT="2026-06-09T22:35:20.83" personId="{DFEA95CE-580F-4E3F-BA47-F30C561ED740}" id="{713B68EF-C14E-4C35-90CA-6FFE3D6837D6}">
    <text>hard to interpret the description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K114"/>
  <sheetViews>
    <sheetView zoomScale="120" zoomScaleNormal="120" workbookViewId="0">
      <pane xSplit="5" ySplit="3" topLeftCell="F19" activePane="bottomRight" state="frozen"/>
      <selection pane="topRight" activeCell="F1" sqref="F1"/>
      <selection pane="bottomLeft" activeCell="A4" sqref="A4"/>
      <selection pane="bottomRight" activeCell="E24" sqref="E24"/>
    </sheetView>
  </sheetViews>
  <sheetFormatPr defaultColWidth="9.1796875" defaultRowHeight="15" customHeight="1" outlineLevelCol="1" x14ac:dyDescent="0.3"/>
  <cols>
    <col min="1" max="1" width="12.7265625" style="3" customWidth="1"/>
    <col min="2" max="2" width="18" style="3" customWidth="1"/>
    <col min="3" max="3" width="27.6328125" style="3" customWidth="1"/>
    <col min="4" max="4" width="21.1796875" style="3" customWidth="1"/>
    <col min="5" max="5" width="28.26953125" style="3" customWidth="1"/>
    <col min="6" max="7" width="21.90625" style="3" customWidth="1"/>
    <col min="8" max="8" width="19.54296875" style="64" customWidth="1"/>
    <col min="9" max="9" width="29.453125" style="3" customWidth="1"/>
    <col min="10" max="10" width="18.90625" style="3" customWidth="1"/>
    <col min="11" max="11" width="18.36328125" style="64" customWidth="1"/>
    <col min="12" max="12" width="18.26953125" style="3" customWidth="1"/>
    <col min="13" max="13" width="25.7265625" style="3" customWidth="1"/>
    <col min="14" max="14" width="24.90625" style="3" customWidth="1"/>
    <col min="15" max="15" width="18.26953125" style="3" customWidth="1"/>
    <col min="16" max="16" width="23.90625" style="64" customWidth="1"/>
    <col min="17" max="17" width="31.7265625" style="3" customWidth="1"/>
    <col min="18" max="18" width="25.7265625" style="3" customWidth="1" outlineLevel="1"/>
    <col min="19" max="19" width="24.90625" style="3" customWidth="1" outlineLevel="1"/>
    <col min="20" max="20" width="18.26953125" style="3" customWidth="1" outlineLevel="1"/>
    <col min="21" max="21" width="23.90625" style="64" customWidth="1" outlineLevel="1"/>
    <col min="22" max="22" width="31.7265625" style="3" customWidth="1" outlineLevel="1"/>
    <col min="23" max="23" width="25.7265625" style="3" customWidth="1" outlineLevel="1"/>
    <col min="24" max="24" width="24.90625" style="3" customWidth="1" outlineLevel="1"/>
    <col min="25" max="25" width="17" style="3" customWidth="1" outlineLevel="1"/>
    <col min="26" max="26" width="23.90625" style="64" customWidth="1" outlineLevel="1"/>
    <col min="27" max="27" width="31.7265625" style="3" customWidth="1" outlineLevel="1"/>
    <col min="28" max="28" width="25.7265625" style="3" customWidth="1" outlineLevel="1"/>
    <col min="29" max="29" width="24.90625" style="3" customWidth="1" outlineLevel="1"/>
    <col min="30" max="30" width="17" style="3" customWidth="1" outlineLevel="1"/>
    <col min="31" max="31" width="23.90625" style="64" customWidth="1" outlineLevel="1"/>
    <col min="32" max="32" width="31.7265625" style="3" customWidth="1" outlineLevel="1"/>
    <col min="33" max="33" width="25.7265625" style="3" customWidth="1" outlineLevel="1"/>
    <col min="34" max="34" width="24.90625" style="3" customWidth="1" outlineLevel="1"/>
    <col min="35" max="35" width="17" style="3" customWidth="1" outlineLevel="1"/>
    <col min="36" max="36" width="23.90625" style="64" customWidth="1" outlineLevel="1"/>
    <col min="37" max="37" width="31.7265625" style="3" customWidth="1" outlineLevel="1"/>
    <col min="38" max="38" width="24.81640625" style="3" customWidth="1" outlineLevel="1"/>
    <col min="39" max="39" width="31.1796875" style="3" customWidth="1" outlineLevel="1"/>
    <col min="40" max="40" width="23.26953125" style="3" customWidth="1" outlineLevel="1"/>
    <col min="41" max="41" width="30.1796875" style="64" customWidth="1" outlineLevel="1"/>
    <col min="42" max="42" width="33.1796875" style="3" customWidth="1" outlineLevel="1"/>
    <col min="43" max="43" width="9.1796875" style="3" customWidth="1"/>
    <col min="44" max="44" width="16" style="64" customWidth="1"/>
    <col min="45" max="45" width="16.26953125" style="64" customWidth="1"/>
    <col min="46" max="46" width="14.81640625" style="3" customWidth="1"/>
    <col min="47" max="47" width="66" style="71" customWidth="1"/>
    <col min="48" max="48" width="28" style="3" customWidth="1"/>
    <col min="49" max="49" width="20.36328125" style="3" customWidth="1"/>
    <col min="50" max="51" width="7.453125" style="3" customWidth="1"/>
    <col min="52" max="52" width="8.7265625" style="3" customWidth="1"/>
    <col min="53" max="53" width="7.453125" style="3" customWidth="1"/>
    <col min="54" max="54" width="11.81640625" style="3" customWidth="1"/>
    <col min="55" max="55" width="7" style="3" customWidth="1"/>
    <col min="56" max="56" width="16" style="3" customWidth="1"/>
    <col min="57" max="57" width="10.81640625" style="3" customWidth="1"/>
    <col min="58" max="58" width="21.7265625" style="3" customWidth="1" collapsed="1"/>
    <col min="59" max="59" width="36.6328125" style="66" customWidth="1"/>
    <col min="60" max="60" width="16.7265625" style="3" customWidth="1"/>
    <col min="61" max="61" width="20" style="3" customWidth="1"/>
    <col min="62" max="62" width="23.08984375" style="64" customWidth="1"/>
    <col min="63" max="63" width="22.36328125" style="64" customWidth="1"/>
    <col min="64" max="64" width="28.90625" style="3" customWidth="1"/>
    <col min="65" max="65" width="16.7265625" style="3" customWidth="1"/>
    <col min="66" max="66" width="20" style="3" customWidth="1"/>
    <col min="67" max="67" width="29.36328125" style="3" customWidth="1"/>
    <col min="68" max="68" width="16.7265625" style="3" customWidth="1"/>
    <col min="69" max="69" width="20" style="3" customWidth="1"/>
    <col min="70" max="70" width="29.36328125" style="3" customWidth="1"/>
    <col min="71" max="71" width="16.7265625" style="3" customWidth="1"/>
    <col min="72" max="72" width="20" style="3" customWidth="1"/>
    <col min="73" max="73" width="29.36328125" style="3" customWidth="1"/>
    <col min="74" max="74" width="16.7265625" style="3" customWidth="1"/>
    <col min="75" max="75" width="20" style="3" customWidth="1"/>
    <col min="76" max="76" width="29.36328125" style="3" customWidth="1"/>
    <col min="77" max="77" width="16.7265625" style="3" customWidth="1"/>
    <col min="78" max="78" width="20" style="3" customWidth="1"/>
    <col min="79" max="79" width="29.36328125" style="3" customWidth="1"/>
    <col min="80" max="80" width="16.7265625" style="3" customWidth="1"/>
    <col min="81" max="81" width="20" style="3" customWidth="1"/>
    <col min="82" max="82" width="29.36328125" style="3" customWidth="1"/>
    <col min="83" max="83" width="16.7265625" style="3" customWidth="1"/>
    <col min="84" max="84" width="20" style="3" customWidth="1"/>
    <col min="85" max="85" width="29.36328125" style="3" customWidth="1"/>
    <col min="86" max="86" width="16.7265625" style="3" customWidth="1"/>
    <col min="87" max="87" width="20" style="3" customWidth="1"/>
    <col min="88" max="88" width="29.36328125" style="3" customWidth="1"/>
    <col min="89" max="89" width="17.54296875" style="3" customWidth="1"/>
    <col min="90" max="90" width="20.90625" style="3" customWidth="1"/>
    <col min="91" max="91" width="29.81640625" style="3" customWidth="1"/>
    <col min="92" max="92" width="15.81640625" style="3" customWidth="1"/>
    <col min="93" max="93" width="33.1796875" style="3" customWidth="1"/>
    <col min="94" max="94" width="20.26953125" style="64" customWidth="1"/>
    <col min="95" max="95" width="19.453125" style="64" customWidth="1"/>
    <col min="96" max="96" width="26.08984375" style="3" customWidth="1"/>
    <col min="97" max="97" width="12.26953125" style="3" customWidth="1"/>
    <col min="98" max="98" width="48" style="3" customWidth="1"/>
    <col min="99" max="99" width="26.453125" style="3" customWidth="1"/>
    <col min="100" max="100" width="12.26953125" style="3" customWidth="1"/>
    <col min="101" max="101" width="17.08984375" style="3" customWidth="1"/>
    <col min="102" max="102" width="26.453125" style="3" customWidth="1"/>
    <col min="103" max="103" width="15.81640625" style="3" customWidth="1"/>
    <col min="104" max="104" width="18.1796875" style="3" customWidth="1"/>
    <col min="105" max="105" width="26.453125" style="3" customWidth="1"/>
    <col min="106" max="106" width="15.81640625" style="3" customWidth="1"/>
    <col min="107" max="107" width="18.1796875" style="3" customWidth="1"/>
    <col min="108" max="108" width="26.453125" style="3" customWidth="1"/>
    <col min="109" max="109" width="15.81640625" style="3" customWidth="1"/>
    <col min="110" max="110" width="18.1796875" style="3" customWidth="1"/>
    <col min="111" max="111" width="26.453125" style="3" customWidth="1"/>
    <col min="112" max="112" width="15.81640625" style="3" customWidth="1"/>
    <col min="113" max="113" width="18.1796875" style="3" customWidth="1"/>
    <col min="114" max="114" width="26.453125" style="3" customWidth="1"/>
    <col min="115" max="115" width="15.81640625" style="3" customWidth="1"/>
    <col min="116" max="116" width="18.1796875" style="3" customWidth="1"/>
    <col min="117" max="117" width="26.453125" style="3" customWidth="1"/>
    <col min="118" max="118" width="15.81640625" style="3" customWidth="1"/>
    <col min="119" max="119" width="18.1796875" style="3" customWidth="1"/>
    <col min="120" max="120" width="26.453125" style="3" customWidth="1"/>
    <col min="121" max="121" width="15.81640625" style="3" customWidth="1"/>
    <col min="122" max="122" width="18.1796875" style="3" customWidth="1"/>
    <col min="123" max="123" width="27" style="3" customWidth="1"/>
    <col min="124" max="124" width="15.81640625" style="3" customWidth="1"/>
    <col min="125" max="125" width="18.1796875" style="3" customWidth="1"/>
    <col min="126" max="126" width="27" style="3" customWidth="1"/>
    <col min="127" max="127" width="15.81640625" style="3" customWidth="1"/>
    <col min="128" max="128" width="18.1796875" style="3" customWidth="1"/>
    <col min="129" max="129" width="27" style="3" customWidth="1"/>
    <col min="130" max="130" width="15.81640625" style="3" customWidth="1"/>
    <col min="131" max="131" width="18.1796875" style="3" customWidth="1"/>
    <col min="132" max="132" width="27" style="3" customWidth="1"/>
    <col min="133" max="133" width="15.81640625" style="3" customWidth="1"/>
    <col min="134" max="134" width="18.1796875" style="3" customWidth="1"/>
    <col min="135" max="135" width="27" style="3" customWidth="1"/>
    <col min="136" max="136" width="15.81640625" style="3" customWidth="1"/>
    <col min="137" max="137" width="18.1796875" style="3" customWidth="1"/>
    <col min="138" max="138" width="27" style="3" customWidth="1"/>
    <col min="139" max="139" width="26" style="64" customWidth="1" collapsed="1"/>
    <col min="140" max="140" width="26" style="3" customWidth="1"/>
    <col min="141" max="141" width="16" style="3" customWidth="1"/>
    <col min="142" max="142" width="31.54296875" style="3" customWidth="1"/>
    <col min="143" max="143" width="22.26953125" style="64" customWidth="1"/>
    <col min="144" max="144" width="24.1796875" style="64" customWidth="1"/>
    <col min="145" max="145" width="30.08984375" style="3" customWidth="1"/>
    <col min="146" max="146" width="16" style="3" customWidth="1"/>
    <col min="147" max="147" width="29.26953125" style="3" customWidth="1"/>
    <col min="148" max="148" width="30.08984375" style="3" customWidth="1"/>
    <col min="149" max="149" width="14.36328125" style="3" customWidth="1"/>
    <col min="150" max="150" width="27" style="3" customWidth="1"/>
    <col min="151" max="151" width="30.08984375" style="3" customWidth="1"/>
    <col min="152" max="152" width="14.7265625" style="3" customWidth="1"/>
    <col min="153" max="153" width="26.26953125" style="3" customWidth="1"/>
    <col min="154" max="154" width="30.08984375" style="3" customWidth="1"/>
    <col min="155" max="155" width="14.36328125" style="3" customWidth="1"/>
    <col min="156" max="156" width="20.453125" style="3" customWidth="1"/>
    <col min="157" max="157" width="30.08984375" style="3" customWidth="1"/>
    <col min="158" max="158" width="16" style="3" customWidth="1"/>
    <col min="159" max="159" width="19.1796875" style="3" customWidth="1"/>
    <col min="160" max="160" width="30.08984375" style="3" customWidth="1"/>
    <col min="161" max="161" width="16" style="3" customWidth="1"/>
    <col min="162" max="162" width="19.1796875" style="3" customWidth="1"/>
    <col min="163" max="163" width="30.08984375" style="3" customWidth="1"/>
    <col min="164" max="164" width="16" style="3" customWidth="1"/>
    <col min="165" max="165" width="19.1796875" style="3" customWidth="1"/>
    <col min="166" max="166" width="30.08984375" style="3" customWidth="1"/>
    <col min="167" max="167" width="16" style="3" customWidth="1"/>
    <col min="168" max="168" width="19.1796875" style="3" customWidth="1"/>
    <col min="169" max="169" width="30.08984375" style="3" customWidth="1"/>
    <col min="170" max="170" width="16.7265625" style="3" customWidth="1"/>
    <col min="171" max="171" width="20.08984375" style="3" customWidth="1"/>
    <col min="172" max="172" width="31" style="3" customWidth="1"/>
    <col min="173" max="173" width="16.7265625" style="3" customWidth="1"/>
    <col min="174" max="174" width="20.08984375" style="3" customWidth="1"/>
    <col min="175" max="175" width="31" style="3" customWidth="1"/>
    <col min="176" max="176" width="16.7265625" style="3" customWidth="1"/>
    <col min="177" max="177" width="20.08984375" style="3" customWidth="1"/>
    <col min="178" max="178" width="31" style="3" customWidth="1"/>
    <col min="179" max="179" width="16.7265625" style="3" customWidth="1"/>
    <col min="180" max="180" width="20.08984375" style="3" customWidth="1"/>
    <col min="181" max="181" width="31" style="3" customWidth="1"/>
    <col min="182" max="182" width="16.7265625" style="3" customWidth="1"/>
    <col min="183" max="183" width="20.08984375" style="3" customWidth="1"/>
    <col min="184" max="184" width="31" style="3" customWidth="1"/>
    <col min="185" max="185" width="16.7265625" style="3" customWidth="1"/>
    <col min="186" max="186" width="20.08984375" style="3" customWidth="1"/>
    <col min="187" max="187" width="31" style="3" customWidth="1"/>
    <col min="188" max="188" width="13.26953125" style="3" customWidth="1"/>
    <col min="189" max="189" width="19" style="64" customWidth="1"/>
    <col min="190" max="190" width="18.90625" style="3" customWidth="1"/>
    <col min="191" max="191" width="28.7265625" style="3" customWidth="1"/>
    <col min="192" max="193" width="19" style="64" customWidth="1"/>
    <col min="194" max="194" width="30.54296875" style="64" customWidth="1"/>
    <col min="195" max="195" width="26.1796875" style="3" customWidth="1"/>
    <col min="196" max="196" width="25.453125" style="3" customWidth="1"/>
    <col min="197" max="197" width="22.6328125" style="3" customWidth="1"/>
    <col min="198" max="198" width="21.453125" style="3" customWidth="1"/>
    <col min="199" max="203" width="27" style="3" customWidth="1"/>
    <col min="204" max="204" width="33.26953125" style="3" customWidth="1"/>
    <col min="205" max="205" width="23.36328125" style="3" customWidth="1"/>
    <col min="206" max="206" width="22.54296875" style="3" customWidth="1"/>
    <col min="207" max="207" width="29.08984375" style="3" customWidth="1"/>
    <col min="208" max="208" width="25.36328125" style="3" customWidth="1"/>
    <col min="209" max="209" width="24.6328125" style="3" customWidth="1"/>
    <col min="210" max="210" width="18.26953125" style="3" customWidth="1"/>
    <col min="211" max="211" width="19.81640625" style="3" customWidth="1"/>
    <col min="212" max="212" width="23.90625" style="3" customWidth="1"/>
    <col min="213" max="213" width="19.54296875" style="3" customWidth="1"/>
    <col min="214" max="214" width="28.7265625" style="3" customWidth="1"/>
    <col min="215" max="215" width="36.36328125" style="3" customWidth="1"/>
    <col min="216" max="216" width="26.08984375" style="3" customWidth="1"/>
    <col min="217" max="217" width="18.26953125" style="3" customWidth="1"/>
    <col min="218" max="218" width="20.6328125" style="3" customWidth="1"/>
    <col min="219" max="219" width="28.453125" style="3" customWidth="1"/>
    <col min="220" max="16384" width="9.1796875" style="3"/>
  </cols>
  <sheetData>
    <row r="1" spans="1:219" ht="15" customHeight="1" x14ac:dyDescent="0.4">
      <c r="A1" s="1" t="s">
        <v>0</v>
      </c>
    </row>
    <row r="2" spans="1:219" ht="15" customHeight="1" x14ac:dyDescent="0.45">
      <c r="A2" s="2"/>
      <c r="BA2" s="71"/>
      <c r="BG2" s="72"/>
      <c r="BH2" s="71"/>
    </row>
    <row r="3" spans="1:219" ht="57.75" customHeight="1" x14ac:dyDescent="0.3">
      <c r="A3" s="119" t="s">
        <v>1</v>
      </c>
      <c r="B3" s="120" t="s">
        <v>2</v>
      </c>
      <c r="C3" s="120" t="s">
        <v>3</v>
      </c>
      <c r="D3" s="121" t="s">
        <v>4</v>
      </c>
      <c r="E3" s="121" t="s">
        <v>5</v>
      </c>
      <c r="F3" s="121" t="s">
        <v>6</v>
      </c>
      <c r="G3" s="121" t="s">
        <v>7</v>
      </c>
      <c r="H3" s="122" t="s">
        <v>8</v>
      </c>
      <c r="I3" s="121" t="s">
        <v>9</v>
      </c>
      <c r="J3" s="121" t="s">
        <v>10</v>
      </c>
      <c r="K3" s="121" t="s">
        <v>11</v>
      </c>
      <c r="L3" s="121" t="s">
        <v>12</v>
      </c>
      <c r="M3" s="121" t="s">
        <v>13</v>
      </c>
      <c r="N3" s="121" t="s">
        <v>14</v>
      </c>
      <c r="O3" s="121" t="s">
        <v>15</v>
      </c>
      <c r="P3" s="121" t="s">
        <v>16</v>
      </c>
      <c r="Q3" s="121" t="s">
        <v>17</v>
      </c>
      <c r="R3" s="121" t="s">
        <v>18</v>
      </c>
      <c r="S3" s="121" t="s">
        <v>19</v>
      </c>
      <c r="T3" s="121" t="s">
        <v>20</v>
      </c>
      <c r="U3" s="121" t="s">
        <v>21</v>
      </c>
      <c r="V3" s="121" t="s">
        <v>22</v>
      </c>
      <c r="W3" s="121" t="s">
        <v>23</v>
      </c>
      <c r="X3" s="121" t="s">
        <v>24</v>
      </c>
      <c r="Y3" s="121" t="s">
        <v>25</v>
      </c>
      <c r="Z3" s="121" t="s">
        <v>26</v>
      </c>
      <c r="AA3" s="121" t="s">
        <v>27</v>
      </c>
      <c r="AB3" s="121" t="s">
        <v>28</v>
      </c>
      <c r="AC3" s="121" t="s">
        <v>29</v>
      </c>
      <c r="AD3" s="121" t="s">
        <v>30</v>
      </c>
      <c r="AE3" s="121" t="s">
        <v>31</v>
      </c>
      <c r="AF3" s="121" t="s">
        <v>32</v>
      </c>
      <c r="AG3" s="121" t="s">
        <v>33</v>
      </c>
      <c r="AH3" s="121" t="s">
        <v>34</v>
      </c>
      <c r="AI3" s="121" t="s">
        <v>35</v>
      </c>
      <c r="AJ3" s="121" t="s">
        <v>36</v>
      </c>
      <c r="AK3" s="121" t="s">
        <v>37</v>
      </c>
      <c r="AL3" s="121" t="s">
        <v>38</v>
      </c>
      <c r="AM3" s="121" t="s">
        <v>39</v>
      </c>
      <c r="AN3" s="121" t="s">
        <v>40</v>
      </c>
      <c r="AO3" s="121" t="s">
        <v>41</v>
      </c>
      <c r="AP3" s="121" t="s">
        <v>42</v>
      </c>
      <c r="AQ3" s="121" t="s">
        <v>43</v>
      </c>
      <c r="AR3" s="121" t="s">
        <v>44</v>
      </c>
      <c r="AS3" s="121" t="s">
        <v>45</v>
      </c>
      <c r="AT3" s="121" t="s">
        <v>46</v>
      </c>
      <c r="AU3" s="121" t="s">
        <v>47</v>
      </c>
      <c r="AV3" s="121" t="s">
        <v>48</v>
      </c>
      <c r="AW3" s="121" t="s">
        <v>49</v>
      </c>
      <c r="AX3" s="121" t="s">
        <v>50</v>
      </c>
      <c r="AY3" s="121" t="s">
        <v>51</v>
      </c>
      <c r="AZ3" s="121" t="s">
        <v>52</v>
      </c>
      <c r="BA3" s="121" t="s">
        <v>53</v>
      </c>
      <c r="BB3" s="121" t="s">
        <v>54</v>
      </c>
      <c r="BC3" s="121" t="s">
        <v>55</v>
      </c>
      <c r="BD3" s="121" t="s">
        <v>56</v>
      </c>
      <c r="BE3" s="121" t="s">
        <v>57</v>
      </c>
      <c r="BF3" s="123" t="s">
        <v>58</v>
      </c>
      <c r="BG3" s="124" t="s">
        <v>59</v>
      </c>
      <c r="BH3" s="125" t="s">
        <v>60</v>
      </c>
      <c r="BI3" s="125" t="s">
        <v>61</v>
      </c>
      <c r="BJ3" s="126" t="s">
        <v>62</v>
      </c>
      <c r="BK3" s="126" t="s">
        <v>63</v>
      </c>
      <c r="BL3" s="125" t="s">
        <v>64</v>
      </c>
      <c r="BM3" s="125" t="s">
        <v>65</v>
      </c>
      <c r="BN3" s="125" t="s">
        <v>66</v>
      </c>
      <c r="BO3" s="125" t="s">
        <v>67</v>
      </c>
      <c r="BP3" s="125" t="s">
        <v>68</v>
      </c>
      <c r="BQ3" s="125" t="s">
        <v>69</v>
      </c>
      <c r="BR3" s="125" t="s">
        <v>70</v>
      </c>
      <c r="BS3" s="125" t="s">
        <v>71</v>
      </c>
      <c r="BT3" s="125" t="s">
        <v>72</v>
      </c>
      <c r="BU3" s="125" t="s">
        <v>73</v>
      </c>
      <c r="BV3" s="125" t="s">
        <v>74</v>
      </c>
      <c r="BW3" s="125" t="s">
        <v>75</v>
      </c>
      <c r="BX3" s="125" t="s">
        <v>76</v>
      </c>
      <c r="BY3" s="125" t="s">
        <v>77</v>
      </c>
      <c r="BZ3" s="125" t="s">
        <v>78</v>
      </c>
      <c r="CA3" s="125" t="s">
        <v>79</v>
      </c>
      <c r="CB3" s="125" t="s">
        <v>80</v>
      </c>
      <c r="CC3" s="125" t="s">
        <v>81</v>
      </c>
      <c r="CD3" s="125" t="s">
        <v>82</v>
      </c>
      <c r="CE3" s="125" t="s">
        <v>83</v>
      </c>
      <c r="CF3" s="125" t="s">
        <v>84</v>
      </c>
      <c r="CG3" s="125" t="s">
        <v>85</v>
      </c>
      <c r="CH3" s="125" t="s">
        <v>86</v>
      </c>
      <c r="CI3" s="125" t="s">
        <v>87</v>
      </c>
      <c r="CJ3" s="125" t="s">
        <v>88</v>
      </c>
      <c r="CK3" s="125" t="s">
        <v>89</v>
      </c>
      <c r="CL3" s="125" t="s">
        <v>90</v>
      </c>
      <c r="CM3" s="125" t="s">
        <v>91</v>
      </c>
      <c r="CN3" s="127" t="s">
        <v>92</v>
      </c>
      <c r="CO3" s="127" t="s">
        <v>93</v>
      </c>
      <c r="CP3" s="128" t="s">
        <v>94</v>
      </c>
      <c r="CQ3" s="128" t="s">
        <v>95</v>
      </c>
      <c r="CR3" s="127" t="s">
        <v>96</v>
      </c>
      <c r="CS3" s="127" t="s">
        <v>97</v>
      </c>
      <c r="CT3" s="127" t="s">
        <v>98</v>
      </c>
      <c r="CU3" s="127" t="s">
        <v>99</v>
      </c>
      <c r="CV3" s="127" t="s">
        <v>100</v>
      </c>
      <c r="CW3" s="127" t="s">
        <v>101</v>
      </c>
      <c r="CX3" s="127" t="s">
        <v>102</v>
      </c>
      <c r="CY3" s="127" t="s">
        <v>103</v>
      </c>
      <c r="CZ3" s="127" t="s">
        <v>104</v>
      </c>
      <c r="DA3" s="127" t="s">
        <v>105</v>
      </c>
      <c r="DB3" s="127" t="s">
        <v>106</v>
      </c>
      <c r="DC3" s="127" t="s">
        <v>107</v>
      </c>
      <c r="DD3" s="127" t="s">
        <v>108</v>
      </c>
      <c r="DE3" s="127" t="s">
        <v>109</v>
      </c>
      <c r="DF3" s="127" t="s">
        <v>110</v>
      </c>
      <c r="DG3" s="127" t="s">
        <v>111</v>
      </c>
      <c r="DH3" s="127" t="s">
        <v>112</v>
      </c>
      <c r="DI3" s="127" t="s">
        <v>113</v>
      </c>
      <c r="DJ3" s="127" t="s">
        <v>114</v>
      </c>
      <c r="DK3" s="127" t="s">
        <v>115</v>
      </c>
      <c r="DL3" s="127" t="s">
        <v>116</v>
      </c>
      <c r="DM3" s="127" t="s">
        <v>117</v>
      </c>
      <c r="DN3" s="127" t="s">
        <v>118</v>
      </c>
      <c r="DO3" s="127" t="s">
        <v>119</v>
      </c>
      <c r="DP3" s="127" t="s">
        <v>120</v>
      </c>
      <c r="DQ3" s="127" t="s">
        <v>121</v>
      </c>
      <c r="DR3" s="127" t="s">
        <v>122</v>
      </c>
      <c r="DS3" s="127" t="s">
        <v>123</v>
      </c>
      <c r="DT3" s="127" t="s">
        <v>124</v>
      </c>
      <c r="DU3" s="127" t="s">
        <v>125</v>
      </c>
      <c r="DV3" s="127" t="s">
        <v>126</v>
      </c>
      <c r="DW3" s="127" t="s">
        <v>127</v>
      </c>
      <c r="DX3" s="127" t="s">
        <v>128</v>
      </c>
      <c r="DY3" s="127" t="s">
        <v>129</v>
      </c>
      <c r="DZ3" s="127" t="s">
        <v>130</v>
      </c>
      <c r="EA3" s="127" t="s">
        <v>131</v>
      </c>
      <c r="EB3" s="127" t="s">
        <v>132</v>
      </c>
      <c r="EC3" s="127" t="s">
        <v>133</v>
      </c>
      <c r="ED3" s="127" t="s">
        <v>134</v>
      </c>
      <c r="EE3" s="127" t="s">
        <v>135</v>
      </c>
      <c r="EF3" s="127" t="s">
        <v>136</v>
      </c>
      <c r="EG3" s="127" t="s">
        <v>137</v>
      </c>
      <c r="EH3" s="127" t="s">
        <v>138</v>
      </c>
      <c r="EI3" s="129" t="s">
        <v>139</v>
      </c>
      <c r="EJ3" s="130" t="s">
        <v>140</v>
      </c>
      <c r="EK3" s="131" t="s">
        <v>141</v>
      </c>
      <c r="EL3" s="131" t="s">
        <v>142</v>
      </c>
      <c r="EM3" s="132" t="s">
        <v>143</v>
      </c>
      <c r="EN3" s="132" t="s">
        <v>144</v>
      </c>
      <c r="EO3" s="131" t="s">
        <v>145</v>
      </c>
      <c r="EP3" s="131" t="s">
        <v>146</v>
      </c>
      <c r="EQ3" s="131" t="s">
        <v>147</v>
      </c>
      <c r="ER3" s="131" t="s">
        <v>148</v>
      </c>
      <c r="ES3" s="131" t="s">
        <v>149</v>
      </c>
      <c r="ET3" s="131" t="s">
        <v>150</v>
      </c>
      <c r="EU3" s="131" t="s">
        <v>151</v>
      </c>
      <c r="EV3" s="131" t="s">
        <v>152</v>
      </c>
      <c r="EW3" s="131" t="s">
        <v>153</v>
      </c>
      <c r="EX3" s="131" t="s">
        <v>154</v>
      </c>
      <c r="EY3" s="131" t="s">
        <v>155</v>
      </c>
      <c r="EZ3" s="131" t="s">
        <v>156</v>
      </c>
      <c r="FA3" s="131" t="s">
        <v>157</v>
      </c>
      <c r="FB3" s="131" t="s">
        <v>158</v>
      </c>
      <c r="FC3" s="131" t="s">
        <v>159</v>
      </c>
      <c r="FD3" s="131" t="s">
        <v>160</v>
      </c>
      <c r="FE3" s="131" t="s">
        <v>161</v>
      </c>
      <c r="FF3" s="131" t="s">
        <v>162</v>
      </c>
      <c r="FG3" s="131" t="s">
        <v>163</v>
      </c>
      <c r="FH3" s="131" t="s">
        <v>164</v>
      </c>
      <c r="FI3" s="131" t="s">
        <v>165</v>
      </c>
      <c r="FJ3" s="131" t="s">
        <v>166</v>
      </c>
      <c r="FK3" s="131" t="s">
        <v>167</v>
      </c>
      <c r="FL3" s="131" t="s">
        <v>168</v>
      </c>
      <c r="FM3" s="131" t="s">
        <v>169</v>
      </c>
      <c r="FN3" s="131" t="s">
        <v>170</v>
      </c>
      <c r="FO3" s="131" t="s">
        <v>171</v>
      </c>
      <c r="FP3" s="131" t="s">
        <v>172</v>
      </c>
      <c r="FQ3" s="131" t="s">
        <v>173</v>
      </c>
      <c r="FR3" s="131" t="s">
        <v>174</v>
      </c>
      <c r="FS3" s="131" t="s">
        <v>175</v>
      </c>
      <c r="FT3" s="131" t="s">
        <v>176</v>
      </c>
      <c r="FU3" s="131" t="s">
        <v>177</v>
      </c>
      <c r="FV3" s="131" t="s">
        <v>178</v>
      </c>
      <c r="FW3" s="131" t="s">
        <v>179</v>
      </c>
      <c r="FX3" s="131" t="s">
        <v>180</v>
      </c>
      <c r="FY3" s="131" t="s">
        <v>181</v>
      </c>
      <c r="FZ3" s="131" t="s">
        <v>182</v>
      </c>
      <c r="GA3" s="131" t="s">
        <v>183</v>
      </c>
      <c r="GB3" s="131" t="s">
        <v>184</v>
      </c>
      <c r="GC3" s="131" t="s">
        <v>185</v>
      </c>
      <c r="GD3" s="131" t="s">
        <v>186</v>
      </c>
      <c r="GE3" s="131" t="s">
        <v>187</v>
      </c>
      <c r="GF3" s="133" t="s">
        <v>188</v>
      </c>
      <c r="GG3" s="134" t="s">
        <v>189</v>
      </c>
      <c r="GH3" s="135" t="s">
        <v>190</v>
      </c>
      <c r="GI3" s="35" t="s">
        <v>191</v>
      </c>
      <c r="GJ3" s="134" t="s">
        <v>192</v>
      </c>
      <c r="GK3" s="134" t="s">
        <v>193</v>
      </c>
      <c r="GL3" s="136" t="s">
        <v>194</v>
      </c>
      <c r="GM3" s="137" t="s">
        <v>195</v>
      </c>
      <c r="GN3" s="137" t="s">
        <v>196</v>
      </c>
      <c r="GO3" s="137" t="s">
        <v>197</v>
      </c>
      <c r="GP3" s="137" t="s">
        <v>198</v>
      </c>
      <c r="GQ3" s="137" t="s">
        <v>199</v>
      </c>
      <c r="GR3" s="137" t="s">
        <v>200</v>
      </c>
      <c r="GS3" s="137" t="s">
        <v>201</v>
      </c>
      <c r="GT3" s="137" t="s">
        <v>202</v>
      </c>
      <c r="GU3" s="137" t="s">
        <v>203</v>
      </c>
      <c r="GV3" s="137" t="s">
        <v>204</v>
      </c>
      <c r="GW3" s="137" t="s">
        <v>205</v>
      </c>
      <c r="GX3" s="137" t="s">
        <v>206</v>
      </c>
      <c r="GY3" s="137" t="s">
        <v>207</v>
      </c>
      <c r="GZ3" s="137" t="s">
        <v>208</v>
      </c>
      <c r="HA3" s="137" t="s">
        <v>209</v>
      </c>
      <c r="HB3" s="137" t="s">
        <v>210</v>
      </c>
      <c r="HC3" s="137" t="s">
        <v>211</v>
      </c>
      <c r="HD3" s="137" t="s">
        <v>212</v>
      </c>
      <c r="HE3" s="137" t="s">
        <v>213</v>
      </c>
      <c r="HF3" s="138" t="s">
        <v>214</v>
      </c>
      <c r="HG3" s="139" t="s">
        <v>215</v>
      </c>
      <c r="HH3" s="140" t="s">
        <v>216</v>
      </c>
      <c r="HI3" s="141" t="s">
        <v>217</v>
      </c>
      <c r="HJ3" s="110" t="s">
        <v>218</v>
      </c>
      <c r="HK3" s="139" t="s">
        <v>219</v>
      </c>
    </row>
    <row r="4" spans="1:219" s="69" customFormat="1" ht="15" customHeight="1" x14ac:dyDescent="0.3">
      <c r="A4" s="142">
        <v>4382215706</v>
      </c>
      <c r="B4" s="67" t="s">
        <v>220</v>
      </c>
      <c r="C4" s="67" t="s">
        <v>221</v>
      </c>
      <c r="D4" s="67" t="s">
        <v>220</v>
      </c>
      <c r="E4" s="67" t="s">
        <v>222</v>
      </c>
      <c r="F4" s="143" t="s">
        <v>223</v>
      </c>
      <c r="G4" s="67" t="s">
        <v>224</v>
      </c>
      <c r="H4" s="144">
        <v>38369</v>
      </c>
      <c r="I4" s="145" t="s">
        <v>225</v>
      </c>
      <c r="J4" s="80" t="s">
        <v>226</v>
      </c>
      <c r="K4" s="144" t="s">
        <v>227</v>
      </c>
      <c r="L4" s="67" t="s">
        <v>227</v>
      </c>
      <c r="M4" s="146" t="s">
        <v>227</v>
      </c>
      <c r="N4" s="146" t="s">
        <v>227</v>
      </c>
      <c r="O4" s="146" t="s">
        <v>227</v>
      </c>
      <c r="P4" s="146" t="s">
        <v>227</v>
      </c>
      <c r="Q4" s="146" t="s">
        <v>227</v>
      </c>
      <c r="R4" s="146" t="s">
        <v>227</v>
      </c>
      <c r="S4" s="146" t="s">
        <v>227</v>
      </c>
      <c r="T4" s="67" t="s">
        <v>227</v>
      </c>
      <c r="U4" s="67" t="s">
        <v>227</v>
      </c>
      <c r="V4" s="67" t="s">
        <v>227</v>
      </c>
      <c r="W4" s="80" t="s">
        <v>227</v>
      </c>
      <c r="X4" s="80" t="s">
        <v>227</v>
      </c>
      <c r="Y4" s="80" t="s">
        <v>227</v>
      </c>
      <c r="Z4" s="80" t="s">
        <v>227</v>
      </c>
      <c r="AA4" s="80" t="s">
        <v>227</v>
      </c>
      <c r="AB4" s="80" t="s">
        <v>227</v>
      </c>
      <c r="AC4" s="80" t="s">
        <v>227</v>
      </c>
      <c r="AD4" s="80" t="s">
        <v>227</v>
      </c>
      <c r="AE4" s="80" t="s">
        <v>227</v>
      </c>
      <c r="AF4" s="80" t="s">
        <v>227</v>
      </c>
      <c r="AG4" s="80" t="s">
        <v>227</v>
      </c>
      <c r="AH4" s="80" t="s">
        <v>227</v>
      </c>
      <c r="AI4" s="80" t="s">
        <v>227</v>
      </c>
      <c r="AJ4" s="80" t="s">
        <v>227</v>
      </c>
      <c r="AK4" s="80" t="s">
        <v>227</v>
      </c>
      <c r="AL4" s="80" t="s">
        <v>227</v>
      </c>
      <c r="AM4" s="80" t="s">
        <v>227</v>
      </c>
      <c r="AN4" s="80" t="s">
        <v>227</v>
      </c>
      <c r="AO4" s="80" t="s">
        <v>227</v>
      </c>
      <c r="AP4" s="80" t="s">
        <v>227</v>
      </c>
      <c r="AQ4" s="147" t="s">
        <v>228</v>
      </c>
      <c r="AR4" s="91">
        <v>15822</v>
      </c>
      <c r="AS4" s="144">
        <v>38352</v>
      </c>
      <c r="AT4" s="148">
        <f t="shared" ref="AT4:AT41" si="0">DATEDIF(AR4, AS4,"Y")</f>
        <v>61</v>
      </c>
      <c r="AU4" s="149" t="s">
        <v>229</v>
      </c>
      <c r="AV4" s="67" t="s">
        <v>230</v>
      </c>
      <c r="AW4" s="67" t="s">
        <v>231</v>
      </c>
      <c r="AX4" s="149" t="s">
        <v>231</v>
      </c>
      <c r="AY4" s="149" t="s">
        <v>231</v>
      </c>
      <c r="AZ4" s="150" t="s">
        <v>232</v>
      </c>
      <c r="BA4" s="149">
        <v>0</v>
      </c>
      <c r="BB4" s="149" t="s">
        <v>231</v>
      </c>
      <c r="BC4" s="67">
        <v>1</v>
      </c>
      <c r="BD4" s="80" t="s">
        <v>233</v>
      </c>
      <c r="BE4" s="151" t="s">
        <v>234</v>
      </c>
      <c r="BF4" s="67" t="s">
        <v>220</v>
      </c>
      <c r="BG4" s="152" t="s">
        <v>227</v>
      </c>
      <c r="BH4" s="147" t="s">
        <v>227</v>
      </c>
      <c r="BI4" s="147" t="s">
        <v>227</v>
      </c>
      <c r="BJ4" s="144" t="s">
        <v>227</v>
      </c>
      <c r="BK4" s="144" t="s">
        <v>227</v>
      </c>
      <c r="BL4" s="147" t="s">
        <v>227</v>
      </c>
      <c r="BM4" s="147" t="s">
        <v>227</v>
      </c>
      <c r="BN4" s="144" t="s">
        <v>227</v>
      </c>
      <c r="BO4" s="144" t="s">
        <v>227</v>
      </c>
      <c r="BP4" s="147" t="s">
        <v>227</v>
      </c>
      <c r="BQ4" s="147" t="s">
        <v>227</v>
      </c>
      <c r="BR4" s="147" t="s">
        <v>227</v>
      </c>
      <c r="BS4" s="80" t="s">
        <v>227</v>
      </c>
      <c r="BT4" s="80" t="s">
        <v>227</v>
      </c>
      <c r="BU4" s="80" t="s">
        <v>227</v>
      </c>
      <c r="BV4" s="80" t="s">
        <v>227</v>
      </c>
      <c r="BW4" s="80" t="s">
        <v>227</v>
      </c>
      <c r="BX4" s="80" t="s">
        <v>227</v>
      </c>
      <c r="BY4" s="80" t="s">
        <v>227</v>
      </c>
      <c r="BZ4" s="80" t="s">
        <v>227</v>
      </c>
      <c r="CA4" s="80" t="s">
        <v>227</v>
      </c>
      <c r="CB4" s="80" t="s">
        <v>227</v>
      </c>
      <c r="CC4" s="80" t="s">
        <v>227</v>
      </c>
      <c r="CD4" s="80" t="s">
        <v>227</v>
      </c>
      <c r="CE4" s="80" t="s">
        <v>227</v>
      </c>
      <c r="CF4" s="80" t="s">
        <v>227</v>
      </c>
      <c r="CG4" s="80" t="s">
        <v>227</v>
      </c>
      <c r="CH4" s="80" t="s">
        <v>227</v>
      </c>
      <c r="CI4" s="80" t="s">
        <v>227</v>
      </c>
      <c r="CJ4" s="80" t="s">
        <v>227</v>
      </c>
      <c r="CK4" s="80" t="s">
        <v>227</v>
      </c>
      <c r="CL4" s="80" t="s">
        <v>227</v>
      </c>
      <c r="CM4" s="80" t="s">
        <v>227</v>
      </c>
      <c r="CN4" s="147" t="s">
        <v>227</v>
      </c>
      <c r="CO4" s="147" t="s">
        <v>227</v>
      </c>
      <c r="CP4" s="144" t="s">
        <v>227</v>
      </c>
      <c r="CQ4" s="144" t="s">
        <v>227</v>
      </c>
      <c r="CR4" s="147" t="s">
        <v>227</v>
      </c>
      <c r="CS4" s="147" t="s">
        <v>227</v>
      </c>
      <c r="CT4" s="147" t="s">
        <v>227</v>
      </c>
      <c r="CU4" s="147" t="s">
        <v>227</v>
      </c>
      <c r="CV4" s="147" t="s">
        <v>227</v>
      </c>
      <c r="CW4" s="147" t="s">
        <v>227</v>
      </c>
      <c r="CX4" s="147" t="s">
        <v>227</v>
      </c>
      <c r="CY4" s="80" t="s">
        <v>227</v>
      </c>
      <c r="CZ4" s="80" t="s">
        <v>227</v>
      </c>
      <c r="DA4" s="80" t="s">
        <v>227</v>
      </c>
      <c r="DB4" s="80" t="s">
        <v>227</v>
      </c>
      <c r="DC4" s="80" t="s">
        <v>227</v>
      </c>
      <c r="DD4" s="80" t="s">
        <v>227</v>
      </c>
      <c r="DE4" s="80" t="s">
        <v>227</v>
      </c>
      <c r="DF4" s="80" t="s">
        <v>227</v>
      </c>
      <c r="DG4" s="80" t="s">
        <v>227</v>
      </c>
      <c r="DH4" s="80" t="s">
        <v>227</v>
      </c>
      <c r="DI4" s="80" t="s">
        <v>227</v>
      </c>
      <c r="DJ4" s="80" t="s">
        <v>227</v>
      </c>
      <c r="DK4" s="80" t="s">
        <v>227</v>
      </c>
      <c r="DL4" s="80" t="s">
        <v>227</v>
      </c>
      <c r="DM4" s="80" t="s">
        <v>227</v>
      </c>
      <c r="DN4" s="80" t="s">
        <v>227</v>
      </c>
      <c r="DO4" s="80" t="s">
        <v>227</v>
      </c>
      <c r="DP4" s="80" t="s">
        <v>227</v>
      </c>
      <c r="DQ4" s="80" t="s">
        <v>227</v>
      </c>
      <c r="DR4" s="80" t="s">
        <v>227</v>
      </c>
      <c r="DS4" s="80" t="s">
        <v>227</v>
      </c>
      <c r="DT4" s="80" t="s">
        <v>227</v>
      </c>
      <c r="DU4" s="80" t="s">
        <v>227</v>
      </c>
      <c r="DV4" s="80" t="s">
        <v>227</v>
      </c>
      <c r="DW4" s="80" t="s">
        <v>227</v>
      </c>
      <c r="DX4" s="80" t="s">
        <v>227</v>
      </c>
      <c r="DY4" s="80" t="s">
        <v>227</v>
      </c>
      <c r="DZ4" s="80" t="s">
        <v>227</v>
      </c>
      <c r="EA4" s="80" t="s">
        <v>227</v>
      </c>
      <c r="EB4" s="80" t="s">
        <v>227</v>
      </c>
      <c r="EC4" s="80" t="s">
        <v>227</v>
      </c>
      <c r="ED4" s="80" t="s">
        <v>227</v>
      </c>
      <c r="EE4" s="80" t="s">
        <v>227</v>
      </c>
      <c r="EF4" s="80" t="s">
        <v>227</v>
      </c>
      <c r="EG4" s="80" t="s">
        <v>227</v>
      </c>
      <c r="EH4" s="80" t="s">
        <v>227</v>
      </c>
      <c r="EI4" s="144">
        <v>40728</v>
      </c>
      <c r="EJ4" s="67" t="s">
        <v>235</v>
      </c>
      <c r="EK4" s="153" t="s">
        <v>227</v>
      </c>
      <c r="EL4" s="154" t="s">
        <v>227</v>
      </c>
      <c r="EM4" s="155" t="s">
        <v>227</v>
      </c>
      <c r="EN4" s="78" t="s">
        <v>227</v>
      </c>
      <c r="EO4" s="147" t="s">
        <v>227</v>
      </c>
      <c r="EP4" s="147" t="s">
        <v>227</v>
      </c>
      <c r="EQ4" s="147" t="s">
        <v>227</v>
      </c>
      <c r="ER4" s="80" t="s">
        <v>227</v>
      </c>
      <c r="ES4" s="80" t="s">
        <v>227</v>
      </c>
      <c r="ET4" s="80" t="s">
        <v>227</v>
      </c>
      <c r="EU4" s="80" t="s">
        <v>227</v>
      </c>
      <c r="EV4" s="80" t="s">
        <v>227</v>
      </c>
      <c r="EW4" s="80" t="s">
        <v>227</v>
      </c>
      <c r="EX4" s="80" t="s">
        <v>227</v>
      </c>
      <c r="EY4" s="80" t="s">
        <v>227</v>
      </c>
      <c r="EZ4" s="80" t="s">
        <v>227</v>
      </c>
      <c r="FA4" s="80" t="s">
        <v>227</v>
      </c>
      <c r="FB4" s="147" t="s">
        <v>227</v>
      </c>
      <c r="FC4" s="80" t="s">
        <v>227</v>
      </c>
      <c r="FD4" s="80" t="s">
        <v>227</v>
      </c>
      <c r="FE4" s="80" t="s">
        <v>227</v>
      </c>
      <c r="FF4" s="80" t="s">
        <v>227</v>
      </c>
      <c r="FG4" s="80" t="s">
        <v>227</v>
      </c>
      <c r="FH4" s="80" t="s">
        <v>227</v>
      </c>
      <c r="FI4" s="80" t="s">
        <v>227</v>
      </c>
      <c r="FJ4" s="80" t="s">
        <v>227</v>
      </c>
      <c r="FK4" s="80" t="s">
        <v>227</v>
      </c>
      <c r="FL4" s="80" t="s">
        <v>227</v>
      </c>
      <c r="FM4" s="80" t="s">
        <v>227</v>
      </c>
      <c r="FN4" s="80" t="s">
        <v>227</v>
      </c>
      <c r="FO4" s="80" t="s">
        <v>227</v>
      </c>
      <c r="FP4" s="80" t="s">
        <v>227</v>
      </c>
      <c r="FQ4" s="80" t="s">
        <v>227</v>
      </c>
      <c r="FR4" s="80" t="s">
        <v>227</v>
      </c>
      <c r="FS4" s="80" t="s">
        <v>227</v>
      </c>
      <c r="FT4" s="80" t="s">
        <v>227</v>
      </c>
      <c r="FU4" s="80" t="s">
        <v>227</v>
      </c>
      <c r="FV4" s="80" t="s">
        <v>227</v>
      </c>
      <c r="FW4" s="80" t="s">
        <v>227</v>
      </c>
      <c r="FX4" s="80" t="s">
        <v>227</v>
      </c>
      <c r="FY4" s="80" t="s">
        <v>227</v>
      </c>
      <c r="FZ4" s="80" t="s">
        <v>227</v>
      </c>
      <c r="GA4" s="80" t="s">
        <v>227</v>
      </c>
      <c r="GB4" s="80" t="s">
        <v>227</v>
      </c>
      <c r="GC4" s="80" t="s">
        <v>227</v>
      </c>
      <c r="GD4" s="80" t="s">
        <v>227</v>
      </c>
      <c r="GE4" s="80" t="s">
        <v>227</v>
      </c>
      <c r="GF4" s="145" t="s">
        <v>236</v>
      </c>
      <c r="GG4" s="156">
        <v>46091</v>
      </c>
      <c r="GH4" s="157" t="s">
        <v>220</v>
      </c>
      <c r="GI4" s="80" t="s">
        <v>227</v>
      </c>
      <c r="GJ4" s="144">
        <v>43217</v>
      </c>
      <c r="GK4" s="158" t="s">
        <v>227</v>
      </c>
      <c r="GL4" s="158" t="s">
        <v>237</v>
      </c>
      <c r="GM4" s="159" t="str">
        <f>IFERROR(INT(BJ4 - $AS4)/30,"N/A")</f>
        <v>N/A</v>
      </c>
      <c r="GN4" s="159" t="str">
        <f>IFERROR(INT(BK4 - $AS4)/30,"N/A")</f>
        <v>N/A</v>
      </c>
      <c r="GO4" s="159">
        <f>IFERROR(INT(H4 - $AS4)/30,"N/A")</f>
        <v>0.56666666666666665</v>
      </c>
      <c r="GP4" s="159" t="str">
        <f>IFERROR(INT(K4 - $AS4)/30,"N/A")</f>
        <v>N/A</v>
      </c>
      <c r="GQ4" s="159" t="str">
        <f>IFERROR(INT(V4 - $AS4)/30,"N/A")</f>
        <v>N/A</v>
      </c>
      <c r="GR4" s="159" t="str">
        <f>IFERROR(INT(#REF! - $AS4)/30,"N/A")</f>
        <v>N/A</v>
      </c>
      <c r="GS4" s="159" t="str">
        <f>IFERROR(INT(Z4 - $AS4)/30,"N/A")</f>
        <v>N/A</v>
      </c>
      <c r="GT4" s="159" t="str">
        <f>IFERROR(INT(AE4 - $AS4)/30,"N/A")</f>
        <v>N/A</v>
      </c>
      <c r="GU4" s="159" t="str">
        <f>IFERROR(INT(AJ4 - $AS4)/30,"N/A")</f>
        <v>N/A</v>
      </c>
      <c r="GV4" s="159" t="str">
        <f>IFERROR(INT(AO4 - $AS4)/30,"N/A")</f>
        <v>N/A</v>
      </c>
      <c r="GW4" s="159" t="str">
        <f>IFERROR(INT(CP4 - $AS4)/30,"N/A")</f>
        <v>N/A</v>
      </c>
      <c r="GX4" s="159" t="str">
        <f>IFERROR(INT(CQ4 - $AS4)/30,"N/A")</f>
        <v>N/A</v>
      </c>
      <c r="GY4" s="159">
        <f>IFERROR(INT(EI4 - $AS4)/30,"N/A")</f>
        <v>79.2</v>
      </c>
      <c r="GZ4" s="159" t="str">
        <f>IFERROR(INT(EM4 - $AS4)/30,"N/A")</f>
        <v>N/A</v>
      </c>
      <c r="HA4" s="159" t="str">
        <f>IFERROR(INT(EN4 - $AS4)/30,"N/A")</f>
        <v>N/A</v>
      </c>
      <c r="HB4" s="159">
        <f t="shared" ref="HB4:HB41" si="1">$GY4</f>
        <v>79.2</v>
      </c>
      <c r="HC4" s="159">
        <f>IFERROR(INT(GG4 - $AS4)/30,"N/A")</f>
        <v>257.96666666666664</v>
      </c>
      <c r="HD4" s="159">
        <f>IFERROR(INT(GJ4 - $AS4)/30,"N/A")</f>
        <v>162.16666666666666</v>
      </c>
      <c r="HE4" s="159" t="str">
        <f>IFERROR(INT(GK4 - $AS4)/30,"N/A")</f>
        <v>N/A</v>
      </c>
      <c r="HF4" s="160">
        <f t="shared" ref="HF4:HF41" si="2">SUM($HC4,$HE4)</f>
        <v>257.96666666666664</v>
      </c>
      <c r="HG4" s="160" cm="1">
        <f t="array" ref="HG4">INDEX($HB4:$HD4,MATCH(TRUE,INDEX(ISNUMBER($HB4:$HD4),0),0))</f>
        <v>79.2</v>
      </c>
      <c r="HH4" s="161">
        <f t="shared" ref="HH4:HH41" si="3">IF($HB4="N/A",0,1)</f>
        <v>1</v>
      </c>
      <c r="HI4" s="86">
        <f t="shared" ref="HI4:HI41" si="4">IF($GH4="Yes",1,0)</f>
        <v>0</v>
      </c>
      <c r="HJ4" s="111">
        <f t="shared" ref="HJ4:HJ41" si="5">IF($HC4="N/A",0,1)</f>
        <v>1</v>
      </c>
      <c r="HK4" s="205" t="str">
        <f t="shared" ref="HK4:HK41" si="6">IF(OR($HH4=1,$HI4=1),"1","0")</f>
        <v>1</v>
      </c>
    </row>
    <row r="5" spans="1:219" ht="15" customHeight="1" x14ac:dyDescent="0.3">
      <c r="A5" s="162">
        <v>4389307614</v>
      </c>
      <c r="B5" s="74" t="s">
        <v>220</v>
      </c>
      <c r="C5" s="74" t="s">
        <v>221</v>
      </c>
      <c r="D5" s="74" t="s">
        <v>220</v>
      </c>
      <c r="E5" s="163" t="s">
        <v>238</v>
      </c>
      <c r="F5" s="162" t="s">
        <v>239</v>
      </c>
      <c r="G5" s="80" t="s">
        <v>224</v>
      </c>
      <c r="H5" s="78">
        <v>39258</v>
      </c>
      <c r="I5" s="80" t="s">
        <v>240</v>
      </c>
      <c r="J5" s="80" t="s">
        <v>226</v>
      </c>
      <c r="K5" s="78" t="s">
        <v>227</v>
      </c>
      <c r="L5" s="80" t="s">
        <v>227</v>
      </c>
      <c r="M5" s="80" t="s">
        <v>227</v>
      </c>
      <c r="N5" s="80" t="s">
        <v>227</v>
      </c>
      <c r="O5" s="80" t="s">
        <v>227</v>
      </c>
      <c r="P5" s="80" t="s">
        <v>227</v>
      </c>
      <c r="Q5" s="80" t="s">
        <v>227</v>
      </c>
      <c r="R5" s="80" t="s">
        <v>227</v>
      </c>
      <c r="S5" s="80" t="s">
        <v>227</v>
      </c>
      <c r="T5" s="67" t="s">
        <v>227</v>
      </c>
      <c r="U5" s="80" t="s">
        <v>227</v>
      </c>
      <c r="V5" s="80" t="s">
        <v>227</v>
      </c>
      <c r="W5" s="80" t="s">
        <v>227</v>
      </c>
      <c r="X5" s="80" t="s">
        <v>227</v>
      </c>
      <c r="Y5" s="80" t="s">
        <v>227</v>
      </c>
      <c r="Z5" s="80" t="s">
        <v>227</v>
      </c>
      <c r="AA5" s="80" t="s">
        <v>227</v>
      </c>
      <c r="AB5" s="80" t="s">
        <v>227</v>
      </c>
      <c r="AC5" s="80" t="s">
        <v>227</v>
      </c>
      <c r="AD5" s="80" t="s">
        <v>227</v>
      </c>
      <c r="AE5" s="80" t="s">
        <v>227</v>
      </c>
      <c r="AF5" s="80" t="s">
        <v>227</v>
      </c>
      <c r="AG5" s="80" t="s">
        <v>227</v>
      </c>
      <c r="AH5" s="80" t="s">
        <v>227</v>
      </c>
      <c r="AI5" s="80" t="s">
        <v>227</v>
      </c>
      <c r="AJ5" s="80" t="s">
        <v>227</v>
      </c>
      <c r="AK5" s="80" t="s">
        <v>227</v>
      </c>
      <c r="AL5" s="80" t="s">
        <v>227</v>
      </c>
      <c r="AM5" s="80" t="s">
        <v>227</v>
      </c>
      <c r="AN5" s="80" t="s">
        <v>227</v>
      </c>
      <c r="AO5" s="80" t="s">
        <v>227</v>
      </c>
      <c r="AP5" s="80" t="s">
        <v>227</v>
      </c>
      <c r="AQ5" s="80" t="s">
        <v>228</v>
      </c>
      <c r="AR5" s="78">
        <v>11009</v>
      </c>
      <c r="AS5" s="78">
        <v>39217</v>
      </c>
      <c r="AT5" s="148">
        <f t="shared" si="0"/>
        <v>77</v>
      </c>
      <c r="AU5" s="164" t="s">
        <v>229</v>
      </c>
      <c r="AV5" s="74" t="s">
        <v>230</v>
      </c>
      <c r="AW5" s="74" t="s">
        <v>241</v>
      </c>
      <c r="AX5" s="80">
        <v>2</v>
      </c>
      <c r="AY5" s="80">
        <v>0</v>
      </c>
      <c r="AZ5" s="80" t="s">
        <v>232</v>
      </c>
      <c r="BA5" s="80">
        <f>_xlfn.NUMBERVALUE(RIGHT($BB5), ".", ",")</f>
        <v>0</v>
      </c>
      <c r="BB5" s="80" t="s">
        <v>242</v>
      </c>
      <c r="BC5" s="80">
        <v>3</v>
      </c>
      <c r="BD5" s="74" t="s">
        <v>243</v>
      </c>
      <c r="BE5" s="80" t="s">
        <v>244</v>
      </c>
      <c r="BF5" s="74" t="s">
        <v>220</v>
      </c>
      <c r="BG5" s="165" t="s">
        <v>227</v>
      </c>
      <c r="BH5" s="166" t="s">
        <v>227</v>
      </c>
      <c r="BI5" s="80" t="s">
        <v>227</v>
      </c>
      <c r="BJ5" s="78" t="s">
        <v>227</v>
      </c>
      <c r="BK5" s="78" t="s">
        <v>227</v>
      </c>
      <c r="BL5" s="80" t="s">
        <v>227</v>
      </c>
      <c r="BM5" s="166" t="s">
        <v>227</v>
      </c>
      <c r="BN5" s="80" t="s">
        <v>227</v>
      </c>
      <c r="BO5" s="80" t="s">
        <v>227</v>
      </c>
      <c r="BP5" s="166" t="s">
        <v>227</v>
      </c>
      <c r="BQ5" s="80" t="s">
        <v>227</v>
      </c>
      <c r="BR5" s="80" t="s">
        <v>227</v>
      </c>
      <c r="BS5" s="80" t="s">
        <v>227</v>
      </c>
      <c r="BT5" s="80" t="s">
        <v>227</v>
      </c>
      <c r="BU5" s="80" t="s">
        <v>227</v>
      </c>
      <c r="BV5" s="80" t="s">
        <v>227</v>
      </c>
      <c r="BW5" s="80" t="s">
        <v>227</v>
      </c>
      <c r="BX5" s="80" t="s">
        <v>227</v>
      </c>
      <c r="BY5" s="80" t="s">
        <v>227</v>
      </c>
      <c r="BZ5" s="80" t="s">
        <v>227</v>
      </c>
      <c r="CA5" s="80" t="s">
        <v>227</v>
      </c>
      <c r="CB5" s="80" t="s">
        <v>227</v>
      </c>
      <c r="CC5" s="80" t="s">
        <v>227</v>
      </c>
      <c r="CD5" s="80" t="s">
        <v>227</v>
      </c>
      <c r="CE5" s="80" t="s">
        <v>227</v>
      </c>
      <c r="CF5" s="80" t="s">
        <v>227</v>
      </c>
      <c r="CG5" s="80" t="s">
        <v>227</v>
      </c>
      <c r="CH5" s="80" t="s">
        <v>227</v>
      </c>
      <c r="CI5" s="80" t="s">
        <v>227</v>
      </c>
      <c r="CJ5" s="80" t="s">
        <v>227</v>
      </c>
      <c r="CK5" s="80" t="s">
        <v>227</v>
      </c>
      <c r="CL5" s="80" t="s">
        <v>227</v>
      </c>
      <c r="CM5" s="80" t="s">
        <v>227</v>
      </c>
      <c r="CN5" s="166" t="s">
        <v>227</v>
      </c>
      <c r="CO5" s="80" t="s">
        <v>227</v>
      </c>
      <c r="CP5" s="78" t="s">
        <v>227</v>
      </c>
      <c r="CQ5" s="78" t="s">
        <v>227</v>
      </c>
      <c r="CR5" s="80" t="s">
        <v>227</v>
      </c>
      <c r="CS5" s="166" t="s">
        <v>227</v>
      </c>
      <c r="CT5" s="80" t="s">
        <v>227</v>
      </c>
      <c r="CU5" s="80" t="s">
        <v>227</v>
      </c>
      <c r="CV5" s="166" t="s">
        <v>227</v>
      </c>
      <c r="CW5" s="80" t="s">
        <v>227</v>
      </c>
      <c r="CX5" s="80" t="s">
        <v>227</v>
      </c>
      <c r="CY5" s="80" t="s">
        <v>227</v>
      </c>
      <c r="CZ5" s="80" t="s">
        <v>227</v>
      </c>
      <c r="DA5" s="80" t="s">
        <v>227</v>
      </c>
      <c r="DB5" s="80" t="s">
        <v>227</v>
      </c>
      <c r="DC5" s="80" t="s">
        <v>227</v>
      </c>
      <c r="DD5" s="80" t="s">
        <v>227</v>
      </c>
      <c r="DE5" s="80" t="s">
        <v>227</v>
      </c>
      <c r="DF5" s="80" t="s">
        <v>227</v>
      </c>
      <c r="DG5" s="80" t="s">
        <v>227</v>
      </c>
      <c r="DH5" s="80" t="s">
        <v>227</v>
      </c>
      <c r="DI5" s="80" t="s">
        <v>227</v>
      </c>
      <c r="DJ5" s="80" t="s">
        <v>227</v>
      </c>
      <c r="DK5" s="80" t="s">
        <v>227</v>
      </c>
      <c r="DL5" s="80" t="s">
        <v>227</v>
      </c>
      <c r="DM5" s="80" t="s">
        <v>227</v>
      </c>
      <c r="DN5" s="80" t="s">
        <v>227</v>
      </c>
      <c r="DO5" s="80" t="s">
        <v>227</v>
      </c>
      <c r="DP5" s="80" t="s">
        <v>227</v>
      </c>
      <c r="DQ5" s="80" t="s">
        <v>227</v>
      </c>
      <c r="DR5" s="80" t="s">
        <v>227</v>
      </c>
      <c r="DS5" s="80" t="s">
        <v>227</v>
      </c>
      <c r="DT5" s="80" t="s">
        <v>227</v>
      </c>
      <c r="DU5" s="80" t="s">
        <v>227</v>
      </c>
      <c r="DV5" s="80" t="s">
        <v>227</v>
      </c>
      <c r="DW5" s="80" t="s">
        <v>227</v>
      </c>
      <c r="DX5" s="80" t="s">
        <v>227</v>
      </c>
      <c r="DY5" s="80" t="s">
        <v>227</v>
      </c>
      <c r="DZ5" s="80" t="s">
        <v>227</v>
      </c>
      <c r="EA5" s="80" t="s">
        <v>227</v>
      </c>
      <c r="EB5" s="80" t="s">
        <v>227</v>
      </c>
      <c r="EC5" s="80" t="s">
        <v>227</v>
      </c>
      <c r="ED5" s="80" t="s">
        <v>227</v>
      </c>
      <c r="EE5" s="80" t="s">
        <v>227</v>
      </c>
      <c r="EF5" s="80" t="s">
        <v>227</v>
      </c>
      <c r="EG5" s="80" t="s">
        <v>227</v>
      </c>
      <c r="EH5" s="80" t="s">
        <v>227</v>
      </c>
      <c r="EI5" s="78">
        <v>39343</v>
      </c>
      <c r="EJ5" s="80" t="s">
        <v>245</v>
      </c>
      <c r="EK5" s="166" t="s">
        <v>246</v>
      </c>
      <c r="EL5" s="80" t="s">
        <v>247</v>
      </c>
      <c r="EM5" s="78">
        <v>39372</v>
      </c>
      <c r="EN5" s="78">
        <v>39388</v>
      </c>
      <c r="EO5" s="80" t="s">
        <v>248</v>
      </c>
      <c r="EP5" s="166" t="s">
        <v>249</v>
      </c>
      <c r="EQ5" s="80" t="s">
        <v>250</v>
      </c>
      <c r="ER5" s="80" t="s">
        <v>251</v>
      </c>
      <c r="ES5" s="166" t="s">
        <v>227</v>
      </c>
      <c r="ET5" s="80" t="s">
        <v>227</v>
      </c>
      <c r="EU5" s="80" t="s">
        <v>227</v>
      </c>
      <c r="EV5" s="166" t="s">
        <v>227</v>
      </c>
      <c r="EW5" s="80" t="s">
        <v>227</v>
      </c>
      <c r="EX5" s="80" t="s">
        <v>227</v>
      </c>
      <c r="EY5" s="166" t="s">
        <v>227</v>
      </c>
      <c r="EZ5" s="80" t="s">
        <v>227</v>
      </c>
      <c r="FA5" s="80" t="s">
        <v>227</v>
      </c>
      <c r="FB5" s="147" t="s">
        <v>227</v>
      </c>
      <c r="FC5" s="80" t="s">
        <v>227</v>
      </c>
      <c r="FD5" s="80" t="s">
        <v>227</v>
      </c>
      <c r="FE5" s="80" t="s">
        <v>227</v>
      </c>
      <c r="FF5" s="80" t="s">
        <v>227</v>
      </c>
      <c r="FG5" s="80" t="s">
        <v>227</v>
      </c>
      <c r="FH5" s="80" t="s">
        <v>227</v>
      </c>
      <c r="FI5" s="80" t="s">
        <v>227</v>
      </c>
      <c r="FJ5" s="80" t="s">
        <v>227</v>
      </c>
      <c r="FK5" s="80" t="s">
        <v>227</v>
      </c>
      <c r="FL5" s="80" t="s">
        <v>227</v>
      </c>
      <c r="FM5" s="80" t="s">
        <v>227</v>
      </c>
      <c r="FN5" s="80" t="s">
        <v>227</v>
      </c>
      <c r="FO5" s="80" t="s">
        <v>227</v>
      </c>
      <c r="FP5" s="80" t="s">
        <v>227</v>
      </c>
      <c r="FQ5" s="80" t="s">
        <v>227</v>
      </c>
      <c r="FR5" s="80" t="s">
        <v>227</v>
      </c>
      <c r="FS5" s="80" t="s">
        <v>227</v>
      </c>
      <c r="FT5" s="80" t="s">
        <v>227</v>
      </c>
      <c r="FU5" s="80" t="s">
        <v>227</v>
      </c>
      <c r="FV5" s="80" t="s">
        <v>227</v>
      </c>
      <c r="FW5" s="80" t="s">
        <v>227</v>
      </c>
      <c r="FX5" s="80" t="s">
        <v>227</v>
      </c>
      <c r="FY5" s="80" t="s">
        <v>227</v>
      </c>
      <c r="FZ5" s="80" t="s">
        <v>227</v>
      </c>
      <c r="GA5" s="80" t="s">
        <v>227</v>
      </c>
      <c r="GB5" s="80" t="s">
        <v>227</v>
      </c>
      <c r="GC5" s="80" t="s">
        <v>227</v>
      </c>
      <c r="GD5" s="80" t="s">
        <v>227</v>
      </c>
      <c r="GE5" s="80" t="s">
        <v>227</v>
      </c>
      <c r="GF5" s="167" t="s">
        <v>236</v>
      </c>
      <c r="GG5" s="78">
        <v>39882</v>
      </c>
      <c r="GH5" s="74" t="s">
        <v>241</v>
      </c>
      <c r="GI5" s="80" t="s">
        <v>231</v>
      </c>
      <c r="GJ5" s="78">
        <v>39801</v>
      </c>
      <c r="GK5" s="78" t="s">
        <v>227</v>
      </c>
      <c r="GL5" s="78" t="s">
        <v>227</v>
      </c>
      <c r="GM5" s="159" t="str">
        <f t="shared" ref="GM5:GM41" si="7">IFERROR(INT(BJ5 - $AS5)/30,"N/A")</f>
        <v>N/A</v>
      </c>
      <c r="GN5" s="159" t="str">
        <f t="shared" ref="GN5:GN41" si="8">IFERROR(INT(BK5 - $AS5)/30,"N/A")</f>
        <v>N/A</v>
      </c>
      <c r="GO5" s="159">
        <f t="shared" ref="GO5:GO41" si="9">IFERROR(INT(H5 - $AS5)/30,"N/A")</f>
        <v>1.3666666666666667</v>
      </c>
      <c r="GP5" s="159" t="str">
        <f t="shared" ref="GP5:GP41" si="10">IFERROR(INT(K5 - $AS5)/30,"N/A")</f>
        <v>N/A</v>
      </c>
      <c r="GQ5" s="159" t="str">
        <f>IFERROR(INT(V5 - $AS5)/30,"N/A")</f>
        <v>N/A</v>
      </c>
      <c r="GR5" s="159" t="str">
        <f>IFERROR(INT(#REF! - $AS5)/30,"N/A")</f>
        <v>N/A</v>
      </c>
      <c r="GS5" s="159" t="str">
        <f t="shared" ref="GS5:GS41" si="11">IFERROR(INT(Z5 - $AS5)/30,"N/A")</f>
        <v>N/A</v>
      </c>
      <c r="GT5" s="159" t="str">
        <f t="shared" ref="GT5:GT41" si="12">IFERROR(INT(AE5 - $AS5)/30,"N/A")</f>
        <v>N/A</v>
      </c>
      <c r="GU5" s="159" t="str">
        <f t="shared" ref="GU5:GU41" si="13">IFERROR(INT(AJ5 - $AS5)/30,"N/A")</f>
        <v>N/A</v>
      </c>
      <c r="GV5" s="159" t="str">
        <f t="shared" ref="GV5:GV41" si="14">IFERROR(INT(AO5 - $AS5)/30,"N/A")</f>
        <v>N/A</v>
      </c>
      <c r="GW5" s="159" t="str">
        <f t="shared" ref="GW5:GW41" si="15">IFERROR(INT(CP5 - $AS5)/30,"N/A")</f>
        <v>N/A</v>
      </c>
      <c r="GX5" s="159" t="str">
        <f t="shared" ref="GX5:GX41" si="16">IFERROR(INT(CQ5 - $AS5)/30,"N/A")</f>
        <v>N/A</v>
      </c>
      <c r="GY5" s="159">
        <f t="shared" ref="GY5:GY41" si="17">IFERROR(INT(EI5 - $AS5)/30,"N/A")</f>
        <v>4.2</v>
      </c>
      <c r="GZ5" s="159">
        <f t="shared" ref="GZ5:GZ41" si="18">IFERROR(INT(EM5 - $AS5)/30,"N/A")</f>
        <v>5.166666666666667</v>
      </c>
      <c r="HA5" s="159">
        <f t="shared" ref="HA5:HA41" si="19">IFERROR(INT(EN5 - $AS5)/30,"N/A")</f>
        <v>5.7</v>
      </c>
      <c r="HB5" s="159">
        <f t="shared" si="1"/>
        <v>4.2</v>
      </c>
      <c r="HC5" s="159">
        <f t="shared" ref="HC5:HC41" si="20">IFERROR(INT(GG5 - $AS5)/30,"N/A")</f>
        <v>22.166666666666668</v>
      </c>
      <c r="HD5" s="159">
        <f t="shared" ref="HD5:HD41" si="21">IFERROR(INT(GJ5 - $AS5)/30,"N/A")</f>
        <v>19.466666666666665</v>
      </c>
      <c r="HE5" s="159" t="str">
        <f t="shared" ref="HE5:HE41" si="22">IFERROR(INT(GK5 - $AS5)/30,"N/A")</f>
        <v>N/A</v>
      </c>
      <c r="HF5" s="160">
        <f t="shared" si="2"/>
        <v>22.166666666666668</v>
      </c>
      <c r="HG5" s="160" cm="1">
        <f t="array" ref="HG5">INDEX($HB5:$HD5,MATCH(TRUE,INDEX(ISNUMBER($HB5:$HD5),0),0))</f>
        <v>4.2</v>
      </c>
      <c r="HH5" s="161">
        <f t="shared" si="3"/>
        <v>1</v>
      </c>
      <c r="HI5" s="86">
        <f t="shared" si="4"/>
        <v>1</v>
      </c>
      <c r="HJ5" s="111">
        <f t="shared" si="5"/>
        <v>1</v>
      </c>
      <c r="HK5" s="205" t="str">
        <f t="shared" si="6"/>
        <v>1</v>
      </c>
    </row>
    <row r="6" spans="1:219" ht="15" customHeight="1" x14ac:dyDescent="0.3">
      <c r="A6" s="80">
        <v>4720259707</v>
      </c>
      <c r="B6" s="74" t="s">
        <v>220</v>
      </c>
      <c r="C6" s="74" t="s">
        <v>227</v>
      </c>
      <c r="D6" s="74" t="s">
        <v>241</v>
      </c>
      <c r="E6" s="80" t="s">
        <v>227</v>
      </c>
      <c r="F6" s="80" t="s">
        <v>227</v>
      </c>
      <c r="G6" s="80" t="s">
        <v>227</v>
      </c>
      <c r="H6" s="80" t="s">
        <v>227</v>
      </c>
      <c r="I6" s="157" t="s">
        <v>252</v>
      </c>
      <c r="J6" s="80" t="s">
        <v>227</v>
      </c>
      <c r="K6" s="78">
        <v>37861</v>
      </c>
      <c r="L6" s="80" t="s">
        <v>231</v>
      </c>
      <c r="M6" s="80" t="s">
        <v>253</v>
      </c>
      <c r="N6" s="168">
        <v>1</v>
      </c>
      <c r="O6" s="80" t="s">
        <v>254</v>
      </c>
      <c r="P6" s="78">
        <v>39580</v>
      </c>
      <c r="Q6" s="74" t="s">
        <v>255</v>
      </c>
      <c r="R6" s="80" t="s">
        <v>227</v>
      </c>
      <c r="S6" s="80" t="s">
        <v>227</v>
      </c>
      <c r="T6" s="67" t="s">
        <v>227</v>
      </c>
      <c r="U6" s="80" t="s">
        <v>227</v>
      </c>
      <c r="V6" s="80" t="s">
        <v>227</v>
      </c>
      <c r="W6" s="80" t="s">
        <v>227</v>
      </c>
      <c r="X6" s="80" t="s">
        <v>227</v>
      </c>
      <c r="Y6" s="80" t="s">
        <v>227</v>
      </c>
      <c r="Z6" s="80" t="s">
        <v>227</v>
      </c>
      <c r="AA6" s="80" t="s">
        <v>227</v>
      </c>
      <c r="AB6" s="80" t="s">
        <v>227</v>
      </c>
      <c r="AC6" s="80" t="s">
        <v>227</v>
      </c>
      <c r="AD6" s="80" t="s">
        <v>227</v>
      </c>
      <c r="AE6" s="80" t="s">
        <v>227</v>
      </c>
      <c r="AF6" s="80" t="s">
        <v>227</v>
      </c>
      <c r="AG6" s="80" t="s">
        <v>227</v>
      </c>
      <c r="AH6" s="80" t="s">
        <v>227</v>
      </c>
      <c r="AI6" s="80" t="s">
        <v>227</v>
      </c>
      <c r="AJ6" s="80" t="s">
        <v>227</v>
      </c>
      <c r="AK6" s="80" t="s">
        <v>227</v>
      </c>
      <c r="AL6" s="80" t="s">
        <v>227</v>
      </c>
      <c r="AM6" s="80" t="s">
        <v>227</v>
      </c>
      <c r="AN6" s="80" t="s">
        <v>227</v>
      </c>
      <c r="AO6" s="80" t="s">
        <v>227</v>
      </c>
      <c r="AP6" s="80" t="s">
        <v>227</v>
      </c>
      <c r="AQ6" s="80" t="s">
        <v>228</v>
      </c>
      <c r="AR6" s="78">
        <v>12555</v>
      </c>
      <c r="AS6" s="78">
        <v>37809</v>
      </c>
      <c r="AT6" s="148">
        <f t="shared" si="0"/>
        <v>69</v>
      </c>
      <c r="AU6" s="164" t="s">
        <v>229</v>
      </c>
      <c r="AV6" s="74" t="s">
        <v>256</v>
      </c>
      <c r="AW6" s="74" t="s">
        <v>241</v>
      </c>
      <c r="AX6" s="80">
        <v>1</v>
      </c>
      <c r="AY6" s="80">
        <v>0</v>
      </c>
      <c r="AZ6" s="80" t="s">
        <v>232</v>
      </c>
      <c r="BA6" s="80">
        <f>_xlfn.NUMBERVALUE(RIGHT($BB6), ".", ",")</f>
        <v>0</v>
      </c>
      <c r="BB6" s="80" t="s">
        <v>257</v>
      </c>
      <c r="BC6" s="80">
        <v>2</v>
      </c>
      <c r="BD6" s="80" t="s">
        <v>233</v>
      </c>
      <c r="BE6" s="169" t="s">
        <v>234</v>
      </c>
      <c r="BF6" s="170" t="s">
        <v>220</v>
      </c>
      <c r="BG6" s="171" t="s">
        <v>227</v>
      </c>
      <c r="BH6" s="171" t="s">
        <v>227</v>
      </c>
      <c r="BI6" s="171" t="s">
        <v>227</v>
      </c>
      <c r="BJ6" s="171" t="s">
        <v>227</v>
      </c>
      <c r="BK6" s="171" t="s">
        <v>227</v>
      </c>
      <c r="BL6" s="171" t="s">
        <v>227</v>
      </c>
      <c r="BM6" s="166" t="s">
        <v>227</v>
      </c>
      <c r="BN6" s="80" t="s">
        <v>227</v>
      </c>
      <c r="BO6" s="80" t="s">
        <v>227</v>
      </c>
      <c r="BP6" s="166" t="s">
        <v>227</v>
      </c>
      <c r="BQ6" s="80" t="s">
        <v>227</v>
      </c>
      <c r="BR6" s="80" t="s">
        <v>227</v>
      </c>
      <c r="BS6" s="80" t="s">
        <v>227</v>
      </c>
      <c r="BT6" s="80" t="s">
        <v>227</v>
      </c>
      <c r="BU6" s="80" t="s">
        <v>227</v>
      </c>
      <c r="BV6" s="80" t="s">
        <v>227</v>
      </c>
      <c r="BW6" s="80" t="s">
        <v>227</v>
      </c>
      <c r="BX6" s="80" t="s">
        <v>227</v>
      </c>
      <c r="BY6" s="80" t="s">
        <v>227</v>
      </c>
      <c r="BZ6" s="80" t="s">
        <v>227</v>
      </c>
      <c r="CA6" s="80" t="s">
        <v>227</v>
      </c>
      <c r="CB6" s="80" t="s">
        <v>227</v>
      </c>
      <c r="CC6" s="80" t="s">
        <v>227</v>
      </c>
      <c r="CD6" s="80" t="s">
        <v>227</v>
      </c>
      <c r="CE6" s="80" t="s">
        <v>227</v>
      </c>
      <c r="CF6" s="80" t="s">
        <v>227</v>
      </c>
      <c r="CG6" s="80" t="s">
        <v>227</v>
      </c>
      <c r="CH6" s="80" t="s">
        <v>227</v>
      </c>
      <c r="CI6" s="80" t="s">
        <v>227</v>
      </c>
      <c r="CJ6" s="80" t="s">
        <v>227</v>
      </c>
      <c r="CK6" s="80" t="s">
        <v>227</v>
      </c>
      <c r="CL6" s="80" t="s">
        <v>227</v>
      </c>
      <c r="CM6" s="80" t="s">
        <v>227</v>
      </c>
      <c r="CN6" s="166" t="s">
        <v>227</v>
      </c>
      <c r="CO6" s="80" t="s">
        <v>227</v>
      </c>
      <c r="CP6" s="78" t="s">
        <v>227</v>
      </c>
      <c r="CQ6" s="78" t="s">
        <v>227</v>
      </c>
      <c r="CR6" s="80" t="s">
        <v>227</v>
      </c>
      <c r="CS6" s="166" t="s">
        <v>227</v>
      </c>
      <c r="CT6" s="80" t="s">
        <v>227</v>
      </c>
      <c r="CU6" s="80" t="s">
        <v>227</v>
      </c>
      <c r="CV6" s="166" t="s">
        <v>227</v>
      </c>
      <c r="CW6" s="80" t="s">
        <v>227</v>
      </c>
      <c r="CX6" s="80" t="s">
        <v>227</v>
      </c>
      <c r="CY6" s="80" t="s">
        <v>227</v>
      </c>
      <c r="CZ6" s="80" t="s">
        <v>227</v>
      </c>
      <c r="DA6" s="80" t="s">
        <v>227</v>
      </c>
      <c r="DB6" s="80" t="s">
        <v>227</v>
      </c>
      <c r="DC6" s="80" t="s">
        <v>227</v>
      </c>
      <c r="DD6" s="80" t="s">
        <v>227</v>
      </c>
      <c r="DE6" s="80" t="s">
        <v>227</v>
      </c>
      <c r="DF6" s="80" t="s">
        <v>227</v>
      </c>
      <c r="DG6" s="80" t="s">
        <v>227</v>
      </c>
      <c r="DH6" s="80" t="s">
        <v>227</v>
      </c>
      <c r="DI6" s="80" t="s">
        <v>227</v>
      </c>
      <c r="DJ6" s="80" t="s">
        <v>227</v>
      </c>
      <c r="DK6" s="80" t="s">
        <v>227</v>
      </c>
      <c r="DL6" s="80" t="s">
        <v>227</v>
      </c>
      <c r="DM6" s="80" t="s">
        <v>227</v>
      </c>
      <c r="DN6" s="80" t="s">
        <v>227</v>
      </c>
      <c r="DO6" s="80" t="s">
        <v>227</v>
      </c>
      <c r="DP6" s="80" t="s">
        <v>227</v>
      </c>
      <c r="DQ6" s="80" t="s">
        <v>227</v>
      </c>
      <c r="DR6" s="80" t="s">
        <v>227</v>
      </c>
      <c r="DS6" s="80" t="s">
        <v>227</v>
      </c>
      <c r="DT6" s="80" t="s">
        <v>227</v>
      </c>
      <c r="DU6" s="80" t="s">
        <v>227</v>
      </c>
      <c r="DV6" s="80" t="s">
        <v>227</v>
      </c>
      <c r="DW6" s="80" t="s">
        <v>227</v>
      </c>
      <c r="DX6" s="80" t="s">
        <v>227</v>
      </c>
      <c r="DY6" s="80" t="s">
        <v>227</v>
      </c>
      <c r="DZ6" s="80" t="s">
        <v>227</v>
      </c>
      <c r="EA6" s="80" t="s">
        <v>227</v>
      </c>
      <c r="EB6" s="80" t="s">
        <v>227</v>
      </c>
      <c r="EC6" s="80" t="s">
        <v>227</v>
      </c>
      <c r="ED6" s="80" t="s">
        <v>227</v>
      </c>
      <c r="EE6" s="80" t="s">
        <v>227</v>
      </c>
      <c r="EF6" s="80" t="s">
        <v>227</v>
      </c>
      <c r="EG6" s="80" t="s">
        <v>227</v>
      </c>
      <c r="EH6" s="80" t="s">
        <v>227</v>
      </c>
      <c r="EI6" s="156">
        <v>39213</v>
      </c>
      <c r="EJ6" s="80" t="s">
        <v>245</v>
      </c>
      <c r="EK6" s="166" t="s">
        <v>246</v>
      </c>
      <c r="EL6" s="157" t="s">
        <v>258</v>
      </c>
      <c r="EM6" s="156">
        <v>39294</v>
      </c>
      <c r="EN6" s="156">
        <v>39343</v>
      </c>
      <c r="EO6" s="157" t="s">
        <v>248</v>
      </c>
      <c r="EP6" s="172" t="s">
        <v>246</v>
      </c>
      <c r="EQ6" s="157" t="s">
        <v>259</v>
      </c>
      <c r="ER6" s="157" t="s">
        <v>248</v>
      </c>
      <c r="ES6" s="166" t="s">
        <v>227</v>
      </c>
      <c r="ET6" s="80" t="s">
        <v>227</v>
      </c>
      <c r="EU6" s="80" t="s">
        <v>227</v>
      </c>
      <c r="EV6" s="166" t="s">
        <v>227</v>
      </c>
      <c r="EW6" s="80" t="s">
        <v>227</v>
      </c>
      <c r="EX6" s="80" t="s">
        <v>227</v>
      </c>
      <c r="EY6" s="166" t="s">
        <v>227</v>
      </c>
      <c r="EZ6" s="80" t="s">
        <v>227</v>
      </c>
      <c r="FA6" s="80" t="s">
        <v>227</v>
      </c>
      <c r="FB6" s="147" t="s">
        <v>227</v>
      </c>
      <c r="FC6" s="80" t="s">
        <v>227</v>
      </c>
      <c r="FD6" s="80" t="s">
        <v>227</v>
      </c>
      <c r="FE6" s="80" t="s">
        <v>227</v>
      </c>
      <c r="FF6" s="80" t="s">
        <v>227</v>
      </c>
      <c r="FG6" s="80" t="s">
        <v>227</v>
      </c>
      <c r="FH6" s="80" t="s">
        <v>227</v>
      </c>
      <c r="FI6" s="80" t="s">
        <v>227</v>
      </c>
      <c r="FJ6" s="80" t="s">
        <v>227</v>
      </c>
      <c r="FK6" s="80" t="s">
        <v>227</v>
      </c>
      <c r="FL6" s="80" t="s">
        <v>227</v>
      </c>
      <c r="FM6" s="80" t="s">
        <v>227</v>
      </c>
      <c r="FN6" s="80" t="s">
        <v>227</v>
      </c>
      <c r="FO6" s="80" t="s">
        <v>227</v>
      </c>
      <c r="FP6" s="80" t="s">
        <v>227</v>
      </c>
      <c r="FQ6" s="80" t="s">
        <v>227</v>
      </c>
      <c r="FR6" s="80" t="s">
        <v>227</v>
      </c>
      <c r="FS6" s="80" t="s">
        <v>227</v>
      </c>
      <c r="FT6" s="80" t="s">
        <v>227</v>
      </c>
      <c r="FU6" s="80" t="s">
        <v>227</v>
      </c>
      <c r="FV6" s="80" t="s">
        <v>227</v>
      </c>
      <c r="FW6" s="80" t="s">
        <v>227</v>
      </c>
      <c r="FX6" s="80" t="s">
        <v>227</v>
      </c>
      <c r="FY6" s="80" t="s">
        <v>227</v>
      </c>
      <c r="FZ6" s="80" t="s">
        <v>227</v>
      </c>
      <c r="GA6" s="80" t="s">
        <v>227</v>
      </c>
      <c r="GB6" s="80" t="s">
        <v>227</v>
      </c>
      <c r="GC6" s="80" t="s">
        <v>227</v>
      </c>
      <c r="GD6" s="80" t="s">
        <v>227</v>
      </c>
      <c r="GE6" s="80" t="s">
        <v>227</v>
      </c>
      <c r="GF6" s="167" t="s">
        <v>236</v>
      </c>
      <c r="GG6" s="78">
        <v>42967</v>
      </c>
      <c r="GH6" s="74" t="s">
        <v>220</v>
      </c>
      <c r="GI6" s="80" t="s">
        <v>231</v>
      </c>
      <c r="GJ6" s="78">
        <v>42922</v>
      </c>
      <c r="GK6" s="78" t="s">
        <v>227</v>
      </c>
      <c r="GL6" s="78" t="s">
        <v>260</v>
      </c>
      <c r="GM6" s="159" t="str">
        <f t="shared" si="7"/>
        <v>N/A</v>
      </c>
      <c r="GN6" s="159" t="str">
        <f t="shared" si="8"/>
        <v>N/A</v>
      </c>
      <c r="GO6" s="159" t="str">
        <f t="shared" si="9"/>
        <v>N/A</v>
      </c>
      <c r="GP6" s="159">
        <f t="shared" si="10"/>
        <v>1.7333333333333334</v>
      </c>
      <c r="GQ6" s="159">
        <f t="shared" ref="GQ6:GQ41" si="23">IFERROR(INT(P6 - $AS6)/30,"N/A")</f>
        <v>59.033333333333331</v>
      </c>
      <c r="GR6" s="159" t="str">
        <f t="shared" ref="GR6:GR41" si="24">IFERROR(INT(U6 - $AS6)/30,"N/A")</f>
        <v>N/A</v>
      </c>
      <c r="GS6" s="159" t="str">
        <f t="shared" si="11"/>
        <v>N/A</v>
      </c>
      <c r="GT6" s="159" t="str">
        <f t="shared" si="12"/>
        <v>N/A</v>
      </c>
      <c r="GU6" s="159" t="str">
        <f t="shared" si="13"/>
        <v>N/A</v>
      </c>
      <c r="GV6" s="159" t="str">
        <f t="shared" si="14"/>
        <v>N/A</v>
      </c>
      <c r="GW6" s="159" t="str">
        <f t="shared" si="15"/>
        <v>N/A</v>
      </c>
      <c r="GX6" s="159" t="str">
        <f t="shared" si="16"/>
        <v>N/A</v>
      </c>
      <c r="GY6" s="159">
        <f t="shared" si="17"/>
        <v>46.8</v>
      </c>
      <c r="GZ6" s="159">
        <f t="shared" si="18"/>
        <v>49.5</v>
      </c>
      <c r="HA6" s="159">
        <f t="shared" si="19"/>
        <v>51.133333333333333</v>
      </c>
      <c r="HB6" s="159">
        <f t="shared" si="1"/>
        <v>46.8</v>
      </c>
      <c r="HC6" s="159">
        <f t="shared" si="20"/>
        <v>171.93333333333334</v>
      </c>
      <c r="HD6" s="159">
        <f t="shared" si="21"/>
        <v>170.43333333333334</v>
      </c>
      <c r="HE6" s="159" t="str">
        <f t="shared" si="22"/>
        <v>N/A</v>
      </c>
      <c r="HF6" s="160">
        <f t="shared" si="2"/>
        <v>171.93333333333334</v>
      </c>
      <c r="HG6" s="160" cm="1">
        <f t="array" ref="HG6">INDEX($HB6:$HD6,MATCH(TRUE,INDEX(ISNUMBER($HB6:$HD6),0),0))</f>
        <v>46.8</v>
      </c>
      <c r="HH6" s="161">
        <f t="shared" si="3"/>
        <v>1</v>
      </c>
      <c r="HI6" s="86">
        <f t="shared" si="4"/>
        <v>0</v>
      </c>
      <c r="HJ6" s="111">
        <f t="shared" si="5"/>
        <v>1</v>
      </c>
      <c r="HK6" s="205" t="str">
        <f t="shared" si="6"/>
        <v>1</v>
      </c>
    </row>
    <row r="7" spans="1:219" ht="15" customHeight="1" x14ac:dyDescent="0.3">
      <c r="A7" s="80">
        <v>4381004639</v>
      </c>
      <c r="B7" s="74" t="s">
        <v>220</v>
      </c>
      <c r="C7" s="74" t="s">
        <v>221</v>
      </c>
      <c r="D7" s="74" t="s">
        <v>220</v>
      </c>
      <c r="E7" s="80" t="s">
        <v>261</v>
      </c>
      <c r="F7" s="80" t="s">
        <v>239</v>
      </c>
      <c r="G7" s="80" t="s">
        <v>227</v>
      </c>
      <c r="H7" s="78">
        <v>40036</v>
      </c>
      <c r="I7" s="80" t="s">
        <v>262</v>
      </c>
      <c r="J7" s="80" t="s">
        <v>226</v>
      </c>
      <c r="K7" s="78" t="s">
        <v>227</v>
      </c>
      <c r="L7" s="80" t="s">
        <v>227</v>
      </c>
      <c r="M7" s="80" t="s">
        <v>227</v>
      </c>
      <c r="N7" s="80" t="s">
        <v>227</v>
      </c>
      <c r="O7" s="80" t="s">
        <v>227</v>
      </c>
      <c r="P7" s="80" t="s">
        <v>227</v>
      </c>
      <c r="Q7" s="80" t="s">
        <v>227</v>
      </c>
      <c r="R7" s="80" t="s">
        <v>227</v>
      </c>
      <c r="S7" s="80" t="s">
        <v>227</v>
      </c>
      <c r="T7" s="67" t="s">
        <v>227</v>
      </c>
      <c r="U7" s="80" t="s">
        <v>227</v>
      </c>
      <c r="V7" s="80" t="s">
        <v>227</v>
      </c>
      <c r="W7" s="80" t="s">
        <v>227</v>
      </c>
      <c r="X7" s="80" t="s">
        <v>227</v>
      </c>
      <c r="Y7" s="80" t="s">
        <v>227</v>
      </c>
      <c r="Z7" s="80" t="s">
        <v>227</v>
      </c>
      <c r="AA7" s="80" t="s">
        <v>227</v>
      </c>
      <c r="AB7" s="80" t="s">
        <v>227</v>
      </c>
      <c r="AC7" s="80" t="s">
        <v>227</v>
      </c>
      <c r="AD7" s="80" t="s">
        <v>227</v>
      </c>
      <c r="AE7" s="80" t="s">
        <v>227</v>
      </c>
      <c r="AF7" s="80" t="s">
        <v>227</v>
      </c>
      <c r="AG7" s="80" t="s">
        <v>227</v>
      </c>
      <c r="AH7" s="80" t="s">
        <v>227</v>
      </c>
      <c r="AI7" s="80" t="s">
        <v>227</v>
      </c>
      <c r="AJ7" s="80" t="s">
        <v>227</v>
      </c>
      <c r="AK7" s="80" t="s">
        <v>227</v>
      </c>
      <c r="AL7" s="80" t="s">
        <v>227</v>
      </c>
      <c r="AM7" s="80" t="s">
        <v>227</v>
      </c>
      <c r="AN7" s="80" t="s">
        <v>227</v>
      </c>
      <c r="AO7" s="80" t="s">
        <v>227</v>
      </c>
      <c r="AP7" s="80" t="s">
        <v>227</v>
      </c>
      <c r="AQ7" s="80" t="s">
        <v>228</v>
      </c>
      <c r="AR7" s="78">
        <v>16292</v>
      </c>
      <c r="AS7" s="78">
        <v>40015</v>
      </c>
      <c r="AT7" s="148">
        <f t="shared" si="0"/>
        <v>64</v>
      </c>
      <c r="AU7" s="164" t="s">
        <v>263</v>
      </c>
      <c r="AV7" s="74" t="s">
        <v>230</v>
      </c>
      <c r="AW7" s="74" t="s">
        <v>241</v>
      </c>
      <c r="AX7" s="80" t="s">
        <v>264</v>
      </c>
      <c r="AY7" s="80">
        <v>0</v>
      </c>
      <c r="AZ7" s="157" t="s">
        <v>232</v>
      </c>
      <c r="BA7" s="80">
        <f>_xlfn.NUMBERVALUE(RIGHT($BB7), ".", ",")</f>
        <v>0</v>
      </c>
      <c r="BB7" s="80" t="s">
        <v>265</v>
      </c>
      <c r="BC7" s="80">
        <v>3</v>
      </c>
      <c r="BD7" s="74" t="s">
        <v>243</v>
      </c>
      <c r="BE7" s="80" t="s">
        <v>244</v>
      </c>
      <c r="BF7" s="74" t="s">
        <v>220</v>
      </c>
      <c r="BG7" s="165" t="s">
        <v>227</v>
      </c>
      <c r="BH7" s="166" t="s">
        <v>227</v>
      </c>
      <c r="BI7" s="80" t="s">
        <v>227</v>
      </c>
      <c r="BJ7" s="78" t="s">
        <v>227</v>
      </c>
      <c r="BK7" s="78" t="s">
        <v>227</v>
      </c>
      <c r="BL7" s="80" t="s">
        <v>227</v>
      </c>
      <c r="BM7" s="166" t="s">
        <v>227</v>
      </c>
      <c r="BN7" s="80" t="s">
        <v>227</v>
      </c>
      <c r="BO7" s="80" t="s">
        <v>227</v>
      </c>
      <c r="BP7" s="166" t="s">
        <v>227</v>
      </c>
      <c r="BQ7" s="80" t="s">
        <v>227</v>
      </c>
      <c r="BR7" s="80" t="s">
        <v>227</v>
      </c>
      <c r="BS7" s="80" t="s">
        <v>227</v>
      </c>
      <c r="BT7" s="80" t="s">
        <v>227</v>
      </c>
      <c r="BU7" s="80" t="s">
        <v>227</v>
      </c>
      <c r="BV7" s="80" t="s">
        <v>227</v>
      </c>
      <c r="BW7" s="80" t="s">
        <v>227</v>
      </c>
      <c r="BX7" s="80" t="s">
        <v>227</v>
      </c>
      <c r="BY7" s="80" t="s">
        <v>227</v>
      </c>
      <c r="BZ7" s="80" t="s">
        <v>227</v>
      </c>
      <c r="CA7" s="80" t="s">
        <v>227</v>
      </c>
      <c r="CB7" s="80" t="s">
        <v>227</v>
      </c>
      <c r="CC7" s="80" t="s">
        <v>227</v>
      </c>
      <c r="CD7" s="80" t="s">
        <v>227</v>
      </c>
      <c r="CE7" s="80" t="s">
        <v>227</v>
      </c>
      <c r="CF7" s="80" t="s">
        <v>227</v>
      </c>
      <c r="CG7" s="80" t="s">
        <v>227</v>
      </c>
      <c r="CH7" s="80" t="s">
        <v>227</v>
      </c>
      <c r="CI7" s="80" t="s">
        <v>227</v>
      </c>
      <c r="CJ7" s="80" t="s">
        <v>227</v>
      </c>
      <c r="CK7" s="80" t="s">
        <v>227</v>
      </c>
      <c r="CL7" s="80" t="s">
        <v>227</v>
      </c>
      <c r="CM7" s="80" t="s">
        <v>227</v>
      </c>
      <c r="CN7" s="166" t="s">
        <v>246</v>
      </c>
      <c r="CO7" s="157" t="s">
        <v>266</v>
      </c>
      <c r="CP7" s="78">
        <v>40105</v>
      </c>
      <c r="CQ7" s="78">
        <v>40137</v>
      </c>
      <c r="CR7" s="80" t="s">
        <v>227</v>
      </c>
      <c r="CS7" s="166" t="s">
        <v>227</v>
      </c>
      <c r="CT7" s="80" t="s">
        <v>227</v>
      </c>
      <c r="CU7" s="80" t="s">
        <v>227</v>
      </c>
      <c r="CV7" s="166" t="s">
        <v>227</v>
      </c>
      <c r="CW7" s="80" t="s">
        <v>227</v>
      </c>
      <c r="CX7" s="80" t="s">
        <v>227</v>
      </c>
      <c r="CY7" s="80" t="s">
        <v>227</v>
      </c>
      <c r="CZ7" s="80" t="s">
        <v>227</v>
      </c>
      <c r="DA7" s="80" t="s">
        <v>227</v>
      </c>
      <c r="DB7" s="80" t="s">
        <v>227</v>
      </c>
      <c r="DC7" s="80" t="s">
        <v>227</v>
      </c>
      <c r="DD7" s="80" t="s">
        <v>227</v>
      </c>
      <c r="DE7" s="80" t="s">
        <v>227</v>
      </c>
      <c r="DF7" s="80" t="s">
        <v>227</v>
      </c>
      <c r="DG7" s="80" t="s">
        <v>227</v>
      </c>
      <c r="DH7" s="80" t="s">
        <v>227</v>
      </c>
      <c r="DI7" s="80" t="s">
        <v>227</v>
      </c>
      <c r="DJ7" s="80" t="s">
        <v>227</v>
      </c>
      <c r="DK7" s="80" t="s">
        <v>227</v>
      </c>
      <c r="DL7" s="80" t="s">
        <v>227</v>
      </c>
      <c r="DM7" s="80" t="s">
        <v>227</v>
      </c>
      <c r="DN7" s="80" t="s">
        <v>227</v>
      </c>
      <c r="DO7" s="80" t="s">
        <v>227</v>
      </c>
      <c r="DP7" s="80" t="s">
        <v>227</v>
      </c>
      <c r="DQ7" s="80" t="s">
        <v>227</v>
      </c>
      <c r="DR7" s="80" t="s">
        <v>227</v>
      </c>
      <c r="DS7" s="80" t="s">
        <v>227</v>
      </c>
      <c r="DT7" s="80" t="s">
        <v>227</v>
      </c>
      <c r="DU7" s="80" t="s">
        <v>227</v>
      </c>
      <c r="DV7" s="80" t="s">
        <v>227</v>
      </c>
      <c r="DW7" s="80" t="s">
        <v>227</v>
      </c>
      <c r="DX7" s="80" t="s">
        <v>227</v>
      </c>
      <c r="DY7" s="80" t="s">
        <v>227</v>
      </c>
      <c r="DZ7" s="80" t="s">
        <v>227</v>
      </c>
      <c r="EA7" s="80" t="s">
        <v>227</v>
      </c>
      <c r="EB7" s="80" t="s">
        <v>227</v>
      </c>
      <c r="EC7" s="80" t="s">
        <v>227</v>
      </c>
      <c r="ED7" s="80" t="s">
        <v>227</v>
      </c>
      <c r="EE7" s="80" t="s">
        <v>227</v>
      </c>
      <c r="EF7" s="80" t="s">
        <v>227</v>
      </c>
      <c r="EG7" s="80" t="s">
        <v>227</v>
      </c>
      <c r="EH7" s="80" t="s">
        <v>227</v>
      </c>
      <c r="EI7" s="78">
        <v>40436</v>
      </c>
      <c r="EJ7" s="80" t="s">
        <v>267</v>
      </c>
      <c r="EK7" s="166" t="s">
        <v>249</v>
      </c>
      <c r="EL7" s="80" t="s">
        <v>268</v>
      </c>
      <c r="EM7" s="78">
        <v>40478</v>
      </c>
      <c r="EN7" s="156">
        <v>40585</v>
      </c>
      <c r="EO7" s="157" t="s">
        <v>251</v>
      </c>
      <c r="EP7" s="166" t="s">
        <v>227</v>
      </c>
      <c r="EQ7" s="80" t="s">
        <v>227</v>
      </c>
      <c r="ER7" s="80" t="s">
        <v>227</v>
      </c>
      <c r="ES7" s="166" t="s">
        <v>227</v>
      </c>
      <c r="ET7" s="80" t="s">
        <v>227</v>
      </c>
      <c r="EU7" s="80" t="s">
        <v>227</v>
      </c>
      <c r="EV7" s="166" t="s">
        <v>227</v>
      </c>
      <c r="EW7" s="80" t="s">
        <v>227</v>
      </c>
      <c r="EX7" s="80" t="s">
        <v>227</v>
      </c>
      <c r="EY7" s="166" t="s">
        <v>227</v>
      </c>
      <c r="EZ7" s="80" t="s">
        <v>227</v>
      </c>
      <c r="FA7" s="80" t="s">
        <v>227</v>
      </c>
      <c r="FB7" s="147" t="s">
        <v>227</v>
      </c>
      <c r="FC7" s="80" t="s">
        <v>227</v>
      </c>
      <c r="FD7" s="80" t="s">
        <v>227</v>
      </c>
      <c r="FE7" s="80" t="s">
        <v>227</v>
      </c>
      <c r="FF7" s="80" t="s">
        <v>227</v>
      </c>
      <c r="FG7" s="80" t="s">
        <v>227</v>
      </c>
      <c r="FH7" s="80" t="s">
        <v>227</v>
      </c>
      <c r="FI7" s="80" t="s">
        <v>227</v>
      </c>
      <c r="FJ7" s="80" t="s">
        <v>227</v>
      </c>
      <c r="FK7" s="80" t="s">
        <v>227</v>
      </c>
      <c r="FL7" s="80" t="s">
        <v>227</v>
      </c>
      <c r="FM7" s="80" t="s">
        <v>227</v>
      </c>
      <c r="FN7" s="80" t="s">
        <v>227</v>
      </c>
      <c r="FO7" s="80" t="s">
        <v>227</v>
      </c>
      <c r="FP7" s="80" t="s">
        <v>227</v>
      </c>
      <c r="FQ7" s="80" t="s">
        <v>227</v>
      </c>
      <c r="FR7" s="80" t="s">
        <v>227</v>
      </c>
      <c r="FS7" s="80" t="s">
        <v>227</v>
      </c>
      <c r="FT7" s="80" t="s">
        <v>227</v>
      </c>
      <c r="FU7" s="80" t="s">
        <v>227</v>
      </c>
      <c r="FV7" s="80" t="s">
        <v>227</v>
      </c>
      <c r="FW7" s="80" t="s">
        <v>227</v>
      </c>
      <c r="FX7" s="80" t="s">
        <v>227</v>
      </c>
      <c r="FY7" s="80" t="s">
        <v>227</v>
      </c>
      <c r="FZ7" s="80" t="s">
        <v>227</v>
      </c>
      <c r="GA7" s="80" t="s">
        <v>227</v>
      </c>
      <c r="GB7" s="80" t="s">
        <v>227</v>
      </c>
      <c r="GC7" s="80" t="s">
        <v>227</v>
      </c>
      <c r="GD7" s="80" t="s">
        <v>227</v>
      </c>
      <c r="GE7" s="80" t="s">
        <v>227</v>
      </c>
      <c r="GF7" s="167" t="s">
        <v>236</v>
      </c>
      <c r="GG7" s="78">
        <v>40673</v>
      </c>
      <c r="GH7" s="74" t="s">
        <v>241</v>
      </c>
      <c r="GI7" s="80" t="s">
        <v>269</v>
      </c>
      <c r="GJ7" s="156">
        <v>40603</v>
      </c>
      <c r="GK7" s="78" t="s">
        <v>227</v>
      </c>
      <c r="GL7" s="78" t="s">
        <v>227</v>
      </c>
      <c r="GM7" s="159" t="str">
        <f t="shared" si="7"/>
        <v>N/A</v>
      </c>
      <c r="GN7" s="159" t="str">
        <f t="shared" si="8"/>
        <v>N/A</v>
      </c>
      <c r="GO7" s="159">
        <f t="shared" si="9"/>
        <v>0.7</v>
      </c>
      <c r="GP7" s="159" t="str">
        <f t="shared" si="10"/>
        <v>N/A</v>
      </c>
      <c r="GQ7" s="159" t="str">
        <f t="shared" si="23"/>
        <v>N/A</v>
      </c>
      <c r="GR7" s="159" t="str">
        <f t="shared" si="24"/>
        <v>N/A</v>
      </c>
      <c r="GS7" s="159" t="str">
        <f t="shared" si="11"/>
        <v>N/A</v>
      </c>
      <c r="GT7" s="159" t="str">
        <f t="shared" si="12"/>
        <v>N/A</v>
      </c>
      <c r="GU7" s="159" t="str">
        <f t="shared" si="13"/>
        <v>N/A</v>
      </c>
      <c r="GV7" s="159" t="str">
        <f t="shared" si="14"/>
        <v>N/A</v>
      </c>
      <c r="GW7" s="159">
        <f t="shared" si="15"/>
        <v>3</v>
      </c>
      <c r="GX7" s="159">
        <f t="shared" si="16"/>
        <v>4.0666666666666664</v>
      </c>
      <c r="GY7" s="159">
        <f t="shared" si="17"/>
        <v>14.033333333333333</v>
      </c>
      <c r="GZ7" s="159">
        <f t="shared" si="18"/>
        <v>15.433333333333334</v>
      </c>
      <c r="HA7" s="159">
        <f t="shared" si="19"/>
        <v>19</v>
      </c>
      <c r="HB7" s="159">
        <f t="shared" si="1"/>
        <v>14.033333333333333</v>
      </c>
      <c r="HC7" s="159">
        <f t="shared" si="20"/>
        <v>21.933333333333334</v>
      </c>
      <c r="HD7" s="159">
        <f t="shared" si="21"/>
        <v>19.600000000000001</v>
      </c>
      <c r="HE7" s="159" t="str">
        <f t="shared" si="22"/>
        <v>N/A</v>
      </c>
      <c r="HF7" s="160">
        <f t="shared" si="2"/>
        <v>21.933333333333334</v>
      </c>
      <c r="HG7" s="160" cm="1">
        <f t="array" ref="HG7">INDEX($HB7:$HD7,MATCH(TRUE,INDEX(ISNUMBER($HB7:$HD7),0),0))</f>
        <v>14.033333333333333</v>
      </c>
      <c r="HH7" s="161">
        <f t="shared" si="3"/>
        <v>1</v>
      </c>
      <c r="HI7" s="86">
        <f t="shared" si="4"/>
        <v>1</v>
      </c>
      <c r="HJ7" s="111">
        <f t="shared" si="5"/>
        <v>1</v>
      </c>
      <c r="HK7" s="205" t="str">
        <f t="shared" si="6"/>
        <v>1</v>
      </c>
    </row>
    <row r="8" spans="1:219" ht="15" customHeight="1" x14ac:dyDescent="0.3">
      <c r="A8" s="80">
        <v>4381475976</v>
      </c>
      <c r="B8" s="74" t="s">
        <v>220</v>
      </c>
      <c r="C8" s="74" t="s">
        <v>221</v>
      </c>
      <c r="D8" s="74" t="s">
        <v>220</v>
      </c>
      <c r="E8" s="80" t="s">
        <v>270</v>
      </c>
      <c r="F8" s="80" t="s">
        <v>271</v>
      </c>
      <c r="G8" s="80" t="s">
        <v>224</v>
      </c>
      <c r="H8" s="78">
        <v>40939</v>
      </c>
      <c r="I8" s="80" t="s">
        <v>272</v>
      </c>
      <c r="J8" s="80" t="s">
        <v>226</v>
      </c>
      <c r="K8" s="78" t="s">
        <v>227</v>
      </c>
      <c r="L8" s="80" t="s">
        <v>227</v>
      </c>
      <c r="M8" s="80" t="s">
        <v>227</v>
      </c>
      <c r="N8" s="80" t="s">
        <v>227</v>
      </c>
      <c r="O8" s="80" t="s">
        <v>227</v>
      </c>
      <c r="P8" s="80" t="s">
        <v>227</v>
      </c>
      <c r="Q8" s="80" t="s">
        <v>227</v>
      </c>
      <c r="R8" s="80" t="s">
        <v>227</v>
      </c>
      <c r="S8" s="80" t="s">
        <v>227</v>
      </c>
      <c r="T8" s="67" t="s">
        <v>227</v>
      </c>
      <c r="U8" s="80" t="s">
        <v>227</v>
      </c>
      <c r="V8" s="80" t="s">
        <v>227</v>
      </c>
      <c r="W8" s="80" t="s">
        <v>227</v>
      </c>
      <c r="X8" s="80" t="s">
        <v>227</v>
      </c>
      <c r="Y8" s="80" t="s">
        <v>227</v>
      </c>
      <c r="Z8" s="80" t="s">
        <v>227</v>
      </c>
      <c r="AA8" s="80" t="s">
        <v>227</v>
      </c>
      <c r="AB8" s="80" t="s">
        <v>227</v>
      </c>
      <c r="AC8" s="80" t="s">
        <v>227</v>
      </c>
      <c r="AD8" s="80" t="s">
        <v>227</v>
      </c>
      <c r="AE8" s="80" t="s">
        <v>227</v>
      </c>
      <c r="AF8" s="80" t="s">
        <v>227</v>
      </c>
      <c r="AG8" s="80" t="s">
        <v>227</v>
      </c>
      <c r="AH8" s="80" t="s">
        <v>227</v>
      </c>
      <c r="AI8" s="80" t="s">
        <v>227</v>
      </c>
      <c r="AJ8" s="80" t="s">
        <v>227</v>
      </c>
      <c r="AK8" s="80" t="s">
        <v>227</v>
      </c>
      <c r="AL8" s="80" t="s">
        <v>227</v>
      </c>
      <c r="AM8" s="80" t="s">
        <v>227</v>
      </c>
      <c r="AN8" s="80" t="s">
        <v>227</v>
      </c>
      <c r="AO8" s="80" t="s">
        <v>227</v>
      </c>
      <c r="AP8" s="80" t="s">
        <v>227</v>
      </c>
      <c r="AQ8" s="80" t="s">
        <v>228</v>
      </c>
      <c r="AR8" s="78">
        <v>15688</v>
      </c>
      <c r="AS8" s="78">
        <v>40883</v>
      </c>
      <c r="AT8" s="148">
        <f t="shared" si="0"/>
        <v>68</v>
      </c>
      <c r="AU8" s="173" t="s">
        <v>229</v>
      </c>
      <c r="AV8" s="74" t="s">
        <v>230</v>
      </c>
      <c r="AW8" s="74" t="s">
        <v>241</v>
      </c>
      <c r="AX8" s="80">
        <v>2</v>
      </c>
      <c r="AY8" s="80">
        <v>0</v>
      </c>
      <c r="AZ8" s="80" t="s">
        <v>232</v>
      </c>
      <c r="BA8" s="80">
        <f>_xlfn.NUMBERVALUE(RIGHT($BB8), ".", ",")</f>
        <v>0</v>
      </c>
      <c r="BB8" s="80" t="s">
        <v>242</v>
      </c>
      <c r="BC8" s="80">
        <v>2</v>
      </c>
      <c r="BD8" s="74" t="s">
        <v>243</v>
      </c>
      <c r="BE8" s="80" t="s">
        <v>273</v>
      </c>
      <c r="BF8" s="74" t="s">
        <v>220</v>
      </c>
      <c r="BG8" s="165" t="s">
        <v>227</v>
      </c>
      <c r="BH8" s="166" t="s">
        <v>227</v>
      </c>
      <c r="BI8" s="80" t="s">
        <v>227</v>
      </c>
      <c r="BJ8" s="78" t="s">
        <v>227</v>
      </c>
      <c r="BK8" s="78" t="s">
        <v>227</v>
      </c>
      <c r="BL8" s="80" t="s">
        <v>227</v>
      </c>
      <c r="BM8" s="166" t="s">
        <v>227</v>
      </c>
      <c r="BN8" s="80" t="s">
        <v>227</v>
      </c>
      <c r="BO8" s="80" t="s">
        <v>227</v>
      </c>
      <c r="BP8" s="166" t="s">
        <v>227</v>
      </c>
      <c r="BQ8" s="80" t="s">
        <v>227</v>
      </c>
      <c r="BR8" s="80" t="s">
        <v>227</v>
      </c>
      <c r="BS8" s="80" t="s">
        <v>227</v>
      </c>
      <c r="BT8" s="80" t="s">
        <v>227</v>
      </c>
      <c r="BU8" s="80" t="s">
        <v>227</v>
      </c>
      <c r="BV8" s="80" t="s">
        <v>227</v>
      </c>
      <c r="BW8" s="80" t="s">
        <v>227</v>
      </c>
      <c r="BX8" s="80" t="s">
        <v>227</v>
      </c>
      <c r="BY8" s="80" t="s">
        <v>227</v>
      </c>
      <c r="BZ8" s="80" t="s">
        <v>227</v>
      </c>
      <c r="CA8" s="80" t="s">
        <v>227</v>
      </c>
      <c r="CB8" s="80" t="s">
        <v>227</v>
      </c>
      <c r="CC8" s="80" t="s">
        <v>227</v>
      </c>
      <c r="CD8" s="80" t="s">
        <v>227</v>
      </c>
      <c r="CE8" s="80" t="s">
        <v>227</v>
      </c>
      <c r="CF8" s="80" t="s">
        <v>227</v>
      </c>
      <c r="CG8" s="80" t="s">
        <v>227</v>
      </c>
      <c r="CH8" s="80" t="s">
        <v>227</v>
      </c>
      <c r="CI8" s="80" t="s">
        <v>227</v>
      </c>
      <c r="CJ8" s="80" t="s">
        <v>227</v>
      </c>
      <c r="CK8" s="80" t="s">
        <v>227</v>
      </c>
      <c r="CL8" s="80" t="s">
        <v>227</v>
      </c>
      <c r="CM8" s="80" t="s">
        <v>227</v>
      </c>
      <c r="CN8" s="166" t="s">
        <v>227</v>
      </c>
      <c r="CO8" s="80" t="s">
        <v>227</v>
      </c>
      <c r="CP8" s="78" t="s">
        <v>227</v>
      </c>
      <c r="CQ8" s="78" t="s">
        <v>227</v>
      </c>
      <c r="CR8" s="80" t="s">
        <v>227</v>
      </c>
      <c r="CS8" s="166" t="s">
        <v>227</v>
      </c>
      <c r="CT8" s="80" t="s">
        <v>227</v>
      </c>
      <c r="CU8" s="80" t="s">
        <v>227</v>
      </c>
      <c r="CV8" s="166" t="s">
        <v>227</v>
      </c>
      <c r="CW8" s="80" t="s">
        <v>227</v>
      </c>
      <c r="CX8" s="80" t="s">
        <v>227</v>
      </c>
      <c r="CY8" s="80" t="s">
        <v>227</v>
      </c>
      <c r="CZ8" s="80" t="s">
        <v>227</v>
      </c>
      <c r="DA8" s="80" t="s">
        <v>227</v>
      </c>
      <c r="DB8" s="80" t="s">
        <v>227</v>
      </c>
      <c r="DC8" s="80" t="s">
        <v>227</v>
      </c>
      <c r="DD8" s="80" t="s">
        <v>227</v>
      </c>
      <c r="DE8" s="80" t="s">
        <v>227</v>
      </c>
      <c r="DF8" s="80" t="s">
        <v>227</v>
      </c>
      <c r="DG8" s="80" t="s">
        <v>227</v>
      </c>
      <c r="DH8" s="80" t="s">
        <v>227</v>
      </c>
      <c r="DI8" s="80" t="s">
        <v>227</v>
      </c>
      <c r="DJ8" s="80" t="s">
        <v>227</v>
      </c>
      <c r="DK8" s="80" t="s">
        <v>227</v>
      </c>
      <c r="DL8" s="80" t="s">
        <v>227</v>
      </c>
      <c r="DM8" s="80" t="s">
        <v>227</v>
      </c>
      <c r="DN8" s="80" t="s">
        <v>227</v>
      </c>
      <c r="DO8" s="80" t="s">
        <v>227</v>
      </c>
      <c r="DP8" s="80" t="s">
        <v>227</v>
      </c>
      <c r="DQ8" s="80" t="s">
        <v>227</v>
      </c>
      <c r="DR8" s="80" t="s">
        <v>227</v>
      </c>
      <c r="DS8" s="80" t="s">
        <v>227</v>
      </c>
      <c r="DT8" s="80" t="s">
        <v>227</v>
      </c>
      <c r="DU8" s="80" t="s">
        <v>227</v>
      </c>
      <c r="DV8" s="80" t="s">
        <v>227</v>
      </c>
      <c r="DW8" s="80" t="s">
        <v>227</v>
      </c>
      <c r="DX8" s="80" t="s">
        <v>227</v>
      </c>
      <c r="DY8" s="80" t="s">
        <v>227</v>
      </c>
      <c r="DZ8" s="80" t="s">
        <v>227</v>
      </c>
      <c r="EA8" s="80" t="s">
        <v>227</v>
      </c>
      <c r="EB8" s="80" t="s">
        <v>227</v>
      </c>
      <c r="EC8" s="80" t="s">
        <v>227</v>
      </c>
      <c r="ED8" s="80" t="s">
        <v>227</v>
      </c>
      <c r="EE8" s="80" t="s">
        <v>227</v>
      </c>
      <c r="EF8" s="80" t="s">
        <v>227</v>
      </c>
      <c r="EG8" s="80" t="s">
        <v>227</v>
      </c>
      <c r="EH8" s="80" t="s">
        <v>227</v>
      </c>
      <c r="EI8" s="78">
        <v>41331</v>
      </c>
      <c r="EJ8" s="80" t="s">
        <v>274</v>
      </c>
      <c r="EK8" s="166" t="s">
        <v>275</v>
      </c>
      <c r="EL8" s="80" t="s">
        <v>276</v>
      </c>
      <c r="EM8" s="78">
        <v>41367</v>
      </c>
      <c r="EN8" s="78">
        <v>41549</v>
      </c>
      <c r="EO8" s="157" t="s">
        <v>277</v>
      </c>
      <c r="EP8" s="166" t="s">
        <v>275</v>
      </c>
      <c r="EQ8" s="80" t="s">
        <v>278</v>
      </c>
      <c r="ER8" s="157" t="s">
        <v>279</v>
      </c>
      <c r="ES8" s="166" t="s">
        <v>246</v>
      </c>
      <c r="ET8" s="80" t="s">
        <v>280</v>
      </c>
      <c r="EU8" s="80" t="s">
        <v>277</v>
      </c>
      <c r="EV8" s="166" t="s">
        <v>227</v>
      </c>
      <c r="EW8" s="80" t="s">
        <v>227</v>
      </c>
      <c r="EX8" s="80" t="s">
        <v>227</v>
      </c>
      <c r="EY8" s="166" t="s">
        <v>227</v>
      </c>
      <c r="EZ8" s="80" t="s">
        <v>227</v>
      </c>
      <c r="FA8" s="80" t="s">
        <v>227</v>
      </c>
      <c r="FB8" s="147" t="s">
        <v>227</v>
      </c>
      <c r="FC8" s="80" t="s">
        <v>227</v>
      </c>
      <c r="FD8" s="80" t="s">
        <v>227</v>
      </c>
      <c r="FE8" s="80" t="s">
        <v>227</v>
      </c>
      <c r="FF8" s="80" t="s">
        <v>227</v>
      </c>
      <c r="FG8" s="80" t="s">
        <v>227</v>
      </c>
      <c r="FH8" s="80" t="s">
        <v>227</v>
      </c>
      <c r="FI8" s="80" t="s">
        <v>227</v>
      </c>
      <c r="FJ8" s="80" t="s">
        <v>227</v>
      </c>
      <c r="FK8" s="80" t="s">
        <v>227</v>
      </c>
      <c r="FL8" s="80" t="s">
        <v>227</v>
      </c>
      <c r="FM8" s="80" t="s">
        <v>227</v>
      </c>
      <c r="FN8" s="80" t="s">
        <v>227</v>
      </c>
      <c r="FO8" s="80" t="s">
        <v>227</v>
      </c>
      <c r="FP8" s="80" t="s">
        <v>227</v>
      </c>
      <c r="FQ8" s="80" t="s">
        <v>227</v>
      </c>
      <c r="FR8" s="80" t="s">
        <v>227</v>
      </c>
      <c r="FS8" s="80" t="s">
        <v>227</v>
      </c>
      <c r="FT8" s="80" t="s">
        <v>227</v>
      </c>
      <c r="FU8" s="80" t="s">
        <v>227</v>
      </c>
      <c r="FV8" s="80" t="s">
        <v>227</v>
      </c>
      <c r="FW8" s="80" t="s">
        <v>227</v>
      </c>
      <c r="FX8" s="80" t="s">
        <v>227</v>
      </c>
      <c r="FY8" s="80" t="s">
        <v>227</v>
      </c>
      <c r="FZ8" s="80" t="s">
        <v>227</v>
      </c>
      <c r="GA8" s="80" t="s">
        <v>227</v>
      </c>
      <c r="GB8" s="80" t="s">
        <v>227</v>
      </c>
      <c r="GC8" s="80" t="s">
        <v>227</v>
      </c>
      <c r="GD8" s="80" t="s">
        <v>227</v>
      </c>
      <c r="GE8" s="80" t="s">
        <v>227</v>
      </c>
      <c r="GF8" s="167" t="s">
        <v>236</v>
      </c>
      <c r="GG8" s="78">
        <v>42650</v>
      </c>
      <c r="GH8" s="74" t="s">
        <v>241</v>
      </c>
      <c r="GI8" s="174" t="s">
        <v>231</v>
      </c>
      <c r="GJ8" s="78">
        <v>42375</v>
      </c>
      <c r="GK8" s="78" t="s">
        <v>227</v>
      </c>
      <c r="GL8" s="156" t="s">
        <v>227</v>
      </c>
      <c r="GM8" s="159" t="str">
        <f t="shared" si="7"/>
        <v>N/A</v>
      </c>
      <c r="GN8" s="159" t="str">
        <f t="shared" si="8"/>
        <v>N/A</v>
      </c>
      <c r="GO8" s="159">
        <f t="shared" si="9"/>
        <v>1.8666666666666667</v>
      </c>
      <c r="GP8" s="159" t="str">
        <f t="shared" si="10"/>
        <v>N/A</v>
      </c>
      <c r="GQ8" s="159" t="str">
        <f t="shared" si="23"/>
        <v>N/A</v>
      </c>
      <c r="GR8" s="159" t="str">
        <f t="shared" si="24"/>
        <v>N/A</v>
      </c>
      <c r="GS8" s="159" t="str">
        <f t="shared" si="11"/>
        <v>N/A</v>
      </c>
      <c r="GT8" s="159" t="str">
        <f t="shared" si="12"/>
        <v>N/A</v>
      </c>
      <c r="GU8" s="159" t="str">
        <f t="shared" si="13"/>
        <v>N/A</v>
      </c>
      <c r="GV8" s="159" t="str">
        <f t="shared" si="14"/>
        <v>N/A</v>
      </c>
      <c r="GW8" s="159" t="str">
        <f t="shared" si="15"/>
        <v>N/A</v>
      </c>
      <c r="GX8" s="159" t="str">
        <f t="shared" si="16"/>
        <v>N/A</v>
      </c>
      <c r="GY8" s="159">
        <f t="shared" si="17"/>
        <v>14.933333333333334</v>
      </c>
      <c r="GZ8" s="159">
        <f t="shared" si="18"/>
        <v>16.133333333333333</v>
      </c>
      <c r="HA8" s="159">
        <f t="shared" si="19"/>
        <v>22.2</v>
      </c>
      <c r="HB8" s="159">
        <f t="shared" si="1"/>
        <v>14.933333333333334</v>
      </c>
      <c r="HC8" s="159">
        <f t="shared" si="20"/>
        <v>58.9</v>
      </c>
      <c r="HD8" s="159">
        <f t="shared" si="21"/>
        <v>49.733333333333334</v>
      </c>
      <c r="HE8" s="159" t="str">
        <f t="shared" si="22"/>
        <v>N/A</v>
      </c>
      <c r="HF8" s="160">
        <f t="shared" si="2"/>
        <v>58.9</v>
      </c>
      <c r="HG8" s="160" cm="1">
        <f t="array" ref="HG8">INDEX($HB8:$HD8,MATCH(TRUE,INDEX(ISNUMBER($HB8:$HD8),0),0))</f>
        <v>14.933333333333334</v>
      </c>
      <c r="HH8" s="161">
        <f t="shared" si="3"/>
        <v>1</v>
      </c>
      <c r="HI8" s="86">
        <f t="shared" si="4"/>
        <v>1</v>
      </c>
      <c r="HJ8" s="111">
        <f t="shared" si="5"/>
        <v>1</v>
      </c>
      <c r="HK8" s="205" t="str">
        <f t="shared" si="6"/>
        <v>1</v>
      </c>
    </row>
    <row r="9" spans="1:219" ht="15" customHeight="1" x14ac:dyDescent="0.3">
      <c r="A9" s="80">
        <v>4388002216</v>
      </c>
      <c r="B9" s="74" t="s">
        <v>220</v>
      </c>
      <c r="C9" s="74" t="s">
        <v>221</v>
      </c>
      <c r="D9" s="74" t="s">
        <v>220</v>
      </c>
      <c r="E9" s="80" t="s">
        <v>281</v>
      </c>
      <c r="F9" s="80" t="s">
        <v>282</v>
      </c>
      <c r="G9" s="80" t="s">
        <v>283</v>
      </c>
      <c r="H9" s="78">
        <v>41508</v>
      </c>
      <c r="I9" s="80" t="s">
        <v>284</v>
      </c>
      <c r="J9" s="80" t="s">
        <v>226</v>
      </c>
      <c r="K9" s="78" t="s">
        <v>227</v>
      </c>
      <c r="L9" s="80" t="s">
        <v>227</v>
      </c>
      <c r="M9" s="80" t="s">
        <v>227</v>
      </c>
      <c r="N9" s="80" t="s">
        <v>227</v>
      </c>
      <c r="O9" s="80" t="s">
        <v>227</v>
      </c>
      <c r="P9" s="80" t="s">
        <v>227</v>
      </c>
      <c r="Q9" s="80" t="s">
        <v>227</v>
      </c>
      <c r="R9" s="80" t="s">
        <v>227</v>
      </c>
      <c r="S9" s="80" t="s">
        <v>227</v>
      </c>
      <c r="T9" s="67" t="s">
        <v>227</v>
      </c>
      <c r="U9" s="80" t="s">
        <v>227</v>
      </c>
      <c r="V9" s="80" t="s">
        <v>227</v>
      </c>
      <c r="W9" s="80" t="s">
        <v>227</v>
      </c>
      <c r="X9" s="80" t="s">
        <v>227</v>
      </c>
      <c r="Y9" s="80" t="s">
        <v>227</v>
      </c>
      <c r="Z9" s="80" t="s">
        <v>227</v>
      </c>
      <c r="AA9" s="80" t="s">
        <v>227</v>
      </c>
      <c r="AB9" s="80" t="s">
        <v>227</v>
      </c>
      <c r="AC9" s="80" t="s">
        <v>227</v>
      </c>
      <c r="AD9" s="80" t="s">
        <v>227</v>
      </c>
      <c r="AE9" s="80" t="s">
        <v>227</v>
      </c>
      <c r="AF9" s="80" t="s">
        <v>227</v>
      </c>
      <c r="AG9" s="80" t="s">
        <v>227</v>
      </c>
      <c r="AH9" s="80" t="s">
        <v>227</v>
      </c>
      <c r="AI9" s="80" t="s">
        <v>227</v>
      </c>
      <c r="AJ9" s="80" t="s">
        <v>227</v>
      </c>
      <c r="AK9" s="80" t="s">
        <v>227</v>
      </c>
      <c r="AL9" s="80" t="s">
        <v>227</v>
      </c>
      <c r="AM9" s="80" t="s">
        <v>227</v>
      </c>
      <c r="AN9" s="80" t="s">
        <v>227</v>
      </c>
      <c r="AO9" s="80" t="s">
        <v>227</v>
      </c>
      <c r="AP9" s="80" t="s">
        <v>227</v>
      </c>
      <c r="AQ9" s="80" t="s">
        <v>228</v>
      </c>
      <c r="AR9" s="78">
        <v>17387</v>
      </c>
      <c r="AS9" s="78">
        <v>41451</v>
      </c>
      <c r="AT9" s="148">
        <f t="shared" si="0"/>
        <v>65</v>
      </c>
      <c r="AU9" s="164" t="s">
        <v>285</v>
      </c>
      <c r="AV9" s="74" t="s">
        <v>230</v>
      </c>
      <c r="AW9" s="74" t="s">
        <v>241</v>
      </c>
      <c r="AX9" s="80" t="s">
        <v>264</v>
      </c>
      <c r="AY9" s="80">
        <v>0</v>
      </c>
      <c r="AZ9" s="80" t="s">
        <v>232</v>
      </c>
      <c r="BA9" s="80">
        <f>_xlfn.NUMBERVALUE(RIGHT($BB9), ".", ",")</f>
        <v>0</v>
      </c>
      <c r="BB9" s="80" t="s">
        <v>265</v>
      </c>
      <c r="BC9" s="80">
        <v>3</v>
      </c>
      <c r="BD9" s="74" t="s">
        <v>243</v>
      </c>
      <c r="BE9" s="80" t="s">
        <v>244</v>
      </c>
      <c r="BF9" s="74" t="s">
        <v>220</v>
      </c>
      <c r="BG9" s="165" t="s">
        <v>227</v>
      </c>
      <c r="BH9" s="166" t="s">
        <v>227</v>
      </c>
      <c r="BI9" s="80" t="s">
        <v>227</v>
      </c>
      <c r="BJ9" s="78" t="s">
        <v>227</v>
      </c>
      <c r="BK9" s="78" t="s">
        <v>227</v>
      </c>
      <c r="BL9" s="80" t="s">
        <v>227</v>
      </c>
      <c r="BM9" s="166" t="s">
        <v>227</v>
      </c>
      <c r="BN9" s="80" t="s">
        <v>227</v>
      </c>
      <c r="BO9" s="80" t="s">
        <v>227</v>
      </c>
      <c r="BP9" s="166" t="s">
        <v>227</v>
      </c>
      <c r="BQ9" s="80" t="s">
        <v>227</v>
      </c>
      <c r="BR9" s="80" t="s">
        <v>227</v>
      </c>
      <c r="BS9" s="80" t="s">
        <v>227</v>
      </c>
      <c r="BT9" s="80" t="s">
        <v>227</v>
      </c>
      <c r="BU9" s="80" t="s">
        <v>227</v>
      </c>
      <c r="BV9" s="80" t="s">
        <v>227</v>
      </c>
      <c r="BW9" s="80" t="s">
        <v>227</v>
      </c>
      <c r="BX9" s="80" t="s">
        <v>227</v>
      </c>
      <c r="BY9" s="80" t="s">
        <v>227</v>
      </c>
      <c r="BZ9" s="80" t="s">
        <v>227</v>
      </c>
      <c r="CA9" s="80" t="s">
        <v>227</v>
      </c>
      <c r="CB9" s="80" t="s">
        <v>227</v>
      </c>
      <c r="CC9" s="80" t="s">
        <v>227</v>
      </c>
      <c r="CD9" s="80" t="s">
        <v>227</v>
      </c>
      <c r="CE9" s="80" t="s">
        <v>227</v>
      </c>
      <c r="CF9" s="80" t="s">
        <v>227</v>
      </c>
      <c r="CG9" s="80" t="s">
        <v>227</v>
      </c>
      <c r="CH9" s="80" t="s">
        <v>227</v>
      </c>
      <c r="CI9" s="80" t="s">
        <v>227</v>
      </c>
      <c r="CJ9" s="80" t="s">
        <v>227</v>
      </c>
      <c r="CK9" s="80" t="s">
        <v>227</v>
      </c>
      <c r="CL9" s="80" t="s">
        <v>227</v>
      </c>
      <c r="CM9" s="80" t="s">
        <v>227</v>
      </c>
      <c r="CN9" s="166" t="s">
        <v>227</v>
      </c>
      <c r="CO9" s="80" t="s">
        <v>227</v>
      </c>
      <c r="CP9" s="78" t="s">
        <v>227</v>
      </c>
      <c r="CQ9" s="78" t="s">
        <v>227</v>
      </c>
      <c r="CR9" s="80" t="s">
        <v>227</v>
      </c>
      <c r="CS9" s="166" t="s">
        <v>227</v>
      </c>
      <c r="CT9" s="80" t="s">
        <v>227</v>
      </c>
      <c r="CU9" s="80" t="s">
        <v>227</v>
      </c>
      <c r="CV9" s="166" t="s">
        <v>227</v>
      </c>
      <c r="CW9" s="80" t="s">
        <v>227</v>
      </c>
      <c r="CX9" s="80" t="s">
        <v>227</v>
      </c>
      <c r="CY9" s="80" t="s">
        <v>227</v>
      </c>
      <c r="CZ9" s="80" t="s">
        <v>227</v>
      </c>
      <c r="DA9" s="80" t="s">
        <v>227</v>
      </c>
      <c r="DB9" s="80" t="s">
        <v>227</v>
      </c>
      <c r="DC9" s="80" t="s">
        <v>227</v>
      </c>
      <c r="DD9" s="80" t="s">
        <v>227</v>
      </c>
      <c r="DE9" s="80" t="s">
        <v>227</v>
      </c>
      <c r="DF9" s="80" t="s">
        <v>227</v>
      </c>
      <c r="DG9" s="80" t="s">
        <v>227</v>
      </c>
      <c r="DH9" s="80" t="s">
        <v>227</v>
      </c>
      <c r="DI9" s="80" t="s">
        <v>227</v>
      </c>
      <c r="DJ9" s="80" t="s">
        <v>227</v>
      </c>
      <c r="DK9" s="80" t="s">
        <v>227</v>
      </c>
      <c r="DL9" s="80" t="s">
        <v>227</v>
      </c>
      <c r="DM9" s="80" t="s">
        <v>227</v>
      </c>
      <c r="DN9" s="80" t="s">
        <v>227</v>
      </c>
      <c r="DO9" s="80" t="s">
        <v>227</v>
      </c>
      <c r="DP9" s="80" t="s">
        <v>227</v>
      </c>
      <c r="DQ9" s="80" t="s">
        <v>227</v>
      </c>
      <c r="DR9" s="80" t="s">
        <v>227</v>
      </c>
      <c r="DS9" s="80" t="s">
        <v>227</v>
      </c>
      <c r="DT9" s="80" t="s">
        <v>227</v>
      </c>
      <c r="DU9" s="80" t="s">
        <v>227</v>
      </c>
      <c r="DV9" s="80" t="s">
        <v>227</v>
      </c>
      <c r="DW9" s="80" t="s">
        <v>227</v>
      </c>
      <c r="DX9" s="80" t="s">
        <v>227</v>
      </c>
      <c r="DY9" s="80" t="s">
        <v>227</v>
      </c>
      <c r="DZ9" s="80" t="s">
        <v>227</v>
      </c>
      <c r="EA9" s="80" t="s">
        <v>227</v>
      </c>
      <c r="EB9" s="80" t="s">
        <v>227</v>
      </c>
      <c r="EC9" s="80" t="s">
        <v>227</v>
      </c>
      <c r="ED9" s="80" t="s">
        <v>227</v>
      </c>
      <c r="EE9" s="80" t="s">
        <v>227</v>
      </c>
      <c r="EF9" s="80" t="s">
        <v>227</v>
      </c>
      <c r="EG9" s="80" t="s">
        <v>227</v>
      </c>
      <c r="EH9" s="80" t="s">
        <v>227</v>
      </c>
      <c r="EI9" s="78">
        <v>42376</v>
      </c>
      <c r="EJ9" s="157" t="s">
        <v>286</v>
      </c>
      <c r="EK9" s="166" t="s">
        <v>249</v>
      </c>
      <c r="EL9" s="80" t="s">
        <v>287</v>
      </c>
      <c r="EM9" s="78">
        <v>42429</v>
      </c>
      <c r="EN9" s="78">
        <v>42541</v>
      </c>
      <c r="EO9" s="80" t="s">
        <v>277</v>
      </c>
      <c r="EP9" s="166" t="s">
        <v>275</v>
      </c>
      <c r="EQ9" s="80" t="s">
        <v>288</v>
      </c>
      <c r="ER9" s="80" t="s">
        <v>289</v>
      </c>
      <c r="ES9" s="166" t="s">
        <v>246</v>
      </c>
      <c r="ET9" s="80" t="s">
        <v>290</v>
      </c>
      <c r="EU9" s="80" t="s">
        <v>251</v>
      </c>
      <c r="EV9" s="166" t="s">
        <v>249</v>
      </c>
      <c r="EW9" s="80" t="s">
        <v>287</v>
      </c>
      <c r="EX9" s="80" t="s">
        <v>289</v>
      </c>
      <c r="EY9" s="166" t="s">
        <v>246</v>
      </c>
      <c r="EZ9" s="80" t="s">
        <v>291</v>
      </c>
      <c r="FA9" s="80" t="s">
        <v>231</v>
      </c>
      <c r="FB9" s="147" t="s">
        <v>227</v>
      </c>
      <c r="FC9" s="80" t="s">
        <v>227</v>
      </c>
      <c r="FD9" s="80" t="s">
        <v>227</v>
      </c>
      <c r="FE9" s="80" t="s">
        <v>227</v>
      </c>
      <c r="FF9" s="80" t="s">
        <v>227</v>
      </c>
      <c r="FG9" s="80" t="s">
        <v>227</v>
      </c>
      <c r="FH9" s="80" t="s">
        <v>227</v>
      </c>
      <c r="FI9" s="80" t="s">
        <v>227</v>
      </c>
      <c r="FJ9" s="80" t="s">
        <v>227</v>
      </c>
      <c r="FK9" s="80" t="s">
        <v>227</v>
      </c>
      <c r="FL9" s="80" t="s">
        <v>227</v>
      </c>
      <c r="FM9" s="80" t="s">
        <v>227</v>
      </c>
      <c r="FN9" s="80" t="s">
        <v>227</v>
      </c>
      <c r="FO9" s="80" t="s">
        <v>227</v>
      </c>
      <c r="FP9" s="80" t="s">
        <v>227</v>
      </c>
      <c r="FQ9" s="80" t="s">
        <v>227</v>
      </c>
      <c r="FR9" s="80" t="s">
        <v>227</v>
      </c>
      <c r="FS9" s="80" t="s">
        <v>227</v>
      </c>
      <c r="FT9" s="80" t="s">
        <v>227</v>
      </c>
      <c r="FU9" s="80" t="s">
        <v>227</v>
      </c>
      <c r="FV9" s="80" t="s">
        <v>227</v>
      </c>
      <c r="FW9" s="80" t="s">
        <v>227</v>
      </c>
      <c r="FX9" s="80" t="s">
        <v>227</v>
      </c>
      <c r="FY9" s="80" t="s">
        <v>227</v>
      </c>
      <c r="FZ9" s="80" t="s">
        <v>227</v>
      </c>
      <c r="GA9" s="80" t="s">
        <v>227</v>
      </c>
      <c r="GB9" s="80" t="s">
        <v>227</v>
      </c>
      <c r="GC9" s="80" t="s">
        <v>227</v>
      </c>
      <c r="GD9" s="80" t="s">
        <v>227</v>
      </c>
      <c r="GE9" s="80" t="s">
        <v>227</v>
      </c>
      <c r="GF9" s="167" t="s">
        <v>236</v>
      </c>
      <c r="GG9" s="78">
        <v>43225</v>
      </c>
      <c r="GH9" s="74" t="s">
        <v>241</v>
      </c>
      <c r="GI9" s="80" t="s">
        <v>231</v>
      </c>
      <c r="GJ9" s="78">
        <v>43203</v>
      </c>
      <c r="GK9" s="78" t="s">
        <v>227</v>
      </c>
      <c r="GL9" s="78" t="s">
        <v>227</v>
      </c>
      <c r="GM9" s="159" t="str">
        <f t="shared" si="7"/>
        <v>N/A</v>
      </c>
      <c r="GN9" s="159" t="str">
        <f t="shared" si="8"/>
        <v>N/A</v>
      </c>
      <c r="GO9" s="159">
        <f t="shared" si="9"/>
        <v>1.9</v>
      </c>
      <c r="GP9" s="159" t="str">
        <f t="shared" si="10"/>
        <v>N/A</v>
      </c>
      <c r="GQ9" s="159" t="str">
        <f t="shared" si="23"/>
        <v>N/A</v>
      </c>
      <c r="GR9" s="159" t="str">
        <f t="shared" si="24"/>
        <v>N/A</v>
      </c>
      <c r="GS9" s="159" t="str">
        <f t="shared" si="11"/>
        <v>N/A</v>
      </c>
      <c r="GT9" s="159" t="str">
        <f t="shared" si="12"/>
        <v>N/A</v>
      </c>
      <c r="GU9" s="159" t="str">
        <f t="shared" si="13"/>
        <v>N/A</v>
      </c>
      <c r="GV9" s="159" t="str">
        <f t="shared" si="14"/>
        <v>N/A</v>
      </c>
      <c r="GW9" s="159" t="str">
        <f t="shared" si="15"/>
        <v>N/A</v>
      </c>
      <c r="GX9" s="159" t="str">
        <f t="shared" si="16"/>
        <v>N/A</v>
      </c>
      <c r="GY9" s="159">
        <f t="shared" si="17"/>
        <v>30.833333333333332</v>
      </c>
      <c r="GZ9" s="159">
        <f t="shared" si="18"/>
        <v>32.6</v>
      </c>
      <c r="HA9" s="159">
        <f t="shared" si="19"/>
        <v>36.333333333333336</v>
      </c>
      <c r="HB9" s="159">
        <f t="shared" si="1"/>
        <v>30.833333333333332</v>
      </c>
      <c r="HC9" s="159">
        <f t="shared" si="20"/>
        <v>59.133333333333333</v>
      </c>
      <c r="HD9" s="159">
        <f t="shared" si="21"/>
        <v>58.4</v>
      </c>
      <c r="HE9" s="159" t="str">
        <f t="shared" si="22"/>
        <v>N/A</v>
      </c>
      <c r="HF9" s="160">
        <f t="shared" si="2"/>
        <v>59.133333333333333</v>
      </c>
      <c r="HG9" s="160" cm="1">
        <f t="array" ref="HG9">INDEX($HB9:$HD9,MATCH(TRUE,INDEX(ISNUMBER($HB9:$HD9),0),0))</f>
        <v>30.833333333333332</v>
      </c>
      <c r="HH9" s="161">
        <f t="shared" si="3"/>
        <v>1</v>
      </c>
      <c r="HI9" s="86">
        <f t="shared" si="4"/>
        <v>1</v>
      </c>
      <c r="HJ9" s="111">
        <f t="shared" si="5"/>
        <v>1</v>
      </c>
      <c r="HK9" s="205" t="str">
        <f t="shared" si="6"/>
        <v>1</v>
      </c>
    </row>
    <row r="10" spans="1:219" ht="15" customHeight="1" x14ac:dyDescent="0.3">
      <c r="A10" s="80">
        <v>4308901790</v>
      </c>
      <c r="B10" s="74" t="s">
        <v>220</v>
      </c>
      <c r="C10" s="170" t="s">
        <v>227</v>
      </c>
      <c r="D10" s="74" t="s">
        <v>241</v>
      </c>
      <c r="E10" s="80" t="s">
        <v>227</v>
      </c>
      <c r="F10" s="80" t="s">
        <v>227</v>
      </c>
      <c r="G10" s="80" t="s">
        <v>227</v>
      </c>
      <c r="H10" s="80" t="s">
        <v>227</v>
      </c>
      <c r="I10" s="157" t="s">
        <v>292</v>
      </c>
      <c r="J10" s="80" t="s">
        <v>227</v>
      </c>
      <c r="K10" s="78">
        <v>41106</v>
      </c>
      <c r="L10" s="80" t="s">
        <v>226</v>
      </c>
      <c r="M10" s="80" t="s">
        <v>293</v>
      </c>
      <c r="N10" s="168" t="s">
        <v>294</v>
      </c>
      <c r="O10" s="80" t="s">
        <v>295</v>
      </c>
      <c r="P10" s="78">
        <v>42219</v>
      </c>
      <c r="Q10" s="74" t="s">
        <v>255</v>
      </c>
      <c r="R10" s="80" t="s">
        <v>293</v>
      </c>
      <c r="S10" s="80" t="s">
        <v>296</v>
      </c>
      <c r="T10" s="80" t="s">
        <v>295</v>
      </c>
      <c r="U10" s="78">
        <v>42219</v>
      </c>
      <c r="V10" s="74" t="s">
        <v>255</v>
      </c>
      <c r="W10" s="80" t="s">
        <v>227</v>
      </c>
      <c r="X10" s="80" t="s">
        <v>227</v>
      </c>
      <c r="Y10" s="80" t="s">
        <v>227</v>
      </c>
      <c r="Z10" s="80" t="s">
        <v>227</v>
      </c>
      <c r="AA10" s="80" t="s">
        <v>227</v>
      </c>
      <c r="AB10" s="80" t="s">
        <v>227</v>
      </c>
      <c r="AC10" s="80" t="s">
        <v>227</v>
      </c>
      <c r="AD10" s="80" t="s">
        <v>227</v>
      </c>
      <c r="AE10" s="80" t="s">
        <v>227</v>
      </c>
      <c r="AF10" s="80" t="s">
        <v>227</v>
      </c>
      <c r="AG10" s="80" t="s">
        <v>227</v>
      </c>
      <c r="AH10" s="80" t="s">
        <v>227</v>
      </c>
      <c r="AI10" s="80" t="s">
        <v>227</v>
      </c>
      <c r="AJ10" s="80" t="s">
        <v>227</v>
      </c>
      <c r="AK10" s="80" t="s">
        <v>227</v>
      </c>
      <c r="AL10" s="80" t="s">
        <v>227</v>
      </c>
      <c r="AM10" s="80" t="s">
        <v>227</v>
      </c>
      <c r="AN10" s="80" t="s">
        <v>227</v>
      </c>
      <c r="AO10" s="80" t="s">
        <v>227</v>
      </c>
      <c r="AP10" s="80" t="s">
        <v>227</v>
      </c>
      <c r="AQ10" s="80" t="s">
        <v>228</v>
      </c>
      <c r="AR10" s="78">
        <v>19868</v>
      </c>
      <c r="AS10" s="78">
        <v>41050</v>
      </c>
      <c r="AT10" s="148">
        <f t="shared" ref="AT10" si="25">DATEDIF(AR10, AS10,"Y")</f>
        <v>57</v>
      </c>
      <c r="AU10" s="164" t="s">
        <v>285</v>
      </c>
      <c r="AV10" s="74" t="s">
        <v>256</v>
      </c>
      <c r="AW10" s="74" t="s">
        <v>241</v>
      </c>
      <c r="AX10" s="80" t="s">
        <v>264</v>
      </c>
      <c r="AY10" s="80">
        <v>1</v>
      </c>
      <c r="AZ10" s="80" t="s">
        <v>232</v>
      </c>
      <c r="BA10" s="157" t="s">
        <v>297</v>
      </c>
      <c r="BB10" s="80" t="s">
        <v>298</v>
      </c>
      <c r="BC10" s="80">
        <v>3</v>
      </c>
      <c r="BD10" s="74" t="s">
        <v>299</v>
      </c>
      <c r="BE10" s="157" t="s">
        <v>300</v>
      </c>
      <c r="BF10" s="170" t="s">
        <v>220</v>
      </c>
      <c r="BG10" s="171" t="s">
        <v>227</v>
      </c>
      <c r="BH10" s="171" t="s">
        <v>227</v>
      </c>
      <c r="BI10" s="171" t="s">
        <v>227</v>
      </c>
      <c r="BJ10" s="171" t="s">
        <v>227</v>
      </c>
      <c r="BK10" s="171" t="s">
        <v>227</v>
      </c>
      <c r="BL10" s="171" t="s">
        <v>227</v>
      </c>
      <c r="BM10" s="171" t="s">
        <v>227</v>
      </c>
      <c r="BN10" s="171" t="s">
        <v>227</v>
      </c>
      <c r="BO10" s="171" t="s">
        <v>227</v>
      </c>
      <c r="BP10" s="166" t="s">
        <v>227</v>
      </c>
      <c r="BQ10" s="80" t="s">
        <v>227</v>
      </c>
      <c r="BR10" s="80" t="s">
        <v>227</v>
      </c>
      <c r="BS10" s="80" t="s">
        <v>227</v>
      </c>
      <c r="BT10" s="80" t="s">
        <v>227</v>
      </c>
      <c r="BU10" s="80" t="s">
        <v>227</v>
      </c>
      <c r="BV10" s="80" t="s">
        <v>227</v>
      </c>
      <c r="BW10" s="80" t="s">
        <v>227</v>
      </c>
      <c r="BX10" s="80" t="s">
        <v>227</v>
      </c>
      <c r="BY10" s="80" t="s">
        <v>227</v>
      </c>
      <c r="BZ10" s="80" t="s">
        <v>227</v>
      </c>
      <c r="CA10" s="80" t="s">
        <v>227</v>
      </c>
      <c r="CB10" s="80" t="s">
        <v>227</v>
      </c>
      <c r="CC10" s="80" t="s">
        <v>227</v>
      </c>
      <c r="CD10" s="80" t="s">
        <v>227</v>
      </c>
      <c r="CE10" s="80" t="s">
        <v>227</v>
      </c>
      <c r="CF10" s="80" t="s">
        <v>227</v>
      </c>
      <c r="CG10" s="80" t="s">
        <v>227</v>
      </c>
      <c r="CH10" s="80" t="s">
        <v>227</v>
      </c>
      <c r="CI10" s="80" t="s">
        <v>227</v>
      </c>
      <c r="CJ10" s="80" t="s">
        <v>227</v>
      </c>
      <c r="CK10" s="80" t="s">
        <v>227</v>
      </c>
      <c r="CL10" s="80" t="s">
        <v>227</v>
      </c>
      <c r="CM10" s="80" t="s">
        <v>227</v>
      </c>
      <c r="CN10" s="172" t="s">
        <v>249</v>
      </c>
      <c r="CO10" s="157" t="s">
        <v>287</v>
      </c>
      <c r="CP10" s="156">
        <v>41156</v>
      </c>
      <c r="CQ10" s="156">
        <v>41270</v>
      </c>
      <c r="CR10" s="157" t="s">
        <v>248</v>
      </c>
      <c r="CS10" s="166" t="s">
        <v>227</v>
      </c>
      <c r="CT10" s="80" t="s">
        <v>227</v>
      </c>
      <c r="CU10" s="80" t="s">
        <v>227</v>
      </c>
      <c r="CV10" s="166" t="s">
        <v>227</v>
      </c>
      <c r="CW10" s="80" t="s">
        <v>227</v>
      </c>
      <c r="CX10" s="80" t="s">
        <v>227</v>
      </c>
      <c r="CY10" s="80" t="s">
        <v>227</v>
      </c>
      <c r="CZ10" s="80" t="s">
        <v>227</v>
      </c>
      <c r="DA10" s="80" t="s">
        <v>227</v>
      </c>
      <c r="DB10" s="80" t="s">
        <v>227</v>
      </c>
      <c r="DC10" s="80" t="s">
        <v>227</v>
      </c>
      <c r="DD10" s="80" t="s">
        <v>227</v>
      </c>
      <c r="DE10" s="80" t="s">
        <v>227</v>
      </c>
      <c r="DF10" s="80" t="s">
        <v>227</v>
      </c>
      <c r="DG10" s="80" t="s">
        <v>227</v>
      </c>
      <c r="DH10" s="80" t="s">
        <v>227</v>
      </c>
      <c r="DI10" s="80" t="s">
        <v>227</v>
      </c>
      <c r="DJ10" s="80" t="s">
        <v>227</v>
      </c>
      <c r="DK10" s="80" t="s">
        <v>227</v>
      </c>
      <c r="DL10" s="80" t="s">
        <v>227</v>
      </c>
      <c r="DM10" s="80" t="s">
        <v>227</v>
      </c>
      <c r="DN10" s="80" t="s">
        <v>227</v>
      </c>
      <c r="DO10" s="80" t="s">
        <v>227</v>
      </c>
      <c r="DP10" s="80" t="s">
        <v>227</v>
      </c>
      <c r="DQ10" s="80" t="s">
        <v>227</v>
      </c>
      <c r="DR10" s="80" t="s">
        <v>227</v>
      </c>
      <c r="DS10" s="80" t="s">
        <v>227</v>
      </c>
      <c r="DT10" s="80" t="s">
        <v>227</v>
      </c>
      <c r="DU10" s="80" t="s">
        <v>227</v>
      </c>
      <c r="DV10" s="80" t="s">
        <v>227</v>
      </c>
      <c r="DW10" s="80" t="s">
        <v>227</v>
      </c>
      <c r="DX10" s="80" t="s">
        <v>227</v>
      </c>
      <c r="DY10" s="80" t="s">
        <v>227</v>
      </c>
      <c r="DZ10" s="80" t="s">
        <v>227</v>
      </c>
      <c r="EA10" s="80" t="s">
        <v>227</v>
      </c>
      <c r="EB10" s="80" t="s">
        <v>227</v>
      </c>
      <c r="EC10" s="80" t="s">
        <v>227</v>
      </c>
      <c r="ED10" s="80" t="s">
        <v>227</v>
      </c>
      <c r="EE10" s="80" t="s">
        <v>227</v>
      </c>
      <c r="EF10" s="80" t="s">
        <v>227</v>
      </c>
      <c r="EG10" s="80" t="s">
        <v>227</v>
      </c>
      <c r="EH10" s="80" t="s">
        <v>227</v>
      </c>
      <c r="EI10" s="156">
        <v>41744</v>
      </c>
      <c r="EJ10" s="157" t="s">
        <v>301</v>
      </c>
      <c r="EK10" s="172" t="s">
        <v>249</v>
      </c>
      <c r="EL10" s="157" t="s">
        <v>302</v>
      </c>
      <c r="EM10" s="156">
        <v>41760</v>
      </c>
      <c r="EN10" s="156">
        <v>41852</v>
      </c>
      <c r="EO10" s="80" t="s">
        <v>277</v>
      </c>
      <c r="EP10" s="172" t="s">
        <v>246</v>
      </c>
      <c r="EQ10" s="157" t="s">
        <v>303</v>
      </c>
      <c r="ER10" s="157" t="s">
        <v>277</v>
      </c>
      <c r="ES10" s="172" t="s">
        <v>246</v>
      </c>
      <c r="ET10" s="157" t="s">
        <v>304</v>
      </c>
      <c r="EU10" s="157" t="s">
        <v>231</v>
      </c>
      <c r="EV10" s="166" t="s">
        <v>227</v>
      </c>
      <c r="EW10" s="80" t="s">
        <v>227</v>
      </c>
      <c r="EX10" s="80" t="s">
        <v>227</v>
      </c>
      <c r="EY10" s="166" t="s">
        <v>227</v>
      </c>
      <c r="EZ10" s="80" t="s">
        <v>227</v>
      </c>
      <c r="FA10" s="80" t="s">
        <v>227</v>
      </c>
      <c r="FB10" s="147" t="s">
        <v>227</v>
      </c>
      <c r="FC10" s="80" t="s">
        <v>227</v>
      </c>
      <c r="FD10" s="80" t="s">
        <v>227</v>
      </c>
      <c r="FE10" s="80" t="s">
        <v>227</v>
      </c>
      <c r="FF10" s="80" t="s">
        <v>227</v>
      </c>
      <c r="FG10" s="80" t="s">
        <v>227</v>
      </c>
      <c r="FH10" s="80" t="s">
        <v>227</v>
      </c>
      <c r="FI10" s="80" t="s">
        <v>227</v>
      </c>
      <c r="FJ10" s="80" t="s">
        <v>227</v>
      </c>
      <c r="FK10" s="80" t="s">
        <v>227</v>
      </c>
      <c r="FL10" s="80" t="s">
        <v>227</v>
      </c>
      <c r="FM10" s="80" t="s">
        <v>227</v>
      </c>
      <c r="FN10" s="80" t="s">
        <v>227</v>
      </c>
      <c r="FO10" s="80" t="s">
        <v>227</v>
      </c>
      <c r="FP10" s="80" t="s">
        <v>227</v>
      </c>
      <c r="FQ10" s="80" t="s">
        <v>227</v>
      </c>
      <c r="FR10" s="80" t="s">
        <v>227</v>
      </c>
      <c r="FS10" s="80" t="s">
        <v>227</v>
      </c>
      <c r="FT10" s="80" t="s">
        <v>227</v>
      </c>
      <c r="FU10" s="80" t="s">
        <v>227</v>
      </c>
      <c r="FV10" s="80" t="s">
        <v>227</v>
      </c>
      <c r="FW10" s="80" t="s">
        <v>227</v>
      </c>
      <c r="FX10" s="80" t="s">
        <v>227</v>
      </c>
      <c r="FY10" s="80" t="s">
        <v>227</v>
      </c>
      <c r="FZ10" s="80" t="s">
        <v>227</v>
      </c>
      <c r="GA10" s="80" t="s">
        <v>227</v>
      </c>
      <c r="GB10" s="80" t="s">
        <v>227</v>
      </c>
      <c r="GC10" s="80" t="s">
        <v>227</v>
      </c>
      <c r="GD10" s="80" t="s">
        <v>227</v>
      </c>
      <c r="GE10" s="80" t="s">
        <v>227</v>
      </c>
      <c r="GF10" s="167" t="s">
        <v>236</v>
      </c>
      <c r="GG10" s="78">
        <v>42327</v>
      </c>
      <c r="GH10" s="74" t="s">
        <v>241</v>
      </c>
      <c r="GI10" s="80" t="s">
        <v>231</v>
      </c>
      <c r="GJ10" s="156">
        <v>42303</v>
      </c>
      <c r="GK10" s="78" t="s">
        <v>227</v>
      </c>
      <c r="GL10" s="78" t="s">
        <v>227</v>
      </c>
      <c r="GM10" s="159" t="str">
        <f t="shared" ref="GM10" si="26">IFERROR(INT(BJ10 - $AS10)/30,"N/A")</f>
        <v>N/A</v>
      </c>
      <c r="GN10" s="159" t="str">
        <f t="shared" ref="GN10" si="27">IFERROR(INT(BK10 - $AS10)/30,"N/A")</f>
        <v>N/A</v>
      </c>
      <c r="GO10" s="159" t="str">
        <f t="shared" ref="GO10" si="28">IFERROR(INT(H10 - $AS10)/30,"N/A")</f>
        <v>N/A</v>
      </c>
      <c r="GP10" s="159">
        <f t="shared" ref="GP10" si="29">IFERROR(INT(K10 - $AS10)/30,"N/A")</f>
        <v>1.8666666666666667</v>
      </c>
      <c r="GQ10" s="159">
        <f t="shared" ref="GQ10" si="30">IFERROR(INT(P10 - $AS10)/30,"N/A")</f>
        <v>38.966666666666669</v>
      </c>
      <c r="GR10" s="159">
        <f t="shared" ref="GR10" si="31">IFERROR(INT(U10 - $AS10)/30,"N/A")</f>
        <v>38.966666666666669</v>
      </c>
      <c r="GS10" s="159" t="str">
        <f t="shared" ref="GS10" si="32">IFERROR(INT(Z10 - $AS10)/30,"N/A")</f>
        <v>N/A</v>
      </c>
      <c r="GT10" s="159" t="str">
        <f t="shared" ref="GT10" si="33">IFERROR(INT(AE10 - $AS10)/30,"N/A")</f>
        <v>N/A</v>
      </c>
      <c r="GU10" s="159" t="str">
        <f t="shared" ref="GU10" si="34">IFERROR(INT(AJ10 - $AS10)/30,"N/A")</f>
        <v>N/A</v>
      </c>
      <c r="GV10" s="159" t="str">
        <f t="shared" ref="GV10" si="35">IFERROR(INT(AO10 - $AS10)/30,"N/A")</f>
        <v>N/A</v>
      </c>
      <c r="GW10" s="159">
        <f t="shared" ref="GW10" si="36">IFERROR(INT(CP10 - $AS10)/30,"N/A")</f>
        <v>3.5333333333333332</v>
      </c>
      <c r="GX10" s="159">
        <f t="shared" ref="GX10" si="37">IFERROR(INT(CQ10 - $AS10)/30,"N/A")</f>
        <v>7.333333333333333</v>
      </c>
      <c r="GY10" s="159">
        <f t="shared" ref="GY10" si="38">IFERROR(INT(EI10 - $AS10)/30,"N/A")</f>
        <v>23.133333333333333</v>
      </c>
      <c r="GZ10" s="159">
        <f t="shared" ref="GZ10" si="39">IFERROR(INT(EM10 - $AS10)/30,"N/A")</f>
        <v>23.666666666666668</v>
      </c>
      <c r="HA10" s="159">
        <f t="shared" ref="HA10" si="40">IFERROR(INT(EN10 - $AS10)/30,"N/A")</f>
        <v>26.733333333333334</v>
      </c>
      <c r="HB10" s="159">
        <f t="shared" si="1"/>
        <v>23.133333333333333</v>
      </c>
      <c r="HC10" s="159">
        <f t="shared" ref="HC10" si="41">IFERROR(INT(GG10 - $AS10)/30,"N/A")</f>
        <v>42.56666666666667</v>
      </c>
      <c r="HD10" s="159">
        <f t="shared" ref="HD10" si="42">IFERROR(INT(GJ10 - $AS10)/30,"N/A")</f>
        <v>41.766666666666666</v>
      </c>
      <c r="HE10" s="159" t="str">
        <f t="shared" ref="HE10" si="43">IFERROR(INT(GK10 - $AS10)/30,"N/A")</f>
        <v>N/A</v>
      </c>
      <c r="HF10" s="160">
        <f t="shared" si="2"/>
        <v>42.56666666666667</v>
      </c>
      <c r="HG10" s="160" cm="1">
        <f t="array" ref="HG10">INDEX($HB10:$HD10,MATCH(TRUE,INDEX(ISNUMBER($HB10:$HD10),0),0))</f>
        <v>23.133333333333333</v>
      </c>
      <c r="HH10" s="161">
        <f t="shared" si="3"/>
        <v>1</v>
      </c>
      <c r="HI10" s="86">
        <f t="shared" si="4"/>
        <v>1</v>
      </c>
      <c r="HJ10" s="111">
        <f t="shared" si="5"/>
        <v>1</v>
      </c>
      <c r="HK10" s="205" t="str">
        <f t="shared" si="6"/>
        <v>1</v>
      </c>
    </row>
    <row r="11" spans="1:219" ht="15" customHeight="1" x14ac:dyDescent="0.3">
      <c r="A11" s="80">
        <v>4463583314</v>
      </c>
      <c r="B11" s="74" t="s">
        <v>220</v>
      </c>
      <c r="C11" s="170" t="s">
        <v>227</v>
      </c>
      <c r="D11" s="74" t="s">
        <v>241</v>
      </c>
      <c r="E11" s="80" t="s">
        <v>227</v>
      </c>
      <c r="F11" s="80" t="s">
        <v>227</v>
      </c>
      <c r="G11" s="80" t="s">
        <v>227</v>
      </c>
      <c r="H11" s="80" t="s">
        <v>227</v>
      </c>
      <c r="I11" s="157" t="s">
        <v>305</v>
      </c>
      <c r="J11" s="80" t="s">
        <v>227</v>
      </c>
      <c r="K11" s="78">
        <v>42503</v>
      </c>
      <c r="L11" s="80" t="s">
        <v>226</v>
      </c>
      <c r="M11" s="80" t="s">
        <v>306</v>
      </c>
      <c r="N11" s="168" t="s">
        <v>307</v>
      </c>
      <c r="O11" s="80" t="s">
        <v>308</v>
      </c>
      <c r="P11" s="78">
        <v>42776</v>
      </c>
      <c r="Q11" s="74" t="s">
        <v>221</v>
      </c>
      <c r="R11" s="80" t="s">
        <v>227</v>
      </c>
      <c r="S11" s="80" t="s">
        <v>227</v>
      </c>
      <c r="T11" s="80" t="s">
        <v>227</v>
      </c>
      <c r="U11" s="80" t="s">
        <v>227</v>
      </c>
      <c r="V11" s="80" t="s">
        <v>227</v>
      </c>
      <c r="W11" s="80" t="s">
        <v>227</v>
      </c>
      <c r="X11" s="80" t="s">
        <v>227</v>
      </c>
      <c r="Y11" s="80" t="s">
        <v>227</v>
      </c>
      <c r="Z11" s="80" t="s">
        <v>227</v>
      </c>
      <c r="AA11" s="80" t="s">
        <v>227</v>
      </c>
      <c r="AB11" s="80" t="s">
        <v>227</v>
      </c>
      <c r="AC11" s="80" t="s">
        <v>227</v>
      </c>
      <c r="AD11" s="80" t="s">
        <v>227</v>
      </c>
      <c r="AE11" s="80" t="s">
        <v>227</v>
      </c>
      <c r="AF11" s="80" t="s">
        <v>227</v>
      </c>
      <c r="AG11" s="80" t="s">
        <v>227</v>
      </c>
      <c r="AH11" s="80" t="s">
        <v>227</v>
      </c>
      <c r="AI11" s="80" t="s">
        <v>227</v>
      </c>
      <c r="AJ11" s="80" t="s">
        <v>227</v>
      </c>
      <c r="AK11" s="80" t="s">
        <v>227</v>
      </c>
      <c r="AL11" s="80" t="s">
        <v>227</v>
      </c>
      <c r="AM11" s="80" t="s">
        <v>227</v>
      </c>
      <c r="AN11" s="80" t="s">
        <v>227</v>
      </c>
      <c r="AO11" s="80" t="s">
        <v>227</v>
      </c>
      <c r="AP11" s="80" t="s">
        <v>227</v>
      </c>
      <c r="AQ11" s="80" t="s">
        <v>228</v>
      </c>
      <c r="AR11" s="78">
        <v>19777</v>
      </c>
      <c r="AS11" s="78">
        <v>42464</v>
      </c>
      <c r="AT11" s="148">
        <f t="shared" si="0"/>
        <v>62</v>
      </c>
      <c r="AU11" s="163" t="s">
        <v>263</v>
      </c>
      <c r="AV11" s="74" t="s">
        <v>256</v>
      </c>
      <c r="AW11" s="74" t="s">
        <v>241</v>
      </c>
      <c r="AX11" s="157" t="s">
        <v>309</v>
      </c>
      <c r="AY11" s="80">
        <v>0</v>
      </c>
      <c r="AZ11" s="80" t="s">
        <v>232</v>
      </c>
      <c r="BA11" s="80">
        <f>_xlfn.NUMBERVALUE(RIGHT($BB11), ".", ",")</f>
        <v>0</v>
      </c>
      <c r="BB11" s="157" t="s">
        <v>310</v>
      </c>
      <c r="BC11" s="80">
        <v>3</v>
      </c>
      <c r="BD11" s="74" t="s">
        <v>243</v>
      </c>
      <c r="BE11" s="80" t="s">
        <v>234</v>
      </c>
      <c r="BF11" s="74" t="s">
        <v>220</v>
      </c>
      <c r="BG11" s="165" t="s">
        <v>227</v>
      </c>
      <c r="BH11" s="166" t="s">
        <v>227</v>
      </c>
      <c r="BI11" s="80" t="s">
        <v>227</v>
      </c>
      <c r="BJ11" s="78" t="s">
        <v>227</v>
      </c>
      <c r="BK11" s="78" t="s">
        <v>227</v>
      </c>
      <c r="BL11" s="80" t="s">
        <v>227</v>
      </c>
      <c r="BM11" s="166" t="s">
        <v>227</v>
      </c>
      <c r="BN11" s="80" t="s">
        <v>227</v>
      </c>
      <c r="BO11" s="80" t="s">
        <v>227</v>
      </c>
      <c r="BP11" s="166" t="s">
        <v>227</v>
      </c>
      <c r="BQ11" s="80" t="s">
        <v>227</v>
      </c>
      <c r="BR11" s="80" t="s">
        <v>227</v>
      </c>
      <c r="BS11" s="80" t="s">
        <v>227</v>
      </c>
      <c r="BT11" s="80" t="s">
        <v>227</v>
      </c>
      <c r="BU11" s="80" t="s">
        <v>227</v>
      </c>
      <c r="BV11" s="80" t="s">
        <v>227</v>
      </c>
      <c r="BW11" s="80" t="s">
        <v>227</v>
      </c>
      <c r="BX11" s="80" t="s">
        <v>227</v>
      </c>
      <c r="BY11" s="80" t="s">
        <v>227</v>
      </c>
      <c r="BZ11" s="80" t="s">
        <v>227</v>
      </c>
      <c r="CA11" s="80" t="s">
        <v>227</v>
      </c>
      <c r="CB11" s="80" t="s">
        <v>227</v>
      </c>
      <c r="CC11" s="80" t="s">
        <v>227</v>
      </c>
      <c r="CD11" s="80" t="s">
        <v>227</v>
      </c>
      <c r="CE11" s="80" t="s">
        <v>227</v>
      </c>
      <c r="CF11" s="80" t="s">
        <v>227</v>
      </c>
      <c r="CG11" s="80" t="s">
        <v>227</v>
      </c>
      <c r="CH11" s="80" t="s">
        <v>227</v>
      </c>
      <c r="CI11" s="80" t="s">
        <v>227</v>
      </c>
      <c r="CJ11" s="80" t="s">
        <v>227</v>
      </c>
      <c r="CK11" s="80" t="s">
        <v>227</v>
      </c>
      <c r="CL11" s="80" t="s">
        <v>227</v>
      </c>
      <c r="CM11" s="80" t="s">
        <v>227</v>
      </c>
      <c r="CN11" s="172" t="s">
        <v>227</v>
      </c>
      <c r="CO11" s="172" t="s">
        <v>227</v>
      </c>
      <c r="CP11" s="172" t="s">
        <v>227</v>
      </c>
      <c r="CQ11" s="172" t="s">
        <v>227</v>
      </c>
      <c r="CR11" s="172" t="s">
        <v>227</v>
      </c>
      <c r="CS11" s="166" t="s">
        <v>227</v>
      </c>
      <c r="CT11" s="80" t="s">
        <v>227</v>
      </c>
      <c r="CU11" s="80" t="s">
        <v>227</v>
      </c>
      <c r="CV11" s="166" t="s">
        <v>227</v>
      </c>
      <c r="CW11" s="80" t="s">
        <v>227</v>
      </c>
      <c r="CX11" s="80" t="s">
        <v>227</v>
      </c>
      <c r="CY11" s="80" t="s">
        <v>227</v>
      </c>
      <c r="CZ11" s="80" t="s">
        <v>227</v>
      </c>
      <c r="DA11" s="80" t="s">
        <v>227</v>
      </c>
      <c r="DB11" s="80" t="s">
        <v>227</v>
      </c>
      <c r="DC11" s="80" t="s">
        <v>227</v>
      </c>
      <c r="DD11" s="80" t="s">
        <v>227</v>
      </c>
      <c r="DE11" s="80" t="s">
        <v>227</v>
      </c>
      <c r="DF11" s="80" t="s">
        <v>227</v>
      </c>
      <c r="DG11" s="80" t="s">
        <v>227</v>
      </c>
      <c r="DH11" s="80" t="s">
        <v>227</v>
      </c>
      <c r="DI11" s="80" t="s">
        <v>227</v>
      </c>
      <c r="DJ11" s="80" t="s">
        <v>227</v>
      </c>
      <c r="DK11" s="80" t="s">
        <v>227</v>
      </c>
      <c r="DL11" s="80" t="s">
        <v>227</v>
      </c>
      <c r="DM11" s="80" t="s">
        <v>227</v>
      </c>
      <c r="DN11" s="80" t="s">
        <v>227</v>
      </c>
      <c r="DO11" s="80" t="s">
        <v>227</v>
      </c>
      <c r="DP11" s="80" t="s">
        <v>227</v>
      </c>
      <c r="DQ11" s="80" t="s">
        <v>227</v>
      </c>
      <c r="DR11" s="80" t="s">
        <v>227</v>
      </c>
      <c r="DS11" s="80" t="s">
        <v>227</v>
      </c>
      <c r="DT11" s="80" t="s">
        <v>227</v>
      </c>
      <c r="DU11" s="80" t="s">
        <v>227</v>
      </c>
      <c r="DV11" s="80" t="s">
        <v>227</v>
      </c>
      <c r="DW11" s="80" t="s">
        <v>227</v>
      </c>
      <c r="DX11" s="80" t="s">
        <v>227</v>
      </c>
      <c r="DY11" s="80" t="s">
        <v>227</v>
      </c>
      <c r="DZ11" s="80" t="s">
        <v>227</v>
      </c>
      <c r="EA11" s="80" t="s">
        <v>227</v>
      </c>
      <c r="EB11" s="80" t="s">
        <v>227</v>
      </c>
      <c r="EC11" s="80" t="s">
        <v>227</v>
      </c>
      <c r="ED11" s="80" t="s">
        <v>227</v>
      </c>
      <c r="EE11" s="80" t="s">
        <v>227</v>
      </c>
      <c r="EF11" s="80" t="s">
        <v>227</v>
      </c>
      <c r="EG11" s="80" t="s">
        <v>227</v>
      </c>
      <c r="EH11" s="80" t="s">
        <v>227</v>
      </c>
      <c r="EI11" s="156">
        <v>42776</v>
      </c>
      <c r="EJ11" s="157" t="s">
        <v>245</v>
      </c>
      <c r="EK11" s="172" t="s">
        <v>246</v>
      </c>
      <c r="EL11" s="157" t="s">
        <v>311</v>
      </c>
      <c r="EM11" s="156">
        <v>42835</v>
      </c>
      <c r="EN11" s="156">
        <v>42887</v>
      </c>
      <c r="EO11" s="157" t="s">
        <v>248</v>
      </c>
      <c r="EP11" s="166" t="s">
        <v>227</v>
      </c>
      <c r="EQ11" s="80" t="s">
        <v>227</v>
      </c>
      <c r="ER11" s="80" t="s">
        <v>227</v>
      </c>
      <c r="ES11" s="166" t="s">
        <v>227</v>
      </c>
      <c r="ET11" s="80" t="s">
        <v>227</v>
      </c>
      <c r="EU11" s="80" t="s">
        <v>227</v>
      </c>
      <c r="EV11" s="166" t="s">
        <v>227</v>
      </c>
      <c r="EW11" s="80" t="s">
        <v>227</v>
      </c>
      <c r="EX11" s="80" t="s">
        <v>227</v>
      </c>
      <c r="EY11" s="166" t="s">
        <v>227</v>
      </c>
      <c r="EZ11" s="80" t="s">
        <v>227</v>
      </c>
      <c r="FA11" s="80" t="s">
        <v>227</v>
      </c>
      <c r="FB11" s="147" t="s">
        <v>227</v>
      </c>
      <c r="FC11" s="80" t="s">
        <v>227</v>
      </c>
      <c r="FD11" s="80" t="s">
        <v>227</v>
      </c>
      <c r="FE11" s="80" t="s">
        <v>227</v>
      </c>
      <c r="FF11" s="80" t="s">
        <v>227</v>
      </c>
      <c r="FG11" s="80" t="s">
        <v>227</v>
      </c>
      <c r="FH11" s="80" t="s">
        <v>227</v>
      </c>
      <c r="FI11" s="80" t="s">
        <v>227</v>
      </c>
      <c r="FJ11" s="80" t="s">
        <v>227</v>
      </c>
      <c r="FK11" s="80" t="s">
        <v>227</v>
      </c>
      <c r="FL11" s="80" t="s">
        <v>227</v>
      </c>
      <c r="FM11" s="80" t="s">
        <v>227</v>
      </c>
      <c r="FN11" s="80" t="s">
        <v>227</v>
      </c>
      <c r="FO11" s="80" t="s">
        <v>227</v>
      </c>
      <c r="FP11" s="80" t="s">
        <v>227</v>
      </c>
      <c r="FQ11" s="80" t="s">
        <v>227</v>
      </c>
      <c r="FR11" s="80" t="s">
        <v>227</v>
      </c>
      <c r="FS11" s="80" t="s">
        <v>227</v>
      </c>
      <c r="FT11" s="80" t="s">
        <v>227</v>
      </c>
      <c r="FU11" s="80" t="s">
        <v>227</v>
      </c>
      <c r="FV11" s="80" t="s">
        <v>227</v>
      </c>
      <c r="FW11" s="80" t="s">
        <v>227</v>
      </c>
      <c r="FX11" s="80" t="s">
        <v>227</v>
      </c>
      <c r="FY11" s="80" t="s">
        <v>227</v>
      </c>
      <c r="FZ11" s="80" t="s">
        <v>227</v>
      </c>
      <c r="GA11" s="80" t="s">
        <v>227</v>
      </c>
      <c r="GB11" s="80" t="s">
        <v>227</v>
      </c>
      <c r="GC11" s="80" t="s">
        <v>227</v>
      </c>
      <c r="GD11" s="80" t="s">
        <v>227</v>
      </c>
      <c r="GE11" s="80" t="s">
        <v>227</v>
      </c>
      <c r="GF11" s="167" t="s">
        <v>312</v>
      </c>
      <c r="GG11" s="78" t="s">
        <v>227</v>
      </c>
      <c r="GH11" s="74" t="s">
        <v>227</v>
      </c>
      <c r="GI11" s="80" t="s">
        <v>227</v>
      </c>
      <c r="GJ11" s="78">
        <v>45091</v>
      </c>
      <c r="GK11" s="78">
        <v>45973</v>
      </c>
      <c r="GL11" s="78" t="s">
        <v>227</v>
      </c>
      <c r="GM11" s="159" t="str">
        <f t="shared" si="7"/>
        <v>N/A</v>
      </c>
      <c r="GN11" s="159" t="str">
        <f t="shared" si="8"/>
        <v>N/A</v>
      </c>
      <c r="GO11" s="159" t="str">
        <f t="shared" si="9"/>
        <v>N/A</v>
      </c>
      <c r="GP11" s="159">
        <f t="shared" si="10"/>
        <v>1.3</v>
      </c>
      <c r="GQ11" s="159">
        <f t="shared" si="23"/>
        <v>10.4</v>
      </c>
      <c r="GR11" s="159" t="str">
        <f t="shared" si="24"/>
        <v>N/A</v>
      </c>
      <c r="GS11" s="159" t="str">
        <f t="shared" si="11"/>
        <v>N/A</v>
      </c>
      <c r="GT11" s="159" t="str">
        <f t="shared" si="12"/>
        <v>N/A</v>
      </c>
      <c r="GU11" s="159" t="str">
        <f t="shared" si="13"/>
        <v>N/A</v>
      </c>
      <c r="GV11" s="159" t="str">
        <f t="shared" si="14"/>
        <v>N/A</v>
      </c>
      <c r="GW11" s="159" t="str">
        <f t="shared" si="15"/>
        <v>N/A</v>
      </c>
      <c r="GX11" s="159" t="str">
        <f t="shared" si="16"/>
        <v>N/A</v>
      </c>
      <c r="GY11" s="159">
        <f t="shared" si="17"/>
        <v>10.4</v>
      </c>
      <c r="GZ11" s="159">
        <f t="shared" si="18"/>
        <v>12.366666666666667</v>
      </c>
      <c r="HA11" s="159">
        <f t="shared" si="19"/>
        <v>14.1</v>
      </c>
      <c r="HB11" s="159">
        <f t="shared" si="1"/>
        <v>10.4</v>
      </c>
      <c r="HC11" s="159" t="str">
        <f t="shared" si="20"/>
        <v>N/A</v>
      </c>
      <c r="HD11" s="159">
        <f t="shared" si="21"/>
        <v>87.566666666666663</v>
      </c>
      <c r="HE11" s="159">
        <f t="shared" si="22"/>
        <v>116.96666666666667</v>
      </c>
      <c r="HF11" s="160">
        <f t="shared" si="2"/>
        <v>116.96666666666667</v>
      </c>
      <c r="HG11" s="160" cm="1">
        <f t="array" ref="HG11">INDEX($HB11:$HD11,MATCH(TRUE,INDEX(ISNUMBER($HB11:$HD11),0),0))</f>
        <v>10.4</v>
      </c>
      <c r="HH11" s="161">
        <f t="shared" si="3"/>
        <v>1</v>
      </c>
      <c r="HI11" s="86">
        <f t="shared" si="4"/>
        <v>0</v>
      </c>
      <c r="HJ11" s="111">
        <f t="shared" si="5"/>
        <v>0</v>
      </c>
      <c r="HK11" s="205" t="str">
        <f t="shared" si="6"/>
        <v>1</v>
      </c>
    </row>
    <row r="12" spans="1:219" ht="15" customHeight="1" x14ac:dyDescent="0.3">
      <c r="A12" s="80">
        <v>4949035150</v>
      </c>
      <c r="B12" s="74" t="s">
        <v>220</v>
      </c>
      <c r="C12" s="74" t="s">
        <v>221</v>
      </c>
      <c r="D12" s="74" t="s">
        <v>220</v>
      </c>
      <c r="E12" s="80" t="s">
        <v>227</v>
      </c>
      <c r="F12" s="80" t="s">
        <v>227</v>
      </c>
      <c r="G12" s="80" t="s">
        <v>227</v>
      </c>
      <c r="H12" s="80" t="s">
        <v>227</v>
      </c>
      <c r="I12" s="157" t="s">
        <v>313</v>
      </c>
      <c r="J12" s="80" t="s">
        <v>227</v>
      </c>
      <c r="K12" s="78" t="s">
        <v>227</v>
      </c>
      <c r="L12" s="157" t="s">
        <v>226</v>
      </c>
      <c r="M12" s="80" t="s">
        <v>314</v>
      </c>
      <c r="N12" s="168" t="s">
        <v>315</v>
      </c>
      <c r="O12" s="80" t="s">
        <v>316</v>
      </c>
      <c r="P12" s="78">
        <v>43627</v>
      </c>
      <c r="Q12" s="74" t="s">
        <v>221</v>
      </c>
      <c r="R12" s="80" t="s">
        <v>227</v>
      </c>
      <c r="S12" s="80" t="s">
        <v>227</v>
      </c>
      <c r="T12" s="80" t="s">
        <v>227</v>
      </c>
      <c r="U12" s="80" t="s">
        <v>227</v>
      </c>
      <c r="V12" s="80" t="s">
        <v>227</v>
      </c>
      <c r="W12" s="80" t="s">
        <v>227</v>
      </c>
      <c r="X12" s="80" t="s">
        <v>227</v>
      </c>
      <c r="Y12" s="80" t="s">
        <v>227</v>
      </c>
      <c r="Z12" s="80" t="s">
        <v>227</v>
      </c>
      <c r="AA12" s="80" t="s">
        <v>227</v>
      </c>
      <c r="AB12" s="80" t="s">
        <v>227</v>
      </c>
      <c r="AC12" s="80" t="s">
        <v>227</v>
      </c>
      <c r="AD12" s="80" t="s">
        <v>227</v>
      </c>
      <c r="AE12" s="80" t="s">
        <v>227</v>
      </c>
      <c r="AF12" s="80" t="s">
        <v>227</v>
      </c>
      <c r="AG12" s="80" t="s">
        <v>227</v>
      </c>
      <c r="AH12" s="80" t="s">
        <v>227</v>
      </c>
      <c r="AI12" s="80" t="s">
        <v>227</v>
      </c>
      <c r="AJ12" s="80" t="s">
        <v>227</v>
      </c>
      <c r="AK12" s="80" t="s">
        <v>227</v>
      </c>
      <c r="AL12" s="80" t="s">
        <v>227</v>
      </c>
      <c r="AM12" s="80" t="s">
        <v>227</v>
      </c>
      <c r="AN12" s="80" t="s">
        <v>227</v>
      </c>
      <c r="AO12" s="80" t="s">
        <v>227</v>
      </c>
      <c r="AP12" s="80" t="s">
        <v>227</v>
      </c>
      <c r="AQ12" s="80" t="s">
        <v>228</v>
      </c>
      <c r="AR12" s="78">
        <v>21593</v>
      </c>
      <c r="AS12" s="78">
        <v>43585</v>
      </c>
      <c r="AT12" s="148">
        <f t="shared" si="0"/>
        <v>60</v>
      </c>
      <c r="AU12" s="163" t="s">
        <v>263</v>
      </c>
      <c r="AV12" s="170" t="s">
        <v>230</v>
      </c>
      <c r="AW12" s="74" t="s">
        <v>227</v>
      </c>
      <c r="AX12" s="80" t="s">
        <v>227</v>
      </c>
      <c r="AY12" s="80" t="s">
        <v>227</v>
      </c>
      <c r="AZ12" s="157" t="s">
        <v>317</v>
      </c>
      <c r="BA12" s="157" t="s">
        <v>318</v>
      </c>
      <c r="BB12" s="157" t="s">
        <v>319</v>
      </c>
      <c r="BC12" s="80">
        <v>3</v>
      </c>
      <c r="BD12" s="74" t="s">
        <v>243</v>
      </c>
      <c r="BE12" s="80" t="s">
        <v>300</v>
      </c>
      <c r="BF12" s="74" t="s">
        <v>220</v>
      </c>
      <c r="BG12" s="165" t="s">
        <v>227</v>
      </c>
      <c r="BH12" s="166" t="s">
        <v>227</v>
      </c>
      <c r="BI12" s="80" t="s">
        <v>227</v>
      </c>
      <c r="BJ12" s="78" t="s">
        <v>227</v>
      </c>
      <c r="BK12" s="78" t="s">
        <v>227</v>
      </c>
      <c r="BL12" s="80" t="s">
        <v>227</v>
      </c>
      <c r="BM12" s="166" t="s">
        <v>227</v>
      </c>
      <c r="BN12" s="80" t="s">
        <v>227</v>
      </c>
      <c r="BO12" s="80" t="s">
        <v>227</v>
      </c>
      <c r="BP12" s="166" t="s">
        <v>227</v>
      </c>
      <c r="BQ12" s="80" t="s">
        <v>227</v>
      </c>
      <c r="BR12" s="80" t="s">
        <v>227</v>
      </c>
      <c r="BS12" s="80" t="s">
        <v>227</v>
      </c>
      <c r="BT12" s="80" t="s">
        <v>227</v>
      </c>
      <c r="BU12" s="80" t="s">
        <v>227</v>
      </c>
      <c r="BV12" s="80" t="s">
        <v>227</v>
      </c>
      <c r="BW12" s="80" t="s">
        <v>227</v>
      </c>
      <c r="BX12" s="80" t="s">
        <v>227</v>
      </c>
      <c r="BY12" s="80" t="s">
        <v>227</v>
      </c>
      <c r="BZ12" s="80" t="s">
        <v>227</v>
      </c>
      <c r="CA12" s="80" t="s">
        <v>227</v>
      </c>
      <c r="CB12" s="80" t="s">
        <v>227</v>
      </c>
      <c r="CC12" s="80" t="s">
        <v>227</v>
      </c>
      <c r="CD12" s="80" t="s">
        <v>227</v>
      </c>
      <c r="CE12" s="80" t="s">
        <v>227</v>
      </c>
      <c r="CF12" s="80" t="s">
        <v>227</v>
      </c>
      <c r="CG12" s="80" t="s">
        <v>227</v>
      </c>
      <c r="CH12" s="80" t="s">
        <v>227</v>
      </c>
      <c r="CI12" s="80" t="s">
        <v>227</v>
      </c>
      <c r="CJ12" s="80" t="s">
        <v>227</v>
      </c>
      <c r="CK12" s="80" t="s">
        <v>227</v>
      </c>
      <c r="CL12" s="80" t="s">
        <v>227</v>
      </c>
      <c r="CM12" s="80" t="s">
        <v>227</v>
      </c>
      <c r="CN12" s="166" t="s">
        <v>249</v>
      </c>
      <c r="CO12" s="80" t="s">
        <v>287</v>
      </c>
      <c r="CP12" s="78">
        <v>43649</v>
      </c>
      <c r="CQ12" s="78">
        <v>43768</v>
      </c>
      <c r="CR12" s="80" t="s">
        <v>277</v>
      </c>
      <c r="CS12" s="166" t="s">
        <v>227</v>
      </c>
      <c r="CT12" s="80" t="s">
        <v>227</v>
      </c>
      <c r="CU12" s="80" t="s">
        <v>227</v>
      </c>
      <c r="CV12" s="166" t="s">
        <v>227</v>
      </c>
      <c r="CW12" s="80" t="s">
        <v>227</v>
      </c>
      <c r="CX12" s="80" t="s">
        <v>227</v>
      </c>
      <c r="CY12" s="80" t="s">
        <v>227</v>
      </c>
      <c r="CZ12" s="80" t="s">
        <v>227</v>
      </c>
      <c r="DA12" s="80" t="s">
        <v>227</v>
      </c>
      <c r="DB12" s="80" t="s">
        <v>227</v>
      </c>
      <c r="DC12" s="80" t="s">
        <v>227</v>
      </c>
      <c r="DD12" s="80" t="s">
        <v>227</v>
      </c>
      <c r="DE12" s="80" t="s">
        <v>227</v>
      </c>
      <c r="DF12" s="80" t="s">
        <v>227</v>
      </c>
      <c r="DG12" s="80" t="s">
        <v>227</v>
      </c>
      <c r="DH12" s="80" t="s">
        <v>227</v>
      </c>
      <c r="DI12" s="80" t="s">
        <v>227</v>
      </c>
      <c r="DJ12" s="80" t="s">
        <v>227</v>
      </c>
      <c r="DK12" s="80" t="s">
        <v>227</v>
      </c>
      <c r="DL12" s="80" t="s">
        <v>227</v>
      </c>
      <c r="DM12" s="80" t="s">
        <v>227</v>
      </c>
      <c r="DN12" s="80" t="s">
        <v>227</v>
      </c>
      <c r="DO12" s="80" t="s">
        <v>227</v>
      </c>
      <c r="DP12" s="80" t="s">
        <v>227</v>
      </c>
      <c r="DQ12" s="80" t="s">
        <v>227</v>
      </c>
      <c r="DR12" s="80" t="s">
        <v>227</v>
      </c>
      <c r="DS12" s="80" t="s">
        <v>227</v>
      </c>
      <c r="DT12" s="80" t="s">
        <v>227</v>
      </c>
      <c r="DU12" s="80" t="s">
        <v>227</v>
      </c>
      <c r="DV12" s="80" t="s">
        <v>227</v>
      </c>
      <c r="DW12" s="80" t="s">
        <v>227</v>
      </c>
      <c r="DX12" s="80" t="s">
        <v>227</v>
      </c>
      <c r="DY12" s="80" t="s">
        <v>227</v>
      </c>
      <c r="DZ12" s="80" t="s">
        <v>227</v>
      </c>
      <c r="EA12" s="80" t="s">
        <v>227</v>
      </c>
      <c r="EB12" s="80" t="s">
        <v>227</v>
      </c>
      <c r="EC12" s="80" t="s">
        <v>227</v>
      </c>
      <c r="ED12" s="80" t="s">
        <v>227</v>
      </c>
      <c r="EE12" s="80" t="s">
        <v>227</v>
      </c>
      <c r="EF12" s="80" t="s">
        <v>227</v>
      </c>
      <c r="EG12" s="80" t="s">
        <v>227</v>
      </c>
      <c r="EH12" s="80" t="s">
        <v>227</v>
      </c>
      <c r="EI12" s="78">
        <v>44051</v>
      </c>
      <c r="EJ12" s="80" t="s">
        <v>320</v>
      </c>
      <c r="EK12" s="166" t="s">
        <v>249</v>
      </c>
      <c r="EL12" s="80" t="s">
        <v>321</v>
      </c>
      <c r="EM12" s="78">
        <v>44062</v>
      </c>
      <c r="EN12" s="78">
        <v>44097</v>
      </c>
      <c r="EO12" s="80" t="s">
        <v>277</v>
      </c>
      <c r="EP12" s="166" t="s">
        <v>249</v>
      </c>
      <c r="EQ12" s="80" t="s">
        <v>322</v>
      </c>
      <c r="ER12" s="80" t="s">
        <v>279</v>
      </c>
      <c r="ES12" s="166" t="s">
        <v>227</v>
      </c>
      <c r="ET12" s="166" t="s">
        <v>227</v>
      </c>
      <c r="EU12" s="166" t="s">
        <v>227</v>
      </c>
      <c r="EV12" s="166" t="s">
        <v>227</v>
      </c>
      <c r="EW12" s="80" t="s">
        <v>227</v>
      </c>
      <c r="EX12" s="80" t="s">
        <v>227</v>
      </c>
      <c r="EY12" s="166" t="s">
        <v>227</v>
      </c>
      <c r="EZ12" s="80" t="s">
        <v>227</v>
      </c>
      <c r="FA12" s="80" t="s">
        <v>227</v>
      </c>
      <c r="FB12" s="147" t="s">
        <v>227</v>
      </c>
      <c r="FC12" s="80" t="s">
        <v>227</v>
      </c>
      <c r="FD12" s="80" t="s">
        <v>227</v>
      </c>
      <c r="FE12" s="80" t="s">
        <v>227</v>
      </c>
      <c r="FF12" s="80" t="s">
        <v>227</v>
      </c>
      <c r="FG12" s="80" t="s">
        <v>227</v>
      </c>
      <c r="FH12" s="80" t="s">
        <v>227</v>
      </c>
      <c r="FI12" s="80" t="s">
        <v>227</v>
      </c>
      <c r="FJ12" s="80" t="s">
        <v>227</v>
      </c>
      <c r="FK12" s="80" t="s">
        <v>227</v>
      </c>
      <c r="FL12" s="80" t="s">
        <v>227</v>
      </c>
      <c r="FM12" s="80" t="s">
        <v>227</v>
      </c>
      <c r="FN12" s="80" t="s">
        <v>227</v>
      </c>
      <c r="FO12" s="80" t="s">
        <v>227</v>
      </c>
      <c r="FP12" s="80" t="s">
        <v>227</v>
      </c>
      <c r="FQ12" s="80" t="s">
        <v>227</v>
      </c>
      <c r="FR12" s="80" t="s">
        <v>227</v>
      </c>
      <c r="FS12" s="80" t="s">
        <v>227</v>
      </c>
      <c r="FT12" s="80" t="s">
        <v>227</v>
      </c>
      <c r="FU12" s="80" t="s">
        <v>227</v>
      </c>
      <c r="FV12" s="80" t="s">
        <v>227</v>
      </c>
      <c r="FW12" s="80" t="s">
        <v>227</v>
      </c>
      <c r="FX12" s="80" t="s">
        <v>227</v>
      </c>
      <c r="FY12" s="80" t="s">
        <v>227</v>
      </c>
      <c r="FZ12" s="80" t="s">
        <v>227</v>
      </c>
      <c r="GA12" s="80" t="s">
        <v>227</v>
      </c>
      <c r="GB12" s="80" t="s">
        <v>227</v>
      </c>
      <c r="GC12" s="80" t="s">
        <v>227</v>
      </c>
      <c r="GD12" s="80" t="s">
        <v>227</v>
      </c>
      <c r="GE12" s="80" t="s">
        <v>227</v>
      </c>
      <c r="GF12" s="167" t="s">
        <v>236</v>
      </c>
      <c r="GG12" s="78">
        <v>44388</v>
      </c>
      <c r="GH12" s="74" t="s">
        <v>241</v>
      </c>
      <c r="GI12" s="80" t="s">
        <v>231</v>
      </c>
      <c r="GJ12" s="78">
        <v>44384</v>
      </c>
      <c r="GK12" s="78" t="s">
        <v>227</v>
      </c>
      <c r="GL12" s="78" t="s">
        <v>227</v>
      </c>
      <c r="GM12" s="159" t="str">
        <f t="shared" si="7"/>
        <v>N/A</v>
      </c>
      <c r="GN12" s="159" t="str">
        <f t="shared" si="8"/>
        <v>N/A</v>
      </c>
      <c r="GO12" s="159" t="str">
        <f t="shared" si="9"/>
        <v>N/A</v>
      </c>
      <c r="GP12" s="159" t="str">
        <f t="shared" si="10"/>
        <v>N/A</v>
      </c>
      <c r="GQ12" s="159">
        <f t="shared" si="23"/>
        <v>1.4</v>
      </c>
      <c r="GR12" s="159" t="str">
        <f t="shared" si="24"/>
        <v>N/A</v>
      </c>
      <c r="GS12" s="159" t="str">
        <f t="shared" si="11"/>
        <v>N/A</v>
      </c>
      <c r="GT12" s="159" t="str">
        <f t="shared" si="12"/>
        <v>N/A</v>
      </c>
      <c r="GU12" s="159" t="str">
        <f t="shared" si="13"/>
        <v>N/A</v>
      </c>
      <c r="GV12" s="159" t="str">
        <f t="shared" si="14"/>
        <v>N/A</v>
      </c>
      <c r="GW12" s="159">
        <f t="shared" si="15"/>
        <v>2.1333333333333333</v>
      </c>
      <c r="GX12" s="159">
        <f t="shared" si="16"/>
        <v>6.1</v>
      </c>
      <c r="GY12" s="159">
        <f t="shared" si="17"/>
        <v>15.533333333333333</v>
      </c>
      <c r="GZ12" s="159">
        <f t="shared" si="18"/>
        <v>15.9</v>
      </c>
      <c r="HA12" s="159">
        <f t="shared" si="19"/>
        <v>17.066666666666666</v>
      </c>
      <c r="HB12" s="159">
        <f t="shared" si="1"/>
        <v>15.533333333333333</v>
      </c>
      <c r="HC12" s="159">
        <f t="shared" si="20"/>
        <v>26.766666666666666</v>
      </c>
      <c r="HD12" s="159">
        <f t="shared" si="21"/>
        <v>26.633333333333333</v>
      </c>
      <c r="HE12" s="159" t="str">
        <f t="shared" si="22"/>
        <v>N/A</v>
      </c>
      <c r="HF12" s="160">
        <f t="shared" si="2"/>
        <v>26.766666666666666</v>
      </c>
      <c r="HG12" s="160" cm="1">
        <f t="array" ref="HG12">INDEX($HB12:$HD12,MATCH(TRUE,INDEX(ISNUMBER($HB12:$HD12),0),0))</f>
        <v>15.533333333333333</v>
      </c>
      <c r="HH12" s="161">
        <f t="shared" si="3"/>
        <v>1</v>
      </c>
      <c r="HI12" s="86">
        <f t="shared" si="4"/>
        <v>1</v>
      </c>
      <c r="HJ12" s="111">
        <f t="shared" si="5"/>
        <v>1</v>
      </c>
      <c r="HK12" s="205" t="str">
        <f t="shared" si="6"/>
        <v>1</v>
      </c>
    </row>
    <row r="13" spans="1:219" ht="15" customHeight="1" x14ac:dyDescent="0.3">
      <c r="A13" s="80">
        <v>4387610336</v>
      </c>
      <c r="B13" s="74" t="s">
        <v>220</v>
      </c>
      <c r="C13" s="74" t="s">
        <v>221</v>
      </c>
      <c r="D13" s="74" t="s">
        <v>241</v>
      </c>
      <c r="E13" s="80" t="s">
        <v>227</v>
      </c>
      <c r="F13" s="80" t="s">
        <v>227</v>
      </c>
      <c r="G13" s="80" t="s">
        <v>227</v>
      </c>
      <c r="H13" s="80" t="s">
        <v>227</v>
      </c>
      <c r="I13" s="157" t="s">
        <v>323</v>
      </c>
      <c r="J13" s="80" t="s">
        <v>227</v>
      </c>
      <c r="K13" s="78">
        <v>43236</v>
      </c>
      <c r="L13" s="80" t="s">
        <v>226</v>
      </c>
      <c r="M13" s="80" t="s">
        <v>324</v>
      </c>
      <c r="N13" s="168" t="s">
        <v>223</v>
      </c>
      <c r="O13" s="80" t="s">
        <v>325</v>
      </c>
      <c r="P13" s="78">
        <v>44049</v>
      </c>
      <c r="Q13" s="74" t="s">
        <v>221</v>
      </c>
      <c r="R13" s="80" t="s">
        <v>227</v>
      </c>
      <c r="S13" s="80" t="s">
        <v>227</v>
      </c>
      <c r="T13" s="80" t="s">
        <v>227</v>
      </c>
      <c r="U13" s="80" t="s">
        <v>227</v>
      </c>
      <c r="V13" s="80" t="s">
        <v>227</v>
      </c>
      <c r="W13" s="80" t="s">
        <v>227</v>
      </c>
      <c r="X13" s="80" t="s">
        <v>227</v>
      </c>
      <c r="Y13" s="80" t="s">
        <v>227</v>
      </c>
      <c r="Z13" s="80" t="s">
        <v>227</v>
      </c>
      <c r="AA13" s="80" t="s">
        <v>227</v>
      </c>
      <c r="AB13" s="80" t="s">
        <v>227</v>
      </c>
      <c r="AC13" s="80" t="s">
        <v>227</v>
      </c>
      <c r="AD13" s="80" t="s">
        <v>227</v>
      </c>
      <c r="AE13" s="80" t="s">
        <v>227</v>
      </c>
      <c r="AF13" s="80" t="s">
        <v>227</v>
      </c>
      <c r="AG13" s="80" t="s">
        <v>227</v>
      </c>
      <c r="AH13" s="80" t="s">
        <v>227</v>
      </c>
      <c r="AI13" s="80" t="s">
        <v>227</v>
      </c>
      <c r="AJ13" s="80" t="s">
        <v>227</v>
      </c>
      <c r="AK13" s="80" t="s">
        <v>227</v>
      </c>
      <c r="AL13" s="80" t="s">
        <v>227</v>
      </c>
      <c r="AM13" s="80" t="s">
        <v>227</v>
      </c>
      <c r="AN13" s="80" t="s">
        <v>227</v>
      </c>
      <c r="AO13" s="80" t="s">
        <v>227</v>
      </c>
      <c r="AP13" s="80" t="s">
        <v>227</v>
      </c>
      <c r="AQ13" s="80" t="s">
        <v>228</v>
      </c>
      <c r="AR13" s="78">
        <v>15957</v>
      </c>
      <c r="AS13" s="78">
        <v>43181</v>
      </c>
      <c r="AT13" s="148">
        <f t="shared" si="0"/>
        <v>74</v>
      </c>
      <c r="AU13" s="163" t="s">
        <v>263</v>
      </c>
      <c r="AV13" s="74" t="s">
        <v>256</v>
      </c>
      <c r="AW13" s="74" t="s">
        <v>241</v>
      </c>
      <c r="AX13" s="80" t="s">
        <v>309</v>
      </c>
      <c r="AY13" s="80" t="s">
        <v>232</v>
      </c>
      <c r="AZ13" s="80" t="s">
        <v>232</v>
      </c>
      <c r="BA13" s="80">
        <f t="shared" ref="BA13:BA18" si="44">_xlfn.NUMBERVALUE(RIGHT($BB13), ".", ",")</f>
        <v>0</v>
      </c>
      <c r="BB13" s="157" t="s">
        <v>310</v>
      </c>
      <c r="BC13" s="80">
        <v>3</v>
      </c>
      <c r="BD13" s="74" t="s">
        <v>243</v>
      </c>
      <c r="BE13" s="80" t="s">
        <v>234</v>
      </c>
      <c r="BF13" s="74" t="s">
        <v>220</v>
      </c>
      <c r="BG13" s="165" t="s">
        <v>227</v>
      </c>
      <c r="BH13" s="166" t="s">
        <v>227</v>
      </c>
      <c r="BI13" s="80" t="s">
        <v>227</v>
      </c>
      <c r="BJ13" s="78" t="s">
        <v>227</v>
      </c>
      <c r="BK13" s="78" t="s">
        <v>227</v>
      </c>
      <c r="BL13" s="80" t="s">
        <v>227</v>
      </c>
      <c r="BM13" s="166" t="s">
        <v>227</v>
      </c>
      <c r="BN13" s="80" t="s">
        <v>227</v>
      </c>
      <c r="BO13" s="80" t="s">
        <v>227</v>
      </c>
      <c r="BP13" s="166" t="s">
        <v>227</v>
      </c>
      <c r="BQ13" s="80" t="s">
        <v>227</v>
      </c>
      <c r="BR13" s="80" t="s">
        <v>227</v>
      </c>
      <c r="BS13" s="80" t="s">
        <v>227</v>
      </c>
      <c r="BT13" s="80" t="s">
        <v>227</v>
      </c>
      <c r="BU13" s="80" t="s">
        <v>227</v>
      </c>
      <c r="BV13" s="80" t="s">
        <v>227</v>
      </c>
      <c r="BW13" s="80" t="s">
        <v>227</v>
      </c>
      <c r="BX13" s="80" t="s">
        <v>227</v>
      </c>
      <c r="BY13" s="80" t="s">
        <v>227</v>
      </c>
      <c r="BZ13" s="80" t="s">
        <v>227</v>
      </c>
      <c r="CA13" s="80" t="s">
        <v>227</v>
      </c>
      <c r="CB13" s="80" t="s">
        <v>227</v>
      </c>
      <c r="CC13" s="80" t="s">
        <v>227</v>
      </c>
      <c r="CD13" s="80" t="s">
        <v>227</v>
      </c>
      <c r="CE13" s="80" t="s">
        <v>227</v>
      </c>
      <c r="CF13" s="80" t="s">
        <v>227</v>
      </c>
      <c r="CG13" s="80" t="s">
        <v>227</v>
      </c>
      <c r="CH13" s="80" t="s">
        <v>227</v>
      </c>
      <c r="CI13" s="80" t="s">
        <v>227</v>
      </c>
      <c r="CJ13" s="80" t="s">
        <v>227</v>
      </c>
      <c r="CK13" s="80" t="s">
        <v>227</v>
      </c>
      <c r="CL13" s="80" t="s">
        <v>227</v>
      </c>
      <c r="CM13" s="80" t="s">
        <v>227</v>
      </c>
      <c r="CN13" s="166" t="s">
        <v>249</v>
      </c>
      <c r="CO13" s="80" t="s">
        <v>326</v>
      </c>
      <c r="CP13" s="78">
        <v>44097</v>
      </c>
      <c r="CQ13" s="78">
        <v>44208</v>
      </c>
      <c r="CR13" s="80" t="s">
        <v>227</v>
      </c>
      <c r="CS13" s="166" t="s">
        <v>227</v>
      </c>
      <c r="CT13" s="80" t="s">
        <v>227</v>
      </c>
      <c r="CU13" s="80" t="s">
        <v>227</v>
      </c>
      <c r="CV13" s="166" t="s">
        <v>227</v>
      </c>
      <c r="CW13" s="80" t="s">
        <v>227</v>
      </c>
      <c r="CX13" s="80" t="s">
        <v>227</v>
      </c>
      <c r="CY13" s="80" t="s">
        <v>227</v>
      </c>
      <c r="CZ13" s="80" t="s">
        <v>227</v>
      </c>
      <c r="DA13" s="80" t="s">
        <v>227</v>
      </c>
      <c r="DB13" s="80" t="s">
        <v>227</v>
      </c>
      <c r="DC13" s="80" t="s">
        <v>227</v>
      </c>
      <c r="DD13" s="80" t="s">
        <v>227</v>
      </c>
      <c r="DE13" s="80" t="s">
        <v>227</v>
      </c>
      <c r="DF13" s="80" t="s">
        <v>227</v>
      </c>
      <c r="DG13" s="80" t="s">
        <v>227</v>
      </c>
      <c r="DH13" s="80" t="s">
        <v>227</v>
      </c>
      <c r="DI13" s="80" t="s">
        <v>227</v>
      </c>
      <c r="DJ13" s="80" t="s">
        <v>227</v>
      </c>
      <c r="DK13" s="80" t="s">
        <v>227</v>
      </c>
      <c r="DL13" s="80" t="s">
        <v>227</v>
      </c>
      <c r="DM13" s="80" t="s">
        <v>227</v>
      </c>
      <c r="DN13" s="80" t="s">
        <v>227</v>
      </c>
      <c r="DO13" s="80" t="s">
        <v>227</v>
      </c>
      <c r="DP13" s="80" t="s">
        <v>227</v>
      </c>
      <c r="DQ13" s="80" t="s">
        <v>227</v>
      </c>
      <c r="DR13" s="80" t="s">
        <v>227</v>
      </c>
      <c r="DS13" s="80" t="s">
        <v>227</v>
      </c>
      <c r="DT13" s="80" t="s">
        <v>227</v>
      </c>
      <c r="DU13" s="80" t="s">
        <v>227</v>
      </c>
      <c r="DV13" s="80" t="s">
        <v>227</v>
      </c>
      <c r="DW13" s="80" t="s">
        <v>227</v>
      </c>
      <c r="DX13" s="80" t="s">
        <v>227</v>
      </c>
      <c r="DY13" s="80" t="s">
        <v>227</v>
      </c>
      <c r="DZ13" s="80" t="s">
        <v>227</v>
      </c>
      <c r="EA13" s="80" t="s">
        <v>227</v>
      </c>
      <c r="EB13" s="80" t="s">
        <v>227</v>
      </c>
      <c r="EC13" s="80" t="s">
        <v>227</v>
      </c>
      <c r="ED13" s="80" t="s">
        <v>227</v>
      </c>
      <c r="EE13" s="80" t="s">
        <v>227</v>
      </c>
      <c r="EF13" s="80" t="s">
        <v>227</v>
      </c>
      <c r="EG13" s="80" t="s">
        <v>227</v>
      </c>
      <c r="EH13" s="80" t="s">
        <v>227</v>
      </c>
      <c r="EI13" s="78">
        <v>44441</v>
      </c>
      <c r="EJ13" s="80" t="s">
        <v>327</v>
      </c>
      <c r="EK13" s="166" t="s">
        <v>249</v>
      </c>
      <c r="EL13" s="80" t="s">
        <v>328</v>
      </c>
      <c r="EM13" s="78">
        <v>44459</v>
      </c>
      <c r="EN13" s="156">
        <v>44599</v>
      </c>
      <c r="EO13" s="80" t="s">
        <v>279</v>
      </c>
      <c r="EP13" s="166" t="s">
        <v>246</v>
      </c>
      <c r="EQ13" s="80" t="s">
        <v>304</v>
      </c>
      <c r="ER13" s="80" t="s">
        <v>277</v>
      </c>
      <c r="ES13" s="166" t="s">
        <v>246</v>
      </c>
      <c r="ET13" s="80" t="s">
        <v>304</v>
      </c>
      <c r="EU13" s="80" t="s">
        <v>277</v>
      </c>
      <c r="EV13" s="166" t="s">
        <v>227</v>
      </c>
      <c r="EW13" s="80" t="s">
        <v>227</v>
      </c>
      <c r="EX13" s="80" t="s">
        <v>227</v>
      </c>
      <c r="EY13" s="166" t="s">
        <v>227</v>
      </c>
      <c r="EZ13" s="80" t="s">
        <v>227</v>
      </c>
      <c r="FA13" s="80" t="s">
        <v>227</v>
      </c>
      <c r="FB13" s="147" t="s">
        <v>227</v>
      </c>
      <c r="FC13" s="80" t="s">
        <v>227</v>
      </c>
      <c r="FD13" s="80" t="s">
        <v>227</v>
      </c>
      <c r="FE13" s="80" t="s">
        <v>227</v>
      </c>
      <c r="FF13" s="80" t="s">
        <v>227</v>
      </c>
      <c r="FG13" s="80" t="s">
        <v>227</v>
      </c>
      <c r="FH13" s="80" t="s">
        <v>227</v>
      </c>
      <c r="FI13" s="80" t="s">
        <v>227</v>
      </c>
      <c r="FJ13" s="80" t="s">
        <v>227</v>
      </c>
      <c r="FK13" s="80" t="s">
        <v>227</v>
      </c>
      <c r="FL13" s="80" t="s">
        <v>227</v>
      </c>
      <c r="FM13" s="80" t="s">
        <v>227</v>
      </c>
      <c r="FN13" s="80" t="s">
        <v>227</v>
      </c>
      <c r="FO13" s="80" t="s">
        <v>227</v>
      </c>
      <c r="FP13" s="80" t="s">
        <v>227</v>
      </c>
      <c r="FQ13" s="80" t="s">
        <v>227</v>
      </c>
      <c r="FR13" s="80" t="s">
        <v>227</v>
      </c>
      <c r="FS13" s="80" t="s">
        <v>227</v>
      </c>
      <c r="FT13" s="80" t="s">
        <v>227</v>
      </c>
      <c r="FU13" s="80" t="s">
        <v>227</v>
      </c>
      <c r="FV13" s="80" t="s">
        <v>227</v>
      </c>
      <c r="FW13" s="80" t="s">
        <v>227</v>
      </c>
      <c r="FX13" s="80" t="s">
        <v>227</v>
      </c>
      <c r="FY13" s="80" t="s">
        <v>227</v>
      </c>
      <c r="FZ13" s="80" t="s">
        <v>227</v>
      </c>
      <c r="GA13" s="80" t="s">
        <v>227</v>
      </c>
      <c r="GB13" s="80" t="s">
        <v>227</v>
      </c>
      <c r="GC13" s="80" t="s">
        <v>227</v>
      </c>
      <c r="GD13" s="80" t="s">
        <v>227</v>
      </c>
      <c r="GE13" s="80" t="s">
        <v>227</v>
      </c>
      <c r="GF13" s="167" t="s">
        <v>236</v>
      </c>
      <c r="GG13" s="78">
        <v>45426</v>
      </c>
      <c r="GH13" s="74" t="s">
        <v>241</v>
      </c>
      <c r="GI13" s="80" t="s">
        <v>231</v>
      </c>
      <c r="GJ13" s="78">
        <v>45373</v>
      </c>
      <c r="GK13" s="78" t="s">
        <v>227</v>
      </c>
      <c r="GL13" s="78" t="s">
        <v>227</v>
      </c>
      <c r="GM13" s="159" t="str">
        <f t="shared" si="7"/>
        <v>N/A</v>
      </c>
      <c r="GN13" s="159" t="str">
        <f t="shared" si="8"/>
        <v>N/A</v>
      </c>
      <c r="GO13" s="159" t="str">
        <f t="shared" si="9"/>
        <v>N/A</v>
      </c>
      <c r="GP13" s="159">
        <f t="shared" si="10"/>
        <v>1.8333333333333333</v>
      </c>
      <c r="GQ13" s="159">
        <f t="shared" si="23"/>
        <v>28.933333333333334</v>
      </c>
      <c r="GR13" s="159" t="str">
        <f t="shared" si="24"/>
        <v>N/A</v>
      </c>
      <c r="GS13" s="159" t="str">
        <f t="shared" si="11"/>
        <v>N/A</v>
      </c>
      <c r="GT13" s="159" t="str">
        <f t="shared" si="12"/>
        <v>N/A</v>
      </c>
      <c r="GU13" s="159" t="str">
        <f t="shared" si="13"/>
        <v>N/A</v>
      </c>
      <c r="GV13" s="159" t="str">
        <f t="shared" si="14"/>
        <v>N/A</v>
      </c>
      <c r="GW13" s="159">
        <f t="shared" si="15"/>
        <v>30.533333333333335</v>
      </c>
      <c r="GX13" s="159">
        <f t="shared" si="16"/>
        <v>34.233333333333334</v>
      </c>
      <c r="GY13" s="159">
        <f t="shared" si="17"/>
        <v>42</v>
      </c>
      <c r="GZ13" s="159">
        <f t="shared" si="18"/>
        <v>42.6</v>
      </c>
      <c r="HA13" s="159">
        <f t="shared" si="19"/>
        <v>47.266666666666666</v>
      </c>
      <c r="HB13" s="159">
        <f t="shared" si="1"/>
        <v>42</v>
      </c>
      <c r="HC13" s="159">
        <f t="shared" si="20"/>
        <v>74.833333333333329</v>
      </c>
      <c r="HD13" s="159">
        <f t="shared" si="21"/>
        <v>73.066666666666663</v>
      </c>
      <c r="HE13" s="159" t="str">
        <f t="shared" si="22"/>
        <v>N/A</v>
      </c>
      <c r="HF13" s="160">
        <f t="shared" si="2"/>
        <v>74.833333333333329</v>
      </c>
      <c r="HG13" s="160" cm="1">
        <f t="array" ref="HG13">INDEX($HB13:$HD13,MATCH(TRUE,INDEX(ISNUMBER($HB13:$HD13),0),0))</f>
        <v>42</v>
      </c>
      <c r="HH13" s="161">
        <f t="shared" si="3"/>
        <v>1</v>
      </c>
      <c r="HI13" s="86">
        <f t="shared" si="4"/>
        <v>1</v>
      </c>
      <c r="HJ13" s="111">
        <f t="shared" si="5"/>
        <v>1</v>
      </c>
      <c r="HK13" s="205" t="str">
        <f t="shared" si="6"/>
        <v>1</v>
      </c>
    </row>
    <row r="14" spans="1:219" ht="15" customHeight="1" x14ac:dyDescent="0.3">
      <c r="A14" s="80">
        <v>4384281684</v>
      </c>
      <c r="B14" s="74" t="s">
        <v>220</v>
      </c>
      <c r="C14" s="74" t="s">
        <v>221</v>
      </c>
      <c r="D14" s="74" t="s">
        <v>220</v>
      </c>
      <c r="E14" s="80" t="s">
        <v>329</v>
      </c>
      <c r="F14" s="80" t="s">
        <v>330</v>
      </c>
      <c r="G14" s="80" t="s">
        <v>331</v>
      </c>
      <c r="H14" s="78">
        <v>44202</v>
      </c>
      <c r="I14" s="80" t="s">
        <v>332</v>
      </c>
      <c r="J14" s="80" t="s">
        <v>226</v>
      </c>
      <c r="K14" s="78" t="s">
        <v>227</v>
      </c>
      <c r="L14" s="80" t="s">
        <v>227</v>
      </c>
      <c r="M14" s="80" t="s">
        <v>227</v>
      </c>
      <c r="N14" s="80" t="s">
        <v>227</v>
      </c>
      <c r="O14" s="80" t="s">
        <v>227</v>
      </c>
      <c r="P14" s="80" t="s">
        <v>227</v>
      </c>
      <c r="Q14" s="80" t="s">
        <v>227</v>
      </c>
      <c r="R14" s="80" t="s">
        <v>227</v>
      </c>
      <c r="S14" s="80" t="s">
        <v>227</v>
      </c>
      <c r="T14" s="80" t="s">
        <v>227</v>
      </c>
      <c r="U14" s="80" t="s">
        <v>227</v>
      </c>
      <c r="V14" s="80" t="s">
        <v>227</v>
      </c>
      <c r="W14" s="80" t="s">
        <v>227</v>
      </c>
      <c r="X14" s="80" t="s">
        <v>227</v>
      </c>
      <c r="Y14" s="80" t="s">
        <v>227</v>
      </c>
      <c r="Z14" s="80" t="s">
        <v>227</v>
      </c>
      <c r="AA14" s="80" t="s">
        <v>227</v>
      </c>
      <c r="AB14" s="80" t="s">
        <v>227</v>
      </c>
      <c r="AC14" s="80" t="s">
        <v>227</v>
      </c>
      <c r="AD14" s="80" t="s">
        <v>227</v>
      </c>
      <c r="AE14" s="80" t="s">
        <v>227</v>
      </c>
      <c r="AF14" s="80" t="s">
        <v>227</v>
      </c>
      <c r="AG14" s="80" t="s">
        <v>227</v>
      </c>
      <c r="AH14" s="80" t="s">
        <v>227</v>
      </c>
      <c r="AI14" s="80" t="s">
        <v>227</v>
      </c>
      <c r="AJ14" s="80" t="s">
        <v>227</v>
      </c>
      <c r="AK14" s="80" t="s">
        <v>227</v>
      </c>
      <c r="AL14" s="80" t="s">
        <v>227</v>
      </c>
      <c r="AM14" s="80" t="s">
        <v>227</v>
      </c>
      <c r="AN14" s="80" t="s">
        <v>227</v>
      </c>
      <c r="AO14" s="80" t="s">
        <v>227</v>
      </c>
      <c r="AP14" s="80" t="s">
        <v>227</v>
      </c>
      <c r="AQ14" s="80" t="s">
        <v>228</v>
      </c>
      <c r="AR14" s="78">
        <v>16037</v>
      </c>
      <c r="AS14" s="78">
        <v>44153</v>
      </c>
      <c r="AT14" s="148">
        <f t="shared" si="0"/>
        <v>76</v>
      </c>
      <c r="AU14" s="164" t="s">
        <v>263</v>
      </c>
      <c r="AV14" s="74" t="s">
        <v>230</v>
      </c>
      <c r="AW14" s="74" t="s">
        <v>241</v>
      </c>
      <c r="AX14" s="80" t="s">
        <v>264</v>
      </c>
      <c r="AY14" s="80">
        <v>0</v>
      </c>
      <c r="AZ14" s="80" t="s">
        <v>232</v>
      </c>
      <c r="BA14" s="80">
        <f t="shared" si="44"/>
        <v>0</v>
      </c>
      <c r="BB14" s="80" t="s">
        <v>265</v>
      </c>
      <c r="BC14" s="80">
        <v>3</v>
      </c>
      <c r="BD14" s="74" t="s">
        <v>243</v>
      </c>
      <c r="BE14" s="80" t="s">
        <v>244</v>
      </c>
      <c r="BF14" s="74" t="s">
        <v>220</v>
      </c>
      <c r="BG14" s="165" t="s">
        <v>227</v>
      </c>
      <c r="BH14" s="166" t="s">
        <v>227</v>
      </c>
      <c r="BI14" s="80" t="s">
        <v>227</v>
      </c>
      <c r="BJ14" s="78" t="s">
        <v>227</v>
      </c>
      <c r="BK14" s="78" t="s">
        <v>227</v>
      </c>
      <c r="BL14" s="80" t="s">
        <v>227</v>
      </c>
      <c r="BM14" s="166" t="s">
        <v>227</v>
      </c>
      <c r="BN14" s="80" t="s">
        <v>227</v>
      </c>
      <c r="BO14" s="80" t="s">
        <v>227</v>
      </c>
      <c r="BP14" s="166" t="s">
        <v>227</v>
      </c>
      <c r="BQ14" s="80" t="s">
        <v>227</v>
      </c>
      <c r="BR14" s="80" t="s">
        <v>227</v>
      </c>
      <c r="BS14" s="80" t="s">
        <v>227</v>
      </c>
      <c r="BT14" s="80" t="s">
        <v>227</v>
      </c>
      <c r="BU14" s="80" t="s">
        <v>227</v>
      </c>
      <c r="BV14" s="80" t="s">
        <v>227</v>
      </c>
      <c r="BW14" s="80" t="s">
        <v>227</v>
      </c>
      <c r="BX14" s="80" t="s">
        <v>227</v>
      </c>
      <c r="BY14" s="80" t="s">
        <v>227</v>
      </c>
      <c r="BZ14" s="80" t="s">
        <v>227</v>
      </c>
      <c r="CA14" s="80" t="s">
        <v>227</v>
      </c>
      <c r="CB14" s="80" t="s">
        <v>227</v>
      </c>
      <c r="CC14" s="80" t="s">
        <v>227</v>
      </c>
      <c r="CD14" s="80" t="s">
        <v>227</v>
      </c>
      <c r="CE14" s="80" t="s">
        <v>227</v>
      </c>
      <c r="CF14" s="80" t="s">
        <v>227</v>
      </c>
      <c r="CG14" s="80" t="s">
        <v>227</v>
      </c>
      <c r="CH14" s="80" t="s">
        <v>227</v>
      </c>
      <c r="CI14" s="80" t="s">
        <v>227</v>
      </c>
      <c r="CJ14" s="80" t="s">
        <v>227</v>
      </c>
      <c r="CK14" s="80" t="s">
        <v>227</v>
      </c>
      <c r="CL14" s="80" t="s">
        <v>227</v>
      </c>
      <c r="CM14" s="80" t="s">
        <v>227</v>
      </c>
      <c r="CN14" s="166" t="s">
        <v>227</v>
      </c>
      <c r="CO14" s="80" t="s">
        <v>227</v>
      </c>
      <c r="CP14" s="78" t="s">
        <v>227</v>
      </c>
      <c r="CQ14" s="78" t="s">
        <v>227</v>
      </c>
      <c r="CR14" s="80" t="s">
        <v>227</v>
      </c>
      <c r="CS14" s="166" t="s">
        <v>227</v>
      </c>
      <c r="CT14" s="80" t="s">
        <v>227</v>
      </c>
      <c r="CU14" s="80" t="s">
        <v>227</v>
      </c>
      <c r="CV14" s="166" t="s">
        <v>227</v>
      </c>
      <c r="CW14" s="80" t="s">
        <v>227</v>
      </c>
      <c r="CX14" s="80" t="s">
        <v>227</v>
      </c>
      <c r="CY14" s="80" t="s">
        <v>227</v>
      </c>
      <c r="CZ14" s="80" t="s">
        <v>227</v>
      </c>
      <c r="DA14" s="80" t="s">
        <v>227</v>
      </c>
      <c r="DB14" s="80" t="s">
        <v>227</v>
      </c>
      <c r="DC14" s="80" t="s">
        <v>227</v>
      </c>
      <c r="DD14" s="80" t="s">
        <v>227</v>
      </c>
      <c r="DE14" s="80" t="s">
        <v>227</v>
      </c>
      <c r="DF14" s="80" t="s">
        <v>227</v>
      </c>
      <c r="DG14" s="80" t="s">
        <v>227</v>
      </c>
      <c r="DH14" s="80" t="s">
        <v>227</v>
      </c>
      <c r="DI14" s="80" t="s">
        <v>227</v>
      </c>
      <c r="DJ14" s="80" t="s">
        <v>227</v>
      </c>
      <c r="DK14" s="80" t="s">
        <v>227</v>
      </c>
      <c r="DL14" s="80" t="s">
        <v>227</v>
      </c>
      <c r="DM14" s="80" t="s">
        <v>227</v>
      </c>
      <c r="DN14" s="80" t="s">
        <v>227</v>
      </c>
      <c r="DO14" s="80" t="s">
        <v>227</v>
      </c>
      <c r="DP14" s="80" t="s">
        <v>227</v>
      </c>
      <c r="DQ14" s="80" t="s">
        <v>227</v>
      </c>
      <c r="DR14" s="80" t="s">
        <v>227</v>
      </c>
      <c r="DS14" s="80" t="s">
        <v>227</v>
      </c>
      <c r="DT14" s="80" t="s">
        <v>227</v>
      </c>
      <c r="DU14" s="80" t="s">
        <v>227</v>
      </c>
      <c r="DV14" s="80" t="s">
        <v>227</v>
      </c>
      <c r="DW14" s="80" t="s">
        <v>227</v>
      </c>
      <c r="DX14" s="80" t="s">
        <v>227</v>
      </c>
      <c r="DY14" s="80" t="s">
        <v>227</v>
      </c>
      <c r="DZ14" s="80" t="s">
        <v>227</v>
      </c>
      <c r="EA14" s="80" t="s">
        <v>227</v>
      </c>
      <c r="EB14" s="80" t="s">
        <v>227</v>
      </c>
      <c r="EC14" s="80" t="s">
        <v>227</v>
      </c>
      <c r="ED14" s="80" t="s">
        <v>227</v>
      </c>
      <c r="EE14" s="80" t="s">
        <v>227</v>
      </c>
      <c r="EF14" s="80" t="s">
        <v>227</v>
      </c>
      <c r="EG14" s="80" t="s">
        <v>227</v>
      </c>
      <c r="EH14" s="80" t="s">
        <v>227</v>
      </c>
      <c r="EI14" s="78">
        <v>44551</v>
      </c>
      <c r="EJ14" s="80" t="s">
        <v>333</v>
      </c>
      <c r="EK14" s="166" t="s">
        <v>249</v>
      </c>
      <c r="EL14" s="80" t="s">
        <v>334</v>
      </c>
      <c r="EM14" s="78">
        <v>44617</v>
      </c>
      <c r="EN14" s="78">
        <v>44617</v>
      </c>
      <c r="EO14" s="80" t="s">
        <v>251</v>
      </c>
      <c r="EP14" s="166" t="s">
        <v>227</v>
      </c>
      <c r="EQ14" s="80" t="s">
        <v>227</v>
      </c>
      <c r="ER14" s="80" t="s">
        <v>227</v>
      </c>
      <c r="ES14" s="166" t="s">
        <v>227</v>
      </c>
      <c r="ET14" s="80" t="s">
        <v>227</v>
      </c>
      <c r="EU14" s="80" t="s">
        <v>227</v>
      </c>
      <c r="EV14" s="166" t="s">
        <v>227</v>
      </c>
      <c r="EW14" s="80" t="s">
        <v>227</v>
      </c>
      <c r="EX14" s="80" t="s">
        <v>227</v>
      </c>
      <c r="EY14" s="166" t="s">
        <v>227</v>
      </c>
      <c r="EZ14" s="80" t="s">
        <v>227</v>
      </c>
      <c r="FA14" s="80" t="s">
        <v>227</v>
      </c>
      <c r="FB14" s="147" t="s">
        <v>227</v>
      </c>
      <c r="FC14" s="80" t="s">
        <v>227</v>
      </c>
      <c r="FD14" s="80" t="s">
        <v>227</v>
      </c>
      <c r="FE14" s="80" t="s">
        <v>227</v>
      </c>
      <c r="FF14" s="80" t="s">
        <v>227</v>
      </c>
      <c r="FG14" s="80" t="s">
        <v>227</v>
      </c>
      <c r="FH14" s="80" t="s">
        <v>227</v>
      </c>
      <c r="FI14" s="80" t="s">
        <v>227</v>
      </c>
      <c r="FJ14" s="80" t="s">
        <v>227</v>
      </c>
      <c r="FK14" s="80" t="s">
        <v>227</v>
      </c>
      <c r="FL14" s="80" t="s">
        <v>227</v>
      </c>
      <c r="FM14" s="80" t="s">
        <v>227</v>
      </c>
      <c r="FN14" s="80" t="s">
        <v>227</v>
      </c>
      <c r="FO14" s="80" t="s">
        <v>227</v>
      </c>
      <c r="FP14" s="80" t="s">
        <v>227</v>
      </c>
      <c r="FQ14" s="80" t="s">
        <v>227</v>
      </c>
      <c r="FR14" s="80" t="s">
        <v>227</v>
      </c>
      <c r="FS14" s="80" t="s">
        <v>227</v>
      </c>
      <c r="FT14" s="80" t="s">
        <v>227</v>
      </c>
      <c r="FU14" s="80" t="s">
        <v>227</v>
      </c>
      <c r="FV14" s="80" t="s">
        <v>227</v>
      </c>
      <c r="FW14" s="80" t="s">
        <v>227</v>
      </c>
      <c r="FX14" s="80" t="s">
        <v>227</v>
      </c>
      <c r="FY14" s="80" t="s">
        <v>227</v>
      </c>
      <c r="FZ14" s="80" t="s">
        <v>227</v>
      </c>
      <c r="GA14" s="80" t="s">
        <v>227</v>
      </c>
      <c r="GB14" s="80" t="s">
        <v>227</v>
      </c>
      <c r="GC14" s="80" t="s">
        <v>227</v>
      </c>
      <c r="GD14" s="80" t="s">
        <v>227</v>
      </c>
      <c r="GE14" s="80" t="s">
        <v>227</v>
      </c>
      <c r="GF14" s="167" t="s">
        <v>236</v>
      </c>
      <c r="GG14" s="78">
        <v>44660</v>
      </c>
      <c r="GH14" s="74" t="s">
        <v>241</v>
      </c>
      <c r="GI14" s="80" t="s">
        <v>231</v>
      </c>
      <c r="GJ14" s="78">
        <v>44651</v>
      </c>
      <c r="GK14" s="78" t="s">
        <v>227</v>
      </c>
      <c r="GL14" s="78" t="s">
        <v>335</v>
      </c>
      <c r="GM14" s="159" t="str">
        <f t="shared" si="7"/>
        <v>N/A</v>
      </c>
      <c r="GN14" s="159" t="str">
        <f t="shared" si="8"/>
        <v>N/A</v>
      </c>
      <c r="GO14" s="159">
        <f t="shared" si="9"/>
        <v>1.6333333333333333</v>
      </c>
      <c r="GP14" s="159" t="str">
        <f t="shared" si="10"/>
        <v>N/A</v>
      </c>
      <c r="GQ14" s="159" t="str">
        <f t="shared" si="23"/>
        <v>N/A</v>
      </c>
      <c r="GR14" s="159" t="str">
        <f t="shared" si="24"/>
        <v>N/A</v>
      </c>
      <c r="GS14" s="159" t="str">
        <f t="shared" si="11"/>
        <v>N/A</v>
      </c>
      <c r="GT14" s="159" t="str">
        <f t="shared" si="12"/>
        <v>N/A</v>
      </c>
      <c r="GU14" s="159" t="str">
        <f t="shared" si="13"/>
        <v>N/A</v>
      </c>
      <c r="GV14" s="159" t="str">
        <f t="shared" si="14"/>
        <v>N/A</v>
      </c>
      <c r="GW14" s="159" t="str">
        <f t="shared" si="15"/>
        <v>N/A</v>
      </c>
      <c r="GX14" s="159" t="str">
        <f t="shared" si="16"/>
        <v>N/A</v>
      </c>
      <c r="GY14" s="159">
        <f t="shared" si="17"/>
        <v>13.266666666666667</v>
      </c>
      <c r="GZ14" s="159">
        <f t="shared" si="18"/>
        <v>15.466666666666667</v>
      </c>
      <c r="HA14" s="159">
        <f t="shared" si="19"/>
        <v>15.466666666666667</v>
      </c>
      <c r="HB14" s="159">
        <f t="shared" si="1"/>
        <v>13.266666666666667</v>
      </c>
      <c r="HC14" s="159">
        <f t="shared" si="20"/>
        <v>16.899999999999999</v>
      </c>
      <c r="HD14" s="159">
        <f t="shared" si="21"/>
        <v>16.600000000000001</v>
      </c>
      <c r="HE14" s="159" t="str">
        <f t="shared" si="22"/>
        <v>N/A</v>
      </c>
      <c r="HF14" s="160">
        <f t="shared" si="2"/>
        <v>16.899999999999999</v>
      </c>
      <c r="HG14" s="160" cm="1">
        <f t="array" ref="HG14">INDEX($HB14:$HD14,MATCH(TRUE,INDEX(ISNUMBER($HB14:$HD14),0),0))</f>
        <v>13.266666666666667</v>
      </c>
      <c r="HH14" s="161">
        <f t="shared" si="3"/>
        <v>1</v>
      </c>
      <c r="HI14" s="86">
        <f t="shared" si="4"/>
        <v>1</v>
      </c>
      <c r="HJ14" s="111">
        <f t="shared" si="5"/>
        <v>1</v>
      </c>
      <c r="HK14" s="205" t="str">
        <f t="shared" si="6"/>
        <v>1</v>
      </c>
    </row>
    <row r="15" spans="1:219" ht="15" customHeight="1" x14ac:dyDescent="0.3">
      <c r="A15" s="80">
        <v>4507920035</v>
      </c>
      <c r="B15" s="74" t="s">
        <v>220</v>
      </c>
      <c r="C15" s="74" t="s">
        <v>221</v>
      </c>
      <c r="D15" s="74" t="s">
        <v>220</v>
      </c>
      <c r="E15" s="80" t="s">
        <v>336</v>
      </c>
      <c r="F15" s="80" t="s">
        <v>337</v>
      </c>
      <c r="G15" s="80" t="s">
        <v>227</v>
      </c>
      <c r="H15" s="78">
        <v>44204</v>
      </c>
      <c r="I15" s="80" t="s">
        <v>338</v>
      </c>
      <c r="J15" s="80" t="s">
        <v>226</v>
      </c>
      <c r="K15" s="78" t="s">
        <v>227</v>
      </c>
      <c r="L15" s="80" t="s">
        <v>227</v>
      </c>
      <c r="M15" s="80" t="s">
        <v>227</v>
      </c>
      <c r="N15" s="80" t="s">
        <v>227</v>
      </c>
      <c r="O15" s="80" t="s">
        <v>227</v>
      </c>
      <c r="P15" s="80" t="s">
        <v>227</v>
      </c>
      <c r="Q15" s="80" t="s">
        <v>227</v>
      </c>
      <c r="R15" s="80" t="s">
        <v>227</v>
      </c>
      <c r="S15" s="80" t="s">
        <v>227</v>
      </c>
      <c r="T15" s="80" t="s">
        <v>227</v>
      </c>
      <c r="U15" s="80" t="s">
        <v>227</v>
      </c>
      <c r="V15" s="80" t="s">
        <v>227</v>
      </c>
      <c r="W15" s="80" t="s">
        <v>227</v>
      </c>
      <c r="X15" s="80" t="s">
        <v>227</v>
      </c>
      <c r="Y15" s="80" t="s">
        <v>227</v>
      </c>
      <c r="Z15" s="80" t="s">
        <v>227</v>
      </c>
      <c r="AA15" s="80" t="s">
        <v>227</v>
      </c>
      <c r="AB15" s="80" t="s">
        <v>227</v>
      </c>
      <c r="AC15" s="80" t="s">
        <v>227</v>
      </c>
      <c r="AD15" s="80" t="s">
        <v>227</v>
      </c>
      <c r="AE15" s="80" t="s">
        <v>227</v>
      </c>
      <c r="AF15" s="80" t="s">
        <v>227</v>
      </c>
      <c r="AG15" s="80" t="s">
        <v>227</v>
      </c>
      <c r="AH15" s="80" t="s">
        <v>227</v>
      </c>
      <c r="AI15" s="80" t="s">
        <v>227</v>
      </c>
      <c r="AJ15" s="80" t="s">
        <v>227</v>
      </c>
      <c r="AK15" s="80" t="s">
        <v>227</v>
      </c>
      <c r="AL15" s="80" t="s">
        <v>227</v>
      </c>
      <c r="AM15" s="80" t="s">
        <v>227</v>
      </c>
      <c r="AN15" s="80" t="s">
        <v>227</v>
      </c>
      <c r="AO15" s="80" t="s">
        <v>227</v>
      </c>
      <c r="AP15" s="80" t="s">
        <v>227</v>
      </c>
      <c r="AQ15" s="80" t="s">
        <v>228</v>
      </c>
      <c r="AR15" s="78">
        <v>17378</v>
      </c>
      <c r="AS15" s="78">
        <v>44151</v>
      </c>
      <c r="AT15" s="148">
        <f t="shared" si="0"/>
        <v>73</v>
      </c>
      <c r="AU15" s="164" t="s">
        <v>229</v>
      </c>
      <c r="AV15" s="74" t="s">
        <v>230</v>
      </c>
      <c r="AW15" s="74" t="s">
        <v>241</v>
      </c>
      <c r="AX15" s="80" t="s">
        <v>264</v>
      </c>
      <c r="AY15" s="80">
        <v>0</v>
      </c>
      <c r="AZ15" s="80">
        <v>0</v>
      </c>
      <c r="BA15" s="80">
        <f t="shared" si="44"/>
        <v>0</v>
      </c>
      <c r="BB15" s="80" t="s">
        <v>265</v>
      </c>
      <c r="BC15" s="80">
        <v>1</v>
      </c>
      <c r="BD15" s="74" t="s">
        <v>243</v>
      </c>
      <c r="BE15" s="80" t="s">
        <v>339</v>
      </c>
      <c r="BF15" s="74" t="s">
        <v>220</v>
      </c>
      <c r="BG15" s="165" t="s">
        <v>227</v>
      </c>
      <c r="BH15" s="166" t="s">
        <v>227</v>
      </c>
      <c r="BI15" s="80" t="s">
        <v>227</v>
      </c>
      <c r="BJ15" s="78" t="s">
        <v>227</v>
      </c>
      <c r="BK15" s="78" t="s">
        <v>227</v>
      </c>
      <c r="BL15" s="80" t="s">
        <v>227</v>
      </c>
      <c r="BM15" s="166" t="s">
        <v>227</v>
      </c>
      <c r="BN15" s="80" t="s">
        <v>227</v>
      </c>
      <c r="BO15" s="80" t="s">
        <v>227</v>
      </c>
      <c r="BP15" s="166" t="s">
        <v>227</v>
      </c>
      <c r="BQ15" s="80" t="s">
        <v>227</v>
      </c>
      <c r="BR15" s="80" t="s">
        <v>227</v>
      </c>
      <c r="BS15" s="80" t="s">
        <v>227</v>
      </c>
      <c r="BT15" s="80" t="s">
        <v>227</v>
      </c>
      <c r="BU15" s="80" t="s">
        <v>227</v>
      </c>
      <c r="BV15" s="80" t="s">
        <v>227</v>
      </c>
      <c r="BW15" s="80" t="s">
        <v>227</v>
      </c>
      <c r="BX15" s="80" t="s">
        <v>227</v>
      </c>
      <c r="BY15" s="80" t="s">
        <v>227</v>
      </c>
      <c r="BZ15" s="80" t="s">
        <v>227</v>
      </c>
      <c r="CA15" s="80" t="s">
        <v>227</v>
      </c>
      <c r="CB15" s="80" t="s">
        <v>227</v>
      </c>
      <c r="CC15" s="80" t="s">
        <v>227</v>
      </c>
      <c r="CD15" s="80" t="s">
        <v>227</v>
      </c>
      <c r="CE15" s="80" t="s">
        <v>227</v>
      </c>
      <c r="CF15" s="80" t="s">
        <v>227</v>
      </c>
      <c r="CG15" s="80" t="s">
        <v>227</v>
      </c>
      <c r="CH15" s="80" t="s">
        <v>227</v>
      </c>
      <c r="CI15" s="80" t="s">
        <v>227</v>
      </c>
      <c r="CJ15" s="80" t="s">
        <v>227</v>
      </c>
      <c r="CK15" s="80" t="s">
        <v>227</v>
      </c>
      <c r="CL15" s="80" t="s">
        <v>227</v>
      </c>
      <c r="CM15" s="80" t="s">
        <v>227</v>
      </c>
      <c r="CN15" s="166" t="s">
        <v>227</v>
      </c>
      <c r="CO15" s="80" t="s">
        <v>227</v>
      </c>
      <c r="CP15" s="78" t="s">
        <v>227</v>
      </c>
      <c r="CQ15" s="78" t="s">
        <v>227</v>
      </c>
      <c r="CR15" s="80" t="s">
        <v>227</v>
      </c>
      <c r="CS15" s="166" t="s">
        <v>227</v>
      </c>
      <c r="CT15" s="80" t="s">
        <v>227</v>
      </c>
      <c r="CU15" s="80" t="s">
        <v>227</v>
      </c>
      <c r="CV15" s="166" t="s">
        <v>227</v>
      </c>
      <c r="CW15" s="80" t="s">
        <v>227</v>
      </c>
      <c r="CX15" s="80" t="s">
        <v>227</v>
      </c>
      <c r="CY15" s="80" t="s">
        <v>227</v>
      </c>
      <c r="CZ15" s="80" t="s">
        <v>227</v>
      </c>
      <c r="DA15" s="80" t="s">
        <v>227</v>
      </c>
      <c r="DB15" s="80" t="s">
        <v>227</v>
      </c>
      <c r="DC15" s="80" t="s">
        <v>227</v>
      </c>
      <c r="DD15" s="80" t="s">
        <v>227</v>
      </c>
      <c r="DE15" s="80" t="s">
        <v>227</v>
      </c>
      <c r="DF15" s="80" t="s">
        <v>227</v>
      </c>
      <c r="DG15" s="80" t="s">
        <v>227</v>
      </c>
      <c r="DH15" s="80" t="s">
        <v>227</v>
      </c>
      <c r="DI15" s="80" t="s">
        <v>227</v>
      </c>
      <c r="DJ15" s="80" t="s">
        <v>227</v>
      </c>
      <c r="DK15" s="80" t="s">
        <v>227</v>
      </c>
      <c r="DL15" s="80" t="s">
        <v>227</v>
      </c>
      <c r="DM15" s="80" t="s">
        <v>227</v>
      </c>
      <c r="DN15" s="80" t="s">
        <v>227</v>
      </c>
      <c r="DO15" s="80" t="s">
        <v>227</v>
      </c>
      <c r="DP15" s="80" t="s">
        <v>227</v>
      </c>
      <c r="DQ15" s="80" t="s">
        <v>227</v>
      </c>
      <c r="DR15" s="80" t="s">
        <v>227</v>
      </c>
      <c r="DS15" s="80" t="s">
        <v>227</v>
      </c>
      <c r="DT15" s="80" t="s">
        <v>227</v>
      </c>
      <c r="DU15" s="80" t="s">
        <v>227</v>
      </c>
      <c r="DV15" s="80" t="s">
        <v>227</v>
      </c>
      <c r="DW15" s="80" t="s">
        <v>227</v>
      </c>
      <c r="DX15" s="80" t="s">
        <v>227</v>
      </c>
      <c r="DY15" s="80" t="s">
        <v>227</v>
      </c>
      <c r="DZ15" s="80" t="s">
        <v>227</v>
      </c>
      <c r="EA15" s="80" t="s">
        <v>227</v>
      </c>
      <c r="EB15" s="80" t="s">
        <v>227</v>
      </c>
      <c r="EC15" s="80" t="s">
        <v>227</v>
      </c>
      <c r="ED15" s="80" t="s">
        <v>227</v>
      </c>
      <c r="EE15" s="80" t="s">
        <v>227</v>
      </c>
      <c r="EF15" s="80" t="s">
        <v>227</v>
      </c>
      <c r="EG15" s="80" t="s">
        <v>227</v>
      </c>
      <c r="EH15" s="80" t="s">
        <v>227</v>
      </c>
      <c r="EI15" s="78">
        <v>44983</v>
      </c>
      <c r="EJ15" s="80" t="s">
        <v>340</v>
      </c>
      <c r="EK15" s="166" t="s">
        <v>249</v>
      </c>
      <c r="EL15" s="80" t="s">
        <v>250</v>
      </c>
      <c r="EM15" s="78">
        <v>45041</v>
      </c>
      <c r="EN15" s="78">
        <v>45041</v>
      </c>
      <c r="EO15" s="80" t="s">
        <v>279</v>
      </c>
      <c r="EP15" s="166" t="s">
        <v>275</v>
      </c>
      <c r="EQ15" s="80" t="s">
        <v>341</v>
      </c>
      <c r="ER15" s="80" t="s">
        <v>279</v>
      </c>
      <c r="ES15" s="166" t="s">
        <v>275</v>
      </c>
      <c r="ET15" s="80" t="s">
        <v>342</v>
      </c>
      <c r="EU15" s="80" t="s">
        <v>279</v>
      </c>
      <c r="EV15" s="166" t="s">
        <v>275</v>
      </c>
      <c r="EW15" s="80" t="s">
        <v>341</v>
      </c>
      <c r="EX15" s="80" t="s">
        <v>279</v>
      </c>
      <c r="EY15" s="166" t="s">
        <v>227</v>
      </c>
      <c r="EZ15" s="80" t="s">
        <v>227</v>
      </c>
      <c r="FA15" s="80" t="s">
        <v>227</v>
      </c>
      <c r="FB15" s="147" t="s">
        <v>227</v>
      </c>
      <c r="FC15" s="80" t="s">
        <v>227</v>
      </c>
      <c r="FD15" s="80" t="s">
        <v>227</v>
      </c>
      <c r="FE15" s="80" t="s">
        <v>227</v>
      </c>
      <c r="FF15" s="80" t="s">
        <v>227</v>
      </c>
      <c r="FG15" s="80" t="s">
        <v>227</v>
      </c>
      <c r="FH15" s="80" t="s">
        <v>227</v>
      </c>
      <c r="FI15" s="80" t="s">
        <v>227</v>
      </c>
      <c r="FJ15" s="80" t="s">
        <v>227</v>
      </c>
      <c r="FK15" s="80" t="s">
        <v>227</v>
      </c>
      <c r="FL15" s="80" t="s">
        <v>227</v>
      </c>
      <c r="FM15" s="80" t="s">
        <v>227</v>
      </c>
      <c r="FN15" s="80" t="s">
        <v>227</v>
      </c>
      <c r="FO15" s="80" t="s">
        <v>227</v>
      </c>
      <c r="FP15" s="80" t="s">
        <v>227</v>
      </c>
      <c r="FQ15" s="80" t="s">
        <v>227</v>
      </c>
      <c r="FR15" s="80" t="s">
        <v>227</v>
      </c>
      <c r="FS15" s="80" t="s">
        <v>227</v>
      </c>
      <c r="FT15" s="80" t="s">
        <v>227</v>
      </c>
      <c r="FU15" s="80" t="s">
        <v>227</v>
      </c>
      <c r="FV15" s="80" t="s">
        <v>227</v>
      </c>
      <c r="FW15" s="80" t="s">
        <v>227</v>
      </c>
      <c r="FX15" s="80" t="s">
        <v>227</v>
      </c>
      <c r="FY15" s="80" t="s">
        <v>227</v>
      </c>
      <c r="FZ15" s="80" t="s">
        <v>227</v>
      </c>
      <c r="GA15" s="80" t="s">
        <v>227</v>
      </c>
      <c r="GB15" s="80" t="s">
        <v>227</v>
      </c>
      <c r="GC15" s="80" t="s">
        <v>227</v>
      </c>
      <c r="GD15" s="80" t="s">
        <v>227</v>
      </c>
      <c r="GE15" s="80" t="s">
        <v>227</v>
      </c>
      <c r="GF15" s="167" t="s">
        <v>312</v>
      </c>
      <c r="GG15" s="78" t="s">
        <v>227</v>
      </c>
      <c r="GH15" s="74" t="s">
        <v>227</v>
      </c>
      <c r="GI15" s="80" t="s">
        <v>227</v>
      </c>
      <c r="GJ15" s="156">
        <v>46141</v>
      </c>
      <c r="GK15" s="156">
        <v>46156</v>
      </c>
      <c r="GL15" s="78" t="s">
        <v>227</v>
      </c>
      <c r="GM15" s="159" t="str">
        <f t="shared" si="7"/>
        <v>N/A</v>
      </c>
      <c r="GN15" s="159" t="str">
        <f t="shared" si="8"/>
        <v>N/A</v>
      </c>
      <c r="GO15" s="159">
        <f t="shared" si="9"/>
        <v>1.7666666666666666</v>
      </c>
      <c r="GP15" s="159" t="str">
        <f t="shared" si="10"/>
        <v>N/A</v>
      </c>
      <c r="GQ15" s="159" t="str">
        <f t="shared" si="23"/>
        <v>N/A</v>
      </c>
      <c r="GR15" s="159" t="str">
        <f t="shared" si="24"/>
        <v>N/A</v>
      </c>
      <c r="GS15" s="159" t="str">
        <f t="shared" si="11"/>
        <v>N/A</v>
      </c>
      <c r="GT15" s="159" t="str">
        <f t="shared" si="12"/>
        <v>N/A</v>
      </c>
      <c r="GU15" s="159" t="str">
        <f t="shared" si="13"/>
        <v>N/A</v>
      </c>
      <c r="GV15" s="159" t="str">
        <f t="shared" si="14"/>
        <v>N/A</v>
      </c>
      <c r="GW15" s="159" t="str">
        <f t="shared" si="15"/>
        <v>N/A</v>
      </c>
      <c r="GX15" s="159" t="str">
        <f t="shared" si="16"/>
        <v>N/A</v>
      </c>
      <c r="GY15" s="159">
        <f t="shared" si="17"/>
        <v>27.733333333333334</v>
      </c>
      <c r="GZ15" s="159">
        <f t="shared" si="18"/>
        <v>29.666666666666668</v>
      </c>
      <c r="HA15" s="159">
        <f t="shared" si="19"/>
        <v>29.666666666666668</v>
      </c>
      <c r="HB15" s="159">
        <f t="shared" si="1"/>
        <v>27.733333333333334</v>
      </c>
      <c r="HC15" s="159" t="str">
        <f t="shared" si="20"/>
        <v>N/A</v>
      </c>
      <c r="HD15" s="159">
        <f t="shared" si="21"/>
        <v>66.333333333333329</v>
      </c>
      <c r="HE15" s="159">
        <f t="shared" si="22"/>
        <v>66.833333333333329</v>
      </c>
      <c r="HF15" s="160">
        <f t="shared" si="2"/>
        <v>66.833333333333329</v>
      </c>
      <c r="HG15" s="160" cm="1">
        <f t="array" ref="HG15">INDEX($HB15:$HD15,MATCH(TRUE,INDEX(ISNUMBER($HB15:$HD15),0),0))</f>
        <v>27.733333333333334</v>
      </c>
      <c r="HH15" s="161">
        <f t="shared" si="3"/>
        <v>1</v>
      </c>
      <c r="HI15" s="86">
        <f t="shared" si="4"/>
        <v>0</v>
      </c>
      <c r="HJ15" s="111">
        <f t="shared" si="5"/>
        <v>0</v>
      </c>
      <c r="HK15" s="205" t="str">
        <f t="shared" si="6"/>
        <v>1</v>
      </c>
    </row>
    <row r="16" spans="1:219" ht="15" customHeight="1" x14ac:dyDescent="0.3">
      <c r="A16" s="80">
        <v>4508580866</v>
      </c>
      <c r="B16" s="74" t="s">
        <v>220</v>
      </c>
      <c r="C16" s="74" t="s">
        <v>221</v>
      </c>
      <c r="D16" s="74" t="s">
        <v>220</v>
      </c>
      <c r="E16" s="80" t="s">
        <v>343</v>
      </c>
      <c r="F16" s="80" t="s">
        <v>344</v>
      </c>
      <c r="G16" s="80" t="s">
        <v>345</v>
      </c>
      <c r="H16" s="78">
        <v>44210</v>
      </c>
      <c r="I16" s="157" t="s">
        <v>346</v>
      </c>
      <c r="J16" s="80" t="s">
        <v>226</v>
      </c>
      <c r="K16" s="78" t="s">
        <v>227</v>
      </c>
      <c r="L16" s="80" t="s">
        <v>227</v>
      </c>
      <c r="M16" s="80" t="s">
        <v>227</v>
      </c>
      <c r="N16" s="80" t="s">
        <v>227</v>
      </c>
      <c r="O16" s="80" t="s">
        <v>227</v>
      </c>
      <c r="P16" s="80" t="s">
        <v>227</v>
      </c>
      <c r="Q16" s="80" t="s">
        <v>227</v>
      </c>
      <c r="R16" s="80" t="s">
        <v>227</v>
      </c>
      <c r="S16" s="80" t="s">
        <v>227</v>
      </c>
      <c r="T16" s="80" t="s">
        <v>227</v>
      </c>
      <c r="U16" s="80" t="s">
        <v>227</v>
      </c>
      <c r="V16" s="80" t="s">
        <v>227</v>
      </c>
      <c r="W16" s="80" t="s">
        <v>227</v>
      </c>
      <c r="X16" s="80" t="s">
        <v>227</v>
      </c>
      <c r="Y16" s="80" t="s">
        <v>227</v>
      </c>
      <c r="Z16" s="80" t="s">
        <v>227</v>
      </c>
      <c r="AA16" s="80" t="s">
        <v>227</v>
      </c>
      <c r="AB16" s="80" t="s">
        <v>227</v>
      </c>
      <c r="AC16" s="80" t="s">
        <v>227</v>
      </c>
      <c r="AD16" s="80" t="s">
        <v>227</v>
      </c>
      <c r="AE16" s="80" t="s">
        <v>227</v>
      </c>
      <c r="AF16" s="80" t="s">
        <v>227</v>
      </c>
      <c r="AG16" s="80" t="s">
        <v>227</v>
      </c>
      <c r="AH16" s="80" t="s">
        <v>227</v>
      </c>
      <c r="AI16" s="80" t="s">
        <v>227</v>
      </c>
      <c r="AJ16" s="80" t="s">
        <v>227</v>
      </c>
      <c r="AK16" s="80" t="s">
        <v>227</v>
      </c>
      <c r="AL16" s="80" t="s">
        <v>227</v>
      </c>
      <c r="AM16" s="80" t="s">
        <v>227</v>
      </c>
      <c r="AN16" s="80" t="s">
        <v>227</v>
      </c>
      <c r="AO16" s="80" t="s">
        <v>227</v>
      </c>
      <c r="AP16" s="80" t="s">
        <v>227</v>
      </c>
      <c r="AQ16" s="80" t="s">
        <v>228</v>
      </c>
      <c r="AR16" s="78">
        <v>18042</v>
      </c>
      <c r="AS16" s="78">
        <v>44174</v>
      </c>
      <c r="AT16" s="148">
        <f t="shared" si="0"/>
        <v>71</v>
      </c>
      <c r="AU16" s="164" t="s">
        <v>229</v>
      </c>
      <c r="AV16" s="74" t="s">
        <v>230</v>
      </c>
      <c r="AW16" s="74" t="s">
        <v>241</v>
      </c>
      <c r="AX16" s="80" t="s">
        <v>309</v>
      </c>
      <c r="AY16" s="80" t="s">
        <v>232</v>
      </c>
      <c r="AZ16" s="80">
        <v>0</v>
      </c>
      <c r="BA16" s="80">
        <f t="shared" si="44"/>
        <v>0</v>
      </c>
      <c r="BB16" s="157" t="s">
        <v>310</v>
      </c>
      <c r="BC16" s="80">
        <v>1</v>
      </c>
      <c r="BD16" s="74" t="s">
        <v>243</v>
      </c>
      <c r="BE16" s="80" t="s">
        <v>347</v>
      </c>
      <c r="BF16" s="74" t="s">
        <v>220</v>
      </c>
      <c r="BG16" s="80" t="s">
        <v>227</v>
      </c>
      <c r="BH16" s="80" t="s">
        <v>227</v>
      </c>
      <c r="BI16" s="80" t="s">
        <v>227</v>
      </c>
      <c r="BJ16" s="80" t="s">
        <v>227</v>
      </c>
      <c r="BK16" s="80" t="s">
        <v>227</v>
      </c>
      <c r="BL16" s="80" t="s">
        <v>227</v>
      </c>
      <c r="BM16" s="80" t="s">
        <v>227</v>
      </c>
      <c r="BN16" s="80" t="s">
        <v>227</v>
      </c>
      <c r="BO16" s="80" t="s">
        <v>227</v>
      </c>
      <c r="BP16" s="80" t="s">
        <v>227</v>
      </c>
      <c r="BQ16" s="80" t="s">
        <v>227</v>
      </c>
      <c r="BR16" s="80" t="s">
        <v>227</v>
      </c>
      <c r="BS16" s="80" t="s">
        <v>227</v>
      </c>
      <c r="BT16" s="80" t="s">
        <v>227</v>
      </c>
      <c r="BU16" s="80" t="s">
        <v>227</v>
      </c>
      <c r="BV16" s="80" t="s">
        <v>227</v>
      </c>
      <c r="BW16" s="80" t="s">
        <v>227</v>
      </c>
      <c r="BX16" s="80" t="s">
        <v>227</v>
      </c>
      <c r="BY16" s="80" t="s">
        <v>227</v>
      </c>
      <c r="BZ16" s="80" t="s">
        <v>227</v>
      </c>
      <c r="CA16" s="80" t="s">
        <v>227</v>
      </c>
      <c r="CB16" s="80" t="s">
        <v>227</v>
      </c>
      <c r="CC16" s="80" t="s">
        <v>227</v>
      </c>
      <c r="CD16" s="80" t="s">
        <v>227</v>
      </c>
      <c r="CE16" s="80" t="s">
        <v>227</v>
      </c>
      <c r="CF16" s="80" t="s">
        <v>227</v>
      </c>
      <c r="CG16" s="80" t="s">
        <v>227</v>
      </c>
      <c r="CH16" s="80" t="s">
        <v>227</v>
      </c>
      <c r="CI16" s="80" t="s">
        <v>227</v>
      </c>
      <c r="CJ16" s="80" t="s">
        <v>227</v>
      </c>
      <c r="CK16" s="80" t="s">
        <v>227</v>
      </c>
      <c r="CL16" s="80" t="s">
        <v>227</v>
      </c>
      <c r="CM16" s="80" t="s">
        <v>227</v>
      </c>
      <c r="CN16" s="80" t="s">
        <v>227</v>
      </c>
      <c r="CO16" s="80" t="s">
        <v>227</v>
      </c>
      <c r="CP16" s="80" t="s">
        <v>227</v>
      </c>
      <c r="CQ16" s="80" t="s">
        <v>227</v>
      </c>
      <c r="CR16" s="80" t="s">
        <v>227</v>
      </c>
      <c r="CS16" s="80" t="s">
        <v>227</v>
      </c>
      <c r="CT16" s="80" t="s">
        <v>227</v>
      </c>
      <c r="CU16" s="80" t="s">
        <v>227</v>
      </c>
      <c r="CV16" s="80" t="s">
        <v>227</v>
      </c>
      <c r="CW16" s="80" t="s">
        <v>227</v>
      </c>
      <c r="CX16" s="80" t="s">
        <v>227</v>
      </c>
      <c r="CY16" s="80" t="s">
        <v>227</v>
      </c>
      <c r="CZ16" s="80" t="s">
        <v>227</v>
      </c>
      <c r="DA16" s="80" t="s">
        <v>227</v>
      </c>
      <c r="DB16" s="80" t="s">
        <v>227</v>
      </c>
      <c r="DC16" s="80" t="s">
        <v>227</v>
      </c>
      <c r="DD16" s="80" t="s">
        <v>227</v>
      </c>
      <c r="DE16" s="80" t="s">
        <v>227</v>
      </c>
      <c r="DF16" s="80" t="s">
        <v>227</v>
      </c>
      <c r="DG16" s="80" t="s">
        <v>227</v>
      </c>
      <c r="DH16" s="80" t="s">
        <v>227</v>
      </c>
      <c r="DI16" s="80" t="s">
        <v>227</v>
      </c>
      <c r="DJ16" s="80" t="s">
        <v>227</v>
      </c>
      <c r="DK16" s="80" t="s">
        <v>227</v>
      </c>
      <c r="DL16" s="80" t="s">
        <v>227</v>
      </c>
      <c r="DM16" s="80" t="s">
        <v>227</v>
      </c>
      <c r="DN16" s="80" t="s">
        <v>227</v>
      </c>
      <c r="DO16" s="80" t="s">
        <v>227</v>
      </c>
      <c r="DP16" s="80" t="s">
        <v>227</v>
      </c>
      <c r="DQ16" s="80" t="s">
        <v>227</v>
      </c>
      <c r="DR16" s="80" t="s">
        <v>227</v>
      </c>
      <c r="DS16" s="80" t="s">
        <v>227</v>
      </c>
      <c r="DT16" s="80" t="s">
        <v>227</v>
      </c>
      <c r="DU16" s="80" t="s">
        <v>227</v>
      </c>
      <c r="DV16" s="80" t="s">
        <v>227</v>
      </c>
      <c r="DW16" s="80" t="s">
        <v>227</v>
      </c>
      <c r="DX16" s="80" t="s">
        <v>227</v>
      </c>
      <c r="DY16" s="80" t="s">
        <v>227</v>
      </c>
      <c r="DZ16" s="80" t="s">
        <v>227</v>
      </c>
      <c r="EA16" s="80" t="s">
        <v>227</v>
      </c>
      <c r="EB16" s="80" t="s">
        <v>227</v>
      </c>
      <c r="EC16" s="80" t="s">
        <v>227</v>
      </c>
      <c r="ED16" s="80" t="s">
        <v>227</v>
      </c>
      <c r="EE16" s="80" t="s">
        <v>227</v>
      </c>
      <c r="EF16" s="80" t="s">
        <v>227</v>
      </c>
      <c r="EG16" s="80" t="s">
        <v>227</v>
      </c>
      <c r="EH16" s="80" t="s">
        <v>227</v>
      </c>
      <c r="EI16" s="80" t="s">
        <v>227</v>
      </c>
      <c r="EJ16" s="80" t="s">
        <v>227</v>
      </c>
      <c r="EK16" s="80" t="s">
        <v>227</v>
      </c>
      <c r="EL16" s="80" t="s">
        <v>227</v>
      </c>
      <c r="EM16" s="80" t="s">
        <v>227</v>
      </c>
      <c r="EN16" s="80" t="s">
        <v>227</v>
      </c>
      <c r="EO16" s="80" t="s">
        <v>227</v>
      </c>
      <c r="EP16" s="80" t="s">
        <v>227</v>
      </c>
      <c r="EQ16" s="80" t="s">
        <v>227</v>
      </c>
      <c r="ER16" s="80" t="s">
        <v>227</v>
      </c>
      <c r="ES16" s="80" t="s">
        <v>227</v>
      </c>
      <c r="ET16" s="80" t="s">
        <v>227</v>
      </c>
      <c r="EU16" s="80" t="s">
        <v>227</v>
      </c>
      <c r="EV16" s="80" t="s">
        <v>227</v>
      </c>
      <c r="EW16" s="80" t="s">
        <v>227</v>
      </c>
      <c r="EX16" s="80" t="s">
        <v>227</v>
      </c>
      <c r="EY16" s="80" t="s">
        <v>227</v>
      </c>
      <c r="EZ16" s="80" t="s">
        <v>227</v>
      </c>
      <c r="FA16" s="80" t="s">
        <v>227</v>
      </c>
      <c r="FB16" s="147" t="s">
        <v>227</v>
      </c>
      <c r="FC16" s="80" t="s">
        <v>227</v>
      </c>
      <c r="FD16" s="80" t="s">
        <v>227</v>
      </c>
      <c r="FE16" s="80" t="s">
        <v>227</v>
      </c>
      <c r="FF16" s="80" t="s">
        <v>227</v>
      </c>
      <c r="FG16" s="80" t="s">
        <v>227</v>
      </c>
      <c r="FH16" s="80" t="s">
        <v>227</v>
      </c>
      <c r="FI16" s="80" t="s">
        <v>227</v>
      </c>
      <c r="FJ16" s="80" t="s">
        <v>227</v>
      </c>
      <c r="FK16" s="80" t="s">
        <v>227</v>
      </c>
      <c r="FL16" s="80" t="s">
        <v>227</v>
      </c>
      <c r="FM16" s="80" t="s">
        <v>227</v>
      </c>
      <c r="FN16" s="80" t="s">
        <v>227</v>
      </c>
      <c r="FO16" s="80" t="s">
        <v>227</v>
      </c>
      <c r="FP16" s="80" t="s">
        <v>227</v>
      </c>
      <c r="FQ16" s="80" t="s">
        <v>227</v>
      </c>
      <c r="FR16" s="80" t="s">
        <v>227</v>
      </c>
      <c r="FS16" s="80" t="s">
        <v>227</v>
      </c>
      <c r="FT16" s="80" t="s">
        <v>227</v>
      </c>
      <c r="FU16" s="80" t="s">
        <v>227</v>
      </c>
      <c r="FV16" s="80" t="s">
        <v>227</v>
      </c>
      <c r="FW16" s="80" t="s">
        <v>227</v>
      </c>
      <c r="FX16" s="80" t="s">
        <v>227</v>
      </c>
      <c r="FY16" s="80" t="s">
        <v>227</v>
      </c>
      <c r="FZ16" s="80" t="s">
        <v>227</v>
      </c>
      <c r="GA16" s="80" t="s">
        <v>227</v>
      </c>
      <c r="GB16" s="80" t="s">
        <v>227</v>
      </c>
      <c r="GC16" s="80" t="s">
        <v>227</v>
      </c>
      <c r="GD16" s="80" t="s">
        <v>227</v>
      </c>
      <c r="GE16" s="80" t="s">
        <v>227</v>
      </c>
      <c r="GF16" s="167" t="s">
        <v>312</v>
      </c>
      <c r="GG16" s="78" t="s">
        <v>227</v>
      </c>
      <c r="GH16" s="74" t="s">
        <v>227</v>
      </c>
      <c r="GI16" s="80" t="s">
        <v>227</v>
      </c>
      <c r="GJ16" s="78">
        <v>44264</v>
      </c>
      <c r="GK16" s="78">
        <v>46076</v>
      </c>
      <c r="GL16" s="78" t="s">
        <v>227</v>
      </c>
      <c r="GM16" s="159" t="str">
        <f t="shared" si="7"/>
        <v>N/A</v>
      </c>
      <c r="GN16" s="159" t="str">
        <f t="shared" si="8"/>
        <v>N/A</v>
      </c>
      <c r="GO16" s="159">
        <f t="shared" si="9"/>
        <v>1.2</v>
      </c>
      <c r="GP16" s="159" t="str">
        <f t="shared" si="10"/>
        <v>N/A</v>
      </c>
      <c r="GQ16" s="159" t="str">
        <f t="shared" si="23"/>
        <v>N/A</v>
      </c>
      <c r="GR16" s="159" t="str">
        <f t="shared" si="24"/>
        <v>N/A</v>
      </c>
      <c r="GS16" s="159" t="str">
        <f t="shared" si="11"/>
        <v>N/A</v>
      </c>
      <c r="GT16" s="159" t="str">
        <f t="shared" si="12"/>
        <v>N/A</v>
      </c>
      <c r="GU16" s="159" t="str">
        <f t="shared" si="13"/>
        <v>N/A</v>
      </c>
      <c r="GV16" s="159" t="str">
        <f t="shared" si="14"/>
        <v>N/A</v>
      </c>
      <c r="GW16" s="159" t="str">
        <f t="shared" si="15"/>
        <v>N/A</v>
      </c>
      <c r="GX16" s="159" t="str">
        <f t="shared" si="16"/>
        <v>N/A</v>
      </c>
      <c r="GY16" s="159" t="str">
        <f t="shared" si="17"/>
        <v>N/A</v>
      </c>
      <c r="GZ16" s="159" t="str">
        <f t="shared" si="18"/>
        <v>N/A</v>
      </c>
      <c r="HA16" s="159" t="str">
        <f t="shared" si="19"/>
        <v>N/A</v>
      </c>
      <c r="HB16" s="159" t="str">
        <f t="shared" si="1"/>
        <v>N/A</v>
      </c>
      <c r="HC16" s="159" t="str">
        <f t="shared" si="20"/>
        <v>N/A</v>
      </c>
      <c r="HD16" s="159">
        <f t="shared" si="21"/>
        <v>3</v>
      </c>
      <c r="HE16" s="159">
        <f t="shared" si="22"/>
        <v>63.4</v>
      </c>
      <c r="HF16" s="160">
        <f t="shared" si="2"/>
        <v>63.4</v>
      </c>
      <c r="HG16" s="160" cm="1">
        <f t="array" ref="HG16">INDEX($HB16:$HD16,MATCH(TRUE,INDEX(ISNUMBER($HB16:$HD16),0),0))</f>
        <v>3</v>
      </c>
      <c r="HH16" s="161">
        <f t="shared" si="3"/>
        <v>0</v>
      </c>
      <c r="HI16" s="86">
        <f t="shared" si="4"/>
        <v>0</v>
      </c>
      <c r="HJ16" s="111">
        <f t="shared" si="5"/>
        <v>0</v>
      </c>
      <c r="HK16" s="205" t="str">
        <f t="shared" si="6"/>
        <v>0</v>
      </c>
    </row>
    <row r="17" spans="1:219" s="94" customFormat="1" ht="15" customHeight="1" x14ac:dyDescent="0.3">
      <c r="A17" s="175">
        <v>4583152876</v>
      </c>
      <c r="B17" s="176" t="s">
        <v>227</v>
      </c>
      <c r="C17" s="176" t="s">
        <v>227</v>
      </c>
      <c r="D17" s="176" t="s">
        <v>227</v>
      </c>
      <c r="E17" s="175" t="s">
        <v>348</v>
      </c>
      <c r="F17" s="175" t="s">
        <v>349</v>
      </c>
      <c r="G17" s="175" t="s">
        <v>350</v>
      </c>
      <c r="H17" s="177" t="s">
        <v>227</v>
      </c>
      <c r="I17" s="175" t="s">
        <v>227</v>
      </c>
      <c r="J17" s="175" t="s">
        <v>227</v>
      </c>
      <c r="K17" s="177" t="s">
        <v>227</v>
      </c>
      <c r="L17" s="175" t="s">
        <v>227</v>
      </c>
      <c r="M17" s="175" t="s">
        <v>227</v>
      </c>
      <c r="N17" s="178" t="s">
        <v>227</v>
      </c>
      <c r="O17" s="175" t="s">
        <v>227</v>
      </c>
      <c r="P17" s="177" t="s">
        <v>227</v>
      </c>
      <c r="Q17" s="176" t="s">
        <v>227</v>
      </c>
      <c r="R17" s="175" t="s">
        <v>227</v>
      </c>
      <c r="S17" s="175" t="s">
        <v>227</v>
      </c>
      <c r="T17" s="175" t="s">
        <v>227</v>
      </c>
      <c r="U17" s="177" t="s">
        <v>227</v>
      </c>
      <c r="V17" s="176" t="s">
        <v>227</v>
      </c>
      <c r="W17" s="176" t="s">
        <v>227</v>
      </c>
      <c r="X17" s="176" t="s">
        <v>227</v>
      </c>
      <c r="Y17" s="176" t="s">
        <v>227</v>
      </c>
      <c r="Z17" s="179" t="s">
        <v>227</v>
      </c>
      <c r="AA17" s="176" t="s">
        <v>227</v>
      </c>
      <c r="AB17" s="176" t="s">
        <v>227</v>
      </c>
      <c r="AC17" s="176" t="s">
        <v>227</v>
      </c>
      <c r="AD17" s="176" t="s">
        <v>227</v>
      </c>
      <c r="AE17" s="179" t="s">
        <v>227</v>
      </c>
      <c r="AF17" s="176" t="s">
        <v>227</v>
      </c>
      <c r="AG17" s="176" t="s">
        <v>227</v>
      </c>
      <c r="AH17" s="176" t="s">
        <v>227</v>
      </c>
      <c r="AI17" s="176" t="s">
        <v>227</v>
      </c>
      <c r="AJ17" s="179" t="s">
        <v>227</v>
      </c>
      <c r="AK17" s="176" t="s">
        <v>227</v>
      </c>
      <c r="AL17" s="175" t="s">
        <v>227</v>
      </c>
      <c r="AM17" s="175" t="s">
        <v>227</v>
      </c>
      <c r="AN17" s="175" t="s">
        <v>227</v>
      </c>
      <c r="AO17" s="177" t="s">
        <v>227</v>
      </c>
      <c r="AP17" s="176" t="s">
        <v>227</v>
      </c>
      <c r="AQ17" s="175" t="s">
        <v>228</v>
      </c>
      <c r="AR17" s="177">
        <v>20731</v>
      </c>
      <c r="AS17" s="177" t="s">
        <v>227</v>
      </c>
      <c r="AT17" s="180" t="e">
        <f t="shared" si="0"/>
        <v>#VALUE!</v>
      </c>
      <c r="AU17" s="181" t="s">
        <v>227</v>
      </c>
      <c r="AV17" s="176" t="s">
        <v>227</v>
      </c>
      <c r="AW17" s="176" t="s">
        <v>227</v>
      </c>
      <c r="AX17" s="175" t="s">
        <v>227</v>
      </c>
      <c r="AY17" s="175" t="s">
        <v>227</v>
      </c>
      <c r="AZ17" s="175" t="s">
        <v>227</v>
      </c>
      <c r="BA17" s="175" t="e">
        <f t="shared" si="44"/>
        <v>#VALUE!</v>
      </c>
      <c r="BB17" s="175" t="s">
        <v>227</v>
      </c>
      <c r="BC17" s="175" t="s">
        <v>227</v>
      </c>
      <c r="BD17" s="176" t="s">
        <v>243</v>
      </c>
      <c r="BE17" s="175" t="s">
        <v>227</v>
      </c>
      <c r="BF17" s="176" t="s">
        <v>227</v>
      </c>
      <c r="BG17" s="182" t="s">
        <v>227</v>
      </c>
      <c r="BH17" s="183" t="s">
        <v>227</v>
      </c>
      <c r="BI17" s="175" t="s">
        <v>227</v>
      </c>
      <c r="BJ17" s="177" t="s">
        <v>227</v>
      </c>
      <c r="BK17" s="177" t="s">
        <v>227</v>
      </c>
      <c r="BL17" s="175" t="s">
        <v>227</v>
      </c>
      <c r="BM17" s="183" t="s">
        <v>227</v>
      </c>
      <c r="BN17" s="175" t="s">
        <v>227</v>
      </c>
      <c r="BO17" s="175" t="s">
        <v>227</v>
      </c>
      <c r="BP17" s="183" t="s">
        <v>227</v>
      </c>
      <c r="BQ17" s="175" t="s">
        <v>227</v>
      </c>
      <c r="BR17" s="175" t="s">
        <v>227</v>
      </c>
      <c r="BS17" s="183" t="s">
        <v>227</v>
      </c>
      <c r="BT17" s="175" t="s">
        <v>227</v>
      </c>
      <c r="BU17" s="175" t="s">
        <v>227</v>
      </c>
      <c r="BV17" s="183" t="s">
        <v>227</v>
      </c>
      <c r="BW17" s="175" t="s">
        <v>227</v>
      </c>
      <c r="BX17" s="175" t="s">
        <v>227</v>
      </c>
      <c r="BY17" s="183" t="s">
        <v>227</v>
      </c>
      <c r="BZ17" s="175" t="s">
        <v>227</v>
      </c>
      <c r="CA17" s="175" t="s">
        <v>227</v>
      </c>
      <c r="CB17" s="183" t="s">
        <v>227</v>
      </c>
      <c r="CC17" s="175" t="s">
        <v>227</v>
      </c>
      <c r="CD17" s="175" t="s">
        <v>227</v>
      </c>
      <c r="CE17" s="183" t="s">
        <v>227</v>
      </c>
      <c r="CF17" s="175" t="s">
        <v>227</v>
      </c>
      <c r="CG17" s="175" t="s">
        <v>227</v>
      </c>
      <c r="CH17" s="183" t="s">
        <v>227</v>
      </c>
      <c r="CI17" s="175" t="s">
        <v>227</v>
      </c>
      <c r="CJ17" s="175" t="s">
        <v>227</v>
      </c>
      <c r="CK17" s="183" t="s">
        <v>227</v>
      </c>
      <c r="CL17" s="175" t="s">
        <v>227</v>
      </c>
      <c r="CM17" s="175" t="s">
        <v>227</v>
      </c>
      <c r="CN17" s="183" t="s">
        <v>227</v>
      </c>
      <c r="CO17" s="175" t="s">
        <v>227</v>
      </c>
      <c r="CP17" s="177" t="s">
        <v>227</v>
      </c>
      <c r="CQ17" s="177" t="s">
        <v>227</v>
      </c>
      <c r="CR17" s="175" t="s">
        <v>227</v>
      </c>
      <c r="CS17" s="183" t="s">
        <v>227</v>
      </c>
      <c r="CT17" s="175" t="s">
        <v>227</v>
      </c>
      <c r="CU17" s="175" t="s">
        <v>227</v>
      </c>
      <c r="CV17" s="183" t="s">
        <v>227</v>
      </c>
      <c r="CW17" s="175" t="s">
        <v>227</v>
      </c>
      <c r="CX17" s="175" t="s">
        <v>227</v>
      </c>
      <c r="CY17" s="183" t="s">
        <v>227</v>
      </c>
      <c r="CZ17" s="175" t="s">
        <v>227</v>
      </c>
      <c r="DA17" s="175" t="s">
        <v>227</v>
      </c>
      <c r="DB17" s="183" t="s">
        <v>227</v>
      </c>
      <c r="DC17" s="175" t="s">
        <v>227</v>
      </c>
      <c r="DD17" s="175" t="s">
        <v>227</v>
      </c>
      <c r="DE17" s="183" t="s">
        <v>227</v>
      </c>
      <c r="DF17" s="175" t="s">
        <v>227</v>
      </c>
      <c r="DG17" s="175" t="s">
        <v>227</v>
      </c>
      <c r="DH17" s="183" t="s">
        <v>227</v>
      </c>
      <c r="DI17" s="175" t="s">
        <v>227</v>
      </c>
      <c r="DJ17" s="175" t="s">
        <v>227</v>
      </c>
      <c r="DK17" s="183" t="s">
        <v>227</v>
      </c>
      <c r="DL17" s="175" t="s">
        <v>227</v>
      </c>
      <c r="DM17" s="175" t="s">
        <v>227</v>
      </c>
      <c r="DN17" s="183" t="s">
        <v>227</v>
      </c>
      <c r="DO17" s="175" t="s">
        <v>227</v>
      </c>
      <c r="DP17" s="175" t="s">
        <v>227</v>
      </c>
      <c r="DQ17" s="183" t="s">
        <v>227</v>
      </c>
      <c r="DR17" s="175" t="s">
        <v>227</v>
      </c>
      <c r="DS17" s="175" t="s">
        <v>227</v>
      </c>
      <c r="DT17" s="183" t="s">
        <v>227</v>
      </c>
      <c r="DU17" s="175" t="s">
        <v>227</v>
      </c>
      <c r="DV17" s="175" t="s">
        <v>227</v>
      </c>
      <c r="DW17" s="183" t="s">
        <v>227</v>
      </c>
      <c r="DX17" s="175" t="s">
        <v>227</v>
      </c>
      <c r="DY17" s="175" t="s">
        <v>227</v>
      </c>
      <c r="DZ17" s="183" t="s">
        <v>227</v>
      </c>
      <c r="EA17" s="175" t="s">
        <v>227</v>
      </c>
      <c r="EB17" s="175" t="s">
        <v>227</v>
      </c>
      <c r="EC17" s="183" t="s">
        <v>227</v>
      </c>
      <c r="ED17" s="175" t="s">
        <v>227</v>
      </c>
      <c r="EE17" s="175" t="s">
        <v>227</v>
      </c>
      <c r="EF17" s="183" t="s">
        <v>227</v>
      </c>
      <c r="EG17" s="175" t="s">
        <v>227</v>
      </c>
      <c r="EH17" s="175" t="s">
        <v>227</v>
      </c>
      <c r="EI17" s="177" t="s">
        <v>227</v>
      </c>
      <c r="EJ17" s="175" t="s">
        <v>227</v>
      </c>
      <c r="EK17" s="183" t="s">
        <v>227</v>
      </c>
      <c r="EL17" s="175" t="s">
        <v>227</v>
      </c>
      <c r="EM17" s="177" t="s">
        <v>227</v>
      </c>
      <c r="EN17" s="177" t="s">
        <v>227</v>
      </c>
      <c r="EO17" s="175" t="s">
        <v>227</v>
      </c>
      <c r="EP17" s="183" t="s">
        <v>227</v>
      </c>
      <c r="EQ17" s="175" t="s">
        <v>227</v>
      </c>
      <c r="ER17" s="175" t="s">
        <v>227</v>
      </c>
      <c r="ES17" s="183" t="s">
        <v>227</v>
      </c>
      <c r="ET17" s="175" t="s">
        <v>227</v>
      </c>
      <c r="EU17" s="175" t="s">
        <v>227</v>
      </c>
      <c r="EV17" s="183" t="s">
        <v>227</v>
      </c>
      <c r="EW17" s="175" t="s">
        <v>227</v>
      </c>
      <c r="EX17" s="175" t="s">
        <v>227</v>
      </c>
      <c r="EY17" s="183" t="s">
        <v>227</v>
      </c>
      <c r="EZ17" s="175" t="s">
        <v>227</v>
      </c>
      <c r="FA17" s="175" t="s">
        <v>227</v>
      </c>
      <c r="FB17" s="147" t="s">
        <v>227</v>
      </c>
      <c r="FC17" s="175" t="s">
        <v>227</v>
      </c>
      <c r="FD17" s="175" t="s">
        <v>227</v>
      </c>
      <c r="FE17" s="183" t="s">
        <v>227</v>
      </c>
      <c r="FF17" s="175" t="s">
        <v>227</v>
      </c>
      <c r="FG17" s="175" t="s">
        <v>227</v>
      </c>
      <c r="FH17" s="183" t="s">
        <v>227</v>
      </c>
      <c r="FI17" s="175" t="s">
        <v>227</v>
      </c>
      <c r="FJ17" s="175" t="s">
        <v>227</v>
      </c>
      <c r="FK17" s="183" t="s">
        <v>227</v>
      </c>
      <c r="FL17" s="175" t="s">
        <v>227</v>
      </c>
      <c r="FM17" s="175" t="s">
        <v>227</v>
      </c>
      <c r="FN17" s="183" t="s">
        <v>227</v>
      </c>
      <c r="FO17" s="175" t="s">
        <v>227</v>
      </c>
      <c r="FP17" s="175" t="s">
        <v>227</v>
      </c>
      <c r="FQ17" s="183" t="s">
        <v>227</v>
      </c>
      <c r="FR17" s="175" t="s">
        <v>227</v>
      </c>
      <c r="FS17" s="175" t="s">
        <v>227</v>
      </c>
      <c r="FT17" s="183" t="s">
        <v>227</v>
      </c>
      <c r="FU17" s="175" t="s">
        <v>227</v>
      </c>
      <c r="FV17" s="175" t="s">
        <v>227</v>
      </c>
      <c r="FW17" s="183" t="s">
        <v>227</v>
      </c>
      <c r="FX17" s="175" t="s">
        <v>227</v>
      </c>
      <c r="FY17" s="175" t="s">
        <v>227</v>
      </c>
      <c r="FZ17" s="183" t="s">
        <v>227</v>
      </c>
      <c r="GA17" s="175" t="s">
        <v>227</v>
      </c>
      <c r="GB17" s="175" t="s">
        <v>227</v>
      </c>
      <c r="GC17" s="183" t="s">
        <v>227</v>
      </c>
      <c r="GD17" s="175" t="s">
        <v>227</v>
      </c>
      <c r="GE17" s="175" t="s">
        <v>227</v>
      </c>
      <c r="GF17" s="184" t="s">
        <v>227</v>
      </c>
      <c r="GG17" s="177" t="s">
        <v>227</v>
      </c>
      <c r="GH17" s="176" t="s">
        <v>227</v>
      </c>
      <c r="GI17" s="175" t="s">
        <v>227</v>
      </c>
      <c r="GJ17" s="177" t="s">
        <v>227</v>
      </c>
      <c r="GK17" s="177" t="s">
        <v>227</v>
      </c>
      <c r="GL17" s="177" t="s">
        <v>227</v>
      </c>
      <c r="GM17" s="185" t="str">
        <f t="shared" si="7"/>
        <v>N/A</v>
      </c>
      <c r="GN17" s="185" t="str">
        <f t="shared" si="8"/>
        <v>N/A</v>
      </c>
      <c r="GO17" s="185" t="str">
        <f t="shared" si="9"/>
        <v>N/A</v>
      </c>
      <c r="GP17" s="185" t="str">
        <f t="shared" si="10"/>
        <v>N/A</v>
      </c>
      <c r="GQ17" s="185" t="str">
        <f t="shared" si="23"/>
        <v>N/A</v>
      </c>
      <c r="GR17" s="185" t="str">
        <f t="shared" si="24"/>
        <v>N/A</v>
      </c>
      <c r="GS17" s="185" t="str">
        <f t="shared" si="11"/>
        <v>N/A</v>
      </c>
      <c r="GT17" s="185" t="str">
        <f t="shared" si="12"/>
        <v>N/A</v>
      </c>
      <c r="GU17" s="185" t="str">
        <f t="shared" si="13"/>
        <v>N/A</v>
      </c>
      <c r="GV17" s="185" t="str">
        <f t="shared" si="14"/>
        <v>N/A</v>
      </c>
      <c r="GW17" s="185" t="str">
        <f t="shared" si="15"/>
        <v>N/A</v>
      </c>
      <c r="GX17" s="185" t="str">
        <f t="shared" si="16"/>
        <v>N/A</v>
      </c>
      <c r="GY17" s="185" t="str">
        <f t="shared" si="17"/>
        <v>N/A</v>
      </c>
      <c r="GZ17" s="185" t="str">
        <f t="shared" si="18"/>
        <v>N/A</v>
      </c>
      <c r="HA17" s="185" t="str">
        <f t="shared" si="19"/>
        <v>N/A</v>
      </c>
      <c r="HB17" s="185" t="str">
        <f t="shared" si="1"/>
        <v>N/A</v>
      </c>
      <c r="HC17" s="185" t="str">
        <f t="shared" si="20"/>
        <v>N/A</v>
      </c>
      <c r="HD17" s="185" t="str">
        <f t="shared" si="21"/>
        <v>N/A</v>
      </c>
      <c r="HE17" s="185" t="str">
        <f t="shared" si="22"/>
        <v>N/A</v>
      </c>
      <c r="HF17" s="186">
        <f t="shared" si="2"/>
        <v>0</v>
      </c>
      <c r="HG17" s="186" t="e" cm="1">
        <f t="array" ref="HG17">INDEX($HB17:$HD17,MATCH(TRUE,INDEX(ISNUMBER($HB17:$HD17),0),0))</f>
        <v>#N/A</v>
      </c>
      <c r="HH17" s="187">
        <f t="shared" si="3"/>
        <v>0</v>
      </c>
      <c r="HI17" s="188">
        <f t="shared" si="4"/>
        <v>0</v>
      </c>
      <c r="HJ17" s="112">
        <f t="shared" si="5"/>
        <v>0</v>
      </c>
      <c r="HK17" s="207" t="str">
        <f t="shared" si="6"/>
        <v>0</v>
      </c>
    </row>
    <row r="18" spans="1:219" ht="15" customHeight="1" x14ac:dyDescent="0.3">
      <c r="A18" s="80">
        <v>6243922782</v>
      </c>
      <c r="B18" s="74" t="s">
        <v>220</v>
      </c>
      <c r="C18" s="74" t="s">
        <v>221</v>
      </c>
      <c r="D18" s="74" t="s">
        <v>220</v>
      </c>
      <c r="E18" s="80" t="s">
        <v>351</v>
      </c>
      <c r="F18" s="80" t="s">
        <v>271</v>
      </c>
      <c r="G18" s="80" t="s">
        <v>224</v>
      </c>
      <c r="H18" s="78">
        <v>44244</v>
      </c>
      <c r="I18" s="80" t="s">
        <v>352</v>
      </c>
      <c r="J18" s="80" t="s">
        <v>226</v>
      </c>
      <c r="K18" s="78" t="s">
        <v>227</v>
      </c>
      <c r="L18" s="80" t="s">
        <v>227</v>
      </c>
      <c r="M18" s="80" t="s">
        <v>227</v>
      </c>
      <c r="N18" s="80" t="s">
        <v>227</v>
      </c>
      <c r="O18" s="80" t="s">
        <v>227</v>
      </c>
      <c r="P18" s="80" t="s">
        <v>227</v>
      </c>
      <c r="Q18" s="80" t="s">
        <v>227</v>
      </c>
      <c r="R18" s="80" t="s">
        <v>227</v>
      </c>
      <c r="S18" s="80" t="s">
        <v>227</v>
      </c>
      <c r="T18" s="80" t="s">
        <v>227</v>
      </c>
      <c r="U18" s="80" t="s">
        <v>227</v>
      </c>
      <c r="V18" s="80" t="s">
        <v>227</v>
      </c>
      <c r="W18" s="80" t="s">
        <v>227</v>
      </c>
      <c r="X18" s="80" t="s">
        <v>227</v>
      </c>
      <c r="Y18" s="80" t="s">
        <v>227</v>
      </c>
      <c r="Z18" s="80" t="s">
        <v>227</v>
      </c>
      <c r="AA18" s="80" t="s">
        <v>227</v>
      </c>
      <c r="AB18" s="80" t="s">
        <v>227</v>
      </c>
      <c r="AC18" s="80" t="s">
        <v>227</v>
      </c>
      <c r="AD18" s="80" t="s">
        <v>227</v>
      </c>
      <c r="AE18" s="80" t="s">
        <v>227</v>
      </c>
      <c r="AF18" s="80" t="s">
        <v>227</v>
      </c>
      <c r="AG18" s="80" t="s">
        <v>227</v>
      </c>
      <c r="AH18" s="80" t="s">
        <v>227</v>
      </c>
      <c r="AI18" s="80" t="s">
        <v>227</v>
      </c>
      <c r="AJ18" s="80" t="s">
        <v>227</v>
      </c>
      <c r="AK18" s="80" t="s">
        <v>227</v>
      </c>
      <c r="AL18" s="80" t="s">
        <v>227</v>
      </c>
      <c r="AM18" s="80" t="s">
        <v>227</v>
      </c>
      <c r="AN18" s="80" t="s">
        <v>227</v>
      </c>
      <c r="AO18" s="80" t="s">
        <v>227</v>
      </c>
      <c r="AP18" s="80" t="s">
        <v>227</v>
      </c>
      <c r="AQ18" s="80" t="s">
        <v>228</v>
      </c>
      <c r="AR18" s="78">
        <v>16937</v>
      </c>
      <c r="AS18" s="78">
        <v>44180</v>
      </c>
      <c r="AT18" s="148">
        <f t="shared" si="0"/>
        <v>74</v>
      </c>
      <c r="AU18" s="164" t="s">
        <v>229</v>
      </c>
      <c r="AV18" s="74" t="s">
        <v>230</v>
      </c>
      <c r="AW18" s="74" t="s">
        <v>241</v>
      </c>
      <c r="AX18" s="80" t="s">
        <v>264</v>
      </c>
      <c r="AY18" s="80">
        <v>0</v>
      </c>
      <c r="AZ18" s="80" t="s">
        <v>232</v>
      </c>
      <c r="BA18" s="80">
        <f t="shared" si="44"/>
        <v>0</v>
      </c>
      <c r="BB18" s="80" t="s">
        <v>265</v>
      </c>
      <c r="BC18" s="80">
        <v>2</v>
      </c>
      <c r="BD18" s="74" t="s">
        <v>243</v>
      </c>
      <c r="BE18" s="157" t="s">
        <v>339</v>
      </c>
      <c r="BF18" s="74" t="s">
        <v>220</v>
      </c>
      <c r="BG18" s="80" t="s">
        <v>227</v>
      </c>
      <c r="BH18" s="80" t="s">
        <v>227</v>
      </c>
      <c r="BI18" s="80" t="s">
        <v>227</v>
      </c>
      <c r="BJ18" s="80" t="s">
        <v>227</v>
      </c>
      <c r="BK18" s="80" t="s">
        <v>227</v>
      </c>
      <c r="BL18" s="80" t="s">
        <v>227</v>
      </c>
      <c r="BM18" s="80" t="s">
        <v>227</v>
      </c>
      <c r="BN18" s="80" t="s">
        <v>227</v>
      </c>
      <c r="BO18" s="80" t="s">
        <v>227</v>
      </c>
      <c r="BP18" s="80" t="s">
        <v>227</v>
      </c>
      <c r="BQ18" s="80" t="s">
        <v>227</v>
      </c>
      <c r="BR18" s="80" t="s">
        <v>227</v>
      </c>
      <c r="BS18" s="80" t="s">
        <v>227</v>
      </c>
      <c r="BT18" s="80" t="s">
        <v>227</v>
      </c>
      <c r="BU18" s="80" t="s">
        <v>227</v>
      </c>
      <c r="BV18" s="80" t="s">
        <v>227</v>
      </c>
      <c r="BW18" s="80" t="s">
        <v>227</v>
      </c>
      <c r="BX18" s="80" t="s">
        <v>227</v>
      </c>
      <c r="BY18" s="80" t="s">
        <v>227</v>
      </c>
      <c r="BZ18" s="80" t="s">
        <v>227</v>
      </c>
      <c r="CA18" s="80" t="s">
        <v>227</v>
      </c>
      <c r="CB18" s="80" t="s">
        <v>227</v>
      </c>
      <c r="CC18" s="80" t="s">
        <v>227</v>
      </c>
      <c r="CD18" s="80" t="s">
        <v>227</v>
      </c>
      <c r="CE18" s="80" t="s">
        <v>227</v>
      </c>
      <c r="CF18" s="80" t="s">
        <v>227</v>
      </c>
      <c r="CG18" s="80" t="s">
        <v>227</v>
      </c>
      <c r="CH18" s="80" t="s">
        <v>227</v>
      </c>
      <c r="CI18" s="80" t="s">
        <v>227</v>
      </c>
      <c r="CJ18" s="80" t="s">
        <v>227</v>
      </c>
      <c r="CK18" s="80" t="s">
        <v>227</v>
      </c>
      <c r="CL18" s="80" t="s">
        <v>227</v>
      </c>
      <c r="CM18" s="80" t="s">
        <v>227</v>
      </c>
      <c r="CN18" s="80" t="s">
        <v>227</v>
      </c>
      <c r="CO18" s="80" t="s">
        <v>227</v>
      </c>
      <c r="CP18" s="80" t="s">
        <v>227</v>
      </c>
      <c r="CQ18" s="80" t="s">
        <v>227</v>
      </c>
      <c r="CR18" s="80" t="s">
        <v>227</v>
      </c>
      <c r="CS18" s="80" t="s">
        <v>227</v>
      </c>
      <c r="CT18" s="80" t="s">
        <v>227</v>
      </c>
      <c r="CU18" s="80" t="s">
        <v>227</v>
      </c>
      <c r="CV18" s="80" t="s">
        <v>227</v>
      </c>
      <c r="CW18" s="80" t="s">
        <v>227</v>
      </c>
      <c r="CX18" s="80" t="s">
        <v>227</v>
      </c>
      <c r="CY18" s="80" t="s">
        <v>227</v>
      </c>
      <c r="CZ18" s="80" t="s">
        <v>227</v>
      </c>
      <c r="DA18" s="80" t="s">
        <v>227</v>
      </c>
      <c r="DB18" s="80" t="s">
        <v>227</v>
      </c>
      <c r="DC18" s="80" t="s">
        <v>227</v>
      </c>
      <c r="DD18" s="80" t="s">
        <v>227</v>
      </c>
      <c r="DE18" s="80" t="s">
        <v>227</v>
      </c>
      <c r="DF18" s="80" t="s">
        <v>227</v>
      </c>
      <c r="DG18" s="80" t="s">
        <v>227</v>
      </c>
      <c r="DH18" s="80" t="s">
        <v>227</v>
      </c>
      <c r="DI18" s="80" t="s">
        <v>227</v>
      </c>
      <c r="DJ18" s="80" t="s">
        <v>227</v>
      </c>
      <c r="DK18" s="80" t="s">
        <v>227</v>
      </c>
      <c r="DL18" s="80" t="s">
        <v>227</v>
      </c>
      <c r="DM18" s="80" t="s">
        <v>227</v>
      </c>
      <c r="DN18" s="80" t="s">
        <v>227</v>
      </c>
      <c r="DO18" s="80" t="s">
        <v>227</v>
      </c>
      <c r="DP18" s="80" t="s">
        <v>227</v>
      </c>
      <c r="DQ18" s="80" t="s">
        <v>227</v>
      </c>
      <c r="DR18" s="80" t="s">
        <v>227</v>
      </c>
      <c r="DS18" s="80" t="s">
        <v>227</v>
      </c>
      <c r="DT18" s="80" t="s">
        <v>227</v>
      </c>
      <c r="DU18" s="80" t="s">
        <v>227</v>
      </c>
      <c r="DV18" s="80" t="s">
        <v>227</v>
      </c>
      <c r="DW18" s="80" t="s">
        <v>227</v>
      </c>
      <c r="DX18" s="80" t="s">
        <v>227</v>
      </c>
      <c r="DY18" s="80" t="s">
        <v>227</v>
      </c>
      <c r="DZ18" s="80" t="s">
        <v>227</v>
      </c>
      <c r="EA18" s="80" t="s">
        <v>227</v>
      </c>
      <c r="EB18" s="80" t="s">
        <v>227</v>
      </c>
      <c r="EC18" s="80" t="s">
        <v>227</v>
      </c>
      <c r="ED18" s="80" t="s">
        <v>227</v>
      </c>
      <c r="EE18" s="80" t="s">
        <v>227</v>
      </c>
      <c r="EF18" s="80" t="s">
        <v>227</v>
      </c>
      <c r="EG18" s="80" t="s">
        <v>227</v>
      </c>
      <c r="EH18" s="80" t="s">
        <v>227</v>
      </c>
      <c r="EI18" s="80" t="s">
        <v>227</v>
      </c>
      <c r="EJ18" s="80" t="s">
        <v>227</v>
      </c>
      <c r="EK18" s="80" t="s">
        <v>227</v>
      </c>
      <c r="EL18" s="80" t="s">
        <v>227</v>
      </c>
      <c r="EM18" s="80" t="s">
        <v>227</v>
      </c>
      <c r="EN18" s="80" t="s">
        <v>227</v>
      </c>
      <c r="EO18" s="80" t="s">
        <v>227</v>
      </c>
      <c r="EP18" s="80" t="s">
        <v>227</v>
      </c>
      <c r="EQ18" s="80" t="s">
        <v>227</v>
      </c>
      <c r="ER18" s="80" t="s">
        <v>227</v>
      </c>
      <c r="ES18" s="80" t="s">
        <v>227</v>
      </c>
      <c r="ET18" s="80" t="s">
        <v>227</v>
      </c>
      <c r="EU18" s="80" t="s">
        <v>227</v>
      </c>
      <c r="EV18" s="80" t="s">
        <v>227</v>
      </c>
      <c r="EW18" s="80" t="s">
        <v>227</v>
      </c>
      <c r="EX18" s="80" t="s">
        <v>227</v>
      </c>
      <c r="EY18" s="80" t="s">
        <v>227</v>
      </c>
      <c r="EZ18" s="80" t="s">
        <v>227</v>
      </c>
      <c r="FA18" s="80" t="s">
        <v>227</v>
      </c>
      <c r="FB18" s="147" t="s">
        <v>227</v>
      </c>
      <c r="FC18" s="80" t="s">
        <v>227</v>
      </c>
      <c r="FD18" s="80" t="s">
        <v>227</v>
      </c>
      <c r="FE18" s="80" t="s">
        <v>227</v>
      </c>
      <c r="FF18" s="80" t="s">
        <v>227</v>
      </c>
      <c r="FG18" s="80" t="s">
        <v>227</v>
      </c>
      <c r="FH18" s="80" t="s">
        <v>227</v>
      </c>
      <c r="FI18" s="80" t="s">
        <v>227</v>
      </c>
      <c r="FJ18" s="80" t="s">
        <v>227</v>
      </c>
      <c r="FK18" s="80" t="s">
        <v>227</v>
      </c>
      <c r="FL18" s="80" t="s">
        <v>227</v>
      </c>
      <c r="FM18" s="80" t="s">
        <v>227</v>
      </c>
      <c r="FN18" s="80" t="s">
        <v>227</v>
      </c>
      <c r="FO18" s="80" t="s">
        <v>227</v>
      </c>
      <c r="FP18" s="80" t="s">
        <v>227</v>
      </c>
      <c r="FQ18" s="80" t="s">
        <v>227</v>
      </c>
      <c r="FR18" s="80" t="s">
        <v>227</v>
      </c>
      <c r="FS18" s="80" t="s">
        <v>227</v>
      </c>
      <c r="FT18" s="80" t="s">
        <v>227</v>
      </c>
      <c r="FU18" s="80" t="s">
        <v>227</v>
      </c>
      <c r="FV18" s="80" t="s">
        <v>227</v>
      </c>
      <c r="FW18" s="80" t="s">
        <v>227</v>
      </c>
      <c r="FX18" s="80" t="s">
        <v>227</v>
      </c>
      <c r="FY18" s="80" t="s">
        <v>227</v>
      </c>
      <c r="FZ18" s="80" t="s">
        <v>227</v>
      </c>
      <c r="GA18" s="80" t="s">
        <v>227</v>
      </c>
      <c r="GB18" s="80" t="s">
        <v>227</v>
      </c>
      <c r="GC18" s="80" t="s">
        <v>227</v>
      </c>
      <c r="GD18" s="80" t="s">
        <v>227</v>
      </c>
      <c r="GE18" s="80" t="s">
        <v>227</v>
      </c>
      <c r="GF18" s="167" t="s">
        <v>312</v>
      </c>
      <c r="GG18" s="78" t="s">
        <v>227</v>
      </c>
      <c r="GH18" s="74" t="s">
        <v>227</v>
      </c>
      <c r="GI18" s="80" t="s">
        <v>227</v>
      </c>
      <c r="GJ18" s="78">
        <v>45978</v>
      </c>
      <c r="GK18" s="78">
        <v>46035</v>
      </c>
      <c r="GL18" s="78" t="s">
        <v>227</v>
      </c>
      <c r="GM18" s="159" t="str">
        <f t="shared" si="7"/>
        <v>N/A</v>
      </c>
      <c r="GN18" s="159" t="str">
        <f t="shared" si="8"/>
        <v>N/A</v>
      </c>
      <c r="GO18" s="159">
        <f t="shared" si="9"/>
        <v>2.1333333333333333</v>
      </c>
      <c r="GP18" s="159" t="str">
        <f t="shared" si="10"/>
        <v>N/A</v>
      </c>
      <c r="GQ18" s="159" t="str">
        <f t="shared" si="23"/>
        <v>N/A</v>
      </c>
      <c r="GR18" s="159" t="str">
        <f t="shared" si="24"/>
        <v>N/A</v>
      </c>
      <c r="GS18" s="159" t="str">
        <f t="shared" si="11"/>
        <v>N/A</v>
      </c>
      <c r="GT18" s="159" t="str">
        <f t="shared" si="12"/>
        <v>N/A</v>
      </c>
      <c r="GU18" s="159" t="str">
        <f t="shared" si="13"/>
        <v>N/A</v>
      </c>
      <c r="GV18" s="159" t="str">
        <f t="shared" si="14"/>
        <v>N/A</v>
      </c>
      <c r="GW18" s="159" t="str">
        <f t="shared" si="15"/>
        <v>N/A</v>
      </c>
      <c r="GX18" s="159" t="str">
        <f t="shared" si="16"/>
        <v>N/A</v>
      </c>
      <c r="GY18" s="159" t="str">
        <f t="shared" si="17"/>
        <v>N/A</v>
      </c>
      <c r="GZ18" s="159" t="str">
        <f t="shared" si="18"/>
        <v>N/A</v>
      </c>
      <c r="HA18" s="159" t="str">
        <f t="shared" si="19"/>
        <v>N/A</v>
      </c>
      <c r="HB18" s="159" t="str">
        <f t="shared" si="1"/>
        <v>N/A</v>
      </c>
      <c r="HC18" s="159" t="str">
        <f t="shared" si="20"/>
        <v>N/A</v>
      </c>
      <c r="HD18" s="159">
        <f t="shared" si="21"/>
        <v>59.93333333333333</v>
      </c>
      <c r="HE18" s="159">
        <f t="shared" si="22"/>
        <v>61.833333333333336</v>
      </c>
      <c r="HF18" s="160">
        <f t="shared" si="2"/>
        <v>61.833333333333336</v>
      </c>
      <c r="HG18" s="160" cm="1">
        <f t="array" ref="HG18">INDEX($HB18:$HD18,MATCH(TRUE,INDEX(ISNUMBER($HB18:$HD18),0),0))</f>
        <v>59.93333333333333</v>
      </c>
      <c r="HH18" s="161">
        <f t="shared" si="3"/>
        <v>0</v>
      </c>
      <c r="HI18" s="86">
        <f t="shared" si="4"/>
        <v>0</v>
      </c>
      <c r="HJ18" s="111">
        <f t="shared" si="5"/>
        <v>0</v>
      </c>
      <c r="HK18" s="205" t="str">
        <f t="shared" si="6"/>
        <v>0</v>
      </c>
    </row>
    <row r="19" spans="1:219" ht="15" customHeight="1" x14ac:dyDescent="0.3">
      <c r="A19" s="80">
        <v>4363163534</v>
      </c>
      <c r="B19" s="74" t="s">
        <v>220</v>
      </c>
      <c r="C19" s="74" t="s">
        <v>221</v>
      </c>
      <c r="D19" s="74" t="s">
        <v>220</v>
      </c>
      <c r="E19" s="80" t="s">
        <v>353</v>
      </c>
      <c r="F19" s="80" t="s">
        <v>354</v>
      </c>
      <c r="G19" s="80" t="s">
        <v>227</v>
      </c>
      <c r="H19" s="78">
        <v>44246</v>
      </c>
      <c r="I19" s="80" t="s">
        <v>355</v>
      </c>
      <c r="J19" s="80" t="s">
        <v>226</v>
      </c>
      <c r="K19" s="78" t="s">
        <v>227</v>
      </c>
      <c r="L19" s="80" t="s">
        <v>227</v>
      </c>
      <c r="M19" s="80" t="s">
        <v>353</v>
      </c>
      <c r="N19" s="168" t="s">
        <v>356</v>
      </c>
      <c r="O19" s="80" t="s">
        <v>357</v>
      </c>
      <c r="P19" s="78">
        <v>44246</v>
      </c>
      <c r="Q19" s="74" t="s">
        <v>221</v>
      </c>
      <c r="R19" s="80" t="s">
        <v>227</v>
      </c>
      <c r="S19" s="80" t="s">
        <v>227</v>
      </c>
      <c r="T19" s="80" t="s">
        <v>227</v>
      </c>
      <c r="U19" s="80" t="s">
        <v>227</v>
      </c>
      <c r="V19" s="80" t="s">
        <v>227</v>
      </c>
      <c r="W19" s="80" t="s">
        <v>227</v>
      </c>
      <c r="X19" s="80" t="s">
        <v>227</v>
      </c>
      <c r="Y19" s="80" t="s">
        <v>227</v>
      </c>
      <c r="Z19" s="80" t="s">
        <v>227</v>
      </c>
      <c r="AA19" s="80" t="s">
        <v>227</v>
      </c>
      <c r="AB19" s="80" t="s">
        <v>227</v>
      </c>
      <c r="AC19" s="80" t="s">
        <v>227</v>
      </c>
      <c r="AD19" s="80" t="s">
        <v>227</v>
      </c>
      <c r="AE19" s="80" t="s">
        <v>227</v>
      </c>
      <c r="AF19" s="80" t="s">
        <v>227</v>
      </c>
      <c r="AG19" s="80" t="s">
        <v>227</v>
      </c>
      <c r="AH19" s="80" t="s">
        <v>227</v>
      </c>
      <c r="AI19" s="80" t="s">
        <v>227</v>
      </c>
      <c r="AJ19" s="80" t="s">
        <v>227</v>
      </c>
      <c r="AK19" s="80" t="s">
        <v>227</v>
      </c>
      <c r="AL19" s="80" t="s">
        <v>227</v>
      </c>
      <c r="AM19" s="80" t="s">
        <v>227</v>
      </c>
      <c r="AN19" s="80" t="s">
        <v>227</v>
      </c>
      <c r="AO19" s="80" t="s">
        <v>227</v>
      </c>
      <c r="AP19" s="80" t="s">
        <v>227</v>
      </c>
      <c r="AQ19" s="80" t="s">
        <v>228</v>
      </c>
      <c r="AR19" s="78">
        <v>12826</v>
      </c>
      <c r="AS19" s="78">
        <v>44209</v>
      </c>
      <c r="AT19" s="148">
        <f t="shared" si="0"/>
        <v>85</v>
      </c>
      <c r="AU19" s="164" t="s">
        <v>358</v>
      </c>
      <c r="AV19" s="74" t="s">
        <v>230</v>
      </c>
      <c r="AW19" s="74" t="s">
        <v>220</v>
      </c>
      <c r="AX19" s="157" t="s">
        <v>359</v>
      </c>
      <c r="AY19" s="80">
        <v>2</v>
      </c>
      <c r="AZ19" s="80" t="s">
        <v>232</v>
      </c>
      <c r="BA19" s="80">
        <v>0</v>
      </c>
      <c r="BB19" s="157" t="s">
        <v>360</v>
      </c>
      <c r="BC19" s="80">
        <v>3</v>
      </c>
      <c r="BD19" s="74" t="s">
        <v>243</v>
      </c>
      <c r="BE19" s="80" t="s">
        <v>361</v>
      </c>
      <c r="BF19" s="74" t="s">
        <v>220</v>
      </c>
      <c r="BG19" s="165" t="s">
        <v>227</v>
      </c>
      <c r="BH19" s="166" t="s">
        <v>227</v>
      </c>
      <c r="BI19" s="80" t="s">
        <v>227</v>
      </c>
      <c r="BJ19" s="78" t="s">
        <v>227</v>
      </c>
      <c r="BK19" s="78" t="s">
        <v>227</v>
      </c>
      <c r="BL19" s="80" t="s">
        <v>227</v>
      </c>
      <c r="BM19" s="166" t="s">
        <v>227</v>
      </c>
      <c r="BN19" s="80" t="s">
        <v>227</v>
      </c>
      <c r="BO19" s="80" t="s">
        <v>227</v>
      </c>
      <c r="BP19" s="166" t="s">
        <v>227</v>
      </c>
      <c r="BQ19" s="80" t="s">
        <v>227</v>
      </c>
      <c r="BR19" s="80" t="s">
        <v>227</v>
      </c>
      <c r="BS19" s="80" t="s">
        <v>227</v>
      </c>
      <c r="BT19" s="80" t="s">
        <v>227</v>
      </c>
      <c r="BU19" s="80" t="s">
        <v>227</v>
      </c>
      <c r="BV19" s="80" t="s">
        <v>227</v>
      </c>
      <c r="BW19" s="80" t="s">
        <v>227</v>
      </c>
      <c r="BX19" s="80" t="s">
        <v>227</v>
      </c>
      <c r="BY19" s="80" t="s">
        <v>227</v>
      </c>
      <c r="BZ19" s="80" t="s">
        <v>227</v>
      </c>
      <c r="CA19" s="80" t="s">
        <v>227</v>
      </c>
      <c r="CB19" s="80" t="s">
        <v>227</v>
      </c>
      <c r="CC19" s="80" t="s">
        <v>227</v>
      </c>
      <c r="CD19" s="80" t="s">
        <v>227</v>
      </c>
      <c r="CE19" s="80" t="s">
        <v>227</v>
      </c>
      <c r="CF19" s="80" t="s">
        <v>227</v>
      </c>
      <c r="CG19" s="80" t="s">
        <v>227</v>
      </c>
      <c r="CH19" s="80" t="s">
        <v>227</v>
      </c>
      <c r="CI19" s="80" t="s">
        <v>227</v>
      </c>
      <c r="CJ19" s="80" t="s">
        <v>227</v>
      </c>
      <c r="CK19" s="80" t="s">
        <v>227</v>
      </c>
      <c r="CL19" s="80" t="s">
        <v>227</v>
      </c>
      <c r="CM19" s="80" t="s">
        <v>227</v>
      </c>
      <c r="CN19" s="166" t="s">
        <v>227</v>
      </c>
      <c r="CO19" s="80" t="s">
        <v>227</v>
      </c>
      <c r="CP19" s="78" t="s">
        <v>227</v>
      </c>
      <c r="CQ19" s="78" t="s">
        <v>227</v>
      </c>
      <c r="CR19" s="80" t="s">
        <v>227</v>
      </c>
      <c r="CS19" s="166" t="s">
        <v>227</v>
      </c>
      <c r="CT19" s="80" t="s">
        <v>227</v>
      </c>
      <c r="CU19" s="80" t="s">
        <v>227</v>
      </c>
      <c r="CV19" s="166" t="s">
        <v>227</v>
      </c>
      <c r="CW19" s="80" t="s">
        <v>227</v>
      </c>
      <c r="CX19" s="80" t="s">
        <v>227</v>
      </c>
      <c r="CY19" s="80" t="s">
        <v>227</v>
      </c>
      <c r="CZ19" s="80" t="s">
        <v>227</v>
      </c>
      <c r="DA19" s="80" t="s">
        <v>227</v>
      </c>
      <c r="DB19" s="80" t="s">
        <v>227</v>
      </c>
      <c r="DC19" s="80" t="s">
        <v>227</v>
      </c>
      <c r="DD19" s="80" t="s">
        <v>227</v>
      </c>
      <c r="DE19" s="80" t="s">
        <v>227</v>
      </c>
      <c r="DF19" s="80" t="s">
        <v>227</v>
      </c>
      <c r="DG19" s="80" t="s">
        <v>227</v>
      </c>
      <c r="DH19" s="80" t="s">
        <v>227</v>
      </c>
      <c r="DI19" s="80" t="s">
        <v>227</v>
      </c>
      <c r="DJ19" s="80" t="s">
        <v>227</v>
      </c>
      <c r="DK19" s="80" t="s">
        <v>227</v>
      </c>
      <c r="DL19" s="80" t="s">
        <v>227</v>
      </c>
      <c r="DM19" s="80" t="s">
        <v>227</v>
      </c>
      <c r="DN19" s="80" t="s">
        <v>227</v>
      </c>
      <c r="DO19" s="80" t="s">
        <v>227</v>
      </c>
      <c r="DP19" s="80" t="s">
        <v>227</v>
      </c>
      <c r="DQ19" s="80" t="s">
        <v>227</v>
      </c>
      <c r="DR19" s="80" t="s">
        <v>227</v>
      </c>
      <c r="DS19" s="80" t="s">
        <v>227</v>
      </c>
      <c r="DT19" s="80" t="s">
        <v>227</v>
      </c>
      <c r="DU19" s="80" t="s">
        <v>227</v>
      </c>
      <c r="DV19" s="80" t="s">
        <v>227</v>
      </c>
      <c r="DW19" s="80" t="s">
        <v>227</v>
      </c>
      <c r="DX19" s="80" t="s">
        <v>227</v>
      </c>
      <c r="DY19" s="80" t="s">
        <v>227</v>
      </c>
      <c r="DZ19" s="80" t="s">
        <v>227</v>
      </c>
      <c r="EA19" s="80" t="s">
        <v>227</v>
      </c>
      <c r="EB19" s="80" t="s">
        <v>227</v>
      </c>
      <c r="EC19" s="80" t="s">
        <v>227</v>
      </c>
      <c r="ED19" s="80" t="s">
        <v>227</v>
      </c>
      <c r="EE19" s="80" t="s">
        <v>227</v>
      </c>
      <c r="EF19" s="80" t="s">
        <v>227</v>
      </c>
      <c r="EG19" s="80" t="s">
        <v>227</v>
      </c>
      <c r="EH19" s="80" t="s">
        <v>227</v>
      </c>
      <c r="EI19" s="78">
        <v>44299</v>
      </c>
      <c r="EJ19" s="80" t="s">
        <v>362</v>
      </c>
      <c r="EK19" s="80" t="s">
        <v>227</v>
      </c>
      <c r="EL19" s="80" t="s">
        <v>227</v>
      </c>
      <c r="EM19" s="80" t="s">
        <v>227</v>
      </c>
      <c r="EN19" s="80" t="s">
        <v>227</v>
      </c>
      <c r="EO19" s="80" t="s">
        <v>227</v>
      </c>
      <c r="EP19" s="80" t="s">
        <v>227</v>
      </c>
      <c r="EQ19" s="80" t="s">
        <v>227</v>
      </c>
      <c r="ER19" s="80" t="s">
        <v>227</v>
      </c>
      <c r="ES19" s="80" t="s">
        <v>227</v>
      </c>
      <c r="ET19" s="80" t="s">
        <v>227</v>
      </c>
      <c r="EU19" s="80" t="s">
        <v>227</v>
      </c>
      <c r="EV19" s="80" t="s">
        <v>227</v>
      </c>
      <c r="EW19" s="80" t="s">
        <v>227</v>
      </c>
      <c r="EX19" s="80" t="s">
        <v>227</v>
      </c>
      <c r="EY19" s="80" t="s">
        <v>227</v>
      </c>
      <c r="EZ19" s="80" t="s">
        <v>227</v>
      </c>
      <c r="FA19" s="80" t="s">
        <v>227</v>
      </c>
      <c r="FB19" s="147" t="s">
        <v>227</v>
      </c>
      <c r="FC19" s="80" t="s">
        <v>227</v>
      </c>
      <c r="FD19" s="80" t="s">
        <v>227</v>
      </c>
      <c r="FE19" s="80" t="s">
        <v>227</v>
      </c>
      <c r="FF19" s="80" t="s">
        <v>227</v>
      </c>
      <c r="FG19" s="80" t="s">
        <v>227</v>
      </c>
      <c r="FH19" s="80" t="s">
        <v>227</v>
      </c>
      <c r="FI19" s="80" t="s">
        <v>227</v>
      </c>
      <c r="FJ19" s="80" t="s">
        <v>227</v>
      </c>
      <c r="FK19" s="80" t="s">
        <v>227</v>
      </c>
      <c r="FL19" s="80" t="s">
        <v>227</v>
      </c>
      <c r="FM19" s="80" t="s">
        <v>227</v>
      </c>
      <c r="FN19" s="80" t="s">
        <v>227</v>
      </c>
      <c r="FO19" s="80" t="s">
        <v>227</v>
      </c>
      <c r="FP19" s="80" t="s">
        <v>227</v>
      </c>
      <c r="FQ19" s="80" t="s">
        <v>227</v>
      </c>
      <c r="FR19" s="80" t="s">
        <v>227</v>
      </c>
      <c r="FS19" s="80" t="s">
        <v>227</v>
      </c>
      <c r="FT19" s="80" t="s">
        <v>227</v>
      </c>
      <c r="FU19" s="80" t="s">
        <v>227</v>
      </c>
      <c r="FV19" s="80" t="s">
        <v>227</v>
      </c>
      <c r="FW19" s="80" t="s">
        <v>227</v>
      </c>
      <c r="FX19" s="80" t="s">
        <v>227</v>
      </c>
      <c r="FY19" s="80" t="s">
        <v>227</v>
      </c>
      <c r="FZ19" s="80" t="s">
        <v>227</v>
      </c>
      <c r="GA19" s="80" t="s">
        <v>227</v>
      </c>
      <c r="GB19" s="80" t="s">
        <v>227</v>
      </c>
      <c r="GC19" s="80" t="s">
        <v>227</v>
      </c>
      <c r="GD19" s="80" t="s">
        <v>227</v>
      </c>
      <c r="GE19" s="80" t="s">
        <v>227</v>
      </c>
      <c r="GF19" s="167" t="s">
        <v>236</v>
      </c>
      <c r="GG19" s="78">
        <v>44439</v>
      </c>
      <c r="GH19" s="74" t="s">
        <v>241</v>
      </c>
      <c r="GI19" s="80" t="s">
        <v>231</v>
      </c>
      <c r="GJ19" s="78">
        <v>44334</v>
      </c>
      <c r="GK19" s="78" t="s">
        <v>227</v>
      </c>
      <c r="GL19" s="78" t="s">
        <v>227</v>
      </c>
      <c r="GM19" s="159" t="str">
        <f t="shared" si="7"/>
        <v>N/A</v>
      </c>
      <c r="GN19" s="159" t="str">
        <f t="shared" si="8"/>
        <v>N/A</v>
      </c>
      <c r="GO19" s="159">
        <f t="shared" si="9"/>
        <v>1.2333333333333334</v>
      </c>
      <c r="GP19" s="159" t="str">
        <f t="shared" si="10"/>
        <v>N/A</v>
      </c>
      <c r="GQ19" s="159">
        <f t="shared" si="23"/>
        <v>1.2333333333333334</v>
      </c>
      <c r="GR19" s="159" t="str">
        <f t="shared" si="24"/>
        <v>N/A</v>
      </c>
      <c r="GS19" s="159" t="str">
        <f t="shared" si="11"/>
        <v>N/A</v>
      </c>
      <c r="GT19" s="159" t="str">
        <f t="shared" si="12"/>
        <v>N/A</v>
      </c>
      <c r="GU19" s="159" t="str">
        <f t="shared" si="13"/>
        <v>N/A</v>
      </c>
      <c r="GV19" s="159" t="str">
        <f t="shared" si="14"/>
        <v>N/A</v>
      </c>
      <c r="GW19" s="159" t="str">
        <f t="shared" si="15"/>
        <v>N/A</v>
      </c>
      <c r="GX19" s="159" t="str">
        <f t="shared" si="16"/>
        <v>N/A</v>
      </c>
      <c r="GY19" s="159">
        <f t="shared" si="17"/>
        <v>3</v>
      </c>
      <c r="GZ19" s="159" t="str">
        <f t="shared" si="18"/>
        <v>N/A</v>
      </c>
      <c r="HA19" s="159" t="str">
        <f t="shared" si="19"/>
        <v>N/A</v>
      </c>
      <c r="HB19" s="159">
        <f t="shared" si="1"/>
        <v>3</v>
      </c>
      <c r="HC19" s="159">
        <f t="shared" si="20"/>
        <v>7.666666666666667</v>
      </c>
      <c r="HD19" s="159">
        <f t="shared" si="21"/>
        <v>4.166666666666667</v>
      </c>
      <c r="HE19" s="159" t="str">
        <f t="shared" si="22"/>
        <v>N/A</v>
      </c>
      <c r="HF19" s="160">
        <f t="shared" si="2"/>
        <v>7.666666666666667</v>
      </c>
      <c r="HG19" s="160" cm="1">
        <f t="array" ref="HG19">INDEX($HB19:$HD19,MATCH(TRUE,INDEX(ISNUMBER($HB19:$HD19),0),0))</f>
        <v>3</v>
      </c>
      <c r="HH19" s="161">
        <f t="shared" si="3"/>
        <v>1</v>
      </c>
      <c r="HI19" s="86">
        <f t="shared" si="4"/>
        <v>1</v>
      </c>
      <c r="HJ19" s="111">
        <f t="shared" si="5"/>
        <v>1</v>
      </c>
      <c r="HK19" s="205" t="str">
        <f t="shared" si="6"/>
        <v>1</v>
      </c>
    </row>
    <row r="20" spans="1:219" ht="15" customHeight="1" x14ac:dyDescent="0.3">
      <c r="A20" s="80">
        <v>4085601830</v>
      </c>
      <c r="B20" s="74" t="s">
        <v>220</v>
      </c>
      <c r="C20" s="74" t="s">
        <v>221</v>
      </c>
      <c r="D20" s="74" t="s">
        <v>220</v>
      </c>
      <c r="E20" s="80" t="s">
        <v>363</v>
      </c>
      <c r="F20" s="80" t="s">
        <v>364</v>
      </c>
      <c r="G20" s="80" t="s">
        <v>227</v>
      </c>
      <c r="H20" s="78">
        <v>44249</v>
      </c>
      <c r="I20" s="80" t="s">
        <v>365</v>
      </c>
      <c r="J20" s="80" t="s">
        <v>226</v>
      </c>
      <c r="K20" s="78" t="s">
        <v>227</v>
      </c>
      <c r="L20" s="80" t="s">
        <v>227</v>
      </c>
      <c r="M20" s="80" t="s">
        <v>227</v>
      </c>
      <c r="N20" s="80" t="s">
        <v>227</v>
      </c>
      <c r="O20" s="80" t="s">
        <v>227</v>
      </c>
      <c r="P20" s="80" t="s">
        <v>227</v>
      </c>
      <c r="Q20" s="80" t="s">
        <v>227</v>
      </c>
      <c r="R20" s="80" t="s">
        <v>227</v>
      </c>
      <c r="S20" s="80" t="s">
        <v>227</v>
      </c>
      <c r="T20" s="80" t="s">
        <v>227</v>
      </c>
      <c r="U20" s="80" t="s">
        <v>227</v>
      </c>
      <c r="V20" s="80" t="s">
        <v>227</v>
      </c>
      <c r="W20" s="80" t="s">
        <v>227</v>
      </c>
      <c r="X20" s="80" t="s">
        <v>227</v>
      </c>
      <c r="Y20" s="80" t="s">
        <v>227</v>
      </c>
      <c r="Z20" s="80" t="s">
        <v>227</v>
      </c>
      <c r="AA20" s="80" t="s">
        <v>227</v>
      </c>
      <c r="AB20" s="80" t="s">
        <v>227</v>
      </c>
      <c r="AC20" s="80" t="s">
        <v>227</v>
      </c>
      <c r="AD20" s="80" t="s">
        <v>227</v>
      </c>
      <c r="AE20" s="80" t="s">
        <v>227</v>
      </c>
      <c r="AF20" s="80" t="s">
        <v>227</v>
      </c>
      <c r="AG20" s="80" t="s">
        <v>227</v>
      </c>
      <c r="AH20" s="80" t="s">
        <v>227</v>
      </c>
      <c r="AI20" s="80" t="s">
        <v>227</v>
      </c>
      <c r="AJ20" s="80" t="s">
        <v>227</v>
      </c>
      <c r="AK20" s="80" t="s">
        <v>227</v>
      </c>
      <c r="AL20" s="80" t="s">
        <v>227</v>
      </c>
      <c r="AM20" s="80" t="s">
        <v>227</v>
      </c>
      <c r="AN20" s="80" t="s">
        <v>227</v>
      </c>
      <c r="AO20" s="80" t="s">
        <v>227</v>
      </c>
      <c r="AP20" s="80" t="s">
        <v>227</v>
      </c>
      <c r="AQ20" s="80" t="s">
        <v>228</v>
      </c>
      <c r="AR20" s="78">
        <v>23537</v>
      </c>
      <c r="AS20" s="78">
        <v>44173</v>
      </c>
      <c r="AT20" s="148">
        <f t="shared" si="0"/>
        <v>56</v>
      </c>
      <c r="AU20" s="164" t="s">
        <v>263</v>
      </c>
      <c r="AV20" s="74" t="s">
        <v>230</v>
      </c>
      <c r="AW20" s="74" t="s">
        <v>241</v>
      </c>
      <c r="AX20" s="80" t="s">
        <v>264</v>
      </c>
      <c r="AY20" s="80">
        <v>0</v>
      </c>
      <c r="AZ20" s="80" t="s">
        <v>232</v>
      </c>
      <c r="BA20" s="80">
        <f t="shared" ref="BA20:BA32" si="45">_xlfn.NUMBERVALUE(RIGHT($BB20), ".", ",")</f>
        <v>0</v>
      </c>
      <c r="BB20" s="80" t="s">
        <v>265</v>
      </c>
      <c r="BC20" s="80">
        <v>3</v>
      </c>
      <c r="BD20" s="74" t="s">
        <v>243</v>
      </c>
      <c r="BE20" s="80" t="s">
        <v>244</v>
      </c>
      <c r="BF20" s="74" t="s">
        <v>220</v>
      </c>
      <c r="BG20" s="165" t="s">
        <v>227</v>
      </c>
      <c r="BH20" s="166" t="s">
        <v>227</v>
      </c>
      <c r="BI20" s="80" t="s">
        <v>227</v>
      </c>
      <c r="BJ20" s="78" t="s">
        <v>227</v>
      </c>
      <c r="BK20" s="78" t="s">
        <v>227</v>
      </c>
      <c r="BL20" s="80" t="s">
        <v>227</v>
      </c>
      <c r="BM20" s="166" t="s">
        <v>227</v>
      </c>
      <c r="BN20" s="80" t="s">
        <v>227</v>
      </c>
      <c r="BO20" s="80" t="s">
        <v>227</v>
      </c>
      <c r="BP20" s="166" t="s">
        <v>227</v>
      </c>
      <c r="BQ20" s="80" t="s">
        <v>227</v>
      </c>
      <c r="BR20" s="80" t="s">
        <v>227</v>
      </c>
      <c r="BS20" s="80" t="s">
        <v>227</v>
      </c>
      <c r="BT20" s="80" t="s">
        <v>227</v>
      </c>
      <c r="BU20" s="80" t="s">
        <v>227</v>
      </c>
      <c r="BV20" s="80" t="s">
        <v>227</v>
      </c>
      <c r="BW20" s="80" t="s">
        <v>227</v>
      </c>
      <c r="BX20" s="80" t="s">
        <v>227</v>
      </c>
      <c r="BY20" s="80" t="s">
        <v>227</v>
      </c>
      <c r="BZ20" s="80" t="s">
        <v>227</v>
      </c>
      <c r="CA20" s="80" t="s">
        <v>227</v>
      </c>
      <c r="CB20" s="80" t="s">
        <v>227</v>
      </c>
      <c r="CC20" s="80" t="s">
        <v>227</v>
      </c>
      <c r="CD20" s="80" t="s">
        <v>227</v>
      </c>
      <c r="CE20" s="80" t="s">
        <v>227</v>
      </c>
      <c r="CF20" s="80" t="s">
        <v>227</v>
      </c>
      <c r="CG20" s="80" t="s">
        <v>227</v>
      </c>
      <c r="CH20" s="80" t="s">
        <v>227</v>
      </c>
      <c r="CI20" s="80" t="s">
        <v>227</v>
      </c>
      <c r="CJ20" s="80" t="s">
        <v>227</v>
      </c>
      <c r="CK20" s="80" t="s">
        <v>227</v>
      </c>
      <c r="CL20" s="80" t="s">
        <v>227</v>
      </c>
      <c r="CM20" s="80" t="s">
        <v>227</v>
      </c>
      <c r="CN20" s="166" t="s">
        <v>246</v>
      </c>
      <c r="CO20" s="157" t="s">
        <v>266</v>
      </c>
      <c r="CP20" s="78">
        <v>44295</v>
      </c>
      <c r="CQ20" s="78">
        <v>44330</v>
      </c>
      <c r="CR20" s="80" t="s">
        <v>227</v>
      </c>
      <c r="CS20" s="166" t="s">
        <v>227</v>
      </c>
      <c r="CT20" s="80" t="s">
        <v>227</v>
      </c>
      <c r="CU20" s="80" t="s">
        <v>227</v>
      </c>
      <c r="CV20" s="166" t="s">
        <v>227</v>
      </c>
      <c r="CW20" s="80" t="s">
        <v>227</v>
      </c>
      <c r="CX20" s="80" t="s">
        <v>227</v>
      </c>
      <c r="CY20" s="80" t="s">
        <v>227</v>
      </c>
      <c r="CZ20" s="80" t="s">
        <v>227</v>
      </c>
      <c r="DA20" s="80" t="s">
        <v>227</v>
      </c>
      <c r="DB20" s="80" t="s">
        <v>227</v>
      </c>
      <c r="DC20" s="80" t="s">
        <v>227</v>
      </c>
      <c r="DD20" s="80" t="s">
        <v>227</v>
      </c>
      <c r="DE20" s="80" t="s">
        <v>227</v>
      </c>
      <c r="DF20" s="80" t="s">
        <v>227</v>
      </c>
      <c r="DG20" s="80" t="s">
        <v>227</v>
      </c>
      <c r="DH20" s="80" t="s">
        <v>227</v>
      </c>
      <c r="DI20" s="80" t="s">
        <v>227</v>
      </c>
      <c r="DJ20" s="80" t="s">
        <v>227</v>
      </c>
      <c r="DK20" s="80" t="s">
        <v>227</v>
      </c>
      <c r="DL20" s="80" t="s">
        <v>227</v>
      </c>
      <c r="DM20" s="80" t="s">
        <v>227</v>
      </c>
      <c r="DN20" s="80" t="s">
        <v>227</v>
      </c>
      <c r="DO20" s="80" t="s">
        <v>227</v>
      </c>
      <c r="DP20" s="80" t="s">
        <v>227</v>
      </c>
      <c r="DQ20" s="80" t="s">
        <v>227</v>
      </c>
      <c r="DR20" s="80" t="s">
        <v>227</v>
      </c>
      <c r="DS20" s="80" t="s">
        <v>227</v>
      </c>
      <c r="DT20" s="80" t="s">
        <v>227</v>
      </c>
      <c r="DU20" s="80" t="s">
        <v>227</v>
      </c>
      <c r="DV20" s="80" t="s">
        <v>227</v>
      </c>
      <c r="DW20" s="80" t="s">
        <v>227</v>
      </c>
      <c r="DX20" s="80" t="s">
        <v>227</v>
      </c>
      <c r="DY20" s="80" t="s">
        <v>227</v>
      </c>
      <c r="DZ20" s="80" t="s">
        <v>227</v>
      </c>
      <c r="EA20" s="80" t="s">
        <v>227</v>
      </c>
      <c r="EB20" s="80" t="s">
        <v>227</v>
      </c>
      <c r="EC20" s="80" t="s">
        <v>227</v>
      </c>
      <c r="ED20" s="80" t="s">
        <v>227</v>
      </c>
      <c r="EE20" s="80" t="s">
        <v>227</v>
      </c>
      <c r="EF20" s="80" t="s">
        <v>227</v>
      </c>
      <c r="EG20" s="80" t="s">
        <v>227</v>
      </c>
      <c r="EH20" s="80" t="s">
        <v>227</v>
      </c>
      <c r="EI20" s="78" t="s">
        <v>227</v>
      </c>
      <c r="EJ20" s="80" t="s">
        <v>227</v>
      </c>
      <c r="EK20" s="166" t="s">
        <v>227</v>
      </c>
      <c r="EL20" s="80" t="s">
        <v>227</v>
      </c>
      <c r="EM20" s="78" t="s">
        <v>227</v>
      </c>
      <c r="EN20" s="78" t="s">
        <v>227</v>
      </c>
      <c r="EO20" s="80" t="s">
        <v>227</v>
      </c>
      <c r="EP20" s="166" t="s">
        <v>227</v>
      </c>
      <c r="EQ20" s="80" t="s">
        <v>227</v>
      </c>
      <c r="ER20" s="80" t="s">
        <v>227</v>
      </c>
      <c r="ES20" s="166" t="s">
        <v>227</v>
      </c>
      <c r="ET20" s="80" t="s">
        <v>227</v>
      </c>
      <c r="EU20" s="80" t="s">
        <v>227</v>
      </c>
      <c r="EV20" s="166" t="s">
        <v>227</v>
      </c>
      <c r="EW20" s="80" t="s">
        <v>227</v>
      </c>
      <c r="EX20" s="80" t="s">
        <v>227</v>
      </c>
      <c r="EY20" s="166" t="s">
        <v>227</v>
      </c>
      <c r="EZ20" s="80" t="s">
        <v>227</v>
      </c>
      <c r="FA20" s="80" t="s">
        <v>227</v>
      </c>
      <c r="FB20" s="147" t="s">
        <v>227</v>
      </c>
      <c r="FC20" s="80" t="s">
        <v>227</v>
      </c>
      <c r="FD20" s="80" t="s">
        <v>227</v>
      </c>
      <c r="FE20" s="80" t="s">
        <v>227</v>
      </c>
      <c r="FF20" s="80" t="s">
        <v>227</v>
      </c>
      <c r="FG20" s="80" t="s">
        <v>227</v>
      </c>
      <c r="FH20" s="80" t="s">
        <v>227</v>
      </c>
      <c r="FI20" s="80" t="s">
        <v>227</v>
      </c>
      <c r="FJ20" s="80" t="s">
        <v>227</v>
      </c>
      <c r="FK20" s="80" t="s">
        <v>227</v>
      </c>
      <c r="FL20" s="80" t="s">
        <v>227</v>
      </c>
      <c r="FM20" s="80" t="s">
        <v>227</v>
      </c>
      <c r="FN20" s="80" t="s">
        <v>227</v>
      </c>
      <c r="FO20" s="80" t="s">
        <v>227</v>
      </c>
      <c r="FP20" s="80" t="s">
        <v>227</v>
      </c>
      <c r="FQ20" s="80" t="s">
        <v>227</v>
      </c>
      <c r="FR20" s="80" t="s">
        <v>227</v>
      </c>
      <c r="FS20" s="80" t="s">
        <v>227</v>
      </c>
      <c r="FT20" s="80" t="s">
        <v>227</v>
      </c>
      <c r="FU20" s="80" t="s">
        <v>227</v>
      </c>
      <c r="FV20" s="80" t="s">
        <v>227</v>
      </c>
      <c r="FW20" s="80" t="s">
        <v>227</v>
      </c>
      <c r="FX20" s="80" t="s">
        <v>227</v>
      </c>
      <c r="FY20" s="80" t="s">
        <v>227</v>
      </c>
      <c r="FZ20" s="80" t="s">
        <v>227</v>
      </c>
      <c r="GA20" s="80" t="s">
        <v>227</v>
      </c>
      <c r="GB20" s="80" t="s">
        <v>227</v>
      </c>
      <c r="GC20" s="80" t="s">
        <v>227</v>
      </c>
      <c r="GD20" s="80" t="s">
        <v>227</v>
      </c>
      <c r="GE20" s="80" t="s">
        <v>227</v>
      </c>
      <c r="GF20" s="167" t="s">
        <v>312</v>
      </c>
      <c r="GG20" s="78" t="s">
        <v>227</v>
      </c>
      <c r="GH20" s="74" t="s">
        <v>227</v>
      </c>
      <c r="GI20" s="80" t="s">
        <v>227</v>
      </c>
      <c r="GJ20" s="78">
        <v>45177</v>
      </c>
      <c r="GK20" s="78">
        <v>46069</v>
      </c>
      <c r="GL20" s="78" t="s">
        <v>227</v>
      </c>
      <c r="GM20" s="159" t="str">
        <f t="shared" si="7"/>
        <v>N/A</v>
      </c>
      <c r="GN20" s="159" t="str">
        <f t="shared" si="8"/>
        <v>N/A</v>
      </c>
      <c r="GO20" s="159">
        <f t="shared" si="9"/>
        <v>2.5333333333333332</v>
      </c>
      <c r="GP20" s="159" t="str">
        <f t="shared" si="10"/>
        <v>N/A</v>
      </c>
      <c r="GQ20" s="159" t="str">
        <f t="shared" si="23"/>
        <v>N/A</v>
      </c>
      <c r="GR20" s="159" t="str">
        <f t="shared" si="24"/>
        <v>N/A</v>
      </c>
      <c r="GS20" s="159" t="str">
        <f t="shared" si="11"/>
        <v>N/A</v>
      </c>
      <c r="GT20" s="159" t="str">
        <f t="shared" si="12"/>
        <v>N/A</v>
      </c>
      <c r="GU20" s="159" t="str">
        <f t="shared" si="13"/>
        <v>N/A</v>
      </c>
      <c r="GV20" s="159" t="str">
        <f t="shared" si="14"/>
        <v>N/A</v>
      </c>
      <c r="GW20" s="159">
        <f t="shared" si="15"/>
        <v>4.0666666666666664</v>
      </c>
      <c r="GX20" s="159">
        <f t="shared" si="16"/>
        <v>5.2333333333333334</v>
      </c>
      <c r="GY20" s="159" t="str">
        <f t="shared" si="17"/>
        <v>N/A</v>
      </c>
      <c r="GZ20" s="159" t="str">
        <f t="shared" si="18"/>
        <v>N/A</v>
      </c>
      <c r="HA20" s="159" t="str">
        <f t="shared" si="19"/>
        <v>N/A</v>
      </c>
      <c r="HB20" s="159" t="str">
        <f t="shared" si="1"/>
        <v>N/A</v>
      </c>
      <c r="HC20" s="159" t="str">
        <f t="shared" si="20"/>
        <v>N/A</v>
      </c>
      <c r="HD20" s="159">
        <f t="shared" si="21"/>
        <v>33.466666666666669</v>
      </c>
      <c r="HE20" s="159">
        <f t="shared" si="22"/>
        <v>63.2</v>
      </c>
      <c r="HF20" s="160">
        <f t="shared" si="2"/>
        <v>63.2</v>
      </c>
      <c r="HG20" s="160" cm="1">
        <f t="array" ref="HG20">INDEX($HB20:$HD20,MATCH(TRUE,INDEX(ISNUMBER($HB20:$HD20),0),0))</f>
        <v>33.466666666666669</v>
      </c>
      <c r="HH20" s="161">
        <f t="shared" si="3"/>
        <v>0</v>
      </c>
      <c r="HI20" s="86">
        <f t="shared" si="4"/>
        <v>0</v>
      </c>
      <c r="HJ20" s="111">
        <f t="shared" si="5"/>
        <v>0</v>
      </c>
      <c r="HK20" s="205" t="str">
        <f t="shared" si="6"/>
        <v>0</v>
      </c>
    </row>
    <row r="21" spans="1:219" ht="15" customHeight="1" x14ac:dyDescent="0.3">
      <c r="A21" s="80">
        <v>4145574028</v>
      </c>
      <c r="B21" s="74" t="s">
        <v>220</v>
      </c>
      <c r="C21" s="74" t="s">
        <v>221</v>
      </c>
      <c r="D21" s="74" t="s">
        <v>220</v>
      </c>
      <c r="E21" s="80" t="s">
        <v>366</v>
      </c>
      <c r="F21" s="80" t="s">
        <v>367</v>
      </c>
      <c r="G21" s="80" t="s">
        <v>368</v>
      </c>
      <c r="H21" s="78">
        <v>44252</v>
      </c>
      <c r="I21" s="157" t="s">
        <v>369</v>
      </c>
      <c r="J21" s="80" t="s">
        <v>226</v>
      </c>
      <c r="K21" s="78" t="s">
        <v>227</v>
      </c>
      <c r="L21" s="80" t="s">
        <v>227</v>
      </c>
      <c r="M21" s="80" t="s">
        <v>227</v>
      </c>
      <c r="N21" s="80" t="s">
        <v>227</v>
      </c>
      <c r="O21" s="80" t="s">
        <v>227</v>
      </c>
      <c r="P21" s="80" t="s">
        <v>227</v>
      </c>
      <c r="Q21" s="80" t="s">
        <v>227</v>
      </c>
      <c r="R21" s="80" t="s">
        <v>227</v>
      </c>
      <c r="S21" s="80" t="s">
        <v>227</v>
      </c>
      <c r="T21" s="80" t="s">
        <v>227</v>
      </c>
      <c r="U21" s="80" t="s">
        <v>227</v>
      </c>
      <c r="V21" s="80" t="s">
        <v>227</v>
      </c>
      <c r="W21" s="80" t="s">
        <v>227</v>
      </c>
      <c r="X21" s="80" t="s">
        <v>227</v>
      </c>
      <c r="Y21" s="80" t="s">
        <v>227</v>
      </c>
      <c r="Z21" s="80" t="s">
        <v>227</v>
      </c>
      <c r="AA21" s="80" t="s">
        <v>227</v>
      </c>
      <c r="AB21" s="80" t="s">
        <v>227</v>
      </c>
      <c r="AC21" s="80" t="s">
        <v>227</v>
      </c>
      <c r="AD21" s="80" t="s">
        <v>227</v>
      </c>
      <c r="AE21" s="80" t="s">
        <v>227</v>
      </c>
      <c r="AF21" s="80" t="s">
        <v>227</v>
      </c>
      <c r="AG21" s="80" t="s">
        <v>227</v>
      </c>
      <c r="AH21" s="80" t="s">
        <v>227</v>
      </c>
      <c r="AI21" s="80" t="s">
        <v>227</v>
      </c>
      <c r="AJ21" s="80" t="s">
        <v>227</v>
      </c>
      <c r="AK21" s="80" t="s">
        <v>227</v>
      </c>
      <c r="AL21" s="80" t="s">
        <v>227</v>
      </c>
      <c r="AM21" s="80" t="s">
        <v>227</v>
      </c>
      <c r="AN21" s="80" t="s">
        <v>227</v>
      </c>
      <c r="AO21" s="80" t="s">
        <v>227</v>
      </c>
      <c r="AP21" s="80" t="s">
        <v>227</v>
      </c>
      <c r="AQ21" s="80" t="s">
        <v>228</v>
      </c>
      <c r="AR21" s="78">
        <v>26122</v>
      </c>
      <c r="AS21" s="78">
        <v>44207</v>
      </c>
      <c r="AT21" s="148">
        <f t="shared" si="0"/>
        <v>49</v>
      </c>
      <c r="AU21" s="164" t="s">
        <v>229</v>
      </c>
      <c r="AV21" s="74" t="s">
        <v>230</v>
      </c>
      <c r="AW21" s="74" t="s">
        <v>241</v>
      </c>
      <c r="AX21" s="80" t="s">
        <v>309</v>
      </c>
      <c r="AY21" s="80" t="s">
        <v>232</v>
      </c>
      <c r="AZ21" s="80" t="s">
        <v>232</v>
      </c>
      <c r="BA21" s="80">
        <f t="shared" si="45"/>
        <v>0</v>
      </c>
      <c r="BB21" s="157" t="s">
        <v>310</v>
      </c>
      <c r="BC21" s="80">
        <v>2</v>
      </c>
      <c r="BD21" s="74" t="s">
        <v>243</v>
      </c>
      <c r="BE21" s="80" t="s">
        <v>370</v>
      </c>
      <c r="BF21" s="74" t="s">
        <v>220</v>
      </c>
      <c r="BG21" s="165" t="s">
        <v>227</v>
      </c>
      <c r="BH21" s="166" t="s">
        <v>227</v>
      </c>
      <c r="BI21" s="80" t="s">
        <v>227</v>
      </c>
      <c r="BJ21" s="78" t="s">
        <v>227</v>
      </c>
      <c r="BK21" s="78" t="s">
        <v>227</v>
      </c>
      <c r="BL21" s="80" t="s">
        <v>227</v>
      </c>
      <c r="BM21" s="166" t="s">
        <v>227</v>
      </c>
      <c r="BN21" s="80" t="s">
        <v>227</v>
      </c>
      <c r="BO21" s="80" t="s">
        <v>227</v>
      </c>
      <c r="BP21" s="166" t="s">
        <v>227</v>
      </c>
      <c r="BQ21" s="80" t="s">
        <v>227</v>
      </c>
      <c r="BR21" s="80" t="s">
        <v>227</v>
      </c>
      <c r="BS21" s="80" t="s">
        <v>227</v>
      </c>
      <c r="BT21" s="80" t="s">
        <v>227</v>
      </c>
      <c r="BU21" s="80" t="s">
        <v>227</v>
      </c>
      <c r="BV21" s="80" t="s">
        <v>227</v>
      </c>
      <c r="BW21" s="80" t="s">
        <v>227</v>
      </c>
      <c r="BX21" s="80" t="s">
        <v>227</v>
      </c>
      <c r="BY21" s="80" t="s">
        <v>227</v>
      </c>
      <c r="BZ21" s="80" t="s">
        <v>227</v>
      </c>
      <c r="CA21" s="80" t="s">
        <v>227</v>
      </c>
      <c r="CB21" s="80" t="s">
        <v>227</v>
      </c>
      <c r="CC21" s="80" t="s">
        <v>227</v>
      </c>
      <c r="CD21" s="80" t="s">
        <v>227</v>
      </c>
      <c r="CE21" s="80" t="s">
        <v>227</v>
      </c>
      <c r="CF21" s="80" t="s">
        <v>227</v>
      </c>
      <c r="CG21" s="80" t="s">
        <v>227</v>
      </c>
      <c r="CH21" s="80" t="s">
        <v>227</v>
      </c>
      <c r="CI21" s="80" t="s">
        <v>227</v>
      </c>
      <c r="CJ21" s="80" t="s">
        <v>227</v>
      </c>
      <c r="CK21" s="80" t="s">
        <v>227</v>
      </c>
      <c r="CL21" s="80" t="s">
        <v>227</v>
      </c>
      <c r="CM21" s="80" t="s">
        <v>227</v>
      </c>
      <c r="CN21" s="166" t="s">
        <v>227</v>
      </c>
      <c r="CO21" s="80" t="s">
        <v>227</v>
      </c>
      <c r="CP21" s="78" t="s">
        <v>227</v>
      </c>
      <c r="CQ21" s="78" t="s">
        <v>227</v>
      </c>
      <c r="CR21" s="80" t="s">
        <v>227</v>
      </c>
      <c r="CS21" s="166" t="s">
        <v>227</v>
      </c>
      <c r="CT21" s="80" t="s">
        <v>227</v>
      </c>
      <c r="CU21" s="80" t="s">
        <v>227</v>
      </c>
      <c r="CV21" s="166" t="s">
        <v>227</v>
      </c>
      <c r="CW21" s="80" t="s">
        <v>227</v>
      </c>
      <c r="CX21" s="80" t="s">
        <v>227</v>
      </c>
      <c r="CY21" s="80" t="s">
        <v>227</v>
      </c>
      <c r="CZ21" s="80" t="s">
        <v>227</v>
      </c>
      <c r="DA21" s="80" t="s">
        <v>227</v>
      </c>
      <c r="DB21" s="80" t="s">
        <v>227</v>
      </c>
      <c r="DC21" s="80" t="s">
        <v>227</v>
      </c>
      <c r="DD21" s="80" t="s">
        <v>227</v>
      </c>
      <c r="DE21" s="80" t="s">
        <v>227</v>
      </c>
      <c r="DF21" s="80" t="s">
        <v>227</v>
      </c>
      <c r="DG21" s="80" t="s">
        <v>227</v>
      </c>
      <c r="DH21" s="80" t="s">
        <v>227</v>
      </c>
      <c r="DI21" s="80" t="s">
        <v>227</v>
      </c>
      <c r="DJ21" s="80" t="s">
        <v>227</v>
      </c>
      <c r="DK21" s="80" t="s">
        <v>227</v>
      </c>
      <c r="DL21" s="80" t="s">
        <v>227</v>
      </c>
      <c r="DM21" s="80" t="s">
        <v>227</v>
      </c>
      <c r="DN21" s="80" t="s">
        <v>227</v>
      </c>
      <c r="DO21" s="80" t="s">
        <v>227</v>
      </c>
      <c r="DP21" s="80" t="s">
        <v>227</v>
      </c>
      <c r="DQ21" s="80" t="s">
        <v>227</v>
      </c>
      <c r="DR21" s="80" t="s">
        <v>227</v>
      </c>
      <c r="DS21" s="80" t="s">
        <v>227</v>
      </c>
      <c r="DT21" s="80" t="s">
        <v>227</v>
      </c>
      <c r="DU21" s="80" t="s">
        <v>227</v>
      </c>
      <c r="DV21" s="80" t="s">
        <v>227</v>
      </c>
      <c r="DW21" s="80" t="s">
        <v>227</v>
      </c>
      <c r="DX21" s="80" t="s">
        <v>227</v>
      </c>
      <c r="DY21" s="80" t="s">
        <v>227</v>
      </c>
      <c r="DZ21" s="80" t="s">
        <v>227</v>
      </c>
      <c r="EA21" s="80" t="s">
        <v>227</v>
      </c>
      <c r="EB21" s="80" t="s">
        <v>227</v>
      </c>
      <c r="EC21" s="80" t="s">
        <v>227</v>
      </c>
      <c r="ED21" s="80" t="s">
        <v>227</v>
      </c>
      <c r="EE21" s="80" t="s">
        <v>227</v>
      </c>
      <c r="EF21" s="80" t="s">
        <v>227</v>
      </c>
      <c r="EG21" s="80" t="s">
        <v>227</v>
      </c>
      <c r="EH21" s="80" t="s">
        <v>227</v>
      </c>
      <c r="EI21" s="78" t="s">
        <v>227</v>
      </c>
      <c r="EJ21" s="80" t="s">
        <v>227</v>
      </c>
      <c r="EK21" s="166" t="s">
        <v>227</v>
      </c>
      <c r="EL21" s="80" t="s">
        <v>227</v>
      </c>
      <c r="EM21" s="78" t="s">
        <v>227</v>
      </c>
      <c r="EN21" s="78" t="s">
        <v>227</v>
      </c>
      <c r="EO21" s="80" t="s">
        <v>227</v>
      </c>
      <c r="EP21" s="166" t="s">
        <v>227</v>
      </c>
      <c r="EQ21" s="80" t="s">
        <v>227</v>
      </c>
      <c r="ER21" s="80" t="s">
        <v>227</v>
      </c>
      <c r="ES21" s="166" t="s">
        <v>227</v>
      </c>
      <c r="ET21" s="80" t="s">
        <v>227</v>
      </c>
      <c r="EU21" s="80" t="s">
        <v>227</v>
      </c>
      <c r="EV21" s="166" t="s">
        <v>227</v>
      </c>
      <c r="EW21" s="80" t="s">
        <v>227</v>
      </c>
      <c r="EX21" s="80" t="s">
        <v>227</v>
      </c>
      <c r="EY21" s="166" t="s">
        <v>227</v>
      </c>
      <c r="EZ21" s="80" t="s">
        <v>227</v>
      </c>
      <c r="FA21" s="80" t="s">
        <v>227</v>
      </c>
      <c r="FB21" s="147" t="s">
        <v>227</v>
      </c>
      <c r="FC21" s="80" t="s">
        <v>227</v>
      </c>
      <c r="FD21" s="80" t="s">
        <v>227</v>
      </c>
      <c r="FE21" s="80" t="s">
        <v>227</v>
      </c>
      <c r="FF21" s="80" t="s">
        <v>227</v>
      </c>
      <c r="FG21" s="80" t="s">
        <v>227</v>
      </c>
      <c r="FH21" s="80" t="s">
        <v>227</v>
      </c>
      <c r="FI21" s="80" t="s">
        <v>227</v>
      </c>
      <c r="FJ21" s="80" t="s">
        <v>227</v>
      </c>
      <c r="FK21" s="80" t="s">
        <v>227</v>
      </c>
      <c r="FL21" s="80" t="s">
        <v>227</v>
      </c>
      <c r="FM21" s="80" t="s">
        <v>227</v>
      </c>
      <c r="FN21" s="80" t="s">
        <v>227</v>
      </c>
      <c r="FO21" s="80" t="s">
        <v>227</v>
      </c>
      <c r="FP21" s="80" t="s">
        <v>227</v>
      </c>
      <c r="FQ21" s="80" t="s">
        <v>227</v>
      </c>
      <c r="FR21" s="80" t="s">
        <v>227</v>
      </c>
      <c r="FS21" s="80" t="s">
        <v>227</v>
      </c>
      <c r="FT21" s="80" t="s">
        <v>227</v>
      </c>
      <c r="FU21" s="80" t="s">
        <v>227</v>
      </c>
      <c r="FV21" s="80" t="s">
        <v>227</v>
      </c>
      <c r="FW21" s="80" t="s">
        <v>227</v>
      </c>
      <c r="FX21" s="80" t="s">
        <v>227</v>
      </c>
      <c r="FY21" s="80" t="s">
        <v>227</v>
      </c>
      <c r="FZ21" s="80" t="s">
        <v>227</v>
      </c>
      <c r="GA21" s="80" t="s">
        <v>227</v>
      </c>
      <c r="GB21" s="80" t="s">
        <v>227</v>
      </c>
      <c r="GC21" s="80" t="s">
        <v>227</v>
      </c>
      <c r="GD21" s="80" t="s">
        <v>227</v>
      </c>
      <c r="GE21" s="80" t="s">
        <v>227</v>
      </c>
      <c r="GF21" s="167" t="s">
        <v>312</v>
      </c>
      <c r="GG21" s="78" t="s">
        <v>227</v>
      </c>
      <c r="GH21" s="74" t="s">
        <v>227</v>
      </c>
      <c r="GI21" s="80" t="s">
        <v>227</v>
      </c>
      <c r="GJ21" s="78">
        <v>44265</v>
      </c>
      <c r="GK21" s="156">
        <v>46177</v>
      </c>
      <c r="GL21" s="156" t="s">
        <v>371</v>
      </c>
      <c r="GM21" s="159" t="str">
        <f t="shared" si="7"/>
        <v>N/A</v>
      </c>
      <c r="GN21" s="159" t="str">
        <f t="shared" si="8"/>
        <v>N/A</v>
      </c>
      <c r="GO21" s="159">
        <f t="shared" si="9"/>
        <v>1.5</v>
      </c>
      <c r="GP21" s="159" t="str">
        <f t="shared" si="10"/>
        <v>N/A</v>
      </c>
      <c r="GQ21" s="159" t="str">
        <f t="shared" si="23"/>
        <v>N/A</v>
      </c>
      <c r="GR21" s="159" t="str">
        <f t="shared" si="24"/>
        <v>N/A</v>
      </c>
      <c r="GS21" s="159" t="str">
        <f t="shared" si="11"/>
        <v>N/A</v>
      </c>
      <c r="GT21" s="159" t="str">
        <f t="shared" si="12"/>
        <v>N/A</v>
      </c>
      <c r="GU21" s="159" t="str">
        <f t="shared" si="13"/>
        <v>N/A</v>
      </c>
      <c r="GV21" s="159" t="str">
        <f t="shared" si="14"/>
        <v>N/A</v>
      </c>
      <c r="GW21" s="159" t="str">
        <f t="shared" si="15"/>
        <v>N/A</v>
      </c>
      <c r="GX21" s="159" t="str">
        <f t="shared" si="16"/>
        <v>N/A</v>
      </c>
      <c r="GY21" s="159" t="str">
        <f t="shared" si="17"/>
        <v>N/A</v>
      </c>
      <c r="GZ21" s="159" t="str">
        <f t="shared" si="18"/>
        <v>N/A</v>
      </c>
      <c r="HA21" s="159" t="str">
        <f t="shared" si="19"/>
        <v>N/A</v>
      </c>
      <c r="HB21" s="159" t="str">
        <f t="shared" si="1"/>
        <v>N/A</v>
      </c>
      <c r="HC21" s="159" t="str">
        <f t="shared" si="20"/>
        <v>N/A</v>
      </c>
      <c r="HD21" s="159">
        <f t="shared" si="21"/>
        <v>1.9333333333333333</v>
      </c>
      <c r="HE21" s="159">
        <f t="shared" si="22"/>
        <v>65.666666666666671</v>
      </c>
      <c r="HF21" s="160">
        <f t="shared" si="2"/>
        <v>65.666666666666671</v>
      </c>
      <c r="HG21" s="160" cm="1">
        <f t="array" ref="HG21">INDEX($HB21:$HD21,MATCH(TRUE,INDEX(ISNUMBER($HB21:$HD21),0),0))</f>
        <v>1.9333333333333333</v>
      </c>
      <c r="HH21" s="161">
        <f t="shared" si="3"/>
        <v>0</v>
      </c>
      <c r="HI21" s="86">
        <f t="shared" si="4"/>
        <v>0</v>
      </c>
      <c r="HJ21" s="111">
        <f t="shared" si="5"/>
        <v>0</v>
      </c>
      <c r="HK21" s="205" t="str">
        <f t="shared" si="6"/>
        <v>0</v>
      </c>
    </row>
    <row r="22" spans="1:219" ht="15" customHeight="1" x14ac:dyDescent="0.3">
      <c r="A22" s="80">
        <v>4829120444</v>
      </c>
      <c r="B22" s="74" t="s">
        <v>220</v>
      </c>
      <c r="C22" s="74" t="s">
        <v>221</v>
      </c>
      <c r="D22" s="74" t="s">
        <v>220</v>
      </c>
      <c r="E22" s="80" t="s">
        <v>372</v>
      </c>
      <c r="F22" s="80" t="s">
        <v>373</v>
      </c>
      <c r="G22" s="80" t="s">
        <v>374</v>
      </c>
      <c r="H22" s="78">
        <v>44259</v>
      </c>
      <c r="I22" s="80" t="s">
        <v>375</v>
      </c>
      <c r="J22" s="80" t="s">
        <v>226</v>
      </c>
      <c r="K22" s="78" t="s">
        <v>227</v>
      </c>
      <c r="L22" s="80" t="s">
        <v>227</v>
      </c>
      <c r="M22" s="80" t="s">
        <v>227</v>
      </c>
      <c r="N22" s="80" t="s">
        <v>227</v>
      </c>
      <c r="O22" s="80" t="s">
        <v>227</v>
      </c>
      <c r="P22" s="80" t="s">
        <v>227</v>
      </c>
      <c r="Q22" s="80" t="s">
        <v>227</v>
      </c>
      <c r="R22" s="80" t="s">
        <v>227</v>
      </c>
      <c r="S22" s="80" t="s">
        <v>227</v>
      </c>
      <c r="T22" s="80" t="s">
        <v>227</v>
      </c>
      <c r="U22" s="80" t="s">
        <v>227</v>
      </c>
      <c r="V22" s="80" t="s">
        <v>227</v>
      </c>
      <c r="W22" s="80" t="s">
        <v>227</v>
      </c>
      <c r="X22" s="80" t="s">
        <v>227</v>
      </c>
      <c r="Y22" s="80" t="s">
        <v>227</v>
      </c>
      <c r="Z22" s="80" t="s">
        <v>227</v>
      </c>
      <c r="AA22" s="80" t="s">
        <v>227</v>
      </c>
      <c r="AB22" s="80" t="s">
        <v>227</v>
      </c>
      <c r="AC22" s="80" t="s">
        <v>227</v>
      </c>
      <c r="AD22" s="80" t="s">
        <v>227</v>
      </c>
      <c r="AE22" s="80" t="s">
        <v>227</v>
      </c>
      <c r="AF22" s="80" t="s">
        <v>227</v>
      </c>
      <c r="AG22" s="80" t="s">
        <v>227</v>
      </c>
      <c r="AH22" s="80" t="s">
        <v>227</v>
      </c>
      <c r="AI22" s="80" t="s">
        <v>227</v>
      </c>
      <c r="AJ22" s="80" t="s">
        <v>227</v>
      </c>
      <c r="AK22" s="80" t="s">
        <v>227</v>
      </c>
      <c r="AL22" s="80" t="s">
        <v>227</v>
      </c>
      <c r="AM22" s="80" t="s">
        <v>227</v>
      </c>
      <c r="AN22" s="80" t="s">
        <v>227</v>
      </c>
      <c r="AO22" s="80" t="s">
        <v>227</v>
      </c>
      <c r="AP22" s="80" t="s">
        <v>227</v>
      </c>
      <c r="AQ22" s="80" t="s">
        <v>228</v>
      </c>
      <c r="AR22" s="78">
        <v>23015</v>
      </c>
      <c r="AS22" s="78">
        <v>44217</v>
      </c>
      <c r="AT22" s="148">
        <f t="shared" si="0"/>
        <v>58</v>
      </c>
      <c r="AU22" s="164" t="s">
        <v>229</v>
      </c>
      <c r="AV22" s="74" t="s">
        <v>230</v>
      </c>
      <c r="AW22" s="74" t="s">
        <v>241</v>
      </c>
      <c r="AX22" s="157" t="s">
        <v>264</v>
      </c>
      <c r="AY22" s="80">
        <v>1</v>
      </c>
      <c r="AZ22" s="80" t="s">
        <v>232</v>
      </c>
      <c r="BA22" s="80">
        <f t="shared" si="45"/>
        <v>0</v>
      </c>
      <c r="BB22" s="157" t="s">
        <v>376</v>
      </c>
      <c r="BC22" s="80">
        <v>1</v>
      </c>
      <c r="BD22" s="74" t="s">
        <v>243</v>
      </c>
      <c r="BE22" s="80" t="s">
        <v>377</v>
      </c>
      <c r="BF22" s="74" t="s">
        <v>220</v>
      </c>
      <c r="BG22" s="165" t="s">
        <v>227</v>
      </c>
      <c r="BH22" s="166" t="s">
        <v>227</v>
      </c>
      <c r="BI22" s="80" t="s">
        <v>227</v>
      </c>
      <c r="BJ22" s="78" t="s">
        <v>227</v>
      </c>
      <c r="BK22" s="78" t="s">
        <v>227</v>
      </c>
      <c r="BL22" s="80" t="s">
        <v>227</v>
      </c>
      <c r="BM22" s="166" t="s">
        <v>227</v>
      </c>
      <c r="BN22" s="80" t="s">
        <v>227</v>
      </c>
      <c r="BO22" s="80" t="s">
        <v>227</v>
      </c>
      <c r="BP22" s="166" t="s">
        <v>227</v>
      </c>
      <c r="BQ22" s="80" t="s">
        <v>227</v>
      </c>
      <c r="BR22" s="80" t="s">
        <v>227</v>
      </c>
      <c r="BS22" s="80" t="s">
        <v>227</v>
      </c>
      <c r="BT22" s="80" t="s">
        <v>227</v>
      </c>
      <c r="BU22" s="80" t="s">
        <v>227</v>
      </c>
      <c r="BV22" s="80" t="s">
        <v>227</v>
      </c>
      <c r="BW22" s="80" t="s">
        <v>227</v>
      </c>
      <c r="BX22" s="80" t="s">
        <v>227</v>
      </c>
      <c r="BY22" s="80" t="s">
        <v>227</v>
      </c>
      <c r="BZ22" s="80" t="s">
        <v>227</v>
      </c>
      <c r="CA22" s="80" t="s">
        <v>227</v>
      </c>
      <c r="CB22" s="80" t="s">
        <v>227</v>
      </c>
      <c r="CC22" s="80" t="s">
        <v>227</v>
      </c>
      <c r="CD22" s="80" t="s">
        <v>227</v>
      </c>
      <c r="CE22" s="80" t="s">
        <v>227</v>
      </c>
      <c r="CF22" s="80" t="s">
        <v>227</v>
      </c>
      <c r="CG22" s="80" t="s">
        <v>227</v>
      </c>
      <c r="CH22" s="80" t="s">
        <v>227</v>
      </c>
      <c r="CI22" s="80" t="s">
        <v>227</v>
      </c>
      <c r="CJ22" s="80" t="s">
        <v>227</v>
      </c>
      <c r="CK22" s="80" t="s">
        <v>227</v>
      </c>
      <c r="CL22" s="80" t="s">
        <v>227</v>
      </c>
      <c r="CM22" s="80" t="s">
        <v>227</v>
      </c>
      <c r="CN22" s="166" t="s">
        <v>249</v>
      </c>
      <c r="CO22" s="80" t="s">
        <v>287</v>
      </c>
      <c r="CP22" s="78">
        <v>44312</v>
      </c>
      <c r="CQ22" s="78">
        <v>44419</v>
      </c>
      <c r="CR22" s="80" t="s">
        <v>227</v>
      </c>
      <c r="CS22" s="166" t="s">
        <v>246</v>
      </c>
      <c r="CT22" s="80" t="s">
        <v>378</v>
      </c>
      <c r="CU22" s="80" t="s">
        <v>227</v>
      </c>
      <c r="CV22" s="166" t="s">
        <v>227</v>
      </c>
      <c r="CW22" s="80" t="s">
        <v>227</v>
      </c>
      <c r="CX22" s="80" t="s">
        <v>227</v>
      </c>
      <c r="CY22" s="80" t="s">
        <v>227</v>
      </c>
      <c r="CZ22" s="80" t="s">
        <v>227</v>
      </c>
      <c r="DA22" s="80" t="s">
        <v>227</v>
      </c>
      <c r="DB22" s="80" t="s">
        <v>227</v>
      </c>
      <c r="DC22" s="80" t="s">
        <v>227</v>
      </c>
      <c r="DD22" s="80" t="s">
        <v>227</v>
      </c>
      <c r="DE22" s="80" t="s">
        <v>227</v>
      </c>
      <c r="DF22" s="80" t="s">
        <v>227</v>
      </c>
      <c r="DG22" s="80" t="s">
        <v>227</v>
      </c>
      <c r="DH22" s="80" t="s">
        <v>227</v>
      </c>
      <c r="DI22" s="80" t="s">
        <v>227</v>
      </c>
      <c r="DJ22" s="80" t="s">
        <v>227</v>
      </c>
      <c r="DK22" s="80" t="s">
        <v>227</v>
      </c>
      <c r="DL22" s="80" t="s">
        <v>227</v>
      </c>
      <c r="DM22" s="80" t="s">
        <v>227</v>
      </c>
      <c r="DN22" s="80" t="s">
        <v>227</v>
      </c>
      <c r="DO22" s="80" t="s">
        <v>227</v>
      </c>
      <c r="DP22" s="80" t="s">
        <v>227</v>
      </c>
      <c r="DQ22" s="80" t="s">
        <v>227</v>
      </c>
      <c r="DR22" s="80" t="s">
        <v>227</v>
      </c>
      <c r="DS22" s="80" t="s">
        <v>227</v>
      </c>
      <c r="DT22" s="80" t="s">
        <v>227</v>
      </c>
      <c r="DU22" s="80" t="s">
        <v>227</v>
      </c>
      <c r="DV22" s="80" t="s">
        <v>227</v>
      </c>
      <c r="DW22" s="80" t="s">
        <v>227</v>
      </c>
      <c r="DX22" s="80" t="s">
        <v>227</v>
      </c>
      <c r="DY22" s="80" t="s">
        <v>227</v>
      </c>
      <c r="DZ22" s="80" t="s">
        <v>227</v>
      </c>
      <c r="EA22" s="80" t="s">
        <v>227</v>
      </c>
      <c r="EB22" s="80" t="s">
        <v>227</v>
      </c>
      <c r="EC22" s="80" t="s">
        <v>227</v>
      </c>
      <c r="ED22" s="80" t="s">
        <v>227</v>
      </c>
      <c r="EE22" s="80" t="s">
        <v>227</v>
      </c>
      <c r="EF22" s="80" t="s">
        <v>227</v>
      </c>
      <c r="EG22" s="80" t="s">
        <v>227</v>
      </c>
      <c r="EH22" s="80" t="s">
        <v>227</v>
      </c>
      <c r="EI22" s="78" t="s">
        <v>227</v>
      </c>
      <c r="EJ22" s="80" t="s">
        <v>227</v>
      </c>
      <c r="EK22" s="166" t="s">
        <v>227</v>
      </c>
      <c r="EL22" s="80" t="s">
        <v>227</v>
      </c>
      <c r="EM22" s="78" t="s">
        <v>227</v>
      </c>
      <c r="EN22" s="78" t="s">
        <v>227</v>
      </c>
      <c r="EO22" s="80" t="s">
        <v>227</v>
      </c>
      <c r="EP22" s="166" t="s">
        <v>227</v>
      </c>
      <c r="EQ22" s="80" t="s">
        <v>227</v>
      </c>
      <c r="ER22" s="80" t="s">
        <v>227</v>
      </c>
      <c r="ES22" s="166" t="s">
        <v>227</v>
      </c>
      <c r="ET22" s="80" t="s">
        <v>227</v>
      </c>
      <c r="EU22" s="80" t="s">
        <v>227</v>
      </c>
      <c r="EV22" s="166" t="s">
        <v>227</v>
      </c>
      <c r="EW22" s="80" t="s">
        <v>227</v>
      </c>
      <c r="EX22" s="80" t="s">
        <v>227</v>
      </c>
      <c r="EY22" s="166" t="s">
        <v>227</v>
      </c>
      <c r="EZ22" s="80" t="s">
        <v>227</v>
      </c>
      <c r="FA22" s="80" t="s">
        <v>227</v>
      </c>
      <c r="FB22" s="147" t="s">
        <v>227</v>
      </c>
      <c r="FC22" s="80" t="s">
        <v>227</v>
      </c>
      <c r="FD22" s="80" t="s">
        <v>227</v>
      </c>
      <c r="FE22" s="80" t="s">
        <v>227</v>
      </c>
      <c r="FF22" s="80" t="s">
        <v>227</v>
      </c>
      <c r="FG22" s="80" t="s">
        <v>227</v>
      </c>
      <c r="FH22" s="80" t="s">
        <v>227</v>
      </c>
      <c r="FI22" s="80" t="s">
        <v>227</v>
      </c>
      <c r="FJ22" s="80" t="s">
        <v>227</v>
      </c>
      <c r="FK22" s="80" t="s">
        <v>227</v>
      </c>
      <c r="FL22" s="80" t="s">
        <v>227</v>
      </c>
      <c r="FM22" s="80" t="s">
        <v>227</v>
      </c>
      <c r="FN22" s="80" t="s">
        <v>227</v>
      </c>
      <c r="FO22" s="80" t="s">
        <v>227</v>
      </c>
      <c r="FP22" s="80" t="s">
        <v>227</v>
      </c>
      <c r="FQ22" s="80" t="s">
        <v>227</v>
      </c>
      <c r="FR22" s="80" t="s">
        <v>227</v>
      </c>
      <c r="FS22" s="80" t="s">
        <v>227</v>
      </c>
      <c r="FT22" s="80" t="s">
        <v>227</v>
      </c>
      <c r="FU22" s="80" t="s">
        <v>227</v>
      </c>
      <c r="FV22" s="80" t="s">
        <v>227</v>
      </c>
      <c r="FW22" s="80" t="s">
        <v>227</v>
      </c>
      <c r="FX22" s="80" t="s">
        <v>227</v>
      </c>
      <c r="FY22" s="80" t="s">
        <v>227</v>
      </c>
      <c r="FZ22" s="80" t="s">
        <v>227</v>
      </c>
      <c r="GA22" s="80" t="s">
        <v>227</v>
      </c>
      <c r="GB22" s="80" t="s">
        <v>227</v>
      </c>
      <c r="GC22" s="80" t="s">
        <v>227</v>
      </c>
      <c r="GD22" s="80" t="s">
        <v>227</v>
      </c>
      <c r="GE22" s="80" t="s">
        <v>227</v>
      </c>
      <c r="GF22" s="167" t="s">
        <v>312</v>
      </c>
      <c r="GG22" s="78" t="s">
        <v>227</v>
      </c>
      <c r="GH22" s="74" t="s">
        <v>227</v>
      </c>
      <c r="GI22" s="80" t="s">
        <v>227</v>
      </c>
      <c r="GJ22" s="156">
        <v>45815</v>
      </c>
      <c r="GK22" s="78">
        <v>46085</v>
      </c>
      <c r="GL22" s="78" t="s">
        <v>227</v>
      </c>
      <c r="GM22" s="159" t="str">
        <f t="shared" si="7"/>
        <v>N/A</v>
      </c>
      <c r="GN22" s="159" t="str">
        <f t="shared" si="8"/>
        <v>N/A</v>
      </c>
      <c r="GO22" s="159">
        <f t="shared" si="9"/>
        <v>1.4</v>
      </c>
      <c r="GP22" s="159" t="str">
        <f t="shared" si="10"/>
        <v>N/A</v>
      </c>
      <c r="GQ22" s="159" t="str">
        <f t="shared" si="23"/>
        <v>N/A</v>
      </c>
      <c r="GR22" s="159" t="str">
        <f t="shared" si="24"/>
        <v>N/A</v>
      </c>
      <c r="GS22" s="159" t="str">
        <f t="shared" si="11"/>
        <v>N/A</v>
      </c>
      <c r="GT22" s="159" t="str">
        <f t="shared" si="12"/>
        <v>N/A</v>
      </c>
      <c r="GU22" s="159" t="str">
        <f t="shared" si="13"/>
        <v>N/A</v>
      </c>
      <c r="GV22" s="159" t="str">
        <f t="shared" si="14"/>
        <v>N/A</v>
      </c>
      <c r="GW22" s="159">
        <f t="shared" si="15"/>
        <v>3.1666666666666665</v>
      </c>
      <c r="GX22" s="159">
        <f t="shared" si="16"/>
        <v>6.7333333333333334</v>
      </c>
      <c r="GY22" s="159" t="str">
        <f t="shared" si="17"/>
        <v>N/A</v>
      </c>
      <c r="GZ22" s="159" t="str">
        <f t="shared" si="18"/>
        <v>N/A</v>
      </c>
      <c r="HA22" s="159" t="str">
        <f t="shared" si="19"/>
        <v>N/A</v>
      </c>
      <c r="HB22" s="159" t="str">
        <f t="shared" si="1"/>
        <v>N/A</v>
      </c>
      <c r="HC22" s="159" t="str">
        <f t="shared" si="20"/>
        <v>N/A</v>
      </c>
      <c r="HD22" s="159">
        <f t="shared" si="21"/>
        <v>53.266666666666666</v>
      </c>
      <c r="HE22" s="159">
        <f t="shared" si="22"/>
        <v>62.266666666666666</v>
      </c>
      <c r="HF22" s="160">
        <f t="shared" si="2"/>
        <v>62.266666666666666</v>
      </c>
      <c r="HG22" s="160" cm="1">
        <f t="array" ref="HG22">INDEX($HB22:$HD22,MATCH(TRUE,INDEX(ISNUMBER($HB22:$HD22),0),0))</f>
        <v>53.266666666666666</v>
      </c>
      <c r="HH22" s="161">
        <f t="shared" si="3"/>
        <v>0</v>
      </c>
      <c r="HI22" s="86">
        <f t="shared" si="4"/>
        <v>0</v>
      </c>
      <c r="HJ22" s="111">
        <f t="shared" si="5"/>
        <v>0</v>
      </c>
      <c r="HK22" s="205" t="str">
        <f t="shared" si="6"/>
        <v>0</v>
      </c>
    </row>
    <row r="23" spans="1:219" ht="15" customHeight="1" x14ac:dyDescent="0.3">
      <c r="A23" s="80">
        <v>4583577109</v>
      </c>
      <c r="B23" s="74" t="s">
        <v>220</v>
      </c>
      <c r="C23" s="74" t="s">
        <v>221</v>
      </c>
      <c r="D23" s="74" t="s">
        <v>220</v>
      </c>
      <c r="E23" s="80" t="s">
        <v>379</v>
      </c>
      <c r="F23" s="80" t="s">
        <v>307</v>
      </c>
      <c r="G23" s="80" t="s">
        <v>344</v>
      </c>
      <c r="H23" s="78">
        <v>44259</v>
      </c>
      <c r="I23" s="80" t="s">
        <v>380</v>
      </c>
      <c r="J23" s="80" t="s">
        <v>381</v>
      </c>
      <c r="K23" s="78" t="s">
        <v>227</v>
      </c>
      <c r="L23" s="80" t="s">
        <v>227</v>
      </c>
      <c r="M23" s="80" t="s">
        <v>227</v>
      </c>
      <c r="N23" s="80" t="s">
        <v>227</v>
      </c>
      <c r="O23" s="80" t="s">
        <v>227</v>
      </c>
      <c r="P23" s="80" t="s">
        <v>227</v>
      </c>
      <c r="Q23" s="80" t="s">
        <v>227</v>
      </c>
      <c r="R23" s="80" t="s">
        <v>227</v>
      </c>
      <c r="S23" s="80" t="s">
        <v>227</v>
      </c>
      <c r="T23" s="80" t="s">
        <v>227</v>
      </c>
      <c r="U23" s="80" t="s">
        <v>227</v>
      </c>
      <c r="V23" s="80" t="s">
        <v>227</v>
      </c>
      <c r="W23" s="80" t="s">
        <v>227</v>
      </c>
      <c r="X23" s="80" t="s">
        <v>227</v>
      </c>
      <c r="Y23" s="80" t="s">
        <v>227</v>
      </c>
      <c r="Z23" s="80" t="s">
        <v>227</v>
      </c>
      <c r="AA23" s="80" t="s">
        <v>227</v>
      </c>
      <c r="AB23" s="80" t="s">
        <v>227</v>
      </c>
      <c r="AC23" s="80" t="s">
        <v>227</v>
      </c>
      <c r="AD23" s="80" t="s">
        <v>227</v>
      </c>
      <c r="AE23" s="80" t="s">
        <v>227</v>
      </c>
      <c r="AF23" s="80" t="s">
        <v>227</v>
      </c>
      <c r="AG23" s="80" t="s">
        <v>227</v>
      </c>
      <c r="AH23" s="80" t="s">
        <v>227</v>
      </c>
      <c r="AI23" s="80" t="s">
        <v>227</v>
      </c>
      <c r="AJ23" s="80" t="s">
        <v>227</v>
      </c>
      <c r="AK23" s="80" t="s">
        <v>227</v>
      </c>
      <c r="AL23" s="80" t="s">
        <v>227</v>
      </c>
      <c r="AM23" s="80" t="s">
        <v>227</v>
      </c>
      <c r="AN23" s="80" t="s">
        <v>227</v>
      </c>
      <c r="AO23" s="80" t="s">
        <v>227</v>
      </c>
      <c r="AP23" s="80" t="s">
        <v>227</v>
      </c>
      <c r="AQ23" s="80" t="s">
        <v>228</v>
      </c>
      <c r="AR23" s="78">
        <v>20897</v>
      </c>
      <c r="AS23" s="78">
        <v>44221</v>
      </c>
      <c r="AT23" s="148">
        <f t="shared" si="0"/>
        <v>63</v>
      </c>
      <c r="AU23" s="164" t="s">
        <v>229</v>
      </c>
      <c r="AV23" s="74" t="s">
        <v>230</v>
      </c>
      <c r="AW23" s="74" t="s">
        <v>241</v>
      </c>
      <c r="AX23" s="157">
        <v>2</v>
      </c>
      <c r="AY23" s="80">
        <v>0</v>
      </c>
      <c r="AZ23" s="80" t="s">
        <v>232</v>
      </c>
      <c r="BA23" s="80">
        <f t="shared" si="45"/>
        <v>0</v>
      </c>
      <c r="BB23" s="157" t="s">
        <v>242</v>
      </c>
      <c r="BC23" s="80">
        <v>2</v>
      </c>
      <c r="BD23" s="74" t="s">
        <v>243</v>
      </c>
      <c r="BE23" s="80" t="s">
        <v>382</v>
      </c>
      <c r="BF23" s="74" t="s">
        <v>220</v>
      </c>
      <c r="BG23" s="165" t="s">
        <v>227</v>
      </c>
      <c r="BH23" s="166" t="s">
        <v>227</v>
      </c>
      <c r="BI23" s="80" t="s">
        <v>227</v>
      </c>
      <c r="BJ23" s="78" t="s">
        <v>227</v>
      </c>
      <c r="BK23" s="78" t="s">
        <v>227</v>
      </c>
      <c r="BL23" s="80" t="s">
        <v>227</v>
      </c>
      <c r="BM23" s="166" t="s">
        <v>227</v>
      </c>
      <c r="BN23" s="80" t="s">
        <v>227</v>
      </c>
      <c r="BO23" s="80" t="s">
        <v>227</v>
      </c>
      <c r="BP23" s="166" t="s">
        <v>227</v>
      </c>
      <c r="BQ23" s="80" t="s">
        <v>227</v>
      </c>
      <c r="BR23" s="80" t="s">
        <v>227</v>
      </c>
      <c r="BS23" s="80" t="s">
        <v>227</v>
      </c>
      <c r="BT23" s="80" t="s">
        <v>227</v>
      </c>
      <c r="BU23" s="80" t="s">
        <v>227</v>
      </c>
      <c r="BV23" s="80" t="s">
        <v>227</v>
      </c>
      <c r="BW23" s="80" t="s">
        <v>227</v>
      </c>
      <c r="BX23" s="80" t="s">
        <v>227</v>
      </c>
      <c r="BY23" s="80" t="s">
        <v>227</v>
      </c>
      <c r="BZ23" s="80" t="s">
        <v>227</v>
      </c>
      <c r="CA23" s="80" t="s">
        <v>227</v>
      </c>
      <c r="CB23" s="80" t="s">
        <v>227</v>
      </c>
      <c r="CC23" s="80" t="s">
        <v>227</v>
      </c>
      <c r="CD23" s="80" t="s">
        <v>227</v>
      </c>
      <c r="CE23" s="80" t="s">
        <v>227</v>
      </c>
      <c r="CF23" s="80" t="s">
        <v>227</v>
      </c>
      <c r="CG23" s="80" t="s">
        <v>227</v>
      </c>
      <c r="CH23" s="80" t="s">
        <v>227</v>
      </c>
      <c r="CI23" s="80" t="s">
        <v>227</v>
      </c>
      <c r="CJ23" s="80" t="s">
        <v>227</v>
      </c>
      <c r="CK23" s="80" t="s">
        <v>227</v>
      </c>
      <c r="CL23" s="80" t="s">
        <v>227</v>
      </c>
      <c r="CM23" s="80" t="s">
        <v>227</v>
      </c>
      <c r="CN23" s="166" t="s">
        <v>246</v>
      </c>
      <c r="CO23" s="80" t="s">
        <v>378</v>
      </c>
      <c r="CP23" s="78">
        <v>44307</v>
      </c>
      <c r="CQ23" s="78">
        <v>44314</v>
      </c>
      <c r="CR23" s="80" t="s">
        <v>227</v>
      </c>
      <c r="CS23" s="166" t="s">
        <v>227</v>
      </c>
      <c r="CT23" s="80" t="s">
        <v>227</v>
      </c>
      <c r="CU23" s="80" t="s">
        <v>227</v>
      </c>
      <c r="CV23" s="166" t="s">
        <v>227</v>
      </c>
      <c r="CW23" s="80" t="s">
        <v>227</v>
      </c>
      <c r="CX23" s="80" t="s">
        <v>227</v>
      </c>
      <c r="CY23" s="80" t="s">
        <v>227</v>
      </c>
      <c r="CZ23" s="80" t="s">
        <v>227</v>
      </c>
      <c r="DA23" s="80" t="s">
        <v>227</v>
      </c>
      <c r="DB23" s="80" t="s">
        <v>227</v>
      </c>
      <c r="DC23" s="80" t="s">
        <v>227</v>
      </c>
      <c r="DD23" s="80" t="s">
        <v>227</v>
      </c>
      <c r="DE23" s="80" t="s">
        <v>227</v>
      </c>
      <c r="DF23" s="80" t="s">
        <v>227</v>
      </c>
      <c r="DG23" s="80" t="s">
        <v>227</v>
      </c>
      <c r="DH23" s="80" t="s">
        <v>227</v>
      </c>
      <c r="DI23" s="80" t="s">
        <v>227</v>
      </c>
      <c r="DJ23" s="80" t="s">
        <v>227</v>
      </c>
      <c r="DK23" s="80" t="s">
        <v>227</v>
      </c>
      <c r="DL23" s="80" t="s">
        <v>227</v>
      </c>
      <c r="DM23" s="80" t="s">
        <v>227</v>
      </c>
      <c r="DN23" s="80" t="s">
        <v>227</v>
      </c>
      <c r="DO23" s="80" t="s">
        <v>227</v>
      </c>
      <c r="DP23" s="80" t="s">
        <v>227</v>
      </c>
      <c r="DQ23" s="80" t="s">
        <v>227</v>
      </c>
      <c r="DR23" s="80" t="s">
        <v>227</v>
      </c>
      <c r="DS23" s="80" t="s">
        <v>227</v>
      </c>
      <c r="DT23" s="80" t="s">
        <v>227</v>
      </c>
      <c r="DU23" s="80" t="s">
        <v>227</v>
      </c>
      <c r="DV23" s="80" t="s">
        <v>227</v>
      </c>
      <c r="DW23" s="80" t="s">
        <v>227</v>
      </c>
      <c r="DX23" s="80" t="s">
        <v>227</v>
      </c>
      <c r="DY23" s="80" t="s">
        <v>227</v>
      </c>
      <c r="DZ23" s="80" t="s">
        <v>227</v>
      </c>
      <c r="EA23" s="80" t="s">
        <v>227</v>
      </c>
      <c r="EB23" s="80" t="s">
        <v>227</v>
      </c>
      <c r="EC23" s="80" t="s">
        <v>227</v>
      </c>
      <c r="ED23" s="80" t="s">
        <v>227</v>
      </c>
      <c r="EE23" s="80" t="s">
        <v>227</v>
      </c>
      <c r="EF23" s="80" t="s">
        <v>227</v>
      </c>
      <c r="EG23" s="80" t="s">
        <v>227</v>
      </c>
      <c r="EH23" s="80" t="s">
        <v>227</v>
      </c>
      <c r="EI23" s="78" t="s">
        <v>227</v>
      </c>
      <c r="EJ23" s="80" t="s">
        <v>227</v>
      </c>
      <c r="EK23" s="166" t="s">
        <v>227</v>
      </c>
      <c r="EL23" s="80" t="s">
        <v>227</v>
      </c>
      <c r="EM23" s="78" t="s">
        <v>227</v>
      </c>
      <c r="EN23" s="78" t="s">
        <v>227</v>
      </c>
      <c r="EO23" s="80" t="s">
        <v>227</v>
      </c>
      <c r="EP23" s="166" t="s">
        <v>227</v>
      </c>
      <c r="EQ23" s="80" t="s">
        <v>227</v>
      </c>
      <c r="ER23" s="80" t="s">
        <v>227</v>
      </c>
      <c r="ES23" s="166" t="s">
        <v>227</v>
      </c>
      <c r="ET23" s="80" t="s">
        <v>227</v>
      </c>
      <c r="EU23" s="80" t="s">
        <v>227</v>
      </c>
      <c r="EV23" s="166" t="s">
        <v>227</v>
      </c>
      <c r="EW23" s="80" t="s">
        <v>227</v>
      </c>
      <c r="EX23" s="80" t="s">
        <v>227</v>
      </c>
      <c r="EY23" s="166" t="s">
        <v>227</v>
      </c>
      <c r="EZ23" s="80" t="s">
        <v>227</v>
      </c>
      <c r="FA23" s="80" t="s">
        <v>227</v>
      </c>
      <c r="FB23" s="147" t="s">
        <v>227</v>
      </c>
      <c r="FC23" s="80" t="s">
        <v>227</v>
      </c>
      <c r="FD23" s="80" t="s">
        <v>227</v>
      </c>
      <c r="FE23" s="80" t="s">
        <v>227</v>
      </c>
      <c r="FF23" s="80" t="s">
        <v>227</v>
      </c>
      <c r="FG23" s="80" t="s">
        <v>227</v>
      </c>
      <c r="FH23" s="80" t="s">
        <v>227</v>
      </c>
      <c r="FI23" s="80" t="s">
        <v>227</v>
      </c>
      <c r="FJ23" s="80" t="s">
        <v>227</v>
      </c>
      <c r="FK23" s="80" t="s">
        <v>227</v>
      </c>
      <c r="FL23" s="80" t="s">
        <v>227</v>
      </c>
      <c r="FM23" s="80" t="s">
        <v>227</v>
      </c>
      <c r="FN23" s="80" t="s">
        <v>227</v>
      </c>
      <c r="FO23" s="80" t="s">
        <v>227</v>
      </c>
      <c r="FP23" s="80" t="s">
        <v>227</v>
      </c>
      <c r="FQ23" s="80" t="s">
        <v>227</v>
      </c>
      <c r="FR23" s="80" t="s">
        <v>227</v>
      </c>
      <c r="FS23" s="80" t="s">
        <v>227</v>
      </c>
      <c r="FT23" s="80" t="s">
        <v>227</v>
      </c>
      <c r="FU23" s="80" t="s">
        <v>227</v>
      </c>
      <c r="FV23" s="80" t="s">
        <v>227</v>
      </c>
      <c r="FW23" s="80" t="s">
        <v>227</v>
      </c>
      <c r="FX23" s="80" t="s">
        <v>227</v>
      </c>
      <c r="FY23" s="80" t="s">
        <v>227</v>
      </c>
      <c r="FZ23" s="80" t="s">
        <v>227</v>
      </c>
      <c r="GA23" s="80" t="s">
        <v>227</v>
      </c>
      <c r="GB23" s="80" t="s">
        <v>227</v>
      </c>
      <c r="GC23" s="80" t="s">
        <v>227</v>
      </c>
      <c r="GD23" s="80" t="s">
        <v>227</v>
      </c>
      <c r="GE23" s="80" t="s">
        <v>227</v>
      </c>
      <c r="GF23" s="167" t="s">
        <v>312</v>
      </c>
      <c r="GG23" s="78" t="s">
        <v>227</v>
      </c>
      <c r="GH23" s="74" t="s">
        <v>227</v>
      </c>
      <c r="GI23" s="80" t="s">
        <v>227</v>
      </c>
      <c r="GJ23" s="156">
        <v>46174</v>
      </c>
      <c r="GK23" s="156">
        <v>46174</v>
      </c>
      <c r="GL23" s="78" t="s">
        <v>227</v>
      </c>
      <c r="GM23" s="159" t="str">
        <f t="shared" si="7"/>
        <v>N/A</v>
      </c>
      <c r="GN23" s="159" t="str">
        <f t="shared" si="8"/>
        <v>N/A</v>
      </c>
      <c r="GO23" s="159">
        <f t="shared" si="9"/>
        <v>1.2666666666666666</v>
      </c>
      <c r="GP23" s="159" t="str">
        <f t="shared" si="10"/>
        <v>N/A</v>
      </c>
      <c r="GQ23" s="159" t="str">
        <f t="shared" si="23"/>
        <v>N/A</v>
      </c>
      <c r="GR23" s="159" t="str">
        <f t="shared" si="24"/>
        <v>N/A</v>
      </c>
      <c r="GS23" s="159" t="str">
        <f t="shared" si="11"/>
        <v>N/A</v>
      </c>
      <c r="GT23" s="159" t="str">
        <f t="shared" si="12"/>
        <v>N/A</v>
      </c>
      <c r="GU23" s="159" t="str">
        <f t="shared" si="13"/>
        <v>N/A</v>
      </c>
      <c r="GV23" s="159" t="str">
        <f t="shared" si="14"/>
        <v>N/A</v>
      </c>
      <c r="GW23" s="159">
        <f t="shared" si="15"/>
        <v>2.8666666666666667</v>
      </c>
      <c r="GX23" s="159">
        <f t="shared" si="16"/>
        <v>3.1</v>
      </c>
      <c r="GY23" s="159" t="str">
        <f t="shared" si="17"/>
        <v>N/A</v>
      </c>
      <c r="GZ23" s="159" t="str">
        <f t="shared" si="18"/>
        <v>N/A</v>
      </c>
      <c r="HA23" s="159" t="str">
        <f t="shared" si="19"/>
        <v>N/A</v>
      </c>
      <c r="HB23" s="159" t="str">
        <f t="shared" si="1"/>
        <v>N/A</v>
      </c>
      <c r="HC23" s="159" t="str">
        <f t="shared" si="20"/>
        <v>N/A</v>
      </c>
      <c r="HD23" s="159">
        <f t="shared" si="21"/>
        <v>65.099999999999994</v>
      </c>
      <c r="HE23" s="159">
        <f t="shared" si="22"/>
        <v>65.099999999999994</v>
      </c>
      <c r="HF23" s="160">
        <f t="shared" si="2"/>
        <v>65.099999999999994</v>
      </c>
      <c r="HG23" s="160" cm="1">
        <f t="array" ref="HG23">INDEX($HB23:$HD23,MATCH(TRUE,INDEX(ISNUMBER($HB23:$HD23),0),0))</f>
        <v>65.099999999999994</v>
      </c>
      <c r="HH23" s="161">
        <f t="shared" si="3"/>
        <v>0</v>
      </c>
      <c r="HI23" s="86">
        <f t="shared" si="4"/>
        <v>0</v>
      </c>
      <c r="HJ23" s="111">
        <f t="shared" si="5"/>
        <v>0</v>
      </c>
      <c r="HK23" s="205" t="str">
        <f t="shared" si="6"/>
        <v>0</v>
      </c>
    </row>
    <row r="24" spans="1:219" s="94" customFormat="1" ht="15" customHeight="1" x14ac:dyDescent="0.3">
      <c r="A24" s="175">
        <v>6101632164</v>
      </c>
      <c r="B24" s="176" t="s">
        <v>241</v>
      </c>
      <c r="C24" s="176" t="s">
        <v>221</v>
      </c>
      <c r="D24" s="176" t="s">
        <v>220</v>
      </c>
      <c r="E24" s="175" t="s">
        <v>383</v>
      </c>
      <c r="F24" s="175" t="s">
        <v>384</v>
      </c>
      <c r="G24" s="175" t="s">
        <v>385</v>
      </c>
      <c r="H24" s="177">
        <v>44278</v>
      </c>
      <c r="I24" s="175" t="s">
        <v>386</v>
      </c>
      <c r="J24" s="175" t="s">
        <v>226</v>
      </c>
      <c r="K24" s="177" t="s">
        <v>227</v>
      </c>
      <c r="L24" s="175" t="s">
        <v>227</v>
      </c>
      <c r="M24" s="175" t="s">
        <v>383</v>
      </c>
      <c r="N24" s="178" t="s">
        <v>387</v>
      </c>
      <c r="O24" s="175" t="s">
        <v>388</v>
      </c>
      <c r="P24" s="177">
        <v>44278</v>
      </c>
      <c r="Q24" s="176" t="s">
        <v>221</v>
      </c>
      <c r="R24" s="175" t="s">
        <v>227</v>
      </c>
      <c r="S24" s="175" t="s">
        <v>227</v>
      </c>
      <c r="T24" s="175" t="s">
        <v>227</v>
      </c>
      <c r="U24" s="175" t="s">
        <v>227</v>
      </c>
      <c r="V24" s="175" t="s">
        <v>227</v>
      </c>
      <c r="W24" s="175" t="s">
        <v>227</v>
      </c>
      <c r="X24" s="175" t="s">
        <v>227</v>
      </c>
      <c r="Y24" s="175" t="s">
        <v>227</v>
      </c>
      <c r="Z24" s="175" t="s">
        <v>227</v>
      </c>
      <c r="AA24" s="175" t="s">
        <v>227</v>
      </c>
      <c r="AB24" s="175" t="s">
        <v>227</v>
      </c>
      <c r="AC24" s="175" t="s">
        <v>227</v>
      </c>
      <c r="AD24" s="175" t="s">
        <v>227</v>
      </c>
      <c r="AE24" s="175" t="s">
        <v>227</v>
      </c>
      <c r="AF24" s="175" t="s">
        <v>227</v>
      </c>
      <c r="AG24" s="175" t="s">
        <v>227</v>
      </c>
      <c r="AH24" s="175" t="s">
        <v>227</v>
      </c>
      <c r="AI24" s="175" t="s">
        <v>227</v>
      </c>
      <c r="AJ24" s="175" t="s">
        <v>227</v>
      </c>
      <c r="AK24" s="175" t="s">
        <v>227</v>
      </c>
      <c r="AL24" s="175" t="s">
        <v>227</v>
      </c>
      <c r="AM24" s="175" t="s">
        <v>227</v>
      </c>
      <c r="AN24" s="175" t="s">
        <v>227</v>
      </c>
      <c r="AO24" s="175" t="s">
        <v>227</v>
      </c>
      <c r="AP24" s="175" t="s">
        <v>227</v>
      </c>
      <c r="AQ24" s="175" t="s">
        <v>228</v>
      </c>
      <c r="AR24" s="177">
        <v>16476</v>
      </c>
      <c r="AS24" s="177">
        <v>44239</v>
      </c>
      <c r="AT24" s="180">
        <f t="shared" si="0"/>
        <v>76</v>
      </c>
      <c r="AU24" s="181" t="s">
        <v>263</v>
      </c>
      <c r="AV24" s="176" t="s">
        <v>230</v>
      </c>
      <c r="AW24" s="176" t="s">
        <v>220</v>
      </c>
      <c r="AX24" s="175" t="s">
        <v>389</v>
      </c>
      <c r="AY24" s="175">
        <v>2</v>
      </c>
      <c r="AZ24" s="175" t="s">
        <v>232</v>
      </c>
      <c r="BA24" s="175">
        <f t="shared" si="45"/>
        <v>1</v>
      </c>
      <c r="BB24" s="175" t="s">
        <v>390</v>
      </c>
      <c r="BC24" s="175">
        <v>3</v>
      </c>
      <c r="BD24" s="176" t="s">
        <v>243</v>
      </c>
      <c r="BE24" s="175" t="s">
        <v>391</v>
      </c>
      <c r="BF24" s="176" t="s">
        <v>220</v>
      </c>
      <c r="BG24" s="182" t="s">
        <v>227</v>
      </c>
      <c r="BH24" s="183" t="s">
        <v>227</v>
      </c>
      <c r="BI24" s="175" t="s">
        <v>227</v>
      </c>
      <c r="BJ24" s="177" t="s">
        <v>227</v>
      </c>
      <c r="BK24" s="177" t="s">
        <v>227</v>
      </c>
      <c r="BL24" s="175" t="s">
        <v>227</v>
      </c>
      <c r="BM24" s="183" t="s">
        <v>227</v>
      </c>
      <c r="BN24" s="175" t="s">
        <v>227</v>
      </c>
      <c r="BO24" s="175" t="s">
        <v>227</v>
      </c>
      <c r="BP24" s="183" t="s">
        <v>227</v>
      </c>
      <c r="BQ24" s="175" t="s">
        <v>227</v>
      </c>
      <c r="BR24" s="175" t="s">
        <v>227</v>
      </c>
      <c r="BS24" s="175" t="s">
        <v>227</v>
      </c>
      <c r="BT24" s="175" t="s">
        <v>227</v>
      </c>
      <c r="BU24" s="175" t="s">
        <v>227</v>
      </c>
      <c r="BV24" s="175" t="s">
        <v>227</v>
      </c>
      <c r="BW24" s="175" t="s">
        <v>227</v>
      </c>
      <c r="BX24" s="175" t="s">
        <v>227</v>
      </c>
      <c r="BY24" s="175" t="s">
        <v>227</v>
      </c>
      <c r="BZ24" s="175" t="s">
        <v>227</v>
      </c>
      <c r="CA24" s="175" t="s">
        <v>227</v>
      </c>
      <c r="CB24" s="175" t="s">
        <v>227</v>
      </c>
      <c r="CC24" s="175" t="s">
        <v>227</v>
      </c>
      <c r="CD24" s="175" t="s">
        <v>227</v>
      </c>
      <c r="CE24" s="175" t="s">
        <v>227</v>
      </c>
      <c r="CF24" s="175" t="s">
        <v>227</v>
      </c>
      <c r="CG24" s="175" t="s">
        <v>227</v>
      </c>
      <c r="CH24" s="175" t="s">
        <v>227</v>
      </c>
      <c r="CI24" s="175" t="s">
        <v>227</v>
      </c>
      <c r="CJ24" s="175" t="s">
        <v>227</v>
      </c>
      <c r="CK24" s="175" t="s">
        <v>227</v>
      </c>
      <c r="CL24" s="175" t="s">
        <v>227</v>
      </c>
      <c r="CM24" s="175" t="s">
        <v>227</v>
      </c>
      <c r="CN24" s="183" t="s">
        <v>227</v>
      </c>
      <c r="CO24" s="175" t="s">
        <v>227</v>
      </c>
      <c r="CP24" s="177" t="s">
        <v>227</v>
      </c>
      <c r="CQ24" s="177" t="s">
        <v>227</v>
      </c>
      <c r="CR24" s="175" t="s">
        <v>227</v>
      </c>
      <c r="CS24" s="183" t="s">
        <v>227</v>
      </c>
      <c r="CT24" s="175" t="s">
        <v>227</v>
      </c>
      <c r="CU24" s="175" t="s">
        <v>227</v>
      </c>
      <c r="CV24" s="183" t="s">
        <v>227</v>
      </c>
      <c r="CW24" s="175" t="s">
        <v>227</v>
      </c>
      <c r="CX24" s="175" t="s">
        <v>227</v>
      </c>
      <c r="CY24" s="175" t="s">
        <v>227</v>
      </c>
      <c r="CZ24" s="175" t="s">
        <v>227</v>
      </c>
      <c r="DA24" s="175" t="s">
        <v>227</v>
      </c>
      <c r="DB24" s="175" t="s">
        <v>227</v>
      </c>
      <c r="DC24" s="175" t="s">
        <v>227</v>
      </c>
      <c r="DD24" s="175" t="s">
        <v>227</v>
      </c>
      <c r="DE24" s="175" t="s">
        <v>227</v>
      </c>
      <c r="DF24" s="175" t="s">
        <v>227</v>
      </c>
      <c r="DG24" s="175" t="s">
        <v>227</v>
      </c>
      <c r="DH24" s="175" t="s">
        <v>227</v>
      </c>
      <c r="DI24" s="175" t="s">
        <v>227</v>
      </c>
      <c r="DJ24" s="175" t="s">
        <v>227</v>
      </c>
      <c r="DK24" s="175" t="s">
        <v>227</v>
      </c>
      <c r="DL24" s="175" t="s">
        <v>227</v>
      </c>
      <c r="DM24" s="175" t="s">
        <v>227</v>
      </c>
      <c r="DN24" s="175" t="s">
        <v>227</v>
      </c>
      <c r="DO24" s="175" t="s">
        <v>227</v>
      </c>
      <c r="DP24" s="175" t="s">
        <v>227</v>
      </c>
      <c r="DQ24" s="175" t="s">
        <v>227</v>
      </c>
      <c r="DR24" s="175" t="s">
        <v>227</v>
      </c>
      <c r="DS24" s="175" t="s">
        <v>227</v>
      </c>
      <c r="DT24" s="175" t="s">
        <v>227</v>
      </c>
      <c r="DU24" s="175" t="s">
        <v>227</v>
      </c>
      <c r="DV24" s="175" t="s">
        <v>227</v>
      </c>
      <c r="DW24" s="175" t="s">
        <v>227</v>
      </c>
      <c r="DX24" s="175" t="s">
        <v>227</v>
      </c>
      <c r="DY24" s="175" t="s">
        <v>227</v>
      </c>
      <c r="DZ24" s="175" t="s">
        <v>227</v>
      </c>
      <c r="EA24" s="175" t="s">
        <v>227</v>
      </c>
      <c r="EB24" s="175" t="s">
        <v>227</v>
      </c>
      <c r="EC24" s="175" t="s">
        <v>227</v>
      </c>
      <c r="ED24" s="175" t="s">
        <v>227</v>
      </c>
      <c r="EE24" s="175" t="s">
        <v>227</v>
      </c>
      <c r="EF24" s="175" t="s">
        <v>227</v>
      </c>
      <c r="EG24" s="175" t="s">
        <v>227</v>
      </c>
      <c r="EH24" s="175" t="s">
        <v>227</v>
      </c>
      <c r="EI24" s="177">
        <v>44327</v>
      </c>
      <c r="EJ24" s="175" t="s">
        <v>392</v>
      </c>
      <c r="EK24" s="183" t="s">
        <v>249</v>
      </c>
      <c r="EL24" s="175" t="s">
        <v>287</v>
      </c>
      <c r="EM24" s="177">
        <v>44344</v>
      </c>
      <c r="EN24" s="177">
        <v>44454</v>
      </c>
      <c r="EO24" s="175" t="s">
        <v>277</v>
      </c>
      <c r="EP24" s="183" t="s">
        <v>275</v>
      </c>
      <c r="EQ24" s="175" t="s">
        <v>341</v>
      </c>
      <c r="ER24" s="175" t="s">
        <v>251</v>
      </c>
      <c r="ES24" s="183" t="s">
        <v>393</v>
      </c>
      <c r="ET24" s="175" t="s">
        <v>394</v>
      </c>
      <c r="EU24" s="175" t="s">
        <v>289</v>
      </c>
      <c r="EV24" s="183" t="s">
        <v>227</v>
      </c>
      <c r="EW24" s="175" t="s">
        <v>227</v>
      </c>
      <c r="EX24" s="175" t="s">
        <v>227</v>
      </c>
      <c r="EY24" s="183" t="s">
        <v>227</v>
      </c>
      <c r="EZ24" s="175" t="s">
        <v>227</v>
      </c>
      <c r="FA24" s="175" t="s">
        <v>227</v>
      </c>
      <c r="FB24" s="147" t="s">
        <v>227</v>
      </c>
      <c r="FC24" s="175" t="s">
        <v>227</v>
      </c>
      <c r="FD24" s="175" t="s">
        <v>227</v>
      </c>
      <c r="FE24" s="175" t="s">
        <v>227</v>
      </c>
      <c r="FF24" s="175" t="s">
        <v>227</v>
      </c>
      <c r="FG24" s="175" t="s">
        <v>227</v>
      </c>
      <c r="FH24" s="175" t="s">
        <v>227</v>
      </c>
      <c r="FI24" s="175" t="s">
        <v>227</v>
      </c>
      <c r="FJ24" s="175" t="s">
        <v>227</v>
      </c>
      <c r="FK24" s="175" t="s">
        <v>227</v>
      </c>
      <c r="FL24" s="175" t="s">
        <v>227</v>
      </c>
      <c r="FM24" s="175" t="s">
        <v>227</v>
      </c>
      <c r="FN24" s="175" t="s">
        <v>227</v>
      </c>
      <c r="FO24" s="175" t="s">
        <v>227</v>
      </c>
      <c r="FP24" s="175" t="s">
        <v>227</v>
      </c>
      <c r="FQ24" s="175" t="s">
        <v>227</v>
      </c>
      <c r="FR24" s="175" t="s">
        <v>227</v>
      </c>
      <c r="FS24" s="175" t="s">
        <v>227</v>
      </c>
      <c r="FT24" s="175" t="s">
        <v>227</v>
      </c>
      <c r="FU24" s="175" t="s">
        <v>227</v>
      </c>
      <c r="FV24" s="175" t="s">
        <v>227</v>
      </c>
      <c r="FW24" s="175" t="s">
        <v>227</v>
      </c>
      <c r="FX24" s="175" t="s">
        <v>227</v>
      </c>
      <c r="FY24" s="175" t="s">
        <v>227</v>
      </c>
      <c r="FZ24" s="175" t="s">
        <v>227</v>
      </c>
      <c r="GA24" s="175" t="s">
        <v>227</v>
      </c>
      <c r="GB24" s="175" t="s">
        <v>227</v>
      </c>
      <c r="GC24" s="175" t="s">
        <v>227</v>
      </c>
      <c r="GD24" s="175" t="s">
        <v>227</v>
      </c>
      <c r="GE24" s="175" t="s">
        <v>227</v>
      </c>
      <c r="GF24" s="184" t="s">
        <v>236</v>
      </c>
      <c r="GG24" s="177">
        <v>45439</v>
      </c>
      <c r="GH24" s="176" t="s">
        <v>241</v>
      </c>
      <c r="GI24" s="175" t="s">
        <v>231</v>
      </c>
      <c r="GJ24" s="177">
        <v>45358</v>
      </c>
      <c r="GK24" s="177" t="s">
        <v>227</v>
      </c>
      <c r="GL24" s="177" t="s">
        <v>227</v>
      </c>
      <c r="GM24" s="185" t="str">
        <f t="shared" si="7"/>
        <v>N/A</v>
      </c>
      <c r="GN24" s="185" t="str">
        <f t="shared" si="8"/>
        <v>N/A</v>
      </c>
      <c r="GO24" s="185">
        <f t="shared" si="9"/>
        <v>1.3</v>
      </c>
      <c r="GP24" s="185" t="str">
        <f t="shared" si="10"/>
        <v>N/A</v>
      </c>
      <c r="GQ24" s="185">
        <f t="shared" si="23"/>
        <v>1.3</v>
      </c>
      <c r="GR24" s="185" t="str">
        <f t="shared" si="24"/>
        <v>N/A</v>
      </c>
      <c r="GS24" s="185" t="str">
        <f t="shared" si="11"/>
        <v>N/A</v>
      </c>
      <c r="GT24" s="185" t="str">
        <f t="shared" si="12"/>
        <v>N/A</v>
      </c>
      <c r="GU24" s="185" t="str">
        <f t="shared" si="13"/>
        <v>N/A</v>
      </c>
      <c r="GV24" s="185" t="str">
        <f t="shared" si="14"/>
        <v>N/A</v>
      </c>
      <c r="GW24" s="185" t="str">
        <f t="shared" si="15"/>
        <v>N/A</v>
      </c>
      <c r="GX24" s="185" t="str">
        <f t="shared" si="16"/>
        <v>N/A</v>
      </c>
      <c r="GY24" s="185">
        <f t="shared" si="17"/>
        <v>2.9333333333333331</v>
      </c>
      <c r="GZ24" s="185">
        <f t="shared" si="18"/>
        <v>3.5</v>
      </c>
      <c r="HA24" s="185">
        <f t="shared" si="19"/>
        <v>7.166666666666667</v>
      </c>
      <c r="HB24" s="185">
        <f t="shared" si="1"/>
        <v>2.9333333333333331</v>
      </c>
      <c r="HC24" s="185">
        <f t="shared" si="20"/>
        <v>40</v>
      </c>
      <c r="HD24" s="185">
        <f t="shared" si="21"/>
        <v>37.299999999999997</v>
      </c>
      <c r="HE24" s="185" t="str">
        <f t="shared" si="22"/>
        <v>N/A</v>
      </c>
      <c r="HF24" s="186">
        <f t="shared" si="2"/>
        <v>40</v>
      </c>
      <c r="HG24" s="186" cm="1">
        <f t="array" ref="HG24">INDEX($HB24:$HD24,MATCH(TRUE,INDEX(ISNUMBER($HB24:$HD24),0),0))</f>
        <v>2.9333333333333331</v>
      </c>
      <c r="HH24" s="187">
        <f t="shared" si="3"/>
        <v>1</v>
      </c>
      <c r="HI24" s="188">
        <f t="shared" si="4"/>
        <v>1</v>
      </c>
      <c r="HJ24" s="112">
        <f t="shared" si="5"/>
        <v>1</v>
      </c>
      <c r="HK24" s="207" t="str">
        <f t="shared" si="6"/>
        <v>1</v>
      </c>
    </row>
    <row r="25" spans="1:219" ht="15" customHeight="1" x14ac:dyDescent="0.3">
      <c r="A25" s="80">
        <v>4607765821</v>
      </c>
      <c r="B25" s="74" t="s">
        <v>220</v>
      </c>
      <c r="C25" s="74" t="s">
        <v>221</v>
      </c>
      <c r="D25" s="74" t="s">
        <v>220</v>
      </c>
      <c r="E25" s="80" t="s">
        <v>395</v>
      </c>
      <c r="F25" s="80" t="s">
        <v>224</v>
      </c>
      <c r="G25" s="80" t="s">
        <v>344</v>
      </c>
      <c r="H25" s="78">
        <v>44280</v>
      </c>
      <c r="I25" s="157" t="s">
        <v>369</v>
      </c>
      <c r="J25" s="80" t="s">
        <v>226</v>
      </c>
      <c r="K25" s="78" t="s">
        <v>227</v>
      </c>
      <c r="L25" s="80" t="s">
        <v>227</v>
      </c>
      <c r="M25" s="80" t="s">
        <v>227</v>
      </c>
      <c r="N25" s="80" t="s">
        <v>227</v>
      </c>
      <c r="O25" s="80" t="s">
        <v>227</v>
      </c>
      <c r="P25" s="80" t="s">
        <v>227</v>
      </c>
      <c r="Q25" s="80" t="s">
        <v>227</v>
      </c>
      <c r="R25" s="80" t="s">
        <v>227</v>
      </c>
      <c r="S25" s="80" t="s">
        <v>227</v>
      </c>
      <c r="T25" s="80" t="s">
        <v>227</v>
      </c>
      <c r="U25" s="80" t="s">
        <v>227</v>
      </c>
      <c r="V25" s="80" t="s">
        <v>227</v>
      </c>
      <c r="W25" s="80" t="s">
        <v>227</v>
      </c>
      <c r="X25" s="80" t="s">
        <v>227</v>
      </c>
      <c r="Y25" s="80" t="s">
        <v>227</v>
      </c>
      <c r="Z25" s="80" t="s">
        <v>227</v>
      </c>
      <c r="AA25" s="80" t="s">
        <v>227</v>
      </c>
      <c r="AB25" s="80" t="s">
        <v>227</v>
      </c>
      <c r="AC25" s="80" t="s">
        <v>227</v>
      </c>
      <c r="AD25" s="80" t="s">
        <v>227</v>
      </c>
      <c r="AE25" s="80" t="s">
        <v>227</v>
      </c>
      <c r="AF25" s="80" t="s">
        <v>227</v>
      </c>
      <c r="AG25" s="80" t="s">
        <v>227</v>
      </c>
      <c r="AH25" s="80" t="s">
        <v>227</v>
      </c>
      <c r="AI25" s="80" t="s">
        <v>227</v>
      </c>
      <c r="AJ25" s="80" t="s">
        <v>227</v>
      </c>
      <c r="AK25" s="80" t="s">
        <v>227</v>
      </c>
      <c r="AL25" s="80" t="s">
        <v>227</v>
      </c>
      <c r="AM25" s="80" t="s">
        <v>227</v>
      </c>
      <c r="AN25" s="80" t="s">
        <v>227</v>
      </c>
      <c r="AO25" s="80" t="s">
        <v>227</v>
      </c>
      <c r="AP25" s="80" t="s">
        <v>227</v>
      </c>
      <c r="AQ25" s="80" t="s">
        <v>228</v>
      </c>
      <c r="AR25" s="78">
        <v>20325</v>
      </c>
      <c r="AS25" s="78">
        <v>44237</v>
      </c>
      <c r="AT25" s="148">
        <f t="shared" si="0"/>
        <v>65</v>
      </c>
      <c r="AU25" s="164" t="s">
        <v>229</v>
      </c>
      <c r="AV25" s="74" t="s">
        <v>230</v>
      </c>
      <c r="AW25" s="74" t="s">
        <v>241</v>
      </c>
      <c r="AX25" s="80" t="s">
        <v>264</v>
      </c>
      <c r="AY25" s="80" t="s">
        <v>232</v>
      </c>
      <c r="AZ25" s="80" t="s">
        <v>232</v>
      </c>
      <c r="BA25" s="80">
        <f t="shared" si="45"/>
        <v>0</v>
      </c>
      <c r="BB25" s="80" t="s">
        <v>396</v>
      </c>
      <c r="BC25" s="80">
        <v>2</v>
      </c>
      <c r="BD25" s="74" t="s">
        <v>243</v>
      </c>
      <c r="BE25" s="80" t="s">
        <v>339</v>
      </c>
      <c r="BF25" s="74" t="s">
        <v>220</v>
      </c>
      <c r="BG25" s="165" t="s">
        <v>227</v>
      </c>
      <c r="BH25" s="166" t="s">
        <v>227</v>
      </c>
      <c r="BI25" s="80" t="s">
        <v>227</v>
      </c>
      <c r="BJ25" s="78" t="s">
        <v>227</v>
      </c>
      <c r="BK25" s="78" t="s">
        <v>227</v>
      </c>
      <c r="BL25" s="80" t="s">
        <v>227</v>
      </c>
      <c r="BM25" s="166" t="s">
        <v>227</v>
      </c>
      <c r="BN25" s="80" t="s">
        <v>227</v>
      </c>
      <c r="BO25" s="80" t="s">
        <v>227</v>
      </c>
      <c r="BP25" s="166" t="s">
        <v>227</v>
      </c>
      <c r="BQ25" s="80" t="s">
        <v>227</v>
      </c>
      <c r="BR25" s="80" t="s">
        <v>227</v>
      </c>
      <c r="BS25" s="80" t="s">
        <v>227</v>
      </c>
      <c r="BT25" s="80" t="s">
        <v>227</v>
      </c>
      <c r="BU25" s="80" t="s">
        <v>227</v>
      </c>
      <c r="BV25" s="80" t="s">
        <v>227</v>
      </c>
      <c r="BW25" s="80" t="s">
        <v>227</v>
      </c>
      <c r="BX25" s="80" t="s">
        <v>227</v>
      </c>
      <c r="BY25" s="80" t="s">
        <v>227</v>
      </c>
      <c r="BZ25" s="80" t="s">
        <v>227</v>
      </c>
      <c r="CA25" s="80" t="s">
        <v>227</v>
      </c>
      <c r="CB25" s="80" t="s">
        <v>227</v>
      </c>
      <c r="CC25" s="80" t="s">
        <v>227</v>
      </c>
      <c r="CD25" s="80" t="s">
        <v>227</v>
      </c>
      <c r="CE25" s="80" t="s">
        <v>227</v>
      </c>
      <c r="CF25" s="80" t="s">
        <v>227</v>
      </c>
      <c r="CG25" s="80" t="s">
        <v>227</v>
      </c>
      <c r="CH25" s="80" t="s">
        <v>227</v>
      </c>
      <c r="CI25" s="80" t="s">
        <v>227</v>
      </c>
      <c r="CJ25" s="80" t="s">
        <v>227</v>
      </c>
      <c r="CK25" s="80" t="s">
        <v>227</v>
      </c>
      <c r="CL25" s="80" t="s">
        <v>227</v>
      </c>
      <c r="CM25" s="80" t="s">
        <v>227</v>
      </c>
      <c r="CN25" s="166" t="s">
        <v>227</v>
      </c>
      <c r="CO25" s="80" t="s">
        <v>227</v>
      </c>
      <c r="CP25" s="78" t="s">
        <v>227</v>
      </c>
      <c r="CQ25" s="78" t="s">
        <v>227</v>
      </c>
      <c r="CR25" s="80" t="s">
        <v>227</v>
      </c>
      <c r="CS25" s="166" t="s">
        <v>227</v>
      </c>
      <c r="CT25" s="80" t="s">
        <v>227</v>
      </c>
      <c r="CU25" s="80" t="s">
        <v>227</v>
      </c>
      <c r="CV25" s="166" t="s">
        <v>227</v>
      </c>
      <c r="CW25" s="80" t="s">
        <v>227</v>
      </c>
      <c r="CX25" s="80" t="s">
        <v>227</v>
      </c>
      <c r="CY25" s="80" t="s">
        <v>227</v>
      </c>
      <c r="CZ25" s="80" t="s">
        <v>227</v>
      </c>
      <c r="DA25" s="80" t="s">
        <v>227</v>
      </c>
      <c r="DB25" s="80" t="s">
        <v>227</v>
      </c>
      <c r="DC25" s="80" t="s">
        <v>227</v>
      </c>
      <c r="DD25" s="80" t="s">
        <v>227</v>
      </c>
      <c r="DE25" s="80" t="s">
        <v>227</v>
      </c>
      <c r="DF25" s="80" t="s">
        <v>227</v>
      </c>
      <c r="DG25" s="80" t="s">
        <v>227</v>
      </c>
      <c r="DH25" s="80" t="s">
        <v>227</v>
      </c>
      <c r="DI25" s="80" t="s">
        <v>227</v>
      </c>
      <c r="DJ25" s="80" t="s">
        <v>227</v>
      </c>
      <c r="DK25" s="80" t="s">
        <v>227</v>
      </c>
      <c r="DL25" s="80" t="s">
        <v>227</v>
      </c>
      <c r="DM25" s="80" t="s">
        <v>227</v>
      </c>
      <c r="DN25" s="80" t="s">
        <v>227</v>
      </c>
      <c r="DO25" s="80" t="s">
        <v>227</v>
      </c>
      <c r="DP25" s="80" t="s">
        <v>227</v>
      </c>
      <c r="DQ25" s="80" t="s">
        <v>227</v>
      </c>
      <c r="DR25" s="80" t="s">
        <v>227</v>
      </c>
      <c r="DS25" s="80" t="s">
        <v>227</v>
      </c>
      <c r="DT25" s="80" t="s">
        <v>227</v>
      </c>
      <c r="DU25" s="80" t="s">
        <v>227</v>
      </c>
      <c r="DV25" s="80" t="s">
        <v>227</v>
      </c>
      <c r="DW25" s="80" t="s">
        <v>227</v>
      </c>
      <c r="DX25" s="80" t="s">
        <v>227</v>
      </c>
      <c r="DY25" s="80" t="s">
        <v>227</v>
      </c>
      <c r="DZ25" s="80" t="s">
        <v>227</v>
      </c>
      <c r="EA25" s="80" t="s">
        <v>227</v>
      </c>
      <c r="EB25" s="80" t="s">
        <v>227</v>
      </c>
      <c r="EC25" s="80" t="s">
        <v>227</v>
      </c>
      <c r="ED25" s="80" t="s">
        <v>227</v>
      </c>
      <c r="EE25" s="80" t="s">
        <v>227</v>
      </c>
      <c r="EF25" s="80" t="s">
        <v>227</v>
      </c>
      <c r="EG25" s="80" t="s">
        <v>227</v>
      </c>
      <c r="EH25" s="80" t="s">
        <v>227</v>
      </c>
      <c r="EI25" s="78" t="s">
        <v>227</v>
      </c>
      <c r="EJ25" s="80" t="s">
        <v>227</v>
      </c>
      <c r="EK25" s="166" t="s">
        <v>227</v>
      </c>
      <c r="EL25" s="80" t="s">
        <v>227</v>
      </c>
      <c r="EM25" s="78" t="s">
        <v>227</v>
      </c>
      <c r="EN25" s="78" t="s">
        <v>227</v>
      </c>
      <c r="EO25" s="80" t="s">
        <v>227</v>
      </c>
      <c r="EP25" s="166" t="s">
        <v>227</v>
      </c>
      <c r="EQ25" s="80" t="s">
        <v>227</v>
      </c>
      <c r="ER25" s="80" t="s">
        <v>227</v>
      </c>
      <c r="ES25" s="166" t="s">
        <v>227</v>
      </c>
      <c r="ET25" s="80" t="s">
        <v>227</v>
      </c>
      <c r="EU25" s="80" t="s">
        <v>227</v>
      </c>
      <c r="EV25" s="166" t="s">
        <v>227</v>
      </c>
      <c r="EW25" s="80" t="s">
        <v>227</v>
      </c>
      <c r="EX25" s="80" t="s">
        <v>227</v>
      </c>
      <c r="EY25" s="166" t="s">
        <v>227</v>
      </c>
      <c r="EZ25" s="80" t="s">
        <v>227</v>
      </c>
      <c r="FA25" s="80" t="s">
        <v>227</v>
      </c>
      <c r="FB25" s="147" t="s">
        <v>227</v>
      </c>
      <c r="FC25" s="80" t="s">
        <v>227</v>
      </c>
      <c r="FD25" s="80" t="s">
        <v>227</v>
      </c>
      <c r="FE25" s="80" t="s">
        <v>227</v>
      </c>
      <c r="FF25" s="80" t="s">
        <v>227</v>
      </c>
      <c r="FG25" s="80" t="s">
        <v>227</v>
      </c>
      <c r="FH25" s="80" t="s">
        <v>227</v>
      </c>
      <c r="FI25" s="80" t="s">
        <v>227</v>
      </c>
      <c r="FJ25" s="80" t="s">
        <v>227</v>
      </c>
      <c r="FK25" s="80" t="s">
        <v>227</v>
      </c>
      <c r="FL25" s="80" t="s">
        <v>227</v>
      </c>
      <c r="FM25" s="80" t="s">
        <v>227</v>
      </c>
      <c r="FN25" s="80" t="s">
        <v>227</v>
      </c>
      <c r="FO25" s="80" t="s">
        <v>227</v>
      </c>
      <c r="FP25" s="80" t="s">
        <v>227</v>
      </c>
      <c r="FQ25" s="80" t="s">
        <v>227</v>
      </c>
      <c r="FR25" s="80" t="s">
        <v>227</v>
      </c>
      <c r="FS25" s="80" t="s">
        <v>227</v>
      </c>
      <c r="FT25" s="80" t="s">
        <v>227</v>
      </c>
      <c r="FU25" s="80" t="s">
        <v>227</v>
      </c>
      <c r="FV25" s="80" t="s">
        <v>227</v>
      </c>
      <c r="FW25" s="80" t="s">
        <v>227</v>
      </c>
      <c r="FX25" s="80" t="s">
        <v>227</v>
      </c>
      <c r="FY25" s="80" t="s">
        <v>227</v>
      </c>
      <c r="FZ25" s="80" t="s">
        <v>227</v>
      </c>
      <c r="GA25" s="80" t="s">
        <v>227</v>
      </c>
      <c r="GB25" s="80" t="s">
        <v>227</v>
      </c>
      <c r="GC25" s="80" t="s">
        <v>227</v>
      </c>
      <c r="GD25" s="80" t="s">
        <v>227</v>
      </c>
      <c r="GE25" s="80" t="s">
        <v>227</v>
      </c>
      <c r="GF25" s="167" t="s">
        <v>312</v>
      </c>
      <c r="GG25" s="78" t="s">
        <v>227</v>
      </c>
      <c r="GH25" s="74" t="s">
        <v>227</v>
      </c>
      <c r="GI25" s="80" t="s">
        <v>227</v>
      </c>
      <c r="GJ25" s="78">
        <v>44792</v>
      </c>
      <c r="GK25" s="156">
        <v>46135</v>
      </c>
      <c r="GL25" s="78" t="s">
        <v>227</v>
      </c>
      <c r="GM25" s="159" t="str">
        <f t="shared" si="7"/>
        <v>N/A</v>
      </c>
      <c r="GN25" s="159" t="str">
        <f t="shared" si="8"/>
        <v>N/A</v>
      </c>
      <c r="GO25" s="159">
        <f t="shared" si="9"/>
        <v>1.4333333333333333</v>
      </c>
      <c r="GP25" s="159" t="str">
        <f t="shared" si="10"/>
        <v>N/A</v>
      </c>
      <c r="GQ25" s="159" t="str">
        <f t="shared" si="23"/>
        <v>N/A</v>
      </c>
      <c r="GR25" s="159" t="str">
        <f t="shared" si="24"/>
        <v>N/A</v>
      </c>
      <c r="GS25" s="159" t="str">
        <f t="shared" si="11"/>
        <v>N/A</v>
      </c>
      <c r="GT25" s="159" t="str">
        <f t="shared" si="12"/>
        <v>N/A</v>
      </c>
      <c r="GU25" s="159" t="str">
        <f t="shared" si="13"/>
        <v>N/A</v>
      </c>
      <c r="GV25" s="159" t="str">
        <f t="shared" si="14"/>
        <v>N/A</v>
      </c>
      <c r="GW25" s="159" t="str">
        <f t="shared" si="15"/>
        <v>N/A</v>
      </c>
      <c r="GX25" s="159" t="str">
        <f t="shared" si="16"/>
        <v>N/A</v>
      </c>
      <c r="GY25" s="159" t="str">
        <f t="shared" si="17"/>
        <v>N/A</v>
      </c>
      <c r="GZ25" s="159" t="str">
        <f t="shared" si="18"/>
        <v>N/A</v>
      </c>
      <c r="HA25" s="159" t="str">
        <f t="shared" si="19"/>
        <v>N/A</v>
      </c>
      <c r="HB25" s="159" t="str">
        <f t="shared" si="1"/>
        <v>N/A</v>
      </c>
      <c r="HC25" s="159" t="str">
        <f t="shared" si="20"/>
        <v>N/A</v>
      </c>
      <c r="HD25" s="159">
        <f t="shared" si="21"/>
        <v>18.5</v>
      </c>
      <c r="HE25" s="159">
        <f t="shared" si="22"/>
        <v>63.266666666666666</v>
      </c>
      <c r="HF25" s="160">
        <f t="shared" si="2"/>
        <v>63.266666666666666</v>
      </c>
      <c r="HG25" s="160" cm="1">
        <f t="array" ref="HG25">INDEX($HB25:$HD25,MATCH(TRUE,INDEX(ISNUMBER($HB25:$HD25),0),0))</f>
        <v>18.5</v>
      </c>
      <c r="HH25" s="161">
        <f t="shared" si="3"/>
        <v>0</v>
      </c>
      <c r="HI25" s="86">
        <f t="shared" si="4"/>
        <v>0</v>
      </c>
      <c r="HJ25" s="111">
        <f t="shared" si="5"/>
        <v>0</v>
      </c>
      <c r="HK25" s="205" t="str">
        <f t="shared" si="6"/>
        <v>0</v>
      </c>
    </row>
    <row r="26" spans="1:219" ht="15" customHeight="1" x14ac:dyDescent="0.3">
      <c r="A26" s="80">
        <v>4963025051</v>
      </c>
      <c r="B26" s="74" t="s">
        <v>220</v>
      </c>
      <c r="C26" s="74" t="s">
        <v>221</v>
      </c>
      <c r="D26" s="74" t="s">
        <v>220</v>
      </c>
      <c r="E26" s="80" t="s">
        <v>397</v>
      </c>
      <c r="F26" s="80" t="s">
        <v>385</v>
      </c>
      <c r="G26" s="80" t="s">
        <v>344</v>
      </c>
      <c r="H26" s="78">
        <v>44284</v>
      </c>
      <c r="I26" s="80" t="s">
        <v>398</v>
      </c>
      <c r="J26" s="80" t="s">
        <v>226</v>
      </c>
      <c r="K26" s="78" t="s">
        <v>227</v>
      </c>
      <c r="L26" s="80" t="s">
        <v>227</v>
      </c>
      <c r="M26" s="80" t="s">
        <v>227</v>
      </c>
      <c r="N26" s="80" t="s">
        <v>227</v>
      </c>
      <c r="O26" s="80" t="s">
        <v>227</v>
      </c>
      <c r="P26" s="80" t="s">
        <v>227</v>
      </c>
      <c r="Q26" s="80" t="s">
        <v>227</v>
      </c>
      <c r="R26" s="80" t="s">
        <v>227</v>
      </c>
      <c r="S26" s="80" t="s">
        <v>227</v>
      </c>
      <c r="T26" s="80" t="s">
        <v>227</v>
      </c>
      <c r="U26" s="80" t="s">
        <v>227</v>
      </c>
      <c r="V26" s="80" t="s">
        <v>227</v>
      </c>
      <c r="W26" s="80" t="s">
        <v>227</v>
      </c>
      <c r="X26" s="80" t="s">
        <v>227</v>
      </c>
      <c r="Y26" s="80" t="s">
        <v>227</v>
      </c>
      <c r="Z26" s="80" t="s">
        <v>227</v>
      </c>
      <c r="AA26" s="80" t="s">
        <v>227</v>
      </c>
      <c r="AB26" s="80" t="s">
        <v>227</v>
      </c>
      <c r="AC26" s="80" t="s">
        <v>227</v>
      </c>
      <c r="AD26" s="80" t="s">
        <v>227</v>
      </c>
      <c r="AE26" s="80" t="s">
        <v>227</v>
      </c>
      <c r="AF26" s="80" t="s">
        <v>227</v>
      </c>
      <c r="AG26" s="80" t="s">
        <v>227</v>
      </c>
      <c r="AH26" s="80" t="s">
        <v>227</v>
      </c>
      <c r="AI26" s="80" t="s">
        <v>227</v>
      </c>
      <c r="AJ26" s="80" t="s">
        <v>227</v>
      </c>
      <c r="AK26" s="80" t="s">
        <v>227</v>
      </c>
      <c r="AL26" s="80" t="s">
        <v>227</v>
      </c>
      <c r="AM26" s="80" t="s">
        <v>227</v>
      </c>
      <c r="AN26" s="80" t="s">
        <v>227</v>
      </c>
      <c r="AO26" s="80" t="s">
        <v>227</v>
      </c>
      <c r="AP26" s="80" t="s">
        <v>227</v>
      </c>
      <c r="AQ26" s="80" t="s">
        <v>228</v>
      </c>
      <c r="AR26" s="78">
        <v>14448</v>
      </c>
      <c r="AS26" s="78">
        <v>44203</v>
      </c>
      <c r="AT26" s="148">
        <f t="shared" si="0"/>
        <v>81</v>
      </c>
      <c r="AU26" s="164" t="s">
        <v>229</v>
      </c>
      <c r="AV26" s="74" t="s">
        <v>230</v>
      </c>
      <c r="AW26" s="74" t="s">
        <v>241</v>
      </c>
      <c r="AX26" s="80">
        <v>4</v>
      </c>
      <c r="AY26" s="80" t="s">
        <v>232</v>
      </c>
      <c r="AZ26" s="80" t="s">
        <v>399</v>
      </c>
      <c r="BA26" s="80">
        <f t="shared" si="45"/>
        <v>1</v>
      </c>
      <c r="BB26" s="80" t="s">
        <v>400</v>
      </c>
      <c r="BC26" s="80">
        <v>2</v>
      </c>
      <c r="BD26" s="74" t="s">
        <v>243</v>
      </c>
      <c r="BE26" s="80" t="s">
        <v>401</v>
      </c>
      <c r="BF26" s="74" t="s">
        <v>220</v>
      </c>
      <c r="BG26" s="165" t="s">
        <v>227</v>
      </c>
      <c r="BH26" s="166" t="s">
        <v>227</v>
      </c>
      <c r="BI26" s="80" t="s">
        <v>227</v>
      </c>
      <c r="BJ26" s="78" t="s">
        <v>227</v>
      </c>
      <c r="BK26" s="78" t="s">
        <v>227</v>
      </c>
      <c r="BL26" s="80" t="s">
        <v>227</v>
      </c>
      <c r="BM26" s="166" t="s">
        <v>227</v>
      </c>
      <c r="BN26" s="80" t="s">
        <v>227</v>
      </c>
      <c r="BO26" s="80" t="s">
        <v>227</v>
      </c>
      <c r="BP26" s="166" t="s">
        <v>227</v>
      </c>
      <c r="BQ26" s="80" t="s">
        <v>227</v>
      </c>
      <c r="BR26" s="80" t="s">
        <v>227</v>
      </c>
      <c r="BS26" s="80" t="s">
        <v>227</v>
      </c>
      <c r="BT26" s="80" t="s">
        <v>227</v>
      </c>
      <c r="BU26" s="80" t="s">
        <v>227</v>
      </c>
      <c r="BV26" s="80" t="s">
        <v>227</v>
      </c>
      <c r="BW26" s="80" t="s">
        <v>227</v>
      </c>
      <c r="BX26" s="80" t="s">
        <v>227</v>
      </c>
      <c r="BY26" s="80" t="s">
        <v>227</v>
      </c>
      <c r="BZ26" s="80" t="s">
        <v>227</v>
      </c>
      <c r="CA26" s="80" t="s">
        <v>227</v>
      </c>
      <c r="CB26" s="80" t="s">
        <v>227</v>
      </c>
      <c r="CC26" s="80" t="s">
        <v>227</v>
      </c>
      <c r="CD26" s="80" t="s">
        <v>227</v>
      </c>
      <c r="CE26" s="80" t="s">
        <v>227</v>
      </c>
      <c r="CF26" s="80" t="s">
        <v>227</v>
      </c>
      <c r="CG26" s="80" t="s">
        <v>227</v>
      </c>
      <c r="CH26" s="80" t="s">
        <v>227</v>
      </c>
      <c r="CI26" s="80" t="s">
        <v>227</v>
      </c>
      <c r="CJ26" s="80" t="s">
        <v>227</v>
      </c>
      <c r="CK26" s="80" t="s">
        <v>227</v>
      </c>
      <c r="CL26" s="80" t="s">
        <v>227</v>
      </c>
      <c r="CM26" s="80" t="s">
        <v>227</v>
      </c>
      <c r="CN26" s="166" t="s">
        <v>227</v>
      </c>
      <c r="CO26" s="80" t="s">
        <v>227</v>
      </c>
      <c r="CP26" s="78" t="s">
        <v>227</v>
      </c>
      <c r="CQ26" s="78" t="s">
        <v>227</v>
      </c>
      <c r="CR26" s="80" t="s">
        <v>227</v>
      </c>
      <c r="CS26" s="166" t="s">
        <v>227</v>
      </c>
      <c r="CT26" s="80" t="s">
        <v>227</v>
      </c>
      <c r="CU26" s="80" t="s">
        <v>227</v>
      </c>
      <c r="CV26" s="166" t="s">
        <v>227</v>
      </c>
      <c r="CW26" s="80" t="s">
        <v>227</v>
      </c>
      <c r="CX26" s="80" t="s">
        <v>227</v>
      </c>
      <c r="CY26" s="80" t="s">
        <v>227</v>
      </c>
      <c r="CZ26" s="80" t="s">
        <v>227</v>
      </c>
      <c r="DA26" s="80" t="s">
        <v>227</v>
      </c>
      <c r="DB26" s="80" t="s">
        <v>227</v>
      </c>
      <c r="DC26" s="80" t="s">
        <v>227</v>
      </c>
      <c r="DD26" s="80" t="s">
        <v>227</v>
      </c>
      <c r="DE26" s="80" t="s">
        <v>227</v>
      </c>
      <c r="DF26" s="80" t="s">
        <v>227</v>
      </c>
      <c r="DG26" s="80" t="s">
        <v>227</v>
      </c>
      <c r="DH26" s="80" t="s">
        <v>227</v>
      </c>
      <c r="DI26" s="80" t="s">
        <v>227</v>
      </c>
      <c r="DJ26" s="80" t="s">
        <v>227</v>
      </c>
      <c r="DK26" s="80" t="s">
        <v>227</v>
      </c>
      <c r="DL26" s="80" t="s">
        <v>227</v>
      </c>
      <c r="DM26" s="80" t="s">
        <v>227</v>
      </c>
      <c r="DN26" s="80" t="s">
        <v>227</v>
      </c>
      <c r="DO26" s="80" t="s">
        <v>227</v>
      </c>
      <c r="DP26" s="80" t="s">
        <v>227</v>
      </c>
      <c r="DQ26" s="80" t="s">
        <v>227</v>
      </c>
      <c r="DR26" s="80" t="s">
        <v>227</v>
      </c>
      <c r="DS26" s="80" t="s">
        <v>227</v>
      </c>
      <c r="DT26" s="80" t="s">
        <v>227</v>
      </c>
      <c r="DU26" s="80" t="s">
        <v>227</v>
      </c>
      <c r="DV26" s="80" t="s">
        <v>227</v>
      </c>
      <c r="DW26" s="80" t="s">
        <v>227</v>
      </c>
      <c r="DX26" s="80" t="s">
        <v>227</v>
      </c>
      <c r="DY26" s="80" t="s">
        <v>227</v>
      </c>
      <c r="DZ26" s="80" t="s">
        <v>227</v>
      </c>
      <c r="EA26" s="80" t="s">
        <v>227</v>
      </c>
      <c r="EB26" s="80" t="s">
        <v>227</v>
      </c>
      <c r="EC26" s="80" t="s">
        <v>227</v>
      </c>
      <c r="ED26" s="80" t="s">
        <v>227</v>
      </c>
      <c r="EE26" s="80" t="s">
        <v>227</v>
      </c>
      <c r="EF26" s="80" t="s">
        <v>227</v>
      </c>
      <c r="EG26" s="80" t="s">
        <v>227</v>
      </c>
      <c r="EH26" s="80" t="s">
        <v>227</v>
      </c>
      <c r="EI26" s="78">
        <v>44866</v>
      </c>
      <c r="EJ26" s="80" t="s">
        <v>245</v>
      </c>
      <c r="EK26" s="166" t="s">
        <v>275</v>
      </c>
      <c r="EL26" s="80" t="s">
        <v>341</v>
      </c>
      <c r="EM26" s="78">
        <v>44893</v>
      </c>
      <c r="EN26" s="78" t="s">
        <v>231</v>
      </c>
      <c r="EO26" s="157" t="s">
        <v>231</v>
      </c>
      <c r="EP26" s="166" t="s">
        <v>246</v>
      </c>
      <c r="EQ26" s="80" t="s">
        <v>402</v>
      </c>
      <c r="ER26" s="157" t="s">
        <v>231</v>
      </c>
      <c r="ES26" s="166" t="s">
        <v>227</v>
      </c>
      <c r="ET26" s="80" t="s">
        <v>227</v>
      </c>
      <c r="EU26" s="80" t="s">
        <v>227</v>
      </c>
      <c r="EV26" s="166" t="s">
        <v>227</v>
      </c>
      <c r="EW26" s="80" t="s">
        <v>227</v>
      </c>
      <c r="EX26" s="80" t="s">
        <v>227</v>
      </c>
      <c r="EY26" s="166" t="s">
        <v>227</v>
      </c>
      <c r="EZ26" s="80" t="s">
        <v>227</v>
      </c>
      <c r="FA26" s="80" t="s">
        <v>227</v>
      </c>
      <c r="FB26" s="147" t="s">
        <v>227</v>
      </c>
      <c r="FC26" s="80" t="s">
        <v>227</v>
      </c>
      <c r="FD26" s="80" t="s">
        <v>227</v>
      </c>
      <c r="FE26" s="80" t="s">
        <v>227</v>
      </c>
      <c r="FF26" s="80" t="s">
        <v>227</v>
      </c>
      <c r="FG26" s="80" t="s">
        <v>227</v>
      </c>
      <c r="FH26" s="80" t="s">
        <v>227</v>
      </c>
      <c r="FI26" s="80" t="s">
        <v>227</v>
      </c>
      <c r="FJ26" s="80" t="s">
        <v>227</v>
      </c>
      <c r="FK26" s="80" t="s">
        <v>227</v>
      </c>
      <c r="FL26" s="80" t="s">
        <v>227</v>
      </c>
      <c r="FM26" s="80" t="s">
        <v>227</v>
      </c>
      <c r="FN26" s="80" t="s">
        <v>227</v>
      </c>
      <c r="FO26" s="80" t="s">
        <v>227</v>
      </c>
      <c r="FP26" s="80" t="s">
        <v>227</v>
      </c>
      <c r="FQ26" s="80" t="s">
        <v>227</v>
      </c>
      <c r="FR26" s="80" t="s">
        <v>227</v>
      </c>
      <c r="FS26" s="80" t="s">
        <v>227</v>
      </c>
      <c r="FT26" s="80" t="s">
        <v>227</v>
      </c>
      <c r="FU26" s="80" t="s">
        <v>227</v>
      </c>
      <c r="FV26" s="80" t="s">
        <v>227</v>
      </c>
      <c r="FW26" s="80" t="s">
        <v>227</v>
      </c>
      <c r="FX26" s="80" t="s">
        <v>227</v>
      </c>
      <c r="FY26" s="80" t="s">
        <v>227</v>
      </c>
      <c r="FZ26" s="80" t="s">
        <v>227</v>
      </c>
      <c r="GA26" s="80" t="s">
        <v>227</v>
      </c>
      <c r="GB26" s="80" t="s">
        <v>227</v>
      </c>
      <c r="GC26" s="80" t="s">
        <v>227</v>
      </c>
      <c r="GD26" s="80" t="s">
        <v>227</v>
      </c>
      <c r="GE26" s="80" t="s">
        <v>227</v>
      </c>
      <c r="GF26" s="167" t="s">
        <v>236</v>
      </c>
      <c r="GG26" s="78">
        <v>45166</v>
      </c>
      <c r="GH26" s="74" t="s">
        <v>241</v>
      </c>
      <c r="GI26" s="80" t="s">
        <v>231</v>
      </c>
      <c r="GJ26" s="78">
        <v>44999</v>
      </c>
      <c r="GK26" s="78" t="s">
        <v>227</v>
      </c>
      <c r="GL26" s="78" t="s">
        <v>227</v>
      </c>
      <c r="GM26" s="159" t="str">
        <f t="shared" si="7"/>
        <v>N/A</v>
      </c>
      <c r="GN26" s="159" t="str">
        <f t="shared" si="8"/>
        <v>N/A</v>
      </c>
      <c r="GO26" s="159">
        <f t="shared" si="9"/>
        <v>2.7</v>
      </c>
      <c r="GP26" s="159" t="str">
        <f t="shared" si="10"/>
        <v>N/A</v>
      </c>
      <c r="GQ26" s="159" t="str">
        <f t="shared" si="23"/>
        <v>N/A</v>
      </c>
      <c r="GR26" s="159" t="str">
        <f t="shared" si="24"/>
        <v>N/A</v>
      </c>
      <c r="GS26" s="159" t="str">
        <f t="shared" si="11"/>
        <v>N/A</v>
      </c>
      <c r="GT26" s="159" t="str">
        <f t="shared" si="12"/>
        <v>N/A</v>
      </c>
      <c r="GU26" s="159" t="str">
        <f t="shared" si="13"/>
        <v>N/A</v>
      </c>
      <c r="GV26" s="159" t="str">
        <f t="shared" si="14"/>
        <v>N/A</v>
      </c>
      <c r="GW26" s="159" t="str">
        <f t="shared" si="15"/>
        <v>N/A</v>
      </c>
      <c r="GX26" s="159" t="str">
        <f t="shared" si="16"/>
        <v>N/A</v>
      </c>
      <c r="GY26" s="159">
        <f t="shared" si="17"/>
        <v>22.1</v>
      </c>
      <c r="GZ26" s="159">
        <f t="shared" si="18"/>
        <v>23</v>
      </c>
      <c r="HA26" s="159" t="str">
        <f t="shared" si="19"/>
        <v>N/A</v>
      </c>
      <c r="HB26" s="159">
        <f t="shared" si="1"/>
        <v>22.1</v>
      </c>
      <c r="HC26" s="159">
        <f t="shared" si="20"/>
        <v>32.1</v>
      </c>
      <c r="HD26" s="159">
        <f t="shared" si="21"/>
        <v>26.533333333333335</v>
      </c>
      <c r="HE26" s="159" t="str">
        <f t="shared" si="22"/>
        <v>N/A</v>
      </c>
      <c r="HF26" s="160">
        <f t="shared" si="2"/>
        <v>32.1</v>
      </c>
      <c r="HG26" s="160" cm="1">
        <f t="array" ref="HG26">INDEX($HB26:$HD26,MATCH(TRUE,INDEX(ISNUMBER($HB26:$HD26),0),0))</f>
        <v>22.1</v>
      </c>
      <c r="HH26" s="161">
        <f t="shared" si="3"/>
        <v>1</v>
      </c>
      <c r="HI26" s="86">
        <f t="shared" si="4"/>
        <v>1</v>
      </c>
      <c r="HJ26" s="111">
        <f t="shared" si="5"/>
        <v>1</v>
      </c>
      <c r="HK26" s="205" t="str">
        <f t="shared" si="6"/>
        <v>1</v>
      </c>
    </row>
    <row r="27" spans="1:219" ht="15" customHeight="1" x14ac:dyDescent="0.3">
      <c r="A27" s="80">
        <v>4520840074</v>
      </c>
      <c r="B27" s="74" t="s">
        <v>220</v>
      </c>
      <c r="C27" s="74" t="s">
        <v>221</v>
      </c>
      <c r="D27" s="74" t="s">
        <v>220</v>
      </c>
      <c r="E27" s="80" t="s">
        <v>403</v>
      </c>
      <c r="F27" s="80" t="s">
        <v>224</v>
      </c>
      <c r="G27" s="80" t="s">
        <v>344</v>
      </c>
      <c r="H27" s="78">
        <v>44284</v>
      </c>
      <c r="I27" s="80" t="s">
        <v>404</v>
      </c>
      <c r="J27" s="80" t="s">
        <v>226</v>
      </c>
      <c r="K27" s="78" t="s">
        <v>227</v>
      </c>
      <c r="L27" s="80" t="s">
        <v>227</v>
      </c>
      <c r="M27" s="80" t="s">
        <v>227</v>
      </c>
      <c r="N27" s="80" t="s">
        <v>227</v>
      </c>
      <c r="O27" s="80" t="s">
        <v>227</v>
      </c>
      <c r="P27" s="80" t="s">
        <v>227</v>
      </c>
      <c r="Q27" s="80" t="s">
        <v>227</v>
      </c>
      <c r="R27" s="80" t="s">
        <v>227</v>
      </c>
      <c r="S27" s="80" t="s">
        <v>227</v>
      </c>
      <c r="T27" s="80" t="s">
        <v>227</v>
      </c>
      <c r="U27" s="80" t="s">
        <v>227</v>
      </c>
      <c r="V27" s="80" t="s">
        <v>227</v>
      </c>
      <c r="W27" s="80" t="s">
        <v>227</v>
      </c>
      <c r="X27" s="80" t="s">
        <v>227</v>
      </c>
      <c r="Y27" s="80" t="s">
        <v>227</v>
      </c>
      <c r="Z27" s="80" t="s">
        <v>227</v>
      </c>
      <c r="AA27" s="80" t="s">
        <v>227</v>
      </c>
      <c r="AB27" s="80" t="s">
        <v>227</v>
      </c>
      <c r="AC27" s="80" t="s">
        <v>227</v>
      </c>
      <c r="AD27" s="80" t="s">
        <v>227</v>
      </c>
      <c r="AE27" s="80" t="s">
        <v>227</v>
      </c>
      <c r="AF27" s="80" t="s">
        <v>227</v>
      </c>
      <c r="AG27" s="80" t="s">
        <v>227</v>
      </c>
      <c r="AH27" s="80" t="s">
        <v>227</v>
      </c>
      <c r="AI27" s="80" t="s">
        <v>227</v>
      </c>
      <c r="AJ27" s="80" t="s">
        <v>227</v>
      </c>
      <c r="AK27" s="80" t="s">
        <v>227</v>
      </c>
      <c r="AL27" s="80" t="s">
        <v>227</v>
      </c>
      <c r="AM27" s="80" t="s">
        <v>227</v>
      </c>
      <c r="AN27" s="80" t="s">
        <v>227</v>
      </c>
      <c r="AO27" s="80" t="s">
        <v>227</v>
      </c>
      <c r="AP27" s="80" t="s">
        <v>227</v>
      </c>
      <c r="AQ27" s="80" t="s">
        <v>228</v>
      </c>
      <c r="AR27" s="78">
        <v>18776</v>
      </c>
      <c r="AS27" s="78">
        <v>44236</v>
      </c>
      <c r="AT27" s="148">
        <f t="shared" si="0"/>
        <v>69</v>
      </c>
      <c r="AU27" s="164" t="s">
        <v>405</v>
      </c>
      <c r="AV27" s="74" t="s">
        <v>230</v>
      </c>
      <c r="AW27" s="74" t="s">
        <v>220</v>
      </c>
      <c r="AX27" s="80" t="s">
        <v>309</v>
      </c>
      <c r="AY27" s="80">
        <v>0</v>
      </c>
      <c r="AZ27" s="80" t="s">
        <v>406</v>
      </c>
      <c r="BA27" s="80">
        <f t="shared" si="45"/>
        <v>1</v>
      </c>
      <c r="BB27" s="80" t="s">
        <v>407</v>
      </c>
      <c r="BC27" s="80">
        <v>3</v>
      </c>
      <c r="BD27" s="74" t="s">
        <v>243</v>
      </c>
      <c r="BE27" s="80" t="s">
        <v>300</v>
      </c>
      <c r="BF27" s="74" t="s">
        <v>220</v>
      </c>
      <c r="BG27" s="165" t="s">
        <v>227</v>
      </c>
      <c r="BH27" s="166" t="s">
        <v>227</v>
      </c>
      <c r="BI27" s="80" t="s">
        <v>227</v>
      </c>
      <c r="BJ27" s="78" t="s">
        <v>227</v>
      </c>
      <c r="BK27" s="78" t="s">
        <v>227</v>
      </c>
      <c r="BL27" s="80" t="s">
        <v>227</v>
      </c>
      <c r="BM27" s="166" t="s">
        <v>227</v>
      </c>
      <c r="BN27" s="80" t="s">
        <v>227</v>
      </c>
      <c r="BO27" s="80" t="s">
        <v>227</v>
      </c>
      <c r="BP27" s="166" t="s">
        <v>227</v>
      </c>
      <c r="BQ27" s="80" t="s">
        <v>227</v>
      </c>
      <c r="BR27" s="80" t="s">
        <v>227</v>
      </c>
      <c r="BS27" s="80" t="s">
        <v>227</v>
      </c>
      <c r="BT27" s="80" t="s">
        <v>227</v>
      </c>
      <c r="BU27" s="80" t="s">
        <v>227</v>
      </c>
      <c r="BV27" s="80" t="s">
        <v>227</v>
      </c>
      <c r="BW27" s="80" t="s">
        <v>227</v>
      </c>
      <c r="BX27" s="80" t="s">
        <v>227</v>
      </c>
      <c r="BY27" s="80" t="s">
        <v>227</v>
      </c>
      <c r="BZ27" s="80" t="s">
        <v>227</v>
      </c>
      <c r="CA27" s="80" t="s">
        <v>227</v>
      </c>
      <c r="CB27" s="80" t="s">
        <v>227</v>
      </c>
      <c r="CC27" s="80" t="s">
        <v>227</v>
      </c>
      <c r="CD27" s="80" t="s">
        <v>227</v>
      </c>
      <c r="CE27" s="80" t="s">
        <v>227</v>
      </c>
      <c r="CF27" s="80" t="s">
        <v>227</v>
      </c>
      <c r="CG27" s="80" t="s">
        <v>227</v>
      </c>
      <c r="CH27" s="80" t="s">
        <v>227</v>
      </c>
      <c r="CI27" s="80" t="s">
        <v>227</v>
      </c>
      <c r="CJ27" s="80" t="s">
        <v>227</v>
      </c>
      <c r="CK27" s="80" t="s">
        <v>227</v>
      </c>
      <c r="CL27" s="80" t="s">
        <v>227</v>
      </c>
      <c r="CM27" s="80" t="s">
        <v>227</v>
      </c>
      <c r="CN27" s="166" t="s">
        <v>249</v>
      </c>
      <c r="CO27" s="80" t="s">
        <v>287</v>
      </c>
      <c r="CP27" s="78">
        <v>44343</v>
      </c>
      <c r="CQ27" s="78">
        <v>44448</v>
      </c>
      <c r="CR27" s="80" t="s">
        <v>227</v>
      </c>
      <c r="CS27" s="166" t="s">
        <v>227</v>
      </c>
      <c r="CT27" s="80" t="s">
        <v>227</v>
      </c>
      <c r="CU27" s="80" t="s">
        <v>227</v>
      </c>
      <c r="CV27" s="166" t="s">
        <v>227</v>
      </c>
      <c r="CW27" s="80" t="s">
        <v>227</v>
      </c>
      <c r="CX27" s="80" t="s">
        <v>227</v>
      </c>
      <c r="CY27" s="80" t="s">
        <v>227</v>
      </c>
      <c r="CZ27" s="80" t="s">
        <v>227</v>
      </c>
      <c r="DA27" s="80" t="s">
        <v>227</v>
      </c>
      <c r="DB27" s="80" t="s">
        <v>227</v>
      </c>
      <c r="DC27" s="80" t="s">
        <v>227</v>
      </c>
      <c r="DD27" s="80" t="s">
        <v>227</v>
      </c>
      <c r="DE27" s="80" t="s">
        <v>227</v>
      </c>
      <c r="DF27" s="80" t="s">
        <v>227</v>
      </c>
      <c r="DG27" s="80" t="s">
        <v>227</v>
      </c>
      <c r="DH27" s="80" t="s">
        <v>227</v>
      </c>
      <c r="DI27" s="80" t="s">
        <v>227</v>
      </c>
      <c r="DJ27" s="80" t="s">
        <v>227</v>
      </c>
      <c r="DK27" s="80" t="s">
        <v>227</v>
      </c>
      <c r="DL27" s="80" t="s">
        <v>227</v>
      </c>
      <c r="DM27" s="80" t="s">
        <v>227</v>
      </c>
      <c r="DN27" s="80" t="s">
        <v>227</v>
      </c>
      <c r="DO27" s="80" t="s">
        <v>227</v>
      </c>
      <c r="DP27" s="80" t="s">
        <v>227</v>
      </c>
      <c r="DQ27" s="80" t="s">
        <v>227</v>
      </c>
      <c r="DR27" s="80" t="s">
        <v>227</v>
      </c>
      <c r="DS27" s="80" t="s">
        <v>227</v>
      </c>
      <c r="DT27" s="80" t="s">
        <v>227</v>
      </c>
      <c r="DU27" s="80" t="s">
        <v>227</v>
      </c>
      <c r="DV27" s="80" t="s">
        <v>227</v>
      </c>
      <c r="DW27" s="80" t="s">
        <v>227</v>
      </c>
      <c r="DX27" s="80" t="s">
        <v>227</v>
      </c>
      <c r="DY27" s="80" t="s">
        <v>227</v>
      </c>
      <c r="DZ27" s="80" t="s">
        <v>227</v>
      </c>
      <c r="EA27" s="80" t="s">
        <v>227</v>
      </c>
      <c r="EB27" s="80" t="s">
        <v>227</v>
      </c>
      <c r="EC27" s="80" t="s">
        <v>227</v>
      </c>
      <c r="ED27" s="80" t="s">
        <v>227</v>
      </c>
      <c r="EE27" s="80" t="s">
        <v>227</v>
      </c>
      <c r="EF27" s="80" t="s">
        <v>227</v>
      </c>
      <c r="EG27" s="80" t="s">
        <v>227</v>
      </c>
      <c r="EH27" s="80" t="s">
        <v>227</v>
      </c>
      <c r="EI27" s="78" t="s">
        <v>227</v>
      </c>
      <c r="EJ27" s="80" t="s">
        <v>227</v>
      </c>
      <c r="EK27" s="166" t="s">
        <v>227</v>
      </c>
      <c r="EL27" s="80" t="s">
        <v>227</v>
      </c>
      <c r="EM27" s="78" t="s">
        <v>227</v>
      </c>
      <c r="EN27" s="78" t="s">
        <v>227</v>
      </c>
      <c r="EO27" s="80" t="s">
        <v>227</v>
      </c>
      <c r="EP27" s="166" t="s">
        <v>227</v>
      </c>
      <c r="EQ27" s="80" t="s">
        <v>227</v>
      </c>
      <c r="ER27" s="80" t="s">
        <v>227</v>
      </c>
      <c r="ES27" s="166" t="s">
        <v>227</v>
      </c>
      <c r="ET27" s="80" t="s">
        <v>227</v>
      </c>
      <c r="EU27" s="80" t="s">
        <v>227</v>
      </c>
      <c r="EV27" s="166" t="s">
        <v>227</v>
      </c>
      <c r="EW27" s="80" t="s">
        <v>227</v>
      </c>
      <c r="EX27" s="80" t="s">
        <v>227</v>
      </c>
      <c r="EY27" s="166" t="s">
        <v>227</v>
      </c>
      <c r="EZ27" s="80" t="s">
        <v>227</v>
      </c>
      <c r="FA27" s="80" t="s">
        <v>227</v>
      </c>
      <c r="FB27" s="147" t="s">
        <v>227</v>
      </c>
      <c r="FC27" s="80" t="s">
        <v>227</v>
      </c>
      <c r="FD27" s="80" t="s">
        <v>227</v>
      </c>
      <c r="FE27" s="80" t="s">
        <v>227</v>
      </c>
      <c r="FF27" s="80" t="s">
        <v>227</v>
      </c>
      <c r="FG27" s="80" t="s">
        <v>227</v>
      </c>
      <c r="FH27" s="80" t="s">
        <v>227</v>
      </c>
      <c r="FI27" s="80" t="s">
        <v>227</v>
      </c>
      <c r="FJ27" s="80" t="s">
        <v>227</v>
      </c>
      <c r="FK27" s="80" t="s">
        <v>227</v>
      </c>
      <c r="FL27" s="80" t="s">
        <v>227</v>
      </c>
      <c r="FM27" s="80" t="s">
        <v>227</v>
      </c>
      <c r="FN27" s="80" t="s">
        <v>227</v>
      </c>
      <c r="FO27" s="80" t="s">
        <v>227</v>
      </c>
      <c r="FP27" s="80" t="s">
        <v>227</v>
      </c>
      <c r="FQ27" s="80" t="s">
        <v>227</v>
      </c>
      <c r="FR27" s="80" t="s">
        <v>227</v>
      </c>
      <c r="FS27" s="80" t="s">
        <v>227</v>
      </c>
      <c r="FT27" s="80" t="s">
        <v>227</v>
      </c>
      <c r="FU27" s="80" t="s">
        <v>227</v>
      </c>
      <c r="FV27" s="80" t="s">
        <v>227</v>
      </c>
      <c r="FW27" s="80" t="s">
        <v>227</v>
      </c>
      <c r="FX27" s="80" t="s">
        <v>227</v>
      </c>
      <c r="FY27" s="80" t="s">
        <v>227</v>
      </c>
      <c r="FZ27" s="80" t="s">
        <v>227</v>
      </c>
      <c r="GA27" s="80" t="s">
        <v>227</v>
      </c>
      <c r="GB27" s="80" t="s">
        <v>227</v>
      </c>
      <c r="GC27" s="80" t="s">
        <v>227</v>
      </c>
      <c r="GD27" s="80" t="s">
        <v>227</v>
      </c>
      <c r="GE27" s="80" t="s">
        <v>227</v>
      </c>
      <c r="GF27" s="167" t="s">
        <v>312</v>
      </c>
      <c r="GG27" s="78" t="s">
        <v>227</v>
      </c>
      <c r="GH27" s="74" t="s">
        <v>227</v>
      </c>
      <c r="GI27" s="80" t="s">
        <v>227</v>
      </c>
      <c r="GJ27" s="78">
        <v>45995</v>
      </c>
      <c r="GK27" s="78">
        <v>46078</v>
      </c>
      <c r="GL27" s="78" t="s">
        <v>227</v>
      </c>
      <c r="GM27" s="159" t="str">
        <f t="shared" si="7"/>
        <v>N/A</v>
      </c>
      <c r="GN27" s="159" t="str">
        <f t="shared" si="8"/>
        <v>N/A</v>
      </c>
      <c r="GO27" s="159">
        <f t="shared" si="9"/>
        <v>1.6</v>
      </c>
      <c r="GP27" s="159" t="str">
        <f t="shared" si="10"/>
        <v>N/A</v>
      </c>
      <c r="GQ27" s="159" t="str">
        <f t="shared" si="23"/>
        <v>N/A</v>
      </c>
      <c r="GR27" s="159" t="str">
        <f t="shared" si="24"/>
        <v>N/A</v>
      </c>
      <c r="GS27" s="159" t="str">
        <f t="shared" si="11"/>
        <v>N/A</v>
      </c>
      <c r="GT27" s="159" t="str">
        <f t="shared" si="12"/>
        <v>N/A</v>
      </c>
      <c r="GU27" s="159" t="str">
        <f t="shared" si="13"/>
        <v>N/A</v>
      </c>
      <c r="GV27" s="159" t="str">
        <f t="shared" si="14"/>
        <v>N/A</v>
      </c>
      <c r="GW27" s="159">
        <f t="shared" si="15"/>
        <v>3.5666666666666669</v>
      </c>
      <c r="GX27" s="159">
        <f t="shared" si="16"/>
        <v>7.0666666666666664</v>
      </c>
      <c r="GY27" s="159" t="str">
        <f t="shared" si="17"/>
        <v>N/A</v>
      </c>
      <c r="GZ27" s="159" t="str">
        <f t="shared" si="18"/>
        <v>N/A</v>
      </c>
      <c r="HA27" s="159" t="str">
        <f t="shared" si="19"/>
        <v>N/A</v>
      </c>
      <c r="HB27" s="159" t="str">
        <f t="shared" si="1"/>
        <v>N/A</v>
      </c>
      <c r="HC27" s="159" t="str">
        <f t="shared" si="20"/>
        <v>N/A</v>
      </c>
      <c r="HD27" s="159">
        <f t="shared" si="21"/>
        <v>58.633333333333333</v>
      </c>
      <c r="HE27" s="159">
        <f t="shared" si="22"/>
        <v>61.4</v>
      </c>
      <c r="HF27" s="160">
        <f t="shared" si="2"/>
        <v>61.4</v>
      </c>
      <c r="HG27" s="160" cm="1">
        <f t="array" ref="HG27">INDEX($HB27:$HD27,MATCH(TRUE,INDEX(ISNUMBER($HB27:$HD27),0),0))</f>
        <v>58.633333333333333</v>
      </c>
      <c r="HH27" s="161">
        <f t="shared" si="3"/>
        <v>0</v>
      </c>
      <c r="HI27" s="86">
        <f t="shared" si="4"/>
        <v>0</v>
      </c>
      <c r="HJ27" s="111">
        <f t="shared" si="5"/>
        <v>0</v>
      </c>
      <c r="HK27" s="205" t="str">
        <f t="shared" si="6"/>
        <v>0</v>
      </c>
    </row>
    <row r="28" spans="1:219" ht="15" customHeight="1" x14ac:dyDescent="0.3">
      <c r="A28" s="80">
        <v>4506025385</v>
      </c>
      <c r="B28" s="74" t="s">
        <v>220</v>
      </c>
      <c r="C28" s="74" t="s">
        <v>221</v>
      </c>
      <c r="D28" s="74" t="s">
        <v>220</v>
      </c>
      <c r="E28" s="80" t="s">
        <v>408</v>
      </c>
      <c r="F28" s="80" t="s">
        <v>337</v>
      </c>
      <c r="G28" s="80" t="s">
        <v>227</v>
      </c>
      <c r="H28" s="78">
        <v>44286</v>
      </c>
      <c r="I28" s="80" t="s">
        <v>409</v>
      </c>
      <c r="J28" s="80" t="s">
        <v>226</v>
      </c>
      <c r="K28" s="78" t="s">
        <v>227</v>
      </c>
      <c r="L28" s="80" t="s">
        <v>227</v>
      </c>
      <c r="M28" s="80" t="s">
        <v>227</v>
      </c>
      <c r="N28" s="80" t="s">
        <v>227</v>
      </c>
      <c r="O28" s="80" t="s">
        <v>227</v>
      </c>
      <c r="P28" s="80" t="s">
        <v>227</v>
      </c>
      <c r="Q28" s="80" t="s">
        <v>227</v>
      </c>
      <c r="R28" s="80" t="s">
        <v>227</v>
      </c>
      <c r="S28" s="80" t="s">
        <v>227</v>
      </c>
      <c r="T28" s="80" t="s">
        <v>227</v>
      </c>
      <c r="U28" s="80" t="s">
        <v>227</v>
      </c>
      <c r="V28" s="80" t="s">
        <v>227</v>
      </c>
      <c r="W28" s="80" t="s">
        <v>227</v>
      </c>
      <c r="X28" s="80" t="s">
        <v>227</v>
      </c>
      <c r="Y28" s="80" t="s">
        <v>227</v>
      </c>
      <c r="Z28" s="80" t="s">
        <v>227</v>
      </c>
      <c r="AA28" s="80" t="s">
        <v>227</v>
      </c>
      <c r="AB28" s="80" t="s">
        <v>227</v>
      </c>
      <c r="AC28" s="80" t="s">
        <v>227</v>
      </c>
      <c r="AD28" s="80" t="s">
        <v>227</v>
      </c>
      <c r="AE28" s="80" t="s">
        <v>227</v>
      </c>
      <c r="AF28" s="80" t="s">
        <v>227</v>
      </c>
      <c r="AG28" s="80" t="s">
        <v>227</v>
      </c>
      <c r="AH28" s="80" t="s">
        <v>227</v>
      </c>
      <c r="AI28" s="80" t="s">
        <v>227</v>
      </c>
      <c r="AJ28" s="80" t="s">
        <v>227</v>
      </c>
      <c r="AK28" s="80" t="s">
        <v>227</v>
      </c>
      <c r="AL28" s="80" t="s">
        <v>227</v>
      </c>
      <c r="AM28" s="80" t="s">
        <v>227</v>
      </c>
      <c r="AN28" s="80" t="s">
        <v>227</v>
      </c>
      <c r="AO28" s="80" t="s">
        <v>227</v>
      </c>
      <c r="AP28" s="80" t="s">
        <v>227</v>
      </c>
      <c r="AQ28" s="80" t="s">
        <v>228</v>
      </c>
      <c r="AR28" s="78">
        <v>20966</v>
      </c>
      <c r="AS28" s="78">
        <v>44232</v>
      </c>
      <c r="AT28" s="148">
        <f t="shared" si="0"/>
        <v>63</v>
      </c>
      <c r="AU28" s="164" t="s">
        <v>229</v>
      </c>
      <c r="AV28" s="74" t="s">
        <v>230</v>
      </c>
      <c r="AW28" s="74" t="s">
        <v>241</v>
      </c>
      <c r="AX28" s="80" t="s">
        <v>264</v>
      </c>
      <c r="AY28" s="80" t="s">
        <v>232</v>
      </c>
      <c r="AZ28" s="80">
        <v>0</v>
      </c>
      <c r="BA28" s="80">
        <f t="shared" si="45"/>
        <v>0</v>
      </c>
      <c r="BB28" s="80" t="s">
        <v>396</v>
      </c>
      <c r="BC28" s="80">
        <v>2</v>
      </c>
      <c r="BD28" s="74" t="s">
        <v>243</v>
      </c>
      <c r="BE28" s="80" t="s">
        <v>339</v>
      </c>
      <c r="BF28" s="74" t="s">
        <v>220</v>
      </c>
      <c r="BG28" s="80" t="s">
        <v>227</v>
      </c>
      <c r="BH28" s="80" t="s">
        <v>227</v>
      </c>
      <c r="BI28" s="80" t="s">
        <v>227</v>
      </c>
      <c r="BJ28" s="80" t="s">
        <v>227</v>
      </c>
      <c r="BK28" s="80" t="s">
        <v>227</v>
      </c>
      <c r="BL28" s="80" t="s">
        <v>227</v>
      </c>
      <c r="BM28" s="80" t="s">
        <v>227</v>
      </c>
      <c r="BN28" s="80" t="s">
        <v>227</v>
      </c>
      <c r="BO28" s="80" t="s">
        <v>227</v>
      </c>
      <c r="BP28" s="80" t="s">
        <v>227</v>
      </c>
      <c r="BQ28" s="80" t="s">
        <v>227</v>
      </c>
      <c r="BR28" s="80" t="s">
        <v>227</v>
      </c>
      <c r="BS28" s="80" t="s">
        <v>227</v>
      </c>
      <c r="BT28" s="80" t="s">
        <v>227</v>
      </c>
      <c r="BU28" s="80" t="s">
        <v>227</v>
      </c>
      <c r="BV28" s="80" t="s">
        <v>227</v>
      </c>
      <c r="BW28" s="80" t="s">
        <v>227</v>
      </c>
      <c r="BX28" s="80" t="s">
        <v>227</v>
      </c>
      <c r="BY28" s="80" t="s">
        <v>227</v>
      </c>
      <c r="BZ28" s="80" t="s">
        <v>227</v>
      </c>
      <c r="CA28" s="80" t="s">
        <v>227</v>
      </c>
      <c r="CB28" s="80" t="s">
        <v>227</v>
      </c>
      <c r="CC28" s="80" t="s">
        <v>227</v>
      </c>
      <c r="CD28" s="80" t="s">
        <v>227</v>
      </c>
      <c r="CE28" s="80" t="s">
        <v>227</v>
      </c>
      <c r="CF28" s="80" t="s">
        <v>227</v>
      </c>
      <c r="CG28" s="80" t="s">
        <v>227</v>
      </c>
      <c r="CH28" s="80" t="s">
        <v>227</v>
      </c>
      <c r="CI28" s="80" t="s">
        <v>227</v>
      </c>
      <c r="CJ28" s="80" t="s">
        <v>227</v>
      </c>
      <c r="CK28" s="80" t="s">
        <v>227</v>
      </c>
      <c r="CL28" s="80" t="s">
        <v>227</v>
      </c>
      <c r="CM28" s="80" t="s">
        <v>227</v>
      </c>
      <c r="CN28" s="80" t="s">
        <v>227</v>
      </c>
      <c r="CO28" s="80" t="s">
        <v>227</v>
      </c>
      <c r="CP28" s="80" t="s">
        <v>227</v>
      </c>
      <c r="CQ28" s="80" t="s">
        <v>227</v>
      </c>
      <c r="CR28" s="80" t="s">
        <v>227</v>
      </c>
      <c r="CS28" s="80" t="s">
        <v>227</v>
      </c>
      <c r="CT28" s="80" t="s">
        <v>227</v>
      </c>
      <c r="CU28" s="80" t="s">
        <v>227</v>
      </c>
      <c r="CV28" s="80" t="s">
        <v>227</v>
      </c>
      <c r="CW28" s="80" t="s">
        <v>227</v>
      </c>
      <c r="CX28" s="80" t="s">
        <v>227</v>
      </c>
      <c r="CY28" s="80" t="s">
        <v>227</v>
      </c>
      <c r="CZ28" s="80" t="s">
        <v>227</v>
      </c>
      <c r="DA28" s="80" t="s">
        <v>227</v>
      </c>
      <c r="DB28" s="80" t="s">
        <v>227</v>
      </c>
      <c r="DC28" s="80" t="s">
        <v>227</v>
      </c>
      <c r="DD28" s="80" t="s">
        <v>227</v>
      </c>
      <c r="DE28" s="80" t="s">
        <v>227</v>
      </c>
      <c r="DF28" s="80" t="s">
        <v>227</v>
      </c>
      <c r="DG28" s="80" t="s">
        <v>227</v>
      </c>
      <c r="DH28" s="80" t="s">
        <v>227</v>
      </c>
      <c r="DI28" s="80" t="s">
        <v>227</v>
      </c>
      <c r="DJ28" s="80" t="s">
        <v>227</v>
      </c>
      <c r="DK28" s="80" t="s">
        <v>227</v>
      </c>
      <c r="DL28" s="80" t="s">
        <v>227</v>
      </c>
      <c r="DM28" s="80" t="s">
        <v>227</v>
      </c>
      <c r="DN28" s="80" t="s">
        <v>227</v>
      </c>
      <c r="DO28" s="80" t="s">
        <v>227</v>
      </c>
      <c r="DP28" s="80" t="s">
        <v>227</v>
      </c>
      <c r="DQ28" s="80" t="s">
        <v>227</v>
      </c>
      <c r="DR28" s="80" t="s">
        <v>227</v>
      </c>
      <c r="DS28" s="80" t="s">
        <v>227</v>
      </c>
      <c r="DT28" s="80" t="s">
        <v>227</v>
      </c>
      <c r="DU28" s="80" t="s">
        <v>227</v>
      </c>
      <c r="DV28" s="80" t="s">
        <v>227</v>
      </c>
      <c r="DW28" s="80" t="s">
        <v>227</v>
      </c>
      <c r="DX28" s="80" t="s">
        <v>227</v>
      </c>
      <c r="DY28" s="80" t="s">
        <v>227</v>
      </c>
      <c r="DZ28" s="80" t="s">
        <v>227</v>
      </c>
      <c r="EA28" s="80" t="s">
        <v>227</v>
      </c>
      <c r="EB28" s="80" t="s">
        <v>227</v>
      </c>
      <c r="EC28" s="80" t="s">
        <v>227</v>
      </c>
      <c r="ED28" s="80" t="s">
        <v>227</v>
      </c>
      <c r="EE28" s="80" t="s">
        <v>227</v>
      </c>
      <c r="EF28" s="80" t="s">
        <v>227</v>
      </c>
      <c r="EG28" s="80" t="s">
        <v>227</v>
      </c>
      <c r="EH28" s="80" t="s">
        <v>227</v>
      </c>
      <c r="EI28" s="80" t="s">
        <v>227</v>
      </c>
      <c r="EJ28" s="80" t="s">
        <v>227</v>
      </c>
      <c r="EK28" s="80" t="s">
        <v>227</v>
      </c>
      <c r="EL28" s="80" t="s">
        <v>227</v>
      </c>
      <c r="EM28" s="80" t="s">
        <v>227</v>
      </c>
      <c r="EN28" s="80" t="s">
        <v>227</v>
      </c>
      <c r="EO28" s="80" t="s">
        <v>227</v>
      </c>
      <c r="EP28" s="80" t="s">
        <v>227</v>
      </c>
      <c r="EQ28" s="80" t="s">
        <v>227</v>
      </c>
      <c r="ER28" s="80" t="s">
        <v>227</v>
      </c>
      <c r="ES28" s="80" t="s">
        <v>227</v>
      </c>
      <c r="ET28" s="80" t="s">
        <v>227</v>
      </c>
      <c r="EU28" s="80" t="s">
        <v>227</v>
      </c>
      <c r="EV28" s="80" t="s">
        <v>227</v>
      </c>
      <c r="EW28" s="80" t="s">
        <v>227</v>
      </c>
      <c r="EX28" s="80" t="s">
        <v>227</v>
      </c>
      <c r="EY28" s="80" t="s">
        <v>227</v>
      </c>
      <c r="EZ28" s="80" t="s">
        <v>227</v>
      </c>
      <c r="FA28" s="80" t="s">
        <v>227</v>
      </c>
      <c r="FB28" s="147" t="s">
        <v>227</v>
      </c>
      <c r="FC28" s="80" t="s">
        <v>227</v>
      </c>
      <c r="FD28" s="80" t="s">
        <v>227</v>
      </c>
      <c r="FE28" s="80" t="s">
        <v>227</v>
      </c>
      <c r="FF28" s="80" t="s">
        <v>227</v>
      </c>
      <c r="FG28" s="80" t="s">
        <v>227</v>
      </c>
      <c r="FH28" s="80" t="s">
        <v>227</v>
      </c>
      <c r="FI28" s="80" t="s">
        <v>227</v>
      </c>
      <c r="FJ28" s="80" t="s">
        <v>227</v>
      </c>
      <c r="FK28" s="80" t="s">
        <v>227</v>
      </c>
      <c r="FL28" s="80" t="s">
        <v>227</v>
      </c>
      <c r="FM28" s="80" t="s">
        <v>227</v>
      </c>
      <c r="FN28" s="80" t="s">
        <v>227</v>
      </c>
      <c r="FO28" s="80" t="s">
        <v>227</v>
      </c>
      <c r="FP28" s="80" t="s">
        <v>227</v>
      </c>
      <c r="FQ28" s="80" t="s">
        <v>227</v>
      </c>
      <c r="FR28" s="80" t="s">
        <v>227</v>
      </c>
      <c r="FS28" s="80" t="s">
        <v>227</v>
      </c>
      <c r="FT28" s="80" t="s">
        <v>227</v>
      </c>
      <c r="FU28" s="80" t="s">
        <v>227</v>
      </c>
      <c r="FV28" s="80" t="s">
        <v>227</v>
      </c>
      <c r="FW28" s="80" t="s">
        <v>227</v>
      </c>
      <c r="FX28" s="80" t="s">
        <v>227</v>
      </c>
      <c r="FY28" s="80" t="s">
        <v>227</v>
      </c>
      <c r="FZ28" s="80" t="s">
        <v>227</v>
      </c>
      <c r="GA28" s="80" t="s">
        <v>227</v>
      </c>
      <c r="GB28" s="80" t="s">
        <v>227</v>
      </c>
      <c r="GC28" s="80" t="s">
        <v>227</v>
      </c>
      <c r="GD28" s="80" t="s">
        <v>227</v>
      </c>
      <c r="GE28" s="80" t="s">
        <v>227</v>
      </c>
      <c r="GF28" s="167" t="s">
        <v>312</v>
      </c>
      <c r="GG28" s="78" t="s">
        <v>227</v>
      </c>
      <c r="GH28" s="74" t="s">
        <v>227</v>
      </c>
      <c r="GI28" s="80" t="s">
        <v>227</v>
      </c>
      <c r="GJ28" s="78">
        <v>44331</v>
      </c>
      <c r="GK28" s="78">
        <v>46069</v>
      </c>
      <c r="GL28" s="78" t="s">
        <v>410</v>
      </c>
      <c r="GM28" s="159" t="str">
        <f t="shared" si="7"/>
        <v>N/A</v>
      </c>
      <c r="GN28" s="159" t="str">
        <f t="shared" si="8"/>
        <v>N/A</v>
      </c>
      <c r="GO28" s="159">
        <f t="shared" si="9"/>
        <v>1.8</v>
      </c>
      <c r="GP28" s="159" t="str">
        <f t="shared" si="10"/>
        <v>N/A</v>
      </c>
      <c r="GQ28" s="159" t="str">
        <f t="shared" si="23"/>
        <v>N/A</v>
      </c>
      <c r="GR28" s="159" t="str">
        <f t="shared" si="24"/>
        <v>N/A</v>
      </c>
      <c r="GS28" s="159" t="str">
        <f t="shared" si="11"/>
        <v>N/A</v>
      </c>
      <c r="GT28" s="159" t="str">
        <f t="shared" si="12"/>
        <v>N/A</v>
      </c>
      <c r="GU28" s="159" t="str">
        <f t="shared" si="13"/>
        <v>N/A</v>
      </c>
      <c r="GV28" s="159" t="str">
        <f t="shared" si="14"/>
        <v>N/A</v>
      </c>
      <c r="GW28" s="159" t="str">
        <f t="shared" si="15"/>
        <v>N/A</v>
      </c>
      <c r="GX28" s="159" t="str">
        <f t="shared" si="16"/>
        <v>N/A</v>
      </c>
      <c r="GY28" s="159" t="str">
        <f t="shared" si="17"/>
        <v>N/A</v>
      </c>
      <c r="GZ28" s="159" t="str">
        <f t="shared" si="18"/>
        <v>N/A</v>
      </c>
      <c r="HA28" s="159" t="str">
        <f t="shared" si="19"/>
        <v>N/A</v>
      </c>
      <c r="HB28" s="159" t="str">
        <f t="shared" si="1"/>
        <v>N/A</v>
      </c>
      <c r="HC28" s="159" t="str">
        <f t="shared" si="20"/>
        <v>N/A</v>
      </c>
      <c r="HD28" s="159">
        <f t="shared" si="21"/>
        <v>3.3</v>
      </c>
      <c r="HE28" s="159">
        <f t="shared" si="22"/>
        <v>61.233333333333334</v>
      </c>
      <c r="HF28" s="160">
        <f t="shared" si="2"/>
        <v>61.233333333333334</v>
      </c>
      <c r="HG28" s="160" cm="1">
        <f t="array" ref="HG28">INDEX($HB28:$HD28,MATCH(TRUE,INDEX(ISNUMBER($HB28:$HD28),0),0))</f>
        <v>3.3</v>
      </c>
      <c r="HH28" s="161">
        <f t="shared" si="3"/>
        <v>0</v>
      </c>
      <c r="HI28" s="86">
        <f t="shared" si="4"/>
        <v>0</v>
      </c>
      <c r="HJ28" s="111">
        <f t="shared" si="5"/>
        <v>0</v>
      </c>
      <c r="HK28" s="205" t="str">
        <f t="shared" si="6"/>
        <v>0</v>
      </c>
    </row>
    <row r="29" spans="1:219" ht="15" customHeight="1" x14ac:dyDescent="0.3">
      <c r="A29" s="80">
        <v>4463708869</v>
      </c>
      <c r="B29" s="74" t="s">
        <v>220</v>
      </c>
      <c r="C29" s="74" t="s">
        <v>221</v>
      </c>
      <c r="D29" s="74" t="s">
        <v>220</v>
      </c>
      <c r="E29" s="80" t="s">
        <v>411</v>
      </c>
      <c r="F29" s="80" t="s">
        <v>337</v>
      </c>
      <c r="G29" s="80" t="s">
        <v>227</v>
      </c>
      <c r="H29" s="78">
        <v>44295</v>
      </c>
      <c r="I29" s="80" t="s">
        <v>412</v>
      </c>
      <c r="J29" s="80" t="s">
        <v>226</v>
      </c>
      <c r="K29" s="78" t="s">
        <v>227</v>
      </c>
      <c r="L29" s="80" t="s">
        <v>227</v>
      </c>
      <c r="M29" s="80" t="s">
        <v>227</v>
      </c>
      <c r="N29" s="80" t="s">
        <v>227</v>
      </c>
      <c r="O29" s="80" t="s">
        <v>227</v>
      </c>
      <c r="P29" s="80" t="s">
        <v>227</v>
      </c>
      <c r="Q29" s="80" t="s">
        <v>227</v>
      </c>
      <c r="R29" s="80" t="s">
        <v>227</v>
      </c>
      <c r="S29" s="80" t="s">
        <v>227</v>
      </c>
      <c r="T29" s="80" t="s">
        <v>227</v>
      </c>
      <c r="U29" s="80" t="s">
        <v>227</v>
      </c>
      <c r="V29" s="80" t="s">
        <v>227</v>
      </c>
      <c r="W29" s="80" t="s">
        <v>227</v>
      </c>
      <c r="X29" s="80" t="s">
        <v>227</v>
      </c>
      <c r="Y29" s="80" t="s">
        <v>227</v>
      </c>
      <c r="Z29" s="80" t="s">
        <v>227</v>
      </c>
      <c r="AA29" s="80" t="s">
        <v>227</v>
      </c>
      <c r="AB29" s="80" t="s">
        <v>227</v>
      </c>
      <c r="AC29" s="80" t="s">
        <v>227</v>
      </c>
      <c r="AD29" s="80" t="s">
        <v>227</v>
      </c>
      <c r="AE29" s="80" t="s">
        <v>227</v>
      </c>
      <c r="AF29" s="80" t="s">
        <v>227</v>
      </c>
      <c r="AG29" s="80" t="s">
        <v>227</v>
      </c>
      <c r="AH29" s="80" t="s">
        <v>227</v>
      </c>
      <c r="AI29" s="80" t="s">
        <v>227</v>
      </c>
      <c r="AJ29" s="80" t="s">
        <v>227</v>
      </c>
      <c r="AK29" s="80" t="s">
        <v>227</v>
      </c>
      <c r="AL29" s="80" t="s">
        <v>227</v>
      </c>
      <c r="AM29" s="80" t="s">
        <v>227</v>
      </c>
      <c r="AN29" s="80" t="s">
        <v>227</v>
      </c>
      <c r="AO29" s="80" t="s">
        <v>227</v>
      </c>
      <c r="AP29" s="80" t="s">
        <v>227</v>
      </c>
      <c r="AQ29" s="80" t="s">
        <v>228</v>
      </c>
      <c r="AR29" s="78">
        <v>19910</v>
      </c>
      <c r="AS29" s="78">
        <v>44263</v>
      </c>
      <c r="AT29" s="148">
        <f t="shared" si="0"/>
        <v>66</v>
      </c>
      <c r="AU29" s="164" t="s">
        <v>263</v>
      </c>
      <c r="AV29" s="74" t="s">
        <v>230</v>
      </c>
      <c r="AW29" s="74" t="s">
        <v>241</v>
      </c>
      <c r="AX29" s="80" t="s">
        <v>309</v>
      </c>
      <c r="AY29" s="80">
        <v>0</v>
      </c>
      <c r="AZ29" s="80" t="s">
        <v>232</v>
      </c>
      <c r="BA29" s="80">
        <f t="shared" si="45"/>
        <v>0</v>
      </c>
      <c r="BB29" s="80" t="s">
        <v>310</v>
      </c>
      <c r="BC29" s="80">
        <v>3</v>
      </c>
      <c r="BD29" s="74" t="s">
        <v>243</v>
      </c>
      <c r="BE29" s="80" t="s">
        <v>244</v>
      </c>
      <c r="BF29" s="74" t="s">
        <v>220</v>
      </c>
      <c r="BG29" s="80" t="s">
        <v>227</v>
      </c>
      <c r="BH29" s="80" t="s">
        <v>227</v>
      </c>
      <c r="BI29" s="80" t="s">
        <v>227</v>
      </c>
      <c r="BJ29" s="80" t="s">
        <v>227</v>
      </c>
      <c r="BK29" s="80" t="s">
        <v>227</v>
      </c>
      <c r="BL29" s="80" t="s">
        <v>227</v>
      </c>
      <c r="BM29" s="80" t="s">
        <v>227</v>
      </c>
      <c r="BN29" s="80" t="s">
        <v>227</v>
      </c>
      <c r="BO29" s="80" t="s">
        <v>227</v>
      </c>
      <c r="BP29" s="80" t="s">
        <v>227</v>
      </c>
      <c r="BQ29" s="80" t="s">
        <v>227</v>
      </c>
      <c r="BR29" s="80" t="s">
        <v>227</v>
      </c>
      <c r="BS29" s="80" t="s">
        <v>227</v>
      </c>
      <c r="BT29" s="80" t="s">
        <v>227</v>
      </c>
      <c r="BU29" s="80" t="s">
        <v>227</v>
      </c>
      <c r="BV29" s="80" t="s">
        <v>227</v>
      </c>
      <c r="BW29" s="80" t="s">
        <v>227</v>
      </c>
      <c r="BX29" s="80" t="s">
        <v>227</v>
      </c>
      <c r="BY29" s="80" t="s">
        <v>227</v>
      </c>
      <c r="BZ29" s="80" t="s">
        <v>227</v>
      </c>
      <c r="CA29" s="80" t="s">
        <v>227</v>
      </c>
      <c r="CB29" s="80" t="s">
        <v>227</v>
      </c>
      <c r="CC29" s="80" t="s">
        <v>227</v>
      </c>
      <c r="CD29" s="80" t="s">
        <v>227</v>
      </c>
      <c r="CE29" s="80" t="s">
        <v>227</v>
      </c>
      <c r="CF29" s="80" t="s">
        <v>227</v>
      </c>
      <c r="CG29" s="80" t="s">
        <v>227</v>
      </c>
      <c r="CH29" s="80" t="s">
        <v>227</v>
      </c>
      <c r="CI29" s="80" t="s">
        <v>227</v>
      </c>
      <c r="CJ29" s="80" t="s">
        <v>227</v>
      </c>
      <c r="CK29" s="80" t="s">
        <v>227</v>
      </c>
      <c r="CL29" s="80" t="s">
        <v>227</v>
      </c>
      <c r="CM29" s="80" t="s">
        <v>227</v>
      </c>
      <c r="CN29" s="166" t="s">
        <v>246</v>
      </c>
      <c r="CO29" s="80" t="s">
        <v>378</v>
      </c>
      <c r="CP29" s="78">
        <v>44348</v>
      </c>
      <c r="CQ29" s="78">
        <v>44355</v>
      </c>
      <c r="CR29" s="80" t="s">
        <v>227</v>
      </c>
      <c r="CS29" s="80" t="s">
        <v>227</v>
      </c>
      <c r="CT29" s="80" t="s">
        <v>227</v>
      </c>
      <c r="CU29" s="80" t="s">
        <v>227</v>
      </c>
      <c r="CV29" s="80" t="s">
        <v>227</v>
      </c>
      <c r="CW29" s="80" t="s">
        <v>227</v>
      </c>
      <c r="CX29" s="80" t="s">
        <v>227</v>
      </c>
      <c r="CY29" s="80" t="s">
        <v>227</v>
      </c>
      <c r="CZ29" s="80" t="s">
        <v>227</v>
      </c>
      <c r="DA29" s="80" t="s">
        <v>227</v>
      </c>
      <c r="DB29" s="80" t="s">
        <v>227</v>
      </c>
      <c r="DC29" s="80" t="s">
        <v>227</v>
      </c>
      <c r="DD29" s="80" t="s">
        <v>227</v>
      </c>
      <c r="DE29" s="80" t="s">
        <v>227</v>
      </c>
      <c r="DF29" s="80" t="s">
        <v>227</v>
      </c>
      <c r="DG29" s="80" t="s">
        <v>227</v>
      </c>
      <c r="DH29" s="80" t="s">
        <v>227</v>
      </c>
      <c r="DI29" s="80" t="s">
        <v>227</v>
      </c>
      <c r="DJ29" s="80" t="s">
        <v>227</v>
      </c>
      <c r="DK29" s="80" t="s">
        <v>227</v>
      </c>
      <c r="DL29" s="80" t="s">
        <v>227</v>
      </c>
      <c r="DM29" s="80" t="s">
        <v>227</v>
      </c>
      <c r="DN29" s="80" t="s">
        <v>227</v>
      </c>
      <c r="DO29" s="80" t="s">
        <v>227</v>
      </c>
      <c r="DP29" s="80" t="s">
        <v>227</v>
      </c>
      <c r="DQ29" s="80" t="s">
        <v>227</v>
      </c>
      <c r="DR29" s="80" t="s">
        <v>227</v>
      </c>
      <c r="DS29" s="80" t="s">
        <v>227</v>
      </c>
      <c r="DT29" s="80" t="s">
        <v>227</v>
      </c>
      <c r="DU29" s="80" t="s">
        <v>227</v>
      </c>
      <c r="DV29" s="80" t="s">
        <v>227</v>
      </c>
      <c r="DW29" s="80" t="s">
        <v>227</v>
      </c>
      <c r="DX29" s="80" t="s">
        <v>227</v>
      </c>
      <c r="DY29" s="80" t="s">
        <v>227</v>
      </c>
      <c r="DZ29" s="80" t="s">
        <v>227</v>
      </c>
      <c r="EA29" s="80" t="s">
        <v>227</v>
      </c>
      <c r="EB29" s="80" t="s">
        <v>227</v>
      </c>
      <c r="EC29" s="80" t="s">
        <v>227</v>
      </c>
      <c r="ED29" s="80" t="s">
        <v>227</v>
      </c>
      <c r="EE29" s="80" t="s">
        <v>227</v>
      </c>
      <c r="EF29" s="80" t="s">
        <v>227</v>
      </c>
      <c r="EG29" s="80" t="s">
        <v>227</v>
      </c>
      <c r="EH29" s="80" t="s">
        <v>227</v>
      </c>
      <c r="EI29" s="80" t="s">
        <v>227</v>
      </c>
      <c r="EJ29" s="80" t="s">
        <v>227</v>
      </c>
      <c r="EK29" s="80" t="s">
        <v>227</v>
      </c>
      <c r="EL29" s="80" t="s">
        <v>227</v>
      </c>
      <c r="EM29" s="80" t="s">
        <v>227</v>
      </c>
      <c r="EN29" s="80" t="s">
        <v>227</v>
      </c>
      <c r="EO29" s="80" t="s">
        <v>227</v>
      </c>
      <c r="EP29" s="80" t="s">
        <v>227</v>
      </c>
      <c r="EQ29" s="80" t="s">
        <v>227</v>
      </c>
      <c r="ER29" s="80" t="s">
        <v>227</v>
      </c>
      <c r="ES29" s="80" t="s">
        <v>227</v>
      </c>
      <c r="ET29" s="80" t="s">
        <v>227</v>
      </c>
      <c r="EU29" s="80" t="s">
        <v>227</v>
      </c>
      <c r="EV29" s="80" t="s">
        <v>227</v>
      </c>
      <c r="EW29" s="80" t="s">
        <v>227</v>
      </c>
      <c r="EX29" s="80" t="s">
        <v>227</v>
      </c>
      <c r="EY29" s="80" t="s">
        <v>227</v>
      </c>
      <c r="EZ29" s="80" t="s">
        <v>227</v>
      </c>
      <c r="FA29" s="80" t="s">
        <v>227</v>
      </c>
      <c r="FB29" s="147" t="s">
        <v>227</v>
      </c>
      <c r="FC29" s="80" t="s">
        <v>227</v>
      </c>
      <c r="FD29" s="80" t="s">
        <v>227</v>
      </c>
      <c r="FE29" s="80" t="s">
        <v>227</v>
      </c>
      <c r="FF29" s="80" t="s">
        <v>227</v>
      </c>
      <c r="FG29" s="80" t="s">
        <v>227</v>
      </c>
      <c r="FH29" s="80" t="s">
        <v>227</v>
      </c>
      <c r="FI29" s="80" t="s">
        <v>227</v>
      </c>
      <c r="FJ29" s="80" t="s">
        <v>227</v>
      </c>
      <c r="FK29" s="80" t="s">
        <v>227</v>
      </c>
      <c r="FL29" s="80" t="s">
        <v>227</v>
      </c>
      <c r="FM29" s="80" t="s">
        <v>227</v>
      </c>
      <c r="FN29" s="80" t="s">
        <v>227</v>
      </c>
      <c r="FO29" s="80" t="s">
        <v>227</v>
      </c>
      <c r="FP29" s="80" t="s">
        <v>227</v>
      </c>
      <c r="FQ29" s="80" t="s">
        <v>227</v>
      </c>
      <c r="FR29" s="80" t="s">
        <v>227</v>
      </c>
      <c r="FS29" s="80" t="s">
        <v>227</v>
      </c>
      <c r="FT29" s="80" t="s">
        <v>227</v>
      </c>
      <c r="FU29" s="80" t="s">
        <v>227</v>
      </c>
      <c r="FV29" s="80" t="s">
        <v>227</v>
      </c>
      <c r="FW29" s="80" t="s">
        <v>227</v>
      </c>
      <c r="FX29" s="80" t="s">
        <v>227</v>
      </c>
      <c r="FY29" s="80" t="s">
        <v>227</v>
      </c>
      <c r="FZ29" s="80" t="s">
        <v>227</v>
      </c>
      <c r="GA29" s="80" t="s">
        <v>227</v>
      </c>
      <c r="GB29" s="80" t="s">
        <v>227</v>
      </c>
      <c r="GC29" s="80" t="s">
        <v>227</v>
      </c>
      <c r="GD29" s="80" t="s">
        <v>227</v>
      </c>
      <c r="GE29" s="80" t="s">
        <v>227</v>
      </c>
      <c r="GF29" s="167" t="s">
        <v>312</v>
      </c>
      <c r="GG29" s="78" t="s">
        <v>227</v>
      </c>
      <c r="GH29" s="74" t="s">
        <v>227</v>
      </c>
      <c r="GI29" s="80" t="s">
        <v>227</v>
      </c>
      <c r="GJ29" s="156">
        <v>46114</v>
      </c>
      <c r="GK29" s="156">
        <v>46114</v>
      </c>
      <c r="GL29" s="78" t="s">
        <v>227</v>
      </c>
      <c r="GM29" s="159" t="str">
        <f t="shared" si="7"/>
        <v>N/A</v>
      </c>
      <c r="GN29" s="159" t="str">
        <f t="shared" si="8"/>
        <v>N/A</v>
      </c>
      <c r="GO29" s="159">
        <f t="shared" si="9"/>
        <v>1.0666666666666667</v>
      </c>
      <c r="GP29" s="159" t="str">
        <f t="shared" si="10"/>
        <v>N/A</v>
      </c>
      <c r="GQ29" s="159" t="str">
        <f t="shared" si="23"/>
        <v>N/A</v>
      </c>
      <c r="GR29" s="159" t="str">
        <f t="shared" si="24"/>
        <v>N/A</v>
      </c>
      <c r="GS29" s="159" t="str">
        <f t="shared" si="11"/>
        <v>N/A</v>
      </c>
      <c r="GT29" s="159" t="str">
        <f t="shared" si="12"/>
        <v>N/A</v>
      </c>
      <c r="GU29" s="159" t="str">
        <f t="shared" si="13"/>
        <v>N/A</v>
      </c>
      <c r="GV29" s="159" t="str">
        <f t="shared" si="14"/>
        <v>N/A</v>
      </c>
      <c r="GW29" s="159">
        <f t="shared" si="15"/>
        <v>2.8333333333333335</v>
      </c>
      <c r="GX29" s="159">
        <f t="shared" si="16"/>
        <v>3.0666666666666669</v>
      </c>
      <c r="GY29" s="159" t="str">
        <f t="shared" si="17"/>
        <v>N/A</v>
      </c>
      <c r="GZ29" s="159" t="str">
        <f t="shared" si="18"/>
        <v>N/A</v>
      </c>
      <c r="HA29" s="159" t="str">
        <f t="shared" si="19"/>
        <v>N/A</v>
      </c>
      <c r="HB29" s="159" t="str">
        <f t="shared" si="1"/>
        <v>N/A</v>
      </c>
      <c r="HC29" s="159" t="str">
        <f t="shared" si="20"/>
        <v>N/A</v>
      </c>
      <c r="HD29" s="159">
        <f t="shared" si="21"/>
        <v>61.7</v>
      </c>
      <c r="HE29" s="159">
        <f t="shared" si="22"/>
        <v>61.7</v>
      </c>
      <c r="HF29" s="160">
        <f t="shared" si="2"/>
        <v>61.7</v>
      </c>
      <c r="HG29" s="160" cm="1">
        <f t="array" ref="HG29">INDEX($HB29:$HD29,MATCH(TRUE,INDEX(ISNUMBER($HB29:$HD29),0),0))</f>
        <v>61.7</v>
      </c>
      <c r="HH29" s="161">
        <f t="shared" si="3"/>
        <v>0</v>
      </c>
      <c r="HI29" s="86">
        <f t="shared" si="4"/>
        <v>0</v>
      </c>
      <c r="HJ29" s="111">
        <f t="shared" si="5"/>
        <v>0</v>
      </c>
      <c r="HK29" s="205" t="str">
        <f t="shared" si="6"/>
        <v>0</v>
      </c>
    </row>
    <row r="30" spans="1:219" ht="15" customHeight="1" x14ac:dyDescent="0.3">
      <c r="A30" s="80">
        <v>4582646263</v>
      </c>
      <c r="B30" s="74" t="s">
        <v>220</v>
      </c>
      <c r="C30" s="74" t="s">
        <v>221</v>
      </c>
      <c r="D30" s="74" t="s">
        <v>220</v>
      </c>
      <c r="E30" s="80" t="s">
        <v>227</v>
      </c>
      <c r="F30" s="80" t="s">
        <v>227</v>
      </c>
      <c r="G30" s="80" t="s">
        <v>227</v>
      </c>
      <c r="H30" s="78" t="s">
        <v>227</v>
      </c>
      <c r="I30" s="157" t="s">
        <v>413</v>
      </c>
      <c r="J30" s="80" t="s">
        <v>227</v>
      </c>
      <c r="K30" s="78">
        <v>43784</v>
      </c>
      <c r="L30" s="80" t="s">
        <v>226</v>
      </c>
      <c r="M30" s="80" t="s">
        <v>414</v>
      </c>
      <c r="N30" s="168" t="s">
        <v>315</v>
      </c>
      <c r="O30" s="80" t="s">
        <v>415</v>
      </c>
      <c r="P30" s="78">
        <v>44299</v>
      </c>
      <c r="Q30" s="74" t="s">
        <v>221</v>
      </c>
      <c r="R30" s="80" t="s">
        <v>414</v>
      </c>
      <c r="S30" s="168" t="s">
        <v>223</v>
      </c>
      <c r="T30" s="80" t="s">
        <v>415</v>
      </c>
      <c r="U30" s="78">
        <v>44299</v>
      </c>
      <c r="V30" s="74" t="s">
        <v>221</v>
      </c>
      <c r="W30" s="80" t="s">
        <v>227</v>
      </c>
      <c r="X30" s="80" t="s">
        <v>227</v>
      </c>
      <c r="Y30" s="80" t="s">
        <v>227</v>
      </c>
      <c r="Z30" s="80" t="s">
        <v>227</v>
      </c>
      <c r="AA30" s="80" t="s">
        <v>227</v>
      </c>
      <c r="AB30" s="80" t="s">
        <v>227</v>
      </c>
      <c r="AC30" s="80" t="s">
        <v>227</v>
      </c>
      <c r="AD30" s="80" t="s">
        <v>227</v>
      </c>
      <c r="AE30" s="80" t="s">
        <v>227</v>
      </c>
      <c r="AF30" s="80" t="s">
        <v>227</v>
      </c>
      <c r="AG30" s="80" t="s">
        <v>227</v>
      </c>
      <c r="AH30" s="80" t="s">
        <v>227</v>
      </c>
      <c r="AI30" s="80" t="s">
        <v>227</v>
      </c>
      <c r="AJ30" s="80" t="s">
        <v>227</v>
      </c>
      <c r="AK30" s="80" t="s">
        <v>227</v>
      </c>
      <c r="AL30" s="80" t="s">
        <v>227</v>
      </c>
      <c r="AM30" s="80" t="s">
        <v>227</v>
      </c>
      <c r="AN30" s="80" t="s">
        <v>227</v>
      </c>
      <c r="AO30" s="80" t="s">
        <v>227</v>
      </c>
      <c r="AP30" s="80" t="s">
        <v>227</v>
      </c>
      <c r="AQ30" s="80" t="s">
        <v>228</v>
      </c>
      <c r="AR30" s="78">
        <v>19875</v>
      </c>
      <c r="AS30" s="78">
        <v>43763</v>
      </c>
      <c r="AT30" s="148">
        <f t="shared" si="0"/>
        <v>65</v>
      </c>
      <c r="AU30" s="164" t="s">
        <v>416</v>
      </c>
      <c r="AV30" s="74" t="s">
        <v>256</v>
      </c>
      <c r="AW30" s="74" t="s">
        <v>241</v>
      </c>
      <c r="AX30" s="80" t="s">
        <v>309</v>
      </c>
      <c r="AY30" s="80">
        <v>0</v>
      </c>
      <c r="AZ30" s="80" t="s">
        <v>232</v>
      </c>
      <c r="BA30" s="80">
        <f t="shared" si="45"/>
        <v>0</v>
      </c>
      <c r="BB30" s="80" t="s">
        <v>310</v>
      </c>
      <c r="BC30" s="80">
        <v>3</v>
      </c>
      <c r="BD30" s="74" t="s">
        <v>243</v>
      </c>
      <c r="BE30" s="80" t="s">
        <v>234</v>
      </c>
      <c r="BF30" s="74" t="s">
        <v>220</v>
      </c>
      <c r="BG30" s="80" t="s">
        <v>227</v>
      </c>
      <c r="BH30" s="80" t="s">
        <v>227</v>
      </c>
      <c r="BI30" s="80" t="s">
        <v>227</v>
      </c>
      <c r="BJ30" s="80" t="s">
        <v>227</v>
      </c>
      <c r="BK30" s="80" t="s">
        <v>227</v>
      </c>
      <c r="BL30" s="80" t="s">
        <v>227</v>
      </c>
      <c r="BM30" s="80" t="s">
        <v>227</v>
      </c>
      <c r="BN30" s="80" t="s">
        <v>227</v>
      </c>
      <c r="BO30" s="80" t="s">
        <v>227</v>
      </c>
      <c r="BP30" s="80" t="s">
        <v>227</v>
      </c>
      <c r="BQ30" s="80" t="s">
        <v>227</v>
      </c>
      <c r="BR30" s="80" t="s">
        <v>227</v>
      </c>
      <c r="BS30" s="80" t="s">
        <v>227</v>
      </c>
      <c r="BT30" s="80" t="s">
        <v>227</v>
      </c>
      <c r="BU30" s="80" t="s">
        <v>227</v>
      </c>
      <c r="BV30" s="80" t="s">
        <v>227</v>
      </c>
      <c r="BW30" s="80" t="s">
        <v>227</v>
      </c>
      <c r="BX30" s="80" t="s">
        <v>227</v>
      </c>
      <c r="BY30" s="80" t="s">
        <v>227</v>
      </c>
      <c r="BZ30" s="80" t="s">
        <v>227</v>
      </c>
      <c r="CA30" s="80" t="s">
        <v>227</v>
      </c>
      <c r="CB30" s="80" t="s">
        <v>227</v>
      </c>
      <c r="CC30" s="80" t="s">
        <v>227</v>
      </c>
      <c r="CD30" s="80" t="s">
        <v>227</v>
      </c>
      <c r="CE30" s="80" t="s">
        <v>227</v>
      </c>
      <c r="CF30" s="80" t="s">
        <v>227</v>
      </c>
      <c r="CG30" s="80" t="s">
        <v>227</v>
      </c>
      <c r="CH30" s="80" t="s">
        <v>227</v>
      </c>
      <c r="CI30" s="80" t="s">
        <v>227</v>
      </c>
      <c r="CJ30" s="80" t="s">
        <v>227</v>
      </c>
      <c r="CK30" s="80" t="s">
        <v>227</v>
      </c>
      <c r="CL30" s="80" t="s">
        <v>227</v>
      </c>
      <c r="CM30" s="80" t="s">
        <v>227</v>
      </c>
      <c r="CN30" s="80" t="s">
        <v>227</v>
      </c>
      <c r="CO30" s="80" t="s">
        <v>227</v>
      </c>
      <c r="CP30" s="80" t="s">
        <v>227</v>
      </c>
      <c r="CQ30" s="80" t="s">
        <v>227</v>
      </c>
      <c r="CR30" s="80" t="s">
        <v>227</v>
      </c>
      <c r="CS30" s="80" t="s">
        <v>227</v>
      </c>
      <c r="CT30" s="80" t="s">
        <v>227</v>
      </c>
      <c r="CU30" s="80" t="s">
        <v>227</v>
      </c>
      <c r="CV30" s="80" t="s">
        <v>227</v>
      </c>
      <c r="CW30" s="80" t="s">
        <v>227</v>
      </c>
      <c r="CX30" s="80" t="s">
        <v>227</v>
      </c>
      <c r="CY30" s="80" t="s">
        <v>227</v>
      </c>
      <c r="CZ30" s="80" t="s">
        <v>227</v>
      </c>
      <c r="DA30" s="80" t="s">
        <v>227</v>
      </c>
      <c r="DB30" s="80" t="s">
        <v>227</v>
      </c>
      <c r="DC30" s="80" t="s">
        <v>227</v>
      </c>
      <c r="DD30" s="80" t="s">
        <v>227</v>
      </c>
      <c r="DE30" s="80" t="s">
        <v>227</v>
      </c>
      <c r="DF30" s="80" t="s">
        <v>227</v>
      </c>
      <c r="DG30" s="80" t="s">
        <v>227</v>
      </c>
      <c r="DH30" s="80" t="s">
        <v>227</v>
      </c>
      <c r="DI30" s="80" t="s">
        <v>227</v>
      </c>
      <c r="DJ30" s="80" t="s">
        <v>227</v>
      </c>
      <c r="DK30" s="80" t="s">
        <v>227</v>
      </c>
      <c r="DL30" s="80" t="s">
        <v>227</v>
      </c>
      <c r="DM30" s="80" t="s">
        <v>227</v>
      </c>
      <c r="DN30" s="80" t="s">
        <v>227</v>
      </c>
      <c r="DO30" s="80" t="s">
        <v>227</v>
      </c>
      <c r="DP30" s="80" t="s">
        <v>227</v>
      </c>
      <c r="DQ30" s="80" t="s">
        <v>227</v>
      </c>
      <c r="DR30" s="80" t="s">
        <v>227</v>
      </c>
      <c r="DS30" s="80" t="s">
        <v>227</v>
      </c>
      <c r="DT30" s="80" t="s">
        <v>227</v>
      </c>
      <c r="DU30" s="80" t="s">
        <v>227</v>
      </c>
      <c r="DV30" s="80" t="s">
        <v>227</v>
      </c>
      <c r="DW30" s="80" t="s">
        <v>227</v>
      </c>
      <c r="DX30" s="80" t="s">
        <v>227</v>
      </c>
      <c r="DY30" s="80" t="s">
        <v>227</v>
      </c>
      <c r="DZ30" s="80" t="s">
        <v>227</v>
      </c>
      <c r="EA30" s="80" t="s">
        <v>227</v>
      </c>
      <c r="EB30" s="80" t="s">
        <v>227</v>
      </c>
      <c r="EC30" s="80" t="s">
        <v>227</v>
      </c>
      <c r="ED30" s="80" t="s">
        <v>227</v>
      </c>
      <c r="EE30" s="80" t="s">
        <v>227</v>
      </c>
      <c r="EF30" s="80" t="s">
        <v>227</v>
      </c>
      <c r="EG30" s="80" t="s">
        <v>227</v>
      </c>
      <c r="EH30" s="80" t="s">
        <v>227</v>
      </c>
      <c r="EI30" s="78">
        <v>44427</v>
      </c>
      <c r="EJ30" s="80" t="s">
        <v>417</v>
      </c>
      <c r="EK30" s="166" t="s">
        <v>249</v>
      </c>
      <c r="EL30" s="80" t="s">
        <v>287</v>
      </c>
      <c r="EM30" s="78">
        <v>44454</v>
      </c>
      <c r="EN30" s="78">
        <v>44559</v>
      </c>
      <c r="EO30" s="80" t="s">
        <v>251</v>
      </c>
      <c r="EP30" s="166" t="s">
        <v>249</v>
      </c>
      <c r="EQ30" s="80" t="s">
        <v>418</v>
      </c>
      <c r="ER30" s="80" t="s">
        <v>251</v>
      </c>
      <c r="ES30" s="166" t="s">
        <v>227</v>
      </c>
      <c r="ET30" s="80" t="s">
        <v>227</v>
      </c>
      <c r="EU30" s="80" t="s">
        <v>227</v>
      </c>
      <c r="EV30" s="166" t="s">
        <v>227</v>
      </c>
      <c r="EW30" s="80" t="s">
        <v>227</v>
      </c>
      <c r="EX30" s="80" t="s">
        <v>227</v>
      </c>
      <c r="EY30" s="166" t="s">
        <v>227</v>
      </c>
      <c r="EZ30" s="80" t="s">
        <v>227</v>
      </c>
      <c r="FA30" s="80" t="s">
        <v>227</v>
      </c>
      <c r="FB30" s="147" t="s">
        <v>227</v>
      </c>
      <c r="FC30" s="80" t="s">
        <v>227</v>
      </c>
      <c r="FD30" s="80" t="s">
        <v>227</v>
      </c>
      <c r="FE30" s="80" t="s">
        <v>227</v>
      </c>
      <c r="FF30" s="80" t="s">
        <v>227</v>
      </c>
      <c r="FG30" s="80" t="s">
        <v>227</v>
      </c>
      <c r="FH30" s="80" t="s">
        <v>227</v>
      </c>
      <c r="FI30" s="80" t="s">
        <v>227</v>
      </c>
      <c r="FJ30" s="80" t="s">
        <v>227</v>
      </c>
      <c r="FK30" s="80" t="s">
        <v>227</v>
      </c>
      <c r="FL30" s="80" t="s">
        <v>227</v>
      </c>
      <c r="FM30" s="80" t="s">
        <v>227</v>
      </c>
      <c r="FN30" s="80" t="s">
        <v>227</v>
      </c>
      <c r="FO30" s="80" t="s">
        <v>227</v>
      </c>
      <c r="FP30" s="80" t="s">
        <v>227</v>
      </c>
      <c r="FQ30" s="80" t="s">
        <v>227</v>
      </c>
      <c r="FR30" s="80" t="s">
        <v>227</v>
      </c>
      <c r="FS30" s="80" t="s">
        <v>227</v>
      </c>
      <c r="FT30" s="80" t="s">
        <v>227</v>
      </c>
      <c r="FU30" s="80" t="s">
        <v>227</v>
      </c>
      <c r="FV30" s="80" t="s">
        <v>227</v>
      </c>
      <c r="FW30" s="80" t="s">
        <v>227</v>
      </c>
      <c r="FX30" s="80" t="s">
        <v>227</v>
      </c>
      <c r="FY30" s="80" t="s">
        <v>227</v>
      </c>
      <c r="FZ30" s="80" t="s">
        <v>227</v>
      </c>
      <c r="GA30" s="80" t="s">
        <v>227</v>
      </c>
      <c r="GB30" s="80" t="s">
        <v>227</v>
      </c>
      <c r="GC30" s="80" t="s">
        <v>227</v>
      </c>
      <c r="GD30" s="80" t="s">
        <v>227</v>
      </c>
      <c r="GE30" s="80" t="s">
        <v>227</v>
      </c>
      <c r="GF30" s="167" t="s">
        <v>236</v>
      </c>
      <c r="GG30" s="78">
        <v>44737</v>
      </c>
      <c r="GH30" s="74" t="s">
        <v>241</v>
      </c>
      <c r="GI30" s="80" t="s">
        <v>231</v>
      </c>
      <c r="GJ30" s="78">
        <v>44727</v>
      </c>
      <c r="GK30" s="78" t="s">
        <v>227</v>
      </c>
      <c r="GL30" s="78" t="s">
        <v>227</v>
      </c>
      <c r="GM30" s="159" t="str">
        <f t="shared" si="7"/>
        <v>N/A</v>
      </c>
      <c r="GN30" s="159" t="str">
        <f t="shared" si="8"/>
        <v>N/A</v>
      </c>
      <c r="GO30" s="159" t="str">
        <f t="shared" si="9"/>
        <v>N/A</v>
      </c>
      <c r="GP30" s="159">
        <f t="shared" si="10"/>
        <v>0.7</v>
      </c>
      <c r="GQ30" s="159">
        <f t="shared" si="23"/>
        <v>17.866666666666667</v>
      </c>
      <c r="GR30" s="159">
        <f t="shared" si="24"/>
        <v>17.866666666666667</v>
      </c>
      <c r="GS30" s="159" t="str">
        <f t="shared" si="11"/>
        <v>N/A</v>
      </c>
      <c r="GT30" s="159" t="str">
        <f t="shared" si="12"/>
        <v>N/A</v>
      </c>
      <c r="GU30" s="159" t="str">
        <f t="shared" si="13"/>
        <v>N/A</v>
      </c>
      <c r="GV30" s="159" t="str">
        <f t="shared" si="14"/>
        <v>N/A</v>
      </c>
      <c r="GW30" s="159" t="str">
        <f t="shared" si="15"/>
        <v>N/A</v>
      </c>
      <c r="GX30" s="159" t="str">
        <f t="shared" si="16"/>
        <v>N/A</v>
      </c>
      <c r="GY30" s="159">
        <f t="shared" si="17"/>
        <v>22.133333333333333</v>
      </c>
      <c r="GZ30" s="159">
        <f t="shared" si="18"/>
        <v>23.033333333333335</v>
      </c>
      <c r="HA30" s="159">
        <f t="shared" si="19"/>
        <v>26.533333333333335</v>
      </c>
      <c r="HB30" s="159">
        <f t="shared" si="1"/>
        <v>22.133333333333333</v>
      </c>
      <c r="HC30" s="159">
        <f t="shared" si="20"/>
        <v>32.466666666666669</v>
      </c>
      <c r="HD30" s="159">
        <f t="shared" si="21"/>
        <v>32.133333333333333</v>
      </c>
      <c r="HE30" s="159" t="str">
        <f t="shared" si="22"/>
        <v>N/A</v>
      </c>
      <c r="HF30" s="160">
        <f t="shared" si="2"/>
        <v>32.466666666666669</v>
      </c>
      <c r="HG30" s="160" cm="1">
        <f t="array" ref="HG30">INDEX($HB30:$HD30,MATCH(TRUE,INDEX(ISNUMBER($HB30:$HD30),0),0))</f>
        <v>22.133333333333333</v>
      </c>
      <c r="HH30" s="161">
        <f t="shared" si="3"/>
        <v>1</v>
      </c>
      <c r="HI30" s="86">
        <f t="shared" si="4"/>
        <v>1</v>
      </c>
      <c r="HJ30" s="111">
        <f t="shared" si="5"/>
        <v>1</v>
      </c>
      <c r="HK30" s="205" t="str">
        <f t="shared" si="6"/>
        <v>1</v>
      </c>
    </row>
    <row r="31" spans="1:219" ht="15" customHeight="1" x14ac:dyDescent="0.3">
      <c r="A31" s="80">
        <v>4083465573</v>
      </c>
      <c r="B31" s="74" t="s">
        <v>220</v>
      </c>
      <c r="C31" s="74" t="s">
        <v>221</v>
      </c>
      <c r="D31" s="74" t="s">
        <v>220</v>
      </c>
      <c r="E31" s="80" t="s">
        <v>419</v>
      </c>
      <c r="F31" s="80" t="s">
        <v>345</v>
      </c>
      <c r="G31" s="80" t="s">
        <v>227</v>
      </c>
      <c r="H31" s="78">
        <v>44316</v>
      </c>
      <c r="I31" s="80" t="s">
        <v>369</v>
      </c>
      <c r="J31" s="80" t="s">
        <v>226</v>
      </c>
      <c r="K31" s="78" t="s">
        <v>227</v>
      </c>
      <c r="L31" s="80" t="s">
        <v>227</v>
      </c>
      <c r="M31" s="80" t="s">
        <v>227</v>
      </c>
      <c r="N31" s="80" t="s">
        <v>227</v>
      </c>
      <c r="O31" s="80" t="s">
        <v>227</v>
      </c>
      <c r="P31" s="80" t="s">
        <v>227</v>
      </c>
      <c r="Q31" s="80" t="s">
        <v>227</v>
      </c>
      <c r="R31" s="80" t="s">
        <v>227</v>
      </c>
      <c r="S31" s="80" t="s">
        <v>227</v>
      </c>
      <c r="T31" s="80" t="s">
        <v>227</v>
      </c>
      <c r="U31" s="80" t="s">
        <v>227</v>
      </c>
      <c r="V31" s="80" t="s">
        <v>227</v>
      </c>
      <c r="W31" s="80" t="s">
        <v>227</v>
      </c>
      <c r="X31" s="80" t="s">
        <v>227</v>
      </c>
      <c r="Y31" s="80" t="s">
        <v>227</v>
      </c>
      <c r="Z31" s="80" t="s">
        <v>227</v>
      </c>
      <c r="AA31" s="80" t="s">
        <v>227</v>
      </c>
      <c r="AB31" s="80" t="s">
        <v>227</v>
      </c>
      <c r="AC31" s="80" t="s">
        <v>227</v>
      </c>
      <c r="AD31" s="80" t="s">
        <v>227</v>
      </c>
      <c r="AE31" s="80" t="s">
        <v>227</v>
      </c>
      <c r="AF31" s="80" t="s">
        <v>227</v>
      </c>
      <c r="AG31" s="80" t="s">
        <v>227</v>
      </c>
      <c r="AH31" s="80" t="s">
        <v>227</v>
      </c>
      <c r="AI31" s="80" t="s">
        <v>227</v>
      </c>
      <c r="AJ31" s="80" t="s">
        <v>227</v>
      </c>
      <c r="AK31" s="80" t="s">
        <v>227</v>
      </c>
      <c r="AL31" s="80" t="s">
        <v>227</v>
      </c>
      <c r="AM31" s="80" t="s">
        <v>227</v>
      </c>
      <c r="AN31" s="80" t="s">
        <v>227</v>
      </c>
      <c r="AO31" s="80" t="s">
        <v>227</v>
      </c>
      <c r="AP31" s="80" t="s">
        <v>227</v>
      </c>
      <c r="AQ31" s="80" t="s">
        <v>228</v>
      </c>
      <c r="AR31" s="78">
        <v>28850</v>
      </c>
      <c r="AS31" s="78">
        <v>44239</v>
      </c>
      <c r="AT31" s="148">
        <f t="shared" si="0"/>
        <v>42</v>
      </c>
      <c r="AU31" s="164" t="s">
        <v>229</v>
      </c>
      <c r="AV31" s="74" t="s">
        <v>230</v>
      </c>
      <c r="AW31" s="74" t="s">
        <v>241</v>
      </c>
      <c r="AX31" s="80" t="s">
        <v>309</v>
      </c>
      <c r="AY31" s="80" t="s">
        <v>232</v>
      </c>
      <c r="AZ31" s="80">
        <v>0</v>
      </c>
      <c r="BA31" s="80">
        <f t="shared" si="45"/>
        <v>0</v>
      </c>
      <c r="BB31" s="157" t="s">
        <v>310</v>
      </c>
      <c r="BC31" s="80">
        <v>1</v>
      </c>
      <c r="BD31" s="74" t="s">
        <v>243</v>
      </c>
      <c r="BE31" s="80" t="s">
        <v>370</v>
      </c>
      <c r="BF31" s="74" t="s">
        <v>220</v>
      </c>
      <c r="BG31" s="80" t="s">
        <v>227</v>
      </c>
      <c r="BH31" s="80" t="s">
        <v>227</v>
      </c>
      <c r="BI31" s="80" t="s">
        <v>227</v>
      </c>
      <c r="BJ31" s="80" t="s">
        <v>227</v>
      </c>
      <c r="BK31" s="80" t="s">
        <v>227</v>
      </c>
      <c r="BL31" s="80" t="s">
        <v>227</v>
      </c>
      <c r="BM31" s="80" t="s">
        <v>227</v>
      </c>
      <c r="BN31" s="80" t="s">
        <v>227</v>
      </c>
      <c r="BO31" s="80" t="s">
        <v>227</v>
      </c>
      <c r="BP31" s="80" t="s">
        <v>227</v>
      </c>
      <c r="BQ31" s="80" t="s">
        <v>227</v>
      </c>
      <c r="BR31" s="80" t="s">
        <v>227</v>
      </c>
      <c r="BS31" s="80" t="s">
        <v>227</v>
      </c>
      <c r="BT31" s="80" t="s">
        <v>227</v>
      </c>
      <c r="BU31" s="80" t="s">
        <v>227</v>
      </c>
      <c r="BV31" s="80" t="s">
        <v>227</v>
      </c>
      <c r="BW31" s="80" t="s">
        <v>227</v>
      </c>
      <c r="BX31" s="80" t="s">
        <v>227</v>
      </c>
      <c r="BY31" s="80" t="s">
        <v>227</v>
      </c>
      <c r="BZ31" s="80" t="s">
        <v>227</v>
      </c>
      <c r="CA31" s="80" t="s">
        <v>227</v>
      </c>
      <c r="CB31" s="80" t="s">
        <v>227</v>
      </c>
      <c r="CC31" s="80" t="s">
        <v>227</v>
      </c>
      <c r="CD31" s="80" t="s">
        <v>227</v>
      </c>
      <c r="CE31" s="80" t="s">
        <v>227</v>
      </c>
      <c r="CF31" s="80" t="s">
        <v>227</v>
      </c>
      <c r="CG31" s="80" t="s">
        <v>227</v>
      </c>
      <c r="CH31" s="80" t="s">
        <v>227</v>
      </c>
      <c r="CI31" s="80" t="s">
        <v>227</v>
      </c>
      <c r="CJ31" s="80" t="s">
        <v>227</v>
      </c>
      <c r="CK31" s="80" t="s">
        <v>227</v>
      </c>
      <c r="CL31" s="80" t="s">
        <v>227</v>
      </c>
      <c r="CM31" s="80" t="s">
        <v>227</v>
      </c>
      <c r="CN31" s="80" t="s">
        <v>227</v>
      </c>
      <c r="CO31" s="80" t="s">
        <v>227</v>
      </c>
      <c r="CP31" s="80" t="s">
        <v>227</v>
      </c>
      <c r="CQ31" s="80" t="s">
        <v>227</v>
      </c>
      <c r="CR31" s="80" t="s">
        <v>227</v>
      </c>
      <c r="CS31" s="80" t="s">
        <v>227</v>
      </c>
      <c r="CT31" s="80" t="s">
        <v>227</v>
      </c>
      <c r="CU31" s="80" t="s">
        <v>227</v>
      </c>
      <c r="CV31" s="80" t="s">
        <v>227</v>
      </c>
      <c r="CW31" s="80" t="s">
        <v>227</v>
      </c>
      <c r="CX31" s="80" t="s">
        <v>227</v>
      </c>
      <c r="CY31" s="80" t="s">
        <v>227</v>
      </c>
      <c r="CZ31" s="80" t="s">
        <v>227</v>
      </c>
      <c r="DA31" s="80" t="s">
        <v>227</v>
      </c>
      <c r="DB31" s="80" t="s">
        <v>227</v>
      </c>
      <c r="DC31" s="80" t="s">
        <v>227</v>
      </c>
      <c r="DD31" s="80" t="s">
        <v>227</v>
      </c>
      <c r="DE31" s="80" t="s">
        <v>227</v>
      </c>
      <c r="DF31" s="80" t="s">
        <v>227</v>
      </c>
      <c r="DG31" s="80" t="s">
        <v>227</v>
      </c>
      <c r="DH31" s="80" t="s">
        <v>227</v>
      </c>
      <c r="DI31" s="80" t="s">
        <v>227</v>
      </c>
      <c r="DJ31" s="80" t="s">
        <v>227</v>
      </c>
      <c r="DK31" s="80" t="s">
        <v>227</v>
      </c>
      <c r="DL31" s="80" t="s">
        <v>227</v>
      </c>
      <c r="DM31" s="80" t="s">
        <v>227</v>
      </c>
      <c r="DN31" s="80" t="s">
        <v>227</v>
      </c>
      <c r="DO31" s="80" t="s">
        <v>227</v>
      </c>
      <c r="DP31" s="80" t="s">
        <v>227</v>
      </c>
      <c r="DQ31" s="80" t="s">
        <v>227</v>
      </c>
      <c r="DR31" s="80" t="s">
        <v>227</v>
      </c>
      <c r="DS31" s="80" t="s">
        <v>227</v>
      </c>
      <c r="DT31" s="80" t="s">
        <v>227</v>
      </c>
      <c r="DU31" s="80" t="s">
        <v>227</v>
      </c>
      <c r="DV31" s="80" t="s">
        <v>227</v>
      </c>
      <c r="DW31" s="80" t="s">
        <v>227</v>
      </c>
      <c r="DX31" s="80" t="s">
        <v>227</v>
      </c>
      <c r="DY31" s="80" t="s">
        <v>227</v>
      </c>
      <c r="DZ31" s="80" t="s">
        <v>227</v>
      </c>
      <c r="EA31" s="80" t="s">
        <v>227</v>
      </c>
      <c r="EB31" s="80" t="s">
        <v>227</v>
      </c>
      <c r="EC31" s="80" t="s">
        <v>227</v>
      </c>
      <c r="ED31" s="80" t="s">
        <v>227</v>
      </c>
      <c r="EE31" s="80" t="s">
        <v>227</v>
      </c>
      <c r="EF31" s="80" t="s">
        <v>227</v>
      </c>
      <c r="EG31" s="80" t="s">
        <v>227</v>
      </c>
      <c r="EH31" s="80" t="s">
        <v>227</v>
      </c>
      <c r="EI31" s="80" t="s">
        <v>227</v>
      </c>
      <c r="EJ31" s="80" t="s">
        <v>227</v>
      </c>
      <c r="EK31" s="80" t="s">
        <v>227</v>
      </c>
      <c r="EL31" s="80" t="s">
        <v>227</v>
      </c>
      <c r="EM31" s="80" t="s">
        <v>227</v>
      </c>
      <c r="EN31" s="80" t="s">
        <v>227</v>
      </c>
      <c r="EO31" s="80" t="s">
        <v>227</v>
      </c>
      <c r="EP31" s="80" t="s">
        <v>227</v>
      </c>
      <c r="EQ31" s="80" t="s">
        <v>227</v>
      </c>
      <c r="ER31" s="80" t="s">
        <v>227</v>
      </c>
      <c r="ES31" s="80" t="s">
        <v>227</v>
      </c>
      <c r="ET31" s="80" t="s">
        <v>227</v>
      </c>
      <c r="EU31" s="80" t="s">
        <v>227</v>
      </c>
      <c r="EV31" s="166" t="s">
        <v>227</v>
      </c>
      <c r="EW31" s="80" t="s">
        <v>227</v>
      </c>
      <c r="EX31" s="80" t="s">
        <v>227</v>
      </c>
      <c r="EY31" s="166" t="s">
        <v>227</v>
      </c>
      <c r="EZ31" s="80" t="s">
        <v>227</v>
      </c>
      <c r="FA31" s="80" t="s">
        <v>227</v>
      </c>
      <c r="FB31" s="147" t="s">
        <v>227</v>
      </c>
      <c r="FC31" s="80" t="s">
        <v>227</v>
      </c>
      <c r="FD31" s="80" t="s">
        <v>227</v>
      </c>
      <c r="FE31" s="80" t="s">
        <v>227</v>
      </c>
      <c r="FF31" s="80" t="s">
        <v>227</v>
      </c>
      <c r="FG31" s="80" t="s">
        <v>227</v>
      </c>
      <c r="FH31" s="80" t="s">
        <v>227</v>
      </c>
      <c r="FI31" s="80" t="s">
        <v>227</v>
      </c>
      <c r="FJ31" s="80" t="s">
        <v>227</v>
      </c>
      <c r="FK31" s="80" t="s">
        <v>227</v>
      </c>
      <c r="FL31" s="80" t="s">
        <v>227</v>
      </c>
      <c r="FM31" s="80" t="s">
        <v>227</v>
      </c>
      <c r="FN31" s="80" t="s">
        <v>227</v>
      </c>
      <c r="FO31" s="80" t="s">
        <v>227</v>
      </c>
      <c r="FP31" s="80" t="s">
        <v>227</v>
      </c>
      <c r="FQ31" s="80" t="s">
        <v>227</v>
      </c>
      <c r="FR31" s="80" t="s">
        <v>227</v>
      </c>
      <c r="FS31" s="80" t="s">
        <v>227</v>
      </c>
      <c r="FT31" s="80" t="s">
        <v>227</v>
      </c>
      <c r="FU31" s="80" t="s">
        <v>227</v>
      </c>
      <c r="FV31" s="80" t="s">
        <v>227</v>
      </c>
      <c r="FW31" s="80" t="s">
        <v>227</v>
      </c>
      <c r="FX31" s="80" t="s">
        <v>227</v>
      </c>
      <c r="FY31" s="80" t="s">
        <v>227</v>
      </c>
      <c r="FZ31" s="80" t="s">
        <v>227</v>
      </c>
      <c r="GA31" s="80" t="s">
        <v>227</v>
      </c>
      <c r="GB31" s="80" t="s">
        <v>227</v>
      </c>
      <c r="GC31" s="80" t="s">
        <v>227</v>
      </c>
      <c r="GD31" s="80" t="s">
        <v>227</v>
      </c>
      <c r="GE31" s="80" t="s">
        <v>227</v>
      </c>
      <c r="GF31" s="167" t="s">
        <v>312</v>
      </c>
      <c r="GG31" s="78" t="s">
        <v>227</v>
      </c>
      <c r="GH31" s="74" t="s">
        <v>227</v>
      </c>
      <c r="GI31" s="80" t="s">
        <v>227</v>
      </c>
      <c r="GJ31" s="78">
        <v>45614</v>
      </c>
      <c r="GK31" s="78">
        <v>46084</v>
      </c>
      <c r="GL31" s="78" t="s">
        <v>227</v>
      </c>
      <c r="GM31" s="159" t="str">
        <f t="shared" si="7"/>
        <v>N/A</v>
      </c>
      <c r="GN31" s="159" t="str">
        <f t="shared" si="8"/>
        <v>N/A</v>
      </c>
      <c r="GO31" s="159">
        <f t="shared" si="9"/>
        <v>2.5666666666666669</v>
      </c>
      <c r="GP31" s="159" t="str">
        <f t="shared" si="10"/>
        <v>N/A</v>
      </c>
      <c r="GQ31" s="159" t="str">
        <f t="shared" si="23"/>
        <v>N/A</v>
      </c>
      <c r="GR31" s="159" t="str">
        <f t="shared" si="24"/>
        <v>N/A</v>
      </c>
      <c r="GS31" s="159" t="str">
        <f t="shared" si="11"/>
        <v>N/A</v>
      </c>
      <c r="GT31" s="159" t="str">
        <f t="shared" si="12"/>
        <v>N/A</v>
      </c>
      <c r="GU31" s="159" t="str">
        <f t="shared" si="13"/>
        <v>N/A</v>
      </c>
      <c r="GV31" s="159" t="str">
        <f t="shared" si="14"/>
        <v>N/A</v>
      </c>
      <c r="GW31" s="159" t="str">
        <f t="shared" si="15"/>
        <v>N/A</v>
      </c>
      <c r="GX31" s="159" t="str">
        <f t="shared" si="16"/>
        <v>N/A</v>
      </c>
      <c r="GY31" s="159" t="str">
        <f t="shared" si="17"/>
        <v>N/A</v>
      </c>
      <c r="GZ31" s="159" t="str">
        <f t="shared" si="18"/>
        <v>N/A</v>
      </c>
      <c r="HA31" s="159" t="str">
        <f t="shared" si="19"/>
        <v>N/A</v>
      </c>
      <c r="HB31" s="159" t="str">
        <f t="shared" si="1"/>
        <v>N/A</v>
      </c>
      <c r="HC31" s="159" t="str">
        <f t="shared" si="20"/>
        <v>N/A</v>
      </c>
      <c r="HD31" s="159">
        <f t="shared" si="21"/>
        <v>45.833333333333336</v>
      </c>
      <c r="HE31" s="159">
        <f t="shared" si="22"/>
        <v>61.5</v>
      </c>
      <c r="HF31" s="160">
        <f t="shared" si="2"/>
        <v>61.5</v>
      </c>
      <c r="HG31" s="160" cm="1">
        <f t="array" ref="HG31">INDEX($HB31:$HD31,MATCH(TRUE,INDEX(ISNUMBER($HB31:$HD31),0),0))</f>
        <v>45.833333333333336</v>
      </c>
      <c r="HH31" s="161">
        <f t="shared" si="3"/>
        <v>0</v>
      </c>
      <c r="HI31" s="86">
        <f t="shared" si="4"/>
        <v>0</v>
      </c>
      <c r="HJ31" s="111">
        <f t="shared" si="5"/>
        <v>0</v>
      </c>
      <c r="HK31" s="205" t="str">
        <f t="shared" si="6"/>
        <v>0</v>
      </c>
    </row>
    <row r="32" spans="1:219" ht="15" customHeight="1" x14ac:dyDescent="0.3">
      <c r="A32" s="80">
        <v>4942549604</v>
      </c>
      <c r="B32" s="74" t="s">
        <v>220</v>
      </c>
      <c r="C32" s="74" t="s">
        <v>221</v>
      </c>
      <c r="D32" s="74" t="s">
        <v>220</v>
      </c>
      <c r="E32" s="80" t="s">
        <v>420</v>
      </c>
      <c r="F32" s="80" t="s">
        <v>337</v>
      </c>
      <c r="G32" s="80" t="s">
        <v>227</v>
      </c>
      <c r="H32" s="78">
        <v>44337</v>
      </c>
      <c r="I32" s="80" t="s">
        <v>421</v>
      </c>
      <c r="J32" s="80" t="s">
        <v>226</v>
      </c>
      <c r="K32" s="78" t="s">
        <v>227</v>
      </c>
      <c r="L32" s="80" t="s">
        <v>227</v>
      </c>
      <c r="M32" s="80" t="s">
        <v>227</v>
      </c>
      <c r="N32" s="80" t="s">
        <v>227</v>
      </c>
      <c r="O32" s="80" t="s">
        <v>227</v>
      </c>
      <c r="P32" s="80" t="s">
        <v>227</v>
      </c>
      <c r="Q32" s="80" t="s">
        <v>227</v>
      </c>
      <c r="R32" s="80" t="s">
        <v>227</v>
      </c>
      <c r="S32" s="80" t="s">
        <v>227</v>
      </c>
      <c r="T32" s="80" t="s">
        <v>227</v>
      </c>
      <c r="U32" s="80" t="s">
        <v>227</v>
      </c>
      <c r="V32" s="80" t="s">
        <v>227</v>
      </c>
      <c r="W32" s="80" t="s">
        <v>227</v>
      </c>
      <c r="X32" s="80" t="s">
        <v>227</v>
      </c>
      <c r="Y32" s="80" t="s">
        <v>227</v>
      </c>
      <c r="Z32" s="80" t="s">
        <v>227</v>
      </c>
      <c r="AA32" s="80" t="s">
        <v>227</v>
      </c>
      <c r="AB32" s="80" t="s">
        <v>227</v>
      </c>
      <c r="AC32" s="80" t="s">
        <v>227</v>
      </c>
      <c r="AD32" s="80" t="s">
        <v>227</v>
      </c>
      <c r="AE32" s="80" t="s">
        <v>227</v>
      </c>
      <c r="AF32" s="80" t="s">
        <v>227</v>
      </c>
      <c r="AG32" s="80" t="s">
        <v>227</v>
      </c>
      <c r="AH32" s="80" t="s">
        <v>227</v>
      </c>
      <c r="AI32" s="80" t="s">
        <v>227</v>
      </c>
      <c r="AJ32" s="80" t="s">
        <v>227</v>
      </c>
      <c r="AK32" s="80" t="s">
        <v>227</v>
      </c>
      <c r="AL32" s="80" t="s">
        <v>227</v>
      </c>
      <c r="AM32" s="80" t="s">
        <v>227</v>
      </c>
      <c r="AN32" s="80" t="s">
        <v>227</v>
      </c>
      <c r="AO32" s="80" t="s">
        <v>227</v>
      </c>
      <c r="AP32" s="80" t="s">
        <v>227</v>
      </c>
      <c r="AQ32" s="80" t="s">
        <v>228</v>
      </c>
      <c r="AR32" s="78">
        <v>16605</v>
      </c>
      <c r="AS32" s="78">
        <v>44295</v>
      </c>
      <c r="AT32" s="148">
        <f t="shared" si="0"/>
        <v>75</v>
      </c>
      <c r="AU32" s="164" t="s">
        <v>229</v>
      </c>
      <c r="AV32" s="74" t="s">
        <v>230</v>
      </c>
      <c r="AW32" s="74" t="s">
        <v>241</v>
      </c>
      <c r="AX32" s="80" t="s">
        <v>264</v>
      </c>
      <c r="AY32" s="80">
        <v>0</v>
      </c>
      <c r="AZ32" s="80">
        <v>0</v>
      </c>
      <c r="BA32" s="80">
        <f t="shared" si="45"/>
        <v>0</v>
      </c>
      <c r="BB32" s="80" t="s">
        <v>265</v>
      </c>
      <c r="BC32" s="80">
        <v>3</v>
      </c>
      <c r="BD32" s="74" t="s">
        <v>243</v>
      </c>
      <c r="BE32" s="80" t="s">
        <v>244</v>
      </c>
      <c r="BF32" s="74" t="s">
        <v>220</v>
      </c>
      <c r="BG32" s="165" t="s">
        <v>227</v>
      </c>
      <c r="BH32" s="166" t="s">
        <v>227</v>
      </c>
      <c r="BI32" s="80" t="s">
        <v>227</v>
      </c>
      <c r="BJ32" s="78" t="s">
        <v>227</v>
      </c>
      <c r="BK32" s="78" t="s">
        <v>227</v>
      </c>
      <c r="BL32" s="80" t="s">
        <v>227</v>
      </c>
      <c r="BM32" s="166" t="s">
        <v>227</v>
      </c>
      <c r="BN32" s="80" t="s">
        <v>227</v>
      </c>
      <c r="BO32" s="80" t="s">
        <v>227</v>
      </c>
      <c r="BP32" s="166" t="s">
        <v>227</v>
      </c>
      <c r="BQ32" s="80" t="s">
        <v>227</v>
      </c>
      <c r="BR32" s="80" t="s">
        <v>227</v>
      </c>
      <c r="BS32" s="80" t="s">
        <v>227</v>
      </c>
      <c r="BT32" s="80" t="s">
        <v>227</v>
      </c>
      <c r="BU32" s="80" t="s">
        <v>227</v>
      </c>
      <c r="BV32" s="80" t="s">
        <v>227</v>
      </c>
      <c r="BW32" s="80" t="s">
        <v>227</v>
      </c>
      <c r="BX32" s="80" t="s">
        <v>227</v>
      </c>
      <c r="BY32" s="80" t="s">
        <v>227</v>
      </c>
      <c r="BZ32" s="80" t="s">
        <v>227</v>
      </c>
      <c r="CA32" s="80" t="s">
        <v>227</v>
      </c>
      <c r="CB32" s="80" t="s">
        <v>227</v>
      </c>
      <c r="CC32" s="80" t="s">
        <v>227</v>
      </c>
      <c r="CD32" s="80" t="s">
        <v>227</v>
      </c>
      <c r="CE32" s="80" t="s">
        <v>227</v>
      </c>
      <c r="CF32" s="80" t="s">
        <v>227</v>
      </c>
      <c r="CG32" s="80" t="s">
        <v>227</v>
      </c>
      <c r="CH32" s="80" t="s">
        <v>227</v>
      </c>
      <c r="CI32" s="80" t="s">
        <v>227</v>
      </c>
      <c r="CJ32" s="80" t="s">
        <v>227</v>
      </c>
      <c r="CK32" s="80" t="s">
        <v>227</v>
      </c>
      <c r="CL32" s="80" t="s">
        <v>227</v>
      </c>
      <c r="CM32" s="80" t="s">
        <v>227</v>
      </c>
      <c r="CN32" s="166" t="s">
        <v>246</v>
      </c>
      <c r="CO32" s="80" t="s">
        <v>378</v>
      </c>
      <c r="CP32" s="78">
        <v>44397</v>
      </c>
      <c r="CQ32" s="78">
        <v>44404</v>
      </c>
      <c r="CR32" s="80" t="s">
        <v>227</v>
      </c>
      <c r="CS32" s="80" t="s">
        <v>227</v>
      </c>
      <c r="CT32" s="80" t="s">
        <v>227</v>
      </c>
      <c r="CU32" s="80" t="s">
        <v>227</v>
      </c>
      <c r="CV32" s="80" t="s">
        <v>227</v>
      </c>
      <c r="CW32" s="80" t="s">
        <v>227</v>
      </c>
      <c r="CX32" s="80" t="s">
        <v>227</v>
      </c>
      <c r="CY32" s="80" t="s">
        <v>227</v>
      </c>
      <c r="CZ32" s="80" t="s">
        <v>227</v>
      </c>
      <c r="DA32" s="80" t="s">
        <v>227</v>
      </c>
      <c r="DB32" s="80" t="s">
        <v>227</v>
      </c>
      <c r="DC32" s="80" t="s">
        <v>227</v>
      </c>
      <c r="DD32" s="80" t="s">
        <v>227</v>
      </c>
      <c r="DE32" s="80" t="s">
        <v>227</v>
      </c>
      <c r="DF32" s="80" t="s">
        <v>227</v>
      </c>
      <c r="DG32" s="80" t="s">
        <v>227</v>
      </c>
      <c r="DH32" s="80" t="s">
        <v>227</v>
      </c>
      <c r="DI32" s="80" t="s">
        <v>227</v>
      </c>
      <c r="DJ32" s="80" t="s">
        <v>227</v>
      </c>
      <c r="DK32" s="80" t="s">
        <v>227</v>
      </c>
      <c r="DL32" s="80" t="s">
        <v>227</v>
      </c>
      <c r="DM32" s="80" t="s">
        <v>227</v>
      </c>
      <c r="DN32" s="80" t="s">
        <v>227</v>
      </c>
      <c r="DO32" s="80" t="s">
        <v>227</v>
      </c>
      <c r="DP32" s="80" t="s">
        <v>227</v>
      </c>
      <c r="DQ32" s="80" t="s">
        <v>227</v>
      </c>
      <c r="DR32" s="80" t="s">
        <v>227</v>
      </c>
      <c r="DS32" s="80" t="s">
        <v>227</v>
      </c>
      <c r="DT32" s="80" t="s">
        <v>227</v>
      </c>
      <c r="DU32" s="80" t="s">
        <v>227</v>
      </c>
      <c r="DV32" s="80" t="s">
        <v>227</v>
      </c>
      <c r="DW32" s="80" t="s">
        <v>227</v>
      </c>
      <c r="DX32" s="80" t="s">
        <v>227</v>
      </c>
      <c r="DY32" s="80" t="s">
        <v>227</v>
      </c>
      <c r="DZ32" s="80" t="s">
        <v>227</v>
      </c>
      <c r="EA32" s="80" t="s">
        <v>227</v>
      </c>
      <c r="EB32" s="80" t="s">
        <v>227</v>
      </c>
      <c r="EC32" s="80" t="s">
        <v>227</v>
      </c>
      <c r="ED32" s="80" t="s">
        <v>227</v>
      </c>
      <c r="EE32" s="80" t="s">
        <v>227</v>
      </c>
      <c r="EF32" s="80" t="s">
        <v>227</v>
      </c>
      <c r="EG32" s="80" t="s">
        <v>227</v>
      </c>
      <c r="EH32" s="80" t="s">
        <v>227</v>
      </c>
      <c r="EI32" s="80" t="s">
        <v>227</v>
      </c>
      <c r="EJ32" s="80" t="s">
        <v>227</v>
      </c>
      <c r="EK32" s="80" t="s">
        <v>227</v>
      </c>
      <c r="EL32" s="80" t="s">
        <v>227</v>
      </c>
      <c r="EM32" s="80" t="s">
        <v>227</v>
      </c>
      <c r="EN32" s="80" t="s">
        <v>227</v>
      </c>
      <c r="EO32" s="80" t="s">
        <v>227</v>
      </c>
      <c r="EP32" s="80" t="s">
        <v>227</v>
      </c>
      <c r="EQ32" s="80" t="s">
        <v>227</v>
      </c>
      <c r="ER32" s="80" t="s">
        <v>227</v>
      </c>
      <c r="ES32" s="80" t="s">
        <v>227</v>
      </c>
      <c r="ET32" s="80" t="s">
        <v>227</v>
      </c>
      <c r="EU32" s="80" t="s">
        <v>227</v>
      </c>
      <c r="EV32" s="80" t="s">
        <v>227</v>
      </c>
      <c r="EW32" s="80" t="s">
        <v>227</v>
      </c>
      <c r="EX32" s="80" t="s">
        <v>227</v>
      </c>
      <c r="EY32" s="80" t="s">
        <v>227</v>
      </c>
      <c r="EZ32" s="80" t="s">
        <v>227</v>
      </c>
      <c r="FA32" s="80" t="s">
        <v>227</v>
      </c>
      <c r="FB32" s="147" t="s">
        <v>227</v>
      </c>
      <c r="FC32" s="80" t="s">
        <v>227</v>
      </c>
      <c r="FD32" s="80" t="s">
        <v>227</v>
      </c>
      <c r="FE32" s="80" t="s">
        <v>227</v>
      </c>
      <c r="FF32" s="80" t="s">
        <v>227</v>
      </c>
      <c r="FG32" s="80" t="s">
        <v>227</v>
      </c>
      <c r="FH32" s="80" t="s">
        <v>227</v>
      </c>
      <c r="FI32" s="80" t="s">
        <v>227</v>
      </c>
      <c r="FJ32" s="80" t="s">
        <v>227</v>
      </c>
      <c r="FK32" s="80" t="s">
        <v>227</v>
      </c>
      <c r="FL32" s="80" t="s">
        <v>227</v>
      </c>
      <c r="FM32" s="80" t="s">
        <v>227</v>
      </c>
      <c r="FN32" s="80" t="s">
        <v>227</v>
      </c>
      <c r="FO32" s="80" t="s">
        <v>227</v>
      </c>
      <c r="FP32" s="80" t="s">
        <v>227</v>
      </c>
      <c r="FQ32" s="80" t="s">
        <v>227</v>
      </c>
      <c r="FR32" s="80" t="s">
        <v>227</v>
      </c>
      <c r="FS32" s="80" t="s">
        <v>227</v>
      </c>
      <c r="FT32" s="80" t="s">
        <v>227</v>
      </c>
      <c r="FU32" s="80" t="s">
        <v>227</v>
      </c>
      <c r="FV32" s="80" t="s">
        <v>227</v>
      </c>
      <c r="FW32" s="80" t="s">
        <v>227</v>
      </c>
      <c r="FX32" s="80" t="s">
        <v>227</v>
      </c>
      <c r="FY32" s="80" t="s">
        <v>227</v>
      </c>
      <c r="FZ32" s="80" t="s">
        <v>227</v>
      </c>
      <c r="GA32" s="80" t="s">
        <v>227</v>
      </c>
      <c r="GB32" s="80" t="s">
        <v>227</v>
      </c>
      <c r="GC32" s="80" t="s">
        <v>227</v>
      </c>
      <c r="GD32" s="80" t="s">
        <v>227</v>
      </c>
      <c r="GE32" s="80" t="s">
        <v>227</v>
      </c>
      <c r="GF32" s="167" t="s">
        <v>312</v>
      </c>
      <c r="GG32" s="78" t="s">
        <v>227</v>
      </c>
      <c r="GH32" s="74" t="s">
        <v>227</v>
      </c>
      <c r="GI32" s="80" t="s">
        <v>227</v>
      </c>
      <c r="GJ32" s="78">
        <v>44662</v>
      </c>
      <c r="GK32" s="156">
        <v>46172</v>
      </c>
      <c r="GL32" s="78" t="s">
        <v>227</v>
      </c>
      <c r="GM32" s="159" t="str">
        <f t="shared" si="7"/>
        <v>N/A</v>
      </c>
      <c r="GN32" s="159" t="str">
        <f t="shared" si="8"/>
        <v>N/A</v>
      </c>
      <c r="GO32" s="159">
        <f t="shared" si="9"/>
        <v>1.4</v>
      </c>
      <c r="GP32" s="159" t="str">
        <f t="shared" si="10"/>
        <v>N/A</v>
      </c>
      <c r="GQ32" s="159" t="str">
        <f t="shared" si="23"/>
        <v>N/A</v>
      </c>
      <c r="GR32" s="159" t="str">
        <f t="shared" si="24"/>
        <v>N/A</v>
      </c>
      <c r="GS32" s="159" t="str">
        <f t="shared" si="11"/>
        <v>N/A</v>
      </c>
      <c r="GT32" s="159" t="str">
        <f t="shared" si="12"/>
        <v>N/A</v>
      </c>
      <c r="GU32" s="159" t="str">
        <f t="shared" si="13"/>
        <v>N/A</v>
      </c>
      <c r="GV32" s="159" t="str">
        <f t="shared" si="14"/>
        <v>N/A</v>
      </c>
      <c r="GW32" s="159">
        <f t="shared" si="15"/>
        <v>3.4</v>
      </c>
      <c r="GX32" s="159">
        <f t="shared" si="16"/>
        <v>3.6333333333333333</v>
      </c>
      <c r="GY32" s="159" t="str">
        <f t="shared" si="17"/>
        <v>N/A</v>
      </c>
      <c r="GZ32" s="159" t="str">
        <f t="shared" si="18"/>
        <v>N/A</v>
      </c>
      <c r="HA32" s="159" t="str">
        <f t="shared" si="19"/>
        <v>N/A</v>
      </c>
      <c r="HB32" s="159" t="str">
        <f t="shared" si="1"/>
        <v>N/A</v>
      </c>
      <c r="HC32" s="159" t="str">
        <f t="shared" si="20"/>
        <v>N/A</v>
      </c>
      <c r="HD32" s="159">
        <f t="shared" si="21"/>
        <v>12.233333333333333</v>
      </c>
      <c r="HE32" s="159">
        <f t="shared" si="22"/>
        <v>62.56666666666667</v>
      </c>
      <c r="HF32" s="160">
        <f t="shared" si="2"/>
        <v>62.56666666666667</v>
      </c>
      <c r="HG32" s="160" cm="1">
        <f t="array" ref="HG32">INDEX($HB32:$HD32,MATCH(TRUE,INDEX(ISNUMBER($HB32:$HD32),0),0))</f>
        <v>12.233333333333333</v>
      </c>
      <c r="HH32" s="161">
        <f t="shared" si="3"/>
        <v>0</v>
      </c>
      <c r="HI32" s="86">
        <f t="shared" si="4"/>
        <v>0</v>
      </c>
      <c r="HJ32" s="111">
        <f t="shared" si="5"/>
        <v>0</v>
      </c>
      <c r="HK32" s="205" t="str">
        <f t="shared" si="6"/>
        <v>0</v>
      </c>
    </row>
    <row r="33" spans="1:219" ht="15" customHeight="1" x14ac:dyDescent="0.3">
      <c r="A33" s="80">
        <v>4508003729</v>
      </c>
      <c r="B33" s="74" t="s">
        <v>220</v>
      </c>
      <c r="C33" s="74" t="s">
        <v>221</v>
      </c>
      <c r="D33" s="74" t="s">
        <v>220</v>
      </c>
      <c r="E33" s="80" t="s">
        <v>422</v>
      </c>
      <c r="F33" s="80" t="s">
        <v>385</v>
      </c>
      <c r="G33" s="80" t="s">
        <v>227</v>
      </c>
      <c r="H33" s="78">
        <v>44342</v>
      </c>
      <c r="I33" s="80" t="s">
        <v>423</v>
      </c>
      <c r="J33" s="80" t="s">
        <v>226</v>
      </c>
      <c r="K33" s="78" t="s">
        <v>227</v>
      </c>
      <c r="L33" s="80" t="s">
        <v>227</v>
      </c>
      <c r="M33" s="80" t="s">
        <v>422</v>
      </c>
      <c r="N33" s="168" t="s">
        <v>424</v>
      </c>
      <c r="O33" s="80" t="s">
        <v>425</v>
      </c>
      <c r="P33" s="78">
        <v>44342</v>
      </c>
      <c r="Q33" s="74" t="s">
        <v>221</v>
      </c>
      <c r="R33" s="80" t="s">
        <v>227</v>
      </c>
      <c r="S33" s="80" t="s">
        <v>227</v>
      </c>
      <c r="T33" s="80" t="s">
        <v>227</v>
      </c>
      <c r="U33" s="80" t="s">
        <v>227</v>
      </c>
      <c r="V33" s="80" t="s">
        <v>227</v>
      </c>
      <c r="W33" s="80" t="s">
        <v>227</v>
      </c>
      <c r="X33" s="80" t="s">
        <v>227</v>
      </c>
      <c r="Y33" s="80" t="s">
        <v>227</v>
      </c>
      <c r="Z33" s="80" t="s">
        <v>227</v>
      </c>
      <c r="AA33" s="80" t="s">
        <v>227</v>
      </c>
      <c r="AB33" s="80" t="s">
        <v>227</v>
      </c>
      <c r="AC33" s="80" t="s">
        <v>227</v>
      </c>
      <c r="AD33" s="80" t="s">
        <v>227</v>
      </c>
      <c r="AE33" s="80" t="s">
        <v>227</v>
      </c>
      <c r="AF33" s="80" t="s">
        <v>227</v>
      </c>
      <c r="AG33" s="80" t="s">
        <v>227</v>
      </c>
      <c r="AH33" s="80" t="s">
        <v>227</v>
      </c>
      <c r="AI33" s="80" t="s">
        <v>227</v>
      </c>
      <c r="AJ33" s="80" t="s">
        <v>227</v>
      </c>
      <c r="AK33" s="80" t="s">
        <v>227</v>
      </c>
      <c r="AL33" s="80" t="s">
        <v>227</v>
      </c>
      <c r="AM33" s="80" t="s">
        <v>227</v>
      </c>
      <c r="AN33" s="80" t="s">
        <v>227</v>
      </c>
      <c r="AO33" s="80" t="s">
        <v>227</v>
      </c>
      <c r="AP33" s="80" t="s">
        <v>227</v>
      </c>
      <c r="AQ33" s="80" t="s">
        <v>228</v>
      </c>
      <c r="AR33" s="78">
        <v>17258</v>
      </c>
      <c r="AS33" s="78">
        <v>44300</v>
      </c>
      <c r="AT33" s="148">
        <f t="shared" si="0"/>
        <v>74</v>
      </c>
      <c r="AU33" s="164" t="s">
        <v>229</v>
      </c>
      <c r="AV33" s="74" t="s">
        <v>230</v>
      </c>
      <c r="AW33" s="74" t="s">
        <v>241</v>
      </c>
      <c r="AX33" s="80" t="s">
        <v>389</v>
      </c>
      <c r="AY33" s="80">
        <v>2</v>
      </c>
      <c r="AZ33" s="157">
        <v>0</v>
      </c>
      <c r="BA33" s="157">
        <v>0</v>
      </c>
      <c r="BB33" s="157" t="s">
        <v>426</v>
      </c>
      <c r="BC33" s="80">
        <v>2</v>
      </c>
      <c r="BD33" s="74" t="s">
        <v>243</v>
      </c>
      <c r="BE33" s="80" t="s">
        <v>427</v>
      </c>
      <c r="BF33" s="74" t="s">
        <v>220</v>
      </c>
      <c r="BG33" s="165" t="s">
        <v>227</v>
      </c>
      <c r="BH33" s="165" t="s">
        <v>227</v>
      </c>
      <c r="BI33" s="165" t="s">
        <v>227</v>
      </c>
      <c r="BJ33" s="165" t="s">
        <v>227</v>
      </c>
      <c r="BK33" s="165" t="s">
        <v>227</v>
      </c>
      <c r="BL33" s="165" t="s">
        <v>227</v>
      </c>
      <c r="BM33" s="165" t="s">
        <v>227</v>
      </c>
      <c r="BN33" s="165" t="s">
        <v>227</v>
      </c>
      <c r="BO33" s="165" t="s">
        <v>227</v>
      </c>
      <c r="BP33" s="165" t="s">
        <v>227</v>
      </c>
      <c r="BQ33" s="165" t="s">
        <v>227</v>
      </c>
      <c r="BR33" s="165" t="s">
        <v>227</v>
      </c>
      <c r="BS33" s="80" t="s">
        <v>227</v>
      </c>
      <c r="BT33" s="80" t="s">
        <v>227</v>
      </c>
      <c r="BU33" s="80" t="s">
        <v>227</v>
      </c>
      <c r="BV33" s="80" t="s">
        <v>227</v>
      </c>
      <c r="BW33" s="80" t="s">
        <v>227</v>
      </c>
      <c r="BX33" s="80" t="s">
        <v>227</v>
      </c>
      <c r="BY33" s="80" t="s">
        <v>227</v>
      </c>
      <c r="BZ33" s="80" t="s">
        <v>227</v>
      </c>
      <c r="CA33" s="80" t="s">
        <v>227</v>
      </c>
      <c r="CB33" s="80" t="s">
        <v>227</v>
      </c>
      <c r="CC33" s="80" t="s">
        <v>227</v>
      </c>
      <c r="CD33" s="80" t="s">
        <v>227</v>
      </c>
      <c r="CE33" s="80" t="s">
        <v>227</v>
      </c>
      <c r="CF33" s="80" t="s">
        <v>227</v>
      </c>
      <c r="CG33" s="80" t="s">
        <v>227</v>
      </c>
      <c r="CH33" s="80" t="s">
        <v>227</v>
      </c>
      <c r="CI33" s="80" t="s">
        <v>227</v>
      </c>
      <c r="CJ33" s="80" t="s">
        <v>227</v>
      </c>
      <c r="CK33" s="80" t="s">
        <v>227</v>
      </c>
      <c r="CL33" s="80" t="s">
        <v>227</v>
      </c>
      <c r="CM33" s="80" t="s">
        <v>227</v>
      </c>
      <c r="CN33" s="166" t="s">
        <v>249</v>
      </c>
      <c r="CO33" s="80" t="s">
        <v>287</v>
      </c>
      <c r="CP33" s="78">
        <v>44378</v>
      </c>
      <c r="CQ33" s="78">
        <v>44483</v>
      </c>
      <c r="CR33" s="157" t="s">
        <v>227</v>
      </c>
      <c r="CS33" s="166" t="s">
        <v>246</v>
      </c>
      <c r="CT33" s="80" t="s">
        <v>428</v>
      </c>
      <c r="CU33" s="157" t="s">
        <v>227</v>
      </c>
      <c r="CV33" s="80" t="s">
        <v>227</v>
      </c>
      <c r="CW33" s="80" t="s">
        <v>227</v>
      </c>
      <c r="CX33" s="80" t="s">
        <v>227</v>
      </c>
      <c r="CY33" s="80" t="s">
        <v>227</v>
      </c>
      <c r="CZ33" s="80" t="s">
        <v>227</v>
      </c>
      <c r="DA33" s="80" t="s">
        <v>227</v>
      </c>
      <c r="DB33" s="80" t="s">
        <v>227</v>
      </c>
      <c r="DC33" s="80" t="s">
        <v>227</v>
      </c>
      <c r="DD33" s="80" t="s">
        <v>227</v>
      </c>
      <c r="DE33" s="80" t="s">
        <v>227</v>
      </c>
      <c r="DF33" s="80" t="s">
        <v>227</v>
      </c>
      <c r="DG33" s="80" t="s">
        <v>227</v>
      </c>
      <c r="DH33" s="80" t="s">
        <v>227</v>
      </c>
      <c r="DI33" s="80" t="s">
        <v>227</v>
      </c>
      <c r="DJ33" s="80" t="s">
        <v>227</v>
      </c>
      <c r="DK33" s="80" t="s">
        <v>227</v>
      </c>
      <c r="DL33" s="80" t="s">
        <v>227</v>
      </c>
      <c r="DM33" s="80" t="s">
        <v>227</v>
      </c>
      <c r="DN33" s="80" t="s">
        <v>227</v>
      </c>
      <c r="DO33" s="80" t="s">
        <v>227</v>
      </c>
      <c r="DP33" s="80" t="s">
        <v>227</v>
      </c>
      <c r="DQ33" s="80" t="s">
        <v>227</v>
      </c>
      <c r="DR33" s="80" t="s">
        <v>227</v>
      </c>
      <c r="DS33" s="80" t="s">
        <v>227</v>
      </c>
      <c r="DT33" s="80" t="s">
        <v>227</v>
      </c>
      <c r="DU33" s="80" t="s">
        <v>227</v>
      </c>
      <c r="DV33" s="80" t="s">
        <v>227</v>
      </c>
      <c r="DW33" s="80" t="s">
        <v>227</v>
      </c>
      <c r="DX33" s="80" t="s">
        <v>227</v>
      </c>
      <c r="DY33" s="80" t="s">
        <v>227</v>
      </c>
      <c r="DZ33" s="80" t="s">
        <v>227</v>
      </c>
      <c r="EA33" s="80" t="s">
        <v>227</v>
      </c>
      <c r="EB33" s="80" t="s">
        <v>227</v>
      </c>
      <c r="EC33" s="80" t="s">
        <v>227</v>
      </c>
      <c r="ED33" s="80" t="s">
        <v>227</v>
      </c>
      <c r="EE33" s="80" t="s">
        <v>227</v>
      </c>
      <c r="EF33" s="80" t="s">
        <v>227</v>
      </c>
      <c r="EG33" s="80" t="s">
        <v>227</v>
      </c>
      <c r="EH33" s="80" t="s">
        <v>227</v>
      </c>
      <c r="EI33" s="80" t="s">
        <v>227</v>
      </c>
      <c r="EJ33" s="80" t="s">
        <v>227</v>
      </c>
      <c r="EK33" s="80" t="s">
        <v>227</v>
      </c>
      <c r="EL33" s="80" t="s">
        <v>227</v>
      </c>
      <c r="EM33" s="80" t="s">
        <v>227</v>
      </c>
      <c r="EN33" s="80" t="s">
        <v>227</v>
      </c>
      <c r="EO33" s="80" t="s">
        <v>227</v>
      </c>
      <c r="EP33" s="80" t="s">
        <v>227</v>
      </c>
      <c r="EQ33" s="80" t="s">
        <v>227</v>
      </c>
      <c r="ER33" s="80" t="s">
        <v>227</v>
      </c>
      <c r="ES33" s="80" t="s">
        <v>227</v>
      </c>
      <c r="ET33" s="80" t="s">
        <v>227</v>
      </c>
      <c r="EU33" s="80" t="s">
        <v>227</v>
      </c>
      <c r="EV33" s="80" t="s">
        <v>227</v>
      </c>
      <c r="EW33" s="80" t="s">
        <v>227</v>
      </c>
      <c r="EX33" s="80" t="s">
        <v>227</v>
      </c>
      <c r="EY33" s="80" t="s">
        <v>227</v>
      </c>
      <c r="EZ33" s="80" t="s">
        <v>227</v>
      </c>
      <c r="FA33" s="80" t="s">
        <v>227</v>
      </c>
      <c r="FB33" s="147" t="s">
        <v>227</v>
      </c>
      <c r="FC33" s="80" t="s">
        <v>227</v>
      </c>
      <c r="FD33" s="80" t="s">
        <v>227</v>
      </c>
      <c r="FE33" s="80" t="s">
        <v>227</v>
      </c>
      <c r="FF33" s="80" t="s">
        <v>227</v>
      </c>
      <c r="FG33" s="80" t="s">
        <v>227</v>
      </c>
      <c r="FH33" s="80" t="s">
        <v>227</v>
      </c>
      <c r="FI33" s="80" t="s">
        <v>227</v>
      </c>
      <c r="FJ33" s="80" t="s">
        <v>227</v>
      </c>
      <c r="FK33" s="80" t="s">
        <v>227</v>
      </c>
      <c r="FL33" s="80" t="s">
        <v>227</v>
      </c>
      <c r="FM33" s="80" t="s">
        <v>227</v>
      </c>
      <c r="FN33" s="80" t="s">
        <v>227</v>
      </c>
      <c r="FO33" s="80" t="s">
        <v>227</v>
      </c>
      <c r="FP33" s="80" t="s">
        <v>227</v>
      </c>
      <c r="FQ33" s="80" t="s">
        <v>227</v>
      </c>
      <c r="FR33" s="80" t="s">
        <v>227</v>
      </c>
      <c r="FS33" s="80" t="s">
        <v>227</v>
      </c>
      <c r="FT33" s="80" t="s">
        <v>227</v>
      </c>
      <c r="FU33" s="80" t="s">
        <v>227</v>
      </c>
      <c r="FV33" s="80" t="s">
        <v>227</v>
      </c>
      <c r="FW33" s="80" t="s">
        <v>227</v>
      </c>
      <c r="FX33" s="80" t="s">
        <v>227</v>
      </c>
      <c r="FY33" s="80" t="s">
        <v>227</v>
      </c>
      <c r="FZ33" s="80" t="s">
        <v>227</v>
      </c>
      <c r="GA33" s="80" t="s">
        <v>227</v>
      </c>
      <c r="GB33" s="80" t="s">
        <v>227</v>
      </c>
      <c r="GC33" s="80" t="s">
        <v>227</v>
      </c>
      <c r="GD33" s="80" t="s">
        <v>227</v>
      </c>
      <c r="GE33" s="80" t="s">
        <v>227</v>
      </c>
      <c r="GF33" s="167" t="s">
        <v>312</v>
      </c>
      <c r="GG33" s="78" t="s">
        <v>227</v>
      </c>
      <c r="GH33" s="74" t="s">
        <v>227</v>
      </c>
      <c r="GI33" s="80" t="s">
        <v>227</v>
      </c>
      <c r="GJ33" s="78">
        <v>46071</v>
      </c>
      <c r="GK33" s="156">
        <v>46169</v>
      </c>
      <c r="GL33" s="78" t="s">
        <v>227</v>
      </c>
      <c r="GM33" s="159" t="str">
        <f t="shared" si="7"/>
        <v>N/A</v>
      </c>
      <c r="GN33" s="159" t="str">
        <f t="shared" si="8"/>
        <v>N/A</v>
      </c>
      <c r="GO33" s="159">
        <f t="shared" si="9"/>
        <v>1.4</v>
      </c>
      <c r="GP33" s="159" t="str">
        <f t="shared" si="10"/>
        <v>N/A</v>
      </c>
      <c r="GQ33" s="159">
        <f t="shared" si="23"/>
        <v>1.4</v>
      </c>
      <c r="GR33" s="159" t="str">
        <f t="shared" si="24"/>
        <v>N/A</v>
      </c>
      <c r="GS33" s="159" t="str">
        <f t="shared" si="11"/>
        <v>N/A</v>
      </c>
      <c r="GT33" s="159" t="str">
        <f t="shared" si="12"/>
        <v>N/A</v>
      </c>
      <c r="GU33" s="159" t="str">
        <f t="shared" si="13"/>
        <v>N/A</v>
      </c>
      <c r="GV33" s="159" t="str">
        <f t="shared" si="14"/>
        <v>N/A</v>
      </c>
      <c r="GW33" s="159">
        <f t="shared" si="15"/>
        <v>2.6</v>
      </c>
      <c r="GX33" s="159">
        <f t="shared" si="16"/>
        <v>6.1</v>
      </c>
      <c r="GY33" s="159" t="str">
        <f t="shared" si="17"/>
        <v>N/A</v>
      </c>
      <c r="GZ33" s="159" t="str">
        <f t="shared" si="18"/>
        <v>N/A</v>
      </c>
      <c r="HA33" s="159" t="str">
        <f t="shared" si="19"/>
        <v>N/A</v>
      </c>
      <c r="HB33" s="159" t="str">
        <f t="shared" si="1"/>
        <v>N/A</v>
      </c>
      <c r="HC33" s="159" t="str">
        <f t="shared" si="20"/>
        <v>N/A</v>
      </c>
      <c r="HD33" s="159">
        <f t="shared" si="21"/>
        <v>59.033333333333331</v>
      </c>
      <c r="HE33" s="159">
        <f t="shared" si="22"/>
        <v>62.3</v>
      </c>
      <c r="HF33" s="160">
        <f t="shared" si="2"/>
        <v>62.3</v>
      </c>
      <c r="HG33" s="160" cm="1">
        <f t="array" ref="HG33">INDEX($HB33:$HD33,MATCH(TRUE,INDEX(ISNUMBER($HB33:$HD33),0),0))</f>
        <v>59.033333333333331</v>
      </c>
      <c r="HH33" s="161">
        <f t="shared" si="3"/>
        <v>0</v>
      </c>
      <c r="HI33" s="86">
        <f t="shared" si="4"/>
        <v>0</v>
      </c>
      <c r="HJ33" s="111">
        <f t="shared" si="5"/>
        <v>0</v>
      </c>
      <c r="HK33" s="205" t="str">
        <f t="shared" si="6"/>
        <v>0</v>
      </c>
    </row>
    <row r="34" spans="1:219" ht="15" customHeight="1" x14ac:dyDescent="0.3">
      <c r="A34" s="80">
        <v>4303025399</v>
      </c>
      <c r="B34" s="74" t="s">
        <v>220</v>
      </c>
      <c r="C34" s="74" t="s">
        <v>221</v>
      </c>
      <c r="D34" s="74" t="s">
        <v>220</v>
      </c>
      <c r="E34" s="80" t="s">
        <v>429</v>
      </c>
      <c r="F34" s="80" t="s">
        <v>271</v>
      </c>
      <c r="G34" s="80" t="s">
        <v>227</v>
      </c>
      <c r="H34" s="78">
        <v>44349</v>
      </c>
      <c r="I34" s="80" t="s">
        <v>430</v>
      </c>
      <c r="J34" s="80" t="s">
        <v>226</v>
      </c>
      <c r="K34" s="78" t="s">
        <v>227</v>
      </c>
      <c r="L34" s="80" t="s">
        <v>227</v>
      </c>
      <c r="M34" s="80" t="s">
        <v>227</v>
      </c>
      <c r="N34" s="80" t="s">
        <v>227</v>
      </c>
      <c r="O34" s="80" t="s">
        <v>227</v>
      </c>
      <c r="P34" s="80" t="s">
        <v>227</v>
      </c>
      <c r="Q34" s="80" t="s">
        <v>227</v>
      </c>
      <c r="R34" s="80" t="s">
        <v>227</v>
      </c>
      <c r="S34" s="80" t="s">
        <v>227</v>
      </c>
      <c r="T34" s="80" t="s">
        <v>227</v>
      </c>
      <c r="U34" s="80" t="s">
        <v>227</v>
      </c>
      <c r="V34" s="80" t="s">
        <v>227</v>
      </c>
      <c r="W34" s="80" t="s">
        <v>227</v>
      </c>
      <c r="X34" s="80" t="s">
        <v>227</v>
      </c>
      <c r="Y34" s="80" t="s">
        <v>227</v>
      </c>
      <c r="Z34" s="80" t="s">
        <v>227</v>
      </c>
      <c r="AA34" s="80" t="s">
        <v>227</v>
      </c>
      <c r="AB34" s="80" t="s">
        <v>227</v>
      </c>
      <c r="AC34" s="80" t="s">
        <v>227</v>
      </c>
      <c r="AD34" s="80" t="s">
        <v>227</v>
      </c>
      <c r="AE34" s="80" t="s">
        <v>227</v>
      </c>
      <c r="AF34" s="80" t="s">
        <v>227</v>
      </c>
      <c r="AG34" s="80" t="s">
        <v>227</v>
      </c>
      <c r="AH34" s="80" t="s">
        <v>227</v>
      </c>
      <c r="AI34" s="80" t="s">
        <v>227</v>
      </c>
      <c r="AJ34" s="80" t="s">
        <v>227</v>
      </c>
      <c r="AK34" s="80" t="s">
        <v>227</v>
      </c>
      <c r="AL34" s="80" t="s">
        <v>227</v>
      </c>
      <c r="AM34" s="80" t="s">
        <v>227</v>
      </c>
      <c r="AN34" s="80" t="s">
        <v>227</v>
      </c>
      <c r="AO34" s="80" t="s">
        <v>227</v>
      </c>
      <c r="AP34" s="80" t="s">
        <v>227</v>
      </c>
      <c r="AQ34" s="80" t="s">
        <v>228</v>
      </c>
      <c r="AR34" s="78">
        <v>16992</v>
      </c>
      <c r="AS34" s="78">
        <v>44313</v>
      </c>
      <c r="AT34" s="148">
        <f t="shared" si="0"/>
        <v>74</v>
      </c>
      <c r="AU34" s="164" t="s">
        <v>229</v>
      </c>
      <c r="AV34" s="74" t="s">
        <v>230</v>
      </c>
      <c r="AW34" s="74" t="s">
        <v>241</v>
      </c>
      <c r="AX34" s="80" t="s">
        <v>264</v>
      </c>
      <c r="AY34" s="80">
        <v>0</v>
      </c>
      <c r="AZ34" s="80" t="s">
        <v>232</v>
      </c>
      <c r="BA34" s="80">
        <f t="shared" ref="BA34:BA60" si="46">_xlfn.NUMBERVALUE(RIGHT($BB34), ".", ",")</f>
        <v>0</v>
      </c>
      <c r="BB34" s="80" t="s">
        <v>265</v>
      </c>
      <c r="BC34" s="80">
        <v>2</v>
      </c>
      <c r="BD34" s="74" t="s">
        <v>243</v>
      </c>
      <c r="BE34" s="80" t="s">
        <v>273</v>
      </c>
      <c r="BF34" s="74" t="s">
        <v>220</v>
      </c>
      <c r="BG34" s="80" t="s">
        <v>227</v>
      </c>
      <c r="BH34" s="80" t="s">
        <v>227</v>
      </c>
      <c r="BI34" s="80" t="s">
        <v>227</v>
      </c>
      <c r="BJ34" s="80" t="s">
        <v>227</v>
      </c>
      <c r="BK34" s="80" t="s">
        <v>227</v>
      </c>
      <c r="BL34" s="80" t="s">
        <v>227</v>
      </c>
      <c r="BM34" s="80" t="s">
        <v>227</v>
      </c>
      <c r="BN34" s="80" t="s">
        <v>227</v>
      </c>
      <c r="BO34" s="80" t="s">
        <v>227</v>
      </c>
      <c r="BP34" s="166" t="s">
        <v>227</v>
      </c>
      <c r="BQ34" s="80" t="s">
        <v>227</v>
      </c>
      <c r="BR34" s="80" t="s">
        <v>227</v>
      </c>
      <c r="BS34" s="80" t="s">
        <v>227</v>
      </c>
      <c r="BT34" s="80" t="s">
        <v>227</v>
      </c>
      <c r="BU34" s="80" t="s">
        <v>227</v>
      </c>
      <c r="BV34" s="80" t="s">
        <v>227</v>
      </c>
      <c r="BW34" s="80" t="s">
        <v>227</v>
      </c>
      <c r="BX34" s="80" t="s">
        <v>227</v>
      </c>
      <c r="BY34" s="80" t="s">
        <v>227</v>
      </c>
      <c r="BZ34" s="80" t="s">
        <v>227</v>
      </c>
      <c r="CA34" s="80" t="s">
        <v>227</v>
      </c>
      <c r="CB34" s="80" t="s">
        <v>227</v>
      </c>
      <c r="CC34" s="80" t="s">
        <v>227</v>
      </c>
      <c r="CD34" s="80" t="s">
        <v>227</v>
      </c>
      <c r="CE34" s="80" t="s">
        <v>227</v>
      </c>
      <c r="CF34" s="80" t="s">
        <v>227</v>
      </c>
      <c r="CG34" s="80" t="s">
        <v>227</v>
      </c>
      <c r="CH34" s="80" t="s">
        <v>227</v>
      </c>
      <c r="CI34" s="80" t="s">
        <v>227</v>
      </c>
      <c r="CJ34" s="80" t="s">
        <v>227</v>
      </c>
      <c r="CK34" s="80" t="s">
        <v>227</v>
      </c>
      <c r="CL34" s="80" t="s">
        <v>227</v>
      </c>
      <c r="CM34" s="80" t="s">
        <v>227</v>
      </c>
      <c r="CN34" s="166" t="s">
        <v>246</v>
      </c>
      <c r="CO34" s="80" t="s">
        <v>378</v>
      </c>
      <c r="CP34" s="78">
        <v>44397</v>
      </c>
      <c r="CQ34" s="78">
        <v>44404</v>
      </c>
      <c r="CR34" s="80" t="s">
        <v>227</v>
      </c>
      <c r="CS34" s="80" t="s">
        <v>227</v>
      </c>
      <c r="CT34" s="80" t="s">
        <v>227</v>
      </c>
      <c r="CU34" s="80" t="s">
        <v>227</v>
      </c>
      <c r="CV34" s="80" t="s">
        <v>227</v>
      </c>
      <c r="CW34" s="80" t="s">
        <v>227</v>
      </c>
      <c r="CX34" s="80" t="s">
        <v>227</v>
      </c>
      <c r="CY34" s="80" t="s">
        <v>227</v>
      </c>
      <c r="CZ34" s="80" t="s">
        <v>227</v>
      </c>
      <c r="DA34" s="80" t="s">
        <v>227</v>
      </c>
      <c r="DB34" s="80" t="s">
        <v>227</v>
      </c>
      <c r="DC34" s="80" t="s">
        <v>227</v>
      </c>
      <c r="DD34" s="80" t="s">
        <v>227</v>
      </c>
      <c r="DE34" s="80" t="s">
        <v>227</v>
      </c>
      <c r="DF34" s="80" t="s">
        <v>227</v>
      </c>
      <c r="DG34" s="80" t="s">
        <v>227</v>
      </c>
      <c r="DH34" s="80" t="s">
        <v>227</v>
      </c>
      <c r="DI34" s="80" t="s">
        <v>227</v>
      </c>
      <c r="DJ34" s="80" t="s">
        <v>227</v>
      </c>
      <c r="DK34" s="80" t="s">
        <v>227</v>
      </c>
      <c r="DL34" s="80" t="s">
        <v>227</v>
      </c>
      <c r="DM34" s="80" t="s">
        <v>227</v>
      </c>
      <c r="DN34" s="80" t="s">
        <v>227</v>
      </c>
      <c r="DO34" s="80" t="s">
        <v>227</v>
      </c>
      <c r="DP34" s="80" t="s">
        <v>227</v>
      </c>
      <c r="DQ34" s="80" t="s">
        <v>227</v>
      </c>
      <c r="DR34" s="80" t="s">
        <v>227</v>
      </c>
      <c r="DS34" s="80" t="s">
        <v>227</v>
      </c>
      <c r="DT34" s="80" t="s">
        <v>227</v>
      </c>
      <c r="DU34" s="80" t="s">
        <v>227</v>
      </c>
      <c r="DV34" s="80" t="s">
        <v>227</v>
      </c>
      <c r="DW34" s="80" t="s">
        <v>227</v>
      </c>
      <c r="DX34" s="80" t="s">
        <v>227</v>
      </c>
      <c r="DY34" s="80" t="s">
        <v>227</v>
      </c>
      <c r="DZ34" s="80" t="s">
        <v>227</v>
      </c>
      <c r="EA34" s="80" t="s">
        <v>227</v>
      </c>
      <c r="EB34" s="80" t="s">
        <v>227</v>
      </c>
      <c r="EC34" s="80" t="s">
        <v>227</v>
      </c>
      <c r="ED34" s="80" t="s">
        <v>227</v>
      </c>
      <c r="EE34" s="80" t="s">
        <v>227</v>
      </c>
      <c r="EF34" s="80" t="s">
        <v>227</v>
      </c>
      <c r="EG34" s="80" t="s">
        <v>227</v>
      </c>
      <c r="EH34" s="80" t="s">
        <v>227</v>
      </c>
      <c r="EI34" s="80" t="s">
        <v>227</v>
      </c>
      <c r="EJ34" s="80" t="s">
        <v>227</v>
      </c>
      <c r="EK34" s="80" t="s">
        <v>227</v>
      </c>
      <c r="EL34" s="80" t="s">
        <v>227</v>
      </c>
      <c r="EM34" s="80" t="s">
        <v>227</v>
      </c>
      <c r="EN34" s="80" t="s">
        <v>227</v>
      </c>
      <c r="EO34" s="80" t="s">
        <v>227</v>
      </c>
      <c r="EP34" s="80" t="s">
        <v>227</v>
      </c>
      <c r="EQ34" s="80" t="s">
        <v>227</v>
      </c>
      <c r="ER34" s="80" t="s">
        <v>227</v>
      </c>
      <c r="ES34" s="80" t="s">
        <v>227</v>
      </c>
      <c r="ET34" s="80" t="s">
        <v>227</v>
      </c>
      <c r="EU34" s="80" t="s">
        <v>227</v>
      </c>
      <c r="EV34" s="80" t="s">
        <v>227</v>
      </c>
      <c r="EW34" s="80" t="s">
        <v>227</v>
      </c>
      <c r="EX34" s="80" t="s">
        <v>227</v>
      </c>
      <c r="EY34" s="80" t="s">
        <v>227</v>
      </c>
      <c r="EZ34" s="80" t="s">
        <v>227</v>
      </c>
      <c r="FA34" s="80" t="s">
        <v>227</v>
      </c>
      <c r="FB34" s="147" t="s">
        <v>227</v>
      </c>
      <c r="FC34" s="80" t="s">
        <v>227</v>
      </c>
      <c r="FD34" s="80" t="s">
        <v>227</v>
      </c>
      <c r="FE34" s="80" t="s">
        <v>227</v>
      </c>
      <c r="FF34" s="80" t="s">
        <v>227</v>
      </c>
      <c r="FG34" s="80" t="s">
        <v>227</v>
      </c>
      <c r="FH34" s="80" t="s">
        <v>227</v>
      </c>
      <c r="FI34" s="80" t="s">
        <v>227</v>
      </c>
      <c r="FJ34" s="80" t="s">
        <v>227</v>
      </c>
      <c r="FK34" s="80" t="s">
        <v>227</v>
      </c>
      <c r="FL34" s="80" t="s">
        <v>227</v>
      </c>
      <c r="FM34" s="80" t="s">
        <v>227</v>
      </c>
      <c r="FN34" s="80" t="s">
        <v>227</v>
      </c>
      <c r="FO34" s="80" t="s">
        <v>227</v>
      </c>
      <c r="FP34" s="80" t="s">
        <v>227</v>
      </c>
      <c r="FQ34" s="80" t="s">
        <v>227</v>
      </c>
      <c r="FR34" s="80" t="s">
        <v>227</v>
      </c>
      <c r="FS34" s="80" t="s">
        <v>227</v>
      </c>
      <c r="FT34" s="80" t="s">
        <v>227</v>
      </c>
      <c r="FU34" s="80" t="s">
        <v>227</v>
      </c>
      <c r="FV34" s="80" t="s">
        <v>227</v>
      </c>
      <c r="FW34" s="80" t="s">
        <v>227</v>
      </c>
      <c r="FX34" s="80" t="s">
        <v>227</v>
      </c>
      <c r="FY34" s="80" t="s">
        <v>227</v>
      </c>
      <c r="FZ34" s="80" t="s">
        <v>227</v>
      </c>
      <c r="GA34" s="80" t="s">
        <v>227</v>
      </c>
      <c r="GB34" s="80" t="s">
        <v>227</v>
      </c>
      <c r="GC34" s="80" t="s">
        <v>227</v>
      </c>
      <c r="GD34" s="80" t="s">
        <v>227</v>
      </c>
      <c r="GE34" s="80" t="s">
        <v>227</v>
      </c>
      <c r="GF34" s="167" t="s">
        <v>312</v>
      </c>
      <c r="GG34" s="78" t="s">
        <v>227</v>
      </c>
      <c r="GH34" s="74" t="s">
        <v>227</v>
      </c>
      <c r="GI34" s="80" t="s">
        <v>227</v>
      </c>
      <c r="GJ34" s="78">
        <v>45981</v>
      </c>
      <c r="GK34" s="156">
        <v>46182</v>
      </c>
      <c r="GL34" s="78" t="s">
        <v>227</v>
      </c>
      <c r="GM34" s="159" t="str">
        <f t="shared" si="7"/>
        <v>N/A</v>
      </c>
      <c r="GN34" s="159" t="str">
        <f t="shared" si="8"/>
        <v>N/A</v>
      </c>
      <c r="GO34" s="159">
        <f t="shared" si="9"/>
        <v>1.2</v>
      </c>
      <c r="GP34" s="159" t="str">
        <f t="shared" si="10"/>
        <v>N/A</v>
      </c>
      <c r="GQ34" s="159" t="str">
        <f t="shared" si="23"/>
        <v>N/A</v>
      </c>
      <c r="GR34" s="159" t="str">
        <f t="shared" si="24"/>
        <v>N/A</v>
      </c>
      <c r="GS34" s="159" t="str">
        <f t="shared" si="11"/>
        <v>N/A</v>
      </c>
      <c r="GT34" s="159" t="str">
        <f t="shared" si="12"/>
        <v>N/A</v>
      </c>
      <c r="GU34" s="159" t="str">
        <f t="shared" si="13"/>
        <v>N/A</v>
      </c>
      <c r="GV34" s="159" t="str">
        <f t="shared" si="14"/>
        <v>N/A</v>
      </c>
      <c r="GW34" s="159">
        <f t="shared" si="15"/>
        <v>2.8</v>
      </c>
      <c r="GX34" s="159">
        <f t="shared" si="16"/>
        <v>3.0333333333333332</v>
      </c>
      <c r="GY34" s="159" t="str">
        <f t="shared" si="17"/>
        <v>N/A</v>
      </c>
      <c r="GZ34" s="159" t="str">
        <f t="shared" si="18"/>
        <v>N/A</v>
      </c>
      <c r="HA34" s="159" t="str">
        <f t="shared" si="19"/>
        <v>N/A</v>
      </c>
      <c r="HB34" s="159" t="str">
        <f t="shared" si="1"/>
        <v>N/A</v>
      </c>
      <c r="HC34" s="159" t="str">
        <f t="shared" si="20"/>
        <v>N/A</v>
      </c>
      <c r="HD34" s="159">
        <f t="shared" si="21"/>
        <v>55.6</v>
      </c>
      <c r="HE34" s="159">
        <f t="shared" si="22"/>
        <v>62.3</v>
      </c>
      <c r="HF34" s="160">
        <f t="shared" si="2"/>
        <v>62.3</v>
      </c>
      <c r="HG34" s="160" cm="1">
        <f t="array" ref="HG34">INDEX($HB34:$HD34,MATCH(TRUE,INDEX(ISNUMBER($HB34:$HD34),0),0))</f>
        <v>55.6</v>
      </c>
      <c r="HH34" s="161">
        <f t="shared" si="3"/>
        <v>0</v>
      </c>
      <c r="HI34" s="86">
        <f t="shared" si="4"/>
        <v>0</v>
      </c>
      <c r="HJ34" s="111">
        <f t="shared" si="5"/>
        <v>0</v>
      </c>
      <c r="HK34" s="205" t="str">
        <f t="shared" si="6"/>
        <v>0</v>
      </c>
    </row>
    <row r="35" spans="1:219" ht="15" customHeight="1" x14ac:dyDescent="0.3">
      <c r="A35" s="80">
        <v>4422277502</v>
      </c>
      <c r="B35" s="74" t="s">
        <v>220</v>
      </c>
      <c r="C35" s="74" t="s">
        <v>221</v>
      </c>
      <c r="D35" s="74" t="s">
        <v>220</v>
      </c>
      <c r="E35" s="80" t="s">
        <v>431</v>
      </c>
      <c r="F35" s="80" t="s">
        <v>271</v>
      </c>
      <c r="G35" s="80" t="s">
        <v>374</v>
      </c>
      <c r="H35" s="78">
        <v>44364</v>
      </c>
      <c r="I35" s="157" t="s">
        <v>369</v>
      </c>
      <c r="J35" s="80" t="s">
        <v>226</v>
      </c>
      <c r="K35" s="78" t="s">
        <v>227</v>
      </c>
      <c r="L35" s="80" t="s">
        <v>227</v>
      </c>
      <c r="M35" s="80" t="s">
        <v>227</v>
      </c>
      <c r="N35" s="80" t="s">
        <v>227</v>
      </c>
      <c r="O35" s="80" t="s">
        <v>227</v>
      </c>
      <c r="P35" s="80" t="s">
        <v>227</v>
      </c>
      <c r="Q35" s="80" t="s">
        <v>227</v>
      </c>
      <c r="R35" s="80" t="s">
        <v>227</v>
      </c>
      <c r="S35" s="80" t="s">
        <v>227</v>
      </c>
      <c r="T35" s="80" t="s">
        <v>227</v>
      </c>
      <c r="U35" s="80" t="s">
        <v>227</v>
      </c>
      <c r="V35" s="80" t="s">
        <v>227</v>
      </c>
      <c r="W35" s="80" t="s">
        <v>227</v>
      </c>
      <c r="X35" s="80" t="s">
        <v>227</v>
      </c>
      <c r="Y35" s="80" t="s">
        <v>227</v>
      </c>
      <c r="Z35" s="80" t="s">
        <v>227</v>
      </c>
      <c r="AA35" s="80" t="s">
        <v>227</v>
      </c>
      <c r="AB35" s="80" t="s">
        <v>227</v>
      </c>
      <c r="AC35" s="80" t="s">
        <v>227</v>
      </c>
      <c r="AD35" s="80" t="s">
        <v>227</v>
      </c>
      <c r="AE35" s="80" t="s">
        <v>227</v>
      </c>
      <c r="AF35" s="80" t="s">
        <v>227</v>
      </c>
      <c r="AG35" s="80" t="s">
        <v>227</v>
      </c>
      <c r="AH35" s="80" t="s">
        <v>227</v>
      </c>
      <c r="AI35" s="80" t="s">
        <v>227</v>
      </c>
      <c r="AJ35" s="80" t="s">
        <v>227</v>
      </c>
      <c r="AK35" s="80" t="s">
        <v>227</v>
      </c>
      <c r="AL35" s="80" t="s">
        <v>227</v>
      </c>
      <c r="AM35" s="80" t="s">
        <v>227</v>
      </c>
      <c r="AN35" s="80" t="s">
        <v>227</v>
      </c>
      <c r="AO35" s="80" t="s">
        <v>227</v>
      </c>
      <c r="AP35" s="80" t="s">
        <v>227</v>
      </c>
      <c r="AQ35" s="80" t="s">
        <v>228</v>
      </c>
      <c r="AR35" s="78">
        <v>15454</v>
      </c>
      <c r="AS35" s="78">
        <v>44326</v>
      </c>
      <c r="AT35" s="148">
        <f t="shared" si="0"/>
        <v>79</v>
      </c>
      <c r="AU35" s="164" t="s">
        <v>229</v>
      </c>
      <c r="AV35" s="74" t="s">
        <v>230</v>
      </c>
      <c r="AW35" s="74" t="s">
        <v>241</v>
      </c>
      <c r="AX35" s="80" t="s">
        <v>264</v>
      </c>
      <c r="AY35" s="80" t="s">
        <v>232</v>
      </c>
      <c r="AZ35" s="80" t="s">
        <v>232</v>
      </c>
      <c r="BA35" s="80">
        <f t="shared" si="46"/>
        <v>0</v>
      </c>
      <c r="BB35" s="80" t="s">
        <v>396</v>
      </c>
      <c r="BC35" s="80">
        <v>2</v>
      </c>
      <c r="BD35" s="74" t="s">
        <v>243</v>
      </c>
      <c r="BE35" s="80" t="s">
        <v>273</v>
      </c>
      <c r="BF35" s="74" t="s">
        <v>220</v>
      </c>
      <c r="BG35" s="165" t="s">
        <v>227</v>
      </c>
      <c r="BH35" s="166" t="s">
        <v>227</v>
      </c>
      <c r="BI35" s="80" t="s">
        <v>227</v>
      </c>
      <c r="BJ35" s="78" t="s">
        <v>227</v>
      </c>
      <c r="BK35" s="78" t="s">
        <v>227</v>
      </c>
      <c r="BL35" s="80" t="s">
        <v>227</v>
      </c>
      <c r="BM35" s="166" t="s">
        <v>227</v>
      </c>
      <c r="BN35" s="80" t="s">
        <v>227</v>
      </c>
      <c r="BO35" s="80" t="s">
        <v>227</v>
      </c>
      <c r="BP35" s="166" t="s">
        <v>227</v>
      </c>
      <c r="BQ35" s="80" t="s">
        <v>227</v>
      </c>
      <c r="BR35" s="80" t="s">
        <v>227</v>
      </c>
      <c r="BS35" s="80" t="s">
        <v>227</v>
      </c>
      <c r="BT35" s="80" t="s">
        <v>227</v>
      </c>
      <c r="BU35" s="80" t="s">
        <v>227</v>
      </c>
      <c r="BV35" s="80" t="s">
        <v>227</v>
      </c>
      <c r="BW35" s="80" t="s">
        <v>227</v>
      </c>
      <c r="BX35" s="80" t="s">
        <v>227</v>
      </c>
      <c r="BY35" s="80" t="s">
        <v>227</v>
      </c>
      <c r="BZ35" s="80" t="s">
        <v>227</v>
      </c>
      <c r="CA35" s="80" t="s">
        <v>227</v>
      </c>
      <c r="CB35" s="80" t="s">
        <v>227</v>
      </c>
      <c r="CC35" s="80" t="s">
        <v>227</v>
      </c>
      <c r="CD35" s="80" t="s">
        <v>227</v>
      </c>
      <c r="CE35" s="80" t="s">
        <v>227</v>
      </c>
      <c r="CF35" s="80" t="s">
        <v>227</v>
      </c>
      <c r="CG35" s="80" t="s">
        <v>227</v>
      </c>
      <c r="CH35" s="80" t="s">
        <v>227</v>
      </c>
      <c r="CI35" s="80" t="s">
        <v>227</v>
      </c>
      <c r="CJ35" s="80" t="s">
        <v>227</v>
      </c>
      <c r="CK35" s="80" t="s">
        <v>227</v>
      </c>
      <c r="CL35" s="80" t="s">
        <v>227</v>
      </c>
      <c r="CM35" s="80" t="s">
        <v>227</v>
      </c>
      <c r="CN35" s="166" t="s">
        <v>246</v>
      </c>
      <c r="CO35" s="80" t="s">
        <v>378</v>
      </c>
      <c r="CP35" s="78">
        <v>44425</v>
      </c>
      <c r="CQ35" s="78">
        <v>44432</v>
      </c>
      <c r="CR35" s="80" t="s">
        <v>227</v>
      </c>
      <c r="CS35" s="166" t="s">
        <v>227</v>
      </c>
      <c r="CT35" s="80" t="s">
        <v>227</v>
      </c>
      <c r="CU35" s="80" t="s">
        <v>227</v>
      </c>
      <c r="CV35" s="166" t="s">
        <v>227</v>
      </c>
      <c r="CW35" s="80" t="s">
        <v>227</v>
      </c>
      <c r="CX35" s="80" t="s">
        <v>227</v>
      </c>
      <c r="CY35" s="80" t="s">
        <v>227</v>
      </c>
      <c r="CZ35" s="80" t="s">
        <v>227</v>
      </c>
      <c r="DA35" s="80" t="s">
        <v>227</v>
      </c>
      <c r="DB35" s="80" t="s">
        <v>227</v>
      </c>
      <c r="DC35" s="80" t="s">
        <v>227</v>
      </c>
      <c r="DD35" s="80" t="s">
        <v>227</v>
      </c>
      <c r="DE35" s="80" t="s">
        <v>227</v>
      </c>
      <c r="DF35" s="80" t="s">
        <v>227</v>
      </c>
      <c r="DG35" s="80" t="s">
        <v>227</v>
      </c>
      <c r="DH35" s="80" t="s">
        <v>227</v>
      </c>
      <c r="DI35" s="80" t="s">
        <v>227</v>
      </c>
      <c r="DJ35" s="80" t="s">
        <v>227</v>
      </c>
      <c r="DK35" s="80" t="s">
        <v>227</v>
      </c>
      <c r="DL35" s="80" t="s">
        <v>227</v>
      </c>
      <c r="DM35" s="80" t="s">
        <v>227</v>
      </c>
      <c r="DN35" s="80" t="s">
        <v>227</v>
      </c>
      <c r="DO35" s="80" t="s">
        <v>227</v>
      </c>
      <c r="DP35" s="80" t="s">
        <v>227</v>
      </c>
      <c r="DQ35" s="80" t="s">
        <v>227</v>
      </c>
      <c r="DR35" s="80" t="s">
        <v>227</v>
      </c>
      <c r="DS35" s="80" t="s">
        <v>227</v>
      </c>
      <c r="DT35" s="80" t="s">
        <v>227</v>
      </c>
      <c r="DU35" s="80" t="s">
        <v>227</v>
      </c>
      <c r="DV35" s="80" t="s">
        <v>227</v>
      </c>
      <c r="DW35" s="80" t="s">
        <v>227</v>
      </c>
      <c r="DX35" s="80" t="s">
        <v>227</v>
      </c>
      <c r="DY35" s="80" t="s">
        <v>227</v>
      </c>
      <c r="DZ35" s="80" t="s">
        <v>227</v>
      </c>
      <c r="EA35" s="80" t="s">
        <v>227</v>
      </c>
      <c r="EB35" s="80" t="s">
        <v>227</v>
      </c>
      <c r="EC35" s="80" t="s">
        <v>227</v>
      </c>
      <c r="ED35" s="80" t="s">
        <v>227</v>
      </c>
      <c r="EE35" s="80" t="s">
        <v>227</v>
      </c>
      <c r="EF35" s="80" t="s">
        <v>227</v>
      </c>
      <c r="EG35" s="80" t="s">
        <v>227</v>
      </c>
      <c r="EH35" s="80" t="s">
        <v>227</v>
      </c>
      <c r="EI35" s="78">
        <v>44585</v>
      </c>
      <c r="EJ35" s="157" t="s">
        <v>432</v>
      </c>
      <c r="EK35" s="166" t="s">
        <v>227</v>
      </c>
      <c r="EL35" s="80" t="s">
        <v>227</v>
      </c>
      <c r="EM35" s="78" t="s">
        <v>227</v>
      </c>
      <c r="EN35" s="78" t="s">
        <v>227</v>
      </c>
      <c r="EO35" s="80" t="s">
        <v>227</v>
      </c>
      <c r="EP35" s="166" t="s">
        <v>227</v>
      </c>
      <c r="EQ35" s="80" t="s">
        <v>227</v>
      </c>
      <c r="ER35" s="80" t="s">
        <v>227</v>
      </c>
      <c r="ES35" s="166" t="s">
        <v>227</v>
      </c>
      <c r="ET35" s="80" t="s">
        <v>227</v>
      </c>
      <c r="EU35" s="80" t="s">
        <v>227</v>
      </c>
      <c r="EV35" s="166" t="s">
        <v>227</v>
      </c>
      <c r="EW35" s="80" t="s">
        <v>227</v>
      </c>
      <c r="EX35" s="80" t="s">
        <v>227</v>
      </c>
      <c r="EY35" s="166" t="s">
        <v>227</v>
      </c>
      <c r="EZ35" s="80" t="s">
        <v>227</v>
      </c>
      <c r="FA35" s="80" t="s">
        <v>227</v>
      </c>
      <c r="FB35" s="147" t="s">
        <v>227</v>
      </c>
      <c r="FC35" s="80" t="s">
        <v>227</v>
      </c>
      <c r="FD35" s="80" t="s">
        <v>227</v>
      </c>
      <c r="FE35" s="80" t="s">
        <v>227</v>
      </c>
      <c r="FF35" s="80" t="s">
        <v>227</v>
      </c>
      <c r="FG35" s="80" t="s">
        <v>227</v>
      </c>
      <c r="FH35" s="80" t="s">
        <v>227</v>
      </c>
      <c r="FI35" s="80" t="s">
        <v>227</v>
      </c>
      <c r="FJ35" s="80" t="s">
        <v>227</v>
      </c>
      <c r="FK35" s="80" t="s">
        <v>227</v>
      </c>
      <c r="FL35" s="80" t="s">
        <v>227</v>
      </c>
      <c r="FM35" s="80" t="s">
        <v>227</v>
      </c>
      <c r="FN35" s="80" t="s">
        <v>227</v>
      </c>
      <c r="FO35" s="80" t="s">
        <v>227</v>
      </c>
      <c r="FP35" s="80" t="s">
        <v>227</v>
      </c>
      <c r="FQ35" s="80" t="s">
        <v>227</v>
      </c>
      <c r="FR35" s="80" t="s">
        <v>227</v>
      </c>
      <c r="FS35" s="80" t="s">
        <v>227</v>
      </c>
      <c r="FT35" s="80" t="s">
        <v>227</v>
      </c>
      <c r="FU35" s="80" t="s">
        <v>227</v>
      </c>
      <c r="FV35" s="80" t="s">
        <v>227</v>
      </c>
      <c r="FW35" s="80" t="s">
        <v>227</v>
      </c>
      <c r="FX35" s="80" t="s">
        <v>227</v>
      </c>
      <c r="FY35" s="80" t="s">
        <v>227</v>
      </c>
      <c r="FZ35" s="80" t="s">
        <v>227</v>
      </c>
      <c r="GA35" s="80" t="s">
        <v>227</v>
      </c>
      <c r="GB35" s="80" t="s">
        <v>227</v>
      </c>
      <c r="GC35" s="80" t="s">
        <v>227</v>
      </c>
      <c r="GD35" s="80" t="s">
        <v>227</v>
      </c>
      <c r="GE35" s="80" t="s">
        <v>227</v>
      </c>
      <c r="GF35" s="167" t="s">
        <v>236</v>
      </c>
      <c r="GG35" s="78">
        <v>44637</v>
      </c>
      <c r="GH35" s="74" t="s">
        <v>241</v>
      </c>
      <c r="GI35" s="80" t="s">
        <v>231</v>
      </c>
      <c r="GJ35" s="78">
        <v>44614</v>
      </c>
      <c r="GK35" s="78" t="s">
        <v>227</v>
      </c>
      <c r="GL35" s="78" t="s">
        <v>227</v>
      </c>
      <c r="GM35" s="159" t="str">
        <f t="shared" si="7"/>
        <v>N/A</v>
      </c>
      <c r="GN35" s="159" t="str">
        <f t="shared" si="8"/>
        <v>N/A</v>
      </c>
      <c r="GO35" s="159">
        <f t="shared" si="9"/>
        <v>1.2666666666666666</v>
      </c>
      <c r="GP35" s="159" t="str">
        <f t="shared" si="10"/>
        <v>N/A</v>
      </c>
      <c r="GQ35" s="159" t="str">
        <f t="shared" si="23"/>
        <v>N/A</v>
      </c>
      <c r="GR35" s="159" t="str">
        <f t="shared" si="24"/>
        <v>N/A</v>
      </c>
      <c r="GS35" s="159" t="str">
        <f t="shared" si="11"/>
        <v>N/A</v>
      </c>
      <c r="GT35" s="159" t="str">
        <f t="shared" si="12"/>
        <v>N/A</v>
      </c>
      <c r="GU35" s="159" t="str">
        <f t="shared" si="13"/>
        <v>N/A</v>
      </c>
      <c r="GV35" s="159" t="str">
        <f t="shared" si="14"/>
        <v>N/A</v>
      </c>
      <c r="GW35" s="159">
        <f t="shared" si="15"/>
        <v>3.3</v>
      </c>
      <c r="GX35" s="159">
        <f t="shared" si="16"/>
        <v>3.5333333333333332</v>
      </c>
      <c r="GY35" s="159">
        <f t="shared" si="17"/>
        <v>8.6333333333333329</v>
      </c>
      <c r="GZ35" s="159" t="str">
        <f t="shared" si="18"/>
        <v>N/A</v>
      </c>
      <c r="HA35" s="159" t="str">
        <f t="shared" si="19"/>
        <v>N/A</v>
      </c>
      <c r="HB35" s="159">
        <f t="shared" si="1"/>
        <v>8.6333333333333329</v>
      </c>
      <c r="HC35" s="159">
        <f t="shared" si="20"/>
        <v>10.366666666666667</v>
      </c>
      <c r="HD35" s="159">
        <f t="shared" si="21"/>
        <v>9.6</v>
      </c>
      <c r="HE35" s="159" t="str">
        <f t="shared" si="22"/>
        <v>N/A</v>
      </c>
      <c r="HF35" s="160">
        <f t="shared" si="2"/>
        <v>10.366666666666667</v>
      </c>
      <c r="HG35" s="160" cm="1">
        <f t="array" ref="HG35">INDEX($HB35:$HD35,MATCH(TRUE,INDEX(ISNUMBER($HB35:$HD35),0),0))</f>
        <v>8.6333333333333329</v>
      </c>
      <c r="HH35" s="161">
        <f t="shared" si="3"/>
        <v>1</v>
      </c>
      <c r="HI35" s="86">
        <f t="shared" si="4"/>
        <v>1</v>
      </c>
      <c r="HJ35" s="111">
        <f t="shared" si="5"/>
        <v>1</v>
      </c>
      <c r="HK35" s="205" t="str">
        <f t="shared" si="6"/>
        <v>1</v>
      </c>
    </row>
    <row r="36" spans="1:219" ht="15" customHeight="1" x14ac:dyDescent="0.3">
      <c r="A36" s="80">
        <v>6221314097</v>
      </c>
      <c r="B36" s="74" t="s">
        <v>220</v>
      </c>
      <c r="C36" s="74" t="s">
        <v>221</v>
      </c>
      <c r="D36" s="74" t="s">
        <v>220</v>
      </c>
      <c r="E36" s="80" t="s">
        <v>433</v>
      </c>
      <c r="F36" s="80" t="s">
        <v>373</v>
      </c>
      <c r="G36" s="80" t="s">
        <v>227</v>
      </c>
      <c r="H36" s="78">
        <v>44365</v>
      </c>
      <c r="I36" s="80" t="s">
        <v>434</v>
      </c>
      <c r="J36" s="80" t="s">
        <v>226</v>
      </c>
      <c r="K36" s="78" t="s">
        <v>227</v>
      </c>
      <c r="L36" s="80" t="s">
        <v>227</v>
      </c>
      <c r="M36" s="80" t="s">
        <v>227</v>
      </c>
      <c r="N36" s="80" t="s">
        <v>227</v>
      </c>
      <c r="O36" s="80" t="s">
        <v>227</v>
      </c>
      <c r="P36" s="80" t="s">
        <v>227</v>
      </c>
      <c r="Q36" s="80" t="s">
        <v>227</v>
      </c>
      <c r="R36" s="80" t="s">
        <v>227</v>
      </c>
      <c r="S36" s="80" t="s">
        <v>227</v>
      </c>
      <c r="T36" s="80" t="s">
        <v>227</v>
      </c>
      <c r="U36" s="80" t="s">
        <v>227</v>
      </c>
      <c r="V36" s="80" t="s">
        <v>227</v>
      </c>
      <c r="W36" s="80" t="s">
        <v>227</v>
      </c>
      <c r="X36" s="80" t="s">
        <v>227</v>
      </c>
      <c r="Y36" s="80" t="s">
        <v>227</v>
      </c>
      <c r="Z36" s="80" t="s">
        <v>227</v>
      </c>
      <c r="AA36" s="80" t="s">
        <v>227</v>
      </c>
      <c r="AB36" s="80" t="s">
        <v>227</v>
      </c>
      <c r="AC36" s="80" t="s">
        <v>227</v>
      </c>
      <c r="AD36" s="80" t="s">
        <v>227</v>
      </c>
      <c r="AE36" s="80" t="s">
        <v>227</v>
      </c>
      <c r="AF36" s="80" t="s">
        <v>227</v>
      </c>
      <c r="AG36" s="80" t="s">
        <v>227</v>
      </c>
      <c r="AH36" s="80" t="s">
        <v>227</v>
      </c>
      <c r="AI36" s="80" t="s">
        <v>227</v>
      </c>
      <c r="AJ36" s="80" t="s">
        <v>227</v>
      </c>
      <c r="AK36" s="80" t="s">
        <v>227</v>
      </c>
      <c r="AL36" s="80" t="s">
        <v>227</v>
      </c>
      <c r="AM36" s="80" t="s">
        <v>227</v>
      </c>
      <c r="AN36" s="80" t="s">
        <v>227</v>
      </c>
      <c r="AO36" s="80" t="s">
        <v>227</v>
      </c>
      <c r="AP36" s="80" t="s">
        <v>227</v>
      </c>
      <c r="AQ36" s="80" t="s">
        <v>228</v>
      </c>
      <c r="AR36" s="78">
        <v>22841</v>
      </c>
      <c r="AS36" s="78">
        <v>44335</v>
      </c>
      <c r="AT36" s="148">
        <f t="shared" si="0"/>
        <v>58</v>
      </c>
      <c r="AU36" s="164" t="s">
        <v>435</v>
      </c>
      <c r="AV36" s="74" t="s">
        <v>230</v>
      </c>
      <c r="AW36" s="74" t="s">
        <v>241</v>
      </c>
      <c r="AX36" s="80" t="s">
        <v>309</v>
      </c>
      <c r="AY36" s="80">
        <v>0</v>
      </c>
      <c r="AZ36" s="80" t="s">
        <v>232</v>
      </c>
      <c r="BA36" s="80">
        <f t="shared" si="46"/>
        <v>0</v>
      </c>
      <c r="BB36" s="80" t="s">
        <v>310</v>
      </c>
      <c r="BC36" s="80">
        <v>3</v>
      </c>
      <c r="BD36" s="74" t="s">
        <v>243</v>
      </c>
      <c r="BE36" s="80" t="s">
        <v>244</v>
      </c>
      <c r="BF36" s="74" t="s">
        <v>220</v>
      </c>
      <c r="BG36" s="165" t="s">
        <v>227</v>
      </c>
      <c r="BH36" s="166" t="s">
        <v>227</v>
      </c>
      <c r="BI36" s="80" t="s">
        <v>227</v>
      </c>
      <c r="BJ36" s="78" t="s">
        <v>227</v>
      </c>
      <c r="BK36" s="78" t="s">
        <v>227</v>
      </c>
      <c r="BL36" s="80" t="s">
        <v>227</v>
      </c>
      <c r="BM36" s="166" t="s">
        <v>227</v>
      </c>
      <c r="BN36" s="80" t="s">
        <v>227</v>
      </c>
      <c r="BO36" s="80" t="s">
        <v>227</v>
      </c>
      <c r="BP36" s="166" t="s">
        <v>227</v>
      </c>
      <c r="BQ36" s="80" t="s">
        <v>227</v>
      </c>
      <c r="BR36" s="80" t="s">
        <v>227</v>
      </c>
      <c r="BS36" s="80" t="s">
        <v>227</v>
      </c>
      <c r="BT36" s="80" t="s">
        <v>227</v>
      </c>
      <c r="BU36" s="80" t="s">
        <v>227</v>
      </c>
      <c r="BV36" s="80" t="s">
        <v>227</v>
      </c>
      <c r="BW36" s="80" t="s">
        <v>227</v>
      </c>
      <c r="BX36" s="80" t="s">
        <v>227</v>
      </c>
      <c r="BY36" s="80" t="s">
        <v>227</v>
      </c>
      <c r="BZ36" s="80" t="s">
        <v>227</v>
      </c>
      <c r="CA36" s="80" t="s">
        <v>227</v>
      </c>
      <c r="CB36" s="80" t="s">
        <v>227</v>
      </c>
      <c r="CC36" s="80" t="s">
        <v>227</v>
      </c>
      <c r="CD36" s="80" t="s">
        <v>227</v>
      </c>
      <c r="CE36" s="80" t="s">
        <v>227</v>
      </c>
      <c r="CF36" s="80" t="s">
        <v>227</v>
      </c>
      <c r="CG36" s="80" t="s">
        <v>227</v>
      </c>
      <c r="CH36" s="80" t="s">
        <v>227</v>
      </c>
      <c r="CI36" s="80" t="s">
        <v>227</v>
      </c>
      <c r="CJ36" s="80" t="s">
        <v>227</v>
      </c>
      <c r="CK36" s="80" t="s">
        <v>227</v>
      </c>
      <c r="CL36" s="80" t="s">
        <v>227</v>
      </c>
      <c r="CM36" s="80" t="s">
        <v>227</v>
      </c>
      <c r="CN36" s="166" t="s">
        <v>227</v>
      </c>
      <c r="CO36" s="80" t="s">
        <v>227</v>
      </c>
      <c r="CP36" s="78" t="s">
        <v>227</v>
      </c>
      <c r="CQ36" s="78" t="s">
        <v>227</v>
      </c>
      <c r="CR36" s="80" t="s">
        <v>227</v>
      </c>
      <c r="CS36" s="166" t="s">
        <v>227</v>
      </c>
      <c r="CT36" s="80" t="s">
        <v>227</v>
      </c>
      <c r="CU36" s="80" t="s">
        <v>227</v>
      </c>
      <c r="CV36" s="166" t="s">
        <v>227</v>
      </c>
      <c r="CW36" s="80" t="s">
        <v>227</v>
      </c>
      <c r="CX36" s="80" t="s">
        <v>227</v>
      </c>
      <c r="CY36" s="80" t="s">
        <v>227</v>
      </c>
      <c r="CZ36" s="80" t="s">
        <v>227</v>
      </c>
      <c r="DA36" s="80" t="s">
        <v>227</v>
      </c>
      <c r="DB36" s="80" t="s">
        <v>227</v>
      </c>
      <c r="DC36" s="80" t="s">
        <v>227</v>
      </c>
      <c r="DD36" s="80" t="s">
        <v>227</v>
      </c>
      <c r="DE36" s="80" t="s">
        <v>227</v>
      </c>
      <c r="DF36" s="80" t="s">
        <v>227</v>
      </c>
      <c r="DG36" s="80" t="s">
        <v>227</v>
      </c>
      <c r="DH36" s="80" t="s">
        <v>227</v>
      </c>
      <c r="DI36" s="80" t="s">
        <v>227</v>
      </c>
      <c r="DJ36" s="80" t="s">
        <v>227</v>
      </c>
      <c r="DK36" s="80" t="s">
        <v>227</v>
      </c>
      <c r="DL36" s="80" t="s">
        <v>227</v>
      </c>
      <c r="DM36" s="80" t="s">
        <v>227</v>
      </c>
      <c r="DN36" s="80" t="s">
        <v>227</v>
      </c>
      <c r="DO36" s="80" t="s">
        <v>227</v>
      </c>
      <c r="DP36" s="80" t="s">
        <v>227</v>
      </c>
      <c r="DQ36" s="80" t="s">
        <v>227</v>
      </c>
      <c r="DR36" s="80" t="s">
        <v>227</v>
      </c>
      <c r="DS36" s="80" t="s">
        <v>227</v>
      </c>
      <c r="DT36" s="80" t="s">
        <v>227</v>
      </c>
      <c r="DU36" s="80" t="s">
        <v>227</v>
      </c>
      <c r="DV36" s="80" t="s">
        <v>227</v>
      </c>
      <c r="DW36" s="80" t="s">
        <v>227</v>
      </c>
      <c r="DX36" s="80" t="s">
        <v>227</v>
      </c>
      <c r="DY36" s="80" t="s">
        <v>227</v>
      </c>
      <c r="DZ36" s="80" t="s">
        <v>227</v>
      </c>
      <c r="EA36" s="80" t="s">
        <v>227</v>
      </c>
      <c r="EB36" s="80" t="s">
        <v>227</v>
      </c>
      <c r="EC36" s="80" t="s">
        <v>227</v>
      </c>
      <c r="ED36" s="80" t="s">
        <v>227</v>
      </c>
      <c r="EE36" s="80" t="s">
        <v>227</v>
      </c>
      <c r="EF36" s="80" t="s">
        <v>227</v>
      </c>
      <c r="EG36" s="80" t="s">
        <v>227</v>
      </c>
      <c r="EH36" s="80" t="s">
        <v>227</v>
      </c>
      <c r="EI36" s="78">
        <v>44849</v>
      </c>
      <c r="EJ36" s="80" t="s">
        <v>436</v>
      </c>
      <c r="EK36" s="166" t="s">
        <v>249</v>
      </c>
      <c r="EL36" s="80" t="s">
        <v>437</v>
      </c>
      <c r="EM36" s="78">
        <v>44869</v>
      </c>
      <c r="EN36" s="78">
        <v>44916</v>
      </c>
      <c r="EO36" s="80" t="s">
        <v>289</v>
      </c>
      <c r="EP36" s="166" t="s">
        <v>246</v>
      </c>
      <c r="EQ36" s="157" t="s">
        <v>438</v>
      </c>
      <c r="ER36" s="80" t="s">
        <v>251</v>
      </c>
      <c r="ES36" s="166" t="s">
        <v>227</v>
      </c>
      <c r="ET36" s="80" t="s">
        <v>227</v>
      </c>
      <c r="EU36" s="80" t="s">
        <v>227</v>
      </c>
      <c r="EV36" s="166" t="s">
        <v>227</v>
      </c>
      <c r="EW36" s="80" t="s">
        <v>227</v>
      </c>
      <c r="EX36" s="80" t="s">
        <v>227</v>
      </c>
      <c r="EY36" s="166" t="s">
        <v>227</v>
      </c>
      <c r="EZ36" s="80" t="s">
        <v>227</v>
      </c>
      <c r="FA36" s="80" t="s">
        <v>227</v>
      </c>
      <c r="FB36" s="147" t="s">
        <v>227</v>
      </c>
      <c r="FC36" s="80" t="s">
        <v>227</v>
      </c>
      <c r="FD36" s="80" t="s">
        <v>227</v>
      </c>
      <c r="FE36" s="80" t="s">
        <v>227</v>
      </c>
      <c r="FF36" s="80" t="s">
        <v>227</v>
      </c>
      <c r="FG36" s="80" t="s">
        <v>227</v>
      </c>
      <c r="FH36" s="80" t="s">
        <v>227</v>
      </c>
      <c r="FI36" s="80" t="s">
        <v>227</v>
      </c>
      <c r="FJ36" s="80" t="s">
        <v>227</v>
      </c>
      <c r="FK36" s="80" t="s">
        <v>227</v>
      </c>
      <c r="FL36" s="80" t="s">
        <v>227</v>
      </c>
      <c r="FM36" s="80" t="s">
        <v>227</v>
      </c>
      <c r="FN36" s="80" t="s">
        <v>227</v>
      </c>
      <c r="FO36" s="80" t="s">
        <v>227</v>
      </c>
      <c r="FP36" s="80" t="s">
        <v>227</v>
      </c>
      <c r="FQ36" s="80" t="s">
        <v>227</v>
      </c>
      <c r="FR36" s="80" t="s">
        <v>227</v>
      </c>
      <c r="FS36" s="80" t="s">
        <v>227</v>
      </c>
      <c r="FT36" s="80" t="s">
        <v>227</v>
      </c>
      <c r="FU36" s="80" t="s">
        <v>227</v>
      </c>
      <c r="FV36" s="80" t="s">
        <v>227</v>
      </c>
      <c r="FW36" s="80" t="s">
        <v>227</v>
      </c>
      <c r="FX36" s="80" t="s">
        <v>227</v>
      </c>
      <c r="FY36" s="80" t="s">
        <v>227</v>
      </c>
      <c r="FZ36" s="80" t="s">
        <v>227</v>
      </c>
      <c r="GA36" s="80" t="s">
        <v>227</v>
      </c>
      <c r="GB36" s="80" t="s">
        <v>227</v>
      </c>
      <c r="GC36" s="80" t="s">
        <v>227</v>
      </c>
      <c r="GD36" s="80" t="s">
        <v>227</v>
      </c>
      <c r="GE36" s="80" t="s">
        <v>227</v>
      </c>
      <c r="GF36" s="167" t="s">
        <v>236</v>
      </c>
      <c r="GG36" s="78">
        <v>44995</v>
      </c>
      <c r="GH36" s="74" t="s">
        <v>241</v>
      </c>
      <c r="GI36" s="80" t="s">
        <v>439</v>
      </c>
      <c r="GJ36" s="78">
        <v>44977</v>
      </c>
      <c r="GK36" s="78" t="s">
        <v>227</v>
      </c>
      <c r="GL36" s="78" t="s">
        <v>227</v>
      </c>
      <c r="GM36" s="159" t="str">
        <f t="shared" si="7"/>
        <v>N/A</v>
      </c>
      <c r="GN36" s="159" t="str">
        <f t="shared" si="8"/>
        <v>N/A</v>
      </c>
      <c r="GO36" s="159">
        <f t="shared" si="9"/>
        <v>1</v>
      </c>
      <c r="GP36" s="159" t="str">
        <f t="shared" si="10"/>
        <v>N/A</v>
      </c>
      <c r="GQ36" s="159" t="str">
        <f t="shared" si="23"/>
        <v>N/A</v>
      </c>
      <c r="GR36" s="159" t="str">
        <f t="shared" si="24"/>
        <v>N/A</v>
      </c>
      <c r="GS36" s="159" t="str">
        <f t="shared" si="11"/>
        <v>N/A</v>
      </c>
      <c r="GT36" s="159" t="str">
        <f t="shared" si="12"/>
        <v>N/A</v>
      </c>
      <c r="GU36" s="159" t="str">
        <f t="shared" si="13"/>
        <v>N/A</v>
      </c>
      <c r="GV36" s="159" t="str">
        <f t="shared" si="14"/>
        <v>N/A</v>
      </c>
      <c r="GW36" s="159" t="str">
        <f t="shared" si="15"/>
        <v>N/A</v>
      </c>
      <c r="GX36" s="159" t="str">
        <f t="shared" si="16"/>
        <v>N/A</v>
      </c>
      <c r="GY36" s="159">
        <f t="shared" si="17"/>
        <v>17.133333333333333</v>
      </c>
      <c r="GZ36" s="159">
        <f t="shared" si="18"/>
        <v>17.8</v>
      </c>
      <c r="HA36" s="159">
        <f t="shared" si="19"/>
        <v>19.366666666666667</v>
      </c>
      <c r="HB36" s="159">
        <f t="shared" si="1"/>
        <v>17.133333333333333</v>
      </c>
      <c r="HC36" s="159">
        <f t="shared" si="20"/>
        <v>22</v>
      </c>
      <c r="HD36" s="159">
        <f t="shared" si="21"/>
        <v>21.4</v>
      </c>
      <c r="HE36" s="159" t="str">
        <f t="shared" si="22"/>
        <v>N/A</v>
      </c>
      <c r="HF36" s="160">
        <f t="shared" si="2"/>
        <v>22</v>
      </c>
      <c r="HG36" s="160" cm="1">
        <f t="array" ref="HG36">INDEX($HB36:$HD36,MATCH(TRUE,INDEX(ISNUMBER($HB36:$HD36),0),0))</f>
        <v>17.133333333333333</v>
      </c>
      <c r="HH36" s="161">
        <f t="shared" si="3"/>
        <v>1</v>
      </c>
      <c r="HI36" s="86">
        <f t="shared" si="4"/>
        <v>1</v>
      </c>
      <c r="HJ36" s="111">
        <f t="shared" si="5"/>
        <v>1</v>
      </c>
      <c r="HK36" s="205" t="str">
        <f t="shared" si="6"/>
        <v>1</v>
      </c>
    </row>
    <row r="37" spans="1:219" ht="15" customHeight="1" x14ac:dyDescent="0.3">
      <c r="A37" s="80">
        <v>4861238919</v>
      </c>
      <c r="B37" s="74" t="s">
        <v>220</v>
      </c>
      <c r="C37" s="74" t="s">
        <v>221</v>
      </c>
      <c r="D37" s="74" t="s">
        <v>220</v>
      </c>
      <c r="E37" s="80" t="s">
        <v>440</v>
      </c>
      <c r="F37" s="80" t="s">
        <v>374</v>
      </c>
      <c r="G37" s="80" t="s">
        <v>227</v>
      </c>
      <c r="H37" s="78">
        <v>44368</v>
      </c>
      <c r="I37" s="80" t="s">
        <v>441</v>
      </c>
      <c r="J37" s="80" t="s">
        <v>226</v>
      </c>
      <c r="K37" s="78" t="s">
        <v>227</v>
      </c>
      <c r="L37" s="80" t="s">
        <v>227</v>
      </c>
      <c r="M37" s="80" t="s">
        <v>227</v>
      </c>
      <c r="N37" s="80" t="s">
        <v>227</v>
      </c>
      <c r="O37" s="80" t="s">
        <v>227</v>
      </c>
      <c r="P37" s="80" t="s">
        <v>227</v>
      </c>
      <c r="Q37" s="80" t="s">
        <v>227</v>
      </c>
      <c r="R37" s="80" t="s">
        <v>227</v>
      </c>
      <c r="S37" s="80" t="s">
        <v>227</v>
      </c>
      <c r="T37" s="80" t="s">
        <v>227</v>
      </c>
      <c r="U37" s="80" t="s">
        <v>227</v>
      </c>
      <c r="V37" s="80" t="s">
        <v>227</v>
      </c>
      <c r="W37" s="80" t="s">
        <v>227</v>
      </c>
      <c r="X37" s="80" t="s">
        <v>227</v>
      </c>
      <c r="Y37" s="80" t="s">
        <v>227</v>
      </c>
      <c r="Z37" s="80" t="s">
        <v>227</v>
      </c>
      <c r="AA37" s="80" t="s">
        <v>227</v>
      </c>
      <c r="AB37" s="80" t="s">
        <v>227</v>
      </c>
      <c r="AC37" s="80" t="s">
        <v>227</v>
      </c>
      <c r="AD37" s="80" t="s">
        <v>227</v>
      </c>
      <c r="AE37" s="80" t="s">
        <v>227</v>
      </c>
      <c r="AF37" s="80" t="s">
        <v>227</v>
      </c>
      <c r="AG37" s="80" t="s">
        <v>227</v>
      </c>
      <c r="AH37" s="80" t="s">
        <v>227</v>
      </c>
      <c r="AI37" s="80" t="s">
        <v>227</v>
      </c>
      <c r="AJ37" s="80" t="s">
        <v>227</v>
      </c>
      <c r="AK37" s="80" t="s">
        <v>227</v>
      </c>
      <c r="AL37" s="80" t="s">
        <v>227</v>
      </c>
      <c r="AM37" s="80" t="s">
        <v>227</v>
      </c>
      <c r="AN37" s="80" t="s">
        <v>227</v>
      </c>
      <c r="AO37" s="80" t="s">
        <v>227</v>
      </c>
      <c r="AP37" s="80" t="s">
        <v>227</v>
      </c>
      <c r="AQ37" s="80" t="s">
        <v>228</v>
      </c>
      <c r="AR37" s="78">
        <v>22503</v>
      </c>
      <c r="AS37" s="78">
        <v>44330</v>
      </c>
      <c r="AT37" s="148">
        <f t="shared" si="0"/>
        <v>59</v>
      </c>
      <c r="AU37" s="164" t="s">
        <v>229</v>
      </c>
      <c r="AV37" s="74" t="s">
        <v>230</v>
      </c>
      <c r="AW37" s="74" t="s">
        <v>241</v>
      </c>
      <c r="AX37" s="80" t="s">
        <v>264</v>
      </c>
      <c r="AY37" s="80">
        <v>0</v>
      </c>
      <c r="AZ37" s="80" t="s">
        <v>232</v>
      </c>
      <c r="BA37" s="80">
        <f t="shared" si="46"/>
        <v>0</v>
      </c>
      <c r="BB37" s="80" t="s">
        <v>265</v>
      </c>
      <c r="BC37" s="80">
        <v>3</v>
      </c>
      <c r="BD37" s="74" t="s">
        <v>243</v>
      </c>
      <c r="BE37" s="80" t="s">
        <v>244</v>
      </c>
      <c r="BF37" s="74" t="s">
        <v>220</v>
      </c>
      <c r="BG37" s="80" t="s">
        <v>227</v>
      </c>
      <c r="BH37" s="80" t="s">
        <v>227</v>
      </c>
      <c r="BI37" s="80" t="s">
        <v>227</v>
      </c>
      <c r="BJ37" s="80" t="s">
        <v>227</v>
      </c>
      <c r="BK37" s="80" t="s">
        <v>227</v>
      </c>
      <c r="BL37" s="80" t="s">
        <v>227</v>
      </c>
      <c r="BM37" s="80" t="s">
        <v>227</v>
      </c>
      <c r="BN37" s="80" t="s">
        <v>227</v>
      </c>
      <c r="BO37" s="80" t="s">
        <v>227</v>
      </c>
      <c r="BP37" s="80" t="s">
        <v>227</v>
      </c>
      <c r="BQ37" s="80" t="s">
        <v>227</v>
      </c>
      <c r="BR37" s="80" t="s">
        <v>227</v>
      </c>
      <c r="BS37" s="80" t="s">
        <v>227</v>
      </c>
      <c r="BT37" s="80" t="s">
        <v>227</v>
      </c>
      <c r="BU37" s="80" t="s">
        <v>227</v>
      </c>
      <c r="BV37" s="80" t="s">
        <v>227</v>
      </c>
      <c r="BW37" s="80" t="s">
        <v>227</v>
      </c>
      <c r="BX37" s="80" t="s">
        <v>227</v>
      </c>
      <c r="BY37" s="80" t="s">
        <v>227</v>
      </c>
      <c r="BZ37" s="80" t="s">
        <v>227</v>
      </c>
      <c r="CA37" s="80" t="s">
        <v>227</v>
      </c>
      <c r="CB37" s="80" t="s">
        <v>227</v>
      </c>
      <c r="CC37" s="80" t="s">
        <v>227</v>
      </c>
      <c r="CD37" s="80" t="s">
        <v>227</v>
      </c>
      <c r="CE37" s="80" t="s">
        <v>227</v>
      </c>
      <c r="CF37" s="80" t="s">
        <v>227</v>
      </c>
      <c r="CG37" s="80" t="s">
        <v>227</v>
      </c>
      <c r="CH37" s="80" t="s">
        <v>227</v>
      </c>
      <c r="CI37" s="80" t="s">
        <v>227</v>
      </c>
      <c r="CJ37" s="80" t="s">
        <v>227</v>
      </c>
      <c r="CK37" s="80" t="s">
        <v>227</v>
      </c>
      <c r="CL37" s="80" t="s">
        <v>227</v>
      </c>
      <c r="CM37" s="80" t="s">
        <v>227</v>
      </c>
      <c r="CN37" s="166" t="s">
        <v>246</v>
      </c>
      <c r="CO37" s="80" t="s">
        <v>378</v>
      </c>
      <c r="CP37" s="78">
        <v>44425</v>
      </c>
      <c r="CQ37" s="78">
        <v>44432</v>
      </c>
      <c r="CR37" s="80" t="s">
        <v>227</v>
      </c>
      <c r="CS37" s="80" t="s">
        <v>227</v>
      </c>
      <c r="CT37" s="80" t="s">
        <v>227</v>
      </c>
      <c r="CU37" s="80" t="s">
        <v>227</v>
      </c>
      <c r="CV37" s="80" t="s">
        <v>227</v>
      </c>
      <c r="CW37" s="80" t="s">
        <v>227</v>
      </c>
      <c r="CX37" s="80" t="s">
        <v>227</v>
      </c>
      <c r="CY37" s="80" t="s">
        <v>227</v>
      </c>
      <c r="CZ37" s="80" t="s">
        <v>227</v>
      </c>
      <c r="DA37" s="80" t="s">
        <v>227</v>
      </c>
      <c r="DB37" s="80" t="s">
        <v>227</v>
      </c>
      <c r="DC37" s="80" t="s">
        <v>227</v>
      </c>
      <c r="DD37" s="80" t="s">
        <v>227</v>
      </c>
      <c r="DE37" s="80" t="s">
        <v>227</v>
      </c>
      <c r="DF37" s="80" t="s">
        <v>227</v>
      </c>
      <c r="DG37" s="80" t="s">
        <v>227</v>
      </c>
      <c r="DH37" s="80" t="s">
        <v>227</v>
      </c>
      <c r="DI37" s="80" t="s">
        <v>227</v>
      </c>
      <c r="DJ37" s="80" t="s">
        <v>227</v>
      </c>
      <c r="DK37" s="80" t="s">
        <v>227</v>
      </c>
      <c r="DL37" s="80" t="s">
        <v>227</v>
      </c>
      <c r="DM37" s="80" t="s">
        <v>227</v>
      </c>
      <c r="DN37" s="80" t="s">
        <v>227</v>
      </c>
      <c r="DO37" s="80" t="s">
        <v>227</v>
      </c>
      <c r="DP37" s="80" t="s">
        <v>227</v>
      </c>
      <c r="DQ37" s="80" t="s">
        <v>227</v>
      </c>
      <c r="DR37" s="80" t="s">
        <v>227</v>
      </c>
      <c r="DS37" s="80" t="s">
        <v>227</v>
      </c>
      <c r="DT37" s="80" t="s">
        <v>227</v>
      </c>
      <c r="DU37" s="80" t="s">
        <v>227</v>
      </c>
      <c r="DV37" s="80" t="s">
        <v>227</v>
      </c>
      <c r="DW37" s="80" t="s">
        <v>227</v>
      </c>
      <c r="DX37" s="80" t="s">
        <v>227</v>
      </c>
      <c r="DY37" s="80" t="s">
        <v>227</v>
      </c>
      <c r="DZ37" s="80" t="s">
        <v>227</v>
      </c>
      <c r="EA37" s="80" t="s">
        <v>227</v>
      </c>
      <c r="EB37" s="80" t="s">
        <v>227</v>
      </c>
      <c r="EC37" s="80" t="s">
        <v>227</v>
      </c>
      <c r="ED37" s="80" t="s">
        <v>227</v>
      </c>
      <c r="EE37" s="80" t="s">
        <v>227</v>
      </c>
      <c r="EF37" s="80" t="s">
        <v>227</v>
      </c>
      <c r="EG37" s="80" t="s">
        <v>227</v>
      </c>
      <c r="EH37" s="80" t="s">
        <v>227</v>
      </c>
      <c r="EI37" s="80" t="s">
        <v>227</v>
      </c>
      <c r="EJ37" s="80" t="s">
        <v>227</v>
      </c>
      <c r="EK37" s="80" t="s">
        <v>227</v>
      </c>
      <c r="EL37" s="80" t="s">
        <v>227</v>
      </c>
      <c r="EM37" s="80" t="s">
        <v>227</v>
      </c>
      <c r="EN37" s="80" t="s">
        <v>227</v>
      </c>
      <c r="EO37" s="80" t="s">
        <v>227</v>
      </c>
      <c r="EP37" s="80" t="s">
        <v>227</v>
      </c>
      <c r="EQ37" s="80" t="s">
        <v>227</v>
      </c>
      <c r="ER37" s="80" t="s">
        <v>227</v>
      </c>
      <c r="ES37" s="80" t="s">
        <v>227</v>
      </c>
      <c r="ET37" s="80" t="s">
        <v>227</v>
      </c>
      <c r="EU37" s="80" t="s">
        <v>227</v>
      </c>
      <c r="EV37" s="80" t="s">
        <v>227</v>
      </c>
      <c r="EW37" s="80" t="s">
        <v>227</v>
      </c>
      <c r="EX37" s="80" t="s">
        <v>227</v>
      </c>
      <c r="EY37" s="80" t="s">
        <v>227</v>
      </c>
      <c r="EZ37" s="80" t="s">
        <v>227</v>
      </c>
      <c r="FA37" s="80" t="s">
        <v>227</v>
      </c>
      <c r="FB37" s="147" t="s">
        <v>227</v>
      </c>
      <c r="FC37" s="80" t="s">
        <v>227</v>
      </c>
      <c r="FD37" s="80" t="s">
        <v>227</v>
      </c>
      <c r="FE37" s="80" t="s">
        <v>227</v>
      </c>
      <c r="FF37" s="80" t="s">
        <v>227</v>
      </c>
      <c r="FG37" s="80" t="s">
        <v>227</v>
      </c>
      <c r="FH37" s="80" t="s">
        <v>227</v>
      </c>
      <c r="FI37" s="80" t="s">
        <v>227</v>
      </c>
      <c r="FJ37" s="80" t="s">
        <v>227</v>
      </c>
      <c r="FK37" s="80" t="s">
        <v>227</v>
      </c>
      <c r="FL37" s="80" t="s">
        <v>227</v>
      </c>
      <c r="FM37" s="80" t="s">
        <v>227</v>
      </c>
      <c r="FN37" s="80" t="s">
        <v>227</v>
      </c>
      <c r="FO37" s="80" t="s">
        <v>227</v>
      </c>
      <c r="FP37" s="80" t="s">
        <v>227</v>
      </c>
      <c r="FQ37" s="80" t="s">
        <v>227</v>
      </c>
      <c r="FR37" s="80" t="s">
        <v>227</v>
      </c>
      <c r="FS37" s="80" t="s">
        <v>227</v>
      </c>
      <c r="FT37" s="80" t="s">
        <v>227</v>
      </c>
      <c r="FU37" s="80" t="s">
        <v>227</v>
      </c>
      <c r="FV37" s="80" t="s">
        <v>227</v>
      </c>
      <c r="FW37" s="80" t="s">
        <v>227</v>
      </c>
      <c r="FX37" s="80" t="s">
        <v>227</v>
      </c>
      <c r="FY37" s="80" t="s">
        <v>227</v>
      </c>
      <c r="FZ37" s="80" t="s">
        <v>227</v>
      </c>
      <c r="GA37" s="80" t="s">
        <v>227</v>
      </c>
      <c r="GB37" s="80" t="s">
        <v>227</v>
      </c>
      <c r="GC37" s="80" t="s">
        <v>227</v>
      </c>
      <c r="GD37" s="80" t="s">
        <v>227</v>
      </c>
      <c r="GE37" s="80" t="s">
        <v>227</v>
      </c>
      <c r="GF37" s="167" t="s">
        <v>312</v>
      </c>
      <c r="GG37" s="78" t="s">
        <v>227</v>
      </c>
      <c r="GH37" s="74" t="s">
        <v>227</v>
      </c>
      <c r="GI37" s="80" t="s">
        <v>227</v>
      </c>
      <c r="GJ37" s="78">
        <v>45630</v>
      </c>
      <c r="GK37" s="156">
        <v>46153</v>
      </c>
      <c r="GL37" s="78" t="s">
        <v>227</v>
      </c>
      <c r="GM37" s="159" t="str">
        <f t="shared" si="7"/>
        <v>N/A</v>
      </c>
      <c r="GN37" s="159" t="str">
        <f t="shared" si="8"/>
        <v>N/A</v>
      </c>
      <c r="GO37" s="159">
        <f t="shared" si="9"/>
        <v>1.2666666666666666</v>
      </c>
      <c r="GP37" s="159" t="str">
        <f t="shared" si="10"/>
        <v>N/A</v>
      </c>
      <c r="GQ37" s="159" t="str">
        <f t="shared" si="23"/>
        <v>N/A</v>
      </c>
      <c r="GR37" s="159" t="str">
        <f t="shared" si="24"/>
        <v>N/A</v>
      </c>
      <c r="GS37" s="159" t="str">
        <f t="shared" si="11"/>
        <v>N/A</v>
      </c>
      <c r="GT37" s="159" t="str">
        <f t="shared" si="12"/>
        <v>N/A</v>
      </c>
      <c r="GU37" s="159" t="str">
        <f t="shared" si="13"/>
        <v>N/A</v>
      </c>
      <c r="GV37" s="159" t="str">
        <f t="shared" si="14"/>
        <v>N/A</v>
      </c>
      <c r="GW37" s="159">
        <f t="shared" si="15"/>
        <v>3.1666666666666665</v>
      </c>
      <c r="GX37" s="159">
        <f t="shared" si="16"/>
        <v>3.4</v>
      </c>
      <c r="GY37" s="159" t="str">
        <f t="shared" si="17"/>
        <v>N/A</v>
      </c>
      <c r="GZ37" s="159" t="str">
        <f t="shared" si="18"/>
        <v>N/A</v>
      </c>
      <c r="HA37" s="159" t="str">
        <f t="shared" si="19"/>
        <v>N/A</v>
      </c>
      <c r="HB37" s="159" t="str">
        <f t="shared" si="1"/>
        <v>N/A</v>
      </c>
      <c r="HC37" s="159" t="str">
        <f t="shared" si="20"/>
        <v>N/A</v>
      </c>
      <c r="HD37" s="159">
        <f t="shared" si="21"/>
        <v>43.333333333333336</v>
      </c>
      <c r="HE37" s="159">
        <f t="shared" si="22"/>
        <v>60.766666666666666</v>
      </c>
      <c r="HF37" s="160">
        <f t="shared" si="2"/>
        <v>60.766666666666666</v>
      </c>
      <c r="HG37" s="160" cm="1">
        <f t="array" ref="HG37">INDEX($HB37:$HD37,MATCH(TRUE,INDEX(ISNUMBER($HB37:$HD37),0),0))</f>
        <v>43.333333333333336</v>
      </c>
      <c r="HH37" s="161">
        <f t="shared" si="3"/>
        <v>0</v>
      </c>
      <c r="HI37" s="86">
        <f t="shared" si="4"/>
        <v>0</v>
      </c>
      <c r="HJ37" s="111">
        <f t="shared" si="5"/>
        <v>0</v>
      </c>
      <c r="HK37" s="205" t="str">
        <f t="shared" si="6"/>
        <v>0</v>
      </c>
    </row>
    <row r="38" spans="1:219" ht="15" customHeight="1" x14ac:dyDescent="0.3">
      <c r="A38" s="80">
        <v>4883697835</v>
      </c>
      <c r="B38" s="74" t="s">
        <v>220</v>
      </c>
      <c r="C38" s="74" t="s">
        <v>255</v>
      </c>
      <c r="D38" s="74" t="s">
        <v>241</v>
      </c>
      <c r="E38" s="80" t="s">
        <v>227</v>
      </c>
      <c r="F38" s="80" t="s">
        <v>227</v>
      </c>
      <c r="G38" s="80" t="s">
        <v>227</v>
      </c>
      <c r="H38" s="78" t="s">
        <v>227</v>
      </c>
      <c r="I38" s="157" t="s">
        <v>442</v>
      </c>
      <c r="J38" s="80" t="s">
        <v>227</v>
      </c>
      <c r="K38" s="78">
        <v>44041</v>
      </c>
      <c r="L38" s="80" t="s">
        <v>226</v>
      </c>
      <c r="M38" s="80" t="s">
        <v>443</v>
      </c>
      <c r="N38" s="168" t="s">
        <v>307</v>
      </c>
      <c r="O38" s="80" t="s">
        <v>444</v>
      </c>
      <c r="P38" s="78">
        <v>44371</v>
      </c>
      <c r="Q38" s="74" t="s">
        <v>255</v>
      </c>
      <c r="R38" s="80" t="s">
        <v>443</v>
      </c>
      <c r="S38" s="168" t="s">
        <v>315</v>
      </c>
      <c r="T38" s="80" t="s">
        <v>444</v>
      </c>
      <c r="U38" s="78">
        <v>44371</v>
      </c>
      <c r="V38" s="74" t="s">
        <v>255</v>
      </c>
      <c r="W38" s="80" t="s">
        <v>227</v>
      </c>
      <c r="X38" s="80" t="s">
        <v>227</v>
      </c>
      <c r="Y38" s="80" t="s">
        <v>227</v>
      </c>
      <c r="Z38" s="80" t="s">
        <v>227</v>
      </c>
      <c r="AA38" s="80" t="s">
        <v>227</v>
      </c>
      <c r="AB38" s="80" t="s">
        <v>227</v>
      </c>
      <c r="AC38" s="80" t="s">
        <v>227</v>
      </c>
      <c r="AD38" s="80" t="s">
        <v>227</v>
      </c>
      <c r="AE38" s="80" t="s">
        <v>227</v>
      </c>
      <c r="AF38" s="80" t="s">
        <v>227</v>
      </c>
      <c r="AG38" s="80" t="s">
        <v>227</v>
      </c>
      <c r="AH38" s="80" t="s">
        <v>227</v>
      </c>
      <c r="AI38" s="80" t="s">
        <v>227</v>
      </c>
      <c r="AJ38" s="80" t="s">
        <v>227</v>
      </c>
      <c r="AK38" s="80" t="s">
        <v>227</v>
      </c>
      <c r="AL38" s="80" t="s">
        <v>227</v>
      </c>
      <c r="AM38" s="80" t="s">
        <v>227</v>
      </c>
      <c r="AN38" s="80" t="s">
        <v>227</v>
      </c>
      <c r="AO38" s="80" t="s">
        <v>227</v>
      </c>
      <c r="AP38" s="80" t="s">
        <v>227</v>
      </c>
      <c r="AQ38" s="80" t="s">
        <v>228</v>
      </c>
      <c r="AR38" s="78">
        <v>15121</v>
      </c>
      <c r="AS38" s="78">
        <v>43991</v>
      </c>
      <c r="AT38" s="148">
        <f t="shared" si="0"/>
        <v>79</v>
      </c>
      <c r="AU38" s="164" t="s">
        <v>445</v>
      </c>
      <c r="AV38" s="74" t="s">
        <v>256</v>
      </c>
      <c r="AW38" s="74" t="s">
        <v>220</v>
      </c>
      <c r="AX38" s="80">
        <v>2</v>
      </c>
      <c r="AY38" s="80" t="s">
        <v>232</v>
      </c>
      <c r="AZ38" s="80" t="s">
        <v>406</v>
      </c>
      <c r="BA38" s="80">
        <f t="shared" si="46"/>
        <v>1</v>
      </c>
      <c r="BB38" s="80" t="s">
        <v>446</v>
      </c>
      <c r="BC38" s="80">
        <v>3</v>
      </c>
      <c r="BD38" s="74" t="s">
        <v>243</v>
      </c>
      <c r="BE38" s="80" t="s">
        <v>300</v>
      </c>
      <c r="BF38" s="170" t="s">
        <v>220</v>
      </c>
      <c r="BG38" s="171" t="s">
        <v>227</v>
      </c>
      <c r="BH38" s="171" t="s">
        <v>227</v>
      </c>
      <c r="BI38" s="171" t="s">
        <v>227</v>
      </c>
      <c r="BJ38" s="171" t="s">
        <v>227</v>
      </c>
      <c r="BK38" s="171" t="s">
        <v>227</v>
      </c>
      <c r="BL38" s="80" t="s">
        <v>227</v>
      </c>
      <c r="BM38" s="166" t="s">
        <v>227</v>
      </c>
      <c r="BN38" s="80" t="s">
        <v>227</v>
      </c>
      <c r="BO38" s="80" t="s">
        <v>227</v>
      </c>
      <c r="BP38" s="166" t="s">
        <v>227</v>
      </c>
      <c r="BQ38" s="80" t="s">
        <v>227</v>
      </c>
      <c r="BR38" s="80" t="s">
        <v>227</v>
      </c>
      <c r="BS38" s="80" t="s">
        <v>227</v>
      </c>
      <c r="BT38" s="80" t="s">
        <v>227</v>
      </c>
      <c r="BU38" s="80" t="s">
        <v>227</v>
      </c>
      <c r="BV38" s="80" t="s">
        <v>227</v>
      </c>
      <c r="BW38" s="80" t="s">
        <v>227</v>
      </c>
      <c r="BX38" s="80" t="s">
        <v>227</v>
      </c>
      <c r="BY38" s="80" t="s">
        <v>227</v>
      </c>
      <c r="BZ38" s="80" t="s">
        <v>227</v>
      </c>
      <c r="CA38" s="80" t="s">
        <v>227</v>
      </c>
      <c r="CB38" s="80" t="s">
        <v>227</v>
      </c>
      <c r="CC38" s="80" t="s">
        <v>227</v>
      </c>
      <c r="CD38" s="80" t="s">
        <v>227</v>
      </c>
      <c r="CE38" s="80" t="s">
        <v>227</v>
      </c>
      <c r="CF38" s="80" t="s">
        <v>227</v>
      </c>
      <c r="CG38" s="80" t="s">
        <v>227</v>
      </c>
      <c r="CH38" s="80" t="s">
        <v>227</v>
      </c>
      <c r="CI38" s="80" t="s">
        <v>227</v>
      </c>
      <c r="CJ38" s="80" t="s">
        <v>227</v>
      </c>
      <c r="CK38" s="80" t="s">
        <v>227</v>
      </c>
      <c r="CL38" s="80" t="s">
        <v>227</v>
      </c>
      <c r="CM38" s="80" t="s">
        <v>227</v>
      </c>
      <c r="CN38" s="172" t="s">
        <v>249</v>
      </c>
      <c r="CO38" s="157" t="s">
        <v>447</v>
      </c>
      <c r="CP38" s="156">
        <v>44085</v>
      </c>
      <c r="CQ38" s="156">
        <v>44204</v>
      </c>
      <c r="CR38" s="157" t="s">
        <v>279</v>
      </c>
      <c r="CS38" s="166" t="s">
        <v>227</v>
      </c>
      <c r="CT38" s="80" t="s">
        <v>227</v>
      </c>
      <c r="CU38" s="80" t="s">
        <v>227</v>
      </c>
      <c r="CV38" s="166" t="s">
        <v>227</v>
      </c>
      <c r="CW38" s="80" t="s">
        <v>227</v>
      </c>
      <c r="CX38" s="80" t="s">
        <v>227</v>
      </c>
      <c r="CY38" s="80" t="s">
        <v>227</v>
      </c>
      <c r="CZ38" s="80" t="s">
        <v>227</v>
      </c>
      <c r="DA38" s="80" t="s">
        <v>227</v>
      </c>
      <c r="DB38" s="80" t="s">
        <v>227</v>
      </c>
      <c r="DC38" s="80" t="s">
        <v>227</v>
      </c>
      <c r="DD38" s="80" t="s">
        <v>227</v>
      </c>
      <c r="DE38" s="80" t="s">
        <v>227</v>
      </c>
      <c r="DF38" s="80" t="s">
        <v>227</v>
      </c>
      <c r="DG38" s="80" t="s">
        <v>227</v>
      </c>
      <c r="DH38" s="80" t="s">
        <v>227</v>
      </c>
      <c r="DI38" s="80" t="s">
        <v>227</v>
      </c>
      <c r="DJ38" s="80" t="s">
        <v>227</v>
      </c>
      <c r="DK38" s="80" t="s">
        <v>227</v>
      </c>
      <c r="DL38" s="80" t="s">
        <v>227</v>
      </c>
      <c r="DM38" s="80" t="s">
        <v>227</v>
      </c>
      <c r="DN38" s="80" t="s">
        <v>227</v>
      </c>
      <c r="DO38" s="80" t="s">
        <v>227</v>
      </c>
      <c r="DP38" s="80" t="s">
        <v>227</v>
      </c>
      <c r="DQ38" s="80" t="s">
        <v>227</v>
      </c>
      <c r="DR38" s="80" t="s">
        <v>227</v>
      </c>
      <c r="DS38" s="80" t="s">
        <v>227</v>
      </c>
      <c r="DT38" s="80" t="s">
        <v>227</v>
      </c>
      <c r="DU38" s="80" t="s">
        <v>227</v>
      </c>
      <c r="DV38" s="80" t="s">
        <v>227</v>
      </c>
      <c r="DW38" s="80" t="s">
        <v>227</v>
      </c>
      <c r="DX38" s="80" t="s">
        <v>227</v>
      </c>
      <c r="DY38" s="80" t="s">
        <v>227</v>
      </c>
      <c r="DZ38" s="80" t="s">
        <v>227</v>
      </c>
      <c r="EA38" s="80" t="s">
        <v>227</v>
      </c>
      <c r="EB38" s="80" t="s">
        <v>227</v>
      </c>
      <c r="EC38" s="80" t="s">
        <v>227</v>
      </c>
      <c r="ED38" s="80" t="s">
        <v>227</v>
      </c>
      <c r="EE38" s="80" t="s">
        <v>227</v>
      </c>
      <c r="EF38" s="80" t="s">
        <v>227</v>
      </c>
      <c r="EG38" s="80" t="s">
        <v>227</v>
      </c>
      <c r="EH38" s="80" t="s">
        <v>227</v>
      </c>
      <c r="EI38" s="156">
        <v>44371</v>
      </c>
      <c r="EJ38" s="157" t="s">
        <v>444</v>
      </c>
      <c r="EK38" s="172" t="s">
        <v>246</v>
      </c>
      <c r="EL38" s="157" t="s">
        <v>448</v>
      </c>
      <c r="EM38" s="156">
        <v>44420</v>
      </c>
      <c r="EN38" s="156">
        <v>44433</v>
      </c>
      <c r="EO38" s="157" t="s">
        <v>279</v>
      </c>
      <c r="EP38" s="166" t="s">
        <v>227</v>
      </c>
      <c r="EQ38" s="80" t="s">
        <v>227</v>
      </c>
      <c r="ER38" s="80" t="s">
        <v>227</v>
      </c>
      <c r="ES38" s="166" t="s">
        <v>227</v>
      </c>
      <c r="ET38" s="80" t="s">
        <v>227</v>
      </c>
      <c r="EU38" s="80" t="s">
        <v>227</v>
      </c>
      <c r="EV38" s="166" t="s">
        <v>227</v>
      </c>
      <c r="EW38" s="80" t="s">
        <v>227</v>
      </c>
      <c r="EX38" s="80" t="s">
        <v>227</v>
      </c>
      <c r="EY38" s="166" t="s">
        <v>227</v>
      </c>
      <c r="EZ38" s="80" t="s">
        <v>227</v>
      </c>
      <c r="FA38" s="80" t="s">
        <v>227</v>
      </c>
      <c r="FB38" s="147" t="s">
        <v>227</v>
      </c>
      <c r="FC38" s="80" t="s">
        <v>227</v>
      </c>
      <c r="FD38" s="80" t="s">
        <v>227</v>
      </c>
      <c r="FE38" s="80" t="s">
        <v>227</v>
      </c>
      <c r="FF38" s="80" t="s">
        <v>227</v>
      </c>
      <c r="FG38" s="80" t="s">
        <v>227</v>
      </c>
      <c r="FH38" s="80" t="s">
        <v>227</v>
      </c>
      <c r="FI38" s="80" t="s">
        <v>227</v>
      </c>
      <c r="FJ38" s="80" t="s">
        <v>227</v>
      </c>
      <c r="FK38" s="80" t="s">
        <v>227</v>
      </c>
      <c r="FL38" s="80" t="s">
        <v>227</v>
      </c>
      <c r="FM38" s="80" t="s">
        <v>227</v>
      </c>
      <c r="FN38" s="80" t="s">
        <v>227</v>
      </c>
      <c r="FO38" s="80" t="s">
        <v>227</v>
      </c>
      <c r="FP38" s="80" t="s">
        <v>227</v>
      </c>
      <c r="FQ38" s="80" t="s">
        <v>227</v>
      </c>
      <c r="FR38" s="80" t="s">
        <v>227</v>
      </c>
      <c r="FS38" s="80" t="s">
        <v>227</v>
      </c>
      <c r="FT38" s="80" t="s">
        <v>227</v>
      </c>
      <c r="FU38" s="80" t="s">
        <v>227</v>
      </c>
      <c r="FV38" s="80" t="s">
        <v>227</v>
      </c>
      <c r="FW38" s="80" t="s">
        <v>227</v>
      </c>
      <c r="FX38" s="80" t="s">
        <v>227</v>
      </c>
      <c r="FY38" s="80" t="s">
        <v>227</v>
      </c>
      <c r="FZ38" s="80" t="s">
        <v>227</v>
      </c>
      <c r="GA38" s="80" t="s">
        <v>227</v>
      </c>
      <c r="GB38" s="80" t="s">
        <v>227</v>
      </c>
      <c r="GC38" s="80" t="s">
        <v>227</v>
      </c>
      <c r="GD38" s="80" t="s">
        <v>227</v>
      </c>
      <c r="GE38" s="80" t="s">
        <v>227</v>
      </c>
      <c r="GF38" s="167" t="s">
        <v>236</v>
      </c>
      <c r="GG38" s="78">
        <v>44549</v>
      </c>
      <c r="GH38" s="74" t="s">
        <v>241</v>
      </c>
      <c r="GI38" s="80" t="s">
        <v>231</v>
      </c>
      <c r="GJ38" s="78">
        <v>44490</v>
      </c>
      <c r="GK38" s="78" t="s">
        <v>227</v>
      </c>
      <c r="GL38" s="78" t="s">
        <v>227</v>
      </c>
      <c r="GM38" s="159" t="str">
        <f t="shared" si="7"/>
        <v>N/A</v>
      </c>
      <c r="GN38" s="159" t="str">
        <f t="shared" si="8"/>
        <v>N/A</v>
      </c>
      <c r="GO38" s="159" t="str">
        <f t="shared" si="9"/>
        <v>N/A</v>
      </c>
      <c r="GP38" s="159">
        <f t="shared" si="10"/>
        <v>1.6666666666666667</v>
      </c>
      <c r="GQ38" s="159">
        <f t="shared" si="23"/>
        <v>12.666666666666666</v>
      </c>
      <c r="GR38" s="159">
        <f t="shared" si="24"/>
        <v>12.666666666666666</v>
      </c>
      <c r="GS38" s="159" t="str">
        <f t="shared" si="11"/>
        <v>N/A</v>
      </c>
      <c r="GT38" s="159" t="str">
        <f t="shared" si="12"/>
        <v>N/A</v>
      </c>
      <c r="GU38" s="159" t="str">
        <f t="shared" si="13"/>
        <v>N/A</v>
      </c>
      <c r="GV38" s="159" t="str">
        <f t="shared" si="14"/>
        <v>N/A</v>
      </c>
      <c r="GW38" s="159">
        <f t="shared" si="15"/>
        <v>3.1333333333333333</v>
      </c>
      <c r="GX38" s="159">
        <f t="shared" si="16"/>
        <v>7.1</v>
      </c>
      <c r="GY38" s="159">
        <f t="shared" si="17"/>
        <v>12.666666666666666</v>
      </c>
      <c r="GZ38" s="159">
        <f t="shared" si="18"/>
        <v>14.3</v>
      </c>
      <c r="HA38" s="159">
        <f t="shared" si="19"/>
        <v>14.733333333333333</v>
      </c>
      <c r="HB38" s="159">
        <f t="shared" si="1"/>
        <v>12.666666666666666</v>
      </c>
      <c r="HC38" s="159">
        <f t="shared" si="20"/>
        <v>18.600000000000001</v>
      </c>
      <c r="HD38" s="159">
        <f t="shared" si="21"/>
        <v>16.633333333333333</v>
      </c>
      <c r="HE38" s="159" t="str">
        <f t="shared" si="22"/>
        <v>N/A</v>
      </c>
      <c r="HF38" s="160">
        <f t="shared" si="2"/>
        <v>18.600000000000001</v>
      </c>
      <c r="HG38" s="160" cm="1">
        <f t="array" ref="HG38">INDEX($HB38:$HD38,MATCH(TRUE,INDEX(ISNUMBER($HB38:$HD38),0),0))</f>
        <v>12.666666666666666</v>
      </c>
      <c r="HH38" s="161">
        <f t="shared" si="3"/>
        <v>1</v>
      </c>
      <c r="HI38" s="86">
        <f t="shared" si="4"/>
        <v>1</v>
      </c>
      <c r="HJ38" s="111">
        <f t="shared" si="5"/>
        <v>1</v>
      </c>
      <c r="HK38" s="205" t="str">
        <f t="shared" si="6"/>
        <v>1</v>
      </c>
    </row>
    <row r="39" spans="1:219" ht="15" customHeight="1" x14ac:dyDescent="0.3">
      <c r="A39" s="80">
        <v>4860072065</v>
      </c>
      <c r="B39" s="74" t="s">
        <v>220</v>
      </c>
      <c r="C39" s="74" t="s">
        <v>221</v>
      </c>
      <c r="D39" s="74" t="s">
        <v>220</v>
      </c>
      <c r="E39" s="80" t="s">
        <v>449</v>
      </c>
      <c r="F39" s="80" t="s">
        <v>271</v>
      </c>
      <c r="G39" s="80" t="s">
        <v>373</v>
      </c>
      <c r="H39" s="78">
        <v>44372</v>
      </c>
      <c r="I39" s="80" t="s">
        <v>450</v>
      </c>
      <c r="J39" s="80" t="s">
        <v>226</v>
      </c>
      <c r="K39" s="78" t="s">
        <v>227</v>
      </c>
      <c r="L39" s="80" t="s">
        <v>227</v>
      </c>
      <c r="M39" s="80" t="s">
        <v>227</v>
      </c>
      <c r="N39" s="80" t="s">
        <v>227</v>
      </c>
      <c r="O39" s="80" t="s">
        <v>227</v>
      </c>
      <c r="P39" s="80" t="s">
        <v>227</v>
      </c>
      <c r="Q39" s="80" t="s">
        <v>227</v>
      </c>
      <c r="R39" s="80" t="s">
        <v>227</v>
      </c>
      <c r="S39" s="80" t="s">
        <v>227</v>
      </c>
      <c r="T39" s="80" t="s">
        <v>227</v>
      </c>
      <c r="U39" s="80" t="s">
        <v>227</v>
      </c>
      <c r="V39" s="80" t="s">
        <v>227</v>
      </c>
      <c r="W39" s="80" t="s">
        <v>227</v>
      </c>
      <c r="X39" s="80" t="s">
        <v>227</v>
      </c>
      <c r="Y39" s="80" t="s">
        <v>227</v>
      </c>
      <c r="Z39" s="80" t="s">
        <v>227</v>
      </c>
      <c r="AA39" s="80" t="s">
        <v>227</v>
      </c>
      <c r="AB39" s="80" t="s">
        <v>227</v>
      </c>
      <c r="AC39" s="80" t="s">
        <v>227</v>
      </c>
      <c r="AD39" s="80" t="s">
        <v>227</v>
      </c>
      <c r="AE39" s="80" t="s">
        <v>227</v>
      </c>
      <c r="AF39" s="80" t="s">
        <v>227</v>
      </c>
      <c r="AG39" s="80" t="s">
        <v>227</v>
      </c>
      <c r="AH39" s="80" t="s">
        <v>227</v>
      </c>
      <c r="AI39" s="80" t="s">
        <v>227</v>
      </c>
      <c r="AJ39" s="80" t="s">
        <v>227</v>
      </c>
      <c r="AK39" s="80" t="s">
        <v>227</v>
      </c>
      <c r="AL39" s="80" t="s">
        <v>227</v>
      </c>
      <c r="AM39" s="80" t="s">
        <v>227</v>
      </c>
      <c r="AN39" s="80" t="s">
        <v>227</v>
      </c>
      <c r="AO39" s="80" t="s">
        <v>227</v>
      </c>
      <c r="AP39" s="80" t="s">
        <v>227</v>
      </c>
      <c r="AQ39" s="80" t="s">
        <v>228</v>
      </c>
      <c r="AR39" s="78">
        <v>23727</v>
      </c>
      <c r="AS39" s="78">
        <v>44336</v>
      </c>
      <c r="AT39" s="148">
        <f t="shared" si="0"/>
        <v>56</v>
      </c>
      <c r="AU39" s="164" t="s">
        <v>229</v>
      </c>
      <c r="AV39" s="74" t="s">
        <v>230</v>
      </c>
      <c r="AW39" s="74" t="s">
        <v>220</v>
      </c>
      <c r="AX39" s="80" t="s">
        <v>359</v>
      </c>
      <c r="AY39" s="80">
        <v>0</v>
      </c>
      <c r="AZ39" s="80" t="s">
        <v>406</v>
      </c>
      <c r="BA39" s="80">
        <f t="shared" si="46"/>
        <v>1</v>
      </c>
      <c r="BB39" s="80" t="s">
        <v>451</v>
      </c>
      <c r="BC39" s="80">
        <v>1</v>
      </c>
      <c r="BD39" s="74" t="s">
        <v>243</v>
      </c>
      <c r="BE39" s="80" t="s">
        <v>300</v>
      </c>
      <c r="BF39" s="74" t="s">
        <v>220</v>
      </c>
      <c r="BG39" s="165" t="s">
        <v>227</v>
      </c>
      <c r="BH39" s="166" t="s">
        <v>227</v>
      </c>
      <c r="BI39" s="80" t="s">
        <v>227</v>
      </c>
      <c r="BJ39" s="78" t="s">
        <v>227</v>
      </c>
      <c r="BK39" s="78" t="s">
        <v>227</v>
      </c>
      <c r="BL39" s="80" t="s">
        <v>227</v>
      </c>
      <c r="BM39" s="166" t="s">
        <v>227</v>
      </c>
      <c r="BN39" s="80" t="s">
        <v>227</v>
      </c>
      <c r="BO39" s="80" t="s">
        <v>227</v>
      </c>
      <c r="BP39" s="166" t="s">
        <v>227</v>
      </c>
      <c r="BQ39" s="80" t="s">
        <v>227</v>
      </c>
      <c r="BR39" s="80" t="s">
        <v>227</v>
      </c>
      <c r="BS39" s="80" t="s">
        <v>227</v>
      </c>
      <c r="BT39" s="80" t="s">
        <v>227</v>
      </c>
      <c r="BU39" s="80" t="s">
        <v>227</v>
      </c>
      <c r="BV39" s="80" t="s">
        <v>227</v>
      </c>
      <c r="BW39" s="80" t="s">
        <v>227</v>
      </c>
      <c r="BX39" s="80" t="s">
        <v>227</v>
      </c>
      <c r="BY39" s="80" t="s">
        <v>227</v>
      </c>
      <c r="BZ39" s="80" t="s">
        <v>227</v>
      </c>
      <c r="CA39" s="80" t="s">
        <v>227</v>
      </c>
      <c r="CB39" s="80" t="s">
        <v>227</v>
      </c>
      <c r="CC39" s="80" t="s">
        <v>227</v>
      </c>
      <c r="CD39" s="80" t="s">
        <v>227</v>
      </c>
      <c r="CE39" s="80" t="s">
        <v>227</v>
      </c>
      <c r="CF39" s="80" t="s">
        <v>227</v>
      </c>
      <c r="CG39" s="80" t="s">
        <v>227</v>
      </c>
      <c r="CH39" s="80" t="s">
        <v>227</v>
      </c>
      <c r="CI39" s="80" t="s">
        <v>227</v>
      </c>
      <c r="CJ39" s="80" t="s">
        <v>227</v>
      </c>
      <c r="CK39" s="80" t="s">
        <v>227</v>
      </c>
      <c r="CL39" s="80" t="s">
        <v>227</v>
      </c>
      <c r="CM39" s="80" t="s">
        <v>227</v>
      </c>
      <c r="CN39" s="166" t="s">
        <v>249</v>
      </c>
      <c r="CO39" s="80" t="s">
        <v>287</v>
      </c>
      <c r="CP39" s="78">
        <v>44421</v>
      </c>
      <c r="CQ39" s="78">
        <v>44526</v>
      </c>
      <c r="CR39" s="80" t="s">
        <v>227</v>
      </c>
      <c r="CS39" s="166" t="s">
        <v>227</v>
      </c>
      <c r="CT39" s="80" t="s">
        <v>227</v>
      </c>
      <c r="CU39" s="80" t="s">
        <v>227</v>
      </c>
      <c r="CV39" s="166" t="s">
        <v>227</v>
      </c>
      <c r="CW39" s="80" t="s">
        <v>227</v>
      </c>
      <c r="CX39" s="80" t="s">
        <v>227</v>
      </c>
      <c r="CY39" s="80" t="s">
        <v>227</v>
      </c>
      <c r="CZ39" s="80" t="s">
        <v>227</v>
      </c>
      <c r="DA39" s="80" t="s">
        <v>227</v>
      </c>
      <c r="DB39" s="80" t="s">
        <v>227</v>
      </c>
      <c r="DC39" s="80" t="s">
        <v>227</v>
      </c>
      <c r="DD39" s="80" t="s">
        <v>227</v>
      </c>
      <c r="DE39" s="80" t="s">
        <v>227</v>
      </c>
      <c r="DF39" s="80" t="s">
        <v>227</v>
      </c>
      <c r="DG39" s="80" t="s">
        <v>227</v>
      </c>
      <c r="DH39" s="80" t="s">
        <v>227</v>
      </c>
      <c r="DI39" s="80" t="s">
        <v>227</v>
      </c>
      <c r="DJ39" s="80" t="s">
        <v>227</v>
      </c>
      <c r="DK39" s="80" t="s">
        <v>227</v>
      </c>
      <c r="DL39" s="80" t="s">
        <v>227</v>
      </c>
      <c r="DM39" s="80" t="s">
        <v>227</v>
      </c>
      <c r="DN39" s="80" t="s">
        <v>227</v>
      </c>
      <c r="DO39" s="80" t="s">
        <v>227</v>
      </c>
      <c r="DP39" s="80" t="s">
        <v>227</v>
      </c>
      <c r="DQ39" s="80" t="s">
        <v>227</v>
      </c>
      <c r="DR39" s="80" t="s">
        <v>227</v>
      </c>
      <c r="DS39" s="80" t="s">
        <v>227</v>
      </c>
      <c r="DT39" s="80" t="s">
        <v>227</v>
      </c>
      <c r="DU39" s="80" t="s">
        <v>227</v>
      </c>
      <c r="DV39" s="80" t="s">
        <v>227</v>
      </c>
      <c r="DW39" s="80" t="s">
        <v>227</v>
      </c>
      <c r="DX39" s="80" t="s">
        <v>227</v>
      </c>
      <c r="DY39" s="80" t="s">
        <v>227</v>
      </c>
      <c r="DZ39" s="80" t="s">
        <v>227</v>
      </c>
      <c r="EA39" s="80" t="s">
        <v>227</v>
      </c>
      <c r="EB39" s="80" t="s">
        <v>227</v>
      </c>
      <c r="EC39" s="80" t="s">
        <v>227</v>
      </c>
      <c r="ED39" s="80" t="s">
        <v>227</v>
      </c>
      <c r="EE39" s="80" t="s">
        <v>227</v>
      </c>
      <c r="EF39" s="80" t="s">
        <v>227</v>
      </c>
      <c r="EG39" s="80" t="s">
        <v>227</v>
      </c>
      <c r="EH39" s="80" t="s">
        <v>227</v>
      </c>
      <c r="EI39" s="78">
        <v>45499</v>
      </c>
      <c r="EJ39" s="80" t="s">
        <v>333</v>
      </c>
      <c r="EK39" s="166" t="s">
        <v>249</v>
      </c>
      <c r="EL39" s="80" t="s">
        <v>287</v>
      </c>
      <c r="EM39" s="78">
        <v>45511</v>
      </c>
      <c r="EN39" s="78">
        <v>45616</v>
      </c>
      <c r="EO39" s="80" t="s">
        <v>277</v>
      </c>
      <c r="EP39" s="166" t="s">
        <v>246</v>
      </c>
      <c r="EQ39" s="157" t="s">
        <v>452</v>
      </c>
      <c r="ER39" s="157" t="s">
        <v>248</v>
      </c>
      <c r="ES39" s="166" t="s">
        <v>275</v>
      </c>
      <c r="ET39" s="80" t="s">
        <v>341</v>
      </c>
      <c r="EU39" s="80" t="s">
        <v>279</v>
      </c>
      <c r="EV39" s="166" t="s">
        <v>227</v>
      </c>
      <c r="EW39" s="80" t="s">
        <v>227</v>
      </c>
      <c r="EX39" s="80" t="s">
        <v>227</v>
      </c>
      <c r="EY39" s="166" t="s">
        <v>227</v>
      </c>
      <c r="EZ39" s="80" t="s">
        <v>227</v>
      </c>
      <c r="FA39" s="80" t="s">
        <v>227</v>
      </c>
      <c r="FB39" s="147" t="s">
        <v>227</v>
      </c>
      <c r="FC39" s="80" t="s">
        <v>227</v>
      </c>
      <c r="FD39" s="80" t="s">
        <v>227</v>
      </c>
      <c r="FE39" s="80" t="s">
        <v>227</v>
      </c>
      <c r="FF39" s="80" t="s">
        <v>227</v>
      </c>
      <c r="FG39" s="80" t="s">
        <v>227</v>
      </c>
      <c r="FH39" s="80" t="s">
        <v>227</v>
      </c>
      <c r="FI39" s="80" t="s">
        <v>227</v>
      </c>
      <c r="FJ39" s="80" t="s">
        <v>227</v>
      </c>
      <c r="FK39" s="80" t="s">
        <v>227</v>
      </c>
      <c r="FL39" s="80" t="s">
        <v>227</v>
      </c>
      <c r="FM39" s="80" t="s">
        <v>227</v>
      </c>
      <c r="FN39" s="80" t="s">
        <v>227</v>
      </c>
      <c r="FO39" s="80" t="s">
        <v>227</v>
      </c>
      <c r="FP39" s="80" t="s">
        <v>227</v>
      </c>
      <c r="FQ39" s="80" t="s">
        <v>227</v>
      </c>
      <c r="FR39" s="80" t="s">
        <v>227</v>
      </c>
      <c r="FS39" s="80" t="s">
        <v>227</v>
      </c>
      <c r="FT39" s="80" t="s">
        <v>227</v>
      </c>
      <c r="FU39" s="80" t="s">
        <v>227</v>
      </c>
      <c r="FV39" s="80" t="s">
        <v>227</v>
      </c>
      <c r="FW39" s="80" t="s">
        <v>227</v>
      </c>
      <c r="FX39" s="80" t="s">
        <v>227</v>
      </c>
      <c r="FY39" s="80" t="s">
        <v>227</v>
      </c>
      <c r="FZ39" s="80" t="s">
        <v>227</v>
      </c>
      <c r="GA39" s="80" t="s">
        <v>227</v>
      </c>
      <c r="GB39" s="80" t="s">
        <v>227</v>
      </c>
      <c r="GC39" s="80" t="s">
        <v>227</v>
      </c>
      <c r="GD39" s="80" t="s">
        <v>227</v>
      </c>
      <c r="GE39" s="80" t="s">
        <v>227</v>
      </c>
      <c r="GF39" s="167" t="s">
        <v>312</v>
      </c>
      <c r="GG39" s="78" t="s">
        <v>227</v>
      </c>
      <c r="GH39" s="74" t="s">
        <v>227</v>
      </c>
      <c r="GI39" s="80" t="s">
        <v>227</v>
      </c>
      <c r="GJ39" s="78">
        <v>46051</v>
      </c>
      <c r="GK39" s="156">
        <v>46143</v>
      </c>
      <c r="GL39" s="78" t="s">
        <v>227</v>
      </c>
      <c r="GM39" s="159" t="str">
        <f t="shared" si="7"/>
        <v>N/A</v>
      </c>
      <c r="GN39" s="159" t="str">
        <f t="shared" si="8"/>
        <v>N/A</v>
      </c>
      <c r="GO39" s="159">
        <f t="shared" si="9"/>
        <v>1.2</v>
      </c>
      <c r="GP39" s="159" t="str">
        <f t="shared" si="10"/>
        <v>N/A</v>
      </c>
      <c r="GQ39" s="159" t="str">
        <f t="shared" si="23"/>
        <v>N/A</v>
      </c>
      <c r="GR39" s="159" t="str">
        <f t="shared" si="24"/>
        <v>N/A</v>
      </c>
      <c r="GS39" s="159" t="str">
        <f t="shared" si="11"/>
        <v>N/A</v>
      </c>
      <c r="GT39" s="159" t="str">
        <f t="shared" si="12"/>
        <v>N/A</v>
      </c>
      <c r="GU39" s="159" t="str">
        <f t="shared" si="13"/>
        <v>N/A</v>
      </c>
      <c r="GV39" s="159" t="str">
        <f t="shared" si="14"/>
        <v>N/A</v>
      </c>
      <c r="GW39" s="159">
        <f t="shared" si="15"/>
        <v>2.8333333333333335</v>
      </c>
      <c r="GX39" s="159">
        <f t="shared" si="16"/>
        <v>6.333333333333333</v>
      </c>
      <c r="GY39" s="159">
        <f t="shared" si="17"/>
        <v>38.766666666666666</v>
      </c>
      <c r="GZ39" s="159">
        <f t="shared" si="18"/>
        <v>39.166666666666664</v>
      </c>
      <c r="HA39" s="159">
        <f t="shared" si="19"/>
        <v>42.666666666666664</v>
      </c>
      <c r="HB39" s="159">
        <f t="shared" si="1"/>
        <v>38.766666666666666</v>
      </c>
      <c r="HC39" s="159" t="str">
        <f t="shared" si="20"/>
        <v>N/A</v>
      </c>
      <c r="HD39" s="159">
        <f t="shared" si="21"/>
        <v>57.166666666666664</v>
      </c>
      <c r="HE39" s="159">
        <f t="shared" si="22"/>
        <v>60.233333333333334</v>
      </c>
      <c r="HF39" s="160">
        <f t="shared" si="2"/>
        <v>60.233333333333334</v>
      </c>
      <c r="HG39" s="160" cm="1">
        <f t="array" ref="HG39">INDEX($HB39:$HD39,MATCH(TRUE,INDEX(ISNUMBER($HB39:$HD39),0),0))</f>
        <v>38.766666666666666</v>
      </c>
      <c r="HH39" s="161">
        <f t="shared" si="3"/>
        <v>1</v>
      </c>
      <c r="HI39" s="86">
        <f t="shared" si="4"/>
        <v>0</v>
      </c>
      <c r="HJ39" s="111">
        <f t="shared" si="5"/>
        <v>0</v>
      </c>
      <c r="HK39" s="205" t="str">
        <f t="shared" si="6"/>
        <v>1</v>
      </c>
    </row>
    <row r="40" spans="1:219" ht="15" customHeight="1" x14ac:dyDescent="0.3">
      <c r="A40" s="80">
        <v>4562039582</v>
      </c>
      <c r="B40" s="74" t="s">
        <v>220</v>
      </c>
      <c r="C40" s="74" t="s">
        <v>221</v>
      </c>
      <c r="D40" s="74" t="s">
        <v>220</v>
      </c>
      <c r="E40" s="80" t="s">
        <v>453</v>
      </c>
      <c r="F40" s="80" t="s">
        <v>345</v>
      </c>
      <c r="G40" s="80" t="s">
        <v>384</v>
      </c>
      <c r="H40" s="78">
        <v>44372</v>
      </c>
      <c r="I40" s="80" t="s">
        <v>454</v>
      </c>
      <c r="J40" s="80" t="s">
        <v>226</v>
      </c>
      <c r="K40" s="78" t="s">
        <v>227</v>
      </c>
      <c r="L40" s="80" t="s">
        <v>227</v>
      </c>
      <c r="M40" s="80" t="s">
        <v>227</v>
      </c>
      <c r="N40" s="80" t="s">
        <v>227</v>
      </c>
      <c r="O40" s="80" t="s">
        <v>227</v>
      </c>
      <c r="P40" s="80" t="s">
        <v>227</v>
      </c>
      <c r="Q40" s="80" t="s">
        <v>227</v>
      </c>
      <c r="R40" s="80" t="s">
        <v>227</v>
      </c>
      <c r="S40" s="80" t="s">
        <v>227</v>
      </c>
      <c r="T40" s="80" t="s">
        <v>227</v>
      </c>
      <c r="U40" s="80" t="s">
        <v>227</v>
      </c>
      <c r="V40" s="80" t="s">
        <v>227</v>
      </c>
      <c r="W40" s="80" t="s">
        <v>227</v>
      </c>
      <c r="X40" s="80" t="s">
        <v>227</v>
      </c>
      <c r="Y40" s="80" t="s">
        <v>227</v>
      </c>
      <c r="Z40" s="80" t="s">
        <v>227</v>
      </c>
      <c r="AA40" s="80" t="s">
        <v>227</v>
      </c>
      <c r="AB40" s="80" t="s">
        <v>227</v>
      </c>
      <c r="AC40" s="80" t="s">
        <v>227</v>
      </c>
      <c r="AD40" s="80" t="s">
        <v>227</v>
      </c>
      <c r="AE40" s="80" t="s">
        <v>227</v>
      </c>
      <c r="AF40" s="80" t="s">
        <v>227</v>
      </c>
      <c r="AG40" s="80" t="s">
        <v>227</v>
      </c>
      <c r="AH40" s="80" t="s">
        <v>227</v>
      </c>
      <c r="AI40" s="80" t="s">
        <v>227</v>
      </c>
      <c r="AJ40" s="80" t="s">
        <v>227</v>
      </c>
      <c r="AK40" s="80" t="s">
        <v>227</v>
      </c>
      <c r="AL40" s="80" t="s">
        <v>227</v>
      </c>
      <c r="AM40" s="80" t="s">
        <v>227</v>
      </c>
      <c r="AN40" s="80" t="s">
        <v>227</v>
      </c>
      <c r="AO40" s="80" t="s">
        <v>227</v>
      </c>
      <c r="AP40" s="80" t="s">
        <v>227</v>
      </c>
      <c r="AQ40" s="80" t="s">
        <v>228</v>
      </c>
      <c r="AR40" s="78">
        <v>18622</v>
      </c>
      <c r="AS40" s="78">
        <v>44306</v>
      </c>
      <c r="AT40" s="148">
        <f t="shared" si="0"/>
        <v>70</v>
      </c>
      <c r="AU40" s="164" t="s">
        <v>229</v>
      </c>
      <c r="AV40" s="74" t="s">
        <v>230</v>
      </c>
      <c r="AW40" s="74" t="s">
        <v>241</v>
      </c>
      <c r="AX40" s="80" t="s">
        <v>309</v>
      </c>
      <c r="AY40" s="80" t="s">
        <v>232</v>
      </c>
      <c r="AZ40" s="80" t="s">
        <v>232</v>
      </c>
      <c r="BA40" s="80">
        <f t="shared" si="46"/>
        <v>0</v>
      </c>
      <c r="BB40" s="157" t="s">
        <v>310</v>
      </c>
      <c r="BC40" s="80">
        <v>3</v>
      </c>
      <c r="BD40" s="74" t="s">
        <v>243</v>
      </c>
      <c r="BE40" s="80" t="s">
        <v>244</v>
      </c>
      <c r="BF40" s="74" t="s">
        <v>220</v>
      </c>
      <c r="BG40" s="165" t="s">
        <v>227</v>
      </c>
      <c r="BH40" s="166" t="s">
        <v>227</v>
      </c>
      <c r="BI40" s="80" t="s">
        <v>227</v>
      </c>
      <c r="BJ40" s="78" t="s">
        <v>227</v>
      </c>
      <c r="BK40" s="78" t="s">
        <v>227</v>
      </c>
      <c r="BL40" s="80" t="s">
        <v>227</v>
      </c>
      <c r="BM40" s="166" t="s">
        <v>227</v>
      </c>
      <c r="BN40" s="80" t="s">
        <v>227</v>
      </c>
      <c r="BO40" s="80" t="s">
        <v>227</v>
      </c>
      <c r="BP40" s="166" t="s">
        <v>227</v>
      </c>
      <c r="BQ40" s="80" t="s">
        <v>227</v>
      </c>
      <c r="BR40" s="80" t="s">
        <v>227</v>
      </c>
      <c r="BS40" s="80" t="s">
        <v>227</v>
      </c>
      <c r="BT40" s="80" t="s">
        <v>227</v>
      </c>
      <c r="BU40" s="80" t="s">
        <v>227</v>
      </c>
      <c r="BV40" s="80" t="s">
        <v>227</v>
      </c>
      <c r="BW40" s="80" t="s">
        <v>227</v>
      </c>
      <c r="BX40" s="80" t="s">
        <v>227</v>
      </c>
      <c r="BY40" s="80" t="s">
        <v>227</v>
      </c>
      <c r="BZ40" s="80" t="s">
        <v>227</v>
      </c>
      <c r="CA40" s="80" t="s">
        <v>227</v>
      </c>
      <c r="CB40" s="80" t="s">
        <v>227</v>
      </c>
      <c r="CC40" s="80" t="s">
        <v>227</v>
      </c>
      <c r="CD40" s="80" t="s">
        <v>227</v>
      </c>
      <c r="CE40" s="80" t="s">
        <v>227</v>
      </c>
      <c r="CF40" s="80" t="s">
        <v>227</v>
      </c>
      <c r="CG40" s="80" t="s">
        <v>227</v>
      </c>
      <c r="CH40" s="80" t="s">
        <v>227</v>
      </c>
      <c r="CI40" s="80" t="s">
        <v>227</v>
      </c>
      <c r="CJ40" s="80" t="s">
        <v>227</v>
      </c>
      <c r="CK40" s="80" t="s">
        <v>227</v>
      </c>
      <c r="CL40" s="80" t="s">
        <v>227</v>
      </c>
      <c r="CM40" s="80" t="s">
        <v>227</v>
      </c>
      <c r="CN40" s="166" t="s">
        <v>246</v>
      </c>
      <c r="CO40" s="80" t="s">
        <v>378</v>
      </c>
      <c r="CP40" s="78">
        <v>44418</v>
      </c>
      <c r="CQ40" s="78">
        <v>44425</v>
      </c>
      <c r="CR40" s="80" t="s">
        <v>227</v>
      </c>
      <c r="CS40" s="166" t="s">
        <v>227</v>
      </c>
      <c r="CT40" s="80" t="s">
        <v>227</v>
      </c>
      <c r="CU40" s="80" t="s">
        <v>227</v>
      </c>
      <c r="CV40" s="166" t="s">
        <v>227</v>
      </c>
      <c r="CW40" s="80" t="s">
        <v>227</v>
      </c>
      <c r="CX40" s="80" t="s">
        <v>227</v>
      </c>
      <c r="CY40" s="80" t="s">
        <v>227</v>
      </c>
      <c r="CZ40" s="80" t="s">
        <v>227</v>
      </c>
      <c r="DA40" s="80" t="s">
        <v>227</v>
      </c>
      <c r="DB40" s="80" t="s">
        <v>227</v>
      </c>
      <c r="DC40" s="80" t="s">
        <v>227</v>
      </c>
      <c r="DD40" s="80" t="s">
        <v>227</v>
      </c>
      <c r="DE40" s="80" t="s">
        <v>227</v>
      </c>
      <c r="DF40" s="80" t="s">
        <v>227</v>
      </c>
      <c r="DG40" s="80" t="s">
        <v>227</v>
      </c>
      <c r="DH40" s="80" t="s">
        <v>227</v>
      </c>
      <c r="DI40" s="80" t="s">
        <v>227</v>
      </c>
      <c r="DJ40" s="80" t="s">
        <v>227</v>
      </c>
      <c r="DK40" s="80" t="s">
        <v>227</v>
      </c>
      <c r="DL40" s="80" t="s">
        <v>227</v>
      </c>
      <c r="DM40" s="80" t="s">
        <v>227</v>
      </c>
      <c r="DN40" s="80" t="s">
        <v>227</v>
      </c>
      <c r="DO40" s="80" t="s">
        <v>227</v>
      </c>
      <c r="DP40" s="80" t="s">
        <v>227</v>
      </c>
      <c r="DQ40" s="80" t="s">
        <v>227</v>
      </c>
      <c r="DR40" s="80" t="s">
        <v>227</v>
      </c>
      <c r="DS40" s="80" t="s">
        <v>227</v>
      </c>
      <c r="DT40" s="80" t="s">
        <v>227</v>
      </c>
      <c r="DU40" s="80" t="s">
        <v>227</v>
      </c>
      <c r="DV40" s="80" t="s">
        <v>227</v>
      </c>
      <c r="DW40" s="80" t="s">
        <v>227</v>
      </c>
      <c r="DX40" s="80" t="s">
        <v>227</v>
      </c>
      <c r="DY40" s="80" t="s">
        <v>227</v>
      </c>
      <c r="DZ40" s="80" t="s">
        <v>227</v>
      </c>
      <c r="EA40" s="80" t="s">
        <v>227</v>
      </c>
      <c r="EB40" s="80" t="s">
        <v>227</v>
      </c>
      <c r="EC40" s="80" t="s">
        <v>227</v>
      </c>
      <c r="ED40" s="80" t="s">
        <v>227</v>
      </c>
      <c r="EE40" s="80" t="s">
        <v>227</v>
      </c>
      <c r="EF40" s="80" t="s">
        <v>227</v>
      </c>
      <c r="EG40" s="80" t="s">
        <v>227</v>
      </c>
      <c r="EH40" s="80" t="s">
        <v>227</v>
      </c>
      <c r="EI40" s="78">
        <v>45077</v>
      </c>
      <c r="EJ40" s="80" t="s">
        <v>455</v>
      </c>
      <c r="EK40" s="166" t="s">
        <v>227</v>
      </c>
      <c r="EL40" s="80" t="s">
        <v>227</v>
      </c>
      <c r="EM40" s="78" t="s">
        <v>227</v>
      </c>
      <c r="EN40" s="78" t="s">
        <v>227</v>
      </c>
      <c r="EO40" s="80" t="s">
        <v>227</v>
      </c>
      <c r="EP40" s="166" t="s">
        <v>227</v>
      </c>
      <c r="EQ40" s="80" t="s">
        <v>227</v>
      </c>
      <c r="ER40" s="80" t="s">
        <v>227</v>
      </c>
      <c r="ES40" s="166" t="s">
        <v>227</v>
      </c>
      <c r="ET40" s="80" t="s">
        <v>227</v>
      </c>
      <c r="EU40" s="80" t="s">
        <v>227</v>
      </c>
      <c r="EV40" s="166" t="s">
        <v>227</v>
      </c>
      <c r="EW40" s="80" t="s">
        <v>227</v>
      </c>
      <c r="EX40" s="80" t="s">
        <v>227</v>
      </c>
      <c r="EY40" s="166" t="s">
        <v>227</v>
      </c>
      <c r="EZ40" s="80" t="s">
        <v>227</v>
      </c>
      <c r="FA40" s="80" t="s">
        <v>227</v>
      </c>
      <c r="FB40" s="147" t="s">
        <v>227</v>
      </c>
      <c r="FC40" s="80" t="s">
        <v>227</v>
      </c>
      <c r="FD40" s="80" t="s">
        <v>227</v>
      </c>
      <c r="FE40" s="80" t="s">
        <v>227</v>
      </c>
      <c r="FF40" s="80" t="s">
        <v>227</v>
      </c>
      <c r="FG40" s="80" t="s">
        <v>227</v>
      </c>
      <c r="FH40" s="80" t="s">
        <v>227</v>
      </c>
      <c r="FI40" s="80" t="s">
        <v>227</v>
      </c>
      <c r="FJ40" s="80" t="s">
        <v>227</v>
      </c>
      <c r="FK40" s="80" t="s">
        <v>227</v>
      </c>
      <c r="FL40" s="80" t="s">
        <v>227</v>
      </c>
      <c r="FM40" s="80" t="s">
        <v>227</v>
      </c>
      <c r="FN40" s="80" t="s">
        <v>227</v>
      </c>
      <c r="FO40" s="80" t="s">
        <v>227</v>
      </c>
      <c r="FP40" s="80" t="s">
        <v>227</v>
      </c>
      <c r="FQ40" s="80" t="s">
        <v>227</v>
      </c>
      <c r="FR40" s="80" t="s">
        <v>227</v>
      </c>
      <c r="FS40" s="80" t="s">
        <v>227</v>
      </c>
      <c r="FT40" s="80" t="s">
        <v>227</v>
      </c>
      <c r="FU40" s="80" t="s">
        <v>227</v>
      </c>
      <c r="FV40" s="80" t="s">
        <v>227</v>
      </c>
      <c r="FW40" s="80" t="s">
        <v>227</v>
      </c>
      <c r="FX40" s="80" t="s">
        <v>227</v>
      </c>
      <c r="FY40" s="80" t="s">
        <v>227</v>
      </c>
      <c r="FZ40" s="80" t="s">
        <v>227</v>
      </c>
      <c r="GA40" s="80" t="s">
        <v>227</v>
      </c>
      <c r="GB40" s="80" t="s">
        <v>227</v>
      </c>
      <c r="GC40" s="80" t="s">
        <v>227</v>
      </c>
      <c r="GD40" s="80" t="s">
        <v>227</v>
      </c>
      <c r="GE40" s="80" t="s">
        <v>227</v>
      </c>
      <c r="GF40" s="167" t="s">
        <v>236</v>
      </c>
      <c r="GG40" s="78">
        <v>45153</v>
      </c>
      <c r="GH40" s="74" t="s">
        <v>241</v>
      </c>
      <c r="GI40" s="80" t="s">
        <v>231</v>
      </c>
      <c r="GJ40" s="78">
        <v>45114</v>
      </c>
      <c r="GK40" s="78" t="s">
        <v>227</v>
      </c>
      <c r="GL40" s="78" t="s">
        <v>456</v>
      </c>
      <c r="GM40" s="159" t="str">
        <f t="shared" si="7"/>
        <v>N/A</v>
      </c>
      <c r="GN40" s="159" t="str">
        <f t="shared" si="8"/>
        <v>N/A</v>
      </c>
      <c r="GO40" s="159">
        <f t="shared" si="9"/>
        <v>2.2000000000000002</v>
      </c>
      <c r="GP40" s="159" t="str">
        <f t="shared" si="10"/>
        <v>N/A</v>
      </c>
      <c r="GQ40" s="159" t="str">
        <f t="shared" si="23"/>
        <v>N/A</v>
      </c>
      <c r="GR40" s="159" t="str">
        <f t="shared" si="24"/>
        <v>N/A</v>
      </c>
      <c r="GS40" s="159" t="str">
        <f t="shared" si="11"/>
        <v>N/A</v>
      </c>
      <c r="GT40" s="159" t="str">
        <f t="shared" si="12"/>
        <v>N/A</v>
      </c>
      <c r="GU40" s="159" t="str">
        <f t="shared" si="13"/>
        <v>N/A</v>
      </c>
      <c r="GV40" s="159" t="str">
        <f t="shared" si="14"/>
        <v>N/A</v>
      </c>
      <c r="GW40" s="159">
        <f t="shared" si="15"/>
        <v>3.7333333333333334</v>
      </c>
      <c r="GX40" s="159">
        <f t="shared" si="16"/>
        <v>3.9666666666666668</v>
      </c>
      <c r="GY40" s="159">
        <f t="shared" si="17"/>
        <v>25.7</v>
      </c>
      <c r="GZ40" s="159" t="str">
        <f t="shared" si="18"/>
        <v>N/A</v>
      </c>
      <c r="HA40" s="159" t="str">
        <f t="shared" si="19"/>
        <v>N/A</v>
      </c>
      <c r="HB40" s="159">
        <f t="shared" si="1"/>
        <v>25.7</v>
      </c>
      <c r="HC40" s="159">
        <f t="shared" si="20"/>
        <v>28.233333333333334</v>
      </c>
      <c r="HD40" s="159">
        <f t="shared" si="21"/>
        <v>26.933333333333334</v>
      </c>
      <c r="HE40" s="159" t="str">
        <f t="shared" si="22"/>
        <v>N/A</v>
      </c>
      <c r="HF40" s="160">
        <f t="shared" si="2"/>
        <v>28.233333333333334</v>
      </c>
      <c r="HG40" s="160" cm="1">
        <f t="array" ref="HG40">INDEX($HB40:$HD40,MATCH(TRUE,INDEX(ISNUMBER($HB40:$HD40),0),0))</f>
        <v>25.7</v>
      </c>
      <c r="HH40" s="161">
        <f t="shared" si="3"/>
        <v>1</v>
      </c>
      <c r="HI40" s="86">
        <f t="shared" si="4"/>
        <v>1</v>
      </c>
      <c r="HJ40" s="111">
        <f t="shared" si="5"/>
        <v>1</v>
      </c>
      <c r="HK40" s="205" t="str">
        <f t="shared" si="6"/>
        <v>1</v>
      </c>
    </row>
    <row r="41" spans="1:219" ht="15" customHeight="1" x14ac:dyDescent="0.3">
      <c r="A41" s="80">
        <v>4508069339</v>
      </c>
      <c r="B41" s="74" t="s">
        <v>220</v>
      </c>
      <c r="C41" s="74" t="s">
        <v>221</v>
      </c>
      <c r="D41" s="74" t="s">
        <v>220</v>
      </c>
      <c r="E41" s="80" t="s">
        <v>457</v>
      </c>
      <c r="F41" s="80" t="s">
        <v>384</v>
      </c>
      <c r="G41" s="80" t="s">
        <v>458</v>
      </c>
      <c r="H41" s="78">
        <v>44375</v>
      </c>
      <c r="I41" s="80" t="s">
        <v>459</v>
      </c>
      <c r="J41" s="80" t="s">
        <v>226</v>
      </c>
      <c r="K41" s="78" t="s">
        <v>227</v>
      </c>
      <c r="L41" s="80" t="s">
        <v>227</v>
      </c>
      <c r="M41" s="80" t="s">
        <v>227</v>
      </c>
      <c r="N41" s="80" t="s">
        <v>227</v>
      </c>
      <c r="O41" s="80" t="s">
        <v>227</v>
      </c>
      <c r="P41" s="80" t="s">
        <v>227</v>
      </c>
      <c r="Q41" s="80" t="s">
        <v>227</v>
      </c>
      <c r="R41" s="80" t="s">
        <v>227</v>
      </c>
      <c r="S41" s="80" t="s">
        <v>227</v>
      </c>
      <c r="T41" s="80" t="s">
        <v>227</v>
      </c>
      <c r="U41" s="80" t="s">
        <v>227</v>
      </c>
      <c r="V41" s="80" t="s">
        <v>227</v>
      </c>
      <c r="W41" s="80" t="s">
        <v>227</v>
      </c>
      <c r="X41" s="80" t="s">
        <v>227</v>
      </c>
      <c r="Y41" s="80" t="s">
        <v>227</v>
      </c>
      <c r="Z41" s="80" t="s">
        <v>227</v>
      </c>
      <c r="AA41" s="80" t="s">
        <v>227</v>
      </c>
      <c r="AB41" s="80" t="s">
        <v>227</v>
      </c>
      <c r="AC41" s="80" t="s">
        <v>227</v>
      </c>
      <c r="AD41" s="80" t="s">
        <v>227</v>
      </c>
      <c r="AE41" s="80" t="s">
        <v>227</v>
      </c>
      <c r="AF41" s="80" t="s">
        <v>227</v>
      </c>
      <c r="AG41" s="80" t="s">
        <v>227</v>
      </c>
      <c r="AH41" s="80" t="s">
        <v>227</v>
      </c>
      <c r="AI41" s="80" t="s">
        <v>227</v>
      </c>
      <c r="AJ41" s="80" t="s">
        <v>227</v>
      </c>
      <c r="AK41" s="80" t="s">
        <v>227</v>
      </c>
      <c r="AL41" s="80" t="s">
        <v>227</v>
      </c>
      <c r="AM41" s="80" t="s">
        <v>227</v>
      </c>
      <c r="AN41" s="80" t="s">
        <v>227</v>
      </c>
      <c r="AO41" s="80" t="s">
        <v>227</v>
      </c>
      <c r="AP41" s="80" t="s">
        <v>227</v>
      </c>
      <c r="AQ41" s="80" t="s">
        <v>228</v>
      </c>
      <c r="AR41" s="78">
        <v>17532</v>
      </c>
      <c r="AS41" s="78">
        <v>44328</v>
      </c>
      <c r="AT41" s="148">
        <f t="shared" si="0"/>
        <v>73</v>
      </c>
      <c r="AU41" s="164" t="s">
        <v>460</v>
      </c>
      <c r="AV41" s="74" t="s">
        <v>230</v>
      </c>
      <c r="AW41" s="74" t="s">
        <v>241</v>
      </c>
      <c r="AX41" s="80" t="s">
        <v>264</v>
      </c>
      <c r="AY41" s="80">
        <v>0</v>
      </c>
      <c r="AZ41" s="80" t="s">
        <v>232</v>
      </c>
      <c r="BA41" s="80">
        <f t="shared" si="46"/>
        <v>0</v>
      </c>
      <c r="BB41" s="80" t="s">
        <v>265</v>
      </c>
      <c r="BC41" s="80">
        <v>3</v>
      </c>
      <c r="BD41" s="74" t="s">
        <v>243</v>
      </c>
      <c r="BE41" s="80" t="s">
        <v>244</v>
      </c>
      <c r="BF41" s="74" t="s">
        <v>220</v>
      </c>
      <c r="BG41" s="165" t="s">
        <v>227</v>
      </c>
      <c r="BH41" s="166" t="s">
        <v>227</v>
      </c>
      <c r="BI41" s="80" t="s">
        <v>227</v>
      </c>
      <c r="BJ41" s="78" t="s">
        <v>227</v>
      </c>
      <c r="BK41" s="78" t="s">
        <v>227</v>
      </c>
      <c r="BL41" s="80" t="s">
        <v>227</v>
      </c>
      <c r="BM41" s="166" t="s">
        <v>227</v>
      </c>
      <c r="BN41" s="80" t="s">
        <v>227</v>
      </c>
      <c r="BO41" s="80" t="s">
        <v>227</v>
      </c>
      <c r="BP41" s="166" t="s">
        <v>227</v>
      </c>
      <c r="BQ41" s="80" t="s">
        <v>227</v>
      </c>
      <c r="BR41" s="80" t="s">
        <v>227</v>
      </c>
      <c r="BS41" s="80" t="s">
        <v>227</v>
      </c>
      <c r="BT41" s="80" t="s">
        <v>227</v>
      </c>
      <c r="BU41" s="80" t="s">
        <v>227</v>
      </c>
      <c r="BV41" s="80" t="s">
        <v>227</v>
      </c>
      <c r="BW41" s="80" t="s">
        <v>227</v>
      </c>
      <c r="BX41" s="80" t="s">
        <v>227</v>
      </c>
      <c r="BY41" s="80" t="s">
        <v>227</v>
      </c>
      <c r="BZ41" s="80" t="s">
        <v>227</v>
      </c>
      <c r="CA41" s="80" t="s">
        <v>227</v>
      </c>
      <c r="CB41" s="80" t="s">
        <v>227</v>
      </c>
      <c r="CC41" s="80" t="s">
        <v>227</v>
      </c>
      <c r="CD41" s="80" t="s">
        <v>227</v>
      </c>
      <c r="CE41" s="80" t="s">
        <v>227</v>
      </c>
      <c r="CF41" s="80" t="s">
        <v>227</v>
      </c>
      <c r="CG41" s="80" t="s">
        <v>227</v>
      </c>
      <c r="CH41" s="80" t="s">
        <v>227</v>
      </c>
      <c r="CI41" s="80" t="s">
        <v>227</v>
      </c>
      <c r="CJ41" s="80" t="s">
        <v>227</v>
      </c>
      <c r="CK41" s="80" t="s">
        <v>227</v>
      </c>
      <c r="CL41" s="80" t="s">
        <v>227</v>
      </c>
      <c r="CM41" s="80" t="s">
        <v>227</v>
      </c>
      <c r="CN41" s="166" t="s">
        <v>246</v>
      </c>
      <c r="CO41" s="80" t="s">
        <v>378</v>
      </c>
      <c r="CP41" s="78">
        <v>44439</v>
      </c>
      <c r="CQ41" s="78">
        <v>44446</v>
      </c>
      <c r="CR41" s="80" t="s">
        <v>227</v>
      </c>
      <c r="CS41" s="80" t="s">
        <v>227</v>
      </c>
      <c r="CT41" s="80" t="s">
        <v>227</v>
      </c>
      <c r="CU41" s="80" t="s">
        <v>227</v>
      </c>
      <c r="CV41" s="80" t="s">
        <v>227</v>
      </c>
      <c r="CW41" s="80" t="s">
        <v>227</v>
      </c>
      <c r="CX41" s="80" t="s">
        <v>227</v>
      </c>
      <c r="CY41" s="80" t="s">
        <v>227</v>
      </c>
      <c r="CZ41" s="80" t="s">
        <v>227</v>
      </c>
      <c r="DA41" s="80" t="s">
        <v>227</v>
      </c>
      <c r="DB41" s="80" t="s">
        <v>227</v>
      </c>
      <c r="DC41" s="80" t="s">
        <v>227</v>
      </c>
      <c r="DD41" s="80" t="s">
        <v>227</v>
      </c>
      <c r="DE41" s="80" t="s">
        <v>227</v>
      </c>
      <c r="DF41" s="80" t="s">
        <v>227</v>
      </c>
      <c r="DG41" s="80" t="s">
        <v>227</v>
      </c>
      <c r="DH41" s="80" t="s">
        <v>227</v>
      </c>
      <c r="DI41" s="80" t="s">
        <v>227</v>
      </c>
      <c r="DJ41" s="80" t="s">
        <v>227</v>
      </c>
      <c r="DK41" s="80" t="s">
        <v>227</v>
      </c>
      <c r="DL41" s="80" t="s">
        <v>227</v>
      </c>
      <c r="DM41" s="80" t="s">
        <v>227</v>
      </c>
      <c r="DN41" s="80" t="s">
        <v>227</v>
      </c>
      <c r="DO41" s="80" t="s">
        <v>227</v>
      </c>
      <c r="DP41" s="80" t="s">
        <v>227</v>
      </c>
      <c r="DQ41" s="80" t="s">
        <v>227</v>
      </c>
      <c r="DR41" s="80" t="s">
        <v>227</v>
      </c>
      <c r="DS41" s="80" t="s">
        <v>227</v>
      </c>
      <c r="DT41" s="80" t="s">
        <v>227</v>
      </c>
      <c r="DU41" s="80" t="s">
        <v>227</v>
      </c>
      <c r="DV41" s="80" t="s">
        <v>227</v>
      </c>
      <c r="DW41" s="80" t="s">
        <v>227</v>
      </c>
      <c r="DX41" s="80" t="s">
        <v>227</v>
      </c>
      <c r="DY41" s="80" t="s">
        <v>227</v>
      </c>
      <c r="DZ41" s="80" t="s">
        <v>227</v>
      </c>
      <c r="EA41" s="80" t="s">
        <v>227</v>
      </c>
      <c r="EB41" s="80" t="s">
        <v>227</v>
      </c>
      <c r="EC41" s="80" t="s">
        <v>227</v>
      </c>
      <c r="ED41" s="80" t="s">
        <v>227</v>
      </c>
      <c r="EE41" s="80" t="s">
        <v>227</v>
      </c>
      <c r="EF41" s="80" t="s">
        <v>227</v>
      </c>
      <c r="EG41" s="80" t="s">
        <v>227</v>
      </c>
      <c r="EH41" s="80" t="s">
        <v>227</v>
      </c>
      <c r="EI41" s="80" t="s">
        <v>227</v>
      </c>
      <c r="EJ41" s="80" t="s">
        <v>227</v>
      </c>
      <c r="EK41" s="80" t="s">
        <v>227</v>
      </c>
      <c r="EL41" s="80" t="s">
        <v>227</v>
      </c>
      <c r="EM41" s="80" t="s">
        <v>227</v>
      </c>
      <c r="EN41" s="80" t="s">
        <v>227</v>
      </c>
      <c r="EO41" s="80" t="s">
        <v>227</v>
      </c>
      <c r="EP41" s="80" t="s">
        <v>227</v>
      </c>
      <c r="EQ41" s="80" t="s">
        <v>227</v>
      </c>
      <c r="ER41" s="80" t="s">
        <v>227</v>
      </c>
      <c r="ES41" s="80" t="s">
        <v>227</v>
      </c>
      <c r="ET41" s="80" t="s">
        <v>227</v>
      </c>
      <c r="EU41" s="80" t="s">
        <v>227</v>
      </c>
      <c r="EV41" s="80" t="s">
        <v>227</v>
      </c>
      <c r="EW41" s="80" t="s">
        <v>227</v>
      </c>
      <c r="EX41" s="80" t="s">
        <v>227</v>
      </c>
      <c r="EY41" s="80" t="s">
        <v>227</v>
      </c>
      <c r="EZ41" s="80" t="s">
        <v>227</v>
      </c>
      <c r="FA41" s="80" t="s">
        <v>227</v>
      </c>
      <c r="FB41" s="147" t="s">
        <v>227</v>
      </c>
      <c r="FC41" s="80" t="s">
        <v>227</v>
      </c>
      <c r="FD41" s="80" t="s">
        <v>227</v>
      </c>
      <c r="FE41" s="80" t="s">
        <v>227</v>
      </c>
      <c r="FF41" s="80" t="s">
        <v>227</v>
      </c>
      <c r="FG41" s="80" t="s">
        <v>227</v>
      </c>
      <c r="FH41" s="80" t="s">
        <v>227</v>
      </c>
      <c r="FI41" s="80" t="s">
        <v>227</v>
      </c>
      <c r="FJ41" s="80" t="s">
        <v>227</v>
      </c>
      <c r="FK41" s="80" t="s">
        <v>227</v>
      </c>
      <c r="FL41" s="80" t="s">
        <v>227</v>
      </c>
      <c r="FM41" s="80" t="s">
        <v>227</v>
      </c>
      <c r="FN41" s="80" t="s">
        <v>227</v>
      </c>
      <c r="FO41" s="80" t="s">
        <v>227</v>
      </c>
      <c r="FP41" s="80" t="s">
        <v>227</v>
      </c>
      <c r="FQ41" s="80" t="s">
        <v>227</v>
      </c>
      <c r="FR41" s="80" t="s">
        <v>227</v>
      </c>
      <c r="FS41" s="80" t="s">
        <v>227</v>
      </c>
      <c r="FT41" s="80" t="s">
        <v>227</v>
      </c>
      <c r="FU41" s="80" t="s">
        <v>227</v>
      </c>
      <c r="FV41" s="80" t="s">
        <v>227</v>
      </c>
      <c r="FW41" s="80" t="s">
        <v>227</v>
      </c>
      <c r="FX41" s="80" t="s">
        <v>227</v>
      </c>
      <c r="FY41" s="80" t="s">
        <v>227</v>
      </c>
      <c r="FZ41" s="80" t="s">
        <v>227</v>
      </c>
      <c r="GA41" s="80" t="s">
        <v>227</v>
      </c>
      <c r="GB41" s="80" t="s">
        <v>227</v>
      </c>
      <c r="GC41" s="80" t="s">
        <v>227</v>
      </c>
      <c r="GD41" s="80" t="s">
        <v>227</v>
      </c>
      <c r="GE41" s="80" t="s">
        <v>227</v>
      </c>
      <c r="GF41" s="167" t="s">
        <v>236</v>
      </c>
      <c r="GG41" s="78">
        <v>46000</v>
      </c>
      <c r="GH41" s="74" t="s">
        <v>220</v>
      </c>
      <c r="GI41" s="80" t="s">
        <v>461</v>
      </c>
      <c r="GJ41" s="78">
        <v>45618</v>
      </c>
      <c r="GK41" s="78" t="s">
        <v>227</v>
      </c>
      <c r="GL41" s="78" t="s">
        <v>227</v>
      </c>
      <c r="GM41" s="159" t="str">
        <f t="shared" si="7"/>
        <v>N/A</v>
      </c>
      <c r="GN41" s="159" t="str">
        <f t="shared" si="8"/>
        <v>N/A</v>
      </c>
      <c r="GO41" s="159">
        <f t="shared" si="9"/>
        <v>1.5666666666666667</v>
      </c>
      <c r="GP41" s="159" t="str">
        <f t="shared" si="10"/>
        <v>N/A</v>
      </c>
      <c r="GQ41" s="159" t="str">
        <f t="shared" si="23"/>
        <v>N/A</v>
      </c>
      <c r="GR41" s="159" t="str">
        <f t="shared" si="24"/>
        <v>N/A</v>
      </c>
      <c r="GS41" s="159" t="str">
        <f t="shared" si="11"/>
        <v>N/A</v>
      </c>
      <c r="GT41" s="159" t="str">
        <f t="shared" si="12"/>
        <v>N/A</v>
      </c>
      <c r="GU41" s="159" t="str">
        <f t="shared" si="13"/>
        <v>N/A</v>
      </c>
      <c r="GV41" s="159" t="str">
        <f t="shared" si="14"/>
        <v>N/A</v>
      </c>
      <c r="GW41" s="159">
        <f t="shared" si="15"/>
        <v>3.7</v>
      </c>
      <c r="GX41" s="159">
        <f t="shared" si="16"/>
        <v>3.9333333333333331</v>
      </c>
      <c r="GY41" s="159" t="str">
        <f t="shared" si="17"/>
        <v>N/A</v>
      </c>
      <c r="GZ41" s="159" t="str">
        <f t="shared" si="18"/>
        <v>N/A</v>
      </c>
      <c r="HA41" s="159" t="str">
        <f t="shared" si="19"/>
        <v>N/A</v>
      </c>
      <c r="HB41" s="159" t="str">
        <f t="shared" si="1"/>
        <v>N/A</v>
      </c>
      <c r="HC41" s="159">
        <f t="shared" si="20"/>
        <v>55.733333333333334</v>
      </c>
      <c r="HD41" s="159">
        <f t="shared" si="21"/>
        <v>43</v>
      </c>
      <c r="HE41" s="159" t="str">
        <f t="shared" si="22"/>
        <v>N/A</v>
      </c>
      <c r="HF41" s="160">
        <f t="shared" si="2"/>
        <v>55.733333333333334</v>
      </c>
      <c r="HG41" s="160" cm="1">
        <f t="array" ref="HG41">INDEX($HB41:$HD41,MATCH(TRUE,INDEX(ISNUMBER($HB41:$HD41),0),0))</f>
        <v>55.733333333333334</v>
      </c>
      <c r="HH41" s="161">
        <f t="shared" si="3"/>
        <v>0</v>
      </c>
      <c r="HI41" s="86">
        <f t="shared" si="4"/>
        <v>0</v>
      </c>
      <c r="HJ41" s="113">
        <f t="shared" si="5"/>
        <v>1</v>
      </c>
      <c r="HK41" s="161" t="str">
        <f t="shared" si="6"/>
        <v>0</v>
      </c>
    </row>
    <row r="42" spans="1:219" ht="15" customHeight="1" x14ac:dyDescent="0.3">
      <c r="A42" s="80">
        <v>4849034780</v>
      </c>
      <c r="B42" s="74" t="s">
        <v>220</v>
      </c>
      <c r="C42" s="74" t="s">
        <v>221</v>
      </c>
      <c r="D42" s="74" t="s">
        <v>220</v>
      </c>
      <c r="E42" s="80" t="s">
        <v>462</v>
      </c>
      <c r="F42" s="80" t="s">
        <v>224</v>
      </c>
      <c r="G42" s="80" t="s">
        <v>344</v>
      </c>
      <c r="H42" s="78">
        <v>44386</v>
      </c>
      <c r="I42" s="80" t="s">
        <v>463</v>
      </c>
      <c r="J42" s="80" t="s">
        <v>226</v>
      </c>
      <c r="K42" s="78" t="s">
        <v>227</v>
      </c>
      <c r="L42" s="80" t="s">
        <v>227</v>
      </c>
      <c r="M42" s="80" t="s">
        <v>227</v>
      </c>
      <c r="N42" s="80" t="s">
        <v>227</v>
      </c>
      <c r="O42" s="80" t="s">
        <v>227</v>
      </c>
      <c r="P42" s="80" t="s">
        <v>227</v>
      </c>
      <c r="Q42" s="80" t="s">
        <v>227</v>
      </c>
      <c r="R42" s="80" t="s">
        <v>227</v>
      </c>
      <c r="S42" s="80" t="s">
        <v>227</v>
      </c>
      <c r="T42" s="80" t="s">
        <v>227</v>
      </c>
      <c r="U42" s="80" t="s">
        <v>227</v>
      </c>
      <c r="V42" s="80" t="s">
        <v>227</v>
      </c>
      <c r="W42" s="80" t="s">
        <v>227</v>
      </c>
      <c r="X42" s="80" t="s">
        <v>227</v>
      </c>
      <c r="Y42" s="80" t="s">
        <v>227</v>
      </c>
      <c r="Z42" s="80" t="s">
        <v>227</v>
      </c>
      <c r="AA42" s="80" t="s">
        <v>227</v>
      </c>
      <c r="AB42" s="80" t="s">
        <v>227</v>
      </c>
      <c r="AC42" s="80" t="s">
        <v>227</v>
      </c>
      <c r="AD42" s="80" t="s">
        <v>227</v>
      </c>
      <c r="AE42" s="80" t="s">
        <v>227</v>
      </c>
      <c r="AF42" s="80" t="s">
        <v>227</v>
      </c>
      <c r="AG42" s="80" t="s">
        <v>227</v>
      </c>
      <c r="AH42" s="80" t="s">
        <v>227</v>
      </c>
      <c r="AI42" s="80" t="s">
        <v>227</v>
      </c>
      <c r="AJ42" s="80" t="s">
        <v>227</v>
      </c>
      <c r="AK42" s="80" t="s">
        <v>227</v>
      </c>
      <c r="AL42" s="80" t="s">
        <v>227</v>
      </c>
      <c r="AM42" s="80" t="s">
        <v>227</v>
      </c>
      <c r="AN42" s="80" t="s">
        <v>227</v>
      </c>
      <c r="AO42" s="80" t="s">
        <v>227</v>
      </c>
      <c r="AP42" s="80" t="s">
        <v>227</v>
      </c>
      <c r="AQ42" s="80" t="s">
        <v>228</v>
      </c>
      <c r="AR42" s="78">
        <v>21936</v>
      </c>
      <c r="AS42" s="78">
        <v>44314</v>
      </c>
      <c r="AT42" s="189">
        <f t="shared" ref="AT42:AT76" si="47">DATEDIF(AR42, AS42,"Y")</f>
        <v>61</v>
      </c>
      <c r="AU42" s="164" t="s">
        <v>229</v>
      </c>
      <c r="AV42" s="74" t="s">
        <v>230</v>
      </c>
      <c r="AW42" s="74" t="s">
        <v>241</v>
      </c>
      <c r="AX42" s="80" t="s">
        <v>264</v>
      </c>
      <c r="AY42" s="80" t="s">
        <v>232</v>
      </c>
      <c r="AZ42" s="80" t="s">
        <v>232</v>
      </c>
      <c r="BA42" s="80">
        <f t="shared" si="46"/>
        <v>0</v>
      </c>
      <c r="BB42" s="80" t="s">
        <v>396</v>
      </c>
      <c r="BC42" s="80">
        <v>3</v>
      </c>
      <c r="BD42" s="74" t="s">
        <v>243</v>
      </c>
      <c r="BE42" s="80" t="s">
        <v>244</v>
      </c>
      <c r="BF42" s="74" t="s">
        <v>220</v>
      </c>
      <c r="BG42" s="165" t="s">
        <v>227</v>
      </c>
      <c r="BH42" s="166" t="s">
        <v>227</v>
      </c>
      <c r="BI42" s="80" t="s">
        <v>227</v>
      </c>
      <c r="BJ42" s="78" t="s">
        <v>227</v>
      </c>
      <c r="BK42" s="78" t="s">
        <v>227</v>
      </c>
      <c r="BL42" s="80" t="s">
        <v>227</v>
      </c>
      <c r="BM42" s="166" t="s">
        <v>227</v>
      </c>
      <c r="BN42" s="80" t="s">
        <v>227</v>
      </c>
      <c r="BO42" s="80" t="s">
        <v>227</v>
      </c>
      <c r="BP42" s="166" t="s">
        <v>227</v>
      </c>
      <c r="BQ42" s="80" t="s">
        <v>227</v>
      </c>
      <c r="BR42" s="80" t="s">
        <v>227</v>
      </c>
      <c r="BS42" s="80" t="s">
        <v>227</v>
      </c>
      <c r="BT42" s="80" t="s">
        <v>227</v>
      </c>
      <c r="BU42" s="80" t="s">
        <v>227</v>
      </c>
      <c r="BV42" s="80" t="s">
        <v>227</v>
      </c>
      <c r="BW42" s="80" t="s">
        <v>227</v>
      </c>
      <c r="BX42" s="80" t="s">
        <v>227</v>
      </c>
      <c r="BY42" s="80" t="s">
        <v>227</v>
      </c>
      <c r="BZ42" s="80" t="s">
        <v>227</v>
      </c>
      <c r="CA42" s="80" t="s">
        <v>227</v>
      </c>
      <c r="CB42" s="80" t="s">
        <v>227</v>
      </c>
      <c r="CC42" s="80" t="s">
        <v>227</v>
      </c>
      <c r="CD42" s="80" t="s">
        <v>227</v>
      </c>
      <c r="CE42" s="80" t="s">
        <v>227</v>
      </c>
      <c r="CF42" s="80" t="s">
        <v>227</v>
      </c>
      <c r="CG42" s="80" t="s">
        <v>227</v>
      </c>
      <c r="CH42" s="80" t="s">
        <v>227</v>
      </c>
      <c r="CI42" s="80" t="s">
        <v>227</v>
      </c>
      <c r="CJ42" s="80" t="s">
        <v>227</v>
      </c>
      <c r="CK42" s="80" t="s">
        <v>227</v>
      </c>
      <c r="CL42" s="80" t="s">
        <v>227</v>
      </c>
      <c r="CM42" s="80" t="s">
        <v>227</v>
      </c>
      <c r="CN42" s="166" t="s">
        <v>246</v>
      </c>
      <c r="CO42" s="80" t="s">
        <v>378</v>
      </c>
      <c r="CP42" s="78">
        <v>44460</v>
      </c>
      <c r="CQ42" s="78">
        <v>44467</v>
      </c>
      <c r="CR42" s="80" t="s">
        <v>227</v>
      </c>
      <c r="CS42" s="166" t="s">
        <v>227</v>
      </c>
      <c r="CT42" s="80" t="s">
        <v>227</v>
      </c>
      <c r="CU42" s="80" t="s">
        <v>227</v>
      </c>
      <c r="CV42" s="166" t="s">
        <v>227</v>
      </c>
      <c r="CW42" s="80" t="s">
        <v>227</v>
      </c>
      <c r="CX42" s="80" t="s">
        <v>227</v>
      </c>
      <c r="CY42" s="80" t="s">
        <v>227</v>
      </c>
      <c r="CZ42" s="80" t="s">
        <v>227</v>
      </c>
      <c r="DA42" s="80" t="s">
        <v>227</v>
      </c>
      <c r="DB42" s="80" t="s">
        <v>227</v>
      </c>
      <c r="DC42" s="80" t="s">
        <v>227</v>
      </c>
      <c r="DD42" s="80" t="s">
        <v>227</v>
      </c>
      <c r="DE42" s="80" t="s">
        <v>227</v>
      </c>
      <c r="DF42" s="80" t="s">
        <v>227</v>
      </c>
      <c r="DG42" s="80" t="s">
        <v>227</v>
      </c>
      <c r="DH42" s="80" t="s">
        <v>227</v>
      </c>
      <c r="DI42" s="80" t="s">
        <v>227</v>
      </c>
      <c r="DJ42" s="80" t="s">
        <v>227</v>
      </c>
      <c r="DK42" s="80" t="s">
        <v>227</v>
      </c>
      <c r="DL42" s="80" t="s">
        <v>227</v>
      </c>
      <c r="DM42" s="80" t="s">
        <v>227</v>
      </c>
      <c r="DN42" s="80" t="s">
        <v>227</v>
      </c>
      <c r="DO42" s="80" t="s">
        <v>227</v>
      </c>
      <c r="DP42" s="80" t="s">
        <v>227</v>
      </c>
      <c r="DQ42" s="80" t="s">
        <v>227</v>
      </c>
      <c r="DR42" s="80" t="s">
        <v>227</v>
      </c>
      <c r="DS42" s="80" t="s">
        <v>227</v>
      </c>
      <c r="DT42" s="80" t="s">
        <v>227</v>
      </c>
      <c r="DU42" s="80" t="s">
        <v>227</v>
      </c>
      <c r="DV42" s="80" t="s">
        <v>227</v>
      </c>
      <c r="DW42" s="80" t="s">
        <v>227</v>
      </c>
      <c r="DX42" s="80" t="s">
        <v>227</v>
      </c>
      <c r="DY42" s="80" t="s">
        <v>227</v>
      </c>
      <c r="DZ42" s="80" t="s">
        <v>227</v>
      </c>
      <c r="EA42" s="80" t="s">
        <v>227</v>
      </c>
      <c r="EB42" s="80" t="s">
        <v>227</v>
      </c>
      <c r="EC42" s="80" t="s">
        <v>227</v>
      </c>
      <c r="ED42" s="80" t="s">
        <v>227</v>
      </c>
      <c r="EE42" s="80" t="s">
        <v>227</v>
      </c>
      <c r="EF42" s="80" t="s">
        <v>227</v>
      </c>
      <c r="EG42" s="80" t="s">
        <v>227</v>
      </c>
      <c r="EH42" s="80" t="s">
        <v>227</v>
      </c>
      <c r="EI42" s="78" t="s">
        <v>227</v>
      </c>
      <c r="EJ42" s="80" t="s">
        <v>227</v>
      </c>
      <c r="EK42" s="166" t="s">
        <v>227</v>
      </c>
      <c r="EL42" s="80" t="s">
        <v>227</v>
      </c>
      <c r="EM42" s="78" t="s">
        <v>227</v>
      </c>
      <c r="EN42" s="78" t="s">
        <v>227</v>
      </c>
      <c r="EO42" s="80" t="s">
        <v>227</v>
      </c>
      <c r="EP42" s="166" t="s">
        <v>227</v>
      </c>
      <c r="EQ42" s="80" t="s">
        <v>227</v>
      </c>
      <c r="ER42" s="80" t="s">
        <v>227</v>
      </c>
      <c r="ES42" s="166" t="s">
        <v>227</v>
      </c>
      <c r="ET42" s="80" t="s">
        <v>227</v>
      </c>
      <c r="EU42" s="80" t="s">
        <v>227</v>
      </c>
      <c r="EV42" s="166" t="s">
        <v>227</v>
      </c>
      <c r="EW42" s="80" t="s">
        <v>227</v>
      </c>
      <c r="EX42" s="80" t="s">
        <v>227</v>
      </c>
      <c r="EY42" s="166" t="s">
        <v>227</v>
      </c>
      <c r="EZ42" s="80" t="s">
        <v>227</v>
      </c>
      <c r="FA42" s="80" t="s">
        <v>227</v>
      </c>
      <c r="FB42" s="147" t="s">
        <v>227</v>
      </c>
      <c r="FC42" s="80" t="s">
        <v>227</v>
      </c>
      <c r="FD42" s="80" t="s">
        <v>227</v>
      </c>
      <c r="FE42" s="80" t="s">
        <v>227</v>
      </c>
      <c r="FF42" s="80" t="s">
        <v>227</v>
      </c>
      <c r="FG42" s="80" t="s">
        <v>227</v>
      </c>
      <c r="FH42" s="80" t="s">
        <v>227</v>
      </c>
      <c r="FI42" s="80" t="s">
        <v>227</v>
      </c>
      <c r="FJ42" s="80" t="s">
        <v>227</v>
      </c>
      <c r="FK42" s="80" t="s">
        <v>227</v>
      </c>
      <c r="FL42" s="80" t="s">
        <v>227</v>
      </c>
      <c r="FM42" s="80" t="s">
        <v>227</v>
      </c>
      <c r="FN42" s="80" t="s">
        <v>227</v>
      </c>
      <c r="FO42" s="80" t="s">
        <v>227</v>
      </c>
      <c r="FP42" s="80" t="s">
        <v>227</v>
      </c>
      <c r="FQ42" s="80" t="s">
        <v>227</v>
      </c>
      <c r="FR42" s="80" t="s">
        <v>227</v>
      </c>
      <c r="FS42" s="80" t="s">
        <v>227</v>
      </c>
      <c r="FT42" s="80" t="s">
        <v>227</v>
      </c>
      <c r="FU42" s="80" t="s">
        <v>227</v>
      </c>
      <c r="FV42" s="80" t="s">
        <v>227</v>
      </c>
      <c r="FW42" s="80" t="s">
        <v>227</v>
      </c>
      <c r="FX42" s="80" t="s">
        <v>227</v>
      </c>
      <c r="FY42" s="80" t="s">
        <v>227</v>
      </c>
      <c r="FZ42" s="80" t="s">
        <v>227</v>
      </c>
      <c r="GA42" s="80" t="s">
        <v>227</v>
      </c>
      <c r="GB42" s="80" t="s">
        <v>227</v>
      </c>
      <c r="GC42" s="80" t="s">
        <v>227</v>
      </c>
      <c r="GD42" s="80" t="s">
        <v>227</v>
      </c>
      <c r="GE42" s="80" t="s">
        <v>227</v>
      </c>
      <c r="GF42" s="167" t="s">
        <v>312</v>
      </c>
      <c r="GG42" s="78" t="s">
        <v>227</v>
      </c>
      <c r="GH42" s="74" t="s">
        <v>227</v>
      </c>
      <c r="GI42" s="80" t="s">
        <v>227</v>
      </c>
      <c r="GJ42" s="78">
        <v>45216</v>
      </c>
      <c r="GK42" s="156">
        <v>46150</v>
      </c>
      <c r="GL42" s="78" t="s">
        <v>227</v>
      </c>
      <c r="GM42" s="159" t="str">
        <f t="shared" ref="GM42:GM76" si="48">IFERROR(INT(BJ42 - $AS42)/30,"N/A")</f>
        <v>N/A</v>
      </c>
      <c r="GN42" s="159" t="str">
        <f t="shared" ref="GN42:GN76" si="49">IFERROR(INT(BK42 - $AS42)/30,"N/A")</f>
        <v>N/A</v>
      </c>
      <c r="GO42" s="159">
        <f t="shared" ref="GO42:GO76" si="50">IFERROR(INT(H42 - $AS42)/30,"N/A")</f>
        <v>2.4</v>
      </c>
      <c r="GP42" s="159" t="str">
        <f t="shared" ref="GP42:GP76" si="51">IFERROR(INT(K42 - $AS42)/30,"N/A")</f>
        <v>N/A</v>
      </c>
      <c r="GQ42" s="159" t="str">
        <f t="shared" ref="GQ42:GQ76" si="52">IFERROR(INT(P42 - $AS42)/30,"N/A")</f>
        <v>N/A</v>
      </c>
      <c r="GR42" s="159" t="str">
        <f t="shared" ref="GR42:GR76" si="53">IFERROR(INT(U42 - $AS42)/30,"N/A")</f>
        <v>N/A</v>
      </c>
      <c r="GS42" s="159" t="str">
        <f t="shared" ref="GS42:GS76" si="54">IFERROR(INT(Z42 - $AS42)/30,"N/A")</f>
        <v>N/A</v>
      </c>
      <c r="GT42" s="159" t="str">
        <f t="shared" ref="GT42:GT76" si="55">IFERROR(INT(AE42 - $AS42)/30,"N/A")</f>
        <v>N/A</v>
      </c>
      <c r="GU42" s="159" t="str">
        <f t="shared" ref="GU42:GU76" si="56">IFERROR(INT(AJ42 - $AS42)/30,"N/A")</f>
        <v>N/A</v>
      </c>
      <c r="GV42" s="159" t="str">
        <f t="shared" ref="GV42:GV76" si="57">IFERROR(INT(AO42 - $AS42)/30,"N/A")</f>
        <v>N/A</v>
      </c>
      <c r="GW42" s="159">
        <f t="shared" ref="GW42:GW76" si="58">IFERROR(INT(CP42 - $AS42)/30,"N/A")</f>
        <v>4.8666666666666663</v>
      </c>
      <c r="GX42" s="159">
        <f t="shared" ref="GX42:GX76" si="59">IFERROR(INT(CQ42 - $AS42)/30,"N/A")</f>
        <v>5.0999999999999996</v>
      </c>
      <c r="GY42" s="159" t="str">
        <f t="shared" ref="GY42:GY76" si="60">IFERROR(INT(EI42 - $AS42)/30,"N/A")</f>
        <v>N/A</v>
      </c>
      <c r="GZ42" s="159" t="str">
        <f t="shared" ref="GZ42:GZ76" si="61">IFERROR(INT(EM42 - $AS42)/30,"N/A")</f>
        <v>N/A</v>
      </c>
      <c r="HA42" s="159" t="str">
        <f t="shared" ref="HA42:HA76" si="62">IFERROR(INT(EN42 - $AS42)/30,"N/A")</f>
        <v>N/A</v>
      </c>
      <c r="HB42" s="159" t="str">
        <f t="shared" ref="HB42:HB76" si="63">$GY42</f>
        <v>N/A</v>
      </c>
      <c r="HC42" s="159" t="str">
        <f t="shared" ref="HC42:HC76" si="64">IFERROR(INT(GG42 - $AS42)/30,"N/A")</f>
        <v>N/A</v>
      </c>
      <c r="HD42" s="159">
        <f t="shared" ref="HD42:HD76" si="65">IFERROR(INT(GJ42 - $AS42)/30,"N/A")</f>
        <v>30.066666666666666</v>
      </c>
      <c r="HE42" s="159">
        <f t="shared" ref="HE42:HE76" si="66">IFERROR(INT(GK42 - $AS42)/30,"N/A")</f>
        <v>61.2</v>
      </c>
      <c r="HF42" s="160">
        <f t="shared" ref="HF42:HF76" si="67">SUM($HC42,$HE42)</f>
        <v>61.2</v>
      </c>
      <c r="HG42" s="160" cm="1">
        <f t="array" ref="HG42">INDEX($HB42:$HD42,MATCH(TRUE,INDEX(ISNUMBER($HB42:$HD42),0),0))</f>
        <v>30.066666666666666</v>
      </c>
      <c r="HH42" s="161">
        <f t="shared" ref="HH42:HH76" si="68">IF($HB42="N/A",0,1)</f>
        <v>0</v>
      </c>
      <c r="HI42" s="86">
        <f t="shared" ref="HI42:HI76" si="69">IF($GH42="Yes",1,0)</f>
        <v>0</v>
      </c>
      <c r="HJ42" s="111">
        <f t="shared" ref="HJ42:HJ76" si="70">IF($HC42="N/A",0,1)</f>
        <v>0</v>
      </c>
      <c r="HK42" s="205" t="str">
        <f t="shared" ref="HK42:HK76" si="71">IF(OR($HH42=1,$HI42=1),"1","0")</f>
        <v>0</v>
      </c>
    </row>
    <row r="43" spans="1:219" ht="15" customHeight="1" x14ac:dyDescent="0.3">
      <c r="A43" s="80">
        <v>4628457360</v>
      </c>
      <c r="B43" s="74" t="s">
        <v>220</v>
      </c>
      <c r="C43" s="74" t="s">
        <v>221</v>
      </c>
      <c r="D43" s="74" t="s">
        <v>220</v>
      </c>
      <c r="E43" s="80" t="s">
        <v>464</v>
      </c>
      <c r="F43" s="80" t="s">
        <v>224</v>
      </c>
      <c r="G43" s="80" t="s">
        <v>227</v>
      </c>
      <c r="H43" s="78">
        <v>44386</v>
      </c>
      <c r="I43" s="80" t="s">
        <v>465</v>
      </c>
      <c r="J43" s="80" t="s">
        <v>226</v>
      </c>
      <c r="K43" s="78" t="s">
        <v>227</v>
      </c>
      <c r="L43" s="80" t="s">
        <v>227</v>
      </c>
      <c r="M43" s="80" t="s">
        <v>464</v>
      </c>
      <c r="N43" s="168" t="s">
        <v>466</v>
      </c>
      <c r="O43" s="80" t="s">
        <v>425</v>
      </c>
      <c r="P43" s="78">
        <v>44386</v>
      </c>
      <c r="Q43" s="74" t="s">
        <v>221</v>
      </c>
      <c r="R43" s="80" t="s">
        <v>227</v>
      </c>
      <c r="S43" s="80" t="s">
        <v>227</v>
      </c>
      <c r="T43" s="80" t="s">
        <v>227</v>
      </c>
      <c r="U43" s="80" t="s">
        <v>227</v>
      </c>
      <c r="V43" s="80" t="s">
        <v>227</v>
      </c>
      <c r="W43" s="80" t="s">
        <v>227</v>
      </c>
      <c r="X43" s="80" t="s">
        <v>227</v>
      </c>
      <c r="Y43" s="80" t="s">
        <v>227</v>
      </c>
      <c r="Z43" s="80" t="s">
        <v>227</v>
      </c>
      <c r="AA43" s="80" t="s">
        <v>227</v>
      </c>
      <c r="AB43" s="80" t="s">
        <v>227</v>
      </c>
      <c r="AC43" s="80" t="s">
        <v>227</v>
      </c>
      <c r="AD43" s="80" t="s">
        <v>227</v>
      </c>
      <c r="AE43" s="80" t="s">
        <v>227</v>
      </c>
      <c r="AF43" s="80" t="s">
        <v>227</v>
      </c>
      <c r="AG43" s="80" t="s">
        <v>227</v>
      </c>
      <c r="AH43" s="80" t="s">
        <v>227</v>
      </c>
      <c r="AI43" s="80" t="s">
        <v>227</v>
      </c>
      <c r="AJ43" s="80" t="s">
        <v>227</v>
      </c>
      <c r="AK43" s="80" t="s">
        <v>227</v>
      </c>
      <c r="AL43" s="80" t="s">
        <v>227</v>
      </c>
      <c r="AM43" s="80" t="s">
        <v>227</v>
      </c>
      <c r="AN43" s="80" t="s">
        <v>227</v>
      </c>
      <c r="AO43" s="80" t="s">
        <v>227</v>
      </c>
      <c r="AP43" s="80" t="s">
        <v>227</v>
      </c>
      <c r="AQ43" s="80" t="s">
        <v>228</v>
      </c>
      <c r="AR43" s="78">
        <v>19424</v>
      </c>
      <c r="AS43" s="78">
        <v>44343</v>
      </c>
      <c r="AT43" s="189">
        <f t="shared" si="47"/>
        <v>68</v>
      </c>
      <c r="AU43" s="164" t="s">
        <v>263</v>
      </c>
      <c r="AV43" s="74" t="s">
        <v>230</v>
      </c>
      <c r="AW43" s="74" t="s">
        <v>241</v>
      </c>
      <c r="AX43" s="80">
        <v>2</v>
      </c>
      <c r="AY43" s="80">
        <v>2</v>
      </c>
      <c r="AZ43" s="80" t="s">
        <v>232</v>
      </c>
      <c r="BA43" s="80">
        <f t="shared" si="46"/>
        <v>0</v>
      </c>
      <c r="BB43" s="80" t="s">
        <v>467</v>
      </c>
      <c r="BC43" s="80">
        <v>3</v>
      </c>
      <c r="BD43" s="74" t="s">
        <v>243</v>
      </c>
      <c r="BE43" s="80" t="s">
        <v>427</v>
      </c>
      <c r="BF43" s="74" t="s">
        <v>220</v>
      </c>
      <c r="BG43" s="165" t="s">
        <v>227</v>
      </c>
      <c r="BH43" s="166" t="s">
        <v>227</v>
      </c>
      <c r="BI43" s="80" t="s">
        <v>227</v>
      </c>
      <c r="BJ43" s="78" t="s">
        <v>227</v>
      </c>
      <c r="BK43" s="78" t="s">
        <v>227</v>
      </c>
      <c r="BL43" s="80" t="s">
        <v>227</v>
      </c>
      <c r="BM43" s="166" t="s">
        <v>227</v>
      </c>
      <c r="BN43" s="80" t="s">
        <v>227</v>
      </c>
      <c r="BO43" s="80" t="s">
        <v>227</v>
      </c>
      <c r="BP43" s="166" t="s">
        <v>227</v>
      </c>
      <c r="BQ43" s="80" t="s">
        <v>227</v>
      </c>
      <c r="BR43" s="80" t="s">
        <v>227</v>
      </c>
      <c r="BS43" s="80" t="s">
        <v>227</v>
      </c>
      <c r="BT43" s="80" t="s">
        <v>227</v>
      </c>
      <c r="BU43" s="80" t="s">
        <v>227</v>
      </c>
      <c r="BV43" s="80" t="s">
        <v>227</v>
      </c>
      <c r="BW43" s="80" t="s">
        <v>227</v>
      </c>
      <c r="BX43" s="80" t="s">
        <v>227</v>
      </c>
      <c r="BY43" s="80" t="s">
        <v>227</v>
      </c>
      <c r="BZ43" s="80" t="s">
        <v>227</v>
      </c>
      <c r="CA43" s="80" t="s">
        <v>227</v>
      </c>
      <c r="CB43" s="80" t="s">
        <v>227</v>
      </c>
      <c r="CC43" s="80" t="s">
        <v>227</v>
      </c>
      <c r="CD43" s="80" t="s">
        <v>227</v>
      </c>
      <c r="CE43" s="80" t="s">
        <v>227</v>
      </c>
      <c r="CF43" s="80" t="s">
        <v>227</v>
      </c>
      <c r="CG43" s="80" t="s">
        <v>227</v>
      </c>
      <c r="CH43" s="80" t="s">
        <v>227</v>
      </c>
      <c r="CI43" s="80" t="s">
        <v>227</v>
      </c>
      <c r="CJ43" s="80" t="s">
        <v>227</v>
      </c>
      <c r="CK43" s="80" t="s">
        <v>227</v>
      </c>
      <c r="CL43" s="80" t="s">
        <v>227</v>
      </c>
      <c r="CM43" s="80" t="s">
        <v>227</v>
      </c>
      <c r="CN43" s="166" t="s">
        <v>249</v>
      </c>
      <c r="CO43" s="80" t="s">
        <v>287</v>
      </c>
      <c r="CP43" s="78">
        <v>44431</v>
      </c>
      <c r="CQ43" s="78">
        <v>44522</v>
      </c>
      <c r="CR43" s="80" t="s">
        <v>227</v>
      </c>
      <c r="CS43" s="166" t="s">
        <v>246</v>
      </c>
      <c r="CT43" s="80" t="s">
        <v>428</v>
      </c>
      <c r="CU43" s="80" t="s">
        <v>227</v>
      </c>
      <c r="CV43" s="166" t="s">
        <v>227</v>
      </c>
      <c r="CW43" s="80" t="s">
        <v>227</v>
      </c>
      <c r="CX43" s="80" t="s">
        <v>227</v>
      </c>
      <c r="CY43" s="80" t="s">
        <v>227</v>
      </c>
      <c r="CZ43" s="80" t="s">
        <v>227</v>
      </c>
      <c r="DA43" s="80" t="s">
        <v>227</v>
      </c>
      <c r="DB43" s="80" t="s">
        <v>227</v>
      </c>
      <c r="DC43" s="80" t="s">
        <v>227</v>
      </c>
      <c r="DD43" s="80" t="s">
        <v>227</v>
      </c>
      <c r="DE43" s="80" t="s">
        <v>227</v>
      </c>
      <c r="DF43" s="80" t="s">
        <v>227</v>
      </c>
      <c r="DG43" s="80" t="s">
        <v>227</v>
      </c>
      <c r="DH43" s="80" t="s">
        <v>227</v>
      </c>
      <c r="DI43" s="80" t="s">
        <v>227</v>
      </c>
      <c r="DJ43" s="80" t="s">
        <v>227</v>
      </c>
      <c r="DK43" s="80" t="s">
        <v>227</v>
      </c>
      <c r="DL43" s="80" t="s">
        <v>227</v>
      </c>
      <c r="DM43" s="80" t="s">
        <v>227</v>
      </c>
      <c r="DN43" s="80" t="s">
        <v>227</v>
      </c>
      <c r="DO43" s="80" t="s">
        <v>227</v>
      </c>
      <c r="DP43" s="80" t="s">
        <v>227</v>
      </c>
      <c r="DQ43" s="80" t="s">
        <v>227</v>
      </c>
      <c r="DR43" s="80" t="s">
        <v>227</v>
      </c>
      <c r="DS43" s="80" t="s">
        <v>227</v>
      </c>
      <c r="DT43" s="80" t="s">
        <v>227</v>
      </c>
      <c r="DU43" s="80" t="s">
        <v>227</v>
      </c>
      <c r="DV43" s="80" t="s">
        <v>227</v>
      </c>
      <c r="DW43" s="80" t="s">
        <v>227</v>
      </c>
      <c r="DX43" s="80" t="s">
        <v>227</v>
      </c>
      <c r="DY43" s="80" t="s">
        <v>227</v>
      </c>
      <c r="DZ43" s="80" t="s">
        <v>227</v>
      </c>
      <c r="EA43" s="80" t="s">
        <v>227</v>
      </c>
      <c r="EB43" s="80" t="s">
        <v>227</v>
      </c>
      <c r="EC43" s="80" t="s">
        <v>227</v>
      </c>
      <c r="ED43" s="80" t="s">
        <v>227</v>
      </c>
      <c r="EE43" s="80" t="s">
        <v>227</v>
      </c>
      <c r="EF43" s="80" t="s">
        <v>227</v>
      </c>
      <c r="EG43" s="80" t="s">
        <v>227</v>
      </c>
      <c r="EH43" s="80" t="s">
        <v>227</v>
      </c>
      <c r="EI43" s="78" t="s">
        <v>227</v>
      </c>
      <c r="EJ43" s="80" t="s">
        <v>227</v>
      </c>
      <c r="EK43" s="166" t="s">
        <v>227</v>
      </c>
      <c r="EL43" s="80" t="s">
        <v>227</v>
      </c>
      <c r="EM43" s="78" t="s">
        <v>227</v>
      </c>
      <c r="EN43" s="78" t="s">
        <v>227</v>
      </c>
      <c r="EO43" s="80" t="s">
        <v>227</v>
      </c>
      <c r="EP43" s="166" t="s">
        <v>227</v>
      </c>
      <c r="EQ43" s="80" t="s">
        <v>227</v>
      </c>
      <c r="ER43" s="80" t="s">
        <v>227</v>
      </c>
      <c r="ES43" s="166" t="s">
        <v>227</v>
      </c>
      <c r="ET43" s="80" t="s">
        <v>227</v>
      </c>
      <c r="EU43" s="80" t="s">
        <v>227</v>
      </c>
      <c r="EV43" s="166" t="s">
        <v>227</v>
      </c>
      <c r="EW43" s="80" t="s">
        <v>227</v>
      </c>
      <c r="EX43" s="80" t="s">
        <v>227</v>
      </c>
      <c r="EY43" s="166" t="s">
        <v>227</v>
      </c>
      <c r="EZ43" s="80" t="s">
        <v>227</v>
      </c>
      <c r="FA43" s="80" t="s">
        <v>227</v>
      </c>
      <c r="FB43" s="147" t="s">
        <v>227</v>
      </c>
      <c r="FC43" s="80" t="s">
        <v>227</v>
      </c>
      <c r="FD43" s="80" t="s">
        <v>227</v>
      </c>
      <c r="FE43" s="80" t="s">
        <v>227</v>
      </c>
      <c r="FF43" s="80" t="s">
        <v>227</v>
      </c>
      <c r="FG43" s="80" t="s">
        <v>227</v>
      </c>
      <c r="FH43" s="80" t="s">
        <v>227</v>
      </c>
      <c r="FI43" s="80" t="s">
        <v>227</v>
      </c>
      <c r="FJ43" s="80" t="s">
        <v>227</v>
      </c>
      <c r="FK43" s="80" t="s">
        <v>227</v>
      </c>
      <c r="FL43" s="80" t="s">
        <v>227</v>
      </c>
      <c r="FM43" s="80" t="s">
        <v>227</v>
      </c>
      <c r="FN43" s="80" t="s">
        <v>227</v>
      </c>
      <c r="FO43" s="80" t="s">
        <v>227</v>
      </c>
      <c r="FP43" s="80" t="s">
        <v>227</v>
      </c>
      <c r="FQ43" s="80" t="s">
        <v>227</v>
      </c>
      <c r="FR43" s="80" t="s">
        <v>227</v>
      </c>
      <c r="FS43" s="80" t="s">
        <v>227</v>
      </c>
      <c r="FT43" s="80" t="s">
        <v>227</v>
      </c>
      <c r="FU43" s="80" t="s">
        <v>227</v>
      </c>
      <c r="FV43" s="80" t="s">
        <v>227</v>
      </c>
      <c r="FW43" s="80" t="s">
        <v>227</v>
      </c>
      <c r="FX43" s="80" t="s">
        <v>227</v>
      </c>
      <c r="FY43" s="80" t="s">
        <v>227</v>
      </c>
      <c r="FZ43" s="80" t="s">
        <v>227</v>
      </c>
      <c r="GA43" s="80" t="s">
        <v>227</v>
      </c>
      <c r="GB43" s="80" t="s">
        <v>227</v>
      </c>
      <c r="GC43" s="80" t="s">
        <v>227</v>
      </c>
      <c r="GD43" s="80" t="s">
        <v>227</v>
      </c>
      <c r="GE43" s="80" t="s">
        <v>227</v>
      </c>
      <c r="GF43" s="167" t="s">
        <v>312</v>
      </c>
      <c r="GG43" s="78" t="s">
        <v>227</v>
      </c>
      <c r="GH43" s="74" t="s">
        <v>227</v>
      </c>
      <c r="GI43" s="80" t="s">
        <v>227</v>
      </c>
      <c r="GJ43" s="78">
        <v>44993</v>
      </c>
      <c r="GK43" s="156">
        <v>46181</v>
      </c>
      <c r="GL43" s="78" t="s">
        <v>227</v>
      </c>
      <c r="GM43" s="159" t="str">
        <f t="shared" si="48"/>
        <v>N/A</v>
      </c>
      <c r="GN43" s="159" t="str">
        <f t="shared" si="49"/>
        <v>N/A</v>
      </c>
      <c r="GO43" s="159">
        <f t="shared" si="50"/>
        <v>1.4333333333333333</v>
      </c>
      <c r="GP43" s="159" t="str">
        <f t="shared" si="51"/>
        <v>N/A</v>
      </c>
      <c r="GQ43" s="159">
        <f t="shared" si="52"/>
        <v>1.4333333333333333</v>
      </c>
      <c r="GR43" s="159" t="str">
        <f t="shared" si="53"/>
        <v>N/A</v>
      </c>
      <c r="GS43" s="159" t="str">
        <f t="shared" si="54"/>
        <v>N/A</v>
      </c>
      <c r="GT43" s="159" t="str">
        <f t="shared" si="55"/>
        <v>N/A</v>
      </c>
      <c r="GU43" s="159" t="str">
        <f t="shared" si="56"/>
        <v>N/A</v>
      </c>
      <c r="GV43" s="159" t="str">
        <f t="shared" si="57"/>
        <v>N/A</v>
      </c>
      <c r="GW43" s="159">
        <f t="shared" si="58"/>
        <v>2.9333333333333331</v>
      </c>
      <c r="GX43" s="159">
        <f t="shared" si="59"/>
        <v>5.9666666666666668</v>
      </c>
      <c r="GY43" s="159" t="str">
        <f t="shared" si="60"/>
        <v>N/A</v>
      </c>
      <c r="GZ43" s="159" t="str">
        <f t="shared" si="61"/>
        <v>N/A</v>
      </c>
      <c r="HA43" s="159" t="str">
        <f t="shared" si="62"/>
        <v>N/A</v>
      </c>
      <c r="HB43" s="159" t="str">
        <f t="shared" si="63"/>
        <v>N/A</v>
      </c>
      <c r="HC43" s="159" t="str">
        <f t="shared" si="64"/>
        <v>N/A</v>
      </c>
      <c r="HD43" s="159">
        <f t="shared" si="65"/>
        <v>21.666666666666668</v>
      </c>
      <c r="HE43" s="159">
        <f t="shared" si="66"/>
        <v>61.266666666666666</v>
      </c>
      <c r="HF43" s="160">
        <f t="shared" si="67"/>
        <v>61.266666666666666</v>
      </c>
      <c r="HG43" s="160" cm="1">
        <f t="array" ref="HG43">INDEX($HB43:$HD43,MATCH(TRUE,INDEX(ISNUMBER($HB43:$HD43),0),0))</f>
        <v>21.666666666666668</v>
      </c>
      <c r="HH43" s="161">
        <f t="shared" si="68"/>
        <v>0</v>
      </c>
      <c r="HI43" s="86">
        <f t="shared" si="69"/>
        <v>0</v>
      </c>
      <c r="HJ43" s="111">
        <f t="shared" si="70"/>
        <v>0</v>
      </c>
      <c r="HK43" s="205" t="str">
        <f t="shared" si="71"/>
        <v>0</v>
      </c>
    </row>
    <row r="44" spans="1:219" ht="15" customHeight="1" x14ac:dyDescent="0.3">
      <c r="A44" s="80">
        <v>4981689101</v>
      </c>
      <c r="B44" s="74" t="s">
        <v>241</v>
      </c>
      <c r="C44" s="74" t="s">
        <v>221</v>
      </c>
      <c r="D44" s="74" t="s">
        <v>220</v>
      </c>
      <c r="E44" s="80" t="s">
        <v>468</v>
      </c>
      <c r="F44" s="80" t="s">
        <v>364</v>
      </c>
      <c r="G44" s="80" t="s">
        <v>227</v>
      </c>
      <c r="H44" s="78">
        <v>44397</v>
      </c>
      <c r="I44" s="80" t="s">
        <v>469</v>
      </c>
      <c r="J44" s="80" t="s">
        <v>226</v>
      </c>
      <c r="K44" s="78" t="s">
        <v>227</v>
      </c>
      <c r="L44" s="80" t="s">
        <v>227</v>
      </c>
      <c r="M44" s="80" t="s">
        <v>468</v>
      </c>
      <c r="N44" s="168" t="s">
        <v>470</v>
      </c>
      <c r="O44" s="80" t="s">
        <v>357</v>
      </c>
      <c r="P44" s="78">
        <v>44397</v>
      </c>
      <c r="Q44" s="74" t="s">
        <v>221</v>
      </c>
      <c r="R44" s="80" t="s">
        <v>227</v>
      </c>
      <c r="S44" s="80" t="s">
        <v>227</v>
      </c>
      <c r="T44" s="80" t="s">
        <v>227</v>
      </c>
      <c r="U44" s="80" t="s">
        <v>227</v>
      </c>
      <c r="V44" s="80" t="s">
        <v>227</v>
      </c>
      <c r="W44" s="80" t="s">
        <v>227</v>
      </c>
      <c r="X44" s="80" t="s">
        <v>227</v>
      </c>
      <c r="Y44" s="80" t="s">
        <v>227</v>
      </c>
      <c r="Z44" s="80" t="s">
        <v>227</v>
      </c>
      <c r="AA44" s="80" t="s">
        <v>227</v>
      </c>
      <c r="AB44" s="80" t="s">
        <v>227</v>
      </c>
      <c r="AC44" s="80" t="s">
        <v>227</v>
      </c>
      <c r="AD44" s="80" t="s">
        <v>227</v>
      </c>
      <c r="AE44" s="80" t="s">
        <v>227</v>
      </c>
      <c r="AF44" s="80" t="s">
        <v>227</v>
      </c>
      <c r="AG44" s="80" t="s">
        <v>227</v>
      </c>
      <c r="AH44" s="80" t="s">
        <v>227</v>
      </c>
      <c r="AI44" s="80" t="s">
        <v>227</v>
      </c>
      <c r="AJ44" s="80" t="s">
        <v>227</v>
      </c>
      <c r="AK44" s="80" t="s">
        <v>227</v>
      </c>
      <c r="AL44" s="80" t="s">
        <v>227</v>
      </c>
      <c r="AM44" s="80" t="s">
        <v>227</v>
      </c>
      <c r="AN44" s="80" t="s">
        <v>227</v>
      </c>
      <c r="AO44" s="80" t="s">
        <v>227</v>
      </c>
      <c r="AP44" s="80" t="s">
        <v>227</v>
      </c>
      <c r="AQ44" s="80" t="s">
        <v>228</v>
      </c>
      <c r="AR44" s="78">
        <v>24325</v>
      </c>
      <c r="AS44" s="78">
        <v>44348</v>
      </c>
      <c r="AT44" s="189">
        <f t="shared" si="47"/>
        <v>54</v>
      </c>
      <c r="AU44" s="164" t="s">
        <v>229</v>
      </c>
      <c r="AV44" s="74" t="s">
        <v>230</v>
      </c>
      <c r="AW44" s="74" t="s">
        <v>241</v>
      </c>
      <c r="AX44" s="80" t="s">
        <v>359</v>
      </c>
      <c r="AY44" s="80">
        <v>1</v>
      </c>
      <c r="AZ44" s="80" t="s">
        <v>232</v>
      </c>
      <c r="BA44" s="80">
        <f t="shared" si="46"/>
        <v>0</v>
      </c>
      <c r="BB44" s="80" t="s">
        <v>471</v>
      </c>
      <c r="BC44" s="80">
        <v>3</v>
      </c>
      <c r="BD44" s="74" t="s">
        <v>243</v>
      </c>
      <c r="BE44" s="80" t="s">
        <v>472</v>
      </c>
      <c r="BF44" s="74" t="s">
        <v>220</v>
      </c>
      <c r="BG44" s="165" t="s">
        <v>227</v>
      </c>
      <c r="BH44" s="166" t="s">
        <v>227</v>
      </c>
      <c r="BI44" s="80" t="s">
        <v>227</v>
      </c>
      <c r="BJ44" s="78" t="s">
        <v>227</v>
      </c>
      <c r="BK44" s="78" t="s">
        <v>227</v>
      </c>
      <c r="BL44" s="80" t="s">
        <v>227</v>
      </c>
      <c r="BM44" s="166" t="s">
        <v>227</v>
      </c>
      <c r="BN44" s="80" t="s">
        <v>227</v>
      </c>
      <c r="BO44" s="80" t="s">
        <v>227</v>
      </c>
      <c r="BP44" s="166" t="s">
        <v>227</v>
      </c>
      <c r="BQ44" s="80" t="s">
        <v>227</v>
      </c>
      <c r="BR44" s="80" t="s">
        <v>227</v>
      </c>
      <c r="BS44" s="80" t="s">
        <v>227</v>
      </c>
      <c r="BT44" s="80" t="s">
        <v>227</v>
      </c>
      <c r="BU44" s="80" t="s">
        <v>227</v>
      </c>
      <c r="BV44" s="80" t="s">
        <v>227</v>
      </c>
      <c r="BW44" s="80" t="s">
        <v>227</v>
      </c>
      <c r="BX44" s="80" t="s">
        <v>227</v>
      </c>
      <c r="BY44" s="80" t="s">
        <v>227</v>
      </c>
      <c r="BZ44" s="80" t="s">
        <v>227</v>
      </c>
      <c r="CA44" s="80" t="s">
        <v>227</v>
      </c>
      <c r="CB44" s="80" t="s">
        <v>227</v>
      </c>
      <c r="CC44" s="80" t="s">
        <v>227</v>
      </c>
      <c r="CD44" s="80" t="s">
        <v>227</v>
      </c>
      <c r="CE44" s="80" t="s">
        <v>227</v>
      </c>
      <c r="CF44" s="80" t="s">
        <v>227</v>
      </c>
      <c r="CG44" s="80" t="s">
        <v>227</v>
      </c>
      <c r="CH44" s="80" t="s">
        <v>227</v>
      </c>
      <c r="CI44" s="80" t="s">
        <v>227</v>
      </c>
      <c r="CJ44" s="80" t="s">
        <v>227</v>
      </c>
      <c r="CK44" s="80" t="s">
        <v>227</v>
      </c>
      <c r="CL44" s="80" t="s">
        <v>227</v>
      </c>
      <c r="CM44" s="80" t="s">
        <v>227</v>
      </c>
      <c r="CN44" s="166" t="s">
        <v>249</v>
      </c>
      <c r="CO44" s="80" t="s">
        <v>287</v>
      </c>
      <c r="CP44" s="78">
        <v>44453</v>
      </c>
      <c r="CQ44" s="78">
        <v>44572</v>
      </c>
      <c r="CR44" s="80" t="s">
        <v>227</v>
      </c>
      <c r="CS44" s="166" t="s">
        <v>246</v>
      </c>
      <c r="CT44" s="157" t="s">
        <v>473</v>
      </c>
      <c r="CU44" s="80" t="s">
        <v>227</v>
      </c>
      <c r="CV44" s="166" t="s">
        <v>227</v>
      </c>
      <c r="CW44" s="80" t="s">
        <v>227</v>
      </c>
      <c r="CX44" s="80" t="s">
        <v>227</v>
      </c>
      <c r="CY44" s="80" t="s">
        <v>227</v>
      </c>
      <c r="CZ44" s="80" t="s">
        <v>227</v>
      </c>
      <c r="DA44" s="80" t="s">
        <v>227</v>
      </c>
      <c r="DB44" s="80" t="s">
        <v>227</v>
      </c>
      <c r="DC44" s="80" t="s">
        <v>227</v>
      </c>
      <c r="DD44" s="80" t="s">
        <v>227</v>
      </c>
      <c r="DE44" s="80" t="s">
        <v>227</v>
      </c>
      <c r="DF44" s="80" t="s">
        <v>227</v>
      </c>
      <c r="DG44" s="80" t="s">
        <v>227</v>
      </c>
      <c r="DH44" s="80" t="s">
        <v>227</v>
      </c>
      <c r="DI44" s="80" t="s">
        <v>227</v>
      </c>
      <c r="DJ44" s="80" t="s">
        <v>227</v>
      </c>
      <c r="DK44" s="80" t="s">
        <v>227</v>
      </c>
      <c r="DL44" s="80" t="s">
        <v>227</v>
      </c>
      <c r="DM44" s="80" t="s">
        <v>227</v>
      </c>
      <c r="DN44" s="80" t="s">
        <v>227</v>
      </c>
      <c r="DO44" s="80" t="s">
        <v>227</v>
      </c>
      <c r="DP44" s="80" t="s">
        <v>227</v>
      </c>
      <c r="DQ44" s="80" t="s">
        <v>227</v>
      </c>
      <c r="DR44" s="80" t="s">
        <v>227</v>
      </c>
      <c r="DS44" s="80" t="s">
        <v>227</v>
      </c>
      <c r="DT44" s="80" t="s">
        <v>227</v>
      </c>
      <c r="DU44" s="80" t="s">
        <v>227</v>
      </c>
      <c r="DV44" s="80" t="s">
        <v>227</v>
      </c>
      <c r="DW44" s="80" t="s">
        <v>227</v>
      </c>
      <c r="DX44" s="80" t="s">
        <v>227</v>
      </c>
      <c r="DY44" s="80" t="s">
        <v>227</v>
      </c>
      <c r="DZ44" s="80" t="s">
        <v>227</v>
      </c>
      <c r="EA44" s="80" t="s">
        <v>227</v>
      </c>
      <c r="EB44" s="80" t="s">
        <v>227</v>
      </c>
      <c r="EC44" s="80" t="s">
        <v>227</v>
      </c>
      <c r="ED44" s="80" t="s">
        <v>227</v>
      </c>
      <c r="EE44" s="80" t="s">
        <v>227</v>
      </c>
      <c r="EF44" s="80" t="s">
        <v>227</v>
      </c>
      <c r="EG44" s="80" t="s">
        <v>227</v>
      </c>
      <c r="EH44" s="80" t="s">
        <v>227</v>
      </c>
      <c r="EI44" s="78">
        <v>44805</v>
      </c>
      <c r="EJ44" s="80" t="s">
        <v>474</v>
      </c>
      <c r="EK44" s="166" t="s">
        <v>275</v>
      </c>
      <c r="EL44" s="80" t="s">
        <v>341</v>
      </c>
      <c r="EM44" s="78">
        <v>44828</v>
      </c>
      <c r="EN44" s="78">
        <v>44965</v>
      </c>
      <c r="EO44" s="80" t="s">
        <v>251</v>
      </c>
      <c r="EP44" s="166" t="s">
        <v>246</v>
      </c>
      <c r="EQ44" s="157" t="s">
        <v>402</v>
      </c>
      <c r="ER44" s="80" t="s">
        <v>277</v>
      </c>
      <c r="ES44" s="166" t="s">
        <v>249</v>
      </c>
      <c r="ET44" s="80" t="s">
        <v>326</v>
      </c>
      <c r="EU44" s="80" t="s">
        <v>277</v>
      </c>
      <c r="EV44" s="166" t="s">
        <v>393</v>
      </c>
      <c r="EW44" s="80" t="s">
        <v>475</v>
      </c>
      <c r="EX44" s="80" t="s">
        <v>289</v>
      </c>
      <c r="EY44" s="172" t="s">
        <v>275</v>
      </c>
      <c r="EZ44" s="157" t="s">
        <v>476</v>
      </c>
      <c r="FA44" s="157" t="s">
        <v>251</v>
      </c>
      <c r="FB44" s="190" t="s">
        <v>249</v>
      </c>
      <c r="FC44" s="157" t="s">
        <v>477</v>
      </c>
      <c r="FD44" s="157" t="s">
        <v>231</v>
      </c>
      <c r="FE44" s="80" t="s">
        <v>227</v>
      </c>
      <c r="FF44" s="80" t="s">
        <v>227</v>
      </c>
      <c r="FG44" s="80" t="s">
        <v>227</v>
      </c>
      <c r="FH44" s="80" t="s">
        <v>227</v>
      </c>
      <c r="FI44" s="80" t="s">
        <v>227</v>
      </c>
      <c r="FJ44" s="80" t="s">
        <v>227</v>
      </c>
      <c r="FK44" s="80" t="s">
        <v>227</v>
      </c>
      <c r="FL44" s="80" t="s">
        <v>227</v>
      </c>
      <c r="FM44" s="80" t="s">
        <v>227</v>
      </c>
      <c r="FN44" s="80" t="s">
        <v>227</v>
      </c>
      <c r="FO44" s="80" t="s">
        <v>227</v>
      </c>
      <c r="FP44" s="80" t="s">
        <v>227</v>
      </c>
      <c r="FQ44" s="80" t="s">
        <v>227</v>
      </c>
      <c r="FR44" s="80" t="s">
        <v>227</v>
      </c>
      <c r="FS44" s="80" t="s">
        <v>227</v>
      </c>
      <c r="FT44" s="80" t="s">
        <v>227</v>
      </c>
      <c r="FU44" s="80" t="s">
        <v>227</v>
      </c>
      <c r="FV44" s="80" t="s">
        <v>227</v>
      </c>
      <c r="FW44" s="80" t="s">
        <v>227</v>
      </c>
      <c r="FX44" s="80" t="s">
        <v>227</v>
      </c>
      <c r="FY44" s="80" t="s">
        <v>227</v>
      </c>
      <c r="FZ44" s="80" t="s">
        <v>227</v>
      </c>
      <c r="GA44" s="80" t="s">
        <v>227</v>
      </c>
      <c r="GB44" s="80" t="s">
        <v>227</v>
      </c>
      <c r="GC44" s="80" t="s">
        <v>227</v>
      </c>
      <c r="GD44" s="80" t="s">
        <v>227</v>
      </c>
      <c r="GE44" s="80" t="s">
        <v>227</v>
      </c>
      <c r="GF44" s="167" t="s">
        <v>236</v>
      </c>
      <c r="GG44" s="78">
        <v>45710</v>
      </c>
      <c r="GH44" s="74" t="s">
        <v>241</v>
      </c>
      <c r="GI44" s="80" t="s">
        <v>231</v>
      </c>
      <c r="GJ44" s="78">
        <v>45629</v>
      </c>
      <c r="GK44" s="78" t="s">
        <v>227</v>
      </c>
      <c r="GL44" s="156" t="s">
        <v>478</v>
      </c>
      <c r="GM44" s="159" t="str">
        <f t="shared" si="48"/>
        <v>N/A</v>
      </c>
      <c r="GN44" s="159" t="str">
        <f t="shared" si="49"/>
        <v>N/A</v>
      </c>
      <c r="GO44" s="159">
        <f t="shared" si="50"/>
        <v>1.6333333333333333</v>
      </c>
      <c r="GP44" s="159" t="str">
        <f t="shared" si="51"/>
        <v>N/A</v>
      </c>
      <c r="GQ44" s="159">
        <f t="shared" si="52"/>
        <v>1.6333333333333333</v>
      </c>
      <c r="GR44" s="159" t="str">
        <f t="shared" si="53"/>
        <v>N/A</v>
      </c>
      <c r="GS44" s="159" t="str">
        <f t="shared" si="54"/>
        <v>N/A</v>
      </c>
      <c r="GT44" s="159" t="str">
        <f t="shared" si="55"/>
        <v>N/A</v>
      </c>
      <c r="GU44" s="159" t="str">
        <f t="shared" si="56"/>
        <v>N/A</v>
      </c>
      <c r="GV44" s="159" t="str">
        <f t="shared" si="57"/>
        <v>N/A</v>
      </c>
      <c r="GW44" s="159">
        <f t="shared" si="58"/>
        <v>3.5</v>
      </c>
      <c r="GX44" s="159">
        <f t="shared" si="59"/>
        <v>7.4666666666666668</v>
      </c>
      <c r="GY44" s="159">
        <f t="shared" si="60"/>
        <v>15.233333333333333</v>
      </c>
      <c r="GZ44" s="159">
        <f t="shared" si="61"/>
        <v>16</v>
      </c>
      <c r="HA44" s="159">
        <f t="shared" si="62"/>
        <v>20.566666666666666</v>
      </c>
      <c r="HB44" s="159">
        <f t="shared" si="63"/>
        <v>15.233333333333333</v>
      </c>
      <c r="HC44" s="159">
        <f t="shared" si="64"/>
        <v>45.4</v>
      </c>
      <c r="HD44" s="159">
        <f t="shared" si="65"/>
        <v>42.7</v>
      </c>
      <c r="HE44" s="159" t="str">
        <f t="shared" si="66"/>
        <v>N/A</v>
      </c>
      <c r="HF44" s="160">
        <f t="shared" si="67"/>
        <v>45.4</v>
      </c>
      <c r="HG44" s="160" cm="1">
        <f t="array" ref="HG44">INDEX($HB44:$HD44,MATCH(TRUE,INDEX(ISNUMBER($HB44:$HD44),0),0))</f>
        <v>15.233333333333333</v>
      </c>
      <c r="HH44" s="161">
        <f t="shared" si="68"/>
        <v>1</v>
      </c>
      <c r="HI44" s="86">
        <f t="shared" si="69"/>
        <v>1</v>
      </c>
      <c r="HJ44" s="111">
        <f t="shared" si="70"/>
        <v>1</v>
      </c>
      <c r="HK44" s="205" t="str">
        <f t="shared" si="71"/>
        <v>1</v>
      </c>
    </row>
    <row r="45" spans="1:219" ht="15" customHeight="1" x14ac:dyDescent="0.3">
      <c r="A45" s="80">
        <v>4382541670</v>
      </c>
      <c r="B45" s="74" t="s">
        <v>220</v>
      </c>
      <c r="C45" s="74" t="s">
        <v>221</v>
      </c>
      <c r="D45" s="74" t="s">
        <v>220</v>
      </c>
      <c r="E45" s="80" t="s">
        <v>479</v>
      </c>
      <c r="F45" s="80" t="s">
        <v>282</v>
      </c>
      <c r="G45" s="80" t="s">
        <v>227</v>
      </c>
      <c r="H45" s="78">
        <v>44398</v>
      </c>
      <c r="I45" s="80" t="s">
        <v>480</v>
      </c>
      <c r="J45" s="80" t="s">
        <v>226</v>
      </c>
      <c r="K45" s="78" t="s">
        <v>227</v>
      </c>
      <c r="L45" s="80" t="s">
        <v>227</v>
      </c>
      <c r="M45" s="80" t="s">
        <v>227</v>
      </c>
      <c r="N45" s="80" t="s">
        <v>227</v>
      </c>
      <c r="O45" s="80" t="s">
        <v>227</v>
      </c>
      <c r="P45" s="80" t="s">
        <v>227</v>
      </c>
      <c r="Q45" s="80" t="s">
        <v>227</v>
      </c>
      <c r="R45" s="80" t="s">
        <v>227</v>
      </c>
      <c r="S45" s="80" t="s">
        <v>227</v>
      </c>
      <c r="T45" s="80" t="s">
        <v>227</v>
      </c>
      <c r="U45" s="80" t="s">
        <v>227</v>
      </c>
      <c r="V45" s="80" t="s">
        <v>227</v>
      </c>
      <c r="W45" s="80" t="s">
        <v>227</v>
      </c>
      <c r="X45" s="80" t="s">
        <v>227</v>
      </c>
      <c r="Y45" s="80" t="s">
        <v>227</v>
      </c>
      <c r="Z45" s="80" t="s">
        <v>227</v>
      </c>
      <c r="AA45" s="80" t="s">
        <v>227</v>
      </c>
      <c r="AB45" s="80" t="s">
        <v>227</v>
      </c>
      <c r="AC45" s="80" t="s">
        <v>227</v>
      </c>
      <c r="AD45" s="80" t="s">
        <v>227</v>
      </c>
      <c r="AE45" s="80" t="s">
        <v>227</v>
      </c>
      <c r="AF45" s="80" t="s">
        <v>227</v>
      </c>
      <c r="AG45" s="80" t="s">
        <v>227</v>
      </c>
      <c r="AH45" s="80" t="s">
        <v>227</v>
      </c>
      <c r="AI45" s="80" t="s">
        <v>227</v>
      </c>
      <c r="AJ45" s="80" t="s">
        <v>227</v>
      </c>
      <c r="AK45" s="80" t="s">
        <v>227</v>
      </c>
      <c r="AL45" s="80" t="s">
        <v>227</v>
      </c>
      <c r="AM45" s="80" t="s">
        <v>227</v>
      </c>
      <c r="AN45" s="80" t="s">
        <v>227</v>
      </c>
      <c r="AO45" s="80" t="s">
        <v>227</v>
      </c>
      <c r="AP45" s="80" t="s">
        <v>227</v>
      </c>
      <c r="AQ45" s="80" t="s">
        <v>228</v>
      </c>
      <c r="AR45" s="78">
        <v>15743</v>
      </c>
      <c r="AS45" s="78">
        <v>44348</v>
      </c>
      <c r="AT45" s="189">
        <f t="shared" si="47"/>
        <v>78</v>
      </c>
      <c r="AU45" s="164" t="s">
        <v>481</v>
      </c>
      <c r="AV45" s="74" t="s">
        <v>230</v>
      </c>
      <c r="AW45" s="74" t="s">
        <v>241</v>
      </c>
      <c r="AX45" s="157" t="s">
        <v>309</v>
      </c>
      <c r="AY45" s="80">
        <v>0</v>
      </c>
      <c r="AZ45" s="80" t="s">
        <v>232</v>
      </c>
      <c r="BA45" s="80">
        <f t="shared" si="46"/>
        <v>0</v>
      </c>
      <c r="BB45" s="157" t="s">
        <v>310</v>
      </c>
      <c r="BC45" s="80">
        <v>3</v>
      </c>
      <c r="BD45" s="74" t="s">
        <v>243</v>
      </c>
      <c r="BE45" s="80" t="s">
        <v>234</v>
      </c>
      <c r="BF45" s="74" t="s">
        <v>220</v>
      </c>
      <c r="BG45" s="165" t="s">
        <v>227</v>
      </c>
      <c r="BH45" s="166" t="s">
        <v>227</v>
      </c>
      <c r="BI45" s="80" t="s">
        <v>227</v>
      </c>
      <c r="BJ45" s="78" t="s">
        <v>227</v>
      </c>
      <c r="BK45" s="78" t="s">
        <v>227</v>
      </c>
      <c r="BL45" s="80" t="s">
        <v>227</v>
      </c>
      <c r="BM45" s="166" t="s">
        <v>227</v>
      </c>
      <c r="BN45" s="80" t="s">
        <v>227</v>
      </c>
      <c r="BO45" s="80" t="s">
        <v>227</v>
      </c>
      <c r="BP45" s="166" t="s">
        <v>227</v>
      </c>
      <c r="BQ45" s="80" t="s">
        <v>227</v>
      </c>
      <c r="BR45" s="80" t="s">
        <v>227</v>
      </c>
      <c r="BS45" s="80" t="s">
        <v>227</v>
      </c>
      <c r="BT45" s="80" t="s">
        <v>227</v>
      </c>
      <c r="BU45" s="80" t="s">
        <v>227</v>
      </c>
      <c r="BV45" s="80" t="s">
        <v>227</v>
      </c>
      <c r="BW45" s="80" t="s">
        <v>227</v>
      </c>
      <c r="BX45" s="80" t="s">
        <v>227</v>
      </c>
      <c r="BY45" s="80" t="s">
        <v>227</v>
      </c>
      <c r="BZ45" s="80" t="s">
        <v>227</v>
      </c>
      <c r="CA45" s="80" t="s">
        <v>227</v>
      </c>
      <c r="CB45" s="80" t="s">
        <v>227</v>
      </c>
      <c r="CC45" s="80" t="s">
        <v>227</v>
      </c>
      <c r="CD45" s="80" t="s">
        <v>227</v>
      </c>
      <c r="CE45" s="80" t="s">
        <v>227</v>
      </c>
      <c r="CF45" s="80" t="s">
        <v>227</v>
      </c>
      <c r="CG45" s="80" t="s">
        <v>227</v>
      </c>
      <c r="CH45" s="80" t="s">
        <v>227</v>
      </c>
      <c r="CI45" s="80" t="s">
        <v>227</v>
      </c>
      <c r="CJ45" s="80" t="s">
        <v>227</v>
      </c>
      <c r="CK45" s="80" t="s">
        <v>227</v>
      </c>
      <c r="CL45" s="80" t="s">
        <v>227</v>
      </c>
      <c r="CM45" s="80" t="s">
        <v>227</v>
      </c>
      <c r="CN45" s="166" t="s">
        <v>246</v>
      </c>
      <c r="CO45" s="80" t="s">
        <v>378</v>
      </c>
      <c r="CP45" s="78">
        <v>44474</v>
      </c>
      <c r="CQ45" s="78">
        <v>44481</v>
      </c>
      <c r="CR45" s="80" t="s">
        <v>227</v>
      </c>
      <c r="CS45" s="166" t="s">
        <v>227</v>
      </c>
      <c r="CT45" s="80" t="s">
        <v>227</v>
      </c>
      <c r="CU45" s="80" t="s">
        <v>227</v>
      </c>
      <c r="CV45" s="166" t="s">
        <v>227</v>
      </c>
      <c r="CW45" s="80" t="s">
        <v>227</v>
      </c>
      <c r="CX45" s="80" t="s">
        <v>227</v>
      </c>
      <c r="CY45" s="80" t="s">
        <v>227</v>
      </c>
      <c r="CZ45" s="80" t="s">
        <v>227</v>
      </c>
      <c r="DA45" s="80" t="s">
        <v>227</v>
      </c>
      <c r="DB45" s="80" t="s">
        <v>227</v>
      </c>
      <c r="DC45" s="80" t="s">
        <v>227</v>
      </c>
      <c r="DD45" s="80" t="s">
        <v>227</v>
      </c>
      <c r="DE45" s="80" t="s">
        <v>227</v>
      </c>
      <c r="DF45" s="80" t="s">
        <v>227</v>
      </c>
      <c r="DG45" s="80" t="s">
        <v>227</v>
      </c>
      <c r="DH45" s="80" t="s">
        <v>227</v>
      </c>
      <c r="DI45" s="80" t="s">
        <v>227</v>
      </c>
      <c r="DJ45" s="80" t="s">
        <v>227</v>
      </c>
      <c r="DK45" s="80" t="s">
        <v>227</v>
      </c>
      <c r="DL45" s="80" t="s">
        <v>227</v>
      </c>
      <c r="DM45" s="80" t="s">
        <v>227</v>
      </c>
      <c r="DN45" s="80" t="s">
        <v>227</v>
      </c>
      <c r="DO45" s="80" t="s">
        <v>227</v>
      </c>
      <c r="DP45" s="80" t="s">
        <v>227</v>
      </c>
      <c r="DQ45" s="80" t="s">
        <v>227</v>
      </c>
      <c r="DR45" s="80" t="s">
        <v>227</v>
      </c>
      <c r="DS45" s="80" t="s">
        <v>227</v>
      </c>
      <c r="DT45" s="80" t="s">
        <v>227</v>
      </c>
      <c r="DU45" s="80" t="s">
        <v>227</v>
      </c>
      <c r="DV45" s="80" t="s">
        <v>227</v>
      </c>
      <c r="DW45" s="80" t="s">
        <v>227</v>
      </c>
      <c r="DX45" s="80" t="s">
        <v>227</v>
      </c>
      <c r="DY45" s="80" t="s">
        <v>227</v>
      </c>
      <c r="DZ45" s="80" t="s">
        <v>227</v>
      </c>
      <c r="EA45" s="80" t="s">
        <v>227</v>
      </c>
      <c r="EB45" s="80" t="s">
        <v>227</v>
      </c>
      <c r="EC45" s="80" t="s">
        <v>227</v>
      </c>
      <c r="ED45" s="80" t="s">
        <v>227</v>
      </c>
      <c r="EE45" s="80" t="s">
        <v>227</v>
      </c>
      <c r="EF45" s="80" t="s">
        <v>227</v>
      </c>
      <c r="EG45" s="80" t="s">
        <v>227</v>
      </c>
      <c r="EH45" s="80" t="s">
        <v>227</v>
      </c>
      <c r="EI45" s="78">
        <v>44712</v>
      </c>
      <c r="EJ45" s="80" t="s">
        <v>482</v>
      </c>
      <c r="EK45" s="166" t="s">
        <v>227</v>
      </c>
      <c r="EL45" s="80" t="s">
        <v>227</v>
      </c>
      <c r="EM45" s="78" t="s">
        <v>227</v>
      </c>
      <c r="EN45" s="78" t="s">
        <v>227</v>
      </c>
      <c r="EO45" s="80" t="s">
        <v>227</v>
      </c>
      <c r="EP45" s="166" t="s">
        <v>227</v>
      </c>
      <c r="EQ45" s="80" t="s">
        <v>227</v>
      </c>
      <c r="ER45" s="80" t="s">
        <v>227</v>
      </c>
      <c r="ES45" s="166" t="s">
        <v>227</v>
      </c>
      <c r="ET45" s="80" t="s">
        <v>227</v>
      </c>
      <c r="EU45" s="80" t="s">
        <v>227</v>
      </c>
      <c r="EV45" s="166" t="s">
        <v>227</v>
      </c>
      <c r="EW45" s="80" t="s">
        <v>227</v>
      </c>
      <c r="EX45" s="80" t="s">
        <v>227</v>
      </c>
      <c r="EY45" s="166" t="s">
        <v>227</v>
      </c>
      <c r="EZ45" s="80" t="s">
        <v>227</v>
      </c>
      <c r="FA45" s="80" t="s">
        <v>227</v>
      </c>
      <c r="FB45" s="147" t="s">
        <v>227</v>
      </c>
      <c r="FC45" s="80" t="s">
        <v>227</v>
      </c>
      <c r="FD45" s="80" t="s">
        <v>227</v>
      </c>
      <c r="FE45" s="80" t="s">
        <v>227</v>
      </c>
      <c r="FF45" s="80" t="s">
        <v>227</v>
      </c>
      <c r="FG45" s="80" t="s">
        <v>227</v>
      </c>
      <c r="FH45" s="80" t="s">
        <v>227</v>
      </c>
      <c r="FI45" s="80" t="s">
        <v>227</v>
      </c>
      <c r="FJ45" s="80" t="s">
        <v>227</v>
      </c>
      <c r="FK45" s="80" t="s">
        <v>227</v>
      </c>
      <c r="FL45" s="80" t="s">
        <v>227</v>
      </c>
      <c r="FM45" s="80" t="s">
        <v>227</v>
      </c>
      <c r="FN45" s="80" t="s">
        <v>227</v>
      </c>
      <c r="FO45" s="80" t="s">
        <v>227</v>
      </c>
      <c r="FP45" s="80" t="s">
        <v>227</v>
      </c>
      <c r="FQ45" s="80" t="s">
        <v>227</v>
      </c>
      <c r="FR45" s="80" t="s">
        <v>227</v>
      </c>
      <c r="FS45" s="80" t="s">
        <v>227</v>
      </c>
      <c r="FT45" s="80" t="s">
        <v>227</v>
      </c>
      <c r="FU45" s="80" t="s">
        <v>227</v>
      </c>
      <c r="FV45" s="80" t="s">
        <v>227</v>
      </c>
      <c r="FW45" s="80" t="s">
        <v>227</v>
      </c>
      <c r="FX45" s="80" t="s">
        <v>227</v>
      </c>
      <c r="FY45" s="80" t="s">
        <v>227</v>
      </c>
      <c r="FZ45" s="80" t="s">
        <v>227</v>
      </c>
      <c r="GA45" s="80" t="s">
        <v>227</v>
      </c>
      <c r="GB45" s="80" t="s">
        <v>227</v>
      </c>
      <c r="GC45" s="80" t="s">
        <v>227</v>
      </c>
      <c r="GD45" s="80" t="s">
        <v>227</v>
      </c>
      <c r="GE45" s="80" t="s">
        <v>227</v>
      </c>
      <c r="GF45" s="167" t="s">
        <v>236</v>
      </c>
      <c r="GG45" s="78">
        <v>44780</v>
      </c>
      <c r="GH45" s="74" t="s">
        <v>241</v>
      </c>
      <c r="GI45" s="80" t="s">
        <v>231</v>
      </c>
      <c r="GJ45" s="78">
        <v>44743</v>
      </c>
      <c r="GK45" s="78" t="s">
        <v>227</v>
      </c>
      <c r="GL45" s="78" t="s">
        <v>227</v>
      </c>
      <c r="GM45" s="159" t="str">
        <f t="shared" si="48"/>
        <v>N/A</v>
      </c>
      <c r="GN45" s="159" t="str">
        <f t="shared" si="49"/>
        <v>N/A</v>
      </c>
      <c r="GO45" s="159">
        <f t="shared" si="50"/>
        <v>1.6666666666666667</v>
      </c>
      <c r="GP45" s="159" t="str">
        <f t="shared" si="51"/>
        <v>N/A</v>
      </c>
      <c r="GQ45" s="159" t="str">
        <f t="shared" si="52"/>
        <v>N/A</v>
      </c>
      <c r="GR45" s="159" t="str">
        <f t="shared" si="53"/>
        <v>N/A</v>
      </c>
      <c r="GS45" s="159" t="str">
        <f t="shared" si="54"/>
        <v>N/A</v>
      </c>
      <c r="GT45" s="159" t="str">
        <f t="shared" si="55"/>
        <v>N/A</v>
      </c>
      <c r="GU45" s="159" t="str">
        <f t="shared" si="56"/>
        <v>N/A</v>
      </c>
      <c r="GV45" s="159" t="str">
        <f t="shared" si="57"/>
        <v>N/A</v>
      </c>
      <c r="GW45" s="159">
        <f t="shared" si="58"/>
        <v>4.2</v>
      </c>
      <c r="GX45" s="159">
        <f t="shared" si="59"/>
        <v>4.4333333333333336</v>
      </c>
      <c r="GY45" s="159">
        <f t="shared" si="60"/>
        <v>12.133333333333333</v>
      </c>
      <c r="GZ45" s="159" t="str">
        <f t="shared" si="61"/>
        <v>N/A</v>
      </c>
      <c r="HA45" s="159" t="str">
        <f t="shared" si="62"/>
        <v>N/A</v>
      </c>
      <c r="HB45" s="159">
        <f t="shared" si="63"/>
        <v>12.133333333333333</v>
      </c>
      <c r="HC45" s="159">
        <f t="shared" si="64"/>
        <v>14.4</v>
      </c>
      <c r="HD45" s="159">
        <f t="shared" si="65"/>
        <v>13.166666666666666</v>
      </c>
      <c r="HE45" s="159" t="str">
        <f t="shared" si="66"/>
        <v>N/A</v>
      </c>
      <c r="HF45" s="160">
        <f t="shared" si="67"/>
        <v>14.4</v>
      </c>
      <c r="HG45" s="160" cm="1">
        <f t="array" ref="HG45">INDEX($HB45:$HD45,MATCH(TRUE,INDEX(ISNUMBER($HB45:$HD45),0),0))</f>
        <v>12.133333333333333</v>
      </c>
      <c r="HH45" s="161">
        <f t="shared" si="68"/>
        <v>1</v>
      </c>
      <c r="HI45" s="86">
        <f t="shared" si="69"/>
        <v>1</v>
      </c>
      <c r="HJ45" s="111">
        <f t="shared" si="70"/>
        <v>1</v>
      </c>
      <c r="HK45" s="205" t="str">
        <f t="shared" si="71"/>
        <v>1</v>
      </c>
    </row>
    <row r="46" spans="1:219" ht="15" customHeight="1" x14ac:dyDescent="0.3">
      <c r="A46" s="80">
        <v>4367564835</v>
      </c>
      <c r="B46" s="74" t="s">
        <v>220</v>
      </c>
      <c r="C46" s="74" t="s">
        <v>221</v>
      </c>
      <c r="D46" s="74" t="s">
        <v>220</v>
      </c>
      <c r="E46" s="80" t="s">
        <v>483</v>
      </c>
      <c r="F46" s="80" t="s">
        <v>373</v>
      </c>
      <c r="G46" s="80" t="s">
        <v>227</v>
      </c>
      <c r="H46" s="78">
        <v>44400</v>
      </c>
      <c r="I46" s="80" t="s">
        <v>484</v>
      </c>
      <c r="J46" s="80" t="s">
        <v>226</v>
      </c>
      <c r="K46" s="78" t="s">
        <v>227</v>
      </c>
      <c r="L46" s="80" t="s">
        <v>227</v>
      </c>
      <c r="M46" s="80" t="s">
        <v>227</v>
      </c>
      <c r="N46" s="80" t="s">
        <v>227</v>
      </c>
      <c r="O46" s="80" t="s">
        <v>227</v>
      </c>
      <c r="P46" s="80" t="s">
        <v>227</v>
      </c>
      <c r="Q46" s="80" t="s">
        <v>227</v>
      </c>
      <c r="R46" s="80" t="s">
        <v>227</v>
      </c>
      <c r="S46" s="80" t="s">
        <v>227</v>
      </c>
      <c r="T46" s="80" t="s">
        <v>227</v>
      </c>
      <c r="U46" s="80" t="s">
        <v>227</v>
      </c>
      <c r="V46" s="80" t="s">
        <v>227</v>
      </c>
      <c r="W46" s="80" t="s">
        <v>227</v>
      </c>
      <c r="X46" s="80" t="s">
        <v>227</v>
      </c>
      <c r="Y46" s="80" t="s">
        <v>227</v>
      </c>
      <c r="Z46" s="80" t="s">
        <v>227</v>
      </c>
      <c r="AA46" s="80" t="s">
        <v>227</v>
      </c>
      <c r="AB46" s="80" t="s">
        <v>227</v>
      </c>
      <c r="AC46" s="80" t="s">
        <v>227</v>
      </c>
      <c r="AD46" s="80" t="s">
        <v>227</v>
      </c>
      <c r="AE46" s="80" t="s">
        <v>227</v>
      </c>
      <c r="AF46" s="80" t="s">
        <v>227</v>
      </c>
      <c r="AG46" s="80" t="s">
        <v>227</v>
      </c>
      <c r="AH46" s="80" t="s">
        <v>227</v>
      </c>
      <c r="AI46" s="80" t="s">
        <v>227</v>
      </c>
      <c r="AJ46" s="80" t="s">
        <v>227</v>
      </c>
      <c r="AK46" s="80" t="s">
        <v>227</v>
      </c>
      <c r="AL46" s="80" t="s">
        <v>227</v>
      </c>
      <c r="AM46" s="80" t="s">
        <v>227</v>
      </c>
      <c r="AN46" s="80" t="s">
        <v>227</v>
      </c>
      <c r="AO46" s="80" t="s">
        <v>227</v>
      </c>
      <c r="AP46" s="80" t="s">
        <v>227</v>
      </c>
      <c r="AQ46" s="80" t="s">
        <v>228</v>
      </c>
      <c r="AR46" s="78">
        <v>12891</v>
      </c>
      <c r="AS46" s="78">
        <v>44316</v>
      </c>
      <c r="AT46" s="189">
        <f t="shared" si="47"/>
        <v>86</v>
      </c>
      <c r="AU46" s="164" t="s">
        <v>229</v>
      </c>
      <c r="AV46" s="74" t="s">
        <v>230</v>
      </c>
      <c r="AW46" s="74" t="s">
        <v>241</v>
      </c>
      <c r="AX46" s="80" t="s">
        <v>264</v>
      </c>
      <c r="AY46" s="80" t="s">
        <v>232</v>
      </c>
      <c r="AZ46" s="80" t="s">
        <v>232</v>
      </c>
      <c r="BA46" s="80">
        <f t="shared" si="46"/>
        <v>0</v>
      </c>
      <c r="BB46" s="80" t="s">
        <v>396</v>
      </c>
      <c r="BC46" s="80">
        <v>1</v>
      </c>
      <c r="BD46" s="74" t="s">
        <v>243</v>
      </c>
      <c r="BE46" s="80" t="s">
        <v>273</v>
      </c>
      <c r="BF46" s="74" t="s">
        <v>220</v>
      </c>
      <c r="BG46" s="165" t="s">
        <v>227</v>
      </c>
      <c r="BH46" s="166" t="s">
        <v>227</v>
      </c>
      <c r="BI46" s="80" t="s">
        <v>227</v>
      </c>
      <c r="BJ46" s="78" t="s">
        <v>227</v>
      </c>
      <c r="BK46" s="78" t="s">
        <v>227</v>
      </c>
      <c r="BL46" s="80" t="s">
        <v>227</v>
      </c>
      <c r="BM46" s="166" t="s">
        <v>227</v>
      </c>
      <c r="BN46" s="80" t="s">
        <v>227</v>
      </c>
      <c r="BO46" s="80" t="s">
        <v>227</v>
      </c>
      <c r="BP46" s="166" t="s">
        <v>227</v>
      </c>
      <c r="BQ46" s="80" t="s">
        <v>227</v>
      </c>
      <c r="BR46" s="80" t="s">
        <v>227</v>
      </c>
      <c r="BS46" s="80" t="s">
        <v>227</v>
      </c>
      <c r="BT46" s="80" t="s">
        <v>227</v>
      </c>
      <c r="BU46" s="80" t="s">
        <v>227</v>
      </c>
      <c r="BV46" s="80" t="s">
        <v>227</v>
      </c>
      <c r="BW46" s="80" t="s">
        <v>227</v>
      </c>
      <c r="BX46" s="80" t="s">
        <v>227</v>
      </c>
      <c r="BY46" s="80" t="s">
        <v>227</v>
      </c>
      <c r="BZ46" s="80" t="s">
        <v>227</v>
      </c>
      <c r="CA46" s="80" t="s">
        <v>227</v>
      </c>
      <c r="CB46" s="80" t="s">
        <v>227</v>
      </c>
      <c r="CC46" s="80" t="s">
        <v>227</v>
      </c>
      <c r="CD46" s="80" t="s">
        <v>227</v>
      </c>
      <c r="CE46" s="80" t="s">
        <v>227</v>
      </c>
      <c r="CF46" s="80" t="s">
        <v>227</v>
      </c>
      <c r="CG46" s="80" t="s">
        <v>227</v>
      </c>
      <c r="CH46" s="80" t="s">
        <v>227</v>
      </c>
      <c r="CI46" s="80" t="s">
        <v>227</v>
      </c>
      <c r="CJ46" s="80" t="s">
        <v>227</v>
      </c>
      <c r="CK46" s="80" t="s">
        <v>227</v>
      </c>
      <c r="CL46" s="80" t="s">
        <v>227</v>
      </c>
      <c r="CM46" s="80" t="s">
        <v>227</v>
      </c>
      <c r="CN46" s="166" t="s">
        <v>246</v>
      </c>
      <c r="CO46" s="80" t="s">
        <v>378</v>
      </c>
      <c r="CP46" s="78">
        <v>44467</v>
      </c>
      <c r="CQ46" s="78">
        <v>44474</v>
      </c>
      <c r="CR46" s="80" t="s">
        <v>227</v>
      </c>
      <c r="CS46" s="166" t="s">
        <v>227</v>
      </c>
      <c r="CT46" s="80" t="s">
        <v>227</v>
      </c>
      <c r="CU46" s="80" t="s">
        <v>227</v>
      </c>
      <c r="CV46" s="166" t="s">
        <v>227</v>
      </c>
      <c r="CW46" s="80" t="s">
        <v>227</v>
      </c>
      <c r="CX46" s="80" t="s">
        <v>227</v>
      </c>
      <c r="CY46" s="80" t="s">
        <v>227</v>
      </c>
      <c r="CZ46" s="80" t="s">
        <v>227</v>
      </c>
      <c r="DA46" s="80" t="s">
        <v>227</v>
      </c>
      <c r="DB46" s="80" t="s">
        <v>227</v>
      </c>
      <c r="DC46" s="80" t="s">
        <v>227</v>
      </c>
      <c r="DD46" s="80" t="s">
        <v>227</v>
      </c>
      <c r="DE46" s="80" t="s">
        <v>227</v>
      </c>
      <c r="DF46" s="80" t="s">
        <v>227</v>
      </c>
      <c r="DG46" s="80" t="s">
        <v>227</v>
      </c>
      <c r="DH46" s="80" t="s">
        <v>227</v>
      </c>
      <c r="DI46" s="80" t="s">
        <v>227</v>
      </c>
      <c r="DJ46" s="80" t="s">
        <v>227</v>
      </c>
      <c r="DK46" s="80" t="s">
        <v>227</v>
      </c>
      <c r="DL46" s="80" t="s">
        <v>227</v>
      </c>
      <c r="DM46" s="80" t="s">
        <v>227</v>
      </c>
      <c r="DN46" s="80" t="s">
        <v>227</v>
      </c>
      <c r="DO46" s="80" t="s">
        <v>227</v>
      </c>
      <c r="DP46" s="80" t="s">
        <v>227</v>
      </c>
      <c r="DQ46" s="80" t="s">
        <v>227</v>
      </c>
      <c r="DR46" s="80" t="s">
        <v>227</v>
      </c>
      <c r="DS46" s="80" t="s">
        <v>227</v>
      </c>
      <c r="DT46" s="80" t="s">
        <v>227</v>
      </c>
      <c r="DU46" s="80" t="s">
        <v>227</v>
      </c>
      <c r="DV46" s="80" t="s">
        <v>227</v>
      </c>
      <c r="DW46" s="80" t="s">
        <v>227</v>
      </c>
      <c r="DX46" s="80" t="s">
        <v>227</v>
      </c>
      <c r="DY46" s="80" t="s">
        <v>227</v>
      </c>
      <c r="DZ46" s="80" t="s">
        <v>227</v>
      </c>
      <c r="EA46" s="80" t="s">
        <v>227</v>
      </c>
      <c r="EB46" s="80" t="s">
        <v>227</v>
      </c>
      <c r="EC46" s="80" t="s">
        <v>227</v>
      </c>
      <c r="ED46" s="80" t="s">
        <v>227</v>
      </c>
      <c r="EE46" s="80" t="s">
        <v>227</v>
      </c>
      <c r="EF46" s="80" t="s">
        <v>227</v>
      </c>
      <c r="EG46" s="80" t="s">
        <v>227</v>
      </c>
      <c r="EH46" s="80" t="s">
        <v>227</v>
      </c>
      <c r="EI46" s="78" t="s">
        <v>227</v>
      </c>
      <c r="EJ46" s="80" t="s">
        <v>227</v>
      </c>
      <c r="EK46" s="166" t="s">
        <v>227</v>
      </c>
      <c r="EL46" s="80" t="s">
        <v>227</v>
      </c>
      <c r="EM46" s="78" t="s">
        <v>227</v>
      </c>
      <c r="EN46" s="78" t="s">
        <v>227</v>
      </c>
      <c r="EO46" s="80" t="s">
        <v>227</v>
      </c>
      <c r="EP46" s="166" t="s">
        <v>227</v>
      </c>
      <c r="EQ46" s="80" t="s">
        <v>227</v>
      </c>
      <c r="ER46" s="80" t="s">
        <v>227</v>
      </c>
      <c r="ES46" s="166" t="s">
        <v>227</v>
      </c>
      <c r="ET46" s="80" t="s">
        <v>227</v>
      </c>
      <c r="EU46" s="80" t="s">
        <v>227</v>
      </c>
      <c r="EV46" s="166" t="s">
        <v>227</v>
      </c>
      <c r="EW46" s="80" t="s">
        <v>227</v>
      </c>
      <c r="EX46" s="80" t="s">
        <v>227</v>
      </c>
      <c r="EY46" s="166" t="s">
        <v>227</v>
      </c>
      <c r="EZ46" s="80" t="s">
        <v>227</v>
      </c>
      <c r="FA46" s="80" t="s">
        <v>227</v>
      </c>
      <c r="FB46" s="147" t="s">
        <v>227</v>
      </c>
      <c r="FC46" s="80" t="s">
        <v>227</v>
      </c>
      <c r="FD46" s="80" t="s">
        <v>227</v>
      </c>
      <c r="FE46" s="80" t="s">
        <v>227</v>
      </c>
      <c r="FF46" s="80" t="s">
        <v>227</v>
      </c>
      <c r="FG46" s="80" t="s">
        <v>227</v>
      </c>
      <c r="FH46" s="80" t="s">
        <v>227</v>
      </c>
      <c r="FI46" s="80" t="s">
        <v>227</v>
      </c>
      <c r="FJ46" s="80" t="s">
        <v>227</v>
      </c>
      <c r="FK46" s="80" t="s">
        <v>227</v>
      </c>
      <c r="FL46" s="80" t="s">
        <v>227</v>
      </c>
      <c r="FM46" s="80" t="s">
        <v>227</v>
      </c>
      <c r="FN46" s="80" t="s">
        <v>227</v>
      </c>
      <c r="FO46" s="80" t="s">
        <v>227</v>
      </c>
      <c r="FP46" s="80" t="s">
        <v>227</v>
      </c>
      <c r="FQ46" s="80" t="s">
        <v>227</v>
      </c>
      <c r="FR46" s="80" t="s">
        <v>227</v>
      </c>
      <c r="FS46" s="80" t="s">
        <v>227</v>
      </c>
      <c r="FT46" s="80" t="s">
        <v>227</v>
      </c>
      <c r="FU46" s="80" t="s">
        <v>227</v>
      </c>
      <c r="FV46" s="80" t="s">
        <v>227</v>
      </c>
      <c r="FW46" s="80" t="s">
        <v>227</v>
      </c>
      <c r="FX46" s="80" t="s">
        <v>227</v>
      </c>
      <c r="FY46" s="80" t="s">
        <v>227</v>
      </c>
      <c r="FZ46" s="80" t="s">
        <v>227</v>
      </c>
      <c r="GA46" s="80" t="s">
        <v>227</v>
      </c>
      <c r="GB46" s="80" t="s">
        <v>227</v>
      </c>
      <c r="GC46" s="80" t="s">
        <v>227</v>
      </c>
      <c r="GD46" s="80" t="s">
        <v>227</v>
      </c>
      <c r="GE46" s="80" t="s">
        <v>227</v>
      </c>
      <c r="GF46" s="167" t="s">
        <v>312</v>
      </c>
      <c r="GG46" s="78" t="s">
        <v>227</v>
      </c>
      <c r="GH46" s="74" t="s">
        <v>227</v>
      </c>
      <c r="GI46" s="80" t="s">
        <v>227</v>
      </c>
      <c r="GJ46" s="78">
        <v>45833</v>
      </c>
      <c r="GK46" s="156">
        <v>46177</v>
      </c>
      <c r="GL46" s="78" t="s">
        <v>227</v>
      </c>
      <c r="GM46" s="159" t="str">
        <f t="shared" si="48"/>
        <v>N/A</v>
      </c>
      <c r="GN46" s="159" t="str">
        <f t="shared" si="49"/>
        <v>N/A</v>
      </c>
      <c r="GO46" s="159">
        <f t="shared" si="50"/>
        <v>2.8</v>
      </c>
      <c r="GP46" s="159" t="str">
        <f t="shared" si="51"/>
        <v>N/A</v>
      </c>
      <c r="GQ46" s="159" t="str">
        <f t="shared" si="52"/>
        <v>N/A</v>
      </c>
      <c r="GR46" s="159" t="str">
        <f t="shared" si="53"/>
        <v>N/A</v>
      </c>
      <c r="GS46" s="159" t="str">
        <f t="shared" si="54"/>
        <v>N/A</v>
      </c>
      <c r="GT46" s="159" t="str">
        <f t="shared" si="55"/>
        <v>N/A</v>
      </c>
      <c r="GU46" s="159" t="str">
        <f t="shared" si="56"/>
        <v>N/A</v>
      </c>
      <c r="GV46" s="159" t="str">
        <f t="shared" si="57"/>
        <v>N/A</v>
      </c>
      <c r="GW46" s="159">
        <f t="shared" si="58"/>
        <v>5.0333333333333332</v>
      </c>
      <c r="GX46" s="159">
        <f t="shared" si="59"/>
        <v>5.2666666666666666</v>
      </c>
      <c r="GY46" s="159" t="str">
        <f t="shared" si="60"/>
        <v>N/A</v>
      </c>
      <c r="GZ46" s="159" t="str">
        <f t="shared" si="61"/>
        <v>N/A</v>
      </c>
      <c r="HA46" s="159" t="str">
        <f t="shared" si="62"/>
        <v>N/A</v>
      </c>
      <c r="HB46" s="159" t="str">
        <f t="shared" si="63"/>
        <v>N/A</v>
      </c>
      <c r="HC46" s="159" t="str">
        <f t="shared" si="64"/>
        <v>N/A</v>
      </c>
      <c r="HD46" s="159">
        <f t="shared" si="65"/>
        <v>50.56666666666667</v>
      </c>
      <c r="HE46" s="159">
        <f t="shared" si="66"/>
        <v>62.033333333333331</v>
      </c>
      <c r="HF46" s="160">
        <f t="shared" si="67"/>
        <v>62.033333333333331</v>
      </c>
      <c r="HG46" s="160" cm="1">
        <f t="array" ref="HG46">INDEX($HB46:$HD46,MATCH(TRUE,INDEX(ISNUMBER($HB46:$HD46),0),0))</f>
        <v>50.56666666666667</v>
      </c>
      <c r="HH46" s="161">
        <f t="shared" si="68"/>
        <v>0</v>
      </c>
      <c r="HI46" s="86">
        <f t="shared" si="69"/>
        <v>0</v>
      </c>
      <c r="HJ46" s="111">
        <f t="shared" si="70"/>
        <v>0</v>
      </c>
      <c r="HK46" s="205" t="str">
        <f t="shared" si="71"/>
        <v>0</v>
      </c>
    </row>
    <row r="47" spans="1:219" s="94" customFormat="1" ht="15" customHeight="1" x14ac:dyDescent="0.3">
      <c r="A47" s="175">
        <v>4381449568</v>
      </c>
      <c r="B47" s="176" t="s">
        <v>227</v>
      </c>
      <c r="C47" s="176" t="s">
        <v>227</v>
      </c>
      <c r="D47" s="176" t="s">
        <v>227</v>
      </c>
      <c r="E47" s="175" t="s">
        <v>485</v>
      </c>
      <c r="F47" s="175" t="s">
        <v>458</v>
      </c>
      <c r="G47" s="175" t="s">
        <v>384</v>
      </c>
      <c r="H47" s="177" t="s">
        <v>227</v>
      </c>
      <c r="I47" s="175" t="s">
        <v>227</v>
      </c>
      <c r="J47" s="175" t="s">
        <v>227</v>
      </c>
      <c r="K47" s="177" t="s">
        <v>227</v>
      </c>
      <c r="L47" s="175" t="s">
        <v>227</v>
      </c>
      <c r="M47" s="175" t="s">
        <v>227</v>
      </c>
      <c r="N47" s="178" t="s">
        <v>227</v>
      </c>
      <c r="O47" s="175" t="s">
        <v>227</v>
      </c>
      <c r="P47" s="177" t="s">
        <v>227</v>
      </c>
      <c r="Q47" s="176" t="s">
        <v>227</v>
      </c>
      <c r="R47" s="175" t="s">
        <v>227</v>
      </c>
      <c r="S47" s="175" t="s">
        <v>227</v>
      </c>
      <c r="T47" s="175" t="s">
        <v>227</v>
      </c>
      <c r="U47" s="177" t="s">
        <v>227</v>
      </c>
      <c r="V47" s="176" t="s">
        <v>227</v>
      </c>
      <c r="W47" s="176" t="s">
        <v>227</v>
      </c>
      <c r="X47" s="176" t="s">
        <v>227</v>
      </c>
      <c r="Y47" s="176" t="s">
        <v>227</v>
      </c>
      <c r="Z47" s="179" t="s">
        <v>227</v>
      </c>
      <c r="AA47" s="176" t="s">
        <v>227</v>
      </c>
      <c r="AB47" s="176" t="s">
        <v>227</v>
      </c>
      <c r="AC47" s="176" t="s">
        <v>227</v>
      </c>
      <c r="AD47" s="176" t="s">
        <v>227</v>
      </c>
      <c r="AE47" s="179" t="s">
        <v>227</v>
      </c>
      <c r="AF47" s="176" t="s">
        <v>227</v>
      </c>
      <c r="AG47" s="176" t="s">
        <v>227</v>
      </c>
      <c r="AH47" s="176" t="s">
        <v>227</v>
      </c>
      <c r="AI47" s="176" t="s">
        <v>227</v>
      </c>
      <c r="AJ47" s="179" t="s">
        <v>227</v>
      </c>
      <c r="AK47" s="176" t="s">
        <v>227</v>
      </c>
      <c r="AL47" s="175" t="s">
        <v>227</v>
      </c>
      <c r="AM47" s="175" t="s">
        <v>227</v>
      </c>
      <c r="AN47" s="175" t="s">
        <v>227</v>
      </c>
      <c r="AO47" s="177" t="s">
        <v>227</v>
      </c>
      <c r="AP47" s="176" t="s">
        <v>227</v>
      </c>
      <c r="AQ47" s="175" t="s">
        <v>228</v>
      </c>
      <c r="AR47" s="177">
        <v>16664</v>
      </c>
      <c r="AS47" s="177" t="s">
        <v>227</v>
      </c>
      <c r="AT47" s="191" t="e">
        <f t="shared" si="47"/>
        <v>#VALUE!</v>
      </c>
      <c r="AU47" s="181" t="s">
        <v>227</v>
      </c>
      <c r="AV47" s="176" t="s">
        <v>227</v>
      </c>
      <c r="AW47" s="176" t="s">
        <v>227</v>
      </c>
      <c r="AX47" s="175" t="s">
        <v>227</v>
      </c>
      <c r="AY47" s="175" t="s">
        <v>227</v>
      </c>
      <c r="AZ47" s="175" t="s">
        <v>227</v>
      </c>
      <c r="BA47" s="175" t="e">
        <f t="shared" si="46"/>
        <v>#VALUE!</v>
      </c>
      <c r="BB47" s="175" t="s">
        <v>227</v>
      </c>
      <c r="BC47" s="175" t="s">
        <v>227</v>
      </c>
      <c r="BD47" s="74" t="s">
        <v>243</v>
      </c>
      <c r="BE47" s="175" t="s">
        <v>227</v>
      </c>
      <c r="BF47" s="176" t="s">
        <v>227</v>
      </c>
      <c r="BG47" s="182" t="s">
        <v>227</v>
      </c>
      <c r="BH47" s="183" t="s">
        <v>227</v>
      </c>
      <c r="BI47" s="175" t="s">
        <v>227</v>
      </c>
      <c r="BJ47" s="177" t="s">
        <v>227</v>
      </c>
      <c r="BK47" s="177" t="s">
        <v>227</v>
      </c>
      <c r="BL47" s="175" t="s">
        <v>227</v>
      </c>
      <c r="BM47" s="183" t="s">
        <v>227</v>
      </c>
      <c r="BN47" s="175" t="s">
        <v>227</v>
      </c>
      <c r="BO47" s="175" t="s">
        <v>227</v>
      </c>
      <c r="BP47" s="183" t="s">
        <v>227</v>
      </c>
      <c r="BQ47" s="175" t="s">
        <v>227</v>
      </c>
      <c r="BR47" s="175" t="s">
        <v>227</v>
      </c>
      <c r="BS47" s="183" t="s">
        <v>227</v>
      </c>
      <c r="BT47" s="175" t="s">
        <v>227</v>
      </c>
      <c r="BU47" s="175" t="s">
        <v>227</v>
      </c>
      <c r="BV47" s="183" t="s">
        <v>227</v>
      </c>
      <c r="BW47" s="175" t="s">
        <v>227</v>
      </c>
      <c r="BX47" s="175" t="s">
        <v>227</v>
      </c>
      <c r="BY47" s="183" t="s">
        <v>227</v>
      </c>
      <c r="BZ47" s="175" t="s">
        <v>227</v>
      </c>
      <c r="CA47" s="175" t="s">
        <v>227</v>
      </c>
      <c r="CB47" s="183" t="s">
        <v>227</v>
      </c>
      <c r="CC47" s="175" t="s">
        <v>227</v>
      </c>
      <c r="CD47" s="175" t="s">
        <v>227</v>
      </c>
      <c r="CE47" s="183" t="s">
        <v>227</v>
      </c>
      <c r="CF47" s="175" t="s">
        <v>227</v>
      </c>
      <c r="CG47" s="175" t="s">
        <v>227</v>
      </c>
      <c r="CH47" s="183" t="s">
        <v>227</v>
      </c>
      <c r="CI47" s="175" t="s">
        <v>227</v>
      </c>
      <c r="CJ47" s="175" t="s">
        <v>227</v>
      </c>
      <c r="CK47" s="183" t="s">
        <v>227</v>
      </c>
      <c r="CL47" s="175" t="s">
        <v>227</v>
      </c>
      <c r="CM47" s="175" t="s">
        <v>227</v>
      </c>
      <c r="CN47" s="183" t="s">
        <v>227</v>
      </c>
      <c r="CO47" s="175" t="s">
        <v>227</v>
      </c>
      <c r="CP47" s="177" t="s">
        <v>227</v>
      </c>
      <c r="CQ47" s="177" t="s">
        <v>227</v>
      </c>
      <c r="CR47" s="175" t="s">
        <v>227</v>
      </c>
      <c r="CS47" s="183" t="s">
        <v>227</v>
      </c>
      <c r="CT47" s="175" t="s">
        <v>227</v>
      </c>
      <c r="CU47" s="175" t="s">
        <v>227</v>
      </c>
      <c r="CV47" s="183" t="s">
        <v>227</v>
      </c>
      <c r="CW47" s="175" t="s">
        <v>227</v>
      </c>
      <c r="CX47" s="175" t="s">
        <v>227</v>
      </c>
      <c r="CY47" s="183" t="s">
        <v>227</v>
      </c>
      <c r="CZ47" s="175" t="s">
        <v>227</v>
      </c>
      <c r="DA47" s="175" t="s">
        <v>227</v>
      </c>
      <c r="DB47" s="183" t="s">
        <v>227</v>
      </c>
      <c r="DC47" s="175" t="s">
        <v>227</v>
      </c>
      <c r="DD47" s="175" t="s">
        <v>227</v>
      </c>
      <c r="DE47" s="183" t="s">
        <v>227</v>
      </c>
      <c r="DF47" s="175" t="s">
        <v>227</v>
      </c>
      <c r="DG47" s="175" t="s">
        <v>227</v>
      </c>
      <c r="DH47" s="183" t="s">
        <v>227</v>
      </c>
      <c r="DI47" s="175" t="s">
        <v>227</v>
      </c>
      <c r="DJ47" s="175" t="s">
        <v>227</v>
      </c>
      <c r="DK47" s="183" t="s">
        <v>227</v>
      </c>
      <c r="DL47" s="175" t="s">
        <v>227</v>
      </c>
      <c r="DM47" s="175" t="s">
        <v>227</v>
      </c>
      <c r="DN47" s="183" t="s">
        <v>227</v>
      </c>
      <c r="DO47" s="175" t="s">
        <v>227</v>
      </c>
      <c r="DP47" s="175" t="s">
        <v>227</v>
      </c>
      <c r="DQ47" s="183" t="s">
        <v>227</v>
      </c>
      <c r="DR47" s="175" t="s">
        <v>227</v>
      </c>
      <c r="DS47" s="175" t="s">
        <v>227</v>
      </c>
      <c r="DT47" s="183" t="s">
        <v>227</v>
      </c>
      <c r="DU47" s="175" t="s">
        <v>227</v>
      </c>
      <c r="DV47" s="175" t="s">
        <v>227</v>
      </c>
      <c r="DW47" s="183" t="s">
        <v>227</v>
      </c>
      <c r="DX47" s="175" t="s">
        <v>227</v>
      </c>
      <c r="DY47" s="175" t="s">
        <v>227</v>
      </c>
      <c r="DZ47" s="183" t="s">
        <v>227</v>
      </c>
      <c r="EA47" s="175" t="s">
        <v>227</v>
      </c>
      <c r="EB47" s="175" t="s">
        <v>227</v>
      </c>
      <c r="EC47" s="183" t="s">
        <v>227</v>
      </c>
      <c r="ED47" s="175" t="s">
        <v>227</v>
      </c>
      <c r="EE47" s="175" t="s">
        <v>227</v>
      </c>
      <c r="EF47" s="183" t="s">
        <v>227</v>
      </c>
      <c r="EG47" s="175" t="s">
        <v>227</v>
      </c>
      <c r="EH47" s="175" t="s">
        <v>227</v>
      </c>
      <c r="EI47" s="177" t="s">
        <v>227</v>
      </c>
      <c r="EJ47" s="175" t="s">
        <v>227</v>
      </c>
      <c r="EK47" s="183" t="s">
        <v>227</v>
      </c>
      <c r="EL47" s="175" t="s">
        <v>227</v>
      </c>
      <c r="EM47" s="177" t="s">
        <v>227</v>
      </c>
      <c r="EN47" s="177" t="s">
        <v>227</v>
      </c>
      <c r="EO47" s="175" t="s">
        <v>227</v>
      </c>
      <c r="EP47" s="183" t="s">
        <v>227</v>
      </c>
      <c r="EQ47" s="175" t="s">
        <v>227</v>
      </c>
      <c r="ER47" s="175" t="s">
        <v>227</v>
      </c>
      <c r="ES47" s="183" t="s">
        <v>227</v>
      </c>
      <c r="ET47" s="175" t="s">
        <v>227</v>
      </c>
      <c r="EU47" s="175" t="s">
        <v>227</v>
      </c>
      <c r="EV47" s="183" t="s">
        <v>227</v>
      </c>
      <c r="EW47" s="175" t="s">
        <v>227</v>
      </c>
      <c r="EX47" s="175" t="s">
        <v>227</v>
      </c>
      <c r="EY47" s="183" t="s">
        <v>227</v>
      </c>
      <c r="EZ47" s="175" t="s">
        <v>227</v>
      </c>
      <c r="FA47" s="175" t="s">
        <v>227</v>
      </c>
      <c r="FB47" s="147" t="s">
        <v>227</v>
      </c>
      <c r="FC47" s="175" t="s">
        <v>227</v>
      </c>
      <c r="FD47" s="175" t="s">
        <v>227</v>
      </c>
      <c r="FE47" s="183" t="s">
        <v>227</v>
      </c>
      <c r="FF47" s="175" t="s">
        <v>227</v>
      </c>
      <c r="FG47" s="175" t="s">
        <v>227</v>
      </c>
      <c r="FH47" s="183" t="s">
        <v>227</v>
      </c>
      <c r="FI47" s="175" t="s">
        <v>227</v>
      </c>
      <c r="FJ47" s="175" t="s">
        <v>227</v>
      </c>
      <c r="FK47" s="183" t="s">
        <v>227</v>
      </c>
      <c r="FL47" s="175" t="s">
        <v>227</v>
      </c>
      <c r="FM47" s="175" t="s">
        <v>227</v>
      </c>
      <c r="FN47" s="183" t="s">
        <v>227</v>
      </c>
      <c r="FO47" s="175" t="s">
        <v>227</v>
      </c>
      <c r="FP47" s="175" t="s">
        <v>227</v>
      </c>
      <c r="FQ47" s="183" t="s">
        <v>227</v>
      </c>
      <c r="FR47" s="175" t="s">
        <v>227</v>
      </c>
      <c r="FS47" s="175" t="s">
        <v>227</v>
      </c>
      <c r="FT47" s="183" t="s">
        <v>227</v>
      </c>
      <c r="FU47" s="175" t="s">
        <v>227</v>
      </c>
      <c r="FV47" s="175" t="s">
        <v>227</v>
      </c>
      <c r="FW47" s="183" t="s">
        <v>227</v>
      </c>
      <c r="FX47" s="175" t="s">
        <v>227</v>
      </c>
      <c r="FY47" s="175" t="s">
        <v>227</v>
      </c>
      <c r="FZ47" s="183" t="s">
        <v>227</v>
      </c>
      <c r="GA47" s="175" t="s">
        <v>227</v>
      </c>
      <c r="GB47" s="175" t="s">
        <v>227</v>
      </c>
      <c r="GC47" s="183" t="s">
        <v>227</v>
      </c>
      <c r="GD47" s="175" t="s">
        <v>227</v>
      </c>
      <c r="GE47" s="175" t="s">
        <v>227</v>
      </c>
      <c r="GF47" s="184" t="s">
        <v>227</v>
      </c>
      <c r="GG47" s="177" t="s">
        <v>227</v>
      </c>
      <c r="GH47" s="176" t="s">
        <v>227</v>
      </c>
      <c r="GI47" s="175" t="s">
        <v>227</v>
      </c>
      <c r="GJ47" s="177" t="s">
        <v>227</v>
      </c>
      <c r="GK47" s="177" t="s">
        <v>227</v>
      </c>
      <c r="GL47" s="177" t="s">
        <v>227</v>
      </c>
      <c r="GM47" s="185" t="str">
        <f t="shared" si="48"/>
        <v>N/A</v>
      </c>
      <c r="GN47" s="185" t="str">
        <f t="shared" si="49"/>
        <v>N/A</v>
      </c>
      <c r="GO47" s="185" t="str">
        <f t="shared" si="50"/>
        <v>N/A</v>
      </c>
      <c r="GP47" s="185" t="str">
        <f t="shared" si="51"/>
        <v>N/A</v>
      </c>
      <c r="GQ47" s="185" t="str">
        <f t="shared" si="52"/>
        <v>N/A</v>
      </c>
      <c r="GR47" s="185" t="str">
        <f t="shared" si="53"/>
        <v>N/A</v>
      </c>
      <c r="GS47" s="185" t="str">
        <f t="shared" si="54"/>
        <v>N/A</v>
      </c>
      <c r="GT47" s="185" t="str">
        <f t="shared" si="55"/>
        <v>N/A</v>
      </c>
      <c r="GU47" s="185" t="str">
        <f t="shared" si="56"/>
        <v>N/A</v>
      </c>
      <c r="GV47" s="185" t="str">
        <f t="shared" si="57"/>
        <v>N/A</v>
      </c>
      <c r="GW47" s="185" t="str">
        <f t="shared" si="58"/>
        <v>N/A</v>
      </c>
      <c r="GX47" s="185" t="str">
        <f t="shared" si="59"/>
        <v>N/A</v>
      </c>
      <c r="GY47" s="185" t="str">
        <f t="shared" si="60"/>
        <v>N/A</v>
      </c>
      <c r="GZ47" s="185" t="str">
        <f t="shared" si="61"/>
        <v>N/A</v>
      </c>
      <c r="HA47" s="185" t="str">
        <f t="shared" si="62"/>
        <v>N/A</v>
      </c>
      <c r="HB47" s="185" t="str">
        <f t="shared" si="63"/>
        <v>N/A</v>
      </c>
      <c r="HC47" s="185" t="str">
        <f t="shared" si="64"/>
        <v>N/A</v>
      </c>
      <c r="HD47" s="185" t="str">
        <f t="shared" si="65"/>
        <v>N/A</v>
      </c>
      <c r="HE47" s="185" t="str">
        <f t="shared" si="66"/>
        <v>N/A</v>
      </c>
      <c r="HF47" s="186">
        <f t="shared" si="67"/>
        <v>0</v>
      </c>
      <c r="HG47" s="186" t="e" cm="1">
        <f t="array" ref="HG47">INDEX($HB47:$HD47,MATCH(TRUE,INDEX(ISNUMBER($HB47:$HD47),0),0))</f>
        <v>#N/A</v>
      </c>
      <c r="HH47" s="187">
        <f t="shared" si="68"/>
        <v>0</v>
      </c>
      <c r="HI47" s="188">
        <f t="shared" si="69"/>
        <v>0</v>
      </c>
      <c r="HJ47" s="112">
        <f t="shared" si="70"/>
        <v>0</v>
      </c>
      <c r="HK47" s="207" t="str">
        <f t="shared" si="71"/>
        <v>0</v>
      </c>
    </row>
    <row r="48" spans="1:219" ht="15" customHeight="1" x14ac:dyDescent="0.3">
      <c r="A48" s="80">
        <v>4981124538</v>
      </c>
      <c r="B48" s="74" t="s">
        <v>220</v>
      </c>
      <c r="C48" s="74" t="s">
        <v>221</v>
      </c>
      <c r="D48" s="74" t="s">
        <v>220</v>
      </c>
      <c r="E48" s="80" t="s">
        <v>486</v>
      </c>
      <c r="F48" s="80" t="s">
        <v>307</v>
      </c>
      <c r="G48" s="80" t="s">
        <v>374</v>
      </c>
      <c r="H48" s="78">
        <v>44406</v>
      </c>
      <c r="I48" s="80" t="s">
        <v>487</v>
      </c>
      <c r="J48" s="80" t="s">
        <v>488</v>
      </c>
      <c r="K48" s="78" t="s">
        <v>227</v>
      </c>
      <c r="L48" s="80" t="s">
        <v>227</v>
      </c>
      <c r="M48" s="80" t="s">
        <v>227</v>
      </c>
      <c r="N48" s="80" t="s">
        <v>227</v>
      </c>
      <c r="O48" s="80" t="s">
        <v>227</v>
      </c>
      <c r="P48" s="80" t="s">
        <v>227</v>
      </c>
      <c r="Q48" s="80" t="s">
        <v>227</v>
      </c>
      <c r="R48" s="80" t="s">
        <v>227</v>
      </c>
      <c r="S48" s="80" t="s">
        <v>227</v>
      </c>
      <c r="T48" s="80" t="s">
        <v>227</v>
      </c>
      <c r="U48" s="80" t="s">
        <v>227</v>
      </c>
      <c r="V48" s="80" t="s">
        <v>227</v>
      </c>
      <c r="W48" s="80" t="s">
        <v>227</v>
      </c>
      <c r="X48" s="80" t="s">
        <v>227</v>
      </c>
      <c r="Y48" s="80" t="s">
        <v>227</v>
      </c>
      <c r="Z48" s="80" t="s">
        <v>227</v>
      </c>
      <c r="AA48" s="80" t="s">
        <v>227</v>
      </c>
      <c r="AB48" s="80" t="s">
        <v>227</v>
      </c>
      <c r="AC48" s="80" t="s">
        <v>227</v>
      </c>
      <c r="AD48" s="80" t="s">
        <v>227</v>
      </c>
      <c r="AE48" s="80" t="s">
        <v>227</v>
      </c>
      <c r="AF48" s="80" t="s">
        <v>227</v>
      </c>
      <c r="AG48" s="80" t="s">
        <v>227</v>
      </c>
      <c r="AH48" s="80" t="s">
        <v>227</v>
      </c>
      <c r="AI48" s="80" t="s">
        <v>227</v>
      </c>
      <c r="AJ48" s="80" t="s">
        <v>227</v>
      </c>
      <c r="AK48" s="80" t="s">
        <v>227</v>
      </c>
      <c r="AL48" s="80" t="s">
        <v>227</v>
      </c>
      <c r="AM48" s="80" t="s">
        <v>227</v>
      </c>
      <c r="AN48" s="80" t="s">
        <v>227</v>
      </c>
      <c r="AO48" s="80" t="s">
        <v>227</v>
      </c>
      <c r="AP48" s="80" t="s">
        <v>227</v>
      </c>
      <c r="AQ48" s="80" t="s">
        <v>228</v>
      </c>
      <c r="AR48" s="78">
        <v>22402</v>
      </c>
      <c r="AS48" s="78">
        <v>44355</v>
      </c>
      <c r="AT48" s="189">
        <f t="shared" si="47"/>
        <v>60</v>
      </c>
      <c r="AU48" s="164" t="s">
        <v>229</v>
      </c>
      <c r="AV48" s="74" t="s">
        <v>230</v>
      </c>
      <c r="AW48" s="74" t="s">
        <v>241</v>
      </c>
      <c r="AX48" s="80" t="s">
        <v>309</v>
      </c>
      <c r="AY48" s="80" t="s">
        <v>232</v>
      </c>
      <c r="AZ48" s="80" t="s">
        <v>232</v>
      </c>
      <c r="BA48" s="80">
        <f t="shared" si="46"/>
        <v>0</v>
      </c>
      <c r="BB48" s="157" t="s">
        <v>310</v>
      </c>
      <c r="BC48" s="80">
        <v>1</v>
      </c>
      <c r="BD48" s="74" t="s">
        <v>243</v>
      </c>
      <c r="BE48" s="80" t="s">
        <v>347</v>
      </c>
      <c r="BF48" s="74" t="s">
        <v>220</v>
      </c>
      <c r="BG48" s="165" t="s">
        <v>227</v>
      </c>
      <c r="BH48" s="166" t="s">
        <v>227</v>
      </c>
      <c r="BI48" s="80" t="s">
        <v>227</v>
      </c>
      <c r="BJ48" s="78" t="s">
        <v>227</v>
      </c>
      <c r="BK48" s="78" t="s">
        <v>227</v>
      </c>
      <c r="BL48" s="80" t="s">
        <v>227</v>
      </c>
      <c r="BM48" s="166" t="s">
        <v>227</v>
      </c>
      <c r="BN48" s="80" t="s">
        <v>227</v>
      </c>
      <c r="BO48" s="80" t="s">
        <v>227</v>
      </c>
      <c r="BP48" s="166" t="s">
        <v>227</v>
      </c>
      <c r="BQ48" s="80" t="s">
        <v>227</v>
      </c>
      <c r="BR48" s="80" t="s">
        <v>227</v>
      </c>
      <c r="BS48" s="80" t="s">
        <v>227</v>
      </c>
      <c r="BT48" s="80" t="s">
        <v>227</v>
      </c>
      <c r="BU48" s="80" t="s">
        <v>227</v>
      </c>
      <c r="BV48" s="80" t="s">
        <v>227</v>
      </c>
      <c r="BW48" s="80" t="s">
        <v>227</v>
      </c>
      <c r="BX48" s="80" t="s">
        <v>227</v>
      </c>
      <c r="BY48" s="80" t="s">
        <v>227</v>
      </c>
      <c r="BZ48" s="80" t="s">
        <v>227</v>
      </c>
      <c r="CA48" s="80" t="s">
        <v>227</v>
      </c>
      <c r="CB48" s="80" t="s">
        <v>227</v>
      </c>
      <c r="CC48" s="80" t="s">
        <v>227</v>
      </c>
      <c r="CD48" s="80" t="s">
        <v>227</v>
      </c>
      <c r="CE48" s="80" t="s">
        <v>227</v>
      </c>
      <c r="CF48" s="80" t="s">
        <v>227</v>
      </c>
      <c r="CG48" s="80" t="s">
        <v>227</v>
      </c>
      <c r="CH48" s="80" t="s">
        <v>227</v>
      </c>
      <c r="CI48" s="80" t="s">
        <v>227</v>
      </c>
      <c r="CJ48" s="80" t="s">
        <v>227</v>
      </c>
      <c r="CK48" s="80" t="s">
        <v>227</v>
      </c>
      <c r="CL48" s="80" t="s">
        <v>227</v>
      </c>
      <c r="CM48" s="80" t="s">
        <v>227</v>
      </c>
      <c r="CN48" s="166" t="s">
        <v>227</v>
      </c>
      <c r="CO48" s="80" t="s">
        <v>227</v>
      </c>
      <c r="CP48" s="78" t="s">
        <v>227</v>
      </c>
      <c r="CQ48" s="78" t="s">
        <v>227</v>
      </c>
      <c r="CR48" s="80" t="s">
        <v>227</v>
      </c>
      <c r="CS48" s="166" t="s">
        <v>227</v>
      </c>
      <c r="CT48" s="80" t="s">
        <v>227</v>
      </c>
      <c r="CU48" s="80" t="s">
        <v>227</v>
      </c>
      <c r="CV48" s="166" t="s">
        <v>227</v>
      </c>
      <c r="CW48" s="80" t="s">
        <v>227</v>
      </c>
      <c r="CX48" s="80" t="s">
        <v>227</v>
      </c>
      <c r="CY48" s="80" t="s">
        <v>227</v>
      </c>
      <c r="CZ48" s="80" t="s">
        <v>227</v>
      </c>
      <c r="DA48" s="80" t="s">
        <v>227</v>
      </c>
      <c r="DB48" s="80" t="s">
        <v>227</v>
      </c>
      <c r="DC48" s="80" t="s">
        <v>227</v>
      </c>
      <c r="DD48" s="80" t="s">
        <v>227</v>
      </c>
      <c r="DE48" s="80" t="s">
        <v>227</v>
      </c>
      <c r="DF48" s="80" t="s">
        <v>227</v>
      </c>
      <c r="DG48" s="80" t="s">
        <v>227</v>
      </c>
      <c r="DH48" s="80" t="s">
        <v>227</v>
      </c>
      <c r="DI48" s="80" t="s">
        <v>227</v>
      </c>
      <c r="DJ48" s="80" t="s">
        <v>227</v>
      </c>
      <c r="DK48" s="80" t="s">
        <v>227</v>
      </c>
      <c r="DL48" s="80" t="s">
        <v>227</v>
      </c>
      <c r="DM48" s="80" t="s">
        <v>227</v>
      </c>
      <c r="DN48" s="80" t="s">
        <v>227</v>
      </c>
      <c r="DO48" s="80" t="s">
        <v>227</v>
      </c>
      <c r="DP48" s="80" t="s">
        <v>227</v>
      </c>
      <c r="DQ48" s="80" t="s">
        <v>227</v>
      </c>
      <c r="DR48" s="80" t="s">
        <v>227</v>
      </c>
      <c r="DS48" s="80" t="s">
        <v>227</v>
      </c>
      <c r="DT48" s="80" t="s">
        <v>227</v>
      </c>
      <c r="DU48" s="80" t="s">
        <v>227</v>
      </c>
      <c r="DV48" s="80" t="s">
        <v>227</v>
      </c>
      <c r="DW48" s="80" t="s">
        <v>227</v>
      </c>
      <c r="DX48" s="80" t="s">
        <v>227</v>
      </c>
      <c r="DY48" s="80" t="s">
        <v>227</v>
      </c>
      <c r="DZ48" s="80" t="s">
        <v>227</v>
      </c>
      <c r="EA48" s="80" t="s">
        <v>227</v>
      </c>
      <c r="EB48" s="80" t="s">
        <v>227</v>
      </c>
      <c r="EC48" s="80" t="s">
        <v>227</v>
      </c>
      <c r="ED48" s="80" t="s">
        <v>227</v>
      </c>
      <c r="EE48" s="80" t="s">
        <v>227</v>
      </c>
      <c r="EF48" s="80" t="s">
        <v>227</v>
      </c>
      <c r="EG48" s="80" t="s">
        <v>227</v>
      </c>
      <c r="EH48" s="80" t="s">
        <v>227</v>
      </c>
      <c r="EI48" s="78" t="s">
        <v>227</v>
      </c>
      <c r="EJ48" s="80" t="s">
        <v>227</v>
      </c>
      <c r="EK48" s="80" t="s">
        <v>227</v>
      </c>
      <c r="EL48" s="80" t="s">
        <v>227</v>
      </c>
      <c r="EM48" s="80" t="s">
        <v>227</v>
      </c>
      <c r="EN48" s="80" t="s">
        <v>227</v>
      </c>
      <c r="EO48" s="80" t="s">
        <v>227</v>
      </c>
      <c r="EP48" s="80" t="s">
        <v>227</v>
      </c>
      <c r="EQ48" s="80" t="s">
        <v>227</v>
      </c>
      <c r="ER48" s="80" t="s">
        <v>227</v>
      </c>
      <c r="ES48" s="80" t="s">
        <v>227</v>
      </c>
      <c r="ET48" s="80" t="s">
        <v>227</v>
      </c>
      <c r="EU48" s="80" t="s">
        <v>227</v>
      </c>
      <c r="EV48" s="80" t="s">
        <v>227</v>
      </c>
      <c r="EW48" s="80" t="s">
        <v>227</v>
      </c>
      <c r="EX48" s="80" t="s">
        <v>227</v>
      </c>
      <c r="EY48" s="80" t="s">
        <v>227</v>
      </c>
      <c r="EZ48" s="80" t="s">
        <v>227</v>
      </c>
      <c r="FA48" s="80" t="s">
        <v>227</v>
      </c>
      <c r="FB48" s="147" t="s">
        <v>227</v>
      </c>
      <c r="FC48" s="80" t="s">
        <v>227</v>
      </c>
      <c r="FD48" s="80" t="s">
        <v>227</v>
      </c>
      <c r="FE48" s="80" t="s">
        <v>227</v>
      </c>
      <c r="FF48" s="80" t="s">
        <v>227</v>
      </c>
      <c r="FG48" s="80" t="s">
        <v>227</v>
      </c>
      <c r="FH48" s="80" t="s">
        <v>227</v>
      </c>
      <c r="FI48" s="80" t="s">
        <v>227</v>
      </c>
      <c r="FJ48" s="80" t="s">
        <v>227</v>
      </c>
      <c r="FK48" s="80" t="s">
        <v>227</v>
      </c>
      <c r="FL48" s="80" t="s">
        <v>227</v>
      </c>
      <c r="FM48" s="80" t="s">
        <v>227</v>
      </c>
      <c r="FN48" s="80" t="s">
        <v>227</v>
      </c>
      <c r="FO48" s="80" t="s">
        <v>227</v>
      </c>
      <c r="FP48" s="80" t="s">
        <v>227</v>
      </c>
      <c r="FQ48" s="80" t="s">
        <v>227</v>
      </c>
      <c r="FR48" s="80" t="s">
        <v>227</v>
      </c>
      <c r="FS48" s="80" t="s">
        <v>227</v>
      </c>
      <c r="FT48" s="80" t="s">
        <v>227</v>
      </c>
      <c r="FU48" s="80" t="s">
        <v>227</v>
      </c>
      <c r="FV48" s="80" t="s">
        <v>227</v>
      </c>
      <c r="FW48" s="80" t="s">
        <v>227</v>
      </c>
      <c r="FX48" s="80" t="s">
        <v>227</v>
      </c>
      <c r="FY48" s="80" t="s">
        <v>227</v>
      </c>
      <c r="FZ48" s="80" t="s">
        <v>227</v>
      </c>
      <c r="GA48" s="80" t="s">
        <v>227</v>
      </c>
      <c r="GB48" s="80" t="s">
        <v>227</v>
      </c>
      <c r="GC48" s="80" t="s">
        <v>227</v>
      </c>
      <c r="GD48" s="80" t="s">
        <v>227</v>
      </c>
      <c r="GE48" s="80" t="s">
        <v>227</v>
      </c>
      <c r="GF48" s="167" t="s">
        <v>312</v>
      </c>
      <c r="GG48" s="78" t="s">
        <v>227</v>
      </c>
      <c r="GH48" s="74" t="s">
        <v>227</v>
      </c>
      <c r="GI48" s="80" t="s">
        <v>227</v>
      </c>
      <c r="GJ48" s="78">
        <v>44431</v>
      </c>
      <c r="GK48" s="156">
        <v>46170</v>
      </c>
      <c r="GL48" s="78" t="s">
        <v>227</v>
      </c>
      <c r="GM48" s="159" t="str">
        <f t="shared" si="48"/>
        <v>N/A</v>
      </c>
      <c r="GN48" s="159" t="str">
        <f t="shared" si="49"/>
        <v>N/A</v>
      </c>
      <c r="GO48" s="159">
        <f t="shared" si="50"/>
        <v>1.7</v>
      </c>
      <c r="GP48" s="159" t="str">
        <f t="shared" si="51"/>
        <v>N/A</v>
      </c>
      <c r="GQ48" s="159" t="str">
        <f t="shared" si="52"/>
        <v>N/A</v>
      </c>
      <c r="GR48" s="159" t="str">
        <f t="shared" si="53"/>
        <v>N/A</v>
      </c>
      <c r="GS48" s="159" t="str">
        <f t="shared" si="54"/>
        <v>N/A</v>
      </c>
      <c r="GT48" s="159" t="str">
        <f t="shared" si="55"/>
        <v>N/A</v>
      </c>
      <c r="GU48" s="159" t="str">
        <f t="shared" si="56"/>
        <v>N/A</v>
      </c>
      <c r="GV48" s="159" t="str">
        <f t="shared" si="57"/>
        <v>N/A</v>
      </c>
      <c r="GW48" s="159" t="str">
        <f t="shared" si="58"/>
        <v>N/A</v>
      </c>
      <c r="GX48" s="159" t="str">
        <f t="shared" si="59"/>
        <v>N/A</v>
      </c>
      <c r="GY48" s="159" t="str">
        <f t="shared" si="60"/>
        <v>N/A</v>
      </c>
      <c r="GZ48" s="159" t="str">
        <f t="shared" si="61"/>
        <v>N/A</v>
      </c>
      <c r="HA48" s="159" t="str">
        <f t="shared" si="62"/>
        <v>N/A</v>
      </c>
      <c r="HB48" s="159" t="str">
        <f t="shared" si="63"/>
        <v>N/A</v>
      </c>
      <c r="HC48" s="159" t="str">
        <f t="shared" si="64"/>
        <v>N/A</v>
      </c>
      <c r="HD48" s="159">
        <f t="shared" si="65"/>
        <v>2.5333333333333332</v>
      </c>
      <c r="HE48" s="159">
        <f t="shared" si="66"/>
        <v>60.5</v>
      </c>
      <c r="HF48" s="160">
        <f t="shared" si="67"/>
        <v>60.5</v>
      </c>
      <c r="HG48" s="160" cm="1">
        <f t="array" ref="HG48">INDEX($HB48:$HD48,MATCH(TRUE,INDEX(ISNUMBER($HB48:$HD48),0),0))</f>
        <v>2.5333333333333332</v>
      </c>
      <c r="HH48" s="161">
        <f t="shared" si="68"/>
        <v>0</v>
      </c>
      <c r="HI48" s="86">
        <f t="shared" si="69"/>
        <v>0</v>
      </c>
      <c r="HJ48" s="111">
        <f t="shared" si="70"/>
        <v>0</v>
      </c>
      <c r="HK48" s="205" t="str">
        <f t="shared" si="71"/>
        <v>0</v>
      </c>
    </row>
    <row r="49" spans="1:219" ht="15" customHeight="1" x14ac:dyDescent="0.3">
      <c r="A49" s="80">
        <v>4343138828</v>
      </c>
      <c r="B49" s="74" t="s">
        <v>220</v>
      </c>
      <c r="C49" s="74" t="s">
        <v>221</v>
      </c>
      <c r="D49" s="74" t="s">
        <v>220</v>
      </c>
      <c r="E49" s="80" t="s">
        <v>489</v>
      </c>
      <c r="F49" s="80" t="s">
        <v>337</v>
      </c>
      <c r="G49" s="80" t="s">
        <v>282</v>
      </c>
      <c r="H49" s="78">
        <v>44407</v>
      </c>
      <c r="I49" s="80" t="s">
        <v>490</v>
      </c>
      <c r="J49" s="80" t="s">
        <v>226</v>
      </c>
      <c r="K49" s="78" t="s">
        <v>227</v>
      </c>
      <c r="L49" s="80" t="s">
        <v>227</v>
      </c>
      <c r="M49" s="80" t="s">
        <v>227</v>
      </c>
      <c r="N49" s="80" t="s">
        <v>227</v>
      </c>
      <c r="O49" s="80" t="s">
        <v>227</v>
      </c>
      <c r="P49" s="80" t="s">
        <v>227</v>
      </c>
      <c r="Q49" s="80" t="s">
        <v>227</v>
      </c>
      <c r="R49" s="80" t="s">
        <v>227</v>
      </c>
      <c r="S49" s="80" t="s">
        <v>227</v>
      </c>
      <c r="T49" s="80" t="s">
        <v>227</v>
      </c>
      <c r="U49" s="80" t="s">
        <v>227</v>
      </c>
      <c r="V49" s="80" t="s">
        <v>227</v>
      </c>
      <c r="W49" s="80" t="s">
        <v>227</v>
      </c>
      <c r="X49" s="80" t="s">
        <v>227</v>
      </c>
      <c r="Y49" s="80" t="s">
        <v>227</v>
      </c>
      <c r="Z49" s="80" t="s">
        <v>227</v>
      </c>
      <c r="AA49" s="80" t="s">
        <v>227</v>
      </c>
      <c r="AB49" s="80" t="s">
        <v>227</v>
      </c>
      <c r="AC49" s="80" t="s">
        <v>227</v>
      </c>
      <c r="AD49" s="80" t="s">
        <v>227</v>
      </c>
      <c r="AE49" s="80" t="s">
        <v>227</v>
      </c>
      <c r="AF49" s="80" t="s">
        <v>227</v>
      </c>
      <c r="AG49" s="80" t="s">
        <v>227</v>
      </c>
      <c r="AH49" s="80" t="s">
        <v>227</v>
      </c>
      <c r="AI49" s="80" t="s">
        <v>227</v>
      </c>
      <c r="AJ49" s="80" t="s">
        <v>227</v>
      </c>
      <c r="AK49" s="80" t="s">
        <v>227</v>
      </c>
      <c r="AL49" s="80" t="s">
        <v>227</v>
      </c>
      <c r="AM49" s="80" t="s">
        <v>227</v>
      </c>
      <c r="AN49" s="80" t="s">
        <v>227</v>
      </c>
      <c r="AO49" s="80" t="s">
        <v>227</v>
      </c>
      <c r="AP49" s="80" t="s">
        <v>227</v>
      </c>
      <c r="AQ49" s="80" t="s">
        <v>228</v>
      </c>
      <c r="AR49" s="78">
        <v>12031</v>
      </c>
      <c r="AS49" s="78">
        <v>44361</v>
      </c>
      <c r="AT49" s="189">
        <f t="shared" si="47"/>
        <v>88</v>
      </c>
      <c r="AU49" s="164" t="s">
        <v>229</v>
      </c>
      <c r="AV49" s="74" t="s">
        <v>230</v>
      </c>
      <c r="AW49" s="74" t="s">
        <v>241</v>
      </c>
      <c r="AX49" s="80" t="s">
        <v>264</v>
      </c>
      <c r="AY49" s="80" t="s">
        <v>232</v>
      </c>
      <c r="AZ49" s="80" t="s">
        <v>232</v>
      </c>
      <c r="BA49" s="80">
        <f t="shared" si="46"/>
        <v>0</v>
      </c>
      <c r="BB49" s="80" t="s">
        <v>396</v>
      </c>
      <c r="BC49" s="80">
        <v>2</v>
      </c>
      <c r="BD49" s="74" t="s">
        <v>243</v>
      </c>
      <c r="BE49" s="80" t="s">
        <v>339</v>
      </c>
      <c r="BF49" s="74" t="s">
        <v>220</v>
      </c>
      <c r="BG49" s="80" t="s">
        <v>227</v>
      </c>
      <c r="BH49" s="80" t="s">
        <v>227</v>
      </c>
      <c r="BI49" s="80" t="s">
        <v>227</v>
      </c>
      <c r="BJ49" s="80" t="s">
        <v>227</v>
      </c>
      <c r="BK49" s="80" t="s">
        <v>227</v>
      </c>
      <c r="BL49" s="80" t="s">
        <v>227</v>
      </c>
      <c r="BM49" s="80" t="s">
        <v>227</v>
      </c>
      <c r="BN49" s="80" t="s">
        <v>227</v>
      </c>
      <c r="BO49" s="80" t="s">
        <v>227</v>
      </c>
      <c r="BP49" s="80" t="s">
        <v>227</v>
      </c>
      <c r="BQ49" s="80" t="s">
        <v>227</v>
      </c>
      <c r="BR49" s="80" t="s">
        <v>227</v>
      </c>
      <c r="BS49" s="80" t="s">
        <v>227</v>
      </c>
      <c r="BT49" s="80" t="s">
        <v>227</v>
      </c>
      <c r="BU49" s="80" t="s">
        <v>227</v>
      </c>
      <c r="BV49" s="80" t="s">
        <v>227</v>
      </c>
      <c r="BW49" s="80" t="s">
        <v>227</v>
      </c>
      <c r="BX49" s="80" t="s">
        <v>227</v>
      </c>
      <c r="BY49" s="80" t="s">
        <v>227</v>
      </c>
      <c r="BZ49" s="80" t="s">
        <v>227</v>
      </c>
      <c r="CA49" s="80" t="s">
        <v>227</v>
      </c>
      <c r="CB49" s="80" t="s">
        <v>227</v>
      </c>
      <c r="CC49" s="80" t="s">
        <v>227</v>
      </c>
      <c r="CD49" s="80" t="s">
        <v>227</v>
      </c>
      <c r="CE49" s="80" t="s">
        <v>227</v>
      </c>
      <c r="CF49" s="80" t="s">
        <v>227</v>
      </c>
      <c r="CG49" s="80" t="s">
        <v>227</v>
      </c>
      <c r="CH49" s="80" t="s">
        <v>227</v>
      </c>
      <c r="CI49" s="80" t="s">
        <v>227</v>
      </c>
      <c r="CJ49" s="80" t="s">
        <v>227</v>
      </c>
      <c r="CK49" s="80" t="s">
        <v>227</v>
      </c>
      <c r="CL49" s="80" t="s">
        <v>227</v>
      </c>
      <c r="CM49" s="80" t="s">
        <v>227</v>
      </c>
      <c r="CN49" s="80" t="s">
        <v>227</v>
      </c>
      <c r="CO49" s="80" t="s">
        <v>227</v>
      </c>
      <c r="CP49" s="80" t="s">
        <v>227</v>
      </c>
      <c r="CQ49" s="80" t="s">
        <v>227</v>
      </c>
      <c r="CR49" s="80" t="s">
        <v>227</v>
      </c>
      <c r="CS49" s="80" t="s">
        <v>227</v>
      </c>
      <c r="CT49" s="80" t="s">
        <v>227</v>
      </c>
      <c r="CU49" s="80" t="s">
        <v>227</v>
      </c>
      <c r="CV49" s="80" t="s">
        <v>227</v>
      </c>
      <c r="CW49" s="80" t="s">
        <v>227</v>
      </c>
      <c r="CX49" s="80" t="s">
        <v>227</v>
      </c>
      <c r="CY49" s="80" t="s">
        <v>227</v>
      </c>
      <c r="CZ49" s="80" t="s">
        <v>227</v>
      </c>
      <c r="DA49" s="80" t="s">
        <v>227</v>
      </c>
      <c r="DB49" s="80" t="s">
        <v>227</v>
      </c>
      <c r="DC49" s="80" t="s">
        <v>227</v>
      </c>
      <c r="DD49" s="80" t="s">
        <v>227</v>
      </c>
      <c r="DE49" s="80" t="s">
        <v>227</v>
      </c>
      <c r="DF49" s="80" t="s">
        <v>227</v>
      </c>
      <c r="DG49" s="80" t="s">
        <v>227</v>
      </c>
      <c r="DH49" s="80" t="s">
        <v>227</v>
      </c>
      <c r="DI49" s="80" t="s">
        <v>227</v>
      </c>
      <c r="DJ49" s="80" t="s">
        <v>227</v>
      </c>
      <c r="DK49" s="80" t="s">
        <v>227</v>
      </c>
      <c r="DL49" s="80" t="s">
        <v>227</v>
      </c>
      <c r="DM49" s="80" t="s">
        <v>227</v>
      </c>
      <c r="DN49" s="80" t="s">
        <v>227</v>
      </c>
      <c r="DO49" s="80" t="s">
        <v>227</v>
      </c>
      <c r="DP49" s="80" t="s">
        <v>227</v>
      </c>
      <c r="DQ49" s="80" t="s">
        <v>227</v>
      </c>
      <c r="DR49" s="80" t="s">
        <v>227</v>
      </c>
      <c r="DS49" s="80" t="s">
        <v>227</v>
      </c>
      <c r="DT49" s="80" t="s">
        <v>227</v>
      </c>
      <c r="DU49" s="80" t="s">
        <v>227</v>
      </c>
      <c r="DV49" s="80" t="s">
        <v>227</v>
      </c>
      <c r="DW49" s="80" t="s">
        <v>227</v>
      </c>
      <c r="DX49" s="80" t="s">
        <v>227</v>
      </c>
      <c r="DY49" s="80" t="s">
        <v>227</v>
      </c>
      <c r="DZ49" s="80" t="s">
        <v>227</v>
      </c>
      <c r="EA49" s="80" t="s">
        <v>227</v>
      </c>
      <c r="EB49" s="80" t="s">
        <v>227</v>
      </c>
      <c r="EC49" s="80" t="s">
        <v>227</v>
      </c>
      <c r="ED49" s="80" t="s">
        <v>227</v>
      </c>
      <c r="EE49" s="80" t="s">
        <v>227</v>
      </c>
      <c r="EF49" s="80" t="s">
        <v>227</v>
      </c>
      <c r="EG49" s="80" t="s">
        <v>227</v>
      </c>
      <c r="EH49" s="80" t="s">
        <v>227</v>
      </c>
      <c r="EI49" s="80" t="s">
        <v>227</v>
      </c>
      <c r="EJ49" s="80" t="s">
        <v>227</v>
      </c>
      <c r="EK49" s="80" t="s">
        <v>227</v>
      </c>
      <c r="EL49" s="80" t="s">
        <v>227</v>
      </c>
      <c r="EM49" s="80" t="s">
        <v>227</v>
      </c>
      <c r="EN49" s="80" t="s">
        <v>227</v>
      </c>
      <c r="EO49" s="80" t="s">
        <v>227</v>
      </c>
      <c r="EP49" s="80" t="s">
        <v>227</v>
      </c>
      <c r="EQ49" s="80" t="s">
        <v>227</v>
      </c>
      <c r="ER49" s="80" t="s">
        <v>227</v>
      </c>
      <c r="ES49" s="80" t="s">
        <v>227</v>
      </c>
      <c r="ET49" s="80" t="s">
        <v>227</v>
      </c>
      <c r="EU49" s="80" t="s">
        <v>227</v>
      </c>
      <c r="EV49" s="80" t="s">
        <v>227</v>
      </c>
      <c r="EW49" s="80" t="s">
        <v>227</v>
      </c>
      <c r="EX49" s="80" t="s">
        <v>227</v>
      </c>
      <c r="EY49" s="80" t="s">
        <v>227</v>
      </c>
      <c r="EZ49" s="80" t="s">
        <v>227</v>
      </c>
      <c r="FA49" s="80" t="s">
        <v>227</v>
      </c>
      <c r="FB49" s="147" t="s">
        <v>227</v>
      </c>
      <c r="FC49" s="80" t="s">
        <v>227</v>
      </c>
      <c r="FD49" s="80" t="s">
        <v>227</v>
      </c>
      <c r="FE49" s="80" t="s">
        <v>227</v>
      </c>
      <c r="FF49" s="80" t="s">
        <v>227</v>
      </c>
      <c r="FG49" s="80" t="s">
        <v>227</v>
      </c>
      <c r="FH49" s="80" t="s">
        <v>227</v>
      </c>
      <c r="FI49" s="80" t="s">
        <v>227</v>
      </c>
      <c r="FJ49" s="80" t="s">
        <v>227</v>
      </c>
      <c r="FK49" s="80" t="s">
        <v>227</v>
      </c>
      <c r="FL49" s="80" t="s">
        <v>227</v>
      </c>
      <c r="FM49" s="80" t="s">
        <v>227</v>
      </c>
      <c r="FN49" s="80" t="s">
        <v>227</v>
      </c>
      <c r="FO49" s="80" t="s">
        <v>227</v>
      </c>
      <c r="FP49" s="80" t="s">
        <v>227</v>
      </c>
      <c r="FQ49" s="80" t="s">
        <v>227</v>
      </c>
      <c r="FR49" s="80" t="s">
        <v>227</v>
      </c>
      <c r="FS49" s="80" t="s">
        <v>227</v>
      </c>
      <c r="FT49" s="80" t="s">
        <v>227</v>
      </c>
      <c r="FU49" s="80" t="s">
        <v>227</v>
      </c>
      <c r="FV49" s="80" t="s">
        <v>227</v>
      </c>
      <c r="FW49" s="80" t="s">
        <v>227</v>
      </c>
      <c r="FX49" s="80" t="s">
        <v>227</v>
      </c>
      <c r="FY49" s="80" t="s">
        <v>227</v>
      </c>
      <c r="FZ49" s="80" t="s">
        <v>227</v>
      </c>
      <c r="GA49" s="80" t="s">
        <v>227</v>
      </c>
      <c r="GB49" s="80" t="s">
        <v>227</v>
      </c>
      <c r="GC49" s="80" t="s">
        <v>227</v>
      </c>
      <c r="GD49" s="80" t="s">
        <v>227</v>
      </c>
      <c r="GE49" s="80" t="s">
        <v>227</v>
      </c>
      <c r="GF49" s="167" t="s">
        <v>236</v>
      </c>
      <c r="GG49" s="78">
        <v>45802</v>
      </c>
      <c r="GH49" s="74" t="s">
        <v>220</v>
      </c>
      <c r="GI49" s="80" t="s">
        <v>231</v>
      </c>
      <c r="GJ49" s="78">
        <v>44882</v>
      </c>
      <c r="GK49" s="78" t="s">
        <v>227</v>
      </c>
      <c r="GL49" s="78" t="s">
        <v>227</v>
      </c>
      <c r="GM49" s="159" t="str">
        <f t="shared" si="48"/>
        <v>N/A</v>
      </c>
      <c r="GN49" s="159" t="str">
        <f t="shared" si="49"/>
        <v>N/A</v>
      </c>
      <c r="GO49" s="159">
        <f t="shared" si="50"/>
        <v>1.5333333333333334</v>
      </c>
      <c r="GP49" s="159" t="str">
        <f t="shared" si="51"/>
        <v>N/A</v>
      </c>
      <c r="GQ49" s="159" t="str">
        <f t="shared" si="52"/>
        <v>N/A</v>
      </c>
      <c r="GR49" s="159" t="str">
        <f t="shared" si="53"/>
        <v>N/A</v>
      </c>
      <c r="GS49" s="159" t="str">
        <f t="shared" si="54"/>
        <v>N/A</v>
      </c>
      <c r="GT49" s="159" t="str">
        <f t="shared" si="55"/>
        <v>N/A</v>
      </c>
      <c r="GU49" s="159" t="str">
        <f t="shared" si="56"/>
        <v>N/A</v>
      </c>
      <c r="GV49" s="159" t="str">
        <f t="shared" si="57"/>
        <v>N/A</v>
      </c>
      <c r="GW49" s="159" t="str">
        <f t="shared" si="58"/>
        <v>N/A</v>
      </c>
      <c r="GX49" s="159" t="str">
        <f t="shared" si="59"/>
        <v>N/A</v>
      </c>
      <c r="GY49" s="159" t="str">
        <f t="shared" si="60"/>
        <v>N/A</v>
      </c>
      <c r="GZ49" s="159" t="str">
        <f t="shared" si="61"/>
        <v>N/A</v>
      </c>
      <c r="HA49" s="159" t="str">
        <f t="shared" si="62"/>
        <v>N/A</v>
      </c>
      <c r="HB49" s="159" t="str">
        <f t="shared" si="63"/>
        <v>N/A</v>
      </c>
      <c r="HC49" s="159">
        <f t="shared" si="64"/>
        <v>48.033333333333331</v>
      </c>
      <c r="HD49" s="159">
        <f t="shared" si="65"/>
        <v>17.366666666666667</v>
      </c>
      <c r="HE49" s="159" t="str">
        <f t="shared" si="66"/>
        <v>N/A</v>
      </c>
      <c r="HF49" s="160">
        <f t="shared" si="67"/>
        <v>48.033333333333331</v>
      </c>
      <c r="HG49" s="160" cm="1">
        <f t="array" ref="HG49">INDEX($HB49:$HD49,MATCH(TRUE,INDEX(ISNUMBER($HB49:$HD49),0),0))</f>
        <v>48.033333333333331</v>
      </c>
      <c r="HH49" s="161">
        <f t="shared" si="68"/>
        <v>0</v>
      </c>
      <c r="HI49" s="86">
        <f t="shared" si="69"/>
        <v>0</v>
      </c>
      <c r="HJ49" s="111">
        <f t="shared" si="70"/>
        <v>1</v>
      </c>
      <c r="HK49" s="205" t="str">
        <f t="shared" si="71"/>
        <v>0</v>
      </c>
    </row>
    <row r="50" spans="1:219" ht="15" customHeight="1" x14ac:dyDescent="0.3">
      <c r="A50" s="80">
        <v>4583874057</v>
      </c>
      <c r="B50" s="74" t="s">
        <v>220</v>
      </c>
      <c r="C50" s="74" t="s">
        <v>221</v>
      </c>
      <c r="D50" s="74" t="s">
        <v>220</v>
      </c>
      <c r="E50" s="80" t="s">
        <v>491</v>
      </c>
      <c r="F50" s="80" t="s">
        <v>385</v>
      </c>
      <c r="G50" s="80" t="s">
        <v>345</v>
      </c>
      <c r="H50" s="78">
        <v>44414</v>
      </c>
      <c r="I50" s="80" t="s">
        <v>492</v>
      </c>
      <c r="J50" s="80" t="s">
        <v>226</v>
      </c>
      <c r="K50" s="78" t="s">
        <v>227</v>
      </c>
      <c r="L50" s="80" t="s">
        <v>227</v>
      </c>
      <c r="M50" s="80" t="s">
        <v>227</v>
      </c>
      <c r="N50" s="80" t="s">
        <v>227</v>
      </c>
      <c r="O50" s="80" t="s">
        <v>227</v>
      </c>
      <c r="P50" s="80" t="s">
        <v>227</v>
      </c>
      <c r="Q50" s="80" t="s">
        <v>227</v>
      </c>
      <c r="R50" s="80" t="s">
        <v>227</v>
      </c>
      <c r="S50" s="80" t="s">
        <v>227</v>
      </c>
      <c r="T50" s="80" t="s">
        <v>227</v>
      </c>
      <c r="U50" s="80" t="s">
        <v>227</v>
      </c>
      <c r="V50" s="80" t="s">
        <v>227</v>
      </c>
      <c r="W50" s="80" t="s">
        <v>227</v>
      </c>
      <c r="X50" s="80" t="s">
        <v>227</v>
      </c>
      <c r="Y50" s="80" t="s">
        <v>227</v>
      </c>
      <c r="Z50" s="80" t="s">
        <v>227</v>
      </c>
      <c r="AA50" s="80" t="s">
        <v>227</v>
      </c>
      <c r="AB50" s="80" t="s">
        <v>227</v>
      </c>
      <c r="AC50" s="80" t="s">
        <v>227</v>
      </c>
      <c r="AD50" s="80" t="s">
        <v>227</v>
      </c>
      <c r="AE50" s="80" t="s">
        <v>227</v>
      </c>
      <c r="AF50" s="80" t="s">
        <v>227</v>
      </c>
      <c r="AG50" s="80" t="s">
        <v>227</v>
      </c>
      <c r="AH50" s="80" t="s">
        <v>227</v>
      </c>
      <c r="AI50" s="80" t="s">
        <v>227</v>
      </c>
      <c r="AJ50" s="80" t="s">
        <v>227</v>
      </c>
      <c r="AK50" s="80" t="s">
        <v>227</v>
      </c>
      <c r="AL50" s="80" t="s">
        <v>227</v>
      </c>
      <c r="AM50" s="80" t="s">
        <v>227</v>
      </c>
      <c r="AN50" s="80" t="s">
        <v>227</v>
      </c>
      <c r="AO50" s="80" t="s">
        <v>227</v>
      </c>
      <c r="AP50" s="80" t="s">
        <v>227</v>
      </c>
      <c r="AQ50" s="80" t="s">
        <v>228</v>
      </c>
      <c r="AR50" s="78">
        <v>20556</v>
      </c>
      <c r="AS50" s="78">
        <v>44382</v>
      </c>
      <c r="AT50" s="189">
        <f t="shared" si="47"/>
        <v>65</v>
      </c>
      <c r="AU50" s="164" t="s">
        <v>229</v>
      </c>
      <c r="AV50" s="74" t="s">
        <v>230</v>
      </c>
      <c r="AW50" s="74" t="s">
        <v>241</v>
      </c>
      <c r="AX50" s="80" t="s">
        <v>264</v>
      </c>
      <c r="AY50" s="80">
        <v>0</v>
      </c>
      <c r="AZ50" s="80" t="s">
        <v>232</v>
      </c>
      <c r="BA50" s="80">
        <f t="shared" si="46"/>
        <v>0</v>
      </c>
      <c r="BB50" s="80" t="s">
        <v>265</v>
      </c>
      <c r="BC50" s="80">
        <v>2</v>
      </c>
      <c r="BD50" s="74" t="s">
        <v>243</v>
      </c>
      <c r="BE50" s="80" t="s">
        <v>273</v>
      </c>
      <c r="BF50" s="74" t="s">
        <v>220</v>
      </c>
      <c r="BG50" s="165" t="s">
        <v>227</v>
      </c>
      <c r="BH50" s="166" t="s">
        <v>227</v>
      </c>
      <c r="BI50" s="80" t="s">
        <v>227</v>
      </c>
      <c r="BJ50" s="78" t="s">
        <v>227</v>
      </c>
      <c r="BK50" s="78" t="s">
        <v>227</v>
      </c>
      <c r="BL50" s="80" t="s">
        <v>227</v>
      </c>
      <c r="BM50" s="166" t="s">
        <v>227</v>
      </c>
      <c r="BN50" s="80" t="s">
        <v>227</v>
      </c>
      <c r="BO50" s="80" t="s">
        <v>227</v>
      </c>
      <c r="BP50" s="166" t="s">
        <v>227</v>
      </c>
      <c r="BQ50" s="80" t="s">
        <v>227</v>
      </c>
      <c r="BR50" s="80" t="s">
        <v>227</v>
      </c>
      <c r="BS50" s="80" t="s">
        <v>227</v>
      </c>
      <c r="BT50" s="80" t="s">
        <v>227</v>
      </c>
      <c r="BU50" s="80" t="s">
        <v>227</v>
      </c>
      <c r="BV50" s="80" t="s">
        <v>227</v>
      </c>
      <c r="BW50" s="80" t="s">
        <v>227</v>
      </c>
      <c r="BX50" s="80" t="s">
        <v>227</v>
      </c>
      <c r="BY50" s="80" t="s">
        <v>227</v>
      </c>
      <c r="BZ50" s="80" t="s">
        <v>227</v>
      </c>
      <c r="CA50" s="80" t="s">
        <v>227</v>
      </c>
      <c r="CB50" s="80" t="s">
        <v>227</v>
      </c>
      <c r="CC50" s="80" t="s">
        <v>227</v>
      </c>
      <c r="CD50" s="80" t="s">
        <v>227</v>
      </c>
      <c r="CE50" s="80" t="s">
        <v>227</v>
      </c>
      <c r="CF50" s="80" t="s">
        <v>227</v>
      </c>
      <c r="CG50" s="80" t="s">
        <v>227</v>
      </c>
      <c r="CH50" s="80" t="s">
        <v>227</v>
      </c>
      <c r="CI50" s="80" t="s">
        <v>227</v>
      </c>
      <c r="CJ50" s="80" t="s">
        <v>227</v>
      </c>
      <c r="CK50" s="80" t="s">
        <v>227</v>
      </c>
      <c r="CL50" s="80" t="s">
        <v>227</v>
      </c>
      <c r="CM50" s="80" t="s">
        <v>227</v>
      </c>
      <c r="CN50" s="166" t="s">
        <v>246</v>
      </c>
      <c r="CO50" s="80" t="s">
        <v>378</v>
      </c>
      <c r="CP50" s="78">
        <v>44481</v>
      </c>
      <c r="CQ50" s="78">
        <v>44488</v>
      </c>
      <c r="CR50" s="80" t="s">
        <v>227</v>
      </c>
      <c r="CS50" s="80" t="s">
        <v>227</v>
      </c>
      <c r="CT50" s="80" t="s">
        <v>227</v>
      </c>
      <c r="CU50" s="80" t="s">
        <v>227</v>
      </c>
      <c r="CV50" s="80" t="s">
        <v>227</v>
      </c>
      <c r="CW50" s="80" t="s">
        <v>227</v>
      </c>
      <c r="CX50" s="80" t="s">
        <v>227</v>
      </c>
      <c r="CY50" s="80" t="s">
        <v>227</v>
      </c>
      <c r="CZ50" s="80" t="s">
        <v>227</v>
      </c>
      <c r="DA50" s="80" t="s">
        <v>227</v>
      </c>
      <c r="DB50" s="80" t="s">
        <v>227</v>
      </c>
      <c r="DC50" s="80" t="s">
        <v>227</v>
      </c>
      <c r="DD50" s="80" t="s">
        <v>227</v>
      </c>
      <c r="DE50" s="80" t="s">
        <v>227</v>
      </c>
      <c r="DF50" s="80" t="s">
        <v>227</v>
      </c>
      <c r="DG50" s="80" t="s">
        <v>227</v>
      </c>
      <c r="DH50" s="80" t="s">
        <v>227</v>
      </c>
      <c r="DI50" s="80" t="s">
        <v>227</v>
      </c>
      <c r="DJ50" s="80" t="s">
        <v>227</v>
      </c>
      <c r="DK50" s="80" t="s">
        <v>227</v>
      </c>
      <c r="DL50" s="80" t="s">
        <v>227</v>
      </c>
      <c r="DM50" s="80" t="s">
        <v>227</v>
      </c>
      <c r="DN50" s="80" t="s">
        <v>227</v>
      </c>
      <c r="DO50" s="80" t="s">
        <v>227</v>
      </c>
      <c r="DP50" s="80" t="s">
        <v>227</v>
      </c>
      <c r="DQ50" s="80" t="s">
        <v>227</v>
      </c>
      <c r="DR50" s="80" t="s">
        <v>227</v>
      </c>
      <c r="DS50" s="80" t="s">
        <v>227</v>
      </c>
      <c r="DT50" s="80" t="s">
        <v>227</v>
      </c>
      <c r="DU50" s="80" t="s">
        <v>227</v>
      </c>
      <c r="DV50" s="80" t="s">
        <v>227</v>
      </c>
      <c r="DW50" s="80" t="s">
        <v>227</v>
      </c>
      <c r="DX50" s="80" t="s">
        <v>227</v>
      </c>
      <c r="DY50" s="80" t="s">
        <v>227</v>
      </c>
      <c r="DZ50" s="80" t="s">
        <v>227</v>
      </c>
      <c r="EA50" s="80" t="s">
        <v>227</v>
      </c>
      <c r="EB50" s="80" t="s">
        <v>227</v>
      </c>
      <c r="EC50" s="80" t="s">
        <v>227</v>
      </c>
      <c r="ED50" s="80" t="s">
        <v>227</v>
      </c>
      <c r="EE50" s="80" t="s">
        <v>227</v>
      </c>
      <c r="EF50" s="80" t="s">
        <v>227</v>
      </c>
      <c r="EG50" s="80" t="s">
        <v>227</v>
      </c>
      <c r="EH50" s="80" t="s">
        <v>227</v>
      </c>
      <c r="EI50" s="80" t="s">
        <v>227</v>
      </c>
      <c r="EJ50" s="80" t="s">
        <v>227</v>
      </c>
      <c r="EK50" s="80" t="s">
        <v>227</v>
      </c>
      <c r="EL50" s="80" t="s">
        <v>227</v>
      </c>
      <c r="EM50" s="80" t="s">
        <v>227</v>
      </c>
      <c r="EN50" s="80" t="s">
        <v>227</v>
      </c>
      <c r="EO50" s="80" t="s">
        <v>227</v>
      </c>
      <c r="EP50" s="80" t="s">
        <v>227</v>
      </c>
      <c r="EQ50" s="80" t="s">
        <v>227</v>
      </c>
      <c r="ER50" s="80" t="s">
        <v>227</v>
      </c>
      <c r="ES50" s="80" t="s">
        <v>227</v>
      </c>
      <c r="ET50" s="80" t="s">
        <v>227</v>
      </c>
      <c r="EU50" s="80" t="s">
        <v>227</v>
      </c>
      <c r="EV50" s="80" t="s">
        <v>227</v>
      </c>
      <c r="EW50" s="80" t="s">
        <v>227</v>
      </c>
      <c r="EX50" s="80" t="s">
        <v>227</v>
      </c>
      <c r="EY50" s="80" t="s">
        <v>227</v>
      </c>
      <c r="EZ50" s="80" t="s">
        <v>227</v>
      </c>
      <c r="FA50" s="80" t="s">
        <v>227</v>
      </c>
      <c r="FB50" s="147" t="s">
        <v>227</v>
      </c>
      <c r="FC50" s="80" t="s">
        <v>227</v>
      </c>
      <c r="FD50" s="80" t="s">
        <v>227</v>
      </c>
      <c r="FE50" s="80" t="s">
        <v>227</v>
      </c>
      <c r="FF50" s="80" t="s">
        <v>227</v>
      </c>
      <c r="FG50" s="80" t="s">
        <v>227</v>
      </c>
      <c r="FH50" s="80" t="s">
        <v>227</v>
      </c>
      <c r="FI50" s="80" t="s">
        <v>227</v>
      </c>
      <c r="FJ50" s="80" t="s">
        <v>227</v>
      </c>
      <c r="FK50" s="80" t="s">
        <v>227</v>
      </c>
      <c r="FL50" s="80" t="s">
        <v>227</v>
      </c>
      <c r="FM50" s="80" t="s">
        <v>227</v>
      </c>
      <c r="FN50" s="80" t="s">
        <v>227</v>
      </c>
      <c r="FO50" s="80" t="s">
        <v>227</v>
      </c>
      <c r="FP50" s="80" t="s">
        <v>227</v>
      </c>
      <c r="FQ50" s="80" t="s">
        <v>227</v>
      </c>
      <c r="FR50" s="80" t="s">
        <v>227</v>
      </c>
      <c r="FS50" s="80" t="s">
        <v>227</v>
      </c>
      <c r="FT50" s="80" t="s">
        <v>227</v>
      </c>
      <c r="FU50" s="80" t="s">
        <v>227</v>
      </c>
      <c r="FV50" s="80" t="s">
        <v>227</v>
      </c>
      <c r="FW50" s="80" t="s">
        <v>227</v>
      </c>
      <c r="FX50" s="80" t="s">
        <v>227</v>
      </c>
      <c r="FY50" s="80" t="s">
        <v>227</v>
      </c>
      <c r="FZ50" s="80" t="s">
        <v>227</v>
      </c>
      <c r="GA50" s="80" t="s">
        <v>227</v>
      </c>
      <c r="GB50" s="80" t="s">
        <v>227</v>
      </c>
      <c r="GC50" s="80" t="s">
        <v>227</v>
      </c>
      <c r="GD50" s="80" t="s">
        <v>227</v>
      </c>
      <c r="GE50" s="80" t="s">
        <v>227</v>
      </c>
      <c r="GF50" s="167" t="s">
        <v>312</v>
      </c>
      <c r="GG50" s="78" t="s">
        <v>227</v>
      </c>
      <c r="GH50" s="74" t="s">
        <v>227</v>
      </c>
      <c r="GI50" s="80" t="s">
        <v>227</v>
      </c>
      <c r="GJ50" s="156">
        <v>46150</v>
      </c>
      <c r="GK50" s="156">
        <v>46150</v>
      </c>
      <c r="GL50" s="78" t="s">
        <v>227</v>
      </c>
      <c r="GM50" s="159" t="str">
        <f t="shared" si="48"/>
        <v>N/A</v>
      </c>
      <c r="GN50" s="159" t="str">
        <f t="shared" si="49"/>
        <v>N/A</v>
      </c>
      <c r="GO50" s="159">
        <f t="shared" si="50"/>
        <v>1.0666666666666667</v>
      </c>
      <c r="GP50" s="159" t="str">
        <f t="shared" si="51"/>
        <v>N/A</v>
      </c>
      <c r="GQ50" s="159" t="str">
        <f t="shared" si="52"/>
        <v>N/A</v>
      </c>
      <c r="GR50" s="159" t="str">
        <f t="shared" si="53"/>
        <v>N/A</v>
      </c>
      <c r="GS50" s="159" t="str">
        <f t="shared" si="54"/>
        <v>N/A</v>
      </c>
      <c r="GT50" s="159" t="str">
        <f t="shared" si="55"/>
        <v>N/A</v>
      </c>
      <c r="GU50" s="159" t="str">
        <f t="shared" si="56"/>
        <v>N/A</v>
      </c>
      <c r="GV50" s="159" t="str">
        <f t="shared" si="57"/>
        <v>N/A</v>
      </c>
      <c r="GW50" s="159">
        <f t="shared" si="58"/>
        <v>3.3</v>
      </c>
      <c r="GX50" s="159">
        <f t="shared" si="59"/>
        <v>3.5333333333333332</v>
      </c>
      <c r="GY50" s="159" t="str">
        <f t="shared" si="60"/>
        <v>N/A</v>
      </c>
      <c r="GZ50" s="159" t="str">
        <f t="shared" si="61"/>
        <v>N/A</v>
      </c>
      <c r="HA50" s="159" t="str">
        <f t="shared" si="62"/>
        <v>N/A</v>
      </c>
      <c r="HB50" s="159" t="str">
        <f t="shared" si="63"/>
        <v>N/A</v>
      </c>
      <c r="HC50" s="159" t="str">
        <f t="shared" si="64"/>
        <v>N/A</v>
      </c>
      <c r="HD50" s="159">
        <f t="shared" si="65"/>
        <v>58.93333333333333</v>
      </c>
      <c r="HE50" s="159">
        <f t="shared" si="66"/>
        <v>58.93333333333333</v>
      </c>
      <c r="HF50" s="160">
        <f t="shared" si="67"/>
        <v>58.93333333333333</v>
      </c>
      <c r="HG50" s="160" cm="1">
        <f t="array" ref="HG50">INDEX($HB50:$HD50,MATCH(TRUE,INDEX(ISNUMBER($HB50:$HD50),0),0))</f>
        <v>58.93333333333333</v>
      </c>
      <c r="HH50" s="161">
        <f t="shared" si="68"/>
        <v>0</v>
      </c>
      <c r="HI50" s="86">
        <f t="shared" si="69"/>
        <v>0</v>
      </c>
      <c r="HJ50" s="111">
        <f t="shared" si="70"/>
        <v>0</v>
      </c>
      <c r="HK50" s="205" t="str">
        <f t="shared" si="71"/>
        <v>0</v>
      </c>
    </row>
    <row r="51" spans="1:219" ht="15" customHeight="1" x14ac:dyDescent="0.3">
      <c r="A51" s="80">
        <v>4123563848</v>
      </c>
      <c r="B51" s="74" t="s">
        <v>220</v>
      </c>
      <c r="C51" s="74" t="s">
        <v>221</v>
      </c>
      <c r="D51" s="74" t="s">
        <v>220</v>
      </c>
      <c r="E51" s="80" t="s">
        <v>493</v>
      </c>
      <c r="F51" s="80" t="s">
        <v>224</v>
      </c>
      <c r="G51" s="80" t="s">
        <v>367</v>
      </c>
      <c r="H51" s="78">
        <v>44418</v>
      </c>
      <c r="I51" s="80" t="s">
        <v>494</v>
      </c>
      <c r="J51" s="80" t="s">
        <v>226</v>
      </c>
      <c r="K51" s="78" t="s">
        <v>227</v>
      </c>
      <c r="L51" s="80" t="s">
        <v>227</v>
      </c>
      <c r="M51" s="80" t="s">
        <v>227</v>
      </c>
      <c r="N51" s="80" t="s">
        <v>227</v>
      </c>
      <c r="O51" s="80" t="s">
        <v>227</v>
      </c>
      <c r="P51" s="80" t="s">
        <v>227</v>
      </c>
      <c r="Q51" s="80" t="s">
        <v>227</v>
      </c>
      <c r="R51" s="80" t="s">
        <v>227</v>
      </c>
      <c r="S51" s="80" t="s">
        <v>227</v>
      </c>
      <c r="T51" s="80" t="s">
        <v>227</v>
      </c>
      <c r="U51" s="80" t="s">
        <v>227</v>
      </c>
      <c r="V51" s="80" t="s">
        <v>227</v>
      </c>
      <c r="W51" s="80" t="s">
        <v>227</v>
      </c>
      <c r="X51" s="80" t="s">
        <v>227</v>
      </c>
      <c r="Y51" s="80" t="s">
        <v>227</v>
      </c>
      <c r="Z51" s="80" t="s">
        <v>227</v>
      </c>
      <c r="AA51" s="80" t="s">
        <v>227</v>
      </c>
      <c r="AB51" s="80" t="s">
        <v>227</v>
      </c>
      <c r="AC51" s="80" t="s">
        <v>227</v>
      </c>
      <c r="AD51" s="80" t="s">
        <v>227</v>
      </c>
      <c r="AE51" s="80" t="s">
        <v>227</v>
      </c>
      <c r="AF51" s="80" t="s">
        <v>227</v>
      </c>
      <c r="AG51" s="80" t="s">
        <v>227</v>
      </c>
      <c r="AH51" s="80" t="s">
        <v>227</v>
      </c>
      <c r="AI51" s="80" t="s">
        <v>227</v>
      </c>
      <c r="AJ51" s="80" t="s">
        <v>227</v>
      </c>
      <c r="AK51" s="80" t="s">
        <v>227</v>
      </c>
      <c r="AL51" s="80" t="s">
        <v>227</v>
      </c>
      <c r="AM51" s="80" t="s">
        <v>227</v>
      </c>
      <c r="AN51" s="80" t="s">
        <v>227</v>
      </c>
      <c r="AO51" s="80" t="s">
        <v>227</v>
      </c>
      <c r="AP51" s="80" t="s">
        <v>227</v>
      </c>
      <c r="AQ51" s="80" t="s">
        <v>228</v>
      </c>
      <c r="AR51" s="78">
        <v>26556</v>
      </c>
      <c r="AS51" s="78">
        <v>44361</v>
      </c>
      <c r="AT51" s="189">
        <f t="shared" si="47"/>
        <v>48</v>
      </c>
      <c r="AU51" s="164" t="s">
        <v>229</v>
      </c>
      <c r="AV51" s="74" t="s">
        <v>230</v>
      </c>
      <c r="AW51" s="74" t="s">
        <v>241</v>
      </c>
      <c r="AX51" s="80" t="s">
        <v>309</v>
      </c>
      <c r="AY51" s="80" t="s">
        <v>232</v>
      </c>
      <c r="AZ51" s="80" t="s">
        <v>232</v>
      </c>
      <c r="BA51" s="80">
        <f t="shared" si="46"/>
        <v>0</v>
      </c>
      <c r="BB51" s="157" t="s">
        <v>310</v>
      </c>
      <c r="BC51" s="80">
        <v>1</v>
      </c>
      <c r="BD51" s="74" t="s">
        <v>243</v>
      </c>
      <c r="BE51" s="80" t="s">
        <v>347</v>
      </c>
      <c r="BF51" s="74" t="s">
        <v>220</v>
      </c>
      <c r="BG51" s="165" t="s">
        <v>227</v>
      </c>
      <c r="BH51" s="166" t="s">
        <v>227</v>
      </c>
      <c r="BI51" s="80" t="s">
        <v>227</v>
      </c>
      <c r="BJ51" s="78" t="s">
        <v>227</v>
      </c>
      <c r="BK51" s="78" t="s">
        <v>227</v>
      </c>
      <c r="BL51" s="80" t="s">
        <v>227</v>
      </c>
      <c r="BM51" s="166" t="s">
        <v>227</v>
      </c>
      <c r="BN51" s="80" t="s">
        <v>227</v>
      </c>
      <c r="BO51" s="80" t="s">
        <v>227</v>
      </c>
      <c r="BP51" s="166" t="s">
        <v>227</v>
      </c>
      <c r="BQ51" s="80" t="s">
        <v>227</v>
      </c>
      <c r="BR51" s="80" t="s">
        <v>227</v>
      </c>
      <c r="BS51" s="80" t="s">
        <v>227</v>
      </c>
      <c r="BT51" s="80" t="s">
        <v>227</v>
      </c>
      <c r="BU51" s="80" t="s">
        <v>227</v>
      </c>
      <c r="BV51" s="80" t="s">
        <v>227</v>
      </c>
      <c r="BW51" s="80" t="s">
        <v>227</v>
      </c>
      <c r="BX51" s="80" t="s">
        <v>227</v>
      </c>
      <c r="BY51" s="80" t="s">
        <v>227</v>
      </c>
      <c r="BZ51" s="80" t="s">
        <v>227</v>
      </c>
      <c r="CA51" s="80" t="s">
        <v>227</v>
      </c>
      <c r="CB51" s="80" t="s">
        <v>227</v>
      </c>
      <c r="CC51" s="80" t="s">
        <v>227</v>
      </c>
      <c r="CD51" s="80" t="s">
        <v>227</v>
      </c>
      <c r="CE51" s="80" t="s">
        <v>227</v>
      </c>
      <c r="CF51" s="80" t="s">
        <v>227</v>
      </c>
      <c r="CG51" s="80" t="s">
        <v>227</v>
      </c>
      <c r="CH51" s="80" t="s">
        <v>227</v>
      </c>
      <c r="CI51" s="80" t="s">
        <v>227</v>
      </c>
      <c r="CJ51" s="80" t="s">
        <v>227</v>
      </c>
      <c r="CK51" s="80" t="s">
        <v>227</v>
      </c>
      <c r="CL51" s="80" t="s">
        <v>227</v>
      </c>
      <c r="CM51" s="80" t="s">
        <v>227</v>
      </c>
      <c r="CN51" s="166" t="s">
        <v>227</v>
      </c>
      <c r="CO51" s="80" t="s">
        <v>227</v>
      </c>
      <c r="CP51" s="78" t="s">
        <v>227</v>
      </c>
      <c r="CQ51" s="78" t="s">
        <v>227</v>
      </c>
      <c r="CR51" s="80" t="s">
        <v>227</v>
      </c>
      <c r="CS51" s="166" t="s">
        <v>227</v>
      </c>
      <c r="CT51" s="80" t="s">
        <v>227</v>
      </c>
      <c r="CU51" s="80" t="s">
        <v>227</v>
      </c>
      <c r="CV51" s="166" t="s">
        <v>227</v>
      </c>
      <c r="CW51" s="80" t="s">
        <v>227</v>
      </c>
      <c r="CX51" s="80" t="s">
        <v>227</v>
      </c>
      <c r="CY51" s="80" t="s">
        <v>227</v>
      </c>
      <c r="CZ51" s="80" t="s">
        <v>227</v>
      </c>
      <c r="DA51" s="80" t="s">
        <v>227</v>
      </c>
      <c r="DB51" s="80" t="s">
        <v>227</v>
      </c>
      <c r="DC51" s="80" t="s">
        <v>227</v>
      </c>
      <c r="DD51" s="80" t="s">
        <v>227</v>
      </c>
      <c r="DE51" s="80" t="s">
        <v>227</v>
      </c>
      <c r="DF51" s="80" t="s">
        <v>227</v>
      </c>
      <c r="DG51" s="80" t="s">
        <v>227</v>
      </c>
      <c r="DH51" s="80" t="s">
        <v>227</v>
      </c>
      <c r="DI51" s="80" t="s">
        <v>227</v>
      </c>
      <c r="DJ51" s="80" t="s">
        <v>227</v>
      </c>
      <c r="DK51" s="80" t="s">
        <v>227</v>
      </c>
      <c r="DL51" s="80" t="s">
        <v>227</v>
      </c>
      <c r="DM51" s="80" t="s">
        <v>227</v>
      </c>
      <c r="DN51" s="80" t="s">
        <v>227</v>
      </c>
      <c r="DO51" s="80" t="s">
        <v>227</v>
      </c>
      <c r="DP51" s="80" t="s">
        <v>227</v>
      </c>
      <c r="DQ51" s="80" t="s">
        <v>227</v>
      </c>
      <c r="DR51" s="80" t="s">
        <v>227</v>
      </c>
      <c r="DS51" s="80" t="s">
        <v>227</v>
      </c>
      <c r="DT51" s="80" t="s">
        <v>227</v>
      </c>
      <c r="DU51" s="80" t="s">
        <v>227</v>
      </c>
      <c r="DV51" s="80" t="s">
        <v>227</v>
      </c>
      <c r="DW51" s="80" t="s">
        <v>227</v>
      </c>
      <c r="DX51" s="80" t="s">
        <v>227</v>
      </c>
      <c r="DY51" s="80" t="s">
        <v>227</v>
      </c>
      <c r="DZ51" s="80" t="s">
        <v>227</v>
      </c>
      <c r="EA51" s="80" t="s">
        <v>227</v>
      </c>
      <c r="EB51" s="80" t="s">
        <v>227</v>
      </c>
      <c r="EC51" s="80" t="s">
        <v>227</v>
      </c>
      <c r="ED51" s="80" t="s">
        <v>227</v>
      </c>
      <c r="EE51" s="80" t="s">
        <v>227</v>
      </c>
      <c r="EF51" s="80" t="s">
        <v>227</v>
      </c>
      <c r="EG51" s="80" t="s">
        <v>227</v>
      </c>
      <c r="EH51" s="80" t="s">
        <v>227</v>
      </c>
      <c r="EI51" s="78" t="s">
        <v>227</v>
      </c>
      <c r="EJ51" s="80" t="s">
        <v>227</v>
      </c>
      <c r="EK51" s="166" t="s">
        <v>227</v>
      </c>
      <c r="EL51" s="80" t="s">
        <v>227</v>
      </c>
      <c r="EM51" s="78" t="s">
        <v>227</v>
      </c>
      <c r="EN51" s="78" t="s">
        <v>227</v>
      </c>
      <c r="EO51" s="80" t="s">
        <v>227</v>
      </c>
      <c r="EP51" s="166" t="s">
        <v>227</v>
      </c>
      <c r="EQ51" s="80" t="s">
        <v>227</v>
      </c>
      <c r="ER51" s="80" t="s">
        <v>227</v>
      </c>
      <c r="ES51" s="166" t="s">
        <v>227</v>
      </c>
      <c r="ET51" s="80" t="s">
        <v>227</v>
      </c>
      <c r="EU51" s="80" t="s">
        <v>227</v>
      </c>
      <c r="EV51" s="166" t="s">
        <v>227</v>
      </c>
      <c r="EW51" s="80" t="s">
        <v>227</v>
      </c>
      <c r="EX51" s="80" t="s">
        <v>227</v>
      </c>
      <c r="EY51" s="166" t="s">
        <v>227</v>
      </c>
      <c r="EZ51" s="80" t="s">
        <v>227</v>
      </c>
      <c r="FA51" s="80" t="s">
        <v>227</v>
      </c>
      <c r="FB51" s="147" t="s">
        <v>227</v>
      </c>
      <c r="FC51" s="80" t="s">
        <v>227</v>
      </c>
      <c r="FD51" s="80" t="s">
        <v>227</v>
      </c>
      <c r="FE51" s="80" t="s">
        <v>227</v>
      </c>
      <c r="FF51" s="80" t="s">
        <v>227</v>
      </c>
      <c r="FG51" s="80" t="s">
        <v>227</v>
      </c>
      <c r="FH51" s="80" t="s">
        <v>227</v>
      </c>
      <c r="FI51" s="80" t="s">
        <v>227</v>
      </c>
      <c r="FJ51" s="80" t="s">
        <v>227</v>
      </c>
      <c r="FK51" s="80" t="s">
        <v>227</v>
      </c>
      <c r="FL51" s="80" t="s">
        <v>227</v>
      </c>
      <c r="FM51" s="80" t="s">
        <v>227</v>
      </c>
      <c r="FN51" s="80" t="s">
        <v>227</v>
      </c>
      <c r="FO51" s="80" t="s">
        <v>227</v>
      </c>
      <c r="FP51" s="80" t="s">
        <v>227</v>
      </c>
      <c r="FQ51" s="80" t="s">
        <v>227</v>
      </c>
      <c r="FR51" s="80" t="s">
        <v>227</v>
      </c>
      <c r="FS51" s="80" t="s">
        <v>227</v>
      </c>
      <c r="FT51" s="80" t="s">
        <v>227</v>
      </c>
      <c r="FU51" s="80" t="s">
        <v>227</v>
      </c>
      <c r="FV51" s="80" t="s">
        <v>227</v>
      </c>
      <c r="FW51" s="80" t="s">
        <v>227</v>
      </c>
      <c r="FX51" s="80" t="s">
        <v>227</v>
      </c>
      <c r="FY51" s="80" t="s">
        <v>227</v>
      </c>
      <c r="FZ51" s="80" t="s">
        <v>227</v>
      </c>
      <c r="GA51" s="80" t="s">
        <v>227</v>
      </c>
      <c r="GB51" s="80" t="s">
        <v>227</v>
      </c>
      <c r="GC51" s="80" t="s">
        <v>227</v>
      </c>
      <c r="GD51" s="80" t="s">
        <v>227</v>
      </c>
      <c r="GE51" s="80" t="s">
        <v>227</v>
      </c>
      <c r="GF51" s="167" t="s">
        <v>312</v>
      </c>
      <c r="GG51" s="78" t="s">
        <v>227</v>
      </c>
      <c r="GH51" s="74" t="s">
        <v>227</v>
      </c>
      <c r="GI51" s="80" t="s">
        <v>227</v>
      </c>
      <c r="GJ51" s="156">
        <v>46175</v>
      </c>
      <c r="GK51" s="156">
        <v>46175</v>
      </c>
      <c r="GL51" s="78" t="s">
        <v>227</v>
      </c>
      <c r="GM51" s="159" t="str">
        <f t="shared" si="48"/>
        <v>N/A</v>
      </c>
      <c r="GN51" s="159" t="str">
        <f t="shared" si="49"/>
        <v>N/A</v>
      </c>
      <c r="GO51" s="159">
        <f t="shared" si="50"/>
        <v>1.9</v>
      </c>
      <c r="GP51" s="159" t="str">
        <f t="shared" si="51"/>
        <v>N/A</v>
      </c>
      <c r="GQ51" s="159" t="str">
        <f t="shared" si="52"/>
        <v>N/A</v>
      </c>
      <c r="GR51" s="159" t="str">
        <f t="shared" si="53"/>
        <v>N/A</v>
      </c>
      <c r="GS51" s="159" t="str">
        <f t="shared" si="54"/>
        <v>N/A</v>
      </c>
      <c r="GT51" s="159" t="str">
        <f t="shared" si="55"/>
        <v>N/A</v>
      </c>
      <c r="GU51" s="159" t="str">
        <f t="shared" si="56"/>
        <v>N/A</v>
      </c>
      <c r="GV51" s="159" t="str">
        <f t="shared" si="57"/>
        <v>N/A</v>
      </c>
      <c r="GW51" s="159" t="str">
        <f t="shared" si="58"/>
        <v>N/A</v>
      </c>
      <c r="GX51" s="159" t="str">
        <f t="shared" si="59"/>
        <v>N/A</v>
      </c>
      <c r="GY51" s="159" t="str">
        <f t="shared" si="60"/>
        <v>N/A</v>
      </c>
      <c r="GZ51" s="159" t="str">
        <f t="shared" si="61"/>
        <v>N/A</v>
      </c>
      <c r="HA51" s="159" t="str">
        <f t="shared" si="62"/>
        <v>N/A</v>
      </c>
      <c r="HB51" s="159" t="str">
        <f t="shared" si="63"/>
        <v>N/A</v>
      </c>
      <c r="HC51" s="159" t="str">
        <f t="shared" si="64"/>
        <v>N/A</v>
      </c>
      <c r="HD51" s="159">
        <f t="shared" si="65"/>
        <v>60.466666666666669</v>
      </c>
      <c r="HE51" s="159">
        <f t="shared" si="66"/>
        <v>60.466666666666669</v>
      </c>
      <c r="HF51" s="160">
        <f t="shared" si="67"/>
        <v>60.466666666666669</v>
      </c>
      <c r="HG51" s="160" cm="1">
        <f t="array" ref="HG51">INDEX($HB51:$HD51,MATCH(TRUE,INDEX(ISNUMBER($HB51:$HD51),0),0))</f>
        <v>60.466666666666669</v>
      </c>
      <c r="HH51" s="161">
        <f t="shared" si="68"/>
        <v>0</v>
      </c>
      <c r="HI51" s="86">
        <f t="shared" si="69"/>
        <v>0</v>
      </c>
      <c r="HJ51" s="111">
        <f t="shared" si="70"/>
        <v>0</v>
      </c>
      <c r="HK51" s="205" t="str">
        <f t="shared" si="71"/>
        <v>0</v>
      </c>
    </row>
    <row r="52" spans="1:219" ht="15" customHeight="1" x14ac:dyDescent="0.3">
      <c r="A52" s="80">
        <v>7048159871</v>
      </c>
      <c r="B52" s="74" t="s">
        <v>220</v>
      </c>
      <c r="C52" s="74" t="s">
        <v>221</v>
      </c>
      <c r="D52" s="74" t="s">
        <v>220</v>
      </c>
      <c r="E52" s="80" t="s">
        <v>495</v>
      </c>
      <c r="F52" s="80" t="s">
        <v>224</v>
      </c>
      <c r="G52" s="80" t="s">
        <v>344</v>
      </c>
      <c r="H52" s="78">
        <v>44419</v>
      </c>
      <c r="I52" s="80" t="s">
        <v>496</v>
      </c>
      <c r="J52" s="80" t="s">
        <v>226</v>
      </c>
      <c r="K52" s="78" t="s">
        <v>227</v>
      </c>
      <c r="L52" s="80" t="s">
        <v>227</v>
      </c>
      <c r="M52" s="80" t="s">
        <v>227</v>
      </c>
      <c r="N52" s="80" t="s">
        <v>227</v>
      </c>
      <c r="O52" s="80" t="s">
        <v>227</v>
      </c>
      <c r="P52" s="80" t="s">
        <v>227</v>
      </c>
      <c r="Q52" s="80" t="s">
        <v>227</v>
      </c>
      <c r="R52" s="80" t="s">
        <v>227</v>
      </c>
      <c r="S52" s="80" t="s">
        <v>227</v>
      </c>
      <c r="T52" s="80" t="s">
        <v>227</v>
      </c>
      <c r="U52" s="80" t="s">
        <v>227</v>
      </c>
      <c r="V52" s="80" t="s">
        <v>227</v>
      </c>
      <c r="W52" s="80" t="s">
        <v>227</v>
      </c>
      <c r="X52" s="80" t="s">
        <v>227</v>
      </c>
      <c r="Y52" s="80" t="s">
        <v>227</v>
      </c>
      <c r="Z52" s="80" t="s">
        <v>227</v>
      </c>
      <c r="AA52" s="80" t="s">
        <v>227</v>
      </c>
      <c r="AB52" s="80" t="s">
        <v>227</v>
      </c>
      <c r="AC52" s="80" t="s">
        <v>227</v>
      </c>
      <c r="AD52" s="80" t="s">
        <v>227</v>
      </c>
      <c r="AE52" s="80" t="s">
        <v>227</v>
      </c>
      <c r="AF52" s="80" t="s">
        <v>227</v>
      </c>
      <c r="AG52" s="80" t="s">
        <v>227</v>
      </c>
      <c r="AH52" s="80" t="s">
        <v>227</v>
      </c>
      <c r="AI52" s="80" t="s">
        <v>227</v>
      </c>
      <c r="AJ52" s="80" t="s">
        <v>227</v>
      </c>
      <c r="AK52" s="80" t="s">
        <v>227</v>
      </c>
      <c r="AL52" s="80" t="s">
        <v>227</v>
      </c>
      <c r="AM52" s="80" t="s">
        <v>227</v>
      </c>
      <c r="AN52" s="80" t="s">
        <v>227</v>
      </c>
      <c r="AO52" s="80" t="s">
        <v>227</v>
      </c>
      <c r="AP52" s="80" t="s">
        <v>227</v>
      </c>
      <c r="AQ52" s="80" t="s">
        <v>228</v>
      </c>
      <c r="AR52" s="78">
        <v>22329</v>
      </c>
      <c r="AS52" s="78">
        <v>44343</v>
      </c>
      <c r="AT52" s="189">
        <f t="shared" si="47"/>
        <v>60</v>
      </c>
      <c r="AU52" s="164" t="s">
        <v>263</v>
      </c>
      <c r="AV52" s="74" t="s">
        <v>230</v>
      </c>
      <c r="AW52" s="74" t="s">
        <v>220</v>
      </c>
      <c r="AX52" s="80" t="s">
        <v>359</v>
      </c>
      <c r="AY52" s="80">
        <v>1</v>
      </c>
      <c r="AZ52" s="80" t="s">
        <v>406</v>
      </c>
      <c r="BA52" s="80">
        <f t="shared" si="46"/>
        <v>1</v>
      </c>
      <c r="BB52" s="80" t="s">
        <v>497</v>
      </c>
      <c r="BC52" s="80">
        <v>3</v>
      </c>
      <c r="BD52" s="74" t="s">
        <v>243</v>
      </c>
      <c r="BE52" s="80" t="s">
        <v>300</v>
      </c>
      <c r="BF52" s="74" t="s">
        <v>220</v>
      </c>
      <c r="BG52" s="165" t="s">
        <v>227</v>
      </c>
      <c r="BH52" s="166" t="s">
        <v>227</v>
      </c>
      <c r="BI52" s="80" t="s">
        <v>227</v>
      </c>
      <c r="BJ52" s="78" t="s">
        <v>227</v>
      </c>
      <c r="BK52" s="78" t="s">
        <v>227</v>
      </c>
      <c r="BL52" s="80" t="s">
        <v>227</v>
      </c>
      <c r="BM52" s="166" t="s">
        <v>227</v>
      </c>
      <c r="BN52" s="80" t="s">
        <v>227</v>
      </c>
      <c r="BO52" s="80" t="s">
        <v>227</v>
      </c>
      <c r="BP52" s="166" t="s">
        <v>227</v>
      </c>
      <c r="BQ52" s="80" t="s">
        <v>227</v>
      </c>
      <c r="BR52" s="80" t="s">
        <v>227</v>
      </c>
      <c r="BS52" s="80" t="s">
        <v>227</v>
      </c>
      <c r="BT52" s="80" t="s">
        <v>227</v>
      </c>
      <c r="BU52" s="80" t="s">
        <v>227</v>
      </c>
      <c r="BV52" s="80" t="s">
        <v>227</v>
      </c>
      <c r="BW52" s="80" t="s">
        <v>227</v>
      </c>
      <c r="BX52" s="80" t="s">
        <v>227</v>
      </c>
      <c r="BY52" s="80" t="s">
        <v>227</v>
      </c>
      <c r="BZ52" s="80" t="s">
        <v>227</v>
      </c>
      <c r="CA52" s="80" t="s">
        <v>227</v>
      </c>
      <c r="CB52" s="80" t="s">
        <v>227</v>
      </c>
      <c r="CC52" s="80" t="s">
        <v>227</v>
      </c>
      <c r="CD52" s="80" t="s">
        <v>227</v>
      </c>
      <c r="CE52" s="80" t="s">
        <v>227</v>
      </c>
      <c r="CF52" s="80" t="s">
        <v>227</v>
      </c>
      <c r="CG52" s="80" t="s">
        <v>227</v>
      </c>
      <c r="CH52" s="80" t="s">
        <v>227</v>
      </c>
      <c r="CI52" s="80" t="s">
        <v>227</v>
      </c>
      <c r="CJ52" s="80" t="s">
        <v>227</v>
      </c>
      <c r="CK52" s="80" t="s">
        <v>227</v>
      </c>
      <c r="CL52" s="80" t="s">
        <v>227</v>
      </c>
      <c r="CM52" s="80" t="s">
        <v>227</v>
      </c>
      <c r="CN52" s="172" t="s">
        <v>227</v>
      </c>
      <c r="CO52" s="172" t="s">
        <v>227</v>
      </c>
      <c r="CP52" s="172" t="s">
        <v>227</v>
      </c>
      <c r="CQ52" s="172" t="s">
        <v>227</v>
      </c>
      <c r="CR52" s="172" t="s">
        <v>227</v>
      </c>
      <c r="CS52" s="166" t="s">
        <v>227</v>
      </c>
      <c r="CT52" s="80" t="s">
        <v>227</v>
      </c>
      <c r="CU52" s="80" t="s">
        <v>227</v>
      </c>
      <c r="CV52" s="166" t="s">
        <v>227</v>
      </c>
      <c r="CW52" s="80" t="s">
        <v>227</v>
      </c>
      <c r="CX52" s="80" t="s">
        <v>227</v>
      </c>
      <c r="CY52" s="80" t="s">
        <v>227</v>
      </c>
      <c r="CZ52" s="80" t="s">
        <v>227</v>
      </c>
      <c r="DA52" s="80" t="s">
        <v>227</v>
      </c>
      <c r="DB52" s="80" t="s">
        <v>227</v>
      </c>
      <c r="DC52" s="80" t="s">
        <v>227</v>
      </c>
      <c r="DD52" s="80" t="s">
        <v>227</v>
      </c>
      <c r="DE52" s="80" t="s">
        <v>227</v>
      </c>
      <c r="DF52" s="80" t="s">
        <v>227</v>
      </c>
      <c r="DG52" s="80" t="s">
        <v>227</v>
      </c>
      <c r="DH52" s="80" t="s">
        <v>227</v>
      </c>
      <c r="DI52" s="80" t="s">
        <v>227</v>
      </c>
      <c r="DJ52" s="80" t="s">
        <v>227</v>
      </c>
      <c r="DK52" s="80" t="s">
        <v>227</v>
      </c>
      <c r="DL52" s="80" t="s">
        <v>227</v>
      </c>
      <c r="DM52" s="80" t="s">
        <v>227</v>
      </c>
      <c r="DN52" s="80" t="s">
        <v>227</v>
      </c>
      <c r="DO52" s="80" t="s">
        <v>227</v>
      </c>
      <c r="DP52" s="80" t="s">
        <v>227</v>
      </c>
      <c r="DQ52" s="80" t="s">
        <v>227</v>
      </c>
      <c r="DR52" s="80" t="s">
        <v>227</v>
      </c>
      <c r="DS52" s="80" t="s">
        <v>227</v>
      </c>
      <c r="DT52" s="80" t="s">
        <v>227</v>
      </c>
      <c r="DU52" s="80" t="s">
        <v>227</v>
      </c>
      <c r="DV52" s="80" t="s">
        <v>227</v>
      </c>
      <c r="DW52" s="80" t="s">
        <v>227</v>
      </c>
      <c r="DX52" s="80" t="s">
        <v>227</v>
      </c>
      <c r="DY52" s="80" t="s">
        <v>227</v>
      </c>
      <c r="DZ52" s="80" t="s">
        <v>227</v>
      </c>
      <c r="EA52" s="80" t="s">
        <v>227</v>
      </c>
      <c r="EB52" s="80" t="s">
        <v>227</v>
      </c>
      <c r="EC52" s="80" t="s">
        <v>227</v>
      </c>
      <c r="ED52" s="80" t="s">
        <v>227</v>
      </c>
      <c r="EE52" s="80" t="s">
        <v>227</v>
      </c>
      <c r="EF52" s="80" t="s">
        <v>227</v>
      </c>
      <c r="EG52" s="80" t="s">
        <v>227</v>
      </c>
      <c r="EH52" s="80" t="s">
        <v>227</v>
      </c>
      <c r="EI52" s="156">
        <v>44443</v>
      </c>
      <c r="EJ52" s="80" t="s">
        <v>482</v>
      </c>
      <c r="EK52" s="172" t="s">
        <v>249</v>
      </c>
      <c r="EL52" s="157" t="s">
        <v>250</v>
      </c>
      <c r="EM52" s="156">
        <v>44454</v>
      </c>
      <c r="EN52" s="156">
        <v>44468</v>
      </c>
      <c r="EO52" s="157" t="s">
        <v>231</v>
      </c>
      <c r="EP52" s="172" t="s">
        <v>249</v>
      </c>
      <c r="EQ52" s="157" t="s">
        <v>498</v>
      </c>
      <c r="ER52" s="156" t="s">
        <v>277</v>
      </c>
      <c r="ES52" s="78" t="s">
        <v>227</v>
      </c>
      <c r="ET52" s="80" t="s">
        <v>227</v>
      </c>
      <c r="EU52" s="80" t="s">
        <v>227</v>
      </c>
      <c r="EV52" s="166" t="s">
        <v>227</v>
      </c>
      <c r="EW52" s="80" t="s">
        <v>227</v>
      </c>
      <c r="EX52" s="80" t="s">
        <v>227</v>
      </c>
      <c r="EY52" s="166" t="s">
        <v>227</v>
      </c>
      <c r="EZ52" s="80" t="s">
        <v>227</v>
      </c>
      <c r="FA52" s="80" t="s">
        <v>227</v>
      </c>
      <c r="FB52" s="147" t="s">
        <v>227</v>
      </c>
      <c r="FC52" s="80" t="s">
        <v>227</v>
      </c>
      <c r="FD52" s="80" t="s">
        <v>227</v>
      </c>
      <c r="FE52" s="80" t="s">
        <v>227</v>
      </c>
      <c r="FF52" s="80" t="s">
        <v>227</v>
      </c>
      <c r="FG52" s="80" t="s">
        <v>227</v>
      </c>
      <c r="FH52" s="80" t="s">
        <v>227</v>
      </c>
      <c r="FI52" s="80" t="s">
        <v>227</v>
      </c>
      <c r="FJ52" s="80" t="s">
        <v>227</v>
      </c>
      <c r="FK52" s="80" t="s">
        <v>227</v>
      </c>
      <c r="FL52" s="80" t="s">
        <v>227</v>
      </c>
      <c r="FM52" s="80" t="s">
        <v>227</v>
      </c>
      <c r="FN52" s="80" t="s">
        <v>227</v>
      </c>
      <c r="FO52" s="80" t="s">
        <v>227</v>
      </c>
      <c r="FP52" s="80" t="s">
        <v>227</v>
      </c>
      <c r="FQ52" s="80" t="s">
        <v>227</v>
      </c>
      <c r="FR52" s="80" t="s">
        <v>227</v>
      </c>
      <c r="FS52" s="80" t="s">
        <v>227</v>
      </c>
      <c r="FT52" s="80" t="s">
        <v>227</v>
      </c>
      <c r="FU52" s="80" t="s">
        <v>227</v>
      </c>
      <c r="FV52" s="80" t="s">
        <v>227</v>
      </c>
      <c r="FW52" s="80" t="s">
        <v>227</v>
      </c>
      <c r="FX52" s="80" t="s">
        <v>227</v>
      </c>
      <c r="FY52" s="80" t="s">
        <v>227</v>
      </c>
      <c r="FZ52" s="80" t="s">
        <v>227</v>
      </c>
      <c r="GA52" s="80" t="s">
        <v>227</v>
      </c>
      <c r="GB52" s="80" t="s">
        <v>227</v>
      </c>
      <c r="GC52" s="80" t="s">
        <v>227</v>
      </c>
      <c r="GD52" s="80" t="s">
        <v>227</v>
      </c>
      <c r="GE52" s="80" t="s">
        <v>227</v>
      </c>
      <c r="GF52" s="167" t="s">
        <v>236</v>
      </c>
      <c r="GG52" s="78">
        <v>44804</v>
      </c>
      <c r="GH52" s="74" t="s">
        <v>241</v>
      </c>
      <c r="GI52" s="80" t="s">
        <v>231</v>
      </c>
      <c r="GJ52" s="78">
        <v>44599</v>
      </c>
      <c r="GK52" s="78" t="s">
        <v>227</v>
      </c>
      <c r="GL52" s="78" t="s">
        <v>227</v>
      </c>
      <c r="GM52" s="159" t="str">
        <f t="shared" si="48"/>
        <v>N/A</v>
      </c>
      <c r="GN52" s="159" t="str">
        <f t="shared" si="49"/>
        <v>N/A</v>
      </c>
      <c r="GO52" s="159">
        <f t="shared" si="50"/>
        <v>2.5333333333333332</v>
      </c>
      <c r="GP52" s="159" t="str">
        <f t="shared" si="51"/>
        <v>N/A</v>
      </c>
      <c r="GQ52" s="159" t="str">
        <f t="shared" si="52"/>
        <v>N/A</v>
      </c>
      <c r="GR52" s="159" t="str">
        <f t="shared" si="53"/>
        <v>N/A</v>
      </c>
      <c r="GS52" s="159" t="str">
        <f t="shared" si="54"/>
        <v>N/A</v>
      </c>
      <c r="GT52" s="159" t="str">
        <f t="shared" si="55"/>
        <v>N/A</v>
      </c>
      <c r="GU52" s="159" t="str">
        <f t="shared" si="56"/>
        <v>N/A</v>
      </c>
      <c r="GV52" s="159" t="str">
        <f t="shared" si="57"/>
        <v>N/A</v>
      </c>
      <c r="GW52" s="159" t="str">
        <f t="shared" si="58"/>
        <v>N/A</v>
      </c>
      <c r="GX52" s="159" t="str">
        <f t="shared" si="59"/>
        <v>N/A</v>
      </c>
      <c r="GY52" s="159">
        <f t="shared" si="60"/>
        <v>3.3333333333333335</v>
      </c>
      <c r="GZ52" s="159">
        <f t="shared" si="61"/>
        <v>3.7</v>
      </c>
      <c r="HA52" s="159">
        <f t="shared" si="62"/>
        <v>4.166666666666667</v>
      </c>
      <c r="HB52" s="159">
        <f t="shared" si="63"/>
        <v>3.3333333333333335</v>
      </c>
      <c r="HC52" s="159">
        <f t="shared" si="64"/>
        <v>15.366666666666667</v>
      </c>
      <c r="HD52" s="159">
        <f t="shared" si="65"/>
        <v>8.5333333333333332</v>
      </c>
      <c r="HE52" s="159" t="str">
        <f t="shared" si="66"/>
        <v>N/A</v>
      </c>
      <c r="HF52" s="160">
        <f t="shared" si="67"/>
        <v>15.366666666666667</v>
      </c>
      <c r="HG52" s="160" cm="1">
        <f t="array" ref="HG52">INDEX($HB52:$HD52,MATCH(TRUE,INDEX(ISNUMBER($HB52:$HD52),0),0))</f>
        <v>3.3333333333333335</v>
      </c>
      <c r="HH52" s="161">
        <f t="shared" si="68"/>
        <v>1</v>
      </c>
      <c r="HI52" s="86">
        <f t="shared" si="69"/>
        <v>1</v>
      </c>
      <c r="HJ52" s="111">
        <f t="shared" si="70"/>
        <v>1</v>
      </c>
      <c r="HK52" s="205" t="str">
        <f t="shared" si="71"/>
        <v>1</v>
      </c>
    </row>
    <row r="53" spans="1:219" ht="15" customHeight="1" x14ac:dyDescent="0.3">
      <c r="A53" s="80">
        <v>4380766446</v>
      </c>
      <c r="B53" s="74" t="s">
        <v>220</v>
      </c>
      <c r="C53" s="74" t="s">
        <v>221</v>
      </c>
      <c r="D53" s="74" t="s">
        <v>220</v>
      </c>
      <c r="E53" s="80" t="s">
        <v>499</v>
      </c>
      <c r="F53" s="80" t="s">
        <v>271</v>
      </c>
      <c r="G53" s="80" t="s">
        <v>227</v>
      </c>
      <c r="H53" s="78">
        <v>44420</v>
      </c>
      <c r="I53" s="80" t="s">
        <v>500</v>
      </c>
      <c r="J53" s="80" t="s">
        <v>226</v>
      </c>
      <c r="K53" s="78" t="s">
        <v>227</v>
      </c>
      <c r="L53" s="80" t="s">
        <v>227</v>
      </c>
      <c r="M53" s="80" t="s">
        <v>227</v>
      </c>
      <c r="N53" s="80" t="s">
        <v>227</v>
      </c>
      <c r="O53" s="80" t="s">
        <v>227</v>
      </c>
      <c r="P53" s="80" t="s">
        <v>227</v>
      </c>
      <c r="Q53" s="80" t="s">
        <v>227</v>
      </c>
      <c r="R53" s="80" t="s">
        <v>227</v>
      </c>
      <c r="S53" s="80" t="s">
        <v>227</v>
      </c>
      <c r="T53" s="80" t="s">
        <v>227</v>
      </c>
      <c r="U53" s="80" t="s">
        <v>227</v>
      </c>
      <c r="V53" s="80" t="s">
        <v>227</v>
      </c>
      <c r="W53" s="80" t="s">
        <v>227</v>
      </c>
      <c r="X53" s="80" t="s">
        <v>227</v>
      </c>
      <c r="Y53" s="80" t="s">
        <v>227</v>
      </c>
      <c r="Z53" s="80" t="s">
        <v>227</v>
      </c>
      <c r="AA53" s="80" t="s">
        <v>227</v>
      </c>
      <c r="AB53" s="80" t="s">
        <v>227</v>
      </c>
      <c r="AC53" s="80" t="s">
        <v>227</v>
      </c>
      <c r="AD53" s="80" t="s">
        <v>227</v>
      </c>
      <c r="AE53" s="80" t="s">
        <v>227</v>
      </c>
      <c r="AF53" s="80" t="s">
        <v>227</v>
      </c>
      <c r="AG53" s="80" t="s">
        <v>227</v>
      </c>
      <c r="AH53" s="80" t="s">
        <v>227</v>
      </c>
      <c r="AI53" s="80" t="s">
        <v>227</v>
      </c>
      <c r="AJ53" s="80" t="s">
        <v>227</v>
      </c>
      <c r="AK53" s="80" t="s">
        <v>227</v>
      </c>
      <c r="AL53" s="80" t="s">
        <v>227</v>
      </c>
      <c r="AM53" s="80" t="s">
        <v>227</v>
      </c>
      <c r="AN53" s="80" t="s">
        <v>227</v>
      </c>
      <c r="AO53" s="80" t="s">
        <v>227</v>
      </c>
      <c r="AP53" s="80" t="s">
        <v>227</v>
      </c>
      <c r="AQ53" s="80" t="s">
        <v>228</v>
      </c>
      <c r="AR53" s="78">
        <v>14960</v>
      </c>
      <c r="AS53" s="78">
        <v>44369</v>
      </c>
      <c r="AT53" s="189">
        <f t="shared" si="47"/>
        <v>80</v>
      </c>
      <c r="AU53" s="164" t="s">
        <v>229</v>
      </c>
      <c r="AV53" s="74" t="s">
        <v>230</v>
      </c>
      <c r="AW53" s="74" t="s">
        <v>241</v>
      </c>
      <c r="AX53" s="80" t="s">
        <v>264</v>
      </c>
      <c r="AY53" s="80">
        <v>0</v>
      </c>
      <c r="AZ53" s="80" t="s">
        <v>232</v>
      </c>
      <c r="BA53" s="80">
        <f t="shared" si="46"/>
        <v>0</v>
      </c>
      <c r="BB53" s="80" t="s">
        <v>265</v>
      </c>
      <c r="BC53" s="80">
        <v>3</v>
      </c>
      <c r="BD53" s="74" t="s">
        <v>243</v>
      </c>
      <c r="BE53" s="80" t="s">
        <v>501</v>
      </c>
      <c r="BF53" s="74" t="s">
        <v>220</v>
      </c>
      <c r="BG53" s="165" t="s">
        <v>227</v>
      </c>
      <c r="BH53" s="166" t="s">
        <v>227</v>
      </c>
      <c r="BI53" s="80" t="s">
        <v>227</v>
      </c>
      <c r="BJ53" s="78" t="s">
        <v>227</v>
      </c>
      <c r="BK53" s="78" t="s">
        <v>227</v>
      </c>
      <c r="BL53" s="80" t="s">
        <v>227</v>
      </c>
      <c r="BM53" s="166" t="s">
        <v>227</v>
      </c>
      <c r="BN53" s="80" t="s">
        <v>227</v>
      </c>
      <c r="BO53" s="80" t="s">
        <v>227</v>
      </c>
      <c r="BP53" s="166" t="s">
        <v>227</v>
      </c>
      <c r="BQ53" s="80" t="s">
        <v>227</v>
      </c>
      <c r="BR53" s="80" t="s">
        <v>227</v>
      </c>
      <c r="BS53" s="80" t="s">
        <v>227</v>
      </c>
      <c r="BT53" s="80" t="s">
        <v>227</v>
      </c>
      <c r="BU53" s="80" t="s">
        <v>227</v>
      </c>
      <c r="BV53" s="80" t="s">
        <v>227</v>
      </c>
      <c r="BW53" s="80" t="s">
        <v>227</v>
      </c>
      <c r="BX53" s="80" t="s">
        <v>227</v>
      </c>
      <c r="BY53" s="80" t="s">
        <v>227</v>
      </c>
      <c r="BZ53" s="80" t="s">
        <v>227</v>
      </c>
      <c r="CA53" s="80" t="s">
        <v>227</v>
      </c>
      <c r="CB53" s="80" t="s">
        <v>227</v>
      </c>
      <c r="CC53" s="80" t="s">
        <v>227</v>
      </c>
      <c r="CD53" s="80" t="s">
        <v>227</v>
      </c>
      <c r="CE53" s="80" t="s">
        <v>227</v>
      </c>
      <c r="CF53" s="80" t="s">
        <v>227</v>
      </c>
      <c r="CG53" s="80" t="s">
        <v>227</v>
      </c>
      <c r="CH53" s="80" t="s">
        <v>227</v>
      </c>
      <c r="CI53" s="80" t="s">
        <v>227</v>
      </c>
      <c r="CJ53" s="80" t="s">
        <v>227</v>
      </c>
      <c r="CK53" s="80" t="s">
        <v>227</v>
      </c>
      <c r="CL53" s="80" t="s">
        <v>227</v>
      </c>
      <c r="CM53" s="80" t="s">
        <v>227</v>
      </c>
      <c r="CN53" s="166" t="s">
        <v>246</v>
      </c>
      <c r="CO53" s="80" t="s">
        <v>378</v>
      </c>
      <c r="CP53" s="78">
        <v>44460</v>
      </c>
      <c r="CQ53" s="78">
        <v>44467</v>
      </c>
      <c r="CR53" s="80" t="s">
        <v>227</v>
      </c>
      <c r="CS53" s="166" t="s">
        <v>227</v>
      </c>
      <c r="CT53" s="80" t="s">
        <v>227</v>
      </c>
      <c r="CU53" s="80" t="s">
        <v>227</v>
      </c>
      <c r="CV53" s="166" t="s">
        <v>227</v>
      </c>
      <c r="CW53" s="80" t="s">
        <v>227</v>
      </c>
      <c r="CX53" s="80" t="s">
        <v>227</v>
      </c>
      <c r="CY53" s="80" t="s">
        <v>227</v>
      </c>
      <c r="CZ53" s="80" t="s">
        <v>227</v>
      </c>
      <c r="DA53" s="80" t="s">
        <v>227</v>
      </c>
      <c r="DB53" s="80" t="s">
        <v>227</v>
      </c>
      <c r="DC53" s="80" t="s">
        <v>227</v>
      </c>
      <c r="DD53" s="80" t="s">
        <v>227</v>
      </c>
      <c r="DE53" s="80" t="s">
        <v>227</v>
      </c>
      <c r="DF53" s="80" t="s">
        <v>227</v>
      </c>
      <c r="DG53" s="80" t="s">
        <v>227</v>
      </c>
      <c r="DH53" s="80" t="s">
        <v>227</v>
      </c>
      <c r="DI53" s="80" t="s">
        <v>227</v>
      </c>
      <c r="DJ53" s="80" t="s">
        <v>227</v>
      </c>
      <c r="DK53" s="80" t="s">
        <v>227</v>
      </c>
      <c r="DL53" s="80" t="s">
        <v>227</v>
      </c>
      <c r="DM53" s="80" t="s">
        <v>227</v>
      </c>
      <c r="DN53" s="80" t="s">
        <v>227</v>
      </c>
      <c r="DO53" s="80" t="s">
        <v>227</v>
      </c>
      <c r="DP53" s="80" t="s">
        <v>227</v>
      </c>
      <c r="DQ53" s="80" t="s">
        <v>227</v>
      </c>
      <c r="DR53" s="80" t="s">
        <v>227</v>
      </c>
      <c r="DS53" s="80" t="s">
        <v>227</v>
      </c>
      <c r="DT53" s="80" t="s">
        <v>227</v>
      </c>
      <c r="DU53" s="80" t="s">
        <v>227</v>
      </c>
      <c r="DV53" s="80" t="s">
        <v>227</v>
      </c>
      <c r="DW53" s="80" t="s">
        <v>227</v>
      </c>
      <c r="DX53" s="80" t="s">
        <v>227</v>
      </c>
      <c r="DY53" s="80" t="s">
        <v>227</v>
      </c>
      <c r="DZ53" s="80" t="s">
        <v>227</v>
      </c>
      <c r="EA53" s="80" t="s">
        <v>227</v>
      </c>
      <c r="EB53" s="80" t="s">
        <v>227</v>
      </c>
      <c r="EC53" s="80" t="s">
        <v>227</v>
      </c>
      <c r="ED53" s="80" t="s">
        <v>227</v>
      </c>
      <c r="EE53" s="80" t="s">
        <v>227</v>
      </c>
      <c r="EF53" s="80" t="s">
        <v>227</v>
      </c>
      <c r="EG53" s="80" t="s">
        <v>227</v>
      </c>
      <c r="EH53" s="80" t="s">
        <v>227</v>
      </c>
      <c r="EI53" s="78">
        <v>45149</v>
      </c>
      <c r="EJ53" s="80" t="s">
        <v>502</v>
      </c>
      <c r="EK53" s="166" t="s">
        <v>227</v>
      </c>
      <c r="EL53" s="80" t="s">
        <v>227</v>
      </c>
      <c r="EM53" s="78" t="s">
        <v>227</v>
      </c>
      <c r="EN53" s="78" t="s">
        <v>227</v>
      </c>
      <c r="EO53" s="80" t="s">
        <v>227</v>
      </c>
      <c r="EP53" s="166" t="s">
        <v>227</v>
      </c>
      <c r="EQ53" s="80" t="s">
        <v>227</v>
      </c>
      <c r="ER53" s="80" t="s">
        <v>227</v>
      </c>
      <c r="ES53" s="166" t="s">
        <v>227</v>
      </c>
      <c r="ET53" s="80" t="s">
        <v>227</v>
      </c>
      <c r="EU53" s="80" t="s">
        <v>227</v>
      </c>
      <c r="EV53" s="166" t="s">
        <v>227</v>
      </c>
      <c r="EW53" s="80" t="s">
        <v>227</v>
      </c>
      <c r="EX53" s="80" t="s">
        <v>227</v>
      </c>
      <c r="EY53" s="166" t="s">
        <v>227</v>
      </c>
      <c r="EZ53" s="80" t="s">
        <v>227</v>
      </c>
      <c r="FA53" s="80" t="s">
        <v>227</v>
      </c>
      <c r="FB53" s="147" t="s">
        <v>227</v>
      </c>
      <c r="FC53" s="80" t="s">
        <v>227</v>
      </c>
      <c r="FD53" s="80" t="s">
        <v>227</v>
      </c>
      <c r="FE53" s="80" t="s">
        <v>227</v>
      </c>
      <c r="FF53" s="80" t="s">
        <v>227</v>
      </c>
      <c r="FG53" s="80" t="s">
        <v>227</v>
      </c>
      <c r="FH53" s="80" t="s">
        <v>227</v>
      </c>
      <c r="FI53" s="80" t="s">
        <v>227</v>
      </c>
      <c r="FJ53" s="80" t="s">
        <v>227</v>
      </c>
      <c r="FK53" s="80" t="s">
        <v>227</v>
      </c>
      <c r="FL53" s="80" t="s">
        <v>227</v>
      </c>
      <c r="FM53" s="80" t="s">
        <v>227</v>
      </c>
      <c r="FN53" s="80" t="s">
        <v>227</v>
      </c>
      <c r="FO53" s="80" t="s">
        <v>227</v>
      </c>
      <c r="FP53" s="80" t="s">
        <v>227</v>
      </c>
      <c r="FQ53" s="80" t="s">
        <v>227</v>
      </c>
      <c r="FR53" s="80" t="s">
        <v>227</v>
      </c>
      <c r="FS53" s="80" t="s">
        <v>227</v>
      </c>
      <c r="FT53" s="80" t="s">
        <v>227</v>
      </c>
      <c r="FU53" s="80" t="s">
        <v>227</v>
      </c>
      <c r="FV53" s="80" t="s">
        <v>227</v>
      </c>
      <c r="FW53" s="80" t="s">
        <v>227</v>
      </c>
      <c r="FX53" s="80" t="s">
        <v>227</v>
      </c>
      <c r="FY53" s="80" t="s">
        <v>227</v>
      </c>
      <c r="FZ53" s="80" t="s">
        <v>227</v>
      </c>
      <c r="GA53" s="80" t="s">
        <v>227</v>
      </c>
      <c r="GB53" s="80" t="s">
        <v>227</v>
      </c>
      <c r="GC53" s="80" t="s">
        <v>227</v>
      </c>
      <c r="GD53" s="80" t="s">
        <v>227</v>
      </c>
      <c r="GE53" s="80" t="s">
        <v>227</v>
      </c>
      <c r="GF53" s="167" t="s">
        <v>236</v>
      </c>
      <c r="GG53" s="78">
        <v>45373</v>
      </c>
      <c r="GH53" s="170" t="s">
        <v>241</v>
      </c>
      <c r="GI53" s="174" t="s">
        <v>231</v>
      </c>
      <c r="GJ53" s="78">
        <v>45160</v>
      </c>
      <c r="GK53" s="78" t="s">
        <v>227</v>
      </c>
      <c r="GL53" s="78" t="s">
        <v>227</v>
      </c>
      <c r="GM53" s="159" t="str">
        <f t="shared" si="48"/>
        <v>N/A</v>
      </c>
      <c r="GN53" s="159" t="str">
        <f t="shared" si="49"/>
        <v>N/A</v>
      </c>
      <c r="GO53" s="159">
        <f t="shared" si="50"/>
        <v>1.7</v>
      </c>
      <c r="GP53" s="159" t="str">
        <f t="shared" si="51"/>
        <v>N/A</v>
      </c>
      <c r="GQ53" s="159" t="str">
        <f t="shared" si="52"/>
        <v>N/A</v>
      </c>
      <c r="GR53" s="159" t="str">
        <f t="shared" si="53"/>
        <v>N/A</v>
      </c>
      <c r="GS53" s="159" t="str">
        <f t="shared" si="54"/>
        <v>N/A</v>
      </c>
      <c r="GT53" s="159" t="str">
        <f t="shared" si="55"/>
        <v>N/A</v>
      </c>
      <c r="GU53" s="159" t="str">
        <f t="shared" si="56"/>
        <v>N/A</v>
      </c>
      <c r="GV53" s="159" t="str">
        <f t="shared" si="57"/>
        <v>N/A</v>
      </c>
      <c r="GW53" s="159">
        <f t="shared" si="58"/>
        <v>3.0333333333333332</v>
      </c>
      <c r="GX53" s="159">
        <f t="shared" si="59"/>
        <v>3.2666666666666666</v>
      </c>
      <c r="GY53" s="159">
        <f t="shared" si="60"/>
        <v>26</v>
      </c>
      <c r="GZ53" s="159" t="str">
        <f t="shared" si="61"/>
        <v>N/A</v>
      </c>
      <c r="HA53" s="159" t="str">
        <f t="shared" si="62"/>
        <v>N/A</v>
      </c>
      <c r="HB53" s="159">
        <f t="shared" si="63"/>
        <v>26</v>
      </c>
      <c r="HC53" s="159">
        <f t="shared" si="64"/>
        <v>33.466666666666669</v>
      </c>
      <c r="HD53" s="159">
        <f t="shared" si="65"/>
        <v>26.366666666666667</v>
      </c>
      <c r="HE53" s="159" t="str">
        <f t="shared" si="66"/>
        <v>N/A</v>
      </c>
      <c r="HF53" s="160">
        <f t="shared" si="67"/>
        <v>33.466666666666669</v>
      </c>
      <c r="HG53" s="160" cm="1">
        <f t="array" ref="HG53">INDEX($HB53:$HD53,MATCH(TRUE,INDEX(ISNUMBER($HB53:$HD53),0),0))</f>
        <v>26</v>
      </c>
      <c r="HH53" s="161">
        <f t="shared" si="68"/>
        <v>1</v>
      </c>
      <c r="HI53" s="86">
        <f t="shared" si="69"/>
        <v>1</v>
      </c>
      <c r="HJ53" s="111">
        <f t="shared" si="70"/>
        <v>1</v>
      </c>
      <c r="HK53" s="205" t="str">
        <f t="shared" si="71"/>
        <v>1</v>
      </c>
    </row>
    <row r="54" spans="1:219" ht="15" customHeight="1" x14ac:dyDescent="0.3">
      <c r="A54" s="80">
        <v>4583283547</v>
      </c>
      <c r="B54" s="74" t="s">
        <v>220</v>
      </c>
      <c r="C54" s="74" t="s">
        <v>221</v>
      </c>
      <c r="D54" s="74" t="s">
        <v>220</v>
      </c>
      <c r="E54" s="80" t="s">
        <v>503</v>
      </c>
      <c r="F54" s="80" t="s">
        <v>458</v>
      </c>
      <c r="G54" s="80" t="s">
        <v>345</v>
      </c>
      <c r="H54" s="78">
        <v>44431</v>
      </c>
      <c r="I54" s="192" t="s">
        <v>504</v>
      </c>
      <c r="J54" s="80" t="s">
        <v>226</v>
      </c>
      <c r="K54" s="78" t="s">
        <v>227</v>
      </c>
      <c r="L54" s="80" t="s">
        <v>227</v>
      </c>
      <c r="M54" s="80" t="s">
        <v>227</v>
      </c>
      <c r="N54" s="80" t="s">
        <v>227</v>
      </c>
      <c r="O54" s="80" t="s">
        <v>227</v>
      </c>
      <c r="P54" s="80" t="s">
        <v>227</v>
      </c>
      <c r="Q54" s="80" t="s">
        <v>227</v>
      </c>
      <c r="R54" s="80" t="s">
        <v>227</v>
      </c>
      <c r="S54" s="80" t="s">
        <v>227</v>
      </c>
      <c r="T54" s="80" t="s">
        <v>227</v>
      </c>
      <c r="U54" s="80" t="s">
        <v>227</v>
      </c>
      <c r="V54" s="80" t="s">
        <v>227</v>
      </c>
      <c r="W54" s="80" t="s">
        <v>227</v>
      </c>
      <c r="X54" s="80" t="s">
        <v>227</v>
      </c>
      <c r="Y54" s="80" t="s">
        <v>227</v>
      </c>
      <c r="Z54" s="80" t="s">
        <v>227</v>
      </c>
      <c r="AA54" s="80" t="s">
        <v>227</v>
      </c>
      <c r="AB54" s="80" t="s">
        <v>227</v>
      </c>
      <c r="AC54" s="80" t="s">
        <v>227</v>
      </c>
      <c r="AD54" s="80" t="s">
        <v>227</v>
      </c>
      <c r="AE54" s="80" t="s">
        <v>227</v>
      </c>
      <c r="AF54" s="80" t="s">
        <v>227</v>
      </c>
      <c r="AG54" s="80" t="s">
        <v>227</v>
      </c>
      <c r="AH54" s="80" t="s">
        <v>227</v>
      </c>
      <c r="AI54" s="80" t="s">
        <v>227</v>
      </c>
      <c r="AJ54" s="80" t="s">
        <v>227</v>
      </c>
      <c r="AK54" s="80" t="s">
        <v>227</v>
      </c>
      <c r="AL54" s="80" t="s">
        <v>227</v>
      </c>
      <c r="AM54" s="80" t="s">
        <v>227</v>
      </c>
      <c r="AN54" s="80" t="s">
        <v>227</v>
      </c>
      <c r="AO54" s="80" t="s">
        <v>227</v>
      </c>
      <c r="AP54" s="80" t="s">
        <v>227</v>
      </c>
      <c r="AQ54" s="80" t="s">
        <v>228</v>
      </c>
      <c r="AR54" s="78">
        <v>20226</v>
      </c>
      <c r="AS54" s="78">
        <v>44356</v>
      </c>
      <c r="AT54" s="189">
        <f t="shared" si="47"/>
        <v>66</v>
      </c>
      <c r="AU54" s="164" t="s">
        <v>505</v>
      </c>
      <c r="AV54" s="74" t="s">
        <v>230</v>
      </c>
      <c r="AW54" s="74" t="s">
        <v>241</v>
      </c>
      <c r="AX54" s="80" t="s">
        <v>264</v>
      </c>
      <c r="AY54" s="80">
        <v>0</v>
      </c>
      <c r="AZ54" s="80" t="s">
        <v>232</v>
      </c>
      <c r="BA54" s="80">
        <f t="shared" si="46"/>
        <v>0</v>
      </c>
      <c r="BB54" s="80" t="s">
        <v>265</v>
      </c>
      <c r="BC54" s="80">
        <v>3</v>
      </c>
      <c r="BD54" s="74" t="s">
        <v>243</v>
      </c>
      <c r="BE54" s="80" t="s">
        <v>244</v>
      </c>
      <c r="BF54" s="74" t="s">
        <v>220</v>
      </c>
      <c r="BG54" s="80" t="s">
        <v>227</v>
      </c>
      <c r="BH54" s="80" t="s">
        <v>227</v>
      </c>
      <c r="BI54" s="80" t="s">
        <v>227</v>
      </c>
      <c r="BJ54" s="80" t="s">
        <v>227</v>
      </c>
      <c r="BK54" s="80" t="s">
        <v>227</v>
      </c>
      <c r="BL54" s="80" t="s">
        <v>227</v>
      </c>
      <c r="BM54" s="80" t="s">
        <v>227</v>
      </c>
      <c r="BN54" s="80" t="s">
        <v>227</v>
      </c>
      <c r="BO54" s="80" t="s">
        <v>227</v>
      </c>
      <c r="BP54" s="80" t="s">
        <v>227</v>
      </c>
      <c r="BQ54" s="80" t="s">
        <v>227</v>
      </c>
      <c r="BR54" s="80" t="s">
        <v>227</v>
      </c>
      <c r="BS54" s="80" t="s">
        <v>227</v>
      </c>
      <c r="BT54" s="80" t="s">
        <v>227</v>
      </c>
      <c r="BU54" s="80" t="s">
        <v>227</v>
      </c>
      <c r="BV54" s="80" t="s">
        <v>227</v>
      </c>
      <c r="BW54" s="80" t="s">
        <v>227</v>
      </c>
      <c r="BX54" s="80" t="s">
        <v>227</v>
      </c>
      <c r="BY54" s="80" t="s">
        <v>227</v>
      </c>
      <c r="BZ54" s="80" t="s">
        <v>227</v>
      </c>
      <c r="CA54" s="80" t="s">
        <v>227</v>
      </c>
      <c r="CB54" s="80" t="s">
        <v>227</v>
      </c>
      <c r="CC54" s="80" t="s">
        <v>227</v>
      </c>
      <c r="CD54" s="80" t="s">
        <v>227</v>
      </c>
      <c r="CE54" s="80" t="s">
        <v>227</v>
      </c>
      <c r="CF54" s="80" t="s">
        <v>227</v>
      </c>
      <c r="CG54" s="80" t="s">
        <v>227</v>
      </c>
      <c r="CH54" s="80" t="s">
        <v>227</v>
      </c>
      <c r="CI54" s="80" t="s">
        <v>227</v>
      </c>
      <c r="CJ54" s="80" t="s">
        <v>227</v>
      </c>
      <c r="CK54" s="80" t="s">
        <v>227</v>
      </c>
      <c r="CL54" s="80" t="s">
        <v>227</v>
      </c>
      <c r="CM54" s="80" t="s">
        <v>227</v>
      </c>
      <c r="CN54" s="80" t="s">
        <v>227</v>
      </c>
      <c r="CO54" s="80" t="s">
        <v>227</v>
      </c>
      <c r="CP54" s="80" t="s">
        <v>227</v>
      </c>
      <c r="CQ54" s="80" t="s">
        <v>227</v>
      </c>
      <c r="CR54" s="80" t="s">
        <v>227</v>
      </c>
      <c r="CS54" s="80" t="s">
        <v>227</v>
      </c>
      <c r="CT54" s="80" t="s">
        <v>227</v>
      </c>
      <c r="CU54" s="80" t="s">
        <v>227</v>
      </c>
      <c r="CV54" s="80" t="s">
        <v>227</v>
      </c>
      <c r="CW54" s="80" t="s">
        <v>227</v>
      </c>
      <c r="CX54" s="80" t="s">
        <v>227</v>
      </c>
      <c r="CY54" s="80" t="s">
        <v>227</v>
      </c>
      <c r="CZ54" s="80" t="s">
        <v>227</v>
      </c>
      <c r="DA54" s="80" t="s">
        <v>227</v>
      </c>
      <c r="DB54" s="80" t="s">
        <v>227</v>
      </c>
      <c r="DC54" s="80" t="s">
        <v>227</v>
      </c>
      <c r="DD54" s="80" t="s">
        <v>227</v>
      </c>
      <c r="DE54" s="80" t="s">
        <v>227</v>
      </c>
      <c r="DF54" s="80" t="s">
        <v>227</v>
      </c>
      <c r="DG54" s="80" t="s">
        <v>227</v>
      </c>
      <c r="DH54" s="80" t="s">
        <v>227</v>
      </c>
      <c r="DI54" s="80" t="s">
        <v>227</v>
      </c>
      <c r="DJ54" s="80" t="s">
        <v>227</v>
      </c>
      <c r="DK54" s="80" t="s">
        <v>227</v>
      </c>
      <c r="DL54" s="80" t="s">
        <v>227</v>
      </c>
      <c r="DM54" s="80" t="s">
        <v>227</v>
      </c>
      <c r="DN54" s="80" t="s">
        <v>227</v>
      </c>
      <c r="DO54" s="80" t="s">
        <v>227</v>
      </c>
      <c r="DP54" s="80" t="s">
        <v>227</v>
      </c>
      <c r="DQ54" s="80" t="s">
        <v>227</v>
      </c>
      <c r="DR54" s="80" t="s">
        <v>227</v>
      </c>
      <c r="DS54" s="80" t="s">
        <v>227</v>
      </c>
      <c r="DT54" s="80" t="s">
        <v>227</v>
      </c>
      <c r="DU54" s="80" t="s">
        <v>227</v>
      </c>
      <c r="DV54" s="80" t="s">
        <v>227</v>
      </c>
      <c r="DW54" s="80" t="s">
        <v>227</v>
      </c>
      <c r="DX54" s="80" t="s">
        <v>227</v>
      </c>
      <c r="DY54" s="80" t="s">
        <v>227</v>
      </c>
      <c r="DZ54" s="80" t="s">
        <v>227</v>
      </c>
      <c r="EA54" s="80" t="s">
        <v>227</v>
      </c>
      <c r="EB54" s="80" t="s">
        <v>227</v>
      </c>
      <c r="EC54" s="80" t="s">
        <v>227</v>
      </c>
      <c r="ED54" s="80" t="s">
        <v>227</v>
      </c>
      <c r="EE54" s="80" t="s">
        <v>227</v>
      </c>
      <c r="EF54" s="80" t="s">
        <v>227</v>
      </c>
      <c r="EG54" s="80" t="s">
        <v>227</v>
      </c>
      <c r="EH54" s="80" t="s">
        <v>227</v>
      </c>
      <c r="EI54" s="80" t="s">
        <v>227</v>
      </c>
      <c r="EJ54" s="80" t="s">
        <v>227</v>
      </c>
      <c r="EK54" s="80" t="s">
        <v>227</v>
      </c>
      <c r="EL54" s="80" t="s">
        <v>227</v>
      </c>
      <c r="EM54" s="80" t="s">
        <v>227</v>
      </c>
      <c r="EN54" s="80" t="s">
        <v>227</v>
      </c>
      <c r="EO54" s="80" t="s">
        <v>227</v>
      </c>
      <c r="EP54" s="80" t="s">
        <v>227</v>
      </c>
      <c r="EQ54" s="80" t="s">
        <v>227</v>
      </c>
      <c r="ER54" s="80" t="s">
        <v>227</v>
      </c>
      <c r="ES54" s="80" t="s">
        <v>227</v>
      </c>
      <c r="ET54" s="80" t="s">
        <v>227</v>
      </c>
      <c r="EU54" s="80" t="s">
        <v>227</v>
      </c>
      <c r="EV54" s="80" t="s">
        <v>227</v>
      </c>
      <c r="EW54" s="80" t="s">
        <v>227</v>
      </c>
      <c r="EX54" s="80" t="s">
        <v>227</v>
      </c>
      <c r="EY54" s="80" t="s">
        <v>227</v>
      </c>
      <c r="EZ54" s="80" t="s">
        <v>227</v>
      </c>
      <c r="FA54" s="80" t="s">
        <v>227</v>
      </c>
      <c r="FB54" s="147" t="s">
        <v>227</v>
      </c>
      <c r="FC54" s="80" t="s">
        <v>227</v>
      </c>
      <c r="FD54" s="80" t="s">
        <v>227</v>
      </c>
      <c r="FE54" s="80" t="s">
        <v>227</v>
      </c>
      <c r="FF54" s="80" t="s">
        <v>227</v>
      </c>
      <c r="FG54" s="80" t="s">
        <v>227</v>
      </c>
      <c r="FH54" s="80" t="s">
        <v>227</v>
      </c>
      <c r="FI54" s="80" t="s">
        <v>227</v>
      </c>
      <c r="FJ54" s="80" t="s">
        <v>227</v>
      </c>
      <c r="FK54" s="80" t="s">
        <v>227</v>
      </c>
      <c r="FL54" s="80" t="s">
        <v>227</v>
      </c>
      <c r="FM54" s="80" t="s">
        <v>227</v>
      </c>
      <c r="FN54" s="80" t="s">
        <v>227</v>
      </c>
      <c r="FO54" s="80" t="s">
        <v>227</v>
      </c>
      <c r="FP54" s="80" t="s">
        <v>227</v>
      </c>
      <c r="FQ54" s="80" t="s">
        <v>227</v>
      </c>
      <c r="FR54" s="80" t="s">
        <v>227</v>
      </c>
      <c r="FS54" s="80" t="s">
        <v>227</v>
      </c>
      <c r="FT54" s="80" t="s">
        <v>227</v>
      </c>
      <c r="FU54" s="80" t="s">
        <v>227</v>
      </c>
      <c r="FV54" s="80" t="s">
        <v>227</v>
      </c>
      <c r="FW54" s="80" t="s">
        <v>227</v>
      </c>
      <c r="FX54" s="80" t="s">
        <v>227</v>
      </c>
      <c r="FY54" s="80" t="s">
        <v>227</v>
      </c>
      <c r="FZ54" s="80" t="s">
        <v>227</v>
      </c>
      <c r="GA54" s="80" t="s">
        <v>227</v>
      </c>
      <c r="GB54" s="80" t="s">
        <v>227</v>
      </c>
      <c r="GC54" s="80" t="s">
        <v>227</v>
      </c>
      <c r="GD54" s="80" t="s">
        <v>227</v>
      </c>
      <c r="GE54" s="80" t="s">
        <v>227</v>
      </c>
      <c r="GF54" s="167" t="s">
        <v>236</v>
      </c>
      <c r="GG54" s="78">
        <v>45718</v>
      </c>
      <c r="GH54" s="74" t="s">
        <v>220</v>
      </c>
      <c r="GI54" s="80" t="s">
        <v>231</v>
      </c>
      <c r="GJ54" s="156">
        <v>45525</v>
      </c>
      <c r="GK54" s="78" t="s">
        <v>227</v>
      </c>
      <c r="GL54" s="78" t="s">
        <v>506</v>
      </c>
      <c r="GM54" s="159" t="str">
        <f t="shared" si="48"/>
        <v>N/A</v>
      </c>
      <c r="GN54" s="159" t="str">
        <f t="shared" si="49"/>
        <v>N/A</v>
      </c>
      <c r="GO54" s="159">
        <f t="shared" si="50"/>
        <v>2.5</v>
      </c>
      <c r="GP54" s="159" t="str">
        <f t="shared" si="51"/>
        <v>N/A</v>
      </c>
      <c r="GQ54" s="159" t="str">
        <f t="shared" si="52"/>
        <v>N/A</v>
      </c>
      <c r="GR54" s="159" t="str">
        <f t="shared" si="53"/>
        <v>N/A</v>
      </c>
      <c r="GS54" s="159" t="str">
        <f t="shared" si="54"/>
        <v>N/A</v>
      </c>
      <c r="GT54" s="159" t="str">
        <f t="shared" si="55"/>
        <v>N/A</v>
      </c>
      <c r="GU54" s="159" t="str">
        <f t="shared" si="56"/>
        <v>N/A</v>
      </c>
      <c r="GV54" s="159" t="str">
        <f t="shared" si="57"/>
        <v>N/A</v>
      </c>
      <c r="GW54" s="159" t="str">
        <f t="shared" si="58"/>
        <v>N/A</v>
      </c>
      <c r="GX54" s="159" t="str">
        <f t="shared" si="59"/>
        <v>N/A</v>
      </c>
      <c r="GY54" s="159" t="str">
        <f t="shared" si="60"/>
        <v>N/A</v>
      </c>
      <c r="GZ54" s="159" t="str">
        <f t="shared" si="61"/>
        <v>N/A</v>
      </c>
      <c r="HA54" s="159" t="str">
        <f t="shared" si="62"/>
        <v>N/A</v>
      </c>
      <c r="HB54" s="159" t="str">
        <f t="shared" si="63"/>
        <v>N/A</v>
      </c>
      <c r="HC54" s="159">
        <f t="shared" si="64"/>
        <v>45.4</v>
      </c>
      <c r="HD54" s="159">
        <f t="shared" si="65"/>
        <v>38.966666666666669</v>
      </c>
      <c r="HE54" s="159" t="str">
        <f t="shared" si="66"/>
        <v>N/A</v>
      </c>
      <c r="HF54" s="160">
        <f t="shared" si="67"/>
        <v>45.4</v>
      </c>
      <c r="HG54" s="160" cm="1">
        <f t="array" ref="HG54">INDEX($HB54:$HD54,MATCH(TRUE,INDEX(ISNUMBER($HB54:$HD54),0),0))</f>
        <v>45.4</v>
      </c>
      <c r="HH54" s="161">
        <f t="shared" si="68"/>
        <v>0</v>
      </c>
      <c r="HI54" s="86">
        <f t="shared" si="69"/>
        <v>0</v>
      </c>
      <c r="HJ54" s="111">
        <f t="shared" si="70"/>
        <v>1</v>
      </c>
      <c r="HK54" s="205" t="str">
        <f t="shared" si="71"/>
        <v>0</v>
      </c>
    </row>
    <row r="55" spans="1:219" ht="15" customHeight="1" x14ac:dyDescent="0.3">
      <c r="A55" s="80">
        <v>4086379015</v>
      </c>
      <c r="B55" s="74" t="s">
        <v>220</v>
      </c>
      <c r="C55" s="74" t="s">
        <v>221</v>
      </c>
      <c r="D55" s="74" t="s">
        <v>220</v>
      </c>
      <c r="E55" s="80" t="s">
        <v>507</v>
      </c>
      <c r="F55" s="80" t="s">
        <v>367</v>
      </c>
      <c r="G55" s="80" t="s">
        <v>385</v>
      </c>
      <c r="H55" s="78">
        <v>44440</v>
      </c>
      <c r="I55" s="80" t="s">
        <v>487</v>
      </c>
      <c r="J55" s="80" t="s">
        <v>226</v>
      </c>
      <c r="K55" s="78" t="s">
        <v>227</v>
      </c>
      <c r="L55" s="80" t="s">
        <v>227</v>
      </c>
      <c r="M55" s="80" t="s">
        <v>227</v>
      </c>
      <c r="N55" s="80" t="s">
        <v>227</v>
      </c>
      <c r="O55" s="80" t="s">
        <v>227</v>
      </c>
      <c r="P55" s="80" t="s">
        <v>227</v>
      </c>
      <c r="Q55" s="80" t="s">
        <v>227</v>
      </c>
      <c r="R55" s="80" t="s">
        <v>227</v>
      </c>
      <c r="S55" s="80" t="s">
        <v>227</v>
      </c>
      <c r="T55" s="80" t="s">
        <v>227</v>
      </c>
      <c r="U55" s="80" t="s">
        <v>227</v>
      </c>
      <c r="V55" s="80" t="s">
        <v>227</v>
      </c>
      <c r="W55" s="80" t="s">
        <v>227</v>
      </c>
      <c r="X55" s="80" t="s">
        <v>227</v>
      </c>
      <c r="Y55" s="80" t="s">
        <v>227</v>
      </c>
      <c r="Z55" s="80" t="s">
        <v>227</v>
      </c>
      <c r="AA55" s="80" t="s">
        <v>227</v>
      </c>
      <c r="AB55" s="80" t="s">
        <v>227</v>
      </c>
      <c r="AC55" s="80" t="s">
        <v>227</v>
      </c>
      <c r="AD55" s="80" t="s">
        <v>227</v>
      </c>
      <c r="AE55" s="80" t="s">
        <v>227</v>
      </c>
      <c r="AF55" s="80" t="s">
        <v>227</v>
      </c>
      <c r="AG55" s="80" t="s">
        <v>227</v>
      </c>
      <c r="AH55" s="80" t="s">
        <v>227</v>
      </c>
      <c r="AI55" s="80" t="s">
        <v>227</v>
      </c>
      <c r="AJ55" s="80" t="s">
        <v>227</v>
      </c>
      <c r="AK55" s="80" t="s">
        <v>227</v>
      </c>
      <c r="AL55" s="80" t="s">
        <v>227</v>
      </c>
      <c r="AM55" s="80" t="s">
        <v>227</v>
      </c>
      <c r="AN55" s="80" t="s">
        <v>227</v>
      </c>
      <c r="AO55" s="80" t="s">
        <v>227</v>
      </c>
      <c r="AP55" s="80" t="s">
        <v>227</v>
      </c>
      <c r="AQ55" s="80" t="s">
        <v>228</v>
      </c>
      <c r="AR55" s="78">
        <v>32829</v>
      </c>
      <c r="AS55" s="78">
        <v>44354</v>
      </c>
      <c r="AT55" s="189">
        <f t="shared" si="47"/>
        <v>31</v>
      </c>
      <c r="AU55" s="164" t="s">
        <v>229</v>
      </c>
      <c r="AV55" s="74" t="s">
        <v>230</v>
      </c>
      <c r="AW55" s="74" t="s">
        <v>241</v>
      </c>
      <c r="AX55" s="80" t="s">
        <v>309</v>
      </c>
      <c r="AY55" s="80" t="s">
        <v>232</v>
      </c>
      <c r="AZ55" s="80" t="s">
        <v>232</v>
      </c>
      <c r="BA55" s="80">
        <f t="shared" si="46"/>
        <v>0</v>
      </c>
      <c r="BB55" s="157" t="s">
        <v>310</v>
      </c>
      <c r="BC55" s="80">
        <v>1</v>
      </c>
      <c r="BD55" s="74" t="s">
        <v>243</v>
      </c>
      <c r="BE55" s="80" t="s">
        <v>370</v>
      </c>
      <c r="BF55" s="74" t="s">
        <v>220</v>
      </c>
      <c r="BG55" s="80" t="s">
        <v>227</v>
      </c>
      <c r="BH55" s="80" t="s">
        <v>227</v>
      </c>
      <c r="BI55" s="80" t="s">
        <v>227</v>
      </c>
      <c r="BJ55" s="80" t="s">
        <v>227</v>
      </c>
      <c r="BK55" s="80" t="s">
        <v>227</v>
      </c>
      <c r="BL55" s="80" t="s">
        <v>227</v>
      </c>
      <c r="BM55" s="80" t="s">
        <v>227</v>
      </c>
      <c r="BN55" s="80" t="s">
        <v>227</v>
      </c>
      <c r="BO55" s="80" t="s">
        <v>227</v>
      </c>
      <c r="BP55" s="80" t="s">
        <v>227</v>
      </c>
      <c r="BQ55" s="80" t="s">
        <v>227</v>
      </c>
      <c r="BR55" s="80" t="s">
        <v>227</v>
      </c>
      <c r="BS55" s="80" t="s">
        <v>227</v>
      </c>
      <c r="BT55" s="80" t="s">
        <v>227</v>
      </c>
      <c r="BU55" s="80" t="s">
        <v>227</v>
      </c>
      <c r="BV55" s="80" t="s">
        <v>227</v>
      </c>
      <c r="BW55" s="80" t="s">
        <v>227</v>
      </c>
      <c r="BX55" s="80" t="s">
        <v>227</v>
      </c>
      <c r="BY55" s="80" t="s">
        <v>227</v>
      </c>
      <c r="BZ55" s="80" t="s">
        <v>227</v>
      </c>
      <c r="CA55" s="80" t="s">
        <v>227</v>
      </c>
      <c r="CB55" s="80" t="s">
        <v>227</v>
      </c>
      <c r="CC55" s="80" t="s">
        <v>227</v>
      </c>
      <c r="CD55" s="80" t="s">
        <v>227</v>
      </c>
      <c r="CE55" s="80" t="s">
        <v>227</v>
      </c>
      <c r="CF55" s="80" t="s">
        <v>227</v>
      </c>
      <c r="CG55" s="80" t="s">
        <v>227</v>
      </c>
      <c r="CH55" s="80" t="s">
        <v>227</v>
      </c>
      <c r="CI55" s="80" t="s">
        <v>227</v>
      </c>
      <c r="CJ55" s="80" t="s">
        <v>227</v>
      </c>
      <c r="CK55" s="80" t="s">
        <v>227</v>
      </c>
      <c r="CL55" s="80" t="s">
        <v>227</v>
      </c>
      <c r="CM55" s="80" t="s">
        <v>227</v>
      </c>
      <c r="CN55" s="80" t="s">
        <v>227</v>
      </c>
      <c r="CO55" s="80" t="s">
        <v>227</v>
      </c>
      <c r="CP55" s="80" t="s">
        <v>227</v>
      </c>
      <c r="CQ55" s="80" t="s">
        <v>227</v>
      </c>
      <c r="CR55" s="80" t="s">
        <v>227</v>
      </c>
      <c r="CS55" s="80" t="s">
        <v>227</v>
      </c>
      <c r="CT55" s="80" t="s">
        <v>227</v>
      </c>
      <c r="CU55" s="80" t="s">
        <v>227</v>
      </c>
      <c r="CV55" s="80" t="s">
        <v>227</v>
      </c>
      <c r="CW55" s="80" t="s">
        <v>227</v>
      </c>
      <c r="CX55" s="80" t="s">
        <v>227</v>
      </c>
      <c r="CY55" s="80" t="s">
        <v>227</v>
      </c>
      <c r="CZ55" s="80" t="s">
        <v>227</v>
      </c>
      <c r="DA55" s="80" t="s">
        <v>227</v>
      </c>
      <c r="DB55" s="80" t="s">
        <v>227</v>
      </c>
      <c r="DC55" s="80" t="s">
        <v>227</v>
      </c>
      <c r="DD55" s="80" t="s">
        <v>227</v>
      </c>
      <c r="DE55" s="80" t="s">
        <v>227</v>
      </c>
      <c r="DF55" s="80" t="s">
        <v>227</v>
      </c>
      <c r="DG55" s="80" t="s">
        <v>227</v>
      </c>
      <c r="DH55" s="80" t="s">
        <v>227</v>
      </c>
      <c r="DI55" s="80" t="s">
        <v>227</v>
      </c>
      <c r="DJ55" s="80" t="s">
        <v>227</v>
      </c>
      <c r="DK55" s="80" t="s">
        <v>227</v>
      </c>
      <c r="DL55" s="80" t="s">
        <v>227</v>
      </c>
      <c r="DM55" s="80" t="s">
        <v>227</v>
      </c>
      <c r="DN55" s="80" t="s">
        <v>227</v>
      </c>
      <c r="DO55" s="80" t="s">
        <v>227</v>
      </c>
      <c r="DP55" s="80" t="s">
        <v>227</v>
      </c>
      <c r="DQ55" s="80" t="s">
        <v>227</v>
      </c>
      <c r="DR55" s="80" t="s">
        <v>227</v>
      </c>
      <c r="DS55" s="80" t="s">
        <v>227</v>
      </c>
      <c r="DT55" s="80" t="s">
        <v>227</v>
      </c>
      <c r="DU55" s="80" t="s">
        <v>227</v>
      </c>
      <c r="DV55" s="80" t="s">
        <v>227</v>
      </c>
      <c r="DW55" s="80" t="s">
        <v>227</v>
      </c>
      <c r="DX55" s="80" t="s">
        <v>227</v>
      </c>
      <c r="DY55" s="80" t="s">
        <v>227</v>
      </c>
      <c r="DZ55" s="80" t="s">
        <v>227</v>
      </c>
      <c r="EA55" s="80" t="s">
        <v>227</v>
      </c>
      <c r="EB55" s="80" t="s">
        <v>227</v>
      </c>
      <c r="EC55" s="80" t="s">
        <v>227</v>
      </c>
      <c r="ED55" s="80" t="s">
        <v>227</v>
      </c>
      <c r="EE55" s="80" t="s">
        <v>227</v>
      </c>
      <c r="EF55" s="80" t="s">
        <v>227</v>
      </c>
      <c r="EG55" s="80" t="s">
        <v>227</v>
      </c>
      <c r="EH55" s="80" t="s">
        <v>227</v>
      </c>
      <c r="EI55" s="80" t="s">
        <v>227</v>
      </c>
      <c r="EJ55" s="80" t="s">
        <v>227</v>
      </c>
      <c r="EK55" s="80" t="s">
        <v>227</v>
      </c>
      <c r="EL55" s="80" t="s">
        <v>227</v>
      </c>
      <c r="EM55" s="80" t="s">
        <v>227</v>
      </c>
      <c r="EN55" s="80" t="s">
        <v>227</v>
      </c>
      <c r="EO55" s="80" t="s">
        <v>227</v>
      </c>
      <c r="EP55" s="80" t="s">
        <v>227</v>
      </c>
      <c r="EQ55" s="80" t="s">
        <v>227</v>
      </c>
      <c r="ER55" s="80" t="s">
        <v>227</v>
      </c>
      <c r="ES55" s="80" t="s">
        <v>227</v>
      </c>
      <c r="ET55" s="80" t="s">
        <v>227</v>
      </c>
      <c r="EU55" s="80" t="s">
        <v>227</v>
      </c>
      <c r="EV55" s="80" t="s">
        <v>227</v>
      </c>
      <c r="EW55" s="80" t="s">
        <v>227</v>
      </c>
      <c r="EX55" s="80" t="s">
        <v>227</v>
      </c>
      <c r="EY55" s="80" t="s">
        <v>227</v>
      </c>
      <c r="EZ55" s="80" t="s">
        <v>227</v>
      </c>
      <c r="FA55" s="80" t="s">
        <v>227</v>
      </c>
      <c r="FB55" s="147" t="s">
        <v>227</v>
      </c>
      <c r="FC55" s="80" t="s">
        <v>227</v>
      </c>
      <c r="FD55" s="80" t="s">
        <v>227</v>
      </c>
      <c r="FE55" s="80" t="s">
        <v>227</v>
      </c>
      <c r="FF55" s="80" t="s">
        <v>227</v>
      </c>
      <c r="FG55" s="80" t="s">
        <v>227</v>
      </c>
      <c r="FH55" s="80" t="s">
        <v>227</v>
      </c>
      <c r="FI55" s="80" t="s">
        <v>227</v>
      </c>
      <c r="FJ55" s="80" t="s">
        <v>227</v>
      </c>
      <c r="FK55" s="80" t="s">
        <v>227</v>
      </c>
      <c r="FL55" s="80" t="s">
        <v>227</v>
      </c>
      <c r="FM55" s="80" t="s">
        <v>227</v>
      </c>
      <c r="FN55" s="80" t="s">
        <v>227</v>
      </c>
      <c r="FO55" s="80" t="s">
        <v>227</v>
      </c>
      <c r="FP55" s="80" t="s">
        <v>227</v>
      </c>
      <c r="FQ55" s="80" t="s">
        <v>227</v>
      </c>
      <c r="FR55" s="80" t="s">
        <v>227</v>
      </c>
      <c r="FS55" s="80" t="s">
        <v>227</v>
      </c>
      <c r="FT55" s="80" t="s">
        <v>227</v>
      </c>
      <c r="FU55" s="80" t="s">
        <v>227</v>
      </c>
      <c r="FV55" s="80" t="s">
        <v>227</v>
      </c>
      <c r="FW55" s="80" t="s">
        <v>227</v>
      </c>
      <c r="FX55" s="80" t="s">
        <v>227</v>
      </c>
      <c r="FY55" s="80" t="s">
        <v>227</v>
      </c>
      <c r="FZ55" s="80" t="s">
        <v>227</v>
      </c>
      <c r="GA55" s="80" t="s">
        <v>227</v>
      </c>
      <c r="GB55" s="80" t="s">
        <v>227</v>
      </c>
      <c r="GC55" s="80" t="s">
        <v>227</v>
      </c>
      <c r="GD55" s="80" t="s">
        <v>227</v>
      </c>
      <c r="GE55" s="80" t="s">
        <v>227</v>
      </c>
      <c r="GF55" s="167" t="s">
        <v>312</v>
      </c>
      <c r="GG55" s="78" t="s">
        <v>227</v>
      </c>
      <c r="GH55" s="74" t="s">
        <v>227</v>
      </c>
      <c r="GI55" s="80" t="s">
        <v>227</v>
      </c>
      <c r="GJ55" s="78">
        <v>44463</v>
      </c>
      <c r="GK55" s="156">
        <v>46162</v>
      </c>
      <c r="GL55" s="156" t="s">
        <v>508</v>
      </c>
      <c r="GM55" s="159" t="str">
        <f t="shared" si="48"/>
        <v>N/A</v>
      </c>
      <c r="GN55" s="159" t="str">
        <f t="shared" si="49"/>
        <v>N/A</v>
      </c>
      <c r="GO55" s="159">
        <f t="shared" si="50"/>
        <v>2.8666666666666667</v>
      </c>
      <c r="GP55" s="159" t="str">
        <f t="shared" si="51"/>
        <v>N/A</v>
      </c>
      <c r="GQ55" s="159" t="str">
        <f t="shared" si="52"/>
        <v>N/A</v>
      </c>
      <c r="GR55" s="159" t="str">
        <f t="shared" si="53"/>
        <v>N/A</v>
      </c>
      <c r="GS55" s="159" t="str">
        <f t="shared" si="54"/>
        <v>N/A</v>
      </c>
      <c r="GT55" s="159" t="str">
        <f t="shared" si="55"/>
        <v>N/A</v>
      </c>
      <c r="GU55" s="159" t="str">
        <f t="shared" si="56"/>
        <v>N/A</v>
      </c>
      <c r="GV55" s="159" t="str">
        <f t="shared" si="57"/>
        <v>N/A</v>
      </c>
      <c r="GW55" s="159" t="str">
        <f t="shared" si="58"/>
        <v>N/A</v>
      </c>
      <c r="GX55" s="159" t="str">
        <f t="shared" si="59"/>
        <v>N/A</v>
      </c>
      <c r="GY55" s="159" t="str">
        <f t="shared" si="60"/>
        <v>N/A</v>
      </c>
      <c r="GZ55" s="159" t="str">
        <f t="shared" si="61"/>
        <v>N/A</v>
      </c>
      <c r="HA55" s="159" t="str">
        <f t="shared" si="62"/>
        <v>N/A</v>
      </c>
      <c r="HB55" s="159" t="str">
        <f t="shared" si="63"/>
        <v>N/A</v>
      </c>
      <c r="HC55" s="159" t="str">
        <f t="shared" si="64"/>
        <v>N/A</v>
      </c>
      <c r="HD55" s="159">
        <f t="shared" si="65"/>
        <v>3.6333333333333333</v>
      </c>
      <c r="HE55" s="159">
        <f t="shared" si="66"/>
        <v>60.266666666666666</v>
      </c>
      <c r="HF55" s="160">
        <f t="shared" si="67"/>
        <v>60.266666666666666</v>
      </c>
      <c r="HG55" s="160" cm="1">
        <f t="array" ref="HG55">INDEX($HB55:$HD55,MATCH(TRUE,INDEX(ISNUMBER($HB55:$HD55),0),0))</f>
        <v>3.6333333333333333</v>
      </c>
      <c r="HH55" s="161">
        <f t="shared" si="68"/>
        <v>0</v>
      </c>
      <c r="HI55" s="86">
        <f t="shared" si="69"/>
        <v>0</v>
      </c>
      <c r="HJ55" s="111">
        <f t="shared" si="70"/>
        <v>0</v>
      </c>
      <c r="HK55" s="205" t="str">
        <f t="shared" si="71"/>
        <v>0</v>
      </c>
    </row>
    <row r="56" spans="1:219" ht="15" customHeight="1" x14ac:dyDescent="0.3">
      <c r="A56" s="80">
        <v>4880218340</v>
      </c>
      <c r="B56" s="74" t="s">
        <v>220</v>
      </c>
      <c r="C56" s="74" t="s">
        <v>221</v>
      </c>
      <c r="D56" s="74" t="s">
        <v>220</v>
      </c>
      <c r="E56" s="80" t="s">
        <v>509</v>
      </c>
      <c r="F56" s="80" t="s">
        <v>510</v>
      </c>
      <c r="G56" s="80" t="s">
        <v>227</v>
      </c>
      <c r="H56" s="78">
        <v>44441</v>
      </c>
      <c r="I56" s="80" t="s">
        <v>511</v>
      </c>
      <c r="J56" s="80" t="s">
        <v>226</v>
      </c>
      <c r="K56" s="78" t="s">
        <v>227</v>
      </c>
      <c r="L56" s="80" t="s">
        <v>227</v>
      </c>
      <c r="M56" s="80" t="s">
        <v>227</v>
      </c>
      <c r="N56" s="80" t="s">
        <v>227</v>
      </c>
      <c r="O56" s="80" t="s">
        <v>227</v>
      </c>
      <c r="P56" s="80" t="s">
        <v>227</v>
      </c>
      <c r="Q56" s="80" t="s">
        <v>227</v>
      </c>
      <c r="R56" s="80" t="s">
        <v>227</v>
      </c>
      <c r="S56" s="80" t="s">
        <v>227</v>
      </c>
      <c r="T56" s="80" t="s">
        <v>227</v>
      </c>
      <c r="U56" s="80" t="s">
        <v>227</v>
      </c>
      <c r="V56" s="80" t="s">
        <v>227</v>
      </c>
      <c r="W56" s="80" t="s">
        <v>227</v>
      </c>
      <c r="X56" s="80" t="s">
        <v>227</v>
      </c>
      <c r="Y56" s="80" t="s">
        <v>227</v>
      </c>
      <c r="Z56" s="80" t="s">
        <v>227</v>
      </c>
      <c r="AA56" s="80" t="s">
        <v>227</v>
      </c>
      <c r="AB56" s="80" t="s">
        <v>227</v>
      </c>
      <c r="AC56" s="80" t="s">
        <v>227</v>
      </c>
      <c r="AD56" s="80" t="s">
        <v>227</v>
      </c>
      <c r="AE56" s="80" t="s">
        <v>227</v>
      </c>
      <c r="AF56" s="80" t="s">
        <v>227</v>
      </c>
      <c r="AG56" s="80" t="s">
        <v>227</v>
      </c>
      <c r="AH56" s="80" t="s">
        <v>227</v>
      </c>
      <c r="AI56" s="80" t="s">
        <v>227</v>
      </c>
      <c r="AJ56" s="80" t="s">
        <v>227</v>
      </c>
      <c r="AK56" s="80" t="s">
        <v>227</v>
      </c>
      <c r="AL56" s="80" t="s">
        <v>227</v>
      </c>
      <c r="AM56" s="80" t="s">
        <v>227</v>
      </c>
      <c r="AN56" s="80" t="s">
        <v>227</v>
      </c>
      <c r="AO56" s="80" t="s">
        <v>227</v>
      </c>
      <c r="AP56" s="80" t="s">
        <v>227</v>
      </c>
      <c r="AQ56" s="80" t="s">
        <v>228</v>
      </c>
      <c r="AR56" s="78">
        <v>18361</v>
      </c>
      <c r="AS56" s="78">
        <v>44365</v>
      </c>
      <c r="AT56" s="189">
        <f t="shared" si="47"/>
        <v>71</v>
      </c>
      <c r="AU56" s="164" t="s">
        <v>512</v>
      </c>
      <c r="AV56" s="74" t="s">
        <v>230</v>
      </c>
      <c r="AW56" s="74" t="s">
        <v>241</v>
      </c>
      <c r="AX56" s="80" t="s">
        <v>309</v>
      </c>
      <c r="AY56" s="80">
        <v>0</v>
      </c>
      <c r="AZ56" s="80" t="s">
        <v>232</v>
      </c>
      <c r="BA56" s="80">
        <f t="shared" si="46"/>
        <v>0</v>
      </c>
      <c r="BB56" s="80" t="s">
        <v>310</v>
      </c>
      <c r="BC56" s="80">
        <v>3</v>
      </c>
      <c r="BD56" s="74" t="s">
        <v>243</v>
      </c>
      <c r="BE56" s="80" t="s">
        <v>244</v>
      </c>
      <c r="BF56" s="74" t="s">
        <v>220</v>
      </c>
      <c r="BG56" s="165" t="s">
        <v>227</v>
      </c>
      <c r="BH56" s="166" t="s">
        <v>227</v>
      </c>
      <c r="BI56" s="80" t="s">
        <v>227</v>
      </c>
      <c r="BJ56" s="78" t="s">
        <v>227</v>
      </c>
      <c r="BK56" s="78" t="s">
        <v>227</v>
      </c>
      <c r="BL56" s="80" t="s">
        <v>227</v>
      </c>
      <c r="BM56" s="166" t="s">
        <v>227</v>
      </c>
      <c r="BN56" s="80" t="s">
        <v>227</v>
      </c>
      <c r="BO56" s="80" t="s">
        <v>227</v>
      </c>
      <c r="BP56" s="166" t="s">
        <v>227</v>
      </c>
      <c r="BQ56" s="80" t="s">
        <v>227</v>
      </c>
      <c r="BR56" s="80" t="s">
        <v>227</v>
      </c>
      <c r="BS56" s="80" t="s">
        <v>227</v>
      </c>
      <c r="BT56" s="80" t="s">
        <v>227</v>
      </c>
      <c r="BU56" s="80" t="s">
        <v>227</v>
      </c>
      <c r="BV56" s="80" t="s">
        <v>227</v>
      </c>
      <c r="BW56" s="80" t="s">
        <v>227</v>
      </c>
      <c r="BX56" s="80" t="s">
        <v>227</v>
      </c>
      <c r="BY56" s="80" t="s">
        <v>227</v>
      </c>
      <c r="BZ56" s="80" t="s">
        <v>227</v>
      </c>
      <c r="CA56" s="80" t="s">
        <v>227</v>
      </c>
      <c r="CB56" s="80" t="s">
        <v>227</v>
      </c>
      <c r="CC56" s="80" t="s">
        <v>227</v>
      </c>
      <c r="CD56" s="80" t="s">
        <v>227</v>
      </c>
      <c r="CE56" s="80" t="s">
        <v>227</v>
      </c>
      <c r="CF56" s="80" t="s">
        <v>227</v>
      </c>
      <c r="CG56" s="80" t="s">
        <v>227</v>
      </c>
      <c r="CH56" s="80" t="s">
        <v>227</v>
      </c>
      <c r="CI56" s="80" t="s">
        <v>227</v>
      </c>
      <c r="CJ56" s="80" t="s">
        <v>227</v>
      </c>
      <c r="CK56" s="80" t="s">
        <v>227</v>
      </c>
      <c r="CL56" s="80" t="s">
        <v>227</v>
      </c>
      <c r="CM56" s="80" t="s">
        <v>227</v>
      </c>
      <c r="CN56" s="166" t="s">
        <v>246</v>
      </c>
      <c r="CO56" s="80" t="s">
        <v>378</v>
      </c>
      <c r="CP56" s="78">
        <v>44495</v>
      </c>
      <c r="CQ56" s="78">
        <v>44502</v>
      </c>
      <c r="CR56" s="80" t="s">
        <v>227</v>
      </c>
      <c r="CS56" s="166" t="s">
        <v>227</v>
      </c>
      <c r="CT56" s="80" t="s">
        <v>227</v>
      </c>
      <c r="CU56" s="80" t="s">
        <v>227</v>
      </c>
      <c r="CV56" s="166" t="s">
        <v>227</v>
      </c>
      <c r="CW56" s="80" t="s">
        <v>227</v>
      </c>
      <c r="CX56" s="80" t="s">
        <v>227</v>
      </c>
      <c r="CY56" s="80" t="s">
        <v>227</v>
      </c>
      <c r="CZ56" s="80" t="s">
        <v>227</v>
      </c>
      <c r="DA56" s="80" t="s">
        <v>227</v>
      </c>
      <c r="DB56" s="80" t="s">
        <v>227</v>
      </c>
      <c r="DC56" s="80" t="s">
        <v>227</v>
      </c>
      <c r="DD56" s="80" t="s">
        <v>227</v>
      </c>
      <c r="DE56" s="80" t="s">
        <v>227</v>
      </c>
      <c r="DF56" s="80" t="s">
        <v>227</v>
      </c>
      <c r="DG56" s="80" t="s">
        <v>227</v>
      </c>
      <c r="DH56" s="80" t="s">
        <v>227</v>
      </c>
      <c r="DI56" s="80" t="s">
        <v>227</v>
      </c>
      <c r="DJ56" s="80" t="s">
        <v>227</v>
      </c>
      <c r="DK56" s="80" t="s">
        <v>227</v>
      </c>
      <c r="DL56" s="80" t="s">
        <v>227</v>
      </c>
      <c r="DM56" s="80" t="s">
        <v>227</v>
      </c>
      <c r="DN56" s="80" t="s">
        <v>227</v>
      </c>
      <c r="DO56" s="80" t="s">
        <v>227</v>
      </c>
      <c r="DP56" s="80" t="s">
        <v>227</v>
      </c>
      <c r="DQ56" s="80" t="s">
        <v>227</v>
      </c>
      <c r="DR56" s="80" t="s">
        <v>227</v>
      </c>
      <c r="DS56" s="80" t="s">
        <v>227</v>
      </c>
      <c r="DT56" s="80" t="s">
        <v>227</v>
      </c>
      <c r="DU56" s="80" t="s">
        <v>227</v>
      </c>
      <c r="DV56" s="80" t="s">
        <v>227</v>
      </c>
      <c r="DW56" s="80" t="s">
        <v>227</v>
      </c>
      <c r="DX56" s="80" t="s">
        <v>227</v>
      </c>
      <c r="DY56" s="80" t="s">
        <v>227</v>
      </c>
      <c r="DZ56" s="80" t="s">
        <v>227</v>
      </c>
      <c r="EA56" s="80" t="s">
        <v>227</v>
      </c>
      <c r="EB56" s="80" t="s">
        <v>227</v>
      </c>
      <c r="EC56" s="80" t="s">
        <v>227</v>
      </c>
      <c r="ED56" s="80" t="s">
        <v>227</v>
      </c>
      <c r="EE56" s="80" t="s">
        <v>227</v>
      </c>
      <c r="EF56" s="80" t="s">
        <v>227</v>
      </c>
      <c r="EG56" s="80" t="s">
        <v>227</v>
      </c>
      <c r="EH56" s="80" t="s">
        <v>227</v>
      </c>
      <c r="EI56" s="78">
        <v>45409</v>
      </c>
      <c r="EJ56" s="80" t="s">
        <v>513</v>
      </c>
      <c r="EK56" s="80" t="s">
        <v>227</v>
      </c>
      <c r="EL56" s="80" t="s">
        <v>227</v>
      </c>
      <c r="EM56" s="80" t="s">
        <v>227</v>
      </c>
      <c r="EN56" s="80" t="s">
        <v>227</v>
      </c>
      <c r="EO56" s="80" t="s">
        <v>227</v>
      </c>
      <c r="EP56" s="80" t="s">
        <v>227</v>
      </c>
      <c r="EQ56" s="80" t="s">
        <v>227</v>
      </c>
      <c r="ER56" s="80" t="s">
        <v>227</v>
      </c>
      <c r="ES56" s="80" t="s">
        <v>227</v>
      </c>
      <c r="ET56" s="80" t="s">
        <v>227</v>
      </c>
      <c r="EU56" s="80" t="s">
        <v>227</v>
      </c>
      <c r="EV56" s="80" t="s">
        <v>227</v>
      </c>
      <c r="EW56" s="80" t="s">
        <v>227</v>
      </c>
      <c r="EX56" s="80" t="s">
        <v>227</v>
      </c>
      <c r="EY56" s="80" t="s">
        <v>227</v>
      </c>
      <c r="EZ56" s="80" t="s">
        <v>227</v>
      </c>
      <c r="FA56" s="80" t="s">
        <v>227</v>
      </c>
      <c r="FB56" s="147" t="s">
        <v>227</v>
      </c>
      <c r="FC56" s="80" t="s">
        <v>227</v>
      </c>
      <c r="FD56" s="80" t="s">
        <v>227</v>
      </c>
      <c r="FE56" s="80" t="s">
        <v>227</v>
      </c>
      <c r="FF56" s="80" t="s">
        <v>227</v>
      </c>
      <c r="FG56" s="80" t="s">
        <v>227</v>
      </c>
      <c r="FH56" s="80" t="s">
        <v>227</v>
      </c>
      <c r="FI56" s="80" t="s">
        <v>227</v>
      </c>
      <c r="FJ56" s="80" t="s">
        <v>227</v>
      </c>
      <c r="FK56" s="80" t="s">
        <v>227</v>
      </c>
      <c r="FL56" s="80" t="s">
        <v>227</v>
      </c>
      <c r="FM56" s="80" t="s">
        <v>227</v>
      </c>
      <c r="FN56" s="80" t="s">
        <v>227</v>
      </c>
      <c r="FO56" s="80" t="s">
        <v>227</v>
      </c>
      <c r="FP56" s="80" t="s">
        <v>227</v>
      </c>
      <c r="FQ56" s="80" t="s">
        <v>227</v>
      </c>
      <c r="FR56" s="80" t="s">
        <v>227</v>
      </c>
      <c r="FS56" s="80" t="s">
        <v>227</v>
      </c>
      <c r="FT56" s="80" t="s">
        <v>227</v>
      </c>
      <c r="FU56" s="80" t="s">
        <v>227</v>
      </c>
      <c r="FV56" s="80" t="s">
        <v>227</v>
      </c>
      <c r="FW56" s="80" t="s">
        <v>227</v>
      </c>
      <c r="FX56" s="80" t="s">
        <v>227</v>
      </c>
      <c r="FY56" s="80" t="s">
        <v>227</v>
      </c>
      <c r="FZ56" s="80" t="s">
        <v>227</v>
      </c>
      <c r="GA56" s="80" t="s">
        <v>227</v>
      </c>
      <c r="GB56" s="80" t="s">
        <v>227</v>
      </c>
      <c r="GC56" s="80" t="s">
        <v>227</v>
      </c>
      <c r="GD56" s="80" t="s">
        <v>227</v>
      </c>
      <c r="GE56" s="80" t="s">
        <v>227</v>
      </c>
      <c r="GF56" s="167" t="s">
        <v>236</v>
      </c>
      <c r="GG56" s="156">
        <v>45450</v>
      </c>
      <c r="GH56" s="74" t="s">
        <v>241</v>
      </c>
      <c r="GI56" s="80" t="s">
        <v>231</v>
      </c>
      <c r="GJ56" s="78">
        <v>45429</v>
      </c>
      <c r="GK56" s="156" t="s">
        <v>227</v>
      </c>
      <c r="GL56" s="78" t="s">
        <v>227</v>
      </c>
      <c r="GM56" s="159" t="str">
        <f t="shared" si="48"/>
        <v>N/A</v>
      </c>
      <c r="GN56" s="159" t="str">
        <f t="shared" si="49"/>
        <v>N/A</v>
      </c>
      <c r="GO56" s="159">
        <f t="shared" si="50"/>
        <v>2.5333333333333332</v>
      </c>
      <c r="GP56" s="159" t="str">
        <f t="shared" si="51"/>
        <v>N/A</v>
      </c>
      <c r="GQ56" s="159" t="str">
        <f t="shared" si="52"/>
        <v>N/A</v>
      </c>
      <c r="GR56" s="159" t="str">
        <f t="shared" si="53"/>
        <v>N/A</v>
      </c>
      <c r="GS56" s="159" t="str">
        <f t="shared" si="54"/>
        <v>N/A</v>
      </c>
      <c r="GT56" s="159" t="str">
        <f t="shared" si="55"/>
        <v>N/A</v>
      </c>
      <c r="GU56" s="159" t="str">
        <f t="shared" si="56"/>
        <v>N/A</v>
      </c>
      <c r="GV56" s="159" t="str">
        <f t="shared" si="57"/>
        <v>N/A</v>
      </c>
      <c r="GW56" s="159">
        <f t="shared" si="58"/>
        <v>4.333333333333333</v>
      </c>
      <c r="GX56" s="159">
        <f t="shared" si="59"/>
        <v>4.5666666666666664</v>
      </c>
      <c r="GY56" s="159">
        <f t="shared" si="60"/>
        <v>34.799999999999997</v>
      </c>
      <c r="GZ56" s="159" t="str">
        <f t="shared" si="61"/>
        <v>N/A</v>
      </c>
      <c r="HA56" s="159" t="str">
        <f t="shared" si="62"/>
        <v>N/A</v>
      </c>
      <c r="HB56" s="159">
        <f t="shared" si="63"/>
        <v>34.799999999999997</v>
      </c>
      <c r="HC56" s="159">
        <f t="shared" si="64"/>
        <v>36.166666666666664</v>
      </c>
      <c r="HD56" s="159">
        <f t="shared" si="65"/>
        <v>35.466666666666669</v>
      </c>
      <c r="HE56" s="159" t="str">
        <f t="shared" si="66"/>
        <v>N/A</v>
      </c>
      <c r="HF56" s="160">
        <f t="shared" si="67"/>
        <v>36.166666666666664</v>
      </c>
      <c r="HG56" s="160" cm="1">
        <f t="array" ref="HG56">INDEX($HB56:$HD56,MATCH(TRUE,INDEX(ISNUMBER($HB56:$HD56),0),0))</f>
        <v>34.799999999999997</v>
      </c>
      <c r="HH56" s="161">
        <f t="shared" si="68"/>
        <v>1</v>
      </c>
      <c r="HI56" s="86">
        <f t="shared" si="69"/>
        <v>1</v>
      </c>
      <c r="HJ56" s="111">
        <f t="shared" si="70"/>
        <v>1</v>
      </c>
      <c r="HK56" s="205" t="str">
        <f t="shared" si="71"/>
        <v>1</v>
      </c>
    </row>
    <row r="57" spans="1:219" ht="15" customHeight="1" x14ac:dyDescent="0.3">
      <c r="A57" s="80">
        <v>4648501470</v>
      </c>
      <c r="B57" s="74" t="s">
        <v>220</v>
      </c>
      <c r="C57" s="74" t="s">
        <v>221</v>
      </c>
      <c r="D57" s="74" t="s">
        <v>220</v>
      </c>
      <c r="E57" s="80" t="s">
        <v>514</v>
      </c>
      <c r="F57" s="80" t="s">
        <v>374</v>
      </c>
      <c r="G57" s="80" t="s">
        <v>337</v>
      </c>
      <c r="H57" s="78">
        <v>44442</v>
      </c>
      <c r="I57" s="80" t="s">
        <v>515</v>
      </c>
      <c r="J57" s="80" t="s">
        <v>226</v>
      </c>
      <c r="K57" s="78" t="s">
        <v>227</v>
      </c>
      <c r="L57" s="80" t="s">
        <v>227</v>
      </c>
      <c r="M57" s="80" t="s">
        <v>227</v>
      </c>
      <c r="N57" s="80" t="s">
        <v>227</v>
      </c>
      <c r="O57" s="80" t="s">
        <v>227</v>
      </c>
      <c r="P57" s="80" t="s">
        <v>227</v>
      </c>
      <c r="Q57" s="80" t="s">
        <v>227</v>
      </c>
      <c r="R57" s="80" t="s">
        <v>227</v>
      </c>
      <c r="S57" s="80" t="s">
        <v>227</v>
      </c>
      <c r="T57" s="80" t="s">
        <v>227</v>
      </c>
      <c r="U57" s="80" t="s">
        <v>227</v>
      </c>
      <c r="V57" s="80" t="s">
        <v>227</v>
      </c>
      <c r="W57" s="80" t="s">
        <v>227</v>
      </c>
      <c r="X57" s="80" t="s">
        <v>227</v>
      </c>
      <c r="Y57" s="80" t="s">
        <v>227</v>
      </c>
      <c r="Z57" s="80" t="s">
        <v>227</v>
      </c>
      <c r="AA57" s="80" t="s">
        <v>227</v>
      </c>
      <c r="AB57" s="80" t="s">
        <v>227</v>
      </c>
      <c r="AC57" s="80" t="s">
        <v>227</v>
      </c>
      <c r="AD57" s="80" t="s">
        <v>227</v>
      </c>
      <c r="AE57" s="80" t="s">
        <v>227</v>
      </c>
      <c r="AF57" s="80" t="s">
        <v>227</v>
      </c>
      <c r="AG57" s="80" t="s">
        <v>227</v>
      </c>
      <c r="AH57" s="80" t="s">
        <v>227</v>
      </c>
      <c r="AI57" s="80" t="s">
        <v>227</v>
      </c>
      <c r="AJ57" s="80" t="s">
        <v>227</v>
      </c>
      <c r="AK57" s="80" t="s">
        <v>227</v>
      </c>
      <c r="AL57" s="80" t="s">
        <v>227</v>
      </c>
      <c r="AM57" s="80" t="s">
        <v>227</v>
      </c>
      <c r="AN57" s="80" t="s">
        <v>227</v>
      </c>
      <c r="AO57" s="80" t="s">
        <v>227</v>
      </c>
      <c r="AP57" s="80" t="s">
        <v>227</v>
      </c>
      <c r="AQ57" s="80" t="s">
        <v>228</v>
      </c>
      <c r="AR57" s="78">
        <v>11866</v>
      </c>
      <c r="AS57" s="78">
        <v>44343</v>
      </c>
      <c r="AT57" s="189">
        <f t="shared" si="47"/>
        <v>88</v>
      </c>
      <c r="AU57" s="164" t="s">
        <v>229</v>
      </c>
      <c r="AV57" s="74" t="s">
        <v>230</v>
      </c>
      <c r="AW57" s="74" t="s">
        <v>241</v>
      </c>
      <c r="AX57" s="80" t="s">
        <v>264</v>
      </c>
      <c r="AY57" s="80" t="s">
        <v>232</v>
      </c>
      <c r="AZ57" s="80" t="s">
        <v>232</v>
      </c>
      <c r="BA57" s="80">
        <f t="shared" si="46"/>
        <v>0</v>
      </c>
      <c r="BB57" s="80" t="s">
        <v>396</v>
      </c>
      <c r="BC57" s="80">
        <v>3</v>
      </c>
      <c r="BD57" s="74" t="s">
        <v>243</v>
      </c>
      <c r="BE57" s="80" t="s">
        <v>244</v>
      </c>
      <c r="BF57" s="74" t="s">
        <v>220</v>
      </c>
      <c r="BG57" s="165" t="s">
        <v>227</v>
      </c>
      <c r="BH57" s="166" t="s">
        <v>227</v>
      </c>
      <c r="BI57" s="80" t="s">
        <v>227</v>
      </c>
      <c r="BJ57" s="78" t="s">
        <v>227</v>
      </c>
      <c r="BK57" s="78" t="s">
        <v>227</v>
      </c>
      <c r="BL57" s="80" t="s">
        <v>227</v>
      </c>
      <c r="BM57" s="166" t="s">
        <v>227</v>
      </c>
      <c r="BN57" s="80" t="s">
        <v>227</v>
      </c>
      <c r="BO57" s="80" t="s">
        <v>227</v>
      </c>
      <c r="BP57" s="166" t="s">
        <v>227</v>
      </c>
      <c r="BQ57" s="80" t="s">
        <v>227</v>
      </c>
      <c r="BR57" s="80" t="s">
        <v>227</v>
      </c>
      <c r="BS57" s="80" t="s">
        <v>227</v>
      </c>
      <c r="BT57" s="80" t="s">
        <v>227</v>
      </c>
      <c r="BU57" s="80" t="s">
        <v>227</v>
      </c>
      <c r="BV57" s="80" t="s">
        <v>227</v>
      </c>
      <c r="BW57" s="80" t="s">
        <v>227</v>
      </c>
      <c r="BX57" s="80" t="s">
        <v>227</v>
      </c>
      <c r="BY57" s="80" t="s">
        <v>227</v>
      </c>
      <c r="BZ57" s="80" t="s">
        <v>227</v>
      </c>
      <c r="CA57" s="80" t="s">
        <v>227</v>
      </c>
      <c r="CB57" s="80" t="s">
        <v>227</v>
      </c>
      <c r="CC57" s="80" t="s">
        <v>227</v>
      </c>
      <c r="CD57" s="80" t="s">
        <v>227</v>
      </c>
      <c r="CE57" s="80" t="s">
        <v>227</v>
      </c>
      <c r="CF57" s="80" t="s">
        <v>227</v>
      </c>
      <c r="CG57" s="80" t="s">
        <v>227</v>
      </c>
      <c r="CH57" s="80" t="s">
        <v>227</v>
      </c>
      <c r="CI57" s="80" t="s">
        <v>227</v>
      </c>
      <c r="CJ57" s="80" t="s">
        <v>227</v>
      </c>
      <c r="CK57" s="80" t="s">
        <v>227</v>
      </c>
      <c r="CL57" s="80" t="s">
        <v>227</v>
      </c>
      <c r="CM57" s="80" t="s">
        <v>227</v>
      </c>
      <c r="CN57" s="166" t="s">
        <v>246</v>
      </c>
      <c r="CO57" s="80" t="s">
        <v>378</v>
      </c>
      <c r="CP57" s="78">
        <v>44567</v>
      </c>
      <c r="CQ57" s="78">
        <v>44574</v>
      </c>
      <c r="CR57" s="80" t="s">
        <v>227</v>
      </c>
      <c r="CS57" s="166" t="s">
        <v>227</v>
      </c>
      <c r="CT57" s="80" t="s">
        <v>227</v>
      </c>
      <c r="CU57" s="80" t="s">
        <v>227</v>
      </c>
      <c r="CV57" s="166" t="s">
        <v>227</v>
      </c>
      <c r="CW57" s="80" t="s">
        <v>227</v>
      </c>
      <c r="CX57" s="80" t="s">
        <v>227</v>
      </c>
      <c r="CY57" s="80" t="s">
        <v>227</v>
      </c>
      <c r="CZ57" s="80" t="s">
        <v>227</v>
      </c>
      <c r="DA57" s="80" t="s">
        <v>227</v>
      </c>
      <c r="DB57" s="80" t="s">
        <v>227</v>
      </c>
      <c r="DC57" s="80" t="s">
        <v>227</v>
      </c>
      <c r="DD57" s="80" t="s">
        <v>227</v>
      </c>
      <c r="DE57" s="80" t="s">
        <v>227</v>
      </c>
      <c r="DF57" s="80" t="s">
        <v>227</v>
      </c>
      <c r="DG57" s="80" t="s">
        <v>227</v>
      </c>
      <c r="DH57" s="80" t="s">
        <v>227</v>
      </c>
      <c r="DI57" s="80" t="s">
        <v>227</v>
      </c>
      <c r="DJ57" s="80" t="s">
        <v>227</v>
      </c>
      <c r="DK57" s="80" t="s">
        <v>227</v>
      </c>
      <c r="DL57" s="80" t="s">
        <v>227</v>
      </c>
      <c r="DM57" s="80" t="s">
        <v>227</v>
      </c>
      <c r="DN57" s="80" t="s">
        <v>227</v>
      </c>
      <c r="DO57" s="80" t="s">
        <v>227</v>
      </c>
      <c r="DP57" s="80" t="s">
        <v>227</v>
      </c>
      <c r="DQ57" s="80" t="s">
        <v>227</v>
      </c>
      <c r="DR57" s="80" t="s">
        <v>227</v>
      </c>
      <c r="DS57" s="80" t="s">
        <v>227</v>
      </c>
      <c r="DT57" s="80" t="s">
        <v>227</v>
      </c>
      <c r="DU57" s="80" t="s">
        <v>227</v>
      </c>
      <c r="DV57" s="80" t="s">
        <v>227</v>
      </c>
      <c r="DW57" s="80" t="s">
        <v>227</v>
      </c>
      <c r="DX57" s="80" t="s">
        <v>227</v>
      </c>
      <c r="DY57" s="80" t="s">
        <v>227</v>
      </c>
      <c r="DZ57" s="80" t="s">
        <v>227</v>
      </c>
      <c r="EA57" s="80" t="s">
        <v>227</v>
      </c>
      <c r="EB57" s="80" t="s">
        <v>227</v>
      </c>
      <c r="EC57" s="80" t="s">
        <v>227</v>
      </c>
      <c r="ED57" s="80" t="s">
        <v>227</v>
      </c>
      <c r="EE57" s="80" t="s">
        <v>227</v>
      </c>
      <c r="EF57" s="80" t="s">
        <v>227</v>
      </c>
      <c r="EG57" s="80" t="s">
        <v>227</v>
      </c>
      <c r="EH57" s="80" t="s">
        <v>227</v>
      </c>
      <c r="EI57" s="78">
        <v>44913</v>
      </c>
      <c r="EJ57" s="80" t="s">
        <v>516</v>
      </c>
      <c r="EK57" s="166" t="s">
        <v>275</v>
      </c>
      <c r="EL57" s="80" t="s">
        <v>341</v>
      </c>
      <c r="EM57" s="78">
        <v>44974</v>
      </c>
      <c r="EN57" s="156">
        <v>45987</v>
      </c>
      <c r="EO57" s="80" t="s">
        <v>279</v>
      </c>
      <c r="EP57" s="166" t="s">
        <v>227</v>
      </c>
      <c r="EQ57" s="80" t="s">
        <v>227</v>
      </c>
      <c r="ER57" s="80" t="s">
        <v>227</v>
      </c>
      <c r="ES57" s="166" t="s">
        <v>227</v>
      </c>
      <c r="ET57" s="80" t="s">
        <v>227</v>
      </c>
      <c r="EU57" s="80" t="s">
        <v>227</v>
      </c>
      <c r="EV57" s="166" t="s">
        <v>227</v>
      </c>
      <c r="EW57" s="80" t="s">
        <v>227</v>
      </c>
      <c r="EX57" s="80" t="s">
        <v>227</v>
      </c>
      <c r="EY57" s="166" t="s">
        <v>227</v>
      </c>
      <c r="EZ57" s="80" t="s">
        <v>227</v>
      </c>
      <c r="FA57" s="80" t="s">
        <v>227</v>
      </c>
      <c r="FB57" s="147" t="s">
        <v>227</v>
      </c>
      <c r="FC57" s="80" t="s">
        <v>227</v>
      </c>
      <c r="FD57" s="80" t="s">
        <v>227</v>
      </c>
      <c r="FE57" s="80" t="s">
        <v>227</v>
      </c>
      <c r="FF57" s="80" t="s">
        <v>227</v>
      </c>
      <c r="FG57" s="80" t="s">
        <v>227</v>
      </c>
      <c r="FH57" s="80" t="s">
        <v>227</v>
      </c>
      <c r="FI57" s="80" t="s">
        <v>227</v>
      </c>
      <c r="FJ57" s="80" t="s">
        <v>227</v>
      </c>
      <c r="FK57" s="80" t="s">
        <v>227</v>
      </c>
      <c r="FL57" s="80" t="s">
        <v>227</v>
      </c>
      <c r="FM57" s="80" t="s">
        <v>227</v>
      </c>
      <c r="FN57" s="80" t="s">
        <v>227</v>
      </c>
      <c r="FO57" s="80" t="s">
        <v>227</v>
      </c>
      <c r="FP57" s="80" t="s">
        <v>227</v>
      </c>
      <c r="FQ57" s="80" t="s">
        <v>227</v>
      </c>
      <c r="FR57" s="80" t="s">
        <v>227</v>
      </c>
      <c r="FS57" s="80" t="s">
        <v>227</v>
      </c>
      <c r="FT57" s="80" t="s">
        <v>227</v>
      </c>
      <c r="FU57" s="80" t="s">
        <v>227</v>
      </c>
      <c r="FV57" s="80" t="s">
        <v>227</v>
      </c>
      <c r="FW57" s="80" t="s">
        <v>227</v>
      </c>
      <c r="FX57" s="80" t="s">
        <v>227</v>
      </c>
      <c r="FY57" s="80" t="s">
        <v>227</v>
      </c>
      <c r="FZ57" s="80" t="s">
        <v>227</v>
      </c>
      <c r="GA57" s="80" t="s">
        <v>227</v>
      </c>
      <c r="GB57" s="80" t="s">
        <v>227</v>
      </c>
      <c r="GC57" s="80" t="s">
        <v>227</v>
      </c>
      <c r="GD57" s="80" t="s">
        <v>227</v>
      </c>
      <c r="GE57" s="80" t="s">
        <v>227</v>
      </c>
      <c r="GF57" s="167" t="s">
        <v>236</v>
      </c>
      <c r="GG57" s="78">
        <v>45996</v>
      </c>
      <c r="GH57" s="74" t="s">
        <v>241</v>
      </c>
      <c r="GI57" s="80" t="s">
        <v>517</v>
      </c>
      <c r="GJ57" s="78">
        <v>45987</v>
      </c>
      <c r="GK57" s="78" t="s">
        <v>227</v>
      </c>
      <c r="GL57" s="78" t="s">
        <v>227</v>
      </c>
      <c r="GM57" s="159" t="str">
        <f t="shared" si="48"/>
        <v>N/A</v>
      </c>
      <c r="GN57" s="159" t="str">
        <f t="shared" si="49"/>
        <v>N/A</v>
      </c>
      <c r="GO57" s="159">
        <f t="shared" si="50"/>
        <v>3.3</v>
      </c>
      <c r="GP57" s="159" t="str">
        <f t="shared" si="51"/>
        <v>N/A</v>
      </c>
      <c r="GQ57" s="159" t="str">
        <f t="shared" si="52"/>
        <v>N/A</v>
      </c>
      <c r="GR57" s="159" t="str">
        <f t="shared" si="53"/>
        <v>N/A</v>
      </c>
      <c r="GS57" s="159" t="str">
        <f t="shared" si="54"/>
        <v>N/A</v>
      </c>
      <c r="GT57" s="159" t="str">
        <f t="shared" si="55"/>
        <v>N/A</v>
      </c>
      <c r="GU57" s="159" t="str">
        <f t="shared" si="56"/>
        <v>N/A</v>
      </c>
      <c r="GV57" s="159" t="str">
        <f t="shared" si="57"/>
        <v>N/A</v>
      </c>
      <c r="GW57" s="159">
        <f t="shared" si="58"/>
        <v>7.4666666666666668</v>
      </c>
      <c r="GX57" s="159">
        <f t="shared" si="59"/>
        <v>7.7</v>
      </c>
      <c r="GY57" s="159">
        <f t="shared" si="60"/>
        <v>19</v>
      </c>
      <c r="GZ57" s="159">
        <f t="shared" si="61"/>
        <v>21.033333333333335</v>
      </c>
      <c r="HA57" s="159">
        <f t="shared" si="62"/>
        <v>54.8</v>
      </c>
      <c r="HB57" s="159">
        <f t="shared" si="63"/>
        <v>19</v>
      </c>
      <c r="HC57" s="159">
        <f t="shared" si="64"/>
        <v>55.1</v>
      </c>
      <c r="HD57" s="159">
        <f t="shared" si="65"/>
        <v>54.8</v>
      </c>
      <c r="HE57" s="159" t="str">
        <f t="shared" si="66"/>
        <v>N/A</v>
      </c>
      <c r="HF57" s="160">
        <f t="shared" si="67"/>
        <v>55.1</v>
      </c>
      <c r="HG57" s="160" cm="1">
        <f t="array" ref="HG57">INDEX($HB57:$HD57,MATCH(TRUE,INDEX(ISNUMBER($HB57:$HD57),0),0))</f>
        <v>19</v>
      </c>
      <c r="HH57" s="161">
        <f t="shared" si="68"/>
        <v>1</v>
      </c>
      <c r="HI57" s="86">
        <f t="shared" si="69"/>
        <v>1</v>
      </c>
      <c r="HJ57" s="111">
        <f t="shared" si="70"/>
        <v>1</v>
      </c>
      <c r="HK57" s="205" t="str">
        <f t="shared" si="71"/>
        <v>1</v>
      </c>
    </row>
    <row r="58" spans="1:219" ht="15" customHeight="1" x14ac:dyDescent="0.3">
      <c r="A58" s="80">
        <v>4107007073</v>
      </c>
      <c r="B58" s="74" t="s">
        <v>220</v>
      </c>
      <c r="C58" s="74" t="s">
        <v>221</v>
      </c>
      <c r="D58" s="74" t="s">
        <v>220</v>
      </c>
      <c r="E58" s="80" t="s">
        <v>518</v>
      </c>
      <c r="F58" s="80" t="s">
        <v>458</v>
      </c>
      <c r="G58" s="80" t="s">
        <v>227</v>
      </c>
      <c r="H58" s="78">
        <v>44446</v>
      </c>
      <c r="I58" s="80" t="s">
        <v>519</v>
      </c>
      <c r="J58" s="80" t="s">
        <v>226</v>
      </c>
      <c r="K58" s="78" t="s">
        <v>227</v>
      </c>
      <c r="L58" s="80" t="s">
        <v>227</v>
      </c>
      <c r="M58" s="80" t="s">
        <v>518</v>
      </c>
      <c r="N58" s="168" t="s">
        <v>356</v>
      </c>
      <c r="O58" s="80" t="s">
        <v>357</v>
      </c>
      <c r="P58" s="78">
        <v>44446</v>
      </c>
      <c r="Q58" s="74" t="s">
        <v>221</v>
      </c>
      <c r="R58" s="80" t="s">
        <v>227</v>
      </c>
      <c r="S58" s="80" t="s">
        <v>227</v>
      </c>
      <c r="T58" s="80" t="s">
        <v>227</v>
      </c>
      <c r="U58" s="80" t="s">
        <v>227</v>
      </c>
      <c r="V58" s="80" t="s">
        <v>227</v>
      </c>
      <c r="W58" s="80" t="s">
        <v>227</v>
      </c>
      <c r="X58" s="80" t="s">
        <v>227</v>
      </c>
      <c r="Y58" s="80" t="s">
        <v>227</v>
      </c>
      <c r="Z58" s="80" t="s">
        <v>227</v>
      </c>
      <c r="AA58" s="80" t="s">
        <v>227</v>
      </c>
      <c r="AB58" s="80" t="s">
        <v>227</v>
      </c>
      <c r="AC58" s="80" t="s">
        <v>227</v>
      </c>
      <c r="AD58" s="80" t="s">
        <v>227</v>
      </c>
      <c r="AE58" s="80" t="s">
        <v>227</v>
      </c>
      <c r="AF58" s="80" t="s">
        <v>227</v>
      </c>
      <c r="AG58" s="80" t="s">
        <v>227</v>
      </c>
      <c r="AH58" s="80" t="s">
        <v>227</v>
      </c>
      <c r="AI58" s="80" t="s">
        <v>227</v>
      </c>
      <c r="AJ58" s="80" t="s">
        <v>227</v>
      </c>
      <c r="AK58" s="80" t="s">
        <v>227</v>
      </c>
      <c r="AL58" s="80" t="s">
        <v>227</v>
      </c>
      <c r="AM58" s="80" t="s">
        <v>227</v>
      </c>
      <c r="AN58" s="80" t="s">
        <v>227</v>
      </c>
      <c r="AO58" s="80" t="s">
        <v>227</v>
      </c>
      <c r="AP58" s="80" t="s">
        <v>227</v>
      </c>
      <c r="AQ58" s="80" t="s">
        <v>228</v>
      </c>
      <c r="AR58" s="78">
        <v>24986</v>
      </c>
      <c r="AS58" s="78">
        <v>44355</v>
      </c>
      <c r="AT58" s="189">
        <f t="shared" si="47"/>
        <v>53</v>
      </c>
      <c r="AU58" s="164" t="s">
        <v>229</v>
      </c>
      <c r="AV58" s="74" t="s">
        <v>230</v>
      </c>
      <c r="AW58" s="74" t="s">
        <v>220</v>
      </c>
      <c r="AX58" s="80">
        <v>4</v>
      </c>
      <c r="AY58" s="157">
        <v>1</v>
      </c>
      <c r="AZ58" s="80">
        <v>1</v>
      </c>
      <c r="BA58" s="80">
        <f t="shared" si="46"/>
        <v>1</v>
      </c>
      <c r="BB58" s="157" t="s">
        <v>520</v>
      </c>
      <c r="BC58" s="80">
        <v>2</v>
      </c>
      <c r="BD58" s="74" t="s">
        <v>243</v>
      </c>
      <c r="BE58" s="80" t="s">
        <v>300</v>
      </c>
      <c r="BF58" s="74" t="s">
        <v>220</v>
      </c>
      <c r="BG58" s="165" t="s">
        <v>227</v>
      </c>
      <c r="BH58" s="166" t="s">
        <v>227</v>
      </c>
      <c r="BI58" s="80" t="s">
        <v>227</v>
      </c>
      <c r="BJ58" s="78" t="s">
        <v>227</v>
      </c>
      <c r="BK58" s="78" t="s">
        <v>227</v>
      </c>
      <c r="BL58" s="80" t="s">
        <v>227</v>
      </c>
      <c r="BM58" s="166" t="s">
        <v>227</v>
      </c>
      <c r="BN58" s="80" t="s">
        <v>227</v>
      </c>
      <c r="BO58" s="80" t="s">
        <v>227</v>
      </c>
      <c r="BP58" s="166" t="s">
        <v>227</v>
      </c>
      <c r="BQ58" s="80" t="s">
        <v>227</v>
      </c>
      <c r="BR58" s="80" t="s">
        <v>227</v>
      </c>
      <c r="BS58" s="80" t="s">
        <v>227</v>
      </c>
      <c r="BT58" s="80" t="s">
        <v>227</v>
      </c>
      <c r="BU58" s="80" t="s">
        <v>227</v>
      </c>
      <c r="BV58" s="80" t="s">
        <v>227</v>
      </c>
      <c r="BW58" s="80" t="s">
        <v>227</v>
      </c>
      <c r="BX58" s="80" t="s">
        <v>227</v>
      </c>
      <c r="BY58" s="80" t="s">
        <v>227</v>
      </c>
      <c r="BZ58" s="80" t="s">
        <v>227</v>
      </c>
      <c r="CA58" s="80" t="s">
        <v>227</v>
      </c>
      <c r="CB58" s="80" t="s">
        <v>227</v>
      </c>
      <c r="CC58" s="80" t="s">
        <v>227</v>
      </c>
      <c r="CD58" s="80" t="s">
        <v>227</v>
      </c>
      <c r="CE58" s="80" t="s">
        <v>227</v>
      </c>
      <c r="CF58" s="80" t="s">
        <v>227</v>
      </c>
      <c r="CG58" s="80" t="s">
        <v>227</v>
      </c>
      <c r="CH58" s="80" t="s">
        <v>227</v>
      </c>
      <c r="CI58" s="80" t="s">
        <v>227</v>
      </c>
      <c r="CJ58" s="80" t="s">
        <v>227</v>
      </c>
      <c r="CK58" s="80" t="s">
        <v>227</v>
      </c>
      <c r="CL58" s="80" t="s">
        <v>227</v>
      </c>
      <c r="CM58" s="80" t="s">
        <v>227</v>
      </c>
      <c r="CN58" s="166" t="s">
        <v>246</v>
      </c>
      <c r="CO58" s="80" t="s">
        <v>304</v>
      </c>
      <c r="CP58" s="78">
        <v>44491</v>
      </c>
      <c r="CQ58" s="78">
        <v>44491</v>
      </c>
      <c r="CR58" s="80" t="s">
        <v>227</v>
      </c>
      <c r="CS58" s="166" t="s">
        <v>227</v>
      </c>
      <c r="CT58" s="80" t="s">
        <v>227</v>
      </c>
      <c r="CU58" s="80" t="s">
        <v>227</v>
      </c>
      <c r="CV58" s="166" t="s">
        <v>227</v>
      </c>
      <c r="CW58" s="80" t="s">
        <v>227</v>
      </c>
      <c r="CX58" s="80" t="s">
        <v>227</v>
      </c>
      <c r="CY58" s="80" t="s">
        <v>227</v>
      </c>
      <c r="CZ58" s="80" t="s">
        <v>227</v>
      </c>
      <c r="DA58" s="80" t="s">
        <v>227</v>
      </c>
      <c r="DB58" s="80" t="s">
        <v>227</v>
      </c>
      <c r="DC58" s="80" t="s">
        <v>227</v>
      </c>
      <c r="DD58" s="80" t="s">
        <v>227</v>
      </c>
      <c r="DE58" s="80" t="s">
        <v>227</v>
      </c>
      <c r="DF58" s="80" t="s">
        <v>227</v>
      </c>
      <c r="DG58" s="80" t="s">
        <v>227</v>
      </c>
      <c r="DH58" s="80" t="s">
        <v>227</v>
      </c>
      <c r="DI58" s="80" t="s">
        <v>227</v>
      </c>
      <c r="DJ58" s="80" t="s">
        <v>227</v>
      </c>
      <c r="DK58" s="80" t="s">
        <v>227</v>
      </c>
      <c r="DL58" s="80" t="s">
        <v>227</v>
      </c>
      <c r="DM58" s="80" t="s">
        <v>227</v>
      </c>
      <c r="DN58" s="80" t="s">
        <v>227</v>
      </c>
      <c r="DO58" s="80" t="s">
        <v>227</v>
      </c>
      <c r="DP58" s="80" t="s">
        <v>227</v>
      </c>
      <c r="DQ58" s="80" t="s">
        <v>227</v>
      </c>
      <c r="DR58" s="80" t="s">
        <v>227</v>
      </c>
      <c r="DS58" s="80" t="s">
        <v>227</v>
      </c>
      <c r="DT58" s="80" t="s">
        <v>227</v>
      </c>
      <c r="DU58" s="80" t="s">
        <v>227</v>
      </c>
      <c r="DV58" s="80" t="s">
        <v>227</v>
      </c>
      <c r="DW58" s="80" t="s">
        <v>227</v>
      </c>
      <c r="DX58" s="80" t="s">
        <v>227</v>
      </c>
      <c r="DY58" s="80" t="s">
        <v>227</v>
      </c>
      <c r="DZ58" s="80" t="s">
        <v>227</v>
      </c>
      <c r="EA58" s="80" t="s">
        <v>227</v>
      </c>
      <c r="EB58" s="80" t="s">
        <v>227</v>
      </c>
      <c r="EC58" s="80" t="s">
        <v>227</v>
      </c>
      <c r="ED58" s="80" t="s">
        <v>227</v>
      </c>
      <c r="EE58" s="80" t="s">
        <v>227</v>
      </c>
      <c r="EF58" s="80" t="s">
        <v>227</v>
      </c>
      <c r="EG58" s="80" t="s">
        <v>227</v>
      </c>
      <c r="EH58" s="80" t="s">
        <v>227</v>
      </c>
      <c r="EI58" s="78" t="s">
        <v>227</v>
      </c>
      <c r="EJ58" s="80" t="s">
        <v>227</v>
      </c>
      <c r="EK58" s="166" t="s">
        <v>227</v>
      </c>
      <c r="EL58" s="80" t="s">
        <v>227</v>
      </c>
      <c r="EM58" s="78" t="s">
        <v>227</v>
      </c>
      <c r="EN58" s="78" t="s">
        <v>227</v>
      </c>
      <c r="EO58" s="80" t="s">
        <v>227</v>
      </c>
      <c r="EP58" s="166" t="s">
        <v>227</v>
      </c>
      <c r="EQ58" s="80" t="s">
        <v>227</v>
      </c>
      <c r="ER58" s="80" t="s">
        <v>227</v>
      </c>
      <c r="ES58" s="166" t="s">
        <v>227</v>
      </c>
      <c r="ET58" s="80" t="s">
        <v>227</v>
      </c>
      <c r="EU58" s="80" t="s">
        <v>227</v>
      </c>
      <c r="EV58" s="166" t="s">
        <v>227</v>
      </c>
      <c r="EW58" s="80" t="s">
        <v>227</v>
      </c>
      <c r="EX58" s="80" t="s">
        <v>227</v>
      </c>
      <c r="EY58" s="166" t="s">
        <v>227</v>
      </c>
      <c r="EZ58" s="80" t="s">
        <v>227</v>
      </c>
      <c r="FA58" s="80" t="s">
        <v>227</v>
      </c>
      <c r="FB58" s="147" t="s">
        <v>227</v>
      </c>
      <c r="FC58" s="80" t="s">
        <v>227</v>
      </c>
      <c r="FD58" s="80" t="s">
        <v>227</v>
      </c>
      <c r="FE58" s="80" t="s">
        <v>227</v>
      </c>
      <c r="FF58" s="80" t="s">
        <v>227</v>
      </c>
      <c r="FG58" s="80" t="s">
        <v>227</v>
      </c>
      <c r="FH58" s="80" t="s">
        <v>227</v>
      </c>
      <c r="FI58" s="80" t="s">
        <v>227</v>
      </c>
      <c r="FJ58" s="80" t="s">
        <v>227</v>
      </c>
      <c r="FK58" s="80" t="s">
        <v>227</v>
      </c>
      <c r="FL58" s="80" t="s">
        <v>227</v>
      </c>
      <c r="FM58" s="80" t="s">
        <v>227</v>
      </c>
      <c r="FN58" s="80" t="s">
        <v>227</v>
      </c>
      <c r="FO58" s="80" t="s">
        <v>227</v>
      </c>
      <c r="FP58" s="80" t="s">
        <v>227</v>
      </c>
      <c r="FQ58" s="80" t="s">
        <v>227</v>
      </c>
      <c r="FR58" s="80" t="s">
        <v>227</v>
      </c>
      <c r="FS58" s="80" t="s">
        <v>227</v>
      </c>
      <c r="FT58" s="80" t="s">
        <v>227</v>
      </c>
      <c r="FU58" s="80" t="s">
        <v>227</v>
      </c>
      <c r="FV58" s="80" t="s">
        <v>227</v>
      </c>
      <c r="FW58" s="80" t="s">
        <v>227</v>
      </c>
      <c r="FX58" s="80" t="s">
        <v>227</v>
      </c>
      <c r="FY58" s="80" t="s">
        <v>227</v>
      </c>
      <c r="FZ58" s="80" t="s">
        <v>227</v>
      </c>
      <c r="GA58" s="80" t="s">
        <v>227</v>
      </c>
      <c r="GB58" s="80" t="s">
        <v>227</v>
      </c>
      <c r="GC58" s="80" t="s">
        <v>227</v>
      </c>
      <c r="GD58" s="80" t="s">
        <v>227</v>
      </c>
      <c r="GE58" s="80" t="s">
        <v>227</v>
      </c>
      <c r="GF58" s="167" t="s">
        <v>236</v>
      </c>
      <c r="GG58" s="78">
        <v>44518</v>
      </c>
      <c r="GH58" s="74" t="s">
        <v>241</v>
      </c>
      <c r="GI58" s="80" t="s">
        <v>521</v>
      </c>
      <c r="GJ58" s="78">
        <v>44502</v>
      </c>
      <c r="GK58" s="78" t="s">
        <v>227</v>
      </c>
      <c r="GL58" s="156" t="s">
        <v>522</v>
      </c>
      <c r="GM58" s="159" t="str">
        <f t="shared" si="48"/>
        <v>N/A</v>
      </c>
      <c r="GN58" s="159" t="str">
        <f t="shared" si="49"/>
        <v>N/A</v>
      </c>
      <c r="GO58" s="159">
        <f t="shared" si="50"/>
        <v>3.0333333333333332</v>
      </c>
      <c r="GP58" s="159" t="str">
        <f t="shared" si="51"/>
        <v>N/A</v>
      </c>
      <c r="GQ58" s="159">
        <f t="shared" si="52"/>
        <v>3.0333333333333332</v>
      </c>
      <c r="GR58" s="159" t="str">
        <f t="shared" si="53"/>
        <v>N/A</v>
      </c>
      <c r="GS58" s="159" t="str">
        <f t="shared" si="54"/>
        <v>N/A</v>
      </c>
      <c r="GT58" s="159" t="str">
        <f t="shared" si="55"/>
        <v>N/A</v>
      </c>
      <c r="GU58" s="159" t="str">
        <f t="shared" si="56"/>
        <v>N/A</v>
      </c>
      <c r="GV58" s="159" t="str">
        <f t="shared" si="57"/>
        <v>N/A</v>
      </c>
      <c r="GW58" s="159">
        <f t="shared" si="58"/>
        <v>4.5333333333333332</v>
      </c>
      <c r="GX58" s="159">
        <f t="shared" si="59"/>
        <v>4.5333333333333332</v>
      </c>
      <c r="GY58" s="159" t="str">
        <f t="shared" si="60"/>
        <v>N/A</v>
      </c>
      <c r="GZ58" s="159" t="str">
        <f t="shared" si="61"/>
        <v>N/A</v>
      </c>
      <c r="HA58" s="159" t="str">
        <f t="shared" si="62"/>
        <v>N/A</v>
      </c>
      <c r="HB58" s="159" t="str">
        <f t="shared" si="63"/>
        <v>N/A</v>
      </c>
      <c r="HC58" s="159">
        <f t="shared" si="64"/>
        <v>5.4333333333333336</v>
      </c>
      <c r="HD58" s="159">
        <f t="shared" si="65"/>
        <v>4.9000000000000004</v>
      </c>
      <c r="HE58" s="159" t="str">
        <f t="shared" si="66"/>
        <v>N/A</v>
      </c>
      <c r="HF58" s="160">
        <f t="shared" si="67"/>
        <v>5.4333333333333336</v>
      </c>
      <c r="HG58" s="160" cm="1">
        <f t="array" ref="HG58">INDEX($HB58:$HD58,MATCH(TRUE,INDEX(ISNUMBER($HB58:$HD58),0),0))</f>
        <v>5.4333333333333336</v>
      </c>
      <c r="HH58" s="161">
        <f t="shared" si="68"/>
        <v>0</v>
      </c>
      <c r="HI58" s="86">
        <f t="shared" si="69"/>
        <v>1</v>
      </c>
      <c r="HJ58" s="111">
        <f t="shared" si="70"/>
        <v>1</v>
      </c>
      <c r="HK58" s="205" t="str">
        <f t="shared" si="71"/>
        <v>1</v>
      </c>
    </row>
    <row r="59" spans="1:219" ht="15" customHeight="1" x14ac:dyDescent="0.3">
      <c r="A59" s="80">
        <v>4583429037</v>
      </c>
      <c r="B59" s="74" t="s">
        <v>220</v>
      </c>
      <c r="C59" s="74" t="s">
        <v>221</v>
      </c>
      <c r="D59" s="74" t="s">
        <v>220</v>
      </c>
      <c r="E59" s="80" t="s">
        <v>523</v>
      </c>
      <c r="F59" s="80" t="s">
        <v>223</v>
      </c>
      <c r="G59" s="80" t="s">
        <v>315</v>
      </c>
      <c r="H59" s="78">
        <v>44448</v>
      </c>
      <c r="I59" s="80" t="s">
        <v>524</v>
      </c>
      <c r="J59" s="80" t="s">
        <v>525</v>
      </c>
      <c r="K59" s="78" t="s">
        <v>227</v>
      </c>
      <c r="L59" s="80" t="s">
        <v>227</v>
      </c>
      <c r="M59" s="80" t="s">
        <v>227</v>
      </c>
      <c r="N59" s="80" t="s">
        <v>227</v>
      </c>
      <c r="O59" s="80" t="s">
        <v>227</v>
      </c>
      <c r="P59" s="80" t="s">
        <v>227</v>
      </c>
      <c r="Q59" s="80" t="s">
        <v>227</v>
      </c>
      <c r="R59" s="80" t="s">
        <v>227</v>
      </c>
      <c r="S59" s="80" t="s">
        <v>227</v>
      </c>
      <c r="T59" s="80" t="s">
        <v>227</v>
      </c>
      <c r="U59" s="80" t="s">
        <v>227</v>
      </c>
      <c r="V59" s="80" t="s">
        <v>227</v>
      </c>
      <c r="W59" s="80" t="s">
        <v>227</v>
      </c>
      <c r="X59" s="80" t="s">
        <v>227</v>
      </c>
      <c r="Y59" s="80" t="s">
        <v>227</v>
      </c>
      <c r="Z59" s="80" t="s">
        <v>227</v>
      </c>
      <c r="AA59" s="80" t="s">
        <v>227</v>
      </c>
      <c r="AB59" s="80" t="s">
        <v>227</v>
      </c>
      <c r="AC59" s="80" t="s">
        <v>227</v>
      </c>
      <c r="AD59" s="80" t="s">
        <v>227</v>
      </c>
      <c r="AE59" s="80" t="s">
        <v>227</v>
      </c>
      <c r="AF59" s="80" t="s">
        <v>227</v>
      </c>
      <c r="AG59" s="80" t="s">
        <v>227</v>
      </c>
      <c r="AH59" s="80" t="s">
        <v>227</v>
      </c>
      <c r="AI59" s="80" t="s">
        <v>227</v>
      </c>
      <c r="AJ59" s="80" t="s">
        <v>227</v>
      </c>
      <c r="AK59" s="80" t="s">
        <v>227</v>
      </c>
      <c r="AL59" s="80" t="s">
        <v>227</v>
      </c>
      <c r="AM59" s="80" t="s">
        <v>227</v>
      </c>
      <c r="AN59" s="80" t="s">
        <v>227</v>
      </c>
      <c r="AO59" s="80" t="s">
        <v>227</v>
      </c>
      <c r="AP59" s="80" t="s">
        <v>227</v>
      </c>
      <c r="AQ59" s="80" t="s">
        <v>228</v>
      </c>
      <c r="AR59" s="78">
        <v>20351</v>
      </c>
      <c r="AS59" s="78">
        <v>44398</v>
      </c>
      <c r="AT59" s="189">
        <f t="shared" si="47"/>
        <v>65</v>
      </c>
      <c r="AU59" s="164" t="s">
        <v>229</v>
      </c>
      <c r="AV59" s="74" t="s">
        <v>230</v>
      </c>
      <c r="AW59" s="74" t="s">
        <v>241</v>
      </c>
      <c r="AX59" s="80">
        <v>2</v>
      </c>
      <c r="AY59" s="80" t="s">
        <v>232</v>
      </c>
      <c r="AZ59" s="80" t="s">
        <v>232</v>
      </c>
      <c r="BA59" s="80">
        <f t="shared" si="46"/>
        <v>0</v>
      </c>
      <c r="BB59" s="80" t="s">
        <v>526</v>
      </c>
      <c r="BC59" s="80">
        <v>1</v>
      </c>
      <c r="BD59" s="74" t="s">
        <v>243</v>
      </c>
      <c r="BE59" s="80" t="s">
        <v>273</v>
      </c>
      <c r="BF59" s="74" t="s">
        <v>220</v>
      </c>
      <c r="BG59" s="165" t="s">
        <v>227</v>
      </c>
      <c r="BH59" s="166" t="s">
        <v>227</v>
      </c>
      <c r="BI59" s="80" t="s">
        <v>227</v>
      </c>
      <c r="BJ59" s="78" t="s">
        <v>227</v>
      </c>
      <c r="BK59" s="78" t="s">
        <v>227</v>
      </c>
      <c r="BL59" s="80" t="s">
        <v>227</v>
      </c>
      <c r="BM59" s="166" t="s">
        <v>227</v>
      </c>
      <c r="BN59" s="80" t="s">
        <v>227</v>
      </c>
      <c r="BO59" s="80" t="s">
        <v>227</v>
      </c>
      <c r="BP59" s="166" t="s">
        <v>227</v>
      </c>
      <c r="BQ59" s="80" t="s">
        <v>227</v>
      </c>
      <c r="BR59" s="80" t="s">
        <v>227</v>
      </c>
      <c r="BS59" s="80" t="s">
        <v>227</v>
      </c>
      <c r="BT59" s="80" t="s">
        <v>227</v>
      </c>
      <c r="BU59" s="80" t="s">
        <v>227</v>
      </c>
      <c r="BV59" s="80" t="s">
        <v>227</v>
      </c>
      <c r="BW59" s="80" t="s">
        <v>227</v>
      </c>
      <c r="BX59" s="80" t="s">
        <v>227</v>
      </c>
      <c r="BY59" s="80" t="s">
        <v>227</v>
      </c>
      <c r="BZ59" s="80" t="s">
        <v>227</v>
      </c>
      <c r="CA59" s="80" t="s">
        <v>227</v>
      </c>
      <c r="CB59" s="80" t="s">
        <v>227</v>
      </c>
      <c r="CC59" s="80" t="s">
        <v>227</v>
      </c>
      <c r="CD59" s="80" t="s">
        <v>227</v>
      </c>
      <c r="CE59" s="80" t="s">
        <v>227</v>
      </c>
      <c r="CF59" s="80" t="s">
        <v>227</v>
      </c>
      <c r="CG59" s="80" t="s">
        <v>227</v>
      </c>
      <c r="CH59" s="80" t="s">
        <v>227</v>
      </c>
      <c r="CI59" s="80" t="s">
        <v>227</v>
      </c>
      <c r="CJ59" s="80" t="s">
        <v>227</v>
      </c>
      <c r="CK59" s="80" t="s">
        <v>227</v>
      </c>
      <c r="CL59" s="80" t="s">
        <v>227</v>
      </c>
      <c r="CM59" s="80" t="s">
        <v>227</v>
      </c>
      <c r="CN59" s="166" t="s">
        <v>246</v>
      </c>
      <c r="CO59" s="157" t="s">
        <v>527</v>
      </c>
      <c r="CP59" s="78">
        <v>44522</v>
      </c>
      <c r="CQ59" s="78">
        <v>44561</v>
      </c>
      <c r="CR59" s="80" t="s">
        <v>227</v>
      </c>
      <c r="CS59" s="80" t="s">
        <v>227</v>
      </c>
      <c r="CT59" s="80" t="s">
        <v>227</v>
      </c>
      <c r="CU59" s="80" t="s">
        <v>227</v>
      </c>
      <c r="CV59" s="80" t="s">
        <v>227</v>
      </c>
      <c r="CW59" s="80" t="s">
        <v>227</v>
      </c>
      <c r="CX59" s="80" t="s">
        <v>227</v>
      </c>
      <c r="CY59" s="80" t="s">
        <v>227</v>
      </c>
      <c r="CZ59" s="80" t="s">
        <v>227</v>
      </c>
      <c r="DA59" s="80" t="s">
        <v>227</v>
      </c>
      <c r="DB59" s="80" t="s">
        <v>227</v>
      </c>
      <c r="DC59" s="80" t="s">
        <v>227</v>
      </c>
      <c r="DD59" s="80" t="s">
        <v>227</v>
      </c>
      <c r="DE59" s="80" t="s">
        <v>227</v>
      </c>
      <c r="DF59" s="80" t="s">
        <v>227</v>
      </c>
      <c r="DG59" s="80" t="s">
        <v>227</v>
      </c>
      <c r="DH59" s="80" t="s">
        <v>227</v>
      </c>
      <c r="DI59" s="80" t="s">
        <v>227</v>
      </c>
      <c r="DJ59" s="80" t="s">
        <v>227</v>
      </c>
      <c r="DK59" s="80" t="s">
        <v>227</v>
      </c>
      <c r="DL59" s="80" t="s">
        <v>227</v>
      </c>
      <c r="DM59" s="80" t="s">
        <v>227</v>
      </c>
      <c r="DN59" s="80" t="s">
        <v>227</v>
      </c>
      <c r="DO59" s="80" t="s">
        <v>227</v>
      </c>
      <c r="DP59" s="80" t="s">
        <v>227</v>
      </c>
      <c r="DQ59" s="80" t="s">
        <v>227</v>
      </c>
      <c r="DR59" s="80" t="s">
        <v>227</v>
      </c>
      <c r="DS59" s="80" t="s">
        <v>227</v>
      </c>
      <c r="DT59" s="80" t="s">
        <v>227</v>
      </c>
      <c r="DU59" s="80" t="s">
        <v>227</v>
      </c>
      <c r="DV59" s="80" t="s">
        <v>227</v>
      </c>
      <c r="DW59" s="80" t="s">
        <v>227</v>
      </c>
      <c r="DX59" s="80" t="s">
        <v>227</v>
      </c>
      <c r="DY59" s="80" t="s">
        <v>227</v>
      </c>
      <c r="DZ59" s="80" t="s">
        <v>227</v>
      </c>
      <c r="EA59" s="80" t="s">
        <v>227</v>
      </c>
      <c r="EB59" s="80" t="s">
        <v>227</v>
      </c>
      <c r="EC59" s="80" t="s">
        <v>227</v>
      </c>
      <c r="ED59" s="80" t="s">
        <v>227</v>
      </c>
      <c r="EE59" s="80" t="s">
        <v>227</v>
      </c>
      <c r="EF59" s="80" t="s">
        <v>227</v>
      </c>
      <c r="EG59" s="80" t="s">
        <v>227</v>
      </c>
      <c r="EH59" s="80" t="s">
        <v>227</v>
      </c>
      <c r="EI59" s="80" t="s">
        <v>227</v>
      </c>
      <c r="EJ59" s="80" t="s">
        <v>227</v>
      </c>
      <c r="EK59" s="80" t="s">
        <v>227</v>
      </c>
      <c r="EL59" s="80" t="s">
        <v>227</v>
      </c>
      <c r="EM59" s="80" t="s">
        <v>227</v>
      </c>
      <c r="EN59" s="80" t="s">
        <v>227</v>
      </c>
      <c r="EO59" s="80" t="s">
        <v>227</v>
      </c>
      <c r="EP59" s="80" t="s">
        <v>227</v>
      </c>
      <c r="EQ59" s="80" t="s">
        <v>227</v>
      </c>
      <c r="ER59" s="80" t="s">
        <v>227</v>
      </c>
      <c r="ES59" s="80" t="s">
        <v>227</v>
      </c>
      <c r="ET59" s="80" t="s">
        <v>227</v>
      </c>
      <c r="EU59" s="80" t="s">
        <v>227</v>
      </c>
      <c r="EV59" s="80" t="s">
        <v>227</v>
      </c>
      <c r="EW59" s="80" t="s">
        <v>227</v>
      </c>
      <c r="EX59" s="80" t="s">
        <v>227</v>
      </c>
      <c r="EY59" s="80" t="s">
        <v>227</v>
      </c>
      <c r="EZ59" s="80" t="s">
        <v>227</v>
      </c>
      <c r="FA59" s="80" t="s">
        <v>227</v>
      </c>
      <c r="FB59" s="147" t="s">
        <v>227</v>
      </c>
      <c r="FC59" s="80" t="s">
        <v>227</v>
      </c>
      <c r="FD59" s="80" t="s">
        <v>227</v>
      </c>
      <c r="FE59" s="80" t="s">
        <v>227</v>
      </c>
      <c r="FF59" s="80" t="s">
        <v>227</v>
      </c>
      <c r="FG59" s="80" t="s">
        <v>227</v>
      </c>
      <c r="FH59" s="80" t="s">
        <v>227</v>
      </c>
      <c r="FI59" s="80" t="s">
        <v>227</v>
      </c>
      <c r="FJ59" s="80" t="s">
        <v>227</v>
      </c>
      <c r="FK59" s="80" t="s">
        <v>227</v>
      </c>
      <c r="FL59" s="80" t="s">
        <v>227</v>
      </c>
      <c r="FM59" s="80" t="s">
        <v>227</v>
      </c>
      <c r="FN59" s="80" t="s">
        <v>227</v>
      </c>
      <c r="FO59" s="80" t="s">
        <v>227</v>
      </c>
      <c r="FP59" s="80" t="s">
        <v>227</v>
      </c>
      <c r="FQ59" s="80" t="s">
        <v>227</v>
      </c>
      <c r="FR59" s="80" t="s">
        <v>227</v>
      </c>
      <c r="FS59" s="80" t="s">
        <v>227</v>
      </c>
      <c r="FT59" s="80" t="s">
        <v>227</v>
      </c>
      <c r="FU59" s="80" t="s">
        <v>227</v>
      </c>
      <c r="FV59" s="80" t="s">
        <v>227</v>
      </c>
      <c r="FW59" s="80" t="s">
        <v>227</v>
      </c>
      <c r="FX59" s="80" t="s">
        <v>227</v>
      </c>
      <c r="FY59" s="80" t="s">
        <v>227</v>
      </c>
      <c r="FZ59" s="80" t="s">
        <v>227</v>
      </c>
      <c r="GA59" s="80" t="s">
        <v>227</v>
      </c>
      <c r="GB59" s="80" t="s">
        <v>227</v>
      </c>
      <c r="GC59" s="80" t="s">
        <v>227</v>
      </c>
      <c r="GD59" s="80" t="s">
        <v>227</v>
      </c>
      <c r="GE59" s="80" t="s">
        <v>227</v>
      </c>
      <c r="GF59" s="167" t="s">
        <v>312</v>
      </c>
      <c r="GG59" s="78" t="s">
        <v>227</v>
      </c>
      <c r="GH59" s="74" t="s">
        <v>227</v>
      </c>
      <c r="GI59" s="80" t="s">
        <v>227</v>
      </c>
      <c r="GJ59" s="78">
        <v>45970</v>
      </c>
      <c r="GK59" s="156">
        <v>46178</v>
      </c>
      <c r="GL59" s="78" t="s">
        <v>227</v>
      </c>
      <c r="GM59" s="159" t="str">
        <f t="shared" si="48"/>
        <v>N/A</v>
      </c>
      <c r="GN59" s="159" t="str">
        <f t="shared" si="49"/>
        <v>N/A</v>
      </c>
      <c r="GO59" s="159">
        <f t="shared" si="50"/>
        <v>1.6666666666666667</v>
      </c>
      <c r="GP59" s="159" t="str">
        <f t="shared" si="51"/>
        <v>N/A</v>
      </c>
      <c r="GQ59" s="159" t="str">
        <f t="shared" si="52"/>
        <v>N/A</v>
      </c>
      <c r="GR59" s="159" t="str">
        <f t="shared" si="53"/>
        <v>N/A</v>
      </c>
      <c r="GS59" s="159" t="str">
        <f t="shared" si="54"/>
        <v>N/A</v>
      </c>
      <c r="GT59" s="159" t="str">
        <f t="shared" si="55"/>
        <v>N/A</v>
      </c>
      <c r="GU59" s="159" t="str">
        <f t="shared" si="56"/>
        <v>N/A</v>
      </c>
      <c r="GV59" s="159" t="str">
        <f t="shared" si="57"/>
        <v>N/A</v>
      </c>
      <c r="GW59" s="159">
        <f t="shared" si="58"/>
        <v>4.1333333333333337</v>
      </c>
      <c r="GX59" s="159">
        <f t="shared" si="59"/>
        <v>5.4333333333333336</v>
      </c>
      <c r="GY59" s="159" t="str">
        <f t="shared" si="60"/>
        <v>N/A</v>
      </c>
      <c r="GZ59" s="159" t="str">
        <f t="shared" si="61"/>
        <v>N/A</v>
      </c>
      <c r="HA59" s="159" t="str">
        <f t="shared" si="62"/>
        <v>N/A</v>
      </c>
      <c r="HB59" s="159" t="str">
        <f t="shared" si="63"/>
        <v>N/A</v>
      </c>
      <c r="HC59" s="159" t="str">
        <f t="shared" si="64"/>
        <v>N/A</v>
      </c>
      <c r="HD59" s="159">
        <f t="shared" si="65"/>
        <v>52.4</v>
      </c>
      <c r="HE59" s="159">
        <f t="shared" si="66"/>
        <v>59.333333333333336</v>
      </c>
      <c r="HF59" s="160">
        <f t="shared" si="67"/>
        <v>59.333333333333336</v>
      </c>
      <c r="HG59" s="160" cm="1">
        <f t="array" ref="HG59">INDEX($HB59:$HD59,MATCH(TRUE,INDEX(ISNUMBER($HB59:$HD59),0),0))</f>
        <v>52.4</v>
      </c>
      <c r="HH59" s="161">
        <f t="shared" si="68"/>
        <v>0</v>
      </c>
      <c r="HI59" s="86">
        <f t="shared" si="69"/>
        <v>0</v>
      </c>
      <c r="HJ59" s="111">
        <f t="shared" si="70"/>
        <v>0</v>
      </c>
      <c r="HK59" s="205" t="str">
        <f t="shared" si="71"/>
        <v>0</v>
      </c>
    </row>
    <row r="60" spans="1:219" ht="15" customHeight="1" x14ac:dyDescent="0.3">
      <c r="A60" s="80">
        <v>6287109335</v>
      </c>
      <c r="B60" s="74" t="s">
        <v>220</v>
      </c>
      <c r="C60" s="74" t="s">
        <v>221</v>
      </c>
      <c r="D60" s="74" t="s">
        <v>220</v>
      </c>
      <c r="E60" s="80" t="s">
        <v>528</v>
      </c>
      <c r="F60" s="80" t="s">
        <v>374</v>
      </c>
      <c r="G60" s="80" t="s">
        <v>227</v>
      </c>
      <c r="H60" s="78">
        <v>44462</v>
      </c>
      <c r="I60" s="80" t="s">
        <v>494</v>
      </c>
      <c r="J60" s="80" t="s">
        <v>226</v>
      </c>
      <c r="K60" s="78" t="s">
        <v>227</v>
      </c>
      <c r="L60" s="80" t="s">
        <v>227</v>
      </c>
      <c r="M60" s="80" t="s">
        <v>227</v>
      </c>
      <c r="N60" s="80" t="s">
        <v>227</v>
      </c>
      <c r="O60" s="80" t="s">
        <v>227</v>
      </c>
      <c r="P60" s="80" t="s">
        <v>227</v>
      </c>
      <c r="Q60" s="80" t="s">
        <v>227</v>
      </c>
      <c r="R60" s="80" t="s">
        <v>227</v>
      </c>
      <c r="S60" s="80" t="s">
        <v>227</v>
      </c>
      <c r="T60" s="80" t="s">
        <v>227</v>
      </c>
      <c r="U60" s="80" t="s">
        <v>227</v>
      </c>
      <c r="V60" s="80" t="s">
        <v>227</v>
      </c>
      <c r="W60" s="80" t="s">
        <v>227</v>
      </c>
      <c r="X60" s="80" t="s">
        <v>227</v>
      </c>
      <c r="Y60" s="80" t="s">
        <v>227</v>
      </c>
      <c r="Z60" s="80" t="s">
        <v>227</v>
      </c>
      <c r="AA60" s="80" t="s">
        <v>227</v>
      </c>
      <c r="AB60" s="80" t="s">
        <v>227</v>
      </c>
      <c r="AC60" s="80" t="s">
        <v>227</v>
      </c>
      <c r="AD60" s="80" t="s">
        <v>227</v>
      </c>
      <c r="AE60" s="80" t="s">
        <v>227</v>
      </c>
      <c r="AF60" s="80" t="s">
        <v>227</v>
      </c>
      <c r="AG60" s="80" t="s">
        <v>227</v>
      </c>
      <c r="AH60" s="80" t="s">
        <v>227</v>
      </c>
      <c r="AI60" s="80" t="s">
        <v>227</v>
      </c>
      <c r="AJ60" s="80" t="s">
        <v>227</v>
      </c>
      <c r="AK60" s="80" t="s">
        <v>227</v>
      </c>
      <c r="AL60" s="80" t="s">
        <v>227</v>
      </c>
      <c r="AM60" s="80" t="s">
        <v>227</v>
      </c>
      <c r="AN60" s="80" t="s">
        <v>227</v>
      </c>
      <c r="AO60" s="80" t="s">
        <v>227</v>
      </c>
      <c r="AP60" s="80" t="s">
        <v>227</v>
      </c>
      <c r="AQ60" s="80" t="s">
        <v>228</v>
      </c>
      <c r="AR60" s="78">
        <v>23557</v>
      </c>
      <c r="AS60" s="78">
        <v>44413</v>
      </c>
      <c r="AT60" s="189">
        <f t="shared" si="47"/>
        <v>57</v>
      </c>
      <c r="AU60" s="164" t="s">
        <v>229</v>
      </c>
      <c r="AV60" s="74" t="s">
        <v>230</v>
      </c>
      <c r="AW60" s="74" t="s">
        <v>220</v>
      </c>
      <c r="AX60" s="80" t="s">
        <v>389</v>
      </c>
      <c r="AY60" s="80" t="s">
        <v>232</v>
      </c>
      <c r="AZ60" s="80" t="s">
        <v>232</v>
      </c>
      <c r="BA60" s="80">
        <f t="shared" si="46"/>
        <v>0</v>
      </c>
      <c r="BB60" s="80" t="s">
        <v>529</v>
      </c>
      <c r="BC60" s="80">
        <v>2</v>
      </c>
      <c r="BD60" s="74" t="s">
        <v>243</v>
      </c>
      <c r="BE60" s="80" t="s">
        <v>530</v>
      </c>
      <c r="BF60" s="74" t="s">
        <v>220</v>
      </c>
      <c r="BG60" s="165" t="s">
        <v>227</v>
      </c>
      <c r="BH60" s="166" t="s">
        <v>227</v>
      </c>
      <c r="BI60" s="80" t="s">
        <v>227</v>
      </c>
      <c r="BJ60" s="78" t="s">
        <v>227</v>
      </c>
      <c r="BK60" s="78" t="s">
        <v>227</v>
      </c>
      <c r="BL60" s="80" t="s">
        <v>227</v>
      </c>
      <c r="BM60" s="166" t="s">
        <v>227</v>
      </c>
      <c r="BN60" s="80" t="s">
        <v>227</v>
      </c>
      <c r="BO60" s="80" t="s">
        <v>227</v>
      </c>
      <c r="BP60" s="166" t="s">
        <v>227</v>
      </c>
      <c r="BQ60" s="80" t="s">
        <v>227</v>
      </c>
      <c r="BR60" s="80" t="s">
        <v>227</v>
      </c>
      <c r="BS60" s="80" t="s">
        <v>227</v>
      </c>
      <c r="BT60" s="80" t="s">
        <v>227</v>
      </c>
      <c r="BU60" s="80" t="s">
        <v>227</v>
      </c>
      <c r="BV60" s="80" t="s">
        <v>227</v>
      </c>
      <c r="BW60" s="80" t="s">
        <v>227</v>
      </c>
      <c r="BX60" s="80" t="s">
        <v>227</v>
      </c>
      <c r="BY60" s="80" t="s">
        <v>227</v>
      </c>
      <c r="BZ60" s="80" t="s">
        <v>227</v>
      </c>
      <c r="CA60" s="80" t="s">
        <v>227</v>
      </c>
      <c r="CB60" s="80" t="s">
        <v>227</v>
      </c>
      <c r="CC60" s="80" t="s">
        <v>227</v>
      </c>
      <c r="CD60" s="80" t="s">
        <v>227</v>
      </c>
      <c r="CE60" s="80" t="s">
        <v>227</v>
      </c>
      <c r="CF60" s="80" t="s">
        <v>227</v>
      </c>
      <c r="CG60" s="80" t="s">
        <v>227</v>
      </c>
      <c r="CH60" s="80" t="s">
        <v>227</v>
      </c>
      <c r="CI60" s="80" t="s">
        <v>227</v>
      </c>
      <c r="CJ60" s="80" t="s">
        <v>227</v>
      </c>
      <c r="CK60" s="80" t="s">
        <v>227</v>
      </c>
      <c r="CL60" s="80" t="s">
        <v>227</v>
      </c>
      <c r="CM60" s="80" t="s">
        <v>227</v>
      </c>
      <c r="CN60" s="166" t="s">
        <v>249</v>
      </c>
      <c r="CO60" s="80" t="s">
        <v>437</v>
      </c>
      <c r="CP60" s="78">
        <v>44515</v>
      </c>
      <c r="CQ60" s="78">
        <v>44559</v>
      </c>
      <c r="CR60" s="80" t="s">
        <v>227</v>
      </c>
      <c r="CS60" s="166" t="s">
        <v>246</v>
      </c>
      <c r="CT60" s="80" t="s">
        <v>378</v>
      </c>
      <c r="CU60" s="80" t="s">
        <v>227</v>
      </c>
      <c r="CV60" s="166" t="s">
        <v>227</v>
      </c>
      <c r="CW60" s="80" t="s">
        <v>227</v>
      </c>
      <c r="CX60" s="80" t="s">
        <v>227</v>
      </c>
      <c r="CY60" s="80" t="s">
        <v>227</v>
      </c>
      <c r="CZ60" s="80" t="s">
        <v>227</v>
      </c>
      <c r="DA60" s="80" t="s">
        <v>227</v>
      </c>
      <c r="DB60" s="80" t="s">
        <v>227</v>
      </c>
      <c r="DC60" s="80" t="s">
        <v>227</v>
      </c>
      <c r="DD60" s="80" t="s">
        <v>227</v>
      </c>
      <c r="DE60" s="80" t="s">
        <v>227</v>
      </c>
      <c r="DF60" s="80" t="s">
        <v>227</v>
      </c>
      <c r="DG60" s="80" t="s">
        <v>227</v>
      </c>
      <c r="DH60" s="80" t="s">
        <v>227</v>
      </c>
      <c r="DI60" s="80" t="s">
        <v>227</v>
      </c>
      <c r="DJ60" s="80" t="s">
        <v>227</v>
      </c>
      <c r="DK60" s="80" t="s">
        <v>227</v>
      </c>
      <c r="DL60" s="80" t="s">
        <v>227</v>
      </c>
      <c r="DM60" s="80" t="s">
        <v>227</v>
      </c>
      <c r="DN60" s="80" t="s">
        <v>227</v>
      </c>
      <c r="DO60" s="80" t="s">
        <v>227</v>
      </c>
      <c r="DP60" s="80" t="s">
        <v>227</v>
      </c>
      <c r="DQ60" s="80" t="s">
        <v>227</v>
      </c>
      <c r="DR60" s="80" t="s">
        <v>227</v>
      </c>
      <c r="DS60" s="80" t="s">
        <v>227</v>
      </c>
      <c r="DT60" s="80" t="s">
        <v>227</v>
      </c>
      <c r="DU60" s="80" t="s">
        <v>227</v>
      </c>
      <c r="DV60" s="80" t="s">
        <v>227</v>
      </c>
      <c r="DW60" s="80" t="s">
        <v>227</v>
      </c>
      <c r="DX60" s="80" t="s">
        <v>227</v>
      </c>
      <c r="DY60" s="80" t="s">
        <v>227</v>
      </c>
      <c r="DZ60" s="80" t="s">
        <v>227</v>
      </c>
      <c r="EA60" s="80" t="s">
        <v>227</v>
      </c>
      <c r="EB60" s="80" t="s">
        <v>227</v>
      </c>
      <c r="EC60" s="80" t="s">
        <v>227</v>
      </c>
      <c r="ED60" s="80" t="s">
        <v>227</v>
      </c>
      <c r="EE60" s="80" t="s">
        <v>227</v>
      </c>
      <c r="EF60" s="80" t="s">
        <v>227</v>
      </c>
      <c r="EG60" s="80" t="s">
        <v>227</v>
      </c>
      <c r="EH60" s="80" t="s">
        <v>227</v>
      </c>
      <c r="EI60" s="78">
        <v>44844</v>
      </c>
      <c r="EJ60" s="80" t="s">
        <v>531</v>
      </c>
      <c r="EK60" s="166" t="s">
        <v>246</v>
      </c>
      <c r="EL60" s="80" t="s">
        <v>532</v>
      </c>
      <c r="EM60" s="78">
        <v>44909</v>
      </c>
      <c r="EN60" s="78">
        <v>44918</v>
      </c>
      <c r="EO60" s="157" t="s">
        <v>248</v>
      </c>
      <c r="EP60" s="166" t="s">
        <v>227</v>
      </c>
      <c r="EQ60" s="80" t="s">
        <v>227</v>
      </c>
      <c r="ER60" s="80" t="s">
        <v>227</v>
      </c>
      <c r="ES60" s="166" t="s">
        <v>227</v>
      </c>
      <c r="ET60" s="80" t="s">
        <v>227</v>
      </c>
      <c r="EU60" s="80" t="s">
        <v>227</v>
      </c>
      <c r="EV60" s="166" t="s">
        <v>227</v>
      </c>
      <c r="EW60" s="80" t="s">
        <v>227</v>
      </c>
      <c r="EX60" s="80" t="s">
        <v>227</v>
      </c>
      <c r="EY60" s="166" t="s">
        <v>227</v>
      </c>
      <c r="EZ60" s="80" t="s">
        <v>227</v>
      </c>
      <c r="FA60" s="80" t="s">
        <v>227</v>
      </c>
      <c r="FB60" s="147" t="s">
        <v>227</v>
      </c>
      <c r="FC60" s="80" t="s">
        <v>227</v>
      </c>
      <c r="FD60" s="80" t="s">
        <v>227</v>
      </c>
      <c r="FE60" s="80" t="s">
        <v>227</v>
      </c>
      <c r="FF60" s="80" t="s">
        <v>227</v>
      </c>
      <c r="FG60" s="80" t="s">
        <v>227</v>
      </c>
      <c r="FH60" s="80" t="s">
        <v>227</v>
      </c>
      <c r="FI60" s="80" t="s">
        <v>227</v>
      </c>
      <c r="FJ60" s="80" t="s">
        <v>227</v>
      </c>
      <c r="FK60" s="80" t="s">
        <v>227</v>
      </c>
      <c r="FL60" s="80" t="s">
        <v>227</v>
      </c>
      <c r="FM60" s="80" t="s">
        <v>227</v>
      </c>
      <c r="FN60" s="80" t="s">
        <v>227</v>
      </c>
      <c r="FO60" s="80" t="s">
        <v>227</v>
      </c>
      <c r="FP60" s="80" t="s">
        <v>227</v>
      </c>
      <c r="FQ60" s="80" t="s">
        <v>227</v>
      </c>
      <c r="FR60" s="80" t="s">
        <v>227</v>
      </c>
      <c r="FS60" s="80" t="s">
        <v>227</v>
      </c>
      <c r="FT60" s="80" t="s">
        <v>227</v>
      </c>
      <c r="FU60" s="80" t="s">
        <v>227</v>
      </c>
      <c r="FV60" s="80" t="s">
        <v>227</v>
      </c>
      <c r="FW60" s="80" t="s">
        <v>227</v>
      </c>
      <c r="FX60" s="80" t="s">
        <v>227</v>
      </c>
      <c r="FY60" s="80" t="s">
        <v>227</v>
      </c>
      <c r="FZ60" s="80" t="s">
        <v>227</v>
      </c>
      <c r="GA60" s="80" t="s">
        <v>227</v>
      </c>
      <c r="GB60" s="80" t="s">
        <v>227</v>
      </c>
      <c r="GC60" s="80" t="s">
        <v>227</v>
      </c>
      <c r="GD60" s="80" t="s">
        <v>227</v>
      </c>
      <c r="GE60" s="80" t="s">
        <v>227</v>
      </c>
      <c r="GF60" s="167" t="s">
        <v>312</v>
      </c>
      <c r="GG60" s="78" t="s">
        <v>227</v>
      </c>
      <c r="GH60" s="74" t="s">
        <v>227</v>
      </c>
      <c r="GI60" s="80" t="s">
        <v>227</v>
      </c>
      <c r="GJ60" s="156">
        <v>46177</v>
      </c>
      <c r="GK60" s="156">
        <v>46177</v>
      </c>
      <c r="GL60" s="78" t="s">
        <v>227</v>
      </c>
      <c r="GM60" s="159" t="str">
        <f t="shared" si="48"/>
        <v>N/A</v>
      </c>
      <c r="GN60" s="159" t="str">
        <f t="shared" si="49"/>
        <v>N/A</v>
      </c>
      <c r="GO60" s="159">
        <f t="shared" si="50"/>
        <v>1.6333333333333333</v>
      </c>
      <c r="GP60" s="159" t="str">
        <f t="shared" si="51"/>
        <v>N/A</v>
      </c>
      <c r="GQ60" s="159" t="str">
        <f t="shared" si="52"/>
        <v>N/A</v>
      </c>
      <c r="GR60" s="159" t="str">
        <f t="shared" si="53"/>
        <v>N/A</v>
      </c>
      <c r="GS60" s="159" t="str">
        <f t="shared" si="54"/>
        <v>N/A</v>
      </c>
      <c r="GT60" s="159" t="str">
        <f t="shared" si="55"/>
        <v>N/A</v>
      </c>
      <c r="GU60" s="159" t="str">
        <f t="shared" si="56"/>
        <v>N/A</v>
      </c>
      <c r="GV60" s="159" t="str">
        <f t="shared" si="57"/>
        <v>N/A</v>
      </c>
      <c r="GW60" s="159">
        <f t="shared" si="58"/>
        <v>3.4</v>
      </c>
      <c r="GX60" s="159">
        <f t="shared" si="59"/>
        <v>4.8666666666666663</v>
      </c>
      <c r="GY60" s="159">
        <f t="shared" si="60"/>
        <v>14.366666666666667</v>
      </c>
      <c r="GZ60" s="159">
        <f t="shared" si="61"/>
        <v>16.533333333333335</v>
      </c>
      <c r="HA60" s="159">
        <f t="shared" si="62"/>
        <v>16.833333333333332</v>
      </c>
      <c r="HB60" s="159">
        <f t="shared" si="63"/>
        <v>14.366666666666667</v>
      </c>
      <c r="HC60" s="159" t="str">
        <f t="shared" si="64"/>
        <v>N/A</v>
      </c>
      <c r="HD60" s="159">
        <f t="shared" si="65"/>
        <v>58.8</v>
      </c>
      <c r="HE60" s="159">
        <f t="shared" si="66"/>
        <v>58.8</v>
      </c>
      <c r="HF60" s="160">
        <f t="shared" si="67"/>
        <v>58.8</v>
      </c>
      <c r="HG60" s="160" cm="1">
        <f t="array" ref="HG60">INDEX($HB60:$HD60,MATCH(TRUE,INDEX(ISNUMBER($HB60:$HD60),0),0))</f>
        <v>14.366666666666667</v>
      </c>
      <c r="HH60" s="161">
        <f t="shared" si="68"/>
        <v>1</v>
      </c>
      <c r="HI60" s="86">
        <f t="shared" si="69"/>
        <v>0</v>
      </c>
      <c r="HJ60" s="111">
        <f t="shared" si="70"/>
        <v>0</v>
      </c>
      <c r="HK60" s="205" t="str">
        <f t="shared" si="71"/>
        <v>1</v>
      </c>
    </row>
    <row r="61" spans="1:219" ht="15" customHeight="1" x14ac:dyDescent="0.3">
      <c r="A61" s="80">
        <v>4583818831</v>
      </c>
      <c r="B61" s="74" t="s">
        <v>220</v>
      </c>
      <c r="C61" s="74" t="s">
        <v>221</v>
      </c>
      <c r="D61" s="74" t="s">
        <v>220</v>
      </c>
      <c r="E61" s="80" t="s">
        <v>533</v>
      </c>
      <c r="F61" s="80" t="s">
        <v>534</v>
      </c>
      <c r="G61" s="80" t="s">
        <v>535</v>
      </c>
      <c r="H61" s="78">
        <v>44475</v>
      </c>
      <c r="I61" s="80" t="s">
        <v>536</v>
      </c>
      <c r="J61" s="80" t="s">
        <v>226</v>
      </c>
      <c r="K61" s="78" t="s">
        <v>227</v>
      </c>
      <c r="L61" s="80" t="s">
        <v>227</v>
      </c>
      <c r="M61" s="80" t="s">
        <v>227</v>
      </c>
      <c r="N61" s="80" t="s">
        <v>227</v>
      </c>
      <c r="O61" s="80" t="s">
        <v>227</v>
      </c>
      <c r="P61" s="80" t="s">
        <v>227</v>
      </c>
      <c r="Q61" s="80" t="s">
        <v>227</v>
      </c>
      <c r="R61" s="80" t="s">
        <v>227</v>
      </c>
      <c r="S61" s="80" t="s">
        <v>227</v>
      </c>
      <c r="T61" s="80" t="s">
        <v>227</v>
      </c>
      <c r="U61" s="80" t="s">
        <v>227</v>
      </c>
      <c r="V61" s="80" t="s">
        <v>227</v>
      </c>
      <c r="W61" s="80" t="s">
        <v>227</v>
      </c>
      <c r="X61" s="80" t="s">
        <v>227</v>
      </c>
      <c r="Y61" s="80" t="s">
        <v>227</v>
      </c>
      <c r="Z61" s="80" t="s">
        <v>227</v>
      </c>
      <c r="AA61" s="80" t="s">
        <v>227</v>
      </c>
      <c r="AB61" s="80" t="s">
        <v>227</v>
      </c>
      <c r="AC61" s="80" t="s">
        <v>227</v>
      </c>
      <c r="AD61" s="80" t="s">
        <v>227</v>
      </c>
      <c r="AE61" s="80" t="s">
        <v>227</v>
      </c>
      <c r="AF61" s="80" t="s">
        <v>227</v>
      </c>
      <c r="AG61" s="80" t="s">
        <v>227</v>
      </c>
      <c r="AH61" s="80" t="s">
        <v>227</v>
      </c>
      <c r="AI61" s="80" t="s">
        <v>227</v>
      </c>
      <c r="AJ61" s="80" t="s">
        <v>227</v>
      </c>
      <c r="AK61" s="80" t="s">
        <v>227</v>
      </c>
      <c r="AL61" s="80" t="s">
        <v>227</v>
      </c>
      <c r="AM61" s="80" t="s">
        <v>227</v>
      </c>
      <c r="AN61" s="80" t="s">
        <v>227</v>
      </c>
      <c r="AO61" s="80" t="s">
        <v>227</v>
      </c>
      <c r="AP61" s="80" t="s">
        <v>227</v>
      </c>
      <c r="AQ61" s="80" t="s">
        <v>228</v>
      </c>
      <c r="AR61" s="78">
        <v>21145</v>
      </c>
      <c r="AS61" s="78">
        <v>44475</v>
      </c>
      <c r="AT61" s="189">
        <f t="shared" si="47"/>
        <v>63</v>
      </c>
      <c r="AU61" s="164" t="s">
        <v>537</v>
      </c>
      <c r="AV61" s="74" t="s">
        <v>230</v>
      </c>
      <c r="AW61" s="74" t="s">
        <v>241</v>
      </c>
      <c r="AX61" s="80" t="s">
        <v>264</v>
      </c>
      <c r="AY61" s="80" t="s">
        <v>232</v>
      </c>
      <c r="AZ61" s="80" t="s">
        <v>232</v>
      </c>
      <c r="BA61" s="80">
        <v>0</v>
      </c>
      <c r="BB61" s="80" t="s">
        <v>396</v>
      </c>
      <c r="BC61" s="80">
        <v>3</v>
      </c>
      <c r="BD61" s="74" t="s">
        <v>243</v>
      </c>
      <c r="BE61" s="80" t="s">
        <v>244</v>
      </c>
      <c r="BF61" s="74" t="s">
        <v>220</v>
      </c>
      <c r="BG61" s="165" t="s">
        <v>227</v>
      </c>
      <c r="BH61" s="166" t="s">
        <v>227</v>
      </c>
      <c r="BI61" s="80" t="s">
        <v>227</v>
      </c>
      <c r="BJ61" s="78" t="s">
        <v>227</v>
      </c>
      <c r="BK61" s="78" t="s">
        <v>227</v>
      </c>
      <c r="BL61" s="80" t="s">
        <v>227</v>
      </c>
      <c r="BM61" s="166" t="s">
        <v>227</v>
      </c>
      <c r="BN61" s="80" t="s">
        <v>227</v>
      </c>
      <c r="BO61" s="80" t="s">
        <v>227</v>
      </c>
      <c r="BP61" s="166" t="s">
        <v>227</v>
      </c>
      <c r="BQ61" s="80" t="s">
        <v>227</v>
      </c>
      <c r="BR61" s="80" t="s">
        <v>227</v>
      </c>
      <c r="BS61" s="80" t="s">
        <v>227</v>
      </c>
      <c r="BT61" s="80" t="s">
        <v>227</v>
      </c>
      <c r="BU61" s="80" t="s">
        <v>227</v>
      </c>
      <c r="BV61" s="80" t="s">
        <v>227</v>
      </c>
      <c r="BW61" s="80" t="s">
        <v>227</v>
      </c>
      <c r="BX61" s="80" t="s">
        <v>227</v>
      </c>
      <c r="BY61" s="80" t="s">
        <v>227</v>
      </c>
      <c r="BZ61" s="80" t="s">
        <v>227</v>
      </c>
      <c r="CA61" s="80" t="s">
        <v>227</v>
      </c>
      <c r="CB61" s="80" t="s">
        <v>227</v>
      </c>
      <c r="CC61" s="80" t="s">
        <v>227</v>
      </c>
      <c r="CD61" s="80" t="s">
        <v>227</v>
      </c>
      <c r="CE61" s="80" t="s">
        <v>227</v>
      </c>
      <c r="CF61" s="80" t="s">
        <v>227</v>
      </c>
      <c r="CG61" s="80" t="s">
        <v>227</v>
      </c>
      <c r="CH61" s="80" t="s">
        <v>227</v>
      </c>
      <c r="CI61" s="80" t="s">
        <v>227</v>
      </c>
      <c r="CJ61" s="80" t="s">
        <v>227</v>
      </c>
      <c r="CK61" s="80" t="s">
        <v>227</v>
      </c>
      <c r="CL61" s="80" t="s">
        <v>227</v>
      </c>
      <c r="CM61" s="80" t="s">
        <v>227</v>
      </c>
      <c r="CN61" s="166" t="s">
        <v>227</v>
      </c>
      <c r="CO61" s="80" t="s">
        <v>227</v>
      </c>
      <c r="CP61" s="78" t="s">
        <v>227</v>
      </c>
      <c r="CQ61" s="78" t="s">
        <v>227</v>
      </c>
      <c r="CR61" s="80" t="s">
        <v>227</v>
      </c>
      <c r="CS61" s="166" t="s">
        <v>227</v>
      </c>
      <c r="CT61" s="80" t="s">
        <v>227</v>
      </c>
      <c r="CU61" s="80" t="s">
        <v>227</v>
      </c>
      <c r="CV61" s="166" t="s">
        <v>227</v>
      </c>
      <c r="CW61" s="80" t="s">
        <v>227</v>
      </c>
      <c r="CX61" s="80" t="s">
        <v>227</v>
      </c>
      <c r="CY61" s="80" t="s">
        <v>227</v>
      </c>
      <c r="CZ61" s="80" t="s">
        <v>227</v>
      </c>
      <c r="DA61" s="80" t="s">
        <v>227</v>
      </c>
      <c r="DB61" s="80" t="s">
        <v>227</v>
      </c>
      <c r="DC61" s="80" t="s">
        <v>227</v>
      </c>
      <c r="DD61" s="80" t="s">
        <v>227</v>
      </c>
      <c r="DE61" s="80" t="s">
        <v>227</v>
      </c>
      <c r="DF61" s="80" t="s">
        <v>227</v>
      </c>
      <c r="DG61" s="80" t="s">
        <v>227</v>
      </c>
      <c r="DH61" s="80" t="s">
        <v>227</v>
      </c>
      <c r="DI61" s="80" t="s">
        <v>227</v>
      </c>
      <c r="DJ61" s="80" t="s">
        <v>227</v>
      </c>
      <c r="DK61" s="80" t="s">
        <v>227</v>
      </c>
      <c r="DL61" s="80" t="s">
        <v>227</v>
      </c>
      <c r="DM61" s="80" t="s">
        <v>227</v>
      </c>
      <c r="DN61" s="80" t="s">
        <v>227</v>
      </c>
      <c r="DO61" s="80" t="s">
        <v>227</v>
      </c>
      <c r="DP61" s="80" t="s">
        <v>227</v>
      </c>
      <c r="DQ61" s="80" t="s">
        <v>227</v>
      </c>
      <c r="DR61" s="80" t="s">
        <v>227</v>
      </c>
      <c r="DS61" s="80" t="s">
        <v>227</v>
      </c>
      <c r="DT61" s="80" t="s">
        <v>227</v>
      </c>
      <c r="DU61" s="80" t="s">
        <v>227</v>
      </c>
      <c r="DV61" s="80" t="s">
        <v>227</v>
      </c>
      <c r="DW61" s="80" t="s">
        <v>227</v>
      </c>
      <c r="DX61" s="80" t="s">
        <v>227</v>
      </c>
      <c r="DY61" s="80" t="s">
        <v>227</v>
      </c>
      <c r="DZ61" s="80" t="s">
        <v>227</v>
      </c>
      <c r="EA61" s="80" t="s">
        <v>227</v>
      </c>
      <c r="EB61" s="80" t="s">
        <v>227</v>
      </c>
      <c r="EC61" s="80" t="s">
        <v>227</v>
      </c>
      <c r="ED61" s="80" t="s">
        <v>227</v>
      </c>
      <c r="EE61" s="80" t="s">
        <v>227</v>
      </c>
      <c r="EF61" s="80" t="s">
        <v>227</v>
      </c>
      <c r="EG61" s="80" t="s">
        <v>227</v>
      </c>
      <c r="EH61" s="80" t="s">
        <v>227</v>
      </c>
      <c r="EI61" s="78" t="s">
        <v>227</v>
      </c>
      <c r="EJ61" s="80" t="s">
        <v>227</v>
      </c>
      <c r="EK61" s="166" t="s">
        <v>227</v>
      </c>
      <c r="EL61" s="80" t="s">
        <v>227</v>
      </c>
      <c r="EM61" s="78" t="s">
        <v>227</v>
      </c>
      <c r="EN61" s="78" t="s">
        <v>227</v>
      </c>
      <c r="EO61" s="80" t="s">
        <v>227</v>
      </c>
      <c r="EP61" s="166" t="s">
        <v>227</v>
      </c>
      <c r="EQ61" s="80" t="s">
        <v>227</v>
      </c>
      <c r="ER61" s="80" t="s">
        <v>227</v>
      </c>
      <c r="ES61" s="166" t="s">
        <v>227</v>
      </c>
      <c r="ET61" s="80" t="s">
        <v>227</v>
      </c>
      <c r="EU61" s="80" t="s">
        <v>227</v>
      </c>
      <c r="EV61" s="166" t="s">
        <v>227</v>
      </c>
      <c r="EW61" s="80" t="s">
        <v>227</v>
      </c>
      <c r="EX61" s="80" t="s">
        <v>227</v>
      </c>
      <c r="EY61" s="166" t="s">
        <v>227</v>
      </c>
      <c r="EZ61" s="80" t="s">
        <v>227</v>
      </c>
      <c r="FA61" s="80" t="s">
        <v>227</v>
      </c>
      <c r="FB61" s="147" t="s">
        <v>227</v>
      </c>
      <c r="FC61" s="80" t="s">
        <v>227</v>
      </c>
      <c r="FD61" s="80" t="s">
        <v>227</v>
      </c>
      <c r="FE61" s="80" t="s">
        <v>227</v>
      </c>
      <c r="FF61" s="80" t="s">
        <v>227</v>
      </c>
      <c r="FG61" s="80" t="s">
        <v>227</v>
      </c>
      <c r="FH61" s="80" t="s">
        <v>227</v>
      </c>
      <c r="FI61" s="80" t="s">
        <v>227</v>
      </c>
      <c r="FJ61" s="80" t="s">
        <v>227</v>
      </c>
      <c r="FK61" s="80" t="s">
        <v>227</v>
      </c>
      <c r="FL61" s="80" t="s">
        <v>227</v>
      </c>
      <c r="FM61" s="80" t="s">
        <v>227</v>
      </c>
      <c r="FN61" s="80" t="s">
        <v>227</v>
      </c>
      <c r="FO61" s="80" t="s">
        <v>227</v>
      </c>
      <c r="FP61" s="80" t="s">
        <v>227</v>
      </c>
      <c r="FQ61" s="80" t="s">
        <v>227</v>
      </c>
      <c r="FR61" s="80" t="s">
        <v>227</v>
      </c>
      <c r="FS61" s="80" t="s">
        <v>227</v>
      </c>
      <c r="FT61" s="80" t="s">
        <v>227</v>
      </c>
      <c r="FU61" s="80" t="s">
        <v>227</v>
      </c>
      <c r="FV61" s="80" t="s">
        <v>227</v>
      </c>
      <c r="FW61" s="80" t="s">
        <v>227</v>
      </c>
      <c r="FX61" s="80" t="s">
        <v>227</v>
      </c>
      <c r="FY61" s="80" t="s">
        <v>227</v>
      </c>
      <c r="FZ61" s="80" t="s">
        <v>227</v>
      </c>
      <c r="GA61" s="80" t="s">
        <v>227</v>
      </c>
      <c r="GB61" s="80" t="s">
        <v>227</v>
      </c>
      <c r="GC61" s="80" t="s">
        <v>227</v>
      </c>
      <c r="GD61" s="80" t="s">
        <v>227</v>
      </c>
      <c r="GE61" s="80" t="s">
        <v>227</v>
      </c>
      <c r="GF61" s="167" t="s">
        <v>312</v>
      </c>
      <c r="GG61" s="78" t="s">
        <v>227</v>
      </c>
      <c r="GH61" s="74" t="s">
        <v>227</v>
      </c>
      <c r="GI61" s="80" t="s">
        <v>227</v>
      </c>
      <c r="GJ61" s="78">
        <v>44839</v>
      </c>
      <c r="GK61" s="156">
        <v>46171</v>
      </c>
      <c r="GL61" s="193" t="s">
        <v>538</v>
      </c>
      <c r="GM61" s="159" t="str">
        <f t="shared" si="48"/>
        <v>N/A</v>
      </c>
      <c r="GN61" s="159" t="str">
        <f t="shared" si="49"/>
        <v>N/A</v>
      </c>
      <c r="GO61" s="159">
        <f t="shared" si="50"/>
        <v>0</v>
      </c>
      <c r="GP61" s="159" t="str">
        <f t="shared" si="51"/>
        <v>N/A</v>
      </c>
      <c r="GQ61" s="159" t="str">
        <f t="shared" si="52"/>
        <v>N/A</v>
      </c>
      <c r="GR61" s="159" t="str">
        <f t="shared" si="53"/>
        <v>N/A</v>
      </c>
      <c r="GS61" s="159" t="str">
        <f t="shared" si="54"/>
        <v>N/A</v>
      </c>
      <c r="GT61" s="159" t="str">
        <f t="shared" si="55"/>
        <v>N/A</v>
      </c>
      <c r="GU61" s="159" t="str">
        <f t="shared" si="56"/>
        <v>N/A</v>
      </c>
      <c r="GV61" s="159" t="str">
        <f t="shared" si="57"/>
        <v>N/A</v>
      </c>
      <c r="GW61" s="159" t="str">
        <f t="shared" si="58"/>
        <v>N/A</v>
      </c>
      <c r="GX61" s="159" t="str">
        <f t="shared" si="59"/>
        <v>N/A</v>
      </c>
      <c r="GY61" s="159" t="str">
        <f t="shared" si="60"/>
        <v>N/A</v>
      </c>
      <c r="GZ61" s="159" t="str">
        <f t="shared" si="61"/>
        <v>N/A</v>
      </c>
      <c r="HA61" s="159" t="str">
        <f t="shared" si="62"/>
        <v>N/A</v>
      </c>
      <c r="HB61" s="159" t="str">
        <f t="shared" si="63"/>
        <v>N/A</v>
      </c>
      <c r="HC61" s="159" t="str">
        <f t="shared" si="64"/>
        <v>N/A</v>
      </c>
      <c r="HD61" s="159">
        <f t="shared" si="65"/>
        <v>12.133333333333333</v>
      </c>
      <c r="HE61" s="159">
        <f t="shared" si="66"/>
        <v>56.533333333333331</v>
      </c>
      <c r="HF61" s="160">
        <f t="shared" si="67"/>
        <v>56.533333333333331</v>
      </c>
      <c r="HG61" s="160" cm="1">
        <f t="array" ref="HG61">INDEX($HB61:$HD61,MATCH(TRUE,INDEX(ISNUMBER($HB61:$HD61),0),0))</f>
        <v>12.133333333333333</v>
      </c>
      <c r="HH61" s="161">
        <f t="shared" si="68"/>
        <v>0</v>
      </c>
      <c r="HI61" s="86">
        <f t="shared" si="69"/>
        <v>0</v>
      </c>
      <c r="HJ61" s="111">
        <f t="shared" si="70"/>
        <v>0</v>
      </c>
      <c r="HK61" s="205" t="str">
        <f t="shared" si="71"/>
        <v>0</v>
      </c>
    </row>
    <row r="62" spans="1:219" ht="15" customHeight="1" x14ac:dyDescent="0.3">
      <c r="A62" s="80">
        <v>4563849642</v>
      </c>
      <c r="B62" s="74" t="s">
        <v>241</v>
      </c>
      <c r="C62" s="74" t="s">
        <v>221</v>
      </c>
      <c r="D62" s="74" t="s">
        <v>220</v>
      </c>
      <c r="E62" s="80" t="s">
        <v>539</v>
      </c>
      <c r="F62" s="80" t="s">
        <v>345</v>
      </c>
      <c r="G62" s="80" t="s">
        <v>227</v>
      </c>
      <c r="H62" s="78">
        <v>44477</v>
      </c>
      <c r="I62" s="80" t="s">
        <v>540</v>
      </c>
      <c r="J62" s="80" t="s">
        <v>226</v>
      </c>
      <c r="K62" s="78" t="s">
        <v>227</v>
      </c>
      <c r="L62" s="80" t="s">
        <v>227</v>
      </c>
      <c r="M62" s="80" t="s">
        <v>539</v>
      </c>
      <c r="N62" s="168" t="s">
        <v>541</v>
      </c>
      <c r="O62" s="80" t="s">
        <v>357</v>
      </c>
      <c r="P62" s="78">
        <v>44477</v>
      </c>
      <c r="Q62" s="74" t="s">
        <v>221</v>
      </c>
      <c r="R62" s="80" t="s">
        <v>227</v>
      </c>
      <c r="S62" s="80" t="s">
        <v>227</v>
      </c>
      <c r="T62" s="80" t="s">
        <v>227</v>
      </c>
      <c r="U62" s="80" t="s">
        <v>227</v>
      </c>
      <c r="V62" s="80" t="s">
        <v>227</v>
      </c>
      <c r="W62" s="80" t="s">
        <v>227</v>
      </c>
      <c r="X62" s="80" t="s">
        <v>227</v>
      </c>
      <c r="Y62" s="80" t="s">
        <v>227</v>
      </c>
      <c r="Z62" s="80" t="s">
        <v>227</v>
      </c>
      <c r="AA62" s="80" t="s">
        <v>227</v>
      </c>
      <c r="AB62" s="80" t="s">
        <v>227</v>
      </c>
      <c r="AC62" s="80" t="s">
        <v>227</v>
      </c>
      <c r="AD62" s="80" t="s">
        <v>227</v>
      </c>
      <c r="AE62" s="80" t="s">
        <v>227</v>
      </c>
      <c r="AF62" s="80" t="s">
        <v>227</v>
      </c>
      <c r="AG62" s="80" t="s">
        <v>227</v>
      </c>
      <c r="AH62" s="80" t="s">
        <v>227</v>
      </c>
      <c r="AI62" s="80" t="s">
        <v>227</v>
      </c>
      <c r="AJ62" s="80" t="s">
        <v>227</v>
      </c>
      <c r="AK62" s="80" t="s">
        <v>227</v>
      </c>
      <c r="AL62" s="80" t="s">
        <v>227</v>
      </c>
      <c r="AM62" s="80" t="s">
        <v>227</v>
      </c>
      <c r="AN62" s="80" t="s">
        <v>227</v>
      </c>
      <c r="AO62" s="80" t="s">
        <v>227</v>
      </c>
      <c r="AP62" s="80" t="s">
        <v>227</v>
      </c>
      <c r="AQ62" s="80" t="s">
        <v>228</v>
      </c>
      <c r="AR62" s="78">
        <v>19477</v>
      </c>
      <c r="AS62" s="78">
        <v>44417</v>
      </c>
      <c r="AT62" s="189">
        <f t="shared" si="47"/>
        <v>68</v>
      </c>
      <c r="AU62" s="164" t="s">
        <v>263</v>
      </c>
      <c r="AV62" s="74" t="s">
        <v>230</v>
      </c>
      <c r="AW62" s="74" t="s">
        <v>241</v>
      </c>
      <c r="AX62" s="80" t="s">
        <v>264</v>
      </c>
      <c r="AY62" s="80">
        <v>2</v>
      </c>
      <c r="AZ62" s="80" t="s">
        <v>232</v>
      </c>
      <c r="BA62" s="80">
        <v>0</v>
      </c>
      <c r="BB62" s="80" t="s">
        <v>542</v>
      </c>
      <c r="BC62" s="80">
        <v>3</v>
      </c>
      <c r="BD62" s="74" t="s">
        <v>243</v>
      </c>
      <c r="BE62" s="80" t="s">
        <v>427</v>
      </c>
      <c r="BF62" s="74" t="s">
        <v>220</v>
      </c>
      <c r="BG62" s="165" t="s">
        <v>227</v>
      </c>
      <c r="BH62" s="166" t="s">
        <v>227</v>
      </c>
      <c r="BI62" s="80" t="s">
        <v>227</v>
      </c>
      <c r="BJ62" s="78" t="s">
        <v>227</v>
      </c>
      <c r="BK62" s="78" t="s">
        <v>227</v>
      </c>
      <c r="BL62" s="80" t="s">
        <v>227</v>
      </c>
      <c r="BM62" s="166" t="s">
        <v>227</v>
      </c>
      <c r="BN62" s="80" t="s">
        <v>227</v>
      </c>
      <c r="BO62" s="80" t="s">
        <v>227</v>
      </c>
      <c r="BP62" s="166" t="s">
        <v>227</v>
      </c>
      <c r="BQ62" s="80" t="s">
        <v>227</v>
      </c>
      <c r="BR62" s="80" t="s">
        <v>227</v>
      </c>
      <c r="BS62" s="80" t="s">
        <v>227</v>
      </c>
      <c r="BT62" s="80" t="s">
        <v>227</v>
      </c>
      <c r="BU62" s="80" t="s">
        <v>227</v>
      </c>
      <c r="BV62" s="80" t="s">
        <v>227</v>
      </c>
      <c r="BW62" s="80" t="s">
        <v>227</v>
      </c>
      <c r="BX62" s="80" t="s">
        <v>227</v>
      </c>
      <c r="BY62" s="80" t="s">
        <v>227</v>
      </c>
      <c r="BZ62" s="80" t="s">
        <v>227</v>
      </c>
      <c r="CA62" s="80" t="s">
        <v>227</v>
      </c>
      <c r="CB62" s="80" t="s">
        <v>227</v>
      </c>
      <c r="CC62" s="80" t="s">
        <v>227</v>
      </c>
      <c r="CD62" s="80" t="s">
        <v>227</v>
      </c>
      <c r="CE62" s="80" t="s">
        <v>227</v>
      </c>
      <c r="CF62" s="80" t="s">
        <v>227</v>
      </c>
      <c r="CG62" s="80" t="s">
        <v>227</v>
      </c>
      <c r="CH62" s="80" t="s">
        <v>227</v>
      </c>
      <c r="CI62" s="80" t="s">
        <v>227</v>
      </c>
      <c r="CJ62" s="80" t="s">
        <v>227</v>
      </c>
      <c r="CK62" s="80" t="s">
        <v>227</v>
      </c>
      <c r="CL62" s="80" t="s">
        <v>227</v>
      </c>
      <c r="CM62" s="80" t="s">
        <v>227</v>
      </c>
      <c r="CN62" s="166" t="s">
        <v>249</v>
      </c>
      <c r="CO62" s="80" t="s">
        <v>287</v>
      </c>
      <c r="CP62" s="78">
        <v>44519</v>
      </c>
      <c r="CQ62" s="78">
        <v>44623</v>
      </c>
      <c r="CR62" s="80" t="s">
        <v>227</v>
      </c>
      <c r="CS62" s="166" t="s">
        <v>246</v>
      </c>
      <c r="CT62" s="80" t="s">
        <v>266</v>
      </c>
      <c r="CU62" s="80" t="s">
        <v>227</v>
      </c>
      <c r="CV62" s="166" t="s">
        <v>227</v>
      </c>
      <c r="CW62" s="80" t="s">
        <v>227</v>
      </c>
      <c r="CX62" s="80" t="s">
        <v>227</v>
      </c>
      <c r="CY62" s="80" t="s">
        <v>227</v>
      </c>
      <c r="CZ62" s="80" t="s">
        <v>227</v>
      </c>
      <c r="DA62" s="80" t="s">
        <v>227</v>
      </c>
      <c r="DB62" s="80" t="s">
        <v>227</v>
      </c>
      <c r="DC62" s="80" t="s">
        <v>227</v>
      </c>
      <c r="DD62" s="80" t="s">
        <v>227</v>
      </c>
      <c r="DE62" s="80" t="s">
        <v>227</v>
      </c>
      <c r="DF62" s="80" t="s">
        <v>227</v>
      </c>
      <c r="DG62" s="80" t="s">
        <v>227</v>
      </c>
      <c r="DH62" s="80" t="s">
        <v>227</v>
      </c>
      <c r="DI62" s="80" t="s">
        <v>227</v>
      </c>
      <c r="DJ62" s="80" t="s">
        <v>227</v>
      </c>
      <c r="DK62" s="80" t="s">
        <v>227</v>
      </c>
      <c r="DL62" s="80" t="s">
        <v>227</v>
      </c>
      <c r="DM62" s="80" t="s">
        <v>227</v>
      </c>
      <c r="DN62" s="80" t="s">
        <v>227</v>
      </c>
      <c r="DO62" s="80" t="s">
        <v>227</v>
      </c>
      <c r="DP62" s="80" t="s">
        <v>227</v>
      </c>
      <c r="DQ62" s="80" t="s">
        <v>227</v>
      </c>
      <c r="DR62" s="80" t="s">
        <v>227</v>
      </c>
      <c r="DS62" s="80" t="s">
        <v>227</v>
      </c>
      <c r="DT62" s="80" t="s">
        <v>227</v>
      </c>
      <c r="DU62" s="80" t="s">
        <v>227</v>
      </c>
      <c r="DV62" s="80" t="s">
        <v>227</v>
      </c>
      <c r="DW62" s="80" t="s">
        <v>227</v>
      </c>
      <c r="DX62" s="80" t="s">
        <v>227</v>
      </c>
      <c r="DY62" s="80" t="s">
        <v>227</v>
      </c>
      <c r="DZ62" s="80" t="s">
        <v>227</v>
      </c>
      <c r="EA62" s="80" t="s">
        <v>227</v>
      </c>
      <c r="EB62" s="80" t="s">
        <v>227</v>
      </c>
      <c r="EC62" s="80" t="s">
        <v>227</v>
      </c>
      <c r="ED62" s="80" t="s">
        <v>227</v>
      </c>
      <c r="EE62" s="80" t="s">
        <v>227</v>
      </c>
      <c r="EF62" s="80" t="s">
        <v>227</v>
      </c>
      <c r="EG62" s="80" t="s">
        <v>227</v>
      </c>
      <c r="EH62" s="80" t="s">
        <v>227</v>
      </c>
      <c r="EI62" s="78">
        <v>45219</v>
      </c>
      <c r="EJ62" s="80" t="s">
        <v>543</v>
      </c>
      <c r="EK62" s="166" t="s">
        <v>246</v>
      </c>
      <c r="EL62" s="80" t="s">
        <v>544</v>
      </c>
      <c r="EM62" s="78">
        <v>45288</v>
      </c>
      <c r="EN62" s="78">
        <v>45303</v>
      </c>
      <c r="EO62" s="80" t="s">
        <v>279</v>
      </c>
      <c r="EP62" s="166" t="s">
        <v>393</v>
      </c>
      <c r="EQ62" s="80" t="s">
        <v>545</v>
      </c>
      <c r="ER62" s="80" t="s">
        <v>277</v>
      </c>
      <c r="ES62" s="166" t="s">
        <v>227</v>
      </c>
      <c r="ET62" s="80" t="s">
        <v>227</v>
      </c>
      <c r="EU62" s="80" t="s">
        <v>227</v>
      </c>
      <c r="EV62" s="166" t="s">
        <v>227</v>
      </c>
      <c r="EW62" s="80" t="s">
        <v>227</v>
      </c>
      <c r="EX62" s="80" t="s">
        <v>227</v>
      </c>
      <c r="EY62" s="166" t="s">
        <v>227</v>
      </c>
      <c r="EZ62" s="80" t="s">
        <v>227</v>
      </c>
      <c r="FA62" s="80" t="s">
        <v>227</v>
      </c>
      <c r="FB62" s="147" t="s">
        <v>227</v>
      </c>
      <c r="FC62" s="80" t="s">
        <v>227</v>
      </c>
      <c r="FD62" s="80" t="s">
        <v>227</v>
      </c>
      <c r="FE62" s="80" t="s">
        <v>227</v>
      </c>
      <c r="FF62" s="80" t="s">
        <v>227</v>
      </c>
      <c r="FG62" s="80" t="s">
        <v>227</v>
      </c>
      <c r="FH62" s="80" t="s">
        <v>227</v>
      </c>
      <c r="FI62" s="80" t="s">
        <v>227</v>
      </c>
      <c r="FJ62" s="80" t="s">
        <v>227</v>
      </c>
      <c r="FK62" s="80" t="s">
        <v>227</v>
      </c>
      <c r="FL62" s="80" t="s">
        <v>227</v>
      </c>
      <c r="FM62" s="80" t="s">
        <v>227</v>
      </c>
      <c r="FN62" s="80" t="s">
        <v>227</v>
      </c>
      <c r="FO62" s="80" t="s">
        <v>227</v>
      </c>
      <c r="FP62" s="80" t="s">
        <v>227</v>
      </c>
      <c r="FQ62" s="80" t="s">
        <v>227</v>
      </c>
      <c r="FR62" s="80" t="s">
        <v>227</v>
      </c>
      <c r="FS62" s="80" t="s">
        <v>227</v>
      </c>
      <c r="FT62" s="80" t="s">
        <v>227</v>
      </c>
      <c r="FU62" s="80" t="s">
        <v>227</v>
      </c>
      <c r="FV62" s="80" t="s">
        <v>227</v>
      </c>
      <c r="FW62" s="80" t="s">
        <v>227</v>
      </c>
      <c r="FX62" s="80" t="s">
        <v>227</v>
      </c>
      <c r="FY62" s="80" t="s">
        <v>227</v>
      </c>
      <c r="FZ62" s="80" t="s">
        <v>227</v>
      </c>
      <c r="GA62" s="80" t="s">
        <v>227</v>
      </c>
      <c r="GB62" s="80" t="s">
        <v>227</v>
      </c>
      <c r="GC62" s="80" t="s">
        <v>227</v>
      </c>
      <c r="GD62" s="80" t="s">
        <v>227</v>
      </c>
      <c r="GE62" s="80" t="s">
        <v>227</v>
      </c>
      <c r="GF62" s="167" t="s">
        <v>312</v>
      </c>
      <c r="GG62" s="78" t="s">
        <v>227</v>
      </c>
      <c r="GH62" s="74" t="s">
        <v>227</v>
      </c>
      <c r="GI62" s="80" t="s">
        <v>227</v>
      </c>
      <c r="GJ62" s="156">
        <v>46163</v>
      </c>
      <c r="GK62" s="156">
        <v>46181</v>
      </c>
      <c r="GL62" s="78" t="s">
        <v>227</v>
      </c>
      <c r="GM62" s="159" t="str">
        <f t="shared" si="48"/>
        <v>N/A</v>
      </c>
      <c r="GN62" s="159" t="str">
        <f t="shared" si="49"/>
        <v>N/A</v>
      </c>
      <c r="GO62" s="159">
        <f t="shared" si="50"/>
        <v>2</v>
      </c>
      <c r="GP62" s="159" t="str">
        <f t="shared" si="51"/>
        <v>N/A</v>
      </c>
      <c r="GQ62" s="159">
        <f t="shared" si="52"/>
        <v>2</v>
      </c>
      <c r="GR62" s="159" t="str">
        <f t="shared" si="53"/>
        <v>N/A</v>
      </c>
      <c r="GS62" s="159" t="str">
        <f t="shared" si="54"/>
        <v>N/A</v>
      </c>
      <c r="GT62" s="159" t="str">
        <f t="shared" si="55"/>
        <v>N/A</v>
      </c>
      <c r="GU62" s="159" t="str">
        <f t="shared" si="56"/>
        <v>N/A</v>
      </c>
      <c r="GV62" s="159" t="str">
        <f t="shared" si="57"/>
        <v>N/A</v>
      </c>
      <c r="GW62" s="159">
        <f t="shared" si="58"/>
        <v>3.4</v>
      </c>
      <c r="GX62" s="159">
        <f t="shared" si="59"/>
        <v>6.8666666666666663</v>
      </c>
      <c r="GY62" s="159">
        <f t="shared" si="60"/>
        <v>26.733333333333334</v>
      </c>
      <c r="GZ62" s="159">
        <f t="shared" si="61"/>
        <v>29.033333333333335</v>
      </c>
      <c r="HA62" s="159">
        <f t="shared" si="62"/>
        <v>29.533333333333335</v>
      </c>
      <c r="HB62" s="159">
        <f t="shared" si="63"/>
        <v>26.733333333333334</v>
      </c>
      <c r="HC62" s="159" t="str">
        <f t="shared" si="64"/>
        <v>N/A</v>
      </c>
      <c r="HD62" s="159">
        <f t="shared" si="65"/>
        <v>58.2</v>
      </c>
      <c r="HE62" s="159">
        <f t="shared" si="66"/>
        <v>58.8</v>
      </c>
      <c r="HF62" s="160">
        <f t="shared" si="67"/>
        <v>58.8</v>
      </c>
      <c r="HG62" s="160" cm="1">
        <f t="array" ref="HG62">INDEX($HB62:$HD62,MATCH(TRUE,INDEX(ISNUMBER($HB62:$HD62),0),0))</f>
        <v>26.733333333333334</v>
      </c>
      <c r="HH62" s="161">
        <f t="shared" si="68"/>
        <v>1</v>
      </c>
      <c r="HI62" s="86">
        <f t="shared" si="69"/>
        <v>0</v>
      </c>
      <c r="HJ62" s="111">
        <f t="shared" si="70"/>
        <v>0</v>
      </c>
      <c r="HK62" s="205" t="str">
        <f t="shared" si="71"/>
        <v>1</v>
      </c>
    </row>
    <row r="63" spans="1:219" ht="15" customHeight="1" x14ac:dyDescent="0.3">
      <c r="A63" s="80">
        <v>4862121543</v>
      </c>
      <c r="B63" s="74" t="s">
        <v>220</v>
      </c>
      <c r="C63" s="74" t="s">
        <v>221</v>
      </c>
      <c r="D63" s="74" t="s">
        <v>220</v>
      </c>
      <c r="E63" s="80" t="s">
        <v>546</v>
      </c>
      <c r="F63" s="80" t="s">
        <v>282</v>
      </c>
      <c r="G63" s="80" t="s">
        <v>224</v>
      </c>
      <c r="H63" s="78">
        <v>44477</v>
      </c>
      <c r="I63" s="80" t="s">
        <v>547</v>
      </c>
      <c r="J63" s="80" t="s">
        <v>226</v>
      </c>
      <c r="K63" s="78" t="s">
        <v>227</v>
      </c>
      <c r="L63" s="80" t="s">
        <v>227</v>
      </c>
      <c r="M63" s="80" t="s">
        <v>227</v>
      </c>
      <c r="N63" s="80" t="s">
        <v>227</v>
      </c>
      <c r="O63" s="80" t="s">
        <v>227</v>
      </c>
      <c r="P63" s="80" t="s">
        <v>227</v>
      </c>
      <c r="Q63" s="80" t="s">
        <v>227</v>
      </c>
      <c r="R63" s="80" t="s">
        <v>227</v>
      </c>
      <c r="S63" s="80" t="s">
        <v>227</v>
      </c>
      <c r="T63" s="80" t="s">
        <v>227</v>
      </c>
      <c r="U63" s="80" t="s">
        <v>227</v>
      </c>
      <c r="V63" s="80" t="s">
        <v>227</v>
      </c>
      <c r="W63" s="80" t="s">
        <v>227</v>
      </c>
      <c r="X63" s="80" t="s">
        <v>227</v>
      </c>
      <c r="Y63" s="80" t="s">
        <v>227</v>
      </c>
      <c r="Z63" s="80" t="s">
        <v>227</v>
      </c>
      <c r="AA63" s="80" t="s">
        <v>227</v>
      </c>
      <c r="AB63" s="80" t="s">
        <v>227</v>
      </c>
      <c r="AC63" s="80" t="s">
        <v>227</v>
      </c>
      <c r="AD63" s="80" t="s">
        <v>227</v>
      </c>
      <c r="AE63" s="80" t="s">
        <v>227</v>
      </c>
      <c r="AF63" s="80" t="s">
        <v>227</v>
      </c>
      <c r="AG63" s="80" t="s">
        <v>227</v>
      </c>
      <c r="AH63" s="80" t="s">
        <v>227</v>
      </c>
      <c r="AI63" s="80" t="s">
        <v>227</v>
      </c>
      <c r="AJ63" s="80" t="s">
        <v>227</v>
      </c>
      <c r="AK63" s="80" t="s">
        <v>227</v>
      </c>
      <c r="AL63" s="80" t="s">
        <v>227</v>
      </c>
      <c r="AM63" s="80" t="s">
        <v>227</v>
      </c>
      <c r="AN63" s="80" t="s">
        <v>227</v>
      </c>
      <c r="AO63" s="80" t="s">
        <v>227</v>
      </c>
      <c r="AP63" s="80" t="s">
        <v>227</v>
      </c>
      <c r="AQ63" s="80" t="s">
        <v>228</v>
      </c>
      <c r="AR63" s="78">
        <v>23482</v>
      </c>
      <c r="AS63" s="78">
        <v>44477</v>
      </c>
      <c r="AT63" s="189">
        <f t="shared" si="47"/>
        <v>57</v>
      </c>
      <c r="AU63" s="164" t="s">
        <v>229</v>
      </c>
      <c r="AV63" s="74" t="s">
        <v>230</v>
      </c>
      <c r="AW63" s="74" t="s">
        <v>241</v>
      </c>
      <c r="AX63" s="80" t="s">
        <v>309</v>
      </c>
      <c r="AY63" s="80" t="s">
        <v>232</v>
      </c>
      <c r="AZ63" s="80" t="s">
        <v>232</v>
      </c>
      <c r="BA63" s="80">
        <v>0</v>
      </c>
      <c r="BB63" s="157" t="s">
        <v>310</v>
      </c>
      <c r="BC63" s="80">
        <v>1</v>
      </c>
      <c r="BD63" s="74" t="s">
        <v>243</v>
      </c>
      <c r="BE63" s="80" t="s">
        <v>347</v>
      </c>
      <c r="BF63" s="74" t="s">
        <v>220</v>
      </c>
      <c r="BG63" s="165" t="s">
        <v>227</v>
      </c>
      <c r="BH63" s="166" t="s">
        <v>227</v>
      </c>
      <c r="BI63" s="80" t="s">
        <v>227</v>
      </c>
      <c r="BJ63" s="78" t="s">
        <v>227</v>
      </c>
      <c r="BK63" s="78" t="s">
        <v>227</v>
      </c>
      <c r="BL63" s="80" t="s">
        <v>227</v>
      </c>
      <c r="BM63" s="166" t="s">
        <v>227</v>
      </c>
      <c r="BN63" s="80" t="s">
        <v>227</v>
      </c>
      <c r="BO63" s="80" t="s">
        <v>227</v>
      </c>
      <c r="BP63" s="166" t="s">
        <v>227</v>
      </c>
      <c r="BQ63" s="80" t="s">
        <v>227</v>
      </c>
      <c r="BR63" s="80" t="s">
        <v>227</v>
      </c>
      <c r="BS63" s="80" t="s">
        <v>227</v>
      </c>
      <c r="BT63" s="80" t="s">
        <v>227</v>
      </c>
      <c r="BU63" s="80" t="s">
        <v>227</v>
      </c>
      <c r="BV63" s="80" t="s">
        <v>227</v>
      </c>
      <c r="BW63" s="80" t="s">
        <v>227</v>
      </c>
      <c r="BX63" s="80" t="s">
        <v>227</v>
      </c>
      <c r="BY63" s="80" t="s">
        <v>227</v>
      </c>
      <c r="BZ63" s="80" t="s">
        <v>227</v>
      </c>
      <c r="CA63" s="80" t="s">
        <v>227</v>
      </c>
      <c r="CB63" s="80" t="s">
        <v>227</v>
      </c>
      <c r="CC63" s="80" t="s">
        <v>227</v>
      </c>
      <c r="CD63" s="80" t="s">
        <v>227</v>
      </c>
      <c r="CE63" s="80" t="s">
        <v>227</v>
      </c>
      <c r="CF63" s="80" t="s">
        <v>227</v>
      </c>
      <c r="CG63" s="80" t="s">
        <v>227</v>
      </c>
      <c r="CH63" s="80" t="s">
        <v>227</v>
      </c>
      <c r="CI63" s="80" t="s">
        <v>227</v>
      </c>
      <c r="CJ63" s="80" t="s">
        <v>227</v>
      </c>
      <c r="CK63" s="80" t="s">
        <v>227</v>
      </c>
      <c r="CL63" s="80" t="s">
        <v>227</v>
      </c>
      <c r="CM63" s="80" t="s">
        <v>227</v>
      </c>
      <c r="CN63" s="80" t="s">
        <v>227</v>
      </c>
      <c r="CO63" s="80" t="s">
        <v>227</v>
      </c>
      <c r="CP63" s="80" t="s">
        <v>227</v>
      </c>
      <c r="CQ63" s="80" t="s">
        <v>227</v>
      </c>
      <c r="CR63" s="80" t="s">
        <v>227</v>
      </c>
      <c r="CS63" s="80" t="s">
        <v>227</v>
      </c>
      <c r="CT63" s="80" t="s">
        <v>227</v>
      </c>
      <c r="CU63" s="80" t="s">
        <v>227</v>
      </c>
      <c r="CV63" s="80" t="s">
        <v>227</v>
      </c>
      <c r="CW63" s="80" t="s">
        <v>227</v>
      </c>
      <c r="CX63" s="80" t="s">
        <v>227</v>
      </c>
      <c r="CY63" s="80" t="s">
        <v>227</v>
      </c>
      <c r="CZ63" s="80" t="s">
        <v>227</v>
      </c>
      <c r="DA63" s="80" t="s">
        <v>227</v>
      </c>
      <c r="DB63" s="80" t="s">
        <v>227</v>
      </c>
      <c r="DC63" s="80" t="s">
        <v>227</v>
      </c>
      <c r="DD63" s="80" t="s">
        <v>227</v>
      </c>
      <c r="DE63" s="80" t="s">
        <v>227</v>
      </c>
      <c r="DF63" s="80" t="s">
        <v>227</v>
      </c>
      <c r="DG63" s="80" t="s">
        <v>227</v>
      </c>
      <c r="DH63" s="80" t="s">
        <v>227</v>
      </c>
      <c r="DI63" s="80" t="s">
        <v>227</v>
      </c>
      <c r="DJ63" s="80" t="s">
        <v>227</v>
      </c>
      <c r="DK63" s="80" t="s">
        <v>227</v>
      </c>
      <c r="DL63" s="80" t="s">
        <v>227</v>
      </c>
      <c r="DM63" s="80" t="s">
        <v>227</v>
      </c>
      <c r="DN63" s="80" t="s">
        <v>227</v>
      </c>
      <c r="DO63" s="80" t="s">
        <v>227</v>
      </c>
      <c r="DP63" s="80" t="s">
        <v>227</v>
      </c>
      <c r="DQ63" s="80" t="s">
        <v>227</v>
      </c>
      <c r="DR63" s="80" t="s">
        <v>227</v>
      </c>
      <c r="DS63" s="80" t="s">
        <v>227</v>
      </c>
      <c r="DT63" s="80" t="s">
        <v>227</v>
      </c>
      <c r="DU63" s="80" t="s">
        <v>227</v>
      </c>
      <c r="DV63" s="80" t="s">
        <v>227</v>
      </c>
      <c r="DW63" s="80" t="s">
        <v>227</v>
      </c>
      <c r="DX63" s="80" t="s">
        <v>227</v>
      </c>
      <c r="DY63" s="80" t="s">
        <v>227</v>
      </c>
      <c r="DZ63" s="80" t="s">
        <v>227</v>
      </c>
      <c r="EA63" s="80" t="s">
        <v>227</v>
      </c>
      <c r="EB63" s="80" t="s">
        <v>227</v>
      </c>
      <c r="EC63" s="80" t="s">
        <v>227</v>
      </c>
      <c r="ED63" s="80" t="s">
        <v>227</v>
      </c>
      <c r="EE63" s="80" t="s">
        <v>227</v>
      </c>
      <c r="EF63" s="80" t="s">
        <v>227</v>
      </c>
      <c r="EG63" s="80" t="s">
        <v>227</v>
      </c>
      <c r="EH63" s="80" t="s">
        <v>227</v>
      </c>
      <c r="EI63" s="80" t="s">
        <v>227</v>
      </c>
      <c r="EJ63" s="80" t="s">
        <v>227</v>
      </c>
      <c r="EK63" s="80" t="s">
        <v>227</v>
      </c>
      <c r="EL63" s="80" t="s">
        <v>227</v>
      </c>
      <c r="EM63" s="80" t="s">
        <v>227</v>
      </c>
      <c r="EN63" s="80" t="s">
        <v>227</v>
      </c>
      <c r="EO63" s="80" t="s">
        <v>227</v>
      </c>
      <c r="EP63" s="80" t="s">
        <v>227</v>
      </c>
      <c r="EQ63" s="80" t="s">
        <v>227</v>
      </c>
      <c r="ER63" s="80" t="s">
        <v>227</v>
      </c>
      <c r="ES63" s="80" t="s">
        <v>227</v>
      </c>
      <c r="ET63" s="80" t="s">
        <v>227</v>
      </c>
      <c r="EU63" s="80" t="s">
        <v>227</v>
      </c>
      <c r="EV63" s="80" t="s">
        <v>227</v>
      </c>
      <c r="EW63" s="80" t="s">
        <v>227</v>
      </c>
      <c r="EX63" s="80" t="s">
        <v>227</v>
      </c>
      <c r="EY63" s="80" t="s">
        <v>227</v>
      </c>
      <c r="EZ63" s="80" t="s">
        <v>227</v>
      </c>
      <c r="FA63" s="80" t="s">
        <v>227</v>
      </c>
      <c r="FB63" s="147" t="s">
        <v>227</v>
      </c>
      <c r="FC63" s="80" t="s">
        <v>227</v>
      </c>
      <c r="FD63" s="80" t="s">
        <v>227</v>
      </c>
      <c r="FE63" s="80" t="s">
        <v>227</v>
      </c>
      <c r="FF63" s="80" t="s">
        <v>227</v>
      </c>
      <c r="FG63" s="80" t="s">
        <v>227</v>
      </c>
      <c r="FH63" s="80" t="s">
        <v>227</v>
      </c>
      <c r="FI63" s="80" t="s">
        <v>227</v>
      </c>
      <c r="FJ63" s="80" t="s">
        <v>227</v>
      </c>
      <c r="FK63" s="80" t="s">
        <v>227</v>
      </c>
      <c r="FL63" s="80" t="s">
        <v>227</v>
      </c>
      <c r="FM63" s="80" t="s">
        <v>227</v>
      </c>
      <c r="FN63" s="80" t="s">
        <v>227</v>
      </c>
      <c r="FO63" s="80" t="s">
        <v>227</v>
      </c>
      <c r="FP63" s="80" t="s">
        <v>227</v>
      </c>
      <c r="FQ63" s="80" t="s">
        <v>227</v>
      </c>
      <c r="FR63" s="80" t="s">
        <v>227</v>
      </c>
      <c r="FS63" s="80" t="s">
        <v>227</v>
      </c>
      <c r="FT63" s="80" t="s">
        <v>227</v>
      </c>
      <c r="FU63" s="80" t="s">
        <v>227</v>
      </c>
      <c r="FV63" s="80" t="s">
        <v>227</v>
      </c>
      <c r="FW63" s="80" t="s">
        <v>227</v>
      </c>
      <c r="FX63" s="80" t="s">
        <v>227</v>
      </c>
      <c r="FY63" s="80" t="s">
        <v>227</v>
      </c>
      <c r="FZ63" s="80" t="s">
        <v>227</v>
      </c>
      <c r="GA63" s="80" t="s">
        <v>227</v>
      </c>
      <c r="GB63" s="80" t="s">
        <v>227</v>
      </c>
      <c r="GC63" s="80" t="s">
        <v>227</v>
      </c>
      <c r="GD63" s="80" t="s">
        <v>227</v>
      </c>
      <c r="GE63" s="80" t="s">
        <v>227</v>
      </c>
      <c r="GF63" s="167" t="s">
        <v>312</v>
      </c>
      <c r="GG63" s="78" t="s">
        <v>227</v>
      </c>
      <c r="GH63" s="74" t="s">
        <v>227</v>
      </c>
      <c r="GI63" s="80" t="s">
        <v>227</v>
      </c>
      <c r="GJ63" s="78">
        <v>44706</v>
      </c>
      <c r="GK63" s="156">
        <v>46181</v>
      </c>
      <c r="GL63" s="78" t="s">
        <v>227</v>
      </c>
      <c r="GM63" s="159" t="str">
        <f t="shared" si="48"/>
        <v>N/A</v>
      </c>
      <c r="GN63" s="159" t="str">
        <f t="shared" si="49"/>
        <v>N/A</v>
      </c>
      <c r="GO63" s="159">
        <f t="shared" si="50"/>
        <v>0</v>
      </c>
      <c r="GP63" s="159" t="str">
        <f t="shared" si="51"/>
        <v>N/A</v>
      </c>
      <c r="GQ63" s="159" t="str">
        <f t="shared" si="52"/>
        <v>N/A</v>
      </c>
      <c r="GR63" s="159" t="str">
        <f t="shared" si="53"/>
        <v>N/A</v>
      </c>
      <c r="GS63" s="159" t="str">
        <f t="shared" si="54"/>
        <v>N/A</v>
      </c>
      <c r="GT63" s="159" t="str">
        <f t="shared" si="55"/>
        <v>N/A</v>
      </c>
      <c r="GU63" s="159" t="str">
        <f t="shared" si="56"/>
        <v>N/A</v>
      </c>
      <c r="GV63" s="159" t="str">
        <f t="shared" si="57"/>
        <v>N/A</v>
      </c>
      <c r="GW63" s="159" t="str">
        <f t="shared" si="58"/>
        <v>N/A</v>
      </c>
      <c r="GX63" s="159" t="str">
        <f t="shared" si="59"/>
        <v>N/A</v>
      </c>
      <c r="GY63" s="159" t="str">
        <f t="shared" si="60"/>
        <v>N/A</v>
      </c>
      <c r="GZ63" s="159" t="str">
        <f t="shared" si="61"/>
        <v>N/A</v>
      </c>
      <c r="HA63" s="159" t="str">
        <f t="shared" si="62"/>
        <v>N/A</v>
      </c>
      <c r="HB63" s="159" t="str">
        <f t="shared" si="63"/>
        <v>N/A</v>
      </c>
      <c r="HC63" s="159" t="str">
        <f t="shared" si="64"/>
        <v>N/A</v>
      </c>
      <c r="HD63" s="159">
        <f t="shared" si="65"/>
        <v>7.6333333333333337</v>
      </c>
      <c r="HE63" s="159">
        <f t="shared" si="66"/>
        <v>56.8</v>
      </c>
      <c r="HF63" s="160">
        <f t="shared" si="67"/>
        <v>56.8</v>
      </c>
      <c r="HG63" s="160" cm="1">
        <f t="array" ref="HG63">INDEX($HB63:$HD63,MATCH(TRUE,INDEX(ISNUMBER($HB63:$HD63),0),0))</f>
        <v>7.6333333333333337</v>
      </c>
      <c r="HH63" s="161">
        <f t="shared" si="68"/>
        <v>0</v>
      </c>
      <c r="HI63" s="86">
        <f t="shared" si="69"/>
        <v>0</v>
      </c>
      <c r="HJ63" s="111">
        <f t="shared" si="70"/>
        <v>0</v>
      </c>
      <c r="HK63" s="205" t="str">
        <f t="shared" si="71"/>
        <v>0</v>
      </c>
    </row>
    <row r="64" spans="1:219" ht="15" customHeight="1" x14ac:dyDescent="0.3">
      <c r="A64" s="80">
        <v>4383690599</v>
      </c>
      <c r="B64" s="74" t="s">
        <v>220</v>
      </c>
      <c r="C64" s="74" t="s">
        <v>221</v>
      </c>
      <c r="D64" s="74" t="s">
        <v>220</v>
      </c>
      <c r="E64" s="80" t="s">
        <v>548</v>
      </c>
      <c r="F64" s="80" t="s">
        <v>549</v>
      </c>
      <c r="G64" s="80" t="s">
        <v>227</v>
      </c>
      <c r="H64" s="78">
        <v>44481</v>
      </c>
      <c r="I64" s="80" t="s">
        <v>550</v>
      </c>
      <c r="J64" s="80" t="s">
        <v>226</v>
      </c>
      <c r="K64" s="78" t="s">
        <v>227</v>
      </c>
      <c r="L64" s="80" t="s">
        <v>227</v>
      </c>
      <c r="M64" s="80" t="s">
        <v>227</v>
      </c>
      <c r="N64" s="80" t="s">
        <v>227</v>
      </c>
      <c r="O64" s="80" t="s">
        <v>227</v>
      </c>
      <c r="P64" s="80" t="s">
        <v>227</v>
      </c>
      <c r="Q64" s="80" t="s">
        <v>227</v>
      </c>
      <c r="R64" s="80" t="s">
        <v>227</v>
      </c>
      <c r="S64" s="80" t="s">
        <v>227</v>
      </c>
      <c r="T64" s="80" t="s">
        <v>227</v>
      </c>
      <c r="U64" s="80" t="s">
        <v>227</v>
      </c>
      <c r="V64" s="80" t="s">
        <v>227</v>
      </c>
      <c r="W64" s="80" t="s">
        <v>227</v>
      </c>
      <c r="X64" s="80" t="s">
        <v>227</v>
      </c>
      <c r="Y64" s="80" t="s">
        <v>227</v>
      </c>
      <c r="Z64" s="80" t="s">
        <v>227</v>
      </c>
      <c r="AA64" s="80" t="s">
        <v>227</v>
      </c>
      <c r="AB64" s="80" t="s">
        <v>227</v>
      </c>
      <c r="AC64" s="80" t="s">
        <v>227</v>
      </c>
      <c r="AD64" s="80" t="s">
        <v>227</v>
      </c>
      <c r="AE64" s="80" t="s">
        <v>227</v>
      </c>
      <c r="AF64" s="80" t="s">
        <v>227</v>
      </c>
      <c r="AG64" s="80" t="s">
        <v>227</v>
      </c>
      <c r="AH64" s="80" t="s">
        <v>227</v>
      </c>
      <c r="AI64" s="80" t="s">
        <v>227</v>
      </c>
      <c r="AJ64" s="80" t="s">
        <v>227</v>
      </c>
      <c r="AK64" s="80" t="s">
        <v>227</v>
      </c>
      <c r="AL64" s="80" t="s">
        <v>227</v>
      </c>
      <c r="AM64" s="80" t="s">
        <v>227</v>
      </c>
      <c r="AN64" s="80" t="s">
        <v>227</v>
      </c>
      <c r="AO64" s="80" t="s">
        <v>227</v>
      </c>
      <c r="AP64" s="80" t="s">
        <v>227</v>
      </c>
      <c r="AQ64" s="80" t="s">
        <v>228</v>
      </c>
      <c r="AR64" s="78">
        <v>14648</v>
      </c>
      <c r="AS64" s="78">
        <v>44393</v>
      </c>
      <c r="AT64" s="189">
        <f t="shared" si="47"/>
        <v>81</v>
      </c>
      <c r="AU64" s="164" t="s">
        <v>512</v>
      </c>
      <c r="AV64" s="74" t="s">
        <v>230</v>
      </c>
      <c r="AW64" s="74" t="s">
        <v>241</v>
      </c>
      <c r="AX64" s="80" t="s">
        <v>264</v>
      </c>
      <c r="AY64" s="80">
        <v>0</v>
      </c>
      <c r="AZ64" s="80" t="s">
        <v>232</v>
      </c>
      <c r="BA64" s="80">
        <v>0</v>
      </c>
      <c r="BB64" s="157" t="s">
        <v>542</v>
      </c>
      <c r="BC64" s="80">
        <v>3</v>
      </c>
      <c r="BD64" s="74" t="s">
        <v>243</v>
      </c>
      <c r="BE64" s="157" t="s">
        <v>361</v>
      </c>
      <c r="BF64" s="74" t="s">
        <v>220</v>
      </c>
      <c r="BG64" s="165" t="s">
        <v>227</v>
      </c>
      <c r="BH64" s="166" t="s">
        <v>227</v>
      </c>
      <c r="BI64" s="80" t="s">
        <v>227</v>
      </c>
      <c r="BJ64" s="78" t="s">
        <v>227</v>
      </c>
      <c r="BK64" s="78" t="s">
        <v>227</v>
      </c>
      <c r="BL64" s="80" t="s">
        <v>227</v>
      </c>
      <c r="BM64" s="166" t="s">
        <v>227</v>
      </c>
      <c r="BN64" s="80" t="s">
        <v>227</v>
      </c>
      <c r="BO64" s="80" t="s">
        <v>227</v>
      </c>
      <c r="BP64" s="166" t="s">
        <v>227</v>
      </c>
      <c r="BQ64" s="80" t="s">
        <v>227</v>
      </c>
      <c r="BR64" s="80" t="s">
        <v>227</v>
      </c>
      <c r="BS64" s="80" t="s">
        <v>227</v>
      </c>
      <c r="BT64" s="80" t="s">
        <v>227</v>
      </c>
      <c r="BU64" s="80" t="s">
        <v>227</v>
      </c>
      <c r="BV64" s="80" t="s">
        <v>227</v>
      </c>
      <c r="BW64" s="80" t="s">
        <v>227</v>
      </c>
      <c r="BX64" s="80" t="s">
        <v>227</v>
      </c>
      <c r="BY64" s="80" t="s">
        <v>227</v>
      </c>
      <c r="BZ64" s="80" t="s">
        <v>227</v>
      </c>
      <c r="CA64" s="80" t="s">
        <v>227</v>
      </c>
      <c r="CB64" s="80" t="s">
        <v>227</v>
      </c>
      <c r="CC64" s="80" t="s">
        <v>227</v>
      </c>
      <c r="CD64" s="80" t="s">
        <v>227</v>
      </c>
      <c r="CE64" s="80" t="s">
        <v>227</v>
      </c>
      <c r="CF64" s="80" t="s">
        <v>227</v>
      </c>
      <c r="CG64" s="80" t="s">
        <v>227</v>
      </c>
      <c r="CH64" s="80" t="s">
        <v>227</v>
      </c>
      <c r="CI64" s="80" t="s">
        <v>227</v>
      </c>
      <c r="CJ64" s="80" t="s">
        <v>227</v>
      </c>
      <c r="CK64" s="80" t="s">
        <v>227</v>
      </c>
      <c r="CL64" s="80" t="s">
        <v>227</v>
      </c>
      <c r="CM64" s="80" t="s">
        <v>227</v>
      </c>
      <c r="CN64" s="166" t="s">
        <v>249</v>
      </c>
      <c r="CO64" s="157" t="s">
        <v>551</v>
      </c>
      <c r="CP64" s="78">
        <v>44537</v>
      </c>
      <c r="CQ64" s="78">
        <v>44695</v>
      </c>
      <c r="CR64" s="157" t="s">
        <v>279</v>
      </c>
      <c r="CS64" s="166" t="s">
        <v>246</v>
      </c>
      <c r="CT64" s="157" t="s">
        <v>552</v>
      </c>
      <c r="CU64" s="157" t="s">
        <v>248</v>
      </c>
      <c r="CV64" s="166" t="s">
        <v>227</v>
      </c>
      <c r="CW64" s="80" t="s">
        <v>227</v>
      </c>
      <c r="CX64" s="80" t="s">
        <v>227</v>
      </c>
      <c r="CY64" s="80" t="s">
        <v>227</v>
      </c>
      <c r="CZ64" s="80" t="s">
        <v>227</v>
      </c>
      <c r="DA64" s="80" t="s">
        <v>227</v>
      </c>
      <c r="DB64" s="80" t="s">
        <v>227</v>
      </c>
      <c r="DC64" s="80" t="s">
        <v>227</v>
      </c>
      <c r="DD64" s="80" t="s">
        <v>227</v>
      </c>
      <c r="DE64" s="80" t="s">
        <v>227</v>
      </c>
      <c r="DF64" s="80" t="s">
        <v>227</v>
      </c>
      <c r="DG64" s="80" t="s">
        <v>227</v>
      </c>
      <c r="DH64" s="80" t="s">
        <v>227</v>
      </c>
      <c r="DI64" s="80" t="s">
        <v>227</v>
      </c>
      <c r="DJ64" s="80" t="s">
        <v>227</v>
      </c>
      <c r="DK64" s="80" t="s">
        <v>227</v>
      </c>
      <c r="DL64" s="80" t="s">
        <v>227</v>
      </c>
      <c r="DM64" s="80" t="s">
        <v>227</v>
      </c>
      <c r="DN64" s="80" t="s">
        <v>227</v>
      </c>
      <c r="DO64" s="80" t="s">
        <v>227</v>
      </c>
      <c r="DP64" s="80" t="s">
        <v>227</v>
      </c>
      <c r="DQ64" s="80" t="s">
        <v>227</v>
      </c>
      <c r="DR64" s="80" t="s">
        <v>227</v>
      </c>
      <c r="DS64" s="80" t="s">
        <v>227</v>
      </c>
      <c r="DT64" s="80" t="s">
        <v>227</v>
      </c>
      <c r="DU64" s="80" t="s">
        <v>227</v>
      </c>
      <c r="DV64" s="80" t="s">
        <v>227</v>
      </c>
      <c r="DW64" s="80" t="s">
        <v>227</v>
      </c>
      <c r="DX64" s="80" t="s">
        <v>227</v>
      </c>
      <c r="DY64" s="80" t="s">
        <v>227</v>
      </c>
      <c r="DZ64" s="80" t="s">
        <v>227</v>
      </c>
      <c r="EA64" s="80" t="s">
        <v>227</v>
      </c>
      <c r="EB64" s="80" t="s">
        <v>227</v>
      </c>
      <c r="EC64" s="80" t="s">
        <v>227</v>
      </c>
      <c r="ED64" s="80" t="s">
        <v>227</v>
      </c>
      <c r="EE64" s="80" t="s">
        <v>227</v>
      </c>
      <c r="EF64" s="80" t="s">
        <v>227</v>
      </c>
      <c r="EG64" s="80" t="s">
        <v>227</v>
      </c>
      <c r="EH64" s="80" t="s">
        <v>227</v>
      </c>
      <c r="EI64" s="78" t="s">
        <v>227</v>
      </c>
      <c r="EJ64" s="80" t="s">
        <v>227</v>
      </c>
      <c r="EK64" s="166" t="s">
        <v>227</v>
      </c>
      <c r="EL64" s="80" t="s">
        <v>227</v>
      </c>
      <c r="EM64" s="78" t="s">
        <v>227</v>
      </c>
      <c r="EN64" s="78" t="s">
        <v>227</v>
      </c>
      <c r="EO64" s="80" t="s">
        <v>227</v>
      </c>
      <c r="EP64" s="166" t="s">
        <v>227</v>
      </c>
      <c r="EQ64" s="80" t="s">
        <v>227</v>
      </c>
      <c r="ER64" s="80" t="s">
        <v>227</v>
      </c>
      <c r="ES64" s="166" t="s">
        <v>227</v>
      </c>
      <c r="ET64" s="80" t="s">
        <v>227</v>
      </c>
      <c r="EU64" s="80" t="s">
        <v>227</v>
      </c>
      <c r="EV64" s="166" t="s">
        <v>227</v>
      </c>
      <c r="EW64" s="80" t="s">
        <v>227</v>
      </c>
      <c r="EX64" s="80" t="s">
        <v>227</v>
      </c>
      <c r="EY64" s="166" t="s">
        <v>227</v>
      </c>
      <c r="EZ64" s="80" t="s">
        <v>227</v>
      </c>
      <c r="FA64" s="80" t="s">
        <v>227</v>
      </c>
      <c r="FB64" s="147" t="s">
        <v>227</v>
      </c>
      <c r="FC64" s="80" t="s">
        <v>227</v>
      </c>
      <c r="FD64" s="80" t="s">
        <v>227</v>
      </c>
      <c r="FE64" s="80" t="s">
        <v>227</v>
      </c>
      <c r="FF64" s="80" t="s">
        <v>227</v>
      </c>
      <c r="FG64" s="80" t="s">
        <v>227</v>
      </c>
      <c r="FH64" s="80" t="s">
        <v>227</v>
      </c>
      <c r="FI64" s="80" t="s">
        <v>227</v>
      </c>
      <c r="FJ64" s="80" t="s">
        <v>227</v>
      </c>
      <c r="FK64" s="80" t="s">
        <v>227</v>
      </c>
      <c r="FL64" s="80" t="s">
        <v>227</v>
      </c>
      <c r="FM64" s="80" t="s">
        <v>227</v>
      </c>
      <c r="FN64" s="80" t="s">
        <v>227</v>
      </c>
      <c r="FO64" s="80" t="s">
        <v>227</v>
      </c>
      <c r="FP64" s="80" t="s">
        <v>227</v>
      </c>
      <c r="FQ64" s="80" t="s">
        <v>227</v>
      </c>
      <c r="FR64" s="80" t="s">
        <v>227</v>
      </c>
      <c r="FS64" s="80" t="s">
        <v>227</v>
      </c>
      <c r="FT64" s="80" t="s">
        <v>227</v>
      </c>
      <c r="FU64" s="80" t="s">
        <v>227</v>
      </c>
      <c r="FV64" s="80" t="s">
        <v>227</v>
      </c>
      <c r="FW64" s="80" t="s">
        <v>227</v>
      </c>
      <c r="FX64" s="80" t="s">
        <v>227</v>
      </c>
      <c r="FY64" s="80" t="s">
        <v>227</v>
      </c>
      <c r="FZ64" s="80" t="s">
        <v>227</v>
      </c>
      <c r="GA64" s="80" t="s">
        <v>227</v>
      </c>
      <c r="GB64" s="80" t="s">
        <v>227</v>
      </c>
      <c r="GC64" s="80" t="s">
        <v>227</v>
      </c>
      <c r="GD64" s="80" t="s">
        <v>227</v>
      </c>
      <c r="GE64" s="80" t="s">
        <v>227</v>
      </c>
      <c r="GF64" s="167" t="s">
        <v>312</v>
      </c>
      <c r="GG64" s="78" t="s">
        <v>227</v>
      </c>
      <c r="GH64" s="74" t="s">
        <v>227</v>
      </c>
      <c r="GI64" s="80" t="s">
        <v>227</v>
      </c>
      <c r="GJ64" s="78">
        <v>45007</v>
      </c>
      <c r="GK64" s="156">
        <v>46178</v>
      </c>
      <c r="GL64" s="156" t="s">
        <v>553</v>
      </c>
      <c r="GM64" s="159" t="str">
        <f t="shared" si="48"/>
        <v>N/A</v>
      </c>
      <c r="GN64" s="159" t="str">
        <f t="shared" si="49"/>
        <v>N/A</v>
      </c>
      <c r="GO64" s="159">
        <f t="shared" si="50"/>
        <v>2.9333333333333331</v>
      </c>
      <c r="GP64" s="159" t="str">
        <f t="shared" si="51"/>
        <v>N/A</v>
      </c>
      <c r="GQ64" s="159" t="str">
        <f t="shared" si="52"/>
        <v>N/A</v>
      </c>
      <c r="GR64" s="159" t="str">
        <f t="shared" si="53"/>
        <v>N/A</v>
      </c>
      <c r="GS64" s="159" t="str">
        <f t="shared" si="54"/>
        <v>N/A</v>
      </c>
      <c r="GT64" s="159" t="str">
        <f t="shared" si="55"/>
        <v>N/A</v>
      </c>
      <c r="GU64" s="159" t="str">
        <f t="shared" si="56"/>
        <v>N/A</v>
      </c>
      <c r="GV64" s="159" t="str">
        <f t="shared" si="57"/>
        <v>N/A</v>
      </c>
      <c r="GW64" s="159">
        <f t="shared" si="58"/>
        <v>4.8</v>
      </c>
      <c r="GX64" s="159">
        <f t="shared" si="59"/>
        <v>10.066666666666666</v>
      </c>
      <c r="GY64" s="159" t="str">
        <f t="shared" si="60"/>
        <v>N/A</v>
      </c>
      <c r="GZ64" s="159" t="str">
        <f t="shared" si="61"/>
        <v>N/A</v>
      </c>
      <c r="HA64" s="159" t="str">
        <f t="shared" si="62"/>
        <v>N/A</v>
      </c>
      <c r="HB64" s="159" t="str">
        <f t="shared" si="63"/>
        <v>N/A</v>
      </c>
      <c r="HC64" s="159" t="str">
        <f t="shared" si="64"/>
        <v>N/A</v>
      </c>
      <c r="HD64" s="159">
        <f t="shared" si="65"/>
        <v>20.466666666666665</v>
      </c>
      <c r="HE64" s="159">
        <f t="shared" si="66"/>
        <v>59.5</v>
      </c>
      <c r="HF64" s="160">
        <f t="shared" si="67"/>
        <v>59.5</v>
      </c>
      <c r="HG64" s="160" cm="1">
        <f t="array" ref="HG64">INDEX($HB64:$HD64,MATCH(TRUE,INDEX(ISNUMBER($HB64:$HD64),0),0))</f>
        <v>20.466666666666665</v>
      </c>
      <c r="HH64" s="161">
        <f t="shared" si="68"/>
        <v>0</v>
      </c>
      <c r="HI64" s="86">
        <f t="shared" si="69"/>
        <v>0</v>
      </c>
      <c r="HJ64" s="111">
        <f t="shared" si="70"/>
        <v>0</v>
      </c>
      <c r="HK64" s="205" t="str">
        <f t="shared" si="71"/>
        <v>0</v>
      </c>
    </row>
    <row r="65" spans="1:219" ht="15" customHeight="1" x14ac:dyDescent="0.3">
      <c r="A65" s="80">
        <v>4860704134</v>
      </c>
      <c r="B65" s="74" t="s">
        <v>220</v>
      </c>
      <c r="C65" s="74" t="s">
        <v>221</v>
      </c>
      <c r="D65" s="74" t="s">
        <v>220</v>
      </c>
      <c r="E65" s="80" t="s">
        <v>554</v>
      </c>
      <c r="F65" s="80" t="s">
        <v>282</v>
      </c>
      <c r="G65" s="80" t="s">
        <v>224</v>
      </c>
      <c r="H65" s="78">
        <v>44491</v>
      </c>
      <c r="I65" s="80" t="s">
        <v>555</v>
      </c>
      <c r="J65" s="80" t="s">
        <v>226</v>
      </c>
      <c r="K65" s="78" t="s">
        <v>227</v>
      </c>
      <c r="L65" s="80" t="s">
        <v>227</v>
      </c>
      <c r="M65" s="80" t="s">
        <v>227</v>
      </c>
      <c r="N65" s="80" t="s">
        <v>227</v>
      </c>
      <c r="O65" s="80" t="s">
        <v>227</v>
      </c>
      <c r="P65" s="80" t="s">
        <v>227</v>
      </c>
      <c r="Q65" s="80" t="s">
        <v>227</v>
      </c>
      <c r="R65" s="80" t="s">
        <v>227</v>
      </c>
      <c r="S65" s="80" t="s">
        <v>227</v>
      </c>
      <c r="T65" s="80" t="s">
        <v>227</v>
      </c>
      <c r="U65" s="80" t="s">
        <v>227</v>
      </c>
      <c r="V65" s="80" t="s">
        <v>227</v>
      </c>
      <c r="W65" s="80" t="s">
        <v>227</v>
      </c>
      <c r="X65" s="80" t="s">
        <v>227</v>
      </c>
      <c r="Y65" s="80" t="s">
        <v>227</v>
      </c>
      <c r="Z65" s="80" t="s">
        <v>227</v>
      </c>
      <c r="AA65" s="80" t="s">
        <v>227</v>
      </c>
      <c r="AB65" s="80" t="s">
        <v>227</v>
      </c>
      <c r="AC65" s="80" t="s">
        <v>227</v>
      </c>
      <c r="AD65" s="80" t="s">
        <v>227</v>
      </c>
      <c r="AE65" s="80" t="s">
        <v>227</v>
      </c>
      <c r="AF65" s="80" t="s">
        <v>227</v>
      </c>
      <c r="AG65" s="80" t="s">
        <v>227</v>
      </c>
      <c r="AH65" s="80" t="s">
        <v>227</v>
      </c>
      <c r="AI65" s="80" t="s">
        <v>227</v>
      </c>
      <c r="AJ65" s="80" t="s">
        <v>227</v>
      </c>
      <c r="AK65" s="80" t="s">
        <v>227</v>
      </c>
      <c r="AL65" s="80" t="s">
        <v>227</v>
      </c>
      <c r="AM65" s="80" t="s">
        <v>227</v>
      </c>
      <c r="AN65" s="80" t="s">
        <v>227</v>
      </c>
      <c r="AO65" s="80" t="s">
        <v>227</v>
      </c>
      <c r="AP65" s="80" t="s">
        <v>227</v>
      </c>
      <c r="AQ65" s="80" t="s">
        <v>228</v>
      </c>
      <c r="AR65" s="78">
        <v>22846</v>
      </c>
      <c r="AS65" s="78">
        <v>44449</v>
      </c>
      <c r="AT65" s="189">
        <f t="shared" si="47"/>
        <v>59</v>
      </c>
      <c r="AU65" s="173" t="s">
        <v>405</v>
      </c>
      <c r="AV65" s="74" t="s">
        <v>230</v>
      </c>
      <c r="AW65" s="74" t="s">
        <v>241</v>
      </c>
      <c r="AX65" s="80" t="s">
        <v>264</v>
      </c>
      <c r="AY65" s="80">
        <v>0</v>
      </c>
      <c r="AZ65" s="80" t="s">
        <v>232</v>
      </c>
      <c r="BA65" s="80">
        <v>0</v>
      </c>
      <c r="BB65" s="80" t="s">
        <v>265</v>
      </c>
      <c r="BC65" s="80">
        <v>3</v>
      </c>
      <c r="BD65" s="74" t="s">
        <v>243</v>
      </c>
      <c r="BE65" s="80" t="s">
        <v>244</v>
      </c>
      <c r="BF65" s="74" t="s">
        <v>220</v>
      </c>
      <c r="BG65" s="165" t="s">
        <v>227</v>
      </c>
      <c r="BH65" s="166" t="s">
        <v>227</v>
      </c>
      <c r="BI65" s="80" t="s">
        <v>227</v>
      </c>
      <c r="BJ65" s="78" t="s">
        <v>227</v>
      </c>
      <c r="BK65" s="78" t="s">
        <v>227</v>
      </c>
      <c r="BL65" s="80" t="s">
        <v>227</v>
      </c>
      <c r="BM65" s="166" t="s">
        <v>227</v>
      </c>
      <c r="BN65" s="80" t="s">
        <v>227</v>
      </c>
      <c r="BO65" s="80" t="s">
        <v>227</v>
      </c>
      <c r="BP65" s="166" t="s">
        <v>227</v>
      </c>
      <c r="BQ65" s="80" t="s">
        <v>227</v>
      </c>
      <c r="BR65" s="80" t="s">
        <v>227</v>
      </c>
      <c r="BS65" s="80" t="s">
        <v>227</v>
      </c>
      <c r="BT65" s="80" t="s">
        <v>227</v>
      </c>
      <c r="BU65" s="80" t="s">
        <v>227</v>
      </c>
      <c r="BV65" s="80" t="s">
        <v>227</v>
      </c>
      <c r="BW65" s="80" t="s">
        <v>227</v>
      </c>
      <c r="BX65" s="80" t="s">
        <v>227</v>
      </c>
      <c r="BY65" s="80" t="s">
        <v>227</v>
      </c>
      <c r="BZ65" s="80" t="s">
        <v>227</v>
      </c>
      <c r="CA65" s="80" t="s">
        <v>227</v>
      </c>
      <c r="CB65" s="80" t="s">
        <v>227</v>
      </c>
      <c r="CC65" s="80" t="s">
        <v>227</v>
      </c>
      <c r="CD65" s="80" t="s">
        <v>227</v>
      </c>
      <c r="CE65" s="80" t="s">
        <v>227</v>
      </c>
      <c r="CF65" s="80" t="s">
        <v>227</v>
      </c>
      <c r="CG65" s="80" t="s">
        <v>227</v>
      </c>
      <c r="CH65" s="80" t="s">
        <v>227</v>
      </c>
      <c r="CI65" s="80" t="s">
        <v>227</v>
      </c>
      <c r="CJ65" s="80" t="s">
        <v>227</v>
      </c>
      <c r="CK65" s="80" t="s">
        <v>227</v>
      </c>
      <c r="CL65" s="80" t="s">
        <v>227</v>
      </c>
      <c r="CM65" s="80" t="s">
        <v>227</v>
      </c>
      <c r="CN65" s="166" t="s">
        <v>246</v>
      </c>
      <c r="CO65" s="80" t="s">
        <v>378</v>
      </c>
      <c r="CP65" s="78">
        <v>44544</v>
      </c>
      <c r="CQ65" s="78">
        <v>44551</v>
      </c>
      <c r="CR65" s="80" t="s">
        <v>227</v>
      </c>
      <c r="CS65" s="166" t="s">
        <v>227</v>
      </c>
      <c r="CT65" s="80" t="s">
        <v>227</v>
      </c>
      <c r="CU65" s="80" t="s">
        <v>227</v>
      </c>
      <c r="CV65" s="166" t="s">
        <v>227</v>
      </c>
      <c r="CW65" s="80" t="s">
        <v>227</v>
      </c>
      <c r="CX65" s="80" t="s">
        <v>227</v>
      </c>
      <c r="CY65" s="80" t="s">
        <v>227</v>
      </c>
      <c r="CZ65" s="80" t="s">
        <v>227</v>
      </c>
      <c r="DA65" s="80" t="s">
        <v>227</v>
      </c>
      <c r="DB65" s="80" t="s">
        <v>227</v>
      </c>
      <c r="DC65" s="80" t="s">
        <v>227</v>
      </c>
      <c r="DD65" s="80" t="s">
        <v>227</v>
      </c>
      <c r="DE65" s="80" t="s">
        <v>227</v>
      </c>
      <c r="DF65" s="80" t="s">
        <v>227</v>
      </c>
      <c r="DG65" s="80" t="s">
        <v>227</v>
      </c>
      <c r="DH65" s="80" t="s">
        <v>227</v>
      </c>
      <c r="DI65" s="80" t="s">
        <v>227</v>
      </c>
      <c r="DJ65" s="80" t="s">
        <v>227</v>
      </c>
      <c r="DK65" s="80" t="s">
        <v>227</v>
      </c>
      <c r="DL65" s="80" t="s">
        <v>227</v>
      </c>
      <c r="DM65" s="80" t="s">
        <v>227</v>
      </c>
      <c r="DN65" s="80" t="s">
        <v>227</v>
      </c>
      <c r="DO65" s="80" t="s">
        <v>227</v>
      </c>
      <c r="DP65" s="80" t="s">
        <v>227</v>
      </c>
      <c r="DQ65" s="80" t="s">
        <v>227</v>
      </c>
      <c r="DR65" s="80" t="s">
        <v>227</v>
      </c>
      <c r="DS65" s="80" t="s">
        <v>227</v>
      </c>
      <c r="DT65" s="80" t="s">
        <v>227</v>
      </c>
      <c r="DU65" s="80" t="s">
        <v>227</v>
      </c>
      <c r="DV65" s="80" t="s">
        <v>227</v>
      </c>
      <c r="DW65" s="80" t="s">
        <v>227</v>
      </c>
      <c r="DX65" s="80" t="s">
        <v>227</v>
      </c>
      <c r="DY65" s="80" t="s">
        <v>227</v>
      </c>
      <c r="DZ65" s="80" t="s">
        <v>227</v>
      </c>
      <c r="EA65" s="80" t="s">
        <v>227</v>
      </c>
      <c r="EB65" s="80" t="s">
        <v>227</v>
      </c>
      <c r="EC65" s="80" t="s">
        <v>227</v>
      </c>
      <c r="ED65" s="80" t="s">
        <v>227</v>
      </c>
      <c r="EE65" s="80" t="s">
        <v>227</v>
      </c>
      <c r="EF65" s="80" t="s">
        <v>227</v>
      </c>
      <c r="EG65" s="80" t="s">
        <v>227</v>
      </c>
      <c r="EH65" s="80" t="s">
        <v>227</v>
      </c>
      <c r="EI65" s="78">
        <v>45454</v>
      </c>
      <c r="EJ65" s="80" t="s">
        <v>556</v>
      </c>
      <c r="EK65" s="166" t="s">
        <v>249</v>
      </c>
      <c r="EL65" s="80" t="s">
        <v>287</v>
      </c>
      <c r="EM65" s="78">
        <v>45477</v>
      </c>
      <c r="EN65" s="78">
        <v>45603</v>
      </c>
      <c r="EO65" s="80" t="s">
        <v>277</v>
      </c>
      <c r="EP65" s="166" t="s">
        <v>227</v>
      </c>
      <c r="EQ65" s="80" t="s">
        <v>227</v>
      </c>
      <c r="ER65" s="80" t="s">
        <v>227</v>
      </c>
      <c r="ES65" s="166" t="s">
        <v>227</v>
      </c>
      <c r="ET65" s="80" t="s">
        <v>227</v>
      </c>
      <c r="EU65" s="80" t="s">
        <v>227</v>
      </c>
      <c r="EV65" s="166" t="s">
        <v>227</v>
      </c>
      <c r="EW65" s="80" t="s">
        <v>227</v>
      </c>
      <c r="EX65" s="80" t="s">
        <v>227</v>
      </c>
      <c r="EY65" s="166" t="s">
        <v>227</v>
      </c>
      <c r="EZ65" s="80" t="s">
        <v>227</v>
      </c>
      <c r="FA65" s="80" t="s">
        <v>227</v>
      </c>
      <c r="FB65" s="147" t="s">
        <v>227</v>
      </c>
      <c r="FC65" s="80" t="s">
        <v>227</v>
      </c>
      <c r="FD65" s="80" t="s">
        <v>227</v>
      </c>
      <c r="FE65" s="80" t="s">
        <v>227</v>
      </c>
      <c r="FF65" s="80" t="s">
        <v>227</v>
      </c>
      <c r="FG65" s="80" t="s">
        <v>227</v>
      </c>
      <c r="FH65" s="80" t="s">
        <v>227</v>
      </c>
      <c r="FI65" s="80" t="s">
        <v>227</v>
      </c>
      <c r="FJ65" s="80" t="s">
        <v>227</v>
      </c>
      <c r="FK65" s="80" t="s">
        <v>227</v>
      </c>
      <c r="FL65" s="80" t="s">
        <v>227</v>
      </c>
      <c r="FM65" s="80" t="s">
        <v>227</v>
      </c>
      <c r="FN65" s="80" t="s">
        <v>227</v>
      </c>
      <c r="FO65" s="80" t="s">
        <v>227</v>
      </c>
      <c r="FP65" s="80" t="s">
        <v>227</v>
      </c>
      <c r="FQ65" s="80" t="s">
        <v>227</v>
      </c>
      <c r="FR65" s="80" t="s">
        <v>227</v>
      </c>
      <c r="FS65" s="80" t="s">
        <v>227</v>
      </c>
      <c r="FT65" s="80" t="s">
        <v>227</v>
      </c>
      <c r="FU65" s="80" t="s">
        <v>227</v>
      </c>
      <c r="FV65" s="80" t="s">
        <v>227</v>
      </c>
      <c r="FW65" s="80" t="s">
        <v>227</v>
      </c>
      <c r="FX65" s="80" t="s">
        <v>227</v>
      </c>
      <c r="FY65" s="80" t="s">
        <v>227</v>
      </c>
      <c r="FZ65" s="80" t="s">
        <v>227</v>
      </c>
      <c r="GA65" s="80" t="s">
        <v>227</v>
      </c>
      <c r="GB65" s="80" t="s">
        <v>227</v>
      </c>
      <c r="GC65" s="80" t="s">
        <v>227</v>
      </c>
      <c r="GD65" s="80" t="s">
        <v>227</v>
      </c>
      <c r="GE65" s="80" t="s">
        <v>227</v>
      </c>
      <c r="GF65" s="167" t="s">
        <v>312</v>
      </c>
      <c r="GG65" s="78" t="s">
        <v>227</v>
      </c>
      <c r="GH65" s="74" t="s">
        <v>227</v>
      </c>
      <c r="GI65" s="80" t="s">
        <v>227</v>
      </c>
      <c r="GJ65" s="156">
        <v>46113</v>
      </c>
      <c r="GK65" s="156">
        <v>46174</v>
      </c>
      <c r="GL65" s="78" t="s">
        <v>227</v>
      </c>
      <c r="GM65" s="159" t="str">
        <f t="shared" si="48"/>
        <v>N/A</v>
      </c>
      <c r="GN65" s="159" t="str">
        <f t="shared" si="49"/>
        <v>N/A</v>
      </c>
      <c r="GO65" s="159">
        <f t="shared" si="50"/>
        <v>1.4</v>
      </c>
      <c r="GP65" s="159" t="str">
        <f t="shared" si="51"/>
        <v>N/A</v>
      </c>
      <c r="GQ65" s="159" t="str">
        <f t="shared" si="52"/>
        <v>N/A</v>
      </c>
      <c r="GR65" s="159" t="str">
        <f t="shared" si="53"/>
        <v>N/A</v>
      </c>
      <c r="GS65" s="159" t="str">
        <f t="shared" si="54"/>
        <v>N/A</v>
      </c>
      <c r="GT65" s="159" t="str">
        <f t="shared" si="55"/>
        <v>N/A</v>
      </c>
      <c r="GU65" s="159" t="str">
        <f t="shared" si="56"/>
        <v>N/A</v>
      </c>
      <c r="GV65" s="159" t="str">
        <f t="shared" si="57"/>
        <v>N/A</v>
      </c>
      <c r="GW65" s="159">
        <f t="shared" si="58"/>
        <v>3.1666666666666665</v>
      </c>
      <c r="GX65" s="159">
        <f t="shared" si="59"/>
        <v>3.4</v>
      </c>
      <c r="GY65" s="159">
        <f t="shared" si="60"/>
        <v>33.5</v>
      </c>
      <c r="GZ65" s="159">
        <f t="shared" si="61"/>
        <v>34.266666666666666</v>
      </c>
      <c r="HA65" s="159">
        <f t="shared" si="62"/>
        <v>38.466666666666669</v>
      </c>
      <c r="HB65" s="159">
        <f t="shared" si="63"/>
        <v>33.5</v>
      </c>
      <c r="HC65" s="159" t="str">
        <f t="shared" si="64"/>
        <v>N/A</v>
      </c>
      <c r="HD65" s="159">
        <f t="shared" si="65"/>
        <v>55.466666666666669</v>
      </c>
      <c r="HE65" s="159">
        <f t="shared" si="66"/>
        <v>57.5</v>
      </c>
      <c r="HF65" s="160">
        <f t="shared" si="67"/>
        <v>57.5</v>
      </c>
      <c r="HG65" s="160" cm="1">
        <f t="array" ref="HG65">INDEX($HB65:$HD65,MATCH(TRUE,INDEX(ISNUMBER($HB65:$HD65),0),0))</f>
        <v>33.5</v>
      </c>
      <c r="HH65" s="161">
        <f t="shared" si="68"/>
        <v>1</v>
      </c>
      <c r="HI65" s="86">
        <f t="shared" si="69"/>
        <v>0</v>
      </c>
      <c r="HJ65" s="111">
        <f t="shared" si="70"/>
        <v>0</v>
      </c>
      <c r="HK65" s="205" t="str">
        <f t="shared" si="71"/>
        <v>1</v>
      </c>
    </row>
    <row r="66" spans="1:219" ht="15" customHeight="1" x14ac:dyDescent="0.3">
      <c r="A66" s="80">
        <v>4521181511</v>
      </c>
      <c r="B66" s="74" t="s">
        <v>220</v>
      </c>
      <c r="C66" s="74" t="s">
        <v>221</v>
      </c>
      <c r="D66" s="74" t="s">
        <v>220</v>
      </c>
      <c r="E66" s="80" t="s">
        <v>557</v>
      </c>
      <c r="F66" s="80" t="s">
        <v>558</v>
      </c>
      <c r="G66" s="80" t="s">
        <v>283</v>
      </c>
      <c r="H66" s="78">
        <v>44495</v>
      </c>
      <c r="I66" s="80" t="s">
        <v>559</v>
      </c>
      <c r="J66" s="80" t="s">
        <v>226</v>
      </c>
      <c r="K66" s="78" t="s">
        <v>227</v>
      </c>
      <c r="L66" s="80" t="s">
        <v>227</v>
      </c>
      <c r="M66" s="80" t="s">
        <v>227</v>
      </c>
      <c r="N66" s="80" t="s">
        <v>227</v>
      </c>
      <c r="O66" s="80" t="s">
        <v>227</v>
      </c>
      <c r="P66" s="80" t="s">
        <v>227</v>
      </c>
      <c r="Q66" s="80" t="s">
        <v>227</v>
      </c>
      <c r="R66" s="80" t="s">
        <v>227</v>
      </c>
      <c r="S66" s="80" t="s">
        <v>227</v>
      </c>
      <c r="T66" s="80" t="s">
        <v>227</v>
      </c>
      <c r="U66" s="80" t="s">
        <v>227</v>
      </c>
      <c r="V66" s="80" t="s">
        <v>227</v>
      </c>
      <c r="W66" s="80" t="s">
        <v>227</v>
      </c>
      <c r="X66" s="80" t="s">
        <v>227</v>
      </c>
      <c r="Y66" s="80" t="s">
        <v>227</v>
      </c>
      <c r="Z66" s="80" t="s">
        <v>227</v>
      </c>
      <c r="AA66" s="80" t="s">
        <v>227</v>
      </c>
      <c r="AB66" s="80" t="s">
        <v>227</v>
      </c>
      <c r="AC66" s="80" t="s">
        <v>227</v>
      </c>
      <c r="AD66" s="80" t="s">
        <v>227</v>
      </c>
      <c r="AE66" s="80" t="s">
        <v>227</v>
      </c>
      <c r="AF66" s="80" t="s">
        <v>227</v>
      </c>
      <c r="AG66" s="80" t="s">
        <v>227</v>
      </c>
      <c r="AH66" s="80" t="s">
        <v>227</v>
      </c>
      <c r="AI66" s="80" t="s">
        <v>227</v>
      </c>
      <c r="AJ66" s="80" t="s">
        <v>227</v>
      </c>
      <c r="AK66" s="80" t="s">
        <v>227</v>
      </c>
      <c r="AL66" s="80" t="s">
        <v>227</v>
      </c>
      <c r="AM66" s="80" t="s">
        <v>227</v>
      </c>
      <c r="AN66" s="80" t="s">
        <v>227</v>
      </c>
      <c r="AO66" s="80" t="s">
        <v>227</v>
      </c>
      <c r="AP66" s="80" t="s">
        <v>227</v>
      </c>
      <c r="AQ66" s="80" t="s">
        <v>228</v>
      </c>
      <c r="AR66" s="78">
        <v>19094</v>
      </c>
      <c r="AS66" s="78">
        <v>44466</v>
      </c>
      <c r="AT66" s="189">
        <f t="shared" si="47"/>
        <v>69</v>
      </c>
      <c r="AU66" s="164" t="s">
        <v>229</v>
      </c>
      <c r="AV66" s="74" t="s">
        <v>230</v>
      </c>
      <c r="AW66" s="74" t="s">
        <v>241</v>
      </c>
      <c r="AX66" s="80">
        <v>2</v>
      </c>
      <c r="AY66" s="80">
        <v>0</v>
      </c>
      <c r="AZ66" s="80" t="s">
        <v>232</v>
      </c>
      <c r="BA66" s="80">
        <f>_xlfn.NUMBERVALUE(RIGHT($BB66), ".", ",")</f>
        <v>0</v>
      </c>
      <c r="BB66" s="80" t="s">
        <v>242</v>
      </c>
      <c r="BC66" s="80">
        <v>2</v>
      </c>
      <c r="BD66" s="74" t="s">
        <v>243</v>
      </c>
      <c r="BE66" s="80" t="s">
        <v>382</v>
      </c>
      <c r="BF66" s="74" t="s">
        <v>220</v>
      </c>
      <c r="BG66" s="165" t="s">
        <v>227</v>
      </c>
      <c r="BH66" s="166" t="s">
        <v>227</v>
      </c>
      <c r="BI66" s="80" t="s">
        <v>227</v>
      </c>
      <c r="BJ66" s="78" t="s">
        <v>227</v>
      </c>
      <c r="BK66" s="78" t="s">
        <v>227</v>
      </c>
      <c r="BL66" s="80" t="s">
        <v>227</v>
      </c>
      <c r="BM66" s="166" t="s">
        <v>227</v>
      </c>
      <c r="BN66" s="80" t="s">
        <v>227</v>
      </c>
      <c r="BO66" s="80" t="s">
        <v>227</v>
      </c>
      <c r="BP66" s="166" t="s">
        <v>227</v>
      </c>
      <c r="BQ66" s="80" t="s">
        <v>227</v>
      </c>
      <c r="BR66" s="80" t="s">
        <v>227</v>
      </c>
      <c r="BS66" s="80" t="s">
        <v>227</v>
      </c>
      <c r="BT66" s="80" t="s">
        <v>227</v>
      </c>
      <c r="BU66" s="80" t="s">
        <v>227</v>
      </c>
      <c r="BV66" s="80" t="s">
        <v>227</v>
      </c>
      <c r="BW66" s="80" t="s">
        <v>227</v>
      </c>
      <c r="BX66" s="80" t="s">
        <v>227</v>
      </c>
      <c r="BY66" s="80" t="s">
        <v>227</v>
      </c>
      <c r="BZ66" s="80" t="s">
        <v>227</v>
      </c>
      <c r="CA66" s="80" t="s">
        <v>227</v>
      </c>
      <c r="CB66" s="80" t="s">
        <v>227</v>
      </c>
      <c r="CC66" s="80" t="s">
        <v>227</v>
      </c>
      <c r="CD66" s="80" t="s">
        <v>227</v>
      </c>
      <c r="CE66" s="80" t="s">
        <v>227</v>
      </c>
      <c r="CF66" s="80" t="s">
        <v>227</v>
      </c>
      <c r="CG66" s="80" t="s">
        <v>227</v>
      </c>
      <c r="CH66" s="80" t="s">
        <v>227</v>
      </c>
      <c r="CI66" s="80" t="s">
        <v>227</v>
      </c>
      <c r="CJ66" s="80" t="s">
        <v>227</v>
      </c>
      <c r="CK66" s="80" t="s">
        <v>227</v>
      </c>
      <c r="CL66" s="80" t="s">
        <v>227</v>
      </c>
      <c r="CM66" s="80" t="s">
        <v>227</v>
      </c>
      <c r="CN66" s="166" t="s">
        <v>246</v>
      </c>
      <c r="CO66" s="80" t="s">
        <v>378</v>
      </c>
      <c r="CP66" s="78">
        <v>44530</v>
      </c>
      <c r="CQ66" s="78">
        <v>44537</v>
      </c>
      <c r="CR66" s="80" t="s">
        <v>227</v>
      </c>
      <c r="CS66" s="166" t="s">
        <v>227</v>
      </c>
      <c r="CT66" s="80" t="s">
        <v>227</v>
      </c>
      <c r="CU66" s="80" t="s">
        <v>227</v>
      </c>
      <c r="CV66" s="166" t="s">
        <v>227</v>
      </c>
      <c r="CW66" s="80" t="s">
        <v>227</v>
      </c>
      <c r="CX66" s="80" t="s">
        <v>227</v>
      </c>
      <c r="CY66" s="80" t="s">
        <v>227</v>
      </c>
      <c r="CZ66" s="80" t="s">
        <v>227</v>
      </c>
      <c r="DA66" s="80" t="s">
        <v>227</v>
      </c>
      <c r="DB66" s="80" t="s">
        <v>227</v>
      </c>
      <c r="DC66" s="80" t="s">
        <v>227</v>
      </c>
      <c r="DD66" s="80" t="s">
        <v>227</v>
      </c>
      <c r="DE66" s="80" t="s">
        <v>227</v>
      </c>
      <c r="DF66" s="80" t="s">
        <v>227</v>
      </c>
      <c r="DG66" s="80" t="s">
        <v>227</v>
      </c>
      <c r="DH66" s="80" t="s">
        <v>227</v>
      </c>
      <c r="DI66" s="80" t="s">
        <v>227</v>
      </c>
      <c r="DJ66" s="80" t="s">
        <v>227</v>
      </c>
      <c r="DK66" s="80" t="s">
        <v>227</v>
      </c>
      <c r="DL66" s="80" t="s">
        <v>227</v>
      </c>
      <c r="DM66" s="80" t="s">
        <v>227</v>
      </c>
      <c r="DN66" s="80" t="s">
        <v>227</v>
      </c>
      <c r="DO66" s="80" t="s">
        <v>227</v>
      </c>
      <c r="DP66" s="80" t="s">
        <v>227</v>
      </c>
      <c r="DQ66" s="80" t="s">
        <v>227</v>
      </c>
      <c r="DR66" s="80" t="s">
        <v>227</v>
      </c>
      <c r="DS66" s="80" t="s">
        <v>227</v>
      </c>
      <c r="DT66" s="80" t="s">
        <v>227</v>
      </c>
      <c r="DU66" s="80" t="s">
        <v>227</v>
      </c>
      <c r="DV66" s="80" t="s">
        <v>227</v>
      </c>
      <c r="DW66" s="80" t="s">
        <v>227</v>
      </c>
      <c r="DX66" s="80" t="s">
        <v>227</v>
      </c>
      <c r="DY66" s="80" t="s">
        <v>227</v>
      </c>
      <c r="DZ66" s="80" t="s">
        <v>227</v>
      </c>
      <c r="EA66" s="80" t="s">
        <v>227</v>
      </c>
      <c r="EB66" s="80" t="s">
        <v>227</v>
      </c>
      <c r="EC66" s="80" t="s">
        <v>227</v>
      </c>
      <c r="ED66" s="80" t="s">
        <v>227</v>
      </c>
      <c r="EE66" s="80" t="s">
        <v>227</v>
      </c>
      <c r="EF66" s="80" t="s">
        <v>227</v>
      </c>
      <c r="EG66" s="80" t="s">
        <v>227</v>
      </c>
      <c r="EH66" s="80" t="s">
        <v>227</v>
      </c>
      <c r="EI66" s="80" t="s">
        <v>227</v>
      </c>
      <c r="EJ66" s="80" t="s">
        <v>227</v>
      </c>
      <c r="EK66" s="80" t="s">
        <v>227</v>
      </c>
      <c r="EL66" s="80" t="s">
        <v>227</v>
      </c>
      <c r="EM66" s="80" t="s">
        <v>227</v>
      </c>
      <c r="EN66" s="80" t="s">
        <v>227</v>
      </c>
      <c r="EO66" s="80" t="s">
        <v>227</v>
      </c>
      <c r="EP66" s="80" t="s">
        <v>227</v>
      </c>
      <c r="EQ66" s="80" t="s">
        <v>227</v>
      </c>
      <c r="ER66" s="80" t="s">
        <v>227</v>
      </c>
      <c r="ES66" s="80" t="s">
        <v>227</v>
      </c>
      <c r="ET66" s="80" t="s">
        <v>227</v>
      </c>
      <c r="EU66" s="80" t="s">
        <v>227</v>
      </c>
      <c r="EV66" s="80" t="s">
        <v>227</v>
      </c>
      <c r="EW66" s="80" t="s">
        <v>227</v>
      </c>
      <c r="EX66" s="80" t="s">
        <v>227</v>
      </c>
      <c r="EY66" s="80" t="s">
        <v>227</v>
      </c>
      <c r="EZ66" s="80" t="s">
        <v>227</v>
      </c>
      <c r="FA66" s="80" t="s">
        <v>227</v>
      </c>
      <c r="FB66" s="147" t="s">
        <v>227</v>
      </c>
      <c r="FC66" s="80" t="s">
        <v>227</v>
      </c>
      <c r="FD66" s="80" t="s">
        <v>227</v>
      </c>
      <c r="FE66" s="80" t="s">
        <v>227</v>
      </c>
      <c r="FF66" s="80" t="s">
        <v>227</v>
      </c>
      <c r="FG66" s="80" t="s">
        <v>227</v>
      </c>
      <c r="FH66" s="80" t="s">
        <v>227</v>
      </c>
      <c r="FI66" s="80" t="s">
        <v>227</v>
      </c>
      <c r="FJ66" s="80" t="s">
        <v>227</v>
      </c>
      <c r="FK66" s="80" t="s">
        <v>227</v>
      </c>
      <c r="FL66" s="80" t="s">
        <v>227</v>
      </c>
      <c r="FM66" s="80" t="s">
        <v>227</v>
      </c>
      <c r="FN66" s="80" t="s">
        <v>227</v>
      </c>
      <c r="FO66" s="80" t="s">
        <v>227</v>
      </c>
      <c r="FP66" s="80" t="s">
        <v>227</v>
      </c>
      <c r="FQ66" s="80" t="s">
        <v>227</v>
      </c>
      <c r="FR66" s="80" t="s">
        <v>227</v>
      </c>
      <c r="FS66" s="80" t="s">
        <v>227</v>
      </c>
      <c r="FT66" s="80" t="s">
        <v>227</v>
      </c>
      <c r="FU66" s="80" t="s">
        <v>227</v>
      </c>
      <c r="FV66" s="80" t="s">
        <v>227</v>
      </c>
      <c r="FW66" s="80" t="s">
        <v>227</v>
      </c>
      <c r="FX66" s="80" t="s">
        <v>227</v>
      </c>
      <c r="FY66" s="80" t="s">
        <v>227</v>
      </c>
      <c r="FZ66" s="80" t="s">
        <v>227</v>
      </c>
      <c r="GA66" s="80" t="s">
        <v>227</v>
      </c>
      <c r="GB66" s="80" t="s">
        <v>227</v>
      </c>
      <c r="GC66" s="80" t="s">
        <v>227</v>
      </c>
      <c r="GD66" s="80" t="s">
        <v>227</v>
      </c>
      <c r="GE66" s="80" t="s">
        <v>227</v>
      </c>
      <c r="GF66" s="167" t="s">
        <v>312</v>
      </c>
      <c r="GG66" s="78" t="s">
        <v>227</v>
      </c>
      <c r="GH66" s="74" t="s">
        <v>227</v>
      </c>
      <c r="GI66" s="80" t="s">
        <v>227</v>
      </c>
      <c r="GJ66" s="78">
        <v>45985</v>
      </c>
      <c r="GK66" s="156">
        <v>46181</v>
      </c>
      <c r="GL66" s="78" t="s">
        <v>227</v>
      </c>
      <c r="GM66" s="159" t="str">
        <f t="shared" si="48"/>
        <v>N/A</v>
      </c>
      <c r="GN66" s="159" t="str">
        <f t="shared" si="49"/>
        <v>N/A</v>
      </c>
      <c r="GO66" s="159">
        <f t="shared" si="50"/>
        <v>0.96666666666666667</v>
      </c>
      <c r="GP66" s="159" t="str">
        <f t="shared" si="51"/>
        <v>N/A</v>
      </c>
      <c r="GQ66" s="159" t="str">
        <f t="shared" si="52"/>
        <v>N/A</v>
      </c>
      <c r="GR66" s="159" t="str">
        <f t="shared" si="53"/>
        <v>N/A</v>
      </c>
      <c r="GS66" s="159" t="str">
        <f t="shared" si="54"/>
        <v>N/A</v>
      </c>
      <c r="GT66" s="159" t="str">
        <f t="shared" si="55"/>
        <v>N/A</v>
      </c>
      <c r="GU66" s="159" t="str">
        <f t="shared" si="56"/>
        <v>N/A</v>
      </c>
      <c r="GV66" s="159" t="str">
        <f t="shared" si="57"/>
        <v>N/A</v>
      </c>
      <c r="GW66" s="159">
        <f t="shared" si="58"/>
        <v>2.1333333333333333</v>
      </c>
      <c r="GX66" s="159">
        <f t="shared" si="59"/>
        <v>2.3666666666666667</v>
      </c>
      <c r="GY66" s="159" t="str">
        <f t="shared" si="60"/>
        <v>N/A</v>
      </c>
      <c r="GZ66" s="159" t="str">
        <f t="shared" si="61"/>
        <v>N/A</v>
      </c>
      <c r="HA66" s="159" t="str">
        <f t="shared" si="62"/>
        <v>N/A</v>
      </c>
      <c r="HB66" s="159" t="str">
        <f t="shared" si="63"/>
        <v>N/A</v>
      </c>
      <c r="HC66" s="159" t="str">
        <f t="shared" si="64"/>
        <v>N/A</v>
      </c>
      <c r="HD66" s="159">
        <f t="shared" si="65"/>
        <v>50.633333333333333</v>
      </c>
      <c r="HE66" s="159">
        <f t="shared" si="66"/>
        <v>57.166666666666664</v>
      </c>
      <c r="HF66" s="160">
        <f t="shared" si="67"/>
        <v>57.166666666666664</v>
      </c>
      <c r="HG66" s="160" cm="1">
        <f t="array" ref="HG66">INDEX($HB66:$HD66,MATCH(TRUE,INDEX(ISNUMBER($HB66:$HD66),0),0))</f>
        <v>50.633333333333333</v>
      </c>
      <c r="HH66" s="161">
        <f t="shared" si="68"/>
        <v>0</v>
      </c>
      <c r="HI66" s="86">
        <f t="shared" si="69"/>
        <v>0</v>
      </c>
      <c r="HJ66" s="111">
        <f t="shared" si="70"/>
        <v>0</v>
      </c>
      <c r="HK66" s="205" t="str">
        <f t="shared" si="71"/>
        <v>0</v>
      </c>
    </row>
    <row r="67" spans="1:219" ht="15" customHeight="1" x14ac:dyDescent="0.3">
      <c r="A67" s="80">
        <v>4482663042</v>
      </c>
      <c r="B67" s="74" t="s">
        <v>220</v>
      </c>
      <c r="C67" s="74" t="s">
        <v>221</v>
      </c>
      <c r="D67" s="74" t="s">
        <v>220</v>
      </c>
      <c r="E67" s="80" t="s">
        <v>560</v>
      </c>
      <c r="F67" s="80" t="s">
        <v>374</v>
      </c>
      <c r="G67" s="80" t="s">
        <v>373</v>
      </c>
      <c r="H67" s="78">
        <v>44496</v>
      </c>
      <c r="I67" s="80" t="s">
        <v>561</v>
      </c>
      <c r="J67" s="80" t="s">
        <v>226</v>
      </c>
      <c r="K67" s="78" t="s">
        <v>227</v>
      </c>
      <c r="L67" s="80" t="s">
        <v>227</v>
      </c>
      <c r="M67" s="80" t="s">
        <v>227</v>
      </c>
      <c r="N67" s="80" t="s">
        <v>227</v>
      </c>
      <c r="O67" s="80" t="s">
        <v>227</v>
      </c>
      <c r="P67" s="80" t="s">
        <v>227</v>
      </c>
      <c r="Q67" s="80" t="s">
        <v>227</v>
      </c>
      <c r="R67" s="80" t="s">
        <v>227</v>
      </c>
      <c r="S67" s="80" t="s">
        <v>227</v>
      </c>
      <c r="T67" s="80" t="s">
        <v>227</v>
      </c>
      <c r="U67" s="80" t="s">
        <v>227</v>
      </c>
      <c r="V67" s="80" t="s">
        <v>227</v>
      </c>
      <c r="W67" s="80" t="s">
        <v>227</v>
      </c>
      <c r="X67" s="80" t="s">
        <v>227</v>
      </c>
      <c r="Y67" s="80" t="s">
        <v>227</v>
      </c>
      <c r="Z67" s="80" t="s">
        <v>227</v>
      </c>
      <c r="AA67" s="80" t="s">
        <v>227</v>
      </c>
      <c r="AB67" s="80" t="s">
        <v>227</v>
      </c>
      <c r="AC67" s="80" t="s">
        <v>227</v>
      </c>
      <c r="AD67" s="80" t="s">
        <v>227</v>
      </c>
      <c r="AE67" s="80" t="s">
        <v>227</v>
      </c>
      <c r="AF67" s="80" t="s">
        <v>227</v>
      </c>
      <c r="AG67" s="80" t="s">
        <v>227</v>
      </c>
      <c r="AH67" s="80" t="s">
        <v>227</v>
      </c>
      <c r="AI67" s="80" t="s">
        <v>227</v>
      </c>
      <c r="AJ67" s="80" t="s">
        <v>227</v>
      </c>
      <c r="AK67" s="80" t="s">
        <v>227</v>
      </c>
      <c r="AL67" s="80" t="s">
        <v>227</v>
      </c>
      <c r="AM67" s="80" t="s">
        <v>227</v>
      </c>
      <c r="AN67" s="80" t="s">
        <v>227</v>
      </c>
      <c r="AO67" s="80" t="s">
        <v>227</v>
      </c>
      <c r="AP67" s="80" t="s">
        <v>227</v>
      </c>
      <c r="AQ67" s="80" t="s">
        <v>228</v>
      </c>
      <c r="AR67" s="78">
        <v>19036</v>
      </c>
      <c r="AS67" s="78">
        <v>44421</v>
      </c>
      <c r="AT67" s="189">
        <f t="shared" si="47"/>
        <v>69</v>
      </c>
      <c r="AU67" s="164" t="s">
        <v>229</v>
      </c>
      <c r="AV67" s="74" t="s">
        <v>230</v>
      </c>
      <c r="AW67" s="74" t="s">
        <v>241</v>
      </c>
      <c r="AX67" s="80" t="s">
        <v>264</v>
      </c>
      <c r="AY67" s="157" t="s">
        <v>232</v>
      </c>
      <c r="AZ67" s="80" t="s">
        <v>232</v>
      </c>
      <c r="BA67" s="80">
        <v>0</v>
      </c>
      <c r="BB67" s="80" t="s">
        <v>396</v>
      </c>
      <c r="BC67" s="80">
        <v>1</v>
      </c>
      <c r="BD67" s="74" t="s">
        <v>243</v>
      </c>
      <c r="BE67" s="80" t="s">
        <v>339</v>
      </c>
      <c r="BF67" s="74" t="s">
        <v>220</v>
      </c>
      <c r="BG67" s="165" t="s">
        <v>227</v>
      </c>
      <c r="BH67" s="166" t="s">
        <v>227</v>
      </c>
      <c r="BI67" s="80" t="s">
        <v>227</v>
      </c>
      <c r="BJ67" s="78" t="s">
        <v>227</v>
      </c>
      <c r="BK67" s="78" t="s">
        <v>227</v>
      </c>
      <c r="BL67" s="80" t="s">
        <v>227</v>
      </c>
      <c r="BM67" s="166" t="s">
        <v>227</v>
      </c>
      <c r="BN67" s="80" t="s">
        <v>227</v>
      </c>
      <c r="BO67" s="80" t="s">
        <v>227</v>
      </c>
      <c r="BP67" s="166" t="s">
        <v>227</v>
      </c>
      <c r="BQ67" s="80" t="s">
        <v>227</v>
      </c>
      <c r="BR67" s="80" t="s">
        <v>227</v>
      </c>
      <c r="BS67" s="80" t="s">
        <v>227</v>
      </c>
      <c r="BT67" s="80" t="s">
        <v>227</v>
      </c>
      <c r="BU67" s="80" t="s">
        <v>227</v>
      </c>
      <c r="BV67" s="80" t="s">
        <v>227</v>
      </c>
      <c r="BW67" s="80" t="s">
        <v>227</v>
      </c>
      <c r="BX67" s="80" t="s">
        <v>227</v>
      </c>
      <c r="BY67" s="80" t="s">
        <v>227</v>
      </c>
      <c r="BZ67" s="80" t="s">
        <v>227</v>
      </c>
      <c r="CA67" s="80" t="s">
        <v>227</v>
      </c>
      <c r="CB67" s="80" t="s">
        <v>227</v>
      </c>
      <c r="CC67" s="80" t="s">
        <v>227</v>
      </c>
      <c r="CD67" s="80" t="s">
        <v>227</v>
      </c>
      <c r="CE67" s="80" t="s">
        <v>227</v>
      </c>
      <c r="CF67" s="80" t="s">
        <v>227</v>
      </c>
      <c r="CG67" s="80" t="s">
        <v>227</v>
      </c>
      <c r="CH67" s="80" t="s">
        <v>227</v>
      </c>
      <c r="CI67" s="80" t="s">
        <v>227</v>
      </c>
      <c r="CJ67" s="80" t="s">
        <v>227</v>
      </c>
      <c r="CK67" s="80" t="s">
        <v>227</v>
      </c>
      <c r="CL67" s="80" t="s">
        <v>227</v>
      </c>
      <c r="CM67" s="80" t="s">
        <v>227</v>
      </c>
      <c r="CN67" s="166" t="s">
        <v>227</v>
      </c>
      <c r="CO67" s="80" t="s">
        <v>227</v>
      </c>
      <c r="CP67" s="78" t="s">
        <v>227</v>
      </c>
      <c r="CQ67" s="78" t="s">
        <v>227</v>
      </c>
      <c r="CR67" s="80" t="s">
        <v>227</v>
      </c>
      <c r="CS67" s="166" t="s">
        <v>227</v>
      </c>
      <c r="CT67" s="80" t="s">
        <v>227</v>
      </c>
      <c r="CU67" s="80" t="s">
        <v>227</v>
      </c>
      <c r="CV67" s="166" t="s">
        <v>227</v>
      </c>
      <c r="CW67" s="80" t="s">
        <v>227</v>
      </c>
      <c r="CX67" s="80" t="s">
        <v>227</v>
      </c>
      <c r="CY67" s="80" t="s">
        <v>227</v>
      </c>
      <c r="CZ67" s="80" t="s">
        <v>227</v>
      </c>
      <c r="DA67" s="80" t="s">
        <v>227</v>
      </c>
      <c r="DB67" s="80" t="s">
        <v>227</v>
      </c>
      <c r="DC67" s="80" t="s">
        <v>227</v>
      </c>
      <c r="DD67" s="80" t="s">
        <v>227</v>
      </c>
      <c r="DE67" s="80" t="s">
        <v>227</v>
      </c>
      <c r="DF67" s="80" t="s">
        <v>227</v>
      </c>
      <c r="DG67" s="80" t="s">
        <v>227</v>
      </c>
      <c r="DH67" s="80" t="s">
        <v>227</v>
      </c>
      <c r="DI67" s="80" t="s">
        <v>227</v>
      </c>
      <c r="DJ67" s="80" t="s">
        <v>227</v>
      </c>
      <c r="DK67" s="80" t="s">
        <v>227</v>
      </c>
      <c r="DL67" s="80" t="s">
        <v>227</v>
      </c>
      <c r="DM67" s="80" t="s">
        <v>227</v>
      </c>
      <c r="DN67" s="80" t="s">
        <v>227</v>
      </c>
      <c r="DO67" s="80" t="s">
        <v>227</v>
      </c>
      <c r="DP67" s="80" t="s">
        <v>227</v>
      </c>
      <c r="DQ67" s="80" t="s">
        <v>227</v>
      </c>
      <c r="DR67" s="80" t="s">
        <v>227</v>
      </c>
      <c r="DS67" s="80" t="s">
        <v>227</v>
      </c>
      <c r="DT67" s="80" t="s">
        <v>227</v>
      </c>
      <c r="DU67" s="80" t="s">
        <v>227</v>
      </c>
      <c r="DV67" s="80" t="s">
        <v>227</v>
      </c>
      <c r="DW67" s="80" t="s">
        <v>227</v>
      </c>
      <c r="DX67" s="80" t="s">
        <v>227</v>
      </c>
      <c r="DY67" s="80" t="s">
        <v>227</v>
      </c>
      <c r="DZ67" s="80" t="s">
        <v>227</v>
      </c>
      <c r="EA67" s="80" t="s">
        <v>227</v>
      </c>
      <c r="EB67" s="80" t="s">
        <v>227</v>
      </c>
      <c r="EC67" s="80" t="s">
        <v>227</v>
      </c>
      <c r="ED67" s="80" t="s">
        <v>227</v>
      </c>
      <c r="EE67" s="80" t="s">
        <v>227</v>
      </c>
      <c r="EF67" s="80" t="s">
        <v>227</v>
      </c>
      <c r="EG67" s="80" t="s">
        <v>227</v>
      </c>
      <c r="EH67" s="80" t="s">
        <v>227</v>
      </c>
      <c r="EI67" s="78" t="s">
        <v>227</v>
      </c>
      <c r="EJ67" s="80" t="s">
        <v>227</v>
      </c>
      <c r="EK67" s="166" t="s">
        <v>227</v>
      </c>
      <c r="EL67" s="80" t="s">
        <v>227</v>
      </c>
      <c r="EM67" s="78" t="s">
        <v>227</v>
      </c>
      <c r="EN67" s="78" t="s">
        <v>227</v>
      </c>
      <c r="EO67" s="80" t="s">
        <v>227</v>
      </c>
      <c r="EP67" s="166" t="s">
        <v>227</v>
      </c>
      <c r="EQ67" s="80" t="s">
        <v>227</v>
      </c>
      <c r="ER67" s="80" t="s">
        <v>227</v>
      </c>
      <c r="ES67" s="166" t="s">
        <v>227</v>
      </c>
      <c r="ET67" s="80" t="s">
        <v>227</v>
      </c>
      <c r="EU67" s="80" t="s">
        <v>227</v>
      </c>
      <c r="EV67" s="166" t="s">
        <v>227</v>
      </c>
      <c r="EW67" s="80" t="s">
        <v>227</v>
      </c>
      <c r="EX67" s="80" t="s">
        <v>227</v>
      </c>
      <c r="EY67" s="166" t="s">
        <v>227</v>
      </c>
      <c r="EZ67" s="80" t="s">
        <v>227</v>
      </c>
      <c r="FA67" s="80" t="s">
        <v>227</v>
      </c>
      <c r="FB67" s="147" t="s">
        <v>227</v>
      </c>
      <c r="FC67" s="80" t="s">
        <v>227</v>
      </c>
      <c r="FD67" s="80" t="s">
        <v>227</v>
      </c>
      <c r="FE67" s="80" t="s">
        <v>227</v>
      </c>
      <c r="FF67" s="80" t="s">
        <v>227</v>
      </c>
      <c r="FG67" s="80" t="s">
        <v>227</v>
      </c>
      <c r="FH67" s="80" t="s">
        <v>227</v>
      </c>
      <c r="FI67" s="80" t="s">
        <v>227</v>
      </c>
      <c r="FJ67" s="80" t="s">
        <v>227</v>
      </c>
      <c r="FK67" s="80" t="s">
        <v>227</v>
      </c>
      <c r="FL67" s="80" t="s">
        <v>227</v>
      </c>
      <c r="FM67" s="80" t="s">
        <v>227</v>
      </c>
      <c r="FN67" s="80" t="s">
        <v>227</v>
      </c>
      <c r="FO67" s="80" t="s">
        <v>227</v>
      </c>
      <c r="FP67" s="80" t="s">
        <v>227</v>
      </c>
      <c r="FQ67" s="80" t="s">
        <v>227</v>
      </c>
      <c r="FR67" s="80" t="s">
        <v>227</v>
      </c>
      <c r="FS67" s="80" t="s">
        <v>227</v>
      </c>
      <c r="FT67" s="80" t="s">
        <v>227</v>
      </c>
      <c r="FU67" s="80" t="s">
        <v>227</v>
      </c>
      <c r="FV67" s="80" t="s">
        <v>227</v>
      </c>
      <c r="FW67" s="80" t="s">
        <v>227</v>
      </c>
      <c r="FX67" s="80" t="s">
        <v>227</v>
      </c>
      <c r="FY67" s="80" t="s">
        <v>227</v>
      </c>
      <c r="FZ67" s="80" t="s">
        <v>227</v>
      </c>
      <c r="GA67" s="80" t="s">
        <v>227</v>
      </c>
      <c r="GB67" s="80" t="s">
        <v>227</v>
      </c>
      <c r="GC67" s="80" t="s">
        <v>227</v>
      </c>
      <c r="GD67" s="80" t="s">
        <v>227</v>
      </c>
      <c r="GE67" s="80" t="s">
        <v>227</v>
      </c>
      <c r="GF67" s="167" t="s">
        <v>312</v>
      </c>
      <c r="GG67" s="78" t="s">
        <v>227</v>
      </c>
      <c r="GH67" s="74" t="s">
        <v>227</v>
      </c>
      <c r="GI67" s="80" t="s">
        <v>227</v>
      </c>
      <c r="GJ67" s="78">
        <v>45078</v>
      </c>
      <c r="GK67" s="156">
        <v>46176</v>
      </c>
      <c r="GL67" s="78" t="s">
        <v>227</v>
      </c>
      <c r="GM67" s="159" t="str">
        <f t="shared" si="48"/>
        <v>N/A</v>
      </c>
      <c r="GN67" s="159" t="str">
        <f t="shared" si="49"/>
        <v>N/A</v>
      </c>
      <c r="GO67" s="159">
        <f t="shared" si="50"/>
        <v>2.5</v>
      </c>
      <c r="GP67" s="159" t="str">
        <f t="shared" si="51"/>
        <v>N/A</v>
      </c>
      <c r="GQ67" s="159" t="str">
        <f t="shared" si="52"/>
        <v>N/A</v>
      </c>
      <c r="GR67" s="159" t="str">
        <f t="shared" si="53"/>
        <v>N/A</v>
      </c>
      <c r="GS67" s="159" t="str">
        <f t="shared" si="54"/>
        <v>N/A</v>
      </c>
      <c r="GT67" s="159" t="str">
        <f t="shared" si="55"/>
        <v>N/A</v>
      </c>
      <c r="GU67" s="159" t="str">
        <f t="shared" si="56"/>
        <v>N/A</v>
      </c>
      <c r="GV67" s="159" t="str">
        <f t="shared" si="57"/>
        <v>N/A</v>
      </c>
      <c r="GW67" s="159" t="str">
        <f t="shared" si="58"/>
        <v>N/A</v>
      </c>
      <c r="GX67" s="159" t="str">
        <f t="shared" si="59"/>
        <v>N/A</v>
      </c>
      <c r="GY67" s="159" t="str">
        <f t="shared" si="60"/>
        <v>N/A</v>
      </c>
      <c r="GZ67" s="159" t="str">
        <f t="shared" si="61"/>
        <v>N/A</v>
      </c>
      <c r="HA67" s="159" t="str">
        <f t="shared" si="62"/>
        <v>N/A</v>
      </c>
      <c r="HB67" s="159" t="str">
        <f t="shared" si="63"/>
        <v>N/A</v>
      </c>
      <c r="HC67" s="159" t="str">
        <f t="shared" si="64"/>
        <v>N/A</v>
      </c>
      <c r="HD67" s="159">
        <f t="shared" si="65"/>
        <v>21.9</v>
      </c>
      <c r="HE67" s="159">
        <f t="shared" si="66"/>
        <v>58.5</v>
      </c>
      <c r="HF67" s="160">
        <f t="shared" si="67"/>
        <v>58.5</v>
      </c>
      <c r="HG67" s="160" cm="1">
        <f t="array" ref="HG67">INDEX($HB67:$HD67,MATCH(TRUE,INDEX(ISNUMBER($HB67:$HD67),0),0))</f>
        <v>21.9</v>
      </c>
      <c r="HH67" s="161">
        <f t="shared" si="68"/>
        <v>0</v>
      </c>
      <c r="HI67" s="86">
        <f t="shared" si="69"/>
        <v>0</v>
      </c>
      <c r="HJ67" s="111">
        <f t="shared" si="70"/>
        <v>0</v>
      </c>
      <c r="HK67" s="205" t="str">
        <f t="shared" si="71"/>
        <v>0</v>
      </c>
    </row>
    <row r="68" spans="1:219" ht="15" customHeight="1" x14ac:dyDescent="0.3">
      <c r="A68" s="80">
        <v>4863113390</v>
      </c>
      <c r="B68" s="74" t="s">
        <v>220</v>
      </c>
      <c r="C68" s="74" t="s">
        <v>221</v>
      </c>
      <c r="D68" s="74" t="s">
        <v>220</v>
      </c>
      <c r="E68" s="80" t="s">
        <v>562</v>
      </c>
      <c r="F68" s="80" t="s">
        <v>271</v>
      </c>
      <c r="G68" s="80" t="s">
        <v>373</v>
      </c>
      <c r="H68" s="78">
        <v>44504</v>
      </c>
      <c r="I68" s="80" t="s">
        <v>515</v>
      </c>
      <c r="J68" s="80" t="s">
        <v>226</v>
      </c>
      <c r="K68" s="78" t="s">
        <v>227</v>
      </c>
      <c r="L68" s="80" t="s">
        <v>227</v>
      </c>
      <c r="M68" s="80" t="s">
        <v>227</v>
      </c>
      <c r="N68" s="80" t="s">
        <v>227</v>
      </c>
      <c r="O68" s="80" t="s">
        <v>227</v>
      </c>
      <c r="P68" s="80" t="s">
        <v>227</v>
      </c>
      <c r="Q68" s="80" t="s">
        <v>227</v>
      </c>
      <c r="R68" s="80" t="s">
        <v>227</v>
      </c>
      <c r="S68" s="80" t="s">
        <v>227</v>
      </c>
      <c r="T68" s="80" t="s">
        <v>227</v>
      </c>
      <c r="U68" s="80" t="s">
        <v>227</v>
      </c>
      <c r="V68" s="80" t="s">
        <v>227</v>
      </c>
      <c r="W68" s="80" t="s">
        <v>227</v>
      </c>
      <c r="X68" s="80" t="s">
        <v>227</v>
      </c>
      <c r="Y68" s="80" t="s">
        <v>227</v>
      </c>
      <c r="Z68" s="80" t="s">
        <v>227</v>
      </c>
      <c r="AA68" s="80" t="s">
        <v>227</v>
      </c>
      <c r="AB68" s="80" t="s">
        <v>227</v>
      </c>
      <c r="AC68" s="80" t="s">
        <v>227</v>
      </c>
      <c r="AD68" s="80" t="s">
        <v>227</v>
      </c>
      <c r="AE68" s="80" t="s">
        <v>227</v>
      </c>
      <c r="AF68" s="80" t="s">
        <v>227</v>
      </c>
      <c r="AG68" s="80" t="s">
        <v>227</v>
      </c>
      <c r="AH68" s="80" t="s">
        <v>227</v>
      </c>
      <c r="AI68" s="80" t="s">
        <v>227</v>
      </c>
      <c r="AJ68" s="80" t="s">
        <v>227</v>
      </c>
      <c r="AK68" s="80" t="s">
        <v>227</v>
      </c>
      <c r="AL68" s="80" t="s">
        <v>227</v>
      </c>
      <c r="AM68" s="80" t="s">
        <v>227</v>
      </c>
      <c r="AN68" s="80" t="s">
        <v>227</v>
      </c>
      <c r="AO68" s="80" t="s">
        <v>227</v>
      </c>
      <c r="AP68" s="80" t="s">
        <v>227</v>
      </c>
      <c r="AQ68" s="80" t="s">
        <v>228</v>
      </c>
      <c r="AR68" s="78">
        <v>22003</v>
      </c>
      <c r="AS68" s="78">
        <v>44454</v>
      </c>
      <c r="AT68" s="189">
        <f t="shared" si="47"/>
        <v>61</v>
      </c>
      <c r="AU68" s="164" t="s">
        <v>229</v>
      </c>
      <c r="AV68" s="74" t="s">
        <v>230</v>
      </c>
      <c r="AW68" s="74" t="s">
        <v>241</v>
      </c>
      <c r="AX68" s="80" t="s">
        <v>264</v>
      </c>
      <c r="AY68" s="80" t="s">
        <v>232</v>
      </c>
      <c r="AZ68" s="80" t="s">
        <v>232</v>
      </c>
      <c r="BA68" s="80">
        <v>0</v>
      </c>
      <c r="BB68" s="80" t="s">
        <v>396</v>
      </c>
      <c r="BC68" s="80">
        <v>1</v>
      </c>
      <c r="BD68" s="74" t="s">
        <v>243</v>
      </c>
      <c r="BE68" s="80" t="s">
        <v>339</v>
      </c>
      <c r="BF68" s="74" t="s">
        <v>220</v>
      </c>
      <c r="BG68" s="165" t="s">
        <v>227</v>
      </c>
      <c r="BH68" s="166" t="s">
        <v>227</v>
      </c>
      <c r="BI68" s="80" t="s">
        <v>227</v>
      </c>
      <c r="BJ68" s="78" t="s">
        <v>227</v>
      </c>
      <c r="BK68" s="78" t="s">
        <v>227</v>
      </c>
      <c r="BL68" s="80" t="s">
        <v>227</v>
      </c>
      <c r="BM68" s="166" t="s">
        <v>227</v>
      </c>
      <c r="BN68" s="80" t="s">
        <v>227</v>
      </c>
      <c r="BO68" s="80" t="s">
        <v>227</v>
      </c>
      <c r="BP68" s="166" t="s">
        <v>227</v>
      </c>
      <c r="BQ68" s="80" t="s">
        <v>227</v>
      </c>
      <c r="BR68" s="80" t="s">
        <v>227</v>
      </c>
      <c r="BS68" s="80" t="s">
        <v>227</v>
      </c>
      <c r="BT68" s="80" t="s">
        <v>227</v>
      </c>
      <c r="BU68" s="80" t="s">
        <v>227</v>
      </c>
      <c r="BV68" s="80" t="s">
        <v>227</v>
      </c>
      <c r="BW68" s="80" t="s">
        <v>227</v>
      </c>
      <c r="BX68" s="80" t="s">
        <v>227</v>
      </c>
      <c r="BY68" s="80" t="s">
        <v>227</v>
      </c>
      <c r="BZ68" s="80" t="s">
        <v>227</v>
      </c>
      <c r="CA68" s="80" t="s">
        <v>227</v>
      </c>
      <c r="CB68" s="80" t="s">
        <v>227</v>
      </c>
      <c r="CC68" s="80" t="s">
        <v>227</v>
      </c>
      <c r="CD68" s="80" t="s">
        <v>227</v>
      </c>
      <c r="CE68" s="80" t="s">
        <v>227</v>
      </c>
      <c r="CF68" s="80" t="s">
        <v>227</v>
      </c>
      <c r="CG68" s="80" t="s">
        <v>227</v>
      </c>
      <c r="CH68" s="80" t="s">
        <v>227</v>
      </c>
      <c r="CI68" s="80" t="s">
        <v>227</v>
      </c>
      <c r="CJ68" s="80" t="s">
        <v>227</v>
      </c>
      <c r="CK68" s="80" t="s">
        <v>227</v>
      </c>
      <c r="CL68" s="80" t="s">
        <v>227</v>
      </c>
      <c r="CM68" s="80" t="s">
        <v>227</v>
      </c>
      <c r="CN68" s="166" t="s">
        <v>227</v>
      </c>
      <c r="CO68" s="80" t="s">
        <v>227</v>
      </c>
      <c r="CP68" s="78" t="s">
        <v>227</v>
      </c>
      <c r="CQ68" s="78" t="s">
        <v>227</v>
      </c>
      <c r="CR68" s="80" t="s">
        <v>227</v>
      </c>
      <c r="CS68" s="166" t="s">
        <v>227</v>
      </c>
      <c r="CT68" s="80" t="s">
        <v>227</v>
      </c>
      <c r="CU68" s="80" t="s">
        <v>227</v>
      </c>
      <c r="CV68" s="166" t="s">
        <v>227</v>
      </c>
      <c r="CW68" s="80" t="s">
        <v>227</v>
      </c>
      <c r="CX68" s="80" t="s">
        <v>227</v>
      </c>
      <c r="CY68" s="80" t="s">
        <v>227</v>
      </c>
      <c r="CZ68" s="80" t="s">
        <v>227</v>
      </c>
      <c r="DA68" s="80" t="s">
        <v>227</v>
      </c>
      <c r="DB68" s="80" t="s">
        <v>227</v>
      </c>
      <c r="DC68" s="80" t="s">
        <v>227</v>
      </c>
      <c r="DD68" s="80" t="s">
        <v>227</v>
      </c>
      <c r="DE68" s="80" t="s">
        <v>227</v>
      </c>
      <c r="DF68" s="80" t="s">
        <v>227</v>
      </c>
      <c r="DG68" s="80" t="s">
        <v>227</v>
      </c>
      <c r="DH68" s="80" t="s">
        <v>227</v>
      </c>
      <c r="DI68" s="80" t="s">
        <v>227</v>
      </c>
      <c r="DJ68" s="80" t="s">
        <v>227</v>
      </c>
      <c r="DK68" s="80" t="s">
        <v>227</v>
      </c>
      <c r="DL68" s="80" t="s">
        <v>227</v>
      </c>
      <c r="DM68" s="80" t="s">
        <v>227</v>
      </c>
      <c r="DN68" s="80" t="s">
        <v>227</v>
      </c>
      <c r="DO68" s="80" t="s">
        <v>227</v>
      </c>
      <c r="DP68" s="80" t="s">
        <v>227</v>
      </c>
      <c r="DQ68" s="80" t="s">
        <v>227</v>
      </c>
      <c r="DR68" s="80" t="s">
        <v>227</v>
      </c>
      <c r="DS68" s="80" t="s">
        <v>227</v>
      </c>
      <c r="DT68" s="80" t="s">
        <v>227</v>
      </c>
      <c r="DU68" s="80" t="s">
        <v>227</v>
      </c>
      <c r="DV68" s="80" t="s">
        <v>227</v>
      </c>
      <c r="DW68" s="80" t="s">
        <v>227</v>
      </c>
      <c r="DX68" s="80" t="s">
        <v>227</v>
      </c>
      <c r="DY68" s="80" t="s">
        <v>227</v>
      </c>
      <c r="DZ68" s="80" t="s">
        <v>227</v>
      </c>
      <c r="EA68" s="80" t="s">
        <v>227</v>
      </c>
      <c r="EB68" s="80" t="s">
        <v>227</v>
      </c>
      <c r="EC68" s="80" t="s">
        <v>227</v>
      </c>
      <c r="ED68" s="80" t="s">
        <v>227</v>
      </c>
      <c r="EE68" s="80" t="s">
        <v>227</v>
      </c>
      <c r="EF68" s="80" t="s">
        <v>227</v>
      </c>
      <c r="EG68" s="80" t="s">
        <v>227</v>
      </c>
      <c r="EH68" s="80" t="s">
        <v>227</v>
      </c>
      <c r="EI68" s="78" t="s">
        <v>227</v>
      </c>
      <c r="EJ68" s="80" t="s">
        <v>227</v>
      </c>
      <c r="EK68" s="166" t="s">
        <v>227</v>
      </c>
      <c r="EL68" s="80" t="s">
        <v>227</v>
      </c>
      <c r="EM68" s="78" t="s">
        <v>227</v>
      </c>
      <c r="EN68" s="78" t="s">
        <v>227</v>
      </c>
      <c r="EO68" s="80" t="s">
        <v>227</v>
      </c>
      <c r="EP68" s="166" t="s">
        <v>227</v>
      </c>
      <c r="EQ68" s="80" t="s">
        <v>227</v>
      </c>
      <c r="ER68" s="80" t="s">
        <v>227</v>
      </c>
      <c r="ES68" s="166" t="s">
        <v>227</v>
      </c>
      <c r="ET68" s="80" t="s">
        <v>227</v>
      </c>
      <c r="EU68" s="80" t="s">
        <v>227</v>
      </c>
      <c r="EV68" s="166" t="s">
        <v>227</v>
      </c>
      <c r="EW68" s="80" t="s">
        <v>227</v>
      </c>
      <c r="EX68" s="80" t="s">
        <v>227</v>
      </c>
      <c r="EY68" s="166" t="s">
        <v>227</v>
      </c>
      <c r="EZ68" s="80" t="s">
        <v>227</v>
      </c>
      <c r="FA68" s="80" t="s">
        <v>227</v>
      </c>
      <c r="FB68" s="147" t="s">
        <v>227</v>
      </c>
      <c r="FC68" s="80" t="s">
        <v>227</v>
      </c>
      <c r="FD68" s="80" t="s">
        <v>227</v>
      </c>
      <c r="FE68" s="80" t="s">
        <v>227</v>
      </c>
      <c r="FF68" s="80" t="s">
        <v>227</v>
      </c>
      <c r="FG68" s="80" t="s">
        <v>227</v>
      </c>
      <c r="FH68" s="80" t="s">
        <v>227</v>
      </c>
      <c r="FI68" s="80" t="s">
        <v>227</v>
      </c>
      <c r="FJ68" s="80" t="s">
        <v>227</v>
      </c>
      <c r="FK68" s="80" t="s">
        <v>227</v>
      </c>
      <c r="FL68" s="80" t="s">
        <v>227</v>
      </c>
      <c r="FM68" s="80" t="s">
        <v>227</v>
      </c>
      <c r="FN68" s="80" t="s">
        <v>227</v>
      </c>
      <c r="FO68" s="80" t="s">
        <v>227</v>
      </c>
      <c r="FP68" s="80" t="s">
        <v>227</v>
      </c>
      <c r="FQ68" s="80" t="s">
        <v>227</v>
      </c>
      <c r="FR68" s="80" t="s">
        <v>227</v>
      </c>
      <c r="FS68" s="80" t="s">
        <v>227</v>
      </c>
      <c r="FT68" s="80" t="s">
        <v>227</v>
      </c>
      <c r="FU68" s="80" t="s">
        <v>227</v>
      </c>
      <c r="FV68" s="80" t="s">
        <v>227</v>
      </c>
      <c r="FW68" s="80" t="s">
        <v>227</v>
      </c>
      <c r="FX68" s="80" t="s">
        <v>227</v>
      </c>
      <c r="FY68" s="80" t="s">
        <v>227</v>
      </c>
      <c r="FZ68" s="80" t="s">
        <v>227</v>
      </c>
      <c r="GA68" s="80" t="s">
        <v>227</v>
      </c>
      <c r="GB68" s="80" t="s">
        <v>227</v>
      </c>
      <c r="GC68" s="80" t="s">
        <v>227</v>
      </c>
      <c r="GD68" s="80" t="s">
        <v>227</v>
      </c>
      <c r="GE68" s="80" t="s">
        <v>227</v>
      </c>
      <c r="GF68" s="167" t="s">
        <v>312</v>
      </c>
      <c r="GG68" s="78" t="s">
        <v>227</v>
      </c>
      <c r="GH68" s="74" t="s">
        <v>227</v>
      </c>
      <c r="GI68" s="80" t="s">
        <v>227</v>
      </c>
      <c r="GJ68" s="78">
        <v>44529</v>
      </c>
      <c r="GK68" s="156">
        <v>46181</v>
      </c>
      <c r="GL68" s="78" t="s">
        <v>227</v>
      </c>
      <c r="GM68" s="159" t="str">
        <f t="shared" si="48"/>
        <v>N/A</v>
      </c>
      <c r="GN68" s="159" t="str">
        <f t="shared" si="49"/>
        <v>N/A</v>
      </c>
      <c r="GO68" s="159">
        <f t="shared" si="50"/>
        <v>1.6666666666666667</v>
      </c>
      <c r="GP68" s="159" t="str">
        <f t="shared" si="51"/>
        <v>N/A</v>
      </c>
      <c r="GQ68" s="159" t="str">
        <f t="shared" si="52"/>
        <v>N/A</v>
      </c>
      <c r="GR68" s="159" t="str">
        <f t="shared" si="53"/>
        <v>N/A</v>
      </c>
      <c r="GS68" s="159" t="str">
        <f t="shared" si="54"/>
        <v>N/A</v>
      </c>
      <c r="GT68" s="159" t="str">
        <f t="shared" si="55"/>
        <v>N/A</v>
      </c>
      <c r="GU68" s="159" t="str">
        <f t="shared" si="56"/>
        <v>N/A</v>
      </c>
      <c r="GV68" s="159" t="str">
        <f t="shared" si="57"/>
        <v>N/A</v>
      </c>
      <c r="GW68" s="159" t="str">
        <f t="shared" si="58"/>
        <v>N/A</v>
      </c>
      <c r="GX68" s="159" t="str">
        <f t="shared" si="59"/>
        <v>N/A</v>
      </c>
      <c r="GY68" s="159" t="str">
        <f t="shared" si="60"/>
        <v>N/A</v>
      </c>
      <c r="GZ68" s="159" t="str">
        <f t="shared" si="61"/>
        <v>N/A</v>
      </c>
      <c r="HA68" s="159" t="str">
        <f t="shared" si="62"/>
        <v>N/A</v>
      </c>
      <c r="HB68" s="159" t="str">
        <f t="shared" si="63"/>
        <v>N/A</v>
      </c>
      <c r="HC68" s="159" t="str">
        <f t="shared" si="64"/>
        <v>N/A</v>
      </c>
      <c r="HD68" s="159">
        <f t="shared" si="65"/>
        <v>2.5</v>
      </c>
      <c r="HE68" s="159">
        <f t="shared" si="66"/>
        <v>57.56666666666667</v>
      </c>
      <c r="HF68" s="160">
        <f t="shared" si="67"/>
        <v>57.56666666666667</v>
      </c>
      <c r="HG68" s="160" cm="1">
        <f t="array" ref="HG68">INDEX($HB68:$HD68,MATCH(TRUE,INDEX(ISNUMBER($HB68:$HD68),0),0))</f>
        <v>2.5</v>
      </c>
      <c r="HH68" s="161">
        <f t="shared" si="68"/>
        <v>0</v>
      </c>
      <c r="HI68" s="86">
        <f t="shared" si="69"/>
        <v>0</v>
      </c>
      <c r="HJ68" s="111">
        <f t="shared" si="70"/>
        <v>0</v>
      </c>
      <c r="HK68" s="205" t="str">
        <f t="shared" si="71"/>
        <v>0</v>
      </c>
    </row>
    <row r="69" spans="1:219" s="94" customFormat="1" ht="15" customHeight="1" x14ac:dyDescent="0.3">
      <c r="A69" s="175">
        <v>4382620104</v>
      </c>
      <c r="B69" s="176" t="s">
        <v>227</v>
      </c>
      <c r="C69" s="176" t="s">
        <v>227</v>
      </c>
      <c r="D69" s="176" t="s">
        <v>227</v>
      </c>
      <c r="E69" s="175" t="s">
        <v>563</v>
      </c>
      <c r="F69" s="175" t="s">
        <v>458</v>
      </c>
      <c r="G69" s="175" t="s">
        <v>564</v>
      </c>
      <c r="H69" s="177" t="s">
        <v>227</v>
      </c>
      <c r="I69" s="175" t="s">
        <v>227</v>
      </c>
      <c r="J69" s="175" t="s">
        <v>226</v>
      </c>
      <c r="K69" s="177" t="s">
        <v>227</v>
      </c>
      <c r="L69" s="175" t="s">
        <v>227</v>
      </c>
      <c r="M69" s="175" t="s">
        <v>227</v>
      </c>
      <c r="N69" s="175" t="s">
        <v>227</v>
      </c>
      <c r="O69" s="175" t="s">
        <v>227</v>
      </c>
      <c r="P69" s="177" t="s">
        <v>227</v>
      </c>
      <c r="Q69" s="176" t="s">
        <v>227</v>
      </c>
      <c r="R69" s="175" t="s">
        <v>227</v>
      </c>
      <c r="S69" s="175" t="s">
        <v>227</v>
      </c>
      <c r="T69" s="175" t="s">
        <v>227</v>
      </c>
      <c r="U69" s="177" t="s">
        <v>227</v>
      </c>
      <c r="V69" s="176" t="s">
        <v>227</v>
      </c>
      <c r="W69" s="176" t="s">
        <v>227</v>
      </c>
      <c r="X69" s="176" t="s">
        <v>227</v>
      </c>
      <c r="Y69" s="176" t="s">
        <v>227</v>
      </c>
      <c r="Z69" s="179" t="s">
        <v>227</v>
      </c>
      <c r="AA69" s="176" t="s">
        <v>227</v>
      </c>
      <c r="AB69" s="176" t="s">
        <v>227</v>
      </c>
      <c r="AC69" s="176" t="s">
        <v>227</v>
      </c>
      <c r="AD69" s="176" t="s">
        <v>227</v>
      </c>
      <c r="AE69" s="179" t="s">
        <v>227</v>
      </c>
      <c r="AF69" s="176" t="s">
        <v>227</v>
      </c>
      <c r="AG69" s="176" t="s">
        <v>227</v>
      </c>
      <c r="AH69" s="176" t="s">
        <v>227</v>
      </c>
      <c r="AI69" s="176" t="s">
        <v>227</v>
      </c>
      <c r="AJ69" s="179" t="s">
        <v>227</v>
      </c>
      <c r="AK69" s="176" t="s">
        <v>227</v>
      </c>
      <c r="AL69" s="175" t="s">
        <v>227</v>
      </c>
      <c r="AM69" s="175" t="s">
        <v>227</v>
      </c>
      <c r="AN69" s="175" t="s">
        <v>227</v>
      </c>
      <c r="AO69" s="177" t="s">
        <v>227</v>
      </c>
      <c r="AP69" s="176" t="s">
        <v>227</v>
      </c>
      <c r="AQ69" s="175" t="s">
        <v>228</v>
      </c>
      <c r="AR69" s="177">
        <v>16995</v>
      </c>
      <c r="AS69" s="177">
        <v>44468</v>
      </c>
      <c r="AT69" s="191">
        <f t="shared" si="47"/>
        <v>75</v>
      </c>
      <c r="AU69" s="181" t="s">
        <v>565</v>
      </c>
      <c r="AV69" s="176" t="s">
        <v>227</v>
      </c>
      <c r="AW69" s="176" t="s">
        <v>227</v>
      </c>
      <c r="AX69" s="175" t="s">
        <v>227</v>
      </c>
      <c r="AY69" s="175" t="s">
        <v>227</v>
      </c>
      <c r="AZ69" s="175" t="s">
        <v>227</v>
      </c>
      <c r="BA69" s="175" t="e">
        <f>_xlfn.NUMBERVALUE(RIGHT($BB69), ".", ",")</f>
        <v>#VALUE!</v>
      </c>
      <c r="BB69" s="175" t="s">
        <v>227</v>
      </c>
      <c r="BC69" s="175">
        <v>3</v>
      </c>
      <c r="BD69" s="176" t="s">
        <v>243</v>
      </c>
      <c r="BE69" s="175" t="s">
        <v>234</v>
      </c>
      <c r="BF69" s="176" t="s">
        <v>227</v>
      </c>
      <c r="BG69" s="182" t="s">
        <v>227</v>
      </c>
      <c r="BH69" s="183" t="s">
        <v>227</v>
      </c>
      <c r="BI69" s="175" t="s">
        <v>227</v>
      </c>
      <c r="BJ69" s="177" t="s">
        <v>227</v>
      </c>
      <c r="BK69" s="177" t="s">
        <v>227</v>
      </c>
      <c r="BL69" s="175" t="s">
        <v>227</v>
      </c>
      <c r="BM69" s="183" t="s">
        <v>227</v>
      </c>
      <c r="BN69" s="175" t="s">
        <v>227</v>
      </c>
      <c r="BO69" s="175" t="s">
        <v>227</v>
      </c>
      <c r="BP69" s="183" t="s">
        <v>227</v>
      </c>
      <c r="BQ69" s="175" t="s">
        <v>227</v>
      </c>
      <c r="BR69" s="175" t="s">
        <v>227</v>
      </c>
      <c r="BS69" s="183" t="s">
        <v>227</v>
      </c>
      <c r="BT69" s="175" t="s">
        <v>227</v>
      </c>
      <c r="BU69" s="175" t="s">
        <v>227</v>
      </c>
      <c r="BV69" s="183" t="s">
        <v>227</v>
      </c>
      <c r="BW69" s="175" t="s">
        <v>227</v>
      </c>
      <c r="BX69" s="175" t="s">
        <v>227</v>
      </c>
      <c r="BY69" s="183" t="s">
        <v>227</v>
      </c>
      <c r="BZ69" s="175" t="s">
        <v>227</v>
      </c>
      <c r="CA69" s="175" t="s">
        <v>227</v>
      </c>
      <c r="CB69" s="183" t="s">
        <v>227</v>
      </c>
      <c r="CC69" s="175" t="s">
        <v>227</v>
      </c>
      <c r="CD69" s="175" t="s">
        <v>227</v>
      </c>
      <c r="CE69" s="183" t="s">
        <v>227</v>
      </c>
      <c r="CF69" s="175" t="s">
        <v>227</v>
      </c>
      <c r="CG69" s="175" t="s">
        <v>227</v>
      </c>
      <c r="CH69" s="183" t="s">
        <v>227</v>
      </c>
      <c r="CI69" s="175" t="s">
        <v>227</v>
      </c>
      <c r="CJ69" s="175" t="s">
        <v>227</v>
      </c>
      <c r="CK69" s="183" t="s">
        <v>227</v>
      </c>
      <c r="CL69" s="175" t="s">
        <v>227</v>
      </c>
      <c r="CM69" s="175" t="s">
        <v>227</v>
      </c>
      <c r="CN69" s="183" t="s">
        <v>227</v>
      </c>
      <c r="CO69" s="175" t="s">
        <v>227</v>
      </c>
      <c r="CP69" s="177" t="s">
        <v>227</v>
      </c>
      <c r="CQ69" s="177" t="s">
        <v>227</v>
      </c>
      <c r="CR69" s="175" t="s">
        <v>227</v>
      </c>
      <c r="CS69" s="183" t="s">
        <v>227</v>
      </c>
      <c r="CT69" s="175" t="s">
        <v>227</v>
      </c>
      <c r="CU69" s="175" t="s">
        <v>227</v>
      </c>
      <c r="CV69" s="183" t="s">
        <v>227</v>
      </c>
      <c r="CW69" s="175" t="s">
        <v>227</v>
      </c>
      <c r="CX69" s="175" t="s">
        <v>227</v>
      </c>
      <c r="CY69" s="183" t="s">
        <v>227</v>
      </c>
      <c r="CZ69" s="175" t="s">
        <v>227</v>
      </c>
      <c r="DA69" s="175" t="s">
        <v>227</v>
      </c>
      <c r="DB69" s="183" t="s">
        <v>227</v>
      </c>
      <c r="DC69" s="175" t="s">
        <v>227</v>
      </c>
      <c r="DD69" s="175" t="s">
        <v>227</v>
      </c>
      <c r="DE69" s="183" t="s">
        <v>227</v>
      </c>
      <c r="DF69" s="175" t="s">
        <v>227</v>
      </c>
      <c r="DG69" s="175" t="s">
        <v>227</v>
      </c>
      <c r="DH69" s="183" t="s">
        <v>227</v>
      </c>
      <c r="DI69" s="175" t="s">
        <v>227</v>
      </c>
      <c r="DJ69" s="175" t="s">
        <v>227</v>
      </c>
      <c r="DK69" s="183" t="s">
        <v>227</v>
      </c>
      <c r="DL69" s="175" t="s">
        <v>227</v>
      </c>
      <c r="DM69" s="175" t="s">
        <v>227</v>
      </c>
      <c r="DN69" s="183" t="s">
        <v>227</v>
      </c>
      <c r="DO69" s="175" t="s">
        <v>227</v>
      </c>
      <c r="DP69" s="175" t="s">
        <v>227</v>
      </c>
      <c r="DQ69" s="183" t="s">
        <v>227</v>
      </c>
      <c r="DR69" s="175" t="s">
        <v>227</v>
      </c>
      <c r="DS69" s="175" t="s">
        <v>227</v>
      </c>
      <c r="DT69" s="183" t="s">
        <v>227</v>
      </c>
      <c r="DU69" s="175" t="s">
        <v>227</v>
      </c>
      <c r="DV69" s="175" t="s">
        <v>227</v>
      </c>
      <c r="DW69" s="183" t="s">
        <v>227</v>
      </c>
      <c r="DX69" s="175" t="s">
        <v>227</v>
      </c>
      <c r="DY69" s="175" t="s">
        <v>227</v>
      </c>
      <c r="DZ69" s="183" t="s">
        <v>227</v>
      </c>
      <c r="EA69" s="175" t="s">
        <v>227</v>
      </c>
      <c r="EB69" s="175" t="s">
        <v>227</v>
      </c>
      <c r="EC69" s="183" t="s">
        <v>227</v>
      </c>
      <c r="ED69" s="175" t="s">
        <v>227</v>
      </c>
      <c r="EE69" s="175" t="s">
        <v>227</v>
      </c>
      <c r="EF69" s="183" t="s">
        <v>227</v>
      </c>
      <c r="EG69" s="175" t="s">
        <v>227</v>
      </c>
      <c r="EH69" s="175" t="s">
        <v>227</v>
      </c>
      <c r="EI69" s="177" t="s">
        <v>227</v>
      </c>
      <c r="EJ69" s="175" t="s">
        <v>227</v>
      </c>
      <c r="EK69" s="183" t="s">
        <v>227</v>
      </c>
      <c r="EL69" s="175" t="s">
        <v>227</v>
      </c>
      <c r="EM69" s="177" t="s">
        <v>227</v>
      </c>
      <c r="EN69" s="177" t="s">
        <v>227</v>
      </c>
      <c r="EO69" s="175" t="s">
        <v>227</v>
      </c>
      <c r="EP69" s="183" t="s">
        <v>227</v>
      </c>
      <c r="EQ69" s="175" t="s">
        <v>227</v>
      </c>
      <c r="ER69" s="175" t="s">
        <v>227</v>
      </c>
      <c r="ES69" s="183" t="s">
        <v>227</v>
      </c>
      <c r="ET69" s="175" t="s">
        <v>227</v>
      </c>
      <c r="EU69" s="175" t="s">
        <v>227</v>
      </c>
      <c r="EV69" s="183" t="s">
        <v>227</v>
      </c>
      <c r="EW69" s="175" t="s">
        <v>227</v>
      </c>
      <c r="EX69" s="175" t="s">
        <v>227</v>
      </c>
      <c r="EY69" s="183" t="s">
        <v>227</v>
      </c>
      <c r="EZ69" s="175" t="s">
        <v>227</v>
      </c>
      <c r="FA69" s="175" t="s">
        <v>227</v>
      </c>
      <c r="FB69" s="147" t="s">
        <v>227</v>
      </c>
      <c r="FC69" s="175" t="s">
        <v>227</v>
      </c>
      <c r="FD69" s="175" t="s">
        <v>227</v>
      </c>
      <c r="FE69" s="183" t="s">
        <v>227</v>
      </c>
      <c r="FF69" s="175" t="s">
        <v>227</v>
      </c>
      <c r="FG69" s="175" t="s">
        <v>227</v>
      </c>
      <c r="FH69" s="183" t="s">
        <v>227</v>
      </c>
      <c r="FI69" s="175" t="s">
        <v>227</v>
      </c>
      <c r="FJ69" s="175" t="s">
        <v>227</v>
      </c>
      <c r="FK69" s="183" t="s">
        <v>227</v>
      </c>
      <c r="FL69" s="175" t="s">
        <v>227</v>
      </c>
      <c r="FM69" s="175" t="s">
        <v>227</v>
      </c>
      <c r="FN69" s="183" t="s">
        <v>227</v>
      </c>
      <c r="FO69" s="175" t="s">
        <v>227</v>
      </c>
      <c r="FP69" s="175" t="s">
        <v>227</v>
      </c>
      <c r="FQ69" s="183" t="s">
        <v>227</v>
      </c>
      <c r="FR69" s="175" t="s">
        <v>227</v>
      </c>
      <c r="FS69" s="175" t="s">
        <v>227</v>
      </c>
      <c r="FT69" s="183" t="s">
        <v>227</v>
      </c>
      <c r="FU69" s="175" t="s">
        <v>227</v>
      </c>
      <c r="FV69" s="175" t="s">
        <v>227</v>
      </c>
      <c r="FW69" s="183" t="s">
        <v>227</v>
      </c>
      <c r="FX69" s="175" t="s">
        <v>227</v>
      </c>
      <c r="FY69" s="175" t="s">
        <v>227</v>
      </c>
      <c r="FZ69" s="183" t="s">
        <v>227</v>
      </c>
      <c r="GA69" s="175" t="s">
        <v>227</v>
      </c>
      <c r="GB69" s="175" t="s">
        <v>227</v>
      </c>
      <c r="GC69" s="183" t="s">
        <v>227</v>
      </c>
      <c r="GD69" s="175" t="s">
        <v>227</v>
      </c>
      <c r="GE69" s="175" t="s">
        <v>227</v>
      </c>
      <c r="GF69" s="184" t="s">
        <v>227</v>
      </c>
      <c r="GG69" s="177" t="s">
        <v>227</v>
      </c>
      <c r="GH69" s="176" t="s">
        <v>227</v>
      </c>
      <c r="GI69" s="175" t="s">
        <v>227</v>
      </c>
      <c r="GJ69" s="177" t="s">
        <v>227</v>
      </c>
      <c r="GK69" s="177" t="s">
        <v>227</v>
      </c>
      <c r="GL69" s="177" t="s">
        <v>227</v>
      </c>
      <c r="GM69" s="185" t="str">
        <f t="shared" si="48"/>
        <v>N/A</v>
      </c>
      <c r="GN69" s="185" t="str">
        <f t="shared" si="49"/>
        <v>N/A</v>
      </c>
      <c r="GO69" s="185" t="str">
        <f t="shared" si="50"/>
        <v>N/A</v>
      </c>
      <c r="GP69" s="185" t="str">
        <f t="shared" si="51"/>
        <v>N/A</v>
      </c>
      <c r="GQ69" s="185" t="str">
        <f t="shared" si="52"/>
        <v>N/A</v>
      </c>
      <c r="GR69" s="185" t="str">
        <f t="shared" si="53"/>
        <v>N/A</v>
      </c>
      <c r="GS69" s="185" t="str">
        <f t="shared" si="54"/>
        <v>N/A</v>
      </c>
      <c r="GT69" s="185" t="str">
        <f t="shared" si="55"/>
        <v>N/A</v>
      </c>
      <c r="GU69" s="185" t="str">
        <f t="shared" si="56"/>
        <v>N/A</v>
      </c>
      <c r="GV69" s="185" t="str">
        <f t="shared" si="57"/>
        <v>N/A</v>
      </c>
      <c r="GW69" s="185" t="str">
        <f t="shared" si="58"/>
        <v>N/A</v>
      </c>
      <c r="GX69" s="185" t="str">
        <f t="shared" si="59"/>
        <v>N/A</v>
      </c>
      <c r="GY69" s="185" t="str">
        <f t="shared" si="60"/>
        <v>N/A</v>
      </c>
      <c r="GZ69" s="185" t="str">
        <f t="shared" si="61"/>
        <v>N/A</v>
      </c>
      <c r="HA69" s="185" t="str">
        <f t="shared" si="62"/>
        <v>N/A</v>
      </c>
      <c r="HB69" s="185" t="str">
        <f t="shared" si="63"/>
        <v>N/A</v>
      </c>
      <c r="HC69" s="185" t="str">
        <f t="shared" si="64"/>
        <v>N/A</v>
      </c>
      <c r="HD69" s="185" t="str">
        <f t="shared" si="65"/>
        <v>N/A</v>
      </c>
      <c r="HE69" s="185" t="str">
        <f t="shared" si="66"/>
        <v>N/A</v>
      </c>
      <c r="HF69" s="186">
        <f t="shared" si="67"/>
        <v>0</v>
      </c>
      <c r="HG69" s="186" t="e" cm="1">
        <f t="array" ref="HG69">INDEX($HB69:$HD69,MATCH(TRUE,INDEX(ISNUMBER($HB69:$HD69),0),0))</f>
        <v>#N/A</v>
      </c>
      <c r="HH69" s="187">
        <f t="shared" si="68"/>
        <v>0</v>
      </c>
      <c r="HI69" s="188">
        <f t="shared" si="69"/>
        <v>0</v>
      </c>
      <c r="HJ69" s="112">
        <f t="shared" si="70"/>
        <v>0</v>
      </c>
      <c r="HK69" s="207" t="str">
        <f t="shared" si="71"/>
        <v>0</v>
      </c>
    </row>
    <row r="70" spans="1:219" ht="15" customHeight="1" x14ac:dyDescent="0.3">
      <c r="A70" s="80">
        <v>4381318161</v>
      </c>
      <c r="B70" s="74" t="s">
        <v>220</v>
      </c>
      <c r="C70" s="74" t="s">
        <v>221</v>
      </c>
      <c r="D70" s="74" t="s">
        <v>220</v>
      </c>
      <c r="E70" s="80" t="s">
        <v>566</v>
      </c>
      <c r="F70" s="80" t="s">
        <v>350</v>
      </c>
      <c r="G70" s="80" t="s">
        <v>567</v>
      </c>
      <c r="H70" s="78">
        <v>44529</v>
      </c>
      <c r="I70" s="80" t="s">
        <v>568</v>
      </c>
      <c r="J70" s="80" t="s">
        <v>226</v>
      </c>
      <c r="K70" s="78" t="s">
        <v>227</v>
      </c>
      <c r="L70" s="80" t="s">
        <v>227</v>
      </c>
      <c r="M70" s="80" t="s">
        <v>227</v>
      </c>
      <c r="N70" s="80" t="s">
        <v>227</v>
      </c>
      <c r="O70" s="80" t="s">
        <v>227</v>
      </c>
      <c r="P70" s="80" t="s">
        <v>227</v>
      </c>
      <c r="Q70" s="80" t="s">
        <v>227</v>
      </c>
      <c r="R70" s="80" t="s">
        <v>227</v>
      </c>
      <c r="S70" s="80" t="s">
        <v>227</v>
      </c>
      <c r="T70" s="80" t="s">
        <v>227</v>
      </c>
      <c r="U70" s="80" t="s">
        <v>227</v>
      </c>
      <c r="V70" s="80" t="s">
        <v>227</v>
      </c>
      <c r="W70" s="80" t="s">
        <v>227</v>
      </c>
      <c r="X70" s="80" t="s">
        <v>227</v>
      </c>
      <c r="Y70" s="80" t="s">
        <v>227</v>
      </c>
      <c r="Z70" s="80" t="s">
        <v>227</v>
      </c>
      <c r="AA70" s="80" t="s">
        <v>227</v>
      </c>
      <c r="AB70" s="80" t="s">
        <v>227</v>
      </c>
      <c r="AC70" s="80" t="s">
        <v>227</v>
      </c>
      <c r="AD70" s="80" t="s">
        <v>227</v>
      </c>
      <c r="AE70" s="80" t="s">
        <v>227</v>
      </c>
      <c r="AF70" s="80" t="s">
        <v>227</v>
      </c>
      <c r="AG70" s="80" t="s">
        <v>227</v>
      </c>
      <c r="AH70" s="80" t="s">
        <v>227</v>
      </c>
      <c r="AI70" s="80" t="s">
        <v>227</v>
      </c>
      <c r="AJ70" s="80" t="s">
        <v>227</v>
      </c>
      <c r="AK70" s="80" t="s">
        <v>227</v>
      </c>
      <c r="AL70" s="80" t="s">
        <v>227</v>
      </c>
      <c r="AM70" s="80" t="s">
        <v>227</v>
      </c>
      <c r="AN70" s="80" t="s">
        <v>227</v>
      </c>
      <c r="AO70" s="80" t="s">
        <v>227</v>
      </c>
      <c r="AP70" s="80" t="s">
        <v>227</v>
      </c>
      <c r="AQ70" s="80" t="s">
        <v>228</v>
      </c>
      <c r="AR70" s="78">
        <v>15971</v>
      </c>
      <c r="AS70" s="78">
        <v>44488</v>
      </c>
      <c r="AT70" s="189">
        <f t="shared" si="47"/>
        <v>78</v>
      </c>
      <c r="AU70" s="164" t="s">
        <v>263</v>
      </c>
      <c r="AV70" s="74" t="s">
        <v>230</v>
      </c>
      <c r="AW70" s="74" t="s">
        <v>241</v>
      </c>
      <c r="AX70" s="80" t="s">
        <v>389</v>
      </c>
      <c r="AY70" s="80">
        <v>0</v>
      </c>
      <c r="AZ70" s="80" t="s">
        <v>232</v>
      </c>
      <c r="BA70" s="80">
        <v>0</v>
      </c>
      <c r="BB70" s="80" t="s">
        <v>569</v>
      </c>
      <c r="BC70" s="80">
        <v>3</v>
      </c>
      <c r="BD70" s="74" t="s">
        <v>243</v>
      </c>
      <c r="BE70" s="80" t="s">
        <v>530</v>
      </c>
      <c r="BF70" s="74" t="s">
        <v>220</v>
      </c>
      <c r="BG70" s="165" t="s">
        <v>227</v>
      </c>
      <c r="BH70" s="166" t="s">
        <v>227</v>
      </c>
      <c r="BI70" s="80" t="s">
        <v>227</v>
      </c>
      <c r="BJ70" s="78" t="s">
        <v>227</v>
      </c>
      <c r="BK70" s="78" t="s">
        <v>227</v>
      </c>
      <c r="BL70" s="80" t="s">
        <v>227</v>
      </c>
      <c r="BM70" s="166" t="s">
        <v>227</v>
      </c>
      <c r="BN70" s="80" t="s">
        <v>227</v>
      </c>
      <c r="BO70" s="80" t="s">
        <v>227</v>
      </c>
      <c r="BP70" s="166" t="s">
        <v>227</v>
      </c>
      <c r="BQ70" s="80" t="s">
        <v>227</v>
      </c>
      <c r="BR70" s="80" t="s">
        <v>227</v>
      </c>
      <c r="BS70" s="80" t="s">
        <v>227</v>
      </c>
      <c r="BT70" s="80" t="s">
        <v>227</v>
      </c>
      <c r="BU70" s="80" t="s">
        <v>227</v>
      </c>
      <c r="BV70" s="80" t="s">
        <v>227</v>
      </c>
      <c r="BW70" s="80" t="s">
        <v>227</v>
      </c>
      <c r="BX70" s="80" t="s">
        <v>227</v>
      </c>
      <c r="BY70" s="80" t="s">
        <v>227</v>
      </c>
      <c r="BZ70" s="80" t="s">
        <v>227</v>
      </c>
      <c r="CA70" s="80" t="s">
        <v>227</v>
      </c>
      <c r="CB70" s="80" t="s">
        <v>227</v>
      </c>
      <c r="CC70" s="80" t="s">
        <v>227</v>
      </c>
      <c r="CD70" s="80" t="s">
        <v>227</v>
      </c>
      <c r="CE70" s="80" t="s">
        <v>227</v>
      </c>
      <c r="CF70" s="80" t="s">
        <v>227</v>
      </c>
      <c r="CG70" s="80" t="s">
        <v>227</v>
      </c>
      <c r="CH70" s="80" t="s">
        <v>227</v>
      </c>
      <c r="CI70" s="80" t="s">
        <v>227</v>
      </c>
      <c r="CJ70" s="80" t="s">
        <v>227</v>
      </c>
      <c r="CK70" s="80" t="s">
        <v>227</v>
      </c>
      <c r="CL70" s="80" t="s">
        <v>227</v>
      </c>
      <c r="CM70" s="80" t="s">
        <v>227</v>
      </c>
      <c r="CN70" s="166" t="s">
        <v>227</v>
      </c>
      <c r="CO70" s="80" t="s">
        <v>227</v>
      </c>
      <c r="CP70" s="78" t="s">
        <v>227</v>
      </c>
      <c r="CQ70" s="78" t="s">
        <v>227</v>
      </c>
      <c r="CR70" s="80" t="s">
        <v>227</v>
      </c>
      <c r="CS70" s="166" t="s">
        <v>227</v>
      </c>
      <c r="CT70" s="80" t="s">
        <v>227</v>
      </c>
      <c r="CU70" s="80" t="s">
        <v>227</v>
      </c>
      <c r="CV70" s="166" t="s">
        <v>227</v>
      </c>
      <c r="CW70" s="80" t="s">
        <v>227</v>
      </c>
      <c r="CX70" s="80" t="s">
        <v>227</v>
      </c>
      <c r="CY70" s="80" t="s">
        <v>227</v>
      </c>
      <c r="CZ70" s="80" t="s">
        <v>227</v>
      </c>
      <c r="DA70" s="80" t="s">
        <v>227</v>
      </c>
      <c r="DB70" s="80" t="s">
        <v>227</v>
      </c>
      <c r="DC70" s="80" t="s">
        <v>227</v>
      </c>
      <c r="DD70" s="80" t="s">
        <v>227</v>
      </c>
      <c r="DE70" s="80" t="s">
        <v>227</v>
      </c>
      <c r="DF70" s="80" t="s">
        <v>227</v>
      </c>
      <c r="DG70" s="80" t="s">
        <v>227</v>
      </c>
      <c r="DH70" s="80" t="s">
        <v>227</v>
      </c>
      <c r="DI70" s="80" t="s">
        <v>227</v>
      </c>
      <c r="DJ70" s="80" t="s">
        <v>227</v>
      </c>
      <c r="DK70" s="80" t="s">
        <v>227</v>
      </c>
      <c r="DL70" s="80" t="s">
        <v>227</v>
      </c>
      <c r="DM70" s="80" t="s">
        <v>227</v>
      </c>
      <c r="DN70" s="80" t="s">
        <v>227</v>
      </c>
      <c r="DO70" s="80" t="s">
        <v>227</v>
      </c>
      <c r="DP70" s="80" t="s">
        <v>227</v>
      </c>
      <c r="DQ70" s="80" t="s">
        <v>227</v>
      </c>
      <c r="DR70" s="80" t="s">
        <v>227</v>
      </c>
      <c r="DS70" s="80" t="s">
        <v>227</v>
      </c>
      <c r="DT70" s="80" t="s">
        <v>227</v>
      </c>
      <c r="DU70" s="80" t="s">
        <v>227</v>
      </c>
      <c r="DV70" s="80" t="s">
        <v>227</v>
      </c>
      <c r="DW70" s="80" t="s">
        <v>227</v>
      </c>
      <c r="DX70" s="80" t="s">
        <v>227</v>
      </c>
      <c r="DY70" s="80" t="s">
        <v>227</v>
      </c>
      <c r="DZ70" s="80" t="s">
        <v>227</v>
      </c>
      <c r="EA70" s="80" t="s">
        <v>227</v>
      </c>
      <c r="EB70" s="80" t="s">
        <v>227</v>
      </c>
      <c r="EC70" s="80" t="s">
        <v>227</v>
      </c>
      <c r="ED70" s="80" t="s">
        <v>227</v>
      </c>
      <c r="EE70" s="80" t="s">
        <v>227</v>
      </c>
      <c r="EF70" s="80" t="s">
        <v>227</v>
      </c>
      <c r="EG70" s="80" t="s">
        <v>227</v>
      </c>
      <c r="EH70" s="80" t="s">
        <v>227</v>
      </c>
      <c r="EI70" s="78">
        <v>44559</v>
      </c>
      <c r="EJ70" s="80" t="s">
        <v>570</v>
      </c>
      <c r="EK70" s="166" t="s">
        <v>227</v>
      </c>
      <c r="EL70" s="80" t="s">
        <v>227</v>
      </c>
      <c r="EM70" s="78" t="s">
        <v>227</v>
      </c>
      <c r="EN70" s="78" t="s">
        <v>227</v>
      </c>
      <c r="EO70" s="80" t="s">
        <v>227</v>
      </c>
      <c r="EP70" s="166" t="s">
        <v>227</v>
      </c>
      <c r="EQ70" s="80" t="s">
        <v>227</v>
      </c>
      <c r="ER70" s="80" t="s">
        <v>227</v>
      </c>
      <c r="ES70" s="166" t="s">
        <v>227</v>
      </c>
      <c r="ET70" s="80" t="s">
        <v>227</v>
      </c>
      <c r="EU70" s="80" t="s">
        <v>227</v>
      </c>
      <c r="EV70" s="166" t="s">
        <v>227</v>
      </c>
      <c r="EW70" s="80" t="s">
        <v>227</v>
      </c>
      <c r="EX70" s="80" t="s">
        <v>227</v>
      </c>
      <c r="EY70" s="166" t="s">
        <v>227</v>
      </c>
      <c r="EZ70" s="80" t="s">
        <v>227</v>
      </c>
      <c r="FA70" s="80" t="s">
        <v>227</v>
      </c>
      <c r="FB70" s="147" t="s">
        <v>227</v>
      </c>
      <c r="FC70" s="80" t="s">
        <v>227</v>
      </c>
      <c r="FD70" s="80" t="s">
        <v>227</v>
      </c>
      <c r="FE70" s="80" t="s">
        <v>227</v>
      </c>
      <c r="FF70" s="80" t="s">
        <v>227</v>
      </c>
      <c r="FG70" s="80" t="s">
        <v>227</v>
      </c>
      <c r="FH70" s="80" t="s">
        <v>227</v>
      </c>
      <c r="FI70" s="80" t="s">
        <v>227</v>
      </c>
      <c r="FJ70" s="80" t="s">
        <v>227</v>
      </c>
      <c r="FK70" s="80" t="s">
        <v>227</v>
      </c>
      <c r="FL70" s="80" t="s">
        <v>227</v>
      </c>
      <c r="FM70" s="80" t="s">
        <v>227</v>
      </c>
      <c r="FN70" s="80" t="s">
        <v>227</v>
      </c>
      <c r="FO70" s="80" t="s">
        <v>227</v>
      </c>
      <c r="FP70" s="80" t="s">
        <v>227</v>
      </c>
      <c r="FQ70" s="80" t="s">
        <v>227</v>
      </c>
      <c r="FR70" s="80" t="s">
        <v>227</v>
      </c>
      <c r="FS70" s="80" t="s">
        <v>227</v>
      </c>
      <c r="FT70" s="80" t="s">
        <v>227</v>
      </c>
      <c r="FU70" s="80" t="s">
        <v>227</v>
      </c>
      <c r="FV70" s="80" t="s">
        <v>227</v>
      </c>
      <c r="FW70" s="80" t="s">
        <v>227</v>
      </c>
      <c r="FX70" s="80" t="s">
        <v>227</v>
      </c>
      <c r="FY70" s="80" t="s">
        <v>227</v>
      </c>
      <c r="FZ70" s="80" t="s">
        <v>227</v>
      </c>
      <c r="GA70" s="80" t="s">
        <v>227</v>
      </c>
      <c r="GB70" s="80" t="s">
        <v>227</v>
      </c>
      <c r="GC70" s="80" t="s">
        <v>227</v>
      </c>
      <c r="GD70" s="80" t="s">
        <v>227</v>
      </c>
      <c r="GE70" s="80" t="s">
        <v>227</v>
      </c>
      <c r="GF70" s="167" t="s">
        <v>236</v>
      </c>
      <c r="GG70" s="78">
        <v>44766</v>
      </c>
      <c r="GH70" s="74" t="s">
        <v>241</v>
      </c>
      <c r="GI70" s="80" t="s">
        <v>231</v>
      </c>
      <c r="GJ70" s="78">
        <v>44650</v>
      </c>
      <c r="GK70" s="78" t="s">
        <v>227</v>
      </c>
      <c r="GL70" s="78" t="s">
        <v>227</v>
      </c>
      <c r="GM70" s="159" t="str">
        <f t="shared" si="48"/>
        <v>N/A</v>
      </c>
      <c r="GN70" s="159" t="str">
        <f t="shared" si="49"/>
        <v>N/A</v>
      </c>
      <c r="GO70" s="159">
        <f t="shared" si="50"/>
        <v>1.3666666666666667</v>
      </c>
      <c r="GP70" s="159" t="str">
        <f t="shared" si="51"/>
        <v>N/A</v>
      </c>
      <c r="GQ70" s="159" t="str">
        <f t="shared" si="52"/>
        <v>N/A</v>
      </c>
      <c r="GR70" s="159" t="str">
        <f t="shared" si="53"/>
        <v>N/A</v>
      </c>
      <c r="GS70" s="159" t="str">
        <f t="shared" si="54"/>
        <v>N/A</v>
      </c>
      <c r="GT70" s="159" t="str">
        <f t="shared" si="55"/>
        <v>N/A</v>
      </c>
      <c r="GU70" s="159" t="str">
        <f t="shared" si="56"/>
        <v>N/A</v>
      </c>
      <c r="GV70" s="159" t="str">
        <f t="shared" si="57"/>
        <v>N/A</v>
      </c>
      <c r="GW70" s="159" t="str">
        <f t="shared" si="58"/>
        <v>N/A</v>
      </c>
      <c r="GX70" s="159" t="str">
        <f t="shared" si="59"/>
        <v>N/A</v>
      </c>
      <c r="GY70" s="159">
        <f t="shared" si="60"/>
        <v>2.3666666666666667</v>
      </c>
      <c r="GZ70" s="159" t="str">
        <f t="shared" si="61"/>
        <v>N/A</v>
      </c>
      <c r="HA70" s="159" t="str">
        <f t="shared" si="62"/>
        <v>N/A</v>
      </c>
      <c r="HB70" s="159">
        <f t="shared" si="63"/>
        <v>2.3666666666666667</v>
      </c>
      <c r="HC70" s="159">
        <f t="shared" si="64"/>
        <v>9.2666666666666675</v>
      </c>
      <c r="HD70" s="159">
        <f t="shared" si="65"/>
        <v>5.4</v>
      </c>
      <c r="HE70" s="159" t="str">
        <f t="shared" si="66"/>
        <v>N/A</v>
      </c>
      <c r="HF70" s="160">
        <f t="shared" si="67"/>
        <v>9.2666666666666675</v>
      </c>
      <c r="HG70" s="160" cm="1">
        <f t="array" ref="HG70">INDEX($HB70:$HD70,MATCH(TRUE,INDEX(ISNUMBER($HB70:$HD70),0),0))</f>
        <v>2.3666666666666667</v>
      </c>
      <c r="HH70" s="161">
        <f t="shared" si="68"/>
        <v>1</v>
      </c>
      <c r="HI70" s="86">
        <f t="shared" si="69"/>
        <v>1</v>
      </c>
      <c r="HJ70" s="111">
        <f t="shared" si="70"/>
        <v>1</v>
      </c>
      <c r="HK70" s="205" t="str">
        <f t="shared" si="71"/>
        <v>1</v>
      </c>
    </row>
    <row r="71" spans="1:219" ht="15" customHeight="1" x14ac:dyDescent="0.3">
      <c r="A71" s="80">
        <v>4583383061</v>
      </c>
      <c r="B71" s="74" t="s">
        <v>220</v>
      </c>
      <c r="C71" s="74" t="s">
        <v>221</v>
      </c>
      <c r="D71" s="74" t="s">
        <v>220</v>
      </c>
      <c r="E71" s="80" t="s">
        <v>571</v>
      </c>
      <c r="F71" s="80" t="s">
        <v>564</v>
      </c>
      <c r="G71" s="80" t="s">
        <v>239</v>
      </c>
      <c r="H71" s="78">
        <v>44536</v>
      </c>
      <c r="I71" s="80" t="s">
        <v>572</v>
      </c>
      <c r="J71" s="80" t="s">
        <v>226</v>
      </c>
      <c r="K71" s="78" t="s">
        <v>227</v>
      </c>
      <c r="L71" s="80" t="s">
        <v>227</v>
      </c>
      <c r="M71" s="80" t="s">
        <v>227</v>
      </c>
      <c r="N71" s="80" t="s">
        <v>227</v>
      </c>
      <c r="O71" s="80" t="s">
        <v>227</v>
      </c>
      <c r="P71" s="80" t="s">
        <v>227</v>
      </c>
      <c r="Q71" s="80" t="s">
        <v>227</v>
      </c>
      <c r="R71" s="80" t="s">
        <v>227</v>
      </c>
      <c r="S71" s="80" t="s">
        <v>227</v>
      </c>
      <c r="T71" s="80" t="s">
        <v>227</v>
      </c>
      <c r="U71" s="80" t="s">
        <v>227</v>
      </c>
      <c r="V71" s="80" t="s">
        <v>227</v>
      </c>
      <c r="W71" s="80" t="s">
        <v>227</v>
      </c>
      <c r="X71" s="80" t="s">
        <v>227</v>
      </c>
      <c r="Y71" s="80" t="s">
        <v>227</v>
      </c>
      <c r="Z71" s="80" t="s">
        <v>227</v>
      </c>
      <c r="AA71" s="80" t="s">
        <v>227</v>
      </c>
      <c r="AB71" s="80" t="s">
        <v>227</v>
      </c>
      <c r="AC71" s="80" t="s">
        <v>227</v>
      </c>
      <c r="AD71" s="80" t="s">
        <v>227</v>
      </c>
      <c r="AE71" s="80" t="s">
        <v>227</v>
      </c>
      <c r="AF71" s="80" t="s">
        <v>227</v>
      </c>
      <c r="AG71" s="80" t="s">
        <v>227</v>
      </c>
      <c r="AH71" s="80" t="s">
        <v>227</v>
      </c>
      <c r="AI71" s="80" t="s">
        <v>227</v>
      </c>
      <c r="AJ71" s="80" t="s">
        <v>227</v>
      </c>
      <c r="AK71" s="80" t="s">
        <v>227</v>
      </c>
      <c r="AL71" s="80" t="s">
        <v>227</v>
      </c>
      <c r="AM71" s="80" t="s">
        <v>227</v>
      </c>
      <c r="AN71" s="80" t="s">
        <v>227</v>
      </c>
      <c r="AO71" s="80" t="s">
        <v>227</v>
      </c>
      <c r="AP71" s="80" t="s">
        <v>227</v>
      </c>
      <c r="AQ71" s="80" t="s">
        <v>228</v>
      </c>
      <c r="AR71" s="78">
        <v>20474</v>
      </c>
      <c r="AS71" s="78">
        <v>44424</v>
      </c>
      <c r="AT71" s="189">
        <f t="shared" si="47"/>
        <v>65</v>
      </c>
      <c r="AU71" s="164" t="s">
        <v>285</v>
      </c>
      <c r="AV71" s="74" t="s">
        <v>230</v>
      </c>
      <c r="AW71" s="74" t="s">
        <v>241</v>
      </c>
      <c r="AX71" s="80" t="s">
        <v>309</v>
      </c>
      <c r="AY71" s="80" t="s">
        <v>232</v>
      </c>
      <c r="AZ71" s="80" t="s">
        <v>317</v>
      </c>
      <c r="BA71" s="80">
        <v>1</v>
      </c>
      <c r="BB71" s="80" t="s">
        <v>319</v>
      </c>
      <c r="BC71" s="80">
        <v>3</v>
      </c>
      <c r="BD71" s="74" t="s">
        <v>243</v>
      </c>
      <c r="BE71" s="157" t="s">
        <v>300</v>
      </c>
      <c r="BF71" s="74" t="s">
        <v>220</v>
      </c>
      <c r="BG71" s="80" t="s">
        <v>227</v>
      </c>
      <c r="BH71" s="80" t="s">
        <v>227</v>
      </c>
      <c r="BI71" s="80" t="s">
        <v>227</v>
      </c>
      <c r="BJ71" s="80" t="s">
        <v>227</v>
      </c>
      <c r="BK71" s="80" t="s">
        <v>227</v>
      </c>
      <c r="BL71" s="80" t="s">
        <v>227</v>
      </c>
      <c r="BM71" s="80" t="s">
        <v>227</v>
      </c>
      <c r="BN71" s="80" t="s">
        <v>227</v>
      </c>
      <c r="BO71" s="80" t="s">
        <v>227</v>
      </c>
      <c r="BP71" s="80" t="s">
        <v>227</v>
      </c>
      <c r="BQ71" s="80" t="s">
        <v>227</v>
      </c>
      <c r="BR71" s="80" t="s">
        <v>227</v>
      </c>
      <c r="BS71" s="80" t="s">
        <v>227</v>
      </c>
      <c r="BT71" s="80" t="s">
        <v>227</v>
      </c>
      <c r="BU71" s="80" t="s">
        <v>227</v>
      </c>
      <c r="BV71" s="80" t="s">
        <v>227</v>
      </c>
      <c r="BW71" s="80" t="s">
        <v>227</v>
      </c>
      <c r="BX71" s="80" t="s">
        <v>227</v>
      </c>
      <c r="BY71" s="80" t="s">
        <v>227</v>
      </c>
      <c r="BZ71" s="80" t="s">
        <v>227</v>
      </c>
      <c r="CA71" s="80" t="s">
        <v>227</v>
      </c>
      <c r="CB71" s="80" t="s">
        <v>227</v>
      </c>
      <c r="CC71" s="80" t="s">
        <v>227</v>
      </c>
      <c r="CD71" s="80" t="s">
        <v>227</v>
      </c>
      <c r="CE71" s="80" t="s">
        <v>227</v>
      </c>
      <c r="CF71" s="80" t="s">
        <v>227</v>
      </c>
      <c r="CG71" s="80" t="s">
        <v>227</v>
      </c>
      <c r="CH71" s="80" t="s">
        <v>227</v>
      </c>
      <c r="CI71" s="80" t="s">
        <v>227</v>
      </c>
      <c r="CJ71" s="80" t="s">
        <v>227</v>
      </c>
      <c r="CK71" s="80" t="s">
        <v>227</v>
      </c>
      <c r="CL71" s="80" t="s">
        <v>227</v>
      </c>
      <c r="CM71" s="80" t="s">
        <v>227</v>
      </c>
      <c r="CN71" s="166" t="s">
        <v>275</v>
      </c>
      <c r="CO71" s="80" t="s">
        <v>573</v>
      </c>
      <c r="CP71" s="78">
        <v>44582</v>
      </c>
      <c r="CQ71" s="78">
        <v>44796</v>
      </c>
      <c r="CR71" s="80" t="s">
        <v>248</v>
      </c>
      <c r="CS71" s="172" t="s">
        <v>275</v>
      </c>
      <c r="CT71" s="157" t="s">
        <v>276</v>
      </c>
      <c r="CU71" s="157" t="s">
        <v>227</v>
      </c>
      <c r="CV71" s="172" t="s">
        <v>275</v>
      </c>
      <c r="CW71" s="157" t="s">
        <v>574</v>
      </c>
      <c r="CX71" s="80" t="s">
        <v>227</v>
      </c>
      <c r="CY71" s="80" t="s">
        <v>227</v>
      </c>
      <c r="CZ71" s="80" t="s">
        <v>227</v>
      </c>
      <c r="DA71" s="80" t="s">
        <v>227</v>
      </c>
      <c r="DB71" s="80" t="s">
        <v>227</v>
      </c>
      <c r="DC71" s="80" t="s">
        <v>227</v>
      </c>
      <c r="DD71" s="80" t="s">
        <v>227</v>
      </c>
      <c r="DE71" s="80" t="s">
        <v>227</v>
      </c>
      <c r="DF71" s="80" t="s">
        <v>227</v>
      </c>
      <c r="DG71" s="80" t="s">
        <v>227</v>
      </c>
      <c r="DH71" s="80" t="s">
        <v>227</v>
      </c>
      <c r="DI71" s="80" t="s">
        <v>227</v>
      </c>
      <c r="DJ71" s="80" t="s">
        <v>227</v>
      </c>
      <c r="DK71" s="80" t="s">
        <v>227</v>
      </c>
      <c r="DL71" s="80" t="s">
        <v>227</v>
      </c>
      <c r="DM71" s="80" t="s">
        <v>227</v>
      </c>
      <c r="DN71" s="80" t="s">
        <v>227</v>
      </c>
      <c r="DO71" s="80" t="s">
        <v>227</v>
      </c>
      <c r="DP71" s="80" t="s">
        <v>227</v>
      </c>
      <c r="DQ71" s="80" t="s">
        <v>227</v>
      </c>
      <c r="DR71" s="80" t="s">
        <v>227</v>
      </c>
      <c r="DS71" s="80" t="s">
        <v>227</v>
      </c>
      <c r="DT71" s="80" t="s">
        <v>227</v>
      </c>
      <c r="DU71" s="80" t="s">
        <v>227</v>
      </c>
      <c r="DV71" s="80" t="s">
        <v>227</v>
      </c>
      <c r="DW71" s="80" t="s">
        <v>227</v>
      </c>
      <c r="DX71" s="80" t="s">
        <v>227</v>
      </c>
      <c r="DY71" s="80" t="s">
        <v>227</v>
      </c>
      <c r="DZ71" s="80" t="s">
        <v>227</v>
      </c>
      <c r="EA71" s="80" t="s">
        <v>227</v>
      </c>
      <c r="EB71" s="80" t="s">
        <v>227</v>
      </c>
      <c r="EC71" s="80" t="s">
        <v>227</v>
      </c>
      <c r="ED71" s="80" t="s">
        <v>227</v>
      </c>
      <c r="EE71" s="80" t="s">
        <v>227</v>
      </c>
      <c r="EF71" s="80" t="s">
        <v>227</v>
      </c>
      <c r="EG71" s="80" t="s">
        <v>227</v>
      </c>
      <c r="EH71" s="80" t="s">
        <v>227</v>
      </c>
      <c r="EI71" s="78" t="s">
        <v>227</v>
      </c>
      <c r="EJ71" s="80" t="s">
        <v>227</v>
      </c>
      <c r="EK71" s="166" t="s">
        <v>227</v>
      </c>
      <c r="EL71" s="80" t="s">
        <v>227</v>
      </c>
      <c r="EM71" s="78" t="s">
        <v>227</v>
      </c>
      <c r="EN71" s="78" t="s">
        <v>227</v>
      </c>
      <c r="EO71" s="80" t="s">
        <v>227</v>
      </c>
      <c r="EP71" s="166" t="s">
        <v>227</v>
      </c>
      <c r="EQ71" s="80" t="s">
        <v>227</v>
      </c>
      <c r="ER71" s="80" t="s">
        <v>227</v>
      </c>
      <c r="ES71" s="166" t="s">
        <v>227</v>
      </c>
      <c r="ET71" s="80" t="s">
        <v>227</v>
      </c>
      <c r="EU71" s="80" t="s">
        <v>227</v>
      </c>
      <c r="EV71" s="166" t="s">
        <v>227</v>
      </c>
      <c r="EW71" s="80" t="s">
        <v>227</v>
      </c>
      <c r="EX71" s="80" t="s">
        <v>227</v>
      </c>
      <c r="EY71" s="166" t="s">
        <v>227</v>
      </c>
      <c r="EZ71" s="80" t="s">
        <v>227</v>
      </c>
      <c r="FA71" s="80" t="s">
        <v>227</v>
      </c>
      <c r="FB71" s="147" t="s">
        <v>227</v>
      </c>
      <c r="FC71" s="80" t="s">
        <v>227</v>
      </c>
      <c r="FD71" s="80" t="s">
        <v>227</v>
      </c>
      <c r="FE71" s="80" t="s">
        <v>227</v>
      </c>
      <c r="FF71" s="80" t="s">
        <v>227</v>
      </c>
      <c r="FG71" s="80" t="s">
        <v>227</v>
      </c>
      <c r="FH71" s="80" t="s">
        <v>227</v>
      </c>
      <c r="FI71" s="80" t="s">
        <v>227</v>
      </c>
      <c r="FJ71" s="80" t="s">
        <v>227</v>
      </c>
      <c r="FK71" s="80" t="s">
        <v>227</v>
      </c>
      <c r="FL71" s="80" t="s">
        <v>227</v>
      </c>
      <c r="FM71" s="80" t="s">
        <v>227</v>
      </c>
      <c r="FN71" s="80" t="s">
        <v>227</v>
      </c>
      <c r="FO71" s="80" t="s">
        <v>227</v>
      </c>
      <c r="FP71" s="80" t="s">
        <v>227</v>
      </c>
      <c r="FQ71" s="80" t="s">
        <v>227</v>
      </c>
      <c r="FR71" s="80" t="s">
        <v>227</v>
      </c>
      <c r="FS71" s="80" t="s">
        <v>227</v>
      </c>
      <c r="FT71" s="80" t="s">
        <v>227</v>
      </c>
      <c r="FU71" s="80" t="s">
        <v>227</v>
      </c>
      <c r="FV71" s="80" t="s">
        <v>227</v>
      </c>
      <c r="FW71" s="80" t="s">
        <v>227</v>
      </c>
      <c r="FX71" s="80" t="s">
        <v>227</v>
      </c>
      <c r="FY71" s="80" t="s">
        <v>227</v>
      </c>
      <c r="FZ71" s="80" t="s">
        <v>227</v>
      </c>
      <c r="GA71" s="80" t="s">
        <v>227</v>
      </c>
      <c r="GB71" s="80" t="s">
        <v>227</v>
      </c>
      <c r="GC71" s="80" t="s">
        <v>227</v>
      </c>
      <c r="GD71" s="80" t="s">
        <v>227</v>
      </c>
      <c r="GE71" s="80" t="s">
        <v>227</v>
      </c>
      <c r="GF71" s="167" t="s">
        <v>312</v>
      </c>
      <c r="GG71" s="78" t="s">
        <v>227</v>
      </c>
      <c r="GH71" s="74" t="s">
        <v>227</v>
      </c>
      <c r="GI71" s="80" t="s">
        <v>227</v>
      </c>
      <c r="GJ71" s="78">
        <v>46076</v>
      </c>
      <c r="GK71" s="156">
        <v>46176</v>
      </c>
      <c r="GL71" s="156" t="s">
        <v>575</v>
      </c>
      <c r="GM71" s="159" t="str">
        <f t="shared" si="48"/>
        <v>N/A</v>
      </c>
      <c r="GN71" s="159" t="str">
        <f t="shared" si="49"/>
        <v>N/A</v>
      </c>
      <c r="GO71" s="159">
        <f t="shared" si="50"/>
        <v>3.7333333333333334</v>
      </c>
      <c r="GP71" s="159" t="str">
        <f t="shared" si="51"/>
        <v>N/A</v>
      </c>
      <c r="GQ71" s="159" t="str">
        <f t="shared" si="52"/>
        <v>N/A</v>
      </c>
      <c r="GR71" s="159" t="str">
        <f t="shared" si="53"/>
        <v>N/A</v>
      </c>
      <c r="GS71" s="159" t="str">
        <f t="shared" si="54"/>
        <v>N/A</v>
      </c>
      <c r="GT71" s="159" t="str">
        <f t="shared" si="55"/>
        <v>N/A</v>
      </c>
      <c r="GU71" s="159" t="str">
        <f t="shared" si="56"/>
        <v>N/A</v>
      </c>
      <c r="GV71" s="159" t="str">
        <f t="shared" si="57"/>
        <v>N/A</v>
      </c>
      <c r="GW71" s="159">
        <f t="shared" si="58"/>
        <v>5.2666666666666666</v>
      </c>
      <c r="GX71" s="159">
        <f t="shared" si="59"/>
        <v>12.4</v>
      </c>
      <c r="GY71" s="159" t="str">
        <f t="shared" si="60"/>
        <v>N/A</v>
      </c>
      <c r="GZ71" s="159" t="str">
        <f t="shared" si="61"/>
        <v>N/A</v>
      </c>
      <c r="HA71" s="159" t="str">
        <f t="shared" si="62"/>
        <v>N/A</v>
      </c>
      <c r="HB71" s="159" t="str">
        <f t="shared" si="63"/>
        <v>N/A</v>
      </c>
      <c r="HC71" s="159" t="str">
        <f t="shared" si="64"/>
        <v>N/A</v>
      </c>
      <c r="HD71" s="159">
        <f t="shared" si="65"/>
        <v>55.06666666666667</v>
      </c>
      <c r="HE71" s="159">
        <f t="shared" si="66"/>
        <v>58.4</v>
      </c>
      <c r="HF71" s="160">
        <f t="shared" si="67"/>
        <v>58.4</v>
      </c>
      <c r="HG71" s="160" cm="1">
        <f t="array" ref="HG71">INDEX($HB71:$HD71,MATCH(TRUE,INDEX(ISNUMBER($HB71:$HD71),0),0))</f>
        <v>55.06666666666667</v>
      </c>
      <c r="HH71" s="161">
        <f t="shared" si="68"/>
        <v>0</v>
      </c>
      <c r="HI71" s="86">
        <f t="shared" si="69"/>
        <v>0</v>
      </c>
      <c r="HJ71" s="111">
        <f t="shared" si="70"/>
        <v>0</v>
      </c>
      <c r="HK71" s="205" t="str">
        <f t="shared" si="71"/>
        <v>0</v>
      </c>
    </row>
    <row r="72" spans="1:219" ht="15" customHeight="1" x14ac:dyDescent="0.3">
      <c r="A72" s="80">
        <v>4482469521</v>
      </c>
      <c r="B72" s="74" t="s">
        <v>220</v>
      </c>
      <c r="C72" s="74" t="s">
        <v>221</v>
      </c>
      <c r="D72" s="74" t="s">
        <v>220</v>
      </c>
      <c r="E72" s="80" t="s">
        <v>576</v>
      </c>
      <c r="F72" s="80" t="s">
        <v>223</v>
      </c>
      <c r="G72" s="80" t="s">
        <v>271</v>
      </c>
      <c r="H72" s="78">
        <v>44540</v>
      </c>
      <c r="I72" s="80" t="s">
        <v>338</v>
      </c>
      <c r="J72" s="80" t="s">
        <v>577</v>
      </c>
      <c r="K72" s="78" t="s">
        <v>227</v>
      </c>
      <c r="L72" s="80" t="s">
        <v>227</v>
      </c>
      <c r="M72" s="80" t="s">
        <v>227</v>
      </c>
      <c r="N72" s="80" t="s">
        <v>227</v>
      </c>
      <c r="O72" s="80" t="s">
        <v>227</v>
      </c>
      <c r="P72" s="80" t="s">
        <v>227</v>
      </c>
      <c r="Q72" s="80" t="s">
        <v>227</v>
      </c>
      <c r="R72" s="80" t="s">
        <v>227</v>
      </c>
      <c r="S72" s="80" t="s">
        <v>227</v>
      </c>
      <c r="T72" s="80" t="s">
        <v>227</v>
      </c>
      <c r="U72" s="80" t="s">
        <v>227</v>
      </c>
      <c r="V72" s="80" t="s">
        <v>227</v>
      </c>
      <c r="W72" s="80" t="s">
        <v>227</v>
      </c>
      <c r="X72" s="80" t="s">
        <v>227</v>
      </c>
      <c r="Y72" s="80" t="s">
        <v>227</v>
      </c>
      <c r="Z72" s="80" t="s">
        <v>227</v>
      </c>
      <c r="AA72" s="80" t="s">
        <v>227</v>
      </c>
      <c r="AB72" s="80" t="s">
        <v>227</v>
      </c>
      <c r="AC72" s="80" t="s">
        <v>227</v>
      </c>
      <c r="AD72" s="80" t="s">
        <v>227</v>
      </c>
      <c r="AE72" s="80" t="s">
        <v>227</v>
      </c>
      <c r="AF72" s="80" t="s">
        <v>227</v>
      </c>
      <c r="AG72" s="80" t="s">
        <v>227</v>
      </c>
      <c r="AH72" s="80" t="s">
        <v>227</v>
      </c>
      <c r="AI72" s="80" t="s">
        <v>227</v>
      </c>
      <c r="AJ72" s="80" t="s">
        <v>227</v>
      </c>
      <c r="AK72" s="80" t="s">
        <v>227</v>
      </c>
      <c r="AL72" s="80" t="s">
        <v>227</v>
      </c>
      <c r="AM72" s="80" t="s">
        <v>227</v>
      </c>
      <c r="AN72" s="80" t="s">
        <v>227</v>
      </c>
      <c r="AO72" s="80" t="s">
        <v>227</v>
      </c>
      <c r="AP72" s="80" t="s">
        <v>227</v>
      </c>
      <c r="AQ72" s="80" t="s">
        <v>228</v>
      </c>
      <c r="AR72" s="78">
        <v>18903</v>
      </c>
      <c r="AS72" s="78">
        <v>44490</v>
      </c>
      <c r="AT72" s="189">
        <f t="shared" si="47"/>
        <v>70</v>
      </c>
      <c r="AU72" s="164" t="s">
        <v>229</v>
      </c>
      <c r="AV72" s="74" t="s">
        <v>230</v>
      </c>
      <c r="AW72" s="74" t="s">
        <v>241</v>
      </c>
      <c r="AX72" s="80">
        <v>2</v>
      </c>
      <c r="AY72" s="80">
        <v>0</v>
      </c>
      <c r="AZ72" s="80" t="s">
        <v>232</v>
      </c>
      <c r="BA72" s="80">
        <v>0</v>
      </c>
      <c r="BB72" s="80" t="s">
        <v>242</v>
      </c>
      <c r="BC72" s="80">
        <v>1</v>
      </c>
      <c r="BD72" s="74" t="s">
        <v>243</v>
      </c>
      <c r="BE72" s="80" t="s">
        <v>382</v>
      </c>
      <c r="BF72" s="74" t="s">
        <v>220</v>
      </c>
      <c r="BG72" s="80" t="s">
        <v>227</v>
      </c>
      <c r="BH72" s="80" t="s">
        <v>227</v>
      </c>
      <c r="BI72" s="80" t="s">
        <v>227</v>
      </c>
      <c r="BJ72" s="80" t="s">
        <v>227</v>
      </c>
      <c r="BK72" s="80" t="s">
        <v>227</v>
      </c>
      <c r="BL72" s="80" t="s">
        <v>227</v>
      </c>
      <c r="BM72" s="80" t="s">
        <v>227</v>
      </c>
      <c r="BN72" s="80" t="s">
        <v>227</v>
      </c>
      <c r="BO72" s="80" t="s">
        <v>227</v>
      </c>
      <c r="BP72" s="80" t="s">
        <v>227</v>
      </c>
      <c r="BQ72" s="80" t="s">
        <v>227</v>
      </c>
      <c r="BR72" s="80" t="s">
        <v>227</v>
      </c>
      <c r="BS72" s="80" t="s">
        <v>227</v>
      </c>
      <c r="BT72" s="80" t="s">
        <v>227</v>
      </c>
      <c r="BU72" s="80" t="s">
        <v>227</v>
      </c>
      <c r="BV72" s="80" t="s">
        <v>227</v>
      </c>
      <c r="BW72" s="80" t="s">
        <v>227</v>
      </c>
      <c r="BX72" s="80" t="s">
        <v>227</v>
      </c>
      <c r="BY72" s="80" t="s">
        <v>227</v>
      </c>
      <c r="BZ72" s="80" t="s">
        <v>227</v>
      </c>
      <c r="CA72" s="80" t="s">
        <v>227</v>
      </c>
      <c r="CB72" s="80" t="s">
        <v>227</v>
      </c>
      <c r="CC72" s="80" t="s">
        <v>227</v>
      </c>
      <c r="CD72" s="80" t="s">
        <v>227</v>
      </c>
      <c r="CE72" s="80" t="s">
        <v>227</v>
      </c>
      <c r="CF72" s="80" t="s">
        <v>227</v>
      </c>
      <c r="CG72" s="80" t="s">
        <v>227</v>
      </c>
      <c r="CH72" s="80" t="s">
        <v>227</v>
      </c>
      <c r="CI72" s="80" t="s">
        <v>227</v>
      </c>
      <c r="CJ72" s="80" t="s">
        <v>227</v>
      </c>
      <c r="CK72" s="80" t="s">
        <v>227</v>
      </c>
      <c r="CL72" s="80" t="s">
        <v>227</v>
      </c>
      <c r="CM72" s="80" t="s">
        <v>227</v>
      </c>
      <c r="CN72" s="166" t="s">
        <v>246</v>
      </c>
      <c r="CO72" s="80" t="s">
        <v>378</v>
      </c>
      <c r="CP72" s="78">
        <v>44621</v>
      </c>
      <c r="CQ72" s="78">
        <v>44628</v>
      </c>
      <c r="CR72" s="80" t="s">
        <v>227</v>
      </c>
      <c r="CS72" s="166" t="s">
        <v>227</v>
      </c>
      <c r="CT72" s="80" t="s">
        <v>227</v>
      </c>
      <c r="CU72" s="80" t="s">
        <v>227</v>
      </c>
      <c r="CV72" s="80" t="s">
        <v>227</v>
      </c>
      <c r="CW72" s="80" t="s">
        <v>227</v>
      </c>
      <c r="CX72" s="80" t="s">
        <v>227</v>
      </c>
      <c r="CY72" s="80" t="s">
        <v>227</v>
      </c>
      <c r="CZ72" s="80" t="s">
        <v>227</v>
      </c>
      <c r="DA72" s="80" t="s">
        <v>227</v>
      </c>
      <c r="DB72" s="80" t="s">
        <v>227</v>
      </c>
      <c r="DC72" s="80" t="s">
        <v>227</v>
      </c>
      <c r="DD72" s="80" t="s">
        <v>227</v>
      </c>
      <c r="DE72" s="80" t="s">
        <v>227</v>
      </c>
      <c r="DF72" s="80" t="s">
        <v>227</v>
      </c>
      <c r="DG72" s="80" t="s">
        <v>227</v>
      </c>
      <c r="DH72" s="80" t="s">
        <v>227</v>
      </c>
      <c r="DI72" s="80" t="s">
        <v>227</v>
      </c>
      <c r="DJ72" s="80" t="s">
        <v>227</v>
      </c>
      <c r="DK72" s="80" t="s">
        <v>227</v>
      </c>
      <c r="DL72" s="80" t="s">
        <v>227</v>
      </c>
      <c r="DM72" s="80" t="s">
        <v>227</v>
      </c>
      <c r="DN72" s="80" t="s">
        <v>227</v>
      </c>
      <c r="DO72" s="80" t="s">
        <v>227</v>
      </c>
      <c r="DP72" s="80" t="s">
        <v>227</v>
      </c>
      <c r="DQ72" s="80" t="s">
        <v>227</v>
      </c>
      <c r="DR72" s="80" t="s">
        <v>227</v>
      </c>
      <c r="DS72" s="80" t="s">
        <v>227</v>
      </c>
      <c r="DT72" s="80" t="s">
        <v>227</v>
      </c>
      <c r="DU72" s="80" t="s">
        <v>227</v>
      </c>
      <c r="DV72" s="80" t="s">
        <v>227</v>
      </c>
      <c r="DW72" s="80" t="s">
        <v>227</v>
      </c>
      <c r="DX72" s="80" t="s">
        <v>227</v>
      </c>
      <c r="DY72" s="80" t="s">
        <v>227</v>
      </c>
      <c r="DZ72" s="80" t="s">
        <v>227</v>
      </c>
      <c r="EA72" s="80" t="s">
        <v>227</v>
      </c>
      <c r="EB72" s="80" t="s">
        <v>227</v>
      </c>
      <c r="EC72" s="80" t="s">
        <v>227</v>
      </c>
      <c r="ED72" s="80" t="s">
        <v>227</v>
      </c>
      <c r="EE72" s="80" t="s">
        <v>227</v>
      </c>
      <c r="EF72" s="80" t="s">
        <v>227</v>
      </c>
      <c r="EG72" s="80" t="s">
        <v>227</v>
      </c>
      <c r="EH72" s="80" t="s">
        <v>227</v>
      </c>
      <c r="EI72" s="80" t="s">
        <v>227</v>
      </c>
      <c r="EJ72" s="80" t="s">
        <v>227</v>
      </c>
      <c r="EK72" s="80" t="s">
        <v>227</v>
      </c>
      <c r="EL72" s="80" t="s">
        <v>227</v>
      </c>
      <c r="EM72" s="80" t="s">
        <v>227</v>
      </c>
      <c r="EN72" s="80" t="s">
        <v>227</v>
      </c>
      <c r="EO72" s="80" t="s">
        <v>227</v>
      </c>
      <c r="EP72" s="80" t="s">
        <v>227</v>
      </c>
      <c r="EQ72" s="80" t="s">
        <v>227</v>
      </c>
      <c r="ER72" s="80" t="s">
        <v>227</v>
      </c>
      <c r="ES72" s="80" t="s">
        <v>227</v>
      </c>
      <c r="ET72" s="80" t="s">
        <v>227</v>
      </c>
      <c r="EU72" s="80" t="s">
        <v>227</v>
      </c>
      <c r="EV72" s="80" t="s">
        <v>227</v>
      </c>
      <c r="EW72" s="80" t="s">
        <v>227</v>
      </c>
      <c r="EX72" s="80" t="s">
        <v>227</v>
      </c>
      <c r="EY72" s="80" t="s">
        <v>227</v>
      </c>
      <c r="EZ72" s="80" t="s">
        <v>227</v>
      </c>
      <c r="FA72" s="80" t="s">
        <v>227</v>
      </c>
      <c r="FB72" s="147" t="s">
        <v>227</v>
      </c>
      <c r="FC72" s="80" t="s">
        <v>227</v>
      </c>
      <c r="FD72" s="80" t="s">
        <v>227</v>
      </c>
      <c r="FE72" s="80" t="s">
        <v>227</v>
      </c>
      <c r="FF72" s="80" t="s">
        <v>227</v>
      </c>
      <c r="FG72" s="80" t="s">
        <v>227</v>
      </c>
      <c r="FH72" s="80" t="s">
        <v>227</v>
      </c>
      <c r="FI72" s="80" t="s">
        <v>227</v>
      </c>
      <c r="FJ72" s="80" t="s">
        <v>227</v>
      </c>
      <c r="FK72" s="80" t="s">
        <v>227</v>
      </c>
      <c r="FL72" s="80" t="s">
        <v>227</v>
      </c>
      <c r="FM72" s="80" t="s">
        <v>227</v>
      </c>
      <c r="FN72" s="80" t="s">
        <v>227</v>
      </c>
      <c r="FO72" s="80" t="s">
        <v>227</v>
      </c>
      <c r="FP72" s="80" t="s">
        <v>227</v>
      </c>
      <c r="FQ72" s="80" t="s">
        <v>227</v>
      </c>
      <c r="FR72" s="80" t="s">
        <v>227</v>
      </c>
      <c r="FS72" s="80" t="s">
        <v>227</v>
      </c>
      <c r="FT72" s="80" t="s">
        <v>227</v>
      </c>
      <c r="FU72" s="80" t="s">
        <v>227</v>
      </c>
      <c r="FV72" s="80" t="s">
        <v>227</v>
      </c>
      <c r="FW72" s="80" t="s">
        <v>227</v>
      </c>
      <c r="FX72" s="80" t="s">
        <v>227</v>
      </c>
      <c r="FY72" s="80" t="s">
        <v>227</v>
      </c>
      <c r="FZ72" s="80" t="s">
        <v>227</v>
      </c>
      <c r="GA72" s="80" t="s">
        <v>227</v>
      </c>
      <c r="GB72" s="80" t="s">
        <v>227</v>
      </c>
      <c r="GC72" s="80" t="s">
        <v>227</v>
      </c>
      <c r="GD72" s="80" t="s">
        <v>227</v>
      </c>
      <c r="GE72" s="80" t="s">
        <v>227</v>
      </c>
      <c r="GF72" s="167" t="s">
        <v>312</v>
      </c>
      <c r="GG72" s="78" t="s">
        <v>227</v>
      </c>
      <c r="GH72" s="74" t="s">
        <v>227</v>
      </c>
      <c r="GI72" s="80" t="s">
        <v>227</v>
      </c>
      <c r="GJ72" s="78">
        <v>46008</v>
      </c>
      <c r="GK72" s="156">
        <v>46128</v>
      </c>
      <c r="GL72" s="78" t="s">
        <v>227</v>
      </c>
      <c r="GM72" s="159" t="str">
        <f t="shared" si="48"/>
        <v>N/A</v>
      </c>
      <c r="GN72" s="159" t="str">
        <f t="shared" si="49"/>
        <v>N/A</v>
      </c>
      <c r="GO72" s="159">
        <f t="shared" si="50"/>
        <v>1.6666666666666667</v>
      </c>
      <c r="GP72" s="159" t="str">
        <f t="shared" si="51"/>
        <v>N/A</v>
      </c>
      <c r="GQ72" s="159" t="str">
        <f t="shared" si="52"/>
        <v>N/A</v>
      </c>
      <c r="GR72" s="159" t="str">
        <f t="shared" si="53"/>
        <v>N/A</v>
      </c>
      <c r="GS72" s="159" t="str">
        <f t="shared" si="54"/>
        <v>N/A</v>
      </c>
      <c r="GT72" s="159" t="str">
        <f t="shared" si="55"/>
        <v>N/A</v>
      </c>
      <c r="GU72" s="159" t="str">
        <f t="shared" si="56"/>
        <v>N/A</v>
      </c>
      <c r="GV72" s="159" t="str">
        <f t="shared" si="57"/>
        <v>N/A</v>
      </c>
      <c r="GW72" s="159">
        <f t="shared" si="58"/>
        <v>4.3666666666666663</v>
      </c>
      <c r="GX72" s="159">
        <f t="shared" si="59"/>
        <v>4.5999999999999996</v>
      </c>
      <c r="GY72" s="159" t="str">
        <f t="shared" si="60"/>
        <v>N/A</v>
      </c>
      <c r="GZ72" s="159" t="str">
        <f t="shared" si="61"/>
        <v>N/A</v>
      </c>
      <c r="HA72" s="159" t="str">
        <f t="shared" si="62"/>
        <v>N/A</v>
      </c>
      <c r="HB72" s="159" t="str">
        <f t="shared" si="63"/>
        <v>N/A</v>
      </c>
      <c r="HC72" s="159" t="str">
        <f t="shared" si="64"/>
        <v>N/A</v>
      </c>
      <c r="HD72" s="159">
        <f t="shared" si="65"/>
        <v>50.6</v>
      </c>
      <c r="HE72" s="159">
        <f t="shared" si="66"/>
        <v>54.6</v>
      </c>
      <c r="HF72" s="160">
        <f t="shared" si="67"/>
        <v>54.6</v>
      </c>
      <c r="HG72" s="160" cm="1">
        <f t="array" ref="HG72">INDEX($HB72:$HD72,MATCH(TRUE,INDEX(ISNUMBER($HB72:$HD72),0),0))</f>
        <v>50.6</v>
      </c>
      <c r="HH72" s="161">
        <f t="shared" si="68"/>
        <v>0</v>
      </c>
      <c r="HI72" s="86">
        <f t="shared" si="69"/>
        <v>0</v>
      </c>
      <c r="HJ72" s="111">
        <f t="shared" si="70"/>
        <v>0</v>
      </c>
      <c r="HK72" s="205" t="str">
        <f t="shared" si="71"/>
        <v>0</v>
      </c>
    </row>
    <row r="73" spans="1:219" ht="15" customHeight="1" x14ac:dyDescent="0.3">
      <c r="A73" s="80">
        <v>4504894297</v>
      </c>
      <c r="B73" s="74" t="s">
        <v>220</v>
      </c>
      <c r="C73" s="74" t="s">
        <v>221</v>
      </c>
      <c r="D73" s="74" t="s">
        <v>220</v>
      </c>
      <c r="E73" s="80" t="s">
        <v>578</v>
      </c>
      <c r="F73" s="80" t="s">
        <v>337</v>
      </c>
      <c r="G73" s="80" t="s">
        <v>227</v>
      </c>
      <c r="H73" s="78">
        <v>44550</v>
      </c>
      <c r="I73" s="157" t="s">
        <v>369</v>
      </c>
      <c r="J73" s="80" t="s">
        <v>226</v>
      </c>
      <c r="K73" s="78" t="s">
        <v>227</v>
      </c>
      <c r="L73" s="80" t="s">
        <v>227</v>
      </c>
      <c r="M73" s="80" t="s">
        <v>227</v>
      </c>
      <c r="N73" s="80" t="s">
        <v>227</v>
      </c>
      <c r="O73" s="80" t="s">
        <v>227</v>
      </c>
      <c r="P73" s="80" t="s">
        <v>227</v>
      </c>
      <c r="Q73" s="80" t="s">
        <v>227</v>
      </c>
      <c r="R73" s="80" t="s">
        <v>227</v>
      </c>
      <c r="S73" s="80" t="s">
        <v>227</v>
      </c>
      <c r="T73" s="80" t="s">
        <v>227</v>
      </c>
      <c r="U73" s="80" t="s">
        <v>227</v>
      </c>
      <c r="V73" s="80" t="s">
        <v>227</v>
      </c>
      <c r="W73" s="80" t="s">
        <v>227</v>
      </c>
      <c r="X73" s="80" t="s">
        <v>227</v>
      </c>
      <c r="Y73" s="80" t="s">
        <v>227</v>
      </c>
      <c r="Z73" s="80" t="s">
        <v>227</v>
      </c>
      <c r="AA73" s="80" t="s">
        <v>227</v>
      </c>
      <c r="AB73" s="80" t="s">
        <v>227</v>
      </c>
      <c r="AC73" s="80" t="s">
        <v>227</v>
      </c>
      <c r="AD73" s="80" t="s">
        <v>227</v>
      </c>
      <c r="AE73" s="80" t="s">
        <v>227</v>
      </c>
      <c r="AF73" s="80" t="s">
        <v>227</v>
      </c>
      <c r="AG73" s="80" t="s">
        <v>227</v>
      </c>
      <c r="AH73" s="80" t="s">
        <v>227</v>
      </c>
      <c r="AI73" s="80" t="s">
        <v>227</v>
      </c>
      <c r="AJ73" s="80" t="s">
        <v>227</v>
      </c>
      <c r="AK73" s="80" t="s">
        <v>227</v>
      </c>
      <c r="AL73" s="80" t="s">
        <v>227</v>
      </c>
      <c r="AM73" s="80" t="s">
        <v>227</v>
      </c>
      <c r="AN73" s="80" t="s">
        <v>227</v>
      </c>
      <c r="AO73" s="80" t="s">
        <v>227</v>
      </c>
      <c r="AP73" s="80" t="s">
        <v>227</v>
      </c>
      <c r="AQ73" s="80" t="s">
        <v>228</v>
      </c>
      <c r="AR73" s="78">
        <v>18395</v>
      </c>
      <c r="AS73" s="78">
        <v>44512</v>
      </c>
      <c r="AT73" s="189">
        <f t="shared" si="47"/>
        <v>71</v>
      </c>
      <c r="AU73" s="164" t="s">
        <v>229</v>
      </c>
      <c r="AV73" s="74" t="s">
        <v>230</v>
      </c>
      <c r="AW73" s="74" t="s">
        <v>241</v>
      </c>
      <c r="AX73" s="80" t="s">
        <v>309</v>
      </c>
      <c r="AY73" s="80" t="s">
        <v>232</v>
      </c>
      <c r="AZ73" s="80" t="s">
        <v>232</v>
      </c>
      <c r="BA73" s="80">
        <v>0</v>
      </c>
      <c r="BB73" s="157" t="s">
        <v>310</v>
      </c>
      <c r="BC73" s="80">
        <v>1</v>
      </c>
      <c r="BD73" s="74" t="s">
        <v>243</v>
      </c>
      <c r="BE73" s="80" t="s">
        <v>347</v>
      </c>
      <c r="BF73" s="74" t="s">
        <v>220</v>
      </c>
      <c r="BG73" s="80" t="s">
        <v>227</v>
      </c>
      <c r="BH73" s="80" t="s">
        <v>227</v>
      </c>
      <c r="BI73" s="80" t="s">
        <v>227</v>
      </c>
      <c r="BJ73" s="80" t="s">
        <v>227</v>
      </c>
      <c r="BK73" s="80" t="s">
        <v>227</v>
      </c>
      <c r="BL73" s="80" t="s">
        <v>227</v>
      </c>
      <c r="BM73" s="80" t="s">
        <v>227</v>
      </c>
      <c r="BN73" s="80" t="s">
        <v>227</v>
      </c>
      <c r="BO73" s="80" t="s">
        <v>227</v>
      </c>
      <c r="BP73" s="80" t="s">
        <v>227</v>
      </c>
      <c r="BQ73" s="80" t="s">
        <v>227</v>
      </c>
      <c r="BR73" s="80" t="s">
        <v>227</v>
      </c>
      <c r="BS73" s="80" t="s">
        <v>227</v>
      </c>
      <c r="BT73" s="80" t="s">
        <v>227</v>
      </c>
      <c r="BU73" s="80" t="s">
        <v>227</v>
      </c>
      <c r="BV73" s="80" t="s">
        <v>227</v>
      </c>
      <c r="BW73" s="80" t="s">
        <v>227</v>
      </c>
      <c r="BX73" s="80" t="s">
        <v>227</v>
      </c>
      <c r="BY73" s="80" t="s">
        <v>227</v>
      </c>
      <c r="BZ73" s="80" t="s">
        <v>227</v>
      </c>
      <c r="CA73" s="80" t="s">
        <v>227</v>
      </c>
      <c r="CB73" s="80" t="s">
        <v>227</v>
      </c>
      <c r="CC73" s="80" t="s">
        <v>227</v>
      </c>
      <c r="CD73" s="80" t="s">
        <v>227</v>
      </c>
      <c r="CE73" s="80" t="s">
        <v>227</v>
      </c>
      <c r="CF73" s="80" t="s">
        <v>227</v>
      </c>
      <c r="CG73" s="80" t="s">
        <v>227</v>
      </c>
      <c r="CH73" s="80" t="s">
        <v>227</v>
      </c>
      <c r="CI73" s="80" t="s">
        <v>227</v>
      </c>
      <c r="CJ73" s="80" t="s">
        <v>227</v>
      </c>
      <c r="CK73" s="80" t="s">
        <v>227</v>
      </c>
      <c r="CL73" s="80" t="s">
        <v>227</v>
      </c>
      <c r="CM73" s="80" t="s">
        <v>227</v>
      </c>
      <c r="CN73" s="166" t="s">
        <v>227</v>
      </c>
      <c r="CO73" s="80" t="s">
        <v>227</v>
      </c>
      <c r="CP73" s="80" t="s">
        <v>227</v>
      </c>
      <c r="CQ73" s="80" t="s">
        <v>227</v>
      </c>
      <c r="CR73" s="80" t="s">
        <v>227</v>
      </c>
      <c r="CS73" s="80" t="s">
        <v>227</v>
      </c>
      <c r="CT73" s="80" t="s">
        <v>227</v>
      </c>
      <c r="CU73" s="80" t="s">
        <v>227</v>
      </c>
      <c r="CV73" s="80" t="s">
        <v>227</v>
      </c>
      <c r="CW73" s="80" t="s">
        <v>227</v>
      </c>
      <c r="CX73" s="80" t="s">
        <v>227</v>
      </c>
      <c r="CY73" s="80" t="s">
        <v>227</v>
      </c>
      <c r="CZ73" s="80" t="s">
        <v>227</v>
      </c>
      <c r="DA73" s="80" t="s">
        <v>227</v>
      </c>
      <c r="DB73" s="80" t="s">
        <v>227</v>
      </c>
      <c r="DC73" s="80" t="s">
        <v>227</v>
      </c>
      <c r="DD73" s="80" t="s">
        <v>227</v>
      </c>
      <c r="DE73" s="80" t="s">
        <v>227</v>
      </c>
      <c r="DF73" s="80" t="s">
        <v>227</v>
      </c>
      <c r="DG73" s="80" t="s">
        <v>227</v>
      </c>
      <c r="DH73" s="80" t="s">
        <v>227</v>
      </c>
      <c r="DI73" s="80" t="s">
        <v>227</v>
      </c>
      <c r="DJ73" s="80" t="s">
        <v>227</v>
      </c>
      <c r="DK73" s="80" t="s">
        <v>227</v>
      </c>
      <c r="DL73" s="80" t="s">
        <v>227</v>
      </c>
      <c r="DM73" s="80" t="s">
        <v>227</v>
      </c>
      <c r="DN73" s="80" t="s">
        <v>227</v>
      </c>
      <c r="DO73" s="80" t="s">
        <v>227</v>
      </c>
      <c r="DP73" s="80" t="s">
        <v>227</v>
      </c>
      <c r="DQ73" s="80" t="s">
        <v>227</v>
      </c>
      <c r="DR73" s="80" t="s">
        <v>227</v>
      </c>
      <c r="DS73" s="80" t="s">
        <v>227</v>
      </c>
      <c r="DT73" s="80" t="s">
        <v>227</v>
      </c>
      <c r="DU73" s="80" t="s">
        <v>227</v>
      </c>
      <c r="DV73" s="80" t="s">
        <v>227</v>
      </c>
      <c r="DW73" s="80" t="s">
        <v>227</v>
      </c>
      <c r="DX73" s="80" t="s">
        <v>227</v>
      </c>
      <c r="DY73" s="80" t="s">
        <v>227</v>
      </c>
      <c r="DZ73" s="80" t="s">
        <v>227</v>
      </c>
      <c r="EA73" s="80" t="s">
        <v>227</v>
      </c>
      <c r="EB73" s="80" t="s">
        <v>227</v>
      </c>
      <c r="EC73" s="80" t="s">
        <v>227</v>
      </c>
      <c r="ED73" s="80" t="s">
        <v>227</v>
      </c>
      <c r="EE73" s="80" t="s">
        <v>227</v>
      </c>
      <c r="EF73" s="80" t="s">
        <v>227</v>
      </c>
      <c r="EG73" s="80" t="s">
        <v>227</v>
      </c>
      <c r="EH73" s="80" t="s">
        <v>227</v>
      </c>
      <c r="EI73" s="80" t="s">
        <v>227</v>
      </c>
      <c r="EJ73" s="80" t="s">
        <v>227</v>
      </c>
      <c r="EK73" s="80" t="s">
        <v>227</v>
      </c>
      <c r="EL73" s="80" t="s">
        <v>227</v>
      </c>
      <c r="EM73" s="80" t="s">
        <v>227</v>
      </c>
      <c r="EN73" s="80" t="s">
        <v>227</v>
      </c>
      <c r="EO73" s="80" t="s">
        <v>227</v>
      </c>
      <c r="EP73" s="80" t="s">
        <v>227</v>
      </c>
      <c r="EQ73" s="80" t="s">
        <v>227</v>
      </c>
      <c r="ER73" s="80" t="s">
        <v>227</v>
      </c>
      <c r="ES73" s="80" t="s">
        <v>227</v>
      </c>
      <c r="ET73" s="80" t="s">
        <v>227</v>
      </c>
      <c r="EU73" s="80" t="s">
        <v>227</v>
      </c>
      <c r="EV73" s="80" t="s">
        <v>227</v>
      </c>
      <c r="EW73" s="80" t="s">
        <v>227</v>
      </c>
      <c r="EX73" s="80" t="s">
        <v>227</v>
      </c>
      <c r="EY73" s="80" t="s">
        <v>227</v>
      </c>
      <c r="EZ73" s="80" t="s">
        <v>227</v>
      </c>
      <c r="FA73" s="80" t="s">
        <v>227</v>
      </c>
      <c r="FB73" s="147" t="s">
        <v>227</v>
      </c>
      <c r="FC73" s="80" t="s">
        <v>227</v>
      </c>
      <c r="FD73" s="80" t="s">
        <v>227</v>
      </c>
      <c r="FE73" s="80" t="s">
        <v>227</v>
      </c>
      <c r="FF73" s="80" t="s">
        <v>227</v>
      </c>
      <c r="FG73" s="80" t="s">
        <v>227</v>
      </c>
      <c r="FH73" s="80" t="s">
        <v>227</v>
      </c>
      <c r="FI73" s="80" t="s">
        <v>227</v>
      </c>
      <c r="FJ73" s="80" t="s">
        <v>227</v>
      </c>
      <c r="FK73" s="80" t="s">
        <v>227</v>
      </c>
      <c r="FL73" s="80" t="s">
        <v>227</v>
      </c>
      <c r="FM73" s="80" t="s">
        <v>227</v>
      </c>
      <c r="FN73" s="80" t="s">
        <v>227</v>
      </c>
      <c r="FO73" s="80" t="s">
        <v>227</v>
      </c>
      <c r="FP73" s="80" t="s">
        <v>227</v>
      </c>
      <c r="FQ73" s="80" t="s">
        <v>227</v>
      </c>
      <c r="FR73" s="80" t="s">
        <v>227</v>
      </c>
      <c r="FS73" s="80" t="s">
        <v>227</v>
      </c>
      <c r="FT73" s="80" t="s">
        <v>227</v>
      </c>
      <c r="FU73" s="80" t="s">
        <v>227</v>
      </c>
      <c r="FV73" s="80" t="s">
        <v>227</v>
      </c>
      <c r="FW73" s="80" t="s">
        <v>227</v>
      </c>
      <c r="FX73" s="80" t="s">
        <v>227</v>
      </c>
      <c r="FY73" s="80" t="s">
        <v>227</v>
      </c>
      <c r="FZ73" s="80" t="s">
        <v>227</v>
      </c>
      <c r="GA73" s="80" t="s">
        <v>227</v>
      </c>
      <c r="GB73" s="80" t="s">
        <v>227</v>
      </c>
      <c r="GC73" s="80" t="s">
        <v>227</v>
      </c>
      <c r="GD73" s="80" t="s">
        <v>227</v>
      </c>
      <c r="GE73" s="80" t="s">
        <v>227</v>
      </c>
      <c r="GF73" s="167" t="s">
        <v>312</v>
      </c>
      <c r="GG73" s="78" t="s">
        <v>227</v>
      </c>
      <c r="GH73" s="74" t="s">
        <v>227</v>
      </c>
      <c r="GI73" s="80" t="s">
        <v>227</v>
      </c>
      <c r="GJ73" s="78">
        <v>45191</v>
      </c>
      <c r="GK73" s="156">
        <v>46174</v>
      </c>
      <c r="GL73" s="78" t="s">
        <v>227</v>
      </c>
      <c r="GM73" s="159" t="str">
        <f t="shared" si="48"/>
        <v>N/A</v>
      </c>
      <c r="GN73" s="159" t="str">
        <f t="shared" si="49"/>
        <v>N/A</v>
      </c>
      <c r="GO73" s="159">
        <f t="shared" si="50"/>
        <v>1.2666666666666666</v>
      </c>
      <c r="GP73" s="159" t="str">
        <f t="shared" si="51"/>
        <v>N/A</v>
      </c>
      <c r="GQ73" s="159" t="str">
        <f t="shared" si="52"/>
        <v>N/A</v>
      </c>
      <c r="GR73" s="159" t="str">
        <f t="shared" si="53"/>
        <v>N/A</v>
      </c>
      <c r="GS73" s="159" t="str">
        <f t="shared" si="54"/>
        <v>N/A</v>
      </c>
      <c r="GT73" s="159" t="str">
        <f t="shared" si="55"/>
        <v>N/A</v>
      </c>
      <c r="GU73" s="159" t="str">
        <f t="shared" si="56"/>
        <v>N/A</v>
      </c>
      <c r="GV73" s="159" t="str">
        <f t="shared" si="57"/>
        <v>N/A</v>
      </c>
      <c r="GW73" s="159" t="str">
        <f t="shared" si="58"/>
        <v>N/A</v>
      </c>
      <c r="GX73" s="159" t="str">
        <f t="shared" si="59"/>
        <v>N/A</v>
      </c>
      <c r="GY73" s="159" t="str">
        <f t="shared" si="60"/>
        <v>N/A</v>
      </c>
      <c r="GZ73" s="159" t="str">
        <f t="shared" si="61"/>
        <v>N/A</v>
      </c>
      <c r="HA73" s="159" t="str">
        <f t="shared" si="62"/>
        <v>N/A</v>
      </c>
      <c r="HB73" s="159" t="str">
        <f t="shared" si="63"/>
        <v>N/A</v>
      </c>
      <c r="HC73" s="159" t="str">
        <f t="shared" si="64"/>
        <v>N/A</v>
      </c>
      <c r="HD73" s="159">
        <f t="shared" si="65"/>
        <v>22.633333333333333</v>
      </c>
      <c r="HE73" s="159">
        <f t="shared" si="66"/>
        <v>55.4</v>
      </c>
      <c r="HF73" s="160">
        <f t="shared" si="67"/>
        <v>55.4</v>
      </c>
      <c r="HG73" s="160" cm="1">
        <f t="array" ref="HG73">INDEX($HB73:$HD73,MATCH(TRUE,INDEX(ISNUMBER($HB73:$HD73),0),0))</f>
        <v>22.633333333333333</v>
      </c>
      <c r="HH73" s="161">
        <f t="shared" si="68"/>
        <v>0</v>
      </c>
      <c r="HI73" s="86">
        <f t="shared" si="69"/>
        <v>0</v>
      </c>
      <c r="HJ73" s="111">
        <f t="shared" si="70"/>
        <v>0</v>
      </c>
      <c r="HK73" s="205" t="str">
        <f t="shared" si="71"/>
        <v>0</v>
      </c>
    </row>
    <row r="74" spans="1:219" ht="15" customHeight="1" x14ac:dyDescent="0.3">
      <c r="A74" s="80">
        <v>4505659534</v>
      </c>
      <c r="B74" s="74" t="s">
        <v>241</v>
      </c>
      <c r="C74" s="74" t="s">
        <v>221</v>
      </c>
      <c r="D74" s="74" t="s">
        <v>220</v>
      </c>
      <c r="E74" s="80" t="s">
        <v>579</v>
      </c>
      <c r="F74" s="80" t="s">
        <v>337</v>
      </c>
      <c r="G74" s="80" t="s">
        <v>374</v>
      </c>
      <c r="H74" s="78">
        <v>44550</v>
      </c>
      <c r="I74" s="80" t="s">
        <v>430</v>
      </c>
      <c r="J74" s="80" t="s">
        <v>226</v>
      </c>
      <c r="K74" s="78" t="s">
        <v>227</v>
      </c>
      <c r="L74" s="80" t="s">
        <v>227</v>
      </c>
      <c r="M74" s="80" t="s">
        <v>227</v>
      </c>
      <c r="N74" s="80" t="s">
        <v>227</v>
      </c>
      <c r="O74" s="80" t="s">
        <v>227</v>
      </c>
      <c r="P74" s="80" t="s">
        <v>227</v>
      </c>
      <c r="Q74" s="80" t="s">
        <v>227</v>
      </c>
      <c r="R74" s="80" t="s">
        <v>227</v>
      </c>
      <c r="S74" s="80" t="s">
        <v>227</v>
      </c>
      <c r="T74" s="80" t="s">
        <v>227</v>
      </c>
      <c r="U74" s="80" t="s">
        <v>227</v>
      </c>
      <c r="V74" s="80" t="s">
        <v>227</v>
      </c>
      <c r="W74" s="80" t="s">
        <v>227</v>
      </c>
      <c r="X74" s="80" t="s">
        <v>227</v>
      </c>
      <c r="Y74" s="80" t="s">
        <v>227</v>
      </c>
      <c r="Z74" s="80" t="s">
        <v>227</v>
      </c>
      <c r="AA74" s="80" t="s">
        <v>227</v>
      </c>
      <c r="AB74" s="80" t="s">
        <v>227</v>
      </c>
      <c r="AC74" s="80" t="s">
        <v>227</v>
      </c>
      <c r="AD74" s="80" t="s">
        <v>227</v>
      </c>
      <c r="AE74" s="80" t="s">
        <v>227</v>
      </c>
      <c r="AF74" s="80" t="s">
        <v>227</v>
      </c>
      <c r="AG74" s="80" t="s">
        <v>227</v>
      </c>
      <c r="AH74" s="80" t="s">
        <v>227</v>
      </c>
      <c r="AI74" s="80" t="s">
        <v>227</v>
      </c>
      <c r="AJ74" s="80" t="s">
        <v>227</v>
      </c>
      <c r="AK74" s="80" t="s">
        <v>227</v>
      </c>
      <c r="AL74" s="80" t="s">
        <v>227</v>
      </c>
      <c r="AM74" s="80" t="s">
        <v>227</v>
      </c>
      <c r="AN74" s="80" t="s">
        <v>227</v>
      </c>
      <c r="AO74" s="80" t="s">
        <v>227</v>
      </c>
      <c r="AP74" s="80" t="s">
        <v>227</v>
      </c>
      <c r="AQ74" s="80" t="s">
        <v>228</v>
      </c>
      <c r="AR74" s="78">
        <v>19846</v>
      </c>
      <c r="AS74" s="78">
        <v>44488</v>
      </c>
      <c r="AT74" s="189">
        <f t="shared" si="47"/>
        <v>67</v>
      </c>
      <c r="AU74" s="164" t="s">
        <v>229</v>
      </c>
      <c r="AV74" s="74" t="s">
        <v>230</v>
      </c>
      <c r="AW74" s="74" t="s">
        <v>241</v>
      </c>
      <c r="AX74" s="80" t="s">
        <v>264</v>
      </c>
      <c r="AY74" s="80">
        <v>0</v>
      </c>
      <c r="AZ74" s="80" t="s">
        <v>232</v>
      </c>
      <c r="BA74" s="80">
        <v>0</v>
      </c>
      <c r="BB74" s="80" t="s">
        <v>265</v>
      </c>
      <c r="BC74" s="80">
        <v>3</v>
      </c>
      <c r="BD74" s="74" t="s">
        <v>243</v>
      </c>
      <c r="BE74" s="80" t="s">
        <v>244</v>
      </c>
      <c r="BF74" s="74" t="s">
        <v>220</v>
      </c>
      <c r="BG74" s="80" t="s">
        <v>227</v>
      </c>
      <c r="BH74" s="80" t="s">
        <v>227</v>
      </c>
      <c r="BI74" s="80" t="s">
        <v>227</v>
      </c>
      <c r="BJ74" s="80" t="s">
        <v>227</v>
      </c>
      <c r="BK74" s="80" t="s">
        <v>227</v>
      </c>
      <c r="BL74" s="80" t="s">
        <v>227</v>
      </c>
      <c r="BM74" s="80" t="s">
        <v>227</v>
      </c>
      <c r="BN74" s="80" t="s">
        <v>227</v>
      </c>
      <c r="BO74" s="80" t="s">
        <v>227</v>
      </c>
      <c r="BP74" s="80" t="s">
        <v>227</v>
      </c>
      <c r="BQ74" s="80" t="s">
        <v>227</v>
      </c>
      <c r="BR74" s="80" t="s">
        <v>227</v>
      </c>
      <c r="BS74" s="80" t="s">
        <v>227</v>
      </c>
      <c r="BT74" s="80" t="s">
        <v>227</v>
      </c>
      <c r="BU74" s="80" t="s">
        <v>227</v>
      </c>
      <c r="BV74" s="80" t="s">
        <v>227</v>
      </c>
      <c r="BW74" s="80" t="s">
        <v>227</v>
      </c>
      <c r="BX74" s="80" t="s">
        <v>227</v>
      </c>
      <c r="BY74" s="80" t="s">
        <v>227</v>
      </c>
      <c r="BZ74" s="80" t="s">
        <v>227</v>
      </c>
      <c r="CA74" s="80" t="s">
        <v>227</v>
      </c>
      <c r="CB74" s="80" t="s">
        <v>227</v>
      </c>
      <c r="CC74" s="80" t="s">
        <v>227</v>
      </c>
      <c r="CD74" s="80" t="s">
        <v>227</v>
      </c>
      <c r="CE74" s="80" t="s">
        <v>227</v>
      </c>
      <c r="CF74" s="80" t="s">
        <v>227</v>
      </c>
      <c r="CG74" s="80" t="s">
        <v>227</v>
      </c>
      <c r="CH74" s="80" t="s">
        <v>227</v>
      </c>
      <c r="CI74" s="80" t="s">
        <v>227</v>
      </c>
      <c r="CJ74" s="80" t="s">
        <v>227</v>
      </c>
      <c r="CK74" s="80" t="s">
        <v>227</v>
      </c>
      <c r="CL74" s="80" t="s">
        <v>227</v>
      </c>
      <c r="CM74" s="80" t="s">
        <v>227</v>
      </c>
      <c r="CN74" s="166" t="s">
        <v>246</v>
      </c>
      <c r="CO74" s="80" t="s">
        <v>378</v>
      </c>
      <c r="CP74" s="78">
        <v>44636</v>
      </c>
      <c r="CQ74" s="78">
        <v>44643</v>
      </c>
      <c r="CR74" s="80" t="s">
        <v>227</v>
      </c>
      <c r="CS74" s="80" t="s">
        <v>227</v>
      </c>
      <c r="CT74" s="80" t="s">
        <v>227</v>
      </c>
      <c r="CU74" s="80" t="s">
        <v>227</v>
      </c>
      <c r="CV74" s="80" t="s">
        <v>227</v>
      </c>
      <c r="CW74" s="80" t="s">
        <v>227</v>
      </c>
      <c r="CX74" s="80" t="s">
        <v>227</v>
      </c>
      <c r="CY74" s="80" t="s">
        <v>227</v>
      </c>
      <c r="CZ74" s="80" t="s">
        <v>227</v>
      </c>
      <c r="DA74" s="80" t="s">
        <v>227</v>
      </c>
      <c r="DB74" s="80" t="s">
        <v>227</v>
      </c>
      <c r="DC74" s="80" t="s">
        <v>227</v>
      </c>
      <c r="DD74" s="80" t="s">
        <v>227</v>
      </c>
      <c r="DE74" s="80" t="s">
        <v>227</v>
      </c>
      <c r="DF74" s="80" t="s">
        <v>227</v>
      </c>
      <c r="DG74" s="80" t="s">
        <v>227</v>
      </c>
      <c r="DH74" s="80" t="s">
        <v>227</v>
      </c>
      <c r="DI74" s="80" t="s">
        <v>227</v>
      </c>
      <c r="DJ74" s="80" t="s">
        <v>227</v>
      </c>
      <c r="DK74" s="80" t="s">
        <v>227</v>
      </c>
      <c r="DL74" s="80" t="s">
        <v>227</v>
      </c>
      <c r="DM74" s="80" t="s">
        <v>227</v>
      </c>
      <c r="DN74" s="80" t="s">
        <v>227</v>
      </c>
      <c r="DO74" s="80" t="s">
        <v>227</v>
      </c>
      <c r="DP74" s="80" t="s">
        <v>227</v>
      </c>
      <c r="DQ74" s="80" t="s">
        <v>227</v>
      </c>
      <c r="DR74" s="80" t="s">
        <v>227</v>
      </c>
      <c r="DS74" s="80" t="s">
        <v>227</v>
      </c>
      <c r="DT74" s="80" t="s">
        <v>227</v>
      </c>
      <c r="DU74" s="80" t="s">
        <v>227</v>
      </c>
      <c r="DV74" s="80" t="s">
        <v>227</v>
      </c>
      <c r="DW74" s="80" t="s">
        <v>227</v>
      </c>
      <c r="DX74" s="80" t="s">
        <v>227</v>
      </c>
      <c r="DY74" s="80" t="s">
        <v>227</v>
      </c>
      <c r="DZ74" s="80" t="s">
        <v>227</v>
      </c>
      <c r="EA74" s="80" t="s">
        <v>227</v>
      </c>
      <c r="EB74" s="80" t="s">
        <v>227</v>
      </c>
      <c r="EC74" s="80" t="s">
        <v>227</v>
      </c>
      <c r="ED74" s="80" t="s">
        <v>227</v>
      </c>
      <c r="EE74" s="80" t="s">
        <v>227</v>
      </c>
      <c r="EF74" s="80" t="s">
        <v>227</v>
      </c>
      <c r="EG74" s="80" t="s">
        <v>227</v>
      </c>
      <c r="EH74" s="80" t="s">
        <v>227</v>
      </c>
      <c r="EI74" s="78">
        <v>45674</v>
      </c>
      <c r="EJ74" s="157" t="s">
        <v>580</v>
      </c>
      <c r="EK74" s="172" t="s">
        <v>393</v>
      </c>
      <c r="EL74" s="80" t="s">
        <v>581</v>
      </c>
      <c r="EM74" s="78">
        <v>45735</v>
      </c>
      <c r="EN74" s="78">
        <v>45825</v>
      </c>
      <c r="EO74" s="80" t="s">
        <v>277</v>
      </c>
      <c r="EP74" s="166" t="s">
        <v>582</v>
      </c>
      <c r="EQ74" s="80" t="s">
        <v>583</v>
      </c>
      <c r="ER74" s="80" t="s">
        <v>277</v>
      </c>
      <c r="ES74" s="172" t="s">
        <v>246</v>
      </c>
      <c r="ET74" s="157" t="s">
        <v>584</v>
      </c>
      <c r="EU74" s="157" t="s">
        <v>231</v>
      </c>
      <c r="EV74" s="80" t="s">
        <v>227</v>
      </c>
      <c r="EW74" s="80" t="s">
        <v>227</v>
      </c>
      <c r="EX74" s="80" t="s">
        <v>227</v>
      </c>
      <c r="EY74" s="80" t="s">
        <v>227</v>
      </c>
      <c r="EZ74" s="80" t="s">
        <v>227</v>
      </c>
      <c r="FA74" s="80" t="s">
        <v>227</v>
      </c>
      <c r="FB74" s="147" t="s">
        <v>227</v>
      </c>
      <c r="FC74" s="80" t="s">
        <v>227</v>
      </c>
      <c r="FD74" s="80" t="s">
        <v>227</v>
      </c>
      <c r="FE74" s="80" t="s">
        <v>227</v>
      </c>
      <c r="FF74" s="80" t="s">
        <v>227</v>
      </c>
      <c r="FG74" s="80" t="s">
        <v>227</v>
      </c>
      <c r="FH74" s="80" t="s">
        <v>227</v>
      </c>
      <c r="FI74" s="80" t="s">
        <v>227</v>
      </c>
      <c r="FJ74" s="80" t="s">
        <v>227</v>
      </c>
      <c r="FK74" s="80" t="s">
        <v>227</v>
      </c>
      <c r="FL74" s="80" t="s">
        <v>227</v>
      </c>
      <c r="FM74" s="80" t="s">
        <v>227</v>
      </c>
      <c r="FN74" s="80" t="s">
        <v>227</v>
      </c>
      <c r="FO74" s="80" t="s">
        <v>227</v>
      </c>
      <c r="FP74" s="80" t="s">
        <v>227</v>
      </c>
      <c r="FQ74" s="80" t="s">
        <v>227</v>
      </c>
      <c r="FR74" s="80" t="s">
        <v>227</v>
      </c>
      <c r="FS74" s="80" t="s">
        <v>227</v>
      </c>
      <c r="FT74" s="80" t="s">
        <v>227</v>
      </c>
      <c r="FU74" s="80" t="s">
        <v>227</v>
      </c>
      <c r="FV74" s="80" t="s">
        <v>227</v>
      </c>
      <c r="FW74" s="80" t="s">
        <v>227</v>
      </c>
      <c r="FX74" s="80" t="s">
        <v>227</v>
      </c>
      <c r="FY74" s="80" t="s">
        <v>227</v>
      </c>
      <c r="FZ74" s="80" t="s">
        <v>227</v>
      </c>
      <c r="GA74" s="80" t="s">
        <v>227</v>
      </c>
      <c r="GB74" s="80" t="s">
        <v>227</v>
      </c>
      <c r="GC74" s="80" t="s">
        <v>227</v>
      </c>
      <c r="GD74" s="80" t="s">
        <v>227</v>
      </c>
      <c r="GE74" s="80" t="s">
        <v>227</v>
      </c>
      <c r="GF74" s="167" t="s">
        <v>312</v>
      </c>
      <c r="GG74" s="78" t="s">
        <v>227</v>
      </c>
      <c r="GH74" s="74" t="s">
        <v>227</v>
      </c>
      <c r="GI74" s="80" t="s">
        <v>227</v>
      </c>
      <c r="GJ74" s="156">
        <v>46169</v>
      </c>
      <c r="GK74" s="156">
        <v>46169</v>
      </c>
      <c r="GL74" s="78" t="s">
        <v>585</v>
      </c>
      <c r="GM74" s="159" t="str">
        <f t="shared" si="48"/>
        <v>N/A</v>
      </c>
      <c r="GN74" s="159" t="str">
        <f t="shared" si="49"/>
        <v>N/A</v>
      </c>
      <c r="GO74" s="159">
        <f t="shared" si="50"/>
        <v>2.0666666666666669</v>
      </c>
      <c r="GP74" s="159" t="str">
        <f t="shared" si="51"/>
        <v>N/A</v>
      </c>
      <c r="GQ74" s="159" t="str">
        <f t="shared" si="52"/>
        <v>N/A</v>
      </c>
      <c r="GR74" s="159" t="str">
        <f t="shared" si="53"/>
        <v>N/A</v>
      </c>
      <c r="GS74" s="159" t="str">
        <f t="shared" si="54"/>
        <v>N/A</v>
      </c>
      <c r="GT74" s="159" t="str">
        <f t="shared" si="55"/>
        <v>N/A</v>
      </c>
      <c r="GU74" s="159" t="str">
        <f t="shared" si="56"/>
        <v>N/A</v>
      </c>
      <c r="GV74" s="159" t="str">
        <f t="shared" si="57"/>
        <v>N/A</v>
      </c>
      <c r="GW74" s="159">
        <f t="shared" si="58"/>
        <v>4.9333333333333336</v>
      </c>
      <c r="GX74" s="159">
        <f t="shared" si="59"/>
        <v>5.166666666666667</v>
      </c>
      <c r="GY74" s="159">
        <f t="shared" si="60"/>
        <v>39.533333333333331</v>
      </c>
      <c r="GZ74" s="159">
        <f t="shared" si="61"/>
        <v>41.56666666666667</v>
      </c>
      <c r="HA74" s="159">
        <f t="shared" si="62"/>
        <v>44.56666666666667</v>
      </c>
      <c r="HB74" s="159">
        <f t="shared" si="63"/>
        <v>39.533333333333331</v>
      </c>
      <c r="HC74" s="159" t="str">
        <f t="shared" si="64"/>
        <v>N/A</v>
      </c>
      <c r="HD74" s="159">
        <f t="shared" si="65"/>
        <v>56.033333333333331</v>
      </c>
      <c r="HE74" s="159">
        <f t="shared" si="66"/>
        <v>56.033333333333331</v>
      </c>
      <c r="HF74" s="160">
        <f t="shared" si="67"/>
        <v>56.033333333333331</v>
      </c>
      <c r="HG74" s="160" cm="1">
        <f t="array" ref="HG74">INDEX($HB74:$HD74,MATCH(TRUE,INDEX(ISNUMBER($HB74:$HD74),0),0))</f>
        <v>39.533333333333331</v>
      </c>
      <c r="HH74" s="161">
        <f t="shared" si="68"/>
        <v>1</v>
      </c>
      <c r="HI74" s="86">
        <f t="shared" si="69"/>
        <v>0</v>
      </c>
      <c r="HJ74" s="111">
        <f t="shared" si="70"/>
        <v>0</v>
      </c>
      <c r="HK74" s="205" t="str">
        <f t="shared" si="71"/>
        <v>1</v>
      </c>
    </row>
    <row r="75" spans="1:219" ht="15" customHeight="1" x14ac:dyDescent="0.3">
      <c r="A75" s="80">
        <v>6514469078</v>
      </c>
      <c r="B75" s="74" t="s">
        <v>220</v>
      </c>
      <c r="C75" s="74" t="s">
        <v>221</v>
      </c>
      <c r="D75" s="74" t="s">
        <v>220</v>
      </c>
      <c r="E75" s="80" t="s">
        <v>586</v>
      </c>
      <c r="F75" s="80" t="s">
        <v>587</v>
      </c>
      <c r="G75" s="80" t="s">
        <v>564</v>
      </c>
      <c r="H75" s="78">
        <v>44551</v>
      </c>
      <c r="I75" s="80" t="s">
        <v>588</v>
      </c>
      <c r="J75" s="80" t="s">
        <v>226</v>
      </c>
      <c r="K75" s="78" t="s">
        <v>227</v>
      </c>
      <c r="L75" s="80" t="s">
        <v>227</v>
      </c>
      <c r="M75" s="80" t="s">
        <v>227</v>
      </c>
      <c r="N75" s="80" t="s">
        <v>227</v>
      </c>
      <c r="O75" s="80" t="s">
        <v>227</v>
      </c>
      <c r="P75" s="80" t="s">
        <v>227</v>
      </c>
      <c r="Q75" s="80" t="s">
        <v>227</v>
      </c>
      <c r="R75" s="80" t="s">
        <v>227</v>
      </c>
      <c r="S75" s="80" t="s">
        <v>227</v>
      </c>
      <c r="T75" s="80" t="s">
        <v>227</v>
      </c>
      <c r="U75" s="80" t="s">
        <v>227</v>
      </c>
      <c r="V75" s="80" t="s">
        <v>227</v>
      </c>
      <c r="W75" s="80" t="s">
        <v>227</v>
      </c>
      <c r="X75" s="80" t="s">
        <v>227</v>
      </c>
      <c r="Y75" s="80" t="s">
        <v>227</v>
      </c>
      <c r="Z75" s="80" t="s">
        <v>227</v>
      </c>
      <c r="AA75" s="80" t="s">
        <v>227</v>
      </c>
      <c r="AB75" s="80" t="s">
        <v>227</v>
      </c>
      <c r="AC75" s="80" t="s">
        <v>227</v>
      </c>
      <c r="AD75" s="80" t="s">
        <v>227</v>
      </c>
      <c r="AE75" s="80" t="s">
        <v>227</v>
      </c>
      <c r="AF75" s="80" t="s">
        <v>227</v>
      </c>
      <c r="AG75" s="80" t="s">
        <v>227</v>
      </c>
      <c r="AH75" s="80" t="s">
        <v>227</v>
      </c>
      <c r="AI75" s="80" t="s">
        <v>227</v>
      </c>
      <c r="AJ75" s="80" t="s">
        <v>227</v>
      </c>
      <c r="AK75" s="80" t="s">
        <v>227</v>
      </c>
      <c r="AL75" s="80" t="s">
        <v>227</v>
      </c>
      <c r="AM75" s="80" t="s">
        <v>227</v>
      </c>
      <c r="AN75" s="80" t="s">
        <v>227</v>
      </c>
      <c r="AO75" s="80" t="s">
        <v>227</v>
      </c>
      <c r="AP75" s="80" t="s">
        <v>227</v>
      </c>
      <c r="AQ75" s="80" t="s">
        <v>228</v>
      </c>
      <c r="AR75" s="78">
        <v>22959</v>
      </c>
      <c r="AS75" s="78">
        <v>44488</v>
      </c>
      <c r="AT75" s="189">
        <f t="shared" si="47"/>
        <v>58</v>
      </c>
      <c r="AU75" s="164" t="s">
        <v>229</v>
      </c>
      <c r="AV75" s="74" t="s">
        <v>230</v>
      </c>
      <c r="AW75" s="74" t="s">
        <v>241</v>
      </c>
      <c r="AX75" s="80" t="s">
        <v>264</v>
      </c>
      <c r="AY75" s="80">
        <v>0</v>
      </c>
      <c r="AZ75" s="80" t="s">
        <v>232</v>
      </c>
      <c r="BA75" s="80">
        <v>0</v>
      </c>
      <c r="BB75" s="80" t="s">
        <v>265</v>
      </c>
      <c r="BC75" s="80">
        <v>1</v>
      </c>
      <c r="BD75" s="74" t="s">
        <v>243</v>
      </c>
      <c r="BE75" s="80" t="s">
        <v>339</v>
      </c>
      <c r="BF75" s="74" t="s">
        <v>220</v>
      </c>
      <c r="BG75" s="80" t="s">
        <v>227</v>
      </c>
      <c r="BH75" s="80" t="s">
        <v>227</v>
      </c>
      <c r="BI75" s="80" t="s">
        <v>227</v>
      </c>
      <c r="BJ75" s="80" t="s">
        <v>227</v>
      </c>
      <c r="BK75" s="80" t="s">
        <v>227</v>
      </c>
      <c r="BL75" s="80" t="s">
        <v>227</v>
      </c>
      <c r="BM75" s="80" t="s">
        <v>227</v>
      </c>
      <c r="BN75" s="80" t="s">
        <v>227</v>
      </c>
      <c r="BO75" s="80" t="s">
        <v>227</v>
      </c>
      <c r="BP75" s="80" t="s">
        <v>227</v>
      </c>
      <c r="BQ75" s="80" t="s">
        <v>227</v>
      </c>
      <c r="BR75" s="80" t="s">
        <v>227</v>
      </c>
      <c r="BS75" s="80" t="s">
        <v>227</v>
      </c>
      <c r="BT75" s="80" t="s">
        <v>227</v>
      </c>
      <c r="BU75" s="80" t="s">
        <v>227</v>
      </c>
      <c r="BV75" s="80" t="s">
        <v>227</v>
      </c>
      <c r="BW75" s="80" t="s">
        <v>227</v>
      </c>
      <c r="BX75" s="80" t="s">
        <v>227</v>
      </c>
      <c r="BY75" s="80" t="s">
        <v>227</v>
      </c>
      <c r="BZ75" s="80" t="s">
        <v>227</v>
      </c>
      <c r="CA75" s="80" t="s">
        <v>227</v>
      </c>
      <c r="CB75" s="80" t="s">
        <v>227</v>
      </c>
      <c r="CC75" s="80" t="s">
        <v>227</v>
      </c>
      <c r="CD75" s="80" t="s">
        <v>227</v>
      </c>
      <c r="CE75" s="80" t="s">
        <v>227</v>
      </c>
      <c r="CF75" s="80" t="s">
        <v>227</v>
      </c>
      <c r="CG75" s="80" t="s">
        <v>227</v>
      </c>
      <c r="CH75" s="80" t="s">
        <v>227</v>
      </c>
      <c r="CI75" s="80" t="s">
        <v>227</v>
      </c>
      <c r="CJ75" s="80" t="s">
        <v>227</v>
      </c>
      <c r="CK75" s="80" t="s">
        <v>227</v>
      </c>
      <c r="CL75" s="80" t="s">
        <v>227</v>
      </c>
      <c r="CM75" s="80" t="s">
        <v>227</v>
      </c>
      <c r="CN75" s="80" t="s">
        <v>227</v>
      </c>
      <c r="CO75" s="80" t="s">
        <v>227</v>
      </c>
      <c r="CP75" s="80" t="s">
        <v>227</v>
      </c>
      <c r="CQ75" s="80" t="s">
        <v>227</v>
      </c>
      <c r="CR75" s="80" t="s">
        <v>227</v>
      </c>
      <c r="CS75" s="80" t="s">
        <v>227</v>
      </c>
      <c r="CT75" s="80" t="s">
        <v>227</v>
      </c>
      <c r="CU75" s="80" t="s">
        <v>227</v>
      </c>
      <c r="CV75" s="80" t="s">
        <v>227</v>
      </c>
      <c r="CW75" s="80" t="s">
        <v>227</v>
      </c>
      <c r="CX75" s="80" t="s">
        <v>227</v>
      </c>
      <c r="CY75" s="80" t="s">
        <v>227</v>
      </c>
      <c r="CZ75" s="80" t="s">
        <v>227</v>
      </c>
      <c r="DA75" s="80" t="s">
        <v>227</v>
      </c>
      <c r="DB75" s="80" t="s">
        <v>227</v>
      </c>
      <c r="DC75" s="80" t="s">
        <v>227</v>
      </c>
      <c r="DD75" s="80" t="s">
        <v>227</v>
      </c>
      <c r="DE75" s="80" t="s">
        <v>227</v>
      </c>
      <c r="DF75" s="80" t="s">
        <v>227</v>
      </c>
      <c r="DG75" s="80" t="s">
        <v>227</v>
      </c>
      <c r="DH75" s="80" t="s">
        <v>227</v>
      </c>
      <c r="DI75" s="80" t="s">
        <v>227</v>
      </c>
      <c r="DJ75" s="80" t="s">
        <v>227</v>
      </c>
      <c r="DK75" s="80" t="s">
        <v>227</v>
      </c>
      <c r="DL75" s="80" t="s">
        <v>227</v>
      </c>
      <c r="DM75" s="80" t="s">
        <v>227</v>
      </c>
      <c r="DN75" s="80" t="s">
        <v>227</v>
      </c>
      <c r="DO75" s="80" t="s">
        <v>227</v>
      </c>
      <c r="DP75" s="80" t="s">
        <v>227</v>
      </c>
      <c r="DQ75" s="80" t="s">
        <v>227</v>
      </c>
      <c r="DR75" s="80" t="s">
        <v>227</v>
      </c>
      <c r="DS75" s="80" t="s">
        <v>227</v>
      </c>
      <c r="DT75" s="80" t="s">
        <v>227</v>
      </c>
      <c r="DU75" s="80" t="s">
        <v>227</v>
      </c>
      <c r="DV75" s="80" t="s">
        <v>227</v>
      </c>
      <c r="DW75" s="80" t="s">
        <v>227</v>
      </c>
      <c r="DX75" s="80" t="s">
        <v>227</v>
      </c>
      <c r="DY75" s="80" t="s">
        <v>227</v>
      </c>
      <c r="DZ75" s="80" t="s">
        <v>227</v>
      </c>
      <c r="EA75" s="80" t="s">
        <v>227</v>
      </c>
      <c r="EB75" s="80" t="s">
        <v>227</v>
      </c>
      <c r="EC75" s="80" t="s">
        <v>227</v>
      </c>
      <c r="ED75" s="80" t="s">
        <v>227</v>
      </c>
      <c r="EE75" s="80" t="s">
        <v>227</v>
      </c>
      <c r="EF75" s="80" t="s">
        <v>227</v>
      </c>
      <c r="EG75" s="80" t="s">
        <v>227</v>
      </c>
      <c r="EH75" s="80" t="s">
        <v>227</v>
      </c>
      <c r="EI75" s="80" t="s">
        <v>227</v>
      </c>
      <c r="EJ75" s="80" t="s">
        <v>227</v>
      </c>
      <c r="EK75" s="80" t="s">
        <v>227</v>
      </c>
      <c r="EL75" s="80" t="s">
        <v>227</v>
      </c>
      <c r="EM75" s="80" t="s">
        <v>227</v>
      </c>
      <c r="EN75" s="80" t="s">
        <v>227</v>
      </c>
      <c r="EO75" s="80" t="s">
        <v>227</v>
      </c>
      <c r="EP75" s="80" t="s">
        <v>227</v>
      </c>
      <c r="EQ75" s="80" t="s">
        <v>227</v>
      </c>
      <c r="ER75" s="80" t="s">
        <v>227</v>
      </c>
      <c r="ES75" s="80" t="s">
        <v>227</v>
      </c>
      <c r="ET75" s="80" t="s">
        <v>227</v>
      </c>
      <c r="EU75" s="80" t="s">
        <v>227</v>
      </c>
      <c r="EV75" s="80" t="s">
        <v>227</v>
      </c>
      <c r="EW75" s="80" t="s">
        <v>227</v>
      </c>
      <c r="EX75" s="80" t="s">
        <v>227</v>
      </c>
      <c r="EY75" s="80" t="s">
        <v>227</v>
      </c>
      <c r="EZ75" s="80" t="s">
        <v>227</v>
      </c>
      <c r="FA75" s="80" t="s">
        <v>227</v>
      </c>
      <c r="FB75" s="147" t="s">
        <v>227</v>
      </c>
      <c r="FC75" s="80" t="s">
        <v>227</v>
      </c>
      <c r="FD75" s="80" t="s">
        <v>227</v>
      </c>
      <c r="FE75" s="80" t="s">
        <v>227</v>
      </c>
      <c r="FF75" s="80" t="s">
        <v>227</v>
      </c>
      <c r="FG75" s="80" t="s">
        <v>227</v>
      </c>
      <c r="FH75" s="80" t="s">
        <v>227</v>
      </c>
      <c r="FI75" s="80" t="s">
        <v>227</v>
      </c>
      <c r="FJ75" s="80" t="s">
        <v>227</v>
      </c>
      <c r="FK75" s="80" t="s">
        <v>227</v>
      </c>
      <c r="FL75" s="80" t="s">
        <v>227</v>
      </c>
      <c r="FM75" s="80" t="s">
        <v>227</v>
      </c>
      <c r="FN75" s="80" t="s">
        <v>227</v>
      </c>
      <c r="FO75" s="80" t="s">
        <v>227</v>
      </c>
      <c r="FP75" s="80" t="s">
        <v>227</v>
      </c>
      <c r="FQ75" s="80" t="s">
        <v>227</v>
      </c>
      <c r="FR75" s="80" t="s">
        <v>227</v>
      </c>
      <c r="FS75" s="80" t="s">
        <v>227</v>
      </c>
      <c r="FT75" s="80" t="s">
        <v>227</v>
      </c>
      <c r="FU75" s="80" t="s">
        <v>227</v>
      </c>
      <c r="FV75" s="80" t="s">
        <v>227</v>
      </c>
      <c r="FW75" s="80" t="s">
        <v>227</v>
      </c>
      <c r="FX75" s="80" t="s">
        <v>227</v>
      </c>
      <c r="FY75" s="80" t="s">
        <v>227</v>
      </c>
      <c r="FZ75" s="80" t="s">
        <v>227</v>
      </c>
      <c r="GA75" s="80" t="s">
        <v>227</v>
      </c>
      <c r="GB75" s="80" t="s">
        <v>227</v>
      </c>
      <c r="GC75" s="80" t="s">
        <v>227</v>
      </c>
      <c r="GD75" s="80" t="s">
        <v>227</v>
      </c>
      <c r="GE75" s="80" t="s">
        <v>227</v>
      </c>
      <c r="GF75" s="167" t="s">
        <v>312</v>
      </c>
      <c r="GG75" s="78" t="s">
        <v>227</v>
      </c>
      <c r="GH75" s="74" t="s">
        <v>227</v>
      </c>
      <c r="GI75" s="80" t="s">
        <v>227</v>
      </c>
      <c r="GJ75" s="78">
        <v>46037</v>
      </c>
      <c r="GK75" s="156">
        <v>46149</v>
      </c>
      <c r="GL75" s="78" t="s">
        <v>227</v>
      </c>
      <c r="GM75" s="159" t="str">
        <f t="shared" si="48"/>
        <v>N/A</v>
      </c>
      <c r="GN75" s="159" t="str">
        <f t="shared" si="49"/>
        <v>N/A</v>
      </c>
      <c r="GO75" s="159">
        <f t="shared" si="50"/>
        <v>2.1</v>
      </c>
      <c r="GP75" s="159" t="str">
        <f t="shared" si="51"/>
        <v>N/A</v>
      </c>
      <c r="GQ75" s="159" t="str">
        <f t="shared" si="52"/>
        <v>N/A</v>
      </c>
      <c r="GR75" s="159" t="str">
        <f t="shared" si="53"/>
        <v>N/A</v>
      </c>
      <c r="GS75" s="159" t="str">
        <f t="shared" si="54"/>
        <v>N/A</v>
      </c>
      <c r="GT75" s="159" t="str">
        <f t="shared" si="55"/>
        <v>N/A</v>
      </c>
      <c r="GU75" s="159" t="str">
        <f t="shared" si="56"/>
        <v>N/A</v>
      </c>
      <c r="GV75" s="159" t="str">
        <f t="shared" si="57"/>
        <v>N/A</v>
      </c>
      <c r="GW75" s="159" t="str">
        <f t="shared" si="58"/>
        <v>N/A</v>
      </c>
      <c r="GX75" s="159" t="str">
        <f t="shared" si="59"/>
        <v>N/A</v>
      </c>
      <c r="GY75" s="159" t="str">
        <f t="shared" si="60"/>
        <v>N/A</v>
      </c>
      <c r="GZ75" s="159" t="str">
        <f t="shared" si="61"/>
        <v>N/A</v>
      </c>
      <c r="HA75" s="159" t="str">
        <f t="shared" si="62"/>
        <v>N/A</v>
      </c>
      <c r="HB75" s="159" t="str">
        <f t="shared" si="63"/>
        <v>N/A</v>
      </c>
      <c r="HC75" s="159" t="str">
        <f t="shared" si="64"/>
        <v>N/A</v>
      </c>
      <c r="HD75" s="159">
        <f t="shared" si="65"/>
        <v>51.633333333333333</v>
      </c>
      <c r="HE75" s="159">
        <f t="shared" si="66"/>
        <v>55.366666666666667</v>
      </c>
      <c r="HF75" s="160">
        <f t="shared" si="67"/>
        <v>55.366666666666667</v>
      </c>
      <c r="HG75" s="160" cm="1">
        <f t="array" ref="HG75">INDEX($HB75:$HD75,MATCH(TRUE,INDEX(ISNUMBER($HB75:$HD75),0),0))</f>
        <v>51.633333333333333</v>
      </c>
      <c r="HH75" s="161">
        <f t="shared" si="68"/>
        <v>0</v>
      </c>
      <c r="HI75" s="86">
        <f t="shared" si="69"/>
        <v>0</v>
      </c>
      <c r="HJ75" s="111">
        <f t="shared" si="70"/>
        <v>0</v>
      </c>
      <c r="HK75" s="205" t="str">
        <f t="shared" si="71"/>
        <v>0</v>
      </c>
    </row>
    <row r="76" spans="1:219" ht="15" customHeight="1" x14ac:dyDescent="0.3">
      <c r="A76" s="80">
        <v>6241142747</v>
      </c>
      <c r="B76" s="74" t="s">
        <v>220</v>
      </c>
      <c r="C76" s="74" t="s">
        <v>221</v>
      </c>
      <c r="D76" s="74" t="s">
        <v>220</v>
      </c>
      <c r="E76" s="80" t="s">
        <v>589</v>
      </c>
      <c r="F76" s="80" t="s">
        <v>564</v>
      </c>
      <c r="G76" s="80" t="s">
        <v>590</v>
      </c>
      <c r="H76" s="78">
        <v>44552</v>
      </c>
      <c r="I76" s="80" t="s">
        <v>591</v>
      </c>
      <c r="J76" s="80" t="s">
        <v>226</v>
      </c>
      <c r="K76" s="78" t="s">
        <v>227</v>
      </c>
      <c r="L76" s="80" t="s">
        <v>227</v>
      </c>
      <c r="M76" s="80" t="s">
        <v>227</v>
      </c>
      <c r="N76" s="80" t="s">
        <v>227</v>
      </c>
      <c r="O76" s="80" t="s">
        <v>227</v>
      </c>
      <c r="P76" s="80" t="s">
        <v>227</v>
      </c>
      <c r="Q76" s="80" t="s">
        <v>227</v>
      </c>
      <c r="R76" s="80" t="s">
        <v>227</v>
      </c>
      <c r="S76" s="80" t="s">
        <v>227</v>
      </c>
      <c r="T76" s="80" t="s">
        <v>227</v>
      </c>
      <c r="U76" s="80" t="s">
        <v>227</v>
      </c>
      <c r="V76" s="80" t="s">
        <v>227</v>
      </c>
      <c r="W76" s="80" t="s">
        <v>227</v>
      </c>
      <c r="X76" s="80" t="s">
        <v>227</v>
      </c>
      <c r="Y76" s="80" t="s">
        <v>227</v>
      </c>
      <c r="Z76" s="80" t="s">
        <v>227</v>
      </c>
      <c r="AA76" s="80" t="s">
        <v>227</v>
      </c>
      <c r="AB76" s="80" t="s">
        <v>227</v>
      </c>
      <c r="AC76" s="80" t="s">
        <v>227</v>
      </c>
      <c r="AD76" s="80" t="s">
        <v>227</v>
      </c>
      <c r="AE76" s="80" t="s">
        <v>227</v>
      </c>
      <c r="AF76" s="80" t="s">
        <v>227</v>
      </c>
      <c r="AG76" s="80" t="s">
        <v>227</v>
      </c>
      <c r="AH76" s="80" t="s">
        <v>227</v>
      </c>
      <c r="AI76" s="80" t="s">
        <v>227</v>
      </c>
      <c r="AJ76" s="80" t="s">
        <v>227</v>
      </c>
      <c r="AK76" s="80" t="s">
        <v>227</v>
      </c>
      <c r="AL76" s="80" t="s">
        <v>227</v>
      </c>
      <c r="AM76" s="80" t="s">
        <v>227</v>
      </c>
      <c r="AN76" s="80" t="s">
        <v>227</v>
      </c>
      <c r="AO76" s="80" t="s">
        <v>227</v>
      </c>
      <c r="AP76" s="80" t="s">
        <v>227</v>
      </c>
      <c r="AQ76" s="80" t="s">
        <v>228</v>
      </c>
      <c r="AR76" s="78">
        <v>20182</v>
      </c>
      <c r="AS76" s="78">
        <v>44480</v>
      </c>
      <c r="AT76" s="189">
        <f t="shared" si="47"/>
        <v>66</v>
      </c>
      <c r="AU76" s="164" t="s">
        <v>229</v>
      </c>
      <c r="AV76" s="74" t="s">
        <v>230</v>
      </c>
      <c r="AW76" s="74" t="s">
        <v>241</v>
      </c>
      <c r="AX76" s="80" t="s">
        <v>309</v>
      </c>
      <c r="AY76" s="80">
        <v>0</v>
      </c>
      <c r="AZ76" s="80" t="s">
        <v>232</v>
      </c>
      <c r="BA76" s="80">
        <v>0</v>
      </c>
      <c r="BB76" s="80" t="s">
        <v>310</v>
      </c>
      <c r="BC76" s="80">
        <v>3</v>
      </c>
      <c r="BD76" s="74" t="s">
        <v>243</v>
      </c>
      <c r="BE76" s="80" t="s">
        <v>244</v>
      </c>
      <c r="BF76" s="74" t="s">
        <v>220</v>
      </c>
      <c r="BG76" s="80" t="s">
        <v>227</v>
      </c>
      <c r="BH76" s="80" t="s">
        <v>227</v>
      </c>
      <c r="BI76" s="80" t="s">
        <v>227</v>
      </c>
      <c r="BJ76" s="80" t="s">
        <v>227</v>
      </c>
      <c r="BK76" s="80" t="s">
        <v>227</v>
      </c>
      <c r="BL76" s="80" t="s">
        <v>227</v>
      </c>
      <c r="BM76" s="80" t="s">
        <v>227</v>
      </c>
      <c r="BN76" s="80" t="s">
        <v>227</v>
      </c>
      <c r="BO76" s="80" t="s">
        <v>227</v>
      </c>
      <c r="BP76" s="80" t="s">
        <v>227</v>
      </c>
      <c r="BQ76" s="80" t="s">
        <v>227</v>
      </c>
      <c r="BR76" s="80" t="s">
        <v>227</v>
      </c>
      <c r="BS76" s="80" t="s">
        <v>227</v>
      </c>
      <c r="BT76" s="80" t="s">
        <v>227</v>
      </c>
      <c r="BU76" s="80" t="s">
        <v>227</v>
      </c>
      <c r="BV76" s="80" t="s">
        <v>227</v>
      </c>
      <c r="BW76" s="80" t="s">
        <v>227</v>
      </c>
      <c r="BX76" s="80" t="s">
        <v>227</v>
      </c>
      <c r="BY76" s="80" t="s">
        <v>227</v>
      </c>
      <c r="BZ76" s="80" t="s">
        <v>227</v>
      </c>
      <c r="CA76" s="80" t="s">
        <v>227</v>
      </c>
      <c r="CB76" s="80" t="s">
        <v>227</v>
      </c>
      <c r="CC76" s="80" t="s">
        <v>227</v>
      </c>
      <c r="CD76" s="80" t="s">
        <v>227</v>
      </c>
      <c r="CE76" s="80" t="s">
        <v>227</v>
      </c>
      <c r="CF76" s="80" t="s">
        <v>227</v>
      </c>
      <c r="CG76" s="80" t="s">
        <v>227</v>
      </c>
      <c r="CH76" s="80" t="s">
        <v>227</v>
      </c>
      <c r="CI76" s="80" t="s">
        <v>227</v>
      </c>
      <c r="CJ76" s="80" t="s">
        <v>227</v>
      </c>
      <c r="CK76" s="80" t="s">
        <v>227</v>
      </c>
      <c r="CL76" s="80" t="s">
        <v>227</v>
      </c>
      <c r="CM76" s="80" t="s">
        <v>227</v>
      </c>
      <c r="CN76" s="166" t="s">
        <v>246</v>
      </c>
      <c r="CO76" s="80" t="s">
        <v>378</v>
      </c>
      <c r="CP76" s="78">
        <v>44607</v>
      </c>
      <c r="CQ76" s="78">
        <v>44614</v>
      </c>
      <c r="CR76" s="80" t="s">
        <v>227</v>
      </c>
      <c r="CS76" s="80" t="s">
        <v>227</v>
      </c>
      <c r="CT76" s="80" t="s">
        <v>227</v>
      </c>
      <c r="CU76" s="80" t="s">
        <v>227</v>
      </c>
      <c r="CV76" s="80" t="s">
        <v>227</v>
      </c>
      <c r="CW76" s="80" t="s">
        <v>227</v>
      </c>
      <c r="CX76" s="80" t="s">
        <v>227</v>
      </c>
      <c r="CY76" s="80" t="s">
        <v>227</v>
      </c>
      <c r="CZ76" s="80" t="s">
        <v>227</v>
      </c>
      <c r="DA76" s="80" t="s">
        <v>227</v>
      </c>
      <c r="DB76" s="80" t="s">
        <v>227</v>
      </c>
      <c r="DC76" s="80" t="s">
        <v>227</v>
      </c>
      <c r="DD76" s="80" t="s">
        <v>227</v>
      </c>
      <c r="DE76" s="80" t="s">
        <v>227</v>
      </c>
      <c r="DF76" s="80" t="s">
        <v>227</v>
      </c>
      <c r="DG76" s="80" t="s">
        <v>227</v>
      </c>
      <c r="DH76" s="80" t="s">
        <v>227</v>
      </c>
      <c r="DI76" s="80" t="s">
        <v>227</v>
      </c>
      <c r="DJ76" s="80" t="s">
        <v>227</v>
      </c>
      <c r="DK76" s="80" t="s">
        <v>227</v>
      </c>
      <c r="DL76" s="80" t="s">
        <v>227</v>
      </c>
      <c r="DM76" s="80" t="s">
        <v>227</v>
      </c>
      <c r="DN76" s="80" t="s">
        <v>227</v>
      </c>
      <c r="DO76" s="80" t="s">
        <v>227</v>
      </c>
      <c r="DP76" s="80" t="s">
        <v>227</v>
      </c>
      <c r="DQ76" s="80" t="s">
        <v>227</v>
      </c>
      <c r="DR76" s="80" t="s">
        <v>227</v>
      </c>
      <c r="DS76" s="80" t="s">
        <v>227</v>
      </c>
      <c r="DT76" s="80" t="s">
        <v>227</v>
      </c>
      <c r="DU76" s="80" t="s">
        <v>227</v>
      </c>
      <c r="DV76" s="80" t="s">
        <v>227</v>
      </c>
      <c r="DW76" s="80" t="s">
        <v>227</v>
      </c>
      <c r="DX76" s="80" t="s">
        <v>227</v>
      </c>
      <c r="DY76" s="80" t="s">
        <v>227</v>
      </c>
      <c r="DZ76" s="80" t="s">
        <v>227</v>
      </c>
      <c r="EA76" s="80" t="s">
        <v>227</v>
      </c>
      <c r="EB76" s="80" t="s">
        <v>227</v>
      </c>
      <c r="EC76" s="80" t="s">
        <v>227</v>
      </c>
      <c r="ED76" s="80" t="s">
        <v>227</v>
      </c>
      <c r="EE76" s="80" t="s">
        <v>227</v>
      </c>
      <c r="EF76" s="80" t="s">
        <v>227</v>
      </c>
      <c r="EG76" s="80" t="s">
        <v>227</v>
      </c>
      <c r="EH76" s="80" t="s">
        <v>227</v>
      </c>
      <c r="EI76" s="80" t="s">
        <v>227</v>
      </c>
      <c r="EJ76" s="80" t="s">
        <v>227</v>
      </c>
      <c r="EK76" s="80" t="s">
        <v>227</v>
      </c>
      <c r="EL76" s="80" t="s">
        <v>227</v>
      </c>
      <c r="EM76" s="80" t="s">
        <v>227</v>
      </c>
      <c r="EN76" s="80" t="s">
        <v>227</v>
      </c>
      <c r="EO76" s="80" t="s">
        <v>227</v>
      </c>
      <c r="EP76" s="80" t="s">
        <v>227</v>
      </c>
      <c r="EQ76" s="80" t="s">
        <v>227</v>
      </c>
      <c r="ER76" s="80" t="s">
        <v>227</v>
      </c>
      <c r="ES76" s="80" t="s">
        <v>227</v>
      </c>
      <c r="ET76" s="80" t="s">
        <v>227</v>
      </c>
      <c r="EU76" s="80" t="s">
        <v>227</v>
      </c>
      <c r="EV76" s="80" t="s">
        <v>227</v>
      </c>
      <c r="EW76" s="80" t="s">
        <v>227</v>
      </c>
      <c r="EX76" s="80" t="s">
        <v>227</v>
      </c>
      <c r="EY76" s="80" t="s">
        <v>227</v>
      </c>
      <c r="EZ76" s="80" t="s">
        <v>227</v>
      </c>
      <c r="FA76" s="80" t="s">
        <v>227</v>
      </c>
      <c r="FB76" s="147" t="s">
        <v>227</v>
      </c>
      <c r="FC76" s="80" t="s">
        <v>227</v>
      </c>
      <c r="FD76" s="80" t="s">
        <v>227</v>
      </c>
      <c r="FE76" s="80" t="s">
        <v>227</v>
      </c>
      <c r="FF76" s="80" t="s">
        <v>227</v>
      </c>
      <c r="FG76" s="80" t="s">
        <v>227</v>
      </c>
      <c r="FH76" s="80" t="s">
        <v>227</v>
      </c>
      <c r="FI76" s="80" t="s">
        <v>227</v>
      </c>
      <c r="FJ76" s="80" t="s">
        <v>227</v>
      </c>
      <c r="FK76" s="80" t="s">
        <v>227</v>
      </c>
      <c r="FL76" s="80" t="s">
        <v>227</v>
      </c>
      <c r="FM76" s="80" t="s">
        <v>227</v>
      </c>
      <c r="FN76" s="80" t="s">
        <v>227</v>
      </c>
      <c r="FO76" s="80" t="s">
        <v>227</v>
      </c>
      <c r="FP76" s="80" t="s">
        <v>227</v>
      </c>
      <c r="FQ76" s="80" t="s">
        <v>227</v>
      </c>
      <c r="FR76" s="80" t="s">
        <v>227</v>
      </c>
      <c r="FS76" s="80" t="s">
        <v>227</v>
      </c>
      <c r="FT76" s="80" t="s">
        <v>227</v>
      </c>
      <c r="FU76" s="80" t="s">
        <v>227</v>
      </c>
      <c r="FV76" s="80" t="s">
        <v>227</v>
      </c>
      <c r="FW76" s="80" t="s">
        <v>227</v>
      </c>
      <c r="FX76" s="80" t="s">
        <v>227</v>
      </c>
      <c r="FY76" s="80" t="s">
        <v>227</v>
      </c>
      <c r="FZ76" s="80" t="s">
        <v>227</v>
      </c>
      <c r="GA76" s="80" t="s">
        <v>227</v>
      </c>
      <c r="GB76" s="80" t="s">
        <v>227</v>
      </c>
      <c r="GC76" s="80" t="s">
        <v>227</v>
      </c>
      <c r="GD76" s="80" t="s">
        <v>227</v>
      </c>
      <c r="GE76" s="80" t="s">
        <v>227</v>
      </c>
      <c r="GF76" s="167" t="s">
        <v>312</v>
      </c>
      <c r="GG76" s="78" t="s">
        <v>227</v>
      </c>
      <c r="GH76" s="74" t="s">
        <v>227</v>
      </c>
      <c r="GI76" s="80" t="s">
        <v>227</v>
      </c>
      <c r="GJ76" s="78">
        <v>45901</v>
      </c>
      <c r="GK76" s="156">
        <v>46175</v>
      </c>
      <c r="GL76" s="78" t="s">
        <v>227</v>
      </c>
      <c r="GM76" s="159" t="str">
        <f t="shared" si="48"/>
        <v>N/A</v>
      </c>
      <c r="GN76" s="159" t="str">
        <f t="shared" si="49"/>
        <v>N/A</v>
      </c>
      <c r="GO76" s="159">
        <f t="shared" si="50"/>
        <v>2.4</v>
      </c>
      <c r="GP76" s="159" t="str">
        <f t="shared" si="51"/>
        <v>N/A</v>
      </c>
      <c r="GQ76" s="159" t="str">
        <f t="shared" si="52"/>
        <v>N/A</v>
      </c>
      <c r="GR76" s="159" t="str">
        <f t="shared" si="53"/>
        <v>N/A</v>
      </c>
      <c r="GS76" s="159" t="str">
        <f t="shared" si="54"/>
        <v>N/A</v>
      </c>
      <c r="GT76" s="159" t="str">
        <f t="shared" si="55"/>
        <v>N/A</v>
      </c>
      <c r="GU76" s="159" t="str">
        <f t="shared" si="56"/>
        <v>N/A</v>
      </c>
      <c r="GV76" s="159" t="str">
        <f t="shared" si="57"/>
        <v>N/A</v>
      </c>
      <c r="GW76" s="159">
        <f t="shared" si="58"/>
        <v>4.2333333333333334</v>
      </c>
      <c r="GX76" s="159">
        <f t="shared" si="59"/>
        <v>4.4666666666666668</v>
      </c>
      <c r="GY76" s="159" t="str">
        <f t="shared" si="60"/>
        <v>N/A</v>
      </c>
      <c r="GZ76" s="159" t="str">
        <f t="shared" si="61"/>
        <v>N/A</v>
      </c>
      <c r="HA76" s="159" t="str">
        <f t="shared" si="62"/>
        <v>N/A</v>
      </c>
      <c r="HB76" s="159" t="str">
        <f t="shared" si="63"/>
        <v>N/A</v>
      </c>
      <c r="HC76" s="159" t="str">
        <f t="shared" si="64"/>
        <v>N/A</v>
      </c>
      <c r="HD76" s="159">
        <f t="shared" si="65"/>
        <v>47.366666666666667</v>
      </c>
      <c r="HE76" s="159">
        <f t="shared" si="66"/>
        <v>56.5</v>
      </c>
      <c r="HF76" s="160">
        <f t="shared" si="67"/>
        <v>56.5</v>
      </c>
      <c r="HG76" s="160" cm="1">
        <f t="array" ref="HG76">INDEX($HB76:$HD76,MATCH(TRUE,INDEX(ISNUMBER($HB76:$HD76),0),0))</f>
        <v>47.366666666666667</v>
      </c>
      <c r="HH76" s="161">
        <f t="shared" si="68"/>
        <v>0</v>
      </c>
      <c r="HI76" s="86">
        <f t="shared" si="69"/>
        <v>0</v>
      </c>
      <c r="HJ76" s="113">
        <f t="shared" si="70"/>
        <v>0</v>
      </c>
      <c r="HK76" s="161" t="str">
        <f t="shared" si="71"/>
        <v>0</v>
      </c>
    </row>
    <row r="77" spans="1:219" ht="15" customHeight="1" x14ac:dyDescent="0.3">
      <c r="A77" s="80">
        <v>4382229278</v>
      </c>
      <c r="B77" s="74" t="s">
        <v>220</v>
      </c>
      <c r="C77" s="74" t="s">
        <v>221</v>
      </c>
      <c r="D77" s="74" t="s">
        <v>220</v>
      </c>
      <c r="E77" s="80" t="s">
        <v>592</v>
      </c>
      <c r="F77" s="80" t="s">
        <v>345</v>
      </c>
      <c r="G77" s="80" t="s">
        <v>558</v>
      </c>
      <c r="H77" s="78">
        <v>44554</v>
      </c>
      <c r="I77" s="80" t="s">
        <v>593</v>
      </c>
      <c r="J77" s="80" t="s">
        <v>226</v>
      </c>
      <c r="K77" s="78" t="s">
        <v>227</v>
      </c>
      <c r="L77" s="80" t="s">
        <v>227</v>
      </c>
      <c r="M77" s="80" t="s">
        <v>227</v>
      </c>
      <c r="N77" s="80" t="s">
        <v>227</v>
      </c>
      <c r="O77" s="80" t="s">
        <v>227</v>
      </c>
      <c r="P77" s="80" t="s">
        <v>227</v>
      </c>
      <c r="Q77" s="80" t="s">
        <v>227</v>
      </c>
      <c r="R77" s="80" t="s">
        <v>227</v>
      </c>
      <c r="S77" s="80" t="s">
        <v>227</v>
      </c>
      <c r="T77" s="80" t="s">
        <v>227</v>
      </c>
      <c r="U77" s="80" t="s">
        <v>227</v>
      </c>
      <c r="V77" s="80" t="s">
        <v>227</v>
      </c>
      <c r="W77" s="80" t="s">
        <v>227</v>
      </c>
      <c r="X77" s="80" t="s">
        <v>227</v>
      </c>
      <c r="Y77" s="80" t="s">
        <v>227</v>
      </c>
      <c r="Z77" s="80" t="s">
        <v>227</v>
      </c>
      <c r="AA77" s="80" t="s">
        <v>227</v>
      </c>
      <c r="AB77" s="80" t="s">
        <v>227</v>
      </c>
      <c r="AC77" s="80" t="s">
        <v>227</v>
      </c>
      <c r="AD77" s="80" t="s">
        <v>227</v>
      </c>
      <c r="AE77" s="80" t="s">
        <v>227</v>
      </c>
      <c r="AF77" s="80" t="s">
        <v>227</v>
      </c>
      <c r="AG77" s="80" t="s">
        <v>227</v>
      </c>
      <c r="AH77" s="80" t="s">
        <v>227</v>
      </c>
      <c r="AI77" s="80" t="s">
        <v>227</v>
      </c>
      <c r="AJ77" s="80" t="s">
        <v>227</v>
      </c>
      <c r="AK77" s="80" t="s">
        <v>227</v>
      </c>
      <c r="AL77" s="80" t="s">
        <v>227</v>
      </c>
      <c r="AM77" s="80" t="s">
        <v>227</v>
      </c>
      <c r="AN77" s="80" t="s">
        <v>227</v>
      </c>
      <c r="AO77" s="80" t="s">
        <v>227</v>
      </c>
      <c r="AP77" s="80" t="s">
        <v>227</v>
      </c>
      <c r="AQ77" s="80" t="s">
        <v>228</v>
      </c>
      <c r="AR77" s="78">
        <v>17390</v>
      </c>
      <c r="AS77" s="78">
        <v>44501</v>
      </c>
      <c r="AT77" s="189">
        <f t="shared" ref="AT77:AT79" si="72">DATEDIF(AR77, AS77,"Y")</f>
        <v>74</v>
      </c>
      <c r="AU77" s="164" t="s">
        <v>229</v>
      </c>
      <c r="AV77" s="74" t="s">
        <v>230</v>
      </c>
      <c r="AW77" s="74" t="s">
        <v>241</v>
      </c>
      <c r="AX77" s="80" t="s">
        <v>264</v>
      </c>
      <c r="AY77" s="80">
        <v>0</v>
      </c>
      <c r="AZ77" s="80" t="s">
        <v>232</v>
      </c>
      <c r="BA77" s="80">
        <v>0</v>
      </c>
      <c r="BB77" s="80" t="s">
        <v>265</v>
      </c>
      <c r="BC77" s="80">
        <v>1</v>
      </c>
      <c r="BD77" s="74" t="s">
        <v>243</v>
      </c>
      <c r="BE77" s="80" t="s">
        <v>339</v>
      </c>
      <c r="BF77" s="74" t="s">
        <v>220</v>
      </c>
      <c r="BG77" s="80" t="s">
        <v>227</v>
      </c>
      <c r="BH77" s="80" t="s">
        <v>227</v>
      </c>
      <c r="BI77" s="80" t="s">
        <v>227</v>
      </c>
      <c r="BJ77" s="80" t="s">
        <v>227</v>
      </c>
      <c r="BK77" s="80" t="s">
        <v>227</v>
      </c>
      <c r="BL77" s="80" t="s">
        <v>227</v>
      </c>
      <c r="BM77" s="80" t="s">
        <v>227</v>
      </c>
      <c r="BN77" s="80" t="s">
        <v>227</v>
      </c>
      <c r="BO77" s="80" t="s">
        <v>227</v>
      </c>
      <c r="BP77" s="80" t="s">
        <v>227</v>
      </c>
      <c r="BQ77" s="80" t="s">
        <v>227</v>
      </c>
      <c r="BR77" s="80" t="s">
        <v>227</v>
      </c>
      <c r="BS77" s="80" t="s">
        <v>227</v>
      </c>
      <c r="BT77" s="80" t="s">
        <v>227</v>
      </c>
      <c r="BU77" s="80" t="s">
        <v>227</v>
      </c>
      <c r="BV77" s="80" t="s">
        <v>227</v>
      </c>
      <c r="BW77" s="80" t="s">
        <v>227</v>
      </c>
      <c r="BX77" s="80" t="s">
        <v>227</v>
      </c>
      <c r="BY77" s="80" t="s">
        <v>227</v>
      </c>
      <c r="BZ77" s="80" t="s">
        <v>227</v>
      </c>
      <c r="CA77" s="80" t="s">
        <v>227</v>
      </c>
      <c r="CB77" s="80" t="s">
        <v>227</v>
      </c>
      <c r="CC77" s="80" t="s">
        <v>227</v>
      </c>
      <c r="CD77" s="80" t="s">
        <v>227</v>
      </c>
      <c r="CE77" s="80" t="s">
        <v>227</v>
      </c>
      <c r="CF77" s="80" t="s">
        <v>227</v>
      </c>
      <c r="CG77" s="80" t="s">
        <v>227</v>
      </c>
      <c r="CH77" s="80" t="s">
        <v>227</v>
      </c>
      <c r="CI77" s="80" t="s">
        <v>227</v>
      </c>
      <c r="CJ77" s="80" t="s">
        <v>227</v>
      </c>
      <c r="CK77" s="80" t="s">
        <v>227</v>
      </c>
      <c r="CL77" s="80" t="s">
        <v>227</v>
      </c>
      <c r="CM77" s="80" t="s">
        <v>227</v>
      </c>
      <c r="CN77" s="166" t="s">
        <v>246</v>
      </c>
      <c r="CO77" s="174" t="s">
        <v>378</v>
      </c>
      <c r="CP77" s="78">
        <v>44622</v>
      </c>
      <c r="CQ77" s="78">
        <v>44629</v>
      </c>
      <c r="CR77" s="80" t="s">
        <v>227</v>
      </c>
      <c r="CS77" s="80" t="s">
        <v>227</v>
      </c>
      <c r="CT77" s="80" t="s">
        <v>227</v>
      </c>
      <c r="CU77" s="80" t="s">
        <v>227</v>
      </c>
      <c r="CV77" s="80" t="s">
        <v>227</v>
      </c>
      <c r="CW77" s="80" t="s">
        <v>227</v>
      </c>
      <c r="CX77" s="80" t="s">
        <v>227</v>
      </c>
      <c r="CY77" s="80" t="s">
        <v>227</v>
      </c>
      <c r="CZ77" s="80" t="s">
        <v>227</v>
      </c>
      <c r="DA77" s="80" t="s">
        <v>227</v>
      </c>
      <c r="DB77" s="80" t="s">
        <v>227</v>
      </c>
      <c r="DC77" s="80" t="s">
        <v>227</v>
      </c>
      <c r="DD77" s="80" t="s">
        <v>227</v>
      </c>
      <c r="DE77" s="80" t="s">
        <v>227</v>
      </c>
      <c r="DF77" s="80" t="s">
        <v>227</v>
      </c>
      <c r="DG77" s="80" t="s">
        <v>227</v>
      </c>
      <c r="DH77" s="80" t="s">
        <v>227</v>
      </c>
      <c r="DI77" s="80" t="s">
        <v>227</v>
      </c>
      <c r="DJ77" s="80" t="s">
        <v>227</v>
      </c>
      <c r="DK77" s="80" t="s">
        <v>227</v>
      </c>
      <c r="DL77" s="80" t="s">
        <v>227</v>
      </c>
      <c r="DM77" s="80" t="s">
        <v>227</v>
      </c>
      <c r="DN77" s="80" t="s">
        <v>227</v>
      </c>
      <c r="DO77" s="80" t="s">
        <v>227</v>
      </c>
      <c r="DP77" s="80" t="s">
        <v>227</v>
      </c>
      <c r="DQ77" s="80" t="s">
        <v>227</v>
      </c>
      <c r="DR77" s="80" t="s">
        <v>227</v>
      </c>
      <c r="DS77" s="80" t="s">
        <v>227</v>
      </c>
      <c r="DT77" s="80" t="s">
        <v>227</v>
      </c>
      <c r="DU77" s="80" t="s">
        <v>227</v>
      </c>
      <c r="DV77" s="80" t="s">
        <v>227</v>
      </c>
      <c r="DW77" s="80" t="s">
        <v>227</v>
      </c>
      <c r="DX77" s="80" t="s">
        <v>227</v>
      </c>
      <c r="DY77" s="80" t="s">
        <v>227</v>
      </c>
      <c r="DZ77" s="80" t="s">
        <v>227</v>
      </c>
      <c r="EA77" s="80" t="s">
        <v>227</v>
      </c>
      <c r="EB77" s="80" t="s">
        <v>227</v>
      </c>
      <c r="EC77" s="80" t="s">
        <v>227</v>
      </c>
      <c r="ED77" s="80" t="s">
        <v>227</v>
      </c>
      <c r="EE77" s="80" t="s">
        <v>227</v>
      </c>
      <c r="EF77" s="80" t="s">
        <v>227</v>
      </c>
      <c r="EG77" s="80" t="s">
        <v>227</v>
      </c>
      <c r="EH77" s="80" t="s">
        <v>227</v>
      </c>
      <c r="EI77" s="80" t="s">
        <v>227</v>
      </c>
      <c r="EJ77" s="80" t="s">
        <v>227</v>
      </c>
      <c r="EK77" s="80" t="s">
        <v>227</v>
      </c>
      <c r="EL77" s="80" t="s">
        <v>227</v>
      </c>
      <c r="EM77" s="80" t="s">
        <v>227</v>
      </c>
      <c r="EN77" s="80" t="s">
        <v>227</v>
      </c>
      <c r="EO77" s="80" t="s">
        <v>227</v>
      </c>
      <c r="EP77" s="80" t="s">
        <v>227</v>
      </c>
      <c r="EQ77" s="80" t="s">
        <v>227</v>
      </c>
      <c r="ER77" s="80" t="s">
        <v>227</v>
      </c>
      <c r="ES77" s="80" t="s">
        <v>227</v>
      </c>
      <c r="ET77" s="80" t="s">
        <v>227</v>
      </c>
      <c r="EU77" s="80" t="s">
        <v>227</v>
      </c>
      <c r="EV77" s="80" t="s">
        <v>227</v>
      </c>
      <c r="EW77" s="80" t="s">
        <v>227</v>
      </c>
      <c r="EX77" s="80" t="s">
        <v>227</v>
      </c>
      <c r="EY77" s="80" t="s">
        <v>227</v>
      </c>
      <c r="EZ77" s="80" t="s">
        <v>227</v>
      </c>
      <c r="FA77" s="80" t="s">
        <v>227</v>
      </c>
      <c r="FB77" s="147" t="s">
        <v>227</v>
      </c>
      <c r="FC77" s="80" t="s">
        <v>227</v>
      </c>
      <c r="FD77" s="80" t="s">
        <v>227</v>
      </c>
      <c r="FE77" s="80" t="s">
        <v>227</v>
      </c>
      <c r="FF77" s="80" t="s">
        <v>227</v>
      </c>
      <c r="FG77" s="80" t="s">
        <v>227</v>
      </c>
      <c r="FH77" s="80" t="s">
        <v>227</v>
      </c>
      <c r="FI77" s="80" t="s">
        <v>227</v>
      </c>
      <c r="FJ77" s="80" t="s">
        <v>227</v>
      </c>
      <c r="FK77" s="80" t="s">
        <v>227</v>
      </c>
      <c r="FL77" s="80" t="s">
        <v>227</v>
      </c>
      <c r="FM77" s="80" t="s">
        <v>227</v>
      </c>
      <c r="FN77" s="80" t="s">
        <v>227</v>
      </c>
      <c r="FO77" s="80" t="s">
        <v>227</v>
      </c>
      <c r="FP77" s="80" t="s">
        <v>227</v>
      </c>
      <c r="FQ77" s="80" t="s">
        <v>227</v>
      </c>
      <c r="FR77" s="80" t="s">
        <v>227</v>
      </c>
      <c r="FS77" s="80" t="s">
        <v>227</v>
      </c>
      <c r="FT77" s="80" t="s">
        <v>227</v>
      </c>
      <c r="FU77" s="80" t="s">
        <v>227</v>
      </c>
      <c r="FV77" s="80" t="s">
        <v>227</v>
      </c>
      <c r="FW77" s="80" t="s">
        <v>227</v>
      </c>
      <c r="FX77" s="80" t="s">
        <v>227</v>
      </c>
      <c r="FY77" s="80" t="s">
        <v>227</v>
      </c>
      <c r="FZ77" s="80" t="s">
        <v>227</v>
      </c>
      <c r="GA77" s="80" t="s">
        <v>227</v>
      </c>
      <c r="GB77" s="80" t="s">
        <v>227</v>
      </c>
      <c r="GC77" s="80" t="s">
        <v>227</v>
      </c>
      <c r="GD77" s="80" t="s">
        <v>227</v>
      </c>
      <c r="GE77" s="80" t="s">
        <v>227</v>
      </c>
      <c r="GF77" s="167" t="s">
        <v>312</v>
      </c>
      <c r="GG77" s="78" t="s">
        <v>227</v>
      </c>
      <c r="GH77" s="74" t="s">
        <v>227</v>
      </c>
      <c r="GI77" s="80" t="s">
        <v>227</v>
      </c>
      <c r="GJ77" s="78">
        <v>44895</v>
      </c>
      <c r="GK77" s="156">
        <v>46171</v>
      </c>
      <c r="GL77" s="156" t="s">
        <v>594</v>
      </c>
      <c r="GM77" s="159" t="str">
        <f t="shared" ref="GM77:GM79" si="73">IFERROR(INT(BJ77 - $AS77)/30,"N/A")</f>
        <v>N/A</v>
      </c>
      <c r="GN77" s="159" t="str">
        <f t="shared" ref="GN77:GN79" si="74">IFERROR(INT(BK77 - $AS77)/30,"N/A")</f>
        <v>N/A</v>
      </c>
      <c r="GO77" s="159">
        <f t="shared" ref="GO77:GO79" si="75">IFERROR(INT(H77 - $AS77)/30,"N/A")</f>
        <v>1.7666666666666666</v>
      </c>
      <c r="GP77" s="159" t="str">
        <f t="shared" ref="GP77:GP79" si="76">IFERROR(INT(K77 - $AS77)/30,"N/A")</f>
        <v>N/A</v>
      </c>
      <c r="GQ77" s="159" t="str">
        <f t="shared" ref="GQ77:GQ79" si="77">IFERROR(INT(P77 - $AS77)/30,"N/A")</f>
        <v>N/A</v>
      </c>
      <c r="GR77" s="159" t="str">
        <f t="shared" ref="GR77:GR79" si="78">IFERROR(INT(U77 - $AS77)/30,"N/A")</f>
        <v>N/A</v>
      </c>
      <c r="GS77" s="159" t="str">
        <f t="shared" ref="GS77:GS79" si="79">IFERROR(INT(Z77 - $AS77)/30,"N/A")</f>
        <v>N/A</v>
      </c>
      <c r="GT77" s="159" t="str">
        <f t="shared" ref="GT77:GT79" si="80">IFERROR(INT(AE77 - $AS77)/30,"N/A")</f>
        <v>N/A</v>
      </c>
      <c r="GU77" s="159" t="str">
        <f t="shared" ref="GU77:GU79" si="81">IFERROR(INT(AJ77 - $AS77)/30,"N/A")</f>
        <v>N/A</v>
      </c>
      <c r="GV77" s="159" t="str">
        <f t="shared" ref="GV77:GV79" si="82">IFERROR(INT(AO77 - $AS77)/30,"N/A")</f>
        <v>N/A</v>
      </c>
      <c r="GW77" s="159">
        <f t="shared" ref="GW77:GW79" si="83">IFERROR(INT(CP77 - $AS77)/30,"N/A")</f>
        <v>4.0333333333333332</v>
      </c>
      <c r="GX77" s="159">
        <f t="shared" ref="GX77:GX79" si="84">IFERROR(INT(CQ77 - $AS77)/30,"N/A")</f>
        <v>4.2666666666666666</v>
      </c>
      <c r="GY77" s="159" t="str">
        <f t="shared" ref="GY77:GY79" si="85">IFERROR(INT(EI77 - $AS77)/30,"N/A")</f>
        <v>N/A</v>
      </c>
      <c r="GZ77" s="159" t="str">
        <f t="shared" ref="GZ77:GZ79" si="86">IFERROR(INT(EM77 - $AS77)/30,"N/A")</f>
        <v>N/A</v>
      </c>
      <c r="HA77" s="159" t="str">
        <f t="shared" ref="HA77:HA79" si="87">IFERROR(INT(EN77 - $AS77)/30,"N/A")</f>
        <v>N/A</v>
      </c>
      <c r="HB77" s="159" t="str">
        <f t="shared" ref="HB77:HB79" si="88">$GY77</f>
        <v>N/A</v>
      </c>
      <c r="HC77" s="159" t="str">
        <f t="shared" ref="HC77:HC79" si="89">IFERROR(INT(GG77 - $AS77)/30,"N/A")</f>
        <v>N/A</v>
      </c>
      <c r="HD77" s="159">
        <f t="shared" ref="HD77:HD79" si="90">IFERROR(INT(GJ77 - $AS77)/30,"N/A")</f>
        <v>13.133333333333333</v>
      </c>
      <c r="HE77" s="159">
        <f t="shared" ref="HE77:HE79" si="91">IFERROR(INT(GK77 - $AS77)/30,"N/A")</f>
        <v>55.666666666666664</v>
      </c>
      <c r="HF77" s="160">
        <f t="shared" ref="HF77:HF79" si="92">SUM($HC77,$HE77)</f>
        <v>55.666666666666664</v>
      </c>
      <c r="HG77" s="160" cm="1">
        <f t="array" ref="HG77">INDEX($HB77:$HD77,MATCH(TRUE,INDEX(ISNUMBER($HB77:$HD77),0),0))</f>
        <v>13.133333333333333</v>
      </c>
      <c r="HH77" s="161">
        <f t="shared" ref="HH77:HH79" si="93">IF($HB77="N/A",0,1)</f>
        <v>0</v>
      </c>
      <c r="HI77" s="86">
        <f t="shared" ref="HI77:HI79" si="94">IF($GH77="Yes",1,0)</f>
        <v>0</v>
      </c>
      <c r="HJ77" s="111">
        <f t="shared" ref="HJ77:HJ79" si="95">IF($HC77="N/A",0,1)</f>
        <v>0</v>
      </c>
      <c r="HK77" s="205" t="str">
        <f t="shared" ref="HK77:HK79" si="96">IF(OR($HH77=1,$HI77=1),"1","0")</f>
        <v>0</v>
      </c>
    </row>
    <row r="78" spans="1:219" ht="15" customHeight="1" x14ac:dyDescent="0.3">
      <c r="A78" s="44">
        <v>4124350430</v>
      </c>
      <c r="B78" s="42" t="s">
        <v>220</v>
      </c>
      <c r="C78" s="42" t="s">
        <v>221</v>
      </c>
      <c r="D78" s="42" t="s">
        <v>241</v>
      </c>
      <c r="E78" s="44" t="s">
        <v>227</v>
      </c>
      <c r="F78" s="44" t="s">
        <v>227</v>
      </c>
      <c r="G78" s="44" t="s">
        <v>227</v>
      </c>
      <c r="H78" s="65" t="s">
        <v>227</v>
      </c>
      <c r="I78" s="99" t="s">
        <v>595</v>
      </c>
      <c r="J78" s="44" t="s">
        <v>227</v>
      </c>
      <c r="K78" s="65">
        <v>43047</v>
      </c>
      <c r="L78" s="44" t="s">
        <v>226</v>
      </c>
      <c r="M78" s="44" t="s">
        <v>596</v>
      </c>
      <c r="N78" s="194" t="s">
        <v>597</v>
      </c>
      <c r="O78" s="44" t="s">
        <v>598</v>
      </c>
      <c r="P78" s="65">
        <v>44588</v>
      </c>
      <c r="Q78" s="42" t="s">
        <v>221</v>
      </c>
      <c r="R78" s="44" t="s">
        <v>596</v>
      </c>
      <c r="S78" s="44" t="s">
        <v>599</v>
      </c>
      <c r="T78" s="44" t="s">
        <v>598</v>
      </c>
      <c r="U78" s="65">
        <v>44588</v>
      </c>
      <c r="V78" s="42" t="s">
        <v>221</v>
      </c>
      <c r="W78" s="44" t="s">
        <v>227</v>
      </c>
      <c r="X78" s="44" t="s">
        <v>227</v>
      </c>
      <c r="Y78" s="44" t="s">
        <v>227</v>
      </c>
      <c r="Z78" s="44" t="s">
        <v>227</v>
      </c>
      <c r="AA78" s="44" t="s">
        <v>227</v>
      </c>
      <c r="AB78" s="44" t="s">
        <v>227</v>
      </c>
      <c r="AC78" s="44" t="s">
        <v>227</v>
      </c>
      <c r="AD78" s="44" t="s">
        <v>227</v>
      </c>
      <c r="AE78" s="44" t="s">
        <v>227</v>
      </c>
      <c r="AF78" s="44" t="s">
        <v>227</v>
      </c>
      <c r="AG78" s="44" t="s">
        <v>227</v>
      </c>
      <c r="AH78" s="44" t="s">
        <v>227</v>
      </c>
      <c r="AI78" s="44" t="s">
        <v>227</v>
      </c>
      <c r="AJ78" s="44" t="s">
        <v>227</v>
      </c>
      <c r="AK78" s="44" t="s">
        <v>227</v>
      </c>
      <c r="AL78" s="44" t="s">
        <v>227</v>
      </c>
      <c r="AM78" s="44" t="s">
        <v>227</v>
      </c>
      <c r="AN78" s="44" t="s">
        <v>227</v>
      </c>
      <c r="AO78" s="44" t="s">
        <v>227</v>
      </c>
      <c r="AP78" s="44" t="s">
        <v>227</v>
      </c>
      <c r="AQ78" s="44" t="s">
        <v>228</v>
      </c>
      <c r="AR78" s="65">
        <v>25761</v>
      </c>
      <c r="AS78" s="65">
        <v>43025</v>
      </c>
      <c r="AT78" s="195">
        <f t="shared" si="72"/>
        <v>47</v>
      </c>
      <c r="AU78" s="196" t="s">
        <v>600</v>
      </c>
      <c r="AV78" s="42" t="s">
        <v>256</v>
      </c>
      <c r="AW78" s="42" t="s">
        <v>241</v>
      </c>
      <c r="AX78" s="44" t="s">
        <v>309</v>
      </c>
      <c r="AY78" s="44" t="s">
        <v>232</v>
      </c>
      <c r="AZ78" s="44" t="s">
        <v>232</v>
      </c>
      <c r="BA78" s="44">
        <v>0</v>
      </c>
      <c r="BB78" s="44" t="s">
        <v>310</v>
      </c>
      <c r="BC78" s="99">
        <v>2</v>
      </c>
      <c r="BD78" s="42" t="s">
        <v>299</v>
      </c>
      <c r="BE78" s="44" t="s">
        <v>601</v>
      </c>
      <c r="BF78" s="42" t="s">
        <v>220</v>
      </c>
      <c r="BG78" s="197" t="s">
        <v>227</v>
      </c>
      <c r="BH78" s="198" t="s">
        <v>227</v>
      </c>
      <c r="BI78" s="44" t="s">
        <v>227</v>
      </c>
      <c r="BJ78" s="44" t="s">
        <v>227</v>
      </c>
      <c r="BK78" s="44" t="s">
        <v>227</v>
      </c>
      <c r="BL78" s="44" t="s">
        <v>227</v>
      </c>
      <c r="BM78" s="44" t="s">
        <v>227</v>
      </c>
      <c r="BN78" s="44" t="s">
        <v>227</v>
      </c>
      <c r="BO78" s="44" t="s">
        <v>227</v>
      </c>
      <c r="BP78" s="44" t="s">
        <v>227</v>
      </c>
      <c r="BQ78" s="44" t="s">
        <v>227</v>
      </c>
      <c r="BR78" s="44" t="s">
        <v>227</v>
      </c>
      <c r="BS78" s="44" t="s">
        <v>227</v>
      </c>
      <c r="BT78" s="44" t="s">
        <v>227</v>
      </c>
      <c r="BU78" s="44" t="s">
        <v>227</v>
      </c>
      <c r="BV78" s="44" t="s">
        <v>227</v>
      </c>
      <c r="BW78" s="44" t="s">
        <v>227</v>
      </c>
      <c r="BX78" s="44" t="s">
        <v>227</v>
      </c>
      <c r="BY78" s="44" t="s">
        <v>227</v>
      </c>
      <c r="BZ78" s="44" t="s">
        <v>227</v>
      </c>
      <c r="CA78" s="44" t="s">
        <v>227</v>
      </c>
      <c r="CB78" s="44" t="s">
        <v>227</v>
      </c>
      <c r="CC78" s="44" t="s">
        <v>227</v>
      </c>
      <c r="CD78" s="44" t="s">
        <v>227</v>
      </c>
      <c r="CE78" s="44" t="s">
        <v>227</v>
      </c>
      <c r="CF78" s="44" t="s">
        <v>227</v>
      </c>
      <c r="CG78" s="44" t="s">
        <v>227</v>
      </c>
      <c r="CH78" s="44" t="s">
        <v>227</v>
      </c>
      <c r="CI78" s="44" t="s">
        <v>227</v>
      </c>
      <c r="CJ78" s="44" t="s">
        <v>227</v>
      </c>
      <c r="CK78" s="44" t="s">
        <v>227</v>
      </c>
      <c r="CL78" s="44" t="s">
        <v>227</v>
      </c>
      <c r="CM78" s="44" t="s">
        <v>227</v>
      </c>
      <c r="CN78" s="199" t="s">
        <v>227</v>
      </c>
      <c r="CO78" s="199" t="s">
        <v>227</v>
      </c>
      <c r="CP78" s="199" t="s">
        <v>227</v>
      </c>
      <c r="CQ78" s="199" t="s">
        <v>227</v>
      </c>
      <c r="CR78" s="199" t="s">
        <v>227</v>
      </c>
      <c r="CS78" s="198" t="s">
        <v>227</v>
      </c>
      <c r="CT78" s="44" t="s">
        <v>227</v>
      </c>
      <c r="CU78" s="44" t="s">
        <v>227</v>
      </c>
      <c r="CV78" s="44" t="s">
        <v>227</v>
      </c>
      <c r="CW78" s="44" t="s">
        <v>227</v>
      </c>
      <c r="CX78" s="44" t="s">
        <v>227</v>
      </c>
      <c r="CY78" s="44" t="s">
        <v>227</v>
      </c>
      <c r="CZ78" s="44" t="s">
        <v>227</v>
      </c>
      <c r="DA78" s="44" t="s">
        <v>227</v>
      </c>
      <c r="DB78" s="44" t="s">
        <v>227</v>
      </c>
      <c r="DC78" s="44" t="s">
        <v>227</v>
      </c>
      <c r="DD78" s="44" t="s">
        <v>227</v>
      </c>
      <c r="DE78" s="44" t="s">
        <v>227</v>
      </c>
      <c r="DF78" s="44" t="s">
        <v>227</v>
      </c>
      <c r="DG78" s="44" t="s">
        <v>227</v>
      </c>
      <c r="DH78" s="44" t="s">
        <v>227</v>
      </c>
      <c r="DI78" s="44" t="s">
        <v>227</v>
      </c>
      <c r="DJ78" s="44" t="s">
        <v>227</v>
      </c>
      <c r="DK78" s="44" t="s">
        <v>227</v>
      </c>
      <c r="DL78" s="44" t="s">
        <v>227</v>
      </c>
      <c r="DM78" s="44" t="s">
        <v>227</v>
      </c>
      <c r="DN78" s="44" t="s">
        <v>227</v>
      </c>
      <c r="DO78" s="44" t="s">
        <v>227</v>
      </c>
      <c r="DP78" s="44" t="s">
        <v>227</v>
      </c>
      <c r="DQ78" s="44" t="s">
        <v>227</v>
      </c>
      <c r="DR78" s="44" t="s">
        <v>227</v>
      </c>
      <c r="DS78" s="44" t="s">
        <v>227</v>
      </c>
      <c r="DT78" s="44" t="s">
        <v>227</v>
      </c>
      <c r="DU78" s="44" t="s">
        <v>227</v>
      </c>
      <c r="DV78" s="44" t="s">
        <v>227</v>
      </c>
      <c r="DW78" s="44" t="s">
        <v>227</v>
      </c>
      <c r="DX78" s="44" t="s">
        <v>227</v>
      </c>
      <c r="DY78" s="44" t="s">
        <v>227</v>
      </c>
      <c r="DZ78" s="44" t="s">
        <v>227</v>
      </c>
      <c r="EA78" s="44" t="s">
        <v>227</v>
      </c>
      <c r="EB78" s="44" t="s">
        <v>227</v>
      </c>
      <c r="EC78" s="44" t="s">
        <v>227</v>
      </c>
      <c r="ED78" s="44" t="s">
        <v>227</v>
      </c>
      <c r="EE78" s="44" t="s">
        <v>227</v>
      </c>
      <c r="EF78" s="44" t="s">
        <v>227</v>
      </c>
      <c r="EG78" s="44" t="s">
        <v>227</v>
      </c>
      <c r="EH78" s="44" t="s">
        <v>227</v>
      </c>
      <c r="EI78" s="200">
        <v>44489</v>
      </c>
      <c r="EJ78" s="99" t="s">
        <v>602</v>
      </c>
      <c r="EK78" s="199" t="s">
        <v>275</v>
      </c>
      <c r="EL78" s="99" t="s">
        <v>603</v>
      </c>
      <c r="EM78" s="200">
        <v>44631</v>
      </c>
      <c r="EN78" s="200">
        <v>44965</v>
      </c>
      <c r="EO78" s="99" t="s">
        <v>604</v>
      </c>
      <c r="EP78" s="198" t="s">
        <v>246</v>
      </c>
      <c r="EQ78" s="99" t="s">
        <v>605</v>
      </c>
      <c r="ER78" s="44" t="s">
        <v>277</v>
      </c>
      <c r="ES78" s="198" t="s">
        <v>275</v>
      </c>
      <c r="ET78" s="44" t="s">
        <v>606</v>
      </c>
      <c r="EU78" s="44" t="s">
        <v>251</v>
      </c>
      <c r="EV78" s="198" t="s">
        <v>249</v>
      </c>
      <c r="EW78" s="44" t="s">
        <v>287</v>
      </c>
      <c r="EX78" s="44" t="s">
        <v>277</v>
      </c>
      <c r="EY78" s="198" t="s">
        <v>249</v>
      </c>
      <c r="EZ78" s="44" t="s">
        <v>498</v>
      </c>
      <c r="FA78" s="99" t="s">
        <v>231</v>
      </c>
      <c r="FB78" s="201" t="s">
        <v>227</v>
      </c>
      <c r="FC78" s="44" t="s">
        <v>227</v>
      </c>
      <c r="FD78" s="44" t="s">
        <v>227</v>
      </c>
      <c r="FE78" s="44" t="s">
        <v>227</v>
      </c>
      <c r="FF78" s="44" t="s">
        <v>227</v>
      </c>
      <c r="FG78" s="44" t="s">
        <v>227</v>
      </c>
      <c r="FH78" s="44" t="s">
        <v>227</v>
      </c>
      <c r="FI78" s="44" t="s">
        <v>227</v>
      </c>
      <c r="FJ78" s="44" t="s">
        <v>227</v>
      </c>
      <c r="FK78" s="44" t="s">
        <v>227</v>
      </c>
      <c r="FL78" s="44" t="s">
        <v>227</v>
      </c>
      <c r="FM78" s="44" t="s">
        <v>227</v>
      </c>
      <c r="FN78" s="44" t="s">
        <v>227</v>
      </c>
      <c r="FO78" s="44" t="s">
        <v>227</v>
      </c>
      <c r="FP78" s="44" t="s">
        <v>227</v>
      </c>
      <c r="FQ78" s="44" t="s">
        <v>227</v>
      </c>
      <c r="FR78" s="44" t="s">
        <v>227</v>
      </c>
      <c r="FS78" s="44" t="s">
        <v>227</v>
      </c>
      <c r="FT78" s="44" t="s">
        <v>227</v>
      </c>
      <c r="FU78" s="44" t="s">
        <v>227</v>
      </c>
      <c r="FV78" s="44" t="s">
        <v>227</v>
      </c>
      <c r="FW78" s="44" t="s">
        <v>227</v>
      </c>
      <c r="FX78" s="44" t="s">
        <v>227</v>
      </c>
      <c r="FY78" s="44" t="s">
        <v>227</v>
      </c>
      <c r="FZ78" s="44" t="s">
        <v>227</v>
      </c>
      <c r="GA78" s="44" t="s">
        <v>227</v>
      </c>
      <c r="GB78" s="44" t="s">
        <v>227</v>
      </c>
      <c r="GC78" s="44" t="s">
        <v>227</v>
      </c>
      <c r="GD78" s="44" t="s">
        <v>227</v>
      </c>
      <c r="GE78" s="44" t="s">
        <v>227</v>
      </c>
      <c r="GF78" s="202" t="s">
        <v>236</v>
      </c>
      <c r="GG78" s="65">
        <v>45662</v>
      </c>
      <c r="GH78" s="42" t="s">
        <v>241</v>
      </c>
      <c r="GI78" s="44" t="s">
        <v>231</v>
      </c>
      <c r="GJ78" s="65">
        <v>45646</v>
      </c>
      <c r="GK78" s="65" t="s">
        <v>227</v>
      </c>
      <c r="GL78" s="65" t="s">
        <v>227</v>
      </c>
      <c r="GM78" s="203" t="str">
        <f t="shared" si="73"/>
        <v>N/A</v>
      </c>
      <c r="GN78" s="203" t="str">
        <f t="shared" si="74"/>
        <v>N/A</v>
      </c>
      <c r="GO78" s="203" t="str">
        <f t="shared" si="75"/>
        <v>N/A</v>
      </c>
      <c r="GP78" s="203">
        <f t="shared" si="76"/>
        <v>0.73333333333333328</v>
      </c>
      <c r="GQ78" s="203">
        <f t="shared" si="77"/>
        <v>52.1</v>
      </c>
      <c r="GR78" s="203">
        <f t="shared" si="78"/>
        <v>52.1</v>
      </c>
      <c r="GS78" s="203" t="str">
        <f t="shared" si="79"/>
        <v>N/A</v>
      </c>
      <c r="GT78" s="203" t="str">
        <f t="shared" si="80"/>
        <v>N/A</v>
      </c>
      <c r="GU78" s="203" t="str">
        <f t="shared" si="81"/>
        <v>N/A</v>
      </c>
      <c r="GV78" s="203" t="str">
        <f t="shared" si="82"/>
        <v>N/A</v>
      </c>
      <c r="GW78" s="203" t="str">
        <f t="shared" si="83"/>
        <v>N/A</v>
      </c>
      <c r="GX78" s="203" t="str">
        <f t="shared" si="84"/>
        <v>N/A</v>
      </c>
      <c r="GY78" s="203">
        <f t="shared" si="85"/>
        <v>48.8</v>
      </c>
      <c r="GZ78" s="203">
        <f t="shared" si="86"/>
        <v>53.533333333333331</v>
      </c>
      <c r="HA78" s="203">
        <f t="shared" si="87"/>
        <v>64.666666666666671</v>
      </c>
      <c r="HB78" s="203">
        <f t="shared" si="88"/>
        <v>48.8</v>
      </c>
      <c r="HC78" s="203">
        <f t="shared" si="89"/>
        <v>87.9</v>
      </c>
      <c r="HD78" s="203">
        <f t="shared" si="90"/>
        <v>87.36666666666666</v>
      </c>
      <c r="HE78" s="203" t="str">
        <f t="shared" si="91"/>
        <v>N/A</v>
      </c>
      <c r="HF78" s="204">
        <f t="shared" si="92"/>
        <v>87.9</v>
      </c>
      <c r="HG78" s="204" cm="1">
        <f t="array" ref="HG78">INDEX($HB78:$HD78,MATCH(TRUE,INDEX(ISNUMBER($HB78:$HD78),0),0))</f>
        <v>48.8</v>
      </c>
      <c r="HH78" s="205">
        <f t="shared" si="93"/>
        <v>1</v>
      </c>
      <c r="HI78" s="206">
        <f t="shared" si="94"/>
        <v>1</v>
      </c>
      <c r="HJ78" s="111">
        <f t="shared" si="95"/>
        <v>1</v>
      </c>
      <c r="HK78" s="205" t="str">
        <f t="shared" si="96"/>
        <v>1</v>
      </c>
    </row>
    <row r="79" spans="1:219" ht="15" customHeight="1" x14ac:dyDescent="0.3">
      <c r="A79" s="73">
        <v>4643702346</v>
      </c>
      <c r="B79" s="74" t="s">
        <v>220</v>
      </c>
      <c r="C79" s="75" t="s">
        <v>221</v>
      </c>
      <c r="D79" s="76" t="s">
        <v>241</v>
      </c>
      <c r="E79" s="73" t="s">
        <v>227</v>
      </c>
      <c r="F79" s="73" t="s">
        <v>227</v>
      </c>
      <c r="G79" s="73" t="s">
        <v>227</v>
      </c>
      <c r="H79" s="73" t="s">
        <v>227</v>
      </c>
      <c r="I79" s="114" t="s">
        <v>607</v>
      </c>
      <c r="J79" s="73" t="s">
        <v>227</v>
      </c>
      <c r="K79" s="77">
        <v>43641</v>
      </c>
      <c r="L79" s="114" t="s">
        <v>226</v>
      </c>
      <c r="M79" s="73" t="s">
        <v>608</v>
      </c>
      <c r="N79" s="115" t="s">
        <v>307</v>
      </c>
      <c r="O79" s="73" t="s">
        <v>609</v>
      </c>
      <c r="P79" s="78">
        <v>44696</v>
      </c>
      <c r="Q79" s="208" t="s">
        <v>221</v>
      </c>
      <c r="R79" s="73" t="s">
        <v>227</v>
      </c>
      <c r="S79" s="73" t="s">
        <v>227</v>
      </c>
      <c r="T79" s="73" t="s">
        <v>227</v>
      </c>
      <c r="U79" s="73" t="s">
        <v>227</v>
      </c>
      <c r="V79" s="73" t="s">
        <v>227</v>
      </c>
      <c r="W79" s="73" t="s">
        <v>227</v>
      </c>
      <c r="X79" s="73" t="s">
        <v>227</v>
      </c>
      <c r="Y79" s="73" t="s">
        <v>227</v>
      </c>
      <c r="Z79" s="73" t="s">
        <v>227</v>
      </c>
      <c r="AA79" s="73" t="s">
        <v>227</v>
      </c>
      <c r="AB79" s="73" t="s">
        <v>227</v>
      </c>
      <c r="AC79" s="73" t="s">
        <v>227</v>
      </c>
      <c r="AD79" s="73" t="s">
        <v>227</v>
      </c>
      <c r="AE79" s="73" t="s">
        <v>227</v>
      </c>
      <c r="AF79" s="73" t="s">
        <v>227</v>
      </c>
      <c r="AG79" s="73" t="s">
        <v>227</v>
      </c>
      <c r="AH79" s="73" t="s">
        <v>227</v>
      </c>
      <c r="AI79" s="73" t="s">
        <v>227</v>
      </c>
      <c r="AJ79" s="73" t="s">
        <v>227</v>
      </c>
      <c r="AK79" s="73" t="s">
        <v>227</v>
      </c>
      <c r="AL79" s="73" t="s">
        <v>227</v>
      </c>
      <c r="AM79" s="73" t="s">
        <v>227</v>
      </c>
      <c r="AN79" s="73" t="s">
        <v>227</v>
      </c>
      <c r="AO79" s="73" t="s">
        <v>227</v>
      </c>
      <c r="AP79" s="73" t="s">
        <v>227</v>
      </c>
      <c r="AQ79" s="79" t="s">
        <v>228</v>
      </c>
      <c r="AR79" s="77">
        <v>13034</v>
      </c>
      <c r="AS79" s="78">
        <v>43546</v>
      </c>
      <c r="AT79" s="87">
        <f t="shared" si="72"/>
        <v>83</v>
      </c>
      <c r="AU79" s="116" t="s">
        <v>610</v>
      </c>
      <c r="AV79" s="75" t="s">
        <v>256</v>
      </c>
      <c r="AW79" s="76" t="s">
        <v>241</v>
      </c>
      <c r="AX79" s="73" t="s">
        <v>309</v>
      </c>
      <c r="AY79" s="73" t="s">
        <v>232</v>
      </c>
      <c r="AZ79" s="73" t="s">
        <v>232</v>
      </c>
      <c r="BA79" s="73">
        <v>0</v>
      </c>
      <c r="BB79" s="80" t="s">
        <v>310</v>
      </c>
      <c r="BC79" s="73">
        <v>3</v>
      </c>
      <c r="BD79" s="75" t="s">
        <v>243</v>
      </c>
      <c r="BE79" s="73" t="s">
        <v>244</v>
      </c>
      <c r="BF79" s="76" t="s">
        <v>220</v>
      </c>
      <c r="BG79" s="82" t="s">
        <v>227</v>
      </c>
      <c r="BH79" s="83" t="s">
        <v>227</v>
      </c>
      <c r="BI79" s="73" t="s">
        <v>227</v>
      </c>
      <c r="BJ79" s="73" t="s">
        <v>227</v>
      </c>
      <c r="BK79" s="73" t="s">
        <v>227</v>
      </c>
      <c r="BL79" s="73" t="s">
        <v>227</v>
      </c>
      <c r="BM79" s="73" t="s">
        <v>227</v>
      </c>
      <c r="BN79" s="73" t="s">
        <v>227</v>
      </c>
      <c r="BO79" s="73" t="s">
        <v>227</v>
      </c>
      <c r="BP79" s="73" t="s">
        <v>227</v>
      </c>
      <c r="BQ79" s="73" t="s">
        <v>227</v>
      </c>
      <c r="BR79" s="73" t="s">
        <v>227</v>
      </c>
      <c r="BS79" s="73" t="s">
        <v>227</v>
      </c>
      <c r="BT79" s="73" t="s">
        <v>227</v>
      </c>
      <c r="BU79" s="73" t="s">
        <v>227</v>
      </c>
      <c r="BV79" s="73" t="s">
        <v>227</v>
      </c>
      <c r="BW79" s="73" t="s">
        <v>227</v>
      </c>
      <c r="BX79" s="73" t="s">
        <v>227</v>
      </c>
      <c r="BY79" s="73" t="s">
        <v>227</v>
      </c>
      <c r="BZ79" s="73" t="s">
        <v>227</v>
      </c>
      <c r="CA79" s="73" t="s">
        <v>227</v>
      </c>
      <c r="CB79" s="73" t="s">
        <v>227</v>
      </c>
      <c r="CC79" s="73" t="s">
        <v>227</v>
      </c>
      <c r="CD79" s="73" t="s">
        <v>227</v>
      </c>
      <c r="CE79" s="73" t="s">
        <v>227</v>
      </c>
      <c r="CF79" s="73" t="s">
        <v>227</v>
      </c>
      <c r="CG79" s="73" t="s">
        <v>227</v>
      </c>
      <c r="CH79" s="73" t="s">
        <v>227</v>
      </c>
      <c r="CI79" s="73" t="s">
        <v>227</v>
      </c>
      <c r="CJ79" s="73" t="s">
        <v>227</v>
      </c>
      <c r="CK79" s="73" t="s">
        <v>227</v>
      </c>
      <c r="CL79" s="73" t="s">
        <v>227</v>
      </c>
      <c r="CM79" s="73" t="s">
        <v>227</v>
      </c>
      <c r="CN79" s="73" t="s">
        <v>227</v>
      </c>
      <c r="CO79" s="73" t="s">
        <v>227</v>
      </c>
      <c r="CP79" s="73" t="s">
        <v>227</v>
      </c>
      <c r="CQ79" s="73" t="s">
        <v>227</v>
      </c>
      <c r="CR79" s="73" t="s">
        <v>227</v>
      </c>
      <c r="CS79" s="73" t="s">
        <v>227</v>
      </c>
      <c r="CT79" s="73" t="s">
        <v>227</v>
      </c>
      <c r="CU79" s="73" t="s">
        <v>227</v>
      </c>
      <c r="CV79" s="73" t="s">
        <v>227</v>
      </c>
      <c r="CW79" s="73" t="s">
        <v>227</v>
      </c>
      <c r="CX79" s="73" t="s">
        <v>227</v>
      </c>
      <c r="CY79" s="73" t="s">
        <v>227</v>
      </c>
      <c r="CZ79" s="73" t="s">
        <v>227</v>
      </c>
      <c r="DA79" s="73" t="s">
        <v>227</v>
      </c>
      <c r="DB79" s="73" t="s">
        <v>227</v>
      </c>
      <c r="DC79" s="73" t="s">
        <v>227</v>
      </c>
      <c r="DD79" s="73" t="s">
        <v>227</v>
      </c>
      <c r="DE79" s="73" t="s">
        <v>227</v>
      </c>
      <c r="DF79" s="73" t="s">
        <v>227</v>
      </c>
      <c r="DG79" s="73" t="s">
        <v>227</v>
      </c>
      <c r="DH79" s="73" t="s">
        <v>227</v>
      </c>
      <c r="DI79" s="73" t="s">
        <v>227</v>
      </c>
      <c r="DJ79" s="73" t="s">
        <v>227</v>
      </c>
      <c r="DK79" s="73" t="s">
        <v>227</v>
      </c>
      <c r="DL79" s="73" t="s">
        <v>227</v>
      </c>
      <c r="DM79" s="73" t="s">
        <v>227</v>
      </c>
      <c r="DN79" s="73" t="s">
        <v>227</v>
      </c>
      <c r="DO79" s="73" t="s">
        <v>227</v>
      </c>
      <c r="DP79" s="73" t="s">
        <v>227</v>
      </c>
      <c r="DQ79" s="73" t="s">
        <v>227</v>
      </c>
      <c r="DR79" s="73" t="s">
        <v>227</v>
      </c>
      <c r="DS79" s="73" t="s">
        <v>227</v>
      </c>
      <c r="DT79" s="73" t="s">
        <v>227</v>
      </c>
      <c r="DU79" s="73" t="s">
        <v>227</v>
      </c>
      <c r="DV79" s="73" t="s">
        <v>227</v>
      </c>
      <c r="DW79" s="73" t="s">
        <v>227</v>
      </c>
      <c r="DX79" s="73" t="s">
        <v>227</v>
      </c>
      <c r="DY79" s="73" t="s">
        <v>227</v>
      </c>
      <c r="DZ79" s="73" t="s">
        <v>227</v>
      </c>
      <c r="EA79" s="73" t="s">
        <v>227</v>
      </c>
      <c r="EB79" s="73" t="s">
        <v>227</v>
      </c>
      <c r="EC79" s="73" t="s">
        <v>227</v>
      </c>
      <c r="ED79" s="73" t="s">
        <v>227</v>
      </c>
      <c r="EE79" s="73" t="s">
        <v>227</v>
      </c>
      <c r="EF79" s="73" t="s">
        <v>227</v>
      </c>
      <c r="EG79" s="73" t="s">
        <v>227</v>
      </c>
      <c r="EH79" s="73" t="s">
        <v>227</v>
      </c>
      <c r="EI79" s="109">
        <v>44672</v>
      </c>
      <c r="EJ79" s="114" t="s">
        <v>611</v>
      </c>
      <c r="EK79" s="73" t="s">
        <v>227</v>
      </c>
      <c r="EL79" s="73" t="s">
        <v>227</v>
      </c>
      <c r="EM79" s="73" t="s">
        <v>227</v>
      </c>
      <c r="EN79" s="73" t="s">
        <v>227</v>
      </c>
      <c r="EO79" s="73" t="s">
        <v>227</v>
      </c>
      <c r="EP79" s="73" t="s">
        <v>227</v>
      </c>
      <c r="EQ79" s="73" t="s">
        <v>227</v>
      </c>
      <c r="ER79" s="73" t="s">
        <v>227</v>
      </c>
      <c r="ES79" s="73" t="s">
        <v>227</v>
      </c>
      <c r="ET79" s="73" t="s">
        <v>227</v>
      </c>
      <c r="EU79" s="73" t="s">
        <v>227</v>
      </c>
      <c r="EV79" s="73" t="s">
        <v>227</v>
      </c>
      <c r="EW79" s="73" t="s">
        <v>227</v>
      </c>
      <c r="EX79" s="73" t="s">
        <v>227</v>
      </c>
      <c r="EY79" s="73" t="s">
        <v>227</v>
      </c>
      <c r="EZ79" s="73" t="s">
        <v>227</v>
      </c>
      <c r="FA79" s="80" t="s">
        <v>227</v>
      </c>
      <c r="FB79" s="117" t="s">
        <v>227</v>
      </c>
      <c r="FC79" s="79" t="s">
        <v>227</v>
      </c>
      <c r="FD79" s="73" t="s">
        <v>227</v>
      </c>
      <c r="FE79" s="73" t="s">
        <v>227</v>
      </c>
      <c r="FF79" s="73" t="s">
        <v>227</v>
      </c>
      <c r="FG79" s="73" t="s">
        <v>227</v>
      </c>
      <c r="FH79" s="73" t="s">
        <v>227</v>
      </c>
      <c r="FI79" s="73" t="s">
        <v>227</v>
      </c>
      <c r="FJ79" s="73" t="s">
        <v>227</v>
      </c>
      <c r="FK79" s="73" t="s">
        <v>227</v>
      </c>
      <c r="FL79" s="73" t="s">
        <v>227</v>
      </c>
      <c r="FM79" s="73" t="s">
        <v>227</v>
      </c>
      <c r="FN79" s="73" t="s">
        <v>227</v>
      </c>
      <c r="FO79" s="73" t="s">
        <v>227</v>
      </c>
      <c r="FP79" s="73" t="s">
        <v>227</v>
      </c>
      <c r="FQ79" s="73" t="s">
        <v>227</v>
      </c>
      <c r="FR79" s="73" t="s">
        <v>227</v>
      </c>
      <c r="FS79" s="73" t="s">
        <v>227</v>
      </c>
      <c r="FT79" s="73" t="s">
        <v>227</v>
      </c>
      <c r="FU79" s="73" t="s">
        <v>227</v>
      </c>
      <c r="FV79" s="73" t="s">
        <v>227</v>
      </c>
      <c r="FW79" s="73" t="s">
        <v>227</v>
      </c>
      <c r="FX79" s="73" t="s">
        <v>227</v>
      </c>
      <c r="FY79" s="73" t="s">
        <v>227</v>
      </c>
      <c r="FZ79" s="73" t="s">
        <v>227</v>
      </c>
      <c r="GA79" s="73" t="s">
        <v>227</v>
      </c>
      <c r="GB79" s="73" t="s">
        <v>227</v>
      </c>
      <c r="GC79" s="73" t="s">
        <v>227</v>
      </c>
      <c r="GD79" s="73" t="s">
        <v>227</v>
      </c>
      <c r="GE79" s="73" t="s">
        <v>227</v>
      </c>
      <c r="GF79" s="81" t="s">
        <v>236</v>
      </c>
      <c r="GG79" s="84">
        <v>45212</v>
      </c>
      <c r="GH79" s="75" t="s">
        <v>231</v>
      </c>
      <c r="GI79" s="79" t="s">
        <v>231</v>
      </c>
      <c r="GJ79" s="77">
        <v>44708</v>
      </c>
      <c r="GK79" s="77" t="s">
        <v>227</v>
      </c>
      <c r="GL79" s="77" t="s">
        <v>227</v>
      </c>
      <c r="GM79" s="88" t="str">
        <f t="shared" si="73"/>
        <v>N/A</v>
      </c>
      <c r="GN79" s="88" t="str">
        <f t="shared" si="74"/>
        <v>N/A</v>
      </c>
      <c r="GO79" s="88" t="str">
        <f t="shared" si="75"/>
        <v>N/A</v>
      </c>
      <c r="GP79" s="88">
        <f t="shared" si="76"/>
        <v>3.1666666666666665</v>
      </c>
      <c r="GQ79" s="88">
        <f t="shared" si="77"/>
        <v>38.333333333333336</v>
      </c>
      <c r="GR79" s="88" t="str">
        <f t="shared" si="78"/>
        <v>N/A</v>
      </c>
      <c r="GS79" s="88" t="str">
        <f t="shared" si="79"/>
        <v>N/A</v>
      </c>
      <c r="GT79" s="88" t="str">
        <f t="shared" si="80"/>
        <v>N/A</v>
      </c>
      <c r="GU79" s="88" t="str">
        <f t="shared" si="81"/>
        <v>N/A</v>
      </c>
      <c r="GV79" s="88" t="str">
        <f t="shared" si="82"/>
        <v>N/A</v>
      </c>
      <c r="GW79" s="88" t="str">
        <f t="shared" si="83"/>
        <v>N/A</v>
      </c>
      <c r="GX79" s="88" t="str">
        <f t="shared" si="84"/>
        <v>N/A</v>
      </c>
      <c r="GY79" s="88">
        <f t="shared" si="85"/>
        <v>37.533333333333331</v>
      </c>
      <c r="GZ79" s="88" t="str">
        <f t="shared" si="86"/>
        <v>N/A</v>
      </c>
      <c r="HA79" s="88" t="str">
        <f t="shared" si="87"/>
        <v>N/A</v>
      </c>
      <c r="HB79" s="88">
        <f t="shared" si="88"/>
        <v>37.533333333333331</v>
      </c>
      <c r="HC79" s="88">
        <f t="shared" si="89"/>
        <v>55.533333333333331</v>
      </c>
      <c r="HD79" s="88">
        <f t="shared" si="90"/>
        <v>38.733333333333334</v>
      </c>
      <c r="HE79" s="88" t="str">
        <f t="shared" si="91"/>
        <v>N/A</v>
      </c>
      <c r="HF79" s="85">
        <f t="shared" si="92"/>
        <v>55.533333333333331</v>
      </c>
      <c r="HG79" s="85" cm="1">
        <f t="array" ref="HG79">INDEX($HB79:$HD79,MATCH(TRUE,INDEX(ISNUMBER($HB79:$HD79),0),0))</f>
        <v>37.533333333333331</v>
      </c>
      <c r="HH79" s="86">
        <f t="shared" si="93"/>
        <v>1</v>
      </c>
      <c r="HI79" s="86">
        <f t="shared" si="94"/>
        <v>0</v>
      </c>
      <c r="HJ79" s="86">
        <f t="shared" si="95"/>
        <v>1</v>
      </c>
      <c r="HK79" s="161" t="str">
        <f t="shared" si="96"/>
        <v>1</v>
      </c>
    </row>
    <row r="80" spans="1:219" ht="15" customHeight="1" x14ac:dyDescent="0.3">
      <c r="N80" s="90"/>
    </row>
    <row r="81" spans="14:14" ht="15" customHeight="1" x14ac:dyDescent="0.3">
      <c r="N81" s="90"/>
    </row>
    <row r="82" spans="14:14" ht="15" customHeight="1" x14ac:dyDescent="0.3">
      <c r="N82" s="90"/>
    </row>
    <row r="83" spans="14:14" ht="15" customHeight="1" x14ac:dyDescent="0.3">
      <c r="N83" s="90"/>
    </row>
    <row r="84" spans="14:14" ht="15" customHeight="1" x14ac:dyDescent="0.3">
      <c r="N84" s="90"/>
    </row>
    <row r="85" spans="14:14" ht="15" customHeight="1" x14ac:dyDescent="0.3">
      <c r="N85" s="90"/>
    </row>
    <row r="86" spans="14:14" ht="15" customHeight="1" x14ac:dyDescent="0.3">
      <c r="N86" s="90"/>
    </row>
    <row r="87" spans="14:14" ht="15" customHeight="1" x14ac:dyDescent="0.3">
      <c r="N87" s="90"/>
    </row>
    <row r="88" spans="14:14" ht="15" customHeight="1" x14ac:dyDescent="0.3">
      <c r="N88" s="90"/>
    </row>
    <row r="89" spans="14:14" ht="15" customHeight="1" x14ac:dyDescent="0.3">
      <c r="N89" s="90"/>
    </row>
    <row r="90" spans="14:14" ht="15" customHeight="1" x14ac:dyDescent="0.3">
      <c r="N90" s="90"/>
    </row>
    <row r="91" spans="14:14" ht="15" customHeight="1" x14ac:dyDescent="0.3">
      <c r="N91" s="90"/>
    </row>
    <row r="92" spans="14:14" ht="15" customHeight="1" x14ac:dyDescent="0.3">
      <c r="N92" s="90"/>
    </row>
    <row r="93" spans="14:14" ht="15" customHeight="1" x14ac:dyDescent="0.3">
      <c r="N93" s="90"/>
    </row>
    <row r="94" spans="14:14" ht="15" customHeight="1" x14ac:dyDescent="0.3">
      <c r="N94" s="90"/>
    </row>
    <row r="95" spans="14:14" ht="15" customHeight="1" x14ac:dyDescent="0.3">
      <c r="N95" s="90"/>
    </row>
    <row r="96" spans="14:14" ht="15" customHeight="1" x14ac:dyDescent="0.3">
      <c r="N96" s="90"/>
    </row>
    <row r="97" spans="14:14" ht="15" customHeight="1" x14ac:dyDescent="0.3">
      <c r="N97" s="90"/>
    </row>
    <row r="98" spans="14:14" ht="15" customHeight="1" x14ac:dyDescent="0.3">
      <c r="N98" s="90"/>
    </row>
    <row r="99" spans="14:14" ht="15" customHeight="1" x14ac:dyDescent="0.3">
      <c r="N99" s="90"/>
    </row>
    <row r="100" spans="14:14" ht="15" customHeight="1" x14ac:dyDescent="0.3">
      <c r="N100" s="90"/>
    </row>
    <row r="101" spans="14:14" ht="15" customHeight="1" x14ac:dyDescent="0.3">
      <c r="N101" s="90"/>
    </row>
    <row r="102" spans="14:14" ht="15" customHeight="1" x14ac:dyDescent="0.3">
      <c r="N102" s="90"/>
    </row>
    <row r="103" spans="14:14" ht="15" customHeight="1" x14ac:dyDescent="0.3">
      <c r="N103" s="90"/>
    </row>
    <row r="104" spans="14:14" ht="15" customHeight="1" x14ac:dyDescent="0.3">
      <c r="N104" s="90"/>
    </row>
    <row r="105" spans="14:14" ht="15" customHeight="1" x14ac:dyDescent="0.3">
      <c r="N105" s="90"/>
    </row>
    <row r="106" spans="14:14" ht="15" customHeight="1" x14ac:dyDescent="0.3">
      <c r="N106" s="90"/>
    </row>
    <row r="107" spans="14:14" ht="15" customHeight="1" x14ac:dyDescent="0.3">
      <c r="N107" s="90"/>
    </row>
    <row r="108" spans="14:14" ht="15" customHeight="1" x14ac:dyDescent="0.3">
      <c r="N108" s="90"/>
    </row>
    <row r="109" spans="14:14" ht="15" customHeight="1" x14ac:dyDescent="0.3">
      <c r="N109" s="90"/>
    </row>
    <row r="110" spans="14:14" ht="15" customHeight="1" x14ac:dyDescent="0.3">
      <c r="N110" s="90"/>
    </row>
    <row r="111" spans="14:14" ht="15" customHeight="1" x14ac:dyDescent="0.3">
      <c r="N111" s="90"/>
    </row>
    <row r="112" spans="14:14" ht="15" customHeight="1" x14ac:dyDescent="0.3">
      <c r="N112" s="90"/>
    </row>
    <row r="113" spans="14:14" ht="15" customHeight="1" x14ac:dyDescent="0.3">
      <c r="N113" s="90"/>
    </row>
    <row r="114" spans="14:14" ht="15" customHeight="1" x14ac:dyDescent="0.3">
      <c r="N114" s="90"/>
    </row>
  </sheetData>
  <dataValidations count="1">
    <dataValidation type="list" allowBlank="1" showInputMessage="1" showErrorMessage="1" sqref="GF4:GF79" xr:uid="{66257367-C725-43AF-996E-B752A2E1118E}">
      <formula1>"Alive, Deceased"</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9873B8BB-C2ED-451F-8F20-133049F4F09A}">
          <x14:formula1>
            <xm:f>'Calculations &amp; Lists'!$E$2:$E$9</xm:f>
          </x14:formula1>
          <xm:sqref>BS69 BQ4:BR4 CK69 CH69 EV44 EP38:EP40 EK51:EK53 CE69 EY38:EY40 EF17 EC17 DZ17 DW17 DT17 DN17 DQ17 DK17 DH17 DE17 DB17 BV69 CN76:CN78 CS38:CS40 EV38:EV40 GC17 FZ17 FW17 FT17 FQ17 FN17 FK17 FH17 CY17 CV38:CV40 BH78:BH79 EY78 FE17 CB69 BY69 CE17 CB17 BY17 BV17 BS17 CK17 CH17 CK47 CH47 CE47 CB47 BY47 BV47 BS47 BH17 BP17 BM17 EP17 CS17 EY17 EV17 ES17 CV17 EK17 CN17 CN29 ES30 EP30 EK30 EY30:EY31 EV30:EV31 BM32 BH32 BP32 CS33 EV35:EV36 CS35:CS36 EY35:EY36 EP35:EP36 EK35:EK36 ES35:ES36 CV35:CV36 BP34:BP36 BH35:BH36 BM35:BM36 ET12:EU12 ES38:ES40 ES44 EK42:EK47 BM38:BM48 BP38:BP48 CN32:CN48 EK38:EK40 CO11:CR11 EP52 CN50:CN53 BM50:BM53 BP50:BP53 BH50:BH53 EK57:EK58 EP62 EK60:EK62 CN56:CN62 EK64:EK65 EP74 EK67:EK71 BH56:BH70 BP56:BP70 BM56:BM70 CN64:CN74 EK74 CO52:CR52 EP78 ES20:ES27 CV19:CV27 EV20:EV27 EY20:EY27 EK20:EK27 CS19:CS27 CN19:CN27 BM19:BM27 BP19:BP27 BH19:BH27 EP20:EP27 BH4:BH5 BM11:BM15 BH11:BH15 BM4:BM9 BH7:BH9 EP5:EP15 BP4:BP15 CN4:CN15 CS5:CS15 EY5:EY15 EV5:EV15 ES5:ES15 CV5:CV15 BH39:BH48 EK4:EK15 EV78 ES78 EK78 CO78:CR78</xm:sqref>
        </x14:dataValidation>
        <x14:dataValidation type="list" allowBlank="1" showInputMessage="1" showErrorMessage="1" xr:uid="{FC1FA70A-B770-4674-821E-833C79035C90}">
          <x14:formula1>
            <xm:f>'Calculations &amp; Lists'!$G$2:$G$7</xm:f>
          </x14:formula1>
          <xm:sqref>V10 Q6 AP69 Q47 Q38 AP17 AP47 V17:AK17 Q17 Q19 Q69 Q62 Q24 Q43:Q44 Q58 V30 Q30 Q33 V38 V78 Q10:Q13 C4:C79 Q78:Q79</xm:sqref>
        </x14:dataValidation>
        <x14:dataValidation type="list" allowBlank="1" showInputMessage="1" showErrorMessage="1" xr:uid="{10CE9489-21B9-4AF7-8AD5-582F61E8EFA0}">
          <x14:formula1>
            <xm:f>'Calculations &amp; Lists'!$F$2:$F$5</xm:f>
          </x14:formula1>
          <xm:sqref>GH5:GH79 AW4:AW79 BF4:BF79 B4:B79 D4:D79</xm:sqref>
        </x14:dataValidation>
        <x14:dataValidation type="list" allowBlank="1" showInputMessage="1" showErrorMessage="1" xr:uid="{093CD397-5176-4DF9-B49A-C26FAAA98932}">
          <x14:formula1>
            <xm:f>'Calculations &amp; Lists'!$H$2:$H$6</xm:f>
          </x14:formula1>
          <xm:sqref>AV4:AV79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2CB81-FC4C-4459-87B7-958AFA35823D}">
  <sheetPr codeName="Sheet3"/>
  <dimension ref="A1:X73"/>
  <sheetViews>
    <sheetView tabSelected="1" workbookViewId="0">
      <pane xSplit="1" ySplit="1" topLeftCell="O56" activePane="bottomRight" state="frozen"/>
      <selection pane="topRight"/>
      <selection pane="bottomLeft"/>
      <selection pane="bottomRight" activeCell="X2" sqref="X2:X73"/>
    </sheetView>
  </sheetViews>
  <sheetFormatPr defaultRowHeight="12.5" x14ac:dyDescent="0.25"/>
  <cols>
    <col min="1" max="1" width="17.26953125" customWidth="1"/>
    <col min="2" max="2" width="9.7265625" customWidth="1"/>
    <col min="3" max="3" width="28.81640625" customWidth="1"/>
    <col min="4" max="4" width="35.36328125" customWidth="1"/>
    <col min="5" max="5" width="22.54296875" customWidth="1"/>
    <col min="6" max="6" width="22.453125" customWidth="1"/>
    <col min="7" max="7" width="45.08984375" customWidth="1"/>
    <col min="8" max="8" width="21.26953125" customWidth="1"/>
    <col min="9" max="9" width="43" customWidth="1"/>
    <col min="10" max="10" width="28.453125" customWidth="1"/>
    <col min="11" max="11" width="27.36328125" customWidth="1"/>
    <col min="12" max="12" width="27.54296875" customWidth="1"/>
    <col min="13" max="13" width="27.6328125" customWidth="1"/>
    <col min="14" max="14" width="35.36328125" customWidth="1"/>
    <col min="15" max="15" width="22.54296875" customWidth="1"/>
    <col min="16" max="16" width="24.08984375" customWidth="1"/>
    <col min="17" max="17" width="36.453125" customWidth="1"/>
    <col min="18" max="18" width="19.26953125" customWidth="1"/>
    <col min="19" max="19" width="14.26953125" customWidth="1"/>
    <col min="20" max="20" width="18.36328125" customWidth="1"/>
    <col min="21" max="21" width="15.453125" customWidth="1"/>
    <col min="22" max="22" width="12" customWidth="1"/>
    <col min="23" max="23" width="46.7265625" customWidth="1"/>
    <col min="24" max="24" width="10.453125" customWidth="1"/>
  </cols>
  <sheetData>
    <row r="1" spans="1:24" ht="87" customHeight="1" x14ac:dyDescent="0.25">
      <c r="A1" s="45" t="s">
        <v>1</v>
      </c>
      <c r="B1" s="45" t="s">
        <v>612</v>
      </c>
      <c r="C1" s="46" t="s">
        <v>5</v>
      </c>
      <c r="D1" s="96" t="s">
        <v>613</v>
      </c>
      <c r="E1" s="46" t="s">
        <v>614</v>
      </c>
      <c r="F1" s="46" t="s">
        <v>615</v>
      </c>
      <c r="G1" s="46" t="s">
        <v>616</v>
      </c>
      <c r="H1" s="46" t="s">
        <v>617</v>
      </c>
      <c r="I1" s="46" t="s">
        <v>618</v>
      </c>
      <c r="J1" s="46" t="s">
        <v>619</v>
      </c>
      <c r="K1" s="46" t="s">
        <v>620</v>
      </c>
      <c r="L1" s="46" t="s">
        <v>621</v>
      </c>
      <c r="M1" s="46" t="s">
        <v>622</v>
      </c>
      <c r="N1" s="46" t="s">
        <v>623</v>
      </c>
      <c r="O1" s="46" t="s">
        <v>624</v>
      </c>
      <c r="P1" s="46" t="s">
        <v>625</v>
      </c>
      <c r="Q1" s="46" t="s">
        <v>626</v>
      </c>
      <c r="R1" s="46" t="s">
        <v>627</v>
      </c>
      <c r="S1" s="46" t="s">
        <v>628</v>
      </c>
      <c r="T1" s="46" t="s">
        <v>629</v>
      </c>
      <c r="U1" s="92" t="s">
        <v>56</v>
      </c>
      <c r="V1" s="92" t="s">
        <v>57</v>
      </c>
      <c r="W1" s="46" t="s">
        <v>630</v>
      </c>
      <c r="X1" s="46" t="s">
        <v>631</v>
      </c>
    </row>
    <row r="2" spans="1:24" ht="13" x14ac:dyDescent="0.3">
      <c r="A2" s="89">
        <v>4382215706</v>
      </c>
      <c r="B2" s="95" t="s">
        <v>632</v>
      </c>
      <c r="C2" s="68" t="s">
        <v>222</v>
      </c>
      <c r="D2" s="95" t="s">
        <v>227</v>
      </c>
      <c r="E2" s="95" t="s">
        <v>227</v>
      </c>
      <c r="F2" s="95" t="s">
        <v>227</v>
      </c>
      <c r="G2" s="95" t="s">
        <v>227</v>
      </c>
      <c r="H2" s="95" t="s">
        <v>227</v>
      </c>
      <c r="I2" s="95" t="s">
        <v>227</v>
      </c>
      <c r="J2" s="95" t="s">
        <v>227</v>
      </c>
      <c r="K2" s="95" t="s">
        <v>227</v>
      </c>
      <c r="L2" s="95" t="s">
        <v>227</v>
      </c>
      <c r="M2" s="95" t="s">
        <v>227</v>
      </c>
      <c r="N2" s="95" t="s">
        <v>227</v>
      </c>
      <c r="O2" s="95" t="s">
        <v>227</v>
      </c>
      <c r="P2" s="95" t="s">
        <v>227</v>
      </c>
      <c r="Q2" s="95" t="s">
        <v>227</v>
      </c>
      <c r="R2" s="95" t="s">
        <v>227</v>
      </c>
      <c r="S2" s="95" t="s">
        <v>227</v>
      </c>
      <c r="T2" s="95" t="s">
        <v>227</v>
      </c>
      <c r="U2" s="48" t="s">
        <v>633</v>
      </c>
      <c r="V2" s="95" t="s">
        <v>231</v>
      </c>
      <c r="W2" t="s">
        <v>231</v>
      </c>
      <c r="X2" s="95" t="s">
        <v>634</v>
      </c>
    </row>
    <row r="3" spans="1:24" ht="13" x14ac:dyDescent="0.3">
      <c r="A3" s="93">
        <v>4389307614</v>
      </c>
      <c r="B3" s="95" t="s">
        <v>635</v>
      </c>
      <c r="C3" s="48" t="s">
        <v>238</v>
      </c>
      <c r="D3" s="95" t="s">
        <v>227</v>
      </c>
      <c r="E3" s="95" t="s">
        <v>231</v>
      </c>
      <c r="F3" s="95" t="s">
        <v>636</v>
      </c>
      <c r="G3" s="95" t="s">
        <v>227</v>
      </c>
      <c r="H3" s="95" t="s">
        <v>227</v>
      </c>
      <c r="I3" s="95" t="s">
        <v>227</v>
      </c>
      <c r="J3" s="95" t="s">
        <v>227</v>
      </c>
      <c r="K3" s="95" t="s">
        <v>227</v>
      </c>
      <c r="L3" s="95" t="s">
        <v>227</v>
      </c>
      <c r="M3" s="95" t="s">
        <v>227</v>
      </c>
      <c r="N3" s="95" t="s">
        <v>227</v>
      </c>
      <c r="O3" s="95" t="s">
        <v>227</v>
      </c>
      <c r="P3" s="95" t="s">
        <v>227</v>
      </c>
      <c r="Q3" s="95" t="s">
        <v>227</v>
      </c>
      <c r="R3" s="95" t="s">
        <v>227</v>
      </c>
      <c r="S3" s="95" t="s">
        <v>227</v>
      </c>
      <c r="T3" s="95" t="s">
        <v>231</v>
      </c>
      <c r="U3" s="48" t="s">
        <v>633</v>
      </c>
      <c r="V3" s="95" t="s">
        <v>231</v>
      </c>
      <c r="W3" t="s">
        <v>637</v>
      </c>
      <c r="X3" s="95" t="s">
        <v>634</v>
      </c>
    </row>
    <row r="4" spans="1:24" ht="13" x14ac:dyDescent="0.3">
      <c r="A4" s="43">
        <v>4720259707</v>
      </c>
      <c r="B4" s="95" t="s">
        <v>638</v>
      </c>
      <c r="C4" s="43" t="s">
        <v>253</v>
      </c>
      <c r="D4" s="95" t="s">
        <v>253</v>
      </c>
      <c r="E4" s="95" t="s">
        <v>227</v>
      </c>
      <c r="F4" s="95" t="s">
        <v>231</v>
      </c>
      <c r="G4" s="95" t="s">
        <v>227</v>
      </c>
      <c r="H4" s="95" t="s">
        <v>227</v>
      </c>
      <c r="I4" s="95" t="s">
        <v>227</v>
      </c>
      <c r="J4" s="95" t="s">
        <v>227</v>
      </c>
      <c r="K4" s="95" t="s">
        <v>227</v>
      </c>
      <c r="L4" s="95" t="s">
        <v>227</v>
      </c>
      <c r="M4" s="95" t="s">
        <v>227</v>
      </c>
      <c r="N4" s="95" t="s">
        <v>227</v>
      </c>
      <c r="O4" s="95" t="s">
        <v>227</v>
      </c>
      <c r="P4" s="95" t="s">
        <v>227</v>
      </c>
      <c r="Q4" s="95" t="s">
        <v>227</v>
      </c>
      <c r="R4" s="95" t="s">
        <v>227</v>
      </c>
      <c r="S4" s="95" t="s">
        <v>227</v>
      </c>
      <c r="T4" s="95">
        <v>8</v>
      </c>
      <c r="U4" s="48" t="s">
        <v>633</v>
      </c>
      <c r="V4" s="95" t="s">
        <v>231</v>
      </c>
      <c r="W4" t="s">
        <v>231</v>
      </c>
      <c r="X4" s="95" t="s">
        <v>634</v>
      </c>
    </row>
    <row r="5" spans="1:24" ht="13" x14ac:dyDescent="0.3">
      <c r="A5" s="43">
        <v>4381004639</v>
      </c>
      <c r="B5" s="95" t="s">
        <v>639</v>
      </c>
      <c r="C5" s="43" t="s">
        <v>261</v>
      </c>
      <c r="D5" s="105" t="s">
        <v>227</v>
      </c>
      <c r="E5" s="95" t="s">
        <v>227</v>
      </c>
      <c r="F5" s="95" t="s">
        <v>227</v>
      </c>
      <c r="G5" s="95" t="s">
        <v>227</v>
      </c>
      <c r="H5" s="95" t="s">
        <v>227</v>
      </c>
      <c r="I5" s="95" t="s">
        <v>227</v>
      </c>
      <c r="J5" s="95" t="s">
        <v>227</v>
      </c>
      <c r="K5" s="95" t="s">
        <v>227</v>
      </c>
      <c r="L5" s="95" t="s">
        <v>227</v>
      </c>
      <c r="M5" s="95" t="s">
        <v>227</v>
      </c>
      <c r="N5" s="95" t="s">
        <v>227</v>
      </c>
      <c r="O5" s="95" t="s">
        <v>227</v>
      </c>
      <c r="P5" s="95" t="s">
        <v>227</v>
      </c>
      <c r="Q5" s="95" t="s">
        <v>227</v>
      </c>
      <c r="R5" s="95" t="s">
        <v>227</v>
      </c>
      <c r="S5" s="95" t="s">
        <v>227</v>
      </c>
      <c r="T5" s="95">
        <v>0</v>
      </c>
      <c r="U5" s="48" t="s">
        <v>633</v>
      </c>
      <c r="V5" s="95" t="s">
        <v>231</v>
      </c>
      <c r="W5" t="s">
        <v>637</v>
      </c>
      <c r="X5" s="95" t="s">
        <v>634</v>
      </c>
    </row>
    <row r="6" spans="1:24" ht="13" x14ac:dyDescent="0.3">
      <c r="A6" s="43">
        <v>4381475976</v>
      </c>
      <c r="B6" s="95" t="s">
        <v>640</v>
      </c>
      <c r="C6" s="43" t="s">
        <v>270</v>
      </c>
      <c r="D6" s="95" t="s">
        <v>227</v>
      </c>
      <c r="E6" s="95" t="s">
        <v>227</v>
      </c>
      <c r="F6" s="95" t="s">
        <v>227</v>
      </c>
      <c r="G6" s="95" t="s">
        <v>227</v>
      </c>
      <c r="H6" s="95" t="s">
        <v>227</v>
      </c>
      <c r="I6" s="95" t="s">
        <v>227</v>
      </c>
      <c r="J6" s="95" t="s">
        <v>227</v>
      </c>
      <c r="K6" s="95" t="s">
        <v>227</v>
      </c>
      <c r="L6" s="95" t="s">
        <v>227</v>
      </c>
      <c r="M6" s="95" t="s">
        <v>227</v>
      </c>
      <c r="N6" s="95" t="s">
        <v>227</v>
      </c>
      <c r="O6" s="95" t="s">
        <v>227</v>
      </c>
      <c r="P6" s="95" t="s">
        <v>227</v>
      </c>
      <c r="Q6" s="95" t="s">
        <v>227</v>
      </c>
      <c r="R6" s="95" t="s">
        <v>227</v>
      </c>
      <c r="S6" s="95" t="s">
        <v>227</v>
      </c>
      <c r="T6" s="95">
        <v>6</v>
      </c>
      <c r="U6" s="48" t="s">
        <v>633</v>
      </c>
      <c r="V6" s="95" t="s">
        <v>231</v>
      </c>
      <c r="W6" t="s">
        <v>637</v>
      </c>
      <c r="X6" s="95" t="s">
        <v>634</v>
      </c>
    </row>
    <row r="7" spans="1:24" ht="13" x14ac:dyDescent="0.3">
      <c r="A7" s="43">
        <v>4388002216</v>
      </c>
      <c r="B7" s="95" t="s">
        <v>641</v>
      </c>
      <c r="C7" s="43" t="s">
        <v>281</v>
      </c>
      <c r="D7" s="97" t="s">
        <v>227</v>
      </c>
      <c r="E7" s="95" t="s">
        <v>227</v>
      </c>
      <c r="F7" s="95" t="s">
        <v>227</v>
      </c>
      <c r="G7" s="95" t="s">
        <v>227</v>
      </c>
      <c r="H7" s="95" t="s">
        <v>227</v>
      </c>
      <c r="I7" s="95" t="s">
        <v>227</v>
      </c>
      <c r="J7" s="95" t="s">
        <v>227</v>
      </c>
      <c r="K7" s="95" t="s">
        <v>227</v>
      </c>
      <c r="L7" s="95" t="s">
        <v>227</v>
      </c>
      <c r="M7" s="95" t="s">
        <v>227</v>
      </c>
      <c r="N7" s="95" t="s">
        <v>227</v>
      </c>
      <c r="O7" s="95" t="s">
        <v>227</v>
      </c>
      <c r="P7" s="95" t="s">
        <v>227</v>
      </c>
      <c r="Q7" s="95" t="s">
        <v>227</v>
      </c>
      <c r="R7" s="95" t="s">
        <v>227</v>
      </c>
      <c r="S7" s="95" t="s">
        <v>227</v>
      </c>
      <c r="T7" s="97" t="s">
        <v>227</v>
      </c>
      <c r="U7" s="48" t="s">
        <v>633</v>
      </c>
      <c r="V7" s="95" t="s">
        <v>231</v>
      </c>
      <c r="W7" t="s">
        <v>637</v>
      </c>
      <c r="X7" s="95" t="s">
        <v>634</v>
      </c>
    </row>
    <row r="8" spans="1:24" ht="13" x14ac:dyDescent="0.3">
      <c r="A8" s="43">
        <v>4308901790</v>
      </c>
      <c r="B8" s="95" t="s">
        <v>642</v>
      </c>
      <c r="C8" s="44" t="s">
        <v>293</v>
      </c>
      <c r="D8" s="95" t="s">
        <v>227</v>
      </c>
      <c r="E8" s="79" t="s">
        <v>227</v>
      </c>
      <c r="F8" s="73" t="s">
        <v>227</v>
      </c>
      <c r="G8" s="43" t="s">
        <v>227</v>
      </c>
      <c r="H8" s="43" t="s">
        <v>227</v>
      </c>
      <c r="I8" s="43" t="s">
        <v>227</v>
      </c>
      <c r="J8" s="43" t="s">
        <v>227</v>
      </c>
      <c r="K8" s="43" t="s">
        <v>227</v>
      </c>
      <c r="L8" s="43" t="s">
        <v>227</v>
      </c>
      <c r="M8" s="43" t="s">
        <v>227</v>
      </c>
      <c r="N8" s="43" t="s">
        <v>227</v>
      </c>
      <c r="O8" s="43" t="s">
        <v>227</v>
      </c>
      <c r="P8" s="43" t="s">
        <v>227</v>
      </c>
      <c r="Q8" s="43" t="s">
        <v>227</v>
      </c>
      <c r="R8" s="43" t="s">
        <v>227</v>
      </c>
      <c r="S8" s="44" t="s">
        <v>227</v>
      </c>
      <c r="T8" s="95" t="s">
        <v>227</v>
      </c>
      <c r="U8" s="48" t="s">
        <v>633</v>
      </c>
      <c r="V8" s="95" t="s">
        <v>300</v>
      </c>
      <c r="W8" t="s">
        <v>637</v>
      </c>
      <c r="X8" s="95" t="s">
        <v>634</v>
      </c>
    </row>
    <row r="9" spans="1:24" ht="13" x14ac:dyDescent="0.3">
      <c r="A9" s="43">
        <v>4463583314</v>
      </c>
      <c r="B9" s="95" t="s">
        <v>643</v>
      </c>
      <c r="C9" s="44" t="s">
        <v>306</v>
      </c>
      <c r="D9" s="95" t="s">
        <v>227</v>
      </c>
      <c r="E9" s="100" t="s">
        <v>227</v>
      </c>
      <c r="F9" s="95" t="s">
        <v>227</v>
      </c>
      <c r="G9" s="95" t="s">
        <v>227</v>
      </c>
      <c r="H9" s="95" t="s">
        <v>227</v>
      </c>
      <c r="I9" s="95" t="s">
        <v>227</v>
      </c>
      <c r="J9" s="95" t="s">
        <v>227</v>
      </c>
      <c r="K9" s="95" t="s">
        <v>227</v>
      </c>
      <c r="L9" s="95" t="s">
        <v>227</v>
      </c>
      <c r="M9" s="95" t="s">
        <v>227</v>
      </c>
      <c r="N9" s="95" t="s">
        <v>227</v>
      </c>
      <c r="O9" s="95" t="s">
        <v>227</v>
      </c>
      <c r="P9" s="95" t="s">
        <v>227</v>
      </c>
      <c r="Q9" s="95" t="s">
        <v>227</v>
      </c>
      <c r="R9" s="95" t="s">
        <v>227</v>
      </c>
      <c r="S9" s="102" t="s">
        <v>227</v>
      </c>
      <c r="T9" s="95" t="s">
        <v>227</v>
      </c>
      <c r="U9" s="48" t="s">
        <v>633</v>
      </c>
      <c r="V9" s="95" t="s">
        <v>231</v>
      </c>
      <c r="W9" t="s">
        <v>637</v>
      </c>
      <c r="X9" s="95" t="s">
        <v>634</v>
      </c>
    </row>
    <row r="10" spans="1:24" ht="13" x14ac:dyDescent="0.3">
      <c r="A10" s="43">
        <v>4949035150</v>
      </c>
      <c r="B10" s="95" t="s">
        <v>644</v>
      </c>
      <c r="C10" s="44" t="s">
        <v>314</v>
      </c>
      <c r="D10" s="95" t="s">
        <v>227</v>
      </c>
      <c r="E10" s="103" t="s">
        <v>231</v>
      </c>
      <c r="F10" s="101" t="s">
        <v>636</v>
      </c>
      <c r="G10" s="105" t="s">
        <v>227</v>
      </c>
      <c r="H10" s="105" t="s">
        <v>227</v>
      </c>
      <c r="I10" s="105" t="s">
        <v>227</v>
      </c>
      <c r="J10" s="105" t="s">
        <v>227</v>
      </c>
      <c r="K10" s="105" t="s">
        <v>227</v>
      </c>
      <c r="L10" s="105" t="s">
        <v>227</v>
      </c>
      <c r="M10" s="105" t="s">
        <v>227</v>
      </c>
      <c r="N10" s="105" t="s">
        <v>227</v>
      </c>
      <c r="O10" s="105" t="s">
        <v>227</v>
      </c>
      <c r="P10" s="105" t="s">
        <v>227</v>
      </c>
      <c r="Q10" s="105" t="s">
        <v>227</v>
      </c>
      <c r="R10" s="105" t="s">
        <v>227</v>
      </c>
      <c r="S10" s="105" t="s">
        <v>227</v>
      </c>
      <c r="T10" s="107" t="s">
        <v>645</v>
      </c>
      <c r="U10" s="48" t="s">
        <v>633</v>
      </c>
      <c r="V10" s="95" t="s">
        <v>300</v>
      </c>
      <c r="W10" t="s">
        <v>646</v>
      </c>
      <c r="X10" s="95" t="s">
        <v>634</v>
      </c>
    </row>
    <row r="11" spans="1:24" ht="13" x14ac:dyDescent="0.3">
      <c r="A11" s="43">
        <v>4387610336</v>
      </c>
      <c r="B11" s="95" t="s">
        <v>647</v>
      </c>
      <c r="C11" s="44" t="s">
        <v>324</v>
      </c>
      <c r="D11" s="95" t="s">
        <v>227</v>
      </c>
      <c r="E11" s="106" t="s">
        <v>231</v>
      </c>
      <c r="F11" s="105" t="s">
        <v>636</v>
      </c>
      <c r="G11" s="105" t="s">
        <v>648</v>
      </c>
      <c r="H11" s="105" t="s">
        <v>231</v>
      </c>
      <c r="I11" s="105" t="s">
        <v>649</v>
      </c>
      <c r="J11" s="105" t="s">
        <v>645</v>
      </c>
      <c r="K11" s="105" t="s">
        <v>645</v>
      </c>
      <c r="L11" s="105" t="s">
        <v>645</v>
      </c>
      <c r="M11" s="105" t="s">
        <v>645</v>
      </c>
      <c r="N11" s="105" t="s">
        <v>227</v>
      </c>
      <c r="O11" s="105" t="s">
        <v>227</v>
      </c>
      <c r="P11" s="105" t="s">
        <v>227</v>
      </c>
      <c r="Q11" s="105" t="s">
        <v>227</v>
      </c>
      <c r="R11" s="105" t="s">
        <v>227</v>
      </c>
      <c r="S11" s="105" t="s">
        <v>227</v>
      </c>
      <c r="T11" s="105" t="s">
        <v>650</v>
      </c>
      <c r="U11" s="48" t="s">
        <v>633</v>
      </c>
      <c r="V11" s="95" t="s">
        <v>231</v>
      </c>
      <c r="W11" t="s">
        <v>637</v>
      </c>
      <c r="X11" s="95" t="s">
        <v>634</v>
      </c>
    </row>
    <row r="12" spans="1:24" ht="13" x14ac:dyDescent="0.3">
      <c r="A12" s="43">
        <v>4384281684</v>
      </c>
      <c r="B12" s="95" t="s">
        <v>651</v>
      </c>
      <c r="C12" s="43" t="s">
        <v>329</v>
      </c>
      <c r="D12" s="104" t="s">
        <v>227</v>
      </c>
      <c r="E12" s="95" t="s">
        <v>231</v>
      </c>
      <c r="F12" s="95" t="s">
        <v>636</v>
      </c>
      <c r="G12" s="95" t="s">
        <v>227</v>
      </c>
      <c r="H12" s="95" t="s">
        <v>227</v>
      </c>
      <c r="I12" s="95" t="s">
        <v>227</v>
      </c>
      <c r="J12" s="95" t="s">
        <v>227</v>
      </c>
      <c r="K12" s="95" t="s">
        <v>227</v>
      </c>
      <c r="L12" s="95" t="s">
        <v>227</v>
      </c>
      <c r="M12" s="95" t="s">
        <v>227</v>
      </c>
      <c r="N12" s="95" t="s">
        <v>227</v>
      </c>
      <c r="O12" s="95" t="s">
        <v>227</v>
      </c>
      <c r="P12" s="95" t="s">
        <v>227</v>
      </c>
      <c r="Q12" s="95" t="s">
        <v>227</v>
      </c>
      <c r="R12" s="95" t="s">
        <v>227</v>
      </c>
      <c r="S12" s="95" t="s">
        <v>227</v>
      </c>
      <c r="T12" s="105">
        <v>2</v>
      </c>
      <c r="U12" s="48" t="s">
        <v>633</v>
      </c>
      <c r="V12" s="95" t="s">
        <v>231</v>
      </c>
      <c r="W12" t="s">
        <v>637</v>
      </c>
      <c r="X12" s="95" t="s">
        <v>634</v>
      </c>
    </row>
    <row r="13" spans="1:24" ht="13" x14ac:dyDescent="0.3">
      <c r="A13" s="43">
        <v>4507920035</v>
      </c>
      <c r="B13" s="95" t="s">
        <v>652</v>
      </c>
      <c r="C13" s="43" t="s">
        <v>336</v>
      </c>
      <c r="D13" s="95" t="s">
        <v>227</v>
      </c>
      <c r="E13" s="95" t="s">
        <v>227</v>
      </c>
      <c r="F13" s="95" t="s">
        <v>227</v>
      </c>
      <c r="G13" s="95" t="s">
        <v>227</v>
      </c>
      <c r="H13" s="95" t="s">
        <v>227</v>
      </c>
      <c r="I13" s="95" t="s">
        <v>227</v>
      </c>
      <c r="J13" s="95" t="s">
        <v>227</v>
      </c>
      <c r="K13" s="95" t="s">
        <v>227</v>
      </c>
      <c r="L13" s="95" t="s">
        <v>227</v>
      </c>
      <c r="M13" s="95" t="s">
        <v>227</v>
      </c>
      <c r="N13" s="95" t="s">
        <v>227</v>
      </c>
      <c r="O13" s="95" t="s">
        <v>227</v>
      </c>
      <c r="P13" s="95" t="s">
        <v>227</v>
      </c>
      <c r="Q13" s="95" t="s">
        <v>227</v>
      </c>
      <c r="R13" s="95" t="s">
        <v>227</v>
      </c>
      <c r="S13" s="95" t="s">
        <v>227</v>
      </c>
      <c r="T13" s="95" t="s">
        <v>227</v>
      </c>
      <c r="U13" s="48" t="s">
        <v>633</v>
      </c>
      <c r="V13" s="95" t="s">
        <v>231</v>
      </c>
      <c r="W13" t="s">
        <v>637</v>
      </c>
      <c r="X13" s="95" t="s">
        <v>634</v>
      </c>
    </row>
    <row r="14" spans="1:24" ht="13" x14ac:dyDescent="0.3">
      <c r="A14" s="43">
        <v>4508580866</v>
      </c>
      <c r="B14" s="95" t="s">
        <v>653</v>
      </c>
      <c r="C14" s="43" t="s">
        <v>343</v>
      </c>
      <c r="D14" s="95" t="s">
        <v>227</v>
      </c>
      <c r="E14" s="95" t="s">
        <v>227</v>
      </c>
      <c r="F14" s="95" t="s">
        <v>227</v>
      </c>
      <c r="G14" s="95" t="s">
        <v>227</v>
      </c>
      <c r="H14" s="95" t="s">
        <v>227</v>
      </c>
      <c r="I14" s="95" t="s">
        <v>227</v>
      </c>
      <c r="J14" s="95" t="s">
        <v>227</v>
      </c>
      <c r="K14" s="95" t="s">
        <v>227</v>
      </c>
      <c r="L14" s="95" t="s">
        <v>227</v>
      </c>
      <c r="M14" s="95" t="s">
        <v>227</v>
      </c>
      <c r="N14" s="95" t="s">
        <v>227</v>
      </c>
      <c r="O14" s="95" t="s">
        <v>227</v>
      </c>
      <c r="P14" s="95" t="s">
        <v>227</v>
      </c>
      <c r="Q14" s="95" t="s">
        <v>227</v>
      </c>
      <c r="R14" s="95" t="s">
        <v>227</v>
      </c>
      <c r="S14" s="95" t="s">
        <v>227</v>
      </c>
      <c r="T14" s="95" t="s">
        <v>227</v>
      </c>
      <c r="U14" s="48" t="s">
        <v>633</v>
      </c>
      <c r="V14" s="95" t="s">
        <v>231</v>
      </c>
      <c r="W14" t="s">
        <v>637</v>
      </c>
      <c r="X14" s="95" t="s">
        <v>634</v>
      </c>
    </row>
    <row r="15" spans="1:24" ht="13" x14ac:dyDescent="0.3">
      <c r="A15" s="43">
        <v>6243922782</v>
      </c>
      <c r="B15" s="95" t="s">
        <v>654</v>
      </c>
      <c r="C15" s="43" t="s">
        <v>351</v>
      </c>
      <c r="D15" s="95" t="s">
        <v>655</v>
      </c>
      <c r="E15" s="95" t="s">
        <v>231</v>
      </c>
      <c r="F15" s="95" t="s">
        <v>649</v>
      </c>
      <c r="G15" s="95" t="s">
        <v>655</v>
      </c>
      <c r="H15" s="95" t="s">
        <v>231</v>
      </c>
      <c r="I15" s="95" t="s">
        <v>636</v>
      </c>
      <c r="J15" s="95" t="s">
        <v>650</v>
      </c>
      <c r="K15" s="95" t="s">
        <v>650</v>
      </c>
      <c r="L15" s="95" t="s">
        <v>645</v>
      </c>
      <c r="M15" s="95" t="s">
        <v>645</v>
      </c>
      <c r="N15" s="95" t="s">
        <v>227</v>
      </c>
      <c r="O15" s="95" t="s">
        <v>227</v>
      </c>
      <c r="P15" s="95" t="s">
        <v>227</v>
      </c>
      <c r="Q15" s="95" t="s">
        <v>227</v>
      </c>
      <c r="R15" s="95" t="s">
        <v>227</v>
      </c>
      <c r="S15" s="95" t="s">
        <v>227</v>
      </c>
      <c r="T15" s="95" t="s">
        <v>645</v>
      </c>
      <c r="U15" s="48" t="s">
        <v>633</v>
      </c>
      <c r="V15" s="95" t="s">
        <v>231</v>
      </c>
      <c r="W15" t="s">
        <v>637</v>
      </c>
      <c r="X15" s="95" t="s">
        <v>634</v>
      </c>
    </row>
    <row r="16" spans="1:24" ht="13" x14ac:dyDescent="0.3">
      <c r="A16" s="43">
        <v>4363163534</v>
      </c>
      <c r="B16" s="95" t="s">
        <v>656</v>
      </c>
      <c r="C16" s="43" t="s">
        <v>353</v>
      </c>
      <c r="D16" s="95" t="s">
        <v>657</v>
      </c>
      <c r="E16" s="95" t="s">
        <v>231</v>
      </c>
      <c r="F16" s="95" t="s">
        <v>649</v>
      </c>
      <c r="G16" s="95" t="s">
        <v>657</v>
      </c>
      <c r="H16" s="95" t="s">
        <v>231</v>
      </c>
      <c r="I16" s="95" t="s">
        <v>649</v>
      </c>
      <c r="J16" s="95" t="s">
        <v>645</v>
      </c>
      <c r="K16" s="95" t="s">
        <v>645</v>
      </c>
      <c r="L16" s="95" t="s">
        <v>645</v>
      </c>
      <c r="M16" s="95" t="s">
        <v>645</v>
      </c>
      <c r="N16" s="95" t="s">
        <v>227</v>
      </c>
      <c r="O16" s="95" t="s">
        <v>227</v>
      </c>
      <c r="P16" s="95" t="s">
        <v>227</v>
      </c>
      <c r="Q16" s="95" t="s">
        <v>227</v>
      </c>
      <c r="R16" s="95" t="s">
        <v>227</v>
      </c>
      <c r="S16" s="95" t="s">
        <v>227</v>
      </c>
      <c r="T16" s="95">
        <v>8</v>
      </c>
      <c r="U16" s="48" t="s">
        <v>633</v>
      </c>
      <c r="V16" s="95" t="s">
        <v>361</v>
      </c>
      <c r="W16" t="s">
        <v>637</v>
      </c>
      <c r="X16" s="95" t="s">
        <v>634</v>
      </c>
    </row>
    <row r="17" spans="1:24" ht="13" x14ac:dyDescent="0.3">
      <c r="A17" s="43">
        <v>4085601830</v>
      </c>
      <c r="B17" s="95" t="s">
        <v>658</v>
      </c>
      <c r="C17" s="43" t="s">
        <v>363</v>
      </c>
      <c r="D17" s="95" t="s">
        <v>659</v>
      </c>
      <c r="E17" s="95" t="s">
        <v>231</v>
      </c>
      <c r="F17" s="95" t="s">
        <v>636</v>
      </c>
      <c r="G17" s="95" t="s">
        <v>659</v>
      </c>
      <c r="H17" s="95" t="s">
        <v>231</v>
      </c>
      <c r="I17" s="95" t="s">
        <v>649</v>
      </c>
      <c r="J17" s="95" t="s">
        <v>645</v>
      </c>
      <c r="K17" s="95" t="s">
        <v>645</v>
      </c>
      <c r="L17" s="95" t="s">
        <v>645</v>
      </c>
      <c r="M17" s="95" t="s">
        <v>645</v>
      </c>
      <c r="N17" s="95" t="s">
        <v>227</v>
      </c>
      <c r="O17" s="95" t="s">
        <v>227</v>
      </c>
      <c r="P17" s="95" t="s">
        <v>227</v>
      </c>
      <c r="Q17" s="95" t="s">
        <v>227</v>
      </c>
      <c r="R17" s="95" t="s">
        <v>227</v>
      </c>
      <c r="S17" s="95" t="s">
        <v>227</v>
      </c>
      <c r="T17" s="95" t="s">
        <v>645</v>
      </c>
      <c r="U17" s="48" t="s">
        <v>633</v>
      </c>
      <c r="V17" s="95" t="s">
        <v>231</v>
      </c>
      <c r="W17" t="s">
        <v>637</v>
      </c>
      <c r="X17" s="95" t="s">
        <v>634</v>
      </c>
    </row>
    <row r="18" spans="1:24" ht="13" x14ac:dyDescent="0.3">
      <c r="A18" s="43">
        <v>4145574028</v>
      </c>
      <c r="B18" s="95" t="s">
        <v>660</v>
      </c>
      <c r="C18" s="43" t="s">
        <v>366</v>
      </c>
      <c r="D18" s="95" t="s">
        <v>661</v>
      </c>
      <c r="E18" s="95" t="s">
        <v>231</v>
      </c>
      <c r="F18" s="95" t="s">
        <v>649</v>
      </c>
      <c r="G18" s="95" t="s">
        <v>661</v>
      </c>
      <c r="H18" s="95" t="s">
        <v>231</v>
      </c>
      <c r="I18" s="95" t="s">
        <v>636</v>
      </c>
      <c r="J18" s="95" t="s">
        <v>650</v>
      </c>
      <c r="K18" s="95" t="s">
        <v>650</v>
      </c>
      <c r="L18" s="95" t="s">
        <v>645</v>
      </c>
      <c r="M18" s="95" t="s">
        <v>645</v>
      </c>
      <c r="N18" s="95" t="s">
        <v>227</v>
      </c>
      <c r="O18" s="95" t="s">
        <v>227</v>
      </c>
      <c r="P18" s="95" t="s">
        <v>227</v>
      </c>
      <c r="Q18" s="95" t="s">
        <v>227</v>
      </c>
      <c r="R18" s="95" t="s">
        <v>227</v>
      </c>
      <c r="S18" s="95" t="s">
        <v>227</v>
      </c>
      <c r="T18" s="95" t="s">
        <v>645</v>
      </c>
      <c r="U18" s="48" t="s">
        <v>633</v>
      </c>
      <c r="V18" s="95" t="s">
        <v>370</v>
      </c>
      <c r="W18" t="s">
        <v>637</v>
      </c>
      <c r="X18" s="95" t="s">
        <v>634</v>
      </c>
    </row>
    <row r="19" spans="1:24" ht="13" x14ac:dyDescent="0.3">
      <c r="A19" s="43">
        <v>4829120444</v>
      </c>
      <c r="B19" s="95" t="s">
        <v>662</v>
      </c>
      <c r="C19" s="43" t="s">
        <v>372</v>
      </c>
      <c r="D19" s="95" t="s">
        <v>227</v>
      </c>
      <c r="E19" s="95" t="s">
        <v>227</v>
      </c>
      <c r="F19" s="95" t="s">
        <v>227</v>
      </c>
      <c r="G19" s="95" t="s">
        <v>227</v>
      </c>
      <c r="H19" s="95" t="s">
        <v>227</v>
      </c>
      <c r="I19" s="95" t="s">
        <v>227</v>
      </c>
      <c r="J19" s="95" t="s">
        <v>227</v>
      </c>
      <c r="K19" s="95" t="s">
        <v>227</v>
      </c>
      <c r="L19" s="95" t="s">
        <v>227</v>
      </c>
      <c r="M19" s="95" t="s">
        <v>227</v>
      </c>
      <c r="N19" s="95" t="s">
        <v>227</v>
      </c>
      <c r="O19" s="95" t="s">
        <v>227</v>
      </c>
      <c r="P19" s="95" t="s">
        <v>227</v>
      </c>
      <c r="Q19" s="95" t="s">
        <v>227</v>
      </c>
      <c r="R19" s="95" t="s">
        <v>227</v>
      </c>
      <c r="S19" s="95" t="s">
        <v>227</v>
      </c>
      <c r="T19" s="95" t="s">
        <v>227</v>
      </c>
      <c r="U19" s="48" t="s">
        <v>633</v>
      </c>
      <c r="V19" s="95" t="s">
        <v>377</v>
      </c>
      <c r="W19" t="s">
        <v>637</v>
      </c>
      <c r="X19" s="95" t="s">
        <v>634</v>
      </c>
    </row>
    <row r="20" spans="1:24" ht="13" x14ac:dyDescent="0.3">
      <c r="A20" s="43">
        <v>4583577109</v>
      </c>
      <c r="B20" s="95" t="s">
        <v>663</v>
      </c>
      <c r="C20" s="43" t="s">
        <v>379</v>
      </c>
      <c r="D20" s="95" t="s">
        <v>664</v>
      </c>
      <c r="E20" s="95" t="s">
        <v>231</v>
      </c>
      <c r="F20" s="95" t="s">
        <v>649</v>
      </c>
      <c r="G20" s="95" t="s">
        <v>664</v>
      </c>
      <c r="H20" s="95" t="s">
        <v>231</v>
      </c>
      <c r="I20" s="95" t="s">
        <v>636</v>
      </c>
      <c r="J20" s="95" t="s">
        <v>650</v>
      </c>
      <c r="K20" s="95" t="s">
        <v>650</v>
      </c>
      <c r="L20" s="95" t="s">
        <v>645</v>
      </c>
      <c r="M20" s="95" t="s">
        <v>645</v>
      </c>
      <c r="N20" s="95" t="s">
        <v>227</v>
      </c>
      <c r="O20" s="95" t="s">
        <v>227</v>
      </c>
      <c r="P20" s="95" t="s">
        <v>227</v>
      </c>
      <c r="Q20" s="95" t="s">
        <v>227</v>
      </c>
      <c r="R20" s="95" t="s">
        <v>227</v>
      </c>
      <c r="S20" s="95" t="s">
        <v>227</v>
      </c>
      <c r="T20" s="95" t="s">
        <v>645</v>
      </c>
      <c r="U20" s="48" t="s">
        <v>633</v>
      </c>
      <c r="V20" s="95" t="s">
        <v>231</v>
      </c>
      <c r="W20" t="s">
        <v>637</v>
      </c>
      <c r="X20" s="95" t="s">
        <v>634</v>
      </c>
    </row>
    <row r="21" spans="1:24" ht="13" x14ac:dyDescent="0.3">
      <c r="A21" s="43">
        <v>4607765821</v>
      </c>
      <c r="B21" s="95" t="s">
        <v>665</v>
      </c>
      <c r="C21" s="43" t="s">
        <v>395</v>
      </c>
      <c r="D21" s="95" t="s">
        <v>666</v>
      </c>
      <c r="E21" s="95" t="s">
        <v>231</v>
      </c>
      <c r="F21" s="95" t="s">
        <v>649</v>
      </c>
      <c r="G21" s="95" t="s">
        <v>666</v>
      </c>
      <c r="H21" s="95" t="s">
        <v>231</v>
      </c>
      <c r="I21" s="95" t="s">
        <v>636</v>
      </c>
      <c r="J21" s="95" t="s">
        <v>650</v>
      </c>
      <c r="K21" s="95" t="s">
        <v>650</v>
      </c>
      <c r="L21" s="95" t="s">
        <v>645</v>
      </c>
      <c r="M21" s="95" t="s">
        <v>645</v>
      </c>
      <c r="N21" s="95" t="s">
        <v>227</v>
      </c>
      <c r="O21" s="95" t="s">
        <v>227</v>
      </c>
      <c r="P21" s="95" t="s">
        <v>227</v>
      </c>
      <c r="Q21" s="95" t="s">
        <v>227</v>
      </c>
      <c r="R21" s="95" t="s">
        <v>227</v>
      </c>
      <c r="S21" s="95" t="s">
        <v>227</v>
      </c>
      <c r="T21" s="95" t="s">
        <v>645</v>
      </c>
      <c r="U21" s="48" t="s">
        <v>633</v>
      </c>
      <c r="V21" s="95" t="s">
        <v>231</v>
      </c>
      <c r="W21" t="s">
        <v>637</v>
      </c>
      <c r="X21" s="95" t="s">
        <v>634</v>
      </c>
    </row>
    <row r="22" spans="1:24" ht="13" x14ac:dyDescent="0.3">
      <c r="A22" s="43">
        <v>4963025051</v>
      </c>
      <c r="B22" s="95" t="s">
        <v>667</v>
      </c>
      <c r="C22" s="43" t="s">
        <v>397</v>
      </c>
      <c r="D22" s="95" t="s">
        <v>227</v>
      </c>
      <c r="E22" s="95" t="s">
        <v>231</v>
      </c>
      <c r="F22" s="95" t="s">
        <v>649</v>
      </c>
      <c r="G22" s="95" t="s">
        <v>227</v>
      </c>
      <c r="H22" s="95" t="s">
        <v>231</v>
      </c>
      <c r="I22" s="95" t="s">
        <v>636</v>
      </c>
      <c r="J22" s="95" t="s">
        <v>650</v>
      </c>
      <c r="K22" s="95" t="s">
        <v>650</v>
      </c>
      <c r="L22" s="95" t="s">
        <v>645</v>
      </c>
      <c r="M22" s="95" t="s">
        <v>645</v>
      </c>
      <c r="N22" s="95" t="s">
        <v>227</v>
      </c>
      <c r="O22" s="95" t="s">
        <v>227</v>
      </c>
      <c r="P22" s="95" t="s">
        <v>227</v>
      </c>
      <c r="Q22" s="95" t="s">
        <v>227</v>
      </c>
      <c r="R22" s="95" t="s">
        <v>227</v>
      </c>
      <c r="S22" s="95" t="s">
        <v>227</v>
      </c>
      <c r="T22" s="95">
        <v>7</v>
      </c>
      <c r="U22" s="48" t="s">
        <v>633</v>
      </c>
      <c r="V22" s="95" t="s">
        <v>401</v>
      </c>
      <c r="W22" t="s">
        <v>637</v>
      </c>
      <c r="X22" s="95" t="s">
        <v>634</v>
      </c>
    </row>
    <row r="23" spans="1:24" ht="13" x14ac:dyDescent="0.3">
      <c r="A23" s="43">
        <v>4520840074</v>
      </c>
      <c r="B23" s="95" t="s">
        <v>668</v>
      </c>
      <c r="C23" s="43" t="s">
        <v>403</v>
      </c>
      <c r="D23" s="95" t="s">
        <v>227</v>
      </c>
      <c r="E23" s="95" t="s">
        <v>337</v>
      </c>
      <c r="F23" s="95" t="s">
        <v>636</v>
      </c>
      <c r="G23" s="95" t="s">
        <v>227</v>
      </c>
      <c r="H23" s="95" t="s">
        <v>231</v>
      </c>
      <c r="I23" s="95" t="s">
        <v>649</v>
      </c>
      <c r="J23" s="95" t="s">
        <v>645</v>
      </c>
      <c r="K23" s="95" t="s">
        <v>645</v>
      </c>
      <c r="L23" s="95" t="s">
        <v>645</v>
      </c>
      <c r="M23" s="95" t="s">
        <v>645</v>
      </c>
      <c r="N23" s="95" t="s">
        <v>227</v>
      </c>
      <c r="O23" s="95" t="s">
        <v>227</v>
      </c>
      <c r="P23" s="95" t="s">
        <v>227</v>
      </c>
      <c r="Q23" s="95" t="s">
        <v>227</v>
      </c>
      <c r="R23" s="95" t="s">
        <v>227</v>
      </c>
      <c r="S23" s="95" t="s">
        <v>227</v>
      </c>
      <c r="T23" s="95" t="s">
        <v>650</v>
      </c>
      <c r="U23" s="48" t="s">
        <v>633</v>
      </c>
      <c r="V23" s="95" t="s">
        <v>300</v>
      </c>
      <c r="W23" t="s">
        <v>637</v>
      </c>
      <c r="X23" s="95" t="s">
        <v>634</v>
      </c>
    </row>
    <row r="24" spans="1:24" ht="13" x14ac:dyDescent="0.3">
      <c r="A24" s="43">
        <v>4506025385</v>
      </c>
      <c r="B24" s="95" t="s">
        <v>669</v>
      </c>
      <c r="C24" s="43" t="s">
        <v>408</v>
      </c>
      <c r="D24" s="95" t="s">
        <v>227</v>
      </c>
      <c r="E24" s="95" t="s">
        <v>231</v>
      </c>
      <c r="F24" s="95" t="s">
        <v>649</v>
      </c>
      <c r="G24" s="95" t="s">
        <v>227</v>
      </c>
      <c r="H24" s="95" t="s">
        <v>227</v>
      </c>
      <c r="I24" s="95" t="s">
        <v>227</v>
      </c>
      <c r="J24" s="95" t="s">
        <v>227</v>
      </c>
      <c r="K24" s="95" t="s">
        <v>227</v>
      </c>
      <c r="L24" s="95" t="s">
        <v>227</v>
      </c>
      <c r="M24" s="95" t="s">
        <v>227</v>
      </c>
      <c r="N24" s="95" t="s">
        <v>227</v>
      </c>
      <c r="O24" s="95" t="s">
        <v>227</v>
      </c>
      <c r="P24" s="95" t="s">
        <v>227</v>
      </c>
      <c r="Q24" s="95" t="s">
        <v>227</v>
      </c>
      <c r="R24" s="95" t="s">
        <v>227</v>
      </c>
      <c r="S24" s="95" t="s">
        <v>227</v>
      </c>
      <c r="T24" s="95" t="s">
        <v>650</v>
      </c>
      <c r="U24" s="48" t="s">
        <v>633</v>
      </c>
      <c r="V24" s="95" t="s">
        <v>231</v>
      </c>
      <c r="W24" t="s">
        <v>637</v>
      </c>
      <c r="X24" s="95" t="s">
        <v>634</v>
      </c>
    </row>
    <row r="25" spans="1:24" ht="13" x14ac:dyDescent="0.3">
      <c r="A25" s="43">
        <v>4463708869</v>
      </c>
      <c r="B25" s="95" t="s">
        <v>670</v>
      </c>
      <c r="C25" s="43" t="s">
        <v>411</v>
      </c>
      <c r="D25" s="95" t="s">
        <v>227</v>
      </c>
      <c r="E25" s="95" t="s">
        <v>231</v>
      </c>
      <c r="F25" s="95" t="s">
        <v>636</v>
      </c>
      <c r="G25" s="95" t="s">
        <v>227</v>
      </c>
      <c r="H25" s="95" t="s">
        <v>231</v>
      </c>
      <c r="I25" s="95" t="s">
        <v>649</v>
      </c>
      <c r="J25" s="95" t="s">
        <v>645</v>
      </c>
      <c r="K25" s="95" t="s">
        <v>645</v>
      </c>
      <c r="L25" s="95" t="s">
        <v>645</v>
      </c>
      <c r="M25" s="95" t="s">
        <v>645</v>
      </c>
      <c r="N25" s="95" t="s">
        <v>227</v>
      </c>
      <c r="O25" s="95" t="s">
        <v>227</v>
      </c>
      <c r="P25" s="95" t="s">
        <v>227</v>
      </c>
      <c r="Q25" s="95" t="s">
        <v>227</v>
      </c>
      <c r="R25" s="95" t="s">
        <v>227</v>
      </c>
      <c r="S25" s="95" t="s">
        <v>227</v>
      </c>
      <c r="T25" s="95">
        <v>7</v>
      </c>
      <c r="U25" s="48" t="s">
        <v>633</v>
      </c>
      <c r="V25" s="95" t="s">
        <v>231</v>
      </c>
      <c r="W25" t="s">
        <v>637</v>
      </c>
      <c r="X25" s="95" t="s">
        <v>634</v>
      </c>
    </row>
    <row r="26" spans="1:24" ht="13" x14ac:dyDescent="0.3">
      <c r="A26" s="43">
        <v>4582646263</v>
      </c>
      <c r="B26" s="95" t="s">
        <v>671</v>
      </c>
      <c r="C26" s="43" t="s">
        <v>414</v>
      </c>
      <c r="D26" s="43" t="s">
        <v>227</v>
      </c>
      <c r="E26" s="95" t="s">
        <v>227</v>
      </c>
      <c r="F26" s="95" t="s">
        <v>227</v>
      </c>
      <c r="G26" s="95" t="s">
        <v>411</v>
      </c>
      <c r="H26" s="95" t="s">
        <v>231</v>
      </c>
      <c r="I26" s="95" t="s">
        <v>649</v>
      </c>
      <c r="J26" s="95" t="s">
        <v>645</v>
      </c>
      <c r="K26" s="95" t="s">
        <v>645</v>
      </c>
      <c r="L26" s="95" t="s">
        <v>645</v>
      </c>
      <c r="M26" s="95" t="s">
        <v>645</v>
      </c>
      <c r="N26" s="95" t="s">
        <v>227</v>
      </c>
      <c r="O26" s="95" t="s">
        <v>227</v>
      </c>
      <c r="P26" s="95" t="s">
        <v>227</v>
      </c>
      <c r="Q26" s="95" t="s">
        <v>227</v>
      </c>
      <c r="R26" s="95" t="s">
        <v>227</v>
      </c>
      <c r="S26" s="95" t="s">
        <v>227</v>
      </c>
      <c r="T26" s="95" t="s">
        <v>645</v>
      </c>
      <c r="U26" s="48" t="s">
        <v>633</v>
      </c>
      <c r="V26" s="95" t="s">
        <v>231</v>
      </c>
      <c r="W26" t="s">
        <v>637</v>
      </c>
      <c r="X26" s="95" t="s">
        <v>634</v>
      </c>
    </row>
    <row r="27" spans="1:24" ht="13" x14ac:dyDescent="0.3">
      <c r="A27" s="43">
        <v>4083465573</v>
      </c>
      <c r="B27" s="95" t="s">
        <v>672</v>
      </c>
      <c r="C27" s="43" t="s">
        <v>419</v>
      </c>
      <c r="D27" s="95" t="s">
        <v>227</v>
      </c>
      <c r="E27" s="95" t="s">
        <v>227</v>
      </c>
      <c r="F27" s="95" t="s">
        <v>227</v>
      </c>
      <c r="G27" s="95" t="s">
        <v>673</v>
      </c>
      <c r="H27" s="95" t="s">
        <v>231</v>
      </c>
      <c r="I27" s="95" t="s">
        <v>649</v>
      </c>
      <c r="J27" s="95" t="s">
        <v>645</v>
      </c>
      <c r="K27" s="95" t="s">
        <v>645</v>
      </c>
      <c r="L27" s="95" t="s">
        <v>645</v>
      </c>
      <c r="M27" s="95" t="s">
        <v>645</v>
      </c>
      <c r="N27" s="95" t="s">
        <v>227</v>
      </c>
      <c r="O27" s="95" t="s">
        <v>227</v>
      </c>
      <c r="P27" s="95" t="s">
        <v>227</v>
      </c>
      <c r="Q27" s="95" t="s">
        <v>227</v>
      </c>
      <c r="R27" s="95" t="s">
        <v>227</v>
      </c>
      <c r="S27" s="95" t="s">
        <v>227</v>
      </c>
      <c r="T27" s="95" t="s">
        <v>227</v>
      </c>
      <c r="U27" s="48" t="s">
        <v>633</v>
      </c>
      <c r="V27" s="95" t="s">
        <v>231</v>
      </c>
      <c r="W27" t="s">
        <v>637</v>
      </c>
      <c r="X27" s="95" t="s">
        <v>634</v>
      </c>
    </row>
    <row r="28" spans="1:24" ht="13" x14ac:dyDescent="0.3">
      <c r="A28" s="43">
        <v>4942549604</v>
      </c>
      <c r="B28" s="95" t="s">
        <v>674</v>
      </c>
      <c r="C28" s="43" t="s">
        <v>420</v>
      </c>
      <c r="D28" s="95" t="s">
        <v>675</v>
      </c>
      <c r="E28" s="95" t="s">
        <v>231</v>
      </c>
      <c r="F28" s="95" t="s">
        <v>649</v>
      </c>
      <c r="G28" s="95" t="s">
        <v>675</v>
      </c>
      <c r="H28" s="95" t="s">
        <v>231</v>
      </c>
      <c r="I28" s="95" t="s">
        <v>636</v>
      </c>
      <c r="J28" s="95" t="s">
        <v>645</v>
      </c>
      <c r="K28" s="95" t="s">
        <v>645</v>
      </c>
      <c r="L28" s="95" t="s">
        <v>650</v>
      </c>
      <c r="M28" s="95" t="s">
        <v>645</v>
      </c>
      <c r="N28" s="95" t="s">
        <v>227</v>
      </c>
      <c r="O28" s="95" t="s">
        <v>227</v>
      </c>
      <c r="P28" s="95" t="s">
        <v>227</v>
      </c>
      <c r="Q28" s="95" t="s">
        <v>227</v>
      </c>
      <c r="R28" s="95" t="s">
        <v>227</v>
      </c>
      <c r="S28" s="95" t="s">
        <v>227</v>
      </c>
      <c r="T28" s="95" t="s">
        <v>645</v>
      </c>
      <c r="U28" s="48" t="s">
        <v>633</v>
      </c>
      <c r="V28" s="95" t="s">
        <v>231</v>
      </c>
      <c r="W28" t="s">
        <v>637</v>
      </c>
      <c r="X28" s="95" t="s">
        <v>634</v>
      </c>
    </row>
    <row r="29" spans="1:24" ht="13" x14ac:dyDescent="0.3">
      <c r="A29" s="43">
        <v>4508003729</v>
      </c>
      <c r="B29" s="95" t="s">
        <v>676</v>
      </c>
      <c r="C29" s="43" t="s">
        <v>422</v>
      </c>
      <c r="D29" s="95" t="s">
        <v>227</v>
      </c>
      <c r="E29" s="95" t="s">
        <v>227</v>
      </c>
      <c r="F29" s="95" t="s">
        <v>227</v>
      </c>
      <c r="G29" s="95" t="s">
        <v>677</v>
      </c>
      <c r="H29" s="95" t="s">
        <v>315</v>
      </c>
      <c r="I29" s="95" t="s">
        <v>636</v>
      </c>
      <c r="J29" s="95" t="s">
        <v>650</v>
      </c>
      <c r="K29" s="95" t="s">
        <v>650</v>
      </c>
      <c r="L29" s="95" t="s">
        <v>645</v>
      </c>
      <c r="M29" s="95" t="s">
        <v>645</v>
      </c>
      <c r="N29" s="95" t="s">
        <v>227</v>
      </c>
      <c r="O29" s="95" t="s">
        <v>227</v>
      </c>
      <c r="P29" s="95" t="s">
        <v>227</v>
      </c>
      <c r="Q29" s="95" t="s">
        <v>227</v>
      </c>
      <c r="R29" s="95" t="s">
        <v>227</v>
      </c>
      <c r="S29" s="95" t="s">
        <v>227</v>
      </c>
      <c r="T29" s="95" t="s">
        <v>227</v>
      </c>
      <c r="U29" s="48" t="s">
        <v>633</v>
      </c>
      <c r="V29" s="43" t="s">
        <v>427</v>
      </c>
      <c r="W29" t="s">
        <v>637</v>
      </c>
      <c r="X29" s="95" t="s">
        <v>634</v>
      </c>
    </row>
    <row r="30" spans="1:24" ht="13" x14ac:dyDescent="0.3">
      <c r="A30" s="43">
        <v>4303025399</v>
      </c>
      <c r="B30" s="95" t="s">
        <v>678</v>
      </c>
      <c r="C30" s="43" t="s">
        <v>429</v>
      </c>
      <c r="D30" s="95" t="s">
        <v>679</v>
      </c>
      <c r="E30" s="95" t="s">
        <v>227</v>
      </c>
      <c r="F30" s="95" t="s">
        <v>649</v>
      </c>
      <c r="G30" s="95" t="s">
        <v>679</v>
      </c>
      <c r="H30" s="95" t="s">
        <v>231</v>
      </c>
      <c r="I30" s="95" t="s">
        <v>636</v>
      </c>
      <c r="J30" s="95" t="s">
        <v>650</v>
      </c>
      <c r="K30" s="95" t="s">
        <v>650</v>
      </c>
      <c r="L30" s="95" t="s">
        <v>645</v>
      </c>
      <c r="M30" s="95" t="s">
        <v>645</v>
      </c>
      <c r="N30" s="95" t="s">
        <v>227</v>
      </c>
      <c r="O30" s="95" t="s">
        <v>227</v>
      </c>
      <c r="P30" s="95" t="s">
        <v>227</v>
      </c>
      <c r="Q30" s="95" t="s">
        <v>227</v>
      </c>
      <c r="R30" s="95" t="s">
        <v>227</v>
      </c>
      <c r="S30" s="95" t="s">
        <v>227</v>
      </c>
      <c r="T30" s="95">
        <v>7</v>
      </c>
      <c r="U30" s="48" t="s">
        <v>633</v>
      </c>
      <c r="V30" s="95" t="s">
        <v>231</v>
      </c>
      <c r="W30" t="s">
        <v>637</v>
      </c>
      <c r="X30" s="95" t="s">
        <v>634</v>
      </c>
    </row>
    <row r="31" spans="1:24" ht="13" x14ac:dyDescent="0.3">
      <c r="A31" s="43">
        <v>4422277502</v>
      </c>
      <c r="B31" s="95" t="s">
        <v>680</v>
      </c>
      <c r="C31" s="43" t="s">
        <v>431</v>
      </c>
      <c r="D31" s="95" t="s">
        <v>681</v>
      </c>
      <c r="E31" s="95" t="s">
        <v>231</v>
      </c>
      <c r="F31" s="95" t="s">
        <v>649</v>
      </c>
      <c r="G31" s="95" t="s">
        <v>681</v>
      </c>
      <c r="H31" s="95" t="s">
        <v>231</v>
      </c>
      <c r="I31" s="95" t="s">
        <v>649</v>
      </c>
      <c r="J31" s="95" t="s">
        <v>645</v>
      </c>
      <c r="K31" s="95" t="s">
        <v>645</v>
      </c>
      <c r="L31" s="95" t="s">
        <v>645</v>
      </c>
      <c r="M31" s="95" t="s">
        <v>645</v>
      </c>
      <c r="N31" s="95" t="s">
        <v>227</v>
      </c>
      <c r="O31" s="95" t="s">
        <v>227</v>
      </c>
      <c r="P31" s="95" t="s">
        <v>227</v>
      </c>
      <c r="Q31" s="95" t="s">
        <v>227</v>
      </c>
      <c r="R31" s="95" t="s">
        <v>227</v>
      </c>
      <c r="S31" s="95" t="s">
        <v>227</v>
      </c>
      <c r="T31" s="95" t="s">
        <v>645</v>
      </c>
      <c r="U31" s="48" t="s">
        <v>633</v>
      </c>
      <c r="V31" s="95" t="s">
        <v>231</v>
      </c>
      <c r="W31" t="s">
        <v>637</v>
      </c>
      <c r="X31" s="95" t="s">
        <v>634</v>
      </c>
    </row>
    <row r="32" spans="1:24" ht="13" x14ac:dyDescent="0.3">
      <c r="A32" s="43">
        <v>6221314097</v>
      </c>
      <c r="B32" s="95" t="s">
        <v>682</v>
      </c>
      <c r="C32" s="43" t="s">
        <v>433</v>
      </c>
      <c r="D32" s="95" t="s">
        <v>683</v>
      </c>
      <c r="E32" s="95" t="s">
        <v>231</v>
      </c>
      <c r="F32" s="95" t="s">
        <v>649</v>
      </c>
      <c r="G32" s="95" t="s">
        <v>683</v>
      </c>
      <c r="H32" s="95" t="s">
        <v>231</v>
      </c>
      <c r="I32" s="95" t="s">
        <v>649</v>
      </c>
      <c r="J32" s="95" t="s">
        <v>645</v>
      </c>
      <c r="K32" s="95" t="s">
        <v>645</v>
      </c>
      <c r="L32" s="95" t="s">
        <v>645</v>
      </c>
      <c r="M32" s="95" t="s">
        <v>645</v>
      </c>
      <c r="N32" s="95" t="s">
        <v>227</v>
      </c>
      <c r="O32" s="95" t="s">
        <v>227</v>
      </c>
      <c r="P32" s="95" t="s">
        <v>227</v>
      </c>
      <c r="Q32" s="95" t="s">
        <v>227</v>
      </c>
      <c r="R32" s="95" t="s">
        <v>227</v>
      </c>
      <c r="S32" s="95" t="s">
        <v>227</v>
      </c>
      <c r="T32" s="95" t="s">
        <v>650</v>
      </c>
      <c r="U32" s="48" t="s">
        <v>633</v>
      </c>
      <c r="V32" s="95" t="s">
        <v>231</v>
      </c>
      <c r="W32" t="s">
        <v>637</v>
      </c>
      <c r="X32" s="95" t="s">
        <v>634</v>
      </c>
    </row>
    <row r="33" spans="1:24" ht="13" x14ac:dyDescent="0.3">
      <c r="A33" s="43">
        <v>4861238919</v>
      </c>
      <c r="B33" s="95" t="s">
        <v>684</v>
      </c>
      <c r="C33" s="43" t="s">
        <v>440</v>
      </c>
      <c r="D33" t="s">
        <v>685</v>
      </c>
      <c r="E33" s="95" t="s">
        <v>231</v>
      </c>
      <c r="F33" s="95" t="s">
        <v>649</v>
      </c>
      <c r="G33" s="95" t="s">
        <v>227</v>
      </c>
      <c r="H33" s="95" t="s">
        <v>227</v>
      </c>
      <c r="I33" s="95" t="s">
        <v>227</v>
      </c>
      <c r="J33" s="95" t="s">
        <v>227</v>
      </c>
      <c r="K33" s="95" t="s">
        <v>227</v>
      </c>
      <c r="L33" s="95" t="s">
        <v>227</v>
      </c>
      <c r="M33" s="95" t="s">
        <v>227</v>
      </c>
      <c r="N33" s="95" t="s">
        <v>227</v>
      </c>
      <c r="O33" s="95" t="s">
        <v>227</v>
      </c>
      <c r="P33" s="95" t="s">
        <v>227</v>
      </c>
      <c r="Q33" s="95" t="s">
        <v>227</v>
      </c>
      <c r="R33" s="95" t="s">
        <v>227</v>
      </c>
      <c r="S33" s="95" t="s">
        <v>227</v>
      </c>
      <c r="T33" s="95" t="s">
        <v>227</v>
      </c>
      <c r="U33" s="48" t="s">
        <v>633</v>
      </c>
      <c r="V33" s="95" t="s">
        <v>231</v>
      </c>
      <c r="W33" t="s">
        <v>637</v>
      </c>
      <c r="X33" s="95" t="s">
        <v>634</v>
      </c>
    </row>
    <row r="34" spans="1:24" ht="13" x14ac:dyDescent="0.3">
      <c r="A34" s="43">
        <v>4883697835</v>
      </c>
      <c r="B34" s="95" t="s">
        <v>686</v>
      </c>
      <c r="C34" s="98" t="s">
        <v>443</v>
      </c>
      <c r="D34" t="s">
        <v>687</v>
      </c>
      <c r="E34" s="95" t="s">
        <v>227</v>
      </c>
      <c r="F34" s="105" t="s">
        <v>636</v>
      </c>
      <c r="G34" s="105" t="s">
        <v>688</v>
      </c>
      <c r="H34" s="95" t="s">
        <v>231</v>
      </c>
      <c r="I34" s="95" t="s">
        <v>649</v>
      </c>
      <c r="J34" s="95" t="s">
        <v>645</v>
      </c>
      <c r="K34" s="95" t="s">
        <v>645</v>
      </c>
      <c r="L34" s="95" t="s">
        <v>645</v>
      </c>
      <c r="M34" s="95" t="s">
        <v>645</v>
      </c>
      <c r="N34" s="95" t="s">
        <v>227</v>
      </c>
      <c r="O34" s="95" t="s">
        <v>227</v>
      </c>
      <c r="P34" s="95" t="s">
        <v>227</v>
      </c>
      <c r="Q34" s="95" t="s">
        <v>227</v>
      </c>
      <c r="R34" s="95" t="s">
        <v>227</v>
      </c>
      <c r="S34" s="95" t="s">
        <v>227</v>
      </c>
      <c r="T34" s="95" t="s">
        <v>689</v>
      </c>
      <c r="U34" s="48" t="s">
        <v>633</v>
      </c>
      <c r="V34" s="95" t="s">
        <v>300</v>
      </c>
      <c r="W34" t="s">
        <v>637</v>
      </c>
      <c r="X34" s="95" t="s">
        <v>634</v>
      </c>
    </row>
    <row r="35" spans="1:24" ht="13" x14ac:dyDescent="0.3">
      <c r="A35" s="43">
        <v>4860072065</v>
      </c>
      <c r="B35" s="95" t="s">
        <v>690</v>
      </c>
      <c r="C35" s="43" t="s">
        <v>449</v>
      </c>
      <c r="D35" s="95" t="s">
        <v>227</v>
      </c>
      <c r="E35" s="95" t="s">
        <v>227</v>
      </c>
      <c r="F35" s="95" t="s">
        <v>227</v>
      </c>
      <c r="G35" s="95" t="s">
        <v>691</v>
      </c>
      <c r="H35" s="95" t="s">
        <v>231</v>
      </c>
      <c r="I35" s="95" t="s">
        <v>649</v>
      </c>
      <c r="J35" s="95" t="s">
        <v>645</v>
      </c>
      <c r="K35" s="95" t="s">
        <v>645</v>
      </c>
      <c r="L35" s="95" t="s">
        <v>645</v>
      </c>
      <c r="M35" s="95" t="s">
        <v>645</v>
      </c>
      <c r="N35" s="95" t="s">
        <v>227</v>
      </c>
      <c r="O35" s="95" t="s">
        <v>227</v>
      </c>
      <c r="P35" s="95" t="s">
        <v>227</v>
      </c>
      <c r="Q35" s="95" t="s">
        <v>227</v>
      </c>
      <c r="R35" s="95" t="s">
        <v>227</v>
      </c>
      <c r="S35" s="95" t="s">
        <v>227</v>
      </c>
      <c r="T35" s="95" t="s">
        <v>645</v>
      </c>
      <c r="U35" s="48" t="s">
        <v>633</v>
      </c>
      <c r="V35" s="95" t="s">
        <v>300</v>
      </c>
      <c r="W35" t="s">
        <v>637</v>
      </c>
      <c r="X35" s="95" t="s">
        <v>634</v>
      </c>
    </row>
    <row r="36" spans="1:24" ht="13" x14ac:dyDescent="0.3">
      <c r="A36" s="43">
        <v>4562039582</v>
      </c>
      <c r="B36" s="95" t="s">
        <v>692</v>
      </c>
      <c r="C36" s="43" t="s">
        <v>453</v>
      </c>
      <c r="D36" s="108" t="s">
        <v>693</v>
      </c>
      <c r="E36" s="95" t="s">
        <v>231</v>
      </c>
      <c r="F36" s="95" t="s">
        <v>649</v>
      </c>
      <c r="G36" s="105" t="s">
        <v>694</v>
      </c>
      <c r="H36" s="95" t="s">
        <v>223</v>
      </c>
      <c r="I36" s="95" t="s">
        <v>636</v>
      </c>
      <c r="J36" s="95" t="s">
        <v>650</v>
      </c>
      <c r="K36" s="95" t="s">
        <v>650</v>
      </c>
      <c r="L36" s="95" t="s">
        <v>645</v>
      </c>
      <c r="M36" s="95" t="s">
        <v>645</v>
      </c>
      <c r="N36" s="95" t="s">
        <v>227</v>
      </c>
      <c r="O36" s="95" t="s">
        <v>227</v>
      </c>
      <c r="P36" s="95" t="s">
        <v>227</v>
      </c>
      <c r="Q36" s="95" t="s">
        <v>227</v>
      </c>
      <c r="R36" s="95" t="s">
        <v>227</v>
      </c>
      <c r="S36" s="95" t="s">
        <v>227</v>
      </c>
      <c r="T36" s="95" t="s">
        <v>227</v>
      </c>
      <c r="U36" s="48" t="s">
        <v>633</v>
      </c>
      <c r="V36" s="95" t="s">
        <v>231</v>
      </c>
      <c r="W36" t="s">
        <v>637</v>
      </c>
      <c r="X36" s="95" t="s">
        <v>634</v>
      </c>
    </row>
    <row r="37" spans="1:24" ht="13" x14ac:dyDescent="0.3">
      <c r="A37" s="73">
        <v>4508069339</v>
      </c>
      <c r="B37" s="97" t="s">
        <v>695</v>
      </c>
      <c r="C37" s="73" t="s">
        <v>457</v>
      </c>
      <c r="D37" s="97" t="s">
        <v>696</v>
      </c>
      <c r="E37" s="97" t="s">
        <v>231</v>
      </c>
      <c r="F37" s="97" t="s">
        <v>649</v>
      </c>
      <c r="G37" s="97" t="s">
        <v>696</v>
      </c>
      <c r="H37" s="97" t="s">
        <v>231</v>
      </c>
      <c r="I37" s="97" t="s">
        <v>636</v>
      </c>
      <c r="J37" s="97" t="s">
        <v>645</v>
      </c>
      <c r="K37" s="97" t="s">
        <v>650</v>
      </c>
      <c r="L37" s="97" t="s">
        <v>645</v>
      </c>
      <c r="M37" s="97" t="s">
        <v>645</v>
      </c>
      <c r="N37" s="97" t="s">
        <v>227</v>
      </c>
      <c r="O37" s="97" t="s">
        <v>227</v>
      </c>
      <c r="P37" s="97" t="s">
        <v>227</v>
      </c>
      <c r="Q37" s="97" t="s">
        <v>227</v>
      </c>
      <c r="R37" s="97" t="s">
        <v>227</v>
      </c>
      <c r="S37" s="97" t="s">
        <v>227</v>
      </c>
      <c r="T37" s="97" t="s">
        <v>645</v>
      </c>
      <c r="U37" s="48" t="s">
        <v>633</v>
      </c>
      <c r="V37" s="97" t="s">
        <v>231</v>
      </c>
      <c r="W37" t="s">
        <v>637</v>
      </c>
      <c r="X37" s="95" t="s">
        <v>634</v>
      </c>
    </row>
    <row r="38" spans="1:24" ht="13" x14ac:dyDescent="0.3">
      <c r="A38" s="43">
        <v>4849034780</v>
      </c>
      <c r="B38" s="95" t="s">
        <v>697</v>
      </c>
      <c r="C38" s="43" t="s">
        <v>462</v>
      </c>
      <c r="D38" s="105" t="s">
        <v>698</v>
      </c>
      <c r="E38" s="95" t="s">
        <v>231</v>
      </c>
      <c r="F38" s="95" t="s">
        <v>649</v>
      </c>
      <c r="G38" s="105" t="s">
        <v>699</v>
      </c>
      <c r="H38" s="95" t="s">
        <v>315</v>
      </c>
      <c r="I38" s="95" t="s">
        <v>636</v>
      </c>
      <c r="J38" s="95" t="s">
        <v>650</v>
      </c>
      <c r="K38" s="95" t="s">
        <v>650</v>
      </c>
      <c r="L38" s="95" t="s">
        <v>645</v>
      </c>
      <c r="M38" s="95" t="s">
        <v>645</v>
      </c>
      <c r="N38" s="95" t="s">
        <v>227</v>
      </c>
      <c r="O38" s="95" t="s">
        <v>227</v>
      </c>
      <c r="P38" s="95" t="s">
        <v>227</v>
      </c>
      <c r="Q38" s="95" t="s">
        <v>227</v>
      </c>
      <c r="R38" s="95" t="s">
        <v>227</v>
      </c>
      <c r="S38" s="95" t="s">
        <v>227</v>
      </c>
      <c r="T38" s="95" t="s">
        <v>645</v>
      </c>
      <c r="U38" s="48" t="s">
        <v>633</v>
      </c>
      <c r="V38" s="95" t="s">
        <v>231</v>
      </c>
      <c r="W38" t="s">
        <v>637</v>
      </c>
      <c r="X38" s="95" t="s">
        <v>634</v>
      </c>
    </row>
    <row r="39" spans="1:24" ht="13" x14ac:dyDescent="0.3">
      <c r="A39" s="43">
        <v>4628457360</v>
      </c>
      <c r="B39" s="95" t="s">
        <v>700</v>
      </c>
      <c r="C39" s="43" t="s">
        <v>464</v>
      </c>
      <c r="D39" s="95" t="s">
        <v>227</v>
      </c>
      <c r="E39" s="95" t="s">
        <v>231</v>
      </c>
      <c r="F39" s="95" t="s">
        <v>636</v>
      </c>
      <c r="G39" s="95" t="s">
        <v>701</v>
      </c>
      <c r="H39" s="95" t="s">
        <v>315</v>
      </c>
      <c r="I39" s="95" t="s">
        <v>649</v>
      </c>
      <c r="J39" s="95" t="s">
        <v>645</v>
      </c>
      <c r="K39" s="95" t="s">
        <v>645</v>
      </c>
      <c r="L39" s="95" t="s">
        <v>645</v>
      </c>
      <c r="M39" s="95" t="s">
        <v>645</v>
      </c>
      <c r="N39" s="95" t="s">
        <v>227</v>
      </c>
      <c r="O39" s="95" t="s">
        <v>227</v>
      </c>
      <c r="P39" s="95" t="s">
        <v>227</v>
      </c>
      <c r="Q39" s="95" t="s">
        <v>227</v>
      </c>
      <c r="R39" s="95" t="s">
        <v>227</v>
      </c>
      <c r="S39" s="95" t="s">
        <v>227</v>
      </c>
      <c r="T39" s="95">
        <v>7</v>
      </c>
      <c r="U39" s="48" t="s">
        <v>633</v>
      </c>
      <c r="V39" s="43" t="s">
        <v>427</v>
      </c>
      <c r="W39" t="s">
        <v>637</v>
      </c>
      <c r="X39" s="95" t="s">
        <v>634</v>
      </c>
    </row>
    <row r="40" spans="1:24" ht="13" x14ac:dyDescent="0.3">
      <c r="A40" s="43">
        <v>4981689101</v>
      </c>
      <c r="B40" s="95" t="s">
        <v>702</v>
      </c>
      <c r="C40" s="43" t="s">
        <v>468</v>
      </c>
      <c r="D40" s="105" t="s">
        <v>227</v>
      </c>
      <c r="E40" s="95" t="s">
        <v>231</v>
      </c>
      <c r="F40" s="105" t="s">
        <v>649</v>
      </c>
      <c r="G40" s="105" t="s">
        <v>703</v>
      </c>
      <c r="H40" s="95" t="s">
        <v>315</v>
      </c>
      <c r="I40" s="95" t="s">
        <v>649</v>
      </c>
      <c r="J40" s="95" t="s">
        <v>645</v>
      </c>
      <c r="K40" s="95" t="s">
        <v>645</v>
      </c>
      <c r="L40" s="95" t="s">
        <v>645</v>
      </c>
      <c r="M40" s="95" t="s">
        <v>645</v>
      </c>
      <c r="N40" s="95" t="s">
        <v>227</v>
      </c>
      <c r="O40" s="95" t="s">
        <v>227</v>
      </c>
      <c r="P40" s="95" t="s">
        <v>227</v>
      </c>
      <c r="Q40" s="95" t="s">
        <v>227</v>
      </c>
      <c r="R40" s="95" t="s">
        <v>227</v>
      </c>
      <c r="S40" s="95" t="s">
        <v>227</v>
      </c>
      <c r="T40" s="95">
        <v>5</v>
      </c>
      <c r="U40" s="48" t="s">
        <v>633</v>
      </c>
      <c r="V40" s="43" t="s">
        <v>472</v>
      </c>
      <c r="W40" t="s">
        <v>637</v>
      </c>
      <c r="X40" s="95" t="s">
        <v>634</v>
      </c>
    </row>
    <row r="41" spans="1:24" ht="13" x14ac:dyDescent="0.3">
      <c r="A41" s="43">
        <v>4382541670</v>
      </c>
      <c r="B41" s="95" t="s">
        <v>704</v>
      </c>
      <c r="C41" s="43" t="s">
        <v>479</v>
      </c>
      <c r="D41" s="95" t="s">
        <v>705</v>
      </c>
      <c r="E41" s="95" t="s">
        <v>231</v>
      </c>
      <c r="F41" s="95" t="s">
        <v>649</v>
      </c>
      <c r="G41" s="95" t="s">
        <v>705</v>
      </c>
      <c r="H41" s="95" t="s">
        <v>227</v>
      </c>
      <c r="I41" s="95" t="s">
        <v>649</v>
      </c>
      <c r="J41" s="95" t="s">
        <v>645</v>
      </c>
      <c r="K41" s="95" t="s">
        <v>645</v>
      </c>
      <c r="L41" s="95" t="s">
        <v>645</v>
      </c>
      <c r="M41" s="95" t="s">
        <v>645</v>
      </c>
      <c r="N41" s="95" t="s">
        <v>227</v>
      </c>
      <c r="O41" s="95" t="s">
        <v>227</v>
      </c>
      <c r="P41" s="95" t="s">
        <v>227</v>
      </c>
      <c r="Q41" s="95" t="s">
        <v>227</v>
      </c>
      <c r="R41" s="95" t="s">
        <v>227</v>
      </c>
      <c r="S41" s="95" t="s">
        <v>227</v>
      </c>
      <c r="T41" s="95" t="s">
        <v>650</v>
      </c>
      <c r="U41" s="48" t="s">
        <v>633</v>
      </c>
      <c r="V41" s="95" t="s">
        <v>231</v>
      </c>
      <c r="W41" t="s">
        <v>637</v>
      </c>
      <c r="X41" s="95" t="s">
        <v>634</v>
      </c>
    </row>
    <row r="42" spans="1:24" ht="13" x14ac:dyDescent="0.3">
      <c r="A42" s="43">
        <v>4367564835</v>
      </c>
      <c r="B42" s="95" t="s">
        <v>706</v>
      </c>
      <c r="C42" s="43" t="s">
        <v>483</v>
      </c>
      <c r="D42" s="95" t="s">
        <v>227</v>
      </c>
      <c r="E42" s="95" t="s">
        <v>227</v>
      </c>
      <c r="F42" s="95" t="s">
        <v>227</v>
      </c>
      <c r="G42" s="95" t="s">
        <v>707</v>
      </c>
      <c r="H42" s="95" t="s">
        <v>227</v>
      </c>
      <c r="I42" s="95" t="s">
        <v>649</v>
      </c>
      <c r="J42" s="95" t="s">
        <v>645</v>
      </c>
      <c r="K42" s="95" t="s">
        <v>645</v>
      </c>
      <c r="L42" s="95" t="s">
        <v>645</v>
      </c>
      <c r="M42" s="95" t="s">
        <v>645</v>
      </c>
      <c r="N42" s="95" t="s">
        <v>227</v>
      </c>
      <c r="O42" s="95" t="s">
        <v>227</v>
      </c>
      <c r="P42" s="95" t="s">
        <v>227</v>
      </c>
      <c r="Q42" s="95" t="s">
        <v>227</v>
      </c>
      <c r="R42" s="95" t="s">
        <v>227</v>
      </c>
      <c r="S42" s="95" t="s">
        <v>227</v>
      </c>
      <c r="T42" s="95" t="s">
        <v>231</v>
      </c>
      <c r="U42" s="48" t="s">
        <v>633</v>
      </c>
      <c r="V42" s="95" t="s">
        <v>231</v>
      </c>
      <c r="W42" t="s">
        <v>637</v>
      </c>
      <c r="X42" s="95" t="s">
        <v>634</v>
      </c>
    </row>
    <row r="43" spans="1:24" ht="13" x14ac:dyDescent="0.3">
      <c r="A43" s="43">
        <v>4981124538</v>
      </c>
      <c r="B43" s="95" t="s">
        <v>708</v>
      </c>
      <c r="C43" s="43" t="s">
        <v>486</v>
      </c>
      <c r="D43" s="95" t="s">
        <v>227</v>
      </c>
      <c r="E43" s="95" t="s">
        <v>227</v>
      </c>
      <c r="F43" s="95" t="s">
        <v>227</v>
      </c>
      <c r="G43" s="95" t="s">
        <v>709</v>
      </c>
      <c r="H43" s="95" t="s">
        <v>231</v>
      </c>
      <c r="I43" s="95" t="s">
        <v>649</v>
      </c>
      <c r="J43" s="95" t="s">
        <v>645</v>
      </c>
      <c r="K43" s="95" t="s">
        <v>645</v>
      </c>
      <c r="L43" s="95" t="s">
        <v>645</v>
      </c>
      <c r="M43" s="95" t="s">
        <v>645</v>
      </c>
      <c r="N43" s="95" t="s">
        <v>227</v>
      </c>
      <c r="O43" s="95" t="s">
        <v>227</v>
      </c>
      <c r="P43" s="95" t="s">
        <v>227</v>
      </c>
      <c r="Q43" s="95" t="s">
        <v>227</v>
      </c>
      <c r="R43" s="95" t="s">
        <v>227</v>
      </c>
      <c r="S43" s="95" t="s">
        <v>227</v>
      </c>
      <c r="T43" s="95" t="s">
        <v>227</v>
      </c>
      <c r="U43" s="48" t="s">
        <v>633</v>
      </c>
      <c r="V43" s="95" t="s">
        <v>231</v>
      </c>
      <c r="W43" t="s">
        <v>637</v>
      </c>
      <c r="X43" s="95" t="s">
        <v>634</v>
      </c>
    </row>
    <row r="44" spans="1:24" ht="13" x14ac:dyDescent="0.3">
      <c r="A44" s="43">
        <v>4343138828</v>
      </c>
      <c r="B44" s="95" t="s">
        <v>710</v>
      </c>
      <c r="C44" s="43" t="s">
        <v>489</v>
      </c>
      <c r="D44" s="95" t="s">
        <v>711</v>
      </c>
      <c r="E44" s="95" t="s">
        <v>231</v>
      </c>
      <c r="F44" s="95" t="s">
        <v>636</v>
      </c>
      <c r="G44" s="95" t="s">
        <v>227</v>
      </c>
      <c r="H44" s="95" t="s">
        <v>227</v>
      </c>
      <c r="I44" s="95" t="s">
        <v>227</v>
      </c>
      <c r="J44" s="95" t="s">
        <v>227</v>
      </c>
      <c r="K44" s="95" t="s">
        <v>227</v>
      </c>
      <c r="L44" s="95" t="s">
        <v>227</v>
      </c>
      <c r="M44" s="95" t="s">
        <v>227</v>
      </c>
      <c r="N44" s="95" t="s">
        <v>227</v>
      </c>
      <c r="O44" s="95" t="s">
        <v>227</v>
      </c>
      <c r="P44" s="95" t="s">
        <v>227</v>
      </c>
      <c r="Q44" s="95" t="s">
        <v>227</v>
      </c>
      <c r="R44" s="95" t="s">
        <v>227</v>
      </c>
      <c r="S44" s="95" t="s">
        <v>227</v>
      </c>
      <c r="T44" s="95" t="s">
        <v>645</v>
      </c>
      <c r="U44" s="48" t="s">
        <v>633</v>
      </c>
      <c r="V44" s="95" t="s">
        <v>231</v>
      </c>
      <c r="W44" t="s">
        <v>637</v>
      </c>
      <c r="X44" s="95" t="s">
        <v>634</v>
      </c>
    </row>
    <row r="45" spans="1:24" ht="13" x14ac:dyDescent="0.3">
      <c r="A45" s="43">
        <v>4583874057</v>
      </c>
      <c r="B45" s="95" t="s">
        <v>712</v>
      </c>
      <c r="C45" s="43" t="s">
        <v>491</v>
      </c>
      <c r="D45" s="95" t="s">
        <v>713</v>
      </c>
      <c r="E45" s="95" t="s">
        <v>231</v>
      </c>
      <c r="F45" s="95" t="s">
        <v>649</v>
      </c>
      <c r="G45" s="95" t="s">
        <v>713</v>
      </c>
      <c r="H45" s="95" t="s">
        <v>231</v>
      </c>
      <c r="I45" s="95" t="s">
        <v>649</v>
      </c>
      <c r="J45" s="95" t="s">
        <v>645</v>
      </c>
      <c r="K45" s="95" t="s">
        <v>645</v>
      </c>
      <c r="L45" s="95" t="s">
        <v>645</v>
      </c>
      <c r="M45" s="95" t="s">
        <v>645</v>
      </c>
      <c r="N45" s="95" t="s">
        <v>227</v>
      </c>
      <c r="O45" s="95" t="s">
        <v>227</v>
      </c>
      <c r="P45" s="95" t="s">
        <v>227</v>
      </c>
      <c r="Q45" s="95" t="s">
        <v>227</v>
      </c>
      <c r="R45" s="95" t="s">
        <v>227</v>
      </c>
      <c r="S45" s="95" t="s">
        <v>227</v>
      </c>
      <c r="T45" s="95" t="s">
        <v>645</v>
      </c>
      <c r="U45" s="48" t="s">
        <v>633</v>
      </c>
      <c r="V45" s="95" t="s">
        <v>231</v>
      </c>
      <c r="W45" t="s">
        <v>637</v>
      </c>
      <c r="X45" s="95" t="s">
        <v>634</v>
      </c>
    </row>
    <row r="46" spans="1:24" ht="13" x14ac:dyDescent="0.3">
      <c r="A46" s="43">
        <v>4123563848</v>
      </c>
      <c r="B46" s="95" t="s">
        <v>714</v>
      </c>
      <c r="C46" s="43" t="s">
        <v>493</v>
      </c>
      <c r="D46" s="95" t="s">
        <v>715</v>
      </c>
      <c r="E46" s="95" t="s">
        <v>231</v>
      </c>
      <c r="F46" s="95" t="s">
        <v>649</v>
      </c>
      <c r="G46" s="95" t="s">
        <v>715</v>
      </c>
      <c r="H46" s="95" t="s">
        <v>231</v>
      </c>
      <c r="I46" s="95" t="s">
        <v>649</v>
      </c>
      <c r="J46" s="95" t="s">
        <v>645</v>
      </c>
      <c r="K46" s="95" t="s">
        <v>645</v>
      </c>
      <c r="L46" s="95" t="s">
        <v>645</v>
      </c>
      <c r="M46" s="95" t="s">
        <v>645</v>
      </c>
      <c r="N46" s="95" t="s">
        <v>227</v>
      </c>
      <c r="O46" s="95" t="s">
        <v>227</v>
      </c>
      <c r="P46" s="95" t="s">
        <v>227</v>
      </c>
      <c r="Q46" s="95" t="s">
        <v>227</v>
      </c>
      <c r="R46" s="95" t="s">
        <v>227</v>
      </c>
      <c r="S46" s="95" t="s">
        <v>227</v>
      </c>
      <c r="T46" s="95">
        <v>8</v>
      </c>
      <c r="U46" s="48" t="s">
        <v>633</v>
      </c>
      <c r="V46" s="95" t="s">
        <v>347</v>
      </c>
      <c r="W46" t="s">
        <v>637</v>
      </c>
      <c r="X46" s="95" t="s">
        <v>634</v>
      </c>
    </row>
    <row r="47" spans="1:24" ht="13" x14ac:dyDescent="0.3">
      <c r="A47" s="43">
        <v>7048159871</v>
      </c>
      <c r="B47" s="95" t="s">
        <v>716</v>
      </c>
      <c r="C47" s="43" t="s">
        <v>495</v>
      </c>
      <c r="D47" s="95" t="s">
        <v>717</v>
      </c>
      <c r="E47" s="95" t="s">
        <v>231</v>
      </c>
      <c r="F47" s="95" t="s">
        <v>636</v>
      </c>
      <c r="G47" s="95" t="s">
        <v>717</v>
      </c>
      <c r="H47" s="95" t="s">
        <v>231</v>
      </c>
      <c r="I47" s="95" t="s">
        <v>649</v>
      </c>
      <c r="J47" s="95" t="s">
        <v>645</v>
      </c>
      <c r="K47" s="95" t="s">
        <v>645</v>
      </c>
      <c r="L47" s="95" t="s">
        <v>645</v>
      </c>
      <c r="M47" s="95" t="s">
        <v>645</v>
      </c>
      <c r="N47" s="95" t="s">
        <v>227</v>
      </c>
      <c r="O47" s="95" t="s">
        <v>227</v>
      </c>
      <c r="P47" s="95" t="s">
        <v>227</v>
      </c>
      <c r="Q47" s="95" t="s">
        <v>227</v>
      </c>
      <c r="R47" s="95" t="s">
        <v>227</v>
      </c>
      <c r="S47" s="95" t="s">
        <v>227</v>
      </c>
      <c r="T47" s="105" t="s">
        <v>718</v>
      </c>
      <c r="U47" s="48" t="s">
        <v>633</v>
      </c>
      <c r="V47" s="95" t="s">
        <v>300</v>
      </c>
      <c r="W47" t="s">
        <v>637</v>
      </c>
      <c r="X47" s="95" t="s">
        <v>634</v>
      </c>
    </row>
    <row r="48" spans="1:24" ht="13" x14ac:dyDescent="0.3">
      <c r="A48" s="43">
        <v>4380766446</v>
      </c>
      <c r="B48" s="95" t="s">
        <v>719</v>
      </c>
      <c r="C48" s="43" t="s">
        <v>499</v>
      </c>
      <c r="D48" s="95" t="s">
        <v>227</v>
      </c>
      <c r="E48" s="95" t="s">
        <v>231</v>
      </c>
      <c r="F48" s="95" t="s">
        <v>636</v>
      </c>
      <c r="G48" s="95" t="s">
        <v>227</v>
      </c>
      <c r="H48" s="95" t="s">
        <v>231</v>
      </c>
      <c r="I48" s="95" t="s">
        <v>649</v>
      </c>
      <c r="J48" s="95" t="s">
        <v>645</v>
      </c>
      <c r="K48" s="95" t="s">
        <v>645</v>
      </c>
      <c r="L48" s="95" t="s">
        <v>645</v>
      </c>
      <c r="M48" s="95" t="s">
        <v>645</v>
      </c>
      <c r="N48" s="95" t="s">
        <v>227</v>
      </c>
      <c r="O48" s="95" t="s">
        <v>227</v>
      </c>
      <c r="P48" s="95" t="s">
        <v>227</v>
      </c>
      <c r="Q48" s="95" t="s">
        <v>227</v>
      </c>
      <c r="R48" s="95" t="s">
        <v>227</v>
      </c>
      <c r="S48" s="95" t="s">
        <v>227</v>
      </c>
      <c r="T48" s="95">
        <v>4</v>
      </c>
      <c r="U48" s="48" t="s">
        <v>633</v>
      </c>
      <c r="V48" s="95" t="s">
        <v>501</v>
      </c>
      <c r="W48" t="s">
        <v>637</v>
      </c>
      <c r="X48" s="95" t="s">
        <v>634</v>
      </c>
    </row>
    <row r="49" spans="1:24" ht="13" x14ac:dyDescent="0.3">
      <c r="A49" s="43">
        <v>4583283547</v>
      </c>
      <c r="B49" s="95" t="s">
        <v>720</v>
      </c>
      <c r="C49" s="43" t="s">
        <v>503</v>
      </c>
      <c r="D49" s="95" t="s">
        <v>227</v>
      </c>
      <c r="E49" s="95" t="s">
        <v>231</v>
      </c>
      <c r="F49" s="95" t="s">
        <v>649</v>
      </c>
      <c r="G49" s="95" t="s">
        <v>227</v>
      </c>
      <c r="H49" s="95" t="s">
        <v>227</v>
      </c>
      <c r="I49" s="95" t="s">
        <v>227</v>
      </c>
      <c r="J49" s="95" t="s">
        <v>227</v>
      </c>
      <c r="K49" s="95" t="s">
        <v>227</v>
      </c>
      <c r="L49" s="95" t="s">
        <v>227</v>
      </c>
      <c r="M49" s="95" t="s">
        <v>227</v>
      </c>
      <c r="N49" s="95" t="s">
        <v>227</v>
      </c>
      <c r="O49" s="95" t="s">
        <v>227</v>
      </c>
      <c r="P49" s="95" t="s">
        <v>227</v>
      </c>
      <c r="Q49" s="95" t="s">
        <v>227</v>
      </c>
      <c r="R49" s="95" t="s">
        <v>227</v>
      </c>
      <c r="S49" s="95" t="s">
        <v>227</v>
      </c>
      <c r="T49" s="95">
        <v>1</v>
      </c>
      <c r="U49" s="48" t="s">
        <v>633</v>
      </c>
      <c r="V49" s="95" t="s">
        <v>231</v>
      </c>
      <c r="W49" t="s">
        <v>637</v>
      </c>
      <c r="X49" s="95" t="s">
        <v>634</v>
      </c>
    </row>
    <row r="50" spans="1:24" ht="13" x14ac:dyDescent="0.3">
      <c r="A50" s="43">
        <v>4086379015</v>
      </c>
      <c r="B50" s="95" t="s">
        <v>721</v>
      </c>
      <c r="C50" s="43" t="s">
        <v>507</v>
      </c>
      <c r="D50" s="95" t="s">
        <v>227</v>
      </c>
      <c r="E50" s="95" t="s">
        <v>231</v>
      </c>
      <c r="F50" s="95" t="s">
        <v>649</v>
      </c>
      <c r="G50" s="95" t="s">
        <v>227</v>
      </c>
      <c r="H50" s="95" t="s">
        <v>231</v>
      </c>
      <c r="I50" s="95" t="s">
        <v>649</v>
      </c>
      <c r="J50" s="95" t="s">
        <v>645</v>
      </c>
      <c r="K50" s="95" t="s">
        <v>645</v>
      </c>
      <c r="L50" s="95" t="s">
        <v>645</v>
      </c>
      <c r="M50" s="95" t="s">
        <v>645</v>
      </c>
      <c r="N50" s="95" t="s">
        <v>227</v>
      </c>
      <c r="O50" s="95" t="s">
        <v>227</v>
      </c>
      <c r="P50" s="95" t="s">
        <v>227</v>
      </c>
      <c r="Q50" s="95" t="s">
        <v>227</v>
      </c>
      <c r="R50" s="95" t="s">
        <v>227</v>
      </c>
      <c r="S50" s="95" t="s">
        <v>227</v>
      </c>
      <c r="T50" s="95">
        <v>8</v>
      </c>
      <c r="U50" s="48" t="s">
        <v>633</v>
      </c>
      <c r="V50" s="95" t="s">
        <v>370</v>
      </c>
      <c r="W50" t="s">
        <v>637</v>
      </c>
      <c r="X50" s="95" t="s">
        <v>634</v>
      </c>
    </row>
    <row r="51" spans="1:24" ht="13" x14ac:dyDescent="0.3">
      <c r="A51" s="43">
        <v>4880218340</v>
      </c>
      <c r="B51" s="95" t="s">
        <v>722</v>
      </c>
      <c r="C51" s="43" t="s">
        <v>509</v>
      </c>
      <c r="D51" s="95" t="s">
        <v>723</v>
      </c>
      <c r="E51" s="95" t="s">
        <v>231</v>
      </c>
      <c r="F51" s="95" t="s">
        <v>649</v>
      </c>
      <c r="G51" s="95" t="s">
        <v>723</v>
      </c>
      <c r="H51" s="95" t="s">
        <v>231</v>
      </c>
      <c r="I51" s="95" t="s">
        <v>649</v>
      </c>
      <c r="J51" s="95" t="s">
        <v>645</v>
      </c>
      <c r="K51" s="95" t="s">
        <v>645</v>
      </c>
      <c r="L51" s="95" t="s">
        <v>645</v>
      </c>
      <c r="M51" s="95" t="s">
        <v>645</v>
      </c>
      <c r="N51" s="95" t="s">
        <v>227</v>
      </c>
      <c r="O51" s="95" t="s">
        <v>227</v>
      </c>
      <c r="P51" s="95" t="s">
        <v>227</v>
      </c>
      <c r="Q51" s="95" t="s">
        <v>227</v>
      </c>
      <c r="R51" s="95" t="s">
        <v>227</v>
      </c>
      <c r="S51" s="95" t="s">
        <v>227</v>
      </c>
      <c r="T51" s="95" t="s">
        <v>231</v>
      </c>
      <c r="U51" s="48" t="s">
        <v>633</v>
      </c>
      <c r="V51" s="95" t="s">
        <v>231</v>
      </c>
      <c r="W51" t="s">
        <v>637</v>
      </c>
      <c r="X51" s="95" t="s">
        <v>634</v>
      </c>
    </row>
    <row r="52" spans="1:24" ht="13" x14ac:dyDescent="0.3">
      <c r="A52" s="43">
        <v>4648501470</v>
      </c>
      <c r="B52" s="95" t="s">
        <v>724</v>
      </c>
      <c r="C52" s="43" t="s">
        <v>514</v>
      </c>
      <c r="D52" s="95" t="s">
        <v>725</v>
      </c>
      <c r="E52" s="95" t="s">
        <v>231</v>
      </c>
      <c r="F52" s="105" t="s">
        <v>636</v>
      </c>
      <c r="G52" s="95" t="s">
        <v>725</v>
      </c>
      <c r="H52" s="95" t="s">
        <v>231</v>
      </c>
      <c r="I52" s="95" t="s">
        <v>636</v>
      </c>
      <c r="J52" s="95" t="s">
        <v>650</v>
      </c>
      <c r="K52" s="95" t="s">
        <v>650</v>
      </c>
      <c r="L52" s="95" t="s">
        <v>645</v>
      </c>
      <c r="M52" s="95" t="s">
        <v>645</v>
      </c>
      <c r="N52" s="95" t="s">
        <v>227</v>
      </c>
      <c r="O52" s="95" t="s">
        <v>227</v>
      </c>
      <c r="P52" s="95" t="s">
        <v>227</v>
      </c>
      <c r="Q52" s="95" t="s">
        <v>227</v>
      </c>
      <c r="R52" s="95" t="s">
        <v>227</v>
      </c>
      <c r="S52" s="95" t="s">
        <v>227</v>
      </c>
      <c r="T52" s="95" t="s">
        <v>650</v>
      </c>
      <c r="U52" s="48" t="s">
        <v>633</v>
      </c>
      <c r="V52" s="95" t="s">
        <v>231</v>
      </c>
      <c r="W52" t="s">
        <v>637</v>
      </c>
      <c r="X52" s="95" t="s">
        <v>634</v>
      </c>
    </row>
    <row r="53" spans="1:24" ht="13" x14ac:dyDescent="0.3">
      <c r="A53" s="43">
        <v>4107007073</v>
      </c>
      <c r="B53" s="95" t="s">
        <v>726</v>
      </c>
      <c r="C53" s="43" t="s">
        <v>518</v>
      </c>
      <c r="D53" s="105" t="s">
        <v>727</v>
      </c>
      <c r="E53" s="95" t="s">
        <v>231</v>
      </c>
      <c r="F53" s="95" t="s">
        <v>649</v>
      </c>
      <c r="G53" s="105" t="s">
        <v>728</v>
      </c>
      <c r="H53" s="95" t="s">
        <v>307</v>
      </c>
      <c r="I53" s="95" t="s">
        <v>636</v>
      </c>
      <c r="J53" s="95" t="s">
        <v>650</v>
      </c>
      <c r="K53" s="95" t="s">
        <v>650</v>
      </c>
      <c r="L53" s="95" t="s">
        <v>645</v>
      </c>
      <c r="M53" s="95" t="s">
        <v>645</v>
      </c>
      <c r="N53" s="95" t="s">
        <v>227</v>
      </c>
      <c r="O53" s="95" t="s">
        <v>227</v>
      </c>
      <c r="P53" s="95" t="s">
        <v>227</v>
      </c>
      <c r="Q53" s="95" t="s">
        <v>227</v>
      </c>
      <c r="R53" s="95" t="s">
        <v>227</v>
      </c>
      <c r="S53" s="95" t="s">
        <v>227</v>
      </c>
      <c r="T53" s="95" t="s">
        <v>231</v>
      </c>
      <c r="U53" s="48" t="s">
        <v>633</v>
      </c>
      <c r="V53" s="95" t="s">
        <v>300</v>
      </c>
      <c r="W53" t="s">
        <v>637</v>
      </c>
      <c r="X53" s="95" t="s">
        <v>634</v>
      </c>
    </row>
    <row r="54" spans="1:24" ht="13" x14ac:dyDescent="0.3">
      <c r="A54" s="43">
        <v>4583429037</v>
      </c>
      <c r="B54" s="95" t="s">
        <v>729</v>
      </c>
      <c r="C54" s="43" t="s">
        <v>523</v>
      </c>
      <c r="D54" s="95" t="s">
        <v>227</v>
      </c>
      <c r="E54" s="95" t="s">
        <v>227</v>
      </c>
      <c r="F54" s="95" t="s">
        <v>227</v>
      </c>
      <c r="G54" s="95" t="s">
        <v>227</v>
      </c>
      <c r="H54" s="95" t="s">
        <v>227</v>
      </c>
      <c r="I54" s="95" t="s">
        <v>227</v>
      </c>
      <c r="J54" s="95" t="s">
        <v>227</v>
      </c>
      <c r="K54" s="95" t="s">
        <v>227</v>
      </c>
      <c r="L54" s="95" t="s">
        <v>227</v>
      </c>
      <c r="M54" s="95" t="s">
        <v>227</v>
      </c>
      <c r="N54" s="95" t="s">
        <v>227</v>
      </c>
      <c r="O54" s="95" t="s">
        <v>227</v>
      </c>
      <c r="P54" s="95" t="s">
        <v>227</v>
      </c>
      <c r="Q54" s="95" t="s">
        <v>227</v>
      </c>
      <c r="R54" s="95" t="s">
        <v>227</v>
      </c>
      <c r="S54" s="95" t="s">
        <v>227</v>
      </c>
      <c r="T54" s="95" t="s">
        <v>227</v>
      </c>
      <c r="U54" s="48" t="s">
        <v>633</v>
      </c>
      <c r="V54" s="95" t="s">
        <v>231</v>
      </c>
      <c r="W54" t="s">
        <v>637</v>
      </c>
      <c r="X54" s="95" t="s">
        <v>634</v>
      </c>
    </row>
    <row r="55" spans="1:24" ht="13" x14ac:dyDescent="0.3">
      <c r="A55" s="43">
        <v>6287109335</v>
      </c>
      <c r="B55" s="95" t="s">
        <v>730</v>
      </c>
      <c r="C55" s="43" t="s">
        <v>528</v>
      </c>
      <c r="D55" s="95" t="s">
        <v>731</v>
      </c>
      <c r="E55" s="95" t="s">
        <v>231</v>
      </c>
      <c r="F55" s="95" t="s">
        <v>649</v>
      </c>
      <c r="G55" s="95" t="s">
        <v>731</v>
      </c>
      <c r="H55" s="95" t="s">
        <v>294</v>
      </c>
      <c r="I55" s="95" t="s">
        <v>636</v>
      </c>
      <c r="J55" s="95" t="s">
        <v>650</v>
      </c>
      <c r="K55" s="95" t="s">
        <v>650</v>
      </c>
      <c r="L55" s="95" t="s">
        <v>645</v>
      </c>
      <c r="M55" s="95" t="s">
        <v>645</v>
      </c>
      <c r="N55" s="95" t="s">
        <v>227</v>
      </c>
      <c r="O55" s="95" t="s">
        <v>227</v>
      </c>
      <c r="P55" s="95" t="s">
        <v>227</v>
      </c>
      <c r="Q55" s="95" t="s">
        <v>227</v>
      </c>
      <c r="R55" s="95" t="s">
        <v>227</v>
      </c>
      <c r="S55" s="95" t="s">
        <v>227</v>
      </c>
      <c r="T55" s="105" t="s">
        <v>732</v>
      </c>
      <c r="U55" s="48" t="s">
        <v>633</v>
      </c>
      <c r="V55" s="95" t="s">
        <v>530</v>
      </c>
      <c r="W55" t="s">
        <v>231</v>
      </c>
      <c r="X55" s="95" t="s">
        <v>634</v>
      </c>
    </row>
    <row r="56" spans="1:24" ht="13" x14ac:dyDescent="0.3">
      <c r="A56" s="43">
        <v>4583818831</v>
      </c>
      <c r="B56" s="95" t="s">
        <v>733</v>
      </c>
      <c r="C56" s="43" t="s">
        <v>533</v>
      </c>
      <c r="D56" s="95" t="s">
        <v>227</v>
      </c>
      <c r="E56" s="95" t="s">
        <v>227</v>
      </c>
      <c r="F56" s="95" t="s">
        <v>227</v>
      </c>
      <c r="G56" s="95" t="s">
        <v>227</v>
      </c>
      <c r="H56" s="95" t="s">
        <v>227</v>
      </c>
      <c r="I56" s="95" t="s">
        <v>227</v>
      </c>
      <c r="J56" s="95" t="s">
        <v>227</v>
      </c>
      <c r="K56" s="95" t="s">
        <v>227</v>
      </c>
      <c r="L56" s="95" t="s">
        <v>227</v>
      </c>
      <c r="M56" s="95" t="s">
        <v>227</v>
      </c>
      <c r="N56" s="95" t="s">
        <v>227</v>
      </c>
      <c r="O56" s="95" t="s">
        <v>227</v>
      </c>
      <c r="P56" s="95" t="s">
        <v>227</v>
      </c>
      <c r="Q56" s="95" t="s">
        <v>227</v>
      </c>
      <c r="R56" s="95" t="s">
        <v>227</v>
      </c>
      <c r="S56" s="95" t="s">
        <v>227</v>
      </c>
      <c r="T56" s="95" t="s">
        <v>650</v>
      </c>
      <c r="U56" s="48" t="s">
        <v>633</v>
      </c>
      <c r="V56" s="95" t="s">
        <v>231</v>
      </c>
      <c r="W56" t="s">
        <v>637</v>
      </c>
      <c r="X56" s="95" t="s">
        <v>634</v>
      </c>
    </row>
    <row r="57" spans="1:24" ht="13" x14ac:dyDescent="0.3">
      <c r="A57" s="43">
        <v>4563849642</v>
      </c>
      <c r="B57" s="95" t="s">
        <v>734</v>
      </c>
      <c r="C57" s="43" t="s">
        <v>539</v>
      </c>
      <c r="D57" s="95" t="s">
        <v>735</v>
      </c>
      <c r="E57" s="95" t="s">
        <v>231</v>
      </c>
      <c r="F57" s="105" t="s">
        <v>636</v>
      </c>
      <c r="G57" s="95" t="s">
        <v>735</v>
      </c>
      <c r="H57" s="95" t="s">
        <v>231</v>
      </c>
      <c r="I57" s="95" t="s">
        <v>649</v>
      </c>
      <c r="J57" s="95" t="s">
        <v>645</v>
      </c>
      <c r="K57" s="95" t="s">
        <v>645</v>
      </c>
      <c r="L57" s="95" t="s">
        <v>645</v>
      </c>
      <c r="M57" s="95" t="s">
        <v>645</v>
      </c>
      <c r="N57" s="95" t="s">
        <v>227</v>
      </c>
      <c r="O57" s="95" t="s">
        <v>227</v>
      </c>
      <c r="P57" s="95" t="s">
        <v>227</v>
      </c>
      <c r="Q57" s="95" t="s">
        <v>227</v>
      </c>
      <c r="R57" s="95" t="s">
        <v>227</v>
      </c>
      <c r="S57" s="95" t="s">
        <v>227</v>
      </c>
      <c r="T57" s="95" t="s">
        <v>650</v>
      </c>
      <c r="U57" s="48" t="s">
        <v>633</v>
      </c>
      <c r="V57" s="43" t="s">
        <v>427</v>
      </c>
      <c r="W57" t="s">
        <v>637</v>
      </c>
      <c r="X57" s="95" t="s">
        <v>634</v>
      </c>
    </row>
    <row r="58" spans="1:24" ht="13" x14ac:dyDescent="0.3">
      <c r="A58" s="43">
        <v>4862121543</v>
      </c>
      <c r="B58" s="95" t="s">
        <v>736</v>
      </c>
      <c r="C58" s="43" t="s">
        <v>546</v>
      </c>
      <c r="D58" s="95" t="s">
        <v>227</v>
      </c>
      <c r="E58" s="95" t="s">
        <v>227</v>
      </c>
      <c r="F58" s="95" t="s">
        <v>227</v>
      </c>
      <c r="G58" s="95" t="s">
        <v>227</v>
      </c>
      <c r="H58" s="95" t="s">
        <v>227</v>
      </c>
      <c r="I58" s="95" t="s">
        <v>227</v>
      </c>
      <c r="J58" s="95" t="s">
        <v>227</v>
      </c>
      <c r="K58" s="95" t="s">
        <v>227</v>
      </c>
      <c r="L58" s="95" t="s">
        <v>227</v>
      </c>
      <c r="M58" s="95" t="s">
        <v>227</v>
      </c>
      <c r="N58" s="95" t="s">
        <v>227</v>
      </c>
      <c r="O58" s="95" t="s">
        <v>227</v>
      </c>
      <c r="P58" s="95" t="s">
        <v>227</v>
      </c>
      <c r="Q58" s="95" t="s">
        <v>227</v>
      </c>
      <c r="R58" s="95" t="s">
        <v>227</v>
      </c>
      <c r="S58" s="95" t="s">
        <v>227</v>
      </c>
      <c r="T58" s="95" t="s">
        <v>227</v>
      </c>
      <c r="U58" s="48" t="s">
        <v>633</v>
      </c>
      <c r="V58" s="95" t="s">
        <v>231</v>
      </c>
      <c r="W58" t="s">
        <v>637</v>
      </c>
      <c r="X58" s="95" t="s">
        <v>634</v>
      </c>
    </row>
    <row r="59" spans="1:24" ht="13" x14ac:dyDescent="0.3">
      <c r="A59" s="43">
        <v>4383690599</v>
      </c>
      <c r="B59" s="95" t="s">
        <v>737</v>
      </c>
      <c r="C59" s="43" t="s">
        <v>548</v>
      </c>
      <c r="D59" s="105" t="s">
        <v>738</v>
      </c>
      <c r="E59" s="95" t="s">
        <v>227</v>
      </c>
      <c r="F59" s="105" t="s">
        <v>649</v>
      </c>
      <c r="G59" s="95" t="s">
        <v>739</v>
      </c>
      <c r="H59" s="95" t="s">
        <v>315</v>
      </c>
      <c r="I59" s="95" t="s">
        <v>636</v>
      </c>
      <c r="J59" s="95" t="s">
        <v>650</v>
      </c>
      <c r="K59" s="95" t="s">
        <v>650</v>
      </c>
      <c r="L59" s="95" t="s">
        <v>645</v>
      </c>
      <c r="M59" s="95" t="s">
        <v>645</v>
      </c>
      <c r="N59" s="95" t="s">
        <v>227</v>
      </c>
      <c r="O59" s="95" t="s">
        <v>227</v>
      </c>
      <c r="P59" s="95" t="s">
        <v>227</v>
      </c>
      <c r="Q59" s="95" t="s">
        <v>227</v>
      </c>
      <c r="R59" s="95" t="s">
        <v>227</v>
      </c>
      <c r="S59" s="95" t="s">
        <v>227</v>
      </c>
      <c r="T59" s="105" t="s">
        <v>227</v>
      </c>
      <c r="U59" s="48" t="s">
        <v>633</v>
      </c>
      <c r="V59" s="95" t="s">
        <v>361</v>
      </c>
      <c r="W59" t="s">
        <v>740</v>
      </c>
      <c r="X59" s="95" t="s">
        <v>634</v>
      </c>
    </row>
    <row r="60" spans="1:24" ht="13" x14ac:dyDescent="0.3">
      <c r="A60" s="43">
        <v>4860704134</v>
      </c>
      <c r="B60" s="95" t="s">
        <v>741</v>
      </c>
      <c r="C60" s="43" t="s">
        <v>554</v>
      </c>
      <c r="D60" s="95" t="s">
        <v>227</v>
      </c>
      <c r="E60" s="95" t="s">
        <v>231</v>
      </c>
      <c r="F60" s="105" t="s">
        <v>742</v>
      </c>
      <c r="G60" s="105" t="s">
        <v>743</v>
      </c>
      <c r="H60" s="95" t="s">
        <v>231</v>
      </c>
      <c r="I60" s="95" t="s">
        <v>649</v>
      </c>
      <c r="J60" s="95" t="s">
        <v>645</v>
      </c>
      <c r="K60" s="95" t="s">
        <v>645</v>
      </c>
      <c r="L60" s="95" t="s">
        <v>645</v>
      </c>
      <c r="M60" s="95" t="s">
        <v>645</v>
      </c>
      <c r="N60" s="95" t="s">
        <v>227</v>
      </c>
      <c r="O60" s="95" t="s">
        <v>227</v>
      </c>
      <c r="P60" s="95" t="s">
        <v>227</v>
      </c>
      <c r="Q60" s="95" t="s">
        <v>227</v>
      </c>
      <c r="R60" s="95" t="s">
        <v>227</v>
      </c>
      <c r="S60" s="95" t="s">
        <v>227</v>
      </c>
      <c r="T60" s="105" t="s">
        <v>744</v>
      </c>
      <c r="U60" s="48" t="s">
        <v>633</v>
      </c>
      <c r="V60" s="95" t="s">
        <v>231</v>
      </c>
      <c r="W60" t="s">
        <v>637</v>
      </c>
      <c r="X60" s="95" t="s">
        <v>634</v>
      </c>
    </row>
    <row r="61" spans="1:24" ht="13" x14ac:dyDescent="0.3">
      <c r="A61" s="43">
        <v>4521181511</v>
      </c>
      <c r="B61" s="95" t="s">
        <v>745</v>
      </c>
      <c r="C61" s="43" t="s">
        <v>557</v>
      </c>
      <c r="D61" s="95" t="s">
        <v>746</v>
      </c>
      <c r="E61" s="95" t="s">
        <v>227</v>
      </c>
      <c r="F61" s="95" t="s">
        <v>649</v>
      </c>
      <c r="G61" s="95" t="s">
        <v>747</v>
      </c>
      <c r="H61" s="95" t="s">
        <v>315</v>
      </c>
      <c r="I61" s="95" t="s">
        <v>636</v>
      </c>
      <c r="J61" s="95" t="s">
        <v>650</v>
      </c>
      <c r="K61" s="95" t="s">
        <v>650</v>
      </c>
      <c r="L61" s="95" t="s">
        <v>645</v>
      </c>
      <c r="M61" s="95" t="s">
        <v>645</v>
      </c>
      <c r="N61" s="95" t="s">
        <v>227</v>
      </c>
      <c r="O61" s="95" t="s">
        <v>227</v>
      </c>
      <c r="P61" s="95" t="s">
        <v>227</v>
      </c>
      <c r="Q61" s="95" t="s">
        <v>227</v>
      </c>
      <c r="R61" s="95" t="s">
        <v>227</v>
      </c>
      <c r="S61" s="95" t="s">
        <v>227</v>
      </c>
      <c r="T61" s="95">
        <v>5</v>
      </c>
      <c r="U61" s="48" t="s">
        <v>633</v>
      </c>
      <c r="V61" s="95" t="s">
        <v>231</v>
      </c>
      <c r="W61" t="s">
        <v>637</v>
      </c>
      <c r="X61" s="95" t="s">
        <v>634</v>
      </c>
    </row>
    <row r="62" spans="1:24" ht="13" x14ac:dyDescent="0.3">
      <c r="A62" s="43">
        <v>4482663042</v>
      </c>
      <c r="B62" s="95" t="s">
        <v>748</v>
      </c>
      <c r="C62" s="43" t="s">
        <v>560</v>
      </c>
      <c r="D62" s="95" t="s">
        <v>227</v>
      </c>
      <c r="E62" s="95" t="s">
        <v>227</v>
      </c>
      <c r="F62" s="95" t="s">
        <v>227</v>
      </c>
      <c r="G62" s="95" t="s">
        <v>227</v>
      </c>
      <c r="H62" s="95" t="s">
        <v>227</v>
      </c>
      <c r="I62" s="95" t="s">
        <v>227</v>
      </c>
      <c r="J62" s="95" t="s">
        <v>227</v>
      </c>
      <c r="K62" s="95" t="s">
        <v>227</v>
      </c>
      <c r="L62" s="95" t="s">
        <v>227</v>
      </c>
      <c r="M62" s="95" t="s">
        <v>227</v>
      </c>
      <c r="N62" s="95" t="s">
        <v>227</v>
      </c>
      <c r="O62" s="95" t="s">
        <v>227</v>
      </c>
      <c r="P62" s="95" t="s">
        <v>227</v>
      </c>
      <c r="Q62" s="95" t="s">
        <v>227</v>
      </c>
      <c r="R62" s="95" t="s">
        <v>227</v>
      </c>
      <c r="S62" s="95" t="s">
        <v>227</v>
      </c>
      <c r="T62" s="95" t="s">
        <v>227</v>
      </c>
      <c r="U62" s="48" t="s">
        <v>633</v>
      </c>
      <c r="V62" s="95" t="s">
        <v>231</v>
      </c>
      <c r="W62" t="s">
        <v>637</v>
      </c>
      <c r="X62" s="95" t="s">
        <v>634</v>
      </c>
    </row>
    <row r="63" spans="1:24" ht="13" x14ac:dyDescent="0.3">
      <c r="A63" s="43">
        <v>4863113390</v>
      </c>
      <c r="B63" s="95" t="s">
        <v>749</v>
      </c>
      <c r="C63" s="43" t="s">
        <v>562</v>
      </c>
      <c r="D63" s="95" t="s">
        <v>750</v>
      </c>
      <c r="E63" s="95" t="s">
        <v>307</v>
      </c>
      <c r="F63" s="95" t="s">
        <v>649</v>
      </c>
      <c r="G63" s="95" t="s">
        <v>750</v>
      </c>
      <c r="H63" s="95" t="s">
        <v>307</v>
      </c>
      <c r="I63" s="95" t="s">
        <v>649</v>
      </c>
      <c r="J63" s="95" t="s">
        <v>645</v>
      </c>
      <c r="K63" s="95" t="s">
        <v>645</v>
      </c>
      <c r="L63" s="95" t="s">
        <v>645</v>
      </c>
      <c r="M63" s="95" t="s">
        <v>645</v>
      </c>
      <c r="N63" s="95" t="s">
        <v>227</v>
      </c>
      <c r="O63" s="95" t="s">
        <v>227</v>
      </c>
      <c r="P63" s="95" t="s">
        <v>227</v>
      </c>
      <c r="Q63" s="95" t="s">
        <v>227</v>
      </c>
      <c r="R63" s="95" t="s">
        <v>227</v>
      </c>
      <c r="S63" s="95" t="s">
        <v>227</v>
      </c>
      <c r="T63" s="95" t="s">
        <v>227</v>
      </c>
      <c r="U63" s="48" t="s">
        <v>633</v>
      </c>
      <c r="V63" s="95" t="s">
        <v>231</v>
      </c>
      <c r="W63" t="s">
        <v>637</v>
      </c>
      <c r="X63" s="95" t="s">
        <v>634</v>
      </c>
    </row>
    <row r="64" spans="1:24" ht="13" x14ac:dyDescent="0.3">
      <c r="A64" s="43">
        <v>4381318161</v>
      </c>
      <c r="B64" s="95" t="s">
        <v>751</v>
      </c>
      <c r="C64" s="43" t="s">
        <v>566</v>
      </c>
      <c r="D64" s="95" t="s">
        <v>227</v>
      </c>
      <c r="E64" s="95" t="s">
        <v>231</v>
      </c>
      <c r="F64" s="95" t="s">
        <v>636</v>
      </c>
      <c r="G64" s="95" t="s">
        <v>227</v>
      </c>
      <c r="H64" s="95" t="s">
        <v>231</v>
      </c>
      <c r="I64" s="95" t="s">
        <v>649</v>
      </c>
      <c r="J64" s="95" t="s">
        <v>645</v>
      </c>
      <c r="K64" s="95" t="s">
        <v>645</v>
      </c>
      <c r="L64" s="95" t="s">
        <v>645</v>
      </c>
      <c r="M64" s="95" t="s">
        <v>645</v>
      </c>
      <c r="N64" s="95" t="s">
        <v>227</v>
      </c>
      <c r="O64" s="95" t="s">
        <v>227</v>
      </c>
      <c r="P64" s="95" t="s">
        <v>227</v>
      </c>
      <c r="Q64" s="95" t="s">
        <v>227</v>
      </c>
      <c r="R64" s="95" t="s">
        <v>227</v>
      </c>
      <c r="S64" s="95" t="s">
        <v>227</v>
      </c>
      <c r="T64" s="95">
        <v>5</v>
      </c>
      <c r="U64" s="48" t="s">
        <v>633</v>
      </c>
      <c r="V64" s="95" t="s">
        <v>530</v>
      </c>
      <c r="W64" t="s">
        <v>637</v>
      </c>
      <c r="X64" s="95" t="s">
        <v>634</v>
      </c>
    </row>
    <row r="65" spans="1:24" ht="13" x14ac:dyDescent="0.3">
      <c r="A65" s="43">
        <v>4583383061</v>
      </c>
      <c r="B65" s="95" t="s">
        <v>752</v>
      </c>
      <c r="C65" s="43" t="s">
        <v>571</v>
      </c>
      <c r="D65" s="95" t="s">
        <v>227</v>
      </c>
      <c r="E65" s="95" t="s">
        <v>231</v>
      </c>
      <c r="F65" s="105" t="s">
        <v>753</v>
      </c>
      <c r="G65" s="95" t="s">
        <v>227</v>
      </c>
      <c r="H65" s="95" t="s">
        <v>231</v>
      </c>
      <c r="I65" s="95" t="s">
        <v>636</v>
      </c>
      <c r="J65" s="105" t="s">
        <v>754</v>
      </c>
      <c r="K65" s="105" t="s">
        <v>754</v>
      </c>
      <c r="L65" s="95" t="s">
        <v>645</v>
      </c>
      <c r="M65" s="105" t="s">
        <v>754</v>
      </c>
      <c r="N65" s="95" t="s">
        <v>227</v>
      </c>
      <c r="O65" s="95" t="s">
        <v>227</v>
      </c>
      <c r="P65" s="95" t="s">
        <v>227</v>
      </c>
      <c r="Q65" s="95" t="s">
        <v>227</v>
      </c>
      <c r="R65" s="95" t="s">
        <v>227</v>
      </c>
      <c r="S65" s="95" t="s">
        <v>227</v>
      </c>
      <c r="T65" s="95">
        <v>5</v>
      </c>
      <c r="U65" s="48" t="s">
        <v>633</v>
      </c>
      <c r="V65" s="95" t="s">
        <v>300</v>
      </c>
      <c r="W65" t="s">
        <v>637</v>
      </c>
      <c r="X65" s="95" t="s">
        <v>634</v>
      </c>
    </row>
    <row r="66" spans="1:24" ht="13" x14ac:dyDescent="0.3">
      <c r="A66" s="43">
        <v>4482469521</v>
      </c>
      <c r="B66" s="95" t="s">
        <v>755</v>
      </c>
      <c r="C66" s="43" t="s">
        <v>576</v>
      </c>
      <c r="D66" s="95" t="s">
        <v>227</v>
      </c>
      <c r="E66" s="95" t="s">
        <v>231</v>
      </c>
      <c r="F66" s="95" t="s">
        <v>649</v>
      </c>
      <c r="G66" s="95" t="s">
        <v>227</v>
      </c>
      <c r="H66" s="95" t="s">
        <v>231</v>
      </c>
      <c r="I66" s="95" t="s">
        <v>649</v>
      </c>
      <c r="J66" s="95" t="s">
        <v>645</v>
      </c>
      <c r="K66" s="95" t="s">
        <v>645</v>
      </c>
      <c r="L66" s="95" t="s">
        <v>645</v>
      </c>
      <c r="M66" s="95" t="s">
        <v>645</v>
      </c>
      <c r="N66" s="95" t="s">
        <v>227</v>
      </c>
      <c r="O66" s="95" t="s">
        <v>227</v>
      </c>
      <c r="P66" s="95" t="s">
        <v>227</v>
      </c>
      <c r="Q66" s="95" t="s">
        <v>227</v>
      </c>
      <c r="R66" s="95" t="s">
        <v>227</v>
      </c>
      <c r="S66" s="95" t="s">
        <v>227</v>
      </c>
      <c r="T66" s="95">
        <v>7</v>
      </c>
      <c r="U66" s="48" t="s">
        <v>633</v>
      </c>
      <c r="V66" s="95" t="s">
        <v>231</v>
      </c>
      <c r="W66" t="s">
        <v>637</v>
      </c>
      <c r="X66" s="95" t="s">
        <v>634</v>
      </c>
    </row>
    <row r="67" spans="1:24" ht="13" x14ac:dyDescent="0.3">
      <c r="A67" s="43">
        <v>4504894297</v>
      </c>
      <c r="B67" s="95" t="s">
        <v>756</v>
      </c>
      <c r="C67" s="43" t="s">
        <v>578</v>
      </c>
      <c r="D67" s="95" t="s">
        <v>227</v>
      </c>
      <c r="E67" s="95" t="s">
        <v>227</v>
      </c>
      <c r="F67" s="95" t="s">
        <v>227</v>
      </c>
      <c r="G67" s="95" t="s">
        <v>227</v>
      </c>
      <c r="H67" s="95" t="s">
        <v>227</v>
      </c>
      <c r="I67" s="95" t="s">
        <v>227</v>
      </c>
      <c r="J67" s="95" t="s">
        <v>227</v>
      </c>
      <c r="K67" s="95" t="s">
        <v>227</v>
      </c>
      <c r="L67" s="95" t="s">
        <v>227</v>
      </c>
      <c r="M67" s="95" t="s">
        <v>227</v>
      </c>
      <c r="N67" s="95" t="s">
        <v>227</v>
      </c>
      <c r="O67" s="95" t="s">
        <v>227</v>
      </c>
      <c r="P67" s="95" t="s">
        <v>227</v>
      </c>
      <c r="Q67" s="95" t="s">
        <v>227</v>
      </c>
      <c r="R67" s="95" t="s">
        <v>227</v>
      </c>
      <c r="S67" s="95" t="s">
        <v>227</v>
      </c>
      <c r="T67" s="95" t="s">
        <v>227</v>
      </c>
      <c r="U67" s="48" t="s">
        <v>633</v>
      </c>
      <c r="V67" s="95" t="s">
        <v>231</v>
      </c>
      <c r="W67" t="s">
        <v>637</v>
      </c>
      <c r="X67" s="95" t="s">
        <v>634</v>
      </c>
    </row>
    <row r="68" spans="1:24" ht="13" x14ac:dyDescent="0.3">
      <c r="A68" s="43">
        <v>4505659534</v>
      </c>
      <c r="B68" s="95" t="s">
        <v>757</v>
      </c>
      <c r="C68" s="43" t="s">
        <v>579</v>
      </c>
      <c r="D68" s="105" t="s">
        <v>231</v>
      </c>
      <c r="E68" s="105" t="s">
        <v>231</v>
      </c>
      <c r="F68" s="105" t="s">
        <v>649</v>
      </c>
      <c r="G68" s="105" t="s">
        <v>758</v>
      </c>
      <c r="H68" s="105" t="s">
        <v>231</v>
      </c>
      <c r="I68" s="105" t="s">
        <v>636</v>
      </c>
      <c r="J68" s="105" t="s">
        <v>650</v>
      </c>
      <c r="K68" s="105" t="s">
        <v>650</v>
      </c>
      <c r="L68" s="105" t="s">
        <v>645</v>
      </c>
      <c r="M68" s="105" t="s">
        <v>645</v>
      </c>
      <c r="N68" s="95" t="s">
        <v>227</v>
      </c>
      <c r="O68" s="95" t="s">
        <v>227</v>
      </c>
      <c r="P68" s="95" t="s">
        <v>227</v>
      </c>
      <c r="Q68" s="95" t="s">
        <v>227</v>
      </c>
      <c r="R68" s="95" t="s">
        <v>227</v>
      </c>
      <c r="S68" s="95" t="s">
        <v>227</v>
      </c>
      <c r="T68" s="105" t="s">
        <v>645</v>
      </c>
      <c r="U68" s="48" t="s">
        <v>633</v>
      </c>
      <c r="V68" s="95" t="s">
        <v>231</v>
      </c>
      <c r="W68" t="s">
        <v>637</v>
      </c>
      <c r="X68" s="95" t="s">
        <v>634</v>
      </c>
    </row>
    <row r="69" spans="1:24" ht="13" x14ac:dyDescent="0.3">
      <c r="A69" s="43">
        <v>6514469078</v>
      </c>
      <c r="B69" s="95" t="s">
        <v>759</v>
      </c>
      <c r="C69" s="43" t="s">
        <v>586</v>
      </c>
      <c r="D69" s="95" t="s">
        <v>227</v>
      </c>
      <c r="E69" s="95" t="s">
        <v>227</v>
      </c>
      <c r="F69" s="95" t="s">
        <v>227</v>
      </c>
      <c r="G69" s="95" t="s">
        <v>760</v>
      </c>
      <c r="H69" s="95" t="s">
        <v>231</v>
      </c>
      <c r="I69" s="95" t="s">
        <v>649</v>
      </c>
      <c r="J69" s="95" t="s">
        <v>645</v>
      </c>
      <c r="K69" s="95" t="s">
        <v>645</v>
      </c>
      <c r="L69" s="95" t="s">
        <v>645</v>
      </c>
      <c r="M69" s="95" t="s">
        <v>645</v>
      </c>
      <c r="N69" s="95" t="s">
        <v>227</v>
      </c>
      <c r="O69" s="95" t="s">
        <v>227</v>
      </c>
      <c r="P69" s="95" t="s">
        <v>227</v>
      </c>
      <c r="Q69" s="95" t="s">
        <v>227</v>
      </c>
      <c r="R69" s="95" t="s">
        <v>227</v>
      </c>
      <c r="S69" s="95" t="s">
        <v>227</v>
      </c>
      <c r="T69" s="95" t="s">
        <v>227</v>
      </c>
      <c r="U69" s="48" t="s">
        <v>633</v>
      </c>
      <c r="V69" s="95" t="s">
        <v>231</v>
      </c>
      <c r="W69" t="s">
        <v>637</v>
      </c>
      <c r="X69" s="95" t="s">
        <v>634</v>
      </c>
    </row>
    <row r="70" spans="1:24" ht="13" x14ac:dyDescent="0.3">
      <c r="A70" s="43">
        <v>6241142747</v>
      </c>
      <c r="B70" s="95" t="s">
        <v>761</v>
      </c>
      <c r="C70" s="43" t="s">
        <v>589</v>
      </c>
      <c r="D70" s="95" t="s">
        <v>762</v>
      </c>
      <c r="E70" s="95" t="s">
        <v>231</v>
      </c>
      <c r="F70" s="95" t="s">
        <v>649</v>
      </c>
      <c r="G70" s="95" t="s">
        <v>227</v>
      </c>
      <c r="H70" s="95" t="s">
        <v>564</v>
      </c>
      <c r="I70" s="105" t="s">
        <v>649</v>
      </c>
      <c r="J70" s="105" t="s">
        <v>645</v>
      </c>
      <c r="K70" s="105" t="s">
        <v>645</v>
      </c>
      <c r="L70" s="95" t="s">
        <v>645</v>
      </c>
      <c r="M70" s="95" t="s">
        <v>645</v>
      </c>
      <c r="N70" s="95" t="s">
        <v>227</v>
      </c>
      <c r="O70" s="95" t="s">
        <v>227</v>
      </c>
      <c r="P70" s="95" t="s">
        <v>227</v>
      </c>
      <c r="Q70" s="95" t="s">
        <v>227</v>
      </c>
      <c r="R70" s="95" t="s">
        <v>227</v>
      </c>
      <c r="S70" s="95" t="s">
        <v>227</v>
      </c>
      <c r="T70" s="95">
        <v>8</v>
      </c>
      <c r="U70" s="48" t="s">
        <v>633</v>
      </c>
      <c r="V70" s="95" t="s">
        <v>231</v>
      </c>
      <c r="W70" t="s">
        <v>637</v>
      </c>
      <c r="X70" s="95" t="s">
        <v>634</v>
      </c>
    </row>
    <row r="71" spans="1:24" ht="13" x14ac:dyDescent="0.3">
      <c r="A71" s="43">
        <v>4382229278</v>
      </c>
      <c r="B71" s="95" t="s">
        <v>763</v>
      </c>
      <c r="C71" s="43" t="s">
        <v>592</v>
      </c>
      <c r="D71" s="95" t="s">
        <v>764</v>
      </c>
      <c r="E71" s="95" t="s">
        <v>231</v>
      </c>
      <c r="F71" s="95" t="s">
        <v>649</v>
      </c>
      <c r="G71" s="95" t="s">
        <v>764</v>
      </c>
      <c r="H71" s="95" t="s">
        <v>231</v>
      </c>
      <c r="I71" s="95" t="s">
        <v>649</v>
      </c>
      <c r="J71" s="95" t="s">
        <v>645</v>
      </c>
      <c r="K71" s="95" t="s">
        <v>645</v>
      </c>
      <c r="L71" s="95" t="s">
        <v>645</v>
      </c>
      <c r="M71" s="95" t="s">
        <v>645</v>
      </c>
      <c r="N71" s="95" t="s">
        <v>227</v>
      </c>
      <c r="O71" s="95" t="s">
        <v>227</v>
      </c>
      <c r="P71" s="95" t="s">
        <v>227</v>
      </c>
      <c r="Q71" s="95" t="s">
        <v>227</v>
      </c>
      <c r="R71" s="95" t="s">
        <v>227</v>
      </c>
      <c r="S71" s="95" t="s">
        <v>227</v>
      </c>
      <c r="T71" s="95">
        <v>8</v>
      </c>
      <c r="U71" s="48" t="s">
        <v>633</v>
      </c>
      <c r="V71" s="95" t="s">
        <v>231</v>
      </c>
      <c r="W71" t="s">
        <v>637</v>
      </c>
      <c r="X71" s="95" t="s">
        <v>634</v>
      </c>
    </row>
    <row r="72" spans="1:24" ht="13" x14ac:dyDescent="0.3">
      <c r="A72" s="43">
        <v>4124350430</v>
      </c>
      <c r="B72" s="95" t="s">
        <v>765</v>
      </c>
      <c r="C72" s="43" t="s">
        <v>596</v>
      </c>
      <c r="D72" s="95" t="s">
        <v>766</v>
      </c>
      <c r="E72" s="95" t="s">
        <v>231</v>
      </c>
      <c r="F72" s="95" t="s">
        <v>649</v>
      </c>
      <c r="G72" s="95" t="s">
        <v>766</v>
      </c>
      <c r="H72" s="95" t="s">
        <v>231</v>
      </c>
      <c r="I72" s="95" t="s">
        <v>649</v>
      </c>
      <c r="J72" s="95" t="s">
        <v>645</v>
      </c>
      <c r="K72" s="95" t="s">
        <v>645</v>
      </c>
      <c r="L72" s="95" t="s">
        <v>645</v>
      </c>
      <c r="M72" s="95" t="s">
        <v>645</v>
      </c>
      <c r="N72" s="95" t="s">
        <v>227</v>
      </c>
      <c r="O72" s="95" t="s">
        <v>227</v>
      </c>
      <c r="P72" s="95" t="s">
        <v>227</v>
      </c>
      <c r="Q72" s="95" t="s">
        <v>227</v>
      </c>
      <c r="R72" s="95" t="s">
        <v>227</v>
      </c>
      <c r="S72" s="95" t="s">
        <v>227</v>
      </c>
      <c r="T72" s="95" t="s">
        <v>645</v>
      </c>
      <c r="U72" s="48" t="s">
        <v>633</v>
      </c>
      <c r="V72" s="95" t="s">
        <v>231</v>
      </c>
      <c r="W72" t="s">
        <v>637</v>
      </c>
      <c r="X72" s="95" t="s">
        <v>634</v>
      </c>
    </row>
    <row r="73" spans="1:24" ht="13" x14ac:dyDescent="0.3">
      <c r="A73" s="43">
        <v>4643702346</v>
      </c>
      <c r="B73" s="95" t="s">
        <v>767</v>
      </c>
      <c r="C73" s="43" t="s">
        <v>608</v>
      </c>
      <c r="D73" s="95" t="s">
        <v>768</v>
      </c>
      <c r="E73" s="95" t="s">
        <v>231</v>
      </c>
      <c r="F73" s="105" t="s">
        <v>231</v>
      </c>
      <c r="G73" s="95" t="s">
        <v>769</v>
      </c>
      <c r="H73" s="95" t="s">
        <v>231</v>
      </c>
      <c r="I73" s="95" t="s">
        <v>649</v>
      </c>
      <c r="J73" s="95" t="s">
        <v>645</v>
      </c>
      <c r="K73" s="95" t="s">
        <v>645</v>
      </c>
      <c r="L73" s="95" t="s">
        <v>645</v>
      </c>
      <c r="M73" s="95" t="s">
        <v>645</v>
      </c>
      <c r="N73" s="95" t="s">
        <v>227</v>
      </c>
      <c r="O73" s="95" t="s">
        <v>227</v>
      </c>
      <c r="P73" s="95" t="s">
        <v>227</v>
      </c>
      <c r="Q73" s="95" t="s">
        <v>227</v>
      </c>
      <c r="R73" s="95" t="s">
        <v>227</v>
      </c>
      <c r="S73" s="95" t="s">
        <v>227</v>
      </c>
      <c r="T73" s="95" t="s">
        <v>645</v>
      </c>
      <c r="U73" s="48" t="s">
        <v>633</v>
      </c>
      <c r="V73" s="95"/>
      <c r="W73" t="s">
        <v>637</v>
      </c>
      <c r="X73" s="95" t="s">
        <v>634</v>
      </c>
    </row>
  </sheetData>
  <conditionalFormatting sqref="A1:A1048576">
    <cfRule type="duplicateValues" dxfId="242" priority="1"/>
  </conditionalFormatting>
  <conditionalFormatting sqref="A2:A73">
    <cfRule type="duplicateValues" dxfId="241" priority="29"/>
  </conditionalFormatting>
  <conditionalFormatting sqref="T10 C2:C3 C12:C73 E8:S8 C5:C8">
    <cfRule type="duplicateValues" dxfId="240" priority="31"/>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EA9D-6573-4B56-88BB-E6F5034748D6}">
  <sheetPr codeName="Sheet2"/>
  <dimension ref="A1:L1"/>
  <sheetViews>
    <sheetView workbookViewId="0">
      <selection activeCell="K1" sqref="K1"/>
    </sheetView>
  </sheetViews>
  <sheetFormatPr defaultRowHeight="12.5" x14ac:dyDescent="0.25"/>
  <cols>
    <col min="1" max="1" width="13" customWidth="1"/>
    <col min="2" max="2" width="19.453125" customWidth="1"/>
    <col min="3" max="3" width="19.7265625" customWidth="1"/>
    <col min="5" max="5" width="19.7265625" customWidth="1"/>
    <col min="7" max="7" width="19.7265625" customWidth="1"/>
    <col min="9" max="9" width="19.7265625" customWidth="1"/>
    <col min="11" max="11" width="19.7265625" customWidth="1"/>
  </cols>
  <sheetData>
    <row r="1" spans="1:12" ht="40.5" customHeight="1" x14ac:dyDescent="0.25">
      <c r="A1" s="70" t="s">
        <v>770</v>
      </c>
      <c r="B1" s="70" t="s">
        <v>771</v>
      </c>
      <c r="C1" s="70" t="s">
        <v>772</v>
      </c>
      <c r="D1" s="70" t="s">
        <v>773</v>
      </c>
      <c r="E1" s="70" t="s">
        <v>774</v>
      </c>
      <c r="F1" s="70" t="s">
        <v>775</v>
      </c>
      <c r="G1" s="70" t="s">
        <v>776</v>
      </c>
      <c r="H1" s="70" t="s">
        <v>777</v>
      </c>
      <c r="I1" s="70" t="s">
        <v>778</v>
      </c>
      <c r="J1" s="70" t="s">
        <v>779</v>
      </c>
      <c r="K1" s="70" t="s">
        <v>780</v>
      </c>
      <c r="L1" s="70" t="s">
        <v>781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DCDE-6648-41FE-8F0D-ADD710C198FB}">
  <sheetPr codeName="Sheet4"/>
  <dimension ref="B1:L419"/>
  <sheetViews>
    <sheetView topLeftCell="E1" workbookViewId="0">
      <selection activeCell="G25" sqref="G25"/>
    </sheetView>
  </sheetViews>
  <sheetFormatPr defaultColWidth="9.1796875" defaultRowHeight="15" customHeight="1" x14ac:dyDescent="0.3"/>
  <cols>
    <col min="1" max="1" width="9.1796875" style="49"/>
    <col min="2" max="2" width="43.453125" style="49" bestFit="1" customWidth="1"/>
    <col min="3" max="3" width="112.81640625" style="49" customWidth="1"/>
    <col min="4" max="4" width="9.1796875" style="49"/>
    <col min="5" max="6" width="15.81640625" style="49" customWidth="1"/>
    <col min="7" max="7" width="37.26953125" style="49" bestFit="1" customWidth="1"/>
    <col min="8" max="8" width="31.81640625" style="49" bestFit="1" customWidth="1"/>
    <col min="9" max="9" width="17.1796875" style="49" bestFit="1" customWidth="1"/>
    <col min="10" max="10" width="9.1796875" style="49"/>
    <col min="11" max="11" width="42.7265625" style="49" bestFit="1" customWidth="1"/>
    <col min="12" max="12" width="8" style="49" bestFit="1" customWidth="1"/>
    <col min="13" max="16384" width="9.1796875" style="49"/>
  </cols>
  <sheetData>
    <row r="1" spans="2:12" ht="18.75" customHeight="1" x14ac:dyDescent="0.3">
      <c r="E1" s="50" t="s">
        <v>782</v>
      </c>
      <c r="F1" s="50" t="s">
        <v>783</v>
      </c>
      <c r="G1" s="50" t="s">
        <v>42</v>
      </c>
      <c r="H1" s="50" t="s">
        <v>48</v>
      </c>
      <c r="I1" s="50" t="s">
        <v>56</v>
      </c>
    </row>
    <row r="2" spans="2:12" ht="15" customHeight="1" x14ac:dyDescent="0.3">
      <c r="B2" s="47" t="s">
        <v>784</v>
      </c>
      <c r="C2" s="47"/>
      <c r="E2" s="49" t="s">
        <v>246</v>
      </c>
      <c r="F2" s="49" t="s">
        <v>241</v>
      </c>
      <c r="G2" s="49" t="s">
        <v>221</v>
      </c>
      <c r="H2" s="49" t="s">
        <v>230</v>
      </c>
      <c r="I2" s="49" t="s">
        <v>785</v>
      </c>
    </row>
    <row r="3" spans="2:12" ht="15" customHeight="1" x14ac:dyDescent="0.3">
      <c r="B3" s="47" t="s">
        <v>786</v>
      </c>
      <c r="C3" s="47"/>
      <c r="E3" s="49" t="s">
        <v>249</v>
      </c>
      <c r="F3" s="49" t="s">
        <v>220</v>
      </c>
      <c r="G3" s="49" t="s">
        <v>255</v>
      </c>
      <c r="H3" s="49" t="s">
        <v>256</v>
      </c>
      <c r="I3" s="49" t="s">
        <v>787</v>
      </c>
      <c r="K3" s="51" t="s">
        <v>788</v>
      </c>
      <c r="L3" s="51" t="s">
        <v>789</v>
      </c>
    </row>
    <row r="4" spans="2:12" ht="15" customHeight="1" x14ac:dyDescent="0.3">
      <c r="B4" s="47"/>
      <c r="C4" s="47"/>
      <c r="E4" s="49" t="s">
        <v>582</v>
      </c>
      <c r="F4" s="49" t="s">
        <v>227</v>
      </c>
      <c r="G4" s="49" t="s">
        <v>790</v>
      </c>
      <c r="H4" s="49" t="s">
        <v>791</v>
      </c>
      <c r="I4" s="49" t="s">
        <v>792</v>
      </c>
      <c r="K4" s="4" t="s">
        <v>1</v>
      </c>
      <c r="L4" s="52" t="s">
        <v>296</v>
      </c>
    </row>
    <row r="5" spans="2:12" ht="15" customHeight="1" x14ac:dyDescent="0.3">
      <c r="B5" s="47"/>
      <c r="C5" s="47"/>
      <c r="E5" s="49" t="s">
        <v>393</v>
      </c>
      <c r="F5" s="49" t="s">
        <v>231</v>
      </c>
      <c r="G5" s="49" t="s">
        <v>793</v>
      </c>
      <c r="H5" s="49" t="s">
        <v>227</v>
      </c>
      <c r="I5" s="49" t="s">
        <v>794</v>
      </c>
      <c r="K5" s="4" t="s">
        <v>795</v>
      </c>
      <c r="L5" s="52" t="s">
        <v>796</v>
      </c>
    </row>
    <row r="6" spans="2:12" ht="15" customHeight="1" x14ac:dyDescent="0.3">
      <c r="B6" s="59" t="s">
        <v>797</v>
      </c>
      <c r="C6" s="60" t="s">
        <v>798</v>
      </c>
      <c r="E6" s="49" t="s">
        <v>275</v>
      </c>
      <c r="G6" s="49" t="s">
        <v>227</v>
      </c>
      <c r="H6" s="49" t="s">
        <v>231</v>
      </c>
      <c r="I6" s="49" t="s">
        <v>799</v>
      </c>
      <c r="K6" s="4" t="s">
        <v>3</v>
      </c>
      <c r="L6" s="52" t="s">
        <v>800</v>
      </c>
    </row>
    <row r="7" spans="2:12" ht="15" customHeight="1" x14ac:dyDescent="0.3">
      <c r="B7" s="59" t="s">
        <v>801</v>
      </c>
      <c r="C7" s="60" t="s">
        <v>802</v>
      </c>
      <c r="E7" s="49" t="s">
        <v>803</v>
      </c>
      <c r="G7" s="49" t="s">
        <v>231</v>
      </c>
      <c r="I7" s="49" t="s">
        <v>804</v>
      </c>
      <c r="K7" s="5" t="s">
        <v>805</v>
      </c>
      <c r="L7" s="52" t="s">
        <v>806</v>
      </c>
    </row>
    <row r="8" spans="2:12" ht="15" customHeight="1" x14ac:dyDescent="0.3">
      <c r="B8" s="61" t="s">
        <v>807</v>
      </c>
      <c r="C8" s="62" t="s">
        <v>808</v>
      </c>
      <c r="E8" s="49" t="s">
        <v>809</v>
      </c>
      <c r="I8" s="49" t="s">
        <v>227</v>
      </c>
      <c r="K8" s="5" t="s">
        <v>5</v>
      </c>
      <c r="L8" s="52" t="s">
        <v>810</v>
      </c>
    </row>
    <row r="9" spans="2:12" ht="15" customHeight="1" x14ac:dyDescent="0.3">
      <c r="B9" s="61" t="s">
        <v>811</v>
      </c>
      <c r="C9" s="60" t="s">
        <v>812</v>
      </c>
      <c r="E9" s="49" t="s">
        <v>227</v>
      </c>
      <c r="I9" s="49" t="s">
        <v>231</v>
      </c>
      <c r="K9" s="5" t="s">
        <v>6</v>
      </c>
      <c r="L9" s="52" t="s">
        <v>228</v>
      </c>
    </row>
    <row r="10" spans="2:12" ht="15" customHeight="1" x14ac:dyDescent="0.3">
      <c r="B10" s="61" t="s">
        <v>813</v>
      </c>
      <c r="C10" s="60" t="s">
        <v>814</v>
      </c>
      <c r="E10" s="49" t="s">
        <v>231</v>
      </c>
      <c r="K10" s="5" t="s">
        <v>7</v>
      </c>
      <c r="L10" s="52" t="s">
        <v>815</v>
      </c>
    </row>
    <row r="11" spans="2:12" ht="15" customHeight="1" x14ac:dyDescent="0.3">
      <c r="B11" s="63" t="s">
        <v>216</v>
      </c>
      <c r="C11" s="60" t="s">
        <v>816</v>
      </c>
      <c r="K11" s="6" t="s">
        <v>8</v>
      </c>
      <c r="L11" s="52" t="s">
        <v>817</v>
      </c>
    </row>
    <row r="12" spans="2:12" ht="15" customHeight="1" x14ac:dyDescent="0.3">
      <c r="B12" s="63" t="s">
        <v>217</v>
      </c>
      <c r="C12" s="60" t="s">
        <v>818</v>
      </c>
      <c r="K12" s="7" t="s">
        <v>9</v>
      </c>
      <c r="L12" s="52" t="s">
        <v>819</v>
      </c>
    </row>
    <row r="13" spans="2:12" ht="15" customHeight="1" x14ac:dyDescent="0.3">
      <c r="B13" s="63" t="s">
        <v>218</v>
      </c>
      <c r="C13" s="60" t="s">
        <v>820</v>
      </c>
      <c r="K13" s="7" t="s">
        <v>10</v>
      </c>
      <c r="L13" s="52" t="s">
        <v>821</v>
      </c>
    </row>
    <row r="14" spans="2:12" ht="15" customHeight="1" x14ac:dyDescent="0.3">
      <c r="B14" s="63" t="s">
        <v>219</v>
      </c>
      <c r="C14" s="60" t="s">
        <v>822</v>
      </c>
      <c r="K14" s="5" t="s">
        <v>823</v>
      </c>
      <c r="L14" s="52" t="s">
        <v>824</v>
      </c>
    </row>
    <row r="15" spans="2:12" ht="15" customHeight="1" x14ac:dyDescent="0.3">
      <c r="B15" s="63" t="s">
        <v>825</v>
      </c>
      <c r="C15" s="60" t="s">
        <v>826</v>
      </c>
      <c r="K15" s="4" t="s">
        <v>12</v>
      </c>
      <c r="L15" s="52" t="s">
        <v>827</v>
      </c>
    </row>
    <row r="16" spans="2:12" ht="15" customHeight="1" x14ac:dyDescent="0.3">
      <c r="B16" s="63" t="s">
        <v>828</v>
      </c>
      <c r="C16" s="60" t="s">
        <v>829</v>
      </c>
      <c r="K16" s="8" t="s">
        <v>13</v>
      </c>
      <c r="L16" s="52" t="s">
        <v>830</v>
      </c>
    </row>
    <row r="17" spans="3:12" ht="15" customHeight="1" x14ac:dyDescent="0.3">
      <c r="K17" s="8" t="s">
        <v>14</v>
      </c>
      <c r="L17" s="52" t="s">
        <v>831</v>
      </c>
    </row>
    <row r="18" spans="3:12" ht="15" customHeight="1" x14ac:dyDescent="0.3">
      <c r="K18" s="8" t="s">
        <v>15</v>
      </c>
      <c r="L18" s="52" t="s">
        <v>832</v>
      </c>
    </row>
    <row r="19" spans="3:12" ht="15" customHeight="1" x14ac:dyDescent="0.3">
      <c r="K19" s="9" t="s">
        <v>833</v>
      </c>
      <c r="L19" s="52" t="s">
        <v>834</v>
      </c>
    </row>
    <row r="20" spans="3:12" ht="15" customHeight="1" x14ac:dyDescent="0.3">
      <c r="C20" s="53"/>
      <c r="K20" s="4" t="s">
        <v>17</v>
      </c>
      <c r="L20" s="52" t="s">
        <v>835</v>
      </c>
    </row>
    <row r="21" spans="3:12" ht="15" customHeight="1" x14ac:dyDescent="0.3">
      <c r="C21"/>
      <c r="K21" s="8" t="s">
        <v>18</v>
      </c>
      <c r="L21" s="52" t="s">
        <v>836</v>
      </c>
    </row>
    <row r="22" spans="3:12" ht="15" customHeight="1" x14ac:dyDescent="0.3">
      <c r="K22" s="8" t="s">
        <v>19</v>
      </c>
      <c r="L22" s="52" t="s">
        <v>837</v>
      </c>
    </row>
    <row r="23" spans="3:12" ht="15" customHeight="1" x14ac:dyDescent="0.3">
      <c r="C23"/>
      <c r="D23"/>
      <c r="K23" s="8" t="s">
        <v>20</v>
      </c>
      <c r="L23" s="52" t="s">
        <v>838</v>
      </c>
    </row>
    <row r="24" spans="3:12" ht="15" customHeight="1" x14ac:dyDescent="0.3">
      <c r="K24" s="9" t="s">
        <v>839</v>
      </c>
      <c r="L24" s="52" t="s">
        <v>840</v>
      </c>
    </row>
    <row r="25" spans="3:12" ht="15" customHeight="1" x14ac:dyDescent="0.3">
      <c r="K25" s="4" t="s">
        <v>22</v>
      </c>
      <c r="L25" s="52" t="s">
        <v>841</v>
      </c>
    </row>
    <row r="26" spans="3:12" ht="15" customHeight="1" x14ac:dyDescent="0.35">
      <c r="D26" s="54"/>
      <c r="F26" s="54"/>
      <c r="K26" s="8" t="s">
        <v>23</v>
      </c>
      <c r="L26" s="52" t="s">
        <v>842</v>
      </c>
    </row>
    <row r="27" spans="3:12" ht="15" customHeight="1" x14ac:dyDescent="0.35">
      <c r="D27" s="54"/>
      <c r="E27" s="54"/>
      <c r="F27" s="54"/>
      <c r="G27" s="54"/>
      <c r="K27" s="8" t="s">
        <v>24</v>
      </c>
      <c r="L27" s="52" t="s">
        <v>843</v>
      </c>
    </row>
    <row r="28" spans="3:12" ht="15" customHeight="1" x14ac:dyDescent="0.35">
      <c r="D28" s="54"/>
      <c r="E28" s="54"/>
      <c r="F28" s="54"/>
      <c r="G28" s="54"/>
      <c r="K28" s="8" t="s">
        <v>25</v>
      </c>
      <c r="L28" s="52" t="s">
        <v>844</v>
      </c>
    </row>
    <row r="29" spans="3:12" ht="15" customHeight="1" x14ac:dyDescent="0.35">
      <c r="D29" s="54"/>
      <c r="E29" s="54"/>
      <c r="F29" s="54"/>
      <c r="G29" s="54"/>
      <c r="K29" s="9" t="s">
        <v>845</v>
      </c>
      <c r="L29" s="52" t="s">
        <v>846</v>
      </c>
    </row>
    <row r="30" spans="3:12" ht="15" customHeight="1" x14ac:dyDescent="0.35">
      <c r="D30" s="54"/>
      <c r="E30" s="54"/>
      <c r="F30" s="54"/>
      <c r="G30" s="54"/>
      <c r="K30" s="4" t="s">
        <v>27</v>
      </c>
      <c r="L30" s="52" t="s">
        <v>847</v>
      </c>
    </row>
    <row r="31" spans="3:12" ht="15" customHeight="1" x14ac:dyDescent="0.35">
      <c r="D31" s="54"/>
      <c r="E31" s="54"/>
      <c r="F31" s="54"/>
      <c r="G31" s="54"/>
      <c r="K31" s="8" t="s">
        <v>28</v>
      </c>
      <c r="L31" s="52" t="s">
        <v>848</v>
      </c>
    </row>
    <row r="32" spans="3:12" ht="15" customHeight="1" x14ac:dyDescent="0.35">
      <c r="D32" s="54"/>
      <c r="E32" s="54"/>
      <c r="F32" s="54"/>
      <c r="G32" s="54"/>
      <c r="K32" s="8" t="s">
        <v>29</v>
      </c>
      <c r="L32" s="52" t="s">
        <v>849</v>
      </c>
    </row>
    <row r="33" spans="4:12" ht="15" customHeight="1" x14ac:dyDescent="0.35">
      <c r="D33" s="54"/>
      <c r="E33" s="54"/>
      <c r="F33" s="54"/>
      <c r="G33" s="54"/>
      <c r="K33" s="8" t="s">
        <v>30</v>
      </c>
      <c r="L33" s="52" t="s">
        <v>850</v>
      </c>
    </row>
    <row r="34" spans="4:12" ht="15" customHeight="1" x14ac:dyDescent="0.35">
      <c r="D34" s="54"/>
      <c r="E34" s="54"/>
      <c r="K34" s="9" t="s">
        <v>851</v>
      </c>
      <c r="L34" s="52" t="s">
        <v>852</v>
      </c>
    </row>
    <row r="35" spans="4:12" ht="15" customHeight="1" x14ac:dyDescent="0.35">
      <c r="D35" s="54"/>
      <c r="E35" s="54"/>
      <c r="F35" s="54"/>
      <c r="K35" s="4" t="s">
        <v>32</v>
      </c>
      <c r="L35" s="52" t="s">
        <v>853</v>
      </c>
    </row>
    <row r="36" spans="4:12" ht="15" customHeight="1" x14ac:dyDescent="0.35">
      <c r="D36" s="54"/>
      <c r="E36" s="54"/>
      <c r="F36" s="54"/>
      <c r="G36" s="54"/>
      <c r="K36" s="8" t="s">
        <v>33</v>
      </c>
      <c r="L36" s="52" t="s">
        <v>854</v>
      </c>
    </row>
    <row r="37" spans="4:12" ht="15" customHeight="1" x14ac:dyDescent="0.35">
      <c r="D37" s="54"/>
      <c r="E37" s="54"/>
      <c r="F37" s="54"/>
      <c r="G37" s="54"/>
      <c r="K37" s="8" t="s">
        <v>34</v>
      </c>
      <c r="L37" s="52" t="s">
        <v>855</v>
      </c>
    </row>
    <row r="38" spans="4:12" ht="15" customHeight="1" x14ac:dyDescent="0.35">
      <c r="D38" s="54"/>
      <c r="E38" s="54"/>
      <c r="F38" s="54"/>
      <c r="G38" s="54"/>
      <c r="K38" s="8" t="s">
        <v>35</v>
      </c>
      <c r="L38" s="52" t="s">
        <v>856</v>
      </c>
    </row>
    <row r="39" spans="4:12" ht="15" customHeight="1" x14ac:dyDescent="0.35">
      <c r="D39" s="54"/>
      <c r="E39" s="54"/>
      <c r="F39" s="54"/>
      <c r="G39" s="54"/>
      <c r="K39" s="9" t="s">
        <v>857</v>
      </c>
      <c r="L39" s="52" t="s">
        <v>858</v>
      </c>
    </row>
    <row r="40" spans="4:12" ht="15" customHeight="1" x14ac:dyDescent="0.35">
      <c r="D40" s="54"/>
      <c r="E40" s="54"/>
      <c r="F40" s="54"/>
      <c r="G40" s="54"/>
      <c r="K40" s="4" t="s">
        <v>37</v>
      </c>
      <c r="L40" s="52" t="s">
        <v>859</v>
      </c>
    </row>
    <row r="41" spans="4:12" ht="15" customHeight="1" x14ac:dyDescent="0.35">
      <c r="D41" s="54"/>
      <c r="E41" s="54"/>
      <c r="F41" s="54"/>
      <c r="G41" s="54"/>
      <c r="K41" s="8" t="s">
        <v>38</v>
      </c>
      <c r="L41" s="52" t="s">
        <v>860</v>
      </c>
    </row>
    <row r="42" spans="4:12" ht="15" customHeight="1" x14ac:dyDescent="0.35">
      <c r="D42" s="54"/>
      <c r="E42" s="54"/>
      <c r="K42" s="8" t="s">
        <v>39</v>
      </c>
      <c r="L42" s="52" t="s">
        <v>861</v>
      </c>
    </row>
    <row r="43" spans="4:12" ht="15" customHeight="1" x14ac:dyDescent="0.35">
      <c r="D43" s="54"/>
      <c r="E43" s="54"/>
      <c r="F43" s="54"/>
      <c r="K43" s="8" t="s">
        <v>40</v>
      </c>
      <c r="L43" s="52" t="s">
        <v>862</v>
      </c>
    </row>
    <row r="44" spans="4:12" ht="15" customHeight="1" x14ac:dyDescent="0.35">
      <c r="D44" s="54"/>
      <c r="E44" s="54"/>
      <c r="F44" s="54"/>
      <c r="K44" s="9" t="s">
        <v>863</v>
      </c>
      <c r="L44" s="52" t="s">
        <v>864</v>
      </c>
    </row>
    <row r="45" spans="4:12" ht="15" customHeight="1" x14ac:dyDescent="0.35">
      <c r="E45" s="54"/>
      <c r="F45" s="54"/>
      <c r="K45" s="4" t="s">
        <v>42</v>
      </c>
      <c r="L45" s="52" t="s">
        <v>865</v>
      </c>
    </row>
    <row r="46" spans="4:12" ht="15" customHeight="1" x14ac:dyDescent="0.35">
      <c r="F46" s="54"/>
      <c r="K46" s="5" t="s">
        <v>43</v>
      </c>
      <c r="L46" s="52" t="s">
        <v>866</v>
      </c>
    </row>
    <row r="47" spans="4:12" ht="15" customHeight="1" x14ac:dyDescent="0.3">
      <c r="K47" s="10" t="s">
        <v>867</v>
      </c>
      <c r="L47" s="52" t="s">
        <v>868</v>
      </c>
    </row>
    <row r="48" spans="4:12" ht="15" customHeight="1" x14ac:dyDescent="0.3">
      <c r="K48" s="11" t="s">
        <v>45</v>
      </c>
      <c r="L48" s="52" t="s">
        <v>869</v>
      </c>
    </row>
    <row r="49" spans="11:12" ht="15" customHeight="1" x14ac:dyDescent="0.3">
      <c r="K49" s="12" t="s">
        <v>870</v>
      </c>
      <c r="L49" s="52" t="s">
        <v>871</v>
      </c>
    </row>
    <row r="50" spans="11:12" ht="15" customHeight="1" x14ac:dyDescent="0.3">
      <c r="K50" s="13" t="s">
        <v>47</v>
      </c>
      <c r="L50" s="52" t="s">
        <v>872</v>
      </c>
    </row>
    <row r="51" spans="11:12" ht="15" customHeight="1" x14ac:dyDescent="0.3">
      <c r="K51" s="14" t="s">
        <v>48</v>
      </c>
      <c r="L51" s="52" t="s">
        <v>873</v>
      </c>
    </row>
    <row r="52" spans="11:12" ht="15" customHeight="1" x14ac:dyDescent="0.3">
      <c r="K52" s="15" t="s">
        <v>874</v>
      </c>
      <c r="L52" s="52" t="s">
        <v>875</v>
      </c>
    </row>
    <row r="53" spans="11:12" ht="15" customHeight="1" x14ac:dyDescent="0.3">
      <c r="K53" s="15" t="s">
        <v>50</v>
      </c>
      <c r="L53" s="52" t="s">
        <v>876</v>
      </c>
    </row>
    <row r="54" spans="11:12" ht="15" customHeight="1" x14ac:dyDescent="0.3">
      <c r="K54" s="15" t="s">
        <v>51</v>
      </c>
      <c r="L54" s="52" t="s">
        <v>877</v>
      </c>
    </row>
    <row r="55" spans="11:12" ht="15" customHeight="1" x14ac:dyDescent="0.3">
      <c r="K55" s="15" t="s">
        <v>52</v>
      </c>
      <c r="L55" s="52" t="s">
        <v>878</v>
      </c>
    </row>
    <row r="56" spans="11:12" ht="15" customHeight="1" x14ac:dyDescent="0.3">
      <c r="K56" s="15" t="s">
        <v>53</v>
      </c>
      <c r="L56" s="52" t="s">
        <v>879</v>
      </c>
    </row>
    <row r="57" spans="11:12" ht="15" customHeight="1" x14ac:dyDescent="0.3">
      <c r="K57" s="16" t="s">
        <v>54</v>
      </c>
      <c r="L57" s="52" t="s">
        <v>880</v>
      </c>
    </row>
    <row r="58" spans="11:12" ht="15" customHeight="1" x14ac:dyDescent="0.3">
      <c r="K58" s="13" t="s">
        <v>55</v>
      </c>
      <c r="L58" s="52" t="s">
        <v>881</v>
      </c>
    </row>
    <row r="59" spans="11:12" ht="15" customHeight="1" x14ac:dyDescent="0.3">
      <c r="K59" s="13" t="s">
        <v>56</v>
      </c>
      <c r="L59" s="52" t="s">
        <v>882</v>
      </c>
    </row>
    <row r="60" spans="11:12" ht="15" customHeight="1" x14ac:dyDescent="0.3">
      <c r="K60" s="17" t="s">
        <v>57</v>
      </c>
      <c r="L60" s="52" t="s">
        <v>883</v>
      </c>
    </row>
    <row r="61" spans="11:12" ht="15" customHeight="1" x14ac:dyDescent="0.3">
      <c r="K61" s="18" t="s">
        <v>58</v>
      </c>
      <c r="L61" s="52" t="s">
        <v>884</v>
      </c>
    </row>
    <row r="62" spans="11:12" ht="15" customHeight="1" x14ac:dyDescent="0.3">
      <c r="K62" s="19" t="s">
        <v>59</v>
      </c>
      <c r="L62" s="52" t="s">
        <v>885</v>
      </c>
    </row>
    <row r="63" spans="11:12" ht="15" customHeight="1" x14ac:dyDescent="0.3">
      <c r="K63" s="19" t="s">
        <v>60</v>
      </c>
      <c r="L63" s="52" t="s">
        <v>886</v>
      </c>
    </row>
    <row r="64" spans="11:12" ht="15" customHeight="1" x14ac:dyDescent="0.3">
      <c r="K64" s="19" t="s">
        <v>61</v>
      </c>
      <c r="L64" s="52" t="s">
        <v>887</v>
      </c>
    </row>
    <row r="65" spans="11:12" ht="15" customHeight="1" x14ac:dyDescent="0.3">
      <c r="K65" s="20" t="s">
        <v>62</v>
      </c>
      <c r="L65" s="52" t="s">
        <v>888</v>
      </c>
    </row>
    <row r="66" spans="11:12" ht="15" customHeight="1" x14ac:dyDescent="0.3">
      <c r="K66" s="20" t="s">
        <v>63</v>
      </c>
      <c r="L66" s="52" t="s">
        <v>889</v>
      </c>
    </row>
    <row r="67" spans="11:12" ht="15" customHeight="1" x14ac:dyDescent="0.3">
      <c r="K67" s="19" t="s">
        <v>64</v>
      </c>
      <c r="L67" s="52" t="s">
        <v>890</v>
      </c>
    </row>
    <row r="68" spans="11:12" ht="15" customHeight="1" x14ac:dyDescent="0.3">
      <c r="K68" s="19" t="s">
        <v>65</v>
      </c>
      <c r="L68" s="52" t="s">
        <v>891</v>
      </c>
    </row>
    <row r="69" spans="11:12" ht="15" customHeight="1" x14ac:dyDescent="0.3">
      <c r="K69" s="19" t="s">
        <v>66</v>
      </c>
      <c r="L69" s="52" t="s">
        <v>892</v>
      </c>
    </row>
    <row r="70" spans="11:12" ht="15" customHeight="1" x14ac:dyDescent="0.3">
      <c r="K70" s="20" t="s">
        <v>893</v>
      </c>
      <c r="L70" s="52" t="s">
        <v>894</v>
      </c>
    </row>
    <row r="71" spans="11:12" ht="15" customHeight="1" x14ac:dyDescent="0.3">
      <c r="K71" s="20" t="s">
        <v>895</v>
      </c>
      <c r="L71" s="52" t="s">
        <v>896</v>
      </c>
    </row>
    <row r="72" spans="11:12" ht="15" customHeight="1" x14ac:dyDescent="0.3">
      <c r="K72" s="19" t="s">
        <v>67</v>
      </c>
      <c r="L72" s="52" t="s">
        <v>897</v>
      </c>
    </row>
    <row r="73" spans="11:12" ht="15" customHeight="1" x14ac:dyDescent="0.3">
      <c r="K73" s="19" t="s">
        <v>68</v>
      </c>
      <c r="L73" s="52" t="s">
        <v>898</v>
      </c>
    </row>
    <row r="74" spans="11:12" ht="15" customHeight="1" x14ac:dyDescent="0.3">
      <c r="K74" s="19" t="s">
        <v>69</v>
      </c>
      <c r="L74" s="52" t="s">
        <v>899</v>
      </c>
    </row>
    <row r="75" spans="11:12" ht="15" customHeight="1" x14ac:dyDescent="0.3">
      <c r="K75" s="20" t="s">
        <v>900</v>
      </c>
      <c r="L75" s="52" t="s">
        <v>901</v>
      </c>
    </row>
    <row r="76" spans="11:12" ht="15" customHeight="1" x14ac:dyDescent="0.3">
      <c r="K76" s="20" t="s">
        <v>902</v>
      </c>
      <c r="L76" s="52" t="s">
        <v>903</v>
      </c>
    </row>
    <row r="77" spans="11:12" ht="15" customHeight="1" x14ac:dyDescent="0.3">
      <c r="K77" s="19" t="s">
        <v>70</v>
      </c>
      <c r="L77" s="52" t="s">
        <v>904</v>
      </c>
    </row>
    <row r="78" spans="11:12" ht="15" customHeight="1" x14ac:dyDescent="0.3">
      <c r="K78" s="19" t="s">
        <v>71</v>
      </c>
      <c r="L78" s="52" t="s">
        <v>905</v>
      </c>
    </row>
    <row r="79" spans="11:12" ht="15" customHeight="1" x14ac:dyDescent="0.3">
      <c r="K79" s="19" t="s">
        <v>72</v>
      </c>
      <c r="L79" s="52" t="s">
        <v>906</v>
      </c>
    </row>
    <row r="80" spans="11:12" ht="15" customHeight="1" x14ac:dyDescent="0.3">
      <c r="K80" s="20" t="s">
        <v>907</v>
      </c>
      <c r="L80" s="52" t="s">
        <v>908</v>
      </c>
    </row>
    <row r="81" spans="11:12" ht="15" customHeight="1" x14ac:dyDescent="0.3">
      <c r="K81" s="20" t="s">
        <v>909</v>
      </c>
      <c r="L81" s="52" t="s">
        <v>910</v>
      </c>
    </row>
    <row r="82" spans="11:12" ht="15" customHeight="1" x14ac:dyDescent="0.3">
      <c r="K82" s="19" t="s">
        <v>73</v>
      </c>
      <c r="L82" s="52" t="s">
        <v>911</v>
      </c>
    </row>
    <row r="83" spans="11:12" ht="15" customHeight="1" x14ac:dyDescent="0.3">
      <c r="K83" s="19" t="s">
        <v>74</v>
      </c>
      <c r="L83" s="52" t="s">
        <v>912</v>
      </c>
    </row>
    <row r="84" spans="11:12" ht="15" customHeight="1" x14ac:dyDescent="0.3">
      <c r="K84" s="19" t="s">
        <v>75</v>
      </c>
      <c r="L84" s="52" t="s">
        <v>913</v>
      </c>
    </row>
    <row r="85" spans="11:12" ht="15" customHeight="1" x14ac:dyDescent="0.3">
      <c r="K85" s="20" t="s">
        <v>914</v>
      </c>
      <c r="L85" s="52" t="s">
        <v>915</v>
      </c>
    </row>
    <row r="86" spans="11:12" ht="15" customHeight="1" x14ac:dyDescent="0.3">
      <c r="K86" s="20" t="s">
        <v>916</v>
      </c>
      <c r="L86" s="52" t="s">
        <v>917</v>
      </c>
    </row>
    <row r="87" spans="11:12" ht="15" customHeight="1" x14ac:dyDescent="0.3">
      <c r="K87" s="19" t="s">
        <v>76</v>
      </c>
      <c r="L87" s="52" t="s">
        <v>918</v>
      </c>
    </row>
    <row r="88" spans="11:12" ht="15" customHeight="1" x14ac:dyDescent="0.3">
      <c r="K88" s="19" t="s">
        <v>77</v>
      </c>
      <c r="L88" s="52" t="s">
        <v>919</v>
      </c>
    </row>
    <row r="89" spans="11:12" ht="15" customHeight="1" x14ac:dyDescent="0.3">
      <c r="K89" s="19" t="s">
        <v>78</v>
      </c>
      <c r="L89" s="52" t="s">
        <v>920</v>
      </c>
    </row>
    <row r="90" spans="11:12" ht="15" customHeight="1" x14ac:dyDescent="0.3">
      <c r="K90" s="20" t="s">
        <v>921</v>
      </c>
      <c r="L90" s="52" t="s">
        <v>922</v>
      </c>
    </row>
    <row r="91" spans="11:12" ht="15" customHeight="1" x14ac:dyDescent="0.3">
      <c r="K91" s="20" t="s">
        <v>923</v>
      </c>
      <c r="L91" s="52" t="s">
        <v>924</v>
      </c>
    </row>
    <row r="92" spans="11:12" ht="15" customHeight="1" x14ac:dyDescent="0.3">
      <c r="K92" s="19" t="s">
        <v>79</v>
      </c>
      <c r="L92" s="52" t="s">
        <v>925</v>
      </c>
    </row>
    <row r="93" spans="11:12" ht="15" customHeight="1" x14ac:dyDescent="0.3">
      <c r="K93" s="19" t="s">
        <v>80</v>
      </c>
      <c r="L93" s="52" t="s">
        <v>926</v>
      </c>
    </row>
    <row r="94" spans="11:12" ht="15" customHeight="1" x14ac:dyDescent="0.3">
      <c r="K94" s="19" t="s">
        <v>81</v>
      </c>
      <c r="L94" s="52" t="s">
        <v>927</v>
      </c>
    </row>
    <row r="95" spans="11:12" ht="15" customHeight="1" x14ac:dyDescent="0.3">
      <c r="K95" s="20" t="s">
        <v>928</v>
      </c>
      <c r="L95" s="52" t="s">
        <v>929</v>
      </c>
    </row>
    <row r="96" spans="11:12" ht="15" customHeight="1" x14ac:dyDescent="0.3">
      <c r="K96" s="20" t="s">
        <v>930</v>
      </c>
      <c r="L96" s="52" t="s">
        <v>931</v>
      </c>
    </row>
    <row r="97" spans="11:12" ht="15" customHeight="1" x14ac:dyDescent="0.3">
      <c r="K97" s="19" t="s">
        <v>82</v>
      </c>
      <c r="L97" s="52" t="s">
        <v>932</v>
      </c>
    </row>
    <row r="98" spans="11:12" ht="15" customHeight="1" x14ac:dyDescent="0.3">
      <c r="K98" s="19" t="s">
        <v>83</v>
      </c>
      <c r="L98" s="52" t="s">
        <v>933</v>
      </c>
    </row>
    <row r="99" spans="11:12" ht="15" customHeight="1" x14ac:dyDescent="0.3">
      <c r="K99" s="19" t="s">
        <v>84</v>
      </c>
      <c r="L99" s="52" t="s">
        <v>248</v>
      </c>
    </row>
    <row r="100" spans="11:12" ht="15" customHeight="1" x14ac:dyDescent="0.3">
      <c r="K100" s="20" t="s">
        <v>934</v>
      </c>
      <c r="L100" s="52" t="s">
        <v>935</v>
      </c>
    </row>
    <row r="101" spans="11:12" ht="15" customHeight="1" x14ac:dyDescent="0.3">
      <c r="K101" s="20" t="s">
        <v>936</v>
      </c>
      <c r="L101" s="52" t="s">
        <v>937</v>
      </c>
    </row>
    <row r="102" spans="11:12" ht="15" customHeight="1" x14ac:dyDescent="0.3">
      <c r="K102" s="19" t="s">
        <v>85</v>
      </c>
      <c r="L102" s="52" t="s">
        <v>938</v>
      </c>
    </row>
    <row r="103" spans="11:12" ht="15" customHeight="1" x14ac:dyDescent="0.3">
      <c r="K103" s="19" t="s">
        <v>86</v>
      </c>
      <c r="L103" s="52" t="s">
        <v>939</v>
      </c>
    </row>
    <row r="104" spans="11:12" ht="15" customHeight="1" x14ac:dyDescent="0.3">
      <c r="K104" s="19" t="s">
        <v>87</v>
      </c>
      <c r="L104" s="52" t="s">
        <v>940</v>
      </c>
    </row>
    <row r="105" spans="11:12" ht="15" customHeight="1" x14ac:dyDescent="0.3">
      <c r="K105" s="20" t="s">
        <v>941</v>
      </c>
      <c r="L105" s="52" t="s">
        <v>942</v>
      </c>
    </row>
    <row r="106" spans="11:12" ht="15" customHeight="1" x14ac:dyDescent="0.3">
      <c r="K106" s="20" t="s">
        <v>943</v>
      </c>
      <c r="L106" s="52" t="s">
        <v>944</v>
      </c>
    </row>
    <row r="107" spans="11:12" ht="15" customHeight="1" x14ac:dyDescent="0.3">
      <c r="K107" s="19" t="s">
        <v>88</v>
      </c>
      <c r="L107" s="52" t="s">
        <v>945</v>
      </c>
    </row>
    <row r="108" spans="11:12" ht="15" customHeight="1" x14ac:dyDescent="0.3">
      <c r="K108" s="19" t="s">
        <v>89</v>
      </c>
      <c r="L108" s="52" t="s">
        <v>946</v>
      </c>
    </row>
    <row r="109" spans="11:12" ht="15" customHeight="1" x14ac:dyDescent="0.3">
      <c r="K109" s="19" t="s">
        <v>90</v>
      </c>
      <c r="L109" s="52" t="s">
        <v>947</v>
      </c>
    </row>
    <row r="110" spans="11:12" ht="15" customHeight="1" x14ac:dyDescent="0.3">
      <c r="K110" s="20" t="s">
        <v>948</v>
      </c>
      <c r="L110" s="52" t="s">
        <v>949</v>
      </c>
    </row>
    <row r="111" spans="11:12" ht="15" customHeight="1" x14ac:dyDescent="0.3">
      <c r="K111" s="20" t="s">
        <v>950</v>
      </c>
      <c r="L111" s="52" t="s">
        <v>951</v>
      </c>
    </row>
    <row r="112" spans="11:12" ht="15" customHeight="1" x14ac:dyDescent="0.3">
      <c r="K112" s="19" t="s">
        <v>91</v>
      </c>
      <c r="L112" s="52" t="s">
        <v>952</v>
      </c>
    </row>
    <row r="113" spans="11:12" ht="15" customHeight="1" x14ac:dyDescent="0.3">
      <c r="K113" s="21" t="s">
        <v>92</v>
      </c>
      <c r="L113" s="52" t="s">
        <v>953</v>
      </c>
    </row>
    <row r="114" spans="11:12" ht="15" customHeight="1" x14ac:dyDescent="0.3">
      <c r="K114" s="21" t="s">
        <v>93</v>
      </c>
      <c r="L114" s="52" t="s">
        <v>954</v>
      </c>
    </row>
    <row r="115" spans="11:12" ht="15" customHeight="1" x14ac:dyDescent="0.3">
      <c r="K115" s="22" t="s">
        <v>94</v>
      </c>
      <c r="L115" s="52" t="s">
        <v>955</v>
      </c>
    </row>
    <row r="116" spans="11:12" ht="15" customHeight="1" x14ac:dyDescent="0.3">
      <c r="K116" s="22" t="s">
        <v>95</v>
      </c>
      <c r="L116" s="52" t="s">
        <v>956</v>
      </c>
    </row>
    <row r="117" spans="11:12" ht="15" customHeight="1" x14ac:dyDescent="0.3">
      <c r="K117" s="21" t="s">
        <v>96</v>
      </c>
      <c r="L117" s="52" t="s">
        <v>957</v>
      </c>
    </row>
    <row r="118" spans="11:12" ht="15" customHeight="1" x14ac:dyDescent="0.3">
      <c r="K118" s="21" t="s">
        <v>97</v>
      </c>
      <c r="L118" s="52" t="s">
        <v>958</v>
      </c>
    </row>
    <row r="119" spans="11:12" ht="15" customHeight="1" x14ac:dyDescent="0.3">
      <c r="K119" s="21" t="s">
        <v>98</v>
      </c>
      <c r="L119" s="52" t="s">
        <v>959</v>
      </c>
    </row>
    <row r="120" spans="11:12" ht="15" customHeight="1" x14ac:dyDescent="0.3">
      <c r="K120" s="22" t="s">
        <v>960</v>
      </c>
      <c r="L120" s="52" t="s">
        <v>961</v>
      </c>
    </row>
    <row r="121" spans="11:12" ht="15" customHeight="1" x14ac:dyDescent="0.3">
      <c r="K121" s="22" t="s">
        <v>962</v>
      </c>
      <c r="L121" s="52" t="s">
        <v>963</v>
      </c>
    </row>
    <row r="122" spans="11:12" ht="15" customHeight="1" x14ac:dyDescent="0.3">
      <c r="K122" s="21" t="s">
        <v>99</v>
      </c>
      <c r="L122" s="52" t="s">
        <v>964</v>
      </c>
    </row>
    <row r="123" spans="11:12" ht="15" customHeight="1" x14ac:dyDescent="0.3">
      <c r="K123" s="21" t="s">
        <v>100</v>
      </c>
      <c r="L123" s="52" t="s">
        <v>965</v>
      </c>
    </row>
    <row r="124" spans="11:12" ht="15" customHeight="1" x14ac:dyDescent="0.3">
      <c r="K124" s="21" t="s">
        <v>101</v>
      </c>
      <c r="L124" s="52" t="s">
        <v>966</v>
      </c>
    </row>
    <row r="125" spans="11:12" ht="15" customHeight="1" x14ac:dyDescent="0.3">
      <c r="K125" s="22" t="s">
        <v>967</v>
      </c>
      <c r="L125" s="52" t="s">
        <v>968</v>
      </c>
    </row>
    <row r="126" spans="11:12" ht="15" customHeight="1" x14ac:dyDescent="0.3">
      <c r="K126" s="22" t="s">
        <v>969</v>
      </c>
      <c r="L126" s="52" t="s">
        <v>970</v>
      </c>
    </row>
    <row r="127" spans="11:12" ht="15" customHeight="1" x14ac:dyDescent="0.3">
      <c r="K127" s="21" t="s">
        <v>102</v>
      </c>
      <c r="L127" s="52" t="s">
        <v>971</v>
      </c>
    </row>
    <row r="128" spans="11:12" ht="15" customHeight="1" x14ac:dyDescent="0.3">
      <c r="K128" s="21" t="s">
        <v>103</v>
      </c>
      <c r="L128" s="52" t="s">
        <v>972</v>
      </c>
    </row>
    <row r="129" spans="11:12" ht="15" customHeight="1" x14ac:dyDescent="0.3">
      <c r="K129" s="21" t="s">
        <v>104</v>
      </c>
      <c r="L129" s="52" t="s">
        <v>973</v>
      </c>
    </row>
    <row r="130" spans="11:12" ht="15" customHeight="1" x14ac:dyDescent="0.3">
      <c r="K130" s="22" t="s">
        <v>974</v>
      </c>
      <c r="L130" s="52" t="s">
        <v>975</v>
      </c>
    </row>
    <row r="131" spans="11:12" ht="15" customHeight="1" x14ac:dyDescent="0.3">
      <c r="K131" s="22" t="s">
        <v>976</v>
      </c>
      <c r="L131" s="52" t="s">
        <v>977</v>
      </c>
    </row>
    <row r="132" spans="11:12" ht="15" customHeight="1" x14ac:dyDescent="0.3">
      <c r="K132" s="21" t="s">
        <v>105</v>
      </c>
      <c r="L132" s="52" t="s">
        <v>978</v>
      </c>
    </row>
    <row r="133" spans="11:12" ht="15" customHeight="1" x14ac:dyDescent="0.3">
      <c r="K133" s="21" t="s">
        <v>106</v>
      </c>
      <c r="L133" s="52" t="s">
        <v>979</v>
      </c>
    </row>
    <row r="134" spans="11:12" ht="15" customHeight="1" x14ac:dyDescent="0.3">
      <c r="K134" s="21" t="s">
        <v>107</v>
      </c>
      <c r="L134" s="52" t="s">
        <v>980</v>
      </c>
    </row>
    <row r="135" spans="11:12" ht="15" customHeight="1" x14ac:dyDescent="0.3">
      <c r="K135" s="22" t="s">
        <v>981</v>
      </c>
      <c r="L135" s="52" t="s">
        <v>982</v>
      </c>
    </row>
    <row r="136" spans="11:12" ht="15" customHeight="1" x14ac:dyDescent="0.3">
      <c r="K136" s="22" t="s">
        <v>983</v>
      </c>
      <c r="L136" s="52" t="s">
        <v>984</v>
      </c>
    </row>
    <row r="137" spans="11:12" ht="15" customHeight="1" x14ac:dyDescent="0.3">
      <c r="K137" s="21" t="s">
        <v>108</v>
      </c>
      <c r="L137" s="52" t="s">
        <v>985</v>
      </c>
    </row>
    <row r="138" spans="11:12" ht="15" customHeight="1" x14ac:dyDescent="0.3">
      <c r="K138" s="21" t="s">
        <v>109</v>
      </c>
      <c r="L138" s="52" t="s">
        <v>986</v>
      </c>
    </row>
    <row r="139" spans="11:12" ht="15" customHeight="1" x14ac:dyDescent="0.3">
      <c r="K139" s="21" t="s">
        <v>110</v>
      </c>
      <c r="L139" s="52" t="s">
        <v>987</v>
      </c>
    </row>
    <row r="140" spans="11:12" ht="15" customHeight="1" x14ac:dyDescent="0.3">
      <c r="K140" s="22" t="s">
        <v>988</v>
      </c>
      <c r="L140" s="52" t="s">
        <v>989</v>
      </c>
    </row>
    <row r="141" spans="11:12" ht="15" customHeight="1" x14ac:dyDescent="0.3">
      <c r="K141" s="22" t="s">
        <v>990</v>
      </c>
      <c r="L141" s="52" t="s">
        <v>991</v>
      </c>
    </row>
    <row r="142" spans="11:12" ht="15" customHeight="1" x14ac:dyDescent="0.3">
      <c r="K142" s="21" t="s">
        <v>111</v>
      </c>
      <c r="L142" s="52" t="s">
        <v>992</v>
      </c>
    </row>
    <row r="143" spans="11:12" ht="15" customHeight="1" x14ac:dyDescent="0.3">
      <c r="K143" s="21" t="s">
        <v>112</v>
      </c>
      <c r="L143" s="52" t="s">
        <v>993</v>
      </c>
    </row>
    <row r="144" spans="11:12" ht="15" customHeight="1" x14ac:dyDescent="0.3">
      <c r="K144" s="21" t="s">
        <v>113</v>
      </c>
      <c r="L144" s="52" t="s">
        <v>994</v>
      </c>
    </row>
    <row r="145" spans="11:12" ht="15" customHeight="1" x14ac:dyDescent="0.3">
      <c r="K145" s="22" t="s">
        <v>995</v>
      </c>
      <c r="L145" s="52" t="s">
        <v>996</v>
      </c>
    </row>
    <row r="146" spans="11:12" ht="15" customHeight="1" x14ac:dyDescent="0.3">
      <c r="K146" s="22" t="s">
        <v>997</v>
      </c>
      <c r="L146" s="52" t="s">
        <v>998</v>
      </c>
    </row>
    <row r="147" spans="11:12" ht="15" customHeight="1" x14ac:dyDescent="0.3">
      <c r="K147" s="21" t="s">
        <v>114</v>
      </c>
      <c r="L147" s="52" t="s">
        <v>999</v>
      </c>
    </row>
    <row r="148" spans="11:12" ht="15" customHeight="1" x14ac:dyDescent="0.3">
      <c r="K148" s="21" t="s">
        <v>115</v>
      </c>
      <c r="L148" s="52" t="s">
        <v>1000</v>
      </c>
    </row>
    <row r="149" spans="11:12" ht="15" customHeight="1" x14ac:dyDescent="0.3">
      <c r="K149" s="21" t="s">
        <v>116</v>
      </c>
      <c r="L149" s="52" t="s">
        <v>1001</v>
      </c>
    </row>
    <row r="150" spans="11:12" ht="15" customHeight="1" x14ac:dyDescent="0.3">
      <c r="K150" s="22" t="s">
        <v>1002</v>
      </c>
      <c r="L150" s="52" t="s">
        <v>1003</v>
      </c>
    </row>
    <row r="151" spans="11:12" ht="15" customHeight="1" x14ac:dyDescent="0.3">
      <c r="K151" s="22" t="s">
        <v>1004</v>
      </c>
      <c r="L151" s="52" t="s">
        <v>1005</v>
      </c>
    </row>
    <row r="152" spans="11:12" ht="15" customHeight="1" x14ac:dyDescent="0.3">
      <c r="K152" s="21" t="s">
        <v>117</v>
      </c>
      <c r="L152" s="52" t="s">
        <v>1006</v>
      </c>
    </row>
    <row r="153" spans="11:12" ht="15" customHeight="1" x14ac:dyDescent="0.3">
      <c r="K153" s="21" t="s">
        <v>118</v>
      </c>
      <c r="L153" s="52" t="s">
        <v>1007</v>
      </c>
    </row>
    <row r="154" spans="11:12" ht="15" customHeight="1" x14ac:dyDescent="0.3">
      <c r="K154" s="21" t="s">
        <v>119</v>
      </c>
      <c r="L154" s="52" t="s">
        <v>1008</v>
      </c>
    </row>
    <row r="155" spans="11:12" ht="15" customHeight="1" x14ac:dyDescent="0.3">
      <c r="K155" s="22" t="s">
        <v>1009</v>
      </c>
      <c r="L155" s="52" t="s">
        <v>1010</v>
      </c>
    </row>
    <row r="156" spans="11:12" ht="15" customHeight="1" x14ac:dyDescent="0.3">
      <c r="K156" s="22" t="s">
        <v>1011</v>
      </c>
      <c r="L156" s="52" t="s">
        <v>1012</v>
      </c>
    </row>
    <row r="157" spans="11:12" ht="15" customHeight="1" x14ac:dyDescent="0.3">
      <c r="K157" s="21" t="s">
        <v>120</v>
      </c>
      <c r="L157" s="52" t="s">
        <v>1013</v>
      </c>
    </row>
    <row r="158" spans="11:12" ht="15" customHeight="1" x14ac:dyDescent="0.3">
      <c r="K158" s="21" t="s">
        <v>121</v>
      </c>
      <c r="L158" s="52" t="s">
        <v>1014</v>
      </c>
    </row>
    <row r="159" spans="11:12" ht="15" customHeight="1" x14ac:dyDescent="0.3">
      <c r="K159" s="21" t="s">
        <v>122</v>
      </c>
      <c r="L159" s="52" t="s">
        <v>1015</v>
      </c>
    </row>
    <row r="160" spans="11:12" ht="15" customHeight="1" x14ac:dyDescent="0.3">
      <c r="K160" s="22" t="s">
        <v>1016</v>
      </c>
      <c r="L160" s="52" t="s">
        <v>1017</v>
      </c>
    </row>
    <row r="161" spans="11:12" ht="15" customHeight="1" x14ac:dyDescent="0.3">
      <c r="K161" s="22" t="s">
        <v>1018</v>
      </c>
      <c r="L161" s="52" t="s">
        <v>1019</v>
      </c>
    </row>
    <row r="162" spans="11:12" ht="15" customHeight="1" x14ac:dyDescent="0.3">
      <c r="K162" s="21" t="s">
        <v>123</v>
      </c>
      <c r="L162" s="52" t="s">
        <v>1020</v>
      </c>
    </row>
    <row r="163" spans="11:12" ht="15" customHeight="1" x14ac:dyDescent="0.3">
      <c r="K163" s="21" t="s">
        <v>124</v>
      </c>
      <c r="L163" s="52" t="s">
        <v>1021</v>
      </c>
    </row>
    <row r="164" spans="11:12" ht="15" customHeight="1" x14ac:dyDescent="0.3">
      <c r="K164" s="21" t="s">
        <v>125</v>
      </c>
      <c r="L164" s="52" t="s">
        <v>1022</v>
      </c>
    </row>
    <row r="165" spans="11:12" ht="15" customHeight="1" x14ac:dyDescent="0.3">
      <c r="K165" s="22" t="s">
        <v>1023</v>
      </c>
      <c r="L165" s="52" t="s">
        <v>1024</v>
      </c>
    </row>
    <row r="166" spans="11:12" ht="15" customHeight="1" x14ac:dyDescent="0.3">
      <c r="K166" s="22" t="s">
        <v>1025</v>
      </c>
      <c r="L166" s="52" t="s">
        <v>1026</v>
      </c>
    </row>
    <row r="167" spans="11:12" ht="15" customHeight="1" x14ac:dyDescent="0.3">
      <c r="K167" s="21" t="s">
        <v>126</v>
      </c>
      <c r="L167" s="52" t="s">
        <v>1027</v>
      </c>
    </row>
    <row r="168" spans="11:12" ht="15" customHeight="1" x14ac:dyDescent="0.3">
      <c r="K168" s="21" t="s">
        <v>127</v>
      </c>
      <c r="L168" s="52" t="s">
        <v>1028</v>
      </c>
    </row>
    <row r="169" spans="11:12" ht="15" customHeight="1" x14ac:dyDescent="0.3">
      <c r="K169" s="21" t="s">
        <v>128</v>
      </c>
      <c r="L169" s="52" t="s">
        <v>1029</v>
      </c>
    </row>
    <row r="170" spans="11:12" ht="15" customHeight="1" x14ac:dyDescent="0.3">
      <c r="K170" s="22" t="s">
        <v>1030</v>
      </c>
      <c r="L170" s="52" t="s">
        <v>1031</v>
      </c>
    </row>
    <row r="171" spans="11:12" ht="15" customHeight="1" x14ac:dyDescent="0.3">
      <c r="K171" s="22" t="s">
        <v>1032</v>
      </c>
      <c r="L171" s="52" t="s">
        <v>1033</v>
      </c>
    </row>
    <row r="172" spans="11:12" ht="15" customHeight="1" x14ac:dyDescent="0.3">
      <c r="K172" s="21" t="s">
        <v>129</v>
      </c>
      <c r="L172" s="52" t="s">
        <v>1034</v>
      </c>
    </row>
    <row r="173" spans="11:12" ht="15" customHeight="1" x14ac:dyDescent="0.3">
      <c r="K173" s="21" t="s">
        <v>130</v>
      </c>
      <c r="L173" s="52" t="s">
        <v>1035</v>
      </c>
    </row>
    <row r="174" spans="11:12" ht="15" customHeight="1" x14ac:dyDescent="0.3">
      <c r="K174" s="21" t="s">
        <v>131</v>
      </c>
      <c r="L174" s="52" t="s">
        <v>1036</v>
      </c>
    </row>
    <row r="175" spans="11:12" ht="15" customHeight="1" x14ac:dyDescent="0.3">
      <c r="K175" s="22" t="s">
        <v>1037</v>
      </c>
      <c r="L175" s="52" t="s">
        <v>1038</v>
      </c>
    </row>
    <row r="176" spans="11:12" ht="15" customHeight="1" x14ac:dyDescent="0.3">
      <c r="K176" s="22" t="s">
        <v>1039</v>
      </c>
      <c r="L176" s="52" t="s">
        <v>1040</v>
      </c>
    </row>
    <row r="177" spans="11:12" ht="15" customHeight="1" x14ac:dyDescent="0.3">
      <c r="K177" s="21" t="s">
        <v>132</v>
      </c>
      <c r="L177" s="52" t="s">
        <v>1041</v>
      </c>
    </row>
    <row r="178" spans="11:12" ht="15" customHeight="1" x14ac:dyDescent="0.3">
      <c r="K178" s="21" t="s">
        <v>133</v>
      </c>
      <c r="L178" s="52" t="s">
        <v>1042</v>
      </c>
    </row>
    <row r="179" spans="11:12" ht="15" customHeight="1" x14ac:dyDescent="0.3">
      <c r="K179" s="23" t="s">
        <v>134</v>
      </c>
      <c r="L179" s="52" t="s">
        <v>1043</v>
      </c>
    </row>
    <row r="180" spans="11:12" ht="15" customHeight="1" x14ac:dyDescent="0.3">
      <c r="K180" s="22" t="s">
        <v>1044</v>
      </c>
      <c r="L180" s="52" t="s">
        <v>1045</v>
      </c>
    </row>
    <row r="181" spans="11:12" ht="15" customHeight="1" x14ac:dyDescent="0.3">
      <c r="K181" s="22" t="s">
        <v>1046</v>
      </c>
      <c r="L181" s="52" t="s">
        <v>1047</v>
      </c>
    </row>
    <row r="182" spans="11:12" ht="15" customHeight="1" x14ac:dyDescent="0.3">
      <c r="K182" s="21" t="s">
        <v>135</v>
      </c>
      <c r="L182" s="52" t="s">
        <v>1048</v>
      </c>
    </row>
    <row r="183" spans="11:12" ht="15" customHeight="1" x14ac:dyDescent="0.3">
      <c r="K183" s="21" t="s">
        <v>136</v>
      </c>
      <c r="L183" s="52" t="s">
        <v>1049</v>
      </c>
    </row>
    <row r="184" spans="11:12" ht="15" customHeight="1" x14ac:dyDescent="0.3">
      <c r="K184" s="21" t="s">
        <v>137</v>
      </c>
      <c r="L184" s="52" t="s">
        <v>1050</v>
      </c>
    </row>
    <row r="185" spans="11:12" ht="15" customHeight="1" x14ac:dyDescent="0.3">
      <c r="K185" s="22" t="s">
        <v>1051</v>
      </c>
      <c r="L185" s="52" t="s">
        <v>1052</v>
      </c>
    </row>
    <row r="186" spans="11:12" ht="15" customHeight="1" x14ac:dyDescent="0.3">
      <c r="K186" s="22" t="s">
        <v>1053</v>
      </c>
      <c r="L186" s="52" t="s">
        <v>1054</v>
      </c>
    </row>
    <row r="187" spans="11:12" ht="15" customHeight="1" x14ac:dyDescent="0.3">
      <c r="K187" s="21" t="s">
        <v>138</v>
      </c>
      <c r="L187" s="52" t="s">
        <v>1055</v>
      </c>
    </row>
    <row r="188" spans="11:12" ht="15" customHeight="1" x14ac:dyDescent="0.3">
      <c r="K188" s="24" t="s">
        <v>139</v>
      </c>
      <c r="L188" s="52" t="s">
        <v>1056</v>
      </c>
    </row>
    <row r="189" spans="11:12" ht="15" customHeight="1" x14ac:dyDescent="0.3">
      <c r="K189" s="25" t="s">
        <v>140</v>
      </c>
      <c r="L189" s="52" t="s">
        <v>1057</v>
      </c>
    </row>
    <row r="190" spans="11:12" ht="15" customHeight="1" x14ac:dyDescent="0.3">
      <c r="K190" s="24" t="s">
        <v>1058</v>
      </c>
      <c r="L190" s="52" t="s">
        <v>1059</v>
      </c>
    </row>
    <row r="191" spans="11:12" ht="15" customHeight="1" x14ac:dyDescent="0.3">
      <c r="K191" s="25" t="s">
        <v>1060</v>
      </c>
      <c r="L191" s="52" t="s">
        <v>1061</v>
      </c>
    </row>
    <row r="192" spans="11:12" ht="15" customHeight="1" x14ac:dyDescent="0.3">
      <c r="K192" s="24" t="s">
        <v>1062</v>
      </c>
      <c r="L192" s="52" t="s">
        <v>1063</v>
      </c>
    </row>
    <row r="193" spans="11:12" ht="15" customHeight="1" x14ac:dyDescent="0.3">
      <c r="K193" s="25" t="s">
        <v>1064</v>
      </c>
      <c r="L193" s="52" t="s">
        <v>1065</v>
      </c>
    </row>
    <row r="194" spans="11:12" ht="15" customHeight="1" x14ac:dyDescent="0.3">
      <c r="K194" s="24" t="s">
        <v>1066</v>
      </c>
      <c r="L194" s="52" t="s">
        <v>1067</v>
      </c>
    </row>
    <row r="195" spans="11:12" ht="15" customHeight="1" x14ac:dyDescent="0.3">
      <c r="K195" s="25" t="s">
        <v>1068</v>
      </c>
      <c r="L195" s="52" t="s">
        <v>1069</v>
      </c>
    </row>
    <row r="196" spans="11:12" ht="15" customHeight="1" x14ac:dyDescent="0.3">
      <c r="K196" s="24" t="s">
        <v>1070</v>
      </c>
      <c r="L196" s="52" t="s">
        <v>1071</v>
      </c>
    </row>
    <row r="197" spans="11:12" ht="15" customHeight="1" x14ac:dyDescent="0.3">
      <c r="K197" s="25" t="s">
        <v>1072</v>
      </c>
      <c r="L197" s="52" t="s">
        <v>1073</v>
      </c>
    </row>
    <row r="198" spans="11:12" ht="15" customHeight="1" x14ac:dyDescent="0.3">
      <c r="K198" s="24" t="s">
        <v>1074</v>
      </c>
      <c r="L198" s="52" t="s">
        <v>1075</v>
      </c>
    </row>
    <row r="199" spans="11:12" ht="15" customHeight="1" x14ac:dyDescent="0.3">
      <c r="K199" s="25" t="s">
        <v>1076</v>
      </c>
      <c r="L199" s="52" t="s">
        <v>1077</v>
      </c>
    </row>
    <row r="200" spans="11:12" ht="15" customHeight="1" x14ac:dyDescent="0.3">
      <c r="K200" s="24" t="s">
        <v>1078</v>
      </c>
      <c r="L200" s="52" t="s">
        <v>1079</v>
      </c>
    </row>
    <row r="201" spans="11:12" ht="15" customHeight="1" x14ac:dyDescent="0.3">
      <c r="K201" s="25" t="s">
        <v>1080</v>
      </c>
      <c r="L201" s="52" t="s">
        <v>1081</v>
      </c>
    </row>
    <row r="202" spans="11:12" ht="15" customHeight="1" x14ac:dyDescent="0.3">
      <c r="K202" s="24" t="s">
        <v>1082</v>
      </c>
      <c r="L202" s="52" t="s">
        <v>1083</v>
      </c>
    </row>
    <row r="203" spans="11:12" ht="15" customHeight="1" x14ac:dyDescent="0.3">
      <c r="K203" s="25" t="s">
        <v>1084</v>
      </c>
      <c r="L203" s="52" t="s">
        <v>1085</v>
      </c>
    </row>
    <row r="204" spans="11:12" ht="15" customHeight="1" x14ac:dyDescent="0.3">
      <c r="K204" s="24" t="s">
        <v>1086</v>
      </c>
      <c r="L204" s="52" t="s">
        <v>1087</v>
      </c>
    </row>
    <row r="205" spans="11:12" ht="15" customHeight="1" x14ac:dyDescent="0.3">
      <c r="K205" s="25" t="s">
        <v>1088</v>
      </c>
      <c r="L205" s="52" t="s">
        <v>1089</v>
      </c>
    </row>
    <row r="206" spans="11:12" ht="15" customHeight="1" x14ac:dyDescent="0.3">
      <c r="K206" s="24" t="s">
        <v>1090</v>
      </c>
      <c r="L206" s="52" t="s">
        <v>1091</v>
      </c>
    </row>
    <row r="207" spans="11:12" ht="15" customHeight="1" x14ac:dyDescent="0.3">
      <c r="K207" s="25" t="s">
        <v>1092</v>
      </c>
      <c r="L207" s="52" t="s">
        <v>1093</v>
      </c>
    </row>
    <row r="208" spans="11:12" ht="15" customHeight="1" x14ac:dyDescent="0.3">
      <c r="K208" s="24" t="s">
        <v>1094</v>
      </c>
      <c r="L208" s="52" t="s">
        <v>1095</v>
      </c>
    </row>
    <row r="209" spans="11:12" ht="15" customHeight="1" x14ac:dyDescent="0.3">
      <c r="K209" s="25" t="s">
        <v>1096</v>
      </c>
      <c r="L209" s="52" t="s">
        <v>1097</v>
      </c>
    </row>
    <row r="210" spans="11:12" ht="15" customHeight="1" x14ac:dyDescent="0.3">
      <c r="K210" s="24" t="s">
        <v>1098</v>
      </c>
      <c r="L210" s="52" t="s">
        <v>1099</v>
      </c>
    </row>
    <row r="211" spans="11:12" ht="15" customHeight="1" x14ac:dyDescent="0.3">
      <c r="K211" s="25" t="s">
        <v>1100</v>
      </c>
      <c r="L211" s="52" t="s">
        <v>1101</v>
      </c>
    </row>
    <row r="212" spans="11:12" ht="15" customHeight="1" x14ac:dyDescent="0.3">
      <c r="K212" s="24" t="s">
        <v>1102</v>
      </c>
      <c r="L212" s="52" t="s">
        <v>1103</v>
      </c>
    </row>
    <row r="213" spans="11:12" ht="15" customHeight="1" x14ac:dyDescent="0.3">
      <c r="K213" s="25" t="s">
        <v>1104</v>
      </c>
      <c r="L213" s="52" t="s">
        <v>1105</v>
      </c>
    </row>
    <row r="214" spans="11:12" ht="15" customHeight="1" x14ac:dyDescent="0.3">
      <c r="K214" s="24" t="s">
        <v>1106</v>
      </c>
      <c r="L214" s="52" t="s">
        <v>1107</v>
      </c>
    </row>
    <row r="215" spans="11:12" ht="15" customHeight="1" x14ac:dyDescent="0.3">
      <c r="K215" s="25" t="s">
        <v>1108</v>
      </c>
      <c r="L215" s="52" t="s">
        <v>1109</v>
      </c>
    </row>
    <row r="216" spans="11:12" ht="15" customHeight="1" x14ac:dyDescent="0.3">
      <c r="K216" s="24" t="s">
        <v>1110</v>
      </c>
      <c r="L216" s="52" t="s">
        <v>1111</v>
      </c>
    </row>
    <row r="217" spans="11:12" ht="15" customHeight="1" x14ac:dyDescent="0.3">
      <c r="K217" s="25" t="s">
        <v>1112</v>
      </c>
      <c r="L217" s="52" t="s">
        <v>1113</v>
      </c>
    </row>
    <row r="218" spans="11:12" ht="15" customHeight="1" x14ac:dyDescent="0.3">
      <c r="K218" s="26" t="s">
        <v>141</v>
      </c>
      <c r="L218" s="52" t="s">
        <v>1114</v>
      </c>
    </row>
    <row r="219" spans="11:12" ht="15" customHeight="1" x14ac:dyDescent="0.3">
      <c r="K219" s="26" t="s">
        <v>142</v>
      </c>
      <c r="L219" s="52" t="s">
        <v>1115</v>
      </c>
    </row>
    <row r="220" spans="11:12" ht="15" customHeight="1" x14ac:dyDescent="0.3">
      <c r="K220" s="27" t="s">
        <v>143</v>
      </c>
      <c r="L220" s="52" t="s">
        <v>1116</v>
      </c>
    </row>
    <row r="221" spans="11:12" ht="15" customHeight="1" x14ac:dyDescent="0.3">
      <c r="K221" s="28" t="s">
        <v>1117</v>
      </c>
      <c r="L221" s="52" t="s">
        <v>1118</v>
      </c>
    </row>
    <row r="222" spans="11:12" ht="15" customHeight="1" x14ac:dyDescent="0.3">
      <c r="K222" s="29" t="s">
        <v>145</v>
      </c>
      <c r="L222" s="52" t="s">
        <v>1119</v>
      </c>
    </row>
    <row r="223" spans="11:12" ht="15" customHeight="1" x14ac:dyDescent="0.3">
      <c r="K223" s="26" t="s">
        <v>146</v>
      </c>
      <c r="L223" s="52" t="s">
        <v>1120</v>
      </c>
    </row>
    <row r="224" spans="11:12" ht="15" customHeight="1" x14ac:dyDescent="0.3">
      <c r="K224" s="26" t="s">
        <v>147</v>
      </c>
      <c r="L224" s="52" t="s">
        <v>1121</v>
      </c>
    </row>
    <row r="225" spans="11:12" ht="15" customHeight="1" x14ac:dyDescent="0.3">
      <c r="K225" s="27" t="s">
        <v>1122</v>
      </c>
      <c r="L225" s="52" t="s">
        <v>1123</v>
      </c>
    </row>
    <row r="226" spans="11:12" ht="15" customHeight="1" x14ac:dyDescent="0.3">
      <c r="K226" s="28" t="s">
        <v>1124</v>
      </c>
      <c r="L226" s="52" t="s">
        <v>1125</v>
      </c>
    </row>
    <row r="227" spans="11:12" ht="15" customHeight="1" x14ac:dyDescent="0.3">
      <c r="K227" s="29" t="s">
        <v>148</v>
      </c>
      <c r="L227" s="52" t="s">
        <v>1126</v>
      </c>
    </row>
    <row r="228" spans="11:12" ht="15" customHeight="1" x14ac:dyDescent="0.3">
      <c r="K228" s="26" t="s">
        <v>149</v>
      </c>
      <c r="L228" s="52" t="s">
        <v>1127</v>
      </c>
    </row>
    <row r="229" spans="11:12" ht="15" customHeight="1" x14ac:dyDescent="0.3">
      <c r="K229" s="26" t="s">
        <v>150</v>
      </c>
      <c r="L229" s="52" t="s">
        <v>1128</v>
      </c>
    </row>
    <row r="230" spans="11:12" ht="15" customHeight="1" x14ac:dyDescent="0.3">
      <c r="K230" s="27" t="s">
        <v>1129</v>
      </c>
      <c r="L230" s="52" t="s">
        <v>1130</v>
      </c>
    </row>
    <row r="231" spans="11:12" ht="15" customHeight="1" x14ac:dyDescent="0.3">
      <c r="K231" s="28" t="s">
        <v>1131</v>
      </c>
      <c r="L231" s="52" t="s">
        <v>1132</v>
      </c>
    </row>
    <row r="232" spans="11:12" ht="15" customHeight="1" x14ac:dyDescent="0.3">
      <c r="K232" s="29" t="s">
        <v>151</v>
      </c>
      <c r="L232" s="52" t="s">
        <v>1133</v>
      </c>
    </row>
    <row r="233" spans="11:12" ht="15" customHeight="1" x14ac:dyDescent="0.3">
      <c r="K233" s="26" t="s">
        <v>152</v>
      </c>
      <c r="L233" s="52" t="s">
        <v>1134</v>
      </c>
    </row>
    <row r="234" spans="11:12" ht="15" customHeight="1" x14ac:dyDescent="0.3">
      <c r="K234" s="26" t="s">
        <v>153</v>
      </c>
      <c r="L234" s="52" t="s">
        <v>1135</v>
      </c>
    </row>
    <row r="235" spans="11:12" ht="15" customHeight="1" x14ac:dyDescent="0.3">
      <c r="K235" s="27" t="s">
        <v>1136</v>
      </c>
      <c r="L235" s="52" t="s">
        <v>1137</v>
      </c>
    </row>
    <row r="236" spans="11:12" ht="15" customHeight="1" x14ac:dyDescent="0.3">
      <c r="K236" s="28" t="s">
        <v>1138</v>
      </c>
      <c r="L236" s="52" t="s">
        <v>1139</v>
      </c>
    </row>
    <row r="237" spans="11:12" ht="15" customHeight="1" x14ac:dyDescent="0.3">
      <c r="K237" s="29" t="s">
        <v>154</v>
      </c>
      <c r="L237" s="52" t="s">
        <v>1140</v>
      </c>
    </row>
    <row r="238" spans="11:12" ht="15" customHeight="1" x14ac:dyDescent="0.3">
      <c r="K238" s="26" t="s">
        <v>155</v>
      </c>
      <c r="L238" s="52" t="s">
        <v>601</v>
      </c>
    </row>
    <row r="239" spans="11:12" ht="15" customHeight="1" x14ac:dyDescent="0.3">
      <c r="K239" s="26" t="s">
        <v>156</v>
      </c>
      <c r="L239" s="52" t="s">
        <v>339</v>
      </c>
    </row>
    <row r="240" spans="11:12" ht="15" customHeight="1" x14ac:dyDescent="0.3">
      <c r="K240" s="27" t="s">
        <v>1141</v>
      </c>
      <c r="L240" s="52" t="s">
        <v>234</v>
      </c>
    </row>
    <row r="241" spans="11:12" ht="15" customHeight="1" x14ac:dyDescent="0.3">
      <c r="K241" s="28" t="s">
        <v>1142</v>
      </c>
      <c r="L241" s="52" t="s">
        <v>1143</v>
      </c>
    </row>
    <row r="242" spans="11:12" ht="15" customHeight="1" x14ac:dyDescent="0.3">
      <c r="K242" s="29" t="s">
        <v>157</v>
      </c>
      <c r="L242" s="52" t="s">
        <v>1144</v>
      </c>
    </row>
    <row r="243" spans="11:12" ht="15" customHeight="1" x14ac:dyDescent="0.3">
      <c r="K243" s="26" t="s">
        <v>158</v>
      </c>
      <c r="L243" s="52" t="s">
        <v>1145</v>
      </c>
    </row>
    <row r="244" spans="11:12" ht="15" customHeight="1" x14ac:dyDescent="0.3">
      <c r="K244" s="26" t="s">
        <v>159</v>
      </c>
      <c r="L244" s="52" t="s">
        <v>1146</v>
      </c>
    </row>
    <row r="245" spans="11:12" ht="15" customHeight="1" x14ac:dyDescent="0.3">
      <c r="K245" s="27" t="s">
        <v>1147</v>
      </c>
      <c r="L245" s="52" t="s">
        <v>1148</v>
      </c>
    </row>
    <row r="246" spans="11:12" ht="15" customHeight="1" x14ac:dyDescent="0.3">
      <c r="K246" s="28" t="s">
        <v>1149</v>
      </c>
      <c r="L246" s="52" t="s">
        <v>1150</v>
      </c>
    </row>
    <row r="247" spans="11:12" ht="15" customHeight="1" x14ac:dyDescent="0.3">
      <c r="K247" s="29" t="s">
        <v>160</v>
      </c>
      <c r="L247" s="52" t="s">
        <v>1151</v>
      </c>
    </row>
    <row r="248" spans="11:12" ht="15" customHeight="1" x14ac:dyDescent="0.3">
      <c r="K248" s="26" t="s">
        <v>161</v>
      </c>
      <c r="L248" s="52" t="s">
        <v>1152</v>
      </c>
    </row>
    <row r="249" spans="11:12" ht="15" customHeight="1" x14ac:dyDescent="0.3">
      <c r="K249" s="26" t="s">
        <v>162</v>
      </c>
      <c r="L249" s="52" t="s">
        <v>1153</v>
      </c>
    </row>
    <row r="250" spans="11:12" ht="15" customHeight="1" x14ac:dyDescent="0.3">
      <c r="K250" s="27" t="s">
        <v>1154</v>
      </c>
      <c r="L250" s="52" t="s">
        <v>1155</v>
      </c>
    </row>
    <row r="251" spans="11:12" ht="15" customHeight="1" x14ac:dyDescent="0.3">
      <c r="K251" s="28" t="s">
        <v>1156</v>
      </c>
      <c r="L251" s="52" t="s">
        <v>1157</v>
      </c>
    </row>
    <row r="252" spans="11:12" ht="15" customHeight="1" x14ac:dyDescent="0.3">
      <c r="K252" s="29" t="s">
        <v>163</v>
      </c>
      <c r="L252" s="52" t="s">
        <v>1158</v>
      </c>
    </row>
    <row r="253" spans="11:12" ht="15" customHeight="1" x14ac:dyDescent="0.3">
      <c r="K253" s="26" t="s">
        <v>164</v>
      </c>
      <c r="L253" s="52" t="s">
        <v>1159</v>
      </c>
    </row>
    <row r="254" spans="11:12" ht="15" customHeight="1" x14ac:dyDescent="0.3">
      <c r="K254" s="26" t="s">
        <v>165</v>
      </c>
      <c r="L254" s="52" t="s">
        <v>1160</v>
      </c>
    </row>
    <row r="255" spans="11:12" ht="15" customHeight="1" x14ac:dyDescent="0.3">
      <c r="K255" s="27" t="s">
        <v>1161</v>
      </c>
      <c r="L255" s="52" t="s">
        <v>1162</v>
      </c>
    </row>
    <row r="256" spans="11:12" ht="15" customHeight="1" x14ac:dyDescent="0.3">
      <c r="K256" s="28" t="s">
        <v>1163</v>
      </c>
      <c r="L256" s="52" t="s">
        <v>1164</v>
      </c>
    </row>
    <row r="257" spans="11:12" ht="15" customHeight="1" x14ac:dyDescent="0.3">
      <c r="K257" s="29" t="s">
        <v>166</v>
      </c>
      <c r="L257" s="52" t="s">
        <v>1165</v>
      </c>
    </row>
    <row r="258" spans="11:12" ht="15" customHeight="1" x14ac:dyDescent="0.3">
      <c r="K258" s="26" t="s">
        <v>167</v>
      </c>
      <c r="L258" s="52" t="s">
        <v>1166</v>
      </c>
    </row>
    <row r="259" spans="11:12" ht="15" customHeight="1" x14ac:dyDescent="0.3">
      <c r="K259" s="26" t="s">
        <v>168</v>
      </c>
      <c r="L259" s="52" t="s">
        <v>1167</v>
      </c>
    </row>
    <row r="260" spans="11:12" ht="15" customHeight="1" x14ac:dyDescent="0.3">
      <c r="K260" s="27" t="s">
        <v>1168</v>
      </c>
      <c r="L260" s="52" t="s">
        <v>1169</v>
      </c>
    </row>
    <row r="261" spans="11:12" ht="15" customHeight="1" x14ac:dyDescent="0.3">
      <c r="K261" s="28" t="s">
        <v>1170</v>
      </c>
      <c r="L261" s="52" t="s">
        <v>1171</v>
      </c>
    </row>
    <row r="262" spans="11:12" ht="15" customHeight="1" x14ac:dyDescent="0.3">
      <c r="K262" s="29" t="s">
        <v>169</v>
      </c>
      <c r="L262" s="52" t="s">
        <v>1172</v>
      </c>
    </row>
    <row r="263" spans="11:12" ht="15" customHeight="1" x14ac:dyDescent="0.3">
      <c r="K263" s="26" t="s">
        <v>170</v>
      </c>
      <c r="L263" s="52" t="s">
        <v>1173</v>
      </c>
    </row>
    <row r="264" spans="11:12" ht="15" customHeight="1" x14ac:dyDescent="0.3">
      <c r="K264" s="26" t="s">
        <v>171</v>
      </c>
      <c r="L264" s="52" t="s">
        <v>1174</v>
      </c>
    </row>
    <row r="265" spans="11:12" ht="15" customHeight="1" x14ac:dyDescent="0.3">
      <c r="K265" s="27" t="s">
        <v>1175</v>
      </c>
      <c r="L265" s="52" t="s">
        <v>1176</v>
      </c>
    </row>
    <row r="266" spans="11:12" ht="15" customHeight="1" x14ac:dyDescent="0.3">
      <c r="K266" s="28" t="s">
        <v>1177</v>
      </c>
      <c r="L266" s="52" t="s">
        <v>1178</v>
      </c>
    </row>
    <row r="267" spans="11:12" ht="15" customHeight="1" x14ac:dyDescent="0.3">
      <c r="K267" s="29" t="s">
        <v>172</v>
      </c>
      <c r="L267" s="52" t="s">
        <v>1179</v>
      </c>
    </row>
    <row r="268" spans="11:12" ht="15" customHeight="1" x14ac:dyDescent="0.3">
      <c r="K268" s="26" t="s">
        <v>173</v>
      </c>
      <c r="L268" s="52" t="s">
        <v>1180</v>
      </c>
    </row>
    <row r="269" spans="11:12" ht="15" customHeight="1" x14ac:dyDescent="0.3">
      <c r="K269" s="26" t="s">
        <v>174</v>
      </c>
      <c r="L269" s="52" t="s">
        <v>1181</v>
      </c>
    </row>
    <row r="270" spans="11:12" ht="15" customHeight="1" x14ac:dyDescent="0.3">
      <c r="K270" s="27" t="s">
        <v>1182</v>
      </c>
      <c r="L270" s="52" t="s">
        <v>1183</v>
      </c>
    </row>
    <row r="271" spans="11:12" ht="15" customHeight="1" x14ac:dyDescent="0.3">
      <c r="K271" s="28" t="s">
        <v>1184</v>
      </c>
      <c r="L271" s="52" t="s">
        <v>1185</v>
      </c>
    </row>
    <row r="272" spans="11:12" ht="15" customHeight="1" x14ac:dyDescent="0.3">
      <c r="K272" s="29" t="s">
        <v>175</v>
      </c>
      <c r="L272" s="52" t="s">
        <v>1186</v>
      </c>
    </row>
    <row r="273" spans="11:12" ht="15" customHeight="1" x14ac:dyDescent="0.3">
      <c r="K273" s="26" t="s">
        <v>176</v>
      </c>
      <c r="L273" s="52" t="s">
        <v>1187</v>
      </c>
    </row>
    <row r="274" spans="11:12" ht="15" customHeight="1" x14ac:dyDescent="0.3">
      <c r="K274" s="26" t="s">
        <v>177</v>
      </c>
      <c r="L274" s="52" t="s">
        <v>1188</v>
      </c>
    </row>
    <row r="275" spans="11:12" ht="15" customHeight="1" x14ac:dyDescent="0.3">
      <c r="K275" s="27" t="s">
        <v>1189</v>
      </c>
      <c r="L275" s="52" t="s">
        <v>1190</v>
      </c>
    </row>
    <row r="276" spans="11:12" ht="15" customHeight="1" x14ac:dyDescent="0.3">
      <c r="K276" s="28" t="s">
        <v>1191</v>
      </c>
      <c r="L276" s="52" t="s">
        <v>1192</v>
      </c>
    </row>
    <row r="277" spans="11:12" ht="15" customHeight="1" x14ac:dyDescent="0.3">
      <c r="K277" s="29" t="s">
        <v>178</v>
      </c>
      <c r="L277" s="52" t="s">
        <v>1193</v>
      </c>
    </row>
    <row r="278" spans="11:12" ht="15" customHeight="1" x14ac:dyDescent="0.3">
      <c r="K278" s="26" t="s">
        <v>179</v>
      </c>
      <c r="L278" s="52" t="s">
        <v>1194</v>
      </c>
    </row>
    <row r="279" spans="11:12" ht="15" customHeight="1" x14ac:dyDescent="0.3">
      <c r="K279" s="26" t="s">
        <v>180</v>
      </c>
      <c r="L279" s="52" t="s">
        <v>1195</v>
      </c>
    </row>
    <row r="280" spans="11:12" ht="15" customHeight="1" x14ac:dyDescent="0.3">
      <c r="K280" s="27" t="s">
        <v>1196</v>
      </c>
      <c r="L280" s="52" t="s">
        <v>1197</v>
      </c>
    </row>
    <row r="281" spans="11:12" ht="15" customHeight="1" x14ac:dyDescent="0.3">
      <c r="K281" s="28" t="s">
        <v>1198</v>
      </c>
      <c r="L281" s="52" t="s">
        <v>1199</v>
      </c>
    </row>
    <row r="282" spans="11:12" ht="15" customHeight="1" x14ac:dyDescent="0.3">
      <c r="K282" s="29" t="s">
        <v>181</v>
      </c>
      <c r="L282" s="52" t="s">
        <v>1200</v>
      </c>
    </row>
    <row r="283" spans="11:12" ht="15" customHeight="1" x14ac:dyDescent="0.3">
      <c r="K283" s="26" t="s">
        <v>182</v>
      </c>
      <c r="L283" s="52" t="s">
        <v>1201</v>
      </c>
    </row>
    <row r="284" spans="11:12" ht="15" customHeight="1" x14ac:dyDescent="0.3">
      <c r="K284" s="26" t="s">
        <v>183</v>
      </c>
      <c r="L284" s="52" t="s">
        <v>1202</v>
      </c>
    </row>
    <row r="285" spans="11:12" ht="15" customHeight="1" x14ac:dyDescent="0.3">
      <c r="K285" s="27" t="s">
        <v>1203</v>
      </c>
      <c r="L285" s="52" t="s">
        <v>1204</v>
      </c>
    </row>
    <row r="286" spans="11:12" ht="15" customHeight="1" x14ac:dyDescent="0.3">
      <c r="K286" s="28" t="s">
        <v>1205</v>
      </c>
      <c r="L286" s="52" t="s">
        <v>1206</v>
      </c>
    </row>
    <row r="287" spans="11:12" ht="15" customHeight="1" x14ac:dyDescent="0.3">
      <c r="K287" s="29" t="s">
        <v>184</v>
      </c>
      <c r="L287" s="52" t="s">
        <v>1207</v>
      </c>
    </row>
    <row r="288" spans="11:12" ht="15" customHeight="1" x14ac:dyDescent="0.3">
      <c r="K288" s="30" t="s">
        <v>185</v>
      </c>
      <c r="L288" s="52" t="s">
        <v>1208</v>
      </c>
    </row>
    <row r="289" spans="11:12" ht="15" customHeight="1" x14ac:dyDescent="0.3">
      <c r="K289" s="26" t="s">
        <v>186</v>
      </c>
      <c r="L289" s="52" t="s">
        <v>1209</v>
      </c>
    </row>
    <row r="290" spans="11:12" ht="15" customHeight="1" x14ac:dyDescent="0.3">
      <c r="K290" s="27" t="s">
        <v>1210</v>
      </c>
      <c r="L290" s="52" t="s">
        <v>1211</v>
      </c>
    </row>
    <row r="291" spans="11:12" ht="15" customHeight="1" x14ac:dyDescent="0.3">
      <c r="K291" s="28" t="s">
        <v>1212</v>
      </c>
      <c r="L291" s="52" t="s">
        <v>1213</v>
      </c>
    </row>
    <row r="292" spans="11:12" ht="15" customHeight="1" x14ac:dyDescent="0.3">
      <c r="K292" s="29" t="s">
        <v>187</v>
      </c>
      <c r="L292" s="52" t="s">
        <v>1214</v>
      </c>
    </row>
    <row r="293" spans="11:12" ht="15" customHeight="1" x14ac:dyDescent="0.3">
      <c r="K293" s="31" t="s">
        <v>188</v>
      </c>
      <c r="L293" s="52" t="s">
        <v>1215</v>
      </c>
    </row>
    <row r="294" spans="11:12" ht="15" customHeight="1" x14ac:dyDescent="0.3">
      <c r="K294" s="32" t="s">
        <v>189</v>
      </c>
      <c r="L294" s="52" t="s">
        <v>1216</v>
      </c>
    </row>
    <row r="295" spans="11:12" ht="15" customHeight="1" x14ac:dyDescent="0.3">
      <c r="K295" s="33" t="s">
        <v>190</v>
      </c>
      <c r="L295" s="52" t="s">
        <v>1217</v>
      </c>
    </row>
    <row r="296" spans="11:12" ht="15" customHeight="1" x14ac:dyDescent="0.3">
      <c r="K296" s="34" t="s">
        <v>191</v>
      </c>
      <c r="L296" s="52" t="s">
        <v>1218</v>
      </c>
    </row>
    <row r="297" spans="11:12" ht="15" customHeight="1" x14ac:dyDescent="0.3">
      <c r="K297" s="32" t="s">
        <v>192</v>
      </c>
      <c r="L297" s="52" t="s">
        <v>1219</v>
      </c>
    </row>
    <row r="298" spans="11:12" ht="15" customHeight="1" x14ac:dyDescent="0.3">
      <c r="K298" s="32" t="s">
        <v>193</v>
      </c>
      <c r="L298" s="52" t="s">
        <v>1220</v>
      </c>
    </row>
    <row r="299" spans="11:12" ht="15" customHeight="1" x14ac:dyDescent="0.3">
      <c r="K299" s="35" t="s">
        <v>1221</v>
      </c>
      <c r="L299" s="52" t="s">
        <v>1222</v>
      </c>
    </row>
    <row r="300" spans="11:12" ht="15" customHeight="1" x14ac:dyDescent="0.3">
      <c r="K300" s="36" t="s">
        <v>194</v>
      </c>
      <c r="L300" s="52" t="s">
        <v>1223</v>
      </c>
    </row>
    <row r="301" spans="11:12" ht="15" customHeight="1" x14ac:dyDescent="0.3">
      <c r="K301" s="37" t="s">
        <v>195</v>
      </c>
      <c r="L301" s="52" t="s">
        <v>1224</v>
      </c>
    </row>
    <row r="302" spans="11:12" ht="15" customHeight="1" x14ac:dyDescent="0.3">
      <c r="K302" s="56" t="s">
        <v>196</v>
      </c>
      <c r="L302" s="52" t="s">
        <v>1225</v>
      </c>
    </row>
    <row r="303" spans="11:12" ht="15" customHeight="1" x14ac:dyDescent="0.3">
      <c r="K303" s="56" t="s">
        <v>1226</v>
      </c>
      <c r="L303" s="52" t="s">
        <v>1227</v>
      </c>
    </row>
    <row r="304" spans="11:12" ht="15" customHeight="1" x14ac:dyDescent="0.3">
      <c r="K304" s="56" t="s">
        <v>1228</v>
      </c>
      <c r="L304" s="52" t="s">
        <v>1229</v>
      </c>
    </row>
    <row r="305" spans="11:12" ht="15" customHeight="1" x14ac:dyDescent="0.3">
      <c r="K305" s="56" t="s">
        <v>1230</v>
      </c>
      <c r="L305" s="52" t="s">
        <v>1231</v>
      </c>
    </row>
    <row r="306" spans="11:12" ht="15" customHeight="1" x14ac:dyDescent="0.3">
      <c r="K306" s="56" t="s">
        <v>1232</v>
      </c>
      <c r="L306" s="52" t="s">
        <v>1233</v>
      </c>
    </row>
    <row r="307" spans="11:12" ht="15" customHeight="1" x14ac:dyDescent="0.3">
      <c r="K307" s="56" t="s">
        <v>1234</v>
      </c>
      <c r="L307" s="52" t="s">
        <v>1235</v>
      </c>
    </row>
    <row r="308" spans="11:12" ht="15" customHeight="1" x14ac:dyDescent="0.3">
      <c r="K308" s="56" t="s">
        <v>1236</v>
      </c>
      <c r="L308" s="52" t="s">
        <v>1237</v>
      </c>
    </row>
    <row r="309" spans="11:12" ht="15" customHeight="1" x14ac:dyDescent="0.3">
      <c r="K309" s="56" t="s">
        <v>1238</v>
      </c>
      <c r="L309" s="52" t="s">
        <v>1239</v>
      </c>
    </row>
    <row r="310" spans="11:12" ht="15" customHeight="1" x14ac:dyDescent="0.3">
      <c r="K310" s="56" t="s">
        <v>1240</v>
      </c>
      <c r="L310" s="52" t="s">
        <v>1241</v>
      </c>
    </row>
    <row r="311" spans="11:12" ht="15" customHeight="1" x14ac:dyDescent="0.3">
      <c r="K311" s="56" t="s">
        <v>1242</v>
      </c>
      <c r="L311" s="52" t="s">
        <v>1243</v>
      </c>
    </row>
    <row r="312" spans="11:12" ht="15" customHeight="1" x14ac:dyDescent="0.3">
      <c r="K312" s="56" t="s">
        <v>1244</v>
      </c>
      <c r="L312" s="52" t="s">
        <v>1245</v>
      </c>
    </row>
    <row r="313" spans="11:12" ht="15" customHeight="1" x14ac:dyDescent="0.3">
      <c r="K313" s="56" t="s">
        <v>1246</v>
      </c>
      <c r="L313" s="52" t="s">
        <v>1247</v>
      </c>
    </row>
    <row r="314" spans="11:12" ht="15" customHeight="1" x14ac:dyDescent="0.3">
      <c r="K314" s="56" t="s">
        <v>1248</v>
      </c>
      <c r="L314" s="52" t="s">
        <v>1249</v>
      </c>
    </row>
    <row r="315" spans="11:12" ht="15" customHeight="1" x14ac:dyDescent="0.3">
      <c r="K315" s="56" t="s">
        <v>1250</v>
      </c>
      <c r="L315" s="52" t="s">
        <v>1251</v>
      </c>
    </row>
    <row r="316" spans="11:12" ht="15" customHeight="1" x14ac:dyDescent="0.3">
      <c r="K316" s="56" t="s">
        <v>1252</v>
      </c>
      <c r="L316" s="52" t="s">
        <v>1253</v>
      </c>
    </row>
    <row r="317" spans="11:12" ht="15" customHeight="1" x14ac:dyDescent="0.3">
      <c r="K317" s="56" t="s">
        <v>1254</v>
      </c>
      <c r="L317" s="52" t="s">
        <v>1255</v>
      </c>
    </row>
    <row r="318" spans="11:12" ht="15" customHeight="1" x14ac:dyDescent="0.3">
      <c r="K318" s="56" t="s">
        <v>1256</v>
      </c>
      <c r="L318" s="52" t="s">
        <v>1257</v>
      </c>
    </row>
    <row r="319" spans="11:12" ht="15" customHeight="1" x14ac:dyDescent="0.3">
      <c r="K319" s="56" t="s">
        <v>1258</v>
      </c>
      <c r="L319" s="52" t="s">
        <v>1259</v>
      </c>
    </row>
    <row r="320" spans="11:12" ht="15" customHeight="1" x14ac:dyDescent="0.3">
      <c r="K320" s="56" t="s">
        <v>1260</v>
      </c>
      <c r="L320" s="52" t="s">
        <v>1261</v>
      </c>
    </row>
    <row r="321" spans="11:12" ht="15" customHeight="1" x14ac:dyDescent="0.3">
      <c r="K321" s="56" t="s">
        <v>197</v>
      </c>
      <c r="L321" s="52" t="s">
        <v>1262</v>
      </c>
    </row>
    <row r="322" spans="11:12" ht="15" customHeight="1" x14ac:dyDescent="0.3">
      <c r="K322" s="56" t="s">
        <v>1263</v>
      </c>
      <c r="L322" s="52" t="s">
        <v>1264</v>
      </c>
    </row>
    <row r="323" spans="11:12" ht="15" customHeight="1" x14ac:dyDescent="0.3">
      <c r="K323" s="56" t="s">
        <v>1265</v>
      </c>
      <c r="L323" s="52" t="s">
        <v>1266</v>
      </c>
    </row>
    <row r="324" spans="11:12" ht="15" customHeight="1" x14ac:dyDescent="0.3">
      <c r="K324" s="56" t="s">
        <v>1267</v>
      </c>
      <c r="L324" s="52" t="s">
        <v>1268</v>
      </c>
    </row>
    <row r="325" spans="11:12" ht="15" customHeight="1" x14ac:dyDescent="0.3">
      <c r="K325" s="56" t="s">
        <v>1269</v>
      </c>
      <c r="L325" s="52" t="s">
        <v>1270</v>
      </c>
    </row>
    <row r="326" spans="11:12" ht="15" customHeight="1" x14ac:dyDescent="0.3">
      <c r="K326" s="56" t="s">
        <v>1271</v>
      </c>
      <c r="L326" s="52" t="s">
        <v>1272</v>
      </c>
    </row>
    <row r="327" spans="11:12" ht="15" customHeight="1" x14ac:dyDescent="0.3">
      <c r="K327" s="56" t="s">
        <v>1273</v>
      </c>
      <c r="L327" s="52" t="s">
        <v>1274</v>
      </c>
    </row>
    <row r="328" spans="11:12" ht="15" customHeight="1" x14ac:dyDescent="0.3">
      <c r="K328" s="56" t="s">
        <v>1275</v>
      </c>
      <c r="L328" s="52" t="s">
        <v>1276</v>
      </c>
    </row>
    <row r="329" spans="11:12" ht="15" customHeight="1" x14ac:dyDescent="0.3">
      <c r="K329" s="56" t="s">
        <v>205</v>
      </c>
      <c r="L329" s="52" t="s">
        <v>1277</v>
      </c>
    </row>
    <row r="330" spans="11:12" ht="15" customHeight="1" x14ac:dyDescent="0.3">
      <c r="K330" s="56" t="s">
        <v>206</v>
      </c>
      <c r="L330" s="52" t="s">
        <v>1278</v>
      </c>
    </row>
    <row r="331" spans="11:12" ht="15" customHeight="1" x14ac:dyDescent="0.3">
      <c r="K331" s="56" t="s">
        <v>1279</v>
      </c>
      <c r="L331" s="52" t="s">
        <v>1280</v>
      </c>
    </row>
    <row r="332" spans="11:12" ht="15" customHeight="1" x14ac:dyDescent="0.3">
      <c r="K332" s="56" t="s">
        <v>1281</v>
      </c>
      <c r="L332" s="52" t="s">
        <v>1282</v>
      </c>
    </row>
    <row r="333" spans="11:12" ht="15" customHeight="1" x14ac:dyDescent="0.3">
      <c r="K333" s="56" t="s">
        <v>1283</v>
      </c>
      <c r="L333" s="52" t="s">
        <v>1284</v>
      </c>
    </row>
    <row r="334" spans="11:12" ht="15" customHeight="1" x14ac:dyDescent="0.3">
      <c r="K334" s="56" t="s">
        <v>1285</v>
      </c>
      <c r="L334" s="52" t="s">
        <v>1286</v>
      </c>
    </row>
    <row r="335" spans="11:12" ht="15" customHeight="1" x14ac:dyDescent="0.3">
      <c r="K335" s="56" t="s">
        <v>1287</v>
      </c>
      <c r="L335" s="52" t="s">
        <v>1288</v>
      </c>
    </row>
    <row r="336" spans="11:12" ht="15" customHeight="1" x14ac:dyDescent="0.3">
      <c r="K336" s="56" t="s">
        <v>1289</v>
      </c>
      <c r="L336" s="52" t="s">
        <v>1290</v>
      </c>
    </row>
    <row r="337" spans="11:12" ht="15" customHeight="1" x14ac:dyDescent="0.3">
      <c r="K337" s="56" t="s">
        <v>1291</v>
      </c>
      <c r="L337" s="52" t="s">
        <v>1292</v>
      </c>
    </row>
    <row r="338" spans="11:12" ht="15" customHeight="1" x14ac:dyDescent="0.3">
      <c r="K338" s="56" t="s">
        <v>1293</v>
      </c>
      <c r="L338" s="52" t="s">
        <v>1294</v>
      </c>
    </row>
    <row r="339" spans="11:12" ht="15" customHeight="1" x14ac:dyDescent="0.3">
      <c r="K339" s="56" t="s">
        <v>1295</v>
      </c>
      <c r="L339" s="52" t="s">
        <v>1296</v>
      </c>
    </row>
    <row r="340" spans="11:12" ht="15" customHeight="1" x14ac:dyDescent="0.3">
      <c r="K340" s="56" t="s">
        <v>1297</v>
      </c>
      <c r="L340" s="52" t="s">
        <v>1298</v>
      </c>
    </row>
    <row r="341" spans="11:12" ht="15" customHeight="1" x14ac:dyDescent="0.3">
      <c r="K341" s="56" t="s">
        <v>1299</v>
      </c>
      <c r="L341" s="52" t="s">
        <v>1300</v>
      </c>
    </row>
    <row r="342" spans="11:12" ht="15" customHeight="1" x14ac:dyDescent="0.3">
      <c r="K342" s="56" t="s">
        <v>1301</v>
      </c>
      <c r="L342" s="52" t="s">
        <v>1302</v>
      </c>
    </row>
    <row r="343" spans="11:12" ht="15" customHeight="1" x14ac:dyDescent="0.3">
      <c r="K343" s="56" t="s">
        <v>1303</v>
      </c>
      <c r="L343" s="52" t="s">
        <v>1304</v>
      </c>
    </row>
    <row r="344" spans="11:12" ht="15" customHeight="1" x14ac:dyDescent="0.3">
      <c r="K344" s="56" t="s">
        <v>1305</v>
      </c>
      <c r="L344" s="52" t="s">
        <v>1306</v>
      </c>
    </row>
    <row r="345" spans="11:12" ht="15" customHeight="1" x14ac:dyDescent="0.3">
      <c r="K345" s="56" t="s">
        <v>1307</v>
      </c>
      <c r="L345" s="52" t="s">
        <v>1308</v>
      </c>
    </row>
    <row r="346" spans="11:12" ht="15" customHeight="1" x14ac:dyDescent="0.3">
      <c r="K346" s="56" t="s">
        <v>1309</v>
      </c>
      <c r="L346" s="52" t="s">
        <v>1310</v>
      </c>
    </row>
    <row r="347" spans="11:12" ht="15" customHeight="1" x14ac:dyDescent="0.3">
      <c r="K347" s="56" t="s">
        <v>1311</v>
      </c>
      <c r="L347" s="52" t="s">
        <v>1312</v>
      </c>
    </row>
    <row r="348" spans="11:12" ht="15" customHeight="1" x14ac:dyDescent="0.3">
      <c r="K348" s="56" t="s">
        <v>1313</v>
      </c>
      <c r="L348" s="52" t="s">
        <v>1314</v>
      </c>
    </row>
    <row r="349" spans="11:12" ht="15" customHeight="1" x14ac:dyDescent="0.3">
      <c r="K349" s="56" t="s">
        <v>1315</v>
      </c>
      <c r="L349" s="52" t="s">
        <v>1316</v>
      </c>
    </row>
    <row r="350" spans="11:12" ht="15" customHeight="1" x14ac:dyDescent="0.3">
      <c r="K350" s="56" t="s">
        <v>1317</v>
      </c>
      <c r="L350" s="52" t="s">
        <v>1318</v>
      </c>
    </row>
    <row r="351" spans="11:12" ht="15" customHeight="1" x14ac:dyDescent="0.3">
      <c r="K351" s="56" t="s">
        <v>1319</v>
      </c>
      <c r="L351" s="52" t="s">
        <v>1320</v>
      </c>
    </row>
    <row r="352" spans="11:12" ht="15" customHeight="1" x14ac:dyDescent="0.3">
      <c r="K352" s="56" t="s">
        <v>1321</v>
      </c>
      <c r="L352" s="52" t="s">
        <v>1322</v>
      </c>
    </row>
    <row r="353" spans="11:12" ht="15" customHeight="1" x14ac:dyDescent="0.3">
      <c r="K353" s="56" t="s">
        <v>1323</v>
      </c>
      <c r="L353" s="52" t="s">
        <v>1324</v>
      </c>
    </row>
    <row r="354" spans="11:12" ht="15" customHeight="1" x14ac:dyDescent="0.3">
      <c r="K354" s="56" t="s">
        <v>1325</v>
      </c>
      <c r="L354" s="52" t="s">
        <v>1326</v>
      </c>
    </row>
    <row r="355" spans="11:12" ht="15" customHeight="1" x14ac:dyDescent="0.3">
      <c r="K355" s="56" t="s">
        <v>1327</v>
      </c>
      <c r="L355" s="52" t="s">
        <v>1328</v>
      </c>
    </row>
    <row r="356" spans="11:12" ht="15" customHeight="1" x14ac:dyDescent="0.3">
      <c r="K356" s="56" t="s">
        <v>1329</v>
      </c>
      <c r="L356" s="52" t="s">
        <v>1330</v>
      </c>
    </row>
    <row r="357" spans="11:12" ht="15" customHeight="1" x14ac:dyDescent="0.3">
      <c r="K357" s="56" t="s">
        <v>1331</v>
      </c>
      <c r="L357" s="52" t="s">
        <v>1332</v>
      </c>
    </row>
    <row r="358" spans="11:12" ht="15" customHeight="1" x14ac:dyDescent="0.3">
      <c r="K358" s="56" t="s">
        <v>1333</v>
      </c>
      <c r="L358" s="52" t="s">
        <v>1334</v>
      </c>
    </row>
    <row r="359" spans="11:12" ht="15" customHeight="1" x14ac:dyDescent="0.3">
      <c r="K359" s="56" t="s">
        <v>207</v>
      </c>
      <c r="L359" s="52" t="s">
        <v>289</v>
      </c>
    </row>
    <row r="360" spans="11:12" ht="15" customHeight="1" x14ac:dyDescent="0.3">
      <c r="K360" s="56" t="s">
        <v>1335</v>
      </c>
      <c r="L360" s="52" t="s">
        <v>1336</v>
      </c>
    </row>
    <row r="361" spans="11:12" ht="15" customHeight="1" x14ac:dyDescent="0.3">
      <c r="K361" s="56" t="s">
        <v>1337</v>
      </c>
      <c r="L361" s="52" t="s">
        <v>1338</v>
      </c>
    </row>
    <row r="362" spans="11:12" ht="15" customHeight="1" x14ac:dyDescent="0.3">
      <c r="K362" s="56" t="s">
        <v>1339</v>
      </c>
      <c r="L362" s="52" t="s">
        <v>1340</v>
      </c>
    </row>
    <row r="363" spans="11:12" ht="15" customHeight="1" x14ac:dyDescent="0.3">
      <c r="K363" s="56" t="s">
        <v>1341</v>
      </c>
      <c r="L363" s="52" t="s">
        <v>1342</v>
      </c>
    </row>
    <row r="364" spans="11:12" ht="15" customHeight="1" x14ac:dyDescent="0.3">
      <c r="K364" s="56" t="s">
        <v>1343</v>
      </c>
      <c r="L364" s="52" t="s">
        <v>1344</v>
      </c>
    </row>
    <row r="365" spans="11:12" ht="15" customHeight="1" x14ac:dyDescent="0.3">
      <c r="K365" s="56" t="s">
        <v>1345</v>
      </c>
      <c r="L365" s="52" t="s">
        <v>1346</v>
      </c>
    </row>
    <row r="366" spans="11:12" ht="15" customHeight="1" x14ac:dyDescent="0.3">
      <c r="K366" s="56" t="s">
        <v>1347</v>
      </c>
      <c r="L366" s="52" t="s">
        <v>1348</v>
      </c>
    </row>
    <row r="367" spans="11:12" ht="15" customHeight="1" x14ac:dyDescent="0.3">
      <c r="K367" s="56" t="s">
        <v>1349</v>
      </c>
      <c r="L367" s="52" t="s">
        <v>1350</v>
      </c>
    </row>
    <row r="368" spans="11:12" ht="15" customHeight="1" x14ac:dyDescent="0.3">
      <c r="K368" s="56" t="s">
        <v>1351</v>
      </c>
      <c r="L368" s="52" t="s">
        <v>1352</v>
      </c>
    </row>
    <row r="369" spans="11:12" ht="15" customHeight="1" x14ac:dyDescent="0.3">
      <c r="K369" s="56" t="s">
        <v>1353</v>
      </c>
      <c r="L369" s="52" t="s">
        <v>1354</v>
      </c>
    </row>
    <row r="370" spans="11:12" ht="15" customHeight="1" x14ac:dyDescent="0.3">
      <c r="K370" s="56" t="s">
        <v>1355</v>
      </c>
      <c r="L370" s="52" t="s">
        <v>1356</v>
      </c>
    </row>
    <row r="371" spans="11:12" ht="15" customHeight="1" x14ac:dyDescent="0.3">
      <c r="K371" s="56" t="s">
        <v>1357</v>
      </c>
      <c r="L371" s="52" t="s">
        <v>1358</v>
      </c>
    </row>
    <row r="372" spans="11:12" ht="15" customHeight="1" x14ac:dyDescent="0.3">
      <c r="K372" s="56" t="s">
        <v>1359</v>
      </c>
      <c r="L372" s="52" t="s">
        <v>1360</v>
      </c>
    </row>
    <row r="373" spans="11:12" ht="15" customHeight="1" x14ac:dyDescent="0.3">
      <c r="K373" s="56" t="s">
        <v>1361</v>
      </c>
      <c r="L373" s="52" t="s">
        <v>1362</v>
      </c>
    </row>
    <row r="374" spans="11:12" ht="15" customHeight="1" x14ac:dyDescent="0.3">
      <c r="K374" s="56" t="s">
        <v>208</v>
      </c>
      <c r="L374" s="52" t="s">
        <v>1363</v>
      </c>
    </row>
    <row r="375" spans="11:12" ht="15" customHeight="1" x14ac:dyDescent="0.3">
      <c r="K375" s="56" t="s">
        <v>1364</v>
      </c>
      <c r="L375" s="52" t="s">
        <v>1365</v>
      </c>
    </row>
    <row r="376" spans="11:12" ht="15" customHeight="1" x14ac:dyDescent="0.3">
      <c r="K376" s="56" t="s">
        <v>1366</v>
      </c>
      <c r="L376" s="52" t="s">
        <v>1367</v>
      </c>
    </row>
    <row r="377" spans="11:12" ht="15" customHeight="1" x14ac:dyDescent="0.3">
      <c r="K377" s="56" t="s">
        <v>1368</v>
      </c>
      <c r="L377" s="52" t="s">
        <v>1369</v>
      </c>
    </row>
    <row r="378" spans="11:12" ht="15" customHeight="1" x14ac:dyDescent="0.3">
      <c r="K378" s="56" t="s">
        <v>1370</v>
      </c>
      <c r="L378" s="52" t="s">
        <v>1371</v>
      </c>
    </row>
    <row r="379" spans="11:12" ht="15" customHeight="1" x14ac:dyDescent="0.3">
      <c r="K379" s="56" t="s">
        <v>1372</v>
      </c>
      <c r="L379" s="52" t="s">
        <v>1373</v>
      </c>
    </row>
    <row r="380" spans="11:12" ht="15" customHeight="1" x14ac:dyDescent="0.3">
      <c r="K380" s="56" t="s">
        <v>1374</v>
      </c>
      <c r="L380" s="52" t="s">
        <v>1375</v>
      </c>
    </row>
    <row r="381" spans="11:12" ht="15" customHeight="1" x14ac:dyDescent="0.3">
      <c r="K381" s="56" t="s">
        <v>1376</v>
      </c>
      <c r="L381" s="52" t="s">
        <v>1377</v>
      </c>
    </row>
    <row r="382" spans="11:12" ht="15" customHeight="1" x14ac:dyDescent="0.3">
      <c r="K382" s="56" t="s">
        <v>1378</v>
      </c>
      <c r="L382" s="55" t="s">
        <v>1379</v>
      </c>
    </row>
    <row r="383" spans="11:12" ht="15" customHeight="1" x14ac:dyDescent="0.3">
      <c r="K383" s="56" t="s">
        <v>1380</v>
      </c>
      <c r="L383" s="55" t="s">
        <v>1381</v>
      </c>
    </row>
    <row r="384" spans="11:12" ht="15" customHeight="1" x14ac:dyDescent="0.3">
      <c r="K384" s="56" t="s">
        <v>1382</v>
      </c>
      <c r="L384" s="57" t="s">
        <v>1383</v>
      </c>
    </row>
    <row r="385" spans="11:12" ht="15" customHeight="1" x14ac:dyDescent="0.3">
      <c r="K385" s="56" t="s">
        <v>1384</v>
      </c>
      <c r="L385" s="57" t="s">
        <v>231</v>
      </c>
    </row>
    <row r="386" spans="11:12" ht="15" customHeight="1" x14ac:dyDescent="0.3">
      <c r="K386" s="56" t="s">
        <v>1385</v>
      </c>
      <c r="L386" s="57" t="s">
        <v>1386</v>
      </c>
    </row>
    <row r="387" spans="11:12" ht="15" customHeight="1" x14ac:dyDescent="0.3">
      <c r="K387" s="56" t="s">
        <v>1387</v>
      </c>
      <c r="L387" s="52" t="s">
        <v>1388</v>
      </c>
    </row>
    <row r="388" spans="11:12" ht="15" customHeight="1" x14ac:dyDescent="0.3">
      <c r="K388" s="56" t="s">
        <v>1389</v>
      </c>
      <c r="L388" s="52" t="s">
        <v>1390</v>
      </c>
    </row>
    <row r="389" spans="11:12" ht="15" customHeight="1" x14ac:dyDescent="0.3">
      <c r="K389" s="56" t="s">
        <v>1391</v>
      </c>
      <c r="L389" s="52" t="s">
        <v>1392</v>
      </c>
    </row>
    <row r="390" spans="11:12" ht="15" customHeight="1" x14ac:dyDescent="0.3">
      <c r="K390" s="56" t="s">
        <v>1393</v>
      </c>
      <c r="L390" s="52" t="s">
        <v>1394</v>
      </c>
    </row>
    <row r="391" spans="11:12" ht="15" customHeight="1" x14ac:dyDescent="0.3">
      <c r="K391" s="56" t="s">
        <v>1395</v>
      </c>
      <c r="L391" s="52" t="s">
        <v>1396</v>
      </c>
    </row>
    <row r="392" spans="11:12" ht="15" customHeight="1" x14ac:dyDescent="0.3">
      <c r="K392" s="56" t="s">
        <v>1397</v>
      </c>
      <c r="L392" s="52" t="s">
        <v>1398</v>
      </c>
    </row>
    <row r="393" spans="11:12" ht="15" customHeight="1" x14ac:dyDescent="0.3">
      <c r="K393" s="56" t="s">
        <v>1399</v>
      </c>
      <c r="L393" s="52" t="s">
        <v>1400</v>
      </c>
    </row>
    <row r="394" spans="11:12" ht="15" customHeight="1" x14ac:dyDescent="0.3">
      <c r="K394" s="56" t="s">
        <v>1401</v>
      </c>
      <c r="L394" s="52" t="s">
        <v>1402</v>
      </c>
    </row>
    <row r="395" spans="11:12" ht="15" customHeight="1" x14ac:dyDescent="0.3">
      <c r="K395" s="56" t="s">
        <v>1403</v>
      </c>
      <c r="L395" s="52" t="s">
        <v>1404</v>
      </c>
    </row>
    <row r="396" spans="11:12" ht="15" customHeight="1" x14ac:dyDescent="0.3">
      <c r="K396" s="56" t="s">
        <v>1405</v>
      </c>
      <c r="L396" s="52" t="s">
        <v>1406</v>
      </c>
    </row>
    <row r="397" spans="11:12" ht="15" customHeight="1" x14ac:dyDescent="0.3">
      <c r="K397" s="56" t="s">
        <v>1407</v>
      </c>
      <c r="L397" s="52" t="s">
        <v>1408</v>
      </c>
    </row>
    <row r="398" spans="11:12" ht="15" customHeight="1" x14ac:dyDescent="0.3">
      <c r="K398" s="56" t="s">
        <v>1409</v>
      </c>
      <c r="L398" s="52" t="s">
        <v>1410</v>
      </c>
    </row>
    <row r="399" spans="11:12" ht="15" customHeight="1" x14ac:dyDescent="0.3">
      <c r="K399" s="56" t="s">
        <v>1411</v>
      </c>
      <c r="L399" s="52" t="s">
        <v>1412</v>
      </c>
    </row>
    <row r="400" spans="11:12" ht="15" customHeight="1" x14ac:dyDescent="0.3">
      <c r="K400" s="56" t="s">
        <v>1413</v>
      </c>
      <c r="L400" s="52" t="s">
        <v>1414</v>
      </c>
    </row>
    <row r="401" spans="11:12" ht="15" customHeight="1" x14ac:dyDescent="0.3">
      <c r="K401" s="56" t="s">
        <v>1415</v>
      </c>
      <c r="L401" s="52" t="s">
        <v>1416</v>
      </c>
    </row>
    <row r="402" spans="11:12" ht="15" customHeight="1" x14ac:dyDescent="0.3">
      <c r="K402" s="56" t="s">
        <v>1417</v>
      </c>
      <c r="L402" s="52" t="s">
        <v>1418</v>
      </c>
    </row>
    <row r="403" spans="11:12" ht="15" customHeight="1" x14ac:dyDescent="0.3">
      <c r="K403" s="56" t="s">
        <v>1419</v>
      </c>
      <c r="L403" s="52" t="s">
        <v>1420</v>
      </c>
    </row>
    <row r="404" spans="11:12" ht="15" customHeight="1" x14ac:dyDescent="0.3">
      <c r="K404" s="56" t="s">
        <v>210</v>
      </c>
      <c r="L404" s="52" t="s">
        <v>1421</v>
      </c>
    </row>
    <row r="405" spans="11:12" ht="15" customHeight="1" x14ac:dyDescent="0.3">
      <c r="K405" s="56" t="s">
        <v>211</v>
      </c>
      <c r="L405" s="52" t="s">
        <v>1422</v>
      </c>
    </row>
    <row r="406" spans="11:12" ht="15" customHeight="1" x14ac:dyDescent="0.3">
      <c r="K406" s="56" t="s">
        <v>212</v>
      </c>
      <c r="L406" s="52" t="s">
        <v>1423</v>
      </c>
    </row>
    <row r="407" spans="11:12" ht="15" customHeight="1" x14ac:dyDescent="0.3">
      <c r="K407" s="56" t="s">
        <v>213</v>
      </c>
      <c r="L407" s="58" t="s">
        <v>1424</v>
      </c>
    </row>
    <row r="408" spans="11:12" ht="15" customHeight="1" x14ac:dyDescent="0.3">
      <c r="K408" s="38" t="s">
        <v>214</v>
      </c>
      <c r="L408" s="55" t="s">
        <v>1425</v>
      </c>
    </row>
    <row r="409" spans="11:12" ht="15" customHeight="1" x14ac:dyDescent="0.3">
      <c r="K409" s="39" t="s">
        <v>215</v>
      </c>
      <c r="L409" s="55" t="s">
        <v>1426</v>
      </c>
    </row>
    <row r="410" spans="11:12" ht="15" customHeight="1" x14ac:dyDescent="0.3">
      <c r="K410" s="40" t="s">
        <v>216</v>
      </c>
      <c r="L410" s="57" t="s">
        <v>1427</v>
      </c>
    </row>
    <row r="411" spans="11:12" ht="15" customHeight="1" x14ac:dyDescent="0.3">
      <c r="K411" s="41" t="s">
        <v>217</v>
      </c>
      <c r="L411" s="57" t="s">
        <v>1428</v>
      </c>
    </row>
    <row r="412" spans="11:12" ht="15" customHeight="1" x14ac:dyDescent="0.3">
      <c r="K412" s="38" t="s">
        <v>218</v>
      </c>
      <c r="L412" s="57" t="s">
        <v>811</v>
      </c>
    </row>
    <row r="413" spans="11:12" ht="15" customHeight="1" x14ac:dyDescent="0.3">
      <c r="K413" s="39" t="s">
        <v>219</v>
      </c>
      <c r="L413" s="52" t="s">
        <v>1429</v>
      </c>
    </row>
    <row r="414" spans="11:12" ht="15" customHeight="1" x14ac:dyDescent="0.3">
      <c r="L414"/>
    </row>
    <row r="415" spans="11:12" ht="15" customHeight="1" x14ac:dyDescent="0.3">
      <c r="L415"/>
    </row>
    <row r="416" spans="11:12" ht="15" customHeight="1" x14ac:dyDescent="0.3">
      <c r="L416"/>
    </row>
    <row r="417" spans="12:12" ht="15" customHeight="1" x14ac:dyDescent="0.3">
      <c r="L417"/>
    </row>
    <row r="418" spans="12:12" ht="15" customHeight="1" x14ac:dyDescent="0.3">
      <c r="L418"/>
    </row>
    <row r="419" spans="12:12" ht="15" customHeight="1" x14ac:dyDescent="0.3">
      <c r="L419"/>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5C6D-D623-486D-B8CC-A0C61F0661E7}">
  <sheetPr codeName="Sheet5"/>
  <dimension ref="A1:C4"/>
  <sheetViews>
    <sheetView workbookViewId="0">
      <selection activeCell="C3" sqref="C3"/>
    </sheetView>
  </sheetViews>
  <sheetFormatPr defaultRowHeight="12.5" x14ac:dyDescent="0.25"/>
  <cols>
    <col min="1" max="2" width="24.7265625" customWidth="1"/>
    <col min="3" max="3" width="80" customWidth="1"/>
  </cols>
  <sheetData>
    <row r="1" spans="1:3" x14ac:dyDescent="0.25">
      <c r="A1" s="118" t="s">
        <v>1430</v>
      </c>
      <c r="B1" s="118" t="s">
        <v>770</v>
      </c>
      <c r="C1" s="118" t="s">
        <v>1431</v>
      </c>
    </row>
    <row r="2" spans="1:3" x14ac:dyDescent="0.25">
      <c r="A2" s="118"/>
      <c r="B2" s="118"/>
      <c r="C2" s="118"/>
    </row>
    <row r="3" spans="1:3" x14ac:dyDescent="0.25">
      <c r="A3" s="118"/>
      <c r="B3" s="118"/>
      <c r="C3" s="118"/>
    </row>
    <row r="4" spans="1:3" x14ac:dyDescent="0.25">
      <c r="A4" s="118"/>
      <c r="B4" s="118" t="s">
        <v>1432</v>
      </c>
      <c r="C4" s="118" t="s">
        <v>1433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6a8a4b19-784b-465e-aa35-6654f8f5206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99AE8192CFA24EB5A276D2676884B5" ma:contentTypeVersion="10" ma:contentTypeDescription="Create a new document." ma:contentTypeScope="" ma:versionID="fde96bac0649592f9c2aecf85e76ae14">
  <xsd:schema xmlns:xsd="http://www.w3.org/2001/XMLSchema" xmlns:xs="http://www.w3.org/2001/XMLSchema" xmlns:p="http://schemas.microsoft.com/office/2006/metadata/properties" xmlns:ns1="http://schemas.microsoft.com/sharepoint/v3" xmlns:ns3="6a8a4b19-784b-465e-aa35-6654f8f52060" xmlns:ns4="f0d2af39-04e3-4c1f-99f7-7eb11321dc22" targetNamespace="http://schemas.microsoft.com/office/2006/metadata/properties" ma:root="true" ma:fieldsID="9ff50973e0313944637720f1dfcd6fd1" ns1:_="" ns3:_="" ns4:_="">
    <xsd:import namespace="http://schemas.microsoft.com/sharepoint/v3"/>
    <xsd:import namespace="6a8a4b19-784b-465e-aa35-6654f8f52060"/>
    <xsd:import namespace="f0d2af39-04e3-4c1f-99f7-7eb11321dc2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1:_ip_UnifiedCompliancePolicyProperties" minOccurs="0"/>
                <xsd:element ref="ns1:_ip_UnifiedCompliancePolicyUIAction" minOccurs="0"/>
                <xsd:element ref="ns3:_activit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8a4b19-784b-465e-aa35-6654f8f520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d2af39-04e3-4c1f-99f7-7eb11321dc2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B874BC-0900-4C36-868B-0545D46A9149}">
  <ds:schemaRefs>
    <ds:schemaRef ds:uri="http://schemas.microsoft.com/office/2006/metadata/properties"/>
    <ds:schemaRef ds:uri="http://schemas.microsoft.com/office/infopath/2007/PartnerControls"/>
    <ds:schemaRef ds:uri="http://schemas.microsoft.com/sharepoint/v3"/>
    <ds:schemaRef ds:uri="6a8a4b19-784b-465e-aa35-6654f8f52060"/>
  </ds:schemaRefs>
</ds:datastoreItem>
</file>

<file path=customXml/itemProps2.xml><?xml version="1.0" encoding="utf-8"?>
<ds:datastoreItem xmlns:ds="http://schemas.openxmlformats.org/officeDocument/2006/customXml" ds:itemID="{5A7AE43B-5852-4D8B-BCB2-22A16787A2E9}">
  <ds:schemaRefs>
    <ds:schemaRef ds:uri="http://schemas.microsoft.com/sharepoint/v3/contenttype/forms"/>
  </ds:schemaRefs>
</ds:datastoreItem>
</file>

<file path=customXml/itemProps3.xml><?xml version="1.0" encoding="utf-8"?>
<ds:datastoreItem xmlns:ds="http://schemas.openxmlformats.org/officeDocument/2006/customXml" ds:itemID="{C02D6F9F-713C-4C93-B164-C6F6139DCD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a8a4b19-784b-465e-aa35-6654f8f52060"/>
    <ds:schemaRef ds:uri="f0d2af39-04e3-4c1f-99f7-7eb11321dc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deaeda8-c81d-45ce-863e-5232a535b7cb}" enabled="0" method="" siteId="{bdeaeda8-c81d-45ce-863e-5232a535b7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Endo 3 (S3) Follow up</vt:lpstr>
      <vt:lpstr>Endo 3 (S3) Supplementary</vt:lpstr>
      <vt:lpstr>Mets</vt:lpstr>
      <vt:lpstr>Calculations &amp; Lists</vt:lpstr>
      <vt:lpstr>TTE Error Log</vt:lpstr>
    </vt:vector>
  </TitlesOfParts>
  <Manager/>
  <Company>University of Leeds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Freer</dc:creator>
  <cp:keywords/>
  <dc:description/>
  <cp:lastModifiedBy>Ahmad Ammash</cp:lastModifiedBy>
  <cp:revision/>
  <dcterms:created xsi:type="dcterms:W3CDTF">2022-11-11T10:11:47Z</dcterms:created>
  <dcterms:modified xsi:type="dcterms:W3CDTF">2026-10-22T09:45:37Z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0x0101003F99AE8192CFA24EB5A276D2676884B5</vt:lpwstr>
  </property>
</Properties>
</file>